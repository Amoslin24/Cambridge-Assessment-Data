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moslin/Library/Mobile Documents/com~apple~CloudDocs/HD School/AY 25-26/AY 25-26 Sem 2/03. Assessment/Mock Assessment/"/>
    </mc:Choice>
  </mc:AlternateContent>
  <xr:revisionPtr revIDLastSave="0" documentId="13_ncr:1_{32F54C26-5BA4-7648-AC38-54FDC0D347ED}" xr6:coauthVersionLast="47" xr6:coauthVersionMax="47" xr10:uidLastSave="{00000000-0000-0000-0000-000000000000}"/>
  <bookViews>
    <workbookView xWindow="0" yWindow="740" windowWidth="34560" windowHeight="20280" activeTab="3" xr2:uid="{00000000-000D-0000-FFFF-FFFF00000000}"/>
  </bookViews>
  <sheets>
    <sheet name="学生诊断报告" sheetId="1" r:id="rId1"/>
    <sheet name="班级板块精细诊断" sheetId="2" r:id="rId2"/>
    <sheet name="换算标准" sheetId="3" r:id="rId3"/>
    <sheet name="技能库" sheetId="4" r:id="rId4"/>
    <sheet name="MSE成绩库" sheetId="5" r:id="rId5"/>
    <sheet name="YLE成绩库" sheetId="6" r:id="rId6"/>
    <sheet name="Helper_AllData" sheetId="7" r:id="rId7"/>
  </sheets>
  <definedNames>
    <definedName name="_xlnm._FilterDatabase" localSheetId="6" hidden="1">Helper_AllData!$A$1:$Z$1000</definedName>
    <definedName name="_xlnm._FilterDatabase" localSheetId="4" hidden="1">MSE成绩库!$A$1:$AC$1000</definedName>
    <definedName name="_xlnm._FilterDatabase" localSheetId="5" hidden="1">YLE成绩库!$A$1:$AB$1000</definedName>
    <definedName name="_xlnm._FilterDatabase" localSheetId="3" hidden="1">技能库!$A$1:$F$64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49" i="6" l="1"/>
  <c r="T1030" i="6"/>
  <c r="U1030" i="6" s="1"/>
  <c r="T1031" i="6"/>
  <c r="U1031" i="6" s="1"/>
  <c r="T1032" i="6"/>
  <c r="U1032" i="6" s="1"/>
  <c r="T1033" i="6"/>
  <c r="U1033" i="6" s="1"/>
  <c r="T1034" i="6"/>
  <c r="U1034" i="6" s="1"/>
  <c r="T1035" i="6"/>
  <c r="U1035" i="6" s="1"/>
  <c r="T1036" i="6"/>
  <c r="U1036" i="6" s="1"/>
  <c r="T1037" i="6"/>
  <c r="U1037" i="6" s="1"/>
  <c r="T1038" i="6"/>
  <c r="U1038" i="6" s="1"/>
  <c r="T1039" i="6"/>
  <c r="U1039" i="6" s="1"/>
  <c r="T1040" i="6"/>
  <c r="U1040" i="6" s="1"/>
  <c r="T1041" i="6"/>
  <c r="U1041" i="6" s="1"/>
  <c r="T1042" i="6"/>
  <c r="U1042" i="6" s="1"/>
  <c r="T1043" i="6"/>
  <c r="U1043" i="6" s="1"/>
  <c r="T1045" i="6"/>
  <c r="U1045" i="6" s="1"/>
  <c r="T1046" i="6"/>
  <c r="U1046" i="6" s="1"/>
  <c r="T1047" i="6"/>
  <c r="U1047" i="6" s="1"/>
  <c r="T1048" i="6"/>
  <c r="U1048" i="6" s="1"/>
  <c r="K1045" i="6"/>
  <c r="J1030" i="6"/>
  <c r="K1030" i="6" s="1"/>
  <c r="J1031" i="6"/>
  <c r="K1031" i="6" s="1"/>
  <c r="J1032" i="6"/>
  <c r="K1032" i="6" s="1"/>
  <c r="J1033" i="6"/>
  <c r="K1033" i="6" s="1"/>
  <c r="J1034" i="6"/>
  <c r="K1034" i="6" s="1"/>
  <c r="J1035" i="6"/>
  <c r="K1035" i="6" s="1"/>
  <c r="J1036" i="6"/>
  <c r="K1036" i="6" s="1"/>
  <c r="J1037" i="6"/>
  <c r="K1037" i="6" s="1"/>
  <c r="J1038" i="6"/>
  <c r="K1038" i="6" s="1"/>
  <c r="J1039" i="6"/>
  <c r="K1039" i="6" s="1"/>
  <c r="J1040" i="6"/>
  <c r="K1040" i="6" s="1"/>
  <c r="J1041" i="6"/>
  <c r="K1041" i="6" s="1"/>
  <c r="J1042" i="6"/>
  <c r="K1042" i="6" s="1"/>
  <c r="J1043" i="6"/>
  <c r="K1043" i="6" s="1"/>
  <c r="J1045" i="6"/>
  <c r="J1046" i="6"/>
  <c r="K1046" i="6" s="1"/>
  <c r="J1047" i="6"/>
  <c r="K1047" i="6" s="1"/>
  <c r="J1016" i="6"/>
  <c r="K1016" i="6" s="1"/>
  <c r="Z1016" i="6" s="1"/>
  <c r="T1014" i="6"/>
  <c r="U1014" i="6" s="1"/>
  <c r="T1015" i="6"/>
  <c r="U1015" i="6" s="1"/>
  <c r="AA1015" i="6" s="1"/>
  <c r="T1016" i="6"/>
  <c r="U1016" i="6" s="1"/>
  <c r="AA1016" i="6" s="1"/>
  <c r="T1017" i="6"/>
  <c r="U1017" i="6" s="1"/>
  <c r="AA1017" i="6" s="1"/>
  <c r="T1018" i="6"/>
  <c r="U1018" i="6" s="1"/>
  <c r="T1019" i="6"/>
  <c r="T1020" i="6"/>
  <c r="T1021" i="6"/>
  <c r="U1021" i="6" s="1"/>
  <c r="T1022" i="6"/>
  <c r="U1022" i="6" s="1"/>
  <c r="AA1022" i="6" s="1"/>
  <c r="T1023" i="6"/>
  <c r="T1024" i="6"/>
  <c r="U1024" i="6" s="1"/>
  <c r="J1014" i="6"/>
  <c r="K1014" i="6" s="1"/>
  <c r="J1015" i="6"/>
  <c r="J1017" i="6"/>
  <c r="J1018" i="6"/>
  <c r="K1018" i="6" s="1"/>
  <c r="Z1018" i="6" s="1"/>
  <c r="J1019" i="6"/>
  <c r="K1019" i="6" s="1"/>
  <c r="J1020" i="6"/>
  <c r="K1020" i="6" s="1"/>
  <c r="Z1020" i="6" s="1"/>
  <c r="J1021" i="6"/>
  <c r="J1022" i="6"/>
  <c r="J1023" i="6"/>
  <c r="J1024" i="6"/>
  <c r="K1024" i="6" s="1"/>
  <c r="T1004" i="6"/>
  <c r="U1004" i="6" s="1"/>
  <c r="T1005" i="6"/>
  <c r="U1005" i="6" s="1"/>
  <c r="T1006" i="6"/>
  <c r="U1006" i="6" s="1"/>
  <c r="T1007" i="6"/>
  <c r="U1007" i="6" s="1"/>
  <c r="T1008" i="6"/>
  <c r="U1008" i="6" s="1"/>
  <c r="T1009" i="6"/>
  <c r="U1009" i="6" s="1"/>
  <c r="AA1009" i="6" s="1"/>
  <c r="T1010" i="6"/>
  <c r="U1010" i="6" s="1"/>
  <c r="T1011" i="6"/>
  <c r="U1011" i="6" s="1"/>
  <c r="T1012" i="6"/>
  <c r="U1012" i="6" s="1"/>
  <c r="T1013" i="6"/>
  <c r="U1013" i="6" s="1"/>
  <c r="T1025" i="6"/>
  <c r="U1025" i="6" s="1"/>
  <c r="T1026" i="6"/>
  <c r="AA1026" i="6" s="1"/>
  <c r="T1027" i="6"/>
  <c r="U1027" i="6" s="1"/>
  <c r="T1028" i="6"/>
  <c r="AA1028" i="6" s="1"/>
  <c r="T1029" i="6"/>
  <c r="U1029" i="6" s="1"/>
  <c r="J1004" i="6"/>
  <c r="K1004" i="6" s="1"/>
  <c r="J1005" i="6"/>
  <c r="K1005" i="6" s="1"/>
  <c r="J1006" i="6"/>
  <c r="K1006" i="6" s="1"/>
  <c r="J1007" i="6"/>
  <c r="K1007" i="6" s="1"/>
  <c r="J1008" i="6"/>
  <c r="K1008" i="6" s="1"/>
  <c r="Z1008" i="6" s="1"/>
  <c r="J1009" i="6"/>
  <c r="K1009" i="6" s="1"/>
  <c r="J1010" i="6"/>
  <c r="K1010" i="6" s="1"/>
  <c r="J1011" i="6"/>
  <c r="K1011" i="6" s="1"/>
  <c r="J1012" i="6"/>
  <c r="K1012" i="6" s="1"/>
  <c r="J1013" i="6"/>
  <c r="K1013" i="6" s="1"/>
  <c r="J1025" i="6"/>
  <c r="K1025" i="6" s="1"/>
  <c r="J1026" i="6"/>
  <c r="Z1026" i="6" s="1"/>
  <c r="J1027" i="6"/>
  <c r="K1027" i="6" s="1"/>
  <c r="J1028" i="6"/>
  <c r="Z1028" i="6" s="1"/>
  <c r="J1029" i="6"/>
  <c r="K1029" i="6" s="1"/>
  <c r="X1032" i="5"/>
  <c r="X1033" i="5"/>
  <c r="X1034" i="5"/>
  <c r="X1035" i="5"/>
  <c r="X1036" i="5"/>
  <c r="W1032" i="5"/>
  <c r="W1033" i="5"/>
  <c r="W1034" i="5"/>
  <c r="W1035" i="5"/>
  <c r="W1036" i="5"/>
  <c r="W1031" i="5"/>
  <c r="X1031" i="5" s="1"/>
  <c r="Q1028" i="5"/>
  <c r="Q1029" i="5"/>
  <c r="Q1030" i="5"/>
  <c r="Q1031" i="5"/>
  <c r="P1028" i="5"/>
  <c r="P1029" i="5"/>
  <c r="P1030" i="5"/>
  <c r="M1028" i="5"/>
  <c r="M1029" i="5"/>
  <c r="M1030" i="5"/>
  <c r="L1028" i="5"/>
  <c r="L1029" i="5"/>
  <c r="L1030" i="5"/>
  <c r="X1028" i="5"/>
  <c r="X1029" i="5"/>
  <c r="W1028" i="5"/>
  <c r="W1029" i="5"/>
  <c r="P1027" i="5"/>
  <c r="Q1027" i="5" s="1"/>
  <c r="L1027" i="5"/>
  <c r="M1027" i="5" s="1"/>
  <c r="P1026" i="5"/>
  <c r="Q1026" i="5" s="1"/>
  <c r="P1025" i="5"/>
  <c r="Q1025" i="5" s="1"/>
  <c r="P1024" i="5"/>
  <c r="Q1024" i="5" s="1"/>
  <c r="P1023" i="5"/>
  <c r="Q1023" i="5" s="1"/>
  <c r="P1022" i="5"/>
  <c r="Q1022" i="5" s="1"/>
  <c r="P1021" i="5"/>
  <c r="AB1021" i="5" s="1"/>
  <c r="P1020" i="5"/>
  <c r="AB1020" i="5" s="1"/>
  <c r="P1019" i="5"/>
  <c r="AB1019" i="5" s="1"/>
  <c r="P1018" i="5"/>
  <c r="AB1018" i="5" s="1"/>
  <c r="P1017" i="5"/>
  <c r="AB1017" i="5" s="1"/>
  <c r="P1016" i="5"/>
  <c r="AB1016" i="5" s="1"/>
  <c r="P1015" i="5"/>
  <c r="AB1015" i="5" s="1"/>
  <c r="P1014" i="5"/>
  <c r="AB1014" i="5" s="1"/>
  <c r="P1013" i="5"/>
  <c r="Q1013" i="5" s="1"/>
  <c r="P1012" i="5"/>
  <c r="Q1012" i="5" s="1"/>
  <c r="P1011" i="5"/>
  <c r="Q1011" i="5" s="1"/>
  <c r="P1010" i="5"/>
  <c r="Q1010" i="5" s="1"/>
  <c r="P1009" i="5"/>
  <c r="Q1009" i="5" s="1"/>
  <c r="P1008" i="5"/>
  <c r="AB1008" i="5" s="1"/>
  <c r="P1007" i="5"/>
  <c r="AB1007" i="5" s="1"/>
  <c r="P1006" i="5"/>
  <c r="AB1006" i="5" s="1"/>
  <c r="P1005" i="5"/>
  <c r="AB1005" i="5" s="1"/>
  <c r="AB1004" i="5"/>
  <c r="AB1003" i="5"/>
  <c r="P1001" i="5"/>
  <c r="L1023" i="5"/>
  <c r="M1023" i="5" s="1"/>
  <c r="L1024" i="5"/>
  <c r="M1024" i="5" s="1"/>
  <c r="L1025" i="5"/>
  <c r="M1025" i="5" s="1"/>
  <c r="L1026" i="5"/>
  <c r="AA1026" i="5" s="1"/>
  <c r="T1003" i="6"/>
  <c r="U1003" i="6" s="1"/>
  <c r="AA1003" i="6" s="1"/>
  <c r="T1002" i="6"/>
  <c r="U1002" i="6" s="1"/>
  <c r="T1001" i="6"/>
  <c r="U1001" i="6" s="1"/>
  <c r="L1022" i="5"/>
  <c r="M1022" i="5" s="1"/>
  <c r="L1021" i="5"/>
  <c r="AA1021" i="5" s="1"/>
  <c r="L1020" i="5"/>
  <c r="AA1020" i="5" s="1"/>
  <c r="L1019" i="5"/>
  <c r="M1019" i="5" s="1"/>
  <c r="L1018" i="5"/>
  <c r="M1018" i="5" s="1"/>
  <c r="L1017" i="5"/>
  <c r="AA1017" i="5" s="1"/>
  <c r="L1016" i="5"/>
  <c r="AA1016" i="5" s="1"/>
  <c r="L1015" i="5"/>
  <c r="AA1015" i="5" s="1"/>
  <c r="L1014" i="5"/>
  <c r="AA1014" i="5" s="1"/>
  <c r="L1013" i="5"/>
  <c r="AA1013" i="5" s="1"/>
  <c r="L1012" i="5"/>
  <c r="AA1012" i="5" s="1"/>
  <c r="L1011" i="5"/>
  <c r="AA1011" i="5" s="1"/>
  <c r="L1010" i="5"/>
  <c r="AA1010" i="5" s="1"/>
  <c r="L1009" i="5"/>
  <c r="AA1009" i="5" s="1"/>
  <c r="L1008" i="5"/>
  <c r="AA1008" i="5" s="1"/>
  <c r="L1007" i="5"/>
  <c r="AA1007" i="5" s="1"/>
  <c r="L1006" i="5"/>
  <c r="M1006" i="5" s="1"/>
  <c r="L1005" i="5"/>
  <c r="AA1005" i="5" s="1"/>
  <c r="L1004" i="5"/>
  <c r="AA1004" i="5" s="1"/>
  <c r="L1003" i="5"/>
  <c r="AA1003" i="5" s="1"/>
  <c r="L1001" i="5"/>
  <c r="AA1001" i="5" s="1"/>
  <c r="J1003" i="6"/>
  <c r="J1002" i="6"/>
  <c r="Z1002" i="6" s="1"/>
  <c r="J1001" i="6"/>
  <c r="Z1001" i="6" s="1"/>
  <c r="W1011" i="5"/>
  <c r="AC1011" i="5" s="1"/>
  <c r="AB1022" i="5"/>
  <c r="AB1013" i="5"/>
  <c r="AB1012" i="5"/>
  <c r="AB1001" i="5"/>
  <c r="AA1024" i="5"/>
  <c r="W1027" i="5"/>
  <c r="AC1027" i="5" s="1"/>
  <c r="W1026" i="5"/>
  <c r="AC1026" i="5" s="1"/>
  <c r="W1025" i="5"/>
  <c r="AC1025" i="5" s="1"/>
  <c r="W1024" i="5"/>
  <c r="AC1024" i="5" s="1"/>
  <c r="W1023" i="5"/>
  <c r="AC1023" i="5" s="1"/>
  <c r="W1022" i="5"/>
  <c r="AC1022" i="5" s="1"/>
  <c r="W1021" i="5"/>
  <c r="X1021" i="5" s="1"/>
  <c r="W1020" i="5"/>
  <c r="X1020" i="5" s="1"/>
  <c r="W1019" i="5"/>
  <c r="X1019" i="5" s="1"/>
  <c r="W1018" i="5"/>
  <c r="AC1018" i="5" s="1"/>
  <c r="W1017" i="5"/>
  <c r="X1017" i="5" s="1"/>
  <c r="W1016" i="5"/>
  <c r="X1016" i="5" s="1"/>
  <c r="W1015" i="5"/>
  <c r="AC1015" i="5" s="1"/>
  <c r="W1014" i="5"/>
  <c r="AC1014" i="5" s="1"/>
  <c r="W1013" i="5"/>
  <c r="AC1013" i="5" s="1"/>
  <c r="W1012" i="5"/>
  <c r="AC1012" i="5" s="1"/>
  <c r="W1010" i="5"/>
  <c r="AC1010" i="5" s="1"/>
  <c r="W1009" i="5"/>
  <c r="AC1009" i="5" s="1"/>
  <c r="W1008" i="5"/>
  <c r="X1008" i="5" s="1"/>
  <c r="W1007" i="5"/>
  <c r="AC1007" i="5" s="1"/>
  <c r="W1006" i="5"/>
  <c r="AC1006" i="5" s="1"/>
  <c r="W1005" i="5"/>
  <c r="X1005" i="5" s="1"/>
  <c r="W1004" i="5"/>
  <c r="X1004" i="5" s="1"/>
  <c r="W1003" i="5"/>
  <c r="X1003" i="5" s="1"/>
  <c r="W1001" i="5"/>
  <c r="AC1001" i="5" s="1"/>
  <c r="Z1001" i="7"/>
  <c r="X1001" i="7"/>
  <c r="W1001" i="7"/>
  <c r="V1001" i="7"/>
  <c r="U1001" i="7"/>
  <c r="T1001" i="7"/>
  <c r="S1001" i="7"/>
  <c r="R1001" i="7"/>
  <c r="Q1001" i="7"/>
  <c r="P1001" i="7"/>
  <c r="L1001" i="7"/>
  <c r="K1001" i="7"/>
  <c r="J1001" i="7"/>
  <c r="I1001" i="7"/>
  <c r="H1001" i="7"/>
  <c r="G1001" i="7"/>
  <c r="F1001" i="7"/>
  <c r="E1001" i="7"/>
  <c r="D1001" i="7"/>
  <c r="C1001" i="7"/>
  <c r="B1001" i="7"/>
  <c r="A1001" i="7"/>
  <c r="Z1000" i="7"/>
  <c r="X1000" i="7"/>
  <c r="W1000" i="7"/>
  <c r="V1000" i="7"/>
  <c r="U1000" i="7"/>
  <c r="T1000" i="7"/>
  <c r="S1000" i="7"/>
  <c r="R1000" i="7"/>
  <c r="Q1000" i="7"/>
  <c r="P1000" i="7"/>
  <c r="L1000" i="7"/>
  <c r="K1000" i="7"/>
  <c r="J1000" i="7"/>
  <c r="I1000" i="7"/>
  <c r="H1000" i="7"/>
  <c r="G1000" i="7"/>
  <c r="F1000" i="7"/>
  <c r="E1000" i="7"/>
  <c r="D1000" i="7"/>
  <c r="C1000" i="7"/>
  <c r="B1000" i="7"/>
  <c r="A1000" i="7"/>
  <c r="Z999" i="7"/>
  <c r="X999" i="7"/>
  <c r="W999" i="7"/>
  <c r="V999" i="7"/>
  <c r="U999" i="7"/>
  <c r="T999" i="7"/>
  <c r="S999" i="7"/>
  <c r="R999" i="7"/>
  <c r="Q999" i="7"/>
  <c r="P999" i="7"/>
  <c r="L999" i="7"/>
  <c r="K999" i="7"/>
  <c r="J999" i="7"/>
  <c r="I999" i="7"/>
  <c r="H999" i="7"/>
  <c r="G999" i="7"/>
  <c r="F999" i="7"/>
  <c r="E999" i="7"/>
  <c r="D999" i="7"/>
  <c r="C999" i="7"/>
  <c r="B999" i="7"/>
  <c r="A999" i="7"/>
  <c r="Z998" i="7"/>
  <c r="X998" i="7"/>
  <c r="W998" i="7"/>
  <c r="V998" i="7"/>
  <c r="U998" i="7"/>
  <c r="T998" i="7"/>
  <c r="S998" i="7"/>
  <c r="R998" i="7"/>
  <c r="Q998" i="7"/>
  <c r="P998" i="7"/>
  <c r="L998" i="7"/>
  <c r="K998" i="7"/>
  <c r="J998" i="7"/>
  <c r="I998" i="7"/>
  <c r="H998" i="7"/>
  <c r="G998" i="7"/>
  <c r="F998" i="7"/>
  <c r="E998" i="7"/>
  <c r="D998" i="7"/>
  <c r="C998" i="7"/>
  <c r="B998" i="7"/>
  <c r="A998" i="7"/>
  <c r="Z997" i="7"/>
  <c r="X997" i="7"/>
  <c r="W997" i="7"/>
  <c r="V997" i="7"/>
  <c r="U997" i="7"/>
  <c r="T997" i="7"/>
  <c r="S997" i="7"/>
  <c r="R997" i="7"/>
  <c r="Q997" i="7"/>
  <c r="P997" i="7"/>
  <c r="L997" i="7"/>
  <c r="K997" i="7"/>
  <c r="J997" i="7"/>
  <c r="I997" i="7"/>
  <c r="H997" i="7"/>
  <c r="G997" i="7"/>
  <c r="F997" i="7"/>
  <c r="E997" i="7"/>
  <c r="D997" i="7"/>
  <c r="C997" i="7"/>
  <c r="B997" i="7"/>
  <c r="A997" i="7"/>
  <c r="Z996" i="7"/>
  <c r="X996" i="7"/>
  <c r="W996" i="7"/>
  <c r="V996" i="7"/>
  <c r="U996" i="7"/>
  <c r="T996" i="7"/>
  <c r="S996" i="7"/>
  <c r="R996" i="7"/>
  <c r="Q996" i="7"/>
  <c r="P996" i="7"/>
  <c r="L996" i="7"/>
  <c r="K996" i="7"/>
  <c r="J996" i="7"/>
  <c r="I996" i="7"/>
  <c r="H996" i="7"/>
  <c r="G996" i="7"/>
  <c r="F996" i="7"/>
  <c r="E996" i="7"/>
  <c r="D996" i="7"/>
  <c r="C996" i="7"/>
  <c r="B996" i="7"/>
  <c r="A996" i="7"/>
  <c r="Z995" i="7"/>
  <c r="X995" i="7"/>
  <c r="W995" i="7"/>
  <c r="V995" i="7"/>
  <c r="U995" i="7"/>
  <c r="T995" i="7"/>
  <c r="S995" i="7"/>
  <c r="R995" i="7"/>
  <c r="Q995" i="7"/>
  <c r="P995" i="7"/>
  <c r="L995" i="7"/>
  <c r="K995" i="7"/>
  <c r="J995" i="7"/>
  <c r="I995" i="7"/>
  <c r="H995" i="7"/>
  <c r="G995" i="7"/>
  <c r="F995" i="7"/>
  <c r="E995" i="7"/>
  <c r="D995" i="7"/>
  <c r="C995" i="7"/>
  <c r="B995" i="7"/>
  <c r="A995" i="7"/>
  <c r="Z994" i="7"/>
  <c r="X994" i="7"/>
  <c r="W994" i="7"/>
  <c r="V994" i="7"/>
  <c r="U994" i="7"/>
  <c r="T994" i="7"/>
  <c r="S994" i="7"/>
  <c r="R994" i="7"/>
  <c r="Q994" i="7"/>
  <c r="P994" i="7"/>
  <c r="L994" i="7"/>
  <c r="K994" i="7"/>
  <c r="J994" i="7"/>
  <c r="I994" i="7"/>
  <c r="H994" i="7"/>
  <c r="G994" i="7"/>
  <c r="F994" i="7"/>
  <c r="E994" i="7"/>
  <c r="D994" i="7"/>
  <c r="C994" i="7"/>
  <c r="B994" i="7"/>
  <c r="A994" i="7"/>
  <c r="Z993" i="7"/>
  <c r="X993" i="7"/>
  <c r="W993" i="7"/>
  <c r="V993" i="7"/>
  <c r="U993" i="7"/>
  <c r="T993" i="7"/>
  <c r="S993" i="7"/>
  <c r="R993" i="7"/>
  <c r="Q993" i="7"/>
  <c r="P993" i="7"/>
  <c r="L993" i="7"/>
  <c r="K993" i="7"/>
  <c r="J993" i="7"/>
  <c r="I993" i="7"/>
  <c r="H993" i="7"/>
  <c r="G993" i="7"/>
  <c r="F993" i="7"/>
  <c r="E993" i="7"/>
  <c r="D993" i="7"/>
  <c r="C993" i="7"/>
  <c r="B993" i="7"/>
  <c r="A993" i="7"/>
  <c r="Z992" i="7"/>
  <c r="X992" i="7"/>
  <c r="W992" i="7"/>
  <c r="V992" i="7"/>
  <c r="U992" i="7"/>
  <c r="T992" i="7"/>
  <c r="S992" i="7"/>
  <c r="R992" i="7"/>
  <c r="Q992" i="7"/>
  <c r="P992" i="7"/>
  <c r="L992" i="7"/>
  <c r="K992" i="7"/>
  <c r="J992" i="7"/>
  <c r="I992" i="7"/>
  <c r="H992" i="7"/>
  <c r="G992" i="7"/>
  <c r="F992" i="7"/>
  <c r="E992" i="7"/>
  <c r="D992" i="7"/>
  <c r="C992" i="7"/>
  <c r="B992" i="7"/>
  <c r="A992" i="7"/>
  <c r="Z991" i="7"/>
  <c r="X991" i="7"/>
  <c r="W991" i="7"/>
  <c r="V991" i="7"/>
  <c r="U991" i="7"/>
  <c r="T991" i="7"/>
  <c r="S991" i="7"/>
  <c r="R991" i="7"/>
  <c r="Q991" i="7"/>
  <c r="P991" i="7"/>
  <c r="L991" i="7"/>
  <c r="K991" i="7"/>
  <c r="J991" i="7"/>
  <c r="I991" i="7"/>
  <c r="H991" i="7"/>
  <c r="G991" i="7"/>
  <c r="F991" i="7"/>
  <c r="E991" i="7"/>
  <c r="D991" i="7"/>
  <c r="C991" i="7"/>
  <c r="B991" i="7"/>
  <c r="A991" i="7"/>
  <c r="Z990" i="7"/>
  <c r="X990" i="7"/>
  <c r="W990" i="7"/>
  <c r="V990" i="7"/>
  <c r="U990" i="7"/>
  <c r="T990" i="7"/>
  <c r="S990" i="7"/>
  <c r="R990" i="7"/>
  <c r="Q990" i="7"/>
  <c r="P990" i="7"/>
  <c r="L990" i="7"/>
  <c r="K990" i="7"/>
  <c r="J990" i="7"/>
  <c r="I990" i="7"/>
  <c r="H990" i="7"/>
  <c r="G990" i="7"/>
  <c r="F990" i="7"/>
  <c r="E990" i="7"/>
  <c r="D990" i="7"/>
  <c r="C990" i="7"/>
  <c r="B990" i="7"/>
  <c r="A990" i="7"/>
  <c r="Z989" i="7"/>
  <c r="X989" i="7"/>
  <c r="W989" i="7"/>
  <c r="V989" i="7"/>
  <c r="U989" i="7"/>
  <c r="T989" i="7"/>
  <c r="S989" i="7"/>
  <c r="R989" i="7"/>
  <c r="Q989" i="7"/>
  <c r="P989" i="7"/>
  <c r="L989" i="7"/>
  <c r="K989" i="7"/>
  <c r="J989" i="7"/>
  <c r="I989" i="7"/>
  <c r="H989" i="7"/>
  <c r="G989" i="7"/>
  <c r="F989" i="7"/>
  <c r="E989" i="7"/>
  <c r="D989" i="7"/>
  <c r="C989" i="7"/>
  <c r="B989" i="7"/>
  <c r="A989" i="7"/>
  <c r="Z988" i="7"/>
  <c r="X988" i="7"/>
  <c r="W988" i="7"/>
  <c r="V988" i="7"/>
  <c r="U988" i="7"/>
  <c r="T988" i="7"/>
  <c r="S988" i="7"/>
  <c r="R988" i="7"/>
  <c r="Q988" i="7"/>
  <c r="P988" i="7"/>
  <c r="L988" i="7"/>
  <c r="K988" i="7"/>
  <c r="J988" i="7"/>
  <c r="I988" i="7"/>
  <c r="H988" i="7"/>
  <c r="G988" i="7"/>
  <c r="F988" i="7"/>
  <c r="E988" i="7"/>
  <c r="D988" i="7"/>
  <c r="C988" i="7"/>
  <c r="B988" i="7"/>
  <c r="A988" i="7"/>
  <c r="Z987" i="7"/>
  <c r="X987" i="7"/>
  <c r="W987" i="7"/>
  <c r="V987" i="7"/>
  <c r="U987" i="7"/>
  <c r="T987" i="7"/>
  <c r="S987" i="7"/>
  <c r="R987" i="7"/>
  <c r="Q987" i="7"/>
  <c r="P987" i="7"/>
  <c r="L987" i="7"/>
  <c r="K987" i="7"/>
  <c r="J987" i="7"/>
  <c r="I987" i="7"/>
  <c r="H987" i="7"/>
  <c r="G987" i="7"/>
  <c r="F987" i="7"/>
  <c r="E987" i="7"/>
  <c r="D987" i="7"/>
  <c r="C987" i="7"/>
  <c r="B987" i="7"/>
  <c r="A987" i="7"/>
  <c r="Z986" i="7"/>
  <c r="X986" i="7"/>
  <c r="W986" i="7"/>
  <c r="V986" i="7"/>
  <c r="U986" i="7"/>
  <c r="T986" i="7"/>
  <c r="S986" i="7"/>
  <c r="R986" i="7"/>
  <c r="Q986" i="7"/>
  <c r="P986" i="7"/>
  <c r="L986" i="7"/>
  <c r="K986" i="7"/>
  <c r="J986" i="7"/>
  <c r="I986" i="7"/>
  <c r="H986" i="7"/>
  <c r="G986" i="7"/>
  <c r="F986" i="7"/>
  <c r="E986" i="7"/>
  <c r="D986" i="7"/>
  <c r="C986" i="7"/>
  <c r="B986" i="7"/>
  <c r="A986" i="7"/>
  <c r="Z985" i="7"/>
  <c r="X985" i="7"/>
  <c r="W985" i="7"/>
  <c r="V985" i="7"/>
  <c r="U985" i="7"/>
  <c r="T985" i="7"/>
  <c r="S985" i="7"/>
  <c r="R985" i="7"/>
  <c r="Q985" i="7"/>
  <c r="P985" i="7"/>
  <c r="L985" i="7"/>
  <c r="K985" i="7"/>
  <c r="J985" i="7"/>
  <c r="I985" i="7"/>
  <c r="H985" i="7"/>
  <c r="G985" i="7"/>
  <c r="F985" i="7"/>
  <c r="E985" i="7"/>
  <c r="D985" i="7"/>
  <c r="C985" i="7"/>
  <c r="B985" i="7"/>
  <c r="A985" i="7"/>
  <c r="Z984" i="7"/>
  <c r="X984" i="7"/>
  <c r="W984" i="7"/>
  <c r="V984" i="7"/>
  <c r="U984" i="7"/>
  <c r="T984" i="7"/>
  <c r="S984" i="7"/>
  <c r="R984" i="7"/>
  <c r="Q984" i="7"/>
  <c r="P984" i="7"/>
  <c r="L984" i="7"/>
  <c r="K984" i="7"/>
  <c r="J984" i="7"/>
  <c r="I984" i="7"/>
  <c r="H984" i="7"/>
  <c r="G984" i="7"/>
  <c r="F984" i="7"/>
  <c r="E984" i="7"/>
  <c r="D984" i="7"/>
  <c r="C984" i="7"/>
  <c r="B984" i="7"/>
  <c r="A984" i="7"/>
  <c r="Z983" i="7"/>
  <c r="X983" i="7"/>
  <c r="W983" i="7"/>
  <c r="V983" i="7"/>
  <c r="U983" i="7"/>
  <c r="T983" i="7"/>
  <c r="S983" i="7"/>
  <c r="R983" i="7"/>
  <c r="Q983" i="7"/>
  <c r="P983" i="7"/>
  <c r="L983" i="7"/>
  <c r="K983" i="7"/>
  <c r="J983" i="7"/>
  <c r="I983" i="7"/>
  <c r="H983" i="7"/>
  <c r="G983" i="7"/>
  <c r="F983" i="7"/>
  <c r="E983" i="7"/>
  <c r="D983" i="7"/>
  <c r="C983" i="7"/>
  <c r="B983" i="7"/>
  <c r="A983" i="7"/>
  <c r="Z982" i="7"/>
  <c r="X982" i="7"/>
  <c r="W982" i="7"/>
  <c r="V982" i="7"/>
  <c r="U982" i="7"/>
  <c r="T982" i="7"/>
  <c r="S982" i="7"/>
  <c r="R982" i="7"/>
  <c r="Q982" i="7"/>
  <c r="P982" i="7"/>
  <c r="L982" i="7"/>
  <c r="K982" i="7"/>
  <c r="J982" i="7"/>
  <c r="I982" i="7"/>
  <c r="H982" i="7"/>
  <c r="G982" i="7"/>
  <c r="F982" i="7"/>
  <c r="E982" i="7"/>
  <c r="D982" i="7"/>
  <c r="C982" i="7"/>
  <c r="B982" i="7"/>
  <c r="A982" i="7"/>
  <c r="Z981" i="7"/>
  <c r="X981" i="7"/>
  <c r="W981" i="7"/>
  <c r="V981" i="7"/>
  <c r="U981" i="7"/>
  <c r="T981" i="7"/>
  <c r="S981" i="7"/>
  <c r="R981" i="7"/>
  <c r="Q981" i="7"/>
  <c r="P981" i="7"/>
  <c r="L981" i="7"/>
  <c r="K981" i="7"/>
  <c r="J981" i="7"/>
  <c r="I981" i="7"/>
  <c r="H981" i="7"/>
  <c r="G981" i="7"/>
  <c r="F981" i="7"/>
  <c r="E981" i="7"/>
  <c r="D981" i="7"/>
  <c r="C981" i="7"/>
  <c r="B981" i="7"/>
  <c r="A981" i="7"/>
  <c r="Z980" i="7"/>
  <c r="X980" i="7"/>
  <c r="W980" i="7"/>
  <c r="V980" i="7"/>
  <c r="U980" i="7"/>
  <c r="T980" i="7"/>
  <c r="S980" i="7"/>
  <c r="R980" i="7"/>
  <c r="Q980" i="7"/>
  <c r="P980" i="7"/>
  <c r="L980" i="7"/>
  <c r="K980" i="7"/>
  <c r="J980" i="7"/>
  <c r="I980" i="7"/>
  <c r="H980" i="7"/>
  <c r="G980" i="7"/>
  <c r="F980" i="7"/>
  <c r="E980" i="7"/>
  <c r="D980" i="7"/>
  <c r="C980" i="7"/>
  <c r="B980" i="7"/>
  <c r="A980" i="7"/>
  <c r="Z979" i="7"/>
  <c r="X979" i="7"/>
  <c r="W979" i="7"/>
  <c r="V979" i="7"/>
  <c r="U979" i="7"/>
  <c r="T979" i="7"/>
  <c r="S979" i="7"/>
  <c r="R979" i="7"/>
  <c r="Q979" i="7"/>
  <c r="P979" i="7"/>
  <c r="L979" i="7"/>
  <c r="K979" i="7"/>
  <c r="J979" i="7"/>
  <c r="I979" i="7"/>
  <c r="H979" i="7"/>
  <c r="G979" i="7"/>
  <c r="F979" i="7"/>
  <c r="E979" i="7"/>
  <c r="D979" i="7"/>
  <c r="C979" i="7"/>
  <c r="B979" i="7"/>
  <c r="A979" i="7"/>
  <c r="Z978" i="7"/>
  <c r="X978" i="7"/>
  <c r="W978" i="7"/>
  <c r="V978" i="7"/>
  <c r="U978" i="7"/>
  <c r="T978" i="7"/>
  <c r="S978" i="7"/>
  <c r="R978" i="7"/>
  <c r="Q978" i="7"/>
  <c r="P978" i="7"/>
  <c r="L978" i="7"/>
  <c r="K978" i="7"/>
  <c r="J978" i="7"/>
  <c r="I978" i="7"/>
  <c r="H978" i="7"/>
  <c r="G978" i="7"/>
  <c r="F978" i="7"/>
  <c r="E978" i="7"/>
  <c r="D978" i="7"/>
  <c r="C978" i="7"/>
  <c r="B978" i="7"/>
  <c r="A978" i="7"/>
  <c r="Z977" i="7"/>
  <c r="X977" i="7"/>
  <c r="W977" i="7"/>
  <c r="V977" i="7"/>
  <c r="U977" i="7"/>
  <c r="T977" i="7"/>
  <c r="S977" i="7"/>
  <c r="R977" i="7"/>
  <c r="Q977" i="7"/>
  <c r="P977" i="7"/>
  <c r="L977" i="7"/>
  <c r="K977" i="7"/>
  <c r="J977" i="7"/>
  <c r="I977" i="7"/>
  <c r="H977" i="7"/>
  <c r="G977" i="7"/>
  <c r="F977" i="7"/>
  <c r="E977" i="7"/>
  <c r="D977" i="7"/>
  <c r="C977" i="7"/>
  <c r="B977" i="7"/>
  <c r="A977" i="7"/>
  <c r="Z976" i="7"/>
  <c r="X976" i="7"/>
  <c r="W976" i="7"/>
  <c r="V976" i="7"/>
  <c r="U976" i="7"/>
  <c r="T976" i="7"/>
  <c r="S976" i="7"/>
  <c r="R976" i="7"/>
  <c r="Q976" i="7"/>
  <c r="P976" i="7"/>
  <c r="L976" i="7"/>
  <c r="K976" i="7"/>
  <c r="J976" i="7"/>
  <c r="I976" i="7"/>
  <c r="H976" i="7"/>
  <c r="G976" i="7"/>
  <c r="F976" i="7"/>
  <c r="E976" i="7"/>
  <c r="D976" i="7"/>
  <c r="C976" i="7"/>
  <c r="B976" i="7"/>
  <c r="A976" i="7"/>
  <c r="Z975" i="7"/>
  <c r="X975" i="7"/>
  <c r="W975" i="7"/>
  <c r="V975" i="7"/>
  <c r="U975" i="7"/>
  <c r="T975" i="7"/>
  <c r="S975" i="7"/>
  <c r="R975" i="7"/>
  <c r="Q975" i="7"/>
  <c r="P975" i="7"/>
  <c r="L975" i="7"/>
  <c r="K975" i="7"/>
  <c r="J975" i="7"/>
  <c r="I975" i="7"/>
  <c r="H975" i="7"/>
  <c r="G975" i="7"/>
  <c r="F975" i="7"/>
  <c r="E975" i="7"/>
  <c r="D975" i="7"/>
  <c r="C975" i="7"/>
  <c r="B975" i="7"/>
  <c r="A975" i="7"/>
  <c r="Z974" i="7"/>
  <c r="X974" i="7"/>
  <c r="W974" i="7"/>
  <c r="V974" i="7"/>
  <c r="U974" i="7"/>
  <c r="T974" i="7"/>
  <c r="S974" i="7"/>
  <c r="R974" i="7"/>
  <c r="Q974" i="7"/>
  <c r="P974" i="7"/>
  <c r="L974" i="7"/>
  <c r="K974" i="7"/>
  <c r="J974" i="7"/>
  <c r="I974" i="7"/>
  <c r="H974" i="7"/>
  <c r="G974" i="7"/>
  <c r="F974" i="7"/>
  <c r="E974" i="7"/>
  <c r="D974" i="7"/>
  <c r="C974" i="7"/>
  <c r="B974" i="7"/>
  <c r="A974" i="7"/>
  <c r="Z973" i="7"/>
  <c r="X973" i="7"/>
  <c r="W973" i="7"/>
  <c r="V973" i="7"/>
  <c r="U973" i="7"/>
  <c r="T973" i="7"/>
  <c r="S973" i="7"/>
  <c r="R973" i="7"/>
  <c r="Q973" i="7"/>
  <c r="P973" i="7"/>
  <c r="L973" i="7"/>
  <c r="K973" i="7"/>
  <c r="J973" i="7"/>
  <c r="I973" i="7"/>
  <c r="H973" i="7"/>
  <c r="G973" i="7"/>
  <c r="F973" i="7"/>
  <c r="E973" i="7"/>
  <c r="D973" i="7"/>
  <c r="C973" i="7"/>
  <c r="B973" i="7"/>
  <c r="A973" i="7"/>
  <c r="Z972" i="7"/>
  <c r="X972" i="7"/>
  <c r="W972" i="7"/>
  <c r="V972" i="7"/>
  <c r="U972" i="7"/>
  <c r="T972" i="7"/>
  <c r="S972" i="7"/>
  <c r="R972" i="7"/>
  <c r="Q972" i="7"/>
  <c r="P972" i="7"/>
  <c r="L972" i="7"/>
  <c r="K972" i="7"/>
  <c r="J972" i="7"/>
  <c r="I972" i="7"/>
  <c r="H972" i="7"/>
  <c r="G972" i="7"/>
  <c r="F972" i="7"/>
  <c r="E972" i="7"/>
  <c r="D972" i="7"/>
  <c r="C972" i="7"/>
  <c r="B972" i="7"/>
  <c r="A972" i="7"/>
  <c r="Z971" i="7"/>
  <c r="X971" i="7"/>
  <c r="W971" i="7"/>
  <c r="V971" i="7"/>
  <c r="U971" i="7"/>
  <c r="T971" i="7"/>
  <c r="S971" i="7"/>
  <c r="R971" i="7"/>
  <c r="Q971" i="7"/>
  <c r="P971" i="7"/>
  <c r="L971" i="7"/>
  <c r="K971" i="7"/>
  <c r="J971" i="7"/>
  <c r="I971" i="7"/>
  <c r="H971" i="7"/>
  <c r="G971" i="7"/>
  <c r="F971" i="7"/>
  <c r="E971" i="7"/>
  <c r="D971" i="7"/>
  <c r="C971" i="7"/>
  <c r="B971" i="7"/>
  <c r="A971" i="7"/>
  <c r="Z970" i="7"/>
  <c r="X970" i="7"/>
  <c r="W970" i="7"/>
  <c r="V970" i="7"/>
  <c r="U970" i="7"/>
  <c r="T970" i="7"/>
  <c r="S970" i="7"/>
  <c r="R970" i="7"/>
  <c r="Q970" i="7"/>
  <c r="P970" i="7"/>
  <c r="L970" i="7"/>
  <c r="K970" i="7"/>
  <c r="J970" i="7"/>
  <c r="I970" i="7"/>
  <c r="H970" i="7"/>
  <c r="G970" i="7"/>
  <c r="F970" i="7"/>
  <c r="E970" i="7"/>
  <c r="D970" i="7"/>
  <c r="C970" i="7"/>
  <c r="B970" i="7"/>
  <c r="A970" i="7"/>
  <c r="Z969" i="7"/>
  <c r="X969" i="7"/>
  <c r="W969" i="7"/>
  <c r="V969" i="7"/>
  <c r="U969" i="7"/>
  <c r="T969" i="7"/>
  <c r="S969" i="7"/>
  <c r="R969" i="7"/>
  <c r="Q969" i="7"/>
  <c r="P969" i="7"/>
  <c r="L969" i="7"/>
  <c r="K969" i="7"/>
  <c r="J969" i="7"/>
  <c r="I969" i="7"/>
  <c r="H969" i="7"/>
  <c r="G969" i="7"/>
  <c r="F969" i="7"/>
  <c r="E969" i="7"/>
  <c r="D969" i="7"/>
  <c r="C969" i="7"/>
  <c r="B969" i="7"/>
  <c r="A969" i="7"/>
  <c r="Z968" i="7"/>
  <c r="X968" i="7"/>
  <c r="W968" i="7"/>
  <c r="V968" i="7"/>
  <c r="U968" i="7"/>
  <c r="T968" i="7"/>
  <c r="S968" i="7"/>
  <c r="R968" i="7"/>
  <c r="Q968" i="7"/>
  <c r="P968" i="7"/>
  <c r="L968" i="7"/>
  <c r="K968" i="7"/>
  <c r="J968" i="7"/>
  <c r="I968" i="7"/>
  <c r="H968" i="7"/>
  <c r="G968" i="7"/>
  <c r="F968" i="7"/>
  <c r="E968" i="7"/>
  <c r="D968" i="7"/>
  <c r="C968" i="7"/>
  <c r="B968" i="7"/>
  <c r="A968" i="7"/>
  <c r="Z967" i="7"/>
  <c r="X967" i="7"/>
  <c r="W967" i="7"/>
  <c r="V967" i="7"/>
  <c r="U967" i="7"/>
  <c r="T967" i="7"/>
  <c r="S967" i="7"/>
  <c r="R967" i="7"/>
  <c r="Q967" i="7"/>
  <c r="P967" i="7"/>
  <c r="L967" i="7"/>
  <c r="K967" i="7"/>
  <c r="J967" i="7"/>
  <c r="I967" i="7"/>
  <c r="H967" i="7"/>
  <c r="G967" i="7"/>
  <c r="F967" i="7"/>
  <c r="E967" i="7"/>
  <c r="D967" i="7"/>
  <c r="C967" i="7"/>
  <c r="B967" i="7"/>
  <c r="A967" i="7"/>
  <c r="Z966" i="7"/>
  <c r="X966" i="7"/>
  <c r="W966" i="7"/>
  <c r="V966" i="7"/>
  <c r="U966" i="7"/>
  <c r="T966" i="7"/>
  <c r="S966" i="7"/>
  <c r="R966" i="7"/>
  <c r="Q966" i="7"/>
  <c r="P966" i="7"/>
  <c r="L966" i="7"/>
  <c r="K966" i="7"/>
  <c r="J966" i="7"/>
  <c r="I966" i="7"/>
  <c r="H966" i="7"/>
  <c r="G966" i="7"/>
  <c r="F966" i="7"/>
  <c r="E966" i="7"/>
  <c r="D966" i="7"/>
  <c r="C966" i="7"/>
  <c r="B966" i="7"/>
  <c r="A966" i="7"/>
  <c r="Z965" i="7"/>
  <c r="X965" i="7"/>
  <c r="W965" i="7"/>
  <c r="V965" i="7"/>
  <c r="U965" i="7"/>
  <c r="T965" i="7"/>
  <c r="S965" i="7"/>
  <c r="R965" i="7"/>
  <c r="Q965" i="7"/>
  <c r="P965" i="7"/>
  <c r="L965" i="7"/>
  <c r="K965" i="7"/>
  <c r="J965" i="7"/>
  <c r="I965" i="7"/>
  <c r="H965" i="7"/>
  <c r="G965" i="7"/>
  <c r="F965" i="7"/>
  <c r="E965" i="7"/>
  <c r="D965" i="7"/>
  <c r="C965" i="7"/>
  <c r="B965" i="7"/>
  <c r="A965" i="7"/>
  <c r="Z964" i="7"/>
  <c r="X964" i="7"/>
  <c r="W964" i="7"/>
  <c r="V964" i="7"/>
  <c r="U964" i="7"/>
  <c r="T964" i="7"/>
  <c r="S964" i="7"/>
  <c r="R964" i="7"/>
  <c r="Q964" i="7"/>
  <c r="P964" i="7"/>
  <c r="L964" i="7"/>
  <c r="K964" i="7"/>
  <c r="J964" i="7"/>
  <c r="I964" i="7"/>
  <c r="H964" i="7"/>
  <c r="G964" i="7"/>
  <c r="F964" i="7"/>
  <c r="E964" i="7"/>
  <c r="D964" i="7"/>
  <c r="C964" i="7"/>
  <c r="B964" i="7"/>
  <c r="A964" i="7"/>
  <c r="Z963" i="7"/>
  <c r="X963" i="7"/>
  <c r="W963" i="7"/>
  <c r="V963" i="7"/>
  <c r="U963" i="7"/>
  <c r="T963" i="7"/>
  <c r="S963" i="7"/>
  <c r="R963" i="7"/>
  <c r="Q963" i="7"/>
  <c r="P963" i="7"/>
  <c r="L963" i="7"/>
  <c r="K963" i="7"/>
  <c r="J963" i="7"/>
  <c r="I963" i="7"/>
  <c r="H963" i="7"/>
  <c r="G963" i="7"/>
  <c r="F963" i="7"/>
  <c r="E963" i="7"/>
  <c r="D963" i="7"/>
  <c r="C963" i="7"/>
  <c r="B963" i="7"/>
  <c r="A963" i="7"/>
  <c r="Z962" i="7"/>
  <c r="X962" i="7"/>
  <c r="W962" i="7"/>
  <c r="V962" i="7"/>
  <c r="U962" i="7"/>
  <c r="T962" i="7"/>
  <c r="S962" i="7"/>
  <c r="R962" i="7"/>
  <c r="Q962" i="7"/>
  <c r="P962" i="7"/>
  <c r="L962" i="7"/>
  <c r="K962" i="7"/>
  <c r="J962" i="7"/>
  <c r="I962" i="7"/>
  <c r="H962" i="7"/>
  <c r="G962" i="7"/>
  <c r="F962" i="7"/>
  <c r="E962" i="7"/>
  <c r="D962" i="7"/>
  <c r="C962" i="7"/>
  <c r="B962" i="7"/>
  <c r="A962" i="7"/>
  <c r="Z961" i="7"/>
  <c r="X961" i="7"/>
  <c r="W961" i="7"/>
  <c r="V961" i="7"/>
  <c r="U961" i="7"/>
  <c r="T961" i="7"/>
  <c r="S961" i="7"/>
  <c r="R961" i="7"/>
  <c r="Q961" i="7"/>
  <c r="P961" i="7"/>
  <c r="L961" i="7"/>
  <c r="K961" i="7"/>
  <c r="J961" i="7"/>
  <c r="I961" i="7"/>
  <c r="H961" i="7"/>
  <c r="G961" i="7"/>
  <c r="F961" i="7"/>
  <c r="E961" i="7"/>
  <c r="D961" i="7"/>
  <c r="C961" i="7"/>
  <c r="B961" i="7"/>
  <c r="A961" i="7"/>
  <c r="Z960" i="7"/>
  <c r="X960" i="7"/>
  <c r="W960" i="7"/>
  <c r="V960" i="7"/>
  <c r="U960" i="7"/>
  <c r="T960" i="7"/>
  <c r="S960" i="7"/>
  <c r="R960" i="7"/>
  <c r="Q960" i="7"/>
  <c r="P960" i="7"/>
  <c r="L960" i="7"/>
  <c r="K960" i="7"/>
  <c r="J960" i="7"/>
  <c r="I960" i="7"/>
  <c r="H960" i="7"/>
  <c r="G960" i="7"/>
  <c r="F960" i="7"/>
  <c r="E960" i="7"/>
  <c r="D960" i="7"/>
  <c r="C960" i="7"/>
  <c r="B960" i="7"/>
  <c r="A960" i="7"/>
  <c r="Z959" i="7"/>
  <c r="X959" i="7"/>
  <c r="W959" i="7"/>
  <c r="V959" i="7"/>
  <c r="U959" i="7"/>
  <c r="T959" i="7"/>
  <c r="S959" i="7"/>
  <c r="R959" i="7"/>
  <c r="Q959" i="7"/>
  <c r="P959" i="7"/>
  <c r="L959" i="7"/>
  <c r="K959" i="7"/>
  <c r="J959" i="7"/>
  <c r="I959" i="7"/>
  <c r="H959" i="7"/>
  <c r="G959" i="7"/>
  <c r="F959" i="7"/>
  <c r="E959" i="7"/>
  <c r="D959" i="7"/>
  <c r="C959" i="7"/>
  <c r="B959" i="7"/>
  <c r="A959" i="7"/>
  <c r="Z958" i="7"/>
  <c r="X958" i="7"/>
  <c r="W958" i="7"/>
  <c r="V958" i="7"/>
  <c r="U958" i="7"/>
  <c r="T958" i="7"/>
  <c r="S958" i="7"/>
  <c r="R958" i="7"/>
  <c r="Q958" i="7"/>
  <c r="P958" i="7"/>
  <c r="L958" i="7"/>
  <c r="K958" i="7"/>
  <c r="J958" i="7"/>
  <c r="I958" i="7"/>
  <c r="H958" i="7"/>
  <c r="G958" i="7"/>
  <c r="F958" i="7"/>
  <c r="E958" i="7"/>
  <c r="D958" i="7"/>
  <c r="C958" i="7"/>
  <c r="B958" i="7"/>
  <c r="A958" i="7"/>
  <c r="Z957" i="7"/>
  <c r="X957" i="7"/>
  <c r="W957" i="7"/>
  <c r="V957" i="7"/>
  <c r="U957" i="7"/>
  <c r="T957" i="7"/>
  <c r="S957" i="7"/>
  <c r="R957" i="7"/>
  <c r="Q957" i="7"/>
  <c r="P957" i="7"/>
  <c r="L957" i="7"/>
  <c r="K957" i="7"/>
  <c r="J957" i="7"/>
  <c r="I957" i="7"/>
  <c r="H957" i="7"/>
  <c r="G957" i="7"/>
  <c r="F957" i="7"/>
  <c r="E957" i="7"/>
  <c r="D957" i="7"/>
  <c r="C957" i="7"/>
  <c r="B957" i="7"/>
  <c r="A957" i="7"/>
  <c r="Z956" i="7"/>
  <c r="X956" i="7"/>
  <c r="W956" i="7"/>
  <c r="V956" i="7"/>
  <c r="U956" i="7"/>
  <c r="T956" i="7"/>
  <c r="S956" i="7"/>
  <c r="R956" i="7"/>
  <c r="Q956" i="7"/>
  <c r="P956" i="7"/>
  <c r="L956" i="7"/>
  <c r="K956" i="7"/>
  <c r="J956" i="7"/>
  <c r="I956" i="7"/>
  <c r="H956" i="7"/>
  <c r="G956" i="7"/>
  <c r="F956" i="7"/>
  <c r="E956" i="7"/>
  <c r="D956" i="7"/>
  <c r="C956" i="7"/>
  <c r="B956" i="7"/>
  <c r="A956" i="7"/>
  <c r="Z955" i="7"/>
  <c r="X955" i="7"/>
  <c r="W955" i="7"/>
  <c r="V955" i="7"/>
  <c r="U955" i="7"/>
  <c r="T955" i="7"/>
  <c r="S955" i="7"/>
  <c r="R955" i="7"/>
  <c r="Q955" i="7"/>
  <c r="P955" i="7"/>
  <c r="L955" i="7"/>
  <c r="K955" i="7"/>
  <c r="J955" i="7"/>
  <c r="I955" i="7"/>
  <c r="H955" i="7"/>
  <c r="G955" i="7"/>
  <c r="F955" i="7"/>
  <c r="E955" i="7"/>
  <c r="D955" i="7"/>
  <c r="C955" i="7"/>
  <c r="B955" i="7"/>
  <c r="A955" i="7"/>
  <c r="Z954" i="7"/>
  <c r="X954" i="7"/>
  <c r="W954" i="7"/>
  <c r="V954" i="7"/>
  <c r="U954" i="7"/>
  <c r="T954" i="7"/>
  <c r="S954" i="7"/>
  <c r="R954" i="7"/>
  <c r="Q954" i="7"/>
  <c r="P954" i="7"/>
  <c r="L954" i="7"/>
  <c r="K954" i="7"/>
  <c r="J954" i="7"/>
  <c r="I954" i="7"/>
  <c r="H954" i="7"/>
  <c r="G954" i="7"/>
  <c r="F954" i="7"/>
  <c r="E954" i="7"/>
  <c r="D954" i="7"/>
  <c r="C954" i="7"/>
  <c r="B954" i="7"/>
  <c r="A954" i="7"/>
  <c r="Z953" i="7"/>
  <c r="X953" i="7"/>
  <c r="W953" i="7"/>
  <c r="V953" i="7"/>
  <c r="U953" i="7"/>
  <c r="T953" i="7"/>
  <c r="S953" i="7"/>
  <c r="R953" i="7"/>
  <c r="Q953" i="7"/>
  <c r="P953" i="7"/>
  <c r="L953" i="7"/>
  <c r="K953" i="7"/>
  <c r="J953" i="7"/>
  <c r="I953" i="7"/>
  <c r="H953" i="7"/>
  <c r="G953" i="7"/>
  <c r="F953" i="7"/>
  <c r="E953" i="7"/>
  <c r="D953" i="7"/>
  <c r="C953" i="7"/>
  <c r="B953" i="7"/>
  <c r="A953" i="7"/>
  <c r="Z952" i="7"/>
  <c r="X952" i="7"/>
  <c r="W952" i="7"/>
  <c r="V952" i="7"/>
  <c r="U952" i="7"/>
  <c r="T952" i="7"/>
  <c r="S952" i="7"/>
  <c r="R952" i="7"/>
  <c r="Q952" i="7"/>
  <c r="P952" i="7"/>
  <c r="L952" i="7"/>
  <c r="K952" i="7"/>
  <c r="J952" i="7"/>
  <c r="I952" i="7"/>
  <c r="H952" i="7"/>
  <c r="G952" i="7"/>
  <c r="F952" i="7"/>
  <c r="E952" i="7"/>
  <c r="D952" i="7"/>
  <c r="C952" i="7"/>
  <c r="B952" i="7"/>
  <c r="A952" i="7"/>
  <c r="Z951" i="7"/>
  <c r="X951" i="7"/>
  <c r="W951" i="7"/>
  <c r="V951" i="7"/>
  <c r="U951" i="7"/>
  <c r="T951" i="7"/>
  <c r="S951" i="7"/>
  <c r="R951" i="7"/>
  <c r="Q951" i="7"/>
  <c r="P951" i="7"/>
  <c r="L951" i="7"/>
  <c r="K951" i="7"/>
  <c r="J951" i="7"/>
  <c r="I951" i="7"/>
  <c r="H951" i="7"/>
  <c r="G951" i="7"/>
  <c r="F951" i="7"/>
  <c r="E951" i="7"/>
  <c r="D951" i="7"/>
  <c r="C951" i="7"/>
  <c r="B951" i="7"/>
  <c r="A951" i="7"/>
  <c r="Z950" i="7"/>
  <c r="X950" i="7"/>
  <c r="W950" i="7"/>
  <c r="V950" i="7"/>
  <c r="U950" i="7"/>
  <c r="T950" i="7"/>
  <c r="S950" i="7"/>
  <c r="R950" i="7"/>
  <c r="Q950" i="7"/>
  <c r="P950" i="7"/>
  <c r="L950" i="7"/>
  <c r="K950" i="7"/>
  <c r="J950" i="7"/>
  <c r="I950" i="7"/>
  <c r="H950" i="7"/>
  <c r="G950" i="7"/>
  <c r="F950" i="7"/>
  <c r="E950" i="7"/>
  <c r="D950" i="7"/>
  <c r="C950" i="7"/>
  <c r="B950" i="7"/>
  <c r="A950" i="7"/>
  <c r="Z949" i="7"/>
  <c r="X949" i="7"/>
  <c r="W949" i="7"/>
  <c r="V949" i="7"/>
  <c r="U949" i="7"/>
  <c r="T949" i="7"/>
  <c r="S949" i="7"/>
  <c r="R949" i="7"/>
  <c r="Q949" i="7"/>
  <c r="P949" i="7"/>
  <c r="L949" i="7"/>
  <c r="K949" i="7"/>
  <c r="J949" i="7"/>
  <c r="I949" i="7"/>
  <c r="H949" i="7"/>
  <c r="G949" i="7"/>
  <c r="F949" i="7"/>
  <c r="E949" i="7"/>
  <c r="D949" i="7"/>
  <c r="C949" i="7"/>
  <c r="B949" i="7"/>
  <c r="A949" i="7"/>
  <c r="Z948" i="7"/>
  <c r="X948" i="7"/>
  <c r="W948" i="7"/>
  <c r="V948" i="7"/>
  <c r="U948" i="7"/>
  <c r="T948" i="7"/>
  <c r="S948" i="7"/>
  <c r="R948" i="7"/>
  <c r="Q948" i="7"/>
  <c r="P948" i="7"/>
  <c r="L948" i="7"/>
  <c r="K948" i="7"/>
  <c r="J948" i="7"/>
  <c r="I948" i="7"/>
  <c r="H948" i="7"/>
  <c r="G948" i="7"/>
  <c r="F948" i="7"/>
  <c r="E948" i="7"/>
  <c r="D948" i="7"/>
  <c r="C948" i="7"/>
  <c r="B948" i="7"/>
  <c r="A948" i="7"/>
  <c r="Z947" i="7"/>
  <c r="X947" i="7"/>
  <c r="W947" i="7"/>
  <c r="V947" i="7"/>
  <c r="U947" i="7"/>
  <c r="T947" i="7"/>
  <c r="S947" i="7"/>
  <c r="R947" i="7"/>
  <c r="Q947" i="7"/>
  <c r="P947" i="7"/>
  <c r="L947" i="7"/>
  <c r="K947" i="7"/>
  <c r="J947" i="7"/>
  <c r="I947" i="7"/>
  <c r="H947" i="7"/>
  <c r="G947" i="7"/>
  <c r="F947" i="7"/>
  <c r="E947" i="7"/>
  <c r="D947" i="7"/>
  <c r="C947" i="7"/>
  <c r="B947" i="7"/>
  <c r="A947" i="7"/>
  <c r="Z946" i="7"/>
  <c r="X946" i="7"/>
  <c r="W946" i="7"/>
  <c r="V946" i="7"/>
  <c r="U946" i="7"/>
  <c r="T946" i="7"/>
  <c r="S946" i="7"/>
  <c r="R946" i="7"/>
  <c r="Q946" i="7"/>
  <c r="P946" i="7"/>
  <c r="L946" i="7"/>
  <c r="K946" i="7"/>
  <c r="J946" i="7"/>
  <c r="I946" i="7"/>
  <c r="H946" i="7"/>
  <c r="G946" i="7"/>
  <c r="F946" i="7"/>
  <c r="E946" i="7"/>
  <c r="D946" i="7"/>
  <c r="C946" i="7"/>
  <c r="B946" i="7"/>
  <c r="A946" i="7"/>
  <c r="Z945" i="7"/>
  <c r="X945" i="7"/>
  <c r="W945" i="7"/>
  <c r="V945" i="7"/>
  <c r="U945" i="7"/>
  <c r="T945" i="7"/>
  <c r="S945" i="7"/>
  <c r="R945" i="7"/>
  <c r="Q945" i="7"/>
  <c r="P945" i="7"/>
  <c r="L945" i="7"/>
  <c r="K945" i="7"/>
  <c r="J945" i="7"/>
  <c r="I945" i="7"/>
  <c r="H945" i="7"/>
  <c r="G945" i="7"/>
  <c r="F945" i="7"/>
  <c r="E945" i="7"/>
  <c r="D945" i="7"/>
  <c r="C945" i="7"/>
  <c r="B945" i="7"/>
  <c r="A945" i="7"/>
  <c r="Z944" i="7"/>
  <c r="X944" i="7"/>
  <c r="W944" i="7"/>
  <c r="V944" i="7"/>
  <c r="U944" i="7"/>
  <c r="T944" i="7"/>
  <c r="S944" i="7"/>
  <c r="R944" i="7"/>
  <c r="Q944" i="7"/>
  <c r="P944" i="7"/>
  <c r="L944" i="7"/>
  <c r="K944" i="7"/>
  <c r="J944" i="7"/>
  <c r="I944" i="7"/>
  <c r="H944" i="7"/>
  <c r="G944" i="7"/>
  <c r="F944" i="7"/>
  <c r="E944" i="7"/>
  <c r="D944" i="7"/>
  <c r="C944" i="7"/>
  <c r="B944" i="7"/>
  <c r="A944" i="7"/>
  <c r="Z943" i="7"/>
  <c r="X943" i="7"/>
  <c r="W943" i="7"/>
  <c r="V943" i="7"/>
  <c r="U943" i="7"/>
  <c r="T943" i="7"/>
  <c r="S943" i="7"/>
  <c r="R943" i="7"/>
  <c r="Q943" i="7"/>
  <c r="P943" i="7"/>
  <c r="L943" i="7"/>
  <c r="K943" i="7"/>
  <c r="J943" i="7"/>
  <c r="I943" i="7"/>
  <c r="H943" i="7"/>
  <c r="G943" i="7"/>
  <c r="F943" i="7"/>
  <c r="E943" i="7"/>
  <c r="D943" i="7"/>
  <c r="C943" i="7"/>
  <c r="B943" i="7"/>
  <c r="A943" i="7"/>
  <c r="Z942" i="7"/>
  <c r="X942" i="7"/>
  <c r="W942" i="7"/>
  <c r="V942" i="7"/>
  <c r="U942" i="7"/>
  <c r="T942" i="7"/>
  <c r="S942" i="7"/>
  <c r="R942" i="7"/>
  <c r="Q942" i="7"/>
  <c r="P942" i="7"/>
  <c r="L942" i="7"/>
  <c r="K942" i="7"/>
  <c r="J942" i="7"/>
  <c r="I942" i="7"/>
  <c r="H942" i="7"/>
  <c r="G942" i="7"/>
  <c r="F942" i="7"/>
  <c r="E942" i="7"/>
  <c r="D942" i="7"/>
  <c r="C942" i="7"/>
  <c r="B942" i="7"/>
  <c r="A942" i="7"/>
  <c r="Z941" i="7"/>
  <c r="X941" i="7"/>
  <c r="W941" i="7"/>
  <c r="V941" i="7"/>
  <c r="U941" i="7"/>
  <c r="T941" i="7"/>
  <c r="S941" i="7"/>
  <c r="R941" i="7"/>
  <c r="Q941" i="7"/>
  <c r="P941" i="7"/>
  <c r="L941" i="7"/>
  <c r="K941" i="7"/>
  <c r="J941" i="7"/>
  <c r="I941" i="7"/>
  <c r="H941" i="7"/>
  <c r="G941" i="7"/>
  <c r="F941" i="7"/>
  <c r="E941" i="7"/>
  <c r="D941" i="7"/>
  <c r="C941" i="7"/>
  <c r="B941" i="7"/>
  <c r="A941" i="7"/>
  <c r="Z940" i="7"/>
  <c r="X940" i="7"/>
  <c r="W940" i="7"/>
  <c r="V940" i="7"/>
  <c r="U940" i="7"/>
  <c r="T940" i="7"/>
  <c r="S940" i="7"/>
  <c r="R940" i="7"/>
  <c r="Q940" i="7"/>
  <c r="P940" i="7"/>
  <c r="L940" i="7"/>
  <c r="K940" i="7"/>
  <c r="J940" i="7"/>
  <c r="I940" i="7"/>
  <c r="H940" i="7"/>
  <c r="G940" i="7"/>
  <c r="F940" i="7"/>
  <c r="E940" i="7"/>
  <c r="D940" i="7"/>
  <c r="C940" i="7"/>
  <c r="B940" i="7"/>
  <c r="A940" i="7"/>
  <c r="Z939" i="7"/>
  <c r="X939" i="7"/>
  <c r="W939" i="7"/>
  <c r="V939" i="7"/>
  <c r="U939" i="7"/>
  <c r="T939" i="7"/>
  <c r="S939" i="7"/>
  <c r="R939" i="7"/>
  <c r="Q939" i="7"/>
  <c r="P939" i="7"/>
  <c r="L939" i="7"/>
  <c r="K939" i="7"/>
  <c r="J939" i="7"/>
  <c r="I939" i="7"/>
  <c r="H939" i="7"/>
  <c r="G939" i="7"/>
  <c r="F939" i="7"/>
  <c r="E939" i="7"/>
  <c r="D939" i="7"/>
  <c r="C939" i="7"/>
  <c r="B939" i="7"/>
  <c r="A939" i="7"/>
  <c r="Z938" i="7"/>
  <c r="X938" i="7"/>
  <c r="W938" i="7"/>
  <c r="V938" i="7"/>
  <c r="U938" i="7"/>
  <c r="T938" i="7"/>
  <c r="S938" i="7"/>
  <c r="R938" i="7"/>
  <c r="Q938" i="7"/>
  <c r="P938" i="7"/>
  <c r="L938" i="7"/>
  <c r="K938" i="7"/>
  <c r="J938" i="7"/>
  <c r="I938" i="7"/>
  <c r="H938" i="7"/>
  <c r="G938" i="7"/>
  <c r="F938" i="7"/>
  <c r="E938" i="7"/>
  <c r="D938" i="7"/>
  <c r="C938" i="7"/>
  <c r="B938" i="7"/>
  <c r="A938" i="7"/>
  <c r="Z937" i="7"/>
  <c r="X937" i="7"/>
  <c r="W937" i="7"/>
  <c r="V937" i="7"/>
  <c r="U937" i="7"/>
  <c r="T937" i="7"/>
  <c r="S937" i="7"/>
  <c r="R937" i="7"/>
  <c r="Q937" i="7"/>
  <c r="P937" i="7"/>
  <c r="L937" i="7"/>
  <c r="K937" i="7"/>
  <c r="J937" i="7"/>
  <c r="I937" i="7"/>
  <c r="H937" i="7"/>
  <c r="G937" i="7"/>
  <c r="F937" i="7"/>
  <c r="E937" i="7"/>
  <c r="D937" i="7"/>
  <c r="C937" i="7"/>
  <c r="B937" i="7"/>
  <c r="A937" i="7"/>
  <c r="Z936" i="7"/>
  <c r="X936" i="7"/>
  <c r="W936" i="7"/>
  <c r="V936" i="7"/>
  <c r="U936" i="7"/>
  <c r="T936" i="7"/>
  <c r="S936" i="7"/>
  <c r="R936" i="7"/>
  <c r="Q936" i="7"/>
  <c r="P936" i="7"/>
  <c r="L936" i="7"/>
  <c r="K936" i="7"/>
  <c r="J936" i="7"/>
  <c r="I936" i="7"/>
  <c r="H936" i="7"/>
  <c r="G936" i="7"/>
  <c r="F936" i="7"/>
  <c r="E936" i="7"/>
  <c r="D936" i="7"/>
  <c r="C936" i="7"/>
  <c r="B936" i="7"/>
  <c r="A936" i="7"/>
  <c r="Z935" i="7"/>
  <c r="X935" i="7"/>
  <c r="W935" i="7"/>
  <c r="V935" i="7"/>
  <c r="U935" i="7"/>
  <c r="T935" i="7"/>
  <c r="S935" i="7"/>
  <c r="R935" i="7"/>
  <c r="Q935" i="7"/>
  <c r="P935" i="7"/>
  <c r="L935" i="7"/>
  <c r="K935" i="7"/>
  <c r="J935" i="7"/>
  <c r="I935" i="7"/>
  <c r="H935" i="7"/>
  <c r="G935" i="7"/>
  <c r="F935" i="7"/>
  <c r="E935" i="7"/>
  <c r="D935" i="7"/>
  <c r="C935" i="7"/>
  <c r="B935" i="7"/>
  <c r="A935" i="7"/>
  <c r="Z934" i="7"/>
  <c r="X934" i="7"/>
  <c r="W934" i="7"/>
  <c r="V934" i="7"/>
  <c r="U934" i="7"/>
  <c r="T934" i="7"/>
  <c r="S934" i="7"/>
  <c r="R934" i="7"/>
  <c r="Q934" i="7"/>
  <c r="P934" i="7"/>
  <c r="L934" i="7"/>
  <c r="K934" i="7"/>
  <c r="J934" i="7"/>
  <c r="I934" i="7"/>
  <c r="H934" i="7"/>
  <c r="G934" i="7"/>
  <c r="F934" i="7"/>
  <c r="E934" i="7"/>
  <c r="D934" i="7"/>
  <c r="C934" i="7"/>
  <c r="B934" i="7"/>
  <c r="A934" i="7"/>
  <c r="Z933" i="7"/>
  <c r="X933" i="7"/>
  <c r="W933" i="7"/>
  <c r="V933" i="7"/>
  <c r="U933" i="7"/>
  <c r="T933" i="7"/>
  <c r="S933" i="7"/>
  <c r="R933" i="7"/>
  <c r="Q933" i="7"/>
  <c r="P933" i="7"/>
  <c r="L933" i="7"/>
  <c r="K933" i="7"/>
  <c r="J933" i="7"/>
  <c r="I933" i="7"/>
  <c r="H933" i="7"/>
  <c r="G933" i="7"/>
  <c r="F933" i="7"/>
  <c r="E933" i="7"/>
  <c r="D933" i="7"/>
  <c r="C933" i="7"/>
  <c r="B933" i="7"/>
  <c r="A933" i="7"/>
  <c r="Z932" i="7"/>
  <c r="X932" i="7"/>
  <c r="W932" i="7"/>
  <c r="V932" i="7"/>
  <c r="U932" i="7"/>
  <c r="T932" i="7"/>
  <c r="S932" i="7"/>
  <c r="R932" i="7"/>
  <c r="Q932" i="7"/>
  <c r="P932" i="7"/>
  <c r="L932" i="7"/>
  <c r="K932" i="7"/>
  <c r="J932" i="7"/>
  <c r="I932" i="7"/>
  <c r="H932" i="7"/>
  <c r="G932" i="7"/>
  <c r="F932" i="7"/>
  <c r="E932" i="7"/>
  <c r="D932" i="7"/>
  <c r="C932" i="7"/>
  <c r="B932" i="7"/>
  <c r="A932" i="7"/>
  <c r="Z931" i="7"/>
  <c r="X931" i="7"/>
  <c r="W931" i="7"/>
  <c r="V931" i="7"/>
  <c r="U931" i="7"/>
  <c r="T931" i="7"/>
  <c r="S931" i="7"/>
  <c r="R931" i="7"/>
  <c r="Q931" i="7"/>
  <c r="P931" i="7"/>
  <c r="L931" i="7"/>
  <c r="K931" i="7"/>
  <c r="J931" i="7"/>
  <c r="I931" i="7"/>
  <c r="H931" i="7"/>
  <c r="G931" i="7"/>
  <c r="F931" i="7"/>
  <c r="E931" i="7"/>
  <c r="D931" i="7"/>
  <c r="C931" i="7"/>
  <c r="B931" i="7"/>
  <c r="A931" i="7"/>
  <c r="Z930" i="7"/>
  <c r="X930" i="7"/>
  <c r="W930" i="7"/>
  <c r="V930" i="7"/>
  <c r="U930" i="7"/>
  <c r="T930" i="7"/>
  <c r="S930" i="7"/>
  <c r="R930" i="7"/>
  <c r="Q930" i="7"/>
  <c r="P930" i="7"/>
  <c r="L930" i="7"/>
  <c r="K930" i="7"/>
  <c r="J930" i="7"/>
  <c r="I930" i="7"/>
  <c r="H930" i="7"/>
  <c r="G930" i="7"/>
  <c r="F930" i="7"/>
  <c r="E930" i="7"/>
  <c r="D930" i="7"/>
  <c r="C930" i="7"/>
  <c r="B930" i="7"/>
  <c r="A930" i="7"/>
  <c r="Z929" i="7"/>
  <c r="X929" i="7"/>
  <c r="W929" i="7"/>
  <c r="V929" i="7"/>
  <c r="U929" i="7"/>
  <c r="T929" i="7"/>
  <c r="S929" i="7"/>
  <c r="R929" i="7"/>
  <c r="Q929" i="7"/>
  <c r="P929" i="7"/>
  <c r="L929" i="7"/>
  <c r="K929" i="7"/>
  <c r="J929" i="7"/>
  <c r="I929" i="7"/>
  <c r="H929" i="7"/>
  <c r="G929" i="7"/>
  <c r="F929" i="7"/>
  <c r="E929" i="7"/>
  <c r="D929" i="7"/>
  <c r="C929" i="7"/>
  <c r="B929" i="7"/>
  <c r="A929" i="7"/>
  <c r="Z928" i="7"/>
  <c r="X928" i="7"/>
  <c r="W928" i="7"/>
  <c r="V928" i="7"/>
  <c r="U928" i="7"/>
  <c r="T928" i="7"/>
  <c r="S928" i="7"/>
  <c r="R928" i="7"/>
  <c r="Q928" i="7"/>
  <c r="P928" i="7"/>
  <c r="L928" i="7"/>
  <c r="K928" i="7"/>
  <c r="J928" i="7"/>
  <c r="I928" i="7"/>
  <c r="H928" i="7"/>
  <c r="G928" i="7"/>
  <c r="F928" i="7"/>
  <c r="E928" i="7"/>
  <c r="D928" i="7"/>
  <c r="C928" i="7"/>
  <c r="B928" i="7"/>
  <c r="A928" i="7"/>
  <c r="Z927" i="7"/>
  <c r="X927" i="7"/>
  <c r="W927" i="7"/>
  <c r="V927" i="7"/>
  <c r="U927" i="7"/>
  <c r="T927" i="7"/>
  <c r="S927" i="7"/>
  <c r="R927" i="7"/>
  <c r="Q927" i="7"/>
  <c r="P927" i="7"/>
  <c r="L927" i="7"/>
  <c r="K927" i="7"/>
  <c r="J927" i="7"/>
  <c r="I927" i="7"/>
  <c r="H927" i="7"/>
  <c r="G927" i="7"/>
  <c r="F927" i="7"/>
  <c r="E927" i="7"/>
  <c r="D927" i="7"/>
  <c r="C927" i="7"/>
  <c r="B927" i="7"/>
  <c r="A927" i="7"/>
  <c r="Z926" i="7"/>
  <c r="X926" i="7"/>
  <c r="W926" i="7"/>
  <c r="V926" i="7"/>
  <c r="U926" i="7"/>
  <c r="T926" i="7"/>
  <c r="S926" i="7"/>
  <c r="R926" i="7"/>
  <c r="Q926" i="7"/>
  <c r="P926" i="7"/>
  <c r="L926" i="7"/>
  <c r="K926" i="7"/>
  <c r="J926" i="7"/>
  <c r="I926" i="7"/>
  <c r="H926" i="7"/>
  <c r="G926" i="7"/>
  <c r="F926" i="7"/>
  <c r="E926" i="7"/>
  <c r="D926" i="7"/>
  <c r="C926" i="7"/>
  <c r="B926" i="7"/>
  <c r="A926" i="7"/>
  <c r="Z925" i="7"/>
  <c r="X925" i="7"/>
  <c r="W925" i="7"/>
  <c r="V925" i="7"/>
  <c r="U925" i="7"/>
  <c r="T925" i="7"/>
  <c r="S925" i="7"/>
  <c r="R925" i="7"/>
  <c r="Q925" i="7"/>
  <c r="P925" i="7"/>
  <c r="L925" i="7"/>
  <c r="K925" i="7"/>
  <c r="J925" i="7"/>
  <c r="I925" i="7"/>
  <c r="H925" i="7"/>
  <c r="G925" i="7"/>
  <c r="F925" i="7"/>
  <c r="E925" i="7"/>
  <c r="D925" i="7"/>
  <c r="C925" i="7"/>
  <c r="B925" i="7"/>
  <c r="A925" i="7"/>
  <c r="Z924" i="7"/>
  <c r="X924" i="7"/>
  <c r="W924" i="7"/>
  <c r="V924" i="7"/>
  <c r="U924" i="7"/>
  <c r="T924" i="7"/>
  <c r="S924" i="7"/>
  <c r="R924" i="7"/>
  <c r="Q924" i="7"/>
  <c r="P924" i="7"/>
  <c r="L924" i="7"/>
  <c r="K924" i="7"/>
  <c r="J924" i="7"/>
  <c r="I924" i="7"/>
  <c r="H924" i="7"/>
  <c r="G924" i="7"/>
  <c r="F924" i="7"/>
  <c r="E924" i="7"/>
  <c r="D924" i="7"/>
  <c r="C924" i="7"/>
  <c r="B924" i="7"/>
  <c r="A924" i="7"/>
  <c r="Z923" i="7"/>
  <c r="X923" i="7"/>
  <c r="W923" i="7"/>
  <c r="V923" i="7"/>
  <c r="U923" i="7"/>
  <c r="T923" i="7"/>
  <c r="S923" i="7"/>
  <c r="R923" i="7"/>
  <c r="Q923" i="7"/>
  <c r="P923" i="7"/>
  <c r="L923" i="7"/>
  <c r="K923" i="7"/>
  <c r="J923" i="7"/>
  <c r="I923" i="7"/>
  <c r="H923" i="7"/>
  <c r="G923" i="7"/>
  <c r="F923" i="7"/>
  <c r="E923" i="7"/>
  <c r="D923" i="7"/>
  <c r="C923" i="7"/>
  <c r="B923" i="7"/>
  <c r="A923" i="7"/>
  <c r="Z922" i="7"/>
  <c r="X922" i="7"/>
  <c r="W922" i="7"/>
  <c r="V922" i="7"/>
  <c r="U922" i="7"/>
  <c r="T922" i="7"/>
  <c r="S922" i="7"/>
  <c r="R922" i="7"/>
  <c r="Q922" i="7"/>
  <c r="P922" i="7"/>
  <c r="L922" i="7"/>
  <c r="K922" i="7"/>
  <c r="J922" i="7"/>
  <c r="I922" i="7"/>
  <c r="H922" i="7"/>
  <c r="G922" i="7"/>
  <c r="F922" i="7"/>
  <c r="E922" i="7"/>
  <c r="D922" i="7"/>
  <c r="C922" i="7"/>
  <c r="B922" i="7"/>
  <c r="A922" i="7"/>
  <c r="Z921" i="7"/>
  <c r="X921" i="7"/>
  <c r="W921" i="7"/>
  <c r="V921" i="7"/>
  <c r="U921" i="7"/>
  <c r="T921" i="7"/>
  <c r="S921" i="7"/>
  <c r="R921" i="7"/>
  <c r="Q921" i="7"/>
  <c r="P921" i="7"/>
  <c r="L921" i="7"/>
  <c r="K921" i="7"/>
  <c r="J921" i="7"/>
  <c r="I921" i="7"/>
  <c r="H921" i="7"/>
  <c r="G921" i="7"/>
  <c r="F921" i="7"/>
  <c r="E921" i="7"/>
  <c r="D921" i="7"/>
  <c r="C921" i="7"/>
  <c r="B921" i="7"/>
  <c r="A921" i="7"/>
  <c r="Z920" i="7"/>
  <c r="X920" i="7"/>
  <c r="W920" i="7"/>
  <c r="V920" i="7"/>
  <c r="U920" i="7"/>
  <c r="T920" i="7"/>
  <c r="S920" i="7"/>
  <c r="R920" i="7"/>
  <c r="Q920" i="7"/>
  <c r="P920" i="7"/>
  <c r="L920" i="7"/>
  <c r="K920" i="7"/>
  <c r="J920" i="7"/>
  <c r="I920" i="7"/>
  <c r="H920" i="7"/>
  <c r="G920" i="7"/>
  <c r="F920" i="7"/>
  <c r="E920" i="7"/>
  <c r="D920" i="7"/>
  <c r="C920" i="7"/>
  <c r="B920" i="7"/>
  <c r="A920" i="7"/>
  <c r="Z919" i="7"/>
  <c r="X919" i="7"/>
  <c r="W919" i="7"/>
  <c r="V919" i="7"/>
  <c r="U919" i="7"/>
  <c r="T919" i="7"/>
  <c r="S919" i="7"/>
  <c r="R919" i="7"/>
  <c r="Q919" i="7"/>
  <c r="P919" i="7"/>
  <c r="L919" i="7"/>
  <c r="K919" i="7"/>
  <c r="J919" i="7"/>
  <c r="I919" i="7"/>
  <c r="H919" i="7"/>
  <c r="G919" i="7"/>
  <c r="F919" i="7"/>
  <c r="E919" i="7"/>
  <c r="D919" i="7"/>
  <c r="C919" i="7"/>
  <c r="B919" i="7"/>
  <c r="A919" i="7"/>
  <c r="Z918" i="7"/>
  <c r="X918" i="7"/>
  <c r="W918" i="7"/>
  <c r="V918" i="7"/>
  <c r="U918" i="7"/>
  <c r="T918" i="7"/>
  <c r="S918" i="7"/>
  <c r="R918" i="7"/>
  <c r="Q918" i="7"/>
  <c r="P918" i="7"/>
  <c r="L918" i="7"/>
  <c r="K918" i="7"/>
  <c r="J918" i="7"/>
  <c r="I918" i="7"/>
  <c r="H918" i="7"/>
  <c r="G918" i="7"/>
  <c r="F918" i="7"/>
  <c r="E918" i="7"/>
  <c r="D918" i="7"/>
  <c r="C918" i="7"/>
  <c r="B918" i="7"/>
  <c r="A918" i="7"/>
  <c r="Z917" i="7"/>
  <c r="X917" i="7"/>
  <c r="W917" i="7"/>
  <c r="V917" i="7"/>
  <c r="U917" i="7"/>
  <c r="T917" i="7"/>
  <c r="S917" i="7"/>
  <c r="R917" i="7"/>
  <c r="Q917" i="7"/>
  <c r="P917" i="7"/>
  <c r="L917" i="7"/>
  <c r="K917" i="7"/>
  <c r="J917" i="7"/>
  <c r="I917" i="7"/>
  <c r="H917" i="7"/>
  <c r="G917" i="7"/>
  <c r="F917" i="7"/>
  <c r="E917" i="7"/>
  <c r="D917" i="7"/>
  <c r="C917" i="7"/>
  <c r="B917" i="7"/>
  <c r="A917" i="7"/>
  <c r="Z916" i="7"/>
  <c r="X916" i="7"/>
  <c r="W916" i="7"/>
  <c r="V916" i="7"/>
  <c r="U916" i="7"/>
  <c r="T916" i="7"/>
  <c r="S916" i="7"/>
  <c r="R916" i="7"/>
  <c r="Q916" i="7"/>
  <c r="P916" i="7"/>
  <c r="L916" i="7"/>
  <c r="K916" i="7"/>
  <c r="J916" i="7"/>
  <c r="I916" i="7"/>
  <c r="H916" i="7"/>
  <c r="G916" i="7"/>
  <c r="F916" i="7"/>
  <c r="E916" i="7"/>
  <c r="D916" i="7"/>
  <c r="C916" i="7"/>
  <c r="B916" i="7"/>
  <c r="A916" i="7"/>
  <c r="Z915" i="7"/>
  <c r="X915" i="7"/>
  <c r="W915" i="7"/>
  <c r="V915" i="7"/>
  <c r="U915" i="7"/>
  <c r="T915" i="7"/>
  <c r="S915" i="7"/>
  <c r="R915" i="7"/>
  <c r="Q915" i="7"/>
  <c r="P915" i="7"/>
  <c r="L915" i="7"/>
  <c r="K915" i="7"/>
  <c r="J915" i="7"/>
  <c r="I915" i="7"/>
  <c r="H915" i="7"/>
  <c r="G915" i="7"/>
  <c r="F915" i="7"/>
  <c r="E915" i="7"/>
  <c r="D915" i="7"/>
  <c r="C915" i="7"/>
  <c r="B915" i="7"/>
  <c r="A915" i="7"/>
  <c r="Z914" i="7"/>
  <c r="X914" i="7"/>
  <c r="W914" i="7"/>
  <c r="V914" i="7"/>
  <c r="U914" i="7"/>
  <c r="T914" i="7"/>
  <c r="S914" i="7"/>
  <c r="R914" i="7"/>
  <c r="Q914" i="7"/>
  <c r="P914" i="7"/>
  <c r="L914" i="7"/>
  <c r="K914" i="7"/>
  <c r="J914" i="7"/>
  <c r="I914" i="7"/>
  <c r="H914" i="7"/>
  <c r="G914" i="7"/>
  <c r="F914" i="7"/>
  <c r="E914" i="7"/>
  <c r="D914" i="7"/>
  <c r="C914" i="7"/>
  <c r="B914" i="7"/>
  <c r="A914" i="7"/>
  <c r="Z913" i="7"/>
  <c r="X913" i="7"/>
  <c r="W913" i="7"/>
  <c r="V913" i="7"/>
  <c r="U913" i="7"/>
  <c r="T913" i="7"/>
  <c r="S913" i="7"/>
  <c r="R913" i="7"/>
  <c r="Q913" i="7"/>
  <c r="P913" i="7"/>
  <c r="L913" i="7"/>
  <c r="K913" i="7"/>
  <c r="J913" i="7"/>
  <c r="I913" i="7"/>
  <c r="H913" i="7"/>
  <c r="G913" i="7"/>
  <c r="F913" i="7"/>
  <c r="E913" i="7"/>
  <c r="D913" i="7"/>
  <c r="C913" i="7"/>
  <c r="B913" i="7"/>
  <c r="A913" i="7"/>
  <c r="Z912" i="7"/>
  <c r="X912" i="7"/>
  <c r="W912" i="7"/>
  <c r="V912" i="7"/>
  <c r="U912" i="7"/>
  <c r="T912" i="7"/>
  <c r="S912" i="7"/>
  <c r="R912" i="7"/>
  <c r="Q912" i="7"/>
  <c r="P912" i="7"/>
  <c r="L912" i="7"/>
  <c r="K912" i="7"/>
  <c r="J912" i="7"/>
  <c r="I912" i="7"/>
  <c r="H912" i="7"/>
  <c r="G912" i="7"/>
  <c r="F912" i="7"/>
  <c r="E912" i="7"/>
  <c r="D912" i="7"/>
  <c r="C912" i="7"/>
  <c r="B912" i="7"/>
  <c r="A912" i="7"/>
  <c r="Z911" i="7"/>
  <c r="X911" i="7"/>
  <c r="W911" i="7"/>
  <c r="V911" i="7"/>
  <c r="U911" i="7"/>
  <c r="T911" i="7"/>
  <c r="S911" i="7"/>
  <c r="R911" i="7"/>
  <c r="Q911" i="7"/>
  <c r="P911" i="7"/>
  <c r="L911" i="7"/>
  <c r="K911" i="7"/>
  <c r="J911" i="7"/>
  <c r="I911" i="7"/>
  <c r="H911" i="7"/>
  <c r="G911" i="7"/>
  <c r="F911" i="7"/>
  <c r="E911" i="7"/>
  <c r="D911" i="7"/>
  <c r="C911" i="7"/>
  <c r="B911" i="7"/>
  <c r="A911" i="7"/>
  <c r="Z910" i="7"/>
  <c r="X910" i="7"/>
  <c r="W910" i="7"/>
  <c r="V910" i="7"/>
  <c r="U910" i="7"/>
  <c r="T910" i="7"/>
  <c r="S910" i="7"/>
  <c r="R910" i="7"/>
  <c r="Q910" i="7"/>
  <c r="P910" i="7"/>
  <c r="L910" i="7"/>
  <c r="K910" i="7"/>
  <c r="J910" i="7"/>
  <c r="I910" i="7"/>
  <c r="H910" i="7"/>
  <c r="G910" i="7"/>
  <c r="F910" i="7"/>
  <c r="E910" i="7"/>
  <c r="D910" i="7"/>
  <c r="C910" i="7"/>
  <c r="B910" i="7"/>
  <c r="A910" i="7"/>
  <c r="Z909" i="7"/>
  <c r="X909" i="7"/>
  <c r="W909" i="7"/>
  <c r="V909" i="7"/>
  <c r="U909" i="7"/>
  <c r="T909" i="7"/>
  <c r="S909" i="7"/>
  <c r="R909" i="7"/>
  <c r="Q909" i="7"/>
  <c r="P909" i="7"/>
  <c r="L909" i="7"/>
  <c r="K909" i="7"/>
  <c r="J909" i="7"/>
  <c r="I909" i="7"/>
  <c r="H909" i="7"/>
  <c r="G909" i="7"/>
  <c r="F909" i="7"/>
  <c r="E909" i="7"/>
  <c r="D909" i="7"/>
  <c r="C909" i="7"/>
  <c r="B909" i="7"/>
  <c r="A909" i="7"/>
  <c r="Z908" i="7"/>
  <c r="X908" i="7"/>
  <c r="W908" i="7"/>
  <c r="V908" i="7"/>
  <c r="U908" i="7"/>
  <c r="T908" i="7"/>
  <c r="S908" i="7"/>
  <c r="R908" i="7"/>
  <c r="Q908" i="7"/>
  <c r="P908" i="7"/>
  <c r="L908" i="7"/>
  <c r="K908" i="7"/>
  <c r="J908" i="7"/>
  <c r="I908" i="7"/>
  <c r="H908" i="7"/>
  <c r="G908" i="7"/>
  <c r="F908" i="7"/>
  <c r="E908" i="7"/>
  <c r="D908" i="7"/>
  <c r="C908" i="7"/>
  <c r="B908" i="7"/>
  <c r="A908" i="7"/>
  <c r="Z907" i="7"/>
  <c r="X907" i="7"/>
  <c r="W907" i="7"/>
  <c r="V907" i="7"/>
  <c r="U907" i="7"/>
  <c r="T907" i="7"/>
  <c r="S907" i="7"/>
  <c r="R907" i="7"/>
  <c r="Q907" i="7"/>
  <c r="P907" i="7"/>
  <c r="L907" i="7"/>
  <c r="K907" i="7"/>
  <c r="J907" i="7"/>
  <c r="I907" i="7"/>
  <c r="H907" i="7"/>
  <c r="G907" i="7"/>
  <c r="F907" i="7"/>
  <c r="E907" i="7"/>
  <c r="D907" i="7"/>
  <c r="C907" i="7"/>
  <c r="B907" i="7"/>
  <c r="A907" i="7"/>
  <c r="Z906" i="7"/>
  <c r="X906" i="7"/>
  <c r="W906" i="7"/>
  <c r="V906" i="7"/>
  <c r="U906" i="7"/>
  <c r="T906" i="7"/>
  <c r="S906" i="7"/>
  <c r="R906" i="7"/>
  <c r="Q906" i="7"/>
  <c r="P906" i="7"/>
  <c r="L906" i="7"/>
  <c r="K906" i="7"/>
  <c r="J906" i="7"/>
  <c r="I906" i="7"/>
  <c r="H906" i="7"/>
  <c r="G906" i="7"/>
  <c r="F906" i="7"/>
  <c r="E906" i="7"/>
  <c r="D906" i="7"/>
  <c r="C906" i="7"/>
  <c r="B906" i="7"/>
  <c r="A906" i="7"/>
  <c r="Z905" i="7"/>
  <c r="X905" i="7"/>
  <c r="W905" i="7"/>
  <c r="V905" i="7"/>
  <c r="U905" i="7"/>
  <c r="T905" i="7"/>
  <c r="S905" i="7"/>
  <c r="R905" i="7"/>
  <c r="Q905" i="7"/>
  <c r="P905" i="7"/>
  <c r="L905" i="7"/>
  <c r="K905" i="7"/>
  <c r="J905" i="7"/>
  <c r="I905" i="7"/>
  <c r="H905" i="7"/>
  <c r="G905" i="7"/>
  <c r="F905" i="7"/>
  <c r="E905" i="7"/>
  <c r="D905" i="7"/>
  <c r="C905" i="7"/>
  <c r="B905" i="7"/>
  <c r="A905" i="7"/>
  <c r="Z904" i="7"/>
  <c r="X904" i="7"/>
  <c r="W904" i="7"/>
  <c r="V904" i="7"/>
  <c r="U904" i="7"/>
  <c r="T904" i="7"/>
  <c r="S904" i="7"/>
  <c r="R904" i="7"/>
  <c r="Q904" i="7"/>
  <c r="P904" i="7"/>
  <c r="L904" i="7"/>
  <c r="K904" i="7"/>
  <c r="J904" i="7"/>
  <c r="I904" i="7"/>
  <c r="H904" i="7"/>
  <c r="G904" i="7"/>
  <c r="F904" i="7"/>
  <c r="E904" i="7"/>
  <c r="D904" i="7"/>
  <c r="C904" i="7"/>
  <c r="B904" i="7"/>
  <c r="A904" i="7"/>
  <c r="Z903" i="7"/>
  <c r="X903" i="7"/>
  <c r="W903" i="7"/>
  <c r="V903" i="7"/>
  <c r="U903" i="7"/>
  <c r="T903" i="7"/>
  <c r="S903" i="7"/>
  <c r="R903" i="7"/>
  <c r="Q903" i="7"/>
  <c r="P903" i="7"/>
  <c r="L903" i="7"/>
  <c r="K903" i="7"/>
  <c r="J903" i="7"/>
  <c r="I903" i="7"/>
  <c r="H903" i="7"/>
  <c r="G903" i="7"/>
  <c r="F903" i="7"/>
  <c r="E903" i="7"/>
  <c r="D903" i="7"/>
  <c r="C903" i="7"/>
  <c r="B903" i="7"/>
  <c r="A903" i="7"/>
  <c r="Z902" i="7"/>
  <c r="X902" i="7"/>
  <c r="W902" i="7"/>
  <c r="V902" i="7"/>
  <c r="U902" i="7"/>
  <c r="T902" i="7"/>
  <c r="S902" i="7"/>
  <c r="R902" i="7"/>
  <c r="Q902" i="7"/>
  <c r="P902" i="7"/>
  <c r="L902" i="7"/>
  <c r="K902" i="7"/>
  <c r="J902" i="7"/>
  <c r="I902" i="7"/>
  <c r="H902" i="7"/>
  <c r="G902" i="7"/>
  <c r="F902" i="7"/>
  <c r="E902" i="7"/>
  <c r="D902" i="7"/>
  <c r="C902" i="7"/>
  <c r="B902" i="7"/>
  <c r="A902" i="7"/>
  <c r="Z901" i="7"/>
  <c r="X901" i="7"/>
  <c r="W901" i="7"/>
  <c r="V901" i="7"/>
  <c r="U901" i="7"/>
  <c r="T901" i="7"/>
  <c r="S901" i="7"/>
  <c r="R901" i="7"/>
  <c r="Q901" i="7"/>
  <c r="P901" i="7"/>
  <c r="L901" i="7"/>
  <c r="K901" i="7"/>
  <c r="J901" i="7"/>
  <c r="I901" i="7"/>
  <c r="H901" i="7"/>
  <c r="G901" i="7"/>
  <c r="F901" i="7"/>
  <c r="E901" i="7"/>
  <c r="D901" i="7"/>
  <c r="C901" i="7"/>
  <c r="B901" i="7"/>
  <c r="A901" i="7"/>
  <c r="Z900" i="7"/>
  <c r="X900" i="7"/>
  <c r="W900" i="7"/>
  <c r="V900" i="7"/>
  <c r="U900" i="7"/>
  <c r="T900" i="7"/>
  <c r="S900" i="7"/>
  <c r="R900" i="7"/>
  <c r="Q900" i="7"/>
  <c r="P900" i="7"/>
  <c r="L900" i="7"/>
  <c r="K900" i="7"/>
  <c r="J900" i="7"/>
  <c r="I900" i="7"/>
  <c r="H900" i="7"/>
  <c r="G900" i="7"/>
  <c r="F900" i="7"/>
  <c r="E900" i="7"/>
  <c r="D900" i="7"/>
  <c r="C900" i="7"/>
  <c r="B900" i="7"/>
  <c r="A900" i="7"/>
  <c r="Z899" i="7"/>
  <c r="X899" i="7"/>
  <c r="W899" i="7"/>
  <c r="V899" i="7"/>
  <c r="U899" i="7"/>
  <c r="T899" i="7"/>
  <c r="S899" i="7"/>
  <c r="R899" i="7"/>
  <c r="Q899" i="7"/>
  <c r="P899" i="7"/>
  <c r="L899" i="7"/>
  <c r="K899" i="7"/>
  <c r="J899" i="7"/>
  <c r="I899" i="7"/>
  <c r="H899" i="7"/>
  <c r="G899" i="7"/>
  <c r="F899" i="7"/>
  <c r="E899" i="7"/>
  <c r="D899" i="7"/>
  <c r="C899" i="7"/>
  <c r="B899" i="7"/>
  <c r="A899" i="7"/>
  <c r="Z898" i="7"/>
  <c r="X898" i="7"/>
  <c r="W898" i="7"/>
  <c r="V898" i="7"/>
  <c r="U898" i="7"/>
  <c r="T898" i="7"/>
  <c r="S898" i="7"/>
  <c r="R898" i="7"/>
  <c r="Q898" i="7"/>
  <c r="P898" i="7"/>
  <c r="L898" i="7"/>
  <c r="K898" i="7"/>
  <c r="J898" i="7"/>
  <c r="I898" i="7"/>
  <c r="H898" i="7"/>
  <c r="G898" i="7"/>
  <c r="F898" i="7"/>
  <c r="E898" i="7"/>
  <c r="D898" i="7"/>
  <c r="C898" i="7"/>
  <c r="B898" i="7"/>
  <c r="A898" i="7"/>
  <c r="Z897" i="7"/>
  <c r="X897" i="7"/>
  <c r="W897" i="7"/>
  <c r="V897" i="7"/>
  <c r="U897" i="7"/>
  <c r="T897" i="7"/>
  <c r="S897" i="7"/>
  <c r="R897" i="7"/>
  <c r="Q897" i="7"/>
  <c r="P897" i="7"/>
  <c r="L897" i="7"/>
  <c r="K897" i="7"/>
  <c r="J897" i="7"/>
  <c r="I897" i="7"/>
  <c r="H897" i="7"/>
  <c r="G897" i="7"/>
  <c r="F897" i="7"/>
  <c r="E897" i="7"/>
  <c r="D897" i="7"/>
  <c r="C897" i="7"/>
  <c r="B897" i="7"/>
  <c r="A897" i="7"/>
  <c r="Z896" i="7"/>
  <c r="X896" i="7"/>
  <c r="W896" i="7"/>
  <c r="V896" i="7"/>
  <c r="U896" i="7"/>
  <c r="T896" i="7"/>
  <c r="S896" i="7"/>
  <c r="R896" i="7"/>
  <c r="Q896" i="7"/>
  <c r="P896" i="7"/>
  <c r="L896" i="7"/>
  <c r="K896" i="7"/>
  <c r="J896" i="7"/>
  <c r="I896" i="7"/>
  <c r="H896" i="7"/>
  <c r="G896" i="7"/>
  <c r="F896" i="7"/>
  <c r="E896" i="7"/>
  <c r="D896" i="7"/>
  <c r="C896" i="7"/>
  <c r="B896" i="7"/>
  <c r="A896" i="7"/>
  <c r="Z895" i="7"/>
  <c r="X895" i="7"/>
  <c r="W895" i="7"/>
  <c r="V895" i="7"/>
  <c r="U895" i="7"/>
  <c r="T895" i="7"/>
  <c r="S895" i="7"/>
  <c r="R895" i="7"/>
  <c r="Q895" i="7"/>
  <c r="P895" i="7"/>
  <c r="L895" i="7"/>
  <c r="K895" i="7"/>
  <c r="J895" i="7"/>
  <c r="I895" i="7"/>
  <c r="H895" i="7"/>
  <c r="G895" i="7"/>
  <c r="F895" i="7"/>
  <c r="E895" i="7"/>
  <c r="D895" i="7"/>
  <c r="C895" i="7"/>
  <c r="B895" i="7"/>
  <c r="A895" i="7"/>
  <c r="Z894" i="7"/>
  <c r="X894" i="7"/>
  <c r="W894" i="7"/>
  <c r="V894" i="7"/>
  <c r="U894" i="7"/>
  <c r="T894" i="7"/>
  <c r="S894" i="7"/>
  <c r="R894" i="7"/>
  <c r="Q894" i="7"/>
  <c r="P894" i="7"/>
  <c r="L894" i="7"/>
  <c r="K894" i="7"/>
  <c r="J894" i="7"/>
  <c r="I894" i="7"/>
  <c r="H894" i="7"/>
  <c r="G894" i="7"/>
  <c r="F894" i="7"/>
  <c r="E894" i="7"/>
  <c r="D894" i="7"/>
  <c r="C894" i="7"/>
  <c r="B894" i="7"/>
  <c r="A894" i="7"/>
  <c r="Z893" i="7"/>
  <c r="X893" i="7"/>
  <c r="W893" i="7"/>
  <c r="V893" i="7"/>
  <c r="U893" i="7"/>
  <c r="T893" i="7"/>
  <c r="S893" i="7"/>
  <c r="R893" i="7"/>
  <c r="Q893" i="7"/>
  <c r="P893" i="7"/>
  <c r="L893" i="7"/>
  <c r="K893" i="7"/>
  <c r="J893" i="7"/>
  <c r="I893" i="7"/>
  <c r="H893" i="7"/>
  <c r="G893" i="7"/>
  <c r="F893" i="7"/>
  <c r="E893" i="7"/>
  <c r="D893" i="7"/>
  <c r="C893" i="7"/>
  <c r="B893" i="7"/>
  <c r="A893" i="7"/>
  <c r="Z892" i="7"/>
  <c r="X892" i="7"/>
  <c r="W892" i="7"/>
  <c r="V892" i="7"/>
  <c r="U892" i="7"/>
  <c r="T892" i="7"/>
  <c r="S892" i="7"/>
  <c r="R892" i="7"/>
  <c r="Q892" i="7"/>
  <c r="P892" i="7"/>
  <c r="L892" i="7"/>
  <c r="K892" i="7"/>
  <c r="J892" i="7"/>
  <c r="I892" i="7"/>
  <c r="H892" i="7"/>
  <c r="G892" i="7"/>
  <c r="F892" i="7"/>
  <c r="E892" i="7"/>
  <c r="D892" i="7"/>
  <c r="C892" i="7"/>
  <c r="B892" i="7"/>
  <c r="A892" i="7"/>
  <c r="Z891" i="7"/>
  <c r="X891" i="7"/>
  <c r="W891" i="7"/>
  <c r="V891" i="7"/>
  <c r="U891" i="7"/>
  <c r="T891" i="7"/>
  <c r="S891" i="7"/>
  <c r="R891" i="7"/>
  <c r="Q891" i="7"/>
  <c r="P891" i="7"/>
  <c r="L891" i="7"/>
  <c r="K891" i="7"/>
  <c r="J891" i="7"/>
  <c r="I891" i="7"/>
  <c r="H891" i="7"/>
  <c r="G891" i="7"/>
  <c r="F891" i="7"/>
  <c r="E891" i="7"/>
  <c r="D891" i="7"/>
  <c r="C891" i="7"/>
  <c r="B891" i="7"/>
  <c r="A891" i="7"/>
  <c r="Z890" i="7"/>
  <c r="X890" i="7"/>
  <c r="W890" i="7"/>
  <c r="V890" i="7"/>
  <c r="U890" i="7"/>
  <c r="T890" i="7"/>
  <c r="S890" i="7"/>
  <c r="R890" i="7"/>
  <c r="Q890" i="7"/>
  <c r="P890" i="7"/>
  <c r="L890" i="7"/>
  <c r="K890" i="7"/>
  <c r="J890" i="7"/>
  <c r="I890" i="7"/>
  <c r="H890" i="7"/>
  <c r="G890" i="7"/>
  <c r="F890" i="7"/>
  <c r="E890" i="7"/>
  <c r="D890" i="7"/>
  <c r="C890" i="7"/>
  <c r="B890" i="7"/>
  <c r="A890" i="7"/>
  <c r="Z889" i="7"/>
  <c r="X889" i="7"/>
  <c r="W889" i="7"/>
  <c r="V889" i="7"/>
  <c r="U889" i="7"/>
  <c r="T889" i="7"/>
  <c r="S889" i="7"/>
  <c r="R889" i="7"/>
  <c r="Q889" i="7"/>
  <c r="P889" i="7"/>
  <c r="L889" i="7"/>
  <c r="K889" i="7"/>
  <c r="J889" i="7"/>
  <c r="I889" i="7"/>
  <c r="H889" i="7"/>
  <c r="G889" i="7"/>
  <c r="F889" i="7"/>
  <c r="E889" i="7"/>
  <c r="D889" i="7"/>
  <c r="C889" i="7"/>
  <c r="B889" i="7"/>
  <c r="A889" i="7"/>
  <c r="Z888" i="7"/>
  <c r="X888" i="7"/>
  <c r="W888" i="7"/>
  <c r="V888" i="7"/>
  <c r="U888" i="7"/>
  <c r="T888" i="7"/>
  <c r="S888" i="7"/>
  <c r="R888" i="7"/>
  <c r="Q888" i="7"/>
  <c r="P888" i="7"/>
  <c r="L888" i="7"/>
  <c r="K888" i="7"/>
  <c r="J888" i="7"/>
  <c r="I888" i="7"/>
  <c r="H888" i="7"/>
  <c r="G888" i="7"/>
  <c r="F888" i="7"/>
  <c r="E888" i="7"/>
  <c r="D888" i="7"/>
  <c r="C888" i="7"/>
  <c r="B888" i="7"/>
  <c r="A888" i="7"/>
  <c r="Z887" i="7"/>
  <c r="X887" i="7"/>
  <c r="W887" i="7"/>
  <c r="V887" i="7"/>
  <c r="U887" i="7"/>
  <c r="T887" i="7"/>
  <c r="S887" i="7"/>
  <c r="R887" i="7"/>
  <c r="Q887" i="7"/>
  <c r="P887" i="7"/>
  <c r="L887" i="7"/>
  <c r="K887" i="7"/>
  <c r="J887" i="7"/>
  <c r="I887" i="7"/>
  <c r="H887" i="7"/>
  <c r="G887" i="7"/>
  <c r="F887" i="7"/>
  <c r="E887" i="7"/>
  <c r="D887" i="7"/>
  <c r="C887" i="7"/>
  <c r="B887" i="7"/>
  <c r="A887" i="7"/>
  <c r="Z886" i="7"/>
  <c r="X886" i="7"/>
  <c r="W886" i="7"/>
  <c r="V886" i="7"/>
  <c r="U886" i="7"/>
  <c r="T886" i="7"/>
  <c r="S886" i="7"/>
  <c r="R886" i="7"/>
  <c r="Q886" i="7"/>
  <c r="P886" i="7"/>
  <c r="L886" i="7"/>
  <c r="K886" i="7"/>
  <c r="J886" i="7"/>
  <c r="I886" i="7"/>
  <c r="H886" i="7"/>
  <c r="G886" i="7"/>
  <c r="F886" i="7"/>
  <c r="E886" i="7"/>
  <c r="D886" i="7"/>
  <c r="C886" i="7"/>
  <c r="B886" i="7"/>
  <c r="A886" i="7"/>
  <c r="Z885" i="7"/>
  <c r="X885" i="7"/>
  <c r="W885" i="7"/>
  <c r="V885" i="7"/>
  <c r="U885" i="7"/>
  <c r="T885" i="7"/>
  <c r="S885" i="7"/>
  <c r="R885" i="7"/>
  <c r="Q885" i="7"/>
  <c r="P885" i="7"/>
  <c r="L885" i="7"/>
  <c r="K885" i="7"/>
  <c r="J885" i="7"/>
  <c r="I885" i="7"/>
  <c r="H885" i="7"/>
  <c r="G885" i="7"/>
  <c r="F885" i="7"/>
  <c r="E885" i="7"/>
  <c r="D885" i="7"/>
  <c r="C885" i="7"/>
  <c r="B885" i="7"/>
  <c r="A885" i="7"/>
  <c r="Z884" i="7"/>
  <c r="X884" i="7"/>
  <c r="W884" i="7"/>
  <c r="V884" i="7"/>
  <c r="U884" i="7"/>
  <c r="T884" i="7"/>
  <c r="S884" i="7"/>
  <c r="R884" i="7"/>
  <c r="Q884" i="7"/>
  <c r="P884" i="7"/>
  <c r="L884" i="7"/>
  <c r="K884" i="7"/>
  <c r="J884" i="7"/>
  <c r="I884" i="7"/>
  <c r="H884" i="7"/>
  <c r="G884" i="7"/>
  <c r="F884" i="7"/>
  <c r="E884" i="7"/>
  <c r="D884" i="7"/>
  <c r="C884" i="7"/>
  <c r="B884" i="7"/>
  <c r="A884" i="7"/>
  <c r="Z883" i="7"/>
  <c r="X883" i="7"/>
  <c r="W883" i="7"/>
  <c r="V883" i="7"/>
  <c r="U883" i="7"/>
  <c r="T883" i="7"/>
  <c r="S883" i="7"/>
  <c r="R883" i="7"/>
  <c r="Q883" i="7"/>
  <c r="P883" i="7"/>
  <c r="L883" i="7"/>
  <c r="K883" i="7"/>
  <c r="J883" i="7"/>
  <c r="I883" i="7"/>
  <c r="H883" i="7"/>
  <c r="G883" i="7"/>
  <c r="F883" i="7"/>
  <c r="E883" i="7"/>
  <c r="D883" i="7"/>
  <c r="C883" i="7"/>
  <c r="B883" i="7"/>
  <c r="A883" i="7"/>
  <c r="Z882" i="7"/>
  <c r="X882" i="7"/>
  <c r="W882" i="7"/>
  <c r="V882" i="7"/>
  <c r="U882" i="7"/>
  <c r="T882" i="7"/>
  <c r="S882" i="7"/>
  <c r="R882" i="7"/>
  <c r="Q882" i="7"/>
  <c r="P882" i="7"/>
  <c r="L882" i="7"/>
  <c r="K882" i="7"/>
  <c r="J882" i="7"/>
  <c r="I882" i="7"/>
  <c r="H882" i="7"/>
  <c r="G882" i="7"/>
  <c r="F882" i="7"/>
  <c r="E882" i="7"/>
  <c r="D882" i="7"/>
  <c r="C882" i="7"/>
  <c r="B882" i="7"/>
  <c r="A882" i="7"/>
  <c r="Z881" i="7"/>
  <c r="X881" i="7"/>
  <c r="W881" i="7"/>
  <c r="V881" i="7"/>
  <c r="U881" i="7"/>
  <c r="T881" i="7"/>
  <c r="S881" i="7"/>
  <c r="R881" i="7"/>
  <c r="Q881" i="7"/>
  <c r="P881" i="7"/>
  <c r="L881" i="7"/>
  <c r="K881" i="7"/>
  <c r="J881" i="7"/>
  <c r="I881" i="7"/>
  <c r="H881" i="7"/>
  <c r="G881" i="7"/>
  <c r="F881" i="7"/>
  <c r="E881" i="7"/>
  <c r="D881" i="7"/>
  <c r="C881" i="7"/>
  <c r="B881" i="7"/>
  <c r="A881" i="7"/>
  <c r="Z880" i="7"/>
  <c r="X880" i="7"/>
  <c r="W880" i="7"/>
  <c r="V880" i="7"/>
  <c r="U880" i="7"/>
  <c r="T880" i="7"/>
  <c r="S880" i="7"/>
  <c r="R880" i="7"/>
  <c r="Q880" i="7"/>
  <c r="P880" i="7"/>
  <c r="L880" i="7"/>
  <c r="K880" i="7"/>
  <c r="J880" i="7"/>
  <c r="I880" i="7"/>
  <c r="H880" i="7"/>
  <c r="G880" i="7"/>
  <c r="F880" i="7"/>
  <c r="E880" i="7"/>
  <c r="D880" i="7"/>
  <c r="C880" i="7"/>
  <c r="B880" i="7"/>
  <c r="A880" i="7"/>
  <c r="Z879" i="7"/>
  <c r="X879" i="7"/>
  <c r="W879" i="7"/>
  <c r="V879" i="7"/>
  <c r="U879" i="7"/>
  <c r="T879" i="7"/>
  <c r="S879" i="7"/>
  <c r="R879" i="7"/>
  <c r="Q879" i="7"/>
  <c r="P879" i="7"/>
  <c r="L879" i="7"/>
  <c r="K879" i="7"/>
  <c r="J879" i="7"/>
  <c r="I879" i="7"/>
  <c r="H879" i="7"/>
  <c r="G879" i="7"/>
  <c r="F879" i="7"/>
  <c r="E879" i="7"/>
  <c r="D879" i="7"/>
  <c r="C879" i="7"/>
  <c r="B879" i="7"/>
  <c r="A879" i="7"/>
  <c r="Z878" i="7"/>
  <c r="X878" i="7"/>
  <c r="W878" i="7"/>
  <c r="V878" i="7"/>
  <c r="U878" i="7"/>
  <c r="T878" i="7"/>
  <c r="S878" i="7"/>
  <c r="R878" i="7"/>
  <c r="Q878" i="7"/>
  <c r="P878" i="7"/>
  <c r="L878" i="7"/>
  <c r="K878" i="7"/>
  <c r="J878" i="7"/>
  <c r="I878" i="7"/>
  <c r="H878" i="7"/>
  <c r="G878" i="7"/>
  <c r="F878" i="7"/>
  <c r="E878" i="7"/>
  <c r="D878" i="7"/>
  <c r="C878" i="7"/>
  <c r="B878" i="7"/>
  <c r="A878" i="7"/>
  <c r="Z877" i="7"/>
  <c r="X877" i="7"/>
  <c r="W877" i="7"/>
  <c r="V877" i="7"/>
  <c r="U877" i="7"/>
  <c r="T877" i="7"/>
  <c r="S877" i="7"/>
  <c r="R877" i="7"/>
  <c r="Q877" i="7"/>
  <c r="P877" i="7"/>
  <c r="L877" i="7"/>
  <c r="K877" i="7"/>
  <c r="J877" i="7"/>
  <c r="I877" i="7"/>
  <c r="H877" i="7"/>
  <c r="G877" i="7"/>
  <c r="F877" i="7"/>
  <c r="E877" i="7"/>
  <c r="D877" i="7"/>
  <c r="C877" i="7"/>
  <c r="B877" i="7"/>
  <c r="A877" i="7"/>
  <c r="Z876" i="7"/>
  <c r="X876" i="7"/>
  <c r="W876" i="7"/>
  <c r="V876" i="7"/>
  <c r="U876" i="7"/>
  <c r="T876" i="7"/>
  <c r="S876" i="7"/>
  <c r="R876" i="7"/>
  <c r="Q876" i="7"/>
  <c r="P876" i="7"/>
  <c r="L876" i="7"/>
  <c r="K876" i="7"/>
  <c r="J876" i="7"/>
  <c r="I876" i="7"/>
  <c r="H876" i="7"/>
  <c r="G876" i="7"/>
  <c r="F876" i="7"/>
  <c r="E876" i="7"/>
  <c r="D876" i="7"/>
  <c r="C876" i="7"/>
  <c r="B876" i="7"/>
  <c r="A876" i="7"/>
  <c r="Z875" i="7"/>
  <c r="X875" i="7"/>
  <c r="W875" i="7"/>
  <c r="V875" i="7"/>
  <c r="U875" i="7"/>
  <c r="T875" i="7"/>
  <c r="S875" i="7"/>
  <c r="R875" i="7"/>
  <c r="Q875" i="7"/>
  <c r="P875" i="7"/>
  <c r="L875" i="7"/>
  <c r="K875" i="7"/>
  <c r="J875" i="7"/>
  <c r="I875" i="7"/>
  <c r="H875" i="7"/>
  <c r="G875" i="7"/>
  <c r="F875" i="7"/>
  <c r="E875" i="7"/>
  <c r="D875" i="7"/>
  <c r="C875" i="7"/>
  <c r="B875" i="7"/>
  <c r="A875" i="7"/>
  <c r="Z874" i="7"/>
  <c r="X874" i="7"/>
  <c r="W874" i="7"/>
  <c r="V874" i="7"/>
  <c r="U874" i="7"/>
  <c r="T874" i="7"/>
  <c r="S874" i="7"/>
  <c r="R874" i="7"/>
  <c r="Q874" i="7"/>
  <c r="P874" i="7"/>
  <c r="L874" i="7"/>
  <c r="K874" i="7"/>
  <c r="J874" i="7"/>
  <c r="I874" i="7"/>
  <c r="H874" i="7"/>
  <c r="G874" i="7"/>
  <c r="F874" i="7"/>
  <c r="E874" i="7"/>
  <c r="D874" i="7"/>
  <c r="C874" i="7"/>
  <c r="B874" i="7"/>
  <c r="A874" i="7"/>
  <c r="Z873" i="7"/>
  <c r="X873" i="7"/>
  <c r="W873" i="7"/>
  <c r="V873" i="7"/>
  <c r="U873" i="7"/>
  <c r="T873" i="7"/>
  <c r="S873" i="7"/>
  <c r="R873" i="7"/>
  <c r="Q873" i="7"/>
  <c r="P873" i="7"/>
  <c r="L873" i="7"/>
  <c r="K873" i="7"/>
  <c r="J873" i="7"/>
  <c r="I873" i="7"/>
  <c r="H873" i="7"/>
  <c r="G873" i="7"/>
  <c r="F873" i="7"/>
  <c r="E873" i="7"/>
  <c r="D873" i="7"/>
  <c r="C873" i="7"/>
  <c r="B873" i="7"/>
  <c r="A873" i="7"/>
  <c r="Z872" i="7"/>
  <c r="X872" i="7"/>
  <c r="W872" i="7"/>
  <c r="V872" i="7"/>
  <c r="U872" i="7"/>
  <c r="T872" i="7"/>
  <c r="S872" i="7"/>
  <c r="R872" i="7"/>
  <c r="Q872" i="7"/>
  <c r="P872" i="7"/>
  <c r="L872" i="7"/>
  <c r="K872" i="7"/>
  <c r="J872" i="7"/>
  <c r="I872" i="7"/>
  <c r="H872" i="7"/>
  <c r="G872" i="7"/>
  <c r="F872" i="7"/>
  <c r="E872" i="7"/>
  <c r="D872" i="7"/>
  <c r="C872" i="7"/>
  <c r="B872" i="7"/>
  <c r="A872" i="7"/>
  <c r="Z871" i="7"/>
  <c r="X871" i="7"/>
  <c r="W871" i="7"/>
  <c r="V871" i="7"/>
  <c r="U871" i="7"/>
  <c r="T871" i="7"/>
  <c r="S871" i="7"/>
  <c r="R871" i="7"/>
  <c r="Q871" i="7"/>
  <c r="P871" i="7"/>
  <c r="L871" i="7"/>
  <c r="K871" i="7"/>
  <c r="J871" i="7"/>
  <c r="I871" i="7"/>
  <c r="H871" i="7"/>
  <c r="G871" i="7"/>
  <c r="F871" i="7"/>
  <c r="E871" i="7"/>
  <c r="D871" i="7"/>
  <c r="C871" i="7"/>
  <c r="B871" i="7"/>
  <c r="A871" i="7"/>
  <c r="Z870" i="7"/>
  <c r="X870" i="7"/>
  <c r="W870" i="7"/>
  <c r="V870" i="7"/>
  <c r="U870" i="7"/>
  <c r="T870" i="7"/>
  <c r="S870" i="7"/>
  <c r="R870" i="7"/>
  <c r="Q870" i="7"/>
  <c r="P870" i="7"/>
  <c r="L870" i="7"/>
  <c r="K870" i="7"/>
  <c r="J870" i="7"/>
  <c r="I870" i="7"/>
  <c r="H870" i="7"/>
  <c r="G870" i="7"/>
  <c r="F870" i="7"/>
  <c r="E870" i="7"/>
  <c r="D870" i="7"/>
  <c r="C870" i="7"/>
  <c r="B870" i="7"/>
  <c r="A870" i="7"/>
  <c r="Z869" i="7"/>
  <c r="X869" i="7"/>
  <c r="W869" i="7"/>
  <c r="V869" i="7"/>
  <c r="U869" i="7"/>
  <c r="T869" i="7"/>
  <c r="S869" i="7"/>
  <c r="R869" i="7"/>
  <c r="Q869" i="7"/>
  <c r="P869" i="7"/>
  <c r="L869" i="7"/>
  <c r="K869" i="7"/>
  <c r="J869" i="7"/>
  <c r="I869" i="7"/>
  <c r="H869" i="7"/>
  <c r="G869" i="7"/>
  <c r="F869" i="7"/>
  <c r="E869" i="7"/>
  <c r="D869" i="7"/>
  <c r="C869" i="7"/>
  <c r="B869" i="7"/>
  <c r="A869" i="7"/>
  <c r="Z868" i="7"/>
  <c r="X868" i="7"/>
  <c r="W868" i="7"/>
  <c r="V868" i="7"/>
  <c r="U868" i="7"/>
  <c r="T868" i="7"/>
  <c r="S868" i="7"/>
  <c r="R868" i="7"/>
  <c r="Q868" i="7"/>
  <c r="P868" i="7"/>
  <c r="L868" i="7"/>
  <c r="K868" i="7"/>
  <c r="J868" i="7"/>
  <c r="I868" i="7"/>
  <c r="H868" i="7"/>
  <c r="G868" i="7"/>
  <c r="F868" i="7"/>
  <c r="E868" i="7"/>
  <c r="D868" i="7"/>
  <c r="C868" i="7"/>
  <c r="B868" i="7"/>
  <c r="A868" i="7"/>
  <c r="Z867" i="7"/>
  <c r="X867" i="7"/>
  <c r="W867" i="7"/>
  <c r="V867" i="7"/>
  <c r="U867" i="7"/>
  <c r="T867" i="7"/>
  <c r="S867" i="7"/>
  <c r="R867" i="7"/>
  <c r="Q867" i="7"/>
  <c r="P867" i="7"/>
  <c r="L867" i="7"/>
  <c r="K867" i="7"/>
  <c r="J867" i="7"/>
  <c r="I867" i="7"/>
  <c r="H867" i="7"/>
  <c r="G867" i="7"/>
  <c r="F867" i="7"/>
  <c r="E867" i="7"/>
  <c r="D867" i="7"/>
  <c r="C867" i="7"/>
  <c r="B867" i="7"/>
  <c r="A867" i="7"/>
  <c r="Z866" i="7"/>
  <c r="X866" i="7"/>
  <c r="W866" i="7"/>
  <c r="V866" i="7"/>
  <c r="U866" i="7"/>
  <c r="T866" i="7"/>
  <c r="S866" i="7"/>
  <c r="R866" i="7"/>
  <c r="Q866" i="7"/>
  <c r="P866" i="7"/>
  <c r="L866" i="7"/>
  <c r="K866" i="7"/>
  <c r="J866" i="7"/>
  <c r="I866" i="7"/>
  <c r="H866" i="7"/>
  <c r="G866" i="7"/>
  <c r="F866" i="7"/>
  <c r="E866" i="7"/>
  <c r="D866" i="7"/>
  <c r="C866" i="7"/>
  <c r="B866" i="7"/>
  <c r="A866" i="7"/>
  <c r="Z865" i="7"/>
  <c r="X865" i="7"/>
  <c r="W865" i="7"/>
  <c r="V865" i="7"/>
  <c r="U865" i="7"/>
  <c r="T865" i="7"/>
  <c r="S865" i="7"/>
  <c r="R865" i="7"/>
  <c r="Q865" i="7"/>
  <c r="P865" i="7"/>
  <c r="L865" i="7"/>
  <c r="K865" i="7"/>
  <c r="J865" i="7"/>
  <c r="I865" i="7"/>
  <c r="H865" i="7"/>
  <c r="G865" i="7"/>
  <c r="F865" i="7"/>
  <c r="E865" i="7"/>
  <c r="D865" i="7"/>
  <c r="C865" i="7"/>
  <c r="B865" i="7"/>
  <c r="A865" i="7"/>
  <c r="Z864" i="7"/>
  <c r="X864" i="7"/>
  <c r="W864" i="7"/>
  <c r="V864" i="7"/>
  <c r="U864" i="7"/>
  <c r="T864" i="7"/>
  <c r="S864" i="7"/>
  <c r="R864" i="7"/>
  <c r="Q864" i="7"/>
  <c r="P864" i="7"/>
  <c r="L864" i="7"/>
  <c r="K864" i="7"/>
  <c r="J864" i="7"/>
  <c r="I864" i="7"/>
  <c r="H864" i="7"/>
  <c r="G864" i="7"/>
  <c r="F864" i="7"/>
  <c r="E864" i="7"/>
  <c r="D864" i="7"/>
  <c r="C864" i="7"/>
  <c r="B864" i="7"/>
  <c r="A864" i="7"/>
  <c r="Z863" i="7"/>
  <c r="X863" i="7"/>
  <c r="W863" i="7"/>
  <c r="V863" i="7"/>
  <c r="U863" i="7"/>
  <c r="T863" i="7"/>
  <c r="S863" i="7"/>
  <c r="R863" i="7"/>
  <c r="Q863" i="7"/>
  <c r="P863" i="7"/>
  <c r="L863" i="7"/>
  <c r="K863" i="7"/>
  <c r="J863" i="7"/>
  <c r="I863" i="7"/>
  <c r="H863" i="7"/>
  <c r="G863" i="7"/>
  <c r="F863" i="7"/>
  <c r="E863" i="7"/>
  <c r="D863" i="7"/>
  <c r="C863" i="7"/>
  <c r="B863" i="7"/>
  <c r="A863" i="7"/>
  <c r="Z862" i="7"/>
  <c r="X862" i="7"/>
  <c r="W862" i="7"/>
  <c r="V862" i="7"/>
  <c r="U862" i="7"/>
  <c r="T862" i="7"/>
  <c r="S862" i="7"/>
  <c r="R862" i="7"/>
  <c r="Q862" i="7"/>
  <c r="P862" i="7"/>
  <c r="L862" i="7"/>
  <c r="K862" i="7"/>
  <c r="J862" i="7"/>
  <c r="I862" i="7"/>
  <c r="H862" i="7"/>
  <c r="G862" i="7"/>
  <c r="F862" i="7"/>
  <c r="E862" i="7"/>
  <c r="D862" i="7"/>
  <c r="C862" i="7"/>
  <c r="B862" i="7"/>
  <c r="A862" i="7"/>
  <c r="Z861" i="7"/>
  <c r="X861" i="7"/>
  <c r="W861" i="7"/>
  <c r="V861" i="7"/>
  <c r="U861" i="7"/>
  <c r="T861" i="7"/>
  <c r="S861" i="7"/>
  <c r="R861" i="7"/>
  <c r="Q861" i="7"/>
  <c r="P861" i="7"/>
  <c r="L861" i="7"/>
  <c r="K861" i="7"/>
  <c r="J861" i="7"/>
  <c r="I861" i="7"/>
  <c r="H861" i="7"/>
  <c r="G861" i="7"/>
  <c r="F861" i="7"/>
  <c r="E861" i="7"/>
  <c r="D861" i="7"/>
  <c r="C861" i="7"/>
  <c r="B861" i="7"/>
  <c r="A861" i="7"/>
  <c r="Z860" i="7"/>
  <c r="X860" i="7"/>
  <c r="W860" i="7"/>
  <c r="V860" i="7"/>
  <c r="U860" i="7"/>
  <c r="T860" i="7"/>
  <c r="S860" i="7"/>
  <c r="R860" i="7"/>
  <c r="Q860" i="7"/>
  <c r="P860" i="7"/>
  <c r="L860" i="7"/>
  <c r="K860" i="7"/>
  <c r="J860" i="7"/>
  <c r="I860" i="7"/>
  <c r="H860" i="7"/>
  <c r="G860" i="7"/>
  <c r="F860" i="7"/>
  <c r="E860" i="7"/>
  <c r="D860" i="7"/>
  <c r="C860" i="7"/>
  <c r="B860" i="7"/>
  <c r="A860" i="7"/>
  <c r="Z859" i="7"/>
  <c r="X859" i="7"/>
  <c r="W859" i="7"/>
  <c r="V859" i="7"/>
  <c r="U859" i="7"/>
  <c r="T859" i="7"/>
  <c r="S859" i="7"/>
  <c r="R859" i="7"/>
  <c r="Q859" i="7"/>
  <c r="P859" i="7"/>
  <c r="L859" i="7"/>
  <c r="K859" i="7"/>
  <c r="J859" i="7"/>
  <c r="I859" i="7"/>
  <c r="H859" i="7"/>
  <c r="G859" i="7"/>
  <c r="F859" i="7"/>
  <c r="E859" i="7"/>
  <c r="D859" i="7"/>
  <c r="C859" i="7"/>
  <c r="B859" i="7"/>
  <c r="A859" i="7"/>
  <c r="Z858" i="7"/>
  <c r="X858" i="7"/>
  <c r="W858" i="7"/>
  <c r="V858" i="7"/>
  <c r="U858" i="7"/>
  <c r="T858" i="7"/>
  <c r="S858" i="7"/>
  <c r="R858" i="7"/>
  <c r="Q858" i="7"/>
  <c r="P858" i="7"/>
  <c r="L858" i="7"/>
  <c r="K858" i="7"/>
  <c r="J858" i="7"/>
  <c r="I858" i="7"/>
  <c r="H858" i="7"/>
  <c r="G858" i="7"/>
  <c r="F858" i="7"/>
  <c r="E858" i="7"/>
  <c r="D858" i="7"/>
  <c r="C858" i="7"/>
  <c r="B858" i="7"/>
  <c r="A858" i="7"/>
  <c r="Z857" i="7"/>
  <c r="X857" i="7"/>
  <c r="W857" i="7"/>
  <c r="V857" i="7"/>
  <c r="U857" i="7"/>
  <c r="T857" i="7"/>
  <c r="S857" i="7"/>
  <c r="R857" i="7"/>
  <c r="Q857" i="7"/>
  <c r="P857" i="7"/>
  <c r="L857" i="7"/>
  <c r="K857" i="7"/>
  <c r="J857" i="7"/>
  <c r="I857" i="7"/>
  <c r="H857" i="7"/>
  <c r="G857" i="7"/>
  <c r="F857" i="7"/>
  <c r="E857" i="7"/>
  <c r="D857" i="7"/>
  <c r="C857" i="7"/>
  <c r="B857" i="7"/>
  <c r="A857" i="7"/>
  <c r="Z856" i="7"/>
  <c r="X856" i="7"/>
  <c r="W856" i="7"/>
  <c r="V856" i="7"/>
  <c r="U856" i="7"/>
  <c r="T856" i="7"/>
  <c r="S856" i="7"/>
  <c r="R856" i="7"/>
  <c r="Q856" i="7"/>
  <c r="P856" i="7"/>
  <c r="L856" i="7"/>
  <c r="K856" i="7"/>
  <c r="J856" i="7"/>
  <c r="I856" i="7"/>
  <c r="H856" i="7"/>
  <c r="G856" i="7"/>
  <c r="F856" i="7"/>
  <c r="E856" i="7"/>
  <c r="D856" i="7"/>
  <c r="C856" i="7"/>
  <c r="B856" i="7"/>
  <c r="A856" i="7"/>
  <c r="Z855" i="7"/>
  <c r="X855" i="7"/>
  <c r="W855" i="7"/>
  <c r="V855" i="7"/>
  <c r="U855" i="7"/>
  <c r="T855" i="7"/>
  <c r="S855" i="7"/>
  <c r="R855" i="7"/>
  <c r="Q855" i="7"/>
  <c r="P855" i="7"/>
  <c r="L855" i="7"/>
  <c r="K855" i="7"/>
  <c r="J855" i="7"/>
  <c r="I855" i="7"/>
  <c r="H855" i="7"/>
  <c r="G855" i="7"/>
  <c r="F855" i="7"/>
  <c r="E855" i="7"/>
  <c r="D855" i="7"/>
  <c r="C855" i="7"/>
  <c r="B855" i="7"/>
  <c r="A855" i="7"/>
  <c r="Z854" i="7"/>
  <c r="X854" i="7"/>
  <c r="W854" i="7"/>
  <c r="V854" i="7"/>
  <c r="U854" i="7"/>
  <c r="T854" i="7"/>
  <c r="S854" i="7"/>
  <c r="R854" i="7"/>
  <c r="Q854" i="7"/>
  <c r="P854" i="7"/>
  <c r="L854" i="7"/>
  <c r="K854" i="7"/>
  <c r="J854" i="7"/>
  <c r="I854" i="7"/>
  <c r="H854" i="7"/>
  <c r="G854" i="7"/>
  <c r="F854" i="7"/>
  <c r="E854" i="7"/>
  <c r="D854" i="7"/>
  <c r="C854" i="7"/>
  <c r="B854" i="7"/>
  <c r="A854" i="7"/>
  <c r="Z853" i="7"/>
  <c r="X853" i="7"/>
  <c r="W853" i="7"/>
  <c r="V853" i="7"/>
  <c r="U853" i="7"/>
  <c r="T853" i="7"/>
  <c r="S853" i="7"/>
  <c r="R853" i="7"/>
  <c r="Q853" i="7"/>
  <c r="P853" i="7"/>
  <c r="L853" i="7"/>
  <c r="K853" i="7"/>
  <c r="J853" i="7"/>
  <c r="I853" i="7"/>
  <c r="H853" i="7"/>
  <c r="G853" i="7"/>
  <c r="F853" i="7"/>
  <c r="E853" i="7"/>
  <c r="D853" i="7"/>
  <c r="C853" i="7"/>
  <c r="B853" i="7"/>
  <c r="A853" i="7"/>
  <c r="Z852" i="7"/>
  <c r="X852" i="7"/>
  <c r="W852" i="7"/>
  <c r="V852" i="7"/>
  <c r="U852" i="7"/>
  <c r="T852" i="7"/>
  <c r="S852" i="7"/>
  <c r="R852" i="7"/>
  <c r="Q852" i="7"/>
  <c r="P852" i="7"/>
  <c r="L852" i="7"/>
  <c r="K852" i="7"/>
  <c r="J852" i="7"/>
  <c r="I852" i="7"/>
  <c r="H852" i="7"/>
  <c r="G852" i="7"/>
  <c r="F852" i="7"/>
  <c r="E852" i="7"/>
  <c r="D852" i="7"/>
  <c r="C852" i="7"/>
  <c r="B852" i="7"/>
  <c r="A852" i="7"/>
  <c r="Z851" i="7"/>
  <c r="X851" i="7"/>
  <c r="W851" i="7"/>
  <c r="V851" i="7"/>
  <c r="U851" i="7"/>
  <c r="T851" i="7"/>
  <c r="S851" i="7"/>
  <c r="R851" i="7"/>
  <c r="Q851" i="7"/>
  <c r="P851" i="7"/>
  <c r="L851" i="7"/>
  <c r="K851" i="7"/>
  <c r="J851" i="7"/>
  <c r="I851" i="7"/>
  <c r="H851" i="7"/>
  <c r="G851" i="7"/>
  <c r="F851" i="7"/>
  <c r="E851" i="7"/>
  <c r="D851" i="7"/>
  <c r="C851" i="7"/>
  <c r="B851" i="7"/>
  <c r="A851" i="7"/>
  <c r="Z850" i="7"/>
  <c r="X850" i="7"/>
  <c r="W850" i="7"/>
  <c r="V850" i="7"/>
  <c r="U850" i="7"/>
  <c r="T850" i="7"/>
  <c r="S850" i="7"/>
  <c r="R850" i="7"/>
  <c r="Q850" i="7"/>
  <c r="P850" i="7"/>
  <c r="L850" i="7"/>
  <c r="K850" i="7"/>
  <c r="J850" i="7"/>
  <c r="I850" i="7"/>
  <c r="H850" i="7"/>
  <c r="G850" i="7"/>
  <c r="F850" i="7"/>
  <c r="E850" i="7"/>
  <c r="D850" i="7"/>
  <c r="C850" i="7"/>
  <c r="B850" i="7"/>
  <c r="A850" i="7"/>
  <c r="Z849" i="7"/>
  <c r="X849" i="7"/>
  <c r="W849" i="7"/>
  <c r="V849" i="7"/>
  <c r="U849" i="7"/>
  <c r="T849" i="7"/>
  <c r="S849" i="7"/>
  <c r="R849" i="7"/>
  <c r="Q849" i="7"/>
  <c r="P849" i="7"/>
  <c r="L849" i="7"/>
  <c r="K849" i="7"/>
  <c r="J849" i="7"/>
  <c r="I849" i="7"/>
  <c r="H849" i="7"/>
  <c r="G849" i="7"/>
  <c r="F849" i="7"/>
  <c r="E849" i="7"/>
  <c r="D849" i="7"/>
  <c r="C849" i="7"/>
  <c r="B849" i="7"/>
  <c r="A849" i="7"/>
  <c r="Z848" i="7"/>
  <c r="X848" i="7"/>
  <c r="W848" i="7"/>
  <c r="V848" i="7"/>
  <c r="U848" i="7"/>
  <c r="T848" i="7"/>
  <c r="S848" i="7"/>
  <c r="R848" i="7"/>
  <c r="Q848" i="7"/>
  <c r="P848" i="7"/>
  <c r="L848" i="7"/>
  <c r="K848" i="7"/>
  <c r="J848" i="7"/>
  <c r="I848" i="7"/>
  <c r="H848" i="7"/>
  <c r="G848" i="7"/>
  <c r="F848" i="7"/>
  <c r="E848" i="7"/>
  <c r="D848" i="7"/>
  <c r="C848" i="7"/>
  <c r="B848" i="7"/>
  <c r="A848" i="7"/>
  <c r="Z847" i="7"/>
  <c r="X847" i="7"/>
  <c r="W847" i="7"/>
  <c r="V847" i="7"/>
  <c r="U847" i="7"/>
  <c r="T847" i="7"/>
  <c r="S847" i="7"/>
  <c r="R847" i="7"/>
  <c r="Q847" i="7"/>
  <c r="P847" i="7"/>
  <c r="L847" i="7"/>
  <c r="K847" i="7"/>
  <c r="J847" i="7"/>
  <c r="I847" i="7"/>
  <c r="H847" i="7"/>
  <c r="G847" i="7"/>
  <c r="F847" i="7"/>
  <c r="E847" i="7"/>
  <c r="D847" i="7"/>
  <c r="C847" i="7"/>
  <c r="B847" i="7"/>
  <c r="A847" i="7"/>
  <c r="Z846" i="7"/>
  <c r="X846" i="7"/>
  <c r="W846" i="7"/>
  <c r="V846" i="7"/>
  <c r="U846" i="7"/>
  <c r="T846" i="7"/>
  <c r="S846" i="7"/>
  <c r="R846" i="7"/>
  <c r="Q846" i="7"/>
  <c r="P846" i="7"/>
  <c r="L846" i="7"/>
  <c r="K846" i="7"/>
  <c r="J846" i="7"/>
  <c r="I846" i="7"/>
  <c r="H846" i="7"/>
  <c r="G846" i="7"/>
  <c r="F846" i="7"/>
  <c r="E846" i="7"/>
  <c r="D846" i="7"/>
  <c r="C846" i="7"/>
  <c r="B846" i="7"/>
  <c r="A846" i="7"/>
  <c r="Z845" i="7"/>
  <c r="X845" i="7"/>
  <c r="W845" i="7"/>
  <c r="V845" i="7"/>
  <c r="U845" i="7"/>
  <c r="T845" i="7"/>
  <c r="S845" i="7"/>
  <c r="R845" i="7"/>
  <c r="Q845" i="7"/>
  <c r="P845" i="7"/>
  <c r="L845" i="7"/>
  <c r="K845" i="7"/>
  <c r="J845" i="7"/>
  <c r="I845" i="7"/>
  <c r="H845" i="7"/>
  <c r="G845" i="7"/>
  <c r="F845" i="7"/>
  <c r="E845" i="7"/>
  <c r="D845" i="7"/>
  <c r="C845" i="7"/>
  <c r="B845" i="7"/>
  <c r="A845" i="7"/>
  <c r="Z844" i="7"/>
  <c r="X844" i="7"/>
  <c r="W844" i="7"/>
  <c r="V844" i="7"/>
  <c r="U844" i="7"/>
  <c r="T844" i="7"/>
  <c r="S844" i="7"/>
  <c r="R844" i="7"/>
  <c r="Q844" i="7"/>
  <c r="P844" i="7"/>
  <c r="L844" i="7"/>
  <c r="K844" i="7"/>
  <c r="J844" i="7"/>
  <c r="I844" i="7"/>
  <c r="H844" i="7"/>
  <c r="G844" i="7"/>
  <c r="F844" i="7"/>
  <c r="E844" i="7"/>
  <c r="D844" i="7"/>
  <c r="C844" i="7"/>
  <c r="B844" i="7"/>
  <c r="A844" i="7"/>
  <c r="Z843" i="7"/>
  <c r="X843" i="7"/>
  <c r="W843" i="7"/>
  <c r="V843" i="7"/>
  <c r="U843" i="7"/>
  <c r="T843" i="7"/>
  <c r="S843" i="7"/>
  <c r="R843" i="7"/>
  <c r="Q843" i="7"/>
  <c r="P843" i="7"/>
  <c r="L843" i="7"/>
  <c r="K843" i="7"/>
  <c r="J843" i="7"/>
  <c r="I843" i="7"/>
  <c r="H843" i="7"/>
  <c r="G843" i="7"/>
  <c r="F843" i="7"/>
  <c r="E843" i="7"/>
  <c r="D843" i="7"/>
  <c r="C843" i="7"/>
  <c r="B843" i="7"/>
  <c r="A843" i="7"/>
  <c r="Z842" i="7"/>
  <c r="X842" i="7"/>
  <c r="W842" i="7"/>
  <c r="V842" i="7"/>
  <c r="U842" i="7"/>
  <c r="T842" i="7"/>
  <c r="S842" i="7"/>
  <c r="R842" i="7"/>
  <c r="Q842" i="7"/>
  <c r="P842" i="7"/>
  <c r="L842" i="7"/>
  <c r="K842" i="7"/>
  <c r="J842" i="7"/>
  <c r="I842" i="7"/>
  <c r="H842" i="7"/>
  <c r="G842" i="7"/>
  <c r="F842" i="7"/>
  <c r="E842" i="7"/>
  <c r="D842" i="7"/>
  <c r="C842" i="7"/>
  <c r="B842" i="7"/>
  <c r="A842" i="7"/>
  <c r="Z841" i="7"/>
  <c r="X841" i="7"/>
  <c r="W841" i="7"/>
  <c r="V841" i="7"/>
  <c r="U841" i="7"/>
  <c r="T841" i="7"/>
  <c r="S841" i="7"/>
  <c r="R841" i="7"/>
  <c r="Q841" i="7"/>
  <c r="P841" i="7"/>
  <c r="L841" i="7"/>
  <c r="K841" i="7"/>
  <c r="J841" i="7"/>
  <c r="I841" i="7"/>
  <c r="H841" i="7"/>
  <c r="G841" i="7"/>
  <c r="F841" i="7"/>
  <c r="E841" i="7"/>
  <c r="D841" i="7"/>
  <c r="C841" i="7"/>
  <c r="B841" i="7"/>
  <c r="A841" i="7"/>
  <c r="Z840" i="7"/>
  <c r="X840" i="7"/>
  <c r="W840" i="7"/>
  <c r="V840" i="7"/>
  <c r="U840" i="7"/>
  <c r="T840" i="7"/>
  <c r="S840" i="7"/>
  <c r="R840" i="7"/>
  <c r="Q840" i="7"/>
  <c r="P840" i="7"/>
  <c r="L840" i="7"/>
  <c r="K840" i="7"/>
  <c r="J840" i="7"/>
  <c r="I840" i="7"/>
  <c r="H840" i="7"/>
  <c r="G840" i="7"/>
  <c r="F840" i="7"/>
  <c r="E840" i="7"/>
  <c r="D840" i="7"/>
  <c r="C840" i="7"/>
  <c r="B840" i="7"/>
  <c r="A840" i="7"/>
  <c r="Z839" i="7"/>
  <c r="X839" i="7"/>
  <c r="W839" i="7"/>
  <c r="V839" i="7"/>
  <c r="U839" i="7"/>
  <c r="T839" i="7"/>
  <c r="S839" i="7"/>
  <c r="R839" i="7"/>
  <c r="Q839" i="7"/>
  <c r="P839" i="7"/>
  <c r="L839" i="7"/>
  <c r="K839" i="7"/>
  <c r="J839" i="7"/>
  <c r="I839" i="7"/>
  <c r="H839" i="7"/>
  <c r="G839" i="7"/>
  <c r="F839" i="7"/>
  <c r="E839" i="7"/>
  <c r="D839" i="7"/>
  <c r="C839" i="7"/>
  <c r="B839" i="7"/>
  <c r="A839" i="7"/>
  <c r="Z838" i="7"/>
  <c r="X838" i="7"/>
  <c r="W838" i="7"/>
  <c r="V838" i="7"/>
  <c r="U838" i="7"/>
  <c r="T838" i="7"/>
  <c r="S838" i="7"/>
  <c r="R838" i="7"/>
  <c r="Q838" i="7"/>
  <c r="P838" i="7"/>
  <c r="L838" i="7"/>
  <c r="K838" i="7"/>
  <c r="J838" i="7"/>
  <c r="I838" i="7"/>
  <c r="H838" i="7"/>
  <c r="G838" i="7"/>
  <c r="F838" i="7"/>
  <c r="E838" i="7"/>
  <c r="D838" i="7"/>
  <c r="C838" i="7"/>
  <c r="B838" i="7"/>
  <c r="A838" i="7"/>
  <c r="Z837" i="7"/>
  <c r="X837" i="7"/>
  <c r="W837" i="7"/>
  <c r="V837" i="7"/>
  <c r="U837" i="7"/>
  <c r="T837" i="7"/>
  <c r="S837" i="7"/>
  <c r="R837" i="7"/>
  <c r="Q837" i="7"/>
  <c r="P837" i="7"/>
  <c r="L837" i="7"/>
  <c r="K837" i="7"/>
  <c r="J837" i="7"/>
  <c r="I837" i="7"/>
  <c r="H837" i="7"/>
  <c r="G837" i="7"/>
  <c r="F837" i="7"/>
  <c r="E837" i="7"/>
  <c r="D837" i="7"/>
  <c r="C837" i="7"/>
  <c r="B837" i="7"/>
  <c r="A837" i="7"/>
  <c r="Z836" i="7"/>
  <c r="X836" i="7"/>
  <c r="W836" i="7"/>
  <c r="V836" i="7"/>
  <c r="U836" i="7"/>
  <c r="T836" i="7"/>
  <c r="S836" i="7"/>
  <c r="R836" i="7"/>
  <c r="Q836" i="7"/>
  <c r="P836" i="7"/>
  <c r="L836" i="7"/>
  <c r="K836" i="7"/>
  <c r="J836" i="7"/>
  <c r="I836" i="7"/>
  <c r="H836" i="7"/>
  <c r="G836" i="7"/>
  <c r="F836" i="7"/>
  <c r="E836" i="7"/>
  <c r="D836" i="7"/>
  <c r="C836" i="7"/>
  <c r="B836" i="7"/>
  <c r="A836" i="7"/>
  <c r="Z835" i="7"/>
  <c r="X835" i="7"/>
  <c r="W835" i="7"/>
  <c r="V835" i="7"/>
  <c r="U835" i="7"/>
  <c r="T835" i="7"/>
  <c r="S835" i="7"/>
  <c r="R835" i="7"/>
  <c r="Q835" i="7"/>
  <c r="P835" i="7"/>
  <c r="L835" i="7"/>
  <c r="K835" i="7"/>
  <c r="J835" i="7"/>
  <c r="I835" i="7"/>
  <c r="H835" i="7"/>
  <c r="G835" i="7"/>
  <c r="F835" i="7"/>
  <c r="E835" i="7"/>
  <c r="D835" i="7"/>
  <c r="C835" i="7"/>
  <c r="B835" i="7"/>
  <c r="A835" i="7"/>
  <c r="Z834" i="7"/>
  <c r="X834" i="7"/>
  <c r="W834" i="7"/>
  <c r="V834" i="7"/>
  <c r="U834" i="7"/>
  <c r="T834" i="7"/>
  <c r="S834" i="7"/>
  <c r="R834" i="7"/>
  <c r="Q834" i="7"/>
  <c r="P834" i="7"/>
  <c r="L834" i="7"/>
  <c r="K834" i="7"/>
  <c r="J834" i="7"/>
  <c r="I834" i="7"/>
  <c r="H834" i="7"/>
  <c r="G834" i="7"/>
  <c r="F834" i="7"/>
  <c r="E834" i="7"/>
  <c r="D834" i="7"/>
  <c r="C834" i="7"/>
  <c r="B834" i="7"/>
  <c r="A834" i="7"/>
  <c r="Z833" i="7"/>
  <c r="X833" i="7"/>
  <c r="W833" i="7"/>
  <c r="V833" i="7"/>
  <c r="U833" i="7"/>
  <c r="T833" i="7"/>
  <c r="S833" i="7"/>
  <c r="R833" i="7"/>
  <c r="Q833" i="7"/>
  <c r="P833" i="7"/>
  <c r="L833" i="7"/>
  <c r="K833" i="7"/>
  <c r="J833" i="7"/>
  <c r="I833" i="7"/>
  <c r="H833" i="7"/>
  <c r="G833" i="7"/>
  <c r="F833" i="7"/>
  <c r="E833" i="7"/>
  <c r="D833" i="7"/>
  <c r="C833" i="7"/>
  <c r="B833" i="7"/>
  <c r="A833" i="7"/>
  <c r="Z832" i="7"/>
  <c r="X832" i="7"/>
  <c r="W832" i="7"/>
  <c r="V832" i="7"/>
  <c r="U832" i="7"/>
  <c r="T832" i="7"/>
  <c r="S832" i="7"/>
  <c r="R832" i="7"/>
  <c r="Q832" i="7"/>
  <c r="P832" i="7"/>
  <c r="L832" i="7"/>
  <c r="K832" i="7"/>
  <c r="J832" i="7"/>
  <c r="I832" i="7"/>
  <c r="H832" i="7"/>
  <c r="G832" i="7"/>
  <c r="F832" i="7"/>
  <c r="E832" i="7"/>
  <c r="D832" i="7"/>
  <c r="C832" i="7"/>
  <c r="B832" i="7"/>
  <c r="A832" i="7"/>
  <c r="Z831" i="7"/>
  <c r="X831" i="7"/>
  <c r="W831" i="7"/>
  <c r="V831" i="7"/>
  <c r="U831" i="7"/>
  <c r="T831" i="7"/>
  <c r="S831" i="7"/>
  <c r="R831" i="7"/>
  <c r="Q831" i="7"/>
  <c r="P831" i="7"/>
  <c r="L831" i="7"/>
  <c r="K831" i="7"/>
  <c r="J831" i="7"/>
  <c r="I831" i="7"/>
  <c r="H831" i="7"/>
  <c r="G831" i="7"/>
  <c r="F831" i="7"/>
  <c r="E831" i="7"/>
  <c r="D831" i="7"/>
  <c r="C831" i="7"/>
  <c r="B831" i="7"/>
  <c r="A831" i="7"/>
  <c r="Z830" i="7"/>
  <c r="X830" i="7"/>
  <c r="W830" i="7"/>
  <c r="V830" i="7"/>
  <c r="U830" i="7"/>
  <c r="T830" i="7"/>
  <c r="S830" i="7"/>
  <c r="R830" i="7"/>
  <c r="Q830" i="7"/>
  <c r="P830" i="7"/>
  <c r="L830" i="7"/>
  <c r="K830" i="7"/>
  <c r="J830" i="7"/>
  <c r="I830" i="7"/>
  <c r="H830" i="7"/>
  <c r="G830" i="7"/>
  <c r="F830" i="7"/>
  <c r="E830" i="7"/>
  <c r="D830" i="7"/>
  <c r="C830" i="7"/>
  <c r="B830" i="7"/>
  <c r="A830" i="7"/>
  <c r="Z829" i="7"/>
  <c r="X829" i="7"/>
  <c r="W829" i="7"/>
  <c r="V829" i="7"/>
  <c r="U829" i="7"/>
  <c r="T829" i="7"/>
  <c r="S829" i="7"/>
  <c r="R829" i="7"/>
  <c r="Q829" i="7"/>
  <c r="P829" i="7"/>
  <c r="L829" i="7"/>
  <c r="K829" i="7"/>
  <c r="J829" i="7"/>
  <c r="I829" i="7"/>
  <c r="H829" i="7"/>
  <c r="G829" i="7"/>
  <c r="F829" i="7"/>
  <c r="E829" i="7"/>
  <c r="D829" i="7"/>
  <c r="C829" i="7"/>
  <c r="B829" i="7"/>
  <c r="A829" i="7"/>
  <c r="Z828" i="7"/>
  <c r="X828" i="7"/>
  <c r="W828" i="7"/>
  <c r="V828" i="7"/>
  <c r="U828" i="7"/>
  <c r="T828" i="7"/>
  <c r="S828" i="7"/>
  <c r="R828" i="7"/>
  <c r="Q828" i="7"/>
  <c r="P828" i="7"/>
  <c r="L828" i="7"/>
  <c r="K828" i="7"/>
  <c r="J828" i="7"/>
  <c r="I828" i="7"/>
  <c r="H828" i="7"/>
  <c r="G828" i="7"/>
  <c r="F828" i="7"/>
  <c r="E828" i="7"/>
  <c r="D828" i="7"/>
  <c r="C828" i="7"/>
  <c r="B828" i="7"/>
  <c r="A828" i="7"/>
  <c r="Z827" i="7"/>
  <c r="X827" i="7"/>
  <c r="W827" i="7"/>
  <c r="V827" i="7"/>
  <c r="U827" i="7"/>
  <c r="T827" i="7"/>
  <c r="S827" i="7"/>
  <c r="R827" i="7"/>
  <c r="Q827" i="7"/>
  <c r="P827" i="7"/>
  <c r="L827" i="7"/>
  <c r="K827" i="7"/>
  <c r="J827" i="7"/>
  <c r="I827" i="7"/>
  <c r="H827" i="7"/>
  <c r="G827" i="7"/>
  <c r="F827" i="7"/>
  <c r="E827" i="7"/>
  <c r="D827" i="7"/>
  <c r="C827" i="7"/>
  <c r="B827" i="7"/>
  <c r="A827" i="7"/>
  <c r="Z826" i="7"/>
  <c r="X826" i="7"/>
  <c r="W826" i="7"/>
  <c r="V826" i="7"/>
  <c r="U826" i="7"/>
  <c r="T826" i="7"/>
  <c r="S826" i="7"/>
  <c r="R826" i="7"/>
  <c r="Q826" i="7"/>
  <c r="P826" i="7"/>
  <c r="L826" i="7"/>
  <c r="K826" i="7"/>
  <c r="J826" i="7"/>
  <c r="I826" i="7"/>
  <c r="H826" i="7"/>
  <c r="G826" i="7"/>
  <c r="F826" i="7"/>
  <c r="E826" i="7"/>
  <c r="D826" i="7"/>
  <c r="C826" i="7"/>
  <c r="B826" i="7"/>
  <c r="A826" i="7"/>
  <c r="Z825" i="7"/>
  <c r="X825" i="7"/>
  <c r="W825" i="7"/>
  <c r="V825" i="7"/>
  <c r="U825" i="7"/>
  <c r="T825" i="7"/>
  <c r="S825" i="7"/>
  <c r="R825" i="7"/>
  <c r="Q825" i="7"/>
  <c r="P825" i="7"/>
  <c r="L825" i="7"/>
  <c r="K825" i="7"/>
  <c r="J825" i="7"/>
  <c r="I825" i="7"/>
  <c r="H825" i="7"/>
  <c r="G825" i="7"/>
  <c r="F825" i="7"/>
  <c r="E825" i="7"/>
  <c r="D825" i="7"/>
  <c r="C825" i="7"/>
  <c r="B825" i="7"/>
  <c r="A825" i="7"/>
  <c r="Z824" i="7"/>
  <c r="X824" i="7"/>
  <c r="W824" i="7"/>
  <c r="V824" i="7"/>
  <c r="U824" i="7"/>
  <c r="T824" i="7"/>
  <c r="S824" i="7"/>
  <c r="R824" i="7"/>
  <c r="Q824" i="7"/>
  <c r="P824" i="7"/>
  <c r="L824" i="7"/>
  <c r="K824" i="7"/>
  <c r="J824" i="7"/>
  <c r="I824" i="7"/>
  <c r="H824" i="7"/>
  <c r="G824" i="7"/>
  <c r="F824" i="7"/>
  <c r="E824" i="7"/>
  <c r="D824" i="7"/>
  <c r="C824" i="7"/>
  <c r="B824" i="7"/>
  <c r="A824" i="7"/>
  <c r="Z823" i="7"/>
  <c r="X823" i="7"/>
  <c r="W823" i="7"/>
  <c r="V823" i="7"/>
  <c r="U823" i="7"/>
  <c r="T823" i="7"/>
  <c r="S823" i="7"/>
  <c r="R823" i="7"/>
  <c r="Q823" i="7"/>
  <c r="P823" i="7"/>
  <c r="L823" i="7"/>
  <c r="K823" i="7"/>
  <c r="J823" i="7"/>
  <c r="I823" i="7"/>
  <c r="H823" i="7"/>
  <c r="G823" i="7"/>
  <c r="F823" i="7"/>
  <c r="E823" i="7"/>
  <c r="D823" i="7"/>
  <c r="C823" i="7"/>
  <c r="B823" i="7"/>
  <c r="A823" i="7"/>
  <c r="Z822" i="7"/>
  <c r="X822" i="7"/>
  <c r="W822" i="7"/>
  <c r="V822" i="7"/>
  <c r="U822" i="7"/>
  <c r="T822" i="7"/>
  <c r="S822" i="7"/>
  <c r="R822" i="7"/>
  <c r="Q822" i="7"/>
  <c r="P822" i="7"/>
  <c r="L822" i="7"/>
  <c r="K822" i="7"/>
  <c r="J822" i="7"/>
  <c r="I822" i="7"/>
  <c r="H822" i="7"/>
  <c r="G822" i="7"/>
  <c r="F822" i="7"/>
  <c r="E822" i="7"/>
  <c r="D822" i="7"/>
  <c r="C822" i="7"/>
  <c r="B822" i="7"/>
  <c r="A822" i="7"/>
  <c r="Z821" i="7"/>
  <c r="X821" i="7"/>
  <c r="W821" i="7"/>
  <c r="V821" i="7"/>
  <c r="U821" i="7"/>
  <c r="T821" i="7"/>
  <c r="S821" i="7"/>
  <c r="R821" i="7"/>
  <c r="Q821" i="7"/>
  <c r="P821" i="7"/>
  <c r="L821" i="7"/>
  <c r="K821" i="7"/>
  <c r="J821" i="7"/>
  <c r="I821" i="7"/>
  <c r="H821" i="7"/>
  <c r="G821" i="7"/>
  <c r="F821" i="7"/>
  <c r="E821" i="7"/>
  <c r="D821" i="7"/>
  <c r="C821" i="7"/>
  <c r="B821" i="7"/>
  <c r="A821" i="7"/>
  <c r="Z820" i="7"/>
  <c r="X820" i="7"/>
  <c r="W820" i="7"/>
  <c r="V820" i="7"/>
  <c r="U820" i="7"/>
  <c r="T820" i="7"/>
  <c r="S820" i="7"/>
  <c r="R820" i="7"/>
  <c r="Q820" i="7"/>
  <c r="P820" i="7"/>
  <c r="L820" i="7"/>
  <c r="K820" i="7"/>
  <c r="J820" i="7"/>
  <c r="I820" i="7"/>
  <c r="H820" i="7"/>
  <c r="G820" i="7"/>
  <c r="F820" i="7"/>
  <c r="E820" i="7"/>
  <c r="D820" i="7"/>
  <c r="C820" i="7"/>
  <c r="B820" i="7"/>
  <c r="A820" i="7"/>
  <c r="Z819" i="7"/>
  <c r="X819" i="7"/>
  <c r="W819" i="7"/>
  <c r="V819" i="7"/>
  <c r="U819" i="7"/>
  <c r="T819" i="7"/>
  <c r="S819" i="7"/>
  <c r="R819" i="7"/>
  <c r="Q819" i="7"/>
  <c r="P819" i="7"/>
  <c r="L819" i="7"/>
  <c r="K819" i="7"/>
  <c r="J819" i="7"/>
  <c r="I819" i="7"/>
  <c r="H819" i="7"/>
  <c r="G819" i="7"/>
  <c r="F819" i="7"/>
  <c r="E819" i="7"/>
  <c r="D819" i="7"/>
  <c r="C819" i="7"/>
  <c r="B819" i="7"/>
  <c r="A819" i="7"/>
  <c r="Z818" i="7"/>
  <c r="X818" i="7"/>
  <c r="W818" i="7"/>
  <c r="V818" i="7"/>
  <c r="U818" i="7"/>
  <c r="T818" i="7"/>
  <c r="S818" i="7"/>
  <c r="R818" i="7"/>
  <c r="Q818" i="7"/>
  <c r="P818" i="7"/>
  <c r="L818" i="7"/>
  <c r="K818" i="7"/>
  <c r="J818" i="7"/>
  <c r="I818" i="7"/>
  <c r="H818" i="7"/>
  <c r="G818" i="7"/>
  <c r="F818" i="7"/>
  <c r="E818" i="7"/>
  <c r="D818" i="7"/>
  <c r="C818" i="7"/>
  <c r="B818" i="7"/>
  <c r="A818" i="7"/>
  <c r="Z817" i="7"/>
  <c r="X817" i="7"/>
  <c r="W817" i="7"/>
  <c r="V817" i="7"/>
  <c r="U817" i="7"/>
  <c r="T817" i="7"/>
  <c r="S817" i="7"/>
  <c r="R817" i="7"/>
  <c r="Q817" i="7"/>
  <c r="P817" i="7"/>
  <c r="L817" i="7"/>
  <c r="K817" i="7"/>
  <c r="J817" i="7"/>
  <c r="I817" i="7"/>
  <c r="H817" i="7"/>
  <c r="G817" i="7"/>
  <c r="F817" i="7"/>
  <c r="E817" i="7"/>
  <c r="D817" i="7"/>
  <c r="C817" i="7"/>
  <c r="B817" i="7"/>
  <c r="A817" i="7"/>
  <c r="Z816" i="7"/>
  <c r="X816" i="7"/>
  <c r="W816" i="7"/>
  <c r="V816" i="7"/>
  <c r="U816" i="7"/>
  <c r="T816" i="7"/>
  <c r="S816" i="7"/>
  <c r="R816" i="7"/>
  <c r="Q816" i="7"/>
  <c r="P816" i="7"/>
  <c r="L816" i="7"/>
  <c r="K816" i="7"/>
  <c r="J816" i="7"/>
  <c r="I816" i="7"/>
  <c r="H816" i="7"/>
  <c r="G816" i="7"/>
  <c r="F816" i="7"/>
  <c r="E816" i="7"/>
  <c r="D816" i="7"/>
  <c r="C816" i="7"/>
  <c r="B816" i="7"/>
  <c r="A816" i="7"/>
  <c r="Z815" i="7"/>
  <c r="X815" i="7"/>
  <c r="W815" i="7"/>
  <c r="V815" i="7"/>
  <c r="U815" i="7"/>
  <c r="T815" i="7"/>
  <c r="S815" i="7"/>
  <c r="R815" i="7"/>
  <c r="Q815" i="7"/>
  <c r="P815" i="7"/>
  <c r="L815" i="7"/>
  <c r="K815" i="7"/>
  <c r="J815" i="7"/>
  <c r="I815" i="7"/>
  <c r="H815" i="7"/>
  <c r="G815" i="7"/>
  <c r="F815" i="7"/>
  <c r="E815" i="7"/>
  <c r="D815" i="7"/>
  <c r="C815" i="7"/>
  <c r="B815" i="7"/>
  <c r="A815" i="7"/>
  <c r="Z814" i="7"/>
  <c r="X814" i="7"/>
  <c r="W814" i="7"/>
  <c r="V814" i="7"/>
  <c r="U814" i="7"/>
  <c r="T814" i="7"/>
  <c r="S814" i="7"/>
  <c r="R814" i="7"/>
  <c r="Q814" i="7"/>
  <c r="P814" i="7"/>
  <c r="L814" i="7"/>
  <c r="K814" i="7"/>
  <c r="J814" i="7"/>
  <c r="I814" i="7"/>
  <c r="H814" i="7"/>
  <c r="G814" i="7"/>
  <c r="F814" i="7"/>
  <c r="E814" i="7"/>
  <c r="D814" i="7"/>
  <c r="C814" i="7"/>
  <c r="B814" i="7"/>
  <c r="A814" i="7"/>
  <c r="Z813" i="7"/>
  <c r="X813" i="7"/>
  <c r="W813" i="7"/>
  <c r="V813" i="7"/>
  <c r="U813" i="7"/>
  <c r="T813" i="7"/>
  <c r="S813" i="7"/>
  <c r="R813" i="7"/>
  <c r="Q813" i="7"/>
  <c r="P813" i="7"/>
  <c r="L813" i="7"/>
  <c r="K813" i="7"/>
  <c r="J813" i="7"/>
  <c r="I813" i="7"/>
  <c r="H813" i="7"/>
  <c r="G813" i="7"/>
  <c r="F813" i="7"/>
  <c r="E813" i="7"/>
  <c r="D813" i="7"/>
  <c r="C813" i="7"/>
  <c r="B813" i="7"/>
  <c r="A813" i="7"/>
  <c r="Z812" i="7"/>
  <c r="X812" i="7"/>
  <c r="W812" i="7"/>
  <c r="V812" i="7"/>
  <c r="U812" i="7"/>
  <c r="T812" i="7"/>
  <c r="S812" i="7"/>
  <c r="R812" i="7"/>
  <c r="Q812" i="7"/>
  <c r="P812" i="7"/>
  <c r="L812" i="7"/>
  <c r="K812" i="7"/>
  <c r="J812" i="7"/>
  <c r="I812" i="7"/>
  <c r="H812" i="7"/>
  <c r="G812" i="7"/>
  <c r="F812" i="7"/>
  <c r="E812" i="7"/>
  <c r="D812" i="7"/>
  <c r="C812" i="7"/>
  <c r="B812" i="7"/>
  <c r="A812" i="7"/>
  <c r="Z811" i="7"/>
  <c r="X811" i="7"/>
  <c r="W811" i="7"/>
  <c r="V811" i="7"/>
  <c r="U811" i="7"/>
  <c r="T811" i="7"/>
  <c r="S811" i="7"/>
  <c r="R811" i="7"/>
  <c r="Q811" i="7"/>
  <c r="P811" i="7"/>
  <c r="L811" i="7"/>
  <c r="K811" i="7"/>
  <c r="J811" i="7"/>
  <c r="I811" i="7"/>
  <c r="H811" i="7"/>
  <c r="G811" i="7"/>
  <c r="F811" i="7"/>
  <c r="E811" i="7"/>
  <c r="D811" i="7"/>
  <c r="C811" i="7"/>
  <c r="B811" i="7"/>
  <c r="A811" i="7"/>
  <c r="Z810" i="7"/>
  <c r="X810" i="7"/>
  <c r="W810" i="7"/>
  <c r="V810" i="7"/>
  <c r="U810" i="7"/>
  <c r="T810" i="7"/>
  <c r="S810" i="7"/>
  <c r="R810" i="7"/>
  <c r="Q810" i="7"/>
  <c r="P810" i="7"/>
  <c r="L810" i="7"/>
  <c r="K810" i="7"/>
  <c r="J810" i="7"/>
  <c r="I810" i="7"/>
  <c r="H810" i="7"/>
  <c r="G810" i="7"/>
  <c r="F810" i="7"/>
  <c r="E810" i="7"/>
  <c r="D810" i="7"/>
  <c r="C810" i="7"/>
  <c r="B810" i="7"/>
  <c r="A810" i="7"/>
  <c r="Z809" i="7"/>
  <c r="X809" i="7"/>
  <c r="W809" i="7"/>
  <c r="V809" i="7"/>
  <c r="U809" i="7"/>
  <c r="T809" i="7"/>
  <c r="S809" i="7"/>
  <c r="R809" i="7"/>
  <c r="Q809" i="7"/>
  <c r="P809" i="7"/>
  <c r="L809" i="7"/>
  <c r="K809" i="7"/>
  <c r="J809" i="7"/>
  <c r="I809" i="7"/>
  <c r="H809" i="7"/>
  <c r="G809" i="7"/>
  <c r="F809" i="7"/>
  <c r="E809" i="7"/>
  <c r="D809" i="7"/>
  <c r="C809" i="7"/>
  <c r="B809" i="7"/>
  <c r="A809" i="7"/>
  <c r="Z808" i="7"/>
  <c r="X808" i="7"/>
  <c r="W808" i="7"/>
  <c r="V808" i="7"/>
  <c r="U808" i="7"/>
  <c r="T808" i="7"/>
  <c r="S808" i="7"/>
  <c r="R808" i="7"/>
  <c r="Q808" i="7"/>
  <c r="P808" i="7"/>
  <c r="L808" i="7"/>
  <c r="K808" i="7"/>
  <c r="J808" i="7"/>
  <c r="I808" i="7"/>
  <c r="H808" i="7"/>
  <c r="G808" i="7"/>
  <c r="F808" i="7"/>
  <c r="E808" i="7"/>
  <c r="D808" i="7"/>
  <c r="C808" i="7"/>
  <c r="B808" i="7"/>
  <c r="A808" i="7"/>
  <c r="Z807" i="7"/>
  <c r="X807" i="7"/>
  <c r="W807" i="7"/>
  <c r="V807" i="7"/>
  <c r="U807" i="7"/>
  <c r="T807" i="7"/>
  <c r="S807" i="7"/>
  <c r="R807" i="7"/>
  <c r="Q807" i="7"/>
  <c r="P807" i="7"/>
  <c r="L807" i="7"/>
  <c r="K807" i="7"/>
  <c r="J807" i="7"/>
  <c r="I807" i="7"/>
  <c r="H807" i="7"/>
  <c r="G807" i="7"/>
  <c r="F807" i="7"/>
  <c r="E807" i="7"/>
  <c r="D807" i="7"/>
  <c r="C807" i="7"/>
  <c r="B807" i="7"/>
  <c r="A807" i="7"/>
  <c r="Z806" i="7"/>
  <c r="X806" i="7"/>
  <c r="W806" i="7"/>
  <c r="V806" i="7"/>
  <c r="U806" i="7"/>
  <c r="T806" i="7"/>
  <c r="S806" i="7"/>
  <c r="R806" i="7"/>
  <c r="Q806" i="7"/>
  <c r="P806" i="7"/>
  <c r="L806" i="7"/>
  <c r="K806" i="7"/>
  <c r="J806" i="7"/>
  <c r="I806" i="7"/>
  <c r="H806" i="7"/>
  <c r="G806" i="7"/>
  <c r="F806" i="7"/>
  <c r="E806" i="7"/>
  <c r="D806" i="7"/>
  <c r="C806" i="7"/>
  <c r="B806" i="7"/>
  <c r="A806" i="7"/>
  <c r="Z805" i="7"/>
  <c r="X805" i="7"/>
  <c r="W805" i="7"/>
  <c r="V805" i="7"/>
  <c r="U805" i="7"/>
  <c r="T805" i="7"/>
  <c r="S805" i="7"/>
  <c r="R805" i="7"/>
  <c r="Q805" i="7"/>
  <c r="P805" i="7"/>
  <c r="L805" i="7"/>
  <c r="K805" i="7"/>
  <c r="J805" i="7"/>
  <c r="I805" i="7"/>
  <c r="H805" i="7"/>
  <c r="G805" i="7"/>
  <c r="F805" i="7"/>
  <c r="E805" i="7"/>
  <c r="D805" i="7"/>
  <c r="C805" i="7"/>
  <c r="B805" i="7"/>
  <c r="A805" i="7"/>
  <c r="Z804" i="7"/>
  <c r="X804" i="7"/>
  <c r="W804" i="7"/>
  <c r="V804" i="7"/>
  <c r="U804" i="7"/>
  <c r="T804" i="7"/>
  <c r="S804" i="7"/>
  <c r="R804" i="7"/>
  <c r="Q804" i="7"/>
  <c r="P804" i="7"/>
  <c r="L804" i="7"/>
  <c r="K804" i="7"/>
  <c r="J804" i="7"/>
  <c r="I804" i="7"/>
  <c r="H804" i="7"/>
  <c r="G804" i="7"/>
  <c r="F804" i="7"/>
  <c r="E804" i="7"/>
  <c r="D804" i="7"/>
  <c r="C804" i="7"/>
  <c r="B804" i="7"/>
  <c r="A804" i="7"/>
  <c r="Z803" i="7"/>
  <c r="X803" i="7"/>
  <c r="W803" i="7"/>
  <c r="V803" i="7"/>
  <c r="U803" i="7"/>
  <c r="T803" i="7"/>
  <c r="S803" i="7"/>
  <c r="R803" i="7"/>
  <c r="Q803" i="7"/>
  <c r="P803" i="7"/>
  <c r="L803" i="7"/>
  <c r="K803" i="7"/>
  <c r="J803" i="7"/>
  <c r="I803" i="7"/>
  <c r="H803" i="7"/>
  <c r="G803" i="7"/>
  <c r="F803" i="7"/>
  <c r="E803" i="7"/>
  <c r="D803" i="7"/>
  <c r="C803" i="7"/>
  <c r="B803" i="7"/>
  <c r="A803" i="7"/>
  <c r="Z802" i="7"/>
  <c r="X802" i="7"/>
  <c r="W802" i="7"/>
  <c r="V802" i="7"/>
  <c r="U802" i="7"/>
  <c r="T802" i="7"/>
  <c r="S802" i="7"/>
  <c r="R802" i="7"/>
  <c r="Q802" i="7"/>
  <c r="P802" i="7"/>
  <c r="L802" i="7"/>
  <c r="K802" i="7"/>
  <c r="J802" i="7"/>
  <c r="I802" i="7"/>
  <c r="H802" i="7"/>
  <c r="G802" i="7"/>
  <c r="F802" i="7"/>
  <c r="E802" i="7"/>
  <c r="D802" i="7"/>
  <c r="C802" i="7"/>
  <c r="B802" i="7"/>
  <c r="A802" i="7"/>
  <c r="Z801" i="7"/>
  <c r="X801" i="7"/>
  <c r="W801" i="7"/>
  <c r="V801" i="7"/>
  <c r="U801" i="7"/>
  <c r="T801" i="7"/>
  <c r="S801" i="7"/>
  <c r="R801" i="7"/>
  <c r="Q801" i="7"/>
  <c r="P801" i="7"/>
  <c r="L801" i="7"/>
  <c r="K801" i="7"/>
  <c r="J801" i="7"/>
  <c r="I801" i="7"/>
  <c r="H801" i="7"/>
  <c r="G801" i="7"/>
  <c r="F801" i="7"/>
  <c r="E801" i="7"/>
  <c r="D801" i="7"/>
  <c r="C801" i="7"/>
  <c r="B801" i="7"/>
  <c r="A801" i="7"/>
  <c r="Z800" i="7"/>
  <c r="X800" i="7"/>
  <c r="W800" i="7"/>
  <c r="V800" i="7"/>
  <c r="U800" i="7"/>
  <c r="T800" i="7"/>
  <c r="S800" i="7"/>
  <c r="R800" i="7"/>
  <c r="Q800" i="7"/>
  <c r="P800" i="7"/>
  <c r="L800" i="7"/>
  <c r="K800" i="7"/>
  <c r="J800" i="7"/>
  <c r="I800" i="7"/>
  <c r="H800" i="7"/>
  <c r="G800" i="7"/>
  <c r="F800" i="7"/>
  <c r="E800" i="7"/>
  <c r="D800" i="7"/>
  <c r="C800" i="7"/>
  <c r="B800" i="7"/>
  <c r="A800" i="7"/>
  <c r="Z799" i="7"/>
  <c r="X799" i="7"/>
  <c r="W799" i="7"/>
  <c r="V799" i="7"/>
  <c r="U799" i="7"/>
  <c r="T799" i="7"/>
  <c r="S799" i="7"/>
  <c r="R799" i="7"/>
  <c r="Q799" i="7"/>
  <c r="P799" i="7"/>
  <c r="L799" i="7"/>
  <c r="K799" i="7"/>
  <c r="J799" i="7"/>
  <c r="I799" i="7"/>
  <c r="H799" i="7"/>
  <c r="G799" i="7"/>
  <c r="F799" i="7"/>
  <c r="E799" i="7"/>
  <c r="D799" i="7"/>
  <c r="C799" i="7"/>
  <c r="B799" i="7"/>
  <c r="A799" i="7"/>
  <c r="Z798" i="7"/>
  <c r="X798" i="7"/>
  <c r="W798" i="7"/>
  <c r="V798" i="7"/>
  <c r="U798" i="7"/>
  <c r="T798" i="7"/>
  <c r="S798" i="7"/>
  <c r="R798" i="7"/>
  <c r="Q798" i="7"/>
  <c r="P798" i="7"/>
  <c r="L798" i="7"/>
  <c r="K798" i="7"/>
  <c r="J798" i="7"/>
  <c r="I798" i="7"/>
  <c r="H798" i="7"/>
  <c r="G798" i="7"/>
  <c r="F798" i="7"/>
  <c r="E798" i="7"/>
  <c r="D798" i="7"/>
  <c r="C798" i="7"/>
  <c r="B798" i="7"/>
  <c r="A798" i="7"/>
  <c r="Z797" i="7"/>
  <c r="X797" i="7"/>
  <c r="W797" i="7"/>
  <c r="V797" i="7"/>
  <c r="U797" i="7"/>
  <c r="T797" i="7"/>
  <c r="S797" i="7"/>
  <c r="R797" i="7"/>
  <c r="Q797" i="7"/>
  <c r="P797" i="7"/>
  <c r="L797" i="7"/>
  <c r="K797" i="7"/>
  <c r="J797" i="7"/>
  <c r="I797" i="7"/>
  <c r="H797" i="7"/>
  <c r="G797" i="7"/>
  <c r="F797" i="7"/>
  <c r="E797" i="7"/>
  <c r="D797" i="7"/>
  <c r="C797" i="7"/>
  <c r="B797" i="7"/>
  <c r="A797" i="7"/>
  <c r="Z796" i="7"/>
  <c r="X796" i="7"/>
  <c r="W796" i="7"/>
  <c r="V796" i="7"/>
  <c r="U796" i="7"/>
  <c r="T796" i="7"/>
  <c r="S796" i="7"/>
  <c r="R796" i="7"/>
  <c r="Q796" i="7"/>
  <c r="P796" i="7"/>
  <c r="L796" i="7"/>
  <c r="K796" i="7"/>
  <c r="J796" i="7"/>
  <c r="I796" i="7"/>
  <c r="H796" i="7"/>
  <c r="G796" i="7"/>
  <c r="F796" i="7"/>
  <c r="E796" i="7"/>
  <c r="D796" i="7"/>
  <c r="C796" i="7"/>
  <c r="B796" i="7"/>
  <c r="A796" i="7"/>
  <c r="Z795" i="7"/>
  <c r="X795" i="7"/>
  <c r="W795" i="7"/>
  <c r="V795" i="7"/>
  <c r="U795" i="7"/>
  <c r="T795" i="7"/>
  <c r="S795" i="7"/>
  <c r="R795" i="7"/>
  <c r="Q795" i="7"/>
  <c r="P795" i="7"/>
  <c r="L795" i="7"/>
  <c r="K795" i="7"/>
  <c r="J795" i="7"/>
  <c r="I795" i="7"/>
  <c r="H795" i="7"/>
  <c r="G795" i="7"/>
  <c r="F795" i="7"/>
  <c r="E795" i="7"/>
  <c r="D795" i="7"/>
  <c r="C795" i="7"/>
  <c r="B795" i="7"/>
  <c r="A795" i="7"/>
  <c r="Z794" i="7"/>
  <c r="X794" i="7"/>
  <c r="W794" i="7"/>
  <c r="V794" i="7"/>
  <c r="U794" i="7"/>
  <c r="T794" i="7"/>
  <c r="S794" i="7"/>
  <c r="R794" i="7"/>
  <c r="Q794" i="7"/>
  <c r="P794" i="7"/>
  <c r="L794" i="7"/>
  <c r="K794" i="7"/>
  <c r="J794" i="7"/>
  <c r="I794" i="7"/>
  <c r="H794" i="7"/>
  <c r="G794" i="7"/>
  <c r="F794" i="7"/>
  <c r="E794" i="7"/>
  <c r="D794" i="7"/>
  <c r="C794" i="7"/>
  <c r="B794" i="7"/>
  <c r="A794" i="7"/>
  <c r="Z793" i="7"/>
  <c r="X793" i="7"/>
  <c r="W793" i="7"/>
  <c r="V793" i="7"/>
  <c r="U793" i="7"/>
  <c r="T793" i="7"/>
  <c r="S793" i="7"/>
  <c r="R793" i="7"/>
  <c r="Q793" i="7"/>
  <c r="P793" i="7"/>
  <c r="L793" i="7"/>
  <c r="K793" i="7"/>
  <c r="J793" i="7"/>
  <c r="I793" i="7"/>
  <c r="H793" i="7"/>
  <c r="G793" i="7"/>
  <c r="F793" i="7"/>
  <c r="E793" i="7"/>
  <c r="D793" i="7"/>
  <c r="C793" i="7"/>
  <c r="B793" i="7"/>
  <c r="A793" i="7"/>
  <c r="Z792" i="7"/>
  <c r="X792" i="7"/>
  <c r="W792" i="7"/>
  <c r="V792" i="7"/>
  <c r="U792" i="7"/>
  <c r="T792" i="7"/>
  <c r="S792" i="7"/>
  <c r="R792" i="7"/>
  <c r="Q792" i="7"/>
  <c r="P792" i="7"/>
  <c r="L792" i="7"/>
  <c r="K792" i="7"/>
  <c r="J792" i="7"/>
  <c r="I792" i="7"/>
  <c r="H792" i="7"/>
  <c r="G792" i="7"/>
  <c r="F792" i="7"/>
  <c r="E792" i="7"/>
  <c r="D792" i="7"/>
  <c r="C792" i="7"/>
  <c r="B792" i="7"/>
  <c r="A792" i="7"/>
  <c r="Z791" i="7"/>
  <c r="X791" i="7"/>
  <c r="W791" i="7"/>
  <c r="V791" i="7"/>
  <c r="U791" i="7"/>
  <c r="T791" i="7"/>
  <c r="S791" i="7"/>
  <c r="R791" i="7"/>
  <c r="Q791" i="7"/>
  <c r="P791" i="7"/>
  <c r="L791" i="7"/>
  <c r="K791" i="7"/>
  <c r="J791" i="7"/>
  <c r="I791" i="7"/>
  <c r="H791" i="7"/>
  <c r="G791" i="7"/>
  <c r="F791" i="7"/>
  <c r="E791" i="7"/>
  <c r="D791" i="7"/>
  <c r="C791" i="7"/>
  <c r="B791" i="7"/>
  <c r="A791" i="7"/>
  <c r="Z790" i="7"/>
  <c r="X790" i="7"/>
  <c r="W790" i="7"/>
  <c r="V790" i="7"/>
  <c r="U790" i="7"/>
  <c r="T790" i="7"/>
  <c r="S790" i="7"/>
  <c r="R790" i="7"/>
  <c r="Q790" i="7"/>
  <c r="P790" i="7"/>
  <c r="L790" i="7"/>
  <c r="K790" i="7"/>
  <c r="J790" i="7"/>
  <c r="I790" i="7"/>
  <c r="H790" i="7"/>
  <c r="G790" i="7"/>
  <c r="F790" i="7"/>
  <c r="E790" i="7"/>
  <c r="D790" i="7"/>
  <c r="C790" i="7"/>
  <c r="B790" i="7"/>
  <c r="A790" i="7"/>
  <c r="Z789" i="7"/>
  <c r="X789" i="7"/>
  <c r="W789" i="7"/>
  <c r="V789" i="7"/>
  <c r="U789" i="7"/>
  <c r="T789" i="7"/>
  <c r="S789" i="7"/>
  <c r="R789" i="7"/>
  <c r="Q789" i="7"/>
  <c r="P789" i="7"/>
  <c r="L789" i="7"/>
  <c r="K789" i="7"/>
  <c r="J789" i="7"/>
  <c r="I789" i="7"/>
  <c r="H789" i="7"/>
  <c r="G789" i="7"/>
  <c r="F789" i="7"/>
  <c r="E789" i="7"/>
  <c r="D789" i="7"/>
  <c r="C789" i="7"/>
  <c r="B789" i="7"/>
  <c r="A789" i="7"/>
  <c r="Z788" i="7"/>
  <c r="X788" i="7"/>
  <c r="W788" i="7"/>
  <c r="V788" i="7"/>
  <c r="U788" i="7"/>
  <c r="T788" i="7"/>
  <c r="S788" i="7"/>
  <c r="R788" i="7"/>
  <c r="Q788" i="7"/>
  <c r="P788" i="7"/>
  <c r="L788" i="7"/>
  <c r="K788" i="7"/>
  <c r="J788" i="7"/>
  <c r="I788" i="7"/>
  <c r="H788" i="7"/>
  <c r="G788" i="7"/>
  <c r="F788" i="7"/>
  <c r="E788" i="7"/>
  <c r="D788" i="7"/>
  <c r="C788" i="7"/>
  <c r="B788" i="7"/>
  <c r="A788" i="7"/>
  <c r="Z787" i="7"/>
  <c r="X787" i="7"/>
  <c r="W787" i="7"/>
  <c r="V787" i="7"/>
  <c r="U787" i="7"/>
  <c r="T787" i="7"/>
  <c r="S787" i="7"/>
  <c r="R787" i="7"/>
  <c r="Q787" i="7"/>
  <c r="P787" i="7"/>
  <c r="L787" i="7"/>
  <c r="K787" i="7"/>
  <c r="J787" i="7"/>
  <c r="I787" i="7"/>
  <c r="H787" i="7"/>
  <c r="G787" i="7"/>
  <c r="F787" i="7"/>
  <c r="E787" i="7"/>
  <c r="D787" i="7"/>
  <c r="C787" i="7"/>
  <c r="B787" i="7"/>
  <c r="A787" i="7"/>
  <c r="Z786" i="7"/>
  <c r="X786" i="7"/>
  <c r="W786" i="7"/>
  <c r="V786" i="7"/>
  <c r="U786" i="7"/>
  <c r="T786" i="7"/>
  <c r="S786" i="7"/>
  <c r="R786" i="7"/>
  <c r="Q786" i="7"/>
  <c r="P786" i="7"/>
  <c r="L786" i="7"/>
  <c r="K786" i="7"/>
  <c r="J786" i="7"/>
  <c r="I786" i="7"/>
  <c r="H786" i="7"/>
  <c r="G786" i="7"/>
  <c r="F786" i="7"/>
  <c r="E786" i="7"/>
  <c r="D786" i="7"/>
  <c r="C786" i="7"/>
  <c r="B786" i="7"/>
  <c r="A786" i="7"/>
  <c r="Z785" i="7"/>
  <c r="X785" i="7"/>
  <c r="W785" i="7"/>
  <c r="V785" i="7"/>
  <c r="U785" i="7"/>
  <c r="T785" i="7"/>
  <c r="S785" i="7"/>
  <c r="R785" i="7"/>
  <c r="Q785" i="7"/>
  <c r="P785" i="7"/>
  <c r="L785" i="7"/>
  <c r="K785" i="7"/>
  <c r="J785" i="7"/>
  <c r="I785" i="7"/>
  <c r="H785" i="7"/>
  <c r="G785" i="7"/>
  <c r="F785" i="7"/>
  <c r="E785" i="7"/>
  <c r="D785" i="7"/>
  <c r="C785" i="7"/>
  <c r="B785" i="7"/>
  <c r="A785" i="7"/>
  <c r="Z784" i="7"/>
  <c r="X784" i="7"/>
  <c r="W784" i="7"/>
  <c r="V784" i="7"/>
  <c r="U784" i="7"/>
  <c r="T784" i="7"/>
  <c r="S784" i="7"/>
  <c r="R784" i="7"/>
  <c r="Q784" i="7"/>
  <c r="P784" i="7"/>
  <c r="L784" i="7"/>
  <c r="K784" i="7"/>
  <c r="J784" i="7"/>
  <c r="I784" i="7"/>
  <c r="H784" i="7"/>
  <c r="G784" i="7"/>
  <c r="F784" i="7"/>
  <c r="E784" i="7"/>
  <c r="D784" i="7"/>
  <c r="C784" i="7"/>
  <c r="B784" i="7"/>
  <c r="A784" i="7"/>
  <c r="Z783" i="7"/>
  <c r="X783" i="7"/>
  <c r="W783" i="7"/>
  <c r="V783" i="7"/>
  <c r="U783" i="7"/>
  <c r="T783" i="7"/>
  <c r="S783" i="7"/>
  <c r="R783" i="7"/>
  <c r="Q783" i="7"/>
  <c r="P783" i="7"/>
  <c r="L783" i="7"/>
  <c r="K783" i="7"/>
  <c r="J783" i="7"/>
  <c r="I783" i="7"/>
  <c r="H783" i="7"/>
  <c r="G783" i="7"/>
  <c r="F783" i="7"/>
  <c r="E783" i="7"/>
  <c r="D783" i="7"/>
  <c r="C783" i="7"/>
  <c r="B783" i="7"/>
  <c r="A783" i="7"/>
  <c r="Z782" i="7"/>
  <c r="X782" i="7"/>
  <c r="W782" i="7"/>
  <c r="V782" i="7"/>
  <c r="U782" i="7"/>
  <c r="T782" i="7"/>
  <c r="S782" i="7"/>
  <c r="R782" i="7"/>
  <c r="Q782" i="7"/>
  <c r="P782" i="7"/>
  <c r="L782" i="7"/>
  <c r="K782" i="7"/>
  <c r="J782" i="7"/>
  <c r="I782" i="7"/>
  <c r="H782" i="7"/>
  <c r="G782" i="7"/>
  <c r="F782" i="7"/>
  <c r="E782" i="7"/>
  <c r="D782" i="7"/>
  <c r="C782" i="7"/>
  <c r="B782" i="7"/>
  <c r="A782" i="7"/>
  <c r="Z781" i="7"/>
  <c r="X781" i="7"/>
  <c r="W781" i="7"/>
  <c r="V781" i="7"/>
  <c r="U781" i="7"/>
  <c r="T781" i="7"/>
  <c r="S781" i="7"/>
  <c r="R781" i="7"/>
  <c r="Q781" i="7"/>
  <c r="P781" i="7"/>
  <c r="L781" i="7"/>
  <c r="K781" i="7"/>
  <c r="J781" i="7"/>
  <c r="I781" i="7"/>
  <c r="H781" i="7"/>
  <c r="G781" i="7"/>
  <c r="F781" i="7"/>
  <c r="E781" i="7"/>
  <c r="D781" i="7"/>
  <c r="C781" i="7"/>
  <c r="B781" i="7"/>
  <c r="A781" i="7"/>
  <c r="Z780" i="7"/>
  <c r="X780" i="7"/>
  <c r="W780" i="7"/>
  <c r="V780" i="7"/>
  <c r="U780" i="7"/>
  <c r="T780" i="7"/>
  <c r="S780" i="7"/>
  <c r="R780" i="7"/>
  <c r="Q780" i="7"/>
  <c r="P780" i="7"/>
  <c r="L780" i="7"/>
  <c r="K780" i="7"/>
  <c r="J780" i="7"/>
  <c r="I780" i="7"/>
  <c r="H780" i="7"/>
  <c r="G780" i="7"/>
  <c r="F780" i="7"/>
  <c r="E780" i="7"/>
  <c r="D780" i="7"/>
  <c r="C780" i="7"/>
  <c r="B780" i="7"/>
  <c r="A780" i="7"/>
  <c r="Z779" i="7"/>
  <c r="X779" i="7"/>
  <c r="W779" i="7"/>
  <c r="V779" i="7"/>
  <c r="U779" i="7"/>
  <c r="T779" i="7"/>
  <c r="S779" i="7"/>
  <c r="R779" i="7"/>
  <c r="Q779" i="7"/>
  <c r="P779" i="7"/>
  <c r="L779" i="7"/>
  <c r="K779" i="7"/>
  <c r="J779" i="7"/>
  <c r="I779" i="7"/>
  <c r="H779" i="7"/>
  <c r="G779" i="7"/>
  <c r="F779" i="7"/>
  <c r="E779" i="7"/>
  <c r="D779" i="7"/>
  <c r="C779" i="7"/>
  <c r="B779" i="7"/>
  <c r="A779" i="7"/>
  <c r="Z778" i="7"/>
  <c r="X778" i="7"/>
  <c r="W778" i="7"/>
  <c r="V778" i="7"/>
  <c r="U778" i="7"/>
  <c r="T778" i="7"/>
  <c r="S778" i="7"/>
  <c r="R778" i="7"/>
  <c r="Q778" i="7"/>
  <c r="P778" i="7"/>
  <c r="L778" i="7"/>
  <c r="K778" i="7"/>
  <c r="J778" i="7"/>
  <c r="I778" i="7"/>
  <c r="H778" i="7"/>
  <c r="G778" i="7"/>
  <c r="F778" i="7"/>
  <c r="E778" i="7"/>
  <c r="D778" i="7"/>
  <c r="C778" i="7"/>
  <c r="B778" i="7"/>
  <c r="A778" i="7"/>
  <c r="Z777" i="7"/>
  <c r="X777" i="7"/>
  <c r="W777" i="7"/>
  <c r="V777" i="7"/>
  <c r="U777" i="7"/>
  <c r="T777" i="7"/>
  <c r="S777" i="7"/>
  <c r="R777" i="7"/>
  <c r="Q777" i="7"/>
  <c r="P777" i="7"/>
  <c r="L777" i="7"/>
  <c r="K777" i="7"/>
  <c r="J777" i="7"/>
  <c r="I777" i="7"/>
  <c r="H777" i="7"/>
  <c r="G777" i="7"/>
  <c r="F777" i="7"/>
  <c r="E777" i="7"/>
  <c r="D777" i="7"/>
  <c r="C777" i="7"/>
  <c r="B777" i="7"/>
  <c r="A777" i="7"/>
  <c r="Z776" i="7"/>
  <c r="X776" i="7"/>
  <c r="W776" i="7"/>
  <c r="V776" i="7"/>
  <c r="U776" i="7"/>
  <c r="T776" i="7"/>
  <c r="S776" i="7"/>
  <c r="R776" i="7"/>
  <c r="Q776" i="7"/>
  <c r="P776" i="7"/>
  <c r="L776" i="7"/>
  <c r="K776" i="7"/>
  <c r="J776" i="7"/>
  <c r="I776" i="7"/>
  <c r="H776" i="7"/>
  <c r="G776" i="7"/>
  <c r="F776" i="7"/>
  <c r="E776" i="7"/>
  <c r="D776" i="7"/>
  <c r="C776" i="7"/>
  <c r="B776" i="7"/>
  <c r="A776" i="7"/>
  <c r="Z775" i="7"/>
  <c r="X775" i="7"/>
  <c r="W775" i="7"/>
  <c r="V775" i="7"/>
  <c r="U775" i="7"/>
  <c r="T775" i="7"/>
  <c r="S775" i="7"/>
  <c r="R775" i="7"/>
  <c r="Q775" i="7"/>
  <c r="P775" i="7"/>
  <c r="L775" i="7"/>
  <c r="K775" i="7"/>
  <c r="J775" i="7"/>
  <c r="I775" i="7"/>
  <c r="H775" i="7"/>
  <c r="G775" i="7"/>
  <c r="F775" i="7"/>
  <c r="E775" i="7"/>
  <c r="D775" i="7"/>
  <c r="C775" i="7"/>
  <c r="B775" i="7"/>
  <c r="A775" i="7"/>
  <c r="Z774" i="7"/>
  <c r="X774" i="7"/>
  <c r="W774" i="7"/>
  <c r="V774" i="7"/>
  <c r="U774" i="7"/>
  <c r="T774" i="7"/>
  <c r="S774" i="7"/>
  <c r="R774" i="7"/>
  <c r="Q774" i="7"/>
  <c r="P774" i="7"/>
  <c r="L774" i="7"/>
  <c r="K774" i="7"/>
  <c r="J774" i="7"/>
  <c r="I774" i="7"/>
  <c r="H774" i="7"/>
  <c r="G774" i="7"/>
  <c r="F774" i="7"/>
  <c r="E774" i="7"/>
  <c r="D774" i="7"/>
  <c r="C774" i="7"/>
  <c r="B774" i="7"/>
  <c r="A774" i="7"/>
  <c r="Z773" i="7"/>
  <c r="X773" i="7"/>
  <c r="W773" i="7"/>
  <c r="V773" i="7"/>
  <c r="U773" i="7"/>
  <c r="T773" i="7"/>
  <c r="S773" i="7"/>
  <c r="R773" i="7"/>
  <c r="Q773" i="7"/>
  <c r="P773" i="7"/>
  <c r="L773" i="7"/>
  <c r="K773" i="7"/>
  <c r="J773" i="7"/>
  <c r="I773" i="7"/>
  <c r="H773" i="7"/>
  <c r="G773" i="7"/>
  <c r="F773" i="7"/>
  <c r="E773" i="7"/>
  <c r="D773" i="7"/>
  <c r="C773" i="7"/>
  <c r="B773" i="7"/>
  <c r="A773" i="7"/>
  <c r="Z772" i="7"/>
  <c r="X772" i="7"/>
  <c r="W772" i="7"/>
  <c r="V772" i="7"/>
  <c r="U772" i="7"/>
  <c r="T772" i="7"/>
  <c r="S772" i="7"/>
  <c r="R772" i="7"/>
  <c r="Q772" i="7"/>
  <c r="P772" i="7"/>
  <c r="L772" i="7"/>
  <c r="K772" i="7"/>
  <c r="J772" i="7"/>
  <c r="I772" i="7"/>
  <c r="H772" i="7"/>
  <c r="G772" i="7"/>
  <c r="F772" i="7"/>
  <c r="E772" i="7"/>
  <c r="D772" i="7"/>
  <c r="C772" i="7"/>
  <c r="B772" i="7"/>
  <c r="A772" i="7"/>
  <c r="Z771" i="7"/>
  <c r="X771" i="7"/>
  <c r="W771" i="7"/>
  <c r="V771" i="7"/>
  <c r="U771" i="7"/>
  <c r="T771" i="7"/>
  <c r="S771" i="7"/>
  <c r="R771" i="7"/>
  <c r="Q771" i="7"/>
  <c r="P771" i="7"/>
  <c r="L771" i="7"/>
  <c r="K771" i="7"/>
  <c r="J771" i="7"/>
  <c r="I771" i="7"/>
  <c r="H771" i="7"/>
  <c r="G771" i="7"/>
  <c r="F771" i="7"/>
  <c r="E771" i="7"/>
  <c r="D771" i="7"/>
  <c r="C771" i="7"/>
  <c r="B771" i="7"/>
  <c r="A771" i="7"/>
  <c r="Z770" i="7"/>
  <c r="X770" i="7"/>
  <c r="W770" i="7"/>
  <c r="V770" i="7"/>
  <c r="U770" i="7"/>
  <c r="T770" i="7"/>
  <c r="S770" i="7"/>
  <c r="R770" i="7"/>
  <c r="Q770" i="7"/>
  <c r="P770" i="7"/>
  <c r="L770" i="7"/>
  <c r="K770" i="7"/>
  <c r="J770" i="7"/>
  <c r="I770" i="7"/>
  <c r="H770" i="7"/>
  <c r="G770" i="7"/>
  <c r="F770" i="7"/>
  <c r="E770" i="7"/>
  <c r="D770" i="7"/>
  <c r="C770" i="7"/>
  <c r="B770" i="7"/>
  <c r="A770" i="7"/>
  <c r="Z769" i="7"/>
  <c r="X769" i="7"/>
  <c r="W769" i="7"/>
  <c r="V769" i="7"/>
  <c r="U769" i="7"/>
  <c r="T769" i="7"/>
  <c r="S769" i="7"/>
  <c r="R769" i="7"/>
  <c r="Q769" i="7"/>
  <c r="P769" i="7"/>
  <c r="L769" i="7"/>
  <c r="K769" i="7"/>
  <c r="J769" i="7"/>
  <c r="I769" i="7"/>
  <c r="H769" i="7"/>
  <c r="G769" i="7"/>
  <c r="F769" i="7"/>
  <c r="E769" i="7"/>
  <c r="D769" i="7"/>
  <c r="C769" i="7"/>
  <c r="B769" i="7"/>
  <c r="A769" i="7"/>
  <c r="Z768" i="7"/>
  <c r="X768" i="7"/>
  <c r="W768" i="7"/>
  <c r="V768" i="7"/>
  <c r="U768" i="7"/>
  <c r="T768" i="7"/>
  <c r="S768" i="7"/>
  <c r="R768" i="7"/>
  <c r="Q768" i="7"/>
  <c r="P768" i="7"/>
  <c r="L768" i="7"/>
  <c r="K768" i="7"/>
  <c r="J768" i="7"/>
  <c r="I768" i="7"/>
  <c r="H768" i="7"/>
  <c r="G768" i="7"/>
  <c r="F768" i="7"/>
  <c r="E768" i="7"/>
  <c r="D768" i="7"/>
  <c r="C768" i="7"/>
  <c r="B768" i="7"/>
  <c r="A768" i="7"/>
  <c r="Z767" i="7"/>
  <c r="X767" i="7"/>
  <c r="W767" i="7"/>
  <c r="V767" i="7"/>
  <c r="U767" i="7"/>
  <c r="T767" i="7"/>
  <c r="S767" i="7"/>
  <c r="R767" i="7"/>
  <c r="Q767" i="7"/>
  <c r="P767" i="7"/>
  <c r="L767" i="7"/>
  <c r="K767" i="7"/>
  <c r="J767" i="7"/>
  <c r="I767" i="7"/>
  <c r="H767" i="7"/>
  <c r="G767" i="7"/>
  <c r="F767" i="7"/>
  <c r="E767" i="7"/>
  <c r="D767" i="7"/>
  <c r="C767" i="7"/>
  <c r="B767" i="7"/>
  <c r="A767" i="7"/>
  <c r="Z766" i="7"/>
  <c r="X766" i="7"/>
  <c r="W766" i="7"/>
  <c r="V766" i="7"/>
  <c r="U766" i="7"/>
  <c r="T766" i="7"/>
  <c r="S766" i="7"/>
  <c r="R766" i="7"/>
  <c r="Q766" i="7"/>
  <c r="P766" i="7"/>
  <c r="L766" i="7"/>
  <c r="K766" i="7"/>
  <c r="J766" i="7"/>
  <c r="I766" i="7"/>
  <c r="H766" i="7"/>
  <c r="G766" i="7"/>
  <c r="F766" i="7"/>
  <c r="E766" i="7"/>
  <c r="D766" i="7"/>
  <c r="C766" i="7"/>
  <c r="B766" i="7"/>
  <c r="A766" i="7"/>
  <c r="Z765" i="7"/>
  <c r="X765" i="7"/>
  <c r="W765" i="7"/>
  <c r="V765" i="7"/>
  <c r="U765" i="7"/>
  <c r="T765" i="7"/>
  <c r="S765" i="7"/>
  <c r="R765" i="7"/>
  <c r="Q765" i="7"/>
  <c r="P765" i="7"/>
  <c r="L765" i="7"/>
  <c r="K765" i="7"/>
  <c r="J765" i="7"/>
  <c r="I765" i="7"/>
  <c r="H765" i="7"/>
  <c r="G765" i="7"/>
  <c r="F765" i="7"/>
  <c r="E765" i="7"/>
  <c r="D765" i="7"/>
  <c r="C765" i="7"/>
  <c r="B765" i="7"/>
  <c r="A765" i="7"/>
  <c r="Z764" i="7"/>
  <c r="X764" i="7"/>
  <c r="W764" i="7"/>
  <c r="V764" i="7"/>
  <c r="U764" i="7"/>
  <c r="T764" i="7"/>
  <c r="S764" i="7"/>
  <c r="R764" i="7"/>
  <c r="Q764" i="7"/>
  <c r="P764" i="7"/>
  <c r="L764" i="7"/>
  <c r="K764" i="7"/>
  <c r="J764" i="7"/>
  <c r="I764" i="7"/>
  <c r="H764" i="7"/>
  <c r="G764" i="7"/>
  <c r="F764" i="7"/>
  <c r="E764" i="7"/>
  <c r="D764" i="7"/>
  <c r="C764" i="7"/>
  <c r="B764" i="7"/>
  <c r="A764" i="7"/>
  <c r="Z763" i="7"/>
  <c r="X763" i="7"/>
  <c r="W763" i="7"/>
  <c r="V763" i="7"/>
  <c r="U763" i="7"/>
  <c r="T763" i="7"/>
  <c r="S763" i="7"/>
  <c r="R763" i="7"/>
  <c r="Q763" i="7"/>
  <c r="P763" i="7"/>
  <c r="L763" i="7"/>
  <c r="K763" i="7"/>
  <c r="J763" i="7"/>
  <c r="I763" i="7"/>
  <c r="H763" i="7"/>
  <c r="G763" i="7"/>
  <c r="F763" i="7"/>
  <c r="E763" i="7"/>
  <c r="D763" i="7"/>
  <c r="C763" i="7"/>
  <c r="B763" i="7"/>
  <c r="A763" i="7"/>
  <c r="Z762" i="7"/>
  <c r="X762" i="7"/>
  <c r="W762" i="7"/>
  <c r="V762" i="7"/>
  <c r="U762" i="7"/>
  <c r="T762" i="7"/>
  <c r="S762" i="7"/>
  <c r="R762" i="7"/>
  <c r="Q762" i="7"/>
  <c r="P762" i="7"/>
  <c r="L762" i="7"/>
  <c r="K762" i="7"/>
  <c r="J762" i="7"/>
  <c r="I762" i="7"/>
  <c r="H762" i="7"/>
  <c r="G762" i="7"/>
  <c r="F762" i="7"/>
  <c r="E762" i="7"/>
  <c r="D762" i="7"/>
  <c r="C762" i="7"/>
  <c r="B762" i="7"/>
  <c r="A762" i="7"/>
  <c r="Z761" i="7"/>
  <c r="X761" i="7"/>
  <c r="W761" i="7"/>
  <c r="V761" i="7"/>
  <c r="U761" i="7"/>
  <c r="T761" i="7"/>
  <c r="S761" i="7"/>
  <c r="R761" i="7"/>
  <c r="Q761" i="7"/>
  <c r="P761" i="7"/>
  <c r="L761" i="7"/>
  <c r="K761" i="7"/>
  <c r="J761" i="7"/>
  <c r="I761" i="7"/>
  <c r="H761" i="7"/>
  <c r="G761" i="7"/>
  <c r="F761" i="7"/>
  <c r="E761" i="7"/>
  <c r="D761" i="7"/>
  <c r="C761" i="7"/>
  <c r="B761" i="7"/>
  <c r="A761" i="7"/>
  <c r="Z760" i="7"/>
  <c r="X760" i="7"/>
  <c r="W760" i="7"/>
  <c r="V760" i="7"/>
  <c r="U760" i="7"/>
  <c r="T760" i="7"/>
  <c r="S760" i="7"/>
  <c r="R760" i="7"/>
  <c r="Q760" i="7"/>
  <c r="P760" i="7"/>
  <c r="L760" i="7"/>
  <c r="K760" i="7"/>
  <c r="J760" i="7"/>
  <c r="I760" i="7"/>
  <c r="H760" i="7"/>
  <c r="G760" i="7"/>
  <c r="F760" i="7"/>
  <c r="E760" i="7"/>
  <c r="D760" i="7"/>
  <c r="C760" i="7"/>
  <c r="B760" i="7"/>
  <c r="A760" i="7"/>
  <c r="Z759" i="7"/>
  <c r="X759" i="7"/>
  <c r="W759" i="7"/>
  <c r="V759" i="7"/>
  <c r="U759" i="7"/>
  <c r="T759" i="7"/>
  <c r="S759" i="7"/>
  <c r="R759" i="7"/>
  <c r="Q759" i="7"/>
  <c r="P759" i="7"/>
  <c r="L759" i="7"/>
  <c r="K759" i="7"/>
  <c r="J759" i="7"/>
  <c r="I759" i="7"/>
  <c r="H759" i="7"/>
  <c r="G759" i="7"/>
  <c r="F759" i="7"/>
  <c r="E759" i="7"/>
  <c r="D759" i="7"/>
  <c r="C759" i="7"/>
  <c r="B759" i="7"/>
  <c r="A759" i="7"/>
  <c r="Z758" i="7"/>
  <c r="X758" i="7"/>
  <c r="W758" i="7"/>
  <c r="V758" i="7"/>
  <c r="U758" i="7"/>
  <c r="T758" i="7"/>
  <c r="S758" i="7"/>
  <c r="R758" i="7"/>
  <c r="Q758" i="7"/>
  <c r="P758" i="7"/>
  <c r="L758" i="7"/>
  <c r="K758" i="7"/>
  <c r="J758" i="7"/>
  <c r="I758" i="7"/>
  <c r="H758" i="7"/>
  <c r="G758" i="7"/>
  <c r="F758" i="7"/>
  <c r="E758" i="7"/>
  <c r="D758" i="7"/>
  <c r="C758" i="7"/>
  <c r="B758" i="7"/>
  <c r="A758" i="7"/>
  <c r="Z757" i="7"/>
  <c r="X757" i="7"/>
  <c r="W757" i="7"/>
  <c r="V757" i="7"/>
  <c r="U757" i="7"/>
  <c r="T757" i="7"/>
  <c r="S757" i="7"/>
  <c r="R757" i="7"/>
  <c r="Q757" i="7"/>
  <c r="P757" i="7"/>
  <c r="L757" i="7"/>
  <c r="K757" i="7"/>
  <c r="J757" i="7"/>
  <c r="I757" i="7"/>
  <c r="H757" i="7"/>
  <c r="G757" i="7"/>
  <c r="F757" i="7"/>
  <c r="E757" i="7"/>
  <c r="D757" i="7"/>
  <c r="C757" i="7"/>
  <c r="B757" i="7"/>
  <c r="A757" i="7"/>
  <c r="Z756" i="7"/>
  <c r="X756" i="7"/>
  <c r="W756" i="7"/>
  <c r="V756" i="7"/>
  <c r="U756" i="7"/>
  <c r="T756" i="7"/>
  <c r="S756" i="7"/>
  <c r="R756" i="7"/>
  <c r="Q756" i="7"/>
  <c r="P756" i="7"/>
  <c r="L756" i="7"/>
  <c r="K756" i="7"/>
  <c r="J756" i="7"/>
  <c r="I756" i="7"/>
  <c r="H756" i="7"/>
  <c r="G756" i="7"/>
  <c r="F756" i="7"/>
  <c r="E756" i="7"/>
  <c r="D756" i="7"/>
  <c r="C756" i="7"/>
  <c r="B756" i="7"/>
  <c r="A756" i="7"/>
  <c r="Z755" i="7"/>
  <c r="X755" i="7"/>
  <c r="W755" i="7"/>
  <c r="V755" i="7"/>
  <c r="U755" i="7"/>
  <c r="T755" i="7"/>
  <c r="S755" i="7"/>
  <c r="R755" i="7"/>
  <c r="Q755" i="7"/>
  <c r="P755" i="7"/>
  <c r="L755" i="7"/>
  <c r="K755" i="7"/>
  <c r="J755" i="7"/>
  <c r="I755" i="7"/>
  <c r="H755" i="7"/>
  <c r="G755" i="7"/>
  <c r="F755" i="7"/>
  <c r="E755" i="7"/>
  <c r="D755" i="7"/>
  <c r="C755" i="7"/>
  <c r="B755" i="7"/>
  <c r="A755" i="7"/>
  <c r="Z754" i="7"/>
  <c r="X754" i="7"/>
  <c r="W754" i="7"/>
  <c r="V754" i="7"/>
  <c r="U754" i="7"/>
  <c r="T754" i="7"/>
  <c r="S754" i="7"/>
  <c r="R754" i="7"/>
  <c r="Q754" i="7"/>
  <c r="P754" i="7"/>
  <c r="L754" i="7"/>
  <c r="K754" i="7"/>
  <c r="J754" i="7"/>
  <c r="I754" i="7"/>
  <c r="H754" i="7"/>
  <c r="G754" i="7"/>
  <c r="F754" i="7"/>
  <c r="E754" i="7"/>
  <c r="D754" i="7"/>
  <c r="C754" i="7"/>
  <c r="B754" i="7"/>
  <c r="A754" i="7"/>
  <c r="Z753" i="7"/>
  <c r="X753" i="7"/>
  <c r="W753" i="7"/>
  <c r="V753" i="7"/>
  <c r="U753" i="7"/>
  <c r="T753" i="7"/>
  <c r="S753" i="7"/>
  <c r="R753" i="7"/>
  <c r="Q753" i="7"/>
  <c r="P753" i="7"/>
  <c r="L753" i="7"/>
  <c r="K753" i="7"/>
  <c r="J753" i="7"/>
  <c r="I753" i="7"/>
  <c r="H753" i="7"/>
  <c r="G753" i="7"/>
  <c r="F753" i="7"/>
  <c r="E753" i="7"/>
  <c r="D753" i="7"/>
  <c r="C753" i="7"/>
  <c r="B753" i="7"/>
  <c r="A753" i="7"/>
  <c r="Z752" i="7"/>
  <c r="X752" i="7"/>
  <c r="W752" i="7"/>
  <c r="V752" i="7"/>
  <c r="U752" i="7"/>
  <c r="T752" i="7"/>
  <c r="S752" i="7"/>
  <c r="R752" i="7"/>
  <c r="Q752" i="7"/>
  <c r="P752" i="7"/>
  <c r="L752" i="7"/>
  <c r="K752" i="7"/>
  <c r="J752" i="7"/>
  <c r="I752" i="7"/>
  <c r="H752" i="7"/>
  <c r="G752" i="7"/>
  <c r="F752" i="7"/>
  <c r="E752" i="7"/>
  <c r="D752" i="7"/>
  <c r="C752" i="7"/>
  <c r="B752" i="7"/>
  <c r="A752" i="7"/>
  <c r="Z751" i="7"/>
  <c r="X751" i="7"/>
  <c r="W751" i="7"/>
  <c r="V751" i="7"/>
  <c r="U751" i="7"/>
  <c r="T751" i="7"/>
  <c r="S751" i="7"/>
  <c r="R751" i="7"/>
  <c r="Q751" i="7"/>
  <c r="P751" i="7"/>
  <c r="L751" i="7"/>
  <c r="K751" i="7"/>
  <c r="J751" i="7"/>
  <c r="I751" i="7"/>
  <c r="H751" i="7"/>
  <c r="G751" i="7"/>
  <c r="F751" i="7"/>
  <c r="E751" i="7"/>
  <c r="D751" i="7"/>
  <c r="C751" i="7"/>
  <c r="B751" i="7"/>
  <c r="A751" i="7"/>
  <c r="Z750" i="7"/>
  <c r="X750" i="7"/>
  <c r="W750" i="7"/>
  <c r="V750" i="7"/>
  <c r="U750" i="7"/>
  <c r="T750" i="7"/>
  <c r="S750" i="7"/>
  <c r="R750" i="7"/>
  <c r="Q750" i="7"/>
  <c r="P750" i="7"/>
  <c r="L750" i="7"/>
  <c r="K750" i="7"/>
  <c r="J750" i="7"/>
  <c r="I750" i="7"/>
  <c r="H750" i="7"/>
  <c r="G750" i="7"/>
  <c r="F750" i="7"/>
  <c r="E750" i="7"/>
  <c r="D750" i="7"/>
  <c r="C750" i="7"/>
  <c r="B750" i="7"/>
  <c r="A750" i="7"/>
  <c r="Z749" i="7"/>
  <c r="X749" i="7"/>
  <c r="W749" i="7"/>
  <c r="V749" i="7"/>
  <c r="U749" i="7"/>
  <c r="T749" i="7"/>
  <c r="S749" i="7"/>
  <c r="R749" i="7"/>
  <c r="Q749" i="7"/>
  <c r="P749" i="7"/>
  <c r="L749" i="7"/>
  <c r="K749" i="7"/>
  <c r="J749" i="7"/>
  <c r="I749" i="7"/>
  <c r="H749" i="7"/>
  <c r="G749" i="7"/>
  <c r="F749" i="7"/>
  <c r="E749" i="7"/>
  <c r="D749" i="7"/>
  <c r="C749" i="7"/>
  <c r="B749" i="7"/>
  <c r="A749" i="7"/>
  <c r="Z748" i="7"/>
  <c r="X748" i="7"/>
  <c r="W748" i="7"/>
  <c r="V748" i="7"/>
  <c r="U748" i="7"/>
  <c r="T748" i="7"/>
  <c r="S748" i="7"/>
  <c r="R748" i="7"/>
  <c r="Q748" i="7"/>
  <c r="P748" i="7"/>
  <c r="L748" i="7"/>
  <c r="K748" i="7"/>
  <c r="J748" i="7"/>
  <c r="I748" i="7"/>
  <c r="H748" i="7"/>
  <c r="G748" i="7"/>
  <c r="F748" i="7"/>
  <c r="E748" i="7"/>
  <c r="D748" i="7"/>
  <c r="C748" i="7"/>
  <c r="B748" i="7"/>
  <c r="A748" i="7"/>
  <c r="Z747" i="7"/>
  <c r="X747" i="7"/>
  <c r="W747" i="7"/>
  <c r="V747" i="7"/>
  <c r="U747" i="7"/>
  <c r="T747" i="7"/>
  <c r="S747" i="7"/>
  <c r="R747" i="7"/>
  <c r="Q747" i="7"/>
  <c r="P747" i="7"/>
  <c r="L747" i="7"/>
  <c r="K747" i="7"/>
  <c r="J747" i="7"/>
  <c r="I747" i="7"/>
  <c r="H747" i="7"/>
  <c r="G747" i="7"/>
  <c r="F747" i="7"/>
  <c r="E747" i="7"/>
  <c r="D747" i="7"/>
  <c r="C747" i="7"/>
  <c r="B747" i="7"/>
  <c r="A747" i="7"/>
  <c r="Z746" i="7"/>
  <c r="X746" i="7"/>
  <c r="W746" i="7"/>
  <c r="V746" i="7"/>
  <c r="U746" i="7"/>
  <c r="T746" i="7"/>
  <c r="S746" i="7"/>
  <c r="R746" i="7"/>
  <c r="Q746" i="7"/>
  <c r="P746" i="7"/>
  <c r="L746" i="7"/>
  <c r="K746" i="7"/>
  <c r="J746" i="7"/>
  <c r="I746" i="7"/>
  <c r="H746" i="7"/>
  <c r="G746" i="7"/>
  <c r="F746" i="7"/>
  <c r="E746" i="7"/>
  <c r="D746" i="7"/>
  <c r="C746" i="7"/>
  <c r="B746" i="7"/>
  <c r="A746" i="7"/>
  <c r="Z745" i="7"/>
  <c r="X745" i="7"/>
  <c r="W745" i="7"/>
  <c r="V745" i="7"/>
  <c r="U745" i="7"/>
  <c r="T745" i="7"/>
  <c r="S745" i="7"/>
  <c r="R745" i="7"/>
  <c r="Q745" i="7"/>
  <c r="P745" i="7"/>
  <c r="L745" i="7"/>
  <c r="K745" i="7"/>
  <c r="J745" i="7"/>
  <c r="I745" i="7"/>
  <c r="H745" i="7"/>
  <c r="G745" i="7"/>
  <c r="F745" i="7"/>
  <c r="E745" i="7"/>
  <c r="D745" i="7"/>
  <c r="C745" i="7"/>
  <c r="B745" i="7"/>
  <c r="A745" i="7"/>
  <c r="Z744" i="7"/>
  <c r="X744" i="7"/>
  <c r="W744" i="7"/>
  <c r="V744" i="7"/>
  <c r="U744" i="7"/>
  <c r="T744" i="7"/>
  <c r="S744" i="7"/>
  <c r="R744" i="7"/>
  <c r="Q744" i="7"/>
  <c r="P744" i="7"/>
  <c r="L744" i="7"/>
  <c r="K744" i="7"/>
  <c r="J744" i="7"/>
  <c r="I744" i="7"/>
  <c r="H744" i="7"/>
  <c r="G744" i="7"/>
  <c r="F744" i="7"/>
  <c r="E744" i="7"/>
  <c r="D744" i="7"/>
  <c r="C744" i="7"/>
  <c r="B744" i="7"/>
  <c r="A744" i="7"/>
  <c r="Z743" i="7"/>
  <c r="X743" i="7"/>
  <c r="W743" i="7"/>
  <c r="V743" i="7"/>
  <c r="U743" i="7"/>
  <c r="T743" i="7"/>
  <c r="S743" i="7"/>
  <c r="R743" i="7"/>
  <c r="Q743" i="7"/>
  <c r="P743" i="7"/>
  <c r="L743" i="7"/>
  <c r="K743" i="7"/>
  <c r="J743" i="7"/>
  <c r="I743" i="7"/>
  <c r="H743" i="7"/>
  <c r="G743" i="7"/>
  <c r="F743" i="7"/>
  <c r="E743" i="7"/>
  <c r="D743" i="7"/>
  <c r="C743" i="7"/>
  <c r="B743" i="7"/>
  <c r="A743" i="7"/>
  <c r="Z742" i="7"/>
  <c r="X742" i="7"/>
  <c r="W742" i="7"/>
  <c r="V742" i="7"/>
  <c r="U742" i="7"/>
  <c r="T742" i="7"/>
  <c r="S742" i="7"/>
  <c r="R742" i="7"/>
  <c r="Q742" i="7"/>
  <c r="P742" i="7"/>
  <c r="L742" i="7"/>
  <c r="K742" i="7"/>
  <c r="J742" i="7"/>
  <c r="I742" i="7"/>
  <c r="H742" i="7"/>
  <c r="G742" i="7"/>
  <c r="F742" i="7"/>
  <c r="E742" i="7"/>
  <c r="D742" i="7"/>
  <c r="C742" i="7"/>
  <c r="B742" i="7"/>
  <c r="A742" i="7"/>
  <c r="Z741" i="7"/>
  <c r="X741" i="7"/>
  <c r="W741" i="7"/>
  <c r="V741" i="7"/>
  <c r="U741" i="7"/>
  <c r="T741" i="7"/>
  <c r="S741" i="7"/>
  <c r="R741" i="7"/>
  <c r="Q741" i="7"/>
  <c r="P741" i="7"/>
  <c r="L741" i="7"/>
  <c r="K741" i="7"/>
  <c r="J741" i="7"/>
  <c r="I741" i="7"/>
  <c r="H741" i="7"/>
  <c r="G741" i="7"/>
  <c r="F741" i="7"/>
  <c r="E741" i="7"/>
  <c r="D741" i="7"/>
  <c r="C741" i="7"/>
  <c r="B741" i="7"/>
  <c r="A741" i="7"/>
  <c r="Z740" i="7"/>
  <c r="X740" i="7"/>
  <c r="W740" i="7"/>
  <c r="V740" i="7"/>
  <c r="U740" i="7"/>
  <c r="T740" i="7"/>
  <c r="S740" i="7"/>
  <c r="R740" i="7"/>
  <c r="Q740" i="7"/>
  <c r="P740" i="7"/>
  <c r="L740" i="7"/>
  <c r="K740" i="7"/>
  <c r="J740" i="7"/>
  <c r="I740" i="7"/>
  <c r="H740" i="7"/>
  <c r="G740" i="7"/>
  <c r="F740" i="7"/>
  <c r="E740" i="7"/>
  <c r="D740" i="7"/>
  <c r="C740" i="7"/>
  <c r="B740" i="7"/>
  <c r="A740" i="7"/>
  <c r="Z739" i="7"/>
  <c r="X739" i="7"/>
  <c r="W739" i="7"/>
  <c r="V739" i="7"/>
  <c r="U739" i="7"/>
  <c r="T739" i="7"/>
  <c r="S739" i="7"/>
  <c r="R739" i="7"/>
  <c r="Q739" i="7"/>
  <c r="P739" i="7"/>
  <c r="L739" i="7"/>
  <c r="K739" i="7"/>
  <c r="J739" i="7"/>
  <c r="I739" i="7"/>
  <c r="H739" i="7"/>
  <c r="G739" i="7"/>
  <c r="F739" i="7"/>
  <c r="E739" i="7"/>
  <c r="D739" i="7"/>
  <c r="C739" i="7"/>
  <c r="B739" i="7"/>
  <c r="A739" i="7"/>
  <c r="Z738" i="7"/>
  <c r="X738" i="7"/>
  <c r="W738" i="7"/>
  <c r="V738" i="7"/>
  <c r="U738" i="7"/>
  <c r="T738" i="7"/>
  <c r="S738" i="7"/>
  <c r="R738" i="7"/>
  <c r="Q738" i="7"/>
  <c r="P738" i="7"/>
  <c r="L738" i="7"/>
  <c r="K738" i="7"/>
  <c r="J738" i="7"/>
  <c r="I738" i="7"/>
  <c r="H738" i="7"/>
  <c r="G738" i="7"/>
  <c r="F738" i="7"/>
  <c r="E738" i="7"/>
  <c r="D738" i="7"/>
  <c r="C738" i="7"/>
  <c r="B738" i="7"/>
  <c r="A738" i="7"/>
  <c r="Z737" i="7"/>
  <c r="X737" i="7"/>
  <c r="W737" i="7"/>
  <c r="V737" i="7"/>
  <c r="U737" i="7"/>
  <c r="T737" i="7"/>
  <c r="S737" i="7"/>
  <c r="R737" i="7"/>
  <c r="Q737" i="7"/>
  <c r="P737" i="7"/>
  <c r="L737" i="7"/>
  <c r="K737" i="7"/>
  <c r="J737" i="7"/>
  <c r="I737" i="7"/>
  <c r="H737" i="7"/>
  <c r="G737" i="7"/>
  <c r="F737" i="7"/>
  <c r="E737" i="7"/>
  <c r="D737" i="7"/>
  <c r="C737" i="7"/>
  <c r="B737" i="7"/>
  <c r="A737" i="7"/>
  <c r="Z736" i="7"/>
  <c r="X736" i="7"/>
  <c r="W736" i="7"/>
  <c r="V736" i="7"/>
  <c r="U736" i="7"/>
  <c r="T736" i="7"/>
  <c r="S736" i="7"/>
  <c r="R736" i="7"/>
  <c r="Q736" i="7"/>
  <c r="P736" i="7"/>
  <c r="L736" i="7"/>
  <c r="K736" i="7"/>
  <c r="J736" i="7"/>
  <c r="I736" i="7"/>
  <c r="H736" i="7"/>
  <c r="G736" i="7"/>
  <c r="F736" i="7"/>
  <c r="E736" i="7"/>
  <c r="D736" i="7"/>
  <c r="C736" i="7"/>
  <c r="B736" i="7"/>
  <c r="A736" i="7"/>
  <c r="Z735" i="7"/>
  <c r="X735" i="7"/>
  <c r="W735" i="7"/>
  <c r="V735" i="7"/>
  <c r="U735" i="7"/>
  <c r="T735" i="7"/>
  <c r="S735" i="7"/>
  <c r="R735" i="7"/>
  <c r="Q735" i="7"/>
  <c r="P735" i="7"/>
  <c r="L735" i="7"/>
  <c r="K735" i="7"/>
  <c r="J735" i="7"/>
  <c r="I735" i="7"/>
  <c r="H735" i="7"/>
  <c r="G735" i="7"/>
  <c r="F735" i="7"/>
  <c r="E735" i="7"/>
  <c r="D735" i="7"/>
  <c r="C735" i="7"/>
  <c r="B735" i="7"/>
  <c r="A735" i="7"/>
  <c r="Z734" i="7"/>
  <c r="X734" i="7"/>
  <c r="W734" i="7"/>
  <c r="V734" i="7"/>
  <c r="U734" i="7"/>
  <c r="T734" i="7"/>
  <c r="S734" i="7"/>
  <c r="R734" i="7"/>
  <c r="Q734" i="7"/>
  <c r="P734" i="7"/>
  <c r="L734" i="7"/>
  <c r="K734" i="7"/>
  <c r="J734" i="7"/>
  <c r="I734" i="7"/>
  <c r="H734" i="7"/>
  <c r="G734" i="7"/>
  <c r="F734" i="7"/>
  <c r="E734" i="7"/>
  <c r="D734" i="7"/>
  <c r="C734" i="7"/>
  <c r="B734" i="7"/>
  <c r="A734" i="7"/>
  <c r="Z733" i="7"/>
  <c r="X733" i="7"/>
  <c r="W733" i="7"/>
  <c r="V733" i="7"/>
  <c r="U733" i="7"/>
  <c r="T733" i="7"/>
  <c r="S733" i="7"/>
  <c r="R733" i="7"/>
  <c r="Q733" i="7"/>
  <c r="P733" i="7"/>
  <c r="L733" i="7"/>
  <c r="K733" i="7"/>
  <c r="J733" i="7"/>
  <c r="I733" i="7"/>
  <c r="H733" i="7"/>
  <c r="G733" i="7"/>
  <c r="F733" i="7"/>
  <c r="E733" i="7"/>
  <c r="D733" i="7"/>
  <c r="C733" i="7"/>
  <c r="B733" i="7"/>
  <c r="A733" i="7"/>
  <c r="Z732" i="7"/>
  <c r="X732" i="7"/>
  <c r="W732" i="7"/>
  <c r="V732" i="7"/>
  <c r="U732" i="7"/>
  <c r="T732" i="7"/>
  <c r="S732" i="7"/>
  <c r="R732" i="7"/>
  <c r="Q732" i="7"/>
  <c r="P732" i="7"/>
  <c r="L732" i="7"/>
  <c r="K732" i="7"/>
  <c r="J732" i="7"/>
  <c r="I732" i="7"/>
  <c r="H732" i="7"/>
  <c r="G732" i="7"/>
  <c r="F732" i="7"/>
  <c r="E732" i="7"/>
  <c r="D732" i="7"/>
  <c r="C732" i="7"/>
  <c r="B732" i="7"/>
  <c r="A732" i="7"/>
  <c r="Z731" i="7"/>
  <c r="X731" i="7"/>
  <c r="W731" i="7"/>
  <c r="V731" i="7"/>
  <c r="U731" i="7"/>
  <c r="T731" i="7"/>
  <c r="S731" i="7"/>
  <c r="R731" i="7"/>
  <c r="Q731" i="7"/>
  <c r="P731" i="7"/>
  <c r="L731" i="7"/>
  <c r="K731" i="7"/>
  <c r="J731" i="7"/>
  <c r="I731" i="7"/>
  <c r="H731" i="7"/>
  <c r="G731" i="7"/>
  <c r="F731" i="7"/>
  <c r="E731" i="7"/>
  <c r="D731" i="7"/>
  <c r="C731" i="7"/>
  <c r="B731" i="7"/>
  <c r="A731" i="7"/>
  <c r="Z730" i="7"/>
  <c r="X730" i="7"/>
  <c r="W730" i="7"/>
  <c r="V730" i="7"/>
  <c r="U730" i="7"/>
  <c r="T730" i="7"/>
  <c r="S730" i="7"/>
  <c r="R730" i="7"/>
  <c r="Q730" i="7"/>
  <c r="P730" i="7"/>
  <c r="L730" i="7"/>
  <c r="K730" i="7"/>
  <c r="J730" i="7"/>
  <c r="I730" i="7"/>
  <c r="H730" i="7"/>
  <c r="G730" i="7"/>
  <c r="F730" i="7"/>
  <c r="E730" i="7"/>
  <c r="D730" i="7"/>
  <c r="C730" i="7"/>
  <c r="B730" i="7"/>
  <c r="A730" i="7"/>
  <c r="Z729" i="7"/>
  <c r="X729" i="7"/>
  <c r="W729" i="7"/>
  <c r="V729" i="7"/>
  <c r="U729" i="7"/>
  <c r="T729" i="7"/>
  <c r="S729" i="7"/>
  <c r="R729" i="7"/>
  <c r="Q729" i="7"/>
  <c r="P729" i="7"/>
  <c r="L729" i="7"/>
  <c r="K729" i="7"/>
  <c r="J729" i="7"/>
  <c r="I729" i="7"/>
  <c r="H729" i="7"/>
  <c r="G729" i="7"/>
  <c r="F729" i="7"/>
  <c r="E729" i="7"/>
  <c r="D729" i="7"/>
  <c r="C729" i="7"/>
  <c r="B729" i="7"/>
  <c r="A729" i="7"/>
  <c r="Z728" i="7"/>
  <c r="X728" i="7"/>
  <c r="W728" i="7"/>
  <c r="V728" i="7"/>
  <c r="U728" i="7"/>
  <c r="T728" i="7"/>
  <c r="S728" i="7"/>
  <c r="R728" i="7"/>
  <c r="Q728" i="7"/>
  <c r="P728" i="7"/>
  <c r="L728" i="7"/>
  <c r="K728" i="7"/>
  <c r="J728" i="7"/>
  <c r="I728" i="7"/>
  <c r="H728" i="7"/>
  <c r="G728" i="7"/>
  <c r="F728" i="7"/>
  <c r="E728" i="7"/>
  <c r="D728" i="7"/>
  <c r="C728" i="7"/>
  <c r="B728" i="7"/>
  <c r="A728" i="7"/>
  <c r="Z727" i="7"/>
  <c r="X727" i="7"/>
  <c r="W727" i="7"/>
  <c r="V727" i="7"/>
  <c r="U727" i="7"/>
  <c r="T727" i="7"/>
  <c r="S727" i="7"/>
  <c r="R727" i="7"/>
  <c r="Q727" i="7"/>
  <c r="P727" i="7"/>
  <c r="L727" i="7"/>
  <c r="K727" i="7"/>
  <c r="J727" i="7"/>
  <c r="I727" i="7"/>
  <c r="H727" i="7"/>
  <c r="G727" i="7"/>
  <c r="F727" i="7"/>
  <c r="E727" i="7"/>
  <c r="D727" i="7"/>
  <c r="C727" i="7"/>
  <c r="B727" i="7"/>
  <c r="A727" i="7"/>
  <c r="Z726" i="7"/>
  <c r="X726" i="7"/>
  <c r="W726" i="7"/>
  <c r="V726" i="7"/>
  <c r="U726" i="7"/>
  <c r="T726" i="7"/>
  <c r="S726" i="7"/>
  <c r="R726" i="7"/>
  <c r="Q726" i="7"/>
  <c r="P726" i="7"/>
  <c r="L726" i="7"/>
  <c r="K726" i="7"/>
  <c r="J726" i="7"/>
  <c r="I726" i="7"/>
  <c r="H726" i="7"/>
  <c r="G726" i="7"/>
  <c r="F726" i="7"/>
  <c r="E726" i="7"/>
  <c r="D726" i="7"/>
  <c r="C726" i="7"/>
  <c r="B726" i="7"/>
  <c r="A726" i="7"/>
  <c r="Z725" i="7"/>
  <c r="X725" i="7"/>
  <c r="W725" i="7"/>
  <c r="V725" i="7"/>
  <c r="U725" i="7"/>
  <c r="T725" i="7"/>
  <c r="S725" i="7"/>
  <c r="R725" i="7"/>
  <c r="Q725" i="7"/>
  <c r="P725" i="7"/>
  <c r="L725" i="7"/>
  <c r="K725" i="7"/>
  <c r="J725" i="7"/>
  <c r="I725" i="7"/>
  <c r="H725" i="7"/>
  <c r="G725" i="7"/>
  <c r="F725" i="7"/>
  <c r="E725" i="7"/>
  <c r="D725" i="7"/>
  <c r="C725" i="7"/>
  <c r="B725" i="7"/>
  <c r="A725" i="7"/>
  <c r="Z724" i="7"/>
  <c r="X724" i="7"/>
  <c r="W724" i="7"/>
  <c r="V724" i="7"/>
  <c r="U724" i="7"/>
  <c r="T724" i="7"/>
  <c r="S724" i="7"/>
  <c r="R724" i="7"/>
  <c r="Q724" i="7"/>
  <c r="P724" i="7"/>
  <c r="L724" i="7"/>
  <c r="K724" i="7"/>
  <c r="J724" i="7"/>
  <c r="I724" i="7"/>
  <c r="H724" i="7"/>
  <c r="G724" i="7"/>
  <c r="F724" i="7"/>
  <c r="E724" i="7"/>
  <c r="D724" i="7"/>
  <c r="C724" i="7"/>
  <c r="B724" i="7"/>
  <c r="A724" i="7"/>
  <c r="Z723" i="7"/>
  <c r="X723" i="7"/>
  <c r="W723" i="7"/>
  <c r="V723" i="7"/>
  <c r="U723" i="7"/>
  <c r="T723" i="7"/>
  <c r="S723" i="7"/>
  <c r="R723" i="7"/>
  <c r="Q723" i="7"/>
  <c r="P723" i="7"/>
  <c r="L723" i="7"/>
  <c r="K723" i="7"/>
  <c r="J723" i="7"/>
  <c r="I723" i="7"/>
  <c r="H723" i="7"/>
  <c r="G723" i="7"/>
  <c r="F723" i="7"/>
  <c r="E723" i="7"/>
  <c r="D723" i="7"/>
  <c r="C723" i="7"/>
  <c r="B723" i="7"/>
  <c r="A723" i="7"/>
  <c r="Z722" i="7"/>
  <c r="X722" i="7"/>
  <c r="W722" i="7"/>
  <c r="V722" i="7"/>
  <c r="U722" i="7"/>
  <c r="T722" i="7"/>
  <c r="S722" i="7"/>
  <c r="R722" i="7"/>
  <c r="Q722" i="7"/>
  <c r="P722" i="7"/>
  <c r="L722" i="7"/>
  <c r="K722" i="7"/>
  <c r="J722" i="7"/>
  <c r="I722" i="7"/>
  <c r="H722" i="7"/>
  <c r="G722" i="7"/>
  <c r="F722" i="7"/>
  <c r="E722" i="7"/>
  <c r="D722" i="7"/>
  <c r="C722" i="7"/>
  <c r="B722" i="7"/>
  <c r="A722" i="7"/>
  <c r="Z721" i="7"/>
  <c r="X721" i="7"/>
  <c r="W721" i="7"/>
  <c r="V721" i="7"/>
  <c r="U721" i="7"/>
  <c r="T721" i="7"/>
  <c r="S721" i="7"/>
  <c r="R721" i="7"/>
  <c r="Q721" i="7"/>
  <c r="P721" i="7"/>
  <c r="L721" i="7"/>
  <c r="K721" i="7"/>
  <c r="J721" i="7"/>
  <c r="I721" i="7"/>
  <c r="H721" i="7"/>
  <c r="G721" i="7"/>
  <c r="F721" i="7"/>
  <c r="E721" i="7"/>
  <c r="D721" i="7"/>
  <c r="C721" i="7"/>
  <c r="B721" i="7"/>
  <c r="A721" i="7"/>
  <c r="Z720" i="7"/>
  <c r="X720" i="7"/>
  <c r="W720" i="7"/>
  <c r="V720" i="7"/>
  <c r="U720" i="7"/>
  <c r="T720" i="7"/>
  <c r="S720" i="7"/>
  <c r="R720" i="7"/>
  <c r="Q720" i="7"/>
  <c r="P720" i="7"/>
  <c r="L720" i="7"/>
  <c r="K720" i="7"/>
  <c r="J720" i="7"/>
  <c r="I720" i="7"/>
  <c r="H720" i="7"/>
  <c r="G720" i="7"/>
  <c r="F720" i="7"/>
  <c r="E720" i="7"/>
  <c r="D720" i="7"/>
  <c r="C720" i="7"/>
  <c r="B720" i="7"/>
  <c r="A720" i="7"/>
  <c r="Z719" i="7"/>
  <c r="X719" i="7"/>
  <c r="W719" i="7"/>
  <c r="V719" i="7"/>
  <c r="U719" i="7"/>
  <c r="T719" i="7"/>
  <c r="S719" i="7"/>
  <c r="R719" i="7"/>
  <c r="Q719" i="7"/>
  <c r="P719" i="7"/>
  <c r="L719" i="7"/>
  <c r="K719" i="7"/>
  <c r="J719" i="7"/>
  <c r="I719" i="7"/>
  <c r="H719" i="7"/>
  <c r="G719" i="7"/>
  <c r="F719" i="7"/>
  <c r="E719" i="7"/>
  <c r="D719" i="7"/>
  <c r="C719" i="7"/>
  <c r="B719" i="7"/>
  <c r="A719" i="7"/>
  <c r="Z718" i="7"/>
  <c r="X718" i="7"/>
  <c r="W718" i="7"/>
  <c r="V718" i="7"/>
  <c r="U718" i="7"/>
  <c r="T718" i="7"/>
  <c r="S718" i="7"/>
  <c r="R718" i="7"/>
  <c r="Q718" i="7"/>
  <c r="P718" i="7"/>
  <c r="L718" i="7"/>
  <c r="K718" i="7"/>
  <c r="J718" i="7"/>
  <c r="I718" i="7"/>
  <c r="H718" i="7"/>
  <c r="G718" i="7"/>
  <c r="F718" i="7"/>
  <c r="E718" i="7"/>
  <c r="D718" i="7"/>
  <c r="C718" i="7"/>
  <c r="B718" i="7"/>
  <c r="A718" i="7"/>
  <c r="Z717" i="7"/>
  <c r="X717" i="7"/>
  <c r="W717" i="7"/>
  <c r="V717" i="7"/>
  <c r="U717" i="7"/>
  <c r="T717" i="7"/>
  <c r="S717" i="7"/>
  <c r="R717" i="7"/>
  <c r="Q717" i="7"/>
  <c r="P717" i="7"/>
  <c r="L717" i="7"/>
  <c r="K717" i="7"/>
  <c r="J717" i="7"/>
  <c r="I717" i="7"/>
  <c r="H717" i="7"/>
  <c r="G717" i="7"/>
  <c r="F717" i="7"/>
  <c r="E717" i="7"/>
  <c r="D717" i="7"/>
  <c r="C717" i="7"/>
  <c r="B717" i="7"/>
  <c r="A717" i="7"/>
  <c r="Z716" i="7"/>
  <c r="X716" i="7"/>
  <c r="W716" i="7"/>
  <c r="V716" i="7"/>
  <c r="U716" i="7"/>
  <c r="T716" i="7"/>
  <c r="S716" i="7"/>
  <c r="R716" i="7"/>
  <c r="Q716" i="7"/>
  <c r="P716" i="7"/>
  <c r="L716" i="7"/>
  <c r="K716" i="7"/>
  <c r="J716" i="7"/>
  <c r="I716" i="7"/>
  <c r="H716" i="7"/>
  <c r="G716" i="7"/>
  <c r="F716" i="7"/>
  <c r="E716" i="7"/>
  <c r="D716" i="7"/>
  <c r="C716" i="7"/>
  <c r="B716" i="7"/>
  <c r="A716" i="7"/>
  <c r="Z715" i="7"/>
  <c r="X715" i="7"/>
  <c r="W715" i="7"/>
  <c r="V715" i="7"/>
  <c r="U715" i="7"/>
  <c r="T715" i="7"/>
  <c r="S715" i="7"/>
  <c r="R715" i="7"/>
  <c r="Q715" i="7"/>
  <c r="P715" i="7"/>
  <c r="L715" i="7"/>
  <c r="K715" i="7"/>
  <c r="J715" i="7"/>
  <c r="I715" i="7"/>
  <c r="H715" i="7"/>
  <c r="G715" i="7"/>
  <c r="F715" i="7"/>
  <c r="E715" i="7"/>
  <c r="D715" i="7"/>
  <c r="C715" i="7"/>
  <c r="B715" i="7"/>
  <c r="A715" i="7"/>
  <c r="Z714" i="7"/>
  <c r="X714" i="7"/>
  <c r="W714" i="7"/>
  <c r="V714" i="7"/>
  <c r="U714" i="7"/>
  <c r="T714" i="7"/>
  <c r="S714" i="7"/>
  <c r="R714" i="7"/>
  <c r="Q714" i="7"/>
  <c r="P714" i="7"/>
  <c r="L714" i="7"/>
  <c r="K714" i="7"/>
  <c r="J714" i="7"/>
  <c r="I714" i="7"/>
  <c r="H714" i="7"/>
  <c r="G714" i="7"/>
  <c r="F714" i="7"/>
  <c r="E714" i="7"/>
  <c r="D714" i="7"/>
  <c r="C714" i="7"/>
  <c r="B714" i="7"/>
  <c r="A714" i="7"/>
  <c r="Z713" i="7"/>
  <c r="X713" i="7"/>
  <c r="W713" i="7"/>
  <c r="V713" i="7"/>
  <c r="U713" i="7"/>
  <c r="T713" i="7"/>
  <c r="S713" i="7"/>
  <c r="R713" i="7"/>
  <c r="Q713" i="7"/>
  <c r="P713" i="7"/>
  <c r="L713" i="7"/>
  <c r="K713" i="7"/>
  <c r="J713" i="7"/>
  <c r="I713" i="7"/>
  <c r="H713" i="7"/>
  <c r="G713" i="7"/>
  <c r="F713" i="7"/>
  <c r="E713" i="7"/>
  <c r="D713" i="7"/>
  <c r="C713" i="7"/>
  <c r="B713" i="7"/>
  <c r="A713" i="7"/>
  <c r="Z712" i="7"/>
  <c r="X712" i="7"/>
  <c r="W712" i="7"/>
  <c r="V712" i="7"/>
  <c r="U712" i="7"/>
  <c r="T712" i="7"/>
  <c r="S712" i="7"/>
  <c r="R712" i="7"/>
  <c r="Q712" i="7"/>
  <c r="P712" i="7"/>
  <c r="L712" i="7"/>
  <c r="K712" i="7"/>
  <c r="J712" i="7"/>
  <c r="I712" i="7"/>
  <c r="H712" i="7"/>
  <c r="G712" i="7"/>
  <c r="F712" i="7"/>
  <c r="E712" i="7"/>
  <c r="D712" i="7"/>
  <c r="C712" i="7"/>
  <c r="B712" i="7"/>
  <c r="A712" i="7"/>
  <c r="Z711" i="7"/>
  <c r="X711" i="7"/>
  <c r="W711" i="7"/>
  <c r="V711" i="7"/>
  <c r="U711" i="7"/>
  <c r="T711" i="7"/>
  <c r="S711" i="7"/>
  <c r="R711" i="7"/>
  <c r="Q711" i="7"/>
  <c r="P711" i="7"/>
  <c r="L711" i="7"/>
  <c r="K711" i="7"/>
  <c r="J711" i="7"/>
  <c r="I711" i="7"/>
  <c r="H711" i="7"/>
  <c r="G711" i="7"/>
  <c r="F711" i="7"/>
  <c r="E711" i="7"/>
  <c r="D711" i="7"/>
  <c r="C711" i="7"/>
  <c r="B711" i="7"/>
  <c r="A711" i="7"/>
  <c r="Z710" i="7"/>
  <c r="X710" i="7"/>
  <c r="W710" i="7"/>
  <c r="V710" i="7"/>
  <c r="U710" i="7"/>
  <c r="T710" i="7"/>
  <c r="S710" i="7"/>
  <c r="R710" i="7"/>
  <c r="Q710" i="7"/>
  <c r="P710" i="7"/>
  <c r="L710" i="7"/>
  <c r="K710" i="7"/>
  <c r="J710" i="7"/>
  <c r="I710" i="7"/>
  <c r="H710" i="7"/>
  <c r="G710" i="7"/>
  <c r="F710" i="7"/>
  <c r="E710" i="7"/>
  <c r="D710" i="7"/>
  <c r="C710" i="7"/>
  <c r="B710" i="7"/>
  <c r="A710" i="7"/>
  <c r="Z709" i="7"/>
  <c r="X709" i="7"/>
  <c r="W709" i="7"/>
  <c r="V709" i="7"/>
  <c r="U709" i="7"/>
  <c r="T709" i="7"/>
  <c r="S709" i="7"/>
  <c r="R709" i="7"/>
  <c r="Q709" i="7"/>
  <c r="P709" i="7"/>
  <c r="L709" i="7"/>
  <c r="K709" i="7"/>
  <c r="J709" i="7"/>
  <c r="I709" i="7"/>
  <c r="H709" i="7"/>
  <c r="G709" i="7"/>
  <c r="F709" i="7"/>
  <c r="E709" i="7"/>
  <c r="D709" i="7"/>
  <c r="C709" i="7"/>
  <c r="B709" i="7"/>
  <c r="A709" i="7"/>
  <c r="Z708" i="7"/>
  <c r="X708" i="7"/>
  <c r="W708" i="7"/>
  <c r="V708" i="7"/>
  <c r="U708" i="7"/>
  <c r="T708" i="7"/>
  <c r="S708" i="7"/>
  <c r="R708" i="7"/>
  <c r="Q708" i="7"/>
  <c r="P708" i="7"/>
  <c r="L708" i="7"/>
  <c r="K708" i="7"/>
  <c r="J708" i="7"/>
  <c r="I708" i="7"/>
  <c r="H708" i="7"/>
  <c r="G708" i="7"/>
  <c r="F708" i="7"/>
  <c r="E708" i="7"/>
  <c r="D708" i="7"/>
  <c r="C708" i="7"/>
  <c r="B708" i="7"/>
  <c r="A708" i="7"/>
  <c r="Z707" i="7"/>
  <c r="X707" i="7"/>
  <c r="W707" i="7"/>
  <c r="V707" i="7"/>
  <c r="U707" i="7"/>
  <c r="T707" i="7"/>
  <c r="S707" i="7"/>
  <c r="R707" i="7"/>
  <c r="Q707" i="7"/>
  <c r="P707" i="7"/>
  <c r="L707" i="7"/>
  <c r="K707" i="7"/>
  <c r="J707" i="7"/>
  <c r="I707" i="7"/>
  <c r="H707" i="7"/>
  <c r="G707" i="7"/>
  <c r="F707" i="7"/>
  <c r="E707" i="7"/>
  <c r="D707" i="7"/>
  <c r="C707" i="7"/>
  <c r="B707" i="7"/>
  <c r="A707" i="7"/>
  <c r="Z706" i="7"/>
  <c r="X706" i="7"/>
  <c r="W706" i="7"/>
  <c r="V706" i="7"/>
  <c r="U706" i="7"/>
  <c r="T706" i="7"/>
  <c r="S706" i="7"/>
  <c r="R706" i="7"/>
  <c r="Q706" i="7"/>
  <c r="P706" i="7"/>
  <c r="L706" i="7"/>
  <c r="K706" i="7"/>
  <c r="J706" i="7"/>
  <c r="I706" i="7"/>
  <c r="H706" i="7"/>
  <c r="G706" i="7"/>
  <c r="F706" i="7"/>
  <c r="E706" i="7"/>
  <c r="D706" i="7"/>
  <c r="C706" i="7"/>
  <c r="B706" i="7"/>
  <c r="A706" i="7"/>
  <c r="Z705" i="7"/>
  <c r="X705" i="7"/>
  <c r="W705" i="7"/>
  <c r="V705" i="7"/>
  <c r="U705" i="7"/>
  <c r="T705" i="7"/>
  <c r="S705" i="7"/>
  <c r="R705" i="7"/>
  <c r="Q705" i="7"/>
  <c r="P705" i="7"/>
  <c r="L705" i="7"/>
  <c r="K705" i="7"/>
  <c r="J705" i="7"/>
  <c r="I705" i="7"/>
  <c r="H705" i="7"/>
  <c r="G705" i="7"/>
  <c r="F705" i="7"/>
  <c r="E705" i="7"/>
  <c r="D705" i="7"/>
  <c r="C705" i="7"/>
  <c r="B705" i="7"/>
  <c r="A705" i="7"/>
  <c r="Z704" i="7"/>
  <c r="X704" i="7"/>
  <c r="W704" i="7"/>
  <c r="V704" i="7"/>
  <c r="U704" i="7"/>
  <c r="T704" i="7"/>
  <c r="S704" i="7"/>
  <c r="R704" i="7"/>
  <c r="Q704" i="7"/>
  <c r="P704" i="7"/>
  <c r="L704" i="7"/>
  <c r="K704" i="7"/>
  <c r="J704" i="7"/>
  <c r="I704" i="7"/>
  <c r="H704" i="7"/>
  <c r="G704" i="7"/>
  <c r="F704" i="7"/>
  <c r="E704" i="7"/>
  <c r="D704" i="7"/>
  <c r="C704" i="7"/>
  <c r="B704" i="7"/>
  <c r="A704" i="7"/>
  <c r="Z703" i="7"/>
  <c r="X703" i="7"/>
  <c r="W703" i="7"/>
  <c r="V703" i="7"/>
  <c r="U703" i="7"/>
  <c r="T703" i="7"/>
  <c r="S703" i="7"/>
  <c r="R703" i="7"/>
  <c r="Q703" i="7"/>
  <c r="P703" i="7"/>
  <c r="L703" i="7"/>
  <c r="K703" i="7"/>
  <c r="J703" i="7"/>
  <c r="I703" i="7"/>
  <c r="H703" i="7"/>
  <c r="G703" i="7"/>
  <c r="F703" i="7"/>
  <c r="E703" i="7"/>
  <c r="D703" i="7"/>
  <c r="C703" i="7"/>
  <c r="B703" i="7"/>
  <c r="A703" i="7"/>
  <c r="Z702" i="7"/>
  <c r="X702" i="7"/>
  <c r="W702" i="7"/>
  <c r="V702" i="7"/>
  <c r="U702" i="7"/>
  <c r="T702" i="7"/>
  <c r="S702" i="7"/>
  <c r="R702" i="7"/>
  <c r="Q702" i="7"/>
  <c r="P702" i="7"/>
  <c r="L702" i="7"/>
  <c r="K702" i="7"/>
  <c r="J702" i="7"/>
  <c r="I702" i="7"/>
  <c r="H702" i="7"/>
  <c r="G702" i="7"/>
  <c r="F702" i="7"/>
  <c r="E702" i="7"/>
  <c r="D702" i="7"/>
  <c r="C702" i="7"/>
  <c r="B702" i="7"/>
  <c r="A702" i="7"/>
  <c r="Z701" i="7"/>
  <c r="X701" i="7"/>
  <c r="W701" i="7"/>
  <c r="V701" i="7"/>
  <c r="U701" i="7"/>
  <c r="T701" i="7"/>
  <c r="S701" i="7"/>
  <c r="R701" i="7"/>
  <c r="Q701" i="7"/>
  <c r="P701" i="7"/>
  <c r="L701" i="7"/>
  <c r="K701" i="7"/>
  <c r="J701" i="7"/>
  <c r="I701" i="7"/>
  <c r="H701" i="7"/>
  <c r="G701" i="7"/>
  <c r="F701" i="7"/>
  <c r="E701" i="7"/>
  <c r="D701" i="7"/>
  <c r="C701" i="7"/>
  <c r="B701" i="7"/>
  <c r="A701" i="7"/>
  <c r="Z700" i="7"/>
  <c r="X700" i="7"/>
  <c r="W700" i="7"/>
  <c r="V700" i="7"/>
  <c r="U700" i="7"/>
  <c r="T700" i="7"/>
  <c r="S700" i="7"/>
  <c r="R700" i="7"/>
  <c r="Q700" i="7"/>
  <c r="P700" i="7"/>
  <c r="L700" i="7"/>
  <c r="K700" i="7"/>
  <c r="J700" i="7"/>
  <c r="I700" i="7"/>
  <c r="H700" i="7"/>
  <c r="G700" i="7"/>
  <c r="F700" i="7"/>
  <c r="E700" i="7"/>
  <c r="D700" i="7"/>
  <c r="C700" i="7"/>
  <c r="B700" i="7"/>
  <c r="A700" i="7"/>
  <c r="Z699" i="7"/>
  <c r="X699" i="7"/>
  <c r="W699" i="7"/>
  <c r="V699" i="7"/>
  <c r="U699" i="7"/>
  <c r="T699" i="7"/>
  <c r="S699" i="7"/>
  <c r="R699" i="7"/>
  <c r="Q699" i="7"/>
  <c r="P699" i="7"/>
  <c r="L699" i="7"/>
  <c r="K699" i="7"/>
  <c r="J699" i="7"/>
  <c r="I699" i="7"/>
  <c r="H699" i="7"/>
  <c r="G699" i="7"/>
  <c r="F699" i="7"/>
  <c r="E699" i="7"/>
  <c r="D699" i="7"/>
  <c r="C699" i="7"/>
  <c r="B699" i="7"/>
  <c r="A699" i="7"/>
  <c r="Z698" i="7"/>
  <c r="X698" i="7"/>
  <c r="W698" i="7"/>
  <c r="V698" i="7"/>
  <c r="U698" i="7"/>
  <c r="T698" i="7"/>
  <c r="S698" i="7"/>
  <c r="R698" i="7"/>
  <c r="Q698" i="7"/>
  <c r="P698" i="7"/>
  <c r="L698" i="7"/>
  <c r="K698" i="7"/>
  <c r="J698" i="7"/>
  <c r="I698" i="7"/>
  <c r="H698" i="7"/>
  <c r="G698" i="7"/>
  <c r="F698" i="7"/>
  <c r="E698" i="7"/>
  <c r="D698" i="7"/>
  <c r="C698" i="7"/>
  <c r="B698" i="7"/>
  <c r="A698" i="7"/>
  <c r="Z697" i="7"/>
  <c r="X697" i="7"/>
  <c r="W697" i="7"/>
  <c r="V697" i="7"/>
  <c r="U697" i="7"/>
  <c r="T697" i="7"/>
  <c r="S697" i="7"/>
  <c r="R697" i="7"/>
  <c r="Q697" i="7"/>
  <c r="P697" i="7"/>
  <c r="L697" i="7"/>
  <c r="K697" i="7"/>
  <c r="J697" i="7"/>
  <c r="I697" i="7"/>
  <c r="H697" i="7"/>
  <c r="G697" i="7"/>
  <c r="F697" i="7"/>
  <c r="E697" i="7"/>
  <c r="D697" i="7"/>
  <c r="C697" i="7"/>
  <c r="B697" i="7"/>
  <c r="A697" i="7"/>
  <c r="Z696" i="7"/>
  <c r="X696" i="7"/>
  <c r="W696" i="7"/>
  <c r="V696" i="7"/>
  <c r="U696" i="7"/>
  <c r="T696" i="7"/>
  <c r="S696" i="7"/>
  <c r="R696" i="7"/>
  <c r="Q696" i="7"/>
  <c r="P696" i="7"/>
  <c r="L696" i="7"/>
  <c r="K696" i="7"/>
  <c r="J696" i="7"/>
  <c r="I696" i="7"/>
  <c r="H696" i="7"/>
  <c r="G696" i="7"/>
  <c r="F696" i="7"/>
  <c r="E696" i="7"/>
  <c r="D696" i="7"/>
  <c r="C696" i="7"/>
  <c r="B696" i="7"/>
  <c r="A696" i="7"/>
  <c r="Z695" i="7"/>
  <c r="X695" i="7"/>
  <c r="W695" i="7"/>
  <c r="V695" i="7"/>
  <c r="U695" i="7"/>
  <c r="T695" i="7"/>
  <c r="S695" i="7"/>
  <c r="R695" i="7"/>
  <c r="Q695" i="7"/>
  <c r="P695" i="7"/>
  <c r="L695" i="7"/>
  <c r="K695" i="7"/>
  <c r="J695" i="7"/>
  <c r="I695" i="7"/>
  <c r="H695" i="7"/>
  <c r="G695" i="7"/>
  <c r="F695" i="7"/>
  <c r="E695" i="7"/>
  <c r="D695" i="7"/>
  <c r="C695" i="7"/>
  <c r="B695" i="7"/>
  <c r="A695" i="7"/>
  <c r="Z694" i="7"/>
  <c r="X694" i="7"/>
  <c r="W694" i="7"/>
  <c r="V694" i="7"/>
  <c r="U694" i="7"/>
  <c r="T694" i="7"/>
  <c r="S694" i="7"/>
  <c r="R694" i="7"/>
  <c r="Q694" i="7"/>
  <c r="P694" i="7"/>
  <c r="L694" i="7"/>
  <c r="K694" i="7"/>
  <c r="J694" i="7"/>
  <c r="I694" i="7"/>
  <c r="H694" i="7"/>
  <c r="G694" i="7"/>
  <c r="F694" i="7"/>
  <c r="E694" i="7"/>
  <c r="D694" i="7"/>
  <c r="C694" i="7"/>
  <c r="B694" i="7"/>
  <c r="A694" i="7"/>
  <c r="Z693" i="7"/>
  <c r="X693" i="7"/>
  <c r="W693" i="7"/>
  <c r="V693" i="7"/>
  <c r="U693" i="7"/>
  <c r="T693" i="7"/>
  <c r="S693" i="7"/>
  <c r="R693" i="7"/>
  <c r="Q693" i="7"/>
  <c r="P693" i="7"/>
  <c r="L693" i="7"/>
  <c r="K693" i="7"/>
  <c r="J693" i="7"/>
  <c r="I693" i="7"/>
  <c r="H693" i="7"/>
  <c r="G693" i="7"/>
  <c r="F693" i="7"/>
  <c r="E693" i="7"/>
  <c r="D693" i="7"/>
  <c r="C693" i="7"/>
  <c r="B693" i="7"/>
  <c r="A693" i="7"/>
  <c r="Z692" i="7"/>
  <c r="X692" i="7"/>
  <c r="W692" i="7"/>
  <c r="V692" i="7"/>
  <c r="U692" i="7"/>
  <c r="T692" i="7"/>
  <c r="S692" i="7"/>
  <c r="R692" i="7"/>
  <c r="Q692" i="7"/>
  <c r="P692" i="7"/>
  <c r="L692" i="7"/>
  <c r="K692" i="7"/>
  <c r="J692" i="7"/>
  <c r="I692" i="7"/>
  <c r="H692" i="7"/>
  <c r="G692" i="7"/>
  <c r="F692" i="7"/>
  <c r="E692" i="7"/>
  <c r="D692" i="7"/>
  <c r="C692" i="7"/>
  <c r="B692" i="7"/>
  <c r="A692" i="7"/>
  <c r="Z691" i="7"/>
  <c r="X691" i="7"/>
  <c r="W691" i="7"/>
  <c r="V691" i="7"/>
  <c r="U691" i="7"/>
  <c r="T691" i="7"/>
  <c r="S691" i="7"/>
  <c r="R691" i="7"/>
  <c r="Q691" i="7"/>
  <c r="P691" i="7"/>
  <c r="L691" i="7"/>
  <c r="K691" i="7"/>
  <c r="J691" i="7"/>
  <c r="I691" i="7"/>
  <c r="H691" i="7"/>
  <c r="G691" i="7"/>
  <c r="F691" i="7"/>
  <c r="E691" i="7"/>
  <c r="D691" i="7"/>
  <c r="C691" i="7"/>
  <c r="B691" i="7"/>
  <c r="A691" i="7"/>
  <c r="Z690" i="7"/>
  <c r="X690" i="7"/>
  <c r="W690" i="7"/>
  <c r="V690" i="7"/>
  <c r="U690" i="7"/>
  <c r="T690" i="7"/>
  <c r="S690" i="7"/>
  <c r="R690" i="7"/>
  <c r="Q690" i="7"/>
  <c r="P690" i="7"/>
  <c r="L690" i="7"/>
  <c r="K690" i="7"/>
  <c r="J690" i="7"/>
  <c r="I690" i="7"/>
  <c r="H690" i="7"/>
  <c r="G690" i="7"/>
  <c r="F690" i="7"/>
  <c r="E690" i="7"/>
  <c r="D690" i="7"/>
  <c r="C690" i="7"/>
  <c r="B690" i="7"/>
  <c r="A690" i="7"/>
  <c r="Z689" i="7"/>
  <c r="X689" i="7"/>
  <c r="W689" i="7"/>
  <c r="V689" i="7"/>
  <c r="U689" i="7"/>
  <c r="T689" i="7"/>
  <c r="S689" i="7"/>
  <c r="R689" i="7"/>
  <c r="Q689" i="7"/>
  <c r="P689" i="7"/>
  <c r="L689" i="7"/>
  <c r="K689" i="7"/>
  <c r="J689" i="7"/>
  <c r="I689" i="7"/>
  <c r="H689" i="7"/>
  <c r="G689" i="7"/>
  <c r="F689" i="7"/>
  <c r="E689" i="7"/>
  <c r="D689" i="7"/>
  <c r="C689" i="7"/>
  <c r="B689" i="7"/>
  <c r="A689" i="7"/>
  <c r="Z688" i="7"/>
  <c r="X688" i="7"/>
  <c r="W688" i="7"/>
  <c r="V688" i="7"/>
  <c r="U688" i="7"/>
  <c r="T688" i="7"/>
  <c r="S688" i="7"/>
  <c r="R688" i="7"/>
  <c r="Q688" i="7"/>
  <c r="P688" i="7"/>
  <c r="L688" i="7"/>
  <c r="K688" i="7"/>
  <c r="J688" i="7"/>
  <c r="I688" i="7"/>
  <c r="H688" i="7"/>
  <c r="G688" i="7"/>
  <c r="F688" i="7"/>
  <c r="E688" i="7"/>
  <c r="D688" i="7"/>
  <c r="C688" i="7"/>
  <c r="B688" i="7"/>
  <c r="A688" i="7"/>
  <c r="Z687" i="7"/>
  <c r="X687" i="7"/>
  <c r="W687" i="7"/>
  <c r="V687" i="7"/>
  <c r="U687" i="7"/>
  <c r="T687" i="7"/>
  <c r="S687" i="7"/>
  <c r="R687" i="7"/>
  <c r="Q687" i="7"/>
  <c r="P687" i="7"/>
  <c r="L687" i="7"/>
  <c r="K687" i="7"/>
  <c r="J687" i="7"/>
  <c r="I687" i="7"/>
  <c r="H687" i="7"/>
  <c r="G687" i="7"/>
  <c r="F687" i="7"/>
  <c r="E687" i="7"/>
  <c r="D687" i="7"/>
  <c r="C687" i="7"/>
  <c r="B687" i="7"/>
  <c r="A687" i="7"/>
  <c r="Z686" i="7"/>
  <c r="X686" i="7"/>
  <c r="W686" i="7"/>
  <c r="V686" i="7"/>
  <c r="U686" i="7"/>
  <c r="T686" i="7"/>
  <c r="S686" i="7"/>
  <c r="R686" i="7"/>
  <c r="Q686" i="7"/>
  <c r="P686" i="7"/>
  <c r="L686" i="7"/>
  <c r="K686" i="7"/>
  <c r="J686" i="7"/>
  <c r="I686" i="7"/>
  <c r="H686" i="7"/>
  <c r="G686" i="7"/>
  <c r="F686" i="7"/>
  <c r="E686" i="7"/>
  <c r="D686" i="7"/>
  <c r="C686" i="7"/>
  <c r="B686" i="7"/>
  <c r="A686" i="7"/>
  <c r="Z685" i="7"/>
  <c r="X685" i="7"/>
  <c r="W685" i="7"/>
  <c r="V685" i="7"/>
  <c r="U685" i="7"/>
  <c r="T685" i="7"/>
  <c r="S685" i="7"/>
  <c r="R685" i="7"/>
  <c r="Q685" i="7"/>
  <c r="P685" i="7"/>
  <c r="L685" i="7"/>
  <c r="K685" i="7"/>
  <c r="J685" i="7"/>
  <c r="I685" i="7"/>
  <c r="H685" i="7"/>
  <c r="G685" i="7"/>
  <c r="F685" i="7"/>
  <c r="E685" i="7"/>
  <c r="D685" i="7"/>
  <c r="C685" i="7"/>
  <c r="B685" i="7"/>
  <c r="A685" i="7"/>
  <c r="Z684" i="7"/>
  <c r="X684" i="7"/>
  <c r="W684" i="7"/>
  <c r="V684" i="7"/>
  <c r="U684" i="7"/>
  <c r="T684" i="7"/>
  <c r="S684" i="7"/>
  <c r="R684" i="7"/>
  <c r="Q684" i="7"/>
  <c r="P684" i="7"/>
  <c r="L684" i="7"/>
  <c r="K684" i="7"/>
  <c r="J684" i="7"/>
  <c r="I684" i="7"/>
  <c r="H684" i="7"/>
  <c r="G684" i="7"/>
  <c r="F684" i="7"/>
  <c r="E684" i="7"/>
  <c r="D684" i="7"/>
  <c r="C684" i="7"/>
  <c r="B684" i="7"/>
  <c r="A684" i="7"/>
  <c r="Z683" i="7"/>
  <c r="X683" i="7"/>
  <c r="W683" i="7"/>
  <c r="V683" i="7"/>
  <c r="U683" i="7"/>
  <c r="T683" i="7"/>
  <c r="S683" i="7"/>
  <c r="R683" i="7"/>
  <c r="Q683" i="7"/>
  <c r="P683" i="7"/>
  <c r="L683" i="7"/>
  <c r="K683" i="7"/>
  <c r="J683" i="7"/>
  <c r="I683" i="7"/>
  <c r="H683" i="7"/>
  <c r="G683" i="7"/>
  <c r="F683" i="7"/>
  <c r="E683" i="7"/>
  <c r="D683" i="7"/>
  <c r="C683" i="7"/>
  <c r="B683" i="7"/>
  <c r="A683" i="7"/>
  <c r="Z682" i="7"/>
  <c r="X682" i="7"/>
  <c r="W682" i="7"/>
  <c r="V682" i="7"/>
  <c r="U682" i="7"/>
  <c r="T682" i="7"/>
  <c r="S682" i="7"/>
  <c r="R682" i="7"/>
  <c r="Q682" i="7"/>
  <c r="P682" i="7"/>
  <c r="L682" i="7"/>
  <c r="K682" i="7"/>
  <c r="J682" i="7"/>
  <c r="I682" i="7"/>
  <c r="H682" i="7"/>
  <c r="G682" i="7"/>
  <c r="F682" i="7"/>
  <c r="E682" i="7"/>
  <c r="D682" i="7"/>
  <c r="C682" i="7"/>
  <c r="B682" i="7"/>
  <c r="A682" i="7"/>
  <c r="Z681" i="7"/>
  <c r="X681" i="7"/>
  <c r="W681" i="7"/>
  <c r="V681" i="7"/>
  <c r="U681" i="7"/>
  <c r="T681" i="7"/>
  <c r="S681" i="7"/>
  <c r="R681" i="7"/>
  <c r="Q681" i="7"/>
  <c r="P681" i="7"/>
  <c r="L681" i="7"/>
  <c r="K681" i="7"/>
  <c r="J681" i="7"/>
  <c r="I681" i="7"/>
  <c r="H681" i="7"/>
  <c r="G681" i="7"/>
  <c r="F681" i="7"/>
  <c r="E681" i="7"/>
  <c r="D681" i="7"/>
  <c r="C681" i="7"/>
  <c r="B681" i="7"/>
  <c r="A681" i="7"/>
  <c r="Z680" i="7"/>
  <c r="X680" i="7"/>
  <c r="W680" i="7"/>
  <c r="V680" i="7"/>
  <c r="U680" i="7"/>
  <c r="T680" i="7"/>
  <c r="S680" i="7"/>
  <c r="R680" i="7"/>
  <c r="Q680" i="7"/>
  <c r="P680" i="7"/>
  <c r="L680" i="7"/>
  <c r="K680" i="7"/>
  <c r="J680" i="7"/>
  <c r="I680" i="7"/>
  <c r="H680" i="7"/>
  <c r="G680" i="7"/>
  <c r="F680" i="7"/>
  <c r="E680" i="7"/>
  <c r="D680" i="7"/>
  <c r="C680" i="7"/>
  <c r="B680" i="7"/>
  <c r="A680" i="7"/>
  <c r="Z679" i="7"/>
  <c r="X679" i="7"/>
  <c r="W679" i="7"/>
  <c r="V679" i="7"/>
  <c r="U679" i="7"/>
  <c r="T679" i="7"/>
  <c r="S679" i="7"/>
  <c r="R679" i="7"/>
  <c r="Q679" i="7"/>
  <c r="P679" i="7"/>
  <c r="L679" i="7"/>
  <c r="K679" i="7"/>
  <c r="J679" i="7"/>
  <c r="I679" i="7"/>
  <c r="H679" i="7"/>
  <c r="G679" i="7"/>
  <c r="F679" i="7"/>
  <c r="E679" i="7"/>
  <c r="D679" i="7"/>
  <c r="C679" i="7"/>
  <c r="B679" i="7"/>
  <c r="A679" i="7"/>
  <c r="Z678" i="7"/>
  <c r="X678" i="7"/>
  <c r="W678" i="7"/>
  <c r="V678" i="7"/>
  <c r="U678" i="7"/>
  <c r="T678" i="7"/>
  <c r="S678" i="7"/>
  <c r="R678" i="7"/>
  <c r="Q678" i="7"/>
  <c r="P678" i="7"/>
  <c r="L678" i="7"/>
  <c r="K678" i="7"/>
  <c r="J678" i="7"/>
  <c r="I678" i="7"/>
  <c r="H678" i="7"/>
  <c r="G678" i="7"/>
  <c r="F678" i="7"/>
  <c r="E678" i="7"/>
  <c r="D678" i="7"/>
  <c r="C678" i="7"/>
  <c r="B678" i="7"/>
  <c r="A678" i="7"/>
  <c r="Z677" i="7"/>
  <c r="X677" i="7"/>
  <c r="W677" i="7"/>
  <c r="V677" i="7"/>
  <c r="U677" i="7"/>
  <c r="T677" i="7"/>
  <c r="S677" i="7"/>
  <c r="R677" i="7"/>
  <c r="Q677" i="7"/>
  <c r="P677" i="7"/>
  <c r="L677" i="7"/>
  <c r="K677" i="7"/>
  <c r="J677" i="7"/>
  <c r="I677" i="7"/>
  <c r="H677" i="7"/>
  <c r="G677" i="7"/>
  <c r="F677" i="7"/>
  <c r="E677" i="7"/>
  <c r="D677" i="7"/>
  <c r="C677" i="7"/>
  <c r="B677" i="7"/>
  <c r="A677" i="7"/>
  <c r="Z676" i="7"/>
  <c r="X676" i="7"/>
  <c r="W676" i="7"/>
  <c r="V676" i="7"/>
  <c r="U676" i="7"/>
  <c r="T676" i="7"/>
  <c r="S676" i="7"/>
  <c r="R676" i="7"/>
  <c r="Q676" i="7"/>
  <c r="P676" i="7"/>
  <c r="L676" i="7"/>
  <c r="K676" i="7"/>
  <c r="J676" i="7"/>
  <c r="I676" i="7"/>
  <c r="H676" i="7"/>
  <c r="G676" i="7"/>
  <c r="F676" i="7"/>
  <c r="E676" i="7"/>
  <c r="D676" i="7"/>
  <c r="C676" i="7"/>
  <c r="B676" i="7"/>
  <c r="A676" i="7"/>
  <c r="W675" i="7"/>
  <c r="T675" i="7"/>
  <c r="S675" i="7"/>
  <c r="R675" i="7"/>
  <c r="Q675" i="7"/>
  <c r="P675" i="7"/>
  <c r="K675" i="7"/>
  <c r="J675" i="7"/>
  <c r="I675" i="7"/>
  <c r="H675" i="7"/>
  <c r="G675" i="7"/>
  <c r="F675" i="7"/>
  <c r="E675" i="7"/>
  <c r="D675" i="7"/>
  <c r="C675" i="7"/>
  <c r="B675" i="7"/>
  <c r="A675" i="7"/>
  <c r="W674" i="7"/>
  <c r="T674" i="7"/>
  <c r="S674" i="7"/>
  <c r="R674" i="7"/>
  <c r="Q674" i="7"/>
  <c r="P674" i="7"/>
  <c r="K674" i="7"/>
  <c r="J674" i="7"/>
  <c r="I674" i="7"/>
  <c r="H674" i="7"/>
  <c r="G674" i="7"/>
  <c r="F674" i="7"/>
  <c r="E674" i="7"/>
  <c r="D674" i="7"/>
  <c r="C674" i="7"/>
  <c r="B674" i="7"/>
  <c r="A674" i="7"/>
  <c r="W673" i="7"/>
  <c r="T673" i="7"/>
  <c r="S673" i="7"/>
  <c r="R673" i="7"/>
  <c r="Q673" i="7"/>
  <c r="P673" i="7"/>
  <c r="K673" i="7"/>
  <c r="J673" i="7"/>
  <c r="I673" i="7"/>
  <c r="H673" i="7"/>
  <c r="G673" i="7"/>
  <c r="F673" i="7"/>
  <c r="E673" i="7"/>
  <c r="D673" i="7"/>
  <c r="C673" i="7"/>
  <c r="B673" i="7"/>
  <c r="A673" i="7"/>
  <c r="W672" i="7"/>
  <c r="T672" i="7"/>
  <c r="S672" i="7"/>
  <c r="R672" i="7"/>
  <c r="Q672" i="7"/>
  <c r="P672" i="7"/>
  <c r="K672" i="7"/>
  <c r="J672" i="7"/>
  <c r="I672" i="7"/>
  <c r="H672" i="7"/>
  <c r="G672" i="7"/>
  <c r="F672" i="7"/>
  <c r="E672" i="7"/>
  <c r="D672" i="7"/>
  <c r="C672" i="7"/>
  <c r="B672" i="7"/>
  <c r="A672" i="7"/>
  <c r="W671" i="7"/>
  <c r="T671" i="7"/>
  <c r="S671" i="7"/>
  <c r="R671" i="7"/>
  <c r="Q671" i="7"/>
  <c r="P671" i="7"/>
  <c r="K671" i="7"/>
  <c r="J671" i="7"/>
  <c r="I671" i="7"/>
  <c r="H671" i="7"/>
  <c r="G671" i="7"/>
  <c r="F671" i="7"/>
  <c r="E671" i="7"/>
  <c r="D671" i="7"/>
  <c r="C671" i="7"/>
  <c r="B671" i="7"/>
  <c r="A671" i="7"/>
  <c r="W670" i="7"/>
  <c r="T670" i="7"/>
  <c r="S670" i="7"/>
  <c r="R670" i="7"/>
  <c r="Q670" i="7"/>
  <c r="P670" i="7"/>
  <c r="K670" i="7"/>
  <c r="J670" i="7"/>
  <c r="I670" i="7"/>
  <c r="H670" i="7"/>
  <c r="G670" i="7"/>
  <c r="F670" i="7"/>
  <c r="E670" i="7"/>
  <c r="D670" i="7"/>
  <c r="C670" i="7"/>
  <c r="B670" i="7"/>
  <c r="A670" i="7"/>
  <c r="W669" i="7"/>
  <c r="T669" i="7"/>
  <c r="S669" i="7"/>
  <c r="R669" i="7"/>
  <c r="Q669" i="7"/>
  <c r="P669" i="7"/>
  <c r="K669" i="7"/>
  <c r="J669" i="7"/>
  <c r="I669" i="7"/>
  <c r="H669" i="7"/>
  <c r="G669" i="7"/>
  <c r="F669" i="7"/>
  <c r="E669" i="7"/>
  <c r="D669" i="7"/>
  <c r="C669" i="7"/>
  <c r="B669" i="7"/>
  <c r="A669" i="7"/>
  <c r="W668" i="7"/>
  <c r="T668" i="7"/>
  <c r="S668" i="7"/>
  <c r="R668" i="7"/>
  <c r="Q668" i="7"/>
  <c r="P668" i="7"/>
  <c r="K668" i="7"/>
  <c r="J668" i="7"/>
  <c r="I668" i="7"/>
  <c r="H668" i="7"/>
  <c r="G668" i="7"/>
  <c r="F668" i="7"/>
  <c r="E668" i="7"/>
  <c r="D668" i="7"/>
  <c r="C668" i="7"/>
  <c r="B668" i="7"/>
  <c r="A668" i="7"/>
  <c r="Z667" i="7"/>
  <c r="X667" i="7"/>
  <c r="W667" i="7"/>
  <c r="V667" i="7"/>
  <c r="U667" i="7"/>
  <c r="T667" i="7"/>
  <c r="S667" i="7"/>
  <c r="R667" i="7"/>
  <c r="Q667" i="7"/>
  <c r="P667" i="7"/>
  <c r="L667" i="7"/>
  <c r="K667" i="7"/>
  <c r="J667" i="7"/>
  <c r="I667" i="7"/>
  <c r="H667" i="7"/>
  <c r="G667" i="7"/>
  <c r="F667" i="7"/>
  <c r="E667" i="7"/>
  <c r="D667" i="7"/>
  <c r="C667" i="7"/>
  <c r="B667" i="7"/>
  <c r="A667" i="7"/>
  <c r="Z666" i="7"/>
  <c r="X666" i="7"/>
  <c r="W666" i="7"/>
  <c r="V666" i="7"/>
  <c r="U666" i="7"/>
  <c r="T666" i="7"/>
  <c r="S666" i="7"/>
  <c r="R666" i="7"/>
  <c r="Q666" i="7"/>
  <c r="P666" i="7"/>
  <c r="L666" i="7"/>
  <c r="K666" i="7"/>
  <c r="J666" i="7"/>
  <c r="I666" i="7"/>
  <c r="H666" i="7"/>
  <c r="G666" i="7"/>
  <c r="F666" i="7"/>
  <c r="E666" i="7"/>
  <c r="D666" i="7"/>
  <c r="C666" i="7"/>
  <c r="B666" i="7"/>
  <c r="A666" i="7"/>
  <c r="Z665" i="7"/>
  <c r="X665" i="7"/>
  <c r="W665" i="7"/>
  <c r="V665" i="7"/>
  <c r="U665" i="7"/>
  <c r="T665" i="7"/>
  <c r="S665" i="7"/>
  <c r="R665" i="7"/>
  <c r="Q665" i="7"/>
  <c r="P665" i="7"/>
  <c r="L665" i="7"/>
  <c r="K665" i="7"/>
  <c r="J665" i="7"/>
  <c r="I665" i="7"/>
  <c r="H665" i="7"/>
  <c r="G665" i="7"/>
  <c r="F665" i="7"/>
  <c r="E665" i="7"/>
  <c r="D665" i="7"/>
  <c r="C665" i="7"/>
  <c r="B665" i="7"/>
  <c r="A665" i="7"/>
  <c r="Z664" i="7"/>
  <c r="X664" i="7"/>
  <c r="W664" i="7"/>
  <c r="V664" i="7"/>
  <c r="U664" i="7"/>
  <c r="T664" i="7"/>
  <c r="S664" i="7"/>
  <c r="R664" i="7"/>
  <c r="Q664" i="7"/>
  <c r="P664" i="7"/>
  <c r="L664" i="7"/>
  <c r="K664" i="7"/>
  <c r="J664" i="7"/>
  <c r="I664" i="7"/>
  <c r="H664" i="7"/>
  <c r="G664" i="7"/>
  <c r="F664" i="7"/>
  <c r="E664" i="7"/>
  <c r="D664" i="7"/>
  <c r="C664" i="7"/>
  <c r="B664" i="7"/>
  <c r="A664" i="7"/>
  <c r="Z663" i="7"/>
  <c r="X663" i="7"/>
  <c r="W663" i="7"/>
  <c r="V663" i="7"/>
  <c r="U663" i="7"/>
  <c r="T663" i="7"/>
  <c r="S663" i="7"/>
  <c r="R663" i="7"/>
  <c r="Q663" i="7"/>
  <c r="P663" i="7"/>
  <c r="L663" i="7"/>
  <c r="K663" i="7"/>
  <c r="J663" i="7"/>
  <c r="I663" i="7"/>
  <c r="H663" i="7"/>
  <c r="G663" i="7"/>
  <c r="F663" i="7"/>
  <c r="E663" i="7"/>
  <c r="D663" i="7"/>
  <c r="C663" i="7"/>
  <c r="B663" i="7"/>
  <c r="A663" i="7"/>
  <c r="Z662" i="7"/>
  <c r="X662" i="7"/>
  <c r="W662" i="7"/>
  <c r="V662" i="7"/>
  <c r="U662" i="7"/>
  <c r="T662" i="7"/>
  <c r="S662" i="7"/>
  <c r="R662" i="7"/>
  <c r="Q662" i="7"/>
  <c r="P662" i="7"/>
  <c r="L662" i="7"/>
  <c r="K662" i="7"/>
  <c r="J662" i="7"/>
  <c r="I662" i="7"/>
  <c r="H662" i="7"/>
  <c r="G662" i="7"/>
  <c r="F662" i="7"/>
  <c r="E662" i="7"/>
  <c r="D662" i="7"/>
  <c r="C662" i="7"/>
  <c r="B662" i="7"/>
  <c r="A662" i="7"/>
  <c r="Z661" i="7"/>
  <c r="X661" i="7"/>
  <c r="W661" i="7"/>
  <c r="V661" i="7"/>
  <c r="U661" i="7"/>
  <c r="T661" i="7"/>
  <c r="S661" i="7"/>
  <c r="R661" i="7"/>
  <c r="Q661" i="7"/>
  <c r="P661" i="7"/>
  <c r="L661" i="7"/>
  <c r="K661" i="7"/>
  <c r="J661" i="7"/>
  <c r="I661" i="7"/>
  <c r="H661" i="7"/>
  <c r="G661" i="7"/>
  <c r="F661" i="7"/>
  <c r="E661" i="7"/>
  <c r="D661" i="7"/>
  <c r="C661" i="7"/>
  <c r="B661" i="7"/>
  <c r="A661" i="7"/>
  <c r="Z660" i="7"/>
  <c r="X660" i="7"/>
  <c r="W660" i="7"/>
  <c r="V660" i="7"/>
  <c r="U660" i="7"/>
  <c r="T660" i="7"/>
  <c r="S660" i="7"/>
  <c r="R660" i="7"/>
  <c r="Q660" i="7"/>
  <c r="P660" i="7"/>
  <c r="L660" i="7"/>
  <c r="K660" i="7"/>
  <c r="J660" i="7"/>
  <c r="I660" i="7"/>
  <c r="H660" i="7"/>
  <c r="G660" i="7"/>
  <c r="F660" i="7"/>
  <c r="E660" i="7"/>
  <c r="D660" i="7"/>
  <c r="C660" i="7"/>
  <c r="B660" i="7"/>
  <c r="A660" i="7"/>
  <c r="Z659" i="7"/>
  <c r="X659" i="7"/>
  <c r="W659" i="7"/>
  <c r="V659" i="7"/>
  <c r="U659" i="7"/>
  <c r="T659" i="7"/>
  <c r="S659" i="7"/>
  <c r="R659" i="7"/>
  <c r="Q659" i="7"/>
  <c r="P659" i="7"/>
  <c r="L659" i="7"/>
  <c r="K659" i="7"/>
  <c r="J659" i="7"/>
  <c r="I659" i="7"/>
  <c r="H659" i="7"/>
  <c r="G659" i="7"/>
  <c r="F659" i="7"/>
  <c r="E659" i="7"/>
  <c r="D659" i="7"/>
  <c r="C659" i="7"/>
  <c r="B659" i="7"/>
  <c r="A659" i="7"/>
  <c r="Z658" i="7"/>
  <c r="X658" i="7"/>
  <c r="W658" i="7"/>
  <c r="V658" i="7"/>
  <c r="U658" i="7"/>
  <c r="T658" i="7"/>
  <c r="S658" i="7"/>
  <c r="R658" i="7"/>
  <c r="Q658" i="7"/>
  <c r="P658" i="7"/>
  <c r="L658" i="7"/>
  <c r="K658" i="7"/>
  <c r="J658" i="7"/>
  <c r="I658" i="7"/>
  <c r="H658" i="7"/>
  <c r="G658" i="7"/>
  <c r="F658" i="7"/>
  <c r="E658" i="7"/>
  <c r="D658" i="7"/>
  <c r="C658" i="7"/>
  <c r="B658" i="7"/>
  <c r="A658" i="7"/>
  <c r="Z657" i="7"/>
  <c r="X657" i="7"/>
  <c r="W657" i="7"/>
  <c r="V657" i="7"/>
  <c r="U657" i="7"/>
  <c r="T657" i="7"/>
  <c r="S657" i="7"/>
  <c r="R657" i="7"/>
  <c r="Q657" i="7"/>
  <c r="P657" i="7"/>
  <c r="L657" i="7"/>
  <c r="K657" i="7"/>
  <c r="J657" i="7"/>
  <c r="I657" i="7"/>
  <c r="H657" i="7"/>
  <c r="G657" i="7"/>
  <c r="F657" i="7"/>
  <c r="E657" i="7"/>
  <c r="D657" i="7"/>
  <c r="C657" i="7"/>
  <c r="B657" i="7"/>
  <c r="A657" i="7"/>
  <c r="Z656" i="7"/>
  <c r="X656" i="7"/>
  <c r="W656" i="7"/>
  <c r="V656" i="7"/>
  <c r="U656" i="7"/>
  <c r="T656" i="7"/>
  <c r="S656" i="7"/>
  <c r="R656" i="7"/>
  <c r="Q656" i="7"/>
  <c r="P656" i="7"/>
  <c r="L656" i="7"/>
  <c r="K656" i="7"/>
  <c r="J656" i="7"/>
  <c r="I656" i="7"/>
  <c r="H656" i="7"/>
  <c r="G656" i="7"/>
  <c r="F656" i="7"/>
  <c r="E656" i="7"/>
  <c r="D656" i="7"/>
  <c r="C656" i="7"/>
  <c r="B656" i="7"/>
  <c r="A656" i="7"/>
  <c r="Z655" i="7"/>
  <c r="X655" i="7"/>
  <c r="W655" i="7"/>
  <c r="V655" i="7"/>
  <c r="U655" i="7"/>
  <c r="T655" i="7"/>
  <c r="S655" i="7"/>
  <c r="R655" i="7"/>
  <c r="Q655" i="7"/>
  <c r="P655" i="7"/>
  <c r="L655" i="7"/>
  <c r="K655" i="7"/>
  <c r="J655" i="7"/>
  <c r="I655" i="7"/>
  <c r="H655" i="7"/>
  <c r="G655" i="7"/>
  <c r="F655" i="7"/>
  <c r="E655" i="7"/>
  <c r="D655" i="7"/>
  <c r="C655" i="7"/>
  <c r="B655" i="7"/>
  <c r="A655" i="7"/>
  <c r="Z654" i="7"/>
  <c r="X654" i="7"/>
  <c r="W654" i="7"/>
  <c r="V654" i="7"/>
  <c r="U654" i="7"/>
  <c r="T654" i="7"/>
  <c r="S654" i="7"/>
  <c r="R654" i="7"/>
  <c r="Q654" i="7"/>
  <c r="P654" i="7"/>
  <c r="L654" i="7"/>
  <c r="K654" i="7"/>
  <c r="J654" i="7"/>
  <c r="I654" i="7"/>
  <c r="H654" i="7"/>
  <c r="G654" i="7"/>
  <c r="F654" i="7"/>
  <c r="E654" i="7"/>
  <c r="D654" i="7"/>
  <c r="C654" i="7"/>
  <c r="B654" i="7"/>
  <c r="A654" i="7"/>
  <c r="Z653" i="7"/>
  <c r="X653" i="7"/>
  <c r="W653" i="7"/>
  <c r="V653" i="7"/>
  <c r="U653" i="7"/>
  <c r="T653" i="7"/>
  <c r="S653" i="7"/>
  <c r="R653" i="7"/>
  <c r="Q653" i="7"/>
  <c r="P653" i="7"/>
  <c r="L653" i="7"/>
  <c r="K653" i="7"/>
  <c r="J653" i="7"/>
  <c r="I653" i="7"/>
  <c r="H653" i="7"/>
  <c r="G653" i="7"/>
  <c r="F653" i="7"/>
  <c r="E653" i="7"/>
  <c r="D653" i="7"/>
  <c r="C653" i="7"/>
  <c r="B653" i="7"/>
  <c r="A653" i="7"/>
  <c r="Z652" i="7"/>
  <c r="X652" i="7"/>
  <c r="W652" i="7"/>
  <c r="V652" i="7"/>
  <c r="U652" i="7"/>
  <c r="T652" i="7"/>
  <c r="S652" i="7"/>
  <c r="R652" i="7"/>
  <c r="Q652" i="7"/>
  <c r="P652" i="7"/>
  <c r="L652" i="7"/>
  <c r="K652" i="7"/>
  <c r="J652" i="7"/>
  <c r="I652" i="7"/>
  <c r="H652" i="7"/>
  <c r="G652" i="7"/>
  <c r="F652" i="7"/>
  <c r="E652" i="7"/>
  <c r="D652" i="7"/>
  <c r="C652" i="7"/>
  <c r="B652" i="7"/>
  <c r="A652" i="7"/>
  <c r="Z651" i="7"/>
  <c r="X651" i="7"/>
  <c r="W651" i="7"/>
  <c r="V651" i="7"/>
  <c r="U651" i="7"/>
  <c r="T651" i="7"/>
  <c r="S651" i="7"/>
  <c r="R651" i="7"/>
  <c r="Q651" i="7"/>
  <c r="P651" i="7"/>
  <c r="L651" i="7"/>
  <c r="K651" i="7"/>
  <c r="J651" i="7"/>
  <c r="I651" i="7"/>
  <c r="H651" i="7"/>
  <c r="G651" i="7"/>
  <c r="F651" i="7"/>
  <c r="E651" i="7"/>
  <c r="D651" i="7"/>
  <c r="C651" i="7"/>
  <c r="B651" i="7"/>
  <c r="A651" i="7"/>
  <c r="Z650" i="7"/>
  <c r="X650" i="7"/>
  <c r="W650" i="7"/>
  <c r="V650" i="7"/>
  <c r="U650" i="7"/>
  <c r="T650" i="7"/>
  <c r="S650" i="7"/>
  <c r="R650" i="7"/>
  <c r="Q650" i="7"/>
  <c r="P650" i="7"/>
  <c r="L650" i="7"/>
  <c r="K650" i="7"/>
  <c r="J650" i="7"/>
  <c r="I650" i="7"/>
  <c r="H650" i="7"/>
  <c r="G650" i="7"/>
  <c r="F650" i="7"/>
  <c r="E650" i="7"/>
  <c r="D650" i="7"/>
  <c r="C650" i="7"/>
  <c r="B650" i="7"/>
  <c r="A650" i="7"/>
  <c r="Z649" i="7"/>
  <c r="X649" i="7"/>
  <c r="W649" i="7"/>
  <c r="V649" i="7"/>
  <c r="U649" i="7"/>
  <c r="T649" i="7"/>
  <c r="S649" i="7"/>
  <c r="R649" i="7"/>
  <c r="Q649" i="7"/>
  <c r="P649" i="7"/>
  <c r="L649" i="7"/>
  <c r="K649" i="7"/>
  <c r="J649" i="7"/>
  <c r="I649" i="7"/>
  <c r="H649" i="7"/>
  <c r="G649" i="7"/>
  <c r="F649" i="7"/>
  <c r="E649" i="7"/>
  <c r="D649" i="7"/>
  <c r="C649" i="7"/>
  <c r="B649" i="7"/>
  <c r="A649" i="7"/>
  <c r="Z648" i="7"/>
  <c r="X648" i="7"/>
  <c r="W648" i="7"/>
  <c r="V648" i="7"/>
  <c r="U648" i="7"/>
  <c r="T648" i="7"/>
  <c r="S648" i="7"/>
  <c r="R648" i="7"/>
  <c r="Q648" i="7"/>
  <c r="P648" i="7"/>
  <c r="L648" i="7"/>
  <c r="K648" i="7"/>
  <c r="J648" i="7"/>
  <c r="I648" i="7"/>
  <c r="H648" i="7"/>
  <c r="G648" i="7"/>
  <c r="F648" i="7"/>
  <c r="E648" i="7"/>
  <c r="D648" i="7"/>
  <c r="C648" i="7"/>
  <c r="B648" i="7"/>
  <c r="A648" i="7"/>
  <c r="Z647" i="7"/>
  <c r="X647" i="7"/>
  <c r="W647" i="7"/>
  <c r="V647" i="7"/>
  <c r="U647" i="7"/>
  <c r="T647" i="7"/>
  <c r="S647" i="7"/>
  <c r="R647" i="7"/>
  <c r="Q647" i="7"/>
  <c r="P647" i="7"/>
  <c r="L647" i="7"/>
  <c r="K647" i="7"/>
  <c r="J647" i="7"/>
  <c r="I647" i="7"/>
  <c r="H647" i="7"/>
  <c r="G647" i="7"/>
  <c r="F647" i="7"/>
  <c r="E647" i="7"/>
  <c r="D647" i="7"/>
  <c r="C647" i="7"/>
  <c r="B647" i="7"/>
  <c r="A647" i="7"/>
  <c r="Z646" i="7"/>
  <c r="X646" i="7"/>
  <c r="W646" i="7"/>
  <c r="V646" i="7"/>
  <c r="U646" i="7"/>
  <c r="T646" i="7"/>
  <c r="S646" i="7"/>
  <c r="R646" i="7"/>
  <c r="Q646" i="7"/>
  <c r="P646" i="7"/>
  <c r="L646" i="7"/>
  <c r="K646" i="7"/>
  <c r="J646" i="7"/>
  <c r="I646" i="7"/>
  <c r="H646" i="7"/>
  <c r="G646" i="7"/>
  <c r="F646" i="7"/>
  <c r="E646" i="7"/>
  <c r="D646" i="7"/>
  <c r="C646" i="7"/>
  <c r="B646" i="7"/>
  <c r="A646" i="7"/>
  <c r="Z645" i="7"/>
  <c r="X645" i="7"/>
  <c r="W645" i="7"/>
  <c r="V645" i="7"/>
  <c r="U645" i="7"/>
  <c r="T645" i="7"/>
  <c r="S645" i="7"/>
  <c r="R645" i="7"/>
  <c r="Q645" i="7"/>
  <c r="P645" i="7"/>
  <c r="L645" i="7"/>
  <c r="K645" i="7"/>
  <c r="J645" i="7"/>
  <c r="I645" i="7"/>
  <c r="H645" i="7"/>
  <c r="G645" i="7"/>
  <c r="F645" i="7"/>
  <c r="E645" i="7"/>
  <c r="D645" i="7"/>
  <c r="C645" i="7"/>
  <c r="B645" i="7"/>
  <c r="A645" i="7"/>
  <c r="Z644" i="7"/>
  <c r="X644" i="7"/>
  <c r="W644" i="7"/>
  <c r="V644" i="7"/>
  <c r="U644" i="7"/>
  <c r="T644" i="7"/>
  <c r="S644" i="7"/>
  <c r="R644" i="7"/>
  <c r="Q644" i="7"/>
  <c r="P644" i="7"/>
  <c r="L644" i="7"/>
  <c r="K644" i="7"/>
  <c r="J644" i="7"/>
  <c r="I644" i="7"/>
  <c r="H644" i="7"/>
  <c r="G644" i="7"/>
  <c r="F644" i="7"/>
  <c r="E644" i="7"/>
  <c r="D644" i="7"/>
  <c r="C644" i="7"/>
  <c r="B644" i="7"/>
  <c r="A644" i="7"/>
  <c r="Z643" i="7"/>
  <c r="X643" i="7"/>
  <c r="W643" i="7"/>
  <c r="V643" i="7"/>
  <c r="U643" i="7"/>
  <c r="T643" i="7"/>
  <c r="S643" i="7"/>
  <c r="R643" i="7"/>
  <c r="Q643" i="7"/>
  <c r="P643" i="7"/>
  <c r="L643" i="7"/>
  <c r="K643" i="7"/>
  <c r="J643" i="7"/>
  <c r="I643" i="7"/>
  <c r="H643" i="7"/>
  <c r="G643" i="7"/>
  <c r="F643" i="7"/>
  <c r="E643" i="7"/>
  <c r="D643" i="7"/>
  <c r="C643" i="7"/>
  <c r="B643" i="7"/>
  <c r="A643" i="7"/>
  <c r="Z642" i="7"/>
  <c r="X642" i="7"/>
  <c r="W642" i="7"/>
  <c r="V642" i="7"/>
  <c r="U642" i="7"/>
  <c r="T642" i="7"/>
  <c r="S642" i="7"/>
  <c r="R642" i="7"/>
  <c r="Q642" i="7"/>
  <c r="P642" i="7"/>
  <c r="L642" i="7"/>
  <c r="K642" i="7"/>
  <c r="J642" i="7"/>
  <c r="I642" i="7"/>
  <c r="H642" i="7"/>
  <c r="G642" i="7"/>
  <c r="F642" i="7"/>
  <c r="E642" i="7"/>
  <c r="D642" i="7"/>
  <c r="C642" i="7"/>
  <c r="B642" i="7"/>
  <c r="A642" i="7"/>
  <c r="Z641" i="7"/>
  <c r="X641" i="7"/>
  <c r="W641" i="7"/>
  <c r="V641" i="7"/>
  <c r="U641" i="7"/>
  <c r="T641" i="7"/>
  <c r="S641" i="7"/>
  <c r="R641" i="7"/>
  <c r="Q641" i="7"/>
  <c r="P641" i="7"/>
  <c r="L641" i="7"/>
  <c r="K641" i="7"/>
  <c r="J641" i="7"/>
  <c r="I641" i="7"/>
  <c r="H641" i="7"/>
  <c r="G641" i="7"/>
  <c r="F641" i="7"/>
  <c r="E641" i="7"/>
  <c r="D641" i="7"/>
  <c r="C641" i="7"/>
  <c r="B641" i="7"/>
  <c r="A641" i="7"/>
  <c r="Z640" i="7"/>
  <c r="X640" i="7"/>
  <c r="W640" i="7"/>
  <c r="V640" i="7"/>
  <c r="U640" i="7"/>
  <c r="T640" i="7"/>
  <c r="S640" i="7"/>
  <c r="R640" i="7"/>
  <c r="Q640" i="7"/>
  <c r="P640" i="7"/>
  <c r="L640" i="7"/>
  <c r="K640" i="7"/>
  <c r="J640" i="7"/>
  <c r="I640" i="7"/>
  <c r="H640" i="7"/>
  <c r="G640" i="7"/>
  <c r="F640" i="7"/>
  <c r="E640" i="7"/>
  <c r="D640" i="7"/>
  <c r="C640" i="7"/>
  <c r="B640" i="7"/>
  <c r="A640" i="7"/>
  <c r="Z639" i="7"/>
  <c r="X639" i="7"/>
  <c r="W639" i="7"/>
  <c r="V639" i="7"/>
  <c r="U639" i="7"/>
  <c r="T639" i="7"/>
  <c r="S639" i="7"/>
  <c r="R639" i="7"/>
  <c r="Q639" i="7"/>
  <c r="P639" i="7"/>
  <c r="L639" i="7"/>
  <c r="K639" i="7"/>
  <c r="J639" i="7"/>
  <c r="I639" i="7"/>
  <c r="H639" i="7"/>
  <c r="G639" i="7"/>
  <c r="F639" i="7"/>
  <c r="E639" i="7"/>
  <c r="D639" i="7"/>
  <c r="C639" i="7"/>
  <c r="B639" i="7"/>
  <c r="A639" i="7"/>
  <c r="Z638" i="7"/>
  <c r="X638" i="7"/>
  <c r="W638" i="7"/>
  <c r="V638" i="7"/>
  <c r="U638" i="7"/>
  <c r="T638" i="7"/>
  <c r="S638" i="7"/>
  <c r="R638" i="7"/>
  <c r="Q638" i="7"/>
  <c r="P638" i="7"/>
  <c r="L638" i="7"/>
  <c r="K638" i="7"/>
  <c r="J638" i="7"/>
  <c r="I638" i="7"/>
  <c r="H638" i="7"/>
  <c r="G638" i="7"/>
  <c r="F638" i="7"/>
  <c r="E638" i="7"/>
  <c r="D638" i="7"/>
  <c r="C638" i="7"/>
  <c r="B638" i="7"/>
  <c r="A638" i="7"/>
  <c r="Z637" i="7"/>
  <c r="X637" i="7"/>
  <c r="W637" i="7"/>
  <c r="V637" i="7"/>
  <c r="U637" i="7"/>
  <c r="T637" i="7"/>
  <c r="S637" i="7"/>
  <c r="R637" i="7"/>
  <c r="Q637" i="7"/>
  <c r="P637" i="7"/>
  <c r="L637" i="7"/>
  <c r="K637" i="7"/>
  <c r="J637" i="7"/>
  <c r="I637" i="7"/>
  <c r="H637" i="7"/>
  <c r="G637" i="7"/>
  <c r="F637" i="7"/>
  <c r="E637" i="7"/>
  <c r="D637" i="7"/>
  <c r="C637" i="7"/>
  <c r="B637" i="7"/>
  <c r="A637" i="7"/>
  <c r="Z636" i="7"/>
  <c r="X636" i="7"/>
  <c r="W636" i="7"/>
  <c r="V636" i="7"/>
  <c r="U636" i="7"/>
  <c r="T636" i="7"/>
  <c r="S636" i="7"/>
  <c r="R636" i="7"/>
  <c r="Q636" i="7"/>
  <c r="P636" i="7"/>
  <c r="L636" i="7"/>
  <c r="K636" i="7"/>
  <c r="J636" i="7"/>
  <c r="I636" i="7"/>
  <c r="H636" i="7"/>
  <c r="G636" i="7"/>
  <c r="F636" i="7"/>
  <c r="E636" i="7"/>
  <c r="D636" i="7"/>
  <c r="C636" i="7"/>
  <c r="B636" i="7"/>
  <c r="A636" i="7"/>
  <c r="Z635" i="7"/>
  <c r="X635" i="7"/>
  <c r="W635" i="7"/>
  <c r="V635" i="7"/>
  <c r="U635" i="7"/>
  <c r="T635" i="7"/>
  <c r="S635" i="7"/>
  <c r="R635" i="7"/>
  <c r="Q635" i="7"/>
  <c r="P635" i="7"/>
  <c r="L635" i="7"/>
  <c r="K635" i="7"/>
  <c r="J635" i="7"/>
  <c r="I635" i="7"/>
  <c r="H635" i="7"/>
  <c r="G635" i="7"/>
  <c r="F635" i="7"/>
  <c r="E635" i="7"/>
  <c r="D635" i="7"/>
  <c r="C635" i="7"/>
  <c r="B635" i="7"/>
  <c r="A635" i="7"/>
  <c r="Z634" i="7"/>
  <c r="X634" i="7"/>
  <c r="W634" i="7"/>
  <c r="V634" i="7"/>
  <c r="U634" i="7"/>
  <c r="T634" i="7"/>
  <c r="S634" i="7"/>
  <c r="R634" i="7"/>
  <c r="Q634" i="7"/>
  <c r="P634" i="7"/>
  <c r="L634" i="7"/>
  <c r="K634" i="7"/>
  <c r="J634" i="7"/>
  <c r="I634" i="7"/>
  <c r="H634" i="7"/>
  <c r="G634" i="7"/>
  <c r="F634" i="7"/>
  <c r="E634" i="7"/>
  <c r="D634" i="7"/>
  <c r="C634" i="7"/>
  <c r="B634" i="7"/>
  <c r="A634" i="7"/>
  <c r="Z633" i="7"/>
  <c r="X633" i="7"/>
  <c r="W633" i="7"/>
  <c r="V633" i="7"/>
  <c r="U633" i="7"/>
  <c r="T633" i="7"/>
  <c r="S633" i="7"/>
  <c r="R633" i="7"/>
  <c r="Q633" i="7"/>
  <c r="P633" i="7"/>
  <c r="L633" i="7"/>
  <c r="K633" i="7"/>
  <c r="J633" i="7"/>
  <c r="I633" i="7"/>
  <c r="H633" i="7"/>
  <c r="G633" i="7"/>
  <c r="F633" i="7"/>
  <c r="E633" i="7"/>
  <c r="D633" i="7"/>
  <c r="C633" i="7"/>
  <c r="B633" i="7"/>
  <c r="A633" i="7"/>
  <c r="Z632" i="7"/>
  <c r="X632" i="7"/>
  <c r="W632" i="7"/>
  <c r="V632" i="7"/>
  <c r="U632" i="7"/>
  <c r="T632" i="7"/>
  <c r="S632" i="7"/>
  <c r="R632" i="7"/>
  <c r="Q632" i="7"/>
  <c r="P632" i="7"/>
  <c r="L632" i="7"/>
  <c r="K632" i="7"/>
  <c r="J632" i="7"/>
  <c r="I632" i="7"/>
  <c r="H632" i="7"/>
  <c r="G632" i="7"/>
  <c r="F632" i="7"/>
  <c r="E632" i="7"/>
  <c r="D632" i="7"/>
  <c r="C632" i="7"/>
  <c r="B632" i="7"/>
  <c r="A632" i="7"/>
  <c r="Z631" i="7"/>
  <c r="X631" i="7"/>
  <c r="W631" i="7"/>
  <c r="V631" i="7"/>
  <c r="U631" i="7"/>
  <c r="T631" i="7"/>
  <c r="S631" i="7"/>
  <c r="R631" i="7"/>
  <c r="Q631" i="7"/>
  <c r="P631" i="7"/>
  <c r="L631" i="7"/>
  <c r="K631" i="7"/>
  <c r="J631" i="7"/>
  <c r="I631" i="7"/>
  <c r="H631" i="7"/>
  <c r="G631" i="7"/>
  <c r="F631" i="7"/>
  <c r="E631" i="7"/>
  <c r="D631" i="7"/>
  <c r="C631" i="7"/>
  <c r="B631" i="7"/>
  <c r="A631" i="7"/>
  <c r="Z630" i="7"/>
  <c r="X630" i="7"/>
  <c r="W630" i="7"/>
  <c r="V630" i="7"/>
  <c r="U630" i="7"/>
  <c r="T630" i="7"/>
  <c r="S630" i="7"/>
  <c r="R630" i="7"/>
  <c r="Q630" i="7"/>
  <c r="P630" i="7"/>
  <c r="L630" i="7"/>
  <c r="K630" i="7"/>
  <c r="J630" i="7"/>
  <c r="I630" i="7"/>
  <c r="H630" i="7"/>
  <c r="G630" i="7"/>
  <c r="F630" i="7"/>
  <c r="E630" i="7"/>
  <c r="D630" i="7"/>
  <c r="C630" i="7"/>
  <c r="B630" i="7"/>
  <c r="A630" i="7"/>
  <c r="Z629" i="7"/>
  <c r="X629" i="7"/>
  <c r="W629" i="7"/>
  <c r="V629" i="7"/>
  <c r="U629" i="7"/>
  <c r="T629" i="7"/>
  <c r="S629" i="7"/>
  <c r="R629" i="7"/>
  <c r="Q629" i="7"/>
  <c r="P629" i="7"/>
  <c r="L629" i="7"/>
  <c r="K629" i="7"/>
  <c r="J629" i="7"/>
  <c r="I629" i="7"/>
  <c r="H629" i="7"/>
  <c r="G629" i="7"/>
  <c r="F629" i="7"/>
  <c r="E629" i="7"/>
  <c r="D629" i="7"/>
  <c r="C629" i="7"/>
  <c r="B629" i="7"/>
  <c r="A629" i="7"/>
  <c r="Z628" i="7"/>
  <c r="X628" i="7"/>
  <c r="W628" i="7"/>
  <c r="V628" i="7"/>
  <c r="U628" i="7"/>
  <c r="T628" i="7"/>
  <c r="S628" i="7"/>
  <c r="R628" i="7"/>
  <c r="Q628" i="7"/>
  <c r="P628" i="7"/>
  <c r="L628" i="7"/>
  <c r="K628" i="7"/>
  <c r="J628" i="7"/>
  <c r="I628" i="7"/>
  <c r="H628" i="7"/>
  <c r="G628" i="7"/>
  <c r="F628" i="7"/>
  <c r="E628" i="7"/>
  <c r="D628" i="7"/>
  <c r="C628" i="7"/>
  <c r="B628" i="7"/>
  <c r="A628" i="7"/>
  <c r="Z627" i="7"/>
  <c r="X627" i="7"/>
  <c r="W627" i="7"/>
  <c r="V627" i="7"/>
  <c r="U627" i="7"/>
  <c r="T627" i="7"/>
  <c r="S627" i="7"/>
  <c r="R627" i="7"/>
  <c r="Q627" i="7"/>
  <c r="P627" i="7"/>
  <c r="L627" i="7"/>
  <c r="K627" i="7"/>
  <c r="J627" i="7"/>
  <c r="I627" i="7"/>
  <c r="H627" i="7"/>
  <c r="G627" i="7"/>
  <c r="F627" i="7"/>
  <c r="E627" i="7"/>
  <c r="D627" i="7"/>
  <c r="C627" i="7"/>
  <c r="B627" i="7"/>
  <c r="A627" i="7"/>
  <c r="Z626" i="7"/>
  <c r="X626" i="7"/>
  <c r="W626" i="7"/>
  <c r="V626" i="7"/>
  <c r="U626" i="7"/>
  <c r="T626" i="7"/>
  <c r="S626" i="7"/>
  <c r="R626" i="7"/>
  <c r="Q626" i="7"/>
  <c r="P626" i="7"/>
  <c r="L626" i="7"/>
  <c r="K626" i="7"/>
  <c r="J626" i="7"/>
  <c r="I626" i="7"/>
  <c r="H626" i="7"/>
  <c r="G626" i="7"/>
  <c r="F626" i="7"/>
  <c r="E626" i="7"/>
  <c r="D626" i="7"/>
  <c r="C626" i="7"/>
  <c r="B626" i="7"/>
  <c r="A626" i="7"/>
  <c r="Z625" i="7"/>
  <c r="X625" i="7"/>
  <c r="W625" i="7"/>
  <c r="V625" i="7"/>
  <c r="U625" i="7"/>
  <c r="T625" i="7"/>
  <c r="S625" i="7"/>
  <c r="R625" i="7"/>
  <c r="Q625" i="7"/>
  <c r="P625" i="7"/>
  <c r="L625" i="7"/>
  <c r="K625" i="7"/>
  <c r="J625" i="7"/>
  <c r="I625" i="7"/>
  <c r="H625" i="7"/>
  <c r="G625" i="7"/>
  <c r="F625" i="7"/>
  <c r="E625" i="7"/>
  <c r="D625" i="7"/>
  <c r="C625" i="7"/>
  <c r="B625" i="7"/>
  <c r="A625" i="7"/>
  <c r="Z624" i="7"/>
  <c r="X624" i="7"/>
  <c r="W624" i="7"/>
  <c r="V624" i="7"/>
  <c r="U624" i="7"/>
  <c r="T624" i="7"/>
  <c r="S624" i="7"/>
  <c r="R624" i="7"/>
  <c r="Q624" i="7"/>
  <c r="P624" i="7"/>
  <c r="L624" i="7"/>
  <c r="K624" i="7"/>
  <c r="J624" i="7"/>
  <c r="I624" i="7"/>
  <c r="H624" i="7"/>
  <c r="G624" i="7"/>
  <c r="F624" i="7"/>
  <c r="E624" i="7"/>
  <c r="D624" i="7"/>
  <c r="C624" i="7"/>
  <c r="B624" i="7"/>
  <c r="A624" i="7"/>
  <c r="Z623" i="7"/>
  <c r="X623" i="7"/>
  <c r="W623" i="7"/>
  <c r="V623" i="7"/>
  <c r="U623" i="7"/>
  <c r="T623" i="7"/>
  <c r="S623" i="7"/>
  <c r="R623" i="7"/>
  <c r="Q623" i="7"/>
  <c r="P623" i="7"/>
  <c r="L623" i="7"/>
  <c r="K623" i="7"/>
  <c r="J623" i="7"/>
  <c r="I623" i="7"/>
  <c r="H623" i="7"/>
  <c r="G623" i="7"/>
  <c r="F623" i="7"/>
  <c r="E623" i="7"/>
  <c r="D623" i="7"/>
  <c r="C623" i="7"/>
  <c r="B623" i="7"/>
  <c r="A623" i="7"/>
  <c r="Z622" i="7"/>
  <c r="X622" i="7"/>
  <c r="W622" i="7"/>
  <c r="V622" i="7"/>
  <c r="U622" i="7"/>
  <c r="T622" i="7"/>
  <c r="S622" i="7"/>
  <c r="R622" i="7"/>
  <c r="Q622" i="7"/>
  <c r="P622" i="7"/>
  <c r="L622" i="7"/>
  <c r="K622" i="7"/>
  <c r="J622" i="7"/>
  <c r="I622" i="7"/>
  <c r="H622" i="7"/>
  <c r="G622" i="7"/>
  <c r="F622" i="7"/>
  <c r="E622" i="7"/>
  <c r="D622" i="7"/>
  <c r="C622" i="7"/>
  <c r="B622" i="7"/>
  <c r="A622" i="7"/>
  <c r="Z621" i="7"/>
  <c r="X621" i="7"/>
  <c r="W621" i="7"/>
  <c r="V621" i="7"/>
  <c r="U621" i="7"/>
  <c r="T621" i="7"/>
  <c r="S621" i="7"/>
  <c r="R621" i="7"/>
  <c r="Q621" i="7"/>
  <c r="P621" i="7"/>
  <c r="L621" i="7"/>
  <c r="K621" i="7"/>
  <c r="J621" i="7"/>
  <c r="I621" i="7"/>
  <c r="H621" i="7"/>
  <c r="G621" i="7"/>
  <c r="F621" i="7"/>
  <c r="E621" i="7"/>
  <c r="D621" i="7"/>
  <c r="C621" i="7"/>
  <c r="B621" i="7"/>
  <c r="A621" i="7"/>
  <c r="Z620" i="7"/>
  <c r="X620" i="7"/>
  <c r="W620" i="7"/>
  <c r="V620" i="7"/>
  <c r="U620" i="7"/>
  <c r="T620" i="7"/>
  <c r="S620" i="7"/>
  <c r="R620" i="7"/>
  <c r="Q620" i="7"/>
  <c r="P620" i="7"/>
  <c r="L620" i="7"/>
  <c r="K620" i="7"/>
  <c r="J620" i="7"/>
  <c r="I620" i="7"/>
  <c r="H620" i="7"/>
  <c r="G620" i="7"/>
  <c r="F620" i="7"/>
  <c r="E620" i="7"/>
  <c r="D620" i="7"/>
  <c r="C620" i="7"/>
  <c r="B620" i="7"/>
  <c r="A620" i="7"/>
  <c r="Z619" i="7"/>
  <c r="X619" i="7"/>
  <c r="W619" i="7"/>
  <c r="V619" i="7"/>
  <c r="U619" i="7"/>
  <c r="T619" i="7"/>
  <c r="S619" i="7"/>
  <c r="R619" i="7"/>
  <c r="Q619" i="7"/>
  <c r="P619" i="7"/>
  <c r="L619" i="7"/>
  <c r="K619" i="7"/>
  <c r="J619" i="7"/>
  <c r="I619" i="7"/>
  <c r="H619" i="7"/>
  <c r="G619" i="7"/>
  <c r="F619" i="7"/>
  <c r="E619" i="7"/>
  <c r="D619" i="7"/>
  <c r="C619" i="7"/>
  <c r="B619" i="7"/>
  <c r="A619" i="7"/>
  <c r="Z618" i="7"/>
  <c r="X618" i="7"/>
  <c r="W618" i="7"/>
  <c r="V618" i="7"/>
  <c r="U618" i="7"/>
  <c r="T618" i="7"/>
  <c r="S618" i="7"/>
  <c r="R618" i="7"/>
  <c r="Q618" i="7"/>
  <c r="P618" i="7"/>
  <c r="L618" i="7"/>
  <c r="K618" i="7"/>
  <c r="J618" i="7"/>
  <c r="I618" i="7"/>
  <c r="H618" i="7"/>
  <c r="G618" i="7"/>
  <c r="F618" i="7"/>
  <c r="E618" i="7"/>
  <c r="D618" i="7"/>
  <c r="C618" i="7"/>
  <c r="B618" i="7"/>
  <c r="A618" i="7"/>
  <c r="Z617" i="7"/>
  <c r="X617" i="7"/>
  <c r="W617" i="7"/>
  <c r="V617" i="7"/>
  <c r="U617" i="7"/>
  <c r="T617" i="7"/>
  <c r="S617" i="7"/>
  <c r="R617" i="7"/>
  <c r="Q617" i="7"/>
  <c r="P617" i="7"/>
  <c r="L617" i="7"/>
  <c r="K617" i="7"/>
  <c r="J617" i="7"/>
  <c r="I617" i="7"/>
  <c r="H617" i="7"/>
  <c r="G617" i="7"/>
  <c r="F617" i="7"/>
  <c r="E617" i="7"/>
  <c r="D617" i="7"/>
  <c r="C617" i="7"/>
  <c r="B617" i="7"/>
  <c r="A617" i="7"/>
  <c r="Z616" i="7"/>
  <c r="X616" i="7"/>
  <c r="W616" i="7"/>
  <c r="V616" i="7"/>
  <c r="U616" i="7"/>
  <c r="T616" i="7"/>
  <c r="S616" i="7"/>
  <c r="R616" i="7"/>
  <c r="Q616" i="7"/>
  <c r="P616" i="7"/>
  <c r="L616" i="7"/>
  <c r="K616" i="7"/>
  <c r="J616" i="7"/>
  <c r="I616" i="7"/>
  <c r="H616" i="7"/>
  <c r="G616" i="7"/>
  <c r="F616" i="7"/>
  <c r="E616" i="7"/>
  <c r="D616" i="7"/>
  <c r="C616" i="7"/>
  <c r="B616" i="7"/>
  <c r="A616" i="7"/>
  <c r="Z615" i="7"/>
  <c r="X615" i="7"/>
  <c r="W615" i="7"/>
  <c r="V615" i="7"/>
  <c r="U615" i="7"/>
  <c r="T615" i="7"/>
  <c r="S615" i="7"/>
  <c r="R615" i="7"/>
  <c r="Q615" i="7"/>
  <c r="P615" i="7"/>
  <c r="L615" i="7"/>
  <c r="K615" i="7"/>
  <c r="J615" i="7"/>
  <c r="I615" i="7"/>
  <c r="H615" i="7"/>
  <c r="G615" i="7"/>
  <c r="F615" i="7"/>
  <c r="E615" i="7"/>
  <c r="D615" i="7"/>
  <c r="C615" i="7"/>
  <c r="B615" i="7"/>
  <c r="A615" i="7"/>
  <c r="Z614" i="7"/>
  <c r="X614" i="7"/>
  <c r="W614" i="7"/>
  <c r="V614" i="7"/>
  <c r="U614" i="7"/>
  <c r="T614" i="7"/>
  <c r="S614" i="7"/>
  <c r="R614" i="7"/>
  <c r="Q614" i="7"/>
  <c r="P614" i="7"/>
  <c r="L614" i="7"/>
  <c r="K614" i="7"/>
  <c r="J614" i="7"/>
  <c r="I614" i="7"/>
  <c r="H614" i="7"/>
  <c r="G614" i="7"/>
  <c r="F614" i="7"/>
  <c r="E614" i="7"/>
  <c r="D614" i="7"/>
  <c r="C614" i="7"/>
  <c r="B614" i="7"/>
  <c r="A614" i="7"/>
  <c r="Z613" i="7"/>
  <c r="X613" i="7"/>
  <c r="W613" i="7"/>
  <c r="V613" i="7"/>
  <c r="U613" i="7"/>
  <c r="T613" i="7"/>
  <c r="S613" i="7"/>
  <c r="R613" i="7"/>
  <c r="Q613" i="7"/>
  <c r="P613" i="7"/>
  <c r="L613" i="7"/>
  <c r="K613" i="7"/>
  <c r="J613" i="7"/>
  <c r="I613" i="7"/>
  <c r="H613" i="7"/>
  <c r="G613" i="7"/>
  <c r="F613" i="7"/>
  <c r="E613" i="7"/>
  <c r="D613" i="7"/>
  <c r="C613" i="7"/>
  <c r="B613" i="7"/>
  <c r="A613" i="7"/>
  <c r="Z612" i="7"/>
  <c r="X612" i="7"/>
  <c r="W612" i="7"/>
  <c r="V612" i="7"/>
  <c r="U612" i="7"/>
  <c r="T612" i="7"/>
  <c r="S612" i="7"/>
  <c r="R612" i="7"/>
  <c r="Q612" i="7"/>
  <c r="P612" i="7"/>
  <c r="L612" i="7"/>
  <c r="K612" i="7"/>
  <c r="J612" i="7"/>
  <c r="I612" i="7"/>
  <c r="H612" i="7"/>
  <c r="G612" i="7"/>
  <c r="F612" i="7"/>
  <c r="E612" i="7"/>
  <c r="D612" i="7"/>
  <c r="C612" i="7"/>
  <c r="B612" i="7"/>
  <c r="A612" i="7"/>
  <c r="Z611" i="7"/>
  <c r="X611" i="7"/>
  <c r="W611" i="7"/>
  <c r="V611" i="7"/>
  <c r="U611" i="7"/>
  <c r="T611" i="7"/>
  <c r="S611" i="7"/>
  <c r="R611" i="7"/>
  <c r="Q611" i="7"/>
  <c r="P611" i="7"/>
  <c r="L611" i="7"/>
  <c r="K611" i="7"/>
  <c r="J611" i="7"/>
  <c r="I611" i="7"/>
  <c r="H611" i="7"/>
  <c r="G611" i="7"/>
  <c r="F611" i="7"/>
  <c r="E611" i="7"/>
  <c r="D611" i="7"/>
  <c r="C611" i="7"/>
  <c r="B611" i="7"/>
  <c r="A611" i="7"/>
  <c r="Z610" i="7"/>
  <c r="X610" i="7"/>
  <c r="W610" i="7"/>
  <c r="V610" i="7"/>
  <c r="U610" i="7"/>
  <c r="T610" i="7"/>
  <c r="S610" i="7"/>
  <c r="R610" i="7"/>
  <c r="Q610" i="7"/>
  <c r="P610" i="7"/>
  <c r="L610" i="7"/>
  <c r="K610" i="7"/>
  <c r="J610" i="7"/>
  <c r="I610" i="7"/>
  <c r="H610" i="7"/>
  <c r="G610" i="7"/>
  <c r="F610" i="7"/>
  <c r="E610" i="7"/>
  <c r="D610" i="7"/>
  <c r="C610" i="7"/>
  <c r="B610" i="7"/>
  <c r="A610" i="7"/>
  <c r="Z609" i="7"/>
  <c r="X609" i="7"/>
  <c r="W609" i="7"/>
  <c r="V609" i="7"/>
  <c r="U609" i="7"/>
  <c r="T609" i="7"/>
  <c r="S609" i="7"/>
  <c r="R609" i="7"/>
  <c r="Q609" i="7"/>
  <c r="P609" i="7"/>
  <c r="L609" i="7"/>
  <c r="K609" i="7"/>
  <c r="J609" i="7"/>
  <c r="I609" i="7"/>
  <c r="H609" i="7"/>
  <c r="G609" i="7"/>
  <c r="F609" i="7"/>
  <c r="E609" i="7"/>
  <c r="D609" i="7"/>
  <c r="C609" i="7"/>
  <c r="B609" i="7"/>
  <c r="A609" i="7"/>
  <c r="Z608" i="7"/>
  <c r="X608" i="7"/>
  <c r="W608" i="7"/>
  <c r="V608" i="7"/>
  <c r="U608" i="7"/>
  <c r="T608" i="7"/>
  <c r="S608" i="7"/>
  <c r="R608" i="7"/>
  <c r="Q608" i="7"/>
  <c r="P608" i="7"/>
  <c r="L608" i="7"/>
  <c r="K608" i="7"/>
  <c r="J608" i="7"/>
  <c r="I608" i="7"/>
  <c r="H608" i="7"/>
  <c r="G608" i="7"/>
  <c r="F608" i="7"/>
  <c r="E608" i="7"/>
  <c r="D608" i="7"/>
  <c r="C608" i="7"/>
  <c r="B608" i="7"/>
  <c r="A608" i="7"/>
  <c r="Z607" i="7"/>
  <c r="X607" i="7"/>
  <c r="W607" i="7"/>
  <c r="V607" i="7"/>
  <c r="U607" i="7"/>
  <c r="T607" i="7"/>
  <c r="S607" i="7"/>
  <c r="R607" i="7"/>
  <c r="Q607" i="7"/>
  <c r="P607" i="7"/>
  <c r="L607" i="7"/>
  <c r="K607" i="7"/>
  <c r="J607" i="7"/>
  <c r="I607" i="7"/>
  <c r="H607" i="7"/>
  <c r="G607" i="7"/>
  <c r="F607" i="7"/>
  <c r="E607" i="7"/>
  <c r="D607" i="7"/>
  <c r="C607" i="7"/>
  <c r="B607" i="7"/>
  <c r="A607" i="7"/>
  <c r="Z606" i="7"/>
  <c r="X606" i="7"/>
  <c r="W606" i="7"/>
  <c r="V606" i="7"/>
  <c r="U606" i="7"/>
  <c r="T606" i="7"/>
  <c r="S606" i="7"/>
  <c r="R606" i="7"/>
  <c r="Q606" i="7"/>
  <c r="P606" i="7"/>
  <c r="L606" i="7"/>
  <c r="K606" i="7"/>
  <c r="J606" i="7"/>
  <c r="I606" i="7"/>
  <c r="H606" i="7"/>
  <c r="G606" i="7"/>
  <c r="F606" i="7"/>
  <c r="E606" i="7"/>
  <c r="D606" i="7"/>
  <c r="C606" i="7"/>
  <c r="B606" i="7"/>
  <c r="A606" i="7"/>
  <c r="Z605" i="7"/>
  <c r="X605" i="7"/>
  <c r="W605" i="7"/>
  <c r="V605" i="7"/>
  <c r="U605" i="7"/>
  <c r="T605" i="7"/>
  <c r="S605" i="7"/>
  <c r="R605" i="7"/>
  <c r="Q605" i="7"/>
  <c r="P605" i="7"/>
  <c r="L605" i="7"/>
  <c r="K605" i="7"/>
  <c r="J605" i="7"/>
  <c r="I605" i="7"/>
  <c r="H605" i="7"/>
  <c r="G605" i="7"/>
  <c r="F605" i="7"/>
  <c r="E605" i="7"/>
  <c r="D605" i="7"/>
  <c r="C605" i="7"/>
  <c r="B605" i="7"/>
  <c r="A605" i="7"/>
  <c r="Z604" i="7"/>
  <c r="X604" i="7"/>
  <c r="W604" i="7"/>
  <c r="V604" i="7"/>
  <c r="U604" i="7"/>
  <c r="T604" i="7"/>
  <c r="S604" i="7"/>
  <c r="R604" i="7"/>
  <c r="Q604" i="7"/>
  <c r="P604" i="7"/>
  <c r="L604" i="7"/>
  <c r="K604" i="7"/>
  <c r="J604" i="7"/>
  <c r="I604" i="7"/>
  <c r="H604" i="7"/>
  <c r="G604" i="7"/>
  <c r="F604" i="7"/>
  <c r="E604" i="7"/>
  <c r="D604" i="7"/>
  <c r="C604" i="7"/>
  <c r="B604" i="7"/>
  <c r="A604" i="7"/>
  <c r="Z603" i="7"/>
  <c r="X603" i="7"/>
  <c r="W603" i="7"/>
  <c r="V603" i="7"/>
  <c r="U603" i="7"/>
  <c r="T603" i="7"/>
  <c r="S603" i="7"/>
  <c r="R603" i="7"/>
  <c r="Q603" i="7"/>
  <c r="P603" i="7"/>
  <c r="L603" i="7"/>
  <c r="K603" i="7"/>
  <c r="J603" i="7"/>
  <c r="I603" i="7"/>
  <c r="H603" i="7"/>
  <c r="G603" i="7"/>
  <c r="F603" i="7"/>
  <c r="E603" i="7"/>
  <c r="D603" i="7"/>
  <c r="C603" i="7"/>
  <c r="B603" i="7"/>
  <c r="A603" i="7"/>
  <c r="Z602" i="7"/>
  <c r="X602" i="7"/>
  <c r="W602" i="7"/>
  <c r="V602" i="7"/>
  <c r="U602" i="7"/>
  <c r="T602" i="7"/>
  <c r="S602" i="7"/>
  <c r="R602" i="7"/>
  <c r="Q602" i="7"/>
  <c r="P602" i="7"/>
  <c r="L602" i="7"/>
  <c r="K602" i="7"/>
  <c r="J602" i="7"/>
  <c r="I602" i="7"/>
  <c r="H602" i="7"/>
  <c r="G602" i="7"/>
  <c r="F602" i="7"/>
  <c r="E602" i="7"/>
  <c r="D602" i="7"/>
  <c r="C602" i="7"/>
  <c r="B602" i="7"/>
  <c r="A602" i="7"/>
  <c r="Z601" i="7"/>
  <c r="X601" i="7"/>
  <c r="W601" i="7"/>
  <c r="V601" i="7"/>
  <c r="U601" i="7"/>
  <c r="T601" i="7"/>
  <c r="S601" i="7"/>
  <c r="R601" i="7"/>
  <c r="Q601" i="7"/>
  <c r="P601" i="7"/>
  <c r="L601" i="7"/>
  <c r="K601" i="7"/>
  <c r="J601" i="7"/>
  <c r="I601" i="7"/>
  <c r="H601" i="7"/>
  <c r="G601" i="7"/>
  <c r="F601" i="7"/>
  <c r="E601" i="7"/>
  <c r="D601" i="7"/>
  <c r="C601" i="7"/>
  <c r="B601" i="7"/>
  <c r="A601" i="7"/>
  <c r="Z600" i="7"/>
  <c r="X600" i="7"/>
  <c r="W600" i="7"/>
  <c r="V600" i="7"/>
  <c r="U600" i="7"/>
  <c r="T600" i="7"/>
  <c r="S600" i="7"/>
  <c r="R600" i="7"/>
  <c r="Q600" i="7"/>
  <c r="P600" i="7"/>
  <c r="L600" i="7"/>
  <c r="K600" i="7"/>
  <c r="J600" i="7"/>
  <c r="I600" i="7"/>
  <c r="H600" i="7"/>
  <c r="G600" i="7"/>
  <c r="F600" i="7"/>
  <c r="E600" i="7"/>
  <c r="D600" i="7"/>
  <c r="C600" i="7"/>
  <c r="B600" i="7"/>
  <c r="A600" i="7"/>
  <c r="Z599" i="7"/>
  <c r="X599" i="7"/>
  <c r="W599" i="7"/>
  <c r="V599" i="7"/>
  <c r="U599" i="7"/>
  <c r="T599" i="7"/>
  <c r="S599" i="7"/>
  <c r="R599" i="7"/>
  <c r="Q599" i="7"/>
  <c r="P599" i="7"/>
  <c r="L599" i="7"/>
  <c r="K599" i="7"/>
  <c r="J599" i="7"/>
  <c r="I599" i="7"/>
  <c r="H599" i="7"/>
  <c r="G599" i="7"/>
  <c r="F599" i="7"/>
  <c r="E599" i="7"/>
  <c r="D599" i="7"/>
  <c r="C599" i="7"/>
  <c r="B599" i="7"/>
  <c r="A599" i="7"/>
  <c r="Z598" i="7"/>
  <c r="X598" i="7"/>
  <c r="W598" i="7"/>
  <c r="V598" i="7"/>
  <c r="U598" i="7"/>
  <c r="T598" i="7"/>
  <c r="S598" i="7"/>
  <c r="R598" i="7"/>
  <c r="Q598" i="7"/>
  <c r="P598" i="7"/>
  <c r="L598" i="7"/>
  <c r="K598" i="7"/>
  <c r="J598" i="7"/>
  <c r="I598" i="7"/>
  <c r="H598" i="7"/>
  <c r="G598" i="7"/>
  <c r="F598" i="7"/>
  <c r="E598" i="7"/>
  <c r="D598" i="7"/>
  <c r="C598" i="7"/>
  <c r="B598" i="7"/>
  <c r="A598" i="7"/>
  <c r="Z597" i="7"/>
  <c r="X597" i="7"/>
  <c r="W597" i="7"/>
  <c r="V597" i="7"/>
  <c r="U597" i="7"/>
  <c r="T597" i="7"/>
  <c r="S597" i="7"/>
  <c r="R597" i="7"/>
  <c r="Q597" i="7"/>
  <c r="P597" i="7"/>
  <c r="L597" i="7"/>
  <c r="K597" i="7"/>
  <c r="J597" i="7"/>
  <c r="I597" i="7"/>
  <c r="H597" i="7"/>
  <c r="G597" i="7"/>
  <c r="F597" i="7"/>
  <c r="E597" i="7"/>
  <c r="D597" i="7"/>
  <c r="C597" i="7"/>
  <c r="B597" i="7"/>
  <c r="A597" i="7"/>
  <c r="Z596" i="7"/>
  <c r="X596" i="7"/>
  <c r="W596" i="7"/>
  <c r="V596" i="7"/>
  <c r="U596" i="7"/>
  <c r="T596" i="7"/>
  <c r="S596" i="7"/>
  <c r="R596" i="7"/>
  <c r="Q596" i="7"/>
  <c r="P596" i="7"/>
  <c r="L596" i="7"/>
  <c r="K596" i="7"/>
  <c r="J596" i="7"/>
  <c r="I596" i="7"/>
  <c r="H596" i="7"/>
  <c r="G596" i="7"/>
  <c r="F596" i="7"/>
  <c r="E596" i="7"/>
  <c r="D596" i="7"/>
  <c r="C596" i="7"/>
  <c r="B596" i="7"/>
  <c r="A596" i="7"/>
  <c r="Z595" i="7"/>
  <c r="X595" i="7"/>
  <c r="W595" i="7"/>
  <c r="V595" i="7"/>
  <c r="U595" i="7"/>
  <c r="T595" i="7"/>
  <c r="S595" i="7"/>
  <c r="R595" i="7"/>
  <c r="Q595" i="7"/>
  <c r="P595" i="7"/>
  <c r="L595" i="7"/>
  <c r="K595" i="7"/>
  <c r="J595" i="7"/>
  <c r="I595" i="7"/>
  <c r="H595" i="7"/>
  <c r="G595" i="7"/>
  <c r="F595" i="7"/>
  <c r="E595" i="7"/>
  <c r="D595" i="7"/>
  <c r="C595" i="7"/>
  <c r="B595" i="7"/>
  <c r="A595" i="7"/>
  <c r="Z594" i="7"/>
  <c r="X594" i="7"/>
  <c r="W594" i="7"/>
  <c r="V594" i="7"/>
  <c r="U594" i="7"/>
  <c r="T594" i="7"/>
  <c r="S594" i="7"/>
  <c r="R594" i="7"/>
  <c r="Q594" i="7"/>
  <c r="P594" i="7"/>
  <c r="L594" i="7"/>
  <c r="K594" i="7"/>
  <c r="J594" i="7"/>
  <c r="I594" i="7"/>
  <c r="H594" i="7"/>
  <c r="G594" i="7"/>
  <c r="F594" i="7"/>
  <c r="E594" i="7"/>
  <c r="D594" i="7"/>
  <c r="C594" i="7"/>
  <c r="B594" i="7"/>
  <c r="A594" i="7"/>
  <c r="Z593" i="7"/>
  <c r="X593" i="7"/>
  <c r="W593" i="7"/>
  <c r="V593" i="7"/>
  <c r="U593" i="7"/>
  <c r="T593" i="7"/>
  <c r="S593" i="7"/>
  <c r="R593" i="7"/>
  <c r="Q593" i="7"/>
  <c r="P593" i="7"/>
  <c r="L593" i="7"/>
  <c r="K593" i="7"/>
  <c r="J593" i="7"/>
  <c r="I593" i="7"/>
  <c r="H593" i="7"/>
  <c r="G593" i="7"/>
  <c r="F593" i="7"/>
  <c r="E593" i="7"/>
  <c r="D593" i="7"/>
  <c r="C593" i="7"/>
  <c r="B593" i="7"/>
  <c r="A593" i="7"/>
  <c r="Z592" i="7"/>
  <c r="X592" i="7"/>
  <c r="W592" i="7"/>
  <c r="V592" i="7"/>
  <c r="U592" i="7"/>
  <c r="T592" i="7"/>
  <c r="S592" i="7"/>
  <c r="R592" i="7"/>
  <c r="Q592" i="7"/>
  <c r="P592" i="7"/>
  <c r="L592" i="7"/>
  <c r="K592" i="7"/>
  <c r="J592" i="7"/>
  <c r="I592" i="7"/>
  <c r="H592" i="7"/>
  <c r="G592" i="7"/>
  <c r="F592" i="7"/>
  <c r="E592" i="7"/>
  <c r="D592" i="7"/>
  <c r="C592" i="7"/>
  <c r="B592" i="7"/>
  <c r="A592" i="7"/>
  <c r="Z591" i="7"/>
  <c r="X591" i="7"/>
  <c r="W591" i="7"/>
  <c r="V591" i="7"/>
  <c r="U591" i="7"/>
  <c r="T591" i="7"/>
  <c r="S591" i="7"/>
  <c r="R591" i="7"/>
  <c r="Q591" i="7"/>
  <c r="P591" i="7"/>
  <c r="L591" i="7"/>
  <c r="K591" i="7"/>
  <c r="J591" i="7"/>
  <c r="I591" i="7"/>
  <c r="H591" i="7"/>
  <c r="G591" i="7"/>
  <c r="F591" i="7"/>
  <c r="E591" i="7"/>
  <c r="D591" i="7"/>
  <c r="C591" i="7"/>
  <c r="B591" i="7"/>
  <c r="A591" i="7"/>
  <c r="Z590" i="7"/>
  <c r="X590" i="7"/>
  <c r="W590" i="7"/>
  <c r="V590" i="7"/>
  <c r="U590" i="7"/>
  <c r="T590" i="7"/>
  <c r="S590" i="7"/>
  <c r="R590" i="7"/>
  <c r="Q590" i="7"/>
  <c r="P590" i="7"/>
  <c r="L590" i="7"/>
  <c r="K590" i="7"/>
  <c r="J590" i="7"/>
  <c r="I590" i="7"/>
  <c r="H590" i="7"/>
  <c r="G590" i="7"/>
  <c r="F590" i="7"/>
  <c r="E590" i="7"/>
  <c r="D590" i="7"/>
  <c r="C590" i="7"/>
  <c r="B590" i="7"/>
  <c r="A590" i="7"/>
  <c r="Z589" i="7"/>
  <c r="X589" i="7"/>
  <c r="W589" i="7"/>
  <c r="V589" i="7"/>
  <c r="U589" i="7"/>
  <c r="T589" i="7"/>
  <c r="S589" i="7"/>
  <c r="R589" i="7"/>
  <c r="Q589" i="7"/>
  <c r="P589" i="7"/>
  <c r="L589" i="7"/>
  <c r="K589" i="7"/>
  <c r="J589" i="7"/>
  <c r="I589" i="7"/>
  <c r="H589" i="7"/>
  <c r="G589" i="7"/>
  <c r="F589" i="7"/>
  <c r="E589" i="7"/>
  <c r="D589" i="7"/>
  <c r="C589" i="7"/>
  <c r="B589" i="7"/>
  <c r="A589" i="7"/>
  <c r="Z588" i="7"/>
  <c r="X588" i="7"/>
  <c r="W588" i="7"/>
  <c r="V588" i="7"/>
  <c r="U588" i="7"/>
  <c r="T588" i="7"/>
  <c r="S588" i="7"/>
  <c r="R588" i="7"/>
  <c r="Q588" i="7"/>
  <c r="P588" i="7"/>
  <c r="L588" i="7"/>
  <c r="K588" i="7"/>
  <c r="J588" i="7"/>
  <c r="I588" i="7"/>
  <c r="H588" i="7"/>
  <c r="G588" i="7"/>
  <c r="F588" i="7"/>
  <c r="E588" i="7"/>
  <c r="D588" i="7"/>
  <c r="C588" i="7"/>
  <c r="B588" i="7"/>
  <c r="A588" i="7"/>
  <c r="Z587" i="7"/>
  <c r="X587" i="7"/>
  <c r="W587" i="7"/>
  <c r="V587" i="7"/>
  <c r="U587" i="7"/>
  <c r="T587" i="7"/>
  <c r="S587" i="7"/>
  <c r="R587" i="7"/>
  <c r="Q587" i="7"/>
  <c r="P587" i="7"/>
  <c r="L587" i="7"/>
  <c r="K587" i="7"/>
  <c r="J587" i="7"/>
  <c r="I587" i="7"/>
  <c r="H587" i="7"/>
  <c r="G587" i="7"/>
  <c r="F587" i="7"/>
  <c r="E587" i="7"/>
  <c r="D587" i="7"/>
  <c r="C587" i="7"/>
  <c r="B587" i="7"/>
  <c r="A587" i="7"/>
  <c r="Z586" i="7"/>
  <c r="X586" i="7"/>
  <c r="W586" i="7"/>
  <c r="V586" i="7"/>
  <c r="U586" i="7"/>
  <c r="T586" i="7"/>
  <c r="S586" i="7"/>
  <c r="R586" i="7"/>
  <c r="Q586" i="7"/>
  <c r="P586" i="7"/>
  <c r="L586" i="7"/>
  <c r="K586" i="7"/>
  <c r="J586" i="7"/>
  <c r="I586" i="7"/>
  <c r="H586" i="7"/>
  <c r="G586" i="7"/>
  <c r="F586" i="7"/>
  <c r="E586" i="7"/>
  <c r="D586" i="7"/>
  <c r="C586" i="7"/>
  <c r="B586" i="7"/>
  <c r="A586" i="7"/>
  <c r="Z585" i="7"/>
  <c r="X585" i="7"/>
  <c r="W585" i="7"/>
  <c r="V585" i="7"/>
  <c r="U585" i="7"/>
  <c r="T585" i="7"/>
  <c r="S585" i="7"/>
  <c r="R585" i="7"/>
  <c r="Q585" i="7"/>
  <c r="P585" i="7"/>
  <c r="L585" i="7"/>
  <c r="K585" i="7"/>
  <c r="J585" i="7"/>
  <c r="I585" i="7"/>
  <c r="H585" i="7"/>
  <c r="G585" i="7"/>
  <c r="F585" i="7"/>
  <c r="E585" i="7"/>
  <c r="D585" i="7"/>
  <c r="C585" i="7"/>
  <c r="B585" i="7"/>
  <c r="A585" i="7"/>
  <c r="Z584" i="7"/>
  <c r="X584" i="7"/>
  <c r="W584" i="7"/>
  <c r="V584" i="7"/>
  <c r="U584" i="7"/>
  <c r="T584" i="7"/>
  <c r="S584" i="7"/>
  <c r="R584" i="7"/>
  <c r="Q584" i="7"/>
  <c r="P584" i="7"/>
  <c r="L584" i="7"/>
  <c r="K584" i="7"/>
  <c r="J584" i="7"/>
  <c r="I584" i="7"/>
  <c r="H584" i="7"/>
  <c r="G584" i="7"/>
  <c r="F584" i="7"/>
  <c r="E584" i="7"/>
  <c r="D584" i="7"/>
  <c r="C584" i="7"/>
  <c r="B584" i="7"/>
  <c r="A584" i="7"/>
  <c r="Z583" i="7"/>
  <c r="X583" i="7"/>
  <c r="W583" i="7"/>
  <c r="V583" i="7"/>
  <c r="U583" i="7"/>
  <c r="T583" i="7"/>
  <c r="S583" i="7"/>
  <c r="R583" i="7"/>
  <c r="Q583" i="7"/>
  <c r="P583" i="7"/>
  <c r="L583" i="7"/>
  <c r="K583" i="7"/>
  <c r="J583" i="7"/>
  <c r="I583" i="7"/>
  <c r="H583" i="7"/>
  <c r="G583" i="7"/>
  <c r="F583" i="7"/>
  <c r="E583" i="7"/>
  <c r="D583" i="7"/>
  <c r="C583" i="7"/>
  <c r="B583" i="7"/>
  <c r="A583" i="7"/>
  <c r="Z582" i="7"/>
  <c r="X582" i="7"/>
  <c r="W582" i="7"/>
  <c r="V582" i="7"/>
  <c r="U582" i="7"/>
  <c r="T582" i="7"/>
  <c r="S582" i="7"/>
  <c r="R582" i="7"/>
  <c r="Q582" i="7"/>
  <c r="P582" i="7"/>
  <c r="L582" i="7"/>
  <c r="K582" i="7"/>
  <c r="J582" i="7"/>
  <c r="I582" i="7"/>
  <c r="H582" i="7"/>
  <c r="G582" i="7"/>
  <c r="F582" i="7"/>
  <c r="E582" i="7"/>
  <c r="D582" i="7"/>
  <c r="C582" i="7"/>
  <c r="B582" i="7"/>
  <c r="A582" i="7"/>
  <c r="Z581" i="7"/>
  <c r="X581" i="7"/>
  <c r="W581" i="7"/>
  <c r="V581" i="7"/>
  <c r="U581" i="7"/>
  <c r="T581" i="7"/>
  <c r="S581" i="7"/>
  <c r="R581" i="7"/>
  <c r="Q581" i="7"/>
  <c r="P581" i="7"/>
  <c r="L581" i="7"/>
  <c r="K581" i="7"/>
  <c r="J581" i="7"/>
  <c r="I581" i="7"/>
  <c r="H581" i="7"/>
  <c r="G581" i="7"/>
  <c r="F581" i="7"/>
  <c r="E581" i="7"/>
  <c r="D581" i="7"/>
  <c r="C581" i="7"/>
  <c r="B581" i="7"/>
  <c r="A581" i="7"/>
  <c r="Z580" i="7"/>
  <c r="X580" i="7"/>
  <c r="W580" i="7"/>
  <c r="V580" i="7"/>
  <c r="U580" i="7"/>
  <c r="T580" i="7"/>
  <c r="S580" i="7"/>
  <c r="R580" i="7"/>
  <c r="Q580" i="7"/>
  <c r="P580" i="7"/>
  <c r="L580" i="7"/>
  <c r="K580" i="7"/>
  <c r="J580" i="7"/>
  <c r="I580" i="7"/>
  <c r="H580" i="7"/>
  <c r="G580" i="7"/>
  <c r="F580" i="7"/>
  <c r="E580" i="7"/>
  <c r="D580" i="7"/>
  <c r="C580" i="7"/>
  <c r="B580" i="7"/>
  <c r="A580" i="7"/>
  <c r="Z579" i="7"/>
  <c r="X579" i="7"/>
  <c r="W579" i="7"/>
  <c r="V579" i="7"/>
  <c r="U579" i="7"/>
  <c r="T579" i="7"/>
  <c r="S579" i="7"/>
  <c r="R579" i="7"/>
  <c r="Q579" i="7"/>
  <c r="P579" i="7"/>
  <c r="L579" i="7"/>
  <c r="K579" i="7"/>
  <c r="J579" i="7"/>
  <c r="I579" i="7"/>
  <c r="H579" i="7"/>
  <c r="G579" i="7"/>
  <c r="F579" i="7"/>
  <c r="E579" i="7"/>
  <c r="D579" i="7"/>
  <c r="C579" i="7"/>
  <c r="B579" i="7"/>
  <c r="A579" i="7"/>
  <c r="Z578" i="7"/>
  <c r="X578" i="7"/>
  <c r="W578" i="7"/>
  <c r="V578" i="7"/>
  <c r="U578" i="7"/>
  <c r="T578" i="7"/>
  <c r="S578" i="7"/>
  <c r="R578" i="7"/>
  <c r="Q578" i="7"/>
  <c r="P578" i="7"/>
  <c r="L578" i="7"/>
  <c r="K578" i="7"/>
  <c r="J578" i="7"/>
  <c r="I578" i="7"/>
  <c r="H578" i="7"/>
  <c r="G578" i="7"/>
  <c r="F578" i="7"/>
  <c r="E578" i="7"/>
  <c r="D578" i="7"/>
  <c r="C578" i="7"/>
  <c r="B578" i="7"/>
  <c r="A578" i="7"/>
  <c r="Z577" i="7"/>
  <c r="X577" i="7"/>
  <c r="W577" i="7"/>
  <c r="V577" i="7"/>
  <c r="U577" i="7"/>
  <c r="T577" i="7"/>
  <c r="S577" i="7"/>
  <c r="R577" i="7"/>
  <c r="Q577" i="7"/>
  <c r="P577" i="7"/>
  <c r="L577" i="7"/>
  <c r="K577" i="7"/>
  <c r="J577" i="7"/>
  <c r="I577" i="7"/>
  <c r="H577" i="7"/>
  <c r="G577" i="7"/>
  <c r="F577" i="7"/>
  <c r="E577" i="7"/>
  <c r="D577" i="7"/>
  <c r="C577" i="7"/>
  <c r="B577" i="7"/>
  <c r="A577" i="7"/>
  <c r="Z576" i="7"/>
  <c r="X576" i="7"/>
  <c r="W576" i="7"/>
  <c r="V576" i="7"/>
  <c r="U576" i="7"/>
  <c r="T576" i="7"/>
  <c r="S576" i="7"/>
  <c r="R576" i="7"/>
  <c r="Q576" i="7"/>
  <c r="P576" i="7"/>
  <c r="L576" i="7"/>
  <c r="K576" i="7"/>
  <c r="J576" i="7"/>
  <c r="I576" i="7"/>
  <c r="H576" i="7"/>
  <c r="G576" i="7"/>
  <c r="F576" i="7"/>
  <c r="E576" i="7"/>
  <c r="D576" i="7"/>
  <c r="C576" i="7"/>
  <c r="B576" i="7"/>
  <c r="A576" i="7"/>
  <c r="Z575" i="7"/>
  <c r="X575" i="7"/>
  <c r="W575" i="7"/>
  <c r="V575" i="7"/>
  <c r="U575" i="7"/>
  <c r="T575" i="7"/>
  <c r="S575" i="7"/>
  <c r="R575" i="7"/>
  <c r="Q575" i="7"/>
  <c r="P575" i="7"/>
  <c r="L575" i="7"/>
  <c r="K575" i="7"/>
  <c r="J575" i="7"/>
  <c r="I575" i="7"/>
  <c r="H575" i="7"/>
  <c r="G575" i="7"/>
  <c r="F575" i="7"/>
  <c r="E575" i="7"/>
  <c r="D575" i="7"/>
  <c r="C575" i="7"/>
  <c r="B575" i="7"/>
  <c r="A575" i="7"/>
  <c r="Z574" i="7"/>
  <c r="X574" i="7"/>
  <c r="W574" i="7"/>
  <c r="V574" i="7"/>
  <c r="U574" i="7"/>
  <c r="T574" i="7"/>
  <c r="S574" i="7"/>
  <c r="R574" i="7"/>
  <c r="Q574" i="7"/>
  <c r="P574" i="7"/>
  <c r="L574" i="7"/>
  <c r="K574" i="7"/>
  <c r="J574" i="7"/>
  <c r="I574" i="7"/>
  <c r="H574" i="7"/>
  <c r="G574" i="7"/>
  <c r="F574" i="7"/>
  <c r="E574" i="7"/>
  <c r="D574" i="7"/>
  <c r="C574" i="7"/>
  <c r="B574" i="7"/>
  <c r="A574" i="7"/>
  <c r="Z573" i="7"/>
  <c r="X573" i="7"/>
  <c r="W573" i="7"/>
  <c r="V573" i="7"/>
  <c r="U573" i="7"/>
  <c r="T573" i="7"/>
  <c r="S573" i="7"/>
  <c r="R573" i="7"/>
  <c r="Q573" i="7"/>
  <c r="P573" i="7"/>
  <c r="L573" i="7"/>
  <c r="K573" i="7"/>
  <c r="J573" i="7"/>
  <c r="I573" i="7"/>
  <c r="H573" i="7"/>
  <c r="G573" i="7"/>
  <c r="F573" i="7"/>
  <c r="E573" i="7"/>
  <c r="D573" i="7"/>
  <c r="C573" i="7"/>
  <c r="B573" i="7"/>
  <c r="A573" i="7"/>
  <c r="Z572" i="7"/>
  <c r="X572" i="7"/>
  <c r="W572" i="7"/>
  <c r="V572" i="7"/>
  <c r="U572" i="7"/>
  <c r="T572" i="7"/>
  <c r="S572" i="7"/>
  <c r="R572" i="7"/>
  <c r="Q572" i="7"/>
  <c r="P572" i="7"/>
  <c r="L572" i="7"/>
  <c r="K572" i="7"/>
  <c r="J572" i="7"/>
  <c r="I572" i="7"/>
  <c r="H572" i="7"/>
  <c r="G572" i="7"/>
  <c r="F572" i="7"/>
  <c r="E572" i="7"/>
  <c r="D572" i="7"/>
  <c r="C572" i="7"/>
  <c r="B572" i="7"/>
  <c r="A572" i="7"/>
  <c r="Z571" i="7"/>
  <c r="X571" i="7"/>
  <c r="W571" i="7"/>
  <c r="V571" i="7"/>
  <c r="U571" i="7"/>
  <c r="T571" i="7"/>
  <c r="S571" i="7"/>
  <c r="R571" i="7"/>
  <c r="Q571" i="7"/>
  <c r="P571" i="7"/>
  <c r="L571" i="7"/>
  <c r="K571" i="7"/>
  <c r="J571" i="7"/>
  <c r="I571" i="7"/>
  <c r="H571" i="7"/>
  <c r="G571" i="7"/>
  <c r="F571" i="7"/>
  <c r="E571" i="7"/>
  <c r="D571" i="7"/>
  <c r="C571" i="7"/>
  <c r="B571" i="7"/>
  <c r="A571" i="7"/>
  <c r="Z570" i="7"/>
  <c r="X570" i="7"/>
  <c r="W570" i="7"/>
  <c r="V570" i="7"/>
  <c r="U570" i="7"/>
  <c r="T570" i="7"/>
  <c r="S570" i="7"/>
  <c r="R570" i="7"/>
  <c r="Q570" i="7"/>
  <c r="P570" i="7"/>
  <c r="L570" i="7"/>
  <c r="K570" i="7"/>
  <c r="J570" i="7"/>
  <c r="I570" i="7"/>
  <c r="H570" i="7"/>
  <c r="G570" i="7"/>
  <c r="F570" i="7"/>
  <c r="E570" i="7"/>
  <c r="D570" i="7"/>
  <c r="C570" i="7"/>
  <c r="B570" i="7"/>
  <c r="A570" i="7"/>
  <c r="Z569" i="7"/>
  <c r="X569" i="7"/>
  <c r="W569" i="7"/>
  <c r="V569" i="7"/>
  <c r="U569" i="7"/>
  <c r="T569" i="7"/>
  <c r="S569" i="7"/>
  <c r="R569" i="7"/>
  <c r="Q569" i="7"/>
  <c r="P569" i="7"/>
  <c r="L569" i="7"/>
  <c r="K569" i="7"/>
  <c r="J569" i="7"/>
  <c r="I569" i="7"/>
  <c r="H569" i="7"/>
  <c r="G569" i="7"/>
  <c r="F569" i="7"/>
  <c r="E569" i="7"/>
  <c r="D569" i="7"/>
  <c r="C569" i="7"/>
  <c r="B569" i="7"/>
  <c r="A569" i="7"/>
  <c r="Z568" i="7"/>
  <c r="X568" i="7"/>
  <c r="W568" i="7"/>
  <c r="V568" i="7"/>
  <c r="U568" i="7"/>
  <c r="T568" i="7"/>
  <c r="S568" i="7"/>
  <c r="R568" i="7"/>
  <c r="Q568" i="7"/>
  <c r="P568" i="7"/>
  <c r="L568" i="7"/>
  <c r="K568" i="7"/>
  <c r="J568" i="7"/>
  <c r="I568" i="7"/>
  <c r="H568" i="7"/>
  <c r="G568" i="7"/>
  <c r="F568" i="7"/>
  <c r="E568" i="7"/>
  <c r="D568" i="7"/>
  <c r="C568" i="7"/>
  <c r="B568" i="7"/>
  <c r="A568" i="7"/>
  <c r="Z567" i="7"/>
  <c r="X567" i="7"/>
  <c r="W567" i="7"/>
  <c r="V567" i="7"/>
  <c r="U567" i="7"/>
  <c r="T567" i="7"/>
  <c r="S567" i="7"/>
  <c r="R567" i="7"/>
  <c r="Q567" i="7"/>
  <c r="P567" i="7"/>
  <c r="L567" i="7"/>
  <c r="K567" i="7"/>
  <c r="J567" i="7"/>
  <c r="I567" i="7"/>
  <c r="H567" i="7"/>
  <c r="G567" i="7"/>
  <c r="F567" i="7"/>
  <c r="E567" i="7"/>
  <c r="D567" i="7"/>
  <c r="C567" i="7"/>
  <c r="B567" i="7"/>
  <c r="A567" i="7"/>
  <c r="Z566" i="7"/>
  <c r="X566" i="7"/>
  <c r="W566" i="7"/>
  <c r="V566" i="7"/>
  <c r="U566" i="7"/>
  <c r="T566" i="7"/>
  <c r="S566" i="7"/>
  <c r="R566" i="7"/>
  <c r="Q566" i="7"/>
  <c r="P566" i="7"/>
  <c r="L566" i="7"/>
  <c r="K566" i="7"/>
  <c r="J566" i="7"/>
  <c r="I566" i="7"/>
  <c r="H566" i="7"/>
  <c r="G566" i="7"/>
  <c r="F566" i="7"/>
  <c r="E566" i="7"/>
  <c r="D566" i="7"/>
  <c r="C566" i="7"/>
  <c r="B566" i="7"/>
  <c r="A566" i="7"/>
  <c r="Z565" i="7"/>
  <c r="X565" i="7"/>
  <c r="W565" i="7"/>
  <c r="V565" i="7"/>
  <c r="U565" i="7"/>
  <c r="T565" i="7"/>
  <c r="S565" i="7"/>
  <c r="R565" i="7"/>
  <c r="Q565" i="7"/>
  <c r="P565" i="7"/>
  <c r="L565" i="7"/>
  <c r="K565" i="7"/>
  <c r="J565" i="7"/>
  <c r="I565" i="7"/>
  <c r="H565" i="7"/>
  <c r="G565" i="7"/>
  <c r="F565" i="7"/>
  <c r="E565" i="7"/>
  <c r="D565" i="7"/>
  <c r="C565" i="7"/>
  <c r="B565" i="7"/>
  <c r="A565" i="7"/>
  <c r="Z564" i="7"/>
  <c r="X564" i="7"/>
  <c r="W564" i="7"/>
  <c r="V564" i="7"/>
  <c r="U564" i="7"/>
  <c r="T564" i="7"/>
  <c r="S564" i="7"/>
  <c r="R564" i="7"/>
  <c r="Q564" i="7"/>
  <c r="P564" i="7"/>
  <c r="L564" i="7"/>
  <c r="K564" i="7"/>
  <c r="J564" i="7"/>
  <c r="I564" i="7"/>
  <c r="H564" i="7"/>
  <c r="G564" i="7"/>
  <c r="F564" i="7"/>
  <c r="E564" i="7"/>
  <c r="D564" i="7"/>
  <c r="C564" i="7"/>
  <c r="B564" i="7"/>
  <c r="A564" i="7"/>
  <c r="Z563" i="7"/>
  <c r="X563" i="7"/>
  <c r="W563" i="7"/>
  <c r="V563" i="7"/>
  <c r="U563" i="7"/>
  <c r="T563" i="7"/>
  <c r="S563" i="7"/>
  <c r="R563" i="7"/>
  <c r="Q563" i="7"/>
  <c r="P563" i="7"/>
  <c r="L563" i="7"/>
  <c r="K563" i="7"/>
  <c r="J563" i="7"/>
  <c r="I563" i="7"/>
  <c r="H563" i="7"/>
  <c r="G563" i="7"/>
  <c r="F563" i="7"/>
  <c r="E563" i="7"/>
  <c r="D563" i="7"/>
  <c r="C563" i="7"/>
  <c r="B563" i="7"/>
  <c r="A563" i="7"/>
  <c r="Z562" i="7"/>
  <c r="X562" i="7"/>
  <c r="W562" i="7"/>
  <c r="V562" i="7"/>
  <c r="U562" i="7"/>
  <c r="T562" i="7"/>
  <c r="S562" i="7"/>
  <c r="R562" i="7"/>
  <c r="Q562" i="7"/>
  <c r="P562" i="7"/>
  <c r="L562" i="7"/>
  <c r="K562" i="7"/>
  <c r="J562" i="7"/>
  <c r="I562" i="7"/>
  <c r="H562" i="7"/>
  <c r="G562" i="7"/>
  <c r="F562" i="7"/>
  <c r="E562" i="7"/>
  <c r="D562" i="7"/>
  <c r="C562" i="7"/>
  <c r="B562" i="7"/>
  <c r="A562" i="7"/>
  <c r="Z561" i="7"/>
  <c r="X561" i="7"/>
  <c r="W561" i="7"/>
  <c r="V561" i="7"/>
  <c r="U561" i="7"/>
  <c r="T561" i="7"/>
  <c r="S561" i="7"/>
  <c r="R561" i="7"/>
  <c r="Q561" i="7"/>
  <c r="P561" i="7"/>
  <c r="L561" i="7"/>
  <c r="K561" i="7"/>
  <c r="J561" i="7"/>
  <c r="I561" i="7"/>
  <c r="H561" i="7"/>
  <c r="G561" i="7"/>
  <c r="F561" i="7"/>
  <c r="E561" i="7"/>
  <c r="D561" i="7"/>
  <c r="C561" i="7"/>
  <c r="B561" i="7"/>
  <c r="A561" i="7"/>
  <c r="Z560" i="7"/>
  <c r="X560" i="7"/>
  <c r="W560" i="7"/>
  <c r="V560" i="7"/>
  <c r="U560" i="7"/>
  <c r="T560" i="7"/>
  <c r="S560" i="7"/>
  <c r="R560" i="7"/>
  <c r="Q560" i="7"/>
  <c r="P560" i="7"/>
  <c r="L560" i="7"/>
  <c r="K560" i="7"/>
  <c r="J560" i="7"/>
  <c r="I560" i="7"/>
  <c r="H560" i="7"/>
  <c r="G560" i="7"/>
  <c r="F560" i="7"/>
  <c r="E560" i="7"/>
  <c r="D560" i="7"/>
  <c r="C560" i="7"/>
  <c r="B560" i="7"/>
  <c r="A560" i="7"/>
  <c r="Z559" i="7"/>
  <c r="X559" i="7"/>
  <c r="W559" i="7"/>
  <c r="V559" i="7"/>
  <c r="U559" i="7"/>
  <c r="T559" i="7"/>
  <c r="S559" i="7"/>
  <c r="R559" i="7"/>
  <c r="Q559" i="7"/>
  <c r="P559" i="7"/>
  <c r="L559" i="7"/>
  <c r="K559" i="7"/>
  <c r="J559" i="7"/>
  <c r="I559" i="7"/>
  <c r="H559" i="7"/>
  <c r="G559" i="7"/>
  <c r="F559" i="7"/>
  <c r="E559" i="7"/>
  <c r="D559" i="7"/>
  <c r="C559" i="7"/>
  <c r="B559" i="7"/>
  <c r="A559" i="7"/>
  <c r="Z558" i="7"/>
  <c r="X558" i="7"/>
  <c r="W558" i="7"/>
  <c r="V558" i="7"/>
  <c r="U558" i="7"/>
  <c r="T558" i="7"/>
  <c r="S558" i="7"/>
  <c r="R558" i="7"/>
  <c r="Q558" i="7"/>
  <c r="P558" i="7"/>
  <c r="L558" i="7"/>
  <c r="K558" i="7"/>
  <c r="J558" i="7"/>
  <c r="I558" i="7"/>
  <c r="H558" i="7"/>
  <c r="G558" i="7"/>
  <c r="F558" i="7"/>
  <c r="E558" i="7"/>
  <c r="D558" i="7"/>
  <c r="C558" i="7"/>
  <c r="B558" i="7"/>
  <c r="A558" i="7"/>
  <c r="Z557" i="7"/>
  <c r="X557" i="7"/>
  <c r="W557" i="7"/>
  <c r="V557" i="7"/>
  <c r="U557" i="7"/>
  <c r="T557" i="7"/>
  <c r="S557" i="7"/>
  <c r="R557" i="7"/>
  <c r="Q557" i="7"/>
  <c r="P557" i="7"/>
  <c r="L557" i="7"/>
  <c r="K557" i="7"/>
  <c r="J557" i="7"/>
  <c r="I557" i="7"/>
  <c r="H557" i="7"/>
  <c r="G557" i="7"/>
  <c r="F557" i="7"/>
  <c r="E557" i="7"/>
  <c r="D557" i="7"/>
  <c r="C557" i="7"/>
  <c r="B557" i="7"/>
  <c r="A557" i="7"/>
  <c r="Z556" i="7"/>
  <c r="X556" i="7"/>
  <c r="W556" i="7"/>
  <c r="V556" i="7"/>
  <c r="U556" i="7"/>
  <c r="T556" i="7"/>
  <c r="S556" i="7"/>
  <c r="R556" i="7"/>
  <c r="Q556" i="7"/>
  <c r="P556" i="7"/>
  <c r="L556" i="7"/>
  <c r="K556" i="7"/>
  <c r="J556" i="7"/>
  <c r="I556" i="7"/>
  <c r="H556" i="7"/>
  <c r="G556" i="7"/>
  <c r="F556" i="7"/>
  <c r="E556" i="7"/>
  <c r="D556" i="7"/>
  <c r="C556" i="7"/>
  <c r="B556" i="7"/>
  <c r="A556" i="7"/>
  <c r="Z555" i="7"/>
  <c r="X555" i="7"/>
  <c r="W555" i="7"/>
  <c r="V555" i="7"/>
  <c r="U555" i="7"/>
  <c r="T555" i="7"/>
  <c r="S555" i="7"/>
  <c r="R555" i="7"/>
  <c r="Q555" i="7"/>
  <c r="P555" i="7"/>
  <c r="L555" i="7"/>
  <c r="K555" i="7"/>
  <c r="J555" i="7"/>
  <c r="I555" i="7"/>
  <c r="H555" i="7"/>
  <c r="G555" i="7"/>
  <c r="F555" i="7"/>
  <c r="E555" i="7"/>
  <c r="D555" i="7"/>
  <c r="C555" i="7"/>
  <c r="B555" i="7"/>
  <c r="A555" i="7"/>
  <c r="Z554" i="7"/>
  <c r="X554" i="7"/>
  <c r="W554" i="7"/>
  <c r="V554" i="7"/>
  <c r="U554" i="7"/>
  <c r="T554" i="7"/>
  <c r="S554" i="7"/>
  <c r="R554" i="7"/>
  <c r="Q554" i="7"/>
  <c r="P554" i="7"/>
  <c r="L554" i="7"/>
  <c r="K554" i="7"/>
  <c r="J554" i="7"/>
  <c r="I554" i="7"/>
  <c r="H554" i="7"/>
  <c r="G554" i="7"/>
  <c r="F554" i="7"/>
  <c r="E554" i="7"/>
  <c r="D554" i="7"/>
  <c r="C554" i="7"/>
  <c r="B554" i="7"/>
  <c r="A554" i="7"/>
  <c r="W553" i="7"/>
  <c r="T553" i="7"/>
  <c r="S553" i="7"/>
  <c r="R553" i="7"/>
  <c r="Q553" i="7"/>
  <c r="P553" i="7"/>
  <c r="K553" i="7"/>
  <c r="J553" i="7"/>
  <c r="I553" i="7"/>
  <c r="H553" i="7"/>
  <c r="G553" i="7"/>
  <c r="F553" i="7"/>
  <c r="E553" i="7"/>
  <c r="D553" i="7"/>
  <c r="C553" i="7"/>
  <c r="B553" i="7"/>
  <c r="A553" i="7"/>
  <c r="W552" i="7"/>
  <c r="T552" i="7"/>
  <c r="S552" i="7"/>
  <c r="R552" i="7"/>
  <c r="Q552" i="7"/>
  <c r="P552" i="7"/>
  <c r="K552" i="7"/>
  <c r="J552" i="7"/>
  <c r="I552" i="7"/>
  <c r="H552" i="7"/>
  <c r="G552" i="7"/>
  <c r="F552" i="7"/>
  <c r="E552" i="7"/>
  <c r="D552" i="7"/>
  <c r="C552" i="7"/>
  <c r="B552" i="7"/>
  <c r="A552" i="7"/>
  <c r="W551" i="7"/>
  <c r="T551" i="7"/>
  <c r="S551" i="7"/>
  <c r="R551" i="7"/>
  <c r="Q551" i="7"/>
  <c r="P551" i="7"/>
  <c r="K551" i="7"/>
  <c r="J551" i="7"/>
  <c r="I551" i="7"/>
  <c r="H551" i="7"/>
  <c r="G551" i="7"/>
  <c r="F551" i="7"/>
  <c r="E551" i="7"/>
  <c r="D551" i="7"/>
  <c r="C551" i="7"/>
  <c r="B551" i="7"/>
  <c r="A551" i="7"/>
  <c r="W550" i="7"/>
  <c r="T550" i="7"/>
  <c r="S550" i="7"/>
  <c r="R550" i="7"/>
  <c r="Q550" i="7"/>
  <c r="P550" i="7"/>
  <c r="K550" i="7"/>
  <c r="J550" i="7"/>
  <c r="I550" i="7"/>
  <c r="H550" i="7"/>
  <c r="G550" i="7"/>
  <c r="F550" i="7"/>
  <c r="E550" i="7"/>
  <c r="D550" i="7"/>
  <c r="C550" i="7"/>
  <c r="B550" i="7"/>
  <c r="A550" i="7"/>
  <c r="W549" i="7"/>
  <c r="T549" i="7"/>
  <c r="S549" i="7"/>
  <c r="R549" i="7"/>
  <c r="Q549" i="7"/>
  <c r="P549" i="7"/>
  <c r="K549" i="7"/>
  <c r="J549" i="7"/>
  <c r="I549" i="7"/>
  <c r="H549" i="7"/>
  <c r="G549" i="7"/>
  <c r="F549" i="7"/>
  <c r="E549" i="7"/>
  <c r="D549" i="7"/>
  <c r="C549" i="7"/>
  <c r="B549" i="7"/>
  <c r="A549" i="7"/>
  <c r="W548" i="7"/>
  <c r="T548" i="7"/>
  <c r="S548" i="7"/>
  <c r="R548" i="7"/>
  <c r="Q548" i="7"/>
  <c r="P548" i="7"/>
  <c r="K548" i="7"/>
  <c r="J548" i="7"/>
  <c r="I548" i="7"/>
  <c r="H548" i="7"/>
  <c r="G548" i="7"/>
  <c r="F548" i="7"/>
  <c r="E548" i="7"/>
  <c r="D548" i="7"/>
  <c r="C548" i="7"/>
  <c r="B548" i="7"/>
  <c r="A548" i="7"/>
  <c r="W547" i="7"/>
  <c r="T547" i="7"/>
  <c r="S547" i="7"/>
  <c r="R547" i="7"/>
  <c r="Q547" i="7"/>
  <c r="P547" i="7"/>
  <c r="K547" i="7"/>
  <c r="J547" i="7"/>
  <c r="I547" i="7"/>
  <c r="H547" i="7"/>
  <c r="G547" i="7"/>
  <c r="F547" i="7"/>
  <c r="E547" i="7"/>
  <c r="D547" i="7"/>
  <c r="C547" i="7"/>
  <c r="B547" i="7"/>
  <c r="A547" i="7"/>
  <c r="W546" i="7"/>
  <c r="T546" i="7"/>
  <c r="S546" i="7"/>
  <c r="R546" i="7"/>
  <c r="Q546" i="7"/>
  <c r="P546" i="7"/>
  <c r="K546" i="7"/>
  <c r="J546" i="7"/>
  <c r="I546" i="7"/>
  <c r="H546" i="7"/>
  <c r="G546" i="7"/>
  <c r="F546" i="7"/>
  <c r="E546" i="7"/>
  <c r="D546" i="7"/>
  <c r="C546" i="7"/>
  <c r="B546" i="7"/>
  <c r="A546" i="7"/>
  <c r="W545" i="7"/>
  <c r="T545" i="7"/>
  <c r="S545" i="7"/>
  <c r="R545" i="7"/>
  <c r="Q545" i="7"/>
  <c r="P545" i="7"/>
  <c r="K545" i="7"/>
  <c r="J545" i="7"/>
  <c r="I545" i="7"/>
  <c r="H545" i="7"/>
  <c r="G545" i="7"/>
  <c r="F545" i="7"/>
  <c r="E545" i="7"/>
  <c r="D545" i="7"/>
  <c r="C545" i="7"/>
  <c r="B545" i="7"/>
  <c r="A545" i="7"/>
  <c r="W544" i="7"/>
  <c r="T544" i="7"/>
  <c r="S544" i="7"/>
  <c r="R544" i="7"/>
  <c r="Q544" i="7"/>
  <c r="P544" i="7"/>
  <c r="K544" i="7"/>
  <c r="J544" i="7"/>
  <c r="I544" i="7"/>
  <c r="H544" i="7"/>
  <c r="G544" i="7"/>
  <c r="F544" i="7"/>
  <c r="E544" i="7"/>
  <c r="D544" i="7"/>
  <c r="C544" i="7"/>
  <c r="B544" i="7"/>
  <c r="A544" i="7"/>
  <c r="W543" i="7"/>
  <c r="T543" i="7"/>
  <c r="S543" i="7"/>
  <c r="R543" i="7"/>
  <c r="Q543" i="7"/>
  <c r="P543" i="7"/>
  <c r="K543" i="7"/>
  <c r="J543" i="7"/>
  <c r="I543" i="7"/>
  <c r="H543" i="7"/>
  <c r="G543" i="7"/>
  <c r="F543" i="7"/>
  <c r="E543" i="7"/>
  <c r="D543" i="7"/>
  <c r="C543" i="7"/>
  <c r="B543" i="7"/>
  <c r="A543" i="7"/>
  <c r="W542" i="7"/>
  <c r="T542" i="7"/>
  <c r="S542" i="7"/>
  <c r="R542" i="7"/>
  <c r="Q542" i="7"/>
  <c r="P542" i="7"/>
  <c r="K542" i="7"/>
  <c r="J542" i="7"/>
  <c r="I542" i="7"/>
  <c r="H542" i="7"/>
  <c r="G542" i="7"/>
  <c r="F542" i="7"/>
  <c r="E542" i="7"/>
  <c r="D542" i="7"/>
  <c r="C542" i="7"/>
  <c r="B542" i="7"/>
  <c r="A542" i="7"/>
  <c r="W541" i="7"/>
  <c r="T541" i="7"/>
  <c r="S541" i="7"/>
  <c r="R541" i="7"/>
  <c r="Q541" i="7"/>
  <c r="P541" i="7"/>
  <c r="K541" i="7"/>
  <c r="J541" i="7"/>
  <c r="I541" i="7"/>
  <c r="H541" i="7"/>
  <c r="G541" i="7"/>
  <c r="F541" i="7"/>
  <c r="E541" i="7"/>
  <c r="D541" i="7"/>
  <c r="C541" i="7"/>
  <c r="B541" i="7"/>
  <c r="A541" i="7"/>
  <c r="W540" i="7"/>
  <c r="T540" i="7"/>
  <c r="S540" i="7"/>
  <c r="R540" i="7"/>
  <c r="Q540" i="7"/>
  <c r="P540" i="7"/>
  <c r="K540" i="7"/>
  <c r="J540" i="7"/>
  <c r="I540" i="7"/>
  <c r="H540" i="7"/>
  <c r="G540" i="7"/>
  <c r="F540" i="7"/>
  <c r="E540" i="7"/>
  <c r="D540" i="7"/>
  <c r="C540" i="7"/>
  <c r="B540" i="7"/>
  <c r="A540" i="7"/>
  <c r="W539" i="7"/>
  <c r="T539" i="7"/>
  <c r="S539" i="7"/>
  <c r="R539" i="7"/>
  <c r="Q539" i="7"/>
  <c r="P539" i="7"/>
  <c r="K539" i="7"/>
  <c r="J539" i="7"/>
  <c r="I539" i="7"/>
  <c r="H539" i="7"/>
  <c r="G539" i="7"/>
  <c r="F539" i="7"/>
  <c r="E539" i="7"/>
  <c r="D539" i="7"/>
  <c r="C539" i="7"/>
  <c r="B539" i="7"/>
  <c r="A539" i="7"/>
  <c r="W538" i="7"/>
  <c r="T538" i="7"/>
  <c r="S538" i="7"/>
  <c r="R538" i="7"/>
  <c r="Q538" i="7"/>
  <c r="P538" i="7"/>
  <c r="K538" i="7"/>
  <c r="J538" i="7"/>
  <c r="I538" i="7"/>
  <c r="H538" i="7"/>
  <c r="G538" i="7"/>
  <c r="F538" i="7"/>
  <c r="E538" i="7"/>
  <c r="D538" i="7"/>
  <c r="C538" i="7"/>
  <c r="B538" i="7"/>
  <c r="A538" i="7"/>
  <c r="W537" i="7"/>
  <c r="T537" i="7"/>
  <c r="S537" i="7"/>
  <c r="R537" i="7"/>
  <c r="Q537" i="7"/>
  <c r="P537" i="7"/>
  <c r="K537" i="7"/>
  <c r="J537" i="7"/>
  <c r="I537" i="7"/>
  <c r="H537" i="7"/>
  <c r="G537" i="7"/>
  <c r="F537" i="7"/>
  <c r="E537" i="7"/>
  <c r="D537" i="7"/>
  <c r="C537" i="7"/>
  <c r="B537" i="7"/>
  <c r="A537" i="7"/>
  <c r="W536" i="7"/>
  <c r="T536" i="7"/>
  <c r="S536" i="7"/>
  <c r="R536" i="7"/>
  <c r="Q536" i="7"/>
  <c r="P536" i="7"/>
  <c r="K536" i="7"/>
  <c r="J536" i="7"/>
  <c r="I536" i="7"/>
  <c r="H536" i="7"/>
  <c r="G536" i="7"/>
  <c r="F536" i="7"/>
  <c r="E536" i="7"/>
  <c r="D536" i="7"/>
  <c r="C536" i="7"/>
  <c r="B536" i="7"/>
  <c r="A536" i="7"/>
  <c r="W535" i="7"/>
  <c r="T535" i="7"/>
  <c r="S535" i="7"/>
  <c r="R535" i="7"/>
  <c r="Q535" i="7"/>
  <c r="P535" i="7"/>
  <c r="K535" i="7"/>
  <c r="J535" i="7"/>
  <c r="I535" i="7"/>
  <c r="H535" i="7"/>
  <c r="G535" i="7"/>
  <c r="F535" i="7"/>
  <c r="E535" i="7"/>
  <c r="D535" i="7"/>
  <c r="C535" i="7"/>
  <c r="B535" i="7"/>
  <c r="A535" i="7"/>
  <c r="W534" i="7"/>
  <c r="T534" i="7"/>
  <c r="S534" i="7"/>
  <c r="R534" i="7"/>
  <c r="Q534" i="7"/>
  <c r="P534" i="7"/>
  <c r="K534" i="7"/>
  <c r="J534" i="7"/>
  <c r="I534" i="7"/>
  <c r="H534" i="7"/>
  <c r="G534" i="7"/>
  <c r="F534" i="7"/>
  <c r="E534" i="7"/>
  <c r="D534" i="7"/>
  <c r="C534" i="7"/>
  <c r="B534" i="7"/>
  <c r="A534" i="7"/>
  <c r="W533" i="7"/>
  <c r="T533" i="7"/>
  <c r="S533" i="7"/>
  <c r="R533" i="7"/>
  <c r="Q533" i="7"/>
  <c r="P533" i="7"/>
  <c r="K533" i="7"/>
  <c r="J533" i="7"/>
  <c r="I533" i="7"/>
  <c r="H533" i="7"/>
  <c r="G533" i="7"/>
  <c r="F533" i="7"/>
  <c r="E533" i="7"/>
  <c r="D533" i="7"/>
  <c r="C533" i="7"/>
  <c r="B533" i="7"/>
  <c r="A533" i="7"/>
  <c r="W532" i="7"/>
  <c r="T532" i="7"/>
  <c r="S532" i="7"/>
  <c r="R532" i="7"/>
  <c r="Q532" i="7"/>
  <c r="P532" i="7"/>
  <c r="K532" i="7"/>
  <c r="J532" i="7"/>
  <c r="I532" i="7"/>
  <c r="H532" i="7"/>
  <c r="G532" i="7"/>
  <c r="F532" i="7"/>
  <c r="E532" i="7"/>
  <c r="D532" i="7"/>
  <c r="C532" i="7"/>
  <c r="B532" i="7"/>
  <c r="A532" i="7"/>
  <c r="W531" i="7"/>
  <c r="T531" i="7"/>
  <c r="S531" i="7"/>
  <c r="R531" i="7"/>
  <c r="Q531" i="7"/>
  <c r="P531" i="7"/>
  <c r="K531" i="7"/>
  <c r="J531" i="7"/>
  <c r="I531" i="7"/>
  <c r="H531" i="7"/>
  <c r="G531" i="7"/>
  <c r="F531" i="7"/>
  <c r="E531" i="7"/>
  <c r="D531" i="7"/>
  <c r="C531" i="7"/>
  <c r="B531" i="7"/>
  <c r="A531" i="7"/>
  <c r="W530" i="7"/>
  <c r="T530" i="7"/>
  <c r="S530" i="7"/>
  <c r="R530" i="7"/>
  <c r="Q530" i="7"/>
  <c r="P530" i="7"/>
  <c r="K530" i="7"/>
  <c r="J530" i="7"/>
  <c r="I530" i="7"/>
  <c r="H530" i="7"/>
  <c r="G530" i="7"/>
  <c r="F530" i="7"/>
  <c r="E530" i="7"/>
  <c r="D530" i="7"/>
  <c r="C530" i="7"/>
  <c r="B530" i="7"/>
  <c r="A530" i="7"/>
  <c r="W529" i="7"/>
  <c r="T529" i="7"/>
  <c r="S529" i="7"/>
  <c r="R529" i="7"/>
  <c r="Q529" i="7"/>
  <c r="P529" i="7"/>
  <c r="K529" i="7"/>
  <c r="J529" i="7"/>
  <c r="I529" i="7"/>
  <c r="H529" i="7"/>
  <c r="G529" i="7"/>
  <c r="F529" i="7"/>
  <c r="E529" i="7"/>
  <c r="D529" i="7"/>
  <c r="C529" i="7"/>
  <c r="B529" i="7"/>
  <c r="A529" i="7"/>
  <c r="W528" i="7"/>
  <c r="T528" i="7"/>
  <c r="S528" i="7"/>
  <c r="R528" i="7"/>
  <c r="Q528" i="7"/>
  <c r="P528" i="7"/>
  <c r="K528" i="7"/>
  <c r="J528" i="7"/>
  <c r="I528" i="7"/>
  <c r="H528" i="7"/>
  <c r="G528" i="7"/>
  <c r="F528" i="7"/>
  <c r="E528" i="7"/>
  <c r="D528" i="7"/>
  <c r="C528" i="7"/>
  <c r="B528" i="7"/>
  <c r="A528" i="7"/>
  <c r="W527" i="7"/>
  <c r="T527" i="7"/>
  <c r="S527" i="7"/>
  <c r="R527" i="7"/>
  <c r="Q527" i="7"/>
  <c r="P527" i="7"/>
  <c r="K527" i="7"/>
  <c r="J527" i="7"/>
  <c r="I527" i="7"/>
  <c r="H527" i="7"/>
  <c r="G527" i="7"/>
  <c r="F527" i="7"/>
  <c r="E527" i="7"/>
  <c r="D527" i="7"/>
  <c r="C527" i="7"/>
  <c r="B527" i="7"/>
  <c r="A527" i="7"/>
  <c r="W526" i="7"/>
  <c r="T526" i="7"/>
  <c r="S526" i="7"/>
  <c r="R526" i="7"/>
  <c r="Q526" i="7"/>
  <c r="P526" i="7"/>
  <c r="K526" i="7"/>
  <c r="J526" i="7"/>
  <c r="I526" i="7"/>
  <c r="H526" i="7"/>
  <c r="G526" i="7"/>
  <c r="F526" i="7"/>
  <c r="E526" i="7"/>
  <c r="D526" i="7"/>
  <c r="C526" i="7"/>
  <c r="B526" i="7"/>
  <c r="A526" i="7"/>
  <c r="W525" i="7"/>
  <c r="T525" i="7"/>
  <c r="S525" i="7"/>
  <c r="R525" i="7"/>
  <c r="Q525" i="7"/>
  <c r="P525" i="7"/>
  <c r="K525" i="7"/>
  <c r="J525" i="7"/>
  <c r="I525" i="7"/>
  <c r="H525" i="7"/>
  <c r="G525" i="7"/>
  <c r="F525" i="7"/>
  <c r="E525" i="7"/>
  <c r="D525" i="7"/>
  <c r="C525" i="7"/>
  <c r="B525" i="7"/>
  <c r="A525" i="7"/>
  <c r="W524" i="7"/>
  <c r="T524" i="7"/>
  <c r="S524" i="7"/>
  <c r="R524" i="7"/>
  <c r="Q524" i="7"/>
  <c r="P524" i="7"/>
  <c r="K524" i="7"/>
  <c r="J524" i="7"/>
  <c r="I524" i="7"/>
  <c r="H524" i="7"/>
  <c r="G524" i="7"/>
  <c r="F524" i="7"/>
  <c r="E524" i="7"/>
  <c r="D524" i="7"/>
  <c r="C524" i="7"/>
  <c r="B524" i="7"/>
  <c r="A524" i="7"/>
  <c r="W523" i="7"/>
  <c r="T523" i="7"/>
  <c r="S523" i="7"/>
  <c r="R523" i="7"/>
  <c r="Q523" i="7"/>
  <c r="P523" i="7"/>
  <c r="K523" i="7"/>
  <c r="J523" i="7"/>
  <c r="I523" i="7"/>
  <c r="H523" i="7"/>
  <c r="G523" i="7"/>
  <c r="F523" i="7"/>
  <c r="E523" i="7"/>
  <c r="D523" i="7"/>
  <c r="C523" i="7"/>
  <c r="B523" i="7"/>
  <c r="A523" i="7"/>
  <c r="W522" i="7"/>
  <c r="T522" i="7"/>
  <c r="S522" i="7"/>
  <c r="R522" i="7"/>
  <c r="Q522" i="7"/>
  <c r="P522" i="7"/>
  <c r="K522" i="7"/>
  <c r="J522" i="7"/>
  <c r="I522" i="7"/>
  <c r="H522" i="7"/>
  <c r="G522" i="7"/>
  <c r="F522" i="7"/>
  <c r="E522" i="7"/>
  <c r="D522" i="7"/>
  <c r="C522" i="7"/>
  <c r="B522" i="7"/>
  <c r="A522" i="7"/>
  <c r="W521" i="7"/>
  <c r="T521" i="7"/>
  <c r="S521" i="7"/>
  <c r="R521" i="7"/>
  <c r="Q521" i="7"/>
  <c r="P521" i="7"/>
  <c r="K521" i="7"/>
  <c r="J521" i="7"/>
  <c r="I521" i="7"/>
  <c r="H521" i="7"/>
  <c r="G521" i="7"/>
  <c r="F521" i="7"/>
  <c r="E521" i="7"/>
  <c r="D521" i="7"/>
  <c r="C521" i="7"/>
  <c r="B521" i="7"/>
  <c r="A521" i="7"/>
  <c r="W520" i="7"/>
  <c r="T520" i="7"/>
  <c r="S520" i="7"/>
  <c r="R520" i="7"/>
  <c r="Q520" i="7"/>
  <c r="P520" i="7"/>
  <c r="K520" i="7"/>
  <c r="J520" i="7"/>
  <c r="I520" i="7"/>
  <c r="H520" i="7"/>
  <c r="G520" i="7"/>
  <c r="F520" i="7"/>
  <c r="E520" i="7"/>
  <c r="D520" i="7"/>
  <c r="C520" i="7"/>
  <c r="B520" i="7"/>
  <c r="A520" i="7"/>
  <c r="W519" i="7"/>
  <c r="T519" i="7"/>
  <c r="S519" i="7"/>
  <c r="R519" i="7"/>
  <c r="Q519" i="7"/>
  <c r="P519" i="7"/>
  <c r="K519" i="7"/>
  <c r="J519" i="7"/>
  <c r="I519" i="7"/>
  <c r="H519" i="7"/>
  <c r="G519" i="7"/>
  <c r="F519" i="7"/>
  <c r="E519" i="7"/>
  <c r="D519" i="7"/>
  <c r="C519" i="7"/>
  <c r="B519" i="7"/>
  <c r="A519" i="7"/>
  <c r="W518" i="7"/>
  <c r="T518" i="7"/>
  <c r="S518" i="7"/>
  <c r="R518" i="7"/>
  <c r="Q518" i="7"/>
  <c r="P518" i="7"/>
  <c r="K518" i="7"/>
  <c r="J518" i="7"/>
  <c r="I518" i="7"/>
  <c r="H518" i="7"/>
  <c r="G518" i="7"/>
  <c r="F518" i="7"/>
  <c r="E518" i="7"/>
  <c r="D518" i="7"/>
  <c r="C518" i="7"/>
  <c r="B518" i="7"/>
  <c r="A518" i="7"/>
  <c r="W517" i="7"/>
  <c r="T517" i="7"/>
  <c r="S517" i="7"/>
  <c r="R517" i="7"/>
  <c r="Q517" i="7"/>
  <c r="P517" i="7"/>
  <c r="K517" i="7"/>
  <c r="J517" i="7"/>
  <c r="I517" i="7"/>
  <c r="H517" i="7"/>
  <c r="G517" i="7"/>
  <c r="F517" i="7"/>
  <c r="E517" i="7"/>
  <c r="D517" i="7"/>
  <c r="C517" i="7"/>
  <c r="B517" i="7"/>
  <c r="A517" i="7"/>
  <c r="W516" i="7"/>
  <c r="T516" i="7"/>
  <c r="S516" i="7"/>
  <c r="R516" i="7"/>
  <c r="Q516" i="7"/>
  <c r="P516" i="7"/>
  <c r="K516" i="7"/>
  <c r="J516" i="7"/>
  <c r="I516" i="7"/>
  <c r="H516" i="7"/>
  <c r="G516" i="7"/>
  <c r="F516" i="7"/>
  <c r="E516" i="7"/>
  <c r="D516" i="7"/>
  <c r="C516" i="7"/>
  <c r="B516" i="7"/>
  <c r="A516" i="7"/>
  <c r="W515" i="7"/>
  <c r="T515" i="7"/>
  <c r="S515" i="7"/>
  <c r="R515" i="7"/>
  <c r="Q515" i="7"/>
  <c r="P515" i="7"/>
  <c r="K515" i="7"/>
  <c r="J515" i="7"/>
  <c r="I515" i="7"/>
  <c r="H515" i="7"/>
  <c r="G515" i="7"/>
  <c r="F515" i="7"/>
  <c r="E515" i="7"/>
  <c r="D515" i="7"/>
  <c r="C515" i="7"/>
  <c r="B515" i="7"/>
  <c r="A515" i="7"/>
  <c r="W514" i="7"/>
  <c r="T514" i="7"/>
  <c r="S514" i="7"/>
  <c r="R514" i="7"/>
  <c r="Q514" i="7"/>
  <c r="P514" i="7"/>
  <c r="K514" i="7"/>
  <c r="J514" i="7"/>
  <c r="I514" i="7"/>
  <c r="H514" i="7"/>
  <c r="G514" i="7"/>
  <c r="F514" i="7"/>
  <c r="E514" i="7"/>
  <c r="D514" i="7"/>
  <c r="C514" i="7"/>
  <c r="B514" i="7"/>
  <c r="A514" i="7"/>
  <c r="W513" i="7"/>
  <c r="T513" i="7"/>
  <c r="S513" i="7"/>
  <c r="R513" i="7"/>
  <c r="Q513" i="7"/>
  <c r="P513" i="7"/>
  <c r="K513" i="7"/>
  <c r="J513" i="7"/>
  <c r="I513" i="7"/>
  <c r="H513" i="7"/>
  <c r="G513" i="7"/>
  <c r="F513" i="7"/>
  <c r="E513" i="7"/>
  <c r="D513" i="7"/>
  <c r="C513" i="7"/>
  <c r="B513" i="7"/>
  <c r="A513" i="7"/>
  <c r="W512" i="7"/>
  <c r="T512" i="7"/>
  <c r="S512" i="7"/>
  <c r="R512" i="7"/>
  <c r="Q512" i="7"/>
  <c r="P512" i="7"/>
  <c r="K512" i="7"/>
  <c r="J512" i="7"/>
  <c r="I512" i="7"/>
  <c r="H512" i="7"/>
  <c r="G512" i="7"/>
  <c r="F512" i="7"/>
  <c r="E512" i="7"/>
  <c r="D512" i="7"/>
  <c r="C512" i="7"/>
  <c r="B512" i="7"/>
  <c r="A512" i="7"/>
  <c r="W511" i="7"/>
  <c r="T511" i="7"/>
  <c r="S511" i="7"/>
  <c r="R511" i="7"/>
  <c r="Q511" i="7"/>
  <c r="P511" i="7"/>
  <c r="K511" i="7"/>
  <c r="J511" i="7"/>
  <c r="I511" i="7"/>
  <c r="H511" i="7"/>
  <c r="G511" i="7"/>
  <c r="F511" i="7"/>
  <c r="E511" i="7"/>
  <c r="D511" i="7"/>
  <c r="C511" i="7"/>
  <c r="B511" i="7"/>
  <c r="A511" i="7"/>
  <c r="W510" i="7"/>
  <c r="T510" i="7"/>
  <c r="S510" i="7"/>
  <c r="R510" i="7"/>
  <c r="Q510" i="7"/>
  <c r="P510" i="7"/>
  <c r="K510" i="7"/>
  <c r="J510" i="7"/>
  <c r="I510" i="7"/>
  <c r="H510" i="7"/>
  <c r="G510" i="7"/>
  <c r="F510" i="7"/>
  <c r="E510" i="7"/>
  <c r="D510" i="7"/>
  <c r="C510" i="7"/>
  <c r="B510" i="7"/>
  <c r="A510" i="7"/>
  <c r="W509" i="7"/>
  <c r="T509" i="7"/>
  <c r="S509" i="7"/>
  <c r="R509" i="7"/>
  <c r="Q509" i="7"/>
  <c r="P509" i="7"/>
  <c r="K509" i="7"/>
  <c r="J509" i="7"/>
  <c r="I509" i="7"/>
  <c r="H509" i="7"/>
  <c r="G509" i="7"/>
  <c r="F509" i="7"/>
  <c r="E509" i="7"/>
  <c r="D509" i="7"/>
  <c r="C509" i="7"/>
  <c r="B509" i="7"/>
  <c r="A509" i="7"/>
  <c r="W508" i="7"/>
  <c r="T508" i="7"/>
  <c r="S508" i="7"/>
  <c r="R508" i="7"/>
  <c r="Q508" i="7"/>
  <c r="P508" i="7"/>
  <c r="K508" i="7"/>
  <c r="J508" i="7"/>
  <c r="I508" i="7"/>
  <c r="H508" i="7"/>
  <c r="G508" i="7"/>
  <c r="F508" i="7"/>
  <c r="E508" i="7"/>
  <c r="D508" i="7"/>
  <c r="C508" i="7"/>
  <c r="B508" i="7"/>
  <c r="A508" i="7"/>
  <c r="W507" i="7"/>
  <c r="T507" i="7"/>
  <c r="S507" i="7"/>
  <c r="R507" i="7"/>
  <c r="Q507" i="7"/>
  <c r="P507" i="7"/>
  <c r="K507" i="7"/>
  <c r="J507" i="7"/>
  <c r="I507" i="7"/>
  <c r="H507" i="7"/>
  <c r="G507" i="7"/>
  <c r="F507" i="7"/>
  <c r="E507" i="7"/>
  <c r="D507" i="7"/>
  <c r="C507" i="7"/>
  <c r="B507" i="7"/>
  <c r="A507" i="7"/>
  <c r="W506" i="7"/>
  <c r="T506" i="7"/>
  <c r="S506" i="7"/>
  <c r="R506" i="7"/>
  <c r="Q506" i="7"/>
  <c r="P506" i="7"/>
  <c r="K506" i="7"/>
  <c r="J506" i="7"/>
  <c r="I506" i="7"/>
  <c r="H506" i="7"/>
  <c r="G506" i="7"/>
  <c r="F506" i="7"/>
  <c r="E506" i="7"/>
  <c r="D506" i="7"/>
  <c r="C506" i="7"/>
  <c r="B506" i="7"/>
  <c r="A506" i="7"/>
  <c r="W505" i="7"/>
  <c r="T505" i="7"/>
  <c r="S505" i="7"/>
  <c r="R505" i="7"/>
  <c r="Q505" i="7"/>
  <c r="P505" i="7"/>
  <c r="K505" i="7"/>
  <c r="J505" i="7"/>
  <c r="I505" i="7"/>
  <c r="H505" i="7"/>
  <c r="G505" i="7"/>
  <c r="F505" i="7"/>
  <c r="E505" i="7"/>
  <c r="D505" i="7"/>
  <c r="C505" i="7"/>
  <c r="B505" i="7"/>
  <c r="A505" i="7"/>
  <c r="W504" i="7"/>
  <c r="T504" i="7"/>
  <c r="S504" i="7"/>
  <c r="R504" i="7"/>
  <c r="Q504" i="7"/>
  <c r="P504" i="7"/>
  <c r="K504" i="7"/>
  <c r="J504" i="7"/>
  <c r="I504" i="7"/>
  <c r="H504" i="7"/>
  <c r="G504" i="7"/>
  <c r="F504" i="7"/>
  <c r="E504" i="7"/>
  <c r="D504" i="7"/>
  <c r="C504" i="7"/>
  <c r="B504" i="7"/>
  <c r="A504" i="7"/>
  <c r="W503" i="7"/>
  <c r="T503" i="7"/>
  <c r="S503" i="7"/>
  <c r="R503" i="7"/>
  <c r="Q503" i="7"/>
  <c r="P503" i="7"/>
  <c r="K503" i="7"/>
  <c r="J503" i="7"/>
  <c r="I503" i="7"/>
  <c r="H503" i="7"/>
  <c r="G503" i="7"/>
  <c r="F503" i="7"/>
  <c r="E503" i="7"/>
  <c r="D503" i="7"/>
  <c r="C503" i="7"/>
  <c r="B503" i="7"/>
  <c r="A503" i="7"/>
  <c r="W502" i="7"/>
  <c r="T502" i="7"/>
  <c r="S502" i="7"/>
  <c r="R502" i="7"/>
  <c r="Q502" i="7"/>
  <c r="P502" i="7"/>
  <c r="K502" i="7"/>
  <c r="J502" i="7"/>
  <c r="I502" i="7"/>
  <c r="H502" i="7"/>
  <c r="G502" i="7"/>
  <c r="F502" i="7"/>
  <c r="E502" i="7"/>
  <c r="D502" i="7"/>
  <c r="C502" i="7"/>
  <c r="B502" i="7"/>
  <c r="A502" i="7"/>
  <c r="Z501" i="7"/>
  <c r="Y501" i="7"/>
  <c r="X501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A501" i="7"/>
  <c r="Z500" i="7"/>
  <c r="Y500" i="7"/>
  <c r="X500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A500" i="7"/>
  <c r="Z499" i="7"/>
  <c r="Y499" i="7"/>
  <c r="X499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A499" i="7"/>
  <c r="Z498" i="7"/>
  <c r="Y498" i="7"/>
  <c r="X498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A498" i="7"/>
  <c r="Z497" i="7"/>
  <c r="Y497" i="7"/>
  <c r="X497" i="7"/>
  <c r="W497" i="7"/>
  <c r="V497" i="7"/>
  <c r="U497" i="7"/>
  <c r="T497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A497" i="7"/>
  <c r="Z496" i="7"/>
  <c r="Y496" i="7"/>
  <c r="X496" i="7"/>
  <c r="W496" i="7"/>
  <c r="V496" i="7"/>
  <c r="U496" i="7"/>
  <c r="T496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A496" i="7"/>
  <c r="Z495" i="7"/>
  <c r="Y495" i="7"/>
  <c r="X495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A495" i="7"/>
  <c r="Z494" i="7"/>
  <c r="Y494" i="7"/>
  <c r="X494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A494" i="7"/>
  <c r="Z493" i="7"/>
  <c r="Y493" i="7"/>
  <c r="X493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A493" i="7"/>
  <c r="Z492" i="7"/>
  <c r="Y492" i="7"/>
  <c r="X492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A492" i="7"/>
  <c r="Z491" i="7"/>
  <c r="Y491" i="7"/>
  <c r="X491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A491" i="7"/>
  <c r="Z490" i="7"/>
  <c r="Y490" i="7"/>
  <c r="X490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A490" i="7"/>
  <c r="Z489" i="7"/>
  <c r="Y489" i="7"/>
  <c r="X489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A489" i="7"/>
  <c r="Z488" i="7"/>
  <c r="Y488" i="7"/>
  <c r="X488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A488" i="7"/>
  <c r="Z487" i="7"/>
  <c r="Y487" i="7"/>
  <c r="X487" i="7"/>
  <c r="W487" i="7"/>
  <c r="V487" i="7"/>
  <c r="U487" i="7"/>
  <c r="T487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A487" i="7"/>
  <c r="Z486" i="7"/>
  <c r="Y486" i="7"/>
  <c r="X486" i="7"/>
  <c r="W486" i="7"/>
  <c r="V486" i="7"/>
  <c r="U486" i="7"/>
  <c r="T486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A486" i="7"/>
  <c r="Z485" i="7"/>
  <c r="Y485" i="7"/>
  <c r="X485" i="7"/>
  <c r="W485" i="7"/>
  <c r="V485" i="7"/>
  <c r="U485" i="7"/>
  <c r="T485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A485" i="7"/>
  <c r="Z484" i="7"/>
  <c r="Y484" i="7"/>
  <c r="X484" i="7"/>
  <c r="W484" i="7"/>
  <c r="V484" i="7"/>
  <c r="U484" i="7"/>
  <c r="T484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A484" i="7"/>
  <c r="Z483" i="7"/>
  <c r="Y483" i="7"/>
  <c r="X483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A483" i="7"/>
  <c r="Z482" i="7"/>
  <c r="Y482" i="7"/>
  <c r="X482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A482" i="7"/>
  <c r="Z481" i="7"/>
  <c r="Y481" i="7"/>
  <c r="X481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A481" i="7"/>
  <c r="Z480" i="7"/>
  <c r="Y480" i="7"/>
  <c r="X480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A480" i="7"/>
  <c r="Z479" i="7"/>
  <c r="Y479" i="7"/>
  <c r="X479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A479" i="7"/>
  <c r="Z478" i="7"/>
  <c r="Y478" i="7"/>
  <c r="X478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A478" i="7"/>
  <c r="Z477" i="7"/>
  <c r="Y477" i="7"/>
  <c r="X477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A477" i="7"/>
  <c r="Z476" i="7"/>
  <c r="Y476" i="7"/>
  <c r="X476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A476" i="7"/>
  <c r="Z475" i="7"/>
  <c r="Y475" i="7"/>
  <c r="X475" i="7"/>
  <c r="W475" i="7"/>
  <c r="V475" i="7"/>
  <c r="U475" i="7"/>
  <c r="T475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A475" i="7"/>
  <c r="Z474" i="7"/>
  <c r="Y474" i="7"/>
  <c r="X474" i="7"/>
  <c r="W474" i="7"/>
  <c r="V474" i="7"/>
  <c r="U474" i="7"/>
  <c r="T474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A474" i="7"/>
  <c r="Z473" i="7"/>
  <c r="Y473" i="7"/>
  <c r="X473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A473" i="7"/>
  <c r="Z472" i="7"/>
  <c r="Y472" i="7"/>
  <c r="X472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A472" i="7"/>
  <c r="Z471" i="7"/>
  <c r="Y471" i="7"/>
  <c r="X471" i="7"/>
  <c r="W471" i="7"/>
  <c r="V471" i="7"/>
  <c r="U471" i="7"/>
  <c r="T471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A471" i="7"/>
  <c r="Z470" i="7"/>
  <c r="Y470" i="7"/>
  <c r="X470" i="7"/>
  <c r="W470" i="7"/>
  <c r="V470" i="7"/>
  <c r="U470" i="7"/>
  <c r="T470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A470" i="7"/>
  <c r="Z469" i="7"/>
  <c r="Y469" i="7"/>
  <c r="X469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A469" i="7"/>
  <c r="Z468" i="7"/>
  <c r="Y468" i="7"/>
  <c r="X468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A468" i="7"/>
  <c r="Z467" i="7"/>
  <c r="Y467" i="7"/>
  <c r="X467" i="7"/>
  <c r="W467" i="7"/>
  <c r="V467" i="7"/>
  <c r="U467" i="7"/>
  <c r="T467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A467" i="7"/>
  <c r="Z466" i="7"/>
  <c r="Y466" i="7"/>
  <c r="X466" i="7"/>
  <c r="W466" i="7"/>
  <c r="V466" i="7"/>
  <c r="U466" i="7"/>
  <c r="T466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A466" i="7"/>
  <c r="Z465" i="7"/>
  <c r="Y465" i="7"/>
  <c r="X465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K465" i="7"/>
  <c r="J465" i="7"/>
  <c r="I465" i="7"/>
  <c r="H465" i="7"/>
  <c r="G465" i="7"/>
  <c r="F465" i="7"/>
  <c r="E465" i="7"/>
  <c r="D465" i="7"/>
  <c r="C465" i="7"/>
  <c r="B465" i="7"/>
  <c r="A465" i="7"/>
  <c r="Z464" i="7"/>
  <c r="Y464" i="7"/>
  <c r="X464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F464" i="7"/>
  <c r="E464" i="7"/>
  <c r="D464" i="7"/>
  <c r="C464" i="7"/>
  <c r="B464" i="7"/>
  <c r="A464" i="7"/>
  <c r="Z463" i="7"/>
  <c r="Y463" i="7"/>
  <c r="X463" i="7"/>
  <c r="W463" i="7"/>
  <c r="V463" i="7"/>
  <c r="U463" i="7"/>
  <c r="T463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A463" i="7"/>
  <c r="Z462" i="7"/>
  <c r="Y462" i="7"/>
  <c r="X462" i="7"/>
  <c r="W462" i="7"/>
  <c r="V462" i="7"/>
  <c r="U462" i="7"/>
  <c r="T462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A462" i="7"/>
  <c r="Z461" i="7"/>
  <c r="Y461" i="7"/>
  <c r="X461" i="7"/>
  <c r="W461" i="7"/>
  <c r="V461" i="7"/>
  <c r="U461" i="7"/>
  <c r="T461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A461" i="7"/>
  <c r="Z460" i="7"/>
  <c r="Y460" i="7"/>
  <c r="X460" i="7"/>
  <c r="W460" i="7"/>
  <c r="V460" i="7"/>
  <c r="U460" i="7"/>
  <c r="T460" i="7"/>
  <c r="S460" i="7"/>
  <c r="R460" i="7"/>
  <c r="Q460" i="7"/>
  <c r="P460" i="7"/>
  <c r="O460" i="7"/>
  <c r="N460" i="7"/>
  <c r="M460" i="7"/>
  <c r="L460" i="7"/>
  <c r="K460" i="7"/>
  <c r="J460" i="7"/>
  <c r="I460" i="7"/>
  <c r="H460" i="7"/>
  <c r="G460" i="7"/>
  <c r="F460" i="7"/>
  <c r="E460" i="7"/>
  <c r="D460" i="7"/>
  <c r="C460" i="7"/>
  <c r="B460" i="7"/>
  <c r="A460" i="7"/>
  <c r="Z459" i="7"/>
  <c r="Y459" i="7"/>
  <c r="X459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F459" i="7"/>
  <c r="E459" i="7"/>
  <c r="D459" i="7"/>
  <c r="C459" i="7"/>
  <c r="B459" i="7"/>
  <c r="A459" i="7"/>
  <c r="Z458" i="7"/>
  <c r="Y458" i="7"/>
  <c r="X458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A458" i="7"/>
  <c r="Z457" i="7"/>
  <c r="Y457" i="7"/>
  <c r="X457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A457" i="7"/>
  <c r="Z456" i="7"/>
  <c r="Y456" i="7"/>
  <c r="X456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A456" i="7"/>
  <c r="Z455" i="7"/>
  <c r="Y455" i="7"/>
  <c r="X455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K455" i="7"/>
  <c r="J455" i="7"/>
  <c r="I455" i="7"/>
  <c r="H455" i="7"/>
  <c r="G455" i="7"/>
  <c r="F455" i="7"/>
  <c r="E455" i="7"/>
  <c r="D455" i="7"/>
  <c r="C455" i="7"/>
  <c r="B455" i="7"/>
  <c r="A455" i="7"/>
  <c r="Z454" i="7"/>
  <c r="Y454" i="7"/>
  <c r="X454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K454" i="7"/>
  <c r="J454" i="7"/>
  <c r="I454" i="7"/>
  <c r="H454" i="7"/>
  <c r="G454" i="7"/>
  <c r="F454" i="7"/>
  <c r="E454" i="7"/>
  <c r="D454" i="7"/>
  <c r="C454" i="7"/>
  <c r="B454" i="7"/>
  <c r="A454" i="7"/>
  <c r="Z453" i="7"/>
  <c r="Y453" i="7"/>
  <c r="X453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A453" i="7"/>
  <c r="Z452" i="7"/>
  <c r="Y452" i="7"/>
  <c r="X452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A452" i="7"/>
  <c r="Z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A451" i="7"/>
  <c r="Z450" i="7"/>
  <c r="Y450" i="7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A450" i="7"/>
  <c r="Z449" i="7"/>
  <c r="Y449" i="7"/>
  <c r="X449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A449" i="7"/>
  <c r="Z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A448" i="7"/>
  <c r="Z447" i="7"/>
  <c r="Y447" i="7"/>
  <c r="X447" i="7"/>
  <c r="W447" i="7"/>
  <c r="V447" i="7"/>
  <c r="U447" i="7"/>
  <c r="T447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A447" i="7"/>
  <c r="Z446" i="7"/>
  <c r="Y446" i="7"/>
  <c r="X446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A446" i="7"/>
  <c r="Z445" i="7"/>
  <c r="Y445" i="7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A445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A444" i="7"/>
  <c r="Z443" i="7"/>
  <c r="Y443" i="7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A443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A442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A441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A440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A439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A438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A437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A436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A435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A434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3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G432" i="7"/>
  <c r="F432" i="7"/>
  <c r="E432" i="7"/>
  <c r="D432" i="7"/>
  <c r="C432" i="7"/>
  <c r="B432" i="7"/>
  <c r="A432" i="7"/>
  <c r="Z431" i="7"/>
  <c r="Y431" i="7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A431" i="7"/>
  <c r="Z430" i="7"/>
  <c r="Y430" i="7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A430" i="7"/>
  <c r="Z429" i="7"/>
  <c r="Y429" i="7"/>
  <c r="X429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A429" i="7"/>
  <c r="Z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A428" i="7"/>
  <c r="Z427" i="7"/>
  <c r="Y427" i="7"/>
  <c r="X427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A427" i="7"/>
  <c r="Z426" i="7"/>
  <c r="Y426" i="7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A426" i="7"/>
  <c r="Z425" i="7"/>
  <c r="Y425" i="7"/>
  <c r="X425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A425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A424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A423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A422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A421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A420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A419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A418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A417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A411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10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C409" i="7"/>
  <c r="B409" i="7"/>
  <c r="A409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C408" i="7"/>
  <c r="B408" i="7"/>
  <c r="A408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A407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A406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A405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A404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A403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A402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A401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A400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A399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A398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A397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A396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A395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A394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A393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A392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A391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A390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A389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A388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A387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A386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A385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A384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A383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A382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A381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A380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A379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A378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A377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A376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A375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A374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A373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A372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A371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A370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A369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A368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A367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A366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A365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A364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A363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A362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A361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B360" i="7"/>
  <c r="A360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G359" i="7"/>
  <c r="F359" i="7"/>
  <c r="E359" i="7"/>
  <c r="D359" i="7"/>
  <c r="C359" i="7"/>
  <c r="B359" i="7"/>
  <c r="A359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A358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B357" i="7"/>
  <c r="A357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B356" i="7"/>
  <c r="A356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G355" i="7"/>
  <c r="F355" i="7"/>
  <c r="E355" i="7"/>
  <c r="D355" i="7"/>
  <c r="C355" i="7"/>
  <c r="B355" i="7"/>
  <c r="A355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G354" i="7"/>
  <c r="F354" i="7"/>
  <c r="E354" i="7"/>
  <c r="D354" i="7"/>
  <c r="C354" i="7"/>
  <c r="B354" i="7"/>
  <c r="A354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A353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A352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A351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A350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A349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A348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A347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A346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A345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A344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A343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A342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A341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A340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A339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A338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A337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A336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G335" i="7"/>
  <c r="F335" i="7"/>
  <c r="E335" i="7"/>
  <c r="D335" i="7"/>
  <c r="C335" i="7"/>
  <c r="B335" i="7"/>
  <c r="A335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A334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A333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A332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A331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A330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A329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A328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G327" i="7"/>
  <c r="F327" i="7"/>
  <c r="E327" i="7"/>
  <c r="D327" i="7"/>
  <c r="C327" i="7"/>
  <c r="B327" i="7"/>
  <c r="A327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G326" i="7"/>
  <c r="F326" i="7"/>
  <c r="E326" i="7"/>
  <c r="D326" i="7"/>
  <c r="C326" i="7"/>
  <c r="B326" i="7"/>
  <c r="A326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A325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A324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A323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A322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A321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A320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A319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A318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A317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A316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A315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A314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A313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A312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A311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A310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A309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A308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A307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A306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A305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A304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A303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A302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A301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A300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A299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A298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A290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A289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A288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A287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A286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A285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A284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A283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A282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A281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A280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A279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278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254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A253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A252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A251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A250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A249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A248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A247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A246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A245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244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A243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A242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A241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A240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239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A234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A233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A232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A231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A230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A229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A228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A227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A226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225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B224" i="7"/>
  <c r="A224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A223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A222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A221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220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A219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218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A217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216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A215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A214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A213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A212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A211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A210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A209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A208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A207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A206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A205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A204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A203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202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B201" i="7"/>
  <c r="A201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B200" i="7"/>
  <c r="A200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A199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A198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A197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A196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A195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A194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A193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A192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A191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A190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A189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A188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A187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A186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A185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A184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A183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A182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A181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A180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179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B178" i="7"/>
  <c r="A178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A177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A176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A175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A174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A173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A172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A171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170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A169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A168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A167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A166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A165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A164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A163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A162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A161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A160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A159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158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A157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A156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A155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A154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A153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A152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A151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A150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A149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A148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A147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146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5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A144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A143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A142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1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A140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A139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A138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A137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A136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A135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A134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A133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A132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131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A130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B129" i="7"/>
  <c r="A129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A128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A127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A126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A125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A124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A123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A122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A121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A120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A119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A118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A117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A115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A114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A113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A112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A111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A110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A109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A108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A107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A106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105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104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A103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A102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A101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100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A99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98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97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96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95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94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93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92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91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90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89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88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87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86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85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84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83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82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81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80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79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78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77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76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75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74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73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72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1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70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69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68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63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50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T42" i="7"/>
  <c r="S42" i="7"/>
  <c r="R42" i="7"/>
  <c r="Q42" i="7"/>
  <c r="P42" i="7"/>
  <c r="N42" i="7"/>
  <c r="M42" i="7"/>
  <c r="K42" i="7"/>
  <c r="J42" i="7"/>
  <c r="I42" i="7"/>
  <c r="H42" i="7"/>
  <c r="G42" i="7"/>
  <c r="F42" i="7"/>
  <c r="E42" i="7"/>
  <c r="D42" i="7"/>
  <c r="C42" i="7"/>
  <c r="B42" i="7"/>
  <c r="A42" i="7"/>
  <c r="T41" i="7"/>
  <c r="S41" i="7"/>
  <c r="R41" i="7"/>
  <c r="Q41" i="7"/>
  <c r="P41" i="7"/>
  <c r="N41" i="7"/>
  <c r="M41" i="7"/>
  <c r="K41" i="7"/>
  <c r="J41" i="7"/>
  <c r="I41" i="7"/>
  <c r="H41" i="7"/>
  <c r="G41" i="7"/>
  <c r="F41" i="7"/>
  <c r="E41" i="7"/>
  <c r="D41" i="7"/>
  <c r="C41" i="7"/>
  <c r="B41" i="7"/>
  <c r="A41" i="7"/>
  <c r="T40" i="7"/>
  <c r="S40" i="7"/>
  <c r="R40" i="7"/>
  <c r="Q40" i="7"/>
  <c r="P40" i="7"/>
  <c r="N40" i="7"/>
  <c r="M40" i="7"/>
  <c r="K40" i="7"/>
  <c r="J40" i="7"/>
  <c r="I40" i="7"/>
  <c r="H40" i="7"/>
  <c r="G40" i="7"/>
  <c r="F40" i="7"/>
  <c r="E40" i="7"/>
  <c r="D40" i="7"/>
  <c r="C40" i="7"/>
  <c r="B40" i="7"/>
  <c r="A40" i="7"/>
  <c r="T39" i="7"/>
  <c r="S39" i="7"/>
  <c r="R39" i="7"/>
  <c r="Q39" i="7"/>
  <c r="P39" i="7"/>
  <c r="N39" i="7"/>
  <c r="M39" i="7"/>
  <c r="K39" i="7"/>
  <c r="J39" i="7"/>
  <c r="I39" i="7"/>
  <c r="H39" i="7"/>
  <c r="G39" i="7"/>
  <c r="F39" i="7"/>
  <c r="E39" i="7"/>
  <c r="D39" i="7"/>
  <c r="C39" i="7"/>
  <c r="B39" i="7"/>
  <c r="A39" i="7"/>
  <c r="T38" i="7"/>
  <c r="S38" i="7"/>
  <c r="R38" i="7"/>
  <c r="Q38" i="7"/>
  <c r="P38" i="7"/>
  <c r="N38" i="7"/>
  <c r="M38" i="7"/>
  <c r="K38" i="7"/>
  <c r="J38" i="7"/>
  <c r="I38" i="7"/>
  <c r="H38" i="7"/>
  <c r="G38" i="7"/>
  <c r="F38" i="7"/>
  <c r="E38" i="7"/>
  <c r="D38" i="7"/>
  <c r="C38" i="7"/>
  <c r="B38" i="7"/>
  <c r="A38" i="7"/>
  <c r="T37" i="7"/>
  <c r="S37" i="7"/>
  <c r="R37" i="7"/>
  <c r="Q37" i="7"/>
  <c r="P37" i="7"/>
  <c r="N37" i="7"/>
  <c r="M37" i="7"/>
  <c r="K37" i="7"/>
  <c r="J37" i="7"/>
  <c r="I37" i="7"/>
  <c r="H37" i="7"/>
  <c r="G37" i="7"/>
  <c r="F37" i="7"/>
  <c r="E37" i="7"/>
  <c r="D37" i="7"/>
  <c r="C37" i="7"/>
  <c r="B37" i="7"/>
  <c r="A37" i="7"/>
  <c r="T36" i="7"/>
  <c r="S36" i="7"/>
  <c r="R36" i="7"/>
  <c r="Q36" i="7"/>
  <c r="P36" i="7"/>
  <c r="N36" i="7"/>
  <c r="M36" i="7"/>
  <c r="K36" i="7"/>
  <c r="J36" i="7"/>
  <c r="I36" i="7"/>
  <c r="H36" i="7"/>
  <c r="G36" i="7"/>
  <c r="F36" i="7"/>
  <c r="E36" i="7"/>
  <c r="D36" i="7"/>
  <c r="C36" i="7"/>
  <c r="B36" i="7"/>
  <c r="A36" i="7"/>
  <c r="T35" i="7"/>
  <c r="S35" i="7"/>
  <c r="R35" i="7"/>
  <c r="Q35" i="7"/>
  <c r="P35" i="7"/>
  <c r="N35" i="7"/>
  <c r="M35" i="7"/>
  <c r="K35" i="7"/>
  <c r="J35" i="7"/>
  <c r="I35" i="7"/>
  <c r="H35" i="7"/>
  <c r="G35" i="7"/>
  <c r="F35" i="7"/>
  <c r="E35" i="7"/>
  <c r="D35" i="7"/>
  <c r="C35" i="7"/>
  <c r="B35" i="7"/>
  <c r="A35" i="7"/>
  <c r="T34" i="7"/>
  <c r="S34" i="7"/>
  <c r="R34" i="7"/>
  <c r="Q34" i="7"/>
  <c r="P34" i="7"/>
  <c r="N34" i="7"/>
  <c r="M34" i="7"/>
  <c r="K34" i="7"/>
  <c r="J34" i="7"/>
  <c r="I34" i="7"/>
  <c r="H34" i="7"/>
  <c r="G34" i="7"/>
  <c r="F34" i="7"/>
  <c r="E34" i="7"/>
  <c r="D34" i="7"/>
  <c r="C34" i="7"/>
  <c r="B34" i="7"/>
  <c r="A34" i="7"/>
  <c r="T33" i="7"/>
  <c r="S33" i="7"/>
  <c r="R33" i="7"/>
  <c r="Q33" i="7"/>
  <c r="P33" i="7"/>
  <c r="N33" i="7"/>
  <c r="M33" i="7"/>
  <c r="K33" i="7"/>
  <c r="J33" i="7"/>
  <c r="I33" i="7"/>
  <c r="H33" i="7"/>
  <c r="G33" i="7"/>
  <c r="F33" i="7"/>
  <c r="E33" i="7"/>
  <c r="D33" i="7"/>
  <c r="C33" i="7"/>
  <c r="B33" i="7"/>
  <c r="A33" i="7"/>
  <c r="T32" i="7"/>
  <c r="S32" i="7"/>
  <c r="R32" i="7"/>
  <c r="Q32" i="7"/>
  <c r="P32" i="7"/>
  <c r="N32" i="7"/>
  <c r="M32" i="7"/>
  <c r="K32" i="7"/>
  <c r="J32" i="7"/>
  <c r="I32" i="7"/>
  <c r="H32" i="7"/>
  <c r="G32" i="7"/>
  <c r="F32" i="7"/>
  <c r="E32" i="7"/>
  <c r="D32" i="7"/>
  <c r="C32" i="7"/>
  <c r="B32" i="7"/>
  <c r="A32" i="7"/>
  <c r="T31" i="7"/>
  <c r="S31" i="7"/>
  <c r="R31" i="7"/>
  <c r="Q31" i="7"/>
  <c r="P31" i="7"/>
  <c r="N31" i="7"/>
  <c r="M31" i="7"/>
  <c r="K31" i="7"/>
  <c r="J31" i="7"/>
  <c r="I31" i="7"/>
  <c r="H31" i="7"/>
  <c r="G31" i="7"/>
  <c r="F31" i="7"/>
  <c r="E31" i="7"/>
  <c r="D31" i="7"/>
  <c r="C31" i="7"/>
  <c r="B31" i="7"/>
  <c r="A31" i="7"/>
  <c r="T30" i="7"/>
  <c r="S30" i="7"/>
  <c r="R30" i="7"/>
  <c r="Q30" i="7"/>
  <c r="P30" i="7"/>
  <c r="N30" i="7"/>
  <c r="M30" i="7"/>
  <c r="K30" i="7"/>
  <c r="J30" i="7"/>
  <c r="I30" i="7"/>
  <c r="H30" i="7"/>
  <c r="G30" i="7"/>
  <c r="F30" i="7"/>
  <c r="E30" i="7"/>
  <c r="D30" i="7"/>
  <c r="C30" i="7"/>
  <c r="B30" i="7"/>
  <c r="A30" i="7"/>
  <c r="T29" i="7"/>
  <c r="S29" i="7"/>
  <c r="R29" i="7"/>
  <c r="Q29" i="7"/>
  <c r="P29" i="7"/>
  <c r="N29" i="7"/>
  <c r="M29" i="7"/>
  <c r="K29" i="7"/>
  <c r="J29" i="7"/>
  <c r="I29" i="7"/>
  <c r="H29" i="7"/>
  <c r="G29" i="7"/>
  <c r="F29" i="7"/>
  <c r="E29" i="7"/>
  <c r="D29" i="7"/>
  <c r="C29" i="7"/>
  <c r="B29" i="7"/>
  <c r="A29" i="7"/>
  <c r="T28" i="7"/>
  <c r="S28" i="7"/>
  <c r="R28" i="7"/>
  <c r="Q28" i="7"/>
  <c r="P28" i="7"/>
  <c r="N28" i="7"/>
  <c r="M28" i="7"/>
  <c r="K28" i="7"/>
  <c r="J28" i="7"/>
  <c r="I28" i="7"/>
  <c r="H28" i="7"/>
  <c r="G28" i="7"/>
  <c r="F28" i="7"/>
  <c r="E28" i="7"/>
  <c r="D28" i="7"/>
  <c r="C28" i="7"/>
  <c r="B28" i="7"/>
  <c r="A28" i="7"/>
  <c r="T27" i="7"/>
  <c r="S27" i="7"/>
  <c r="R27" i="7"/>
  <c r="Q27" i="7"/>
  <c r="P27" i="7"/>
  <c r="N27" i="7"/>
  <c r="M27" i="7"/>
  <c r="K27" i="7"/>
  <c r="J27" i="7"/>
  <c r="I27" i="7"/>
  <c r="H27" i="7"/>
  <c r="G27" i="7"/>
  <c r="F27" i="7"/>
  <c r="E27" i="7"/>
  <c r="D27" i="7"/>
  <c r="C27" i="7"/>
  <c r="B27" i="7"/>
  <c r="A27" i="7"/>
  <c r="T26" i="7"/>
  <c r="S26" i="7"/>
  <c r="R26" i="7"/>
  <c r="Q26" i="7"/>
  <c r="P26" i="7"/>
  <c r="N26" i="7"/>
  <c r="M26" i="7"/>
  <c r="K26" i="7"/>
  <c r="J26" i="7"/>
  <c r="I26" i="7"/>
  <c r="H26" i="7"/>
  <c r="G26" i="7"/>
  <c r="F26" i="7"/>
  <c r="E26" i="7"/>
  <c r="D26" i="7"/>
  <c r="C26" i="7"/>
  <c r="B26" i="7"/>
  <c r="A26" i="7"/>
  <c r="T25" i="7"/>
  <c r="S25" i="7"/>
  <c r="R25" i="7"/>
  <c r="Q25" i="7"/>
  <c r="P25" i="7"/>
  <c r="N25" i="7"/>
  <c r="M25" i="7"/>
  <c r="K25" i="7"/>
  <c r="J25" i="7"/>
  <c r="I25" i="7"/>
  <c r="H25" i="7"/>
  <c r="G25" i="7"/>
  <c r="F25" i="7"/>
  <c r="E25" i="7"/>
  <c r="D25" i="7"/>
  <c r="C25" i="7"/>
  <c r="B25" i="7"/>
  <c r="A25" i="7"/>
  <c r="T24" i="7"/>
  <c r="S24" i="7"/>
  <c r="R24" i="7"/>
  <c r="Q24" i="7"/>
  <c r="P24" i="7"/>
  <c r="N24" i="7"/>
  <c r="M24" i="7"/>
  <c r="K24" i="7"/>
  <c r="J24" i="7"/>
  <c r="I24" i="7"/>
  <c r="H24" i="7"/>
  <c r="G24" i="7"/>
  <c r="F24" i="7"/>
  <c r="E24" i="7"/>
  <c r="D24" i="7"/>
  <c r="C24" i="7"/>
  <c r="B24" i="7"/>
  <c r="A24" i="7"/>
  <c r="T23" i="7"/>
  <c r="S23" i="7"/>
  <c r="R23" i="7"/>
  <c r="Q23" i="7"/>
  <c r="P23" i="7"/>
  <c r="N23" i="7"/>
  <c r="M23" i="7"/>
  <c r="K23" i="7"/>
  <c r="J23" i="7"/>
  <c r="I23" i="7"/>
  <c r="H23" i="7"/>
  <c r="G23" i="7"/>
  <c r="F23" i="7"/>
  <c r="E23" i="7"/>
  <c r="D23" i="7"/>
  <c r="C23" i="7"/>
  <c r="B23" i="7"/>
  <c r="A23" i="7"/>
  <c r="T22" i="7"/>
  <c r="S22" i="7"/>
  <c r="R22" i="7"/>
  <c r="Q22" i="7"/>
  <c r="P22" i="7"/>
  <c r="N22" i="7"/>
  <c r="M22" i="7"/>
  <c r="K22" i="7"/>
  <c r="J22" i="7"/>
  <c r="I22" i="7"/>
  <c r="H22" i="7"/>
  <c r="G22" i="7"/>
  <c r="F22" i="7"/>
  <c r="E22" i="7"/>
  <c r="D22" i="7"/>
  <c r="C22" i="7"/>
  <c r="B22" i="7"/>
  <c r="A22" i="7"/>
  <c r="T21" i="7"/>
  <c r="S21" i="7"/>
  <c r="R21" i="7"/>
  <c r="Q21" i="7"/>
  <c r="P21" i="7"/>
  <c r="N21" i="7"/>
  <c r="M21" i="7"/>
  <c r="K21" i="7"/>
  <c r="J21" i="7"/>
  <c r="I21" i="7"/>
  <c r="H21" i="7"/>
  <c r="G21" i="7"/>
  <c r="F21" i="7"/>
  <c r="E21" i="7"/>
  <c r="D21" i="7"/>
  <c r="C21" i="7"/>
  <c r="B21" i="7"/>
  <c r="A21" i="7"/>
  <c r="T20" i="7"/>
  <c r="S20" i="7"/>
  <c r="R20" i="7"/>
  <c r="Q20" i="7"/>
  <c r="P20" i="7"/>
  <c r="N20" i="7"/>
  <c r="M20" i="7"/>
  <c r="K20" i="7"/>
  <c r="J20" i="7"/>
  <c r="I20" i="7"/>
  <c r="H20" i="7"/>
  <c r="G20" i="7"/>
  <c r="F20" i="7"/>
  <c r="E20" i="7"/>
  <c r="D20" i="7"/>
  <c r="C20" i="7"/>
  <c r="B20" i="7"/>
  <c r="A20" i="7"/>
  <c r="T19" i="7"/>
  <c r="S19" i="7"/>
  <c r="R19" i="7"/>
  <c r="Q19" i="7"/>
  <c r="P19" i="7"/>
  <c r="N19" i="7"/>
  <c r="M19" i="7"/>
  <c r="K19" i="7"/>
  <c r="J19" i="7"/>
  <c r="I19" i="7"/>
  <c r="H19" i="7"/>
  <c r="G19" i="7"/>
  <c r="F19" i="7"/>
  <c r="E19" i="7"/>
  <c r="D19" i="7"/>
  <c r="C19" i="7"/>
  <c r="B19" i="7"/>
  <c r="A19" i="7"/>
  <c r="T18" i="7"/>
  <c r="S18" i="7"/>
  <c r="R18" i="7"/>
  <c r="Q18" i="7"/>
  <c r="P18" i="7"/>
  <c r="N18" i="7"/>
  <c r="M18" i="7"/>
  <c r="K18" i="7"/>
  <c r="J18" i="7"/>
  <c r="I18" i="7"/>
  <c r="H18" i="7"/>
  <c r="G18" i="7"/>
  <c r="F18" i="7"/>
  <c r="E18" i="7"/>
  <c r="D18" i="7"/>
  <c r="C18" i="7"/>
  <c r="B18" i="7"/>
  <c r="A18" i="7"/>
  <c r="T17" i="7"/>
  <c r="S17" i="7"/>
  <c r="R17" i="7"/>
  <c r="Q17" i="7"/>
  <c r="P17" i="7"/>
  <c r="N17" i="7"/>
  <c r="M17" i="7"/>
  <c r="K17" i="7"/>
  <c r="J17" i="7"/>
  <c r="I17" i="7"/>
  <c r="H17" i="7"/>
  <c r="G17" i="7"/>
  <c r="F17" i="7"/>
  <c r="E17" i="7"/>
  <c r="D17" i="7"/>
  <c r="C17" i="7"/>
  <c r="B17" i="7"/>
  <c r="A17" i="7"/>
  <c r="T16" i="7"/>
  <c r="S16" i="7"/>
  <c r="R16" i="7"/>
  <c r="Q16" i="7"/>
  <c r="P16" i="7"/>
  <c r="N16" i="7"/>
  <c r="M16" i="7"/>
  <c r="K16" i="7"/>
  <c r="J16" i="7"/>
  <c r="I16" i="7"/>
  <c r="H16" i="7"/>
  <c r="G16" i="7"/>
  <c r="F16" i="7"/>
  <c r="E16" i="7"/>
  <c r="D16" i="7"/>
  <c r="C16" i="7"/>
  <c r="B16" i="7"/>
  <c r="A16" i="7"/>
  <c r="T15" i="7"/>
  <c r="S15" i="7"/>
  <c r="R15" i="7"/>
  <c r="Q15" i="7"/>
  <c r="P15" i="7"/>
  <c r="N15" i="7"/>
  <c r="M15" i="7"/>
  <c r="K15" i="7"/>
  <c r="J15" i="7"/>
  <c r="I15" i="7"/>
  <c r="H15" i="7"/>
  <c r="G15" i="7"/>
  <c r="F15" i="7"/>
  <c r="E15" i="7"/>
  <c r="D15" i="7"/>
  <c r="C15" i="7"/>
  <c r="B15" i="7"/>
  <c r="A15" i="7"/>
  <c r="T14" i="7"/>
  <c r="S14" i="7"/>
  <c r="R14" i="7"/>
  <c r="Q14" i="7"/>
  <c r="P14" i="7"/>
  <c r="N14" i="7"/>
  <c r="M14" i="7"/>
  <c r="K14" i="7"/>
  <c r="J14" i="7"/>
  <c r="I14" i="7"/>
  <c r="H14" i="7"/>
  <c r="G14" i="7"/>
  <c r="F14" i="7"/>
  <c r="E14" i="7"/>
  <c r="D14" i="7"/>
  <c r="C14" i="7"/>
  <c r="B14" i="7"/>
  <c r="A14" i="7"/>
  <c r="T13" i="7"/>
  <c r="S13" i="7"/>
  <c r="R13" i="7"/>
  <c r="Q13" i="7"/>
  <c r="P13" i="7"/>
  <c r="N13" i="7"/>
  <c r="M13" i="7"/>
  <c r="K13" i="7"/>
  <c r="J13" i="7"/>
  <c r="I13" i="7"/>
  <c r="H13" i="7"/>
  <c r="G13" i="7"/>
  <c r="F13" i="7"/>
  <c r="E13" i="7"/>
  <c r="D13" i="7"/>
  <c r="C13" i="7"/>
  <c r="B13" i="7"/>
  <c r="A13" i="7"/>
  <c r="T12" i="7"/>
  <c r="S12" i="7"/>
  <c r="R12" i="7"/>
  <c r="Q12" i="7"/>
  <c r="P12" i="7"/>
  <c r="N12" i="7"/>
  <c r="M12" i="7"/>
  <c r="K12" i="7"/>
  <c r="J12" i="7"/>
  <c r="I12" i="7"/>
  <c r="H12" i="7"/>
  <c r="G12" i="7"/>
  <c r="F12" i="7"/>
  <c r="E12" i="7"/>
  <c r="D12" i="7"/>
  <c r="C12" i="7"/>
  <c r="B12" i="7"/>
  <c r="A12" i="7"/>
  <c r="T11" i="7"/>
  <c r="S11" i="7"/>
  <c r="R11" i="7"/>
  <c r="Q11" i="7"/>
  <c r="P11" i="7"/>
  <c r="N11" i="7"/>
  <c r="M11" i="7"/>
  <c r="K11" i="7"/>
  <c r="J11" i="7"/>
  <c r="I11" i="7"/>
  <c r="H11" i="7"/>
  <c r="G11" i="7"/>
  <c r="F11" i="7"/>
  <c r="E11" i="7"/>
  <c r="D11" i="7"/>
  <c r="C11" i="7"/>
  <c r="B11" i="7"/>
  <c r="A11" i="7"/>
  <c r="I11" i="1" s="1"/>
  <c r="T10" i="7"/>
  <c r="S10" i="7"/>
  <c r="R10" i="7"/>
  <c r="Q10" i="7"/>
  <c r="P10" i="7"/>
  <c r="N10" i="7"/>
  <c r="M10" i="7"/>
  <c r="K10" i="7"/>
  <c r="J10" i="7"/>
  <c r="I10" i="7"/>
  <c r="H10" i="7"/>
  <c r="G10" i="7"/>
  <c r="F10" i="7"/>
  <c r="E10" i="7"/>
  <c r="D10" i="7"/>
  <c r="C10" i="7"/>
  <c r="B10" i="7"/>
  <c r="A10" i="7"/>
  <c r="I10" i="1" s="1"/>
  <c r="T9" i="7"/>
  <c r="S9" i="7"/>
  <c r="R9" i="7"/>
  <c r="Q9" i="7"/>
  <c r="P9" i="7"/>
  <c r="N9" i="7"/>
  <c r="M9" i="7"/>
  <c r="K9" i="7"/>
  <c r="J9" i="7"/>
  <c r="I9" i="7"/>
  <c r="H9" i="7"/>
  <c r="G9" i="7"/>
  <c r="F9" i="7"/>
  <c r="E9" i="7"/>
  <c r="D9" i="7"/>
  <c r="C9" i="7"/>
  <c r="B9" i="7"/>
  <c r="A9" i="7"/>
  <c r="I9" i="1" s="1"/>
  <c r="T8" i="7"/>
  <c r="S8" i="7"/>
  <c r="R8" i="7"/>
  <c r="Q8" i="7"/>
  <c r="P8" i="7"/>
  <c r="N8" i="7"/>
  <c r="M8" i="7"/>
  <c r="K8" i="7"/>
  <c r="J8" i="7"/>
  <c r="I8" i="7"/>
  <c r="H8" i="7"/>
  <c r="G8" i="7"/>
  <c r="F8" i="7"/>
  <c r="E8" i="7"/>
  <c r="D8" i="7"/>
  <c r="C8" i="7"/>
  <c r="B8" i="7"/>
  <c r="A8" i="7"/>
  <c r="H8" i="1" s="1"/>
  <c r="T7" i="7"/>
  <c r="S7" i="7"/>
  <c r="R7" i="7"/>
  <c r="Q7" i="7"/>
  <c r="P7" i="7"/>
  <c r="N7" i="7"/>
  <c r="M7" i="7"/>
  <c r="K7" i="7"/>
  <c r="J7" i="7"/>
  <c r="I7" i="7"/>
  <c r="H7" i="7"/>
  <c r="G7" i="7"/>
  <c r="F7" i="7"/>
  <c r="E7" i="7"/>
  <c r="D7" i="7"/>
  <c r="C7" i="7"/>
  <c r="B7" i="7"/>
  <c r="A7" i="7"/>
  <c r="I7" i="1" s="1"/>
  <c r="T6" i="7"/>
  <c r="S6" i="7"/>
  <c r="R6" i="7"/>
  <c r="Q6" i="7"/>
  <c r="P6" i="7"/>
  <c r="N6" i="7"/>
  <c r="M6" i="7"/>
  <c r="K6" i="7"/>
  <c r="J6" i="7"/>
  <c r="I6" i="7"/>
  <c r="H6" i="7"/>
  <c r="G6" i="7"/>
  <c r="F6" i="7"/>
  <c r="E6" i="7"/>
  <c r="D6" i="7"/>
  <c r="C6" i="7"/>
  <c r="B6" i="7"/>
  <c r="A6" i="7"/>
  <c r="I6" i="1" s="1"/>
  <c r="T5" i="7"/>
  <c r="S5" i="7"/>
  <c r="R5" i="7"/>
  <c r="Q5" i="7"/>
  <c r="P5" i="7"/>
  <c r="N5" i="7"/>
  <c r="M5" i="7"/>
  <c r="K5" i="7"/>
  <c r="J5" i="7"/>
  <c r="I5" i="7"/>
  <c r="H5" i="7"/>
  <c r="G5" i="7"/>
  <c r="F5" i="7"/>
  <c r="E5" i="7"/>
  <c r="D5" i="7"/>
  <c r="C5" i="7"/>
  <c r="B5" i="7"/>
  <c r="A5" i="7"/>
  <c r="I5" i="1" s="1"/>
  <c r="T4" i="7"/>
  <c r="S4" i="7"/>
  <c r="R4" i="7"/>
  <c r="Q4" i="7"/>
  <c r="P4" i="7"/>
  <c r="N4" i="7"/>
  <c r="M4" i="7"/>
  <c r="K4" i="7"/>
  <c r="J4" i="7"/>
  <c r="I4" i="7"/>
  <c r="H4" i="7"/>
  <c r="G4" i="7"/>
  <c r="F4" i="7"/>
  <c r="E4" i="7"/>
  <c r="D4" i="7"/>
  <c r="C4" i="7"/>
  <c r="B4" i="7"/>
  <c r="A4" i="7"/>
  <c r="I4" i="1" s="1"/>
  <c r="T3" i="7"/>
  <c r="S3" i="7"/>
  <c r="R3" i="7"/>
  <c r="Q3" i="7"/>
  <c r="P3" i="7"/>
  <c r="N3" i="7"/>
  <c r="M3" i="7"/>
  <c r="K3" i="7"/>
  <c r="J3" i="7"/>
  <c r="I3" i="7"/>
  <c r="H3" i="7"/>
  <c r="G3" i="7"/>
  <c r="F3" i="7"/>
  <c r="E3" i="7"/>
  <c r="D3" i="7"/>
  <c r="C3" i="7"/>
  <c r="B3" i="7"/>
  <c r="A3" i="7"/>
  <c r="T2" i="7"/>
  <c r="S2" i="7"/>
  <c r="R2" i="7"/>
  <c r="Q2" i="7"/>
  <c r="P2" i="7"/>
  <c r="N2" i="7"/>
  <c r="M2" i="7"/>
  <c r="K2" i="7"/>
  <c r="J2" i="7"/>
  <c r="I2" i="7"/>
  <c r="H2" i="7"/>
  <c r="G2" i="7"/>
  <c r="F2" i="7"/>
  <c r="E2" i="7"/>
  <c r="D2" i="7"/>
  <c r="AM2" i="3" s="1"/>
  <c r="C2" i="7"/>
  <c r="AL2" i="3" s="1"/>
  <c r="B2" i="7"/>
  <c r="A2" i="7"/>
  <c r="AN2" i="3" s="1"/>
  <c r="T1000" i="6"/>
  <c r="AA1000" i="6" s="1"/>
  <c r="J1000" i="6"/>
  <c r="T999" i="6"/>
  <c r="J999" i="6"/>
  <c r="T998" i="6"/>
  <c r="J998" i="6"/>
  <c r="T997" i="6"/>
  <c r="J997" i="6"/>
  <c r="T996" i="6"/>
  <c r="U996" i="6" s="1"/>
  <c r="J996" i="6"/>
  <c r="T995" i="6"/>
  <c r="U995" i="6" s="1"/>
  <c r="J995" i="6"/>
  <c r="T994" i="6"/>
  <c r="J994" i="6"/>
  <c r="Z994" i="6" s="1"/>
  <c r="T993" i="6"/>
  <c r="U993" i="6" s="1"/>
  <c r="J993" i="6"/>
  <c r="T992" i="6"/>
  <c r="J992" i="6"/>
  <c r="T991" i="6"/>
  <c r="U991" i="6" s="1"/>
  <c r="J991" i="6"/>
  <c r="K991" i="6" s="1"/>
  <c r="T990" i="6"/>
  <c r="J990" i="6"/>
  <c r="T989" i="6"/>
  <c r="J989" i="6"/>
  <c r="Z989" i="6" s="1"/>
  <c r="T988" i="6"/>
  <c r="AA988" i="6" s="1"/>
  <c r="J988" i="6"/>
  <c r="T987" i="6"/>
  <c r="U987" i="6" s="1"/>
  <c r="J987" i="6"/>
  <c r="T986" i="6"/>
  <c r="AA986" i="6" s="1"/>
  <c r="J986" i="6"/>
  <c r="T985" i="6"/>
  <c r="J985" i="6"/>
  <c r="T984" i="6"/>
  <c r="J984" i="6"/>
  <c r="Z984" i="6" s="1"/>
  <c r="T983" i="6"/>
  <c r="J983" i="6"/>
  <c r="T982" i="6"/>
  <c r="J982" i="6"/>
  <c r="Z982" i="6" s="1"/>
  <c r="T981" i="6"/>
  <c r="J981" i="6"/>
  <c r="K981" i="6" s="1"/>
  <c r="T980" i="6"/>
  <c r="J980" i="6"/>
  <c r="T979" i="6"/>
  <c r="J979" i="6"/>
  <c r="Z979" i="6" s="1"/>
  <c r="T978" i="6"/>
  <c r="J978" i="6"/>
  <c r="T977" i="6"/>
  <c r="U977" i="6" s="1"/>
  <c r="J977" i="6"/>
  <c r="T976" i="6"/>
  <c r="J976" i="6"/>
  <c r="T975" i="6"/>
  <c r="J975" i="6"/>
  <c r="T974" i="6"/>
  <c r="AA974" i="6" s="1"/>
  <c r="J974" i="6"/>
  <c r="T973" i="6"/>
  <c r="U973" i="6" s="1"/>
  <c r="J973" i="6"/>
  <c r="T972" i="6"/>
  <c r="AA972" i="6" s="1"/>
  <c r="J972" i="6"/>
  <c r="Z972" i="6" s="1"/>
  <c r="T971" i="6"/>
  <c r="AA971" i="6" s="1"/>
  <c r="J971" i="6"/>
  <c r="Z971" i="6" s="1"/>
  <c r="T970" i="6"/>
  <c r="U970" i="6" s="1"/>
  <c r="J970" i="6"/>
  <c r="Z970" i="6" s="1"/>
  <c r="T969" i="6"/>
  <c r="U969" i="6" s="1"/>
  <c r="J969" i="6"/>
  <c r="T968" i="6"/>
  <c r="J968" i="6"/>
  <c r="K968" i="6" s="1"/>
  <c r="T967" i="6"/>
  <c r="J967" i="6"/>
  <c r="T966" i="6"/>
  <c r="AA966" i="6" s="1"/>
  <c r="J966" i="6"/>
  <c r="K966" i="6" s="1"/>
  <c r="T965" i="6"/>
  <c r="AA965" i="6" s="1"/>
  <c r="J965" i="6"/>
  <c r="T964" i="6"/>
  <c r="AA964" i="6" s="1"/>
  <c r="J964" i="6"/>
  <c r="T963" i="6"/>
  <c r="J963" i="6"/>
  <c r="T962" i="6"/>
  <c r="J962" i="6"/>
  <c r="K962" i="6" s="1"/>
  <c r="T961" i="6"/>
  <c r="J961" i="6"/>
  <c r="Z961" i="6" s="1"/>
  <c r="T960" i="6"/>
  <c r="U960" i="6" s="1"/>
  <c r="J960" i="6"/>
  <c r="T959" i="6"/>
  <c r="J959" i="6"/>
  <c r="Z959" i="6" s="1"/>
  <c r="T958" i="6"/>
  <c r="U958" i="6" s="1"/>
  <c r="J958" i="6"/>
  <c r="K958" i="6" s="1"/>
  <c r="T957" i="6"/>
  <c r="AA957" i="6" s="1"/>
  <c r="J957" i="6"/>
  <c r="Z957" i="6" s="1"/>
  <c r="T956" i="6"/>
  <c r="U956" i="6" s="1"/>
  <c r="J956" i="6"/>
  <c r="T955" i="6"/>
  <c r="AA955" i="6" s="1"/>
  <c r="J955" i="6"/>
  <c r="T954" i="6"/>
  <c r="J954" i="6"/>
  <c r="T953" i="6"/>
  <c r="AA953" i="6" s="1"/>
  <c r="J953" i="6"/>
  <c r="K953" i="6" s="1"/>
  <c r="T952" i="6"/>
  <c r="J952" i="6"/>
  <c r="K952" i="6" s="1"/>
  <c r="T951" i="6"/>
  <c r="AA951" i="6" s="1"/>
  <c r="J951" i="6"/>
  <c r="K951" i="6" s="1"/>
  <c r="T950" i="6"/>
  <c r="U950" i="6" s="1"/>
  <c r="J950" i="6"/>
  <c r="Z950" i="6" s="1"/>
  <c r="T949" i="6"/>
  <c r="J949" i="6"/>
  <c r="K949" i="6" s="1"/>
  <c r="T948" i="6"/>
  <c r="U948" i="6" s="1"/>
  <c r="J948" i="6"/>
  <c r="T947" i="6"/>
  <c r="U947" i="6" s="1"/>
  <c r="J947" i="6"/>
  <c r="T946" i="6"/>
  <c r="AA946" i="6" s="1"/>
  <c r="J946" i="6"/>
  <c r="Z946" i="6" s="1"/>
  <c r="T945" i="6"/>
  <c r="AA945" i="6" s="1"/>
  <c r="J945" i="6"/>
  <c r="Z945" i="6" s="1"/>
  <c r="T944" i="6"/>
  <c r="U944" i="6" s="1"/>
  <c r="J944" i="6"/>
  <c r="Z944" i="6" s="1"/>
  <c r="T943" i="6"/>
  <c r="AA943" i="6" s="1"/>
  <c r="J943" i="6"/>
  <c r="T942" i="6"/>
  <c r="J942" i="6"/>
  <c r="Z942" i="6" s="1"/>
  <c r="T941" i="6"/>
  <c r="U941" i="6" s="1"/>
  <c r="J941" i="6"/>
  <c r="T940" i="6"/>
  <c r="J940" i="6"/>
  <c r="T939" i="6"/>
  <c r="AA939" i="6" s="1"/>
  <c r="J939" i="6"/>
  <c r="K939" i="6" s="1"/>
  <c r="T938" i="6"/>
  <c r="U938" i="6" s="1"/>
  <c r="J938" i="6"/>
  <c r="T937" i="6"/>
  <c r="U937" i="6" s="1"/>
  <c r="J937" i="6"/>
  <c r="Z937" i="6" s="1"/>
  <c r="T936" i="6"/>
  <c r="J936" i="6"/>
  <c r="Z936" i="6" s="1"/>
  <c r="T935" i="6"/>
  <c r="U935" i="6" s="1"/>
  <c r="J935" i="6"/>
  <c r="T934" i="6"/>
  <c r="U934" i="6" s="1"/>
  <c r="J934" i="6"/>
  <c r="T933" i="6"/>
  <c r="AA933" i="6" s="1"/>
  <c r="J933" i="6"/>
  <c r="Z933" i="6" s="1"/>
  <c r="T932" i="6"/>
  <c r="U932" i="6" s="1"/>
  <c r="J932" i="6"/>
  <c r="Z932" i="6" s="1"/>
  <c r="T931" i="6"/>
  <c r="U931" i="6" s="1"/>
  <c r="J931" i="6"/>
  <c r="K931" i="6" s="1"/>
  <c r="T930" i="6"/>
  <c r="U930" i="6" s="1"/>
  <c r="J930" i="6"/>
  <c r="T929" i="6"/>
  <c r="AA929" i="6" s="1"/>
  <c r="J929" i="6"/>
  <c r="K929" i="6" s="1"/>
  <c r="T928" i="6"/>
  <c r="J928" i="6"/>
  <c r="T927" i="6"/>
  <c r="AA927" i="6" s="1"/>
  <c r="J927" i="6"/>
  <c r="T926" i="6"/>
  <c r="J926" i="6"/>
  <c r="K926" i="6" s="1"/>
  <c r="T925" i="6"/>
  <c r="U925" i="6" s="1"/>
  <c r="J925" i="6"/>
  <c r="K925" i="6" s="1"/>
  <c r="T924" i="6"/>
  <c r="J924" i="6"/>
  <c r="T923" i="6"/>
  <c r="J923" i="6"/>
  <c r="K923" i="6" s="1"/>
  <c r="T922" i="6"/>
  <c r="J922" i="6"/>
  <c r="T921" i="6"/>
  <c r="AA921" i="6" s="1"/>
  <c r="J921" i="6"/>
  <c r="T920" i="6"/>
  <c r="AA920" i="6" s="1"/>
  <c r="J920" i="6"/>
  <c r="K920" i="6" s="1"/>
  <c r="T919" i="6"/>
  <c r="J919" i="6"/>
  <c r="T918" i="6"/>
  <c r="AA918" i="6" s="1"/>
  <c r="J918" i="6"/>
  <c r="T917" i="6"/>
  <c r="U917" i="6" s="1"/>
  <c r="J917" i="6"/>
  <c r="Z917" i="6" s="1"/>
  <c r="T916" i="6"/>
  <c r="AA916" i="6" s="1"/>
  <c r="J916" i="6"/>
  <c r="K916" i="6" s="1"/>
  <c r="T915" i="6"/>
  <c r="J915" i="6"/>
  <c r="T914" i="6"/>
  <c r="U914" i="6" s="1"/>
  <c r="J914" i="6"/>
  <c r="T913" i="6"/>
  <c r="AA913" i="6" s="1"/>
  <c r="J913" i="6"/>
  <c r="T912" i="6"/>
  <c r="J912" i="6"/>
  <c r="T911" i="6"/>
  <c r="U911" i="6" s="1"/>
  <c r="J911" i="6"/>
  <c r="Z911" i="6" s="1"/>
  <c r="T910" i="6"/>
  <c r="J910" i="6"/>
  <c r="Z910" i="6" s="1"/>
  <c r="T909" i="6"/>
  <c r="AA909" i="6" s="1"/>
  <c r="J909" i="6"/>
  <c r="Z909" i="6" s="1"/>
  <c r="T908" i="6"/>
  <c r="U908" i="6" s="1"/>
  <c r="J908" i="6"/>
  <c r="T907" i="6"/>
  <c r="AA907" i="6" s="1"/>
  <c r="J907" i="6"/>
  <c r="K907" i="6" s="1"/>
  <c r="T906" i="6"/>
  <c r="U906" i="6" s="1"/>
  <c r="J906" i="6"/>
  <c r="T905" i="6"/>
  <c r="J905" i="6"/>
  <c r="T904" i="6"/>
  <c r="J904" i="6"/>
  <c r="K904" i="6" s="1"/>
  <c r="T903" i="6"/>
  <c r="AA903" i="6" s="1"/>
  <c r="J903" i="6"/>
  <c r="T902" i="6"/>
  <c r="U902" i="6" s="1"/>
  <c r="J902" i="6"/>
  <c r="T901" i="6"/>
  <c r="AA901" i="6" s="1"/>
  <c r="J901" i="6"/>
  <c r="T900" i="6"/>
  <c r="J900" i="6"/>
  <c r="T899" i="6"/>
  <c r="AA899" i="6" s="1"/>
  <c r="J899" i="6"/>
  <c r="T898" i="6"/>
  <c r="AA898" i="6" s="1"/>
  <c r="J898" i="6"/>
  <c r="Z898" i="6" s="1"/>
  <c r="T897" i="6"/>
  <c r="J897" i="6"/>
  <c r="T896" i="6"/>
  <c r="AA896" i="6" s="1"/>
  <c r="J896" i="6"/>
  <c r="K896" i="6" s="1"/>
  <c r="T895" i="6"/>
  <c r="U895" i="6" s="1"/>
  <c r="J895" i="6"/>
  <c r="T894" i="6"/>
  <c r="U894" i="6" s="1"/>
  <c r="J894" i="6"/>
  <c r="K894" i="6" s="1"/>
  <c r="T893" i="6"/>
  <c r="AA893" i="6" s="1"/>
  <c r="J893" i="6"/>
  <c r="T892" i="6"/>
  <c r="J892" i="6"/>
  <c r="T891" i="6"/>
  <c r="J891" i="6"/>
  <c r="Z891" i="6" s="1"/>
  <c r="T890" i="6"/>
  <c r="AA890" i="6" s="1"/>
  <c r="J890" i="6"/>
  <c r="K890" i="6" s="1"/>
  <c r="T889" i="6"/>
  <c r="J889" i="6"/>
  <c r="Z889" i="6" s="1"/>
  <c r="T888" i="6"/>
  <c r="J888" i="6"/>
  <c r="K888" i="6" s="1"/>
  <c r="T887" i="6"/>
  <c r="AA887" i="6" s="1"/>
  <c r="J887" i="6"/>
  <c r="T886" i="6"/>
  <c r="U886" i="6" s="1"/>
  <c r="J886" i="6"/>
  <c r="T885" i="6"/>
  <c r="J885" i="6"/>
  <c r="Z885" i="6" s="1"/>
  <c r="T884" i="6"/>
  <c r="J884" i="6"/>
  <c r="T883" i="6"/>
  <c r="U883" i="6" s="1"/>
  <c r="J883" i="6"/>
  <c r="T882" i="6"/>
  <c r="U882" i="6" s="1"/>
  <c r="J882" i="6"/>
  <c r="Z882" i="6" s="1"/>
  <c r="T881" i="6"/>
  <c r="AA881" i="6" s="1"/>
  <c r="J881" i="6"/>
  <c r="Z881" i="6" s="1"/>
  <c r="T880" i="6"/>
  <c r="J880" i="6"/>
  <c r="Z880" i="6" s="1"/>
  <c r="T879" i="6"/>
  <c r="J879" i="6"/>
  <c r="Z879" i="6" s="1"/>
  <c r="T878" i="6"/>
  <c r="U878" i="6" s="1"/>
  <c r="J878" i="6"/>
  <c r="T877" i="6"/>
  <c r="AA877" i="6" s="1"/>
  <c r="J877" i="6"/>
  <c r="T876" i="6"/>
  <c r="J876" i="6"/>
  <c r="Z876" i="6" s="1"/>
  <c r="T875" i="6"/>
  <c r="AA875" i="6" s="1"/>
  <c r="J875" i="6"/>
  <c r="Z875" i="6" s="1"/>
  <c r="T874" i="6"/>
  <c r="J874" i="6"/>
  <c r="T873" i="6"/>
  <c r="J873" i="6"/>
  <c r="Z873" i="6" s="1"/>
  <c r="T872" i="6"/>
  <c r="J872" i="6"/>
  <c r="T871" i="6"/>
  <c r="U871" i="6" s="1"/>
  <c r="J871" i="6"/>
  <c r="T870" i="6"/>
  <c r="AA870" i="6" s="1"/>
  <c r="J870" i="6"/>
  <c r="Z870" i="6" s="1"/>
  <c r="T869" i="6"/>
  <c r="AA869" i="6" s="1"/>
  <c r="J869" i="6"/>
  <c r="T868" i="6"/>
  <c r="J868" i="6"/>
  <c r="T867" i="6"/>
  <c r="AA867" i="6" s="1"/>
  <c r="J867" i="6"/>
  <c r="Z867" i="6" s="1"/>
  <c r="T866" i="6"/>
  <c r="U866" i="6" s="1"/>
  <c r="J866" i="6"/>
  <c r="T865" i="6"/>
  <c r="J865" i="6"/>
  <c r="Z865" i="6" s="1"/>
  <c r="T864" i="6"/>
  <c r="U864" i="6" s="1"/>
  <c r="J864" i="6"/>
  <c r="T863" i="6"/>
  <c r="U863" i="6" s="1"/>
  <c r="J863" i="6"/>
  <c r="K863" i="6" s="1"/>
  <c r="T862" i="6"/>
  <c r="U862" i="6" s="1"/>
  <c r="J862" i="6"/>
  <c r="T861" i="6"/>
  <c r="AA861" i="6" s="1"/>
  <c r="J861" i="6"/>
  <c r="Z861" i="6" s="1"/>
  <c r="T860" i="6"/>
  <c r="J860" i="6"/>
  <c r="Z860" i="6" s="1"/>
  <c r="T859" i="6"/>
  <c r="AA859" i="6" s="1"/>
  <c r="J859" i="6"/>
  <c r="Z859" i="6" s="1"/>
  <c r="T858" i="6"/>
  <c r="U858" i="6" s="1"/>
  <c r="J858" i="6"/>
  <c r="Z858" i="6" s="1"/>
  <c r="T857" i="6"/>
  <c r="J857" i="6"/>
  <c r="K857" i="6" s="1"/>
  <c r="T856" i="6"/>
  <c r="AA856" i="6" s="1"/>
  <c r="J856" i="6"/>
  <c r="Z856" i="6" s="1"/>
  <c r="T855" i="6"/>
  <c r="AA855" i="6" s="1"/>
  <c r="J855" i="6"/>
  <c r="T854" i="6"/>
  <c r="J854" i="6"/>
  <c r="T853" i="6"/>
  <c r="U853" i="6" s="1"/>
  <c r="J853" i="6"/>
  <c r="K853" i="6" s="1"/>
  <c r="T852" i="6"/>
  <c r="U852" i="6" s="1"/>
  <c r="J852" i="6"/>
  <c r="T851" i="6"/>
  <c r="AA851" i="6" s="1"/>
  <c r="J851" i="6"/>
  <c r="T850" i="6"/>
  <c r="J850" i="6"/>
  <c r="T849" i="6"/>
  <c r="J849" i="6"/>
  <c r="T848" i="6"/>
  <c r="J848" i="6"/>
  <c r="Z848" i="6" s="1"/>
  <c r="T847" i="6"/>
  <c r="J847" i="6"/>
  <c r="T846" i="6"/>
  <c r="AA846" i="6" s="1"/>
  <c r="J846" i="6"/>
  <c r="Z846" i="6" s="1"/>
  <c r="T845" i="6"/>
  <c r="AA845" i="6" s="1"/>
  <c r="J845" i="6"/>
  <c r="Z845" i="6" s="1"/>
  <c r="T844" i="6"/>
  <c r="U844" i="6" s="1"/>
  <c r="J844" i="6"/>
  <c r="T843" i="6"/>
  <c r="AA843" i="6" s="1"/>
  <c r="J843" i="6"/>
  <c r="T842" i="6"/>
  <c r="U842" i="6" s="1"/>
  <c r="J842" i="6"/>
  <c r="K842" i="6" s="1"/>
  <c r="T841" i="6"/>
  <c r="J841" i="6"/>
  <c r="Z841" i="6" s="1"/>
  <c r="T840" i="6"/>
  <c r="J840" i="6"/>
  <c r="T839" i="6"/>
  <c r="AA839" i="6" s="1"/>
  <c r="J839" i="6"/>
  <c r="T838" i="6"/>
  <c r="J838" i="6"/>
  <c r="Z838" i="6" s="1"/>
  <c r="T837" i="6"/>
  <c r="AA837" i="6" s="1"/>
  <c r="J837" i="6"/>
  <c r="Z837" i="6" s="1"/>
  <c r="T836" i="6"/>
  <c r="U836" i="6" s="1"/>
  <c r="J836" i="6"/>
  <c r="T835" i="6"/>
  <c r="AA835" i="6" s="1"/>
  <c r="J835" i="6"/>
  <c r="Z835" i="6" s="1"/>
  <c r="T834" i="6"/>
  <c r="AA834" i="6" s="1"/>
  <c r="J834" i="6"/>
  <c r="Z834" i="6" s="1"/>
  <c r="T833" i="6"/>
  <c r="U833" i="6" s="1"/>
  <c r="J833" i="6"/>
  <c r="K833" i="6" s="1"/>
  <c r="T832" i="6"/>
  <c r="J832" i="6"/>
  <c r="Z832" i="6" s="1"/>
  <c r="T831" i="6"/>
  <c r="AA831" i="6" s="1"/>
  <c r="J831" i="6"/>
  <c r="Z831" i="6" s="1"/>
  <c r="T830" i="6"/>
  <c r="J830" i="6"/>
  <c r="T829" i="6"/>
  <c r="U829" i="6" s="1"/>
  <c r="J829" i="6"/>
  <c r="T828" i="6"/>
  <c r="U828" i="6" s="1"/>
  <c r="J828" i="6"/>
  <c r="Z828" i="6" s="1"/>
  <c r="T827" i="6"/>
  <c r="AA827" i="6" s="1"/>
  <c r="J827" i="6"/>
  <c r="Z827" i="6" s="1"/>
  <c r="T826" i="6"/>
  <c r="U826" i="6" s="1"/>
  <c r="J826" i="6"/>
  <c r="Z826" i="6" s="1"/>
  <c r="T825" i="6"/>
  <c r="AA825" i="6" s="1"/>
  <c r="J825" i="6"/>
  <c r="K825" i="6" s="1"/>
  <c r="T824" i="6"/>
  <c r="AA824" i="6" s="1"/>
  <c r="J824" i="6"/>
  <c r="K824" i="6" s="1"/>
  <c r="T823" i="6"/>
  <c r="AA823" i="6" s="1"/>
  <c r="J823" i="6"/>
  <c r="T822" i="6"/>
  <c r="U822" i="6" s="1"/>
  <c r="J822" i="6"/>
  <c r="K822" i="6" s="1"/>
  <c r="T821" i="6"/>
  <c r="AA821" i="6" s="1"/>
  <c r="J821" i="6"/>
  <c r="K821" i="6" s="1"/>
  <c r="T820" i="6"/>
  <c r="J820" i="6"/>
  <c r="T819" i="6"/>
  <c r="J819" i="6"/>
  <c r="Z819" i="6" s="1"/>
  <c r="T818" i="6"/>
  <c r="AA818" i="6" s="1"/>
  <c r="J818" i="6"/>
  <c r="T817" i="6"/>
  <c r="J817" i="6"/>
  <c r="Z817" i="6" s="1"/>
  <c r="T816" i="6"/>
  <c r="J816" i="6"/>
  <c r="T815" i="6"/>
  <c r="AA815" i="6" s="1"/>
  <c r="J815" i="6"/>
  <c r="K815" i="6" s="1"/>
  <c r="T814" i="6"/>
  <c r="AA814" i="6" s="1"/>
  <c r="J814" i="6"/>
  <c r="Z814" i="6" s="1"/>
  <c r="T813" i="6"/>
  <c r="J813" i="6"/>
  <c r="Z813" i="6" s="1"/>
  <c r="T812" i="6"/>
  <c r="U812" i="6" s="1"/>
  <c r="J812" i="6"/>
  <c r="T811" i="6"/>
  <c r="U811" i="6" s="1"/>
  <c r="J811" i="6"/>
  <c r="T810" i="6"/>
  <c r="U810" i="6" s="1"/>
  <c r="J810" i="6"/>
  <c r="T809" i="6"/>
  <c r="AA809" i="6" s="1"/>
  <c r="J809" i="6"/>
  <c r="T808" i="6"/>
  <c r="U808" i="6" s="1"/>
  <c r="J808" i="6"/>
  <c r="Z808" i="6" s="1"/>
  <c r="T807" i="6"/>
  <c r="J807" i="6"/>
  <c r="T806" i="6"/>
  <c r="U806" i="6" s="1"/>
  <c r="J806" i="6"/>
  <c r="K806" i="6" s="1"/>
  <c r="T805" i="6"/>
  <c r="J805" i="6"/>
  <c r="Z805" i="6" s="1"/>
  <c r="T804" i="6"/>
  <c r="U804" i="6" s="1"/>
  <c r="J804" i="6"/>
  <c r="K804" i="6" s="1"/>
  <c r="T803" i="6"/>
  <c r="J803" i="6"/>
  <c r="T802" i="6"/>
  <c r="U802" i="6" s="1"/>
  <c r="J802" i="6"/>
  <c r="Z802" i="6" s="1"/>
  <c r="T801" i="6"/>
  <c r="J801" i="6"/>
  <c r="K801" i="6" s="1"/>
  <c r="T800" i="6"/>
  <c r="U800" i="6" s="1"/>
  <c r="J800" i="6"/>
  <c r="Z800" i="6" s="1"/>
  <c r="T799" i="6"/>
  <c r="AA799" i="6" s="1"/>
  <c r="J799" i="6"/>
  <c r="T798" i="6"/>
  <c r="AA798" i="6" s="1"/>
  <c r="J798" i="6"/>
  <c r="T797" i="6"/>
  <c r="AA797" i="6" s="1"/>
  <c r="J797" i="6"/>
  <c r="Z797" i="6" s="1"/>
  <c r="T796" i="6"/>
  <c r="AA796" i="6" s="1"/>
  <c r="J796" i="6"/>
  <c r="T795" i="6"/>
  <c r="AA795" i="6" s="1"/>
  <c r="J795" i="6"/>
  <c r="T794" i="6"/>
  <c r="J794" i="6"/>
  <c r="K794" i="6" s="1"/>
  <c r="T793" i="6"/>
  <c r="AA793" i="6" s="1"/>
  <c r="J793" i="6"/>
  <c r="Z793" i="6" s="1"/>
  <c r="T792" i="6"/>
  <c r="U792" i="6" s="1"/>
  <c r="J792" i="6"/>
  <c r="K792" i="6" s="1"/>
  <c r="T791" i="6"/>
  <c r="J791" i="6"/>
  <c r="T790" i="6"/>
  <c r="U790" i="6" s="1"/>
  <c r="J790" i="6"/>
  <c r="T789" i="6"/>
  <c r="U789" i="6" s="1"/>
  <c r="J789" i="6"/>
  <c r="Z789" i="6" s="1"/>
  <c r="T788" i="6"/>
  <c r="U788" i="6" s="1"/>
  <c r="J788" i="6"/>
  <c r="T787" i="6"/>
  <c r="AA787" i="6" s="1"/>
  <c r="J787" i="6"/>
  <c r="Z787" i="6" s="1"/>
  <c r="T786" i="6"/>
  <c r="AA786" i="6" s="1"/>
  <c r="J786" i="6"/>
  <c r="T785" i="6"/>
  <c r="U785" i="6" s="1"/>
  <c r="J785" i="6"/>
  <c r="T784" i="6"/>
  <c r="J784" i="6"/>
  <c r="T783" i="6"/>
  <c r="AA783" i="6" s="1"/>
  <c r="J783" i="6"/>
  <c r="Z783" i="6" s="1"/>
  <c r="T782" i="6"/>
  <c r="J782" i="6"/>
  <c r="T781" i="6"/>
  <c r="U781" i="6" s="1"/>
  <c r="J781" i="6"/>
  <c r="T780" i="6"/>
  <c r="J780" i="6"/>
  <c r="T779" i="6"/>
  <c r="AA779" i="6" s="1"/>
  <c r="J779" i="6"/>
  <c r="K779" i="6" s="1"/>
  <c r="T778" i="6"/>
  <c r="U778" i="6" s="1"/>
  <c r="J778" i="6"/>
  <c r="Z778" i="6" s="1"/>
  <c r="T777" i="6"/>
  <c r="AA777" i="6" s="1"/>
  <c r="J777" i="6"/>
  <c r="Z777" i="6" s="1"/>
  <c r="T776" i="6"/>
  <c r="AA776" i="6" s="1"/>
  <c r="J776" i="6"/>
  <c r="Z776" i="6" s="1"/>
  <c r="T775" i="6"/>
  <c r="J775" i="6"/>
  <c r="T774" i="6"/>
  <c r="J774" i="6"/>
  <c r="Z774" i="6" s="1"/>
  <c r="T773" i="6"/>
  <c r="U773" i="6" s="1"/>
  <c r="J773" i="6"/>
  <c r="K773" i="6" s="1"/>
  <c r="T772" i="6"/>
  <c r="J772" i="6"/>
  <c r="T771" i="6"/>
  <c r="J771" i="6"/>
  <c r="T770" i="6"/>
  <c r="J770" i="6"/>
  <c r="T769" i="6"/>
  <c r="AA769" i="6" s="1"/>
  <c r="J769" i="6"/>
  <c r="Z769" i="6" s="1"/>
  <c r="T768" i="6"/>
  <c r="J768" i="6"/>
  <c r="K768" i="6" s="1"/>
  <c r="T767" i="6"/>
  <c r="J767" i="6"/>
  <c r="Z767" i="6" s="1"/>
  <c r="T766" i="6"/>
  <c r="AA766" i="6" s="1"/>
  <c r="J766" i="6"/>
  <c r="Z766" i="6" s="1"/>
  <c r="T765" i="6"/>
  <c r="AA765" i="6" s="1"/>
  <c r="J765" i="6"/>
  <c r="K765" i="6" s="1"/>
  <c r="T764" i="6"/>
  <c r="AA764" i="6" s="1"/>
  <c r="J764" i="6"/>
  <c r="K764" i="6" s="1"/>
  <c r="T763" i="6"/>
  <c r="U763" i="6" s="1"/>
  <c r="J763" i="6"/>
  <c r="T762" i="6"/>
  <c r="U762" i="6" s="1"/>
  <c r="J762" i="6"/>
  <c r="T761" i="6"/>
  <c r="AA761" i="6" s="1"/>
  <c r="J761" i="6"/>
  <c r="Z761" i="6" s="1"/>
  <c r="T760" i="6"/>
  <c r="U760" i="6" s="1"/>
  <c r="J760" i="6"/>
  <c r="T759" i="6"/>
  <c r="J759" i="6"/>
  <c r="T758" i="6"/>
  <c r="J758" i="6"/>
  <c r="T757" i="6"/>
  <c r="AA757" i="6" s="1"/>
  <c r="J757" i="6"/>
  <c r="Z757" i="6" s="1"/>
  <c r="T756" i="6"/>
  <c r="J756" i="6"/>
  <c r="K756" i="6" s="1"/>
  <c r="T755" i="6"/>
  <c r="AA755" i="6" s="1"/>
  <c r="J755" i="6"/>
  <c r="T754" i="6"/>
  <c r="U754" i="6" s="1"/>
  <c r="J754" i="6"/>
  <c r="T753" i="6"/>
  <c r="AA753" i="6" s="1"/>
  <c r="J753" i="6"/>
  <c r="T752" i="6"/>
  <c r="J752" i="6"/>
  <c r="K752" i="6" s="1"/>
  <c r="T751" i="6"/>
  <c r="AA751" i="6" s="1"/>
  <c r="J751" i="6"/>
  <c r="T750" i="6"/>
  <c r="U750" i="6" s="1"/>
  <c r="J750" i="6"/>
  <c r="T749" i="6"/>
  <c r="AA749" i="6" s="1"/>
  <c r="J749" i="6"/>
  <c r="T748" i="6"/>
  <c r="U748" i="6" s="1"/>
  <c r="J748" i="6"/>
  <c r="Z748" i="6" s="1"/>
  <c r="T747" i="6"/>
  <c r="AA747" i="6" s="1"/>
  <c r="J747" i="6"/>
  <c r="K747" i="6" s="1"/>
  <c r="T746" i="6"/>
  <c r="U746" i="6" s="1"/>
  <c r="J746" i="6"/>
  <c r="T745" i="6"/>
  <c r="AA745" i="6" s="1"/>
  <c r="J745" i="6"/>
  <c r="Z745" i="6" s="1"/>
  <c r="T744" i="6"/>
  <c r="J744" i="6"/>
  <c r="K744" i="6" s="1"/>
  <c r="T743" i="6"/>
  <c r="J743" i="6"/>
  <c r="T742" i="6"/>
  <c r="U742" i="6" s="1"/>
  <c r="J742" i="6"/>
  <c r="T741" i="6"/>
  <c r="AA741" i="6" s="1"/>
  <c r="J741" i="6"/>
  <c r="K741" i="6" s="1"/>
  <c r="T740" i="6"/>
  <c r="J740" i="6"/>
  <c r="Z740" i="6" s="1"/>
  <c r="T739" i="6"/>
  <c r="AA739" i="6" s="1"/>
  <c r="J739" i="6"/>
  <c r="K739" i="6" s="1"/>
  <c r="T738" i="6"/>
  <c r="AA738" i="6" s="1"/>
  <c r="J738" i="6"/>
  <c r="T737" i="6"/>
  <c r="J737" i="6"/>
  <c r="Z737" i="6" s="1"/>
  <c r="T736" i="6"/>
  <c r="AA736" i="6" s="1"/>
  <c r="J736" i="6"/>
  <c r="Z736" i="6" s="1"/>
  <c r="T735" i="6"/>
  <c r="AA735" i="6" s="1"/>
  <c r="J735" i="6"/>
  <c r="K735" i="6" s="1"/>
  <c r="T734" i="6"/>
  <c r="J734" i="6"/>
  <c r="T733" i="6"/>
  <c r="U733" i="6" s="1"/>
  <c r="J733" i="6"/>
  <c r="K733" i="6" s="1"/>
  <c r="T732" i="6"/>
  <c r="U732" i="6" s="1"/>
  <c r="J732" i="6"/>
  <c r="K732" i="6" s="1"/>
  <c r="T731" i="6"/>
  <c r="U731" i="6" s="1"/>
  <c r="J731" i="6"/>
  <c r="Z731" i="6" s="1"/>
  <c r="T730" i="6"/>
  <c r="AA730" i="6" s="1"/>
  <c r="J730" i="6"/>
  <c r="T729" i="6"/>
  <c r="J729" i="6"/>
  <c r="K729" i="6" s="1"/>
  <c r="T728" i="6"/>
  <c r="J728" i="6"/>
  <c r="K728" i="6" s="1"/>
  <c r="T727" i="6"/>
  <c r="AA727" i="6" s="1"/>
  <c r="J727" i="6"/>
  <c r="T726" i="6"/>
  <c r="J726" i="6"/>
  <c r="K726" i="6" s="1"/>
  <c r="T725" i="6"/>
  <c r="U725" i="6" s="1"/>
  <c r="J725" i="6"/>
  <c r="Z725" i="6" s="1"/>
  <c r="T724" i="6"/>
  <c r="U724" i="6" s="1"/>
  <c r="J724" i="6"/>
  <c r="K724" i="6" s="1"/>
  <c r="T723" i="6"/>
  <c r="J723" i="6"/>
  <c r="K723" i="6" s="1"/>
  <c r="T722" i="6"/>
  <c r="J722" i="6"/>
  <c r="T721" i="6"/>
  <c r="AA721" i="6" s="1"/>
  <c r="J721" i="6"/>
  <c r="K721" i="6" s="1"/>
  <c r="T720" i="6"/>
  <c r="U720" i="6" s="1"/>
  <c r="J720" i="6"/>
  <c r="T719" i="6"/>
  <c r="AA719" i="6" s="1"/>
  <c r="J719" i="6"/>
  <c r="T718" i="6"/>
  <c r="J718" i="6"/>
  <c r="Z718" i="6" s="1"/>
  <c r="T717" i="6"/>
  <c r="AA717" i="6" s="1"/>
  <c r="J717" i="6"/>
  <c r="K717" i="6" s="1"/>
  <c r="T716" i="6"/>
  <c r="AA716" i="6" s="1"/>
  <c r="J716" i="6"/>
  <c r="Z716" i="6" s="1"/>
  <c r="T715" i="6"/>
  <c r="AA715" i="6" s="1"/>
  <c r="J715" i="6"/>
  <c r="K715" i="6" s="1"/>
  <c r="T714" i="6"/>
  <c r="U714" i="6" s="1"/>
  <c r="J714" i="6"/>
  <c r="Z714" i="6" s="1"/>
  <c r="T713" i="6"/>
  <c r="J713" i="6"/>
  <c r="K713" i="6" s="1"/>
  <c r="T712" i="6"/>
  <c r="U712" i="6" s="1"/>
  <c r="J712" i="6"/>
  <c r="T711" i="6"/>
  <c r="AA711" i="6" s="1"/>
  <c r="J711" i="6"/>
  <c r="T710" i="6"/>
  <c r="AA710" i="6" s="1"/>
  <c r="J710" i="6"/>
  <c r="K710" i="6" s="1"/>
  <c r="T709" i="6"/>
  <c r="U709" i="6" s="1"/>
  <c r="J709" i="6"/>
  <c r="T708" i="6"/>
  <c r="U708" i="6" s="1"/>
  <c r="J708" i="6"/>
  <c r="Z708" i="6" s="1"/>
  <c r="T707" i="6"/>
  <c r="AA707" i="6" s="1"/>
  <c r="J707" i="6"/>
  <c r="Z707" i="6" s="1"/>
  <c r="T706" i="6"/>
  <c r="J706" i="6"/>
  <c r="T705" i="6"/>
  <c r="J705" i="6"/>
  <c r="Z705" i="6" s="1"/>
  <c r="T704" i="6"/>
  <c r="U704" i="6" s="1"/>
  <c r="J704" i="6"/>
  <c r="K704" i="6" s="1"/>
  <c r="T703" i="6"/>
  <c r="J703" i="6"/>
  <c r="Z703" i="6" s="1"/>
  <c r="T702" i="6"/>
  <c r="U702" i="6" s="1"/>
  <c r="J702" i="6"/>
  <c r="T701" i="6"/>
  <c r="U701" i="6" s="1"/>
  <c r="J701" i="6"/>
  <c r="Z701" i="6" s="1"/>
  <c r="T700" i="6"/>
  <c r="J700" i="6"/>
  <c r="Z700" i="6" s="1"/>
  <c r="T699" i="6"/>
  <c r="J699" i="6"/>
  <c r="Z699" i="6" s="1"/>
  <c r="T698" i="6"/>
  <c r="AA698" i="6" s="1"/>
  <c r="J698" i="6"/>
  <c r="T697" i="6"/>
  <c r="U697" i="6" s="1"/>
  <c r="J697" i="6"/>
  <c r="Z697" i="6" s="1"/>
  <c r="T696" i="6"/>
  <c r="J696" i="6"/>
  <c r="Z696" i="6" s="1"/>
  <c r="T695" i="6"/>
  <c r="AA695" i="6" s="1"/>
  <c r="J695" i="6"/>
  <c r="K695" i="6" s="1"/>
  <c r="T694" i="6"/>
  <c r="J694" i="6"/>
  <c r="Z694" i="6" s="1"/>
  <c r="T693" i="6"/>
  <c r="AA693" i="6" s="1"/>
  <c r="J693" i="6"/>
  <c r="Z693" i="6" s="1"/>
  <c r="T692" i="6"/>
  <c r="U692" i="6" s="1"/>
  <c r="J692" i="6"/>
  <c r="K692" i="6" s="1"/>
  <c r="T691" i="6"/>
  <c r="U691" i="6" s="1"/>
  <c r="J691" i="6"/>
  <c r="Z691" i="6" s="1"/>
  <c r="T690" i="6"/>
  <c r="AA690" i="6" s="1"/>
  <c r="J690" i="6"/>
  <c r="K690" i="6" s="1"/>
  <c r="T689" i="6"/>
  <c r="J689" i="6"/>
  <c r="Z689" i="6" s="1"/>
  <c r="T688" i="6"/>
  <c r="J688" i="6"/>
  <c r="Z688" i="6" s="1"/>
  <c r="T687" i="6"/>
  <c r="J687" i="6"/>
  <c r="Z687" i="6" s="1"/>
  <c r="T686" i="6"/>
  <c r="J686" i="6"/>
  <c r="T685" i="6"/>
  <c r="AA685" i="6" s="1"/>
  <c r="J685" i="6"/>
  <c r="Z685" i="6" s="1"/>
  <c r="T684" i="6"/>
  <c r="J684" i="6"/>
  <c r="K684" i="6" s="1"/>
  <c r="T683" i="6"/>
  <c r="J683" i="6"/>
  <c r="T682" i="6"/>
  <c r="U682" i="6" s="1"/>
  <c r="J682" i="6"/>
  <c r="Z682" i="6" s="1"/>
  <c r="T681" i="6"/>
  <c r="J681" i="6"/>
  <c r="Z681" i="6" s="1"/>
  <c r="T680" i="6"/>
  <c r="J680" i="6"/>
  <c r="Z680" i="6" s="1"/>
  <c r="T679" i="6"/>
  <c r="U679" i="6" s="1"/>
  <c r="J679" i="6"/>
  <c r="K679" i="6" s="1"/>
  <c r="T678" i="6"/>
  <c r="J678" i="6"/>
  <c r="Z678" i="6" s="1"/>
  <c r="T677" i="6"/>
  <c r="AA677" i="6" s="1"/>
  <c r="J677" i="6"/>
  <c r="Z677" i="6" s="1"/>
  <c r="T676" i="6"/>
  <c r="AA676" i="6" s="1"/>
  <c r="J676" i="6"/>
  <c r="Z676" i="6" s="1"/>
  <c r="T675" i="6"/>
  <c r="AA675" i="6" s="1"/>
  <c r="J675" i="6"/>
  <c r="T674" i="6"/>
  <c r="J674" i="6"/>
  <c r="T673" i="6"/>
  <c r="AA673" i="6" s="1"/>
  <c r="J673" i="6"/>
  <c r="T672" i="6"/>
  <c r="U672" i="6" s="1"/>
  <c r="J672" i="6"/>
  <c r="Z672" i="6" s="1"/>
  <c r="T671" i="6"/>
  <c r="J671" i="6"/>
  <c r="T670" i="6"/>
  <c r="AA670" i="6" s="1"/>
  <c r="J670" i="6"/>
  <c r="T669" i="6"/>
  <c r="U669" i="6" s="1"/>
  <c r="J669" i="6"/>
  <c r="K669" i="6" s="1"/>
  <c r="T668" i="6"/>
  <c r="J668" i="6"/>
  <c r="T667" i="6"/>
  <c r="U667" i="6" s="1"/>
  <c r="J667" i="6"/>
  <c r="Z667" i="6" s="1"/>
  <c r="T666" i="6"/>
  <c r="AA666" i="6" s="1"/>
  <c r="J666" i="6"/>
  <c r="K666" i="6" s="1"/>
  <c r="T665" i="6"/>
  <c r="AA665" i="6" s="1"/>
  <c r="J665" i="6"/>
  <c r="T664" i="6"/>
  <c r="AA664" i="6" s="1"/>
  <c r="J664" i="6"/>
  <c r="T663" i="6"/>
  <c r="AA663" i="6" s="1"/>
  <c r="J663" i="6"/>
  <c r="T662" i="6"/>
  <c r="U662" i="6" s="1"/>
  <c r="J662" i="6"/>
  <c r="T661" i="6"/>
  <c r="AA661" i="6" s="1"/>
  <c r="J661" i="6"/>
  <c r="T660" i="6"/>
  <c r="U660" i="6" s="1"/>
  <c r="J660" i="6"/>
  <c r="T659" i="6"/>
  <c r="AA659" i="6" s="1"/>
  <c r="J659" i="6"/>
  <c r="T658" i="6"/>
  <c r="J658" i="6"/>
  <c r="Z658" i="6" s="1"/>
  <c r="T657" i="6"/>
  <c r="J657" i="6"/>
  <c r="K657" i="6" s="1"/>
  <c r="T656" i="6"/>
  <c r="AA656" i="6" s="1"/>
  <c r="J656" i="6"/>
  <c r="T655" i="6"/>
  <c r="J655" i="6"/>
  <c r="K655" i="6" s="1"/>
  <c r="T654" i="6"/>
  <c r="J654" i="6"/>
  <c r="T653" i="6"/>
  <c r="AA653" i="6" s="1"/>
  <c r="J653" i="6"/>
  <c r="K653" i="6" s="1"/>
  <c r="T652" i="6"/>
  <c r="U652" i="6" s="1"/>
  <c r="J652" i="6"/>
  <c r="Z652" i="6" s="1"/>
  <c r="T651" i="6"/>
  <c r="AA651" i="6" s="1"/>
  <c r="J651" i="6"/>
  <c r="T650" i="6"/>
  <c r="AA650" i="6" s="1"/>
  <c r="J650" i="6"/>
  <c r="K650" i="6" s="1"/>
  <c r="T649" i="6"/>
  <c r="U649" i="6" s="1"/>
  <c r="J649" i="6"/>
  <c r="K649" i="6" s="1"/>
  <c r="T648" i="6"/>
  <c r="J648" i="6"/>
  <c r="Z648" i="6" s="1"/>
  <c r="T647" i="6"/>
  <c r="J647" i="6"/>
  <c r="Z647" i="6" s="1"/>
  <c r="T646" i="6"/>
  <c r="J646" i="6"/>
  <c r="Z646" i="6" s="1"/>
  <c r="T645" i="6"/>
  <c r="AA645" i="6" s="1"/>
  <c r="J645" i="6"/>
  <c r="Z645" i="6" s="1"/>
  <c r="T644" i="6"/>
  <c r="AA644" i="6" s="1"/>
  <c r="J644" i="6"/>
  <c r="K644" i="6" s="1"/>
  <c r="T643" i="6"/>
  <c r="AA643" i="6" s="1"/>
  <c r="J643" i="6"/>
  <c r="T642" i="6"/>
  <c r="J642" i="6"/>
  <c r="T641" i="6"/>
  <c r="AA641" i="6" s="1"/>
  <c r="J641" i="6"/>
  <c r="Z641" i="6" s="1"/>
  <c r="T640" i="6"/>
  <c r="U640" i="6" s="1"/>
  <c r="J640" i="6"/>
  <c r="T639" i="6"/>
  <c r="U639" i="6" s="1"/>
  <c r="J639" i="6"/>
  <c r="T638" i="6"/>
  <c r="AA638" i="6" s="1"/>
  <c r="J638" i="6"/>
  <c r="Z638" i="6" s="1"/>
  <c r="T637" i="6"/>
  <c r="J637" i="6"/>
  <c r="K637" i="6" s="1"/>
  <c r="T636" i="6"/>
  <c r="J636" i="6"/>
  <c r="K636" i="6" s="1"/>
  <c r="T635" i="6"/>
  <c r="J635" i="6"/>
  <c r="K635" i="6" s="1"/>
  <c r="T634" i="6"/>
  <c r="U634" i="6" s="1"/>
  <c r="J634" i="6"/>
  <c r="K634" i="6" s="1"/>
  <c r="T633" i="6"/>
  <c r="J633" i="6"/>
  <c r="T632" i="6"/>
  <c r="AA632" i="6" s="1"/>
  <c r="J632" i="6"/>
  <c r="Z632" i="6" s="1"/>
  <c r="T631" i="6"/>
  <c r="J631" i="6"/>
  <c r="T630" i="6"/>
  <c r="U630" i="6" s="1"/>
  <c r="J630" i="6"/>
  <c r="T629" i="6"/>
  <c r="J629" i="6"/>
  <c r="Z629" i="6" s="1"/>
  <c r="T628" i="6"/>
  <c r="J628" i="6"/>
  <c r="Z628" i="6" s="1"/>
  <c r="T627" i="6"/>
  <c r="AA627" i="6" s="1"/>
  <c r="J627" i="6"/>
  <c r="T626" i="6"/>
  <c r="J626" i="6"/>
  <c r="Z626" i="6" s="1"/>
  <c r="T625" i="6"/>
  <c r="J625" i="6"/>
  <c r="T624" i="6"/>
  <c r="AA624" i="6" s="1"/>
  <c r="J624" i="6"/>
  <c r="T623" i="6"/>
  <c r="J623" i="6"/>
  <c r="T622" i="6"/>
  <c r="U622" i="6" s="1"/>
  <c r="J622" i="6"/>
  <c r="Z622" i="6" s="1"/>
  <c r="T621" i="6"/>
  <c r="J621" i="6"/>
  <c r="Z621" i="6" s="1"/>
  <c r="T620" i="6"/>
  <c r="J620" i="6"/>
  <c r="T619" i="6"/>
  <c r="J619" i="6"/>
  <c r="Z619" i="6" s="1"/>
  <c r="T618" i="6"/>
  <c r="U618" i="6" s="1"/>
  <c r="J618" i="6"/>
  <c r="K618" i="6" s="1"/>
  <c r="T617" i="6"/>
  <c r="J617" i="6"/>
  <c r="K617" i="6" s="1"/>
  <c r="T616" i="6"/>
  <c r="U616" i="6" s="1"/>
  <c r="J616" i="6"/>
  <c r="K616" i="6" s="1"/>
  <c r="T615" i="6"/>
  <c r="AA615" i="6" s="1"/>
  <c r="J615" i="6"/>
  <c r="T614" i="6"/>
  <c r="J614" i="6"/>
  <c r="Z614" i="6" s="1"/>
  <c r="T613" i="6"/>
  <c r="U613" i="6" s="1"/>
  <c r="J613" i="6"/>
  <c r="K613" i="6" s="1"/>
  <c r="T612" i="6"/>
  <c r="AA612" i="6" s="1"/>
  <c r="J612" i="6"/>
  <c r="T611" i="6"/>
  <c r="J611" i="6"/>
  <c r="T610" i="6"/>
  <c r="AA610" i="6" s="1"/>
  <c r="J610" i="6"/>
  <c r="Z610" i="6" s="1"/>
  <c r="T609" i="6"/>
  <c r="U609" i="6" s="1"/>
  <c r="J609" i="6"/>
  <c r="T608" i="6"/>
  <c r="J608" i="6"/>
  <c r="T607" i="6"/>
  <c r="AA607" i="6" s="1"/>
  <c r="J607" i="6"/>
  <c r="T606" i="6"/>
  <c r="AA606" i="6" s="1"/>
  <c r="J606" i="6"/>
  <c r="T605" i="6"/>
  <c r="J605" i="6"/>
  <c r="K605" i="6" s="1"/>
  <c r="T604" i="6"/>
  <c r="U604" i="6" s="1"/>
  <c r="J604" i="6"/>
  <c r="Z604" i="6" s="1"/>
  <c r="T603" i="6"/>
  <c r="U603" i="6" s="1"/>
  <c r="J603" i="6"/>
  <c r="T602" i="6"/>
  <c r="J602" i="6"/>
  <c r="Z602" i="6" s="1"/>
  <c r="T601" i="6"/>
  <c r="U601" i="6" s="1"/>
  <c r="J601" i="6"/>
  <c r="K601" i="6" s="1"/>
  <c r="T600" i="6"/>
  <c r="J600" i="6"/>
  <c r="T599" i="6"/>
  <c r="U599" i="6" s="1"/>
  <c r="J599" i="6"/>
  <c r="K599" i="6" s="1"/>
  <c r="T598" i="6"/>
  <c r="AA598" i="6" s="1"/>
  <c r="J598" i="6"/>
  <c r="T597" i="6"/>
  <c r="J597" i="6"/>
  <c r="Z597" i="6" s="1"/>
  <c r="T596" i="6"/>
  <c r="J596" i="6"/>
  <c r="T595" i="6"/>
  <c r="J595" i="6"/>
  <c r="T594" i="6"/>
  <c r="AA594" i="6" s="1"/>
  <c r="J594" i="6"/>
  <c r="T593" i="6"/>
  <c r="J593" i="6"/>
  <c r="T592" i="6"/>
  <c r="J592" i="6"/>
  <c r="Z592" i="6" s="1"/>
  <c r="T591" i="6"/>
  <c r="J591" i="6"/>
  <c r="Z591" i="6" s="1"/>
  <c r="T590" i="6"/>
  <c r="AA590" i="6" s="1"/>
  <c r="J590" i="6"/>
  <c r="Z590" i="6" s="1"/>
  <c r="T589" i="6"/>
  <c r="AA589" i="6" s="1"/>
  <c r="J589" i="6"/>
  <c r="K589" i="6" s="1"/>
  <c r="T588" i="6"/>
  <c r="AA588" i="6" s="1"/>
  <c r="J588" i="6"/>
  <c r="Z588" i="6" s="1"/>
  <c r="T587" i="6"/>
  <c r="J587" i="6"/>
  <c r="T586" i="6"/>
  <c r="U586" i="6" s="1"/>
  <c r="J586" i="6"/>
  <c r="Z586" i="6" s="1"/>
  <c r="T585" i="6"/>
  <c r="J585" i="6"/>
  <c r="Z585" i="6" s="1"/>
  <c r="T584" i="6"/>
  <c r="J584" i="6"/>
  <c r="Z584" i="6" s="1"/>
  <c r="T583" i="6"/>
  <c r="J583" i="6"/>
  <c r="T582" i="6"/>
  <c r="J582" i="6"/>
  <c r="K582" i="6" s="1"/>
  <c r="T581" i="6"/>
  <c r="J581" i="6"/>
  <c r="Z581" i="6" s="1"/>
  <c r="T580" i="6"/>
  <c r="U580" i="6" s="1"/>
  <c r="J580" i="6"/>
  <c r="Z580" i="6" s="1"/>
  <c r="T579" i="6"/>
  <c r="J579" i="6"/>
  <c r="K579" i="6" s="1"/>
  <c r="T578" i="6"/>
  <c r="J578" i="6"/>
  <c r="T577" i="6"/>
  <c r="J577" i="6"/>
  <c r="T576" i="6"/>
  <c r="AA576" i="6" s="1"/>
  <c r="J576" i="6"/>
  <c r="K576" i="6" s="1"/>
  <c r="T575" i="6"/>
  <c r="U575" i="6" s="1"/>
  <c r="J575" i="6"/>
  <c r="K575" i="6" s="1"/>
  <c r="T574" i="6"/>
  <c r="J574" i="6"/>
  <c r="K574" i="6" s="1"/>
  <c r="T573" i="6"/>
  <c r="J573" i="6"/>
  <c r="Z573" i="6" s="1"/>
  <c r="T572" i="6"/>
  <c r="AA572" i="6" s="1"/>
  <c r="J572" i="6"/>
  <c r="Z572" i="6" s="1"/>
  <c r="T571" i="6"/>
  <c r="J571" i="6"/>
  <c r="T570" i="6"/>
  <c r="AA570" i="6" s="1"/>
  <c r="J570" i="6"/>
  <c r="T569" i="6"/>
  <c r="U569" i="6" s="1"/>
  <c r="J569" i="6"/>
  <c r="K569" i="6" s="1"/>
  <c r="T568" i="6"/>
  <c r="J568" i="6"/>
  <c r="K568" i="6" s="1"/>
  <c r="T567" i="6"/>
  <c r="AA567" i="6" s="1"/>
  <c r="J567" i="6"/>
  <c r="K567" i="6" s="1"/>
  <c r="T566" i="6"/>
  <c r="AA566" i="6" s="1"/>
  <c r="J566" i="6"/>
  <c r="T565" i="6"/>
  <c r="J565" i="6"/>
  <c r="K565" i="6" s="1"/>
  <c r="T564" i="6"/>
  <c r="AA564" i="6" s="1"/>
  <c r="J564" i="6"/>
  <c r="Z564" i="6" s="1"/>
  <c r="T563" i="6"/>
  <c r="U563" i="6" s="1"/>
  <c r="J563" i="6"/>
  <c r="T562" i="6"/>
  <c r="J562" i="6"/>
  <c r="Z562" i="6" s="1"/>
  <c r="T561" i="6"/>
  <c r="J561" i="6"/>
  <c r="Z561" i="6" s="1"/>
  <c r="T560" i="6"/>
  <c r="AA560" i="6" s="1"/>
  <c r="J560" i="6"/>
  <c r="T559" i="6"/>
  <c r="AA559" i="6" s="1"/>
  <c r="J559" i="6"/>
  <c r="Z559" i="6" s="1"/>
  <c r="T558" i="6"/>
  <c r="AA558" i="6" s="1"/>
  <c r="J558" i="6"/>
  <c r="T557" i="6"/>
  <c r="U557" i="6" s="1"/>
  <c r="J557" i="6"/>
  <c r="T556" i="6"/>
  <c r="U556" i="6" s="1"/>
  <c r="J556" i="6"/>
  <c r="T555" i="6"/>
  <c r="U555" i="6" s="1"/>
  <c r="J555" i="6"/>
  <c r="T554" i="6"/>
  <c r="J554" i="6"/>
  <c r="Z554" i="6" s="1"/>
  <c r="T553" i="6"/>
  <c r="J553" i="6"/>
  <c r="T552" i="6"/>
  <c r="AA552" i="6" s="1"/>
  <c r="J552" i="6"/>
  <c r="Z552" i="6" s="1"/>
  <c r="T551" i="6"/>
  <c r="J551" i="6"/>
  <c r="T550" i="6"/>
  <c r="AA550" i="6" s="1"/>
  <c r="J550" i="6"/>
  <c r="T549" i="6"/>
  <c r="U549" i="6" s="1"/>
  <c r="J549" i="6"/>
  <c r="T548" i="6"/>
  <c r="U548" i="6" s="1"/>
  <c r="J548" i="6"/>
  <c r="T547" i="6"/>
  <c r="J547" i="6"/>
  <c r="Z547" i="6" s="1"/>
  <c r="T546" i="6"/>
  <c r="AA546" i="6" s="1"/>
  <c r="J546" i="6"/>
  <c r="T545" i="6"/>
  <c r="J545" i="6"/>
  <c r="T544" i="6"/>
  <c r="AA544" i="6" s="1"/>
  <c r="J544" i="6"/>
  <c r="T543" i="6"/>
  <c r="U543" i="6" s="1"/>
  <c r="J543" i="6"/>
  <c r="Z543" i="6" s="1"/>
  <c r="T542" i="6"/>
  <c r="AA542" i="6" s="1"/>
  <c r="J542" i="6"/>
  <c r="T541" i="6"/>
  <c r="AA541" i="6" s="1"/>
  <c r="J541" i="6"/>
  <c r="K541" i="6" s="1"/>
  <c r="T540" i="6"/>
  <c r="J540" i="6"/>
  <c r="Z540" i="6" s="1"/>
  <c r="T539" i="6"/>
  <c r="U539" i="6" s="1"/>
  <c r="J539" i="6"/>
  <c r="K539" i="6" s="1"/>
  <c r="T538" i="6"/>
  <c r="U538" i="6" s="1"/>
  <c r="J538" i="6"/>
  <c r="Z538" i="6" s="1"/>
  <c r="T537" i="6"/>
  <c r="U537" i="6" s="1"/>
  <c r="J537" i="6"/>
  <c r="T536" i="6"/>
  <c r="J536" i="6"/>
  <c r="K536" i="6" s="1"/>
  <c r="T535" i="6"/>
  <c r="J535" i="6"/>
  <c r="Z535" i="6" s="1"/>
  <c r="T534" i="6"/>
  <c r="U534" i="6" s="1"/>
  <c r="J534" i="6"/>
  <c r="K534" i="6" s="1"/>
  <c r="T533" i="6"/>
  <c r="AA533" i="6" s="1"/>
  <c r="J533" i="6"/>
  <c r="K533" i="6" s="1"/>
  <c r="T532" i="6"/>
  <c r="J532" i="6"/>
  <c r="Z532" i="6" s="1"/>
  <c r="T531" i="6"/>
  <c r="AA531" i="6" s="1"/>
  <c r="J531" i="6"/>
  <c r="K531" i="6" s="1"/>
  <c r="T530" i="6"/>
  <c r="J530" i="6"/>
  <c r="T529" i="6"/>
  <c r="AA529" i="6" s="1"/>
  <c r="J529" i="6"/>
  <c r="T528" i="6"/>
  <c r="AA528" i="6" s="1"/>
  <c r="J528" i="6"/>
  <c r="K528" i="6" s="1"/>
  <c r="T527" i="6"/>
  <c r="U527" i="6" s="1"/>
  <c r="J527" i="6"/>
  <c r="T526" i="6"/>
  <c r="AA526" i="6" s="1"/>
  <c r="J526" i="6"/>
  <c r="T525" i="6"/>
  <c r="U525" i="6" s="1"/>
  <c r="J525" i="6"/>
  <c r="T524" i="6"/>
  <c r="AA524" i="6" s="1"/>
  <c r="J524" i="6"/>
  <c r="Z524" i="6" s="1"/>
  <c r="T523" i="6"/>
  <c r="AA523" i="6" s="1"/>
  <c r="J523" i="6"/>
  <c r="Z523" i="6" s="1"/>
  <c r="T522" i="6"/>
  <c r="AA522" i="6" s="1"/>
  <c r="J522" i="6"/>
  <c r="Z522" i="6" s="1"/>
  <c r="T521" i="6"/>
  <c r="J521" i="6"/>
  <c r="T520" i="6"/>
  <c r="J520" i="6"/>
  <c r="Z520" i="6" s="1"/>
  <c r="T519" i="6"/>
  <c r="AA519" i="6" s="1"/>
  <c r="J519" i="6"/>
  <c r="Z519" i="6" s="1"/>
  <c r="T518" i="6"/>
  <c r="J518" i="6"/>
  <c r="Z518" i="6" s="1"/>
  <c r="T517" i="6"/>
  <c r="J517" i="6"/>
  <c r="T516" i="6"/>
  <c r="AA516" i="6" s="1"/>
  <c r="J516" i="6"/>
  <c r="Z516" i="6" s="1"/>
  <c r="T515" i="6"/>
  <c r="U515" i="6" s="1"/>
  <c r="J515" i="6"/>
  <c r="K515" i="6" s="1"/>
  <c r="T514" i="6"/>
  <c r="J514" i="6"/>
  <c r="T513" i="6"/>
  <c r="J513" i="6"/>
  <c r="Z513" i="6" s="1"/>
  <c r="T512" i="6"/>
  <c r="U512" i="6" s="1"/>
  <c r="J512" i="6"/>
  <c r="Z512" i="6" s="1"/>
  <c r="T511" i="6"/>
  <c r="J511" i="6"/>
  <c r="T510" i="6"/>
  <c r="J510" i="6"/>
  <c r="T509" i="6"/>
  <c r="AA509" i="6" s="1"/>
  <c r="J509" i="6"/>
  <c r="K509" i="6" s="1"/>
  <c r="T508" i="6"/>
  <c r="J508" i="6"/>
  <c r="T507" i="6"/>
  <c r="J507" i="6"/>
  <c r="T506" i="6"/>
  <c r="J506" i="6"/>
  <c r="Z506" i="6" s="1"/>
  <c r="T505" i="6"/>
  <c r="J505" i="6"/>
  <c r="K505" i="6" s="1"/>
  <c r="T504" i="6"/>
  <c r="AA504" i="6" s="1"/>
  <c r="J504" i="6"/>
  <c r="T503" i="6"/>
  <c r="J503" i="6"/>
  <c r="T502" i="6"/>
  <c r="J502" i="6"/>
  <c r="T501" i="6"/>
  <c r="U501" i="6" s="1"/>
  <c r="J501" i="6"/>
  <c r="Z501" i="6" s="1"/>
  <c r="T500" i="6"/>
  <c r="AA500" i="6" s="1"/>
  <c r="J500" i="6"/>
  <c r="Z500" i="6" s="1"/>
  <c r="T499" i="6"/>
  <c r="J499" i="6"/>
  <c r="Z499" i="6" s="1"/>
  <c r="T498" i="6"/>
  <c r="AA498" i="6" s="1"/>
  <c r="J498" i="6"/>
  <c r="K498" i="6" s="1"/>
  <c r="T497" i="6"/>
  <c r="AA497" i="6" s="1"/>
  <c r="J497" i="6"/>
  <c r="T496" i="6"/>
  <c r="U496" i="6" s="1"/>
  <c r="J496" i="6"/>
  <c r="K496" i="6" s="1"/>
  <c r="T495" i="6"/>
  <c r="AA495" i="6" s="1"/>
  <c r="J495" i="6"/>
  <c r="T494" i="6"/>
  <c r="J494" i="6"/>
  <c r="T493" i="6"/>
  <c r="J493" i="6"/>
  <c r="K493" i="6" s="1"/>
  <c r="T492" i="6"/>
  <c r="J492" i="6"/>
  <c r="T491" i="6"/>
  <c r="J491" i="6"/>
  <c r="T490" i="6"/>
  <c r="U490" i="6" s="1"/>
  <c r="J490" i="6"/>
  <c r="Z490" i="6" s="1"/>
  <c r="T489" i="6"/>
  <c r="U489" i="6" s="1"/>
  <c r="J489" i="6"/>
  <c r="Z489" i="6" s="1"/>
  <c r="T488" i="6"/>
  <c r="U488" i="6" s="1"/>
  <c r="J488" i="6"/>
  <c r="Z488" i="6" s="1"/>
  <c r="T487" i="6"/>
  <c r="J487" i="6"/>
  <c r="T486" i="6"/>
  <c r="AA486" i="6" s="1"/>
  <c r="J486" i="6"/>
  <c r="K486" i="6" s="1"/>
  <c r="T485" i="6"/>
  <c r="J485" i="6"/>
  <c r="Z485" i="6" s="1"/>
  <c r="T484" i="6"/>
  <c r="J484" i="6"/>
  <c r="K484" i="6" s="1"/>
  <c r="T483" i="6"/>
  <c r="J483" i="6"/>
  <c r="Z483" i="6" s="1"/>
  <c r="T482" i="6"/>
  <c r="J482" i="6"/>
  <c r="T481" i="6"/>
  <c r="AA481" i="6" s="1"/>
  <c r="J481" i="6"/>
  <c r="T480" i="6"/>
  <c r="J480" i="6"/>
  <c r="Z480" i="6" s="1"/>
  <c r="T479" i="6"/>
  <c r="J479" i="6"/>
  <c r="K479" i="6" s="1"/>
  <c r="T478" i="6"/>
  <c r="J478" i="6"/>
  <c r="T477" i="6"/>
  <c r="J477" i="6"/>
  <c r="Z477" i="6" s="1"/>
  <c r="T476" i="6"/>
  <c r="U476" i="6" s="1"/>
  <c r="J476" i="6"/>
  <c r="T475" i="6"/>
  <c r="J475" i="6"/>
  <c r="Z475" i="6" s="1"/>
  <c r="T474" i="6"/>
  <c r="AA474" i="6" s="1"/>
  <c r="J474" i="6"/>
  <c r="K474" i="6" s="1"/>
  <c r="T473" i="6"/>
  <c r="AA473" i="6" s="1"/>
  <c r="J473" i="6"/>
  <c r="Z473" i="6" s="1"/>
  <c r="T472" i="6"/>
  <c r="U472" i="6" s="1"/>
  <c r="J472" i="6"/>
  <c r="T471" i="6"/>
  <c r="AA471" i="6" s="1"/>
  <c r="J471" i="6"/>
  <c r="T470" i="6"/>
  <c r="AA470" i="6" s="1"/>
  <c r="J470" i="6"/>
  <c r="Z470" i="6" s="1"/>
  <c r="T469" i="6"/>
  <c r="U469" i="6" s="1"/>
  <c r="J469" i="6"/>
  <c r="T468" i="6"/>
  <c r="J468" i="6"/>
  <c r="Z468" i="6" s="1"/>
  <c r="T467" i="6"/>
  <c r="J467" i="6"/>
  <c r="K467" i="6" s="1"/>
  <c r="T466" i="6"/>
  <c r="J466" i="6"/>
  <c r="T465" i="6"/>
  <c r="U465" i="6" s="1"/>
  <c r="J465" i="6"/>
  <c r="T464" i="6"/>
  <c r="AA464" i="6" s="1"/>
  <c r="J464" i="6"/>
  <c r="T463" i="6"/>
  <c r="AA463" i="6" s="1"/>
  <c r="J463" i="6"/>
  <c r="T462" i="6"/>
  <c r="J462" i="6"/>
  <c r="Z462" i="6" s="1"/>
  <c r="T461" i="6"/>
  <c r="U461" i="6" s="1"/>
  <c r="J461" i="6"/>
  <c r="K461" i="6" s="1"/>
  <c r="T460" i="6"/>
  <c r="U460" i="6" s="1"/>
  <c r="J460" i="6"/>
  <c r="T459" i="6"/>
  <c r="U459" i="6" s="1"/>
  <c r="J459" i="6"/>
  <c r="K459" i="6" s="1"/>
  <c r="T458" i="6"/>
  <c r="AA458" i="6" s="1"/>
  <c r="J458" i="6"/>
  <c r="K458" i="6" s="1"/>
  <c r="T457" i="6"/>
  <c r="U457" i="6" s="1"/>
  <c r="J457" i="6"/>
  <c r="K457" i="6" s="1"/>
  <c r="T456" i="6"/>
  <c r="U456" i="6" s="1"/>
  <c r="J456" i="6"/>
  <c r="K456" i="6" s="1"/>
  <c r="T455" i="6"/>
  <c r="J455" i="6"/>
  <c r="K455" i="6" s="1"/>
  <c r="T454" i="6"/>
  <c r="U454" i="6" s="1"/>
  <c r="J454" i="6"/>
  <c r="Z454" i="6" s="1"/>
  <c r="T453" i="6"/>
  <c r="U453" i="6" s="1"/>
  <c r="J453" i="6"/>
  <c r="Z453" i="6" s="1"/>
  <c r="T452" i="6"/>
  <c r="J452" i="6"/>
  <c r="K452" i="6" s="1"/>
  <c r="T451" i="6"/>
  <c r="AA451" i="6" s="1"/>
  <c r="J451" i="6"/>
  <c r="Z451" i="6" s="1"/>
  <c r="T450" i="6"/>
  <c r="AA450" i="6" s="1"/>
  <c r="J450" i="6"/>
  <c r="K450" i="6" s="1"/>
  <c r="T449" i="6"/>
  <c r="AA449" i="6" s="1"/>
  <c r="J449" i="6"/>
  <c r="T448" i="6"/>
  <c r="AA448" i="6" s="1"/>
  <c r="J448" i="6"/>
  <c r="Z448" i="6" s="1"/>
  <c r="T447" i="6"/>
  <c r="U447" i="6" s="1"/>
  <c r="J447" i="6"/>
  <c r="Z447" i="6" s="1"/>
  <c r="T446" i="6"/>
  <c r="J446" i="6"/>
  <c r="T445" i="6"/>
  <c r="J445" i="6"/>
  <c r="T444" i="6"/>
  <c r="U444" i="6" s="1"/>
  <c r="J444" i="6"/>
  <c r="K444" i="6" s="1"/>
  <c r="T443" i="6"/>
  <c r="J443" i="6"/>
  <c r="T442" i="6"/>
  <c r="J442" i="6"/>
  <c r="T441" i="6"/>
  <c r="J441" i="6"/>
  <c r="Z441" i="6" s="1"/>
  <c r="T440" i="6"/>
  <c r="AA440" i="6" s="1"/>
  <c r="J440" i="6"/>
  <c r="Z440" i="6" s="1"/>
  <c r="T439" i="6"/>
  <c r="AA439" i="6" s="1"/>
  <c r="J439" i="6"/>
  <c r="K439" i="6" s="1"/>
  <c r="T438" i="6"/>
  <c r="AA438" i="6" s="1"/>
  <c r="J438" i="6"/>
  <c r="T437" i="6"/>
  <c r="U437" i="6" s="1"/>
  <c r="J437" i="6"/>
  <c r="T436" i="6"/>
  <c r="U436" i="6" s="1"/>
  <c r="J436" i="6"/>
  <c r="T435" i="6"/>
  <c r="U435" i="6" s="1"/>
  <c r="J435" i="6"/>
  <c r="K435" i="6" s="1"/>
  <c r="T434" i="6"/>
  <c r="AA434" i="6" s="1"/>
  <c r="J434" i="6"/>
  <c r="Z434" i="6" s="1"/>
  <c r="T433" i="6"/>
  <c r="J433" i="6"/>
  <c r="T432" i="6"/>
  <c r="J432" i="6"/>
  <c r="T431" i="6"/>
  <c r="AA431" i="6" s="1"/>
  <c r="J431" i="6"/>
  <c r="Z431" i="6" s="1"/>
  <c r="T430" i="6"/>
  <c r="AA430" i="6" s="1"/>
  <c r="J430" i="6"/>
  <c r="Z430" i="6" s="1"/>
  <c r="T429" i="6"/>
  <c r="U429" i="6" s="1"/>
  <c r="J429" i="6"/>
  <c r="T428" i="6"/>
  <c r="AA428" i="6" s="1"/>
  <c r="J428" i="6"/>
  <c r="K428" i="6" s="1"/>
  <c r="T427" i="6"/>
  <c r="J427" i="6"/>
  <c r="Z427" i="6" s="1"/>
  <c r="T426" i="6"/>
  <c r="J426" i="6"/>
  <c r="K426" i="6" s="1"/>
  <c r="T425" i="6"/>
  <c r="J425" i="6"/>
  <c r="Z425" i="6" s="1"/>
  <c r="T424" i="6"/>
  <c r="J424" i="6"/>
  <c r="T423" i="6"/>
  <c r="J423" i="6"/>
  <c r="Z423" i="6" s="1"/>
  <c r="T422" i="6"/>
  <c r="J422" i="6"/>
  <c r="Z422" i="6" s="1"/>
  <c r="T421" i="6"/>
  <c r="J421" i="6"/>
  <c r="T420" i="6"/>
  <c r="J420" i="6"/>
  <c r="Z420" i="6" s="1"/>
  <c r="T419" i="6"/>
  <c r="AA419" i="6" s="1"/>
  <c r="J419" i="6"/>
  <c r="Z419" i="6" s="1"/>
  <c r="T418" i="6"/>
  <c r="J418" i="6"/>
  <c r="Z418" i="6" s="1"/>
  <c r="T417" i="6"/>
  <c r="AA417" i="6" s="1"/>
  <c r="J417" i="6"/>
  <c r="Z417" i="6" s="1"/>
  <c r="T416" i="6"/>
  <c r="AA416" i="6" s="1"/>
  <c r="J416" i="6"/>
  <c r="K416" i="6" s="1"/>
  <c r="T415" i="6"/>
  <c r="U415" i="6" s="1"/>
  <c r="J415" i="6"/>
  <c r="Z415" i="6" s="1"/>
  <c r="T414" i="6"/>
  <c r="J414" i="6"/>
  <c r="Z414" i="6" s="1"/>
  <c r="T413" i="6"/>
  <c r="J413" i="6"/>
  <c r="Z413" i="6" s="1"/>
  <c r="T412" i="6"/>
  <c r="J412" i="6"/>
  <c r="T411" i="6"/>
  <c r="J411" i="6"/>
  <c r="Z411" i="6" s="1"/>
  <c r="T410" i="6"/>
  <c r="J410" i="6"/>
  <c r="T409" i="6"/>
  <c r="AA409" i="6" s="1"/>
  <c r="J409" i="6"/>
  <c r="T408" i="6"/>
  <c r="J408" i="6"/>
  <c r="Z408" i="6" s="1"/>
  <c r="T407" i="6"/>
  <c r="U407" i="6" s="1"/>
  <c r="J407" i="6"/>
  <c r="K407" i="6" s="1"/>
  <c r="T406" i="6"/>
  <c r="J406" i="6"/>
  <c r="Z406" i="6" s="1"/>
  <c r="T405" i="6"/>
  <c r="AA405" i="6" s="1"/>
  <c r="J405" i="6"/>
  <c r="K405" i="6" s="1"/>
  <c r="T404" i="6"/>
  <c r="J404" i="6"/>
  <c r="T403" i="6"/>
  <c r="J403" i="6"/>
  <c r="Z403" i="6" s="1"/>
  <c r="T402" i="6"/>
  <c r="J402" i="6"/>
  <c r="Z402" i="6" s="1"/>
  <c r="T401" i="6"/>
  <c r="J401" i="6"/>
  <c r="K401" i="6" s="1"/>
  <c r="T400" i="6"/>
  <c r="AA400" i="6" s="1"/>
  <c r="J400" i="6"/>
  <c r="T399" i="6"/>
  <c r="U399" i="6" s="1"/>
  <c r="J399" i="6"/>
  <c r="T398" i="6"/>
  <c r="J398" i="6"/>
  <c r="Z398" i="6" s="1"/>
  <c r="T397" i="6"/>
  <c r="J397" i="6"/>
  <c r="Z397" i="6" s="1"/>
  <c r="T396" i="6"/>
  <c r="J396" i="6"/>
  <c r="Z396" i="6" s="1"/>
  <c r="T395" i="6"/>
  <c r="AA395" i="6" s="1"/>
  <c r="J395" i="6"/>
  <c r="K395" i="6" s="1"/>
  <c r="T394" i="6"/>
  <c r="AA394" i="6" s="1"/>
  <c r="J394" i="6"/>
  <c r="T393" i="6"/>
  <c r="U393" i="6" s="1"/>
  <c r="J393" i="6"/>
  <c r="T392" i="6"/>
  <c r="J392" i="6"/>
  <c r="T391" i="6"/>
  <c r="U391" i="6" s="1"/>
  <c r="J391" i="6"/>
  <c r="Z391" i="6" s="1"/>
  <c r="T390" i="6"/>
  <c r="J390" i="6"/>
  <c r="Z390" i="6" s="1"/>
  <c r="T389" i="6"/>
  <c r="J389" i="6"/>
  <c r="K389" i="6" s="1"/>
  <c r="T388" i="6"/>
  <c r="AA388" i="6" s="1"/>
  <c r="J388" i="6"/>
  <c r="T387" i="6"/>
  <c r="U387" i="6" s="1"/>
  <c r="J387" i="6"/>
  <c r="Z387" i="6" s="1"/>
  <c r="T386" i="6"/>
  <c r="J386" i="6"/>
  <c r="T385" i="6"/>
  <c r="AA385" i="6" s="1"/>
  <c r="J385" i="6"/>
  <c r="Z385" i="6" s="1"/>
  <c r="T384" i="6"/>
  <c r="J384" i="6"/>
  <c r="Z384" i="6" s="1"/>
  <c r="T383" i="6"/>
  <c r="U383" i="6" s="1"/>
  <c r="J383" i="6"/>
  <c r="K383" i="6" s="1"/>
  <c r="T382" i="6"/>
  <c r="AA382" i="6" s="1"/>
  <c r="J382" i="6"/>
  <c r="Z382" i="6" s="1"/>
  <c r="T381" i="6"/>
  <c r="AA381" i="6" s="1"/>
  <c r="J381" i="6"/>
  <c r="K381" i="6" s="1"/>
  <c r="T380" i="6"/>
  <c r="AA380" i="6" s="1"/>
  <c r="J380" i="6"/>
  <c r="K380" i="6" s="1"/>
  <c r="T379" i="6"/>
  <c r="J379" i="6"/>
  <c r="Z379" i="6" s="1"/>
  <c r="T378" i="6"/>
  <c r="AA378" i="6" s="1"/>
  <c r="J378" i="6"/>
  <c r="T377" i="6"/>
  <c r="J377" i="6"/>
  <c r="Z377" i="6" s="1"/>
  <c r="T376" i="6"/>
  <c r="AA376" i="6" s="1"/>
  <c r="J376" i="6"/>
  <c r="K376" i="6" s="1"/>
  <c r="T375" i="6"/>
  <c r="J375" i="6"/>
  <c r="T374" i="6"/>
  <c r="J374" i="6"/>
  <c r="Z374" i="6" s="1"/>
  <c r="T373" i="6"/>
  <c r="U373" i="6" s="1"/>
  <c r="J373" i="6"/>
  <c r="K373" i="6" s="1"/>
  <c r="T372" i="6"/>
  <c r="AA372" i="6" s="1"/>
  <c r="J372" i="6"/>
  <c r="T371" i="6"/>
  <c r="AA371" i="6" s="1"/>
  <c r="J371" i="6"/>
  <c r="Z371" i="6" s="1"/>
  <c r="T370" i="6"/>
  <c r="AA370" i="6" s="1"/>
  <c r="J370" i="6"/>
  <c r="Z370" i="6" s="1"/>
  <c r="T369" i="6"/>
  <c r="AA369" i="6" s="1"/>
  <c r="J369" i="6"/>
  <c r="T368" i="6"/>
  <c r="AA368" i="6" s="1"/>
  <c r="J368" i="6"/>
  <c r="T367" i="6"/>
  <c r="U367" i="6" s="1"/>
  <c r="J367" i="6"/>
  <c r="Z367" i="6" s="1"/>
  <c r="T366" i="6"/>
  <c r="J366" i="6"/>
  <c r="T365" i="6"/>
  <c r="J365" i="6"/>
  <c r="Z365" i="6" s="1"/>
  <c r="T364" i="6"/>
  <c r="U364" i="6" s="1"/>
  <c r="J364" i="6"/>
  <c r="K364" i="6" s="1"/>
  <c r="T363" i="6"/>
  <c r="AA363" i="6" s="1"/>
  <c r="J363" i="6"/>
  <c r="Z363" i="6" s="1"/>
  <c r="T362" i="6"/>
  <c r="U362" i="6" s="1"/>
  <c r="J362" i="6"/>
  <c r="Z362" i="6" s="1"/>
  <c r="T361" i="6"/>
  <c r="AA361" i="6" s="1"/>
  <c r="J361" i="6"/>
  <c r="T360" i="6"/>
  <c r="AA360" i="6" s="1"/>
  <c r="J360" i="6"/>
  <c r="Z360" i="6" s="1"/>
  <c r="T359" i="6"/>
  <c r="AA359" i="6" s="1"/>
  <c r="J359" i="6"/>
  <c r="Z359" i="6" s="1"/>
  <c r="T358" i="6"/>
  <c r="U358" i="6" s="1"/>
  <c r="J358" i="6"/>
  <c r="K358" i="6" s="1"/>
  <c r="T357" i="6"/>
  <c r="AA357" i="6" s="1"/>
  <c r="J357" i="6"/>
  <c r="K357" i="6" s="1"/>
  <c r="T356" i="6"/>
  <c r="AA356" i="6" s="1"/>
  <c r="J356" i="6"/>
  <c r="K356" i="6" s="1"/>
  <c r="T355" i="6"/>
  <c r="U355" i="6" s="1"/>
  <c r="J355" i="6"/>
  <c r="Z355" i="6" s="1"/>
  <c r="T354" i="6"/>
  <c r="AA354" i="6" s="1"/>
  <c r="J354" i="6"/>
  <c r="Z354" i="6" s="1"/>
  <c r="T353" i="6"/>
  <c r="AA353" i="6" s="1"/>
  <c r="J353" i="6"/>
  <c r="K353" i="6" s="1"/>
  <c r="T352" i="6"/>
  <c r="AA352" i="6" s="1"/>
  <c r="J352" i="6"/>
  <c r="T351" i="6"/>
  <c r="AA351" i="6" s="1"/>
  <c r="J351" i="6"/>
  <c r="T350" i="6"/>
  <c r="U350" i="6" s="1"/>
  <c r="J350" i="6"/>
  <c r="T349" i="6"/>
  <c r="AA349" i="6" s="1"/>
  <c r="J349" i="6"/>
  <c r="Z349" i="6" s="1"/>
  <c r="T348" i="6"/>
  <c r="AA348" i="6" s="1"/>
  <c r="J348" i="6"/>
  <c r="T347" i="6"/>
  <c r="J347" i="6"/>
  <c r="Z347" i="6" s="1"/>
  <c r="T346" i="6"/>
  <c r="U346" i="6" s="1"/>
  <c r="J346" i="6"/>
  <c r="Z346" i="6" s="1"/>
  <c r="T345" i="6"/>
  <c r="AA345" i="6" s="1"/>
  <c r="J345" i="6"/>
  <c r="Z345" i="6" s="1"/>
  <c r="T344" i="6"/>
  <c r="AA344" i="6" s="1"/>
  <c r="J344" i="6"/>
  <c r="Z344" i="6" s="1"/>
  <c r="T343" i="6"/>
  <c r="AA343" i="6" s="1"/>
  <c r="J343" i="6"/>
  <c r="Z343" i="6" s="1"/>
  <c r="T342" i="6"/>
  <c r="AA342" i="6" s="1"/>
  <c r="J342" i="6"/>
  <c r="K342" i="6" s="1"/>
  <c r="T341" i="6"/>
  <c r="AA341" i="6" s="1"/>
  <c r="J341" i="6"/>
  <c r="Z341" i="6" s="1"/>
  <c r="T340" i="6"/>
  <c r="AA340" i="6" s="1"/>
  <c r="J340" i="6"/>
  <c r="K340" i="6" s="1"/>
  <c r="T339" i="6"/>
  <c r="AA339" i="6" s="1"/>
  <c r="J339" i="6"/>
  <c r="T338" i="6"/>
  <c r="U338" i="6" s="1"/>
  <c r="J338" i="6"/>
  <c r="T337" i="6"/>
  <c r="U337" i="6" s="1"/>
  <c r="J337" i="6"/>
  <c r="K337" i="6" s="1"/>
  <c r="T336" i="6"/>
  <c r="AA336" i="6" s="1"/>
  <c r="J336" i="6"/>
  <c r="Z336" i="6" s="1"/>
  <c r="T335" i="6"/>
  <c r="AA335" i="6" s="1"/>
  <c r="J335" i="6"/>
  <c r="K335" i="6" s="1"/>
  <c r="T334" i="6"/>
  <c r="U334" i="6" s="1"/>
  <c r="J334" i="6"/>
  <c r="K334" i="6" s="1"/>
  <c r="T333" i="6"/>
  <c r="U333" i="6" s="1"/>
  <c r="J333" i="6"/>
  <c r="Z333" i="6" s="1"/>
  <c r="T332" i="6"/>
  <c r="U332" i="6" s="1"/>
  <c r="J332" i="6"/>
  <c r="Z332" i="6" s="1"/>
  <c r="T331" i="6"/>
  <c r="J331" i="6"/>
  <c r="T330" i="6"/>
  <c r="U330" i="6" s="1"/>
  <c r="J330" i="6"/>
  <c r="K330" i="6" s="1"/>
  <c r="T329" i="6"/>
  <c r="J329" i="6"/>
  <c r="Z329" i="6" s="1"/>
  <c r="T328" i="6"/>
  <c r="AA328" i="6" s="1"/>
  <c r="J328" i="6"/>
  <c r="K328" i="6" s="1"/>
  <c r="T327" i="6"/>
  <c r="AA327" i="6" s="1"/>
  <c r="J327" i="6"/>
  <c r="T326" i="6"/>
  <c r="U326" i="6" s="1"/>
  <c r="J326" i="6"/>
  <c r="Z326" i="6" s="1"/>
  <c r="T325" i="6"/>
  <c r="AA325" i="6" s="1"/>
  <c r="J325" i="6"/>
  <c r="Z325" i="6" s="1"/>
  <c r="T324" i="6"/>
  <c r="AA324" i="6" s="1"/>
  <c r="J324" i="6"/>
  <c r="Z324" i="6" s="1"/>
  <c r="T323" i="6"/>
  <c r="AA323" i="6" s="1"/>
  <c r="J323" i="6"/>
  <c r="K323" i="6" s="1"/>
  <c r="T322" i="6"/>
  <c r="AA322" i="6" s="1"/>
  <c r="J322" i="6"/>
  <c r="Z322" i="6" s="1"/>
  <c r="T321" i="6"/>
  <c r="AA321" i="6" s="1"/>
  <c r="J321" i="6"/>
  <c r="K321" i="6" s="1"/>
  <c r="T320" i="6"/>
  <c r="AA320" i="6" s="1"/>
  <c r="J320" i="6"/>
  <c r="T319" i="6"/>
  <c r="U319" i="6" s="1"/>
  <c r="J319" i="6"/>
  <c r="Z319" i="6" s="1"/>
  <c r="T318" i="6"/>
  <c r="U318" i="6" s="1"/>
  <c r="J318" i="6"/>
  <c r="T317" i="6"/>
  <c r="AA317" i="6" s="1"/>
  <c r="J317" i="6"/>
  <c r="Z317" i="6" s="1"/>
  <c r="T316" i="6"/>
  <c r="J316" i="6"/>
  <c r="K316" i="6" s="1"/>
  <c r="T315" i="6"/>
  <c r="J315" i="6"/>
  <c r="Z315" i="6" s="1"/>
  <c r="T314" i="6"/>
  <c r="U314" i="6" s="1"/>
  <c r="J314" i="6"/>
  <c r="T313" i="6"/>
  <c r="AA313" i="6" s="1"/>
  <c r="J313" i="6"/>
  <c r="Z313" i="6" s="1"/>
  <c r="T312" i="6"/>
  <c r="AA312" i="6" s="1"/>
  <c r="J312" i="6"/>
  <c r="T311" i="6"/>
  <c r="J311" i="6"/>
  <c r="Z311" i="6" s="1"/>
  <c r="T310" i="6"/>
  <c r="U310" i="6" s="1"/>
  <c r="J310" i="6"/>
  <c r="T309" i="6"/>
  <c r="AA309" i="6" s="1"/>
  <c r="J309" i="6"/>
  <c r="Z309" i="6" s="1"/>
  <c r="T308" i="6"/>
  <c r="AA308" i="6" s="1"/>
  <c r="J308" i="6"/>
  <c r="T307" i="6"/>
  <c r="AA307" i="6" s="1"/>
  <c r="J307" i="6"/>
  <c r="Z307" i="6" s="1"/>
  <c r="T306" i="6"/>
  <c r="J306" i="6"/>
  <c r="Z306" i="6" s="1"/>
  <c r="T305" i="6"/>
  <c r="AA305" i="6" s="1"/>
  <c r="J305" i="6"/>
  <c r="K305" i="6" s="1"/>
  <c r="T304" i="6"/>
  <c r="AA304" i="6" s="1"/>
  <c r="J304" i="6"/>
  <c r="T303" i="6"/>
  <c r="J303" i="6"/>
  <c r="T302" i="6"/>
  <c r="U302" i="6" s="1"/>
  <c r="J302" i="6"/>
  <c r="T301" i="6"/>
  <c r="AA301" i="6" s="1"/>
  <c r="J301" i="6"/>
  <c r="T300" i="6"/>
  <c r="AA300" i="6" s="1"/>
  <c r="J300" i="6"/>
  <c r="Z300" i="6" s="1"/>
  <c r="T299" i="6"/>
  <c r="AA299" i="6" s="1"/>
  <c r="J299" i="6"/>
  <c r="Z299" i="6" s="1"/>
  <c r="T298" i="6"/>
  <c r="AA298" i="6" s="1"/>
  <c r="J298" i="6"/>
  <c r="T297" i="6"/>
  <c r="U297" i="6" s="1"/>
  <c r="J297" i="6"/>
  <c r="K297" i="6" s="1"/>
  <c r="T296" i="6"/>
  <c r="AA296" i="6" s="1"/>
  <c r="J296" i="6"/>
  <c r="T295" i="6"/>
  <c r="U295" i="6" s="1"/>
  <c r="J295" i="6"/>
  <c r="Z295" i="6" s="1"/>
  <c r="T294" i="6"/>
  <c r="AA294" i="6" s="1"/>
  <c r="J294" i="6"/>
  <c r="K294" i="6" s="1"/>
  <c r="T293" i="6"/>
  <c r="J293" i="6"/>
  <c r="Z293" i="6" s="1"/>
  <c r="T292" i="6"/>
  <c r="AA292" i="6" s="1"/>
  <c r="J292" i="6"/>
  <c r="T291" i="6"/>
  <c r="AA291" i="6" s="1"/>
  <c r="J291" i="6"/>
  <c r="T290" i="6"/>
  <c r="U290" i="6" s="1"/>
  <c r="J290" i="6"/>
  <c r="Z290" i="6" s="1"/>
  <c r="T289" i="6"/>
  <c r="AA289" i="6" s="1"/>
  <c r="J289" i="6"/>
  <c r="Z289" i="6" s="1"/>
  <c r="T288" i="6"/>
  <c r="J288" i="6"/>
  <c r="Z288" i="6" s="1"/>
  <c r="T287" i="6"/>
  <c r="AA287" i="6" s="1"/>
  <c r="J287" i="6"/>
  <c r="Z287" i="6" s="1"/>
  <c r="T286" i="6"/>
  <c r="U286" i="6" s="1"/>
  <c r="J286" i="6"/>
  <c r="Z286" i="6" s="1"/>
  <c r="T285" i="6"/>
  <c r="U285" i="6" s="1"/>
  <c r="J285" i="6"/>
  <c r="Z285" i="6" s="1"/>
  <c r="T284" i="6"/>
  <c r="J284" i="6"/>
  <c r="T283" i="6"/>
  <c r="J283" i="6"/>
  <c r="Z283" i="6" s="1"/>
  <c r="T282" i="6"/>
  <c r="AA282" i="6" s="1"/>
  <c r="J282" i="6"/>
  <c r="K282" i="6" s="1"/>
  <c r="T281" i="6"/>
  <c r="AA281" i="6" s="1"/>
  <c r="J281" i="6"/>
  <c r="T280" i="6"/>
  <c r="J280" i="6"/>
  <c r="K280" i="6" s="1"/>
  <c r="T279" i="6"/>
  <c r="AA279" i="6" s="1"/>
  <c r="J279" i="6"/>
  <c r="Z279" i="6" s="1"/>
  <c r="T278" i="6"/>
  <c r="U278" i="6" s="1"/>
  <c r="J278" i="6"/>
  <c r="T277" i="6"/>
  <c r="U277" i="6" s="1"/>
  <c r="J277" i="6"/>
  <c r="T276" i="6"/>
  <c r="AA276" i="6" s="1"/>
  <c r="J276" i="6"/>
  <c r="T275" i="6"/>
  <c r="U275" i="6" s="1"/>
  <c r="J275" i="6"/>
  <c r="Z275" i="6" s="1"/>
  <c r="T274" i="6"/>
  <c r="U274" i="6" s="1"/>
  <c r="J274" i="6"/>
  <c r="Z274" i="6" s="1"/>
  <c r="T273" i="6"/>
  <c r="AA273" i="6" s="1"/>
  <c r="J273" i="6"/>
  <c r="Z273" i="6" s="1"/>
  <c r="T272" i="6"/>
  <c r="AA272" i="6" s="1"/>
  <c r="J272" i="6"/>
  <c r="Z272" i="6" s="1"/>
  <c r="T271" i="6"/>
  <c r="AA271" i="6" s="1"/>
  <c r="J271" i="6"/>
  <c r="Z271" i="6" s="1"/>
  <c r="T270" i="6"/>
  <c r="J270" i="6"/>
  <c r="Z270" i="6" s="1"/>
  <c r="T269" i="6"/>
  <c r="AA269" i="6" s="1"/>
  <c r="J269" i="6"/>
  <c r="Z269" i="6" s="1"/>
  <c r="T268" i="6"/>
  <c r="AA268" i="6" s="1"/>
  <c r="J268" i="6"/>
  <c r="T267" i="6"/>
  <c r="J267" i="6"/>
  <c r="T266" i="6"/>
  <c r="J266" i="6"/>
  <c r="Z266" i="6" s="1"/>
  <c r="T265" i="6"/>
  <c r="AA265" i="6" s="1"/>
  <c r="J265" i="6"/>
  <c r="K265" i="6" s="1"/>
  <c r="T264" i="6"/>
  <c r="AA264" i="6" s="1"/>
  <c r="J264" i="6"/>
  <c r="Z264" i="6" s="1"/>
  <c r="T263" i="6"/>
  <c r="U263" i="6" s="1"/>
  <c r="J263" i="6"/>
  <c r="Z263" i="6" s="1"/>
  <c r="T262" i="6"/>
  <c r="AA262" i="6" s="1"/>
  <c r="J262" i="6"/>
  <c r="T261" i="6"/>
  <c r="U261" i="6" s="1"/>
  <c r="J261" i="6"/>
  <c r="Z261" i="6" s="1"/>
  <c r="T260" i="6"/>
  <c r="AA260" i="6" s="1"/>
  <c r="J260" i="6"/>
  <c r="Z260" i="6" s="1"/>
  <c r="T259" i="6"/>
  <c r="U259" i="6" s="1"/>
  <c r="J259" i="6"/>
  <c r="T258" i="6"/>
  <c r="AA258" i="6" s="1"/>
  <c r="J258" i="6"/>
  <c r="Z258" i="6" s="1"/>
  <c r="T257" i="6"/>
  <c r="J257" i="6"/>
  <c r="T256" i="6"/>
  <c r="AA256" i="6" s="1"/>
  <c r="J256" i="6"/>
  <c r="T255" i="6"/>
  <c r="J255" i="6"/>
  <c r="Z255" i="6" s="1"/>
  <c r="T254" i="6"/>
  <c r="J254" i="6"/>
  <c r="Z254" i="6" s="1"/>
  <c r="T253" i="6"/>
  <c r="AA253" i="6" s="1"/>
  <c r="J253" i="6"/>
  <c r="Z253" i="6" s="1"/>
  <c r="T252" i="6"/>
  <c r="AA252" i="6" s="1"/>
  <c r="J252" i="6"/>
  <c r="T251" i="6"/>
  <c r="AA251" i="6" s="1"/>
  <c r="J251" i="6"/>
  <c r="Z251" i="6" s="1"/>
  <c r="T250" i="6"/>
  <c r="AA250" i="6" s="1"/>
  <c r="J250" i="6"/>
  <c r="Z250" i="6" s="1"/>
  <c r="T249" i="6"/>
  <c r="AA249" i="6" s="1"/>
  <c r="J249" i="6"/>
  <c r="T248" i="6"/>
  <c r="U248" i="6" s="1"/>
  <c r="J248" i="6"/>
  <c r="K248" i="6" s="1"/>
  <c r="T247" i="6"/>
  <c r="U247" i="6" s="1"/>
  <c r="J247" i="6"/>
  <c r="T246" i="6"/>
  <c r="AA246" i="6" s="1"/>
  <c r="J246" i="6"/>
  <c r="Z246" i="6" s="1"/>
  <c r="T245" i="6"/>
  <c r="AA245" i="6" s="1"/>
  <c r="J245" i="6"/>
  <c r="Z245" i="6" s="1"/>
  <c r="T244" i="6"/>
  <c r="U244" i="6" s="1"/>
  <c r="J244" i="6"/>
  <c r="K244" i="6" s="1"/>
  <c r="T243" i="6"/>
  <c r="J243" i="6"/>
  <c r="Z243" i="6" s="1"/>
  <c r="T242" i="6"/>
  <c r="U242" i="6" s="1"/>
  <c r="J242" i="6"/>
  <c r="T241" i="6"/>
  <c r="J241" i="6"/>
  <c r="K241" i="6" s="1"/>
  <c r="T240" i="6"/>
  <c r="AA240" i="6" s="1"/>
  <c r="J240" i="6"/>
  <c r="T239" i="6"/>
  <c r="AA239" i="6" s="1"/>
  <c r="J239" i="6"/>
  <c r="K239" i="6" s="1"/>
  <c r="T238" i="6"/>
  <c r="J238" i="6"/>
  <c r="Z238" i="6" s="1"/>
  <c r="T237" i="6"/>
  <c r="AA237" i="6" s="1"/>
  <c r="J237" i="6"/>
  <c r="Z237" i="6" s="1"/>
  <c r="T236" i="6"/>
  <c r="J236" i="6"/>
  <c r="Z236" i="6" s="1"/>
  <c r="T235" i="6"/>
  <c r="U235" i="6" s="1"/>
  <c r="J235" i="6"/>
  <c r="Z235" i="6" s="1"/>
  <c r="T234" i="6"/>
  <c r="AA234" i="6" s="1"/>
  <c r="J234" i="6"/>
  <c r="Z234" i="6" s="1"/>
  <c r="T233" i="6"/>
  <c r="AA233" i="6" s="1"/>
  <c r="J233" i="6"/>
  <c r="Z233" i="6" s="1"/>
  <c r="T232" i="6"/>
  <c r="AA232" i="6" s="1"/>
  <c r="J232" i="6"/>
  <c r="T231" i="6"/>
  <c r="AA231" i="6" s="1"/>
  <c r="J231" i="6"/>
  <c r="T230" i="6"/>
  <c r="U230" i="6" s="1"/>
  <c r="J230" i="6"/>
  <c r="T229" i="6"/>
  <c r="U229" i="6" s="1"/>
  <c r="J229" i="6"/>
  <c r="K229" i="6" s="1"/>
  <c r="T228" i="6"/>
  <c r="J228" i="6"/>
  <c r="Z228" i="6" s="1"/>
  <c r="T227" i="6"/>
  <c r="AA227" i="6" s="1"/>
  <c r="J227" i="6"/>
  <c r="Z227" i="6" s="1"/>
  <c r="T226" i="6"/>
  <c r="U226" i="6" s="1"/>
  <c r="J226" i="6"/>
  <c r="Z226" i="6" s="1"/>
  <c r="T225" i="6"/>
  <c r="U225" i="6" s="1"/>
  <c r="J225" i="6"/>
  <c r="Z225" i="6" s="1"/>
  <c r="T224" i="6"/>
  <c r="J224" i="6"/>
  <c r="Z224" i="6" s="1"/>
  <c r="T223" i="6"/>
  <c r="U223" i="6" s="1"/>
  <c r="J223" i="6"/>
  <c r="T222" i="6"/>
  <c r="U222" i="6" s="1"/>
  <c r="J222" i="6"/>
  <c r="Z222" i="6" s="1"/>
  <c r="T221" i="6"/>
  <c r="J221" i="6"/>
  <c r="T220" i="6"/>
  <c r="AA220" i="6" s="1"/>
  <c r="J220" i="6"/>
  <c r="T219" i="6"/>
  <c r="AA219" i="6" s="1"/>
  <c r="J219" i="6"/>
  <c r="Z219" i="6" s="1"/>
  <c r="T218" i="6"/>
  <c r="U218" i="6" s="1"/>
  <c r="J218" i="6"/>
  <c r="K218" i="6" s="1"/>
  <c r="T217" i="6"/>
  <c r="J217" i="6"/>
  <c r="T216" i="6"/>
  <c r="AA216" i="6" s="1"/>
  <c r="J216" i="6"/>
  <c r="Z216" i="6" s="1"/>
  <c r="T215" i="6"/>
  <c r="AA215" i="6" s="1"/>
  <c r="J215" i="6"/>
  <c r="K215" i="6" s="1"/>
  <c r="T214" i="6"/>
  <c r="AA214" i="6" s="1"/>
  <c r="J214" i="6"/>
  <c r="Z214" i="6" s="1"/>
  <c r="T213" i="6"/>
  <c r="U213" i="6" s="1"/>
  <c r="J213" i="6"/>
  <c r="K213" i="6" s="1"/>
  <c r="T212" i="6"/>
  <c r="J212" i="6"/>
  <c r="T211" i="6"/>
  <c r="J211" i="6"/>
  <c r="Z211" i="6" s="1"/>
  <c r="T210" i="6"/>
  <c r="U210" i="6" s="1"/>
  <c r="J210" i="6"/>
  <c r="Z210" i="6" s="1"/>
  <c r="T209" i="6"/>
  <c r="AA209" i="6" s="1"/>
  <c r="J209" i="6"/>
  <c r="K209" i="6" s="1"/>
  <c r="T208" i="6"/>
  <c r="U208" i="6" s="1"/>
  <c r="J208" i="6"/>
  <c r="K208" i="6" s="1"/>
  <c r="T207" i="6"/>
  <c r="J207" i="6"/>
  <c r="T206" i="6"/>
  <c r="U206" i="6" s="1"/>
  <c r="J206" i="6"/>
  <c r="K206" i="6" s="1"/>
  <c r="T205" i="6"/>
  <c r="U205" i="6" s="1"/>
  <c r="J205" i="6"/>
  <c r="K205" i="6" s="1"/>
  <c r="T204" i="6"/>
  <c r="J204" i="6"/>
  <c r="Z204" i="6" s="1"/>
  <c r="T203" i="6"/>
  <c r="AA203" i="6" s="1"/>
  <c r="J203" i="6"/>
  <c r="Z203" i="6" s="1"/>
  <c r="T202" i="6"/>
  <c r="U202" i="6" s="1"/>
  <c r="J202" i="6"/>
  <c r="Z202" i="6" s="1"/>
  <c r="T201" i="6"/>
  <c r="J201" i="6"/>
  <c r="K201" i="6" s="1"/>
  <c r="T200" i="6"/>
  <c r="U200" i="6" s="1"/>
  <c r="J200" i="6"/>
  <c r="Z200" i="6" s="1"/>
  <c r="T199" i="6"/>
  <c r="AA199" i="6" s="1"/>
  <c r="J199" i="6"/>
  <c r="Z199" i="6" s="1"/>
  <c r="T198" i="6"/>
  <c r="U198" i="6" s="1"/>
  <c r="J198" i="6"/>
  <c r="Z198" i="6" s="1"/>
  <c r="T197" i="6"/>
  <c r="J197" i="6"/>
  <c r="K197" i="6" s="1"/>
  <c r="T196" i="6"/>
  <c r="AA196" i="6" s="1"/>
  <c r="J196" i="6"/>
  <c r="T195" i="6"/>
  <c r="AA195" i="6" s="1"/>
  <c r="J195" i="6"/>
  <c r="Z195" i="6" s="1"/>
  <c r="T194" i="6"/>
  <c r="J194" i="6"/>
  <c r="T193" i="6"/>
  <c r="U193" i="6" s="1"/>
  <c r="J193" i="6"/>
  <c r="Z193" i="6" s="1"/>
  <c r="T192" i="6"/>
  <c r="J192" i="6"/>
  <c r="Z192" i="6" s="1"/>
  <c r="T191" i="6"/>
  <c r="AA191" i="6" s="1"/>
  <c r="J191" i="6"/>
  <c r="T190" i="6"/>
  <c r="AA190" i="6" s="1"/>
  <c r="J190" i="6"/>
  <c r="Z190" i="6" s="1"/>
  <c r="T189" i="6"/>
  <c r="U189" i="6" s="1"/>
  <c r="J189" i="6"/>
  <c r="Z189" i="6" s="1"/>
  <c r="T188" i="6"/>
  <c r="J188" i="6"/>
  <c r="Z188" i="6" s="1"/>
  <c r="T187" i="6"/>
  <c r="U187" i="6" s="1"/>
  <c r="J187" i="6"/>
  <c r="Z187" i="6" s="1"/>
  <c r="T186" i="6"/>
  <c r="AA186" i="6" s="1"/>
  <c r="J186" i="6"/>
  <c r="Z186" i="6" s="1"/>
  <c r="T185" i="6"/>
  <c r="AA185" i="6" s="1"/>
  <c r="J185" i="6"/>
  <c r="Z185" i="6" s="1"/>
  <c r="T184" i="6"/>
  <c r="U184" i="6" s="1"/>
  <c r="J184" i="6"/>
  <c r="T183" i="6"/>
  <c r="AA183" i="6" s="1"/>
  <c r="J183" i="6"/>
  <c r="K183" i="6" s="1"/>
  <c r="T182" i="6"/>
  <c r="U182" i="6" s="1"/>
  <c r="J182" i="6"/>
  <c r="T181" i="6"/>
  <c r="AA181" i="6" s="1"/>
  <c r="J181" i="6"/>
  <c r="K181" i="6" s="1"/>
  <c r="T180" i="6"/>
  <c r="U180" i="6" s="1"/>
  <c r="J180" i="6"/>
  <c r="Z180" i="6" s="1"/>
  <c r="T179" i="6"/>
  <c r="U179" i="6" s="1"/>
  <c r="J179" i="6"/>
  <c r="K179" i="6" s="1"/>
  <c r="T178" i="6"/>
  <c r="U178" i="6" s="1"/>
  <c r="J178" i="6"/>
  <c r="Z178" i="6" s="1"/>
  <c r="T177" i="6"/>
  <c r="AA177" i="6" s="1"/>
  <c r="J177" i="6"/>
  <c r="Z177" i="6" s="1"/>
  <c r="T176" i="6"/>
  <c r="AA176" i="6" s="1"/>
  <c r="J176" i="6"/>
  <c r="K176" i="6" s="1"/>
  <c r="T175" i="6"/>
  <c r="J175" i="6"/>
  <c r="K175" i="6" s="1"/>
  <c r="U675" i="7" s="1"/>
  <c r="T174" i="6"/>
  <c r="J174" i="6"/>
  <c r="T173" i="6"/>
  <c r="J173" i="6"/>
  <c r="T172" i="6"/>
  <c r="U172" i="6" s="1"/>
  <c r="L672" i="7" s="1"/>
  <c r="J172" i="6"/>
  <c r="T171" i="6"/>
  <c r="U171" i="6" s="1"/>
  <c r="L671" i="7" s="1"/>
  <c r="J171" i="6"/>
  <c r="K171" i="6" s="1"/>
  <c r="U671" i="7" s="1"/>
  <c r="T170" i="6"/>
  <c r="U170" i="6" s="1"/>
  <c r="L670" i="7" s="1"/>
  <c r="J170" i="6"/>
  <c r="T169" i="6"/>
  <c r="U169" i="6" s="1"/>
  <c r="J169" i="6"/>
  <c r="K169" i="6" s="1"/>
  <c r="U669" i="7" s="1"/>
  <c r="T168" i="6"/>
  <c r="U168" i="6" s="1"/>
  <c r="L668" i="7" s="1"/>
  <c r="J168" i="6"/>
  <c r="T167" i="6"/>
  <c r="J167" i="6"/>
  <c r="K167" i="6" s="1"/>
  <c r="T166" i="6"/>
  <c r="J166" i="6"/>
  <c r="T165" i="6"/>
  <c r="AA165" i="6" s="1"/>
  <c r="J165" i="6"/>
  <c r="T164" i="6"/>
  <c r="U164" i="6" s="1"/>
  <c r="J164" i="6"/>
  <c r="Z164" i="6" s="1"/>
  <c r="T163" i="6"/>
  <c r="J163" i="6"/>
  <c r="Z163" i="6" s="1"/>
  <c r="T162" i="6"/>
  <c r="AA162" i="6" s="1"/>
  <c r="J162" i="6"/>
  <c r="T161" i="6"/>
  <c r="U161" i="6" s="1"/>
  <c r="J161" i="6"/>
  <c r="T160" i="6"/>
  <c r="J160" i="6"/>
  <c r="T159" i="6"/>
  <c r="J159" i="6"/>
  <c r="T158" i="6"/>
  <c r="J158" i="6"/>
  <c r="Z158" i="6" s="1"/>
  <c r="T157" i="6"/>
  <c r="J157" i="6"/>
  <c r="K157" i="6" s="1"/>
  <c r="T156" i="6"/>
  <c r="AA156" i="6" s="1"/>
  <c r="J156" i="6"/>
  <c r="Z156" i="6" s="1"/>
  <c r="T155" i="6"/>
  <c r="J155" i="6"/>
  <c r="T154" i="6"/>
  <c r="AA154" i="6" s="1"/>
  <c r="J154" i="6"/>
  <c r="Z154" i="6" s="1"/>
  <c r="T153" i="6"/>
  <c r="U153" i="6" s="1"/>
  <c r="J153" i="6"/>
  <c r="Z153" i="6" s="1"/>
  <c r="T152" i="6"/>
  <c r="AA152" i="6" s="1"/>
  <c r="J152" i="6"/>
  <c r="Z152" i="6" s="1"/>
  <c r="T151" i="6"/>
  <c r="J151" i="6"/>
  <c r="K151" i="6" s="1"/>
  <c r="T150" i="6"/>
  <c r="AA150" i="6" s="1"/>
  <c r="J150" i="6"/>
  <c r="K150" i="6" s="1"/>
  <c r="T149" i="6"/>
  <c r="AA149" i="6" s="1"/>
  <c r="J149" i="6"/>
  <c r="T148" i="6"/>
  <c r="U148" i="6" s="1"/>
  <c r="J148" i="6"/>
  <c r="K148" i="6" s="1"/>
  <c r="T147" i="6"/>
  <c r="J147" i="6"/>
  <c r="K147" i="6" s="1"/>
  <c r="T146" i="6"/>
  <c r="J146" i="6"/>
  <c r="T145" i="6"/>
  <c r="U145" i="6" s="1"/>
  <c r="J145" i="6"/>
  <c r="K145" i="6" s="1"/>
  <c r="T144" i="6"/>
  <c r="AA144" i="6" s="1"/>
  <c r="J144" i="6"/>
  <c r="T143" i="6"/>
  <c r="J143" i="6"/>
  <c r="T142" i="6"/>
  <c r="AA142" i="6" s="1"/>
  <c r="J142" i="6"/>
  <c r="Z142" i="6" s="1"/>
  <c r="T141" i="6"/>
  <c r="U141" i="6" s="1"/>
  <c r="J141" i="6"/>
  <c r="Z141" i="6" s="1"/>
  <c r="T140" i="6"/>
  <c r="J140" i="6"/>
  <c r="T139" i="6"/>
  <c r="AA139" i="6" s="1"/>
  <c r="J139" i="6"/>
  <c r="K139" i="6" s="1"/>
  <c r="T138" i="6"/>
  <c r="AA138" i="6" s="1"/>
  <c r="J138" i="6"/>
  <c r="K138" i="6" s="1"/>
  <c r="T137" i="6"/>
  <c r="J137" i="6"/>
  <c r="Z137" i="6" s="1"/>
  <c r="T136" i="6"/>
  <c r="U136" i="6" s="1"/>
  <c r="J136" i="6"/>
  <c r="K136" i="6" s="1"/>
  <c r="T135" i="6"/>
  <c r="J135" i="6"/>
  <c r="T134" i="6"/>
  <c r="J134" i="6"/>
  <c r="Z134" i="6" s="1"/>
  <c r="T133" i="6"/>
  <c r="U133" i="6" s="1"/>
  <c r="J133" i="6"/>
  <c r="K133" i="6" s="1"/>
  <c r="T132" i="6"/>
  <c r="J132" i="6"/>
  <c r="K132" i="6" s="1"/>
  <c r="T131" i="6"/>
  <c r="U131" i="6" s="1"/>
  <c r="J131" i="6"/>
  <c r="K131" i="6" s="1"/>
  <c r="T130" i="6"/>
  <c r="U130" i="6" s="1"/>
  <c r="J130" i="6"/>
  <c r="Z130" i="6" s="1"/>
  <c r="T129" i="6"/>
  <c r="U129" i="6" s="1"/>
  <c r="J129" i="6"/>
  <c r="T128" i="6"/>
  <c r="U128" i="6" s="1"/>
  <c r="J128" i="6"/>
  <c r="Z128" i="6" s="1"/>
  <c r="T127" i="6"/>
  <c r="J127" i="6"/>
  <c r="Z127" i="6" s="1"/>
  <c r="T126" i="6"/>
  <c r="AA126" i="6" s="1"/>
  <c r="J126" i="6"/>
  <c r="T125" i="6"/>
  <c r="AA125" i="6" s="1"/>
  <c r="J125" i="6"/>
  <c r="Z125" i="6" s="1"/>
  <c r="T124" i="6"/>
  <c r="U124" i="6" s="1"/>
  <c r="J124" i="6"/>
  <c r="T123" i="6"/>
  <c r="AA123" i="6" s="1"/>
  <c r="J123" i="6"/>
  <c r="Z123" i="6" s="1"/>
  <c r="T122" i="6"/>
  <c r="AA122" i="6" s="1"/>
  <c r="J122" i="6"/>
  <c r="T121" i="6"/>
  <c r="U121" i="6" s="1"/>
  <c r="J121" i="6"/>
  <c r="K121" i="6" s="1"/>
  <c r="T120" i="6"/>
  <c r="U120" i="6" s="1"/>
  <c r="J120" i="6"/>
  <c r="Z120" i="6" s="1"/>
  <c r="T119" i="6"/>
  <c r="U119" i="6" s="1"/>
  <c r="J119" i="6"/>
  <c r="Z119" i="6" s="1"/>
  <c r="T118" i="6"/>
  <c r="J118" i="6"/>
  <c r="T117" i="6"/>
  <c r="J117" i="6"/>
  <c r="Z117" i="6" s="1"/>
  <c r="T116" i="6"/>
  <c r="J116" i="6"/>
  <c r="K116" i="6" s="1"/>
  <c r="T115" i="6"/>
  <c r="AA115" i="6" s="1"/>
  <c r="J115" i="6"/>
  <c r="Z115" i="6" s="1"/>
  <c r="T114" i="6"/>
  <c r="AA114" i="6" s="1"/>
  <c r="J114" i="6"/>
  <c r="K114" i="6" s="1"/>
  <c r="T113" i="6"/>
  <c r="AA113" i="6" s="1"/>
  <c r="J113" i="6"/>
  <c r="K113" i="6" s="1"/>
  <c r="T112" i="6"/>
  <c r="J112" i="6"/>
  <c r="T111" i="6"/>
  <c r="J111" i="6"/>
  <c r="K111" i="6" s="1"/>
  <c r="T110" i="6"/>
  <c r="AA110" i="6" s="1"/>
  <c r="J110" i="6"/>
  <c r="Z110" i="6" s="1"/>
  <c r="T109" i="6"/>
  <c r="AA109" i="6" s="1"/>
  <c r="J109" i="6"/>
  <c r="T108" i="6"/>
  <c r="J108" i="6"/>
  <c r="K108" i="6" s="1"/>
  <c r="T107" i="6"/>
  <c r="U107" i="6" s="1"/>
  <c r="J107" i="6"/>
  <c r="T106" i="6"/>
  <c r="U106" i="6" s="1"/>
  <c r="J106" i="6"/>
  <c r="K106" i="6" s="1"/>
  <c r="T105" i="6"/>
  <c r="J105" i="6"/>
  <c r="Z105" i="6" s="1"/>
  <c r="T104" i="6"/>
  <c r="U104" i="6" s="1"/>
  <c r="J104" i="6"/>
  <c r="Z104" i="6" s="1"/>
  <c r="T103" i="6"/>
  <c r="J103" i="6"/>
  <c r="Z103" i="6" s="1"/>
  <c r="T102" i="6"/>
  <c r="U102" i="6" s="1"/>
  <c r="J102" i="6"/>
  <c r="K102" i="6" s="1"/>
  <c r="T101" i="6"/>
  <c r="J101" i="6"/>
  <c r="T100" i="6"/>
  <c r="J100" i="6"/>
  <c r="K100" i="6" s="1"/>
  <c r="T99" i="6"/>
  <c r="U99" i="6" s="1"/>
  <c r="J99" i="6"/>
  <c r="T98" i="6"/>
  <c r="AA98" i="6" s="1"/>
  <c r="J98" i="6"/>
  <c r="T97" i="6"/>
  <c r="U97" i="6" s="1"/>
  <c r="J97" i="6"/>
  <c r="T96" i="6"/>
  <c r="U96" i="6" s="1"/>
  <c r="J96" i="6"/>
  <c r="Z96" i="6" s="1"/>
  <c r="T95" i="6"/>
  <c r="U95" i="6" s="1"/>
  <c r="J95" i="6"/>
  <c r="K95" i="6" s="1"/>
  <c r="T94" i="6"/>
  <c r="J94" i="6"/>
  <c r="Z94" i="6" s="1"/>
  <c r="T93" i="6"/>
  <c r="AA93" i="6" s="1"/>
  <c r="J93" i="6"/>
  <c r="T92" i="6"/>
  <c r="U92" i="6" s="1"/>
  <c r="J92" i="6"/>
  <c r="T91" i="6"/>
  <c r="AA91" i="6" s="1"/>
  <c r="J91" i="6"/>
  <c r="Z91" i="6" s="1"/>
  <c r="T90" i="6"/>
  <c r="AA90" i="6" s="1"/>
  <c r="J90" i="6"/>
  <c r="T89" i="6"/>
  <c r="J89" i="6"/>
  <c r="Z89" i="6" s="1"/>
  <c r="T88" i="6"/>
  <c r="J88" i="6"/>
  <c r="T87" i="6"/>
  <c r="U87" i="6" s="1"/>
  <c r="J87" i="6"/>
  <c r="T86" i="6"/>
  <c r="J86" i="6"/>
  <c r="Z86" i="6" s="1"/>
  <c r="T85" i="6"/>
  <c r="U85" i="6" s="1"/>
  <c r="J85" i="6"/>
  <c r="K85" i="6" s="1"/>
  <c r="T84" i="6"/>
  <c r="J84" i="6"/>
  <c r="Z84" i="6" s="1"/>
  <c r="T83" i="6"/>
  <c r="U83" i="6" s="1"/>
  <c r="J83" i="6"/>
  <c r="K83" i="6" s="1"/>
  <c r="T82" i="6"/>
  <c r="AA82" i="6" s="1"/>
  <c r="J82" i="6"/>
  <c r="T81" i="6"/>
  <c r="U81" i="6" s="1"/>
  <c r="J81" i="6"/>
  <c r="T80" i="6"/>
  <c r="J80" i="6"/>
  <c r="T79" i="6"/>
  <c r="AA79" i="6" s="1"/>
  <c r="J79" i="6"/>
  <c r="Z79" i="6" s="1"/>
  <c r="T78" i="6"/>
  <c r="AA78" i="6" s="1"/>
  <c r="J78" i="6"/>
  <c r="T77" i="6"/>
  <c r="AA77" i="6" s="1"/>
  <c r="J77" i="6"/>
  <c r="T76" i="6"/>
  <c r="U76" i="6" s="1"/>
  <c r="J76" i="6"/>
  <c r="K76" i="6" s="1"/>
  <c r="T75" i="6"/>
  <c r="AA75" i="6" s="1"/>
  <c r="J75" i="6"/>
  <c r="T74" i="6"/>
  <c r="AA74" i="6" s="1"/>
  <c r="J74" i="6"/>
  <c r="T73" i="6"/>
  <c r="J73" i="6"/>
  <c r="K73" i="6" s="1"/>
  <c r="T72" i="6"/>
  <c r="AA72" i="6" s="1"/>
  <c r="J72" i="6"/>
  <c r="K72" i="6" s="1"/>
  <c r="T71" i="6"/>
  <c r="U71" i="6" s="1"/>
  <c r="J71" i="6"/>
  <c r="K71" i="6" s="1"/>
  <c r="T70" i="6"/>
  <c r="AA70" i="6" s="1"/>
  <c r="J70" i="6"/>
  <c r="K70" i="6" s="1"/>
  <c r="T69" i="6"/>
  <c r="U69" i="6" s="1"/>
  <c r="J69" i="6"/>
  <c r="Z69" i="6" s="1"/>
  <c r="T68" i="6"/>
  <c r="AA68" i="6" s="1"/>
  <c r="J68" i="6"/>
  <c r="Z68" i="6" s="1"/>
  <c r="T67" i="6"/>
  <c r="AA67" i="6" s="1"/>
  <c r="J67" i="6"/>
  <c r="K67" i="6" s="1"/>
  <c r="T66" i="6"/>
  <c r="AA66" i="6" s="1"/>
  <c r="J66" i="6"/>
  <c r="K66" i="6" s="1"/>
  <c r="T65" i="6"/>
  <c r="U65" i="6" s="1"/>
  <c r="J65" i="6"/>
  <c r="K65" i="6" s="1"/>
  <c r="T64" i="6"/>
  <c r="J64" i="6"/>
  <c r="Z64" i="6" s="1"/>
  <c r="T63" i="6"/>
  <c r="U63" i="6" s="1"/>
  <c r="J63" i="6"/>
  <c r="K63" i="6" s="1"/>
  <c r="T62" i="6"/>
  <c r="AA62" i="6" s="1"/>
  <c r="J62" i="6"/>
  <c r="Z62" i="6" s="1"/>
  <c r="T61" i="6"/>
  <c r="U61" i="6" s="1"/>
  <c r="J61" i="6"/>
  <c r="T60" i="6"/>
  <c r="AA60" i="6" s="1"/>
  <c r="J60" i="6"/>
  <c r="T59" i="6"/>
  <c r="U59" i="6" s="1"/>
  <c r="J59" i="6"/>
  <c r="K59" i="6" s="1"/>
  <c r="T58" i="6"/>
  <c r="AA58" i="6" s="1"/>
  <c r="J58" i="6"/>
  <c r="T57" i="6"/>
  <c r="U57" i="6" s="1"/>
  <c r="J57" i="6"/>
  <c r="Z57" i="6" s="1"/>
  <c r="T56" i="6"/>
  <c r="U56" i="6" s="1"/>
  <c r="J56" i="6"/>
  <c r="K56" i="6" s="1"/>
  <c r="T55" i="6"/>
  <c r="J55" i="6"/>
  <c r="K55" i="6" s="1"/>
  <c r="T54" i="6"/>
  <c r="U54" i="6" s="1"/>
  <c r="AA54" i="6" s="1"/>
  <c r="J54" i="6"/>
  <c r="K54" i="6" s="1"/>
  <c r="T53" i="6"/>
  <c r="U53" i="6" s="1"/>
  <c r="J53" i="6"/>
  <c r="K53" i="6" s="1"/>
  <c r="T52" i="6"/>
  <c r="U52" i="6" s="1"/>
  <c r="L552" i="7" s="1"/>
  <c r="J52" i="6"/>
  <c r="K52" i="6" s="1"/>
  <c r="T51" i="6"/>
  <c r="J51" i="6"/>
  <c r="T50" i="6"/>
  <c r="U50" i="6" s="1"/>
  <c r="L550" i="7" s="1"/>
  <c r="J50" i="6"/>
  <c r="T49" i="6"/>
  <c r="U49" i="6" s="1"/>
  <c r="L549" i="7" s="1"/>
  <c r="J49" i="6"/>
  <c r="K49" i="6" s="1"/>
  <c r="T48" i="6"/>
  <c r="U48" i="6" s="1"/>
  <c r="L548" i="7" s="1"/>
  <c r="J48" i="6"/>
  <c r="K48" i="6" s="1"/>
  <c r="U548" i="7" s="1"/>
  <c r="T47" i="6"/>
  <c r="U47" i="6" s="1"/>
  <c r="J47" i="6"/>
  <c r="K47" i="6" s="1"/>
  <c r="T46" i="6"/>
  <c r="U46" i="6" s="1"/>
  <c r="L546" i="7" s="1"/>
  <c r="J46" i="6"/>
  <c r="K46" i="6" s="1"/>
  <c r="T45" i="6"/>
  <c r="U45" i="6" s="1"/>
  <c r="L545" i="7" s="1"/>
  <c r="J45" i="6"/>
  <c r="T44" i="6"/>
  <c r="U44" i="6" s="1"/>
  <c r="J44" i="6"/>
  <c r="K44" i="6" s="1"/>
  <c r="T43" i="6"/>
  <c r="U43" i="6" s="1"/>
  <c r="L543" i="7" s="1"/>
  <c r="J43" i="6"/>
  <c r="K43" i="6" s="1"/>
  <c r="T42" i="6"/>
  <c r="U42" i="6" s="1"/>
  <c r="L542" i="7" s="1"/>
  <c r="J42" i="6"/>
  <c r="K42" i="6" s="1"/>
  <c r="U542" i="7" s="1"/>
  <c r="T41" i="6"/>
  <c r="U41" i="6" s="1"/>
  <c r="L541" i="7" s="1"/>
  <c r="J41" i="6"/>
  <c r="T40" i="6"/>
  <c r="U40" i="6" s="1"/>
  <c r="L540" i="7" s="1"/>
  <c r="J40" i="6"/>
  <c r="K40" i="6" s="1"/>
  <c r="T39" i="6"/>
  <c r="U39" i="6" s="1"/>
  <c r="J39" i="6"/>
  <c r="T38" i="6"/>
  <c r="U38" i="6" s="1"/>
  <c r="L538" i="7" s="1"/>
  <c r="J38" i="6"/>
  <c r="K38" i="6" s="1"/>
  <c r="U538" i="7" s="1"/>
  <c r="T37" i="6"/>
  <c r="J37" i="6"/>
  <c r="K37" i="6" s="1"/>
  <c r="U537" i="7" s="1"/>
  <c r="T36" i="6"/>
  <c r="U36" i="6" s="1"/>
  <c r="L536" i="7" s="1"/>
  <c r="J36" i="6"/>
  <c r="T35" i="6"/>
  <c r="J35" i="6"/>
  <c r="K35" i="6" s="1"/>
  <c r="T34" i="6"/>
  <c r="J34" i="6"/>
  <c r="K34" i="6" s="1"/>
  <c r="T33" i="6"/>
  <c r="J33" i="6"/>
  <c r="T32" i="6"/>
  <c r="J32" i="6"/>
  <c r="K32" i="6" s="1"/>
  <c r="T31" i="6"/>
  <c r="J31" i="6"/>
  <c r="K31" i="6" s="1"/>
  <c r="T30" i="6"/>
  <c r="U30" i="6" s="1"/>
  <c r="J30" i="6"/>
  <c r="K30" i="6" s="1"/>
  <c r="T29" i="6"/>
  <c r="U29" i="6" s="1"/>
  <c r="J29" i="6"/>
  <c r="K29" i="6" s="1"/>
  <c r="U529" i="7" s="1"/>
  <c r="T28" i="6"/>
  <c r="J28" i="6"/>
  <c r="K28" i="6" s="1"/>
  <c r="T27" i="6"/>
  <c r="U27" i="6" s="1"/>
  <c r="J27" i="6"/>
  <c r="K27" i="6" s="1"/>
  <c r="U527" i="7" s="1"/>
  <c r="T26" i="6"/>
  <c r="J26" i="6"/>
  <c r="K26" i="6" s="1"/>
  <c r="T25" i="6"/>
  <c r="J25" i="6"/>
  <c r="T24" i="6"/>
  <c r="J24" i="6"/>
  <c r="T23" i="6"/>
  <c r="J23" i="6"/>
  <c r="K23" i="6" s="1"/>
  <c r="T22" i="6"/>
  <c r="U22" i="6" s="1"/>
  <c r="J22" i="6"/>
  <c r="T21" i="6"/>
  <c r="J21" i="6"/>
  <c r="T20" i="6"/>
  <c r="J20" i="6"/>
  <c r="K20" i="6" s="1"/>
  <c r="U520" i="7" s="1"/>
  <c r="T19" i="6"/>
  <c r="U19" i="6" s="1"/>
  <c r="L519" i="7" s="1"/>
  <c r="J19" i="6"/>
  <c r="K19" i="6" s="1"/>
  <c r="T18" i="6"/>
  <c r="U18" i="6" s="1"/>
  <c r="L518" i="7" s="1"/>
  <c r="J18" i="6"/>
  <c r="K18" i="6" s="1"/>
  <c r="U518" i="7" s="1"/>
  <c r="T17" i="6"/>
  <c r="U17" i="6" s="1"/>
  <c r="L517" i="7" s="1"/>
  <c r="J17" i="6"/>
  <c r="T16" i="6"/>
  <c r="U16" i="6" s="1"/>
  <c r="L516" i="7" s="1"/>
  <c r="J16" i="6"/>
  <c r="T15" i="6"/>
  <c r="J15" i="6"/>
  <c r="K15" i="6" s="1"/>
  <c r="T14" i="6"/>
  <c r="J14" i="6"/>
  <c r="T13" i="6"/>
  <c r="U13" i="6" s="1"/>
  <c r="L513" i="7" s="1"/>
  <c r="J13" i="6"/>
  <c r="K13" i="6" s="1"/>
  <c r="T12" i="6"/>
  <c r="U12" i="6" s="1"/>
  <c r="L512" i="7" s="1"/>
  <c r="J12" i="6"/>
  <c r="K12" i="6" s="1"/>
  <c r="T11" i="6"/>
  <c r="U11" i="6" s="1"/>
  <c r="J11" i="6"/>
  <c r="K11" i="6" s="1"/>
  <c r="T10" i="6"/>
  <c r="J10" i="6"/>
  <c r="K10" i="6" s="1"/>
  <c r="U510" i="7" s="1"/>
  <c r="T9" i="6"/>
  <c r="J9" i="6"/>
  <c r="K9" i="6" s="1"/>
  <c r="T8" i="6"/>
  <c r="U8" i="6" s="1"/>
  <c r="L508" i="7" s="1"/>
  <c r="J8" i="6"/>
  <c r="K8" i="6" s="1"/>
  <c r="U508" i="7" s="1"/>
  <c r="T7" i="6"/>
  <c r="U7" i="6" s="1"/>
  <c r="L507" i="7" s="1"/>
  <c r="J7" i="6"/>
  <c r="K7" i="6" s="1"/>
  <c r="T6" i="6"/>
  <c r="U6" i="6" s="1"/>
  <c r="J6" i="6"/>
  <c r="T5" i="6"/>
  <c r="J5" i="6"/>
  <c r="K5" i="6" s="1"/>
  <c r="T4" i="6"/>
  <c r="U4" i="6" s="1"/>
  <c r="L504" i="7" s="1"/>
  <c r="J4" i="6"/>
  <c r="K4" i="6" s="1"/>
  <c r="T3" i="6"/>
  <c r="U3" i="6" s="1"/>
  <c r="L503" i="7" s="1"/>
  <c r="J3" i="6"/>
  <c r="T2" i="6"/>
  <c r="J2" i="6"/>
  <c r="K2" i="6" s="1"/>
  <c r="U502" i="7" s="1"/>
  <c r="W1000" i="5"/>
  <c r="X1000" i="5" s="1"/>
  <c r="P1000" i="5"/>
  <c r="AB1000" i="5" s="1"/>
  <c r="L1000" i="5"/>
  <c r="W999" i="5"/>
  <c r="AC999" i="5" s="1"/>
  <c r="P999" i="5"/>
  <c r="L999" i="5"/>
  <c r="AA999" i="5" s="1"/>
  <c r="W998" i="5"/>
  <c r="P998" i="5"/>
  <c r="L998" i="5"/>
  <c r="W997" i="5"/>
  <c r="P997" i="5"/>
  <c r="Q997" i="5" s="1"/>
  <c r="L997" i="5"/>
  <c r="W996" i="5"/>
  <c r="AC996" i="5" s="1"/>
  <c r="P996" i="5"/>
  <c r="L996" i="5"/>
  <c r="W995" i="5"/>
  <c r="X995" i="5" s="1"/>
  <c r="P995" i="5"/>
  <c r="L995" i="5"/>
  <c r="AA995" i="5" s="1"/>
  <c r="W994" i="5"/>
  <c r="AC994" i="5" s="1"/>
  <c r="P994" i="5"/>
  <c r="L994" i="5"/>
  <c r="W993" i="5"/>
  <c r="AC993" i="5" s="1"/>
  <c r="P993" i="5"/>
  <c r="AB993" i="5" s="1"/>
  <c r="L993" i="5"/>
  <c r="W992" i="5"/>
  <c r="X992" i="5" s="1"/>
  <c r="P992" i="5"/>
  <c r="L992" i="5"/>
  <c r="AA992" i="5" s="1"/>
  <c r="W991" i="5"/>
  <c r="P991" i="5"/>
  <c r="AB991" i="5" s="1"/>
  <c r="L991" i="5"/>
  <c r="W990" i="5"/>
  <c r="AC990" i="5" s="1"/>
  <c r="P990" i="5"/>
  <c r="AB990" i="5" s="1"/>
  <c r="L990" i="5"/>
  <c r="AA990" i="5" s="1"/>
  <c r="W989" i="5"/>
  <c r="P989" i="5"/>
  <c r="AB989" i="5" s="1"/>
  <c r="L989" i="5"/>
  <c r="W988" i="5"/>
  <c r="AC988" i="5" s="1"/>
  <c r="P988" i="5"/>
  <c r="L988" i="5"/>
  <c r="M988" i="5" s="1"/>
  <c r="W987" i="5"/>
  <c r="AC987" i="5" s="1"/>
  <c r="P987" i="5"/>
  <c r="L987" i="5"/>
  <c r="W986" i="5"/>
  <c r="AC986" i="5" s="1"/>
  <c r="P986" i="5"/>
  <c r="Q986" i="5" s="1"/>
  <c r="L986" i="5"/>
  <c r="M986" i="5" s="1"/>
  <c r="W985" i="5"/>
  <c r="P985" i="5"/>
  <c r="AB985" i="5" s="1"/>
  <c r="L985" i="5"/>
  <c r="W984" i="5"/>
  <c r="AC984" i="5" s="1"/>
  <c r="P984" i="5"/>
  <c r="AB984" i="5" s="1"/>
  <c r="L984" i="5"/>
  <c r="M984" i="5" s="1"/>
  <c r="W983" i="5"/>
  <c r="P983" i="5"/>
  <c r="Q983" i="5" s="1"/>
  <c r="L983" i="5"/>
  <c r="W982" i="5"/>
  <c r="P982" i="5"/>
  <c r="L982" i="5"/>
  <c r="W981" i="5"/>
  <c r="P981" i="5"/>
  <c r="L981" i="5"/>
  <c r="M981" i="5" s="1"/>
  <c r="W980" i="5"/>
  <c r="P980" i="5"/>
  <c r="AB980" i="5" s="1"/>
  <c r="L980" i="5"/>
  <c r="W979" i="5"/>
  <c r="X979" i="5" s="1"/>
  <c r="P979" i="5"/>
  <c r="L979" i="5"/>
  <c r="AA979" i="5" s="1"/>
  <c r="W978" i="5"/>
  <c r="P978" i="5"/>
  <c r="L978" i="5"/>
  <c r="W977" i="5"/>
  <c r="P977" i="5"/>
  <c r="L977" i="5"/>
  <c r="AA977" i="5" s="1"/>
  <c r="W976" i="5"/>
  <c r="P976" i="5"/>
  <c r="AB976" i="5" s="1"/>
  <c r="L976" i="5"/>
  <c r="W975" i="5"/>
  <c r="AC975" i="5" s="1"/>
  <c r="P975" i="5"/>
  <c r="Q975" i="5" s="1"/>
  <c r="L975" i="5"/>
  <c r="AA975" i="5" s="1"/>
  <c r="W974" i="5"/>
  <c r="AC974" i="5" s="1"/>
  <c r="P974" i="5"/>
  <c r="AB974" i="5" s="1"/>
  <c r="L974" i="5"/>
  <c r="W973" i="5"/>
  <c r="X973" i="5" s="1"/>
  <c r="P973" i="5"/>
  <c r="AB973" i="5" s="1"/>
  <c r="L973" i="5"/>
  <c r="M973" i="5" s="1"/>
  <c r="W972" i="5"/>
  <c r="AC972" i="5" s="1"/>
  <c r="P972" i="5"/>
  <c r="L972" i="5"/>
  <c r="AA972" i="5" s="1"/>
  <c r="W971" i="5"/>
  <c r="AC971" i="5" s="1"/>
  <c r="P971" i="5"/>
  <c r="AB971" i="5" s="1"/>
  <c r="L971" i="5"/>
  <c r="W970" i="5"/>
  <c r="AC970" i="5" s="1"/>
  <c r="P970" i="5"/>
  <c r="L970" i="5"/>
  <c r="AA970" i="5" s="1"/>
  <c r="W969" i="5"/>
  <c r="AC969" i="5" s="1"/>
  <c r="P969" i="5"/>
  <c r="AB969" i="5" s="1"/>
  <c r="L969" i="5"/>
  <c r="W968" i="5"/>
  <c r="X968" i="5" s="1"/>
  <c r="P968" i="5"/>
  <c r="AB968" i="5" s="1"/>
  <c r="L968" i="5"/>
  <c r="W967" i="5"/>
  <c r="AC967" i="5" s="1"/>
  <c r="P967" i="5"/>
  <c r="L967" i="5"/>
  <c r="AA967" i="5" s="1"/>
  <c r="W966" i="5"/>
  <c r="P966" i="5"/>
  <c r="AB966" i="5" s="1"/>
  <c r="L966" i="5"/>
  <c r="W965" i="5"/>
  <c r="X965" i="5" s="1"/>
  <c r="P965" i="5"/>
  <c r="L965" i="5"/>
  <c r="W964" i="5"/>
  <c r="X964" i="5" s="1"/>
  <c r="P964" i="5"/>
  <c r="AB964" i="5" s="1"/>
  <c r="L964" i="5"/>
  <c r="W963" i="5"/>
  <c r="P963" i="5"/>
  <c r="L963" i="5"/>
  <c r="W962" i="5"/>
  <c r="AC962" i="5" s="1"/>
  <c r="P962" i="5"/>
  <c r="L962" i="5"/>
  <c r="M962" i="5" s="1"/>
  <c r="W961" i="5"/>
  <c r="AC961" i="5" s="1"/>
  <c r="P961" i="5"/>
  <c r="Q961" i="5" s="1"/>
  <c r="L961" i="5"/>
  <c r="M961" i="5" s="1"/>
  <c r="W960" i="5"/>
  <c r="P960" i="5"/>
  <c r="AB960" i="5" s="1"/>
  <c r="L960" i="5"/>
  <c r="W959" i="5"/>
  <c r="P959" i="5"/>
  <c r="Q959" i="5" s="1"/>
  <c r="L959" i="5"/>
  <c r="AA959" i="5" s="1"/>
  <c r="W958" i="5"/>
  <c r="AC958" i="5" s="1"/>
  <c r="P958" i="5"/>
  <c r="L958" i="5"/>
  <c r="AA958" i="5" s="1"/>
  <c r="W957" i="5"/>
  <c r="P957" i="5"/>
  <c r="L957" i="5"/>
  <c r="AA957" i="5" s="1"/>
  <c r="W956" i="5"/>
  <c r="P956" i="5"/>
  <c r="L956" i="5"/>
  <c r="W955" i="5"/>
  <c r="P955" i="5"/>
  <c r="AB955" i="5" s="1"/>
  <c r="L955" i="5"/>
  <c r="W954" i="5"/>
  <c r="X954" i="5" s="1"/>
  <c r="P954" i="5"/>
  <c r="L954" i="5"/>
  <c r="AA954" i="5" s="1"/>
  <c r="W953" i="5"/>
  <c r="P953" i="5"/>
  <c r="Q953" i="5" s="1"/>
  <c r="L953" i="5"/>
  <c r="AA953" i="5" s="1"/>
  <c r="W952" i="5"/>
  <c r="X952" i="5" s="1"/>
  <c r="P952" i="5"/>
  <c r="L952" i="5"/>
  <c r="AA952" i="5" s="1"/>
  <c r="W951" i="5"/>
  <c r="AC951" i="5" s="1"/>
  <c r="P951" i="5"/>
  <c r="L951" i="5"/>
  <c r="M951" i="5" s="1"/>
  <c r="W950" i="5"/>
  <c r="AC950" i="5" s="1"/>
  <c r="P950" i="5"/>
  <c r="Q950" i="5" s="1"/>
  <c r="L950" i="5"/>
  <c r="W949" i="5"/>
  <c r="P949" i="5"/>
  <c r="AB949" i="5" s="1"/>
  <c r="L949" i="5"/>
  <c r="W948" i="5"/>
  <c r="X948" i="5" s="1"/>
  <c r="P948" i="5"/>
  <c r="Q948" i="5" s="1"/>
  <c r="L948" i="5"/>
  <c r="W947" i="5"/>
  <c r="AC947" i="5" s="1"/>
  <c r="P947" i="5"/>
  <c r="Q947" i="5" s="1"/>
  <c r="L947" i="5"/>
  <c r="AA947" i="5" s="1"/>
  <c r="W946" i="5"/>
  <c r="AC946" i="5" s="1"/>
  <c r="P946" i="5"/>
  <c r="Q946" i="5" s="1"/>
  <c r="L946" i="5"/>
  <c r="W945" i="5"/>
  <c r="P945" i="5"/>
  <c r="L945" i="5"/>
  <c r="W944" i="5"/>
  <c r="X944" i="5" s="1"/>
  <c r="P944" i="5"/>
  <c r="L944" i="5"/>
  <c r="AA944" i="5" s="1"/>
  <c r="W943" i="5"/>
  <c r="AC943" i="5" s="1"/>
  <c r="P943" i="5"/>
  <c r="L943" i="5"/>
  <c r="AA943" i="5" s="1"/>
  <c r="W942" i="5"/>
  <c r="X942" i="5" s="1"/>
  <c r="P942" i="5"/>
  <c r="AB942" i="5" s="1"/>
  <c r="L942" i="5"/>
  <c r="W941" i="5"/>
  <c r="P941" i="5"/>
  <c r="L941" i="5"/>
  <c r="W940" i="5"/>
  <c r="X940" i="5" s="1"/>
  <c r="P940" i="5"/>
  <c r="L940" i="5"/>
  <c r="AA940" i="5" s="1"/>
  <c r="W939" i="5"/>
  <c r="AC939" i="5" s="1"/>
  <c r="P939" i="5"/>
  <c r="L939" i="5"/>
  <c r="W938" i="5"/>
  <c r="X938" i="5" s="1"/>
  <c r="P938" i="5"/>
  <c r="Q938" i="5" s="1"/>
  <c r="L938" i="5"/>
  <c r="AA938" i="5" s="1"/>
  <c r="W937" i="5"/>
  <c r="P937" i="5"/>
  <c r="AB937" i="5" s="1"/>
  <c r="L937" i="5"/>
  <c r="W936" i="5"/>
  <c r="AC936" i="5" s="1"/>
  <c r="P936" i="5"/>
  <c r="Q936" i="5" s="1"/>
  <c r="L936" i="5"/>
  <c r="M936" i="5" s="1"/>
  <c r="W935" i="5"/>
  <c r="P935" i="5"/>
  <c r="AB935" i="5" s="1"/>
  <c r="L935" i="5"/>
  <c r="AA935" i="5" s="1"/>
  <c r="W934" i="5"/>
  <c r="AC934" i="5" s="1"/>
  <c r="P934" i="5"/>
  <c r="AB934" i="5" s="1"/>
  <c r="L934" i="5"/>
  <c r="AA934" i="5" s="1"/>
  <c r="W933" i="5"/>
  <c r="P933" i="5"/>
  <c r="AB933" i="5" s="1"/>
  <c r="L933" i="5"/>
  <c r="AA933" i="5" s="1"/>
  <c r="W932" i="5"/>
  <c r="P932" i="5"/>
  <c r="AB932" i="5" s="1"/>
  <c r="L932" i="5"/>
  <c r="W931" i="5"/>
  <c r="P931" i="5"/>
  <c r="L931" i="5"/>
  <c r="AA931" i="5" s="1"/>
  <c r="W930" i="5"/>
  <c r="AC930" i="5" s="1"/>
  <c r="P930" i="5"/>
  <c r="L930" i="5"/>
  <c r="W929" i="5"/>
  <c r="X929" i="5" s="1"/>
  <c r="P929" i="5"/>
  <c r="AB929" i="5" s="1"/>
  <c r="L929" i="5"/>
  <c r="W928" i="5"/>
  <c r="AC928" i="5" s="1"/>
  <c r="P928" i="5"/>
  <c r="L928" i="5"/>
  <c r="W927" i="5"/>
  <c r="X927" i="5" s="1"/>
  <c r="P927" i="5"/>
  <c r="Q927" i="5" s="1"/>
  <c r="L927" i="5"/>
  <c r="M927" i="5" s="1"/>
  <c r="W926" i="5"/>
  <c r="X926" i="5" s="1"/>
  <c r="P926" i="5"/>
  <c r="Q926" i="5" s="1"/>
  <c r="L926" i="5"/>
  <c r="M926" i="5" s="1"/>
  <c r="W925" i="5"/>
  <c r="P925" i="5"/>
  <c r="L925" i="5"/>
  <c r="W924" i="5"/>
  <c r="P924" i="5"/>
  <c r="AB924" i="5" s="1"/>
  <c r="L924" i="5"/>
  <c r="W923" i="5"/>
  <c r="X923" i="5" s="1"/>
  <c r="P923" i="5"/>
  <c r="AB923" i="5" s="1"/>
  <c r="L923" i="5"/>
  <c r="W922" i="5"/>
  <c r="AC922" i="5" s="1"/>
  <c r="P922" i="5"/>
  <c r="L922" i="5"/>
  <c r="W921" i="5"/>
  <c r="P921" i="5"/>
  <c r="AB921" i="5" s="1"/>
  <c r="L921" i="5"/>
  <c r="M921" i="5" s="1"/>
  <c r="W920" i="5"/>
  <c r="P920" i="5"/>
  <c r="L920" i="5"/>
  <c r="AA920" i="5" s="1"/>
  <c r="W919" i="5"/>
  <c r="AC919" i="5" s="1"/>
  <c r="P919" i="5"/>
  <c r="L919" i="5"/>
  <c r="AA919" i="5" s="1"/>
  <c r="W918" i="5"/>
  <c r="P918" i="5"/>
  <c r="AB918" i="5" s="1"/>
  <c r="L918" i="5"/>
  <c r="AA918" i="5" s="1"/>
  <c r="W917" i="5"/>
  <c r="X917" i="5" s="1"/>
  <c r="P917" i="5"/>
  <c r="Q917" i="5" s="1"/>
  <c r="L917" i="5"/>
  <c r="W916" i="5"/>
  <c r="X916" i="5" s="1"/>
  <c r="P916" i="5"/>
  <c r="AB916" i="5" s="1"/>
  <c r="L916" i="5"/>
  <c r="W915" i="5"/>
  <c r="X915" i="5" s="1"/>
  <c r="P915" i="5"/>
  <c r="L915" i="5"/>
  <c r="AA915" i="5" s="1"/>
  <c r="W914" i="5"/>
  <c r="AC914" i="5" s="1"/>
  <c r="P914" i="5"/>
  <c r="L914" i="5"/>
  <c r="AA914" i="5" s="1"/>
  <c r="W913" i="5"/>
  <c r="AC913" i="5" s="1"/>
  <c r="P913" i="5"/>
  <c r="AB913" i="5" s="1"/>
  <c r="L913" i="5"/>
  <c r="W912" i="5"/>
  <c r="AC912" i="5" s="1"/>
  <c r="P912" i="5"/>
  <c r="AB912" i="5" s="1"/>
  <c r="L912" i="5"/>
  <c r="W911" i="5"/>
  <c r="AC911" i="5" s="1"/>
  <c r="P911" i="5"/>
  <c r="AB911" i="5" s="1"/>
  <c r="L911" i="5"/>
  <c r="W910" i="5"/>
  <c r="P910" i="5"/>
  <c r="AB910" i="5" s="1"/>
  <c r="L910" i="5"/>
  <c r="M910" i="5" s="1"/>
  <c r="W909" i="5"/>
  <c r="P909" i="5"/>
  <c r="AB909" i="5" s="1"/>
  <c r="L909" i="5"/>
  <c r="AA909" i="5" s="1"/>
  <c r="W908" i="5"/>
  <c r="AC908" i="5" s="1"/>
  <c r="P908" i="5"/>
  <c r="L908" i="5"/>
  <c r="AA908" i="5" s="1"/>
  <c r="W907" i="5"/>
  <c r="X907" i="5" s="1"/>
  <c r="P907" i="5"/>
  <c r="L907" i="5"/>
  <c r="AA907" i="5" s="1"/>
  <c r="W906" i="5"/>
  <c r="P906" i="5"/>
  <c r="L906" i="5"/>
  <c r="AA906" i="5" s="1"/>
  <c r="W905" i="5"/>
  <c r="P905" i="5"/>
  <c r="AB905" i="5" s="1"/>
  <c r="L905" i="5"/>
  <c r="W904" i="5"/>
  <c r="X904" i="5" s="1"/>
  <c r="P904" i="5"/>
  <c r="AB904" i="5" s="1"/>
  <c r="L904" i="5"/>
  <c r="W903" i="5"/>
  <c r="AC903" i="5" s="1"/>
  <c r="P903" i="5"/>
  <c r="L903" i="5"/>
  <c r="W902" i="5"/>
  <c r="P902" i="5"/>
  <c r="Q902" i="5" s="1"/>
  <c r="L902" i="5"/>
  <c r="W901" i="5"/>
  <c r="AC901" i="5" s="1"/>
  <c r="P901" i="5"/>
  <c r="AB901" i="5" s="1"/>
  <c r="L901" i="5"/>
  <c r="W900" i="5"/>
  <c r="AC900" i="5" s="1"/>
  <c r="P900" i="5"/>
  <c r="L900" i="5"/>
  <c r="W899" i="5"/>
  <c r="X899" i="5" s="1"/>
  <c r="P899" i="5"/>
  <c r="AB899" i="5" s="1"/>
  <c r="L899" i="5"/>
  <c r="M899" i="5" s="1"/>
  <c r="W898" i="5"/>
  <c r="AC898" i="5" s="1"/>
  <c r="P898" i="5"/>
  <c r="L898" i="5"/>
  <c r="AA898" i="5" s="1"/>
  <c r="W897" i="5"/>
  <c r="AC897" i="5" s="1"/>
  <c r="P897" i="5"/>
  <c r="AB897" i="5" s="1"/>
  <c r="L897" i="5"/>
  <c r="AA897" i="5" s="1"/>
  <c r="W896" i="5"/>
  <c r="AC896" i="5" s="1"/>
  <c r="P896" i="5"/>
  <c r="AB896" i="5" s="1"/>
  <c r="L896" i="5"/>
  <c r="AA896" i="5" s="1"/>
  <c r="W895" i="5"/>
  <c r="X895" i="5" s="1"/>
  <c r="P895" i="5"/>
  <c r="Q895" i="5" s="1"/>
  <c r="L895" i="5"/>
  <c r="W894" i="5"/>
  <c r="AC894" i="5" s="1"/>
  <c r="P894" i="5"/>
  <c r="L894" i="5"/>
  <c r="AA894" i="5" s="1"/>
  <c r="W893" i="5"/>
  <c r="P893" i="5"/>
  <c r="AB893" i="5" s="1"/>
  <c r="L893" i="5"/>
  <c r="W892" i="5"/>
  <c r="X892" i="5" s="1"/>
  <c r="P892" i="5"/>
  <c r="Q892" i="5" s="1"/>
  <c r="L892" i="5"/>
  <c r="AA892" i="5" s="1"/>
  <c r="W891" i="5"/>
  <c r="AC891" i="5" s="1"/>
  <c r="P891" i="5"/>
  <c r="L891" i="5"/>
  <c r="W890" i="5"/>
  <c r="X890" i="5" s="1"/>
  <c r="P890" i="5"/>
  <c r="AB890" i="5" s="1"/>
  <c r="L890" i="5"/>
  <c r="W889" i="5"/>
  <c r="X889" i="5" s="1"/>
  <c r="P889" i="5"/>
  <c r="Q889" i="5" s="1"/>
  <c r="L889" i="5"/>
  <c r="M889" i="5" s="1"/>
  <c r="W888" i="5"/>
  <c r="P888" i="5"/>
  <c r="AB888" i="5" s="1"/>
  <c r="L888" i="5"/>
  <c r="M888" i="5" s="1"/>
  <c r="W887" i="5"/>
  <c r="X887" i="5" s="1"/>
  <c r="P887" i="5"/>
  <c r="L887" i="5"/>
  <c r="W886" i="5"/>
  <c r="P886" i="5"/>
  <c r="L886" i="5"/>
  <c r="W885" i="5"/>
  <c r="P885" i="5"/>
  <c r="AB885" i="5" s="1"/>
  <c r="L885" i="5"/>
  <c r="AA885" i="5" s="1"/>
  <c r="W884" i="5"/>
  <c r="X884" i="5" s="1"/>
  <c r="P884" i="5"/>
  <c r="L884" i="5"/>
  <c r="AA884" i="5" s="1"/>
  <c r="W883" i="5"/>
  <c r="P883" i="5"/>
  <c r="AB883" i="5" s="1"/>
  <c r="L883" i="5"/>
  <c r="AA883" i="5" s="1"/>
  <c r="W882" i="5"/>
  <c r="X882" i="5" s="1"/>
  <c r="P882" i="5"/>
  <c r="Q882" i="5" s="1"/>
  <c r="L882" i="5"/>
  <c r="W881" i="5"/>
  <c r="P881" i="5"/>
  <c r="L881" i="5"/>
  <c r="AA881" i="5" s="1"/>
  <c r="W880" i="5"/>
  <c r="P880" i="5"/>
  <c r="Q880" i="5" s="1"/>
  <c r="L880" i="5"/>
  <c r="M880" i="5" s="1"/>
  <c r="W879" i="5"/>
  <c r="X879" i="5" s="1"/>
  <c r="P879" i="5"/>
  <c r="L879" i="5"/>
  <c r="W878" i="5"/>
  <c r="AC878" i="5" s="1"/>
  <c r="P878" i="5"/>
  <c r="AB878" i="5" s="1"/>
  <c r="L878" i="5"/>
  <c r="W877" i="5"/>
  <c r="X877" i="5" s="1"/>
  <c r="P877" i="5"/>
  <c r="AB877" i="5" s="1"/>
  <c r="L877" i="5"/>
  <c r="W876" i="5"/>
  <c r="AC876" i="5" s="1"/>
  <c r="P876" i="5"/>
  <c r="Q876" i="5" s="1"/>
  <c r="L876" i="5"/>
  <c r="M876" i="5" s="1"/>
  <c r="W875" i="5"/>
  <c r="AC875" i="5" s="1"/>
  <c r="P875" i="5"/>
  <c r="AB875" i="5" s="1"/>
  <c r="L875" i="5"/>
  <c r="M875" i="5" s="1"/>
  <c r="W874" i="5"/>
  <c r="P874" i="5"/>
  <c r="AB874" i="5" s="1"/>
  <c r="L874" i="5"/>
  <c r="AA874" i="5" s="1"/>
  <c r="W873" i="5"/>
  <c r="P873" i="5"/>
  <c r="AB873" i="5" s="1"/>
  <c r="L873" i="5"/>
  <c r="W872" i="5"/>
  <c r="X872" i="5" s="1"/>
  <c r="P872" i="5"/>
  <c r="AB872" i="5" s="1"/>
  <c r="L872" i="5"/>
  <c r="W871" i="5"/>
  <c r="P871" i="5"/>
  <c r="L871" i="5"/>
  <c r="AA871" i="5" s="1"/>
  <c r="W870" i="5"/>
  <c r="AC870" i="5" s="1"/>
  <c r="P870" i="5"/>
  <c r="AB870" i="5" s="1"/>
  <c r="L870" i="5"/>
  <c r="AA870" i="5" s="1"/>
  <c r="W869" i="5"/>
  <c r="P869" i="5"/>
  <c r="AB869" i="5" s="1"/>
  <c r="L869" i="5"/>
  <c r="AA869" i="5" s="1"/>
  <c r="W868" i="5"/>
  <c r="P868" i="5"/>
  <c r="L868" i="5"/>
  <c r="AA868" i="5" s="1"/>
  <c r="W867" i="5"/>
  <c r="AC867" i="5" s="1"/>
  <c r="P867" i="5"/>
  <c r="Q867" i="5" s="1"/>
  <c r="L867" i="5"/>
  <c r="AA867" i="5" s="1"/>
  <c r="W866" i="5"/>
  <c r="AC866" i="5" s="1"/>
  <c r="P866" i="5"/>
  <c r="Q866" i="5" s="1"/>
  <c r="L866" i="5"/>
  <c r="M866" i="5" s="1"/>
  <c r="W865" i="5"/>
  <c r="P865" i="5"/>
  <c r="AB865" i="5" s="1"/>
  <c r="L865" i="5"/>
  <c r="M865" i="5" s="1"/>
  <c r="W864" i="5"/>
  <c r="X864" i="5" s="1"/>
  <c r="P864" i="5"/>
  <c r="AB864" i="5" s="1"/>
  <c r="L864" i="5"/>
  <c r="W863" i="5"/>
  <c r="P863" i="5"/>
  <c r="Q863" i="5" s="1"/>
  <c r="L863" i="5"/>
  <c r="W862" i="5"/>
  <c r="AC862" i="5" s="1"/>
  <c r="P862" i="5"/>
  <c r="L862" i="5"/>
  <c r="AA862" i="5" s="1"/>
  <c r="W861" i="5"/>
  <c r="P861" i="5"/>
  <c r="AB861" i="5" s="1"/>
  <c r="L861" i="5"/>
  <c r="M861" i="5" s="1"/>
  <c r="W860" i="5"/>
  <c r="P860" i="5"/>
  <c r="AB860" i="5" s="1"/>
  <c r="L860" i="5"/>
  <c r="AA860" i="5" s="1"/>
  <c r="W859" i="5"/>
  <c r="AC859" i="5" s="1"/>
  <c r="P859" i="5"/>
  <c r="AB859" i="5" s="1"/>
  <c r="L859" i="5"/>
  <c r="W858" i="5"/>
  <c r="X858" i="5" s="1"/>
  <c r="P858" i="5"/>
  <c r="L858" i="5"/>
  <c r="AA858" i="5" s="1"/>
  <c r="W857" i="5"/>
  <c r="P857" i="5"/>
  <c r="L857" i="5"/>
  <c r="M857" i="5" s="1"/>
  <c r="W856" i="5"/>
  <c r="P856" i="5"/>
  <c r="L856" i="5"/>
  <c r="AA856" i="5" s="1"/>
  <c r="W855" i="5"/>
  <c r="X855" i="5" s="1"/>
  <c r="P855" i="5"/>
  <c r="L855" i="5"/>
  <c r="M855" i="5" s="1"/>
  <c r="W854" i="5"/>
  <c r="AC854" i="5" s="1"/>
  <c r="P854" i="5"/>
  <c r="L854" i="5"/>
  <c r="W853" i="5"/>
  <c r="P853" i="5"/>
  <c r="L853" i="5"/>
  <c r="W852" i="5"/>
  <c r="X852" i="5" s="1"/>
  <c r="P852" i="5"/>
  <c r="L852" i="5"/>
  <c r="W851" i="5"/>
  <c r="P851" i="5"/>
  <c r="Q851" i="5" s="1"/>
  <c r="L851" i="5"/>
  <c r="M851" i="5" s="1"/>
  <c r="W850" i="5"/>
  <c r="AC850" i="5" s="1"/>
  <c r="P850" i="5"/>
  <c r="AB850" i="5" s="1"/>
  <c r="L850" i="5"/>
  <c r="W849" i="5"/>
  <c r="P849" i="5"/>
  <c r="AB849" i="5" s="1"/>
  <c r="L849" i="5"/>
  <c r="W848" i="5"/>
  <c r="P848" i="5"/>
  <c r="L848" i="5"/>
  <c r="AA848" i="5" s="1"/>
  <c r="W847" i="5"/>
  <c r="AC847" i="5" s="1"/>
  <c r="P847" i="5"/>
  <c r="AB847" i="5" s="1"/>
  <c r="L847" i="5"/>
  <c r="W846" i="5"/>
  <c r="P846" i="5"/>
  <c r="AB846" i="5" s="1"/>
  <c r="L846" i="5"/>
  <c r="W845" i="5"/>
  <c r="P845" i="5"/>
  <c r="AB845" i="5" s="1"/>
  <c r="L845" i="5"/>
  <c r="W844" i="5"/>
  <c r="X844" i="5" s="1"/>
  <c r="P844" i="5"/>
  <c r="AB844" i="5" s="1"/>
  <c r="L844" i="5"/>
  <c r="AA844" i="5" s="1"/>
  <c r="W843" i="5"/>
  <c r="AC843" i="5" s="1"/>
  <c r="P843" i="5"/>
  <c r="L843" i="5"/>
  <c r="M843" i="5" s="1"/>
  <c r="W842" i="5"/>
  <c r="X842" i="5" s="1"/>
  <c r="P842" i="5"/>
  <c r="Q842" i="5" s="1"/>
  <c r="L842" i="5"/>
  <c r="W841" i="5"/>
  <c r="AC841" i="5" s="1"/>
  <c r="P841" i="5"/>
  <c r="L841" i="5"/>
  <c r="M841" i="5" s="1"/>
  <c r="W840" i="5"/>
  <c r="P840" i="5"/>
  <c r="AB840" i="5" s="1"/>
  <c r="L840" i="5"/>
  <c r="W839" i="5"/>
  <c r="AC839" i="5" s="1"/>
  <c r="P839" i="5"/>
  <c r="L839" i="5"/>
  <c r="AA839" i="5" s="1"/>
  <c r="W838" i="5"/>
  <c r="AC838" i="5" s="1"/>
  <c r="P838" i="5"/>
  <c r="L838" i="5"/>
  <c r="AA838" i="5" s="1"/>
  <c r="W837" i="5"/>
  <c r="P837" i="5"/>
  <c r="L837" i="5"/>
  <c r="M837" i="5" s="1"/>
  <c r="W836" i="5"/>
  <c r="AC836" i="5" s="1"/>
  <c r="P836" i="5"/>
  <c r="AB836" i="5" s="1"/>
  <c r="L836" i="5"/>
  <c r="W835" i="5"/>
  <c r="P835" i="5"/>
  <c r="Q835" i="5" s="1"/>
  <c r="L835" i="5"/>
  <c r="AA835" i="5" s="1"/>
  <c r="W834" i="5"/>
  <c r="AC834" i="5" s="1"/>
  <c r="P834" i="5"/>
  <c r="L834" i="5"/>
  <c r="AA834" i="5" s="1"/>
  <c r="W833" i="5"/>
  <c r="X833" i="5" s="1"/>
  <c r="P833" i="5"/>
  <c r="L833" i="5"/>
  <c r="W832" i="5"/>
  <c r="P832" i="5"/>
  <c r="L832" i="5"/>
  <c r="AA832" i="5" s="1"/>
  <c r="W831" i="5"/>
  <c r="AC831" i="5" s="1"/>
  <c r="P831" i="5"/>
  <c r="L831" i="5"/>
  <c r="AA831" i="5" s="1"/>
  <c r="W830" i="5"/>
  <c r="P830" i="5"/>
  <c r="AB830" i="5" s="1"/>
  <c r="L830" i="5"/>
  <c r="M830" i="5" s="1"/>
  <c r="W829" i="5"/>
  <c r="P829" i="5"/>
  <c r="AB829" i="5" s="1"/>
  <c r="L829" i="5"/>
  <c r="W828" i="5"/>
  <c r="AC828" i="5" s="1"/>
  <c r="P828" i="5"/>
  <c r="AB828" i="5" s="1"/>
  <c r="L828" i="5"/>
  <c r="M828" i="5" s="1"/>
  <c r="W827" i="5"/>
  <c r="X827" i="5" s="1"/>
  <c r="P827" i="5"/>
  <c r="L827" i="5"/>
  <c r="M827" i="5" s="1"/>
  <c r="W826" i="5"/>
  <c r="P826" i="5"/>
  <c r="AB826" i="5" s="1"/>
  <c r="L826" i="5"/>
  <c r="AA826" i="5" s="1"/>
  <c r="W825" i="5"/>
  <c r="AC825" i="5" s="1"/>
  <c r="P825" i="5"/>
  <c r="L825" i="5"/>
  <c r="W824" i="5"/>
  <c r="AC824" i="5" s="1"/>
  <c r="P824" i="5"/>
  <c r="L824" i="5"/>
  <c r="AA824" i="5" s="1"/>
  <c r="W823" i="5"/>
  <c r="P823" i="5"/>
  <c r="AB823" i="5" s="1"/>
  <c r="L823" i="5"/>
  <c r="W822" i="5"/>
  <c r="X822" i="5" s="1"/>
  <c r="P822" i="5"/>
  <c r="L822" i="5"/>
  <c r="AA822" i="5" s="1"/>
  <c r="W821" i="5"/>
  <c r="P821" i="5"/>
  <c r="AB821" i="5" s="1"/>
  <c r="L821" i="5"/>
  <c r="AA821" i="5" s="1"/>
  <c r="W820" i="5"/>
  <c r="X820" i="5" s="1"/>
  <c r="P820" i="5"/>
  <c r="L820" i="5"/>
  <c r="W819" i="5"/>
  <c r="AC819" i="5" s="1"/>
  <c r="P819" i="5"/>
  <c r="Q819" i="5" s="1"/>
  <c r="L819" i="5"/>
  <c r="M819" i="5" s="1"/>
  <c r="W818" i="5"/>
  <c r="P818" i="5"/>
  <c r="Q818" i="5" s="1"/>
  <c r="L818" i="5"/>
  <c r="W817" i="5"/>
  <c r="P817" i="5"/>
  <c r="AB817" i="5" s="1"/>
  <c r="L817" i="5"/>
  <c r="W816" i="5"/>
  <c r="P816" i="5"/>
  <c r="AB816" i="5" s="1"/>
  <c r="L816" i="5"/>
  <c r="W815" i="5"/>
  <c r="X815" i="5" s="1"/>
  <c r="P815" i="5"/>
  <c r="Q815" i="5" s="1"/>
  <c r="L815" i="5"/>
  <c r="W814" i="5"/>
  <c r="AC814" i="5" s="1"/>
  <c r="P814" i="5"/>
  <c r="Q814" i="5" s="1"/>
  <c r="L814" i="5"/>
  <c r="W813" i="5"/>
  <c r="AC813" i="5" s="1"/>
  <c r="P813" i="5"/>
  <c r="L813" i="5"/>
  <c r="M813" i="5" s="1"/>
  <c r="W812" i="5"/>
  <c r="AC812" i="5" s="1"/>
  <c r="P812" i="5"/>
  <c r="L812" i="5"/>
  <c r="AA812" i="5" s="1"/>
  <c r="W811" i="5"/>
  <c r="AC811" i="5" s="1"/>
  <c r="P811" i="5"/>
  <c r="Q811" i="5" s="1"/>
  <c r="L811" i="5"/>
  <c r="W810" i="5"/>
  <c r="P810" i="5"/>
  <c r="L810" i="5"/>
  <c r="W809" i="5"/>
  <c r="P809" i="5"/>
  <c r="L809" i="5"/>
  <c r="W808" i="5"/>
  <c r="X808" i="5" s="1"/>
  <c r="P808" i="5"/>
  <c r="AB808" i="5" s="1"/>
  <c r="L808" i="5"/>
  <c r="W807" i="5"/>
  <c r="P807" i="5"/>
  <c r="L807" i="5"/>
  <c r="W806" i="5"/>
  <c r="P806" i="5"/>
  <c r="Q806" i="5" s="1"/>
  <c r="L806" i="5"/>
  <c r="W805" i="5"/>
  <c r="P805" i="5"/>
  <c r="AB805" i="5" s="1"/>
  <c r="L805" i="5"/>
  <c r="W804" i="5"/>
  <c r="P804" i="5"/>
  <c r="L804" i="5"/>
  <c r="M804" i="5" s="1"/>
  <c r="W803" i="5"/>
  <c r="P803" i="5"/>
  <c r="Q803" i="5" s="1"/>
  <c r="L803" i="5"/>
  <c r="AA803" i="5" s="1"/>
  <c r="W802" i="5"/>
  <c r="P802" i="5"/>
  <c r="AB802" i="5" s="1"/>
  <c r="L802" i="5"/>
  <c r="M802" i="5" s="1"/>
  <c r="W801" i="5"/>
  <c r="P801" i="5"/>
  <c r="AB801" i="5" s="1"/>
  <c r="L801" i="5"/>
  <c r="W800" i="5"/>
  <c r="X800" i="5" s="1"/>
  <c r="P800" i="5"/>
  <c r="L800" i="5"/>
  <c r="W799" i="5"/>
  <c r="X799" i="5" s="1"/>
  <c r="P799" i="5"/>
  <c r="AB799" i="5" s="1"/>
  <c r="L799" i="5"/>
  <c r="AA799" i="5" s="1"/>
  <c r="W798" i="5"/>
  <c r="AC798" i="5" s="1"/>
  <c r="P798" i="5"/>
  <c r="AB798" i="5" s="1"/>
  <c r="L798" i="5"/>
  <c r="M798" i="5" s="1"/>
  <c r="W797" i="5"/>
  <c r="P797" i="5"/>
  <c r="AB797" i="5" s="1"/>
  <c r="L797" i="5"/>
  <c r="AA797" i="5" s="1"/>
  <c r="W796" i="5"/>
  <c r="X796" i="5" s="1"/>
  <c r="P796" i="5"/>
  <c r="Q796" i="5" s="1"/>
  <c r="L796" i="5"/>
  <c r="AA796" i="5" s="1"/>
  <c r="W795" i="5"/>
  <c r="P795" i="5"/>
  <c r="L795" i="5"/>
  <c r="AA795" i="5" s="1"/>
  <c r="W794" i="5"/>
  <c r="X794" i="5" s="1"/>
  <c r="P794" i="5"/>
  <c r="L794" i="5"/>
  <c r="W793" i="5"/>
  <c r="AC793" i="5" s="1"/>
  <c r="P793" i="5"/>
  <c r="AB793" i="5" s="1"/>
  <c r="L793" i="5"/>
  <c r="M793" i="5" s="1"/>
  <c r="W792" i="5"/>
  <c r="AC792" i="5" s="1"/>
  <c r="P792" i="5"/>
  <c r="L792" i="5"/>
  <c r="W791" i="5"/>
  <c r="P791" i="5"/>
  <c r="L791" i="5"/>
  <c r="M791" i="5" s="1"/>
  <c r="W790" i="5"/>
  <c r="P790" i="5"/>
  <c r="Q790" i="5" s="1"/>
  <c r="L790" i="5"/>
  <c r="M790" i="5" s="1"/>
  <c r="W789" i="5"/>
  <c r="P789" i="5"/>
  <c r="AB789" i="5" s="1"/>
  <c r="L789" i="5"/>
  <c r="AA789" i="5" s="1"/>
  <c r="W788" i="5"/>
  <c r="AC788" i="5" s="1"/>
  <c r="P788" i="5"/>
  <c r="AB788" i="5" s="1"/>
  <c r="L788" i="5"/>
  <c r="AA788" i="5" s="1"/>
  <c r="W787" i="5"/>
  <c r="AC787" i="5" s="1"/>
  <c r="P787" i="5"/>
  <c r="Q787" i="5" s="1"/>
  <c r="L787" i="5"/>
  <c r="W786" i="5"/>
  <c r="P786" i="5"/>
  <c r="L786" i="5"/>
  <c r="W785" i="5"/>
  <c r="P785" i="5"/>
  <c r="AB785" i="5" s="1"/>
  <c r="L785" i="5"/>
  <c r="AA785" i="5" s="1"/>
  <c r="W784" i="5"/>
  <c r="X784" i="5" s="1"/>
  <c r="P784" i="5"/>
  <c r="Q784" i="5" s="1"/>
  <c r="L784" i="5"/>
  <c r="AA784" i="5" s="1"/>
  <c r="W783" i="5"/>
  <c r="AC783" i="5" s="1"/>
  <c r="P783" i="5"/>
  <c r="L783" i="5"/>
  <c r="W782" i="5"/>
  <c r="AC782" i="5" s="1"/>
  <c r="P782" i="5"/>
  <c r="L782" i="5"/>
  <c r="W781" i="5"/>
  <c r="X781" i="5" s="1"/>
  <c r="P781" i="5"/>
  <c r="AB781" i="5" s="1"/>
  <c r="L781" i="5"/>
  <c r="W780" i="5"/>
  <c r="P780" i="5"/>
  <c r="L780" i="5"/>
  <c r="W779" i="5"/>
  <c r="AC779" i="5" s="1"/>
  <c r="P779" i="5"/>
  <c r="AB779" i="5" s="1"/>
  <c r="L779" i="5"/>
  <c r="W778" i="5"/>
  <c r="AC778" i="5" s="1"/>
  <c r="P778" i="5"/>
  <c r="L778" i="5"/>
  <c r="W777" i="5"/>
  <c r="AC777" i="5" s="1"/>
  <c r="P777" i="5"/>
  <c r="AB777" i="5" s="1"/>
  <c r="L777" i="5"/>
  <c r="W776" i="5"/>
  <c r="P776" i="5"/>
  <c r="AB776" i="5" s="1"/>
  <c r="L776" i="5"/>
  <c r="W775" i="5"/>
  <c r="X775" i="5" s="1"/>
  <c r="P775" i="5"/>
  <c r="AB775" i="5" s="1"/>
  <c r="L775" i="5"/>
  <c r="W774" i="5"/>
  <c r="P774" i="5"/>
  <c r="L774" i="5"/>
  <c r="AA774" i="5" s="1"/>
  <c r="W773" i="5"/>
  <c r="P773" i="5"/>
  <c r="L773" i="5"/>
  <c r="W772" i="5"/>
  <c r="X772" i="5" s="1"/>
  <c r="P772" i="5"/>
  <c r="Q772" i="5" s="1"/>
  <c r="L772" i="5"/>
  <c r="W771" i="5"/>
  <c r="AC771" i="5" s="1"/>
  <c r="P771" i="5"/>
  <c r="L771" i="5"/>
  <c r="AA771" i="5" s="1"/>
  <c r="W770" i="5"/>
  <c r="X770" i="5" s="1"/>
  <c r="P770" i="5"/>
  <c r="Q770" i="5" s="1"/>
  <c r="L770" i="5"/>
  <c r="AA770" i="5" s="1"/>
  <c r="W769" i="5"/>
  <c r="P769" i="5"/>
  <c r="L769" i="5"/>
  <c r="W768" i="5"/>
  <c r="P768" i="5"/>
  <c r="L768" i="5"/>
  <c r="W767" i="5"/>
  <c r="P767" i="5"/>
  <c r="AB767" i="5" s="1"/>
  <c r="L767" i="5"/>
  <c r="AA767" i="5" s="1"/>
  <c r="W766" i="5"/>
  <c r="P766" i="5"/>
  <c r="L766" i="5"/>
  <c r="W765" i="5"/>
  <c r="AC765" i="5" s="1"/>
  <c r="P765" i="5"/>
  <c r="L765" i="5"/>
  <c r="AA765" i="5" s="1"/>
  <c r="W764" i="5"/>
  <c r="AC764" i="5" s="1"/>
  <c r="P764" i="5"/>
  <c r="L764" i="5"/>
  <c r="W763" i="5"/>
  <c r="P763" i="5"/>
  <c r="Q763" i="5" s="1"/>
  <c r="L763" i="5"/>
  <c r="W762" i="5"/>
  <c r="X762" i="5" s="1"/>
  <c r="P762" i="5"/>
  <c r="Q762" i="5" s="1"/>
  <c r="L762" i="5"/>
  <c r="AA762" i="5" s="1"/>
  <c r="W761" i="5"/>
  <c r="P761" i="5"/>
  <c r="L761" i="5"/>
  <c r="W760" i="5"/>
  <c r="X760" i="5" s="1"/>
  <c r="P760" i="5"/>
  <c r="L760" i="5"/>
  <c r="W759" i="5"/>
  <c r="X759" i="5" s="1"/>
  <c r="P759" i="5"/>
  <c r="L759" i="5"/>
  <c r="M759" i="5" s="1"/>
  <c r="W758" i="5"/>
  <c r="AC758" i="5" s="1"/>
  <c r="P758" i="5"/>
  <c r="L758" i="5"/>
  <c r="W757" i="5"/>
  <c r="X757" i="5" s="1"/>
  <c r="P757" i="5"/>
  <c r="Q757" i="5" s="1"/>
  <c r="L757" i="5"/>
  <c r="M757" i="5" s="1"/>
  <c r="W756" i="5"/>
  <c r="P756" i="5"/>
  <c r="L756" i="5"/>
  <c r="AA756" i="5" s="1"/>
  <c r="W755" i="5"/>
  <c r="P755" i="5"/>
  <c r="AB755" i="5" s="1"/>
  <c r="L755" i="5"/>
  <c r="M755" i="5" s="1"/>
  <c r="W754" i="5"/>
  <c r="P754" i="5"/>
  <c r="L754" i="5"/>
  <c r="AA754" i="5" s="1"/>
  <c r="W753" i="5"/>
  <c r="AC753" i="5" s="1"/>
  <c r="P753" i="5"/>
  <c r="AB753" i="5" s="1"/>
  <c r="L753" i="5"/>
  <c r="M753" i="5" s="1"/>
  <c r="W752" i="5"/>
  <c r="X752" i="5" s="1"/>
  <c r="P752" i="5"/>
  <c r="AB752" i="5" s="1"/>
  <c r="L752" i="5"/>
  <c r="W751" i="5"/>
  <c r="X751" i="5" s="1"/>
  <c r="P751" i="5"/>
  <c r="L751" i="5"/>
  <c r="AA751" i="5" s="1"/>
  <c r="W750" i="5"/>
  <c r="P750" i="5"/>
  <c r="L750" i="5"/>
  <c r="AA750" i="5" s="1"/>
  <c r="W749" i="5"/>
  <c r="P749" i="5"/>
  <c r="L749" i="5"/>
  <c r="W748" i="5"/>
  <c r="X748" i="5" s="1"/>
  <c r="P748" i="5"/>
  <c r="Q748" i="5" s="1"/>
  <c r="L748" i="5"/>
  <c r="AA748" i="5" s="1"/>
  <c r="W747" i="5"/>
  <c r="AC747" i="5" s="1"/>
  <c r="P747" i="5"/>
  <c r="L747" i="5"/>
  <c r="AA747" i="5" s="1"/>
  <c r="W746" i="5"/>
  <c r="P746" i="5"/>
  <c r="Q746" i="5" s="1"/>
  <c r="L746" i="5"/>
  <c r="W745" i="5"/>
  <c r="P745" i="5"/>
  <c r="L745" i="5"/>
  <c r="W744" i="5"/>
  <c r="P744" i="5"/>
  <c r="AB744" i="5" s="1"/>
  <c r="L744" i="5"/>
  <c r="W743" i="5"/>
  <c r="X743" i="5" s="1"/>
  <c r="P743" i="5"/>
  <c r="L743" i="5"/>
  <c r="W742" i="5"/>
  <c r="AC742" i="5" s="1"/>
  <c r="P742" i="5"/>
  <c r="L742" i="5"/>
  <c r="M742" i="5" s="1"/>
  <c r="W741" i="5"/>
  <c r="AC741" i="5" s="1"/>
  <c r="P741" i="5"/>
  <c r="Q741" i="5" s="1"/>
  <c r="L741" i="5"/>
  <c r="W740" i="5"/>
  <c r="AC740" i="5" s="1"/>
  <c r="P740" i="5"/>
  <c r="L740" i="5"/>
  <c r="W739" i="5"/>
  <c r="AC739" i="5" s="1"/>
  <c r="P739" i="5"/>
  <c r="L739" i="5"/>
  <c r="AA739" i="5" s="1"/>
  <c r="W738" i="5"/>
  <c r="P738" i="5"/>
  <c r="L738" i="5"/>
  <c r="W737" i="5"/>
  <c r="P737" i="5"/>
  <c r="L737" i="5"/>
  <c r="W736" i="5"/>
  <c r="P736" i="5"/>
  <c r="Q736" i="5" s="1"/>
  <c r="L736" i="5"/>
  <c r="W735" i="5"/>
  <c r="P735" i="5"/>
  <c r="AB735" i="5" s="1"/>
  <c r="L735" i="5"/>
  <c r="W734" i="5"/>
  <c r="AC734" i="5" s="1"/>
  <c r="P734" i="5"/>
  <c r="Q734" i="5" s="1"/>
  <c r="L734" i="5"/>
  <c r="M734" i="5" s="1"/>
  <c r="W733" i="5"/>
  <c r="P733" i="5"/>
  <c r="AB733" i="5" s="1"/>
  <c r="L733" i="5"/>
  <c r="M733" i="5" s="1"/>
  <c r="W732" i="5"/>
  <c r="P732" i="5"/>
  <c r="L732" i="5"/>
  <c r="W731" i="5"/>
  <c r="P731" i="5"/>
  <c r="L731" i="5"/>
  <c r="AA731" i="5" s="1"/>
  <c r="W730" i="5"/>
  <c r="P730" i="5"/>
  <c r="L730" i="5"/>
  <c r="AA730" i="5" s="1"/>
  <c r="W729" i="5"/>
  <c r="P729" i="5"/>
  <c r="L729" i="5"/>
  <c r="M729" i="5" s="1"/>
  <c r="W728" i="5"/>
  <c r="P728" i="5"/>
  <c r="L728" i="5"/>
  <c r="M728" i="5" s="1"/>
  <c r="W727" i="5"/>
  <c r="AC727" i="5" s="1"/>
  <c r="P727" i="5"/>
  <c r="L727" i="5"/>
  <c r="W726" i="5"/>
  <c r="X726" i="5" s="1"/>
  <c r="P726" i="5"/>
  <c r="L726" i="5"/>
  <c r="W725" i="5"/>
  <c r="P725" i="5"/>
  <c r="L725" i="5"/>
  <c r="AA725" i="5" s="1"/>
  <c r="W724" i="5"/>
  <c r="P724" i="5"/>
  <c r="AB724" i="5" s="1"/>
  <c r="L724" i="5"/>
  <c r="AA724" i="5" s="1"/>
  <c r="W723" i="5"/>
  <c r="AC723" i="5" s="1"/>
  <c r="P723" i="5"/>
  <c r="Q723" i="5" s="1"/>
  <c r="L723" i="5"/>
  <c r="AA723" i="5" s="1"/>
  <c r="W722" i="5"/>
  <c r="X722" i="5" s="1"/>
  <c r="P722" i="5"/>
  <c r="L722" i="5"/>
  <c r="AA722" i="5" s="1"/>
  <c r="W721" i="5"/>
  <c r="X721" i="5" s="1"/>
  <c r="P721" i="5"/>
  <c r="AB721" i="5" s="1"/>
  <c r="L721" i="5"/>
  <c r="AA721" i="5" s="1"/>
  <c r="W720" i="5"/>
  <c r="AC720" i="5" s="1"/>
  <c r="P720" i="5"/>
  <c r="L720" i="5"/>
  <c r="W719" i="5"/>
  <c r="P719" i="5"/>
  <c r="L719" i="5"/>
  <c r="W718" i="5"/>
  <c r="AC718" i="5" s="1"/>
  <c r="P718" i="5"/>
  <c r="L718" i="5"/>
  <c r="M718" i="5" s="1"/>
  <c r="W717" i="5"/>
  <c r="AC717" i="5" s="1"/>
  <c r="P717" i="5"/>
  <c r="AB717" i="5" s="1"/>
  <c r="L717" i="5"/>
  <c r="W716" i="5"/>
  <c r="P716" i="5"/>
  <c r="L716" i="5"/>
  <c r="AA716" i="5" s="1"/>
  <c r="W715" i="5"/>
  <c r="P715" i="5"/>
  <c r="Q715" i="5" s="1"/>
  <c r="L715" i="5"/>
  <c r="W714" i="5"/>
  <c r="X714" i="5" s="1"/>
  <c r="P714" i="5"/>
  <c r="L714" i="5"/>
  <c r="AA714" i="5" s="1"/>
  <c r="W713" i="5"/>
  <c r="P713" i="5"/>
  <c r="L713" i="5"/>
  <c r="W712" i="5"/>
  <c r="P712" i="5"/>
  <c r="L712" i="5"/>
  <c r="M712" i="5" s="1"/>
  <c r="W711" i="5"/>
  <c r="AC711" i="5" s="1"/>
  <c r="P711" i="5"/>
  <c r="AB711" i="5" s="1"/>
  <c r="L711" i="5"/>
  <c r="W710" i="5"/>
  <c r="AC710" i="5" s="1"/>
  <c r="P710" i="5"/>
  <c r="L710" i="5"/>
  <c r="AA710" i="5" s="1"/>
  <c r="W709" i="5"/>
  <c r="AC709" i="5" s="1"/>
  <c r="P709" i="5"/>
  <c r="AB709" i="5" s="1"/>
  <c r="L709" i="5"/>
  <c r="AA709" i="5" s="1"/>
  <c r="W708" i="5"/>
  <c r="P708" i="5"/>
  <c r="L708" i="5"/>
  <c r="W707" i="5"/>
  <c r="AC707" i="5" s="1"/>
  <c r="P707" i="5"/>
  <c r="Q707" i="5" s="1"/>
  <c r="L707" i="5"/>
  <c r="AA707" i="5" s="1"/>
  <c r="W706" i="5"/>
  <c r="P706" i="5"/>
  <c r="L706" i="5"/>
  <c r="W705" i="5"/>
  <c r="P705" i="5"/>
  <c r="L705" i="5"/>
  <c r="W704" i="5"/>
  <c r="AC704" i="5" s="1"/>
  <c r="P704" i="5"/>
  <c r="AB704" i="5" s="1"/>
  <c r="L704" i="5"/>
  <c r="M704" i="5" s="1"/>
  <c r="W703" i="5"/>
  <c r="AC703" i="5" s="1"/>
  <c r="P703" i="5"/>
  <c r="L703" i="5"/>
  <c r="W702" i="5"/>
  <c r="P702" i="5"/>
  <c r="L702" i="5"/>
  <c r="AA702" i="5" s="1"/>
  <c r="W701" i="5"/>
  <c r="P701" i="5"/>
  <c r="Q701" i="5" s="1"/>
  <c r="L701" i="5"/>
  <c r="AA701" i="5" s="1"/>
  <c r="W700" i="5"/>
  <c r="P700" i="5"/>
  <c r="L700" i="5"/>
  <c r="W699" i="5"/>
  <c r="X699" i="5" s="1"/>
  <c r="P699" i="5"/>
  <c r="AB699" i="5" s="1"/>
  <c r="L699" i="5"/>
  <c r="AA699" i="5" s="1"/>
  <c r="W698" i="5"/>
  <c r="X698" i="5" s="1"/>
  <c r="P698" i="5"/>
  <c r="L698" i="5"/>
  <c r="W697" i="5"/>
  <c r="X697" i="5" s="1"/>
  <c r="P697" i="5"/>
  <c r="AB697" i="5" s="1"/>
  <c r="L697" i="5"/>
  <c r="M697" i="5" s="1"/>
  <c r="W696" i="5"/>
  <c r="AC696" i="5" s="1"/>
  <c r="P696" i="5"/>
  <c r="AB696" i="5" s="1"/>
  <c r="L696" i="5"/>
  <c r="W695" i="5"/>
  <c r="AC695" i="5" s="1"/>
  <c r="P695" i="5"/>
  <c r="AB695" i="5" s="1"/>
  <c r="L695" i="5"/>
  <c r="M695" i="5" s="1"/>
  <c r="W694" i="5"/>
  <c r="P694" i="5"/>
  <c r="AB694" i="5" s="1"/>
  <c r="L694" i="5"/>
  <c r="W693" i="5"/>
  <c r="P693" i="5"/>
  <c r="AB693" i="5" s="1"/>
  <c r="L693" i="5"/>
  <c r="M693" i="5" s="1"/>
  <c r="W692" i="5"/>
  <c r="P692" i="5"/>
  <c r="L692" i="5"/>
  <c r="M692" i="5" s="1"/>
  <c r="W691" i="5"/>
  <c r="X691" i="5" s="1"/>
  <c r="P691" i="5"/>
  <c r="L691" i="5"/>
  <c r="W690" i="5"/>
  <c r="X690" i="5" s="1"/>
  <c r="P690" i="5"/>
  <c r="L690" i="5"/>
  <c r="W689" i="5"/>
  <c r="P689" i="5"/>
  <c r="L689" i="5"/>
  <c r="AA689" i="5" s="1"/>
  <c r="W688" i="5"/>
  <c r="P688" i="5"/>
  <c r="L688" i="5"/>
  <c r="AA688" i="5" s="1"/>
  <c r="W687" i="5"/>
  <c r="P687" i="5"/>
  <c r="AB687" i="5" s="1"/>
  <c r="L687" i="5"/>
  <c r="W686" i="5"/>
  <c r="P686" i="5"/>
  <c r="Q686" i="5" s="1"/>
  <c r="L686" i="5"/>
  <c r="M686" i="5" s="1"/>
  <c r="W685" i="5"/>
  <c r="P685" i="5"/>
  <c r="AB685" i="5" s="1"/>
  <c r="L685" i="5"/>
  <c r="AA685" i="5" s="1"/>
  <c r="W684" i="5"/>
  <c r="X684" i="5" s="1"/>
  <c r="P684" i="5"/>
  <c r="Q684" i="5" s="1"/>
  <c r="L684" i="5"/>
  <c r="W683" i="5"/>
  <c r="AC683" i="5" s="1"/>
  <c r="P683" i="5"/>
  <c r="Q683" i="5" s="1"/>
  <c r="L683" i="5"/>
  <c r="AA683" i="5" s="1"/>
  <c r="W682" i="5"/>
  <c r="AC682" i="5" s="1"/>
  <c r="P682" i="5"/>
  <c r="L682" i="5"/>
  <c r="W681" i="5"/>
  <c r="AC681" i="5" s="1"/>
  <c r="P681" i="5"/>
  <c r="L681" i="5"/>
  <c r="AA681" i="5" s="1"/>
  <c r="W680" i="5"/>
  <c r="P680" i="5"/>
  <c r="AB680" i="5" s="1"/>
  <c r="L680" i="5"/>
  <c r="W679" i="5"/>
  <c r="X679" i="5" s="1"/>
  <c r="P679" i="5"/>
  <c r="L679" i="5"/>
  <c r="AA679" i="5" s="1"/>
  <c r="W678" i="5"/>
  <c r="X678" i="5" s="1"/>
  <c r="P678" i="5"/>
  <c r="L678" i="5"/>
  <c r="W677" i="5"/>
  <c r="AC677" i="5" s="1"/>
  <c r="P677" i="5"/>
  <c r="L677" i="5"/>
  <c r="W676" i="5"/>
  <c r="P676" i="5"/>
  <c r="L676" i="5"/>
  <c r="W675" i="5"/>
  <c r="AC675" i="5" s="1"/>
  <c r="P675" i="5"/>
  <c r="AB675" i="5" s="1"/>
  <c r="L675" i="5"/>
  <c r="AA675" i="5" s="1"/>
  <c r="W674" i="5"/>
  <c r="AC674" i="5" s="1"/>
  <c r="P674" i="5"/>
  <c r="L674" i="5"/>
  <c r="W673" i="5"/>
  <c r="X673" i="5" s="1"/>
  <c r="P673" i="5"/>
  <c r="AB673" i="5" s="1"/>
  <c r="L673" i="5"/>
  <c r="AA673" i="5" s="1"/>
  <c r="W672" i="5"/>
  <c r="P672" i="5"/>
  <c r="AB672" i="5" s="1"/>
  <c r="L672" i="5"/>
  <c r="W671" i="5"/>
  <c r="AC671" i="5" s="1"/>
  <c r="P671" i="5"/>
  <c r="L671" i="5"/>
  <c r="AA671" i="5" s="1"/>
  <c r="W670" i="5"/>
  <c r="X670" i="5" s="1"/>
  <c r="P670" i="5"/>
  <c r="L670" i="5"/>
  <c r="W669" i="5"/>
  <c r="P669" i="5"/>
  <c r="L669" i="5"/>
  <c r="M669" i="5" s="1"/>
  <c r="W668" i="5"/>
  <c r="X668" i="5" s="1"/>
  <c r="P668" i="5"/>
  <c r="AB668" i="5" s="1"/>
  <c r="L668" i="5"/>
  <c r="M668" i="5" s="1"/>
  <c r="W667" i="5"/>
  <c r="P667" i="5"/>
  <c r="L667" i="5"/>
  <c r="W666" i="5"/>
  <c r="AC666" i="5" s="1"/>
  <c r="P666" i="5"/>
  <c r="AB666" i="5" s="1"/>
  <c r="L666" i="5"/>
  <c r="AA666" i="5" s="1"/>
  <c r="W665" i="5"/>
  <c r="P665" i="5"/>
  <c r="L665" i="5"/>
  <c r="W664" i="5"/>
  <c r="P664" i="5"/>
  <c r="Q664" i="5" s="1"/>
  <c r="L664" i="5"/>
  <c r="AA664" i="5" s="1"/>
  <c r="W663" i="5"/>
  <c r="AC663" i="5" s="1"/>
  <c r="P663" i="5"/>
  <c r="AB663" i="5" s="1"/>
  <c r="L663" i="5"/>
  <c r="AA663" i="5" s="1"/>
  <c r="W662" i="5"/>
  <c r="P662" i="5"/>
  <c r="Q662" i="5" s="1"/>
  <c r="L662" i="5"/>
  <c r="M662" i="5" s="1"/>
  <c r="W661" i="5"/>
  <c r="AC661" i="5" s="1"/>
  <c r="P661" i="5"/>
  <c r="L661" i="5"/>
  <c r="AA661" i="5" s="1"/>
  <c r="W660" i="5"/>
  <c r="X660" i="5" s="1"/>
  <c r="P660" i="5"/>
  <c r="AB660" i="5" s="1"/>
  <c r="L660" i="5"/>
  <c r="W659" i="5"/>
  <c r="P659" i="5"/>
  <c r="L659" i="5"/>
  <c r="AA659" i="5" s="1"/>
  <c r="W658" i="5"/>
  <c r="P658" i="5"/>
  <c r="AB658" i="5" s="1"/>
  <c r="L658" i="5"/>
  <c r="AA658" i="5" s="1"/>
  <c r="W657" i="5"/>
  <c r="AC657" i="5" s="1"/>
  <c r="P657" i="5"/>
  <c r="L657" i="5"/>
  <c r="AA657" i="5" s="1"/>
  <c r="W656" i="5"/>
  <c r="AC656" i="5" s="1"/>
  <c r="P656" i="5"/>
  <c r="L656" i="5"/>
  <c r="W655" i="5"/>
  <c r="AC655" i="5" s="1"/>
  <c r="P655" i="5"/>
  <c r="AB655" i="5" s="1"/>
  <c r="L655" i="5"/>
  <c r="AA655" i="5" s="1"/>
  <c r="W654" i="5"/>
  <c r="X654" i="5" s="1"/>
  <c r="P654" i="5"/>
  <c r="Q654" i="5" s="1"/>
  <c r="L654" i="5"/>
  <c r="W653" i="5"/>
  <c r="P653" i="5"/>
  <c r="AB653" i="5" s="1"/>
  <c r="L653" i="5"/>
  <c r="W652" i="5"/>
  <c r="P652" i="5"/>
  <c r="L652" i="5"/>
  <c r="AA652" i="5" s="1"/>
  <c r="W651" i="5"/>
  <c r="P651" i="5"/>
  <c r="AB651" i="5" s="1"/>
  <c r="L651" i="5"/>
  <c r="AA651" i="5" s="1"/>
  <c r="W650" i="5"/>
  <c r="P650" i="5"/>
  <c r="L650" i="5"/>
  <c r="W649" i="5"/>
  <c r="P649" i="5"/>
  <c r="AB649" i="5" s="1"/>
  <c r="L649" i="5"/>
  <c r="W648" i="5"/>
  <c r="P648" i="5"/>
  <c r="AB648" i="5" s="1"/>
  <c r="L648" i="5"/>
  <c r="M648" i="5" s="1"/>
  <c r="W647" i="5"/>
  <c r="AC647" i="5" s="1"/>
  <c r="P647" i="5"/>
  <c r="L647" i="5"/>
  <c r="M647" i="5" s="1"/>
  <c r="W646" i="5"/>
  <c r="X646" i="5" s="1"/>
  <c r="P646" i="5"/>
  <c r="AB646" i="5" s="1"/>
  <c r="L646" i="5"/>
  <c r="AA646" i="5" s="1"/>
  <c r="W645" i="5"/>
  <c r="P645" i="5"/>
  <c r="AB645" i="5" s="1"/>
  <c r="L645" i="5"/>
  <c r="W644" i="5"/>
  <c r="P644" i="5"/>
  <c r="AB644" i="5" s="1"/>
  <c r="L644" i="5"/>
  <c r="AA644" i="5" s="1"/>
  <c r="W643" i="5"/>
  <c r="AC643" i="5" s="1"/>
  <c r="P643" i="5"/>
  <c r="Q643" i="5" s="1"/>
  <c r="L643" i="5"/>
  <c r="W642" i="5"/>
  <c r="X642" i="5" s="1"/>
  <c r="P642" i="5"/>
  <c r="AB642" i="5" s="1"/>
  <c r="L642" i="5"/>
  <c r="W641" i="5"/>
  <c r="AC641" i="5" s="1"/>
  <c r="P641" i="5"/>
  <c r="AB641" i="5" s="1"/>
  <c r="L641" i="5"/>
  <c r="AA641" i="5" s="1"/>
  <c r="W640" i="5"/>
  <c r="P640" i="5"/>
  <c r="L640" i="5"/>
  <c r="AA640" i="5" s="1"/>
  <c r="W639" i="5"/>
  <c r="AC639" i="5" s="1"/>
  <c r="P639" i="5"/>
  <c r="AB639" i="5" s="1"/>
  <c r="L639" i="5"/>
  <c r="W638" i="5"/>
  <c r="P638" i="5"/>
  <c r="L638" i="5"/>
  <c r="W637" i="5"/>
  <c r="P637" i="5"/>
  <c r="AB637" i="5" s="1"/>
  <c r="L637" i="5"/>
  <c r="W636" i="5"/>
  <c r="P636" i="5"/>
  <c r="AB636" i="5" s="1"/>
  <c r="L636" i="5"/>
  <c r="M636" i="5" s="1"/>
  <c r="W635" i="5"/>
  <c r="AC635" i="5" s="1"/>
  <c r="P635" i="5"/>
  <c r="L635" i="5"/>
  <c r="W634" i="5"/>
  <c r="P634" i="5"/>
  <c r="L634" i="5"/>
  <c r="W633" i="5"/>
  <c r="AC633" i="5" s="1"/>
  <c r="P633" i="5"/>
  <c r="AB633" i="5" s="1"/>
  <c r="L633" i="5"/>
  <c r="W632" i="5"/>
  <c r="P632" i="5"/>
  <c r="L632" i="5"/>
  <c r="M632" i="5" s="1"/>
  <c r="W631" i="5"/>
  <c r="AC631" i="5" s="1"/>
  <c r="P631" i="5"/>
  <c r="L631" i="5"/>
  <c r="AA631" i="5" s="1"/>
  <c r="W630" i="5"/>
  <c r="P630" i="5"/>
  <c r="L630" i="5"/>
  <c r="AA630" i="5" s="1"/>
  <c r="W629" i="5"/>
  <c r="AC629" i="5" s="1"/>
  <c r="P629" i="5"/>
  <c r="Q629" i="5" s="1"/>
  <c r="L629" i="5"/>
  <c r="AA629" i="5" s="1"/>
  <c r="W628" i="5"/>
  <c r="X628" i="5" s="1"/>
  <c r="P628" i="5"/>
  <c r="Q628" i="5" s="1"/>
  <c r="L628" i="5"/>
  <c r="W627" i="5"/>
  <c r="AC627" i="5" s="1"/>
  <c r="P627" i="5"/>
  <c r="AB627" i="5" s="1"/>
  <c r="L627" i="5"/>
  <c r="W626" i="5"/>
  <c r="P626" i="5"/>
  <c r="L626" i="5"/>
  <c r="M626" i="5" s="1"/>
  <c r="W625" i="5"/>
  <c r="AC625" i="5" s="1"/>
  <c r="P625" i="5"/>
  <c r="L625" i="5"/>
  <c r="AA625" i="5" s="1"/>
  <c r="W624" i="5"/>
  <c r="AC624" i="5" s="1"/>
  <c r="P624" i="5"/>
  <c r="L624" i="5"/>
  <c r="M624" i="5" s="1"/>
  <c r="W623" i="5"/>
  <c r="P623" i="5"/>
  <c r="L623" i="5"/>
  <c r="AA623" i="5" s="1"/>
  <c r="W622" i="5"/>
  <c r="AC622" i="5" s="1"/>
  <c r="P622" i="5"/>
  <c r="L622" i="5"/>
  <c r="W621" i="5"/>
  <c r="P621" i="5"/>
  <c r="AB621" i="5" s="1"/>
  <c r="L621" i="5"/>
  <c r="AA621" i="5" s="1"/>
  <c r="W620" i="5"/>
  <c r="X620" i="5" s="1"/>
  <c r="P620" i="5"/>
  <c r="AB620" i="5" s="1"/>
  <c r="L620" i="5"/>
  <c r="M620" i="5" s="1"/>
  <c r="W619" i="5"/>
  <c r="P619" i="5"/>
  <c r="AB619" i="5" s="1"/>
  <c r="L619" i="5"/>
  <c r="W618" i="5"/>
  <c r="P618" i="5"/>
  <c r="L618" i="5"/>
  <c r="W617" i="5"/>
  <c r="P617" i="5"/>
  <c r="AB617" i="5" s="1"/>
  <c r="L617" i="5"/>
  <c r="M617" i="5" s="1"/>
  <c r="W616" i="5"/>
  <c r="P616" i="5"/>
  <c r="L616" i="5"/>
  <c r="M616" i="5" s="1"/>
  <c r="W615" i="5"/>
  <c r="P615" i="5"/>
  <c r="AB615" i="5" s="1"/>
  <c r="L615" i="5"/>
  <c r="AA615" i="5" s="1"/>
  <c r="W614" i="5"/>
  <c r="AC614" i="5" s="1"/>
  <c r="P614" i="5"/>
  <c r="L614" i="5"/>
  <c r="W613" i="5"/>
  <c r="P613" i="5"/>
  <c r="Q613" i="5" s="1"/>
  <c r="L613" i="5"/>
  <c r="AA613" i="5" s="1"/>
  <c r="W612" i="5"/>
  <c r="X612" i="5" s="1"/>
  <c r="P612" i="5"/>
  <c r="L612" i="5"/>
  <c r="W611" i="5"/>
  <c r="AC611" i="5" s="1"/>
  <c r="P611" i="5"/>
  <c r="Q611" i="5" s="1"/>
  <c r="L611" i="5"/>
  <c r="AA611" i="5" s="1"/>
  <c r="W610" i="5"/>
  <c r="P610" i="5"/>
  <c r="L610" i="5"/>
  <c r="M610" i="5" s="1"/>
  <c r="W609" i="5"/>
  <c r="AC609" i="5" s="1"/>
  <c r="P609" i="5"/>
  <c r="L609" i="5"/>
  <c r="W608" i="5"/>
  <c r="P608" i="5"/>
  <c r="AB608" i="5" s="1"/>
  <c r="L608" i="5"/>
  <c r="AA608" i="5" s="1"/>
  <c r="W607" i="5"/>
  <c r="AC607" i="5" s="1"/>
  <c r="P607" i="5"/>
  <c r="Q607" i="5" s="1"/>
  <c r="L607" i="5"/>
  <c r="AA607" i="5" s="1"/>
  <c r="W606" i="5"/>
  <c r="X606" i="5" s="1"/>
  <c r="P606" i="5"/>
  <c r="AB606" i="5" s="1"/>
  <c r="L606" i="5"/>
  <c r="M606" i="5" s="1"/>
  <c r="W605" i="5"/>
  <c r="AC605" i="5" s="1"/>
  <c r="P605" i="5"/>
  <c r="AB605" i="5" s="1"/>
  <c r="L605" i="5"/>
  <c r="M605" i="5" s="1"/>
  <c r="W604" i="5"/>
  <c r="P604" i="5"/>
  <c r="L604" i="5"/>
  <c r="AA604" i="5" s="1"/>
  <c r="W603" i="5"/>
  <c r="P603" i="5"/>
  <c r="AB603" i="5" s="1"/>
  <c r="L603" i="5"/>
  <c r="AA603" i="5" s="1"/>
  <c r="W602" i="5"/>
  <c r="X602" i="5" s="1"/>
  <c r="P602" i="5"/>
  <c r="L602" i="5"/>
  <c r="M602" i="5" s="1"/>
  <c r="W601" i="5"/>
  <c r="AC601" i="5" s="1"/>
  <c r="P601" i="5"/>
  <c r="AB601" i="5" s="1"/>
  <c r="L601" i="5"/>
  <c r="AA601" i="5" s="1"/>
  <c r="W600" i="5"/>
  <c r="P600" i="5"/>
  <c r="L600" i="5"/>
  <c r="W599" i="5"/>
  <c r="AC599" i="5" s="1"/>
  <c r="P599" i="5"/>
  <c r="L599" i="5"/>
  <c r="AA599" i="5" s="1"/>
  <c r="W598" i="5"/>
  <c r="AC598" i="5" s="1"/>
  <c r="P598" i="5"/>
  <c r="L598" i="5"/>
  <c r="W597" i="5"/>
  <c r="AC597" i="5" s="1"/>
  <c r="P597" i="5"/>
  <c r="L597" i="5"/>
  <c r="AA597" i="5" s="1"/>
  <c r="W596" i="5"/>
  <c r="P596" i="5"/>
  <c r="L596" i="5"/>
  <c r="W595" i="5"/>
  <c r="P595" i="5"/>
  <c r="L595" i="5"/>
  <c r="AA595" i="5" s="1"/>
  <c r="W594" i="5"/>
  <c r="P594" i="5"/>
  <c r="AB594" i="5" s="1"/>
  <c r="L594" i="5"/>
  <c r="W593" i="5"/>
  <c r="AC593" i="5" s="1"/>
  <c r="P593" i="5"/>
  <c r="AB593" i="5" s="1"/>
  <c r="L593" i="5"/>
  <c r="AA593" i="5" s="1"/>
  <c r="W592" i="5"/>
  <c r="X592" i="5" s="1"/>
  <c r="P592" i="5"/>
  <c r="Q592" i="5" s="1"/>
  <c r="L592" i="5"/>
  <c r="AA592" i="5" s="1"/>
  <c r="W591" i="5"/>
  <c r="AC591" i="5" s="1"/>
  <c r="P591" i="5"/>
  <c r="AB591" i="5" s="1"/>
  <c r="L591" i="5"/>
  <c r="W590" i="5"/>
  <c r="X590" i="5" s="1"/>
  <c r="P590" i="5"/>
  <c r="L590" i="5"/>
  <c r="W589" i="5"/>
  <c r="P589" i="5"/>
  <c r="AB589" i="5" s="1"/>
  <c r="L589" i="5"/>
  <c r="W588" i="5"/>
  <c r="P588" i="5"/>
  <c r="AB588" i="5" s="1"/>
  <c r="L588" i="5"/>
  <c r="M588" i="5" s="1"/>
  <c r="W587" i="5"/>
  <c r="P587" i="5"/>
  <c r="AB587" i="5" s="1"/>
  <c r="L587" i="5"/>
  <c r="AA587" i="5" s="1"/>
  <c r="W586" i="5"/>
  <c r="AC586" i="5" s="1"/>
  <c r="P586" i="5"/>
  <c r="L586" i="5"/>
  <c r="W585" i="5"/>
  <c r="P585" i="5"/>
  <c r="AB585" i="5" s="1"/>
  <c r="L585" i="5"/>
  <c r="AA585" i="5" s="1"/>
  <c r="W584" i="5"/>
  <c r="X584" i="5" s="1"/>
  <c r="P584" i="5"/>
  <c r="AB584" i="5" s="1"/>
  <c r="L584" i="5"/>
  <c r="M584" i="5" s="1"/>
  <c r="W583" i="5"/>
  <c r="AC583" i="5" s="1"/>
  <c r="P583" i="5"/>
  <c r="AB583" i="5" s="1"/>
  <c r="L583" i="5"/>
  <c r="W582" i="5"/>
  <c r="P582" i="5"/>
  <c r="L582" i="5"/>
  <c r="M582" i="5" s="1"/>
  <c r="W581" i="5"/>
  <c r="P581" i="5"/>
  <c r="Q581" i="5" s="1"/>
  <c r="L581" i="5"/>
  <c r="M581" i="5" s="1"/>
  <c r="W580" i="5"/>
  <c r="P580" i="5"/>
  <c r="L580" i="5"/>
  <c r="W579" i="5"/>
  <c r="X579" i="5" s="1"/>
  <c r="P579" i="5"/>
  <c r="AB579" i="5" s="1"/>
  <c r="L579" i="5"/>
  <c r="M579" i="5" s="1"/>
  <c r="W578" i="5"/>
  <c r="AC578" i="5" s="1"/>
  <c r="P578" i="5"/>
  <c r="L578" i="5"/>
  <c r="W577" i="5"/>
  <c r="P577" i="5"/>
  <c r="Q577" i="5" s="1"/>
  <c r="L577" i="5"/>
  <c r="W576" i="5"/>
  <c r="P576" i="5"/>
  <c r="L576" i="5"/>
  <c r="M576" i="5" s="1"/>
  <c r="W575" i="5"/>
  <c r="AC575" i="5" s="1"/>
  <c r="P575" i="5"/>
  <c r="AB575" i="5" s="1"/>
  <c r="L575" i="5"/>
  <c r="M575" i="5" s="1"/>
  <c r="W574" i="5"/>
  <c r="P574" i="5"/>
  <c r="AB574" i="5" s="1"/>
  <c r="L574" i="5"/>
  <c r="AA574" i="5" s="1"/>
  <c r="W573" i="5"/>
  <c r="P573" i="5"/>
  <c r="AB573" i="5" s="1"/>
  <c r="L573" i="5"/>
  <c r="W572" i="5"/>
  <c r="P572" i="5"/>
  <c r="L572" i="5"/>
  <c r="AA572" i="5" s="1"/>
  <c r="W571" i="5"/>
  <c r="AC571" i="5" s="1"/>
  <c r="P571" i="5"/>
  <c r="L571" i="5"/>
  <c r="AA571" i="5" s="1"/>
  <c r="W570" i="5"/>
  <c r="X570" i="5" s="1"/>
  <c r="P570" i="5"/>
  <c r="Q570" i="5" s="1"/>
  <c r="L570" i="5"/>
  <c r="AA570" i="5" s="1"/>
  <c r="W569" i="5"/>
  <c r="AC569" i="5" s="1"/>
  <c r="P569" i="5"/>
  <c r="L569" i="5"/>
  <c r="M569" i="5" s="1"/>
  <c r="W568" i="5"/>
  <c r="P568" i="5"/>
  <c r="L568" i="5"/>
  <c r="AA568" i="5" s="1"/>
  <c r="W567" i="5"/>
  <c r="P567" i="5"/>
  <c r="L567" i="5"/>
  <c r="W566" i="5"/>
  <c r="P566" i="5"/>
  <c r="L566" i="5"/>
  <c r="M566" i="5" s="1"/>
  <c r="W565" i="5"/>
  <c r="P565" i="5"/>
  <c r="Q565" i="5" s="1"/>
  <c r="L565" i="5"/>
  <c r="AA565" i="5" s="1"/>
  <c r="W564" i="5"/>
  <c r="P564" i="5"/>
  <c r="AB564" i="5" s="1"/>
  <c r="L564" i="5"/>
  <c r="M564" i="5" s="1"/>
  <c r="W563" i="5"/>
  <c r="P563" i="5"/>
  <c r="L563" i="5"/>
  <c r="M563" i="5" s="1"/>
  <c r="W562" i="5"/>
  <c r="AC562" i="5" s="1"/>
  <c r="P562" i="5"/>
  <c r="L562" i="5"/>
  <c r="AA562" i="5" s="1"/>
  <c r="W561" i="5"/>
  <c r="AC561" i="5" s="1"/>
  <c r="P561" i="5"/>
  <c r="Q561" i="5" s="1"/>
  <c r="L561" i="5"/>
  <c r="W560" i="5"/>
  <c r="P560" i="5"/>
  <c r="AB560" i="5" s="1"/>
  <c r="L560" i="5"/>
  <c r="W559" i="5"/>
  <c r="P559" i="5"/>
  <c r="Q559" i="5" s="1"/>
  <c r="L559" i="5"/>
  <c r="W558" i="5"/>
  <c r="P558" i="5"/>
  <c r="AB558" i="5" s="1"/>
  <c r="L558" i="5"/>
  <c r="W557" i="5"/>
  <c r="AC557" i="5" s="1"/>
  <c r="P557" i="5"/>
  <c r="Q557" i="5" s="1"/>
  <c r="L557" i="5"/>
  <c r="W556" i="5"/>
  <c r="X556" i="5" s="1"/>
  <c r="P556" i="5"/>
  <c r="L556" i="5"/>
  <c r="AA556" i="5" s="1"/>
  <c r="W555" i="5"/>
  <c r="AC555" i="5" s="1"/>
  <c r="P555" i="5"/>
  <c r="L555" i="5"/>
  <c r="W554" i="5"/>
  <c r="P554" i="5"/>
  <c r="AB554" i="5" s="1"/>
  <c r="L554" i="5"/>
  <c r="M554" i="5" s="1"/>
  <c r="W553" i="5"/>
  <c r="P553" i="5"/>
  <c r="L553" i="5"/>
  <c r="M553" i="5" s="1"/>
  <c r="W552" i="5"/>
  <c r="AC552" i="5" s="1"/>
  <c r="P552" i="5"/>
  <c r="AB552" i="5" s="1"/>
  <c r="L552" i="5"/>
  <c r="AA552" i="5" s="1"/>
  <c r="W551" i="5"/>
  <c r="P551" i="5"/>
  <c r="Q551" i="5" s="1"/>
  <c r="L551" i="5"/>
  <c r="W550" i="5"/>
  <c r="P550" i="5"/>
  <c r="AB550" i="5" s="1"/>
  <c r="L550" i="5"/>
  <c r="W549" i="5"/>
  <c r="AC549" i="5" s="1"/>
  <c r="P549" i="5"/>
  <c r="L549" i="5"/>
  <c r="W548" i="5"/>
  <c r="X548" i="5" s="1"/>
  <c r="P548" i="5"/>
  <c r="L548" i="5"/>
  <c r="AA548" i="5" s="1"/>
  <c r="W547" i="5"/>
  <c r="P547" i="5"/>
  <c r="L547" i="5"/>
  <c r="AA547" i="5" s="1"/>
  <c r="W546" i="5"/>
  <c r="P546" i="5"/>
  <c r="Q546" i="5" s="1"/>
  <c r="L546" i="5"/>
  <c r="W545" i="5"/>
  <c r="P545" i="5"/>
  <c r="L545" i="5"/>
  <c r="M545" i="5" s="1"/>
  <c r="W544" i="5"/>
  <c r="AC544" i="5" s="1"/>
  <c r="P544" i="5"/>
  <c r="L544" i="5"/>
  <c r="AA544" i="5" s="1"/>
  <c r="W543" i="5"/>
  <c r="AC543" i="5" s="1"/>
  <c r="P543" i="5"/>
  <c r="Q543" i="5" s="1"/>
  <c r="L543" i="5"/>
  <c r="W542" i="5"/>
  <c r="AC542" i="5" s="1"/>
  <c r="P542" i="5"/>
  <c r="AB542" i="5" s="1"/>
  <c r="L542" i="5"/>
  <c r="W541" i="5"/>
  <c r="P541" i="5"/>
  <c r="AB541" i="5" s="1"/>
  <c r="L541" i="5"/>
  <c r="W540" i="5"/>
  <c r="X540" i="5" s="1"/>
  <c r="P540" i="5"/>
  <c r="Q540" i="5" s="1"/>
  <c r="L540" i="5"/>
  <c r="M540" i="5" s="1"/>
  <c r="W539" i="5"/>
  <c r="AC539" i="5" s="1"/>
  <c r="P539" i="5"/>
  <c r="L539" i="5"/>
  <c r="AA539" i="5" s="1"/>
  <c r="W538" i="5"/>
  <c r="P538" i="5"/>
  <c r="AB538" i="5" s="1"/>
  <c r="L538" i="5"/>
  <c r="AA538" i="5" s="1"/>
  <c r="W537" i="5"/>
  <c r="AC537" i="5" s="1"/>
  <c r="P537" i="5"/>
  <c r="L537" i="5"/>
  <c r="W536" i="5"/>
  <c r="P536" i="5"/>
  <c r="AB536" i="5" s="1"/>
  <c r="L536" i="5"/>
  <c r="AA536" i="5" s="1"/>
  <c r="W535" i="5"/>
  <c r="P535" i="5"/>
  <c r="L535" i="5"/>
  <c r="W534" i="5"/>
  <c r="P534" i="5"/>
  <c r="Q534" i="5" s="1"/>
  <c r="L534" i="5"/>
  <c r="AA534" i="5" s="1"/>
  <c r="W533" i="5"/>
  <c r="P533" i="5"/>
  <c r="L533" i="5"/>
  <c r="M533" i="5" s="1"/>
  <c r="W532" i="5"/>
  <c r="AC532" i="5" s="1"/>
  <c r="P532" i="5"/>
  <c r="L532" i="5"/>
  <c r="AA532" i="5" s="1"/>
  <c r="W531" i="5"/>
  <c r="X531" i="5" s="1"/>
  <c r="P531" i="5"/>
  <c r="Q531" i="5" s="1"/>
  <c r="L531" i="5"/>
  <c r="W530" i="5"/>
  <c r="X530" i="5" s="1"/>
  <c r="P530" i="5"/>
  <c r="Q530" i="5" s="1"/>
  <c r="L530" i="5"/>
  <c r="M530" i="5" s="1"/>
  <c r="W529" i="5"/>
  <c r="P529" i="5"/>
  <c r="Q529" i="5" s="1"/>
  <c r="L529" i="5"/>
  <c r="W528" i="5"/>
  <c r="AC528" i="5" s="1"/>
  <c r="P528" i="5"/>
  <c r="L528" i="5"/>
  <c r="M528" i="5" s="1"/>
  <c r="W527" i="5"/>
  <c r="AC527" i="5" s="1"/>
  <c r="P527" i="5"/>
  <c r="Q527" i="5" s="1"/>
  <c r="L527" i="5"/>
  <c r="AA527" i="5" s="1"/>
  <c r="W526" i="5"/>
  <c r="AC526" i="5" s="1"/>
  <c r="P526" i="5"/>
  <c r="AB526" i="5" s="1"/>
  <c r="L526" i="5"/>
  <c r="AA526" i="5" s="1"/>
  <c r="W525" i="5"/>
  <c r="AC525" i="5" s="1"/>
  <c r="P525" i="5"/>
  <c r="AB525" i="5" s="1"/>
  <c r="L525" i="5"/>
  <c r="W524" i="5"/>
  <c r="AC524" i="5" s="1"/>
  <c r="P524" i="5"/>
  <c r="L524" i="5"/>
  <c r="W523" i="5"/>
  <c r="P523" i="5"/>
  <c r="Q523" i="5" s="1"/>
  <c r="L523" i="5"/>
  <c r="AA523" i="5" s="1"/>
  <c r="W522" i="5"/>
  <c r="P522" i="5"/>
  <c r="L522" i="5"/>
  <c r="W521" i="5"/>
  <c r="X521" i="5" s="1"/>
  <c r="P521" i="5"/>
  <c r="AB521" i="5" s="1"/>
  <c r="L521" i="5"/>
  <c r="AA521" i="5" s="1"/>
  <c r="W520" i="5"/>
  <c r="AC520" i="5" s="1"/>
  <c r="P520" i="5"/>
  <c r="Q520" i="5" s="1"/>
  <c r="L520" i="5"/>
  <c r="W519" i="5"/>
  <c r="X519" i="5" s="1"/>
  <c r="P519" i="5"/>
  <c r="Q519" i="5" s="1"/>
  <c r="L519" i="5"/>
  <c r="M519" i="5" s="1"/>
  <c r="W518" i="5"/>
  <c r="P518" i="5"/>
  <c r="L518" i="5"/>
  <c r="W517" i="5"/>
  <c r="X517" i="5" s="1"/>
  <c r="P517" i="5"/>
  <c r="AB517" i="5" s="1"/>
  <c r="L517" i="5"/>
  <c r="W516" i="5"/>
  <c r="P516" i="5"/>
  <c r="L516" i="5"/>
  <c r="M516" i="5" s="1"/>
  <c r="W515" i="5"/>
  <c r="P515" i="5"/>
  <c r="L515" i="5"/>
  <c r="AA515" i="5" s="1"/>
  <c r="W514" i="5"/>
  <c r="AC514" i="5" s="1"/>
  <c r="P514" i="5"/>
  <c r="AB514" i="5" s="1"/>
  <c r="L514" i="5"/>
  <c r="AA514" i="5" s="1"/>
  <c r="W513" i="5"/>
  <c r="AC513" i="5" s="1"/>
  <c r="P513" i="5"/>
  <c r="L513" i="5"/>
  <c r="W512" i="5"/>
  <c r="P512" i="5"/>
  <c r="L512" i="5"/>
  <c r="AA512" i="5" s="1"/>
  <c r="W511" i="5"/>
  <c r="P511" i="5"/>
  <c r="AB511" i="5" s="1"/>
  <c r="L511" i="5"/>
  <c r="W510" i="5"/>
  <c r="P510" i="5"/>
  <c r="AB510" i="5" s="1"/>
  <c r="L510" i="5"/>
  <c r="W509" i="5"/>
  <c r="P509" i="5"/>
  <c r="AB509" i="5" s="1"/>
  <c r="L509" i="5"/>
  <c r="M509" i="5" s="1"/>
  <c r="W508" i="5"/>
  <c r="AC508" i="5" s="1"/>
  <c r="P508" i="5"/>
  <c r="Q508" i="5" s="1"/>
  <c r="L508" i="5"/>
  <c r="W507" i="5"/>
  <c r="X507" i="5" s="1"/>
  <c r="P507" i="5"/>
  <c r="Q507" i="5" s="1"/>
  <c r="L507" i="5"/>
  <c r="AA507" i="5" s="1"/>
  <c r="W506" i="5"/>
  <c r="X506" i="5" s="1"/>
  <c r="P506" i="5"/>
  <c r="L506" i="5"/>
  <c r="W505" i="5"/>
  <c r="P505" i="5"/>
  <c r="Q505" i="5" s="1"/>
  <c r="L505" i="5"/>
  <c r="M505" i="5" s="1"/>
  <c r="W504" i="5"/>
  <c r="P504" i="5"/>
  <c r="AB504" i="5" s="1"/>
  <c r="L504" i="5"/>
  <c r="W503" i="5"/>
  <c r="P503" i="5"/>
  <c r="AB503" i="5" s="1"/>
  <c r="L503" i="5"/>
  <c r="AA503" i="5" s="1"/>
  <c r="W502" i="5"/>
  <c r="AC502" i="5" s="1"/>
  <c r="P502" i="5"/>
  <c r="L502" i="5"/>
  <c r="W501" i="5"/>
  <c r="P501" i="5"/>
  <c r="AB501" i="5" s="1"/>
  <c r="L501" i="5"/>
  <c r="AA501" i="5" s="1"/>
  <c r="W500" i="5"/>
  <c r="P500" i="5"/>
  <c r="AB500" i="5" s="1"/>
  <c r="L500" i="5"/>
  <c r="W499" i="5"/>
  <c r="AC499" i="5" s="1"/>
  <c r="P499" i="5"/>
  <c r="L499" i="5"/>
  <c r="AA499" i="5" s="1"/>
  <c r="W498" i="5"/>
  <c r="X498" i="5" s="1"/>
  <c r="P498" i="5"/>
  <c r="Q498" i="5" s="1"/>
  <c r="L498" i="5"/>
  <c r="W497" i="5"/>
  <c r="X497" i="5" s="1"/>
  <c r="P497" i="5"/>
  <c r="L497" i="5"/>
  <c r="M497" i="5" s="1"/>
  <c r="W496" i="5"/>
  <c r="AC496" i="5" s="1"/>
  <c r="P496" i="5"/>
  <c r="L496" i="5"/>
  <c r="AA496" i="5" s="1"/>
  <c r="W495" i="5"/>
  <c r="AC495" i="5" s="1"/>
  <c r="P495" i="5"/>
  <c r="Q495" i="5" s="1"/>
  <c r="L495" i="5"/>
  <c r="W494" i="5"/>
  <c r="X494" i="5" s="1"/>
  <c r="P494" i="5"/>
  <c r="AB494" i="5" s="1"/>
  <c r="L494" i="5"/>
  <c r="W493" i="5"/>
  <c r="X493" i="5" s="1"/>
  <c r="P493" i="5"/>
  <c r="L493" i="5"/>
  <c r="W492" i="5"/>
  <c r="P492" i="5"/>
  <c r="Q492" i="5" s="1"/>
  <c r="L492" i="5"/>
  <c r="M492" i="5" s="1"/>
  <c r="W491" i="5"/>
  <c r="AC491" i="5" s="1"/>
  <c r="P491" i="5"/>
  <c r="AB491" i="5" s="1"/>
  <c r="L491" i="5"/>
  <c r="W490" i="5"/>
  <c r="AC490" i="5" s="1"/>
  <c r="P490" i="5"/>
  <c r="AB490" i="5" s="1"/>
  <c r="L490" i="5"/>
  <c r="AA490" i="5" s="1"/>
  <c r="W489" i="5"/>
  <c r="P489" i="5"/>
  <c r="AB489" i="5" s="1"/>
  <c r="L489" i="5"/>
  <c r="AA489" i="5" s="1"/>
  <c r="W488" i="5"/>
  <c r="P488" i="5"/>
  <c r="L488" i="5"/>
  <c r="W487" i="5"/>
  <c r="X487" i="5" s="1"/>
  <c r="P487" i="5"/>
  <c r="L487" i="5"/>
  <c r="AA487" i="5" s="1"/>
  <c r="W486" i="5"/>
  <c r="X486" i="5" s="1"/>
  <c r="P486" i="5"/>
  <c r="AB486" i="5" s="1"/>
  <c r="L486" i="5"/>
  <c r="AA486" i="5" s="1"/>
  <c r="W485" i="5"/>
  <c r="X485" i="5" s="1"/>
  <c r="P485" i="5"/>
  <c r="L485" i="5"/>
  <c r="AA485" i="5" s="1"/>
  <c r="W484" i="5"/>
  <c r="X484" i="5" s="1"/>
  <c r="P484" i="5"/>
  <c r="L484" i="5"/>
  <c r="M484" i="5" s="1"/>
  <c r="W483" i="5"/>
  <c r="P483" i="5"/>
  <c r="L483" i="5"/>
  <c r="AA483" i="5" s="1"/>
  <c r="W482" i="5"/>
  <c r="P482" i="5"/>
  <c r="L482" i="5"/>
  <c r="W481" i="5"/>
  <c r="P481" i="5"/>
  <c r="AB481" i="5" s="1"/>
  <c r="L481" i="5"/>
  <c r="W480" i="5"/>
  <c r="P480" i="5"/>
  <c r="AB480" i="5" s="1"/>
  <c r="L480" i="5"/>
  <c r="AA480" i="5" s="1"/>
  <c r="W479" i="5"/>
  <c r="P479" i="5"/>
  <c r="L479" i="5"/>
  <c r="AA479" i="5" s="1"/>
  <c r="W478" i="5"/>
  <c r="AC478" i="5" s="1"/>
  <c r="P478" i="5"/>
  <c r="AB478" i="5" s="1"/>
  <c r="L478" i="5"/>
  <c r="W477" i="5"/>
  <c r="P477" i="5"/>
  <c r="L477" i="5"/>
  <c r="W476" i="5"/>
  <c r="P476" i="5"/>
  <c r="AB476" i="5" s="1"/>
  <c r="L476" i="5"/>
  <c r="W475" i="5"/>
  <c r="X475" i="5" s="1"/>
  <c r="P475" i="5"/>
  <c r="Q475" i="5" s="1"/>
  <c r="L475" i="5"/>
  <c r="AA475" i="5" s="1"/>
  <c r="W474" i="5"/>
  <c r="X474" i="5" s="1"/>
  <c r="P474" i="5"/>
  <c r="L474" i="5"/>
  <c r="AA474" i="5" s="1"/>
  <c r="W473" i="5"/>
  <c r="X473" i="5" s="1"/>
  <c r="P473" i="5"/>
  <c r="L473" i="5"/>
  <c r="W472" i="5"/>
  <c r="AC472" i="5" s="1"/>
  <c r="P472" i="5"/>
  <c r="L472" i="5"/>
  <c r="AA472" i="5" s="1"/>
  <c r="W471" i="5"/>
  <c r="AC471" i="5" s="1"/>
  <c r="P471" i="5"/>
  <c r="L471" i="5"/>
  <c r="W470" i="5"/>
  <c r="X470" i="5" s="1"/>
  <c r="P470" i="5"/>
  <c r="AB470" i="5" s="1"/>
  <c r="L470" i="5"/>
  <c r="W469" i="5"/>
  <c r="P469" i="5"/>
  <c r="L469" i="5"/>
  <c r="W468" i="5"/>
  <c r="P468" i="5"/>
  <c r="L468" i="5"/>
  <c r="W467" i="5"/>
  <c r="AC467" i="5" s="1"/>
  <c r="P467" i="5"/>
  <c r="L467" i="5"/>
  <c r="AA467" i="5" s="1"/>
  <c r="W466" i="5"/>
  <c r="AC466" i="5" s="1"/>
  <c r="P466" i="5"/>
  <c r="L466" i="5"/>
  <c r="M466" i="5" s="1"/>
  <c r="W465" i="5"/>
  <c r="AC465" i="5" s="1"/>
  <c r="P465" i="5"/>
  <c r="AB465" i="5" s="1"/>
  <c r="L465" i="5"/>
  <c r="AA465" i="5" s="1"/>
  <c r="W464" i="5"/>
  <c r="AC464" i="5" s="1"/>
  <c r="P464" i="5"/>
  <c r="AB464" i="5" s="1"/>
  <c r="L464" i="5"/>
  <c r="W463" i="5"/>
  <c r="X463" i="5" s="1"/>
  <c r="P463" i="5"/>
  <c r="Q463" i="5" s="1"/>
  <c r="L463" i="5"/>
  <c r="AA463" i="5" s="1"/>
  <c r="W462" i="5"/>
  <c r="X462" i="5" s="1"/>
  <c r="P462" i="5"/>
  <c r="L462" i="5"/>
  <c r="AA462" i="5" s="1"/>
  <c r="W461" i="5"/>
  <c r="X461" i="5" s="1"/>
  <c r="P461" i="5"/>
  <c r="AB461" i="5" s="1"/>
  <c r="L461" i="5"/>
  <c r="AA461" i="5" s="1"/>
  <c r="W460" i="5"/>
  <c r="X460" i="5" s="1"/>
  <c r="P460" i="5"/>
  <c r="L460" i="5"/>
  <c r="AA460" i="5" s="1"/>
  <c r="W459" i="5"/>
  <c r="AC459" i="5" s="1"/>
  <c r="P459" i="5"/>
  <c r="L459" i="5"/>
  <c r="W458" i="5"/>
  <c r="AC458" i="5" s="1"/>
  <c r="P458" i="5"/>
  <c r="AB458" i="5" s="1"/>
  <c r="L458" i="5"/>
  <c r="W457" i="5"/>
  <c r="AC457" i="5" s="1"/>
  <c r="P457" i="5"/>
  <c r="AB457" i="5" s="1"/>
  <c r="L457" i="5"/>
  <c r="M457" i="5" s="1"/>
  <c r="W456" i="5"/>
  <c r="AC456" i="5" s="1"/>
  <c r="P456" i="5"/>
  <c r="Q456" i="5" s="1"/>
  <c r="L456" i="5"/>
  <c r="M456" i="5" s="1"/>
  <c r="W455" i="5"/>
  <c r="AC455" i="5" s="1"/>
  <c r="P455" i="5"/>
  <c r="L455" i="5"/>
  <c r="W454" i="5"/>
  <c r="P454" i="5"/>
  <c r="L454" i="5"/>
  <c r="M454" i="5" s="1"/>
  <c r="W453" i="5"/>
  <c r="P453" i="5"/>
  <c r="AB453" i="5" s="1"/>
  <c r="L453" i="5"/>
  <c r="AA453" i="5" s="1"/>
  <c r="W452" i="5"/>
  <c r="AC452" i="5" s="1"/>
  <c r="P452" i="5"/>
  <c r="L452" i="5"/>
  <c r="W451" i="5"/>
  <c r="AC451" i="5" s="1"/>
  <c r="P451" i="5"/>
  <c r="L451" i="5"/>
  <c r="AA451" i="5" s="1"/>
  <c r="W450" i="5"/>
  <c r="X450" i="5" s="1"/>
  <c r="P450" i="5"/>
  <c r="Q450" i="5" s="1"/>
  <c r="L450" i="5"/>
  <c r="W449" i="5"/>
  <c r="X449" i="5" s="1"/>
  <c r="P449" i="5"/>
  <c r="L449" i="5"/>
  <c r="AA449" i="5" s="1"/>
  <c r="W448" i="5"/>
  <c r="AC448" i="5" s="1"/>
  <c r="P448" i="5"/>
  <c r="L448" i="5"/>
  <c r="M448" i="5" s="1"/>
  <c r="W447" i="5"/>
  <c r="AC447" i="5" s="1"/>
  <c r="P447" i="5"/>
  <c r="L447" i="5"/>
  <c r="AA447" i="5" s="1"/>
  <c r="W446" i="5"/>
  <c r="AC446" i="5" s="1"/>
  <c r="P446" i="5"/>
  <c r="Q446" i="5" s="1"/>
  <c r="L446" i="5"/>
  <c r="W445" i="5"/>
  <c r="P445" i="5"/>
  <c r="AB445" i="5" s="1"/>
  <c r="L445" i="5"/>
  <c r="W444" i="5"/>
  <c r="AC444" i="5" s="1"/>
  <c r="P444" i="5"/>
  <c r="L444" i="5"/>
  <c r="M444" i="5" s="1"/>
  <c r="W443" i="5"/>
  <c r="P443" i="5"/>
  <c r="AB443" i="5" s="1"/>
  <c r="L443" i="5"/>
  <c r="W442" i="5"/>
  <c r="P442" i="5"/>
  <c r="AB442" i="5" s="1"/>
  <c r="L442" i="5"/>
  <c r="W441" i="5"/>
  <c r="P441" i="5"/>
  <c r="AB441" i="5" s="1"/>
  <c r="L441" i="5"/>
  <c r="AA441" i="5" s="1"/>
  <c r="W440" i="5"/>
  <c r="X440" i="5" s="1"/>
  <c r="P440" i="5"/>
  <c r="AB440" i="5" s="1"/>
  <c r="L440" i="5"/>
  <c r="W439" i="5"/>
  <c r="P439" i="5"/>
  <c r="AB439" i="5" s="1"/>
  <c r="L439" i="5"/>
  <c r="W438" i="5"/>
  <c r="X438" i="5" s="1"/>
  <c r="P438" i="5"/>
  <c r="AB438" i="5" s="1"/>
  <c r="L438" i="5"/>
  <c r="W437" i="5"/>
  <c r="P437" i="5"/>
  <c r="L437" i="5"/>
  <c r="W436" i="5"/>
  <c r="AC436" i="5" s="1"/>
  <c r="P436" i="5"/>
  <c r="L436" i="5"/>
  <c r="M436" i="5" s="1"/>
  <c r="W435" i="5"/>
  <c r="AC435" i="5" s="1"/>
  <c r="P435" i="5"/>
  <c r="Q435" i="5" s="1"/>
  <c r="L435" i="5"/>
  <c r="W434" i="5"/>
  <c r="P434" i="5"/>
  <c r="L434" i="5"/>
  <c r="W433" i="5"/>
  <c r="AC433" i="5" s="1"/>
  <c r="P433" i="5"/>
  <c r="AB433" i="5" s="1"/>
  <c r="L433" i="5"/>
  <c r="W432" i="5"/>
  <c r="P432" i="5"/>
  <c r="AB432" i="5" s="1"/>
  <c r="L432" i="5"/>
  <c r="AA432" i="5" s="1"/>
  <c r="W431" i="5"/>
  <c r="AC431" i="5" s="1"/>
  <c r="P431" i="5"/>
  <c r="L431" i="5"/>
  <c r="AA431" i="5" s="1"/>
  <c r="W430" i="5"/>
  <c r="P430" i="5"/>
  <c r="AB430" i="5" s="1"/>
  <c r="L430" i="5"/>
  <c r="W429" i="5"/>
  <c r="P429" i="5"/>
  <c r="AB429" i="5" s="1"/>
  <c r="L429" i="5"/>
  <c r="W428" i="5"/>
  <c r="P428" i="5"/>
  <c r="AB428" i="5" s="1"/>
  <c r="L428" i="5"/>
  <c r="W427" i="5"/>
  <c r="X427" i="5" s="1"/>
  <c r="P427" i="5"/>
  <c r="Q427" i="5" s="1"/>
  <c r="L427" i="5"/>
  <c r="AA427" i="5" s="1"/>
  <c r="W426" i="5"/>
  <c r="X426" i="5" s="1"/>
  <c r="P426" i="5"/>
  <c r="L426" i="5"/>
  <c r="AA426" i="5" s="1"/>
  <c r="W425" i="5"/>
  <c r="P425" i="5"/>
  <c r="L425" i="5"/>
  <c r="AA425" i="5" s="1"/>
  <c r="W424" i="5"/>
  <c r="AC424" i="5" s="1"/>
  <c r="P424" i="5"/>
  <c r="L424" i="5"/>
  <c r="W423" i="5"/>
  <c r="X423" i="5" s="1"/>
  <c r="P423" i="5"/>
  <c r="Q423" i="5" s="1"/>
  <c r="L423" i="5"/>
  <c r="W422" i="5"/>
  <c r="P422" i="5"/>
  <c r="AB422" i="5" s="1"/>
  <c r="L422" i="5"/>
  <c r="W421" i="5"/>
  <c r="AC421" i="5" s="1"/>
  <c r="P421" i="5"/>
  <c r="Q421" i="5" s="1"/>
  <c r="L421" i="5"/>
  <c r="M421" i="5" s="1"/>
  <c r="W420" i="5"/>
  <c r="P420" i="5"/>
  <c r="AB420" i="5" s="1"/>
  <c r="L420" i="5"/>
  <c r="AA420" i="5" s="1"/>
  <c r="W419" i="5"/>
  <c r="P419" i="5"/>
  <c r="L419" i="5"/>
  <c r="AA419" i="5" s="1"/>
  <c r="W418" i="5"/>
  <c r="P418" i="5"/>
  <c r="L418" i="5"/>
  <c r="AA418" i="5" s="1"/>
  <c r="W417" i="5"/>
  <c r="AC417" i="5" s="1"/>
  <c r="P417" i="5"/>
  <c r="AB417" i="5" s="1"/>
  <c r="L417" i="5"/>
  <c r="W416" i="5"/>
  <c r="AC416" i="5" s="1"/>
  <c r="P416" i="5"/>
  <c r="L416" i="5"/>
  <c r="AA416" i="5" s="1"/>
  <c r="W415" i="5"/>
  <c r="AC415" i="5" s="1"/>
  <c r="P415" i="5"/>
  <c r="Q415" i="5" s="1"/>
  <c r="L415" i="5"/>
  <c r="AA415" i="5" s="1"/>
  <c r="W414" i="5"/>
  <c r="P414" i="5"/>
  <c r="AB414" i="5" s="1"/>
  <c r="L414" i="5"/>
  <c r="AA414" i="5" s="1"/>
  <c r="W413" i="5"/>
  <c r="X413" i="5" s="1"/>
  <c r="P413" i="5"/>
  <c r="Q413" i="5" s="1"/>
  <c r="L413" i="5"/>
  <c r="W412" i="5"/>
  <c r="AC412" i="5" s="1"/>
  <c r="P412" i="5"/>
  <c r="L412" i="5"/>
  <c r="W411" i="5"/>
  <c r="AC411" i="5" s="1"/>
  <c r="P411" i="5"/>
  <c r="Q411" i="5" s="1"/>
  <c r="L411" i="5"/>
  <c r="W410" i="5"/>
  <c r="AC410" i="5" s="1"/>
  <c r="P410" i="5"/>
  <c r="AB410" i="5" s="1"/>
  <c r="L410" i="5"/>
  <c r="W409" i="5"/>
  <c r="P409" i="5"/>
  <c r="AB409" i="5" s="1"/>
  <c r="L409" i="5"/>
  <c r="M409" i="5" s="1"/>
  <c r="W408" i="5"/>
  <c r="P408" i="5"/>
  <c r="L408" i="5"/>
  <c r="AA408" i="5" s="1"/>
  <c r="W407" i="5"/>
  <c r="AC407" i="5" s="1"/>
  <c r="P407" i="5"/>
  <c r="L407" i="5"/>
  <c r="M407" i="5" s="1"/>
  <c r="W406" i="5"/>
  <c r="AC406" i="5" s="1"/>
  <c r="P406" i="5"/>
  <c r="L406" i="5"/>
  <c r="W405" i="5"/>
  <c r="P405" i="5"/>
  <c r="AB405" i="5" s="1"/>
  <c r="L405" i="5"/>
  <c r="AA405" i="5" s="1"/>
  <c r="W404" i="5"/>
  <c r="AC404" i="5" s="1"/>
  <c r="P404" i="5"/>
  <c r="L404" i="5"/>
  <c r="W403" i="5"/>
  <c r="AC403" i="5" s="1"/>
  <c r="P403" i="5"/>
  <c r="L403" i="5"/>
  <c r="AA403" i="5" s="1"/>
  <c r="W402" i="5"/>
  <c r="P402" i="5"/>
  <c r="Q402" i="5" s="1"/>
  <c r="L402" i="5"/>
  <c r="AA402" i="5" s="1"/>
  <c r="W401" i="5"/>
  <c r="P401" i="5"/>
  <c r="AB401" i="5" s="1"/>
  <c r="L401" i="5"/>
  <c r="AA401" i="5" s="1"/>
  <c r="W400" i="5"/>
  <c r="P400" i="5"/>
  <c r="Q400" i="5" s="1"/>
  <c r="L400" i="5"/>
  <c r="W399" i="5"/>
  <c r="AC399" i="5" s="1"/>
  <c r="P399" i="5"/>
  <c r="Q399" i="5" s="1"/>
  <c r="L399" i="5"/>
  <c r="AA399" i="5" s="1"/>
  <c r="W398" i="5"/>
  <c r="X398" i="5" s="1"/>
  <c r="P398" i="5"/>
  <c r="Q398" i="5" s="1"/>
  <c r="L398" i="5"/>
  <c r="W397" i="5"/>
  <c r="X397" i="5" s="1"/>
  <c r="P397" i="5"/>
  <c r="Q397" i="5" s="1"/>
  <c r="L397" i="5"/>
  <c r="M397" i="5" s="1"/>
  <c r="W396" i="5"/>
  <c r="P396" i="5"/>
  <c r="L396" i="5"/>
  <c r="AA396" i="5" s="1"/>
  <c r="W395" i="5"/>
  <c r="AC395" i="5" s="1"/>
  <c r="P395" i="5"/>
  <c r="AB395" i="5" s="1"/>
  <c r="L395" i="5"/>
  <c r="AA395" i="5" s="1"/>
  <c r="W394" i="5"/>
  <c r="P394" i="5"/>
  <c r="AB394" i="5" s="1"/>
  <c r="L394" i="5"/>
  <c r="AA394" i="5" s="1"/>
  <c r="W393" i="5"/>
  <c r="P393" i="5"/>
  <c r="AB393" i="5" s="1"/>
  <c r="L393" i="5"/>
  <c r="AA393" i="5" s="1"/>
  <c r="W392" i="5"/>
  <c r="X392" i="5" s="1"/>
  <c r="P392" i="5"/>
  <c r="L392" i="5"/>
  <c r="W391" i="5"/>
  <c r="AC391" i="5" s="1"/>
  <c r="P391" i="5"/>
  <c r="AB391" i="5" s="1"/>
  <c r="L391" i="5"/>
  <c r="W390" i="5"/>
  <c r="X390" i="5" s="1"/>
  <c r="P390" i="5"/>
  <c r="L390" i="5"/>
  <c r="AA390" i="5" s="1"/>
  <c r="W389" i="5"/>
  <c r="P389" i="5"/>
  <c r="L389" i="5"/>
  <c r="M389" i="5" s="1"/>
  <c r="W388" i="5"/>
  <c r="AC388" i="5" s="1"/>
  <c r="P388" i="5"/>
  <c r="L388" i="5"/>
  <c r="W387" i="5"/>
  <c r="AC387" i="5" s="1"/>
  <c r="P387" i="5"/>
  <c r="L387" i="5"/>
  <c r="AA387" i="5" s="1"/>
  <c r="W386" i="5"/>
  <c r="AC386" i="5" s="1"/>
  <c r="P386" i="5"/>
  <c r="AB386" i="5" s="1"/>
  <c r="L386" i="5"/>
  <c r="W385" i="5"/>
  <c r="X385" i="5" s="1"/>
  <c r="P385" i="5"/>
  <c r="Q385" i="5" s="1"/>
  <c r="L385" i="5"/>
  <c r="W384" i="5"/>
  <c r="P384" i="5"/>
  <c r="AB384" i="5" s="1"/>
  <c r="L384" i="5"/>
  <c r="AA384" i="5" s="1"/>
  <c r="W383" i="5"/>
  <c r="AC383" i="5" s="1"/>
  <c r="P383" i="5"/>
  <c r="Q383" i="5" s="1"/>
  <c r="L383" i="5"/>
  <c r="W382" i="5"/>
  <c r="AC382" i="5" s="1"/>
  <c r="P382" i="5"/>
  <c r="AB382" i="5" s="1"/>
  <c r="L382" i="5"/>
  <c r="W381" i="5"/>
  <c r="P381" i="5"/>
  <c r="AB381" i="5" s="1"/>
  <c r="L381" i="5"/>
  <c r="AA381" i="5" s="1"/>
  <c r="W380" i="5"/>
  <c r="P380" i="5"/>
  <c r="L380" i="5"/>
  <c r="W379" i="5"/>
  <c r="X379" i="5" s="1"/>
  <c r="P379" i="5"/>
  <c r="Q379" i="5" s="1"/>
  <c r="L379" i="5"/>
  <c r="AA379" i="5" s="1"/>
  <c r="W378" i="5"/>
  <c r="X378" i="5" s="1"/>
  <c r="P378" i="5"/>
  <c r="AB378" i="5" s="1"/>
  <c r="L378" i="5"/>
  <c r="W377" i="5"/>
  <c r="X377" i="5" s="1"/>
  <c r="P377" i="5"/>
  <c r="L377" i="5"/>
  <c r="AA377" i="5" s="1"/>
  <c r="W376" i="5"/>
  <c r="AC376" i="5" s="1"/>
  <c r="P376" i="5"/>
  <c r="Q376" i="5" s="1"/>
  <c r="L376" i="5"/>
  <c r="AA376" i="5" s="1"/>
  <c r="W375" i="5"/>
  <c r="X375" i="5" s="1"/>
  <c r="P375" i="5"/>
  <c r="Q375" i="5" s="1"/>
  <c r="L375" i="5"/>
  <c r="W374" i="5"/>
  <c r="P374" i="5"/>
  <c r="L374" i="5"/>
  <c r="M374" i="5" s="1"/>
  <c r="W373" i="5"/>
  <c r="P373" i="5"/>
  <c r="L373" i="5"/>
  <c r="M373" i="5" s="1"/>
  <c r="W372" i="5"/>
  <c r="P372" i="5"/>
  <c r="AB372" i="5" s="1"/>
  <c r="L372" i="5"/>
  <c r="W371" i="5"/>
  <c r="P371" i="5"/>
  <c r="L371" i="5"/>
  <c r="AA371" i="5" s="1"/>
  <c r="W370" i="5"/>
  <c r="P370" i="5"/>
  <c r="L370" i="5"/>
  <c r="AA370" i="5" s="1"/>
  <c r="W369" i="5"/>
  <c r="AC369" i="5" s="1"/>
  <c r="P369" i="5"/>
  <c r="AB369" i="5" s="1"/>
  <c r="L369" i="5"/>
  <c r="AA369" i="5" s="1"/>
  <c r="W368" i="5"/>
  <c r="AC368" i="5" s="1"/>
  <c r="P368" i="5"/>
  <c r="L368" i="5"/>
  <c r="W367" i="5"/>
  <c r="P367" i="5"/>
  <c r="L367" i="5"/>
  <c r="W366" i="5"/>
  <c r="P366" i="5"/>
  <c r="L366" i="5"/>
  <c r="AA366" i="5" s="1"/>
  <c r="W365" i="5"/>
  <c r="P365" i="5"/>
  <c r="L365" i="5"/>
  <c r="M365" i="5" s="1"/>
  <c r="W364" i="5"/>
  <c r="AC364" i="5" s="1"/>
  <c r="P364" i="5"/>
  <c r="L364" i="5"/>
  <c r="AA364" i="5" s="1"/>
  <c r="W363" i="5"/>
  <c r="AC363" i="5" s="1"/>
  <c r="P363" i="5"/>
  <c r="Q363" i="5" s="1"/>
  <c r="L363" i="5"/>
  <c r="M363" i="5" s="1"/>
  <c r="W362" i="5"/>
  <c r="P362" i="5"/>
  <c r="Q362" i="5" s="1"/>
  <c r="L362" i="5"/>
  <c r="W361" i="5"/>
  <c r="P361" i="5"/>
  <c r="AB361" i="5" s="1"/>
  <c r="L361" i="5"/>
  <c r="W360" i="5"/>
  <c r="X360" i="5" s="1"/>
  <c r="P360" i="5"/>
  <c r="Q360" i="5" s="1"/>
  <c r="L360" i="5"/>
  <c r="M360" i="5" s="1"/>
  <c r="W359" i="5"/>
  <c r="AC359" i="5" s="1"/>
  <c r="P359" i="5"/>
  <c r="L359" i="5"/>
  <c r="AA359" i="5" s="1"/>
  <c r="W358" i="5"/>
  <c r="AC358" i="5" s="1"/>
  <c r="P358" i="5"/>
  <c r="L358" i="5"/>
  <c r="AA358" i="5" s="1"/>
  <c r="W357" i="5"/>
  <c r="P357" i="5"/>
  <c r="AB357" i="5" s="1"/>
  <c r="L357" i="5"/>
  <c r="AA357" i="5" s="1"/>
  <c r="W356" i="5"/>
  <c r="AC356" i="5" s="1"/>
  <c r="P356" i="5"/>
  <c r="L356" i="5"/>
  <c r="W355" i="5"/>
  <c r="P355" i="5"/>
  <c r="L355" i="5"/>
  <c r="W354" i="5"/>
  <c r="P354" i="5"/>
  <c r="L354" i="5"/>
  <c r="W353" i="5"/>
  <c r="X353" i="5" s="1"/>
  <c r="P353" i="5"/>
  <c r="Q353" i="5" s="1"/>
  <c r="L353" i="5"/>
  <c r="AA353" i="5" s="1"/>
  <c r="W352" i="5"/>
  <c r="P352" i="5"/>
  <c r="L352" i="5"/>
  <c r="AA352" i="5" s="1"/>
  <c r="W351" i="5"/>
  <c r="P351" i="5"/>
  <c r="Q351" i="5" s="1"/>
  <c r="L351" i="5"/>
  <c r="AA351" i="5" s="1"/>
  <c r="W350" i="5"/>
  <c r="P350" i="5"/>
  <c r="L350" i="5"/>
  <c r="W349" i="5"/>
  <c r="P349" i="5"/>
  <c r="Q349" i="5" s="1"/>
  <c r="L349" i="5"/>
  <c r="W348" i="5"/>
  <c r="P348" i="5"/>
  <c r="Q348" i="5" s="1"/>
  <c r="L348" i="5"/>
  <c r="M348" i="5" s="1"/>
  <c r="W347" i="5"/>
  <c r="P347" i="5"/>
  <c r="AB347" i="5" s="1"/>
  <c r="L347" i="5"/>
  <c r="M347" i="5" s="1"/>
  <c r="W346" i="5"/>
  <c r="AC346" i="5" s="1"/>
  <c r="P346" i="5"/>
  <c r="L346" i="5"/>
  <c r="M346" i="5" s="1"/>
  <c r="W345" i="5"/>
  <c r="P345" i="5"/>
  <c r="AB345" i="5" s="1"/>
  <c r="L345" i="5"/>
  <c r="AA345" i="5" s="1"/>
  <c r="W344" i="5"/>
  <c r="P344" i="5"/>
  <c r="AB344" i="5" s="1"/>
  <c r="L344" i="5"/>
  <c r="W343" i="5"/>
  <c r="X343" i="5" s="1"/>
  <c r="P343" i="5"/>
  <c r="AB343" i="5" s="1"/>
  <c r="L343" i="5"/>
  <c r="AA343" i="5" s="1"/>
  <c r="W342" i="5"/>
  <c r="P342" i="5"/>
  <c r="AB342" i="5" s="1"/>
  <c r="L342" i="5"/>
  <c r="W341" i="5"/>
  <c r="P341" i="5"/>
  <c r="L341" i="5"/>
  <c r="W340" i="5"/>
  <c r="AC340" i="5" s="1"/>
  <c r="P340" i="5"/>
  <c r="L340" i="5"/>
  <c r="M340" i="5" s="1"/>
  <c r="W339" i="5"/>
  <c r="AC339" i="5" s="1"/>
  <c r="P339" i="5"/>
  <c r="L339" i="5"/>
  <c r="W338" i="5"/>
  <c r="AC338" i="5" s="1"/>
  <c r="P338" i="5"/>
  <c r="AB338" i="5" s="1"/>
  <c r="L338" i="5"/>
  <c r="M338" i="5" s="1"/>
  <c r="W337" i="5"/>
  <c r="P337" i="5"/>
  <c r="AB337" i="5" s="1"/>
  <c r="L337" i="5"/>
  <c r="W336" i="5"/>
  <c r="P336" i="5"/>
  <c r="L336" i="5"/>
  <c r="AA336" i="5" s="1"/>
  <c r="W335" i="5"/>
  <c r="AC335" i="5" s="1"/>
  <c r="P335" i="5"/>
  <c r="L335" i="5"/>
  <c r="W334" i="5"/>
  <c r="AC334" i="5" s="1"/>
  <c r="P334" i="5"/>
  <c r="L334" i="5"/>
  <c r="W333" i="5"/>
  <c r="P333" i="5"/>
  <c r="L333" i="5"/>
  <c r="AA333" i="5" s="1"/>
  <c r="W332" i="5"/>
  <c r="X332" i="5" s="1"/>
  <c r="P332" i="5"/>
  <c r="AB332" i="5" s="1"/>
  <c r="L332" i="5"/>
  <c r="W331" i="5"/>
  <c r="X331" i="5" s="1"/>
  <c r="P331" i="5"/>
  <c r="Q331" i="5" s="1"/>
  <c r="L331" i="5"/>
  <c r="AA331" i="5" s="1"/>
  <c r="W330" i="5"/>
  <c r="P330" i="5"/>
  <c r="L330" i="5"/>
  <c r="AA330" i="5" s="1"/>
  <c r="W329" i="5"/>
  <c r="X329" i="5" s="1"/>
  <c r="P329" i="5"/>
  <c r="AB329" i="5" s="1"/>
  <c r="L329" i="5"/>
  <c r="W328" i="5"/>
  <c r="P328" i="5"/>
  <c r="L328" i="5"/>
  <c r="W327" i="5"/>
  <c r="AC327" i="5" s="1"/>
  <c r="P327" i="5"/>
  <c r="L327" i="5"/>
  <c r="W326" i="5"/>
  <c r="X326" i="5" s="1"/>
  <c r="P326" i="5"/>
  <c r="L326" i="5"/>
  <c r="M326" i="5" s="1"/>
  <c r="W325" i="5"/>
  <c r="AC325" i="5" s="1"/>
  <c r="P325" i="5"/>
  <c r="L325" i="5"/>
  <c r="W324" i="5"/>
  <c r="P324" i="5"/>
  <c r="AB324" i="5" s="1"/>
  <c r="L324" i="5"/>
  <c r="M324" i="5" s="1"/>
  <c r="W323" i="5"/>
  <c r="P323" i="5"/>
  <c r="AB323" i="5" s="1"/>
  <c r="L323" i="5"/>
  <c r="M323" i="5" s="1"/>
  <c r="W322" i="5"/>
  <c r="P322" i="5"/>
  <c r="L322" i="5"/>
  <c r="AA322" i="5" s="1"/>
  <c r="W321" i="5"/>
  <c r="P321" i="5"/>
  <c r="AB321" i="5" s="1"/>
  <c r="L321" i="5"/>
  <c r="AA321" i="5" s="1"/>
  <c r="W320" i="5"/>
  <c r="P320" i="5"/>
  <c r="AB320" i="5" s="1"/>
  <c r="L320" i="5"/>
  <c r="AA320" i="5" s="1"/>
  <c r="W319" i="5"/>
  <c r="P319" i="5"/>
  <c r="L319" i="5"/>
  <c r="AA319" i="5" s="1"/>
  <c r="W318" i="5"/>
  <c r="P318" i="5"/>
  <c r="Q318" i="5" s="1"/>
  <c r="L318" i="5"/>
  <c r="AA318" i="5" s="1"/>
  <c r="W317" i="5"/>
  <c r="P317" i="5"/>
  <c r="L317" i="5"/>
  <c r="AA317" i="5" s="1"/>
  <c r="W316" i="5"/>
  <c r="P316" i="5"/>
  <c r="L316" i="5"/>
  <c r="AA316" i="5" s="1"/>
  <c r="W315" i="5"/>
  <c r="AC315" i="5" s="1"/>
  <c r="P315" i="5"/>
  <c r="L315" i="5"/>
  <c r="M315" i="5" s="1"/>
  <c r="W314" i="5"/>
  <c r="X314" i="5" s="1"/>
  <c r="P314" i="5"/>
  <c r="L314" i="5"/>
  <c r="W313" i="5"/>
  <c r="P313" i="5"/>
  <c r="Q313" i="5" s="1"/>
  <c r="L313" i="5"/>
  <c r="M313" i="5" s="1"/>
  <c r="W312" i="5"/>
  <c r="P312" i="5"/>
  <c r="AB312" i="5" s="1"/>
  <c r="L312" i="5"/>
  <c r="W311" i="5"/>
  <c r="AC311" i="5" s="1"/>
  <c r="P311" i="5"/>
  <c r="AB311" i="5" s="1"/>
  <c r="L311" i="5"/>
  <c r="AA311" i="5" s="1"/>
  <c r="W310" i="5"/>
  <c r="AC310" i="5" s="1"/>
  <c r="P310" i="5"/>
  <c r="L310" i="5"/>
  <c r="W309" i="5"/>
  <c r="AC309" i="5" s="1"/>
  <c r="P309" i="5"/>
  <c r="AB309" i="5" s="1"/>
  <c r="L309" i="5"/>
  <c r="W308" i="5"/>
  <c r="AC308" i="5" s="1"/>
  <c r="P308" i="5"/>
  <c r="AB308" i="5" s="1"/>
  <c r="L308" i="5"/>
  <c r="AA308" i="5" s="1"/>
  <c r="W307" i="5"/>
  <c r="AC307" i="5" s="1"/>
  <c r="P307" i="5"/>
  <c r="L307" i="5"/>
  <c r="W306" i="5"/>
  <c r="X306" i="5" s="1"/>
  <c r="P306" i="5"/>
  <c r="Q306" i="5" s="1"/>
  <c r="L306" i="5"/>
  <c r="W305" i="5"/>
  <c r="P305" i="5"/>
  <c r="AB305" i="5" s="1"/>
  <c r="L305" i="5"/>
  <c r="W304" i="5"/>
  <c r="X304" i="5" s="1"/>
  <c r="P304" i="5"/>
  <c r="Q304" i="5" s="1"/>
  <c r="L304" i="5"/>
  <c r="AA304" i="5" s="1"/>
  <c r="W303" i="5"/>
  <c r="X303" i="5" s="1"/>
  <c r="P303" i="5"/>
  <c r="L303" i="5"/>
  <c r="AA303" i="5" s="1"/>
  <c r="W302" i="5"/>
  <c r="AC302" i="5" s="1"/>
  <c r="P302" i="5"/>
  <c r="L302" i="5"/>
  <c r="W301" i="5"/>
  <c r="P301" i="5"/>
  <c r="Q301" i="5" s="1"/>
  <c r="L301" i="5"/>
  <c r="M301" i="5" s="1"/>
  <c r="W300" i="5"/>
  <c r="P300" i="5"/>
  <c r="L300" i="5"/>
  <c r="W299" i="5"/>
  <c r="AC299" i="5" s="1"/>
  <c r="P299" i="5"/>
  <c r="AB299" i="5" s="1"/>
  <c r="L299" i="5"/>
  <c r="M299" i="5" s="1"/>
  <c r="W298" i="5"/>
  <c r="AC298" i="5" s="1"/>
  <c r="P298" i="5"/>
  <c r="AB298" i="5" s="1"/>
  <c r="L298" i="5"/>
  <c r="AA298" i="5" s="1"/>
  <c r="W297" i="5"/>
  <c r="P297" i="5"/>
  <c r="AB297" i="5" s="1"/>
  <c r="L297" i="5"/>
  <c r="AA297" i="5" s="1"/>
  <c r="W296" i="5"/>
  <c r="P296" i="5"/>
  <c r="AB296" i="5" s="1"/>
  <c r="L296" i="5"/>
  <c r="W295" i="5"/>
  <c r="AC295" i="5" s="1"/>
  <c r="P295" i="5"/>
  <c r="L295" i="5"/>
  <c r="AA295" i="5" s="1"/>
  <c r="W294" i="5"/>
  <c r="P294" i="5"/>
  <c r="AB294" i="5" s="1"/>
  <c r="L294" i="5"/>
  <c r="W293" i="5"/>
  <c r="P293" i="5"/>
  <c r="Q293" i="5" s="1"/>
  <c r="L293" i="5"/>
  <c r="AA293" i="5" s="1"/>
  <c r="W292" i="5"/>
  <c r="P292" i="5"/>
  <c r="AB292" i="5" s="1"/>
  <c r="L292" i="5"/>
  <c r="M292" i="5" s="1"/>
  <c r="W291" i="5"/>
  <c r="AC291" i="5" s="1"/>
  <c r="P291" i="5"/>
  <c r="L291" i="5"/>
  <c r="AA291" i="5" s="1"/>
  <c r="W290" i="5"/>
  <c r="X290" i="5" s="1"/>
  <c r="P290" i="5"/>
  <c r="Q290" i="5" s="1"/>
  <c r="L290" i="5"/>
  <c r="W289" i="5"/>
  <c r="P289" i="5"/>
  <c r="L289" i="5"/>
  <c r="W288" i="5"/>
  <c r="P288" i="5"/>
  <c r="Q288" i="5" s="1"/>
  <c r="L288" i="5"/>
  <c r="AA288" i="5" s="1"/>
  <c r="W287" i="5"/>
  <c r="AC287" i="5" s="1"/>
  <c r="P287" i="5"/>
  <c r="L287" i="5"/>
  <c r="W286" i="5"/>
  <c r="AC286" i="5" s="1"/>
  <c r="P286" i="5"/>
  <c r="AB286" i="5" s="1"/>
  <c r="L286" i="5"/>
  <c r="W285" i="5"/>
  <c r="X285" i="5" s="1"/>
  <c r="P285" i="5"/>
  <c r="L285" i="5"/>
  <c r="M285" i="5" s="1"/>
  <c r="W284" i="5"/>
  <c r="P284" i="5"/>
  <c r="L284" i="5"/>
  <c r="AA284" i="5" s="1"/>
  <c r="W283" i="5"/>
  <c r="P283" i="5"/>
  <c r="AB283" i="5" s="1"/>
  <c r="L283" i="5"/>
  <c r="W282" i="5"/>
  <c r="P282" i="5"/>
  <c r="AB282" i="5" s="1"/>
  <c r="L282" i="5"/>
  <c r="AA282" i="5" s="1"/>
  <c r="W281" i="5"/>
  <c r="P281" i="5"/>
  <c r="L281" i="5"/>
  <c r="W280" i="5"/>
  <c r="AC280" i="5" s="1"/>
  <c r="P280" i="5"/>
  <c r="Q280" i="5" s="1"/>
  <c r="L280" i="5"/>
  <c r="W279" i="5"/>
  <c r="AC279" i="5" s="1"/>
  <c r="P279" i="5"/>
  <c r="Q279" i="5" s="1"/>
  <c r="L279" i="5"/>
  <c r="M279" i="5" s="1"/>
  <c r="W278" i="5"/>
  <c r="X278" i="5" s="1"/>
  <c r="P278" i="5"/>
  <c r="AB278" i="5" s="1"/>
  <c r="L278" i="5"/>
  <c r="W277" i="5"/>
  <c r="P277" i="5"/>
  <c r="Q277" i="5" s="1"/>
  <c r="L277" i="5"/>
  <c r="M277" i="5" s="1"/>
  <c r="W276" i="5"/>
  <c r="X276" i="5" s="1"/>
  <c r="P276" i="5"/>
  <c r="AB276" i="5" s="1"/>
  <c r="L276" i="5"/>
  <c r="W275" i="5"/>
  <c r="P275" i="5"/>
  <c r="Q275" i="5" s="1"/>
  <c r="L275" i="5"/>
  <c r="AA275" i="5" s="1"/>
  <c r="W274" i="5"/>
  <c r="P274" i="5"/>
  <c r="AB274" i="5" s="1"/>
  <c r="L274" i="5"/>
  <c r="W273" i="5"/>
  <c r="AC273" i="5" s="1"/>
  <c r="P273" i="5"/>
  <c r="L273" i="5"/>
  <c r="AA273" i="5" s="1"/>
  <c r="W272" i="5"/>
  <c r="P272" i="5"/>
  <c r="AB272" i="5" s="1"/>
  <c r="L272" i="5"/>
  <c r="W271" i="5"/>
  <c r="X271" i="5" s="1"/>
  <c r="P271" i="5"/>
  <c r="Q271" i="5" s="1"/>
  <c r="L271" i="5"/>
  <c r="W270" i="5"/>
  <c r="AC270" i="5" s="1"/>
  <c r="P270" i="5"/>
  <c r="AB270" i="5" s="1"/>
  <c r="L270" i="5"/>
  <c r="M270" i="5" s="1"/>
  <c r="W269" i="5"/>
  <c r="X269" i="5" s="1"/>
  <c r="P269" i="5"/>
  <c r="AB269" i="5" s="1"/>
  <c r="L269" i="5"/>
  <c r="AA269" i="5" s="1"/>
  <c r="W268" i="5"/>
  <c r="AC268" i="5" s="1"/>
  <c r="P268" i="5"/>
  <c r="Q268" i="5" s="1"/>
  <c r="L268" i="5"/>
  <c r="W267" i="5"/>
  <c r="X267" i="5" s="1"/>
  <c r="P267" i="5"/>
  <c r="L267" i="5"/>
  <c r="W266" i="5"/>
  <c r="AC266" i="5" s="1"/>
  <c r="P266" i="5"/>
  <c r="L266" i="5"/>
  <c r="W265" i="5"/>
  <c r="AC265" i="5" s="1"/>
  <c r="P265" i="5"/>
  <c r="Q265" i="5" s="1"/>
  <c r="L265" i="5"/>
  <c r="W264" i="5"/>
  <c r="AC264" i="5" s="1"/>
  <c r="P264" i="5"/>
  <c r="AB264" i="5" s="1"/>
  <c r="L264" i="5"/>
  <c r="AA264" i="5" s="1"/>
  <c r="W263" i="5"/>
  <c r="X263" i="5" s="1"/>
  <c r="P263" i="5"/>
  <c r="Q263" i="5" s="1"/>
  <c r="L263" i="5"/>
  <c r="M263" i="5" s="1"/>
  <c r="W262" i="5"/>
  <c r="P262" i="5"/>
  <c r="L262" i="5"/>
  <c r="W261" i="5"/>
  <c r="X261" i="5" s="1"/>
  <c r="P261" i="5"/>
  <c r="L261" i="5"/>
  <c r="W260" i="5"/>
  <c r="P260" i="5"/>
  <c r="L260" i="5"/>
  <c r="W259" i="5"/>
  <c r="X259" i="5" s="1"/>
  <c r="P259" i="5"/>
  <c r="L259" i="5"/>
  <c r="W258" i="5"/>
  <c r="AC258" i="5" s="1"/>
  <c r="P258" i="5"/>
  <c r="AB258" i="5" s="1"/>
  <c r="L258" i="5"/>
  <c r="W257" i="5"/>
  <c r="P257" i="5"/>
  <c r="L257" i="5"/>
  <c r="M257" i="5" s="1"/>
  <c r="W256" i="5"/>
  <c r="AC256" i="5" s="1"/>
  <c r="P256" i="5"/>
  <c r="AB256" i="5" s="1"/>
  <c r="L256" i="5"/>
  <c r="AA256" i="5" s="1"/>
  <c r="W255" i="5"/>
  <c r="AC255" i="5" s="1"/>
  <c r="P255" i="5"/>
  <c r="L255" i="5"/>
  <c r="M255" i="5" s="1"/>
  <c r="W254" i="5"/>
  <c r="X254" i="5" s="1"/>
  <c r="P254" i="5"/>
  <c r="AB254" i="5" s="1"/>
  <c r="L254" i="5"/>
  <c r="W253" i="5"/>
  <c r="P253" i="5"/>
  <c r="Q253" i="5" s="1"/>
  <c r="L253" i="5"/>
  <c r="W252" i="5"/>
  <c r="P252" i="5"/>
  <c r="AB252" i="5" s="1"/>
  <c r="L252" i="5"/>
  <c r="AA252" i="5" s="1"/>
  <c r="W251" i="5"/>
  <c r="X251" i="5" s="1"/>
  <c r="P251" i="5"/>
  <c r="Q251" i="5" s="1"/>
  <c r="L251" i="5"/>
  <c r="M251" i="5" s="1"/>
  <c r="W250" i="5"/>
  <c r="P250" i="5"/>
  <c r="AB250" i="5" s="1"/>
  <c r="L250" i="5"/>
  <c r="W249" i="5"/>
  <c r="X249" i="5" s="1"/>
  <c r="P249" i="5"/>
  <c r="L249" i="5"/>
  <c r="AA249" i="5" s="1"/>
  <c r="W248" i="5"/>
  <c r="P248" i="5"/>
  <c r="L248" i="5"/>
  <c r="W247" i="5"/>
  <c r="X247" i="5" s="1"/>
  <c r="P247" i="5"/>
  <c r="AB247" i="5" s="1"/>
  <c r="L247" i="5"/>
  <c r="AA247" i="5" s="1"/>
  <c r="W246" i="5"/>
  <c r="P246" i="5"/>
  <c r="AB246" i="5" s="1"/>
  <c r="L246" i="5"/>
  <c r="M246" i="5" s="1"/>
  <c r="W245" i="5"/>
  <c r="X245" i="5" s="1"/>
  <c r="P245" i="5"/>
  <c r="Q245" i="5" s="1"/>
  <c r="L245" i="5"/>
  <c r="AA245" i="5" s="1"/>
  <c r="W244" i="5"/>
  <c r="X244" i="5" s="1"/>
  <c r="P244" i="5"/>
  <c r="Q244" i="5" s="1"/>
  <c r="L244" i="5"/>
  <c r="AA244" i="5" s="1"/>
  <c r="W243" i="5"/>
  <c r="AC243" i="5" s="1"/>
  <c r="P243" i="5"/>
  <c r="L243" i="5"/>
  <c r="W242" i="5"/>
  <c r="P242" i="5"/>
  <c r="L242" i="5"/>
  <c r="W241" i="5"/>
  <c r="AC241" i="5" s="1"/>
  <c r="P241" i="5"/>
  <c r="Q241" i="5" s="1"/>
  <c r="L241" i="5"/>
  <c r="W240" i="5"/>
  <c r="X240" i="5" s="1"/>
  <c r="P240" i="5"/>
  <c r="L240" i="5"/>
  <c r="W239" i="5"/>
  <c r="P239" i="5"/>
  <c r="L239" i="5"/>
  <c r="AA239" i="5" s="1"/>
  <c r="W238" i="5"/>
  <c r="P238" i="5"/>
  <c r="L238" i="5"/>
  <c r="AA238" i="5" s="1"/>
  <c r="W237" i="5"/>
  <c r="P237" i="5"/>
  <c r="L237" i="5"/>
  <c r="AA237" i="5" s="1"/>
  <c r="W236" i="5"/>
  <c r="P236" i="5"/>
  <c r="Q236" i="5" s="1"/>
  <c r="L236" i="5"/>
  <c r="W235" i="5"/>
  <c r="P235" i="5"/>
  <c r="AB235" i="5" s="1"/>
  <c r="L235" i="5"/>
  <c r="W234" i="5"/>
  <c r="AC234" i="5" s="1"/>
  <c r="P234" i="5"/>
  <c r="AB234" i="5" s="1"/>
  <c r="L234" i="5"/>
  <c r="W233" i="5"/>
  <c r="X233" i="5" s="1"/>
  <c r="P233" i="5"/>
  <c r="L233" i="5"/>
  <c r="W232" i="5"/>
  <c r="AC232" i="5" s="1"/>
  <c r="P232" i="5"/>
  <c r="Q232" i="5" s="1"/>
  <c r="L232" i="5"/>
  <c r="AA232" i="5" s="1"/>
  <c r="W231" i="5"/>
  <c r="P231" i="5"/>
  <c r="L231" i="5"/>
  <c r="AA231" i="5" s="1"/>
  <c r="W230" i="5"/>
  <c r="X230" i="5" s="1"/>
  <c r="P230" i="5"/>
  <c r="Q230" i="5" s="1"/>
  <c r="L230" i="5"/>
  <c r="W229" i="5"/>
  <c r="P229" i="5"/>
  <c r="Q229" i="5" s="1"/>
  <c r="L229" i="5"/>
  <c r="W228" i="5"/>
  <c r="X228" i="5" s="1"/>
  <c r="P228" i="5"/>
  <c r="AB228" i="5" s="1"/>
  <c r="L228" i="5"/>
  <c r="W227" i="5"/>
  <c r="AC227" i="5" s="1"/>
  <c r="P227" i="5"/>
  <c r="Q227" i="5" s="1"/>
  <c r="L227" i="5"/>
  <c r="AA227" i="5" s="1"/>
  <c r="W226" i="5"/>
  <c r="AC226" i="5" s="1"/>
  <c r="P226" i="5"/>
  <c r="L226" i="5"/>
  <c r="W225" i="5"/>
  <c r="P225" i="5"/>
  <c r="AB225" i="5" s="1"/>
  <c r="L225" i="5"/>
  <c r="AA225" i="5" s="1"/>
  <c r="W224" i="5"/>
  <c r="P224" i="5"/>
  <c r="AB224" i="5" s="1"/>
  <c r="L224" i="5"/>
  <c r="AA224" i="5" s="1"/>
  <c r="W223" i="5"/>
  <c r="X223" i="5" s="1"/>
  <c r="P223" i="5"/>
  <c r="Q223" i="5" s="1"/>
  <c r="L223" i="5"/>
  <c r="W222" i="5"/>
  <c r="P222" i="5"/>
  <c r="L222" i="5"/>
  <c r="W221" i="5"/>
  <c r="X221" i="5" s="1"/>
  <c r="P221" i="5"/>
  <c r="Q221" i="5" s="1"/>
  <c r="L221" i="5"/>
  <c r="AA221" i="5" s="1"/>
  <c r="W220" i="5"/>
  <c r="AC220" i="5" s="1"/>
  <c r="P220" i="5"/>
  <c r="L220" i="5"/>
  <c r="W219" i="5"/>
  <c r="P219" i="5"/>
  <c r="L219" i="5"/>
  <c r="M219" i="5" s="1"/>
  <c r="W218" i="5"/>
  <c r="P218" i="5"/>
  <c r="AB218" i="5" s="1"/>
  <c r="L218" i="5"/>
  <c r="W217" i="5"/>
  <c r="X217" i="5" s="1"/>
  <c r="P217" i="5"/>
  <c r="AB217" i="5" s="1"/>
  <c r="L217" i="5"/>
  <c r="W216" i="5"/>
  <c r="P216" i="5"/>
  <c r="L216" i="5"/>
  <c r="AA216" i="5" s="1"/>
  <c r="W215" i="5"/>
  <c r="AC215" i="5" s="1"/>
  <c r="P215" i="5"/>
  <c r="L215" i="5"/>
  <c r="AA215" i="5" s="1"/>
  <c r="W214" i="5"/>
  <c r="P214" i="5"/>
  <c r="Q214" i="5" s="1"/>
  <c r="L214" i="5"/>
  <c r="W213" i="5"/>
  <c r="P213" i="5"/>
  <c r="AB213" i="5" s="1"/>
  <c r="L213" i="5"/>
  <c r="AA213" i="5" s="1"/>
  <c r="W212" i="5"/>
  <c r="AC212" i="5" s="1"/>
  <c r="P212" i="5"/>
  <c r="Q212" i="5" s="1"/>
  <c r="L212" i="5"/>
  <c r="W211" i="5"/>
  <c r="X211" i="5" s="1"/>
  <c r="P211" i="5"/>
  <c r="L211" i="5"/>
  <c r="AA211" i="5" s="1"/>
  <c r="W210" i="5"/>
  <c r="X210" i="5" s="1"/>
  <c r="P210" i="5"/>
  <c r="L210" i="5"/>
  <c r="W209" i="5"/>
  <c r="X209" i="5" s="1"/>
  <c r="P209" i="5"/>
  <c r="L209" i="5"/>
  <c r="W208" i="5"/>
  <c r="AC208" i="5" s="1"/>
  <c r="P208" i="5"/>
  <c r="Q208" i="5" s="1"/>
  <c r="L208" i="5"/>
  <c r="W207" i="5"/>
  <c r="P207" i="5"/>
  <c r="L207" i="5"/>
  <c r="W206" i="5"/>
  <c r="X206" i="5" s="1"/>
  <c r="P206" i="5"/>
  <c r="Q206" i="5" s="1"/>
  <c r="L206" i="5"/>
  <c r="AA206" i="5" s="1"/>
  <c r="W205" i="5"/>
  <c r="AC205" i="5" s="1"/>
  <c r="P205" i="5"/>
  <c r="L205" i="5"/>
  <c r="W204" i="5"/>
  <c r="P204" i="5"/>
  <c r="AB204" i="5" s="1"/>
  <c r="L204" i="5"/>
  <c r="W203" i="5"/>
  <c r="X203" i="5" s="1"/>
  <c r="P203" i="5"/>
  <c r="AB203" i="5" s="1"/>
  <c r="L203" i="5"/>
  <c r="AA203" i="5" s="1"/>
  <c r="W202" i="5"/>
  <c r="X202" i="5" s="1"/>
  <c r="P202" i="5"/>
  <c r="L202" i="5"/>
  <c r="W201" i="5"/>
  <c r="P201" i="5"/>
  <c r="L201" i="5"/>
  <c r="W200" i="5"/>
  <c r="X200" i="5" s="1"/>
  <c r="P200" i="5"/>
  <c r="AB200" i="5" s="1"/>
  <c r="L200" i="5"/>
  <c r="W199" i="5"/>
  <c r="P199" i="5"/>
  <c r="L199" i="5"/>
  <c r="W198" i="5"/>
  <c r="AC198" i="5" s="1"/>
  <c r="P198" i="5"/>
  <c r="L198" i="5"/>
  <c r="W197" i="5"/>
  <c r="AC197" i="5" s="1"/>
  <c r="P197" i="5"/>
  <c r="Q197" i="5" s="1"/>
  <c r="L197" i="5"/>
  <c r="W196" i="5"/>
  <c r="P196" i="5"/>
  <c r="AB196" i="5" s="1"/>
  <c r="L196" i="5"/>
  <c r="W195" i="5"/>
  <c r="X195" i="5" s="1"/>
  <c r="P195" i="5"/>
  <c r="AB195" i="5" s="1"/>
  <c r="L195" i="5"/>
  <c r="M195" i="5" s="1"/>
  <c r="W194" i="5"/>
  <c r="P194" i="5"/>
  <c r="Q194" i="5" s="1"/>
  <c r="L194" i="5"/>
  <c r="W193" i="5"/>
  <c r="AC193" i="5" s="1"/>
  <c r="P193" i="5"/>
  <c r="Q193" i="5" s="1"/>
  <c r="L193" i="5"/>
  <c r="W192" i="5"/>
  <c r="AC192" i="5" s="1"/>
  <c r="P192" i="5"/>
  <c r="AB192" i="5" s="1"/>
  <c r="L192" i="5"/>
  <c r="W191" i="5"/>
  <c r="P191" i="5"/>
  <c r="Q191" i="5" s="1"/>
  <c r="L191" i="5"/>
  <c r="W190" i="5"/>
  <c r="P190" i="5"/>
  <c r="AB190" i="5" s="1"/>
  <c r="L190" i="5"/>
  <c r="AA190" i="5" s="1"/>
  <c r="W189" i="5"/>
  <c r="X189" i="5" s="1"/>
  <c r="P189" i="5"/>
  <c r="Q189" i="5" s="1"/>
  <c r="L189" i="5"/>
  <c r="AA189" i="5" s="1"/>
  <c r="W188" i="5"/>
  <c r="P188" i="5"/>
  <c r="L188" i="5"/>
  <c r="AA188" i="5" s="1"/>
  <c r="W187" i="5"/>
  <c r="X187" i="5" s="1"/>
  <c r="P187" i="5"/>
  <c r="Q187" i="5" s="1"/>
  <c r="L187" i="5"/>
  <c r="AA187" i="5" s="1"/>
  <c r="W186" i="5"/>
  <c r="X186" i="5" s="1"/>
  <c r="P186" i="5"/>
  <c r="Q186" i="5" s="1"/>
  <c r="L186" i="5"/>
  <c r="AA186" i="5" s="1"/>
  <c r="W185" i="5"/>
  <c r="P185" i="5"/>
  <c r="AB185" i="5" s="1"/>
  <c r="L185" i="5"/>
  <c r="W184" i="5"/>
  <c r="P184" i="5"/>
  <c r="Q184" i="5" s="1"/>
  <c r="L184" i="5"/>
  <c r="M184" i="5" s="1"/>
  <c r="W183" i="5"/>
  <c r="P183" i="5"/>
  <c r="L183" i="5"/>
  <c r="AA183" i="5" s="1"/>
  <c r="W182" i="5"/>
  <c r="X182" i="5" s="1"/>
  <c r="P182" i="5"/>
  <c r="AB182" i="5" s="1"/>
  <c r="L182" i="5"/>
  <c r="M182" i="5" s="1"/>
  <c r="W181" i="5"/>
  <c r="P181" i="5"/>
  <c r="Q181" i="5" s="1"/>
  <c r="L181" i="5"/>
  <c r="W180" i="5"/>
  <c r="P180" i="5"/>
  <c r="L180" i="5"/>
  <c r="AA180" i="5" s="1"/>
  <c r="W179" i="5"/>
  <c r="P179" i="5"/>
  <c r="L179" i="5"/>
  <c r="W178" i="5"/>
  <c r="X178" i="5" s="1"/>
  <c r="P178" i="5"/>
  <c r="Q178" i="5" s="1"/>
  <c r="L178" i="5"/>
  <c r="M178" i="5" s="1"/>
  <c r="W177" i="5"/>
  <c r="AC177" i="5" s="1"/>
  <c r="P177" i="5"/>
  <c r="L177" i="5"/>
  <c r="W176" i="5"/>
  <c r="P176" i="5"/>
  <c r="Q176" i="5" s="1"/>
  <c r="L176" i="5"/>
  <c r="AA176" i="5" s="1"/>
  <c r="W175" i="5"/>
  <c r="X175" i="5" s="1"/>
  <c r="P175" i="5"/>
  <c r="L175" i="5"/>
  <c r="AA175" i="5" s="1"/>
  <c r="W174" i="5"/>
  <c r="P174" i="5"/>
  <c r="L174" i="5"/>
  <c r="M174" i="5" s="1"/>
  <c r="W173" i="5"/>
  <c r="X173" i="5" s="1"/>
  <c r="P173" i="5"/>
  <c r="Q173" i="5" s="1"/>
  <c r="L173" i="5"/>
  <c r="AA173" i="5" s="1"/>
  <c r="W172" i="5"/>
  <c r="AC172" i="5" s="1"/>
  <c r="P172" i="5"/>
  <c r="AB172" i="5" s="1"/>
  <c r="L172" i="5"/>
  <c r="W171" i="5"/>
  <c r="X171" i="5" s="1"/>
  <c r="P171" i="5"/>
  <c r="AB171" i="5" s="1"/>
  <c r="L171" i="5"/>
  <c r="AA171" i="5" s="1"/>
  <c r="W170" i="5"/>
  <c r="X170" i="5" s="1"/>
  <c r="P170" i="5"/>
  <c r="AB170" i="5" s="1"/>
  <c r="L170" i="5"/>
  <c r="W169" i="5"/>
  <c r="P169" i="5"/>
  <c r="AB169" i="5" s="1"/>
  <c r="L169" i="5"/>
  <c r="AA169" i="5" s="1"/>
  <c r="W168" i="5"/>
  <c r="AC168" i="5" s="1"/>
  <c r="P168" i="5"/>
  <c r="AB168" i="5" s="1"/>
  <c r="L168" i="5"/>
  <c r="AA168" i="5" s="1"/>
  <c r="W167" i="5"/>
  <c r="P167" i="5"/>
  <c r="L167" i="5"/>
  <c r="AA167" i="5" s="1"/>
  <c r="W166" i="5"/>
  <c r="P166" i="5"/>
  <c r="L166" i="5"/>
  <c r="AA166" i="5" s="1"/>
  <c r="W165" i="5"/>
  <c r="AC165" i="5" s="1"/>
  <c r="P165" i="5"/>
  <c r="Q165" i="5" s="1"/>
  <c r="L165" i="5"/>
  <c r="M165" i="5" s="1"/>
  <c r="W164" i="5"/>
  <c r="P164" i="5"/>
  <c r="AB164" i="5" s="1"/>
  <c r="L164" i="5"/>
  <c r="M164" i="5" s="1"/>
  <c r="W163" i="5"/>
  <c r="AC163" i="5" s="1"/>
  <c r="P163" i="5"/>
  <c r="L163" i="5"/>
  <c r="M163" i="5" s="1"/>
  <c r="W162" i="5"/>
  <c r="AC162" i="5" s="1"/>
  <c r="P162" i="5"/>
  <c r="L162" i="5"/>
  <c r="W161" i="5"/>
  <c r="X161" i="5" s="1"/>
  <c r="P161" i="5"/>
  <c r="AB161" i="5" s="1"/>
  <c r="L161" i="5"/>
  <c r="M161" i="5" s="1"/>
  <c r="W160" i="5"/>
  <c r="P160" i="5"/>
  <c r="AB160" i="5" s="1"/>
  <c r="L160" i="5"/>
  <c r="W159" i="5"/>
  <c r="AC159" i="5" s="1"/>
  <c r="P159" i="5"/>
  <c r="AB159" i="5" s="1"/>
  <c r="L159" i="5"/>
  <c r="M159" i="5" s="1"/>
  <c r="W158" i="5"/>
  <c r="P158" i="5"/>
  <c r="Q158" i="5" s="1"/>
  <c r="L158" i="5"/>
  <c r="W157" i="5"/>
  <c r="P157" i="5"/>
  <c r="Q157" i="5" s="1"/>
  <c r="L157" i="5"/>
  <c r="W156" i="5"/>
  <c r="AC156" i="5" s="1"/>
  <c r="P156" i="5"/>
  <c r="AB156" i="5" s="1"/>
  <c r="L156" i="5"/>
  <c r="M156" i="5" s="1"/>
  <c r="W155" i="5"/>
  <c r="AC155" i="5" s="1"/>
  <c r="P155" i="5"/>
  <c r="AB155" i="5" s="1"/>
  <c r="L155" i="5"/>
  <c r="AA155" i="5" s="1"/>
  <c r="W154" i="5"/>
  <c r="P154" i="5"/>
  <c r="L154" i="5"/>
  <c r="AA154" i="5" s="1"/>
  <c r="W153" i="5"/>
  <c r="P153" i="5"/>
  <c r="AB153" i="5" s="1"/>
  <c r="L153" i="5"/>
  <c r="W152" i="5"/>
  <c r="X152" i="5" s="1"/>
  <c r="P152" i="5"/>
  <c r="L152" i="5"/>
  <c r="M152" i="5" s="1"/>
  <c r="W151" i="5"/>
  <c r="AC151" i="5" s="1"/>
  <c r="P151" i="5"/>
  <c r="Q151" i="5" s="1"/>
  <c r="L151" i="5"/>
  <c r="W150" i="5"/>
  <c r="AC150" i="5" s="1"/>
  <c r="P150" i="5"/>
  <c r="Q150" i="5" s="1"/>
  <c r="L150" i="5"/>
  <c r="AA150" i="5" s="1"/>
  <c r="W149" i="5"/>
  <c r="AC149" i="5" s="1"/>
  <c r="P149" i="5"/>
  <c r="AB149" i="5" s="1"/>
  <c r="L149" i="5"/>
  <c r="W148" i="5"/>
  <c r="AC148" i="5" s="1"/>
  <c r="P148" i="5"/>
  <c r="AB148" i="5" s="1"/>
  <c r="L148" i="5"/>
  <c r="M148" i="5" s="1"/>
  <c r="W147" i="5"/>
  <c r="AC147" i="5" s="1"/>
  <c r="P147" i="5"/>
  <c r="AB147" i="5" s="1"/>
  <c r="L147" i="5"/>
  <c r="AA147" i="5" s="1"/>
  <c r="W146" i="5"/>
  <c r="P146" i="5"/>
  <c r="L146" i="5"/>
  <c r="AA146" i="5" s="1"/>
  <c r="W145" i="5"/>
  <c r="P145" i="5"/>
  <c r="AB145" i="5" s="1"/>
  <c r="L145" i="5"/>
  <c r="W144" i="5"/>
  <c r="X144" i="5" s="1"/>
  <c r="P144" i="5"/>
  <c r="L144" i="5"/>
  <c r="W143" i="5"/>
  <c r="P143" i="5"/>
  <c r="L143" i="5"/>
  <c r="W142" i="5"/>
  <c r="AC142" i="5" s="1"/>
  <c r="P142" i="5"/>
  <c r="L142" i="5"/>
  <c r="W141" i="5"/>
  <c r="AC141" i="5" s="1"/>
  <c r="P141" i="5"/>
  <c r="AB141" i="5" s="1"/>
  <c r="L141" i="5"/>
  <c r="W140" i="5"/>
  <c r="P140" i="5"/>
  <c r="Q140" i="5" s="1"/>
  <c r="L140" i="5"/>
  <c r="AA140" i="5" s="1"/>
  <c r="W139" i="5"/>
  <c r="AC139" i="5" s="1"/>
  <c r="P139" i="5"/>
  <c r="AB139" i="5" s="1"/>
  <c r="L139" i="5"/>
  <c r="W138" i="5"/>
  <c r="P138" i="5"/>
  <c r="AB138" i="5" s="1"/>
  <c r="L138" i="5"/>
  <c r="W137" i="5"/>
  <c r="P137" i="5"/>
  <c r="AB137" i="5" s="1"/>
  <c r="L137" i="5"/>
  <c r="AA137" i="5" s="1"/>
  <c r="W136" i="5"/>
  <c r="X136" i="5" s="1"/>
  <c r="P136" i="5"/>
  <c r="L136" i="5"/>
  <c r="W135" i="5"/>
  <c r="AC135" i="5" s="1"/>
  <c r="P135" i="5"/>
  <c r="AB135" i="5" s="1"/>
  <c r="L135" i="5"/>
  <c r="AA135" i="5" s="1"/>
  <c r="W134" i="5"/>
  <c r="AC134" i="5" s="1"/>
  <c r="P134" i="5"/>
  <c r="L134" i="5"/>
  <c r="W133" i="5"/>
  <c r="AC133" i="5" s="1"/>
  <c r="P133" i="5"/>
  <c r="AB133" i="5" s="1"/>
  <c r="L133" i="5"/>
  <c r="M133" i="5" s="1"/>
  <c r="W132" i="5"/>
  <c r="AC132" i="5" s="1"/>
  <c r="P132" i="5"/>
  <c r="AB132" i="5" s="1"/>
  <c r="L132" i="5"/>
  <c r="W131" i="5"/>
  <c r="AC131" i="5" s="1"/>
  <c r="P131" i="5"/>
  <c r="AB131" i="5" s="1"/>
  <c r="L131" i="5"/>
  <c r="W130" i="5"/>
  <c r="P130" i="5"/>
  <c r="AB130" i="5" s="1"/>
  <c r="L130" i="5"/>
  <c r="M130" i="5" s="1"/>
  <c r="W129" i="5"/>
  <c r="AC129" i="5" s="1"/>
  <c r="P129" i="5"/>
  <c r="Q129" i="5" s="1"/>
  <c r="L129" i="5"/>
  <c r="AA129" i="5" s="1"/>
  <c r="W128" i="5"/>
  <c r="AC128" i="5" s="1"/>
  <c r="P128" i="5"/>
  <c r="L128" i="5"/>
  <c r="W127" i="5"/>
  <c r="P127" i="5"/>
  <c r="AB127" i="5" s="1"/>
  <c r="L127" i="5"/>
  <c r="AA127" i="5" s="1"/>
  <c r="W126" i="5"/>
  <c r="P126" i="5"/>
  <c r="AB126" i="5" s="1"/>
  <c r="L126" i="5"/>
  <c r="W125" i="5"/>
  <c r="X125" i="5" s="1"/>
  <c r="P125" i="5"/>
  <c r="Q125" i="5" s="1"/>
  <c r="L125" i="5"/>
  <c r="W124" i="5"/>
  <c r="X124" i="5" s="1"/>
  <c r="P124" i="5"/>
  <c r="Q124" i="5" s="1"/>
  <c r="L124" i="5"/>
  <c r="AA124" i="5" s="1"/>
  <c r="W123" i="5"/>
  <c r="X123" i="5" s="1"/>
  <c r="P123" i="5"/>
  <c r="L123" i="5"/>
  <c r="W122" i="5"/>
  <c r="AC122" i="5" s="1"/>
  <c r="P122" i="5"/>
  <c r="L122" i="5"/>
  <c r="W121" i="5"/>
  <c r="P121" i="5"/>
  <c r="L121" i="5"/>
  <c r="AA121" i="5" s="1"/>
  <c r="W120" i="5"/>
  <c r="X120" i="5" s="1"/>
  <c r="P120" i="5"/>
  <c r="Q120" i="5" s="1"/>
  <c r="L120" i="5"/>
  <c r="W119" i="5"/>
  <c r="P119" i="5"/>
  <c r="AB119" i="5" s="1"/>
  <c r="L119" i="5"/>
  <c r="W118" i="5"/>
  <c r="AC118" i="5" s="1"/>
  <c r="P118" i="5"/>
  <c r="L118" i="5"/>
  <c r="M118" i="5" s="1"/>
  <c r="W117" i="5"/>
  <c r="AC117" i="5" s="1"/>
  <c r="P117" i="5"/>
  <c r="AB117" i="5" s="1"/>
  <c r="L117" i="5"/>
  <c r="AA117" i="5" s="1"/>
  <c r="W116" i="5"/>
  <c r="P116" i="5"/>
  <c r="AB116" i="5" s="1"/>
  <c r="L116" i="5"/>
  <c r="AA116" i="5" s="1"/>
  <c r="W115" i="5"/>
  <c r="AC115" i="5" s="1"/>
  <c r="P115" i="5"/>
  <c r="Q115" i="5" s="1"/>
  <c r="L115" i="5"/>
  <c r="W114" i="5"/>
  <c r="X114" i="5" s="1"/>
  <c r="P114" i="5"/>
  <c r="L114" i="5"/>
  <c r="AA114" i="5" s="1"/>
  <c r="W113" i="5"/>
  <c r="P113" i="5"/>
  <c r="AB113" i="5" s="1"/>
  <c r="L113" i="5"/>
  <c r="M113" i="5" s="1"/>
  <c r="W112" i="5"/>
  <c r="P112" i="5"/>
  <c r="L112" i="5"/>
  <c r="AA112" i="5" s="1"/>
  <c r="W111" i="5"/>
  <c r="X111" i="5" s="1"/>
  <c r="P111" i="5"/>
  <c r="Q111" i="5" s="1"/>
  <c r="L111" i="5"/>
  <c r="AA111" i="5" s="1"/>
  <c r="W110" i="5"/>
  <c r="X110" i="5" s="1"/>
  <c r="P110" i="5"/>
  <c r="Q110" i="5" s="1"/>
  <c r="L110" i="5"/>
  <c r="W109" i="5"/>
  <c r="P109" i="5"/>
  <c r="AB109" i="5" s="1"/>
  <c r="L109" i="5"/>
  <c r="AA109" i="5" s="1"/>
  <c r="W108" i="5"/>
  <c r="X108" i="5" s="1"/>
  <c r="P108" i="5"/>
  <c r="L108" i="5"/>
  <c r="W107" i="5"/>
  <c r="AC107" i="5" s="1"/>
  <c r="P107" i="5"/>
  <c r="AB107" i="5" s="1"/>
  <c r="L107" i="5"/>
  <c r="W106" i="5"/>
  <c r="AC106" i="5" s="1"/>
  <c r="P106" i="5"/>
  <c r="AB106" i="5" s="1"/>
  <c r="L106" i="5"/>
  <c r="W105" i="5"/>
  <c r="AC105" i="5" s="1"/>
  <c r="P105" i="5"/>
  <c r="L105" i="5"/>
  <c r="W104" i="5"/>
  <c r="P104" i="5"/>
  <c r="AB104" i="5" s="1"/>
  <c r="L104" i="5"/>
  <c r="M104" i="5" s="1"/>
  <c r="W103" i="5"/>
  <c r="AC103" i="5" s="1"/>
  <c r="P103" i="5"/>
  <c r="AB103" i="5" s="1"/>
  <c r="L103" i="5"/>
  <c r="AA103" i="5" s="1"/>
  <c r="W102" i="5"/>
  <c r="P102" i="5"/>
  <c r="L102" i="5"/>
  <c r="AA102" i="5" s="1"/>
  <c r="W101" i="5"/>
  <c r="AC101" i="5" s="1"/>
  <c r="P101" i="5"/>
  <c r="L101" i="5"/>
  <c r="AA101" i="5" s="1"/>
  <c r="W100" i="5"/>
  <c r="X100" i="5" s="1"/>
  <c r="P100" i="5"/>
  <c r="L100" i="5"/>
  <c r="W99" i="5"/>
  <c r="AC99" i="5" s="1"/>
  <c r="P99" i="5"/>
  <c r="AB99" i="5" s="1"/>
  <c r="L99" i="5"/>
  <c r="W98" i="5"/>
  <c r="X98" i="5" s="1"/>
  <c r="P98" i="5"/>
  <c r="Q98" i="5" s="1"/>
  <c r="L98" i="5"/>
  <c r="M98" i="5" s="1"/>
  <c r="W97" i="5"/>
  <c r="P97" i="5"/>
  <c r="AB97" i="5" s="1"/>
  <c r="L97" i="5"/>
  <c r="M97" i="5" s="1"/>
  <c r="W96" i="5"/>
  <c r="AC96" i="5" s="1"/>
  <c r="P96" i="5"/>
  <c r="L96" i="5"/>
  <c r="W95" i="5"/>
  <c r="AC95" i="5" s="1"/>
  <c r="P95" i="5"/>
  <c r="AB95" i="5" s="1"/>
  <c r="L95" i="5"/>
  <c r="AA95" i="5" s="1"/>
  <c r="W94" i="5"/>
  <c r="X94" i="5" s="1"/>
  <c r="P94" i="5"/>
  <c r="L94" i="5"/>
  <c r="M94" i="5" s="1"/>
  <c r="W93" i="5"/>
  <c r="AC93" i="5" s="1"/>
  <c r="P93" i="5"/>
  <c r="AB93" i="5" s="1"/>
  <c r="L93" i="5"/>
  <c r="AA93" i="5" s="1"/>
  <c r="W92" i="5"/>
  <c r="AC92" i="5" s="1"/>
  <c r="P92" i="5"/>
  <c r="L92" i="5"/>
  <c r="M92" i="5" s="1"/>
  <c r="W91" i="5"/>
  <c r="P91" i="5"/>
  <c r="AB91" i="5" s="1"/>
  <c r="L91" i="5"/>
  <c r="AA91" i="5" s="1"/>
  <c r="W90" i="5"/>
  <c r="X90" i="5" s="1"/>
  <c r="P90" i="5"/>
  <c r="Q90" i="5" s="1"/>
  <c r="L90" i="5"/>
  <c r="AA90" i="5" s="1"/>
  <c r="W89" i="5"/>
  <c r="P89" i="5"/>
  <c r="AB89" i="5" s="1"/>
  <c r="L89" i="5"/>
  <c r="W88" i="5"/>
  <c r="X88" i="5" s="1"/>
  <c r="P88" i="5"/>
  <c r="L88" i="5"/>
  <c r="W87" i="5"/>
  <c r="P87" i="5"/>
  <c r="Q87" i="5" s="1"/>
  <c r="L87" i="5"/>
  <c r="W86" i="5"/>
  <c r="AC86" i="5" s="1"/>
  <c r="P86" i="5"/>
  <c r="L86" i="5"/>
  <c r="W85" i="5"/>
  <c r="AC85" i="5" s="1"/>
  <c r="P85" i="5"/>
  <c r="Q85" i="5" s="1"/>
  <c r="L85" i="5"/>
  <c r="M85" i="5" s="1"/>
  <c r="W84" i="5"/>
  <c r="X84" i="5" s="1"/>
  <c r="P84" i="5"/>
  <c r="Q84" i="5" s="1"/>
  <c r="L84" i="5"/>
  <c r="W83" i="5"/>
  <c r="P83" i="5"/>
  <c r="AB83" i="5" s="1"/>
  <c r="L83" i="5"/>
  <c r="AA83" i="5" s="1"/>
  <c r="W82" i="5"/>
  <c r="AC82" i="5" s="1"/>
  <c r="P82" i="5"/>
  <c r="L82" i="5"/>
  <c r="AA82" i="5" s="1"/>
  <c r="W81" i="5"/>
  <c r="AC81" i="5" s="1"/>
  <c r="P81" i="5"/>
  <c r="AB81" i="5" s="1"/>
  <c r="L81" i="5"/>
  <c r="AA81" i="5" s="1"/>
  <c r="W80" i="5"/>
  <c r="X80" i="5" s="1"/>
  <c r="P80" i="5"/>
  <c r="AB80" i="5" s="1"/>
  <c r="L80" i="5"/>
  <c r="AA80" i="5" s="1"/>
  <c r="W79" i="5"/>
  <c r="AC79" i="5" s="1"/>
  <c r="P79" i="5"/>
  <c r="Q79" i="5" s="1"/>
  <c r="L79" i="5"/>
  <c r="W78" i="5"/>
  <c r="X78" i="5" s="1"/>
  <c r="P78" i="5"/>
  <c r="L78" i="5"/>
  <c r="M78" i="5" s="1"/>
  <c r="W77" i="5"/>
  <c r="AC77" i="5" s="1"/>
  <c r="P77" i="5"/>
  <c r="AB77" i="5" s="1"/>
  <c r="L77" i="5"/>
  <c r="W76" i="5"/>
  <c r="P76" i="5"/>
  <c r="L76" i="5"/>
  <c r="AA76" i="5" s="1"/>
  <c r="W75" i="5"/>
  <c r="P75" i="5"/>
  <c r="AB75" i="5" s="1"/>
  <c r="L75" i="5"/>
  <c r="M75" i="5" s="1"/>
  <c r="W74" i="5"/>
  <c r="P74" i="5"/>
  <c r="L74" i="5"/>
  <c r="W73" i="5"/>
  <c r="X73" i="5" s="1"/>
  <c r="P73" i="5"/>
  <c r="AB73" i="5" s="1"/>
  <c r="L73" i="5"/>
  <c r="AA73" i="5" s="1"/>
  <c r="W72" i="5"/>
  <c r="X72" i="5" s="1"/>
  <c r="P72" i="5"/>
  <c r="Q72" i="5" s="1"/>
  <c r="L72" i="5"/>
  <c r="M72" i="5" s="1"/>
  <c r="W71" i="5"/>
  <c r="AC71" i="5" s="1"/>
  <c r="P71" i="5"/>
  <c r="L71" i="5"/>
  <c r="W70" i="5"/>
  <c r="AC70" i="5" s="1"/>
  <c r="P70" i="5"/>
  <c r="AB70" i="5" s="1"/>
  <c r="L70" i="5"/>
  <c r="AA70" i="5" s="1"/>
  <c r="W69" i="5"/>
  <c r="AC69" i="5" s="1"/>
  <c r="P69" i="5"/>
  <c r="L69" i="5"/>
  <c r="W68" i="5"/>
  <c r="X68" i="5" s="1"/>
  <c r="P68" i="5"/>
  <c r="AB68" i="5" s="1"/>
  <c r="L68" i="5"/>
  <c r="AA68" i="5" s="1"/>
  <c r="W67" i="5"/>
  <c r="AC67" i="5" s="1"/>
  <c r="P67" i="5"/>
  <c r="AB67" i="5" s="1"/>
  <c r="L67" i="5"/>
  <c r="AA67" i="5" s="1"/>
  <c r="W66" i="5"/>
  <c r="P66" i="5"/>
  <c r="L66" i="5"/>
  <c r="AA66" i="5" s="1"/>
  <c r="W65" i="5"/>
  <c r="AC65" i="5" s="1"/>
  <c r="P65" i="5"/>
  <c r="AB65" i="5" s="1"/>
  <c r="L65" i="5"/>
  <c r="W64" i="5"/>
  <c r="X64" i="5" s="1"/>
  <c r="P64" i="5"/>
  <c r="Q64" i="5" s="1"/>
  <c r="L64" i="5"/>
  <c r="W63" i="5"/>
  <c r="X63" i="5" s="1"/>
  <c r="P63" i="5"/>
  <c r="AB63" i="5" s="1"/>
  <c r="L63" i="5"/>
  <c r="AA63" i="5" s="1"/>
  <c r="W62" i="5"/>
  <c r="AC62" i="5" s="1"/>
  <c r="P62" i="5"/>
  <c r="Q62" i="5" s="1"/>
  <c r="L62" i="5"/>
  <c r="M62" i="5" s="1"/>
  <c r="W61" i="5"/>
  <c r="AC61" i="5" s="1"/>
  <c r="P61" i="5"/>
  <c r="AB61" i="5" s="1"/>
  <c r="L61" i="5"/>
  <c r="M61" i="5" s="1"/>
  <c r="W60" i="5"/>
  <c r="AC60" i="5" s="1"/>
  <c r="P60" i="5"/>
  <c r="AB60" i="5" s="1"/>
  <c r="L60" i="5"/>
  <c r="W59" i="5"/>
  <c r="P59" i="5"/>
  <c r="AB59" i="5" s="1"/>
  <c r="L59" i="5"/>
  <c r="AA59" i="5" s="1"/>
  <c r="W58" i="5"/>
  <c r="X58" i="5" s="1"/>
  <c r="P58" i="5"/>
  <c r="AB58" i="5" s="1"/>
  <c r="L58" i="5"/>
  <c r="M58" i="5" s="1"/>
  <c r="W57" i="5"/>
  <c r="AC57" i="5" s="1"/>
  <c r="P57" i="5"/>
  <c r="AB57" i="5" s="1"/>
  <c r="L57" i="5"/>
  <c r="AA57" i="5" s="1"/>
  <c r="W56" i="5"/>
  <c r="AC56" i="5" s="1"/>
  <c r="P56" i="5"/>
  <c r="L56" i="5"/>
  <c r="M56" i="5" s="1"/>
  <c r="W55" i="5"/>
  <c r="P55" i="5"/>
  <c r="AB55" i="5" s="1"/>
  <c r="L55" i="5"/>
  <c r="AA55" i="5" s="1"/>
  <c r="W54" i="5"/>
  <c r="X54" i="5" s="1"/>
  <c r="P54" i="5"/>
  <c r="Q54" i="5" s="1"/>
  <c r="L54" i="5"/>
  <c r="AA54" i="5" s="1"/>
  <c r="W53" i="5"/>
  <c r="AC53" i="5" s="1"/>
  <c r="P53" i="5"/>
  <c r="AB53" i="5" s="1"/>
  <c r="L53" i="5"/>
  <c r="AA53" i="5" s="1"/>
  <c r="W52" i="5"/>
  <c r="X52" i="5" s="1"/>
  <c r="P52" i="5"/>
  <c r="Q52" i="5" s="1"/>
  <c r="L52" i="5"/>
  <c r="M52" i="5" s="1"/>
  <c r="W51" i="5"/>
  <c r="AC51" i="5" s="1"/>
  <c r="P51" i="5"/>
  <c r="L51" i="5"/>
  <c r="W50" i="5"/>
  <c r="AC50" i="5" s="1"/>
  <c r="P50" i="5"/>
  <c r="L50" i="5"/>
  <c r="W49" i="5"/>
  <c r="AC49" i="5" s="1"/>
  <c r="P49" i="5"/>
  <c r="Q49" i="5" s="1"/>
  <c r="L49" i="5"/>
  <c r="AA49" i="5" s="1"/>
  <c r="W48" i="5"/>
  <c r="X48" i="5" s="1"/>
  <c r="P48" i="5"/>
  <c r="Q48" i="5" s="1"/>
  <c r="L48" i="5"/>
  <c r="W47" i="5"/>
  <c r="P47" i="5"/>
  <c r="AB47" i="5" s="1"/>
  <c r="L47" i="5"/>
  <c r="M47" i="5" s="1"/>
  <c r="W46" i="5"/>
  <c r="X46" i="5" s="1"/>
  <c r="P46" i="5"/>
  <c r="L46" i="5"/>
  <c r="W45" i="5"/>
  <c r="AC45" i="5" s="1"/>
  <c r="P45" i="5"/>
  <c r="AB45" i="5" s="1"/>
  <c r="L45" i="5"/>
  <c r="W44" i="5"/>
  <c r="X44" i="5" s="1"/>
  <c r="P44" i="5"/>
  <c r="AB44" i="5" s="1"/>
  <c r="L44" i="5"/>
  <c r="AA44" i="5" s="1"/>
  <c r="W43" i="5"/>
  <c r="AC43" i="5" s="1"/>
  <c r="P43" i="5"/>
  <c r="Q43" i="5" s="1"/>
  <c r="L43" i="5"/>
  <c r="W42" i="5"/>
  <c r="X42" i="5" s="1"/>
  <c r="U42" i="7" s="1"/>
  <c r="P42" i="5"/>
  <c r="Q42" i="5" s="1"/>
  <c r="O42" i="7" s="1"/>
  <c r="L42" i="5"/>
  <c r="M42" i="5" s="1"/>
  <c r="L42" i="7" s="1"/>
  <c r="W41" i="5"/>
  <c r="P41" i="5"/>
  <c r="AB41" i="5" s="1"/>
  <c r="Y41" i="7" s="1"/>
  <c r="L41" i="5"/>
  <c r="M41" i="5" s="1"/>
  <c r="W40" i="5"/>
  <c r="P40" i="5"/>
  <c r="L40" i="5"/>
  <c r="AA40" i="5" s="1"/>
  <c r="X40" i="7" s="1"/>
  <c r="W39" i="5"/>
  <c r="P39" i="5"/>
  <c r="AB39" i="5" s="1"/>
  <c r="Y39" i="7" s="1"/>
  <c r="L39" i="5"/>
  <c r="AA39" i="5" s="1"/>
  <c r="X39" i="7" s="1"/>
  <c r="W38" i="5"/>
  <c r="X38" i="5" s="1"/>
  <c r="U38" i="7" s="1"/>
  <c r="P38" i="5"/>
  <c r="Q38" i="5" s="1"/>
  <c r="O38" i="7" s="1"/>
  <c r="L38" i="5"/>
  <c r="W37" i="5"/>
  <c r="X37" i="5" s="1"/>
  <c r="U37" i="7" s="1"/>
  <c r="P37" i="5"/>
  <c r="Q37" i="5" s="1"/>
  <c r="O37" i="7" s="1"/>
  <c r="L37" i="5"/>
  <c r="W36" i="5"/>
  <c r="AC36" i="5" s="1"/>
  <c r="Z36" i="7" s="1"/>
  <c r="P36" i="5"/>
  <c r="Q36" i="5" s="1"/>
  <c r="L36" i="5"/>
  <c r="M36" i="5" s="1"/>
  <c r="L36" i="7" s="1"/>
  <c r="W35" i="5"/>
  <c r="P35" i="5"/>
  <c r="AB35" i="5" s="1"/>
  <c r="Y35" i="7" s="1"/>
  <c r="L35" i="5"/>
  <c r="AA35" i="5" s="1"/>
  <c r="X35" i="7" s="1"/>
  <c r="W34" i="5"/>
  <c r="P34" i="5"/>
  <c r="AB34" i="5" s="1"/>
  <c r="Y34" i="7" s="1"/>
  <c r="L34" i="5"/>
  <c r="AA34" i="5" s="1"/>
  <c r="X34" i="7" s="1"/>
  <c r="W33" i="5"/>
  <c r="AC33" i="5" s="1"/>
  <c r="Z33" i="7" s="1"/>
  <c r="P33" i="5"/>
  <c r="L33" i="5"/>
  <c r="AA33" i="5" s="1"/>
  <c r="X33" i="7" s="1"/>
  <c r="W32" i="5"/>
  <c r="X32" i="5" s="1"/>
  <c r="U32" i="7" s="1"/>
  <c r="P32" i="5"/>
  <c r="L32" i="5"/>
  <c r="AA32" i="5" s="1"/>
  <c r="X32" i="7" s="1"/>
  <c r="W31" i="5"/>
  <c r="AC31" i="5" s="1"/>
  <c r="Z31" i="7" s="1"/>
  <c r="P31" i="5"/>
  <c r="AB31" i="5" s="1"/>
  <c r="Y31" i="7" s="1"/>
  <c r="L31" i="5"/>
  <c r="AA31" i="5" s="1"/>
  <c r="X31" i="7" s="1"/>
  <c r="W30" i="5"/>
  <c r="P30" i="5"/>
  <c r="AB30" i="5" s="1"/>
  <c r="Y30" i="7" s="1"/>
  <c r="L30" i="5"/>
  <c r="AA30" i="5" s="1"/>
  <c r="X30" i="7" s="1"/>
  <c r="W29" i="5"/>
  <c r="X29" i="5" s="1"/>
  <c r="U29" i="7" s="1"/>
  <c r="P29" i="5"/>
  <c r="Q29" i="5" s="1"/>
  <c r="O29" i="7" s="1"/>
  <c r="L29" i="5"/>
  <c r="AA29" i="5" s="1"/>
  <c r="X29" i="7" s="1"/>
  <c r="W28" i="5"/>
  <c r="X28" i="5" s="1"/>
  <c r="U28" i="7" s="1"/>
  <c r="P28" i="5"/>
  <c r="Q28" i="5" s="1"/>
  <c r="O28" i="7" s="1"/>
  <c r="L28" i="5"/>
  <c r="W27" i="5"/>
  <c r="AC27" i="5" s="1"/>
  <c r="Z27" i="7" s="1"/>
  <c r="P27" i="5"/>
  <c r="Q27" i="5" s="1"/>
  <c r="O27" i="7" s="1"/>
  <c r="L27" i="5"/>
  <c r="M27" i="5" s="1"/>
  <c r="L27" i="7" s="1"/>
  <c r="W26" i="5"/>
  <c r="AC26" i="5" s="1"/>
  <c r="Z26" i="7" s="1"/>
  <c r="P26" i="5"/>
  <c r="Q26" i="5" s="1"/>
  <c r="O26" i="7" s="1"/>
  <c r="L26" i="5"/>
  <c r="M26" i="5" s="1"/>
  <c r="L26" i="7" s="1"/>
  <c r="W25" i="5"/>
  <c r="AC25" i="5" s="1"/>
  <c r="Z25" i="7" s="1"/>
  <c r="P25" i="5"/>
  <c r="AB25" i="5" s="1"/>
  <c r="Y25" i="7" s="1"/>
  <c r="L25" i="5"/>
  <c r="W24" i="5"/>
  <c r="AC24" i="5" s="1"/>
  <c r="Z24" i="7" s="1"/>
  <c r="P24" i="5"/>
  <c r="AB24" i="5" s="1"/>
  <c r="Y24" i="7" s="1"/>
  <c r="L24" i="5"/>
  <c r="M24" i="5" s="1"/>
  <c r="L24" i="7" s="1"/>
  <c r="W23" i="5"/>
  <c r="AC23" i="5" s="1"/>
  <c r="Z23" i="7" s="1"/>
  <c r="P23" i="5"/>
  <c r="AB23" i="5" s="1"/>
  <c r="Y23" i="7" s="1"/>
  <c r="L23" i="5"/>
  <c r="AA23" i="5" s="1"/>
  <c r="X23" i="7" s="1"/>
  <c r="W22" i="5"/>
  <c r="AC22" i="5" s="1"/>
  <c r="Z22" i="7" s="1"/>
  <c r="P22" i="5"/>
  <c r="L22" i="5"/>
  <c r="M22" i="5" s="1"/>
  <c r="L22" i="7" s="1"/>
  <c r="W21" i="5"/>
  <c r="AC21" i="5" s="1"/>
  <c r="Z21" i="7" s="1"/>
  <c r="P21" i="5"/>
  <c r="Q21" i="5" s="1"/>
  <c r="O21" i="7" s="1"/>
  <c r="L21" i="5"/>
  <c r="W20" i="5"/>
  <c r="AC20" i="5" s="1"/>
  <c r="Z20" i="7" s="1"/>
  <c r="P20" i="5"/>
  <c r="AB20" i="5" s="1"/>
  <c r="Y20" i="7" s="1"/>
  <c r="L20" i="5"/>
  <c r="M20" i="5" s="1"/>
  <c r="L20" i="7" s="1"/>
  <c r="W19" i="5"/>
  <c r="P19" i="5"/>
  <c r="AB19" i="5" s="1"/>
  <c r="Y19" i="7" s="1"/>
  <c r="L19" i="5"/>
  <c r="AA19" i="5" s="1"/>
  <c r="X19" i="7" s="1"/>
  <c r="W18" i="5"/>
  <c r="P18" i="5"/>
  <c r="AB18" i="5" s="1"/>
  <c r="Y18" i="7" s="1"/>
  <c r="L18" i="5"/>
  <c r="M18" i="5" s="1"/>
  <c r="W17" i="5"/>
  <c r="AC17" i="5" s="1"/>
  <c r="Z17" i="7" s="1"/>
  <c r="P17" i="5"/>
  <c r="AB17" i="5" s="1"/>
  <c r="Y17" i="7" s="1"/>
  <c r="L17" i="5"/>
  <c r="W16" i="5"/>
  <c r="X16" i="5" s="1"/>
  <c r="U16" i="7" s="1"/>
  <c r="P16" i="5"/>
  <c r="Q16" i="5" s="1"/>
  <c r="O16" i="7" s="1"/>
  <c r="L16" i="5"/>
  <c r="AA16" i="5" s="1"/>
  <c r="X16" i="7" s="1"/>
  <c r="W15" i="5"/>
  <c r="AC15" i="5" s="1"/>
  <c r="Z15" i="7" s="1"/>
  <c r="P15" i="5"/>
  <c r="Q15" i="5" s="1"/>
  <c r="O15" i="7" s="1"/>
  <c r="L15" i="5"/>
  <c r="W14" i="5"/>
  <c r="AC14" i="5" s="1"/>
  <c r="Z14" i="7" s="1"/>
  <c r="P14" i="5"/>
  <c r="L14" i="5"/>
  <c r="W13" i="5"/>
  <c r="AC13" i="5" s="1"/>
  <c r="Z13" i="7" s="1"/>
  <c r="P13" i="5"/>
  <c r="Q13" i="5" s="1"/>
  <c r="O13" i="7" s="1"/>
  <c r="L13" i="5"/>
  <c r="AA13" i="5" s="1"/>
  <c r="X13" i="7" s="1"/>
  <c r="W12" i="5"/>
  <c r="X12" i="5" s="1"/>
  <c r="U12" i="7" s="1"/>
  <c r="P12" i="5"/>
  <c r="Q12" i="5" s="1"/>
  <c r="O12" i="7" s="1"/>
  <c r="L12" i="5"/>
  <c r="AB11" i="5"/>
  <c r="Y11" i="7" s="1"/>
  <c r="W11" i="5"/>
  <c r="P11" i="5"/>
  <c r="Q11" i="5" s="1"/>
  <c r="O11" i="7" s="1"/>
  <c r="L11" i="5"/>
  <c r="AA11" i="5" s="1"/>
  <c r="X11" i="7" s="1"/>
  <c r="W10" i="5"/>
  <c r="AC10" i="5" s="1"/>
  <c r="Z10" i="7" s="1"/>
  <c r="P10" i="5"/>
  <c r="L10" i="5"/>
  <c r="AA10" i="5" s="1"/>
  <c r="X10" i="7" s="1"/>
  <c r="W9" i="5"/>
  <c r="AC9" i="5" s="1"/>
  <c r="Z9" i="7" s="1"/>
  <c r="P9" i="5"/>
  <c r="AB9" i="5" s="1"/>
  <c r="Y9" i="7" s="1"/>
  <c r="L9" i="5"/>
  <c r="W8" i="5"/>
  <c r="X8" i="5" s="1"/>
  <c r="U8" i="7" s="1"/>
  <c r="P8" i="5"/>
  <c r="AB8" i="5" s="1"/>
  <c r="Y8" i="7" s="1"/>
  <c r="L8" i="5"/>
  <c r="AA8" i="5" s="1"/>
  <c r="X8" i="7" s="1"/>
  <c r="W7" i="5"/>
  <c r="X7" i="5" s="1"/>
  <c r="U7" i="7" s="1"/>
  <c r="P7" i="5"/>
  <c r="Q7" i="5" s="1"/>
  <c r="O7" i="7" s="1"/>
  <c r="L7" i="5"/>
  <c r="W6" i="5"/>
  <c r="P6" i="5"/>
  <c r="Q6" i="5" s="1"/>
  <c r="O6" i="7" s="1"/>
  <c r="L6" i="5"/>
  <c r="AA6" i="5" s="1"/>
  <c r="X6" i="7" s="1"/>
  <c r="W5" i="5"/>
  <c r="X5" i="5" s="1"/>
  <c r="U5" i="7" s="1"/>
  <c r="P5" i="5"/>
  <c r="AB5" i="5" s="1"/>
  <c r="Y5" i="7" s="1"/>
  <c r="L5" i="5"/>
  <c r="M5" i="5" s="1"/>
  <c r="W4" i="5"/>
  <c r="P4" i="5"/>
  <c r="L4" i="5"/>
  <c r="AA4" i="5" s="1"/>
  <c r="X4" i="7" s="1"/>
  <c r="W3" i="5"/>
  <c r="X3" i="5" s="1"/>
  <c r="U3" i="7" s="1"/>
  <c r="P3" i="5"/>
  <c r="L3" i="5"/>
  <c r="M3" i="5" s="1"/>
  <c r="W2" i="5"/>
  <c r="X2" i="5" s="1"/>
  <c r="U2" i="7" s="1"/>
  <c r="P2" i="5"/>
  <c r="Q2" i="5" s="1"/>
  <c r="O2" i="7" s="1"/>
  <c r="L2" i="5"/>
  <c r="B14" i="2"/>
  <c r="C14" i="2" s="1"/>
  <c r="B13" i="2"/>
  <c r="I12" i="1"/>
  <c r="H12" i="1"/>
  <c r="Z1031" i="6" l="1"/>
  <c r="Z1030" i="6"/>
  <c r="Z1004" i="6"/>
  <c r="AA1034" i="6"/>
  <c r="AA1033" i="6"/>
  <c r="AA1010" i="6"/>
  <c r="AA1005" i="6"/>
  <c r="Z1005" i="6"/>
  <c r="K1023" i="6"/>
  <c r="Z1023" i="6" s="1"/>
  <c r="AA1027" i="6"/>
  <c r="U1023" i="6"/>
  <c r="AA1023" i="6" s="1"/>
  <c r="Z1013" i="6"/>
  <c r="Z1010" i="6"/>
  <c r="AA1025" i="6"/>
  <c r="AA1013" i="6"/>
  <c r="Z1029" i="6"/>
  <c r="AA1032" i="6"/>
  <c r="AA1004" i="6"/>
  <c r="AA1031" i="6"/>
  <c r="Z1027" i="6"/>
  <c r="AA1030" i="6"/>
  <c r="AA1029" i="6"/>
  <c r="Z1025" i="6"/>
  <c r="Z509" i="6"/>
  <c r="AA1018" i="6"/>
  <c r="AA1014" i="6"/>
  <c r="Z1014" i="6"/>
  <c r="K1022" i="6"/>
  <c r="Z1022" i="6" s="1"/>
  <c r="AA1008" i="6"/>
  <c r="AA1006" i="6"/>
  <c r="Z1006" i="6"/>
  <c r="Z1009" i="6"/>
  <c r="AA1011" i="6"/>
  <c r="Z1011" i="6"/>
  <c r="K1017" i="6"/>
  <c r="Z1017" i="6" s="1"/>
  <c r="AA1024" i="6"/>
  <c r="Z1024" i="6"/>
  <c r="U1019" i="6"/>
  <c r="AA1019" i="6" s="1"/>
  <c r="Z1019" i="6"/>
  <c r="AA1007" i="6"/>
  <c r="Z1007" i="6"/>
  <c r="AA1012" i="6"/>
  <c r="Z1012" i="6"/>
  <c r="AA1021" i="6"/>
  <c r="K1021" i="6"/>
  <c r="Z1021" i="6" s="1"/>
  <c r="K1015" i="6"/>
  <c r="Z1015" i="6" s="1"/>
  <c r="U1020" i="6"/>
  <c r="AA1020" i="6" s="1"/>
  <c r="AA789" i="6"/>
  <c r="W65" i="6"/>
  <c r="W213" i="6"/>
  <c r="AA222" i="6"/>
  <c r="Z73" i="6"/>
  <c r="K564" i="6"/>
  <c r="W218" i="6"/>
  <c r="AA822" i="6"/>
  <c r="U650" i="6"/>
  <c r="W650" i="6" s="1"/>
  <c r="AA102" i="6"/>
  <c r="U497" i="6"/>
  <c r="AA639" i="6"/>
  <c r="AA746" i="6"/>
  <c r="AA1001" i="6"/>
  <c r="AA1002" i="6"/>
  <c r="W618" i="6"/>
  <c r="AA618" i="6"/>
  <c r="W732" i="6"/>
  <c r="U215" i="6"/>
  <c r="U509" i="6"/>
  <c r="W853" i="6"/>
  <c r="K591" i="6"/>
  <c r="Z806" i="6"/>
  <c r="U859" i="6"/>
  <c r="Z305" i="6"/>
  <c r="Z405" i="6"/>
  <c r="Z106" i="6"/>
  <c r="Z176" i="6"/>
  <c r="K621" i="6"/>
  <c r="U643" i="6"/>
  <c r="Z958" i="6"/>
  <c r="K867" i="6"/>
  <c r="AA878" i="6"/>
  <c r="Z282" i="6"/>
  <c r="Z569" i="6"/>
  <c r="AA106" i="6"/>
  <c r="W102" i="6"/>
  <c r="K390" i="6"/>
  <c r="Z395" i="6"/>
  <c r="U673" i="6"/>
  <c r="Z896" i="6"/>
  <c r="Z373" i="6"/>
  <c r="AA373" i="6"/>
  <c r="K425" i="6"/>
  <c r="AA634" i="6"/>
  <c r="Z568" i="6"/>
  <c r="Z116" i="6"/>
  <c r="AA164" i="6"/>
  <c r="K411" i="6"/>
  <c r="Z574" i="6"/>
  <c r="K572" i="6"/>
  <c r="W613" i="6"/>
  <c r="U787" i="6"/>
  <c r="U933" i="6"/>
  <c r="U986" i="6"/>
  <c r="Z294" i="6"/>
  <c r="U795" i="6"/>
  <c r="U409" i="6"/>
  <c r="U481" i="6"/>
  <c r="U498" i="6"/>
  <c r="W498" i="6" s="1"/>
  <c r="AA790" i="6"/>
  <c r="Z85" i="6"/>
  <c r="K448" i="6"/>
  <c r="U606" i="6"/>
  <c r="Z655" i="6"/>
  <c r="U786" i="6"/>
  <c r="AA806" i="6"/>
  <c r="K64" i="6"/>
  <c r="K86" i="6"/>
  <c r="K142" i="6"/>
  <c r="U357" i="6"/>
  <c r="W357" i="6" s="1"/>
  <c r="U395" i="6"/>
  <c r="W395" i="6" s="1"/>
  <c r="U448" i="6"/>
  <c r="K714" i="6"/>
  <c r="K748" i="6"/>
  <c r="W748" i="6" s="1"/>
  <c r="AA802" i="6"/>
  <c r="AA944" i="6"/>
  <c r="K984" i="6"/>
  <c r="K524" i="6"/>
  <c r="Z744" i="6"/>
  <c r="Z825" i="6"/>
  <c r="Z962" i="6"/>
  <c r="Z765" i="6"/>
  <c r="Z65" i="6"/>
  <c r="U354" i="6"/>
  <c r="Z407" i="6"/>
  <c r="U428" i="6"/>
  <c r="W428" i="6" s="1"/>
  <c r="U439" i="6"/>
  <c r="W439" i="6" s="1"/>
  <c r="Z461" i="6"/>
  <c r="K687" i="6"/>
  <c r="U710" i="6"/>
  <c r="W710" i="6" s="1"/>
  <c r="U721" i="6"/>
  <c r="W721" i="6" s="1"/>
  <c r="K778" i="6"/>
  <c r="W778" i="6" s="1"/>
  <c r="U793" i="6"/>
  <c r="Z888" i="6"/>
  <c r="Z929" i="6"/>
  <c r="K946" i="6"/>
  <c r="U777" i="6"/>
  <c r="Z121" i="6"/>
  <c r="AA178" i="6"/>
  <c r="Z381" i="6"/>
  <c r="K418" i="6"/>
  <c r="W435" i="6"/>
  <c r="K861" i="6"/>
  <c r="AA973" i="6"/>
  <c r="Z150" i="6"/>
  <c r="W330" i="6"/>
  <c r="K417" i="6"/>
  <c r="U624" i="6"/>
  <c r="AA748" i="6"/>
  <c r="Z330" i="6"/>
  <c r="AA364" i="6"/>
  <c r="W407" i="6"/>
  <c r="K128" i="6"/>
  <c r="AA435" i="6"/>
  <c r="Z457" i="6"/>
  <c r="AA549" i="6"/>
  <c r="Z582" i="6"/>
  <c r="Z605" i="6"/>
  <c r="AA810" i="6"/>
  <c r="K845" i="6"/>
  <c r="AA182" i="6"/>
  <c r="K187" i="6"/>
  <c r="U196" i="6"/>
  <c r="W205" i="6"/>
  <c r="U321" i="6"/>
  <c r="W321" i="6" s="1"/>
  <c r="W358" i="6"/>
  <c r="U368" i="6"/>
  <c r="U376" i="6"/>
  <c r="W376" i="6" s="1"/>
  <c r="K519" i="6"/>
  <c r="K547" i="6"/>
  <c r="U70" i="6"/>
  <c r="W70" i="6" s="1"/>
  <c r="Z102" i="6"/>
  <c r="K117" i="6"/>
  <c r="AA278" i="6"/>
  <c r="K283" i="6"/>
  <c r="Z337" i="6"/>
  <c r="Z342" i="6"/>
  <c r="Z364" i="6"/>
  <c r="AA488" i="6"/>
  <c r="U572" i="6"/>
  <c r="K588" i="6"/>
  <c r="AA609" i="6"/>
  <c r="K716" i="6"/>
  <c r="K834" i="6"/>
  <c r="Z923" i="6"/>
  <c r="K403" i="6"/>
  <c r="AA338" i="6"/>
  <c r="K365" i="6"/>
  <c r="U369" i="6"/>
  <c r="AA393" i="6"/>
  <c r="U416" i="6"/>
  <c r="W416" i="6" s="1"/>
  <c r="AA447" i="6"/>
  <c r="AA457" i="6"/>
  <c r="U559" i="6"/>
  <c r="AA569" i="6"/>
  <c r="K584" i="6"/>
  <c r="K647" i="6"/>
  <c r="AA679" i="6"/>
  <c r="Z690" i="6"/>
  <c r="U846" i="6"/>
  <c r="AA862" i="6"/>
  <c r="AA941" i="6"/>
  <c r="AA407" i="6"/>
  <c r="K516" i="6"/>
  <c r="Z616" i="6"/>
  <c r="Z669" i="6"/>
  <c r="Z728" i="6"/>
  <c r="Z952" i="6"/>
  <c r="K1001" i="6"/>
  <c r="Z201" i="6"/>
  <c r="AA263" i="6"/>
  <c r="Z323" i="6"/>
  <c r="W63" i="6"/>
  <c r="Z83" i="6"/>
  <c r="U109" i="6"/>
  <c r="W136" i="6"/>
  <c r="K185" i="6"/>
  <c r="K198" i="6"/>
  <c r="W198" i="6" s="1"/>
  <c r="Z208" i="6"/>
  <c r="AA285" i="6"/>
  <c r="U313" i="6"/>
  <c r="U370" i="6"/>
  <c r="K385" i="6"/>
  <c r="K408" i="6"/>
  <c r="K427" i="6"/>
  <c r="U458" i="6"/>
  <c r="U486" i="6"/>
  <c r="W486" i="6" s="1"/>
  <c r="K512" i="6"/>
  <c r="W512" i="6" s="1"/>
  <c r="U570" i="6"/>
  <c r="W692" i="6"/>
  <c r="AA708" i="6"/>
  <c r="AA750" i="6"/>
  <c r="U809" i="6"/>
  <c r="K193" i="6"/>
  <c r="W193" i="6" s="1"/>
  <c r="K234" i="6"/>
  <c r="Z76" i="6"/>
  <c r="AA179" i="6"/>
  <c r="AA184" i="6"/>
  <c r="K189" i="6"/>
  <c r="W189" i="6" s="1"/>
  <c r="Z197" i="6"/>
  <c r="Z114" i="6"/>
  <c r="AA124" i="6"/>
  <c r="Z389" i="6"/>
  <c r="AA208" i="6"/>
  <c r="Z617" i="6"/>
  <c r="Z735" i="6"/>
  <c r="K506" i="6"/>
  <c r="U716" i="6"/>
  <c r="K275" i="6"/>
  <c r="W275" i="6" s="1"/>
  <c r="K374" i="6"/>
  <c r="AA153" i="6"/>
  <c r="U190" i="6"/>
  <c r="AA198" i="6"/>
  <c r="AA297" i="6"/>
  <c r="K325" i="6"/>
  <c r="U385" i="6"/>
  <c r="W385" i="6" s="1"/>
  <c r="K423" i="6"/>
  <c r="Z534" i="6"/>
  <c r="AA556" i="6"/>
  <c r="AA575" i="6"/>
  <c r="Z692" i="6"/>
  <c r="U779" i="6"/>
  <c r="W779" i="6" s="1"/>
  <c r="AA826" i="6"/>
  <c r="U881" i="6"/>
  <c r="AA987" i="6"/>
  <c r="Z72" i="6"/>
  <c r="AA334" i="6"/>
  <c r="Z48" i="6"/>
  <c r="Z548" i="7" s="1"/>
  <c r="Z131" i="6"/>
  <c r="AA459" i="6"/>
  <c r="U546" i="6"/>
  <c r="AA603" i="6"/>
  <c r="Z666" i="6"/>
  <c r="Z704" i="6"/>
  <c r="U239" i="6"/>
  <c r="W239" i="6" s="1"/>
  <c r="Z55" i="6"/>
  <c r="AA229" i="6"/>
  <c r="W59" i="6"/>
  <c r="K254" i="6"/>
  <c r="U875" i="6"/>
  <c r="U66" i="6"/>
  <c r="K91" i="6"/>
  <c r="W106" i="6"/>
  <c r="W145" i="6"/>
  <c r="U237" i="6"/>
  <c r="W248" i="6"/>
  <c r="K333" i="6"/>
  <c r="W333" i="6" s="1"/>
  <c r="Z376" i="6"/>
  <c r="U381" i="6"/>
  <c r="W381" i="6" s="1"/>
  <c r="AA429" i="6"/>
  <c r="U449" i="6"/>
  <c r="K454" i="6"/>
  <c r="W454" i="6" s="1"/>
  <c r="K477" i="6"/>
  <c r="U495" i="6"/>
  <c r="AA512" i="6"/>
  <c r="AA586" i="6"/>
  <c r="K590" i="6"/>
  <c r="Z618" i="6"/>
  <c r="Z653" i="6"/>
  <c r="K678" i="6"/>
  <c r="AA692" i="6"/>
  <c r="K707" i="6"/>
  <c r="AA731" i="6"/>
  <c r="U735" i="6"/>
  <c r="Z779" i="6"/>
  <c r="Z822" i="6"/>
  <c r="K875" i="6"/>
  <c r="Z953" i="6"/>
  <c r="K970" i="6"/>
  <c r="AA131" i="6"/>
  <c r="Z136" i="6"/>
  <c r="AA141" i="6"/>
  <c r="K199" i="6"/>
  <c r="U249" i="6"/>
  <c r="K317" i="6"/>
  <c r="K370" i="6"/>
  <c r="K387" i="6"/>
  <c r="W387" i="6" s="1"/>
  <c r="U405" i="6"/>
  <c r="W405" i="6" s="1"/>
  <c r="K413" i="6"/>
  <c r="Z426" i="6"/>
  <c r="Z450" i="6"/>
  <c r="U474" i="6"/>
  <c r="W474" i="6" s="1"/>
  <c r="Z496" i="6"/>
  <c r="K500" i="6"/>
  <c r="AA527" i="6"/>
  <c r="U541" i="6"/>
  <c r="W541" i="6" s="1"/>
  <c r="Z565" i="6"/>
  <c r="Z601" i="6"/>
  <c r="Z644" i="6"/>
  <c r="AA669" i="6"/>
  <c r="U741" i="6"/>
  <c r="W741" i="6" s="1"/>
  <c r="U761" i="6"/>
  <c r="U799" i="6"/>
  <c r="K819" i="6"/>
  <c r="AA842" i="6"/>
  <c r="U851" i="6"/>
  <c r="K879" i="6"/>
  <c r="U893" i="6"/>
  <c r="Z920" i="6"/>
  <c r="AA925" i="6"/>
  <c r="U320" i="6"/>
  <c r="AA333" i="6"/>
  <c r="K422" i="6"/>
  <c r="AA555" i="6"/>
  <c r="U590" i="6"/>
  <c r="K837" i="6"/>
  <c r="AA970" i="6"/>
  <c r="AA136" i="6"/>
  <c r="Z151" i="6"/>
  <c r="Z229" i="6"/>
  <c r="AA275" i="6"/>
  <c r="W456" i="6"/>
  <c r="Z459" i="6"/>
  <c r="Z474" i="6"/>
  <c r="AA496" i="6"/>
  <c r="Z717" i="6"/>
  <c r="Z732" i="6"/>
  <c r="Z981" i="6"/>
  <c r="AA259" i="6"/>
  <c r="U351" i="6"/>
  <c r="U400" i="6"/>
  <c r="K532" i="6"/>
  <c r="U698" i="6"/>
  <c r="U727" i="6"/>
  <c r="AA866" i="6"/>
  <c r="AA732" i="6"/>
  <c r="Z37" i="6"/>
  <c r="Z537" i="7" s="1"/>
  <c r="U78" i="6"/>
  <c r="Z113" i="6"/>
  <c r="Z157" i="6"/>
  <c r="AA205" i="6"/>
  <c r="K210" i="6"/>
  <c r="W210" i="6" s="1"/>
  <c r="AA225" i="6"/>
  <c r="K261" i="6"/>
  <c r="W261" i="6" s="1"/>
  <c r="Z321" i="6"/>
  <c r="U348" i="6"/>
  <c r="K379" i="6"/>
  <c r="K397" i="6"/>
  <c r="AA437" i="6"/>
  <c r="Z456" i="6"/>
  <c r="U464" i="6"/>
  <c r="Z479" i="6"/>
  <c r="K488" i="6"/>
  <c r="U524" i="6"/>
  <c r="Z528" i="6"/>
  <c r="U533" i="6"/>
  <c r="W533" i="6" s="1"/>
  <c r="W575" i="6"/>
  <c r="K580" i="6"/>
  <c r="W580" i="6" s="1"/>
  <c r="U588" i="6"/>
  <c r="U670" i="6"/>
  <c r="AA704" i="6"/>
  <c r="AA742" i="6"/>
  <c r="K767" i="6"/>
  <c r="W773" i="6"/>
  <c r="Z824" i="6"/>
  <c r="K848" i="6"/>
  <c r="AA852" i="6"/>
  <c r="K873" i="6"/>
  <c r="K876" i="6"/>
  <c r="W894" i="6"/>
  <c r="Z904" i="6"/>
  <c r="Z926" i="6"/>
  <c r="AA931" i="6"/>
  <c r="K972" i="6"/>
  <c r="K982" i="6"/>
  <c r="AA59" i="6"/>
  <c r="K84" i="6"/>
  <c r="AA128" i="6"/>
  <c r="Z148" i="6"/>
  <c r="Z179" i="6"/>
  <c r="U363" i="6"/>
  <c r="Z515" i="6"/>
  <c r="Z533" i="6"/>
  <c r="Z695" i="6"/>
  <c r="W733" i="6"/>
  <c r="Z747" i="6"/>
  <c r="Z815" i="6"/>
  <c r="K880" i="6"/>
  <c r="Z894" i="6"/>
  <c r="W95" i="6"/>
  <c r="AA104" i="6"/>
  <c r="AA133" i="6"/>
  <c r="AA148" i="6"/>
  <c r="AA210" i="6"/>
  <c r="Z215" i="6"/>
  <c r="K226" i="6"/>
  <c r="AA230" i="6"/>
  <c r="U251" i="6"/>
  <c r="K309" i="6"/>
  <c r="AA318" i="6"/>
  <c r="Z335" i="6"/>
  <c r="K345" i="6"/>
  <c r="K349" i="6"/>
  <c r="Z358" i="6"/>
  <c r="AA460" i="6"/>
  <c r="K480" i="6"/>
  <c r="Z484" i="6"/>
  <c r="AA538" i="6"/>
  <c r="K543" i="6"/>
  <c r="Z637" i="6"/>
  <c r="AA667" i="6"/>
  <c r="K681" i="6"/>
  <c r="AA691" i="6"/>
  <c r="K701" i="6"/>
  <c r="AA763" i="6"/>
  <c r="Z773" i="6"/>
  <c r="K783" i="6"/>
  <c r="K797" i="6"/>
  <c r="K835" i="6"/>
  <c r="Z890" i="6"/>
  <c r="AA894" i="6"/>
  <c r="AA97" i="6"/>
  <c r="K347" i="6"/>
  <c r="U523" i="6"/>
  <c r="W601" i="6"/>
  <c r="U615" i="6"/>
  <c r="AA871" i="6"/>
  <c r="W71" i="6"/>
  <c r="U75" i="6"/>
  <c r="U176" i="6"/>
  <c r="W176" i="6" s="1"/>
  <c r="K180" i="6"/>
  <c r="W180" i="6" s="1"/>
  <c r="AA247" i="6"/>
  <c r="U309" i="6"/>
  <c r="K319" i="6"/>
  <c r="U322" i="6"/>
  <c r="AA332" i="6"/>
  <c r="K341" i="6"/>
  <c r="U345" i="6"/>
  <c r="AA444" i="6"/>
  <c r="AA453" i="6"/>
  <c r="AA476" i="6"/>
  <c r="W534" i="6"/>
  <c r="AA543" i="6"/>
  <c r="U558" i="6"/>
  <c r="K586" i="6"/>
  <c r="U589" i="6"/>
  <c r="K614" i="6"/>
  <c r="K622" i="6"/>
  <c r="U663" i="6"/>
  <c r="U739" i="6"/>
  <c r="W739" i="6" s="1"/>
  <c r="AA788" i="6"/>
  <c r="U797" i="6"/>
  <c r="AA811" i="6"/>
  <c r="AA938" i="6"/>
  <c r="AA947" i="6"/>
  <c r="Z8" i="6"/>
  <c r="Z508" i="7" s="1"/>
  <c r="Z19" i="6"/>
  <c r="Z519" i="7" s="1"/>
  <c r="U90" i="6"/>
  <c r="U152" i="6"/>
  <c r="U162" i="6"/>
  <c r="U214" i="6"/>
  <c r="AA228" i="6"/>
  <c r="U228" i="6"/>
  <c r="K235" i="6"/>
  <c r="W235" i="6" s="1"/>
  <c r="AA248" i="6"/>
  <c r="U262" i="6"/>
  <c r="K359" i="6"/>
  <c r="K378" i="6"/>
  <c r="Z378" i="6"/>
  <c r="U434" i="6"/>
  <c r="K451" i="6"/>
  <c r="AA465" i="6"/>
  <c r="K513" i="6"/>
  <c r="K522" i="6"/>
  <c r="K529" i="6"/>
  <c r="Z529" i="6"/>
  <c r="U552" i="6"/>
  <c r="K561" i="6"/>
  <c r="K573" i="6"/>
  <c r="K581" i="6"/>
  <c r="K585" i="6"/>
  <c r="Z598" i="6"/>
  <c r="K598" i="6"/>
  <c r="W622" i="6"/>
  <c r="U656" i="6"/>
  <c r="U661" i="6"/>
  <c r="K675" i="6"/>
  <c r="Z675" i="6"/>
  <c r="AA683" i="6"/>
  <c r="U683" i="6"/>
  <c r="K725" i="6"/>
  <c r="K736" i="6"/>
  <c r="K757" i="6"/>
  <c r="W792" i="6"/>
  <c r="W804" i="6"/>
  <c r="U824" i="6"/>
  <c r="W824" i="6" s="1"/>
  <c r="K827" i="6"/>
  <c r="K891" i="6"/>
  <c r="U899" i="6"/>
  <c r="K909" i="6"/>
  <c r="K956" i="6"/>
  <c r="W956" i="6" s="1"/>
  <c r="Z956" i="6"/>
  <c r="AA960" i="6"/>
  <c r="U23" i="6"/>
  <c r="L523" i="7" s="1"/>
  <c r="Z111" i="6"/>
  <c r="AA211" i="6"/>
  <c r="U211" i="6"/>
  <c r="K267" i="6"/>
  <c r="Z267" i="6"/>
  <c r="Z327" i="6"/>
  <c r="K327" i="6"/>
  <c r="K476" i="6"/>
  <c r="W476" i="6" s="1"/>
  <c r="Z476" i="6"/>
  <c r="Z505" i="6"/>
  <c r="Z536" i="6"/>
  <c r="K570" i="6"/>
  <c r="Z570" i="6"/>
  <c r="Z792" i="6"/>
  <c r="K924" i="6"/>
  <c r="Z924" i="6"/>
  <c r="Z951" i="6"/>
  <c r="AA42" i="6"/>
  <c r="X542" i="7" s="1"/>
  <c r="Z938" i="6"/>
  <c r="K938" i="6"/>
  <c r="W938" i="6" s="1"/>
  <c r="K62" i="6"/>
  <c r="W62" i="6" s="1"/>
  <c r="K104" i="6"/>
  <c r="W104" i="6" s="1"/>
  <c r="AA107" i="6"/>
  <c r="U115" i="6"/>
  <c r="Z145" i="6"/>
  <c r="K158" i="6"/>
  <c r="K163" i="6"/>
  <c r="U167" i="6"/>
  <c r="W167" i="6" s="1"/>
  <c r="AA167" i="6"/>
  <c r="AA202" i="6"/>
  <c r="W208" i="6"/>
  <c r="U232" i="6"/>
  <c r="AA235" i="6"/>
  <c r="Z239" i="6"/>
  <c r="AA244" i="6"/>
  <c r="K263" i="6"/>
  <c r="W263" i="6" s="1"/>
  <c r="AA267" i="6"/>
  <c r="U267" i="6"/>
  <c r="U316" i="6"/>
  <c r="AA316" i="6"/>
  <c r="AA355" i="6"/>
  <c r="U359" i="6"/>
  <c r="K371" i="6"/>
  <c r="U378" i="6"/>
  <c r="K419" i="6"/>
  <c r="K430" i="6"/>
  <c r="U451" i="6"/>
  <c r="K462" i="6"/>
  <c r="K518" i="6"/>
  <c r="U544" i="6"/>
  <c r="AA548" i="6"/>
  <c r="AA557" i="6"/>
  <c r="U566" i="6"/>
  <c r="W599" i="6"/>
  <c r="U607" i="6"/>
  <c r="AA622" i="6"/>
  <c r="U627" i="6"/>
  <c r="K632" i="6"/>
  <c r="AA640" i="6"/>
  <c r="U644" i="6"/>
  <c r="W644" i="6" s="1"/>
  <c r="U653" i="6"/>
  <c r="U675" i="6"/>
  <c r="AA697" i="6"/>
  <c r="K705" i="6"/>
  <c r="AA709" i="6"/>
  <c r="U717" i="6"/>
  <c r="W717" i="6" s="1"/>
  <c r="U736" i="6"/>
  <c r="K745" i="6"/>
  <c r="U757" i="6"/>
  <c r="AA785" i="6"/>
  <c r="K789" i="6"/>
  <c r="W789" i="6" s="1"/>
  <c r="AA792" i="6"/>
  <c r="K800" i="6"/>
  <c r="AA804" i="6"/>
  <c r="AA808" i="6"/>
  <c r="AA812" i="6"/>
  <c r="AA883" i="6"/>
  <c r="AA895" i="6"/>
  <c r="AA914" i="6"/>
  <c r="U943" i="6"/>
  <c r="AA956" i="6"/>
  <c r="Z991" i="6"/>
  <c r="AA996" i="6"/>
  <c r="K6" i="6"/>
  <c r="U506" i="7" s="1"/>
  <c r="Z95" i="6"/>
  <c r="Z133" i="6"/>
  <c r="Z181" i="6"/>
  <c r="Z316" i="6"/>
  <c r="K375" i="6"/>
  <c r="Z375" i="6"/>
  <c r="Z444" i="6"/>
  <c r="Z493" i="6"/>
  <c r="AA514" i="6"/>
  <c r="U514" i="6"/>
  <c r="K558" i="6"/>
  <c r="Z558" i="6"/>
  <c r="Z657" i="6"/>
  <c r="U671" i="6"/>
  <c r="AA671" i="6"/>
  <c r="AA701" i="6"/>
  <c r="Z721" i="6"/>
  <c r="AA725" i="6"/>
  <c r="Z729" i="6"/>
  <c r="K809" i="6"/>
  <c r="Z809" i="6"/>
  <c r="K884" i="6"/>
  <c r="Z884" i="6"/>
  <c r="AA991" i="6"/>
  <c r="U15" i="6"/>
  <c r="L515" i="7" s="1"/>
  <c r="W54" i="6"/>
  <c r="U58" i="6"/>
  <c r="U62" i="6"/>
  <c r="Z70" i="6"/>
  <c r="K79" i="6"/>
  <c r="AA95" i="6"/>
  <c r="U125" i="6"/>
  <c r="U150" i="6"/>
  <c r="W150" i="6" s="1"/>
  <c r="Z167" i="6"/>
  <c r="K233" i="6"/>
  <c r="U273" i="6"/>
  <c r="AA277" i="6"/>
  <c r="K336" i="6"/>
  <c r="U339" i="6"/>
  <c r="U352" i="6"/>
  <c r="K360" i="6"/>
  <c r="U371" i="6"/>
  <c r="U419" i="6"/>
  <c r="K440" i="6"/>
  <c r="AA501" i="6"/>
  <c r="AA506" i="6"/>
  <c r="U506" i="6"/>
  <c r="W506" i="6" s="1"/>
  <c r="AA537" i="6"/>
  <c r="Z541" i="6"/>
  <c r="K554" i="6"/>
  <c r="AA599" i="6"/>
  <c r="K604" i="6"/>
  <c r="W604" i="6" s="1"/>
  <c r="K619" i="6"/>
  <c r="K628" i="6"/>
  <c r="U632" i="6"/>
  <c r="K641" i="6"/>
  <c r="U690" i="6"/>
  <c r="W690" i="6" s="1"/>
  <c r="U693" i="6"/>
  <c r="AA733" i="6"/>
  <c r="Z741" i="6"/>
  <c r="AA781" i="6"/>
  <c r="K805" i="6"/>
  <c r="AA813" i="6"/>
  <c r="U813" i="6"/>
  <c r="AA828" i="6"/>
  <c r="U855" i="6"/>
  <c r="AA864" i="6"/>
  <c r="U884" i="6"/>
  <c r="AA884" i="6"/>
  <c r="U939" i="6"/>
  <c r="W939" i="6" s="1"/>
  <c r="AA83" i="6"/>
  <c r="AA87" i="6"/>
  <c r="K92" i="6"/>
  <c r="Z92" i="6"/>
  <c r="K164" i="6"/>
  <c r="K250" i="6"/>
  <c r="K287" i="6"/>
  <c r="U307" i="6"/>
  <c r="Z372" i="6"/>
  <c r="K372" i="6"/>
  <c r="K502" i="6"/>
  <c r="Z502" i="6"/>
  <c r="K654" i="6"/>
  <c r="Z654" i="6"/>
  <c r="AA668" i="6"/>
  <c r="U668" i="6"/>
  <c r="Z742" i="6"/>
  <c r="K742" i="6"/>
  <c r="W742" i="6" s="1"/>
  <c r="U968" i="6"/>
  <c r="W968" i="6" s="1"/>
  <c r="AA968" i="6"/>
  <c r="AA992" i="6"/>
  <c r="U992" i="6"/>
  <c r="Z40" i="6"/>
  <c r="Z540" i="7" s="1"/>
  <c r="U67" i="6"/>
  <c r="W67" i="6" s="1"/>
  <c r="W76" i="6"/>
  <c r="U79" i="6"/>
  <c r="U113" i="6"/>
  <c r="W113" i="6" s="1"/>
  <c r="AA121" i="6"/>
  <c r="AA130" i="6"/>
  <c r="K134" i="6"/>
  <c r="U138" i="6"/>
  <c r="W138" i="6" s="1"/>
  <c r="K155" i="6"/>
  <c r="Z155" i="6"/>
  <c r="K222" i="6"/>
  <c r="W222" i="6" s="1"/>
  <c r="U233" i="6"/>
  <c r="K237" i="6"/>
  <c r="U292" i="6"/>
  <c r="K303" i="6"/>
  <c r="Z303" i="6"/>
  <c r="U336" i="6"/>
  <c r="Z361" i="6"/>
  <c r="K361" i="6"/>
  <c r="Z452" i="6"/>
  <c r="AA456" i="6"/>
  <c r="K495" i="6"/>
  <c r="Z495" i="6"/>
  <c r="U502" i="6"/>
  <c r="AA502" i="6"/>
  <c r="U531" i="6"/>
  <c r="W531" i="6" s="1"/>
  <c r="K546" i="6"/>
  <c r="Z546" i="6"/>
  <c r="K555" i="6"/>
  <c r="W555" i="6" s="1"/>
  <c r="Z555" i="6"/>
  <c r="Z579" i="6"/>
  <c r="Z613" i="6"/>
  <c r="AA616" i="6"/>
  <c r="Z650" i="6"/>
  <c r="U715" i="6"/>
  <c r="W715" i="6" s="1"/>
  <c r="U722" i="6"/>
  <c r="AA722" i="6"/>
  <c r="AA773" i="6"/>
  <c r="K865" i="6"/>
  <c r="K911" i="6"/>
  <c r="K61" i="6"/>
  <c r="W61" i="6" s="1"/>
  <c r="Z61" i="6"/>
  <c r="Z30" i="6"/>
  <c r="Z530" i="7" s="1"/>
  <c r="K36" i="6"/>
  <c r="U536" i="7" s="1"/>
  <c r="AA40" i="6"/>
  <c r="X540" i="7" s="1"/>
  <c r="Z59" i="6"/>
  <c r="Z138" i="6"/>
  <c r="Z147" i="6"/>
  <c r="Z213" i="6"/>
  <c r="AA241" i="6"/>
  <c r="U241" i="6"/>
  <c r="W241" i="6" s="1"/>
  <c r="U303" i="6"/>
  <c r="AA303" i="6"/>
  <c r="Z340" i="6"/>
  <c r="Z383" i="6"/>
  <c r="AA515" i="6"/>
  <c r="AA613" i="6"/>
  <c r="AA646" i="6"/>
  <c r="U646" i="6"/>
  <c r="U677" i="6"/>
  <c r="K699" i="6"/>
  <c r="K703" i="6"/>
  <c r="Z715" i="6"/>
  <c r="U755" i="6"/>
  <c r="U794" i="6"/>
  <c r="W794" i="6" s="1"/>
  <c r="AA794" i="6"/>
  <c r="K798" i="6"/>
  <c r="Z798" i="6"/>
  <c r="U814" i="6"/>
  <c r="K826" i="6"/>
  <c r="W826" i="6" s="1"/>
  <c r="AA829" i="6"/>
  <c r="K838" i="6"/>
  <c r="U861" i="6"/>
  <c r="AA865" i="6"/>
  <c r="U865" i="6"/>
  <c r="AA902" i="6"/>
  <c r="U907" i="6"/>
  <c r="W907" i="6" s="1"/>
  <c r="U926" i="6"/>
  <c r="W926" i="6" s="1"/>
  <c r="AA926" i="6"/>
  <c r="K338" i="6"/>
  <c r="W338" i="6" s="1"/>
  <c r="Z338" i="6"/>
  <c r="K771" i="6"/>
  <c r="Z771" i="6"/>
  <c r="Z849" i="6"/>
  <c r="K849" i="6"/>
  <c r="Z67" i="6"/>
  <c r="Z80" i="6"/>
  <c r="K80" i="6"/>
  <c r="K143" i="6"/>
  <c r="Z143" i="6"/>
  <c r="W148" i="6"/>
  <c r="AA213" i="6"/>
  <c r="K231" i="6"/>
  <c r="Z231" i="6"/>
  <c r="Z298" i="6"/>
  <c r="K298" i="6"/>
  <c r="W334" i="6"/>
  <c r="Z428" i="6"/>
  <c r="AA441" i="6"/>
  <c r="U441" i="6"/>
  <c r="Z486" i="6"/>
  <c r="Z531" i="6"/>
  <c r="Z575" i="6"/>
  <c r="Z794" i="6"/>
  <c r="U890" i="6"/>
  <c r="Z907" i="6"/>
  <c r="K917" i="6"/>
  <c r="W917" i="6" s="1"/>
  <c r="AA280" i="6"/>
  <c r="U280" i="6"/>
  <c r="W280" i="6" s="1"/>
  <c r="K77" i="6"/>
  <c r="Z77" i="6"/>
  <c r="U143" i="6"/>
  <c r="AA143" i="6"/>
  <c r="K284" i="6"/>
  <c r="Z284" i="6"/>
  <c r="Z429" i="6"/>
  <c r="K429" i="6"/>
  <c r="W429" i="6" s="1"/>
  <c r="K491" i="6"/>
  <c r="Z491" i="6"/>
  <c r="Z791" i="6"/>
  <c r="K791" i="6"/>
  <c r="Z980" i="6"/>
  <c r="K980" i="6"/>
  <c r="W56" i="6"/>
  <c r="K94" i="6"/>
  <c r="U110" i="6"/>
  <c r="U114" i="6"/>
  <c r="W114" i="6" s="1"/>
  <c r="U165" i="6"/>
  <c r="W206" i="6"/>
  <c r="K214" i="6"/>
  <c r="U231" i="6"/>
  <c r="U265" i="6"/>
  <c r="W265" i="6" s="1"/>
  <c r="K271" i="6"/>
  <c r="U284" i="6"/>
  <c r="AA284" i="6"/>
  <c r="U325" i="6"/>
  <c r="AA330" i="6"/>
  <c r="AA337" i="6"/>
  <c r="AA362" i="6"/>
  <c r="K377" i="6"/>
  <c r="Z401" i="6"/>
  <c r="K470" i="6"/>
  <c r="U479" i="6"/>
  <c r="W479" i="6" s="1"/>
  <c r="AA479" i="6"/>
  <c r="U491" i="6"/>
  <c r="AA491" i="6"/>
  <c r="U528" i="6"/>
  <c r="W528" i="6" s="1"/>
  <c r="AA539" i="6"/>
  <c r="AA580" i="6"/>
  <c r="U610" i="6"/>
  <c r="AA614" i="6"/>
  <c r="U614" i="6"/>
  <c r="K652" i="6"/>
  <c r="W652" i="6" s="1"/>
  <c r="AA682" i="6"/>
  <c r="W704" i="6"/>
  <c r="AA720" i="6"/>
  <c r="U747" i="6"/>
  <c r="W747" i="6" s="1"/>
  <c r="Z756" i="6"/>
  <c r="U815" i="6"/>
  <c r="W815" i="6" s="1"/>
  <c r="AA950" i="6"/>
  <c r="AA980" i="6"/>
  <c r="U980" i="6"/>
  <c r="AA993" i="6"/>
  <c r="K89" i="6"/>
  <c r="AA96" i="6"/>
  <c r="K125" i="6"/>
  <c r="U276" i="6"/>
  <c r="U312" i="6"/>
  <c r="U323" i="6"/>
  <c r="W323" i="6" s="1"/>
  <c r="K332" i="6"/>
  <c r="W332" i="6" s="1"/>
  <c r="K382" i="6"/>
  <c r="U463" i="6"/>
  <c r="K468" i="6"/>
  <c r="K473" i="6"/>
  <c r="K499" i="6"/>
  <c r="K523" i="6"/>
  <c r="AA630" i="6"/>
  <c r="K680" i="6"/>
  <c r="K689" i="6"/>
  <c r="K708" i="6"/>
  <c r="W708" i="6" s="1"/>
  <c r="U749" i="6"/>
  <c r="AA754" i="6"/>
  <c r="K802" i="6"/>
  <c r="W802" i="6" s="1"/>
  <c r="W806" i="6"/>
  <c r="W833" i="6"/>
  <c r="AA853" i="6"/>
  <c r="AA858" i="6"/>
  <c r="K870" i="6"/>
  <c r="AA932" i="6"/>
  <c r="AA937" i="6"/>
  <c r="K945" i="6"/>
  <c r="AA962" i="5"/>
  <c r="AB1010" i="5"/>
  <c r="AC244" i="5"/>
  <c r="X456" i="5"/>
  <c r="M1004" i="5"/>
  <c r="M1008" i="5"/>
  <c r="M526" i="5"/>
  <c r="M1001" i="5"/>
  <c r="M1009" i="5"/>
  <c r="Q1003" i="5"/>
  <c r="AB1024" i="5"/>
  <c r="Q1008" i="5"/>
  <c r="Y1008" i="5" s="1"/>
  <c r="AA299" i="5"/>
  <c r="AB1025" i="5"/>
  <c r="AB280" i="5"/>
  <c r="AB1011" i="5"/>
  <c r="X264" i="5"/>
  <c r="M288" i="5"/>
  <c r="X129" i="5"/>
  <c r="AB1009" i="5"/>
  <c r="Q1015" i="5"/>
  <c r="Q1016" i="5"/>
  <c r="Q1004" i="5"/>
  <c r="Y1004" i="5" s="1"/>
  <c r="Q1017" i="5"/>
  <c r="M1003" i="5"/>
  <c r="Q1005" i="5"/>
  <c r="Q1018" i="5"/>
  <c r="Q897" i="5"/>
  <c r="Q1006" i="5"/>
  <c r="Q1019" i="5"/>
  <c r="Y1019" i="5" s="1"/>
  <c r="Q1007" i="5"/>
  <c r="Q1020" i="5"/>
  <c r="AC52" i="5"/>
  <c r="AC1004" i="5"/>
  <c r="M1010" i="5"/>
  <c r="M103" i="5"/>
  <c r="AB540" i="5"/>
  <c r="AA791" i="5"/>
  <c r="AA1022" i="5"/>
  <c r="M1011" i="5"/>
  <c r="AB806" i="5"/>
  <c r="AA759" i="5"/>
  <c r="AB49" i="5"/>
  <c r="AB263" i="5"/>
  <c r="AA564" i="5"/>
  <c r="AA926" i="5"/>
  <c r="AA973" i="5"/>
  <c r="M1012" i="5"/>
  <c r="M1026" i="5"/>
  <c r="X208" i="5"/>
  <c r="Q410" i="5"/>
  <c r="AB851" i="5"/>
  <c r="AB208" i="5"/>
  <c r="Q440" i="5"/>
  <c r="X447" i="5"/>
  <c r="X740" i="5"/>
  <c r="AA338" i="5"/>
  <c r="AB397" i="5"/>
  <c r="AA444" i="5"/>
  <c r="X471" i="5"/>
  <c r="AC952" i="5"/>
  <c r="AB507" i="5"/>
  <c r="AB882" i="5"/>
  <c r="X718" i="5"/>
  <c r="X847" i="5"/>
  <c r="M395" i="5"/>
  <c r="AA734" i="5"/>
  <c r="H6" i="1"/>
  <c r="X45" i="5"/>
  <c r="AA163" i="5"/>
  <c r="AA984" i="5"/>
  <c r="AB306" i="5"/>
  <c r="I8" i="1"/>
  <c r="AC152" i="5"/>
  <c r="M176" i="5"/>
  <c r="Q817" i="5"/>
  <c r="H10" i="1"/>
  <c r="X368" i="5"/>
  <c r="AC915" i="5"/>
  <c r="AA755" i="5"/>
  <c r="AA798" i="5"/>
  <c r="AA888" i="5"/>
  <c r="Q1014" i="5"/>
  <c r="M1014" i="5"/>
  <c r="AA1019" i="5"/>
  <c r="M1016" i="5"/>
  <c r="M1013" i="5"/>
  <c r="AA1018" i="5"/>
  <c r="M1017" i="5"/>
  <c r="Q1021" i="5"/>
  <c r="M1021" i="5"/>
  <c r="AB1023" i="5"/>
  <c r="AA1023" i="5"/>
  <c r="M1020" i="5"/>
  <c r="AA1025" i="5"/>
  <c r="M1015" i="5"/>
  <c r="M1005" i="5"/>
  <c r="Y1005" i="5" s="1"/>
  <c r="M1007" i="5"/>
  <c r="AA1006" i="5"/>
  <c r="AA12" i="6"/>
  <c r="X512" i="7" s="1"/>
  <c r="AA22" i="5"/>
  <c r="X22" i="7" s="1"/>
  <c r="K1002" i="6"/>
  <c r="K1003" i="6"/>
  <c r="Z1003" i="6" s="1"/>
  <c r="X557" i="5"/>
  <c r="Q18" i="5"/>
  <c r="O18" i="7" s="1"/>
  <c r="M49" i="5"/>
  <c r="AC63" i="5"/>
  <c r="M186" i="5"/>
  <c r="X197" i="5"/>
  <c r="Q329" i="5"/>
  <c r="X382" i="5"/>
  <c r="Q840" i="5"/>
  <c r="X878" i="5"/>
  <c r="M919" i="5"/>
  <c r="AC175" i="5"/>
  <c r="M897" i="5"/>
  <c r="AB748" i="5"/>
  <c r="AC1003" i="5"/>
  <c r="Q861" i="5"/>
  <c r="X115" i="5"/>
  <c r="Q119" i="5"/>
  <c r="AA184" i="5"/>
  <c r="AB214" i="5"/>
  <c r="Q668" i="5"/>
  <c r="M739" i="5"/>
  <c r="M785" i="5"/>
  <c r="X936" i="5"/>
  <c r="Y936" i="5" s="1"/>
  <c r="Z936" i="5" s="1"/>
  <c r="AC1005" i="5"/>
  <c r="M415" i="5"/>
  <c r="Q550" i="5"/>
  <c r="AC887" i="5"/>
  <c r="M32" i="5"/>
  <c r="L32" i="7" s="1"/>
  <c r="AB85" i="5"/>
  <c r="AA373" i="5"/>
  <c r="AC531" i="5"/>
  <c r="AB577" i="5"/>
  <c r="M629" i="5"/>
  <c r="X792" i="5"/>
  <c r="AC877" i="5"/>
  <c r="AC884" i="5"/>
  <c r="X1027" i="5"/>
  <c r="Y1027" i="5" s="1"/>
  <c r="AN3" i="3"/>
  <c r="AN4" i="3" s="1"/>
  <c r="M63" i="5"/>
  <c r="M359" i="5"/>
  <c r="AB581" i="5"/>
  <c r="M747" i="5"/>
  <c r="X839" i="5"/>
  <c r="X891" i="5"/>
  <c r="AB975" i="5"/>
  <c r="AA365" i="5"/>
  <c r="AB399" i="5"/>
  <c r="Q461" i="5"/>
  <c r="AA492" i="5"/>
  <c r="AA519" i="5"/>
  <c r="M66" i="5"/>
  <c r="X101" i="5"/>
  <c r="AC108" i="5"/>
  <c r="X339" i="5"/>
  <c r="H7" i="1"/>
  <c r="M167" i="5"/>
  <c r="AC170" i="5"/>
  <c r="AC200" i="5"/>
  <c r="AC343" i="5"/>
  <c r="AA497" i="5"/>
  <c r="M709" i="5"/>
  <c r="AB52" i="5"/>
  <c r="AA569" i="5"/>
  <c r="H5" i="1"/>
  <c r="AB29" i="5"/>
  <c r="Y29" i="7" s="1"/>
  <c r="X43" i="5"/>
  <c r="AC46" i="5"/>
  <c r="AC111" i="5"/>
  <c r="X193" i="5"/>
  <c r="AC251" i="5"/>
  <c r="M291" i="5"/>
  <c r="AA315" i="5"/>
  <c r="AA407" i="5"/>
  <c r="X410" i="5"/>
  <c r="M418" i="5"/>
  <c r="AB450" i="5"/>
  <c r="AB643" i="5"/>
  <c r="AC722" i="5"/>
  <c r="M821" i="5"/>
  <c r="X897" i="5"/>
  <c r="Q901" i="5"/>
  <c r="AB947" i="5"/>
  <c r="M970" i="5"/>
  <c r="Q973" i="5"/>
  <c r="Y973" i="5" s="1"/>
  <c r="Z973" i="5" s="1"/>
  <c r="AC497" i="5"/>
  <c r="M548" i="5"/>
  <c r="Q672" i="5"/>
  <c r="AB157" i="5"/>
  <c r="Q228" i="5"/>
  <c r="M304" i="5"/>
  <c r="AC392" i="5"/>
  <c r="Q541" i="5"/>
  <c r="Q695" i="5"/>
  <c r="Q724" i="5"/>
  <c r="AA182" i="5"/>
  <c r="AA257" i="5"/>
  <c r="AB43" i="5"/>
  <c r="AB173" i="5"/>
  <c r="AA436" i="5"/>
  <c r="AA454" i="5"/>
  <c r="AA632" i="5"/>
  <c r="AA647" i="5"/>
  <c r="AA712" i="5"/>
  <c r="X15" i="5"/>
  <c r="U15" i="7" s="1"/>
  <c r="X338" i="5"/>
  <c r="M370" i="5"/>
  <c r="AC440" i="5"/>
  <c r="M472" i="5"/>
  <c r="Q554" i="5"/>
  <c r="Q585" i="5"/>
  <c r="M601" i="5"/>
  <c r="AC796" i="5"/>
  <c r="AC844" i="5"/>
  <c r="AC927" i="5"/>
  <c r="M571" i="5"/>
  <c r="X622" i="5"/>
  <c r="AC759" i="5"/>
  <c r="AB938" i="5"/>
  <c r="AC223" i="5"/>
  <c r="AC230" i="5"/>
  <c r="Q234" i="5"/>
  <c r="M245" i="5"/>
  <c r="Y245" i="5" s="1"/>
  <c r="Z245" i="5" s="1"/>
  <c r="AB191" i="5"/>
  <c r="X356" i="5"/>
  <c r="AA742" i="5"/>
  <c r="AB889" i="5"/>
  <c r="Q971" i="5"/>
  <c r="X295" i="5"/>
  <c r="Q320" i="5"/>
  <c r="M146" i="5"/>
  <c r="AC187" i="5"/>
  <c r="Q278" i="5"/>
  <c r="Q395" i="5"/>
  <c r="AC64" i="5"/>
  <c r="AA505" i="5"/>
  <c r="Q721" i="5"/>
  <c r="M953" i="5"/>
  <c r="H9" i="1"/>
  <c r="M35" i="5"/>
  <c r="L35" i="7" s="1"/>
  <c r="AB38" i="5"/>
  <c r="Y38" i="7" s="1"/>
  <c r="AA58" i="5"/>
  <c r="AC178" i="5"/>
  <c r="AA195" i="5"/>
  <c r="AB253" i="5"/>
  <c r="M311" i="5"/>
  <c r="AC314" i="5"/>
  <c r="AB349" i="5"/>
  <c r="AC360" i="5"/>
  <c r="AA374" i="5"/>
  <c r="AB423" i="5"/>
  <c r="AA484" i="5"/>
  <c r="Q538" i="5"/>
  <c r="X562" i="5"/>
  <c r="AA575" i="5"/>
  <c r="X609" i="5"/>
  <c r="AA616" i="5"/>
  <c r="Q620" i="5"/>
  <c r="Q627" i="5"/>
  <c r="AC775" i="5"/>
  <c r="Q779" i="5"/>
  <c r="AB819" i="5"/>
  <c r="AC942" i="5"/>
  <c r="X1011" i="5"/>
  <c r="Y1011" i="5" s="1"/>
  <c r="Q149" i="5"/>
  <c r="AC263" i="5"/>
  <c r="AC331" i="5"/>
  <c r="X458" i="5"/>
  <c r="M13" i="5"/>
  <c r="AB54" i="5"/>
  <c r="M135" i="5"/>
  <c r="M321" i="5"/>
  <c r="AB530" i="5"/>
  <c r="AB90" i="5"/>
  <c r="AC306" i="5"/>
  <c r="M419" i="5"/>
  <c r="X465" i="5"/>
  <c r="AB184" i="5"/>
  <c r="AA285" i="5"/>
  <c r="Q381" i="5"/>
  <c r="AC487" i="5"/>
  <c r="Q687" i="5"/>
  <c r="AB902" i="5"/>
  <c r="AC938" i="5"/>
  <c r="AC519" i="5"/>
  <c r="AA509" i="5"/>
  <c r="AB565" i="5"/>
  <c r="AB757" i="5"/>
  <c r="Q73" i="5"/>
  <c r="AC125" i="5"/>
  <c r="X132" i="5"/>
  <c r="AC182" i="5"/>
  <c r="M308" i="5"/>
  <c r="X399" i="5"/>
  <c r="X435" i="5"/>
  <c r="AB456" i="5"/>
  <c r="AA466" i="5"/>
  <c r="X495" i="5"/>
  <c r="X569" i="5"/>
  <c r="AB613" i="5"/>
  <c r="AA620" i="5"/>
  <c r="Q685" i="5"/>
  <c r="AC743" i="5"/>
  <c r="AB772" i="5"/>
  <c r="Q798" i="5"/>
  <c r="AC890" i="5"/>
  <c r="M894" i="5"/>
  <c r="Q933" i="5"/>
  <c r="M947" i="5"/>
  <c r="X975" i="5"/>
  <c r="X134" i="5"/>
  <c r="Q494" i="5"/>
  <c r="AA61" i="5"/>
  <c r="M168" i="5"/>
  <c r="AB87" i="5"/>
  <c r="AA981" i="5"/>
  <c r="Q9" i="5"/>
  <c r="O9" i="7" s="1"/>
  <c r="AB363" i="5"/>
  <c r="Q161" i="5"/>
  <c r="Y161" i="5" s="1"/>
  <c r="Z161" i="5" s="1"/>
  <c r="M336" i="5"/>
  <c r="X395" i="5"/>
  <c r="Q409" i="5"/>
  <c r="AA516" i="5"/>
  <c r="AB551" i="5"/>
  <c r="AA804" i="5"/>
  <c r="X819" i="5"/>
  <c r="AA830" i="5"/>
  <c r="X896" i="5"/>
  <c r="AC38" i="5"/>
  <c r="Z38" i="7" s="1"/>
  <c r="H11" i="1"/>
  <c r="AB129" i="5"/>
  <c r="Q200" i="5"/>
  <c r="M211" i="5"/>
  <c r="M269" i="5"/>
  <c r="AA347" i="5"/>
  <c r="AC379" i="5"/>
  <c r="X407" i="5"/>
  <c r="X424" i="5"/>
  <c r="Q478" i="5"/>
  <c r="Q489" i="5"/>
  <c r="AA528" i="5"/>
  <c r="Q542" i="5"/>
  <c r="AA563" i="5"/>
  <c r="Q603" i="5"/>
  <c r="AA610" i="5"/>
  <c r="X639" i="5"/>
  <c r="AA704" i="5"/>
  <c r="X765" i="5"/>
  <c r="Q904" i="5"/>
  <c r="AB926" i="5"/>
  <c r="X1026" i="5"/>
  <c r="Y1026" i="5" s="1"/>
  <c r="X1006" i="5"/>
  <c r="B12" i="2"/>
  <c r="Q58" i="5"/>
  <c r="Y58" i="5" s="1"/>
  <c r="Z58" i="5" s="1"/>
  <c r="Q155" i="5"/>
  <c r="AB197" i="5"/>
  <c r="AB221" i="5"/>
  <c r="AB290" i="5"/>
  <c r="X308" i="5"/>
  <c r="X311" i="5"/>
  <c r="Q338" i="5"/>
  <c r="Q369" i="5"/>
  <c r="AC385" i="5"/>
  <c r="X388" i="5"/>
  <c r="AA397" i="5"/>
  <c r="X412" i="5"/>
  <c r="X415" i="5"/>
  <c r="Y415" i="5" s="1"/>
  <c r="Z415" i="5" s="1"/>
  <c r="AA456" i="5"/>
  <c r="X528" i="5"/>
  <c r="M538" i="5"/>
  <c r="AC540" i="5"/>
  <c r="Q560" i="5"/>
  <c r="M603" i="5"/>
  <c r="AB629" i="5"/>
  <c r="M661" i="5"/>
  <c r="X674" i="5"/>
  <c r="AB684" i="5"/>
  <c r="M725" i="5"/>
  <c r="AB734" i="5"/>
  <c r="M748" i="5"/>
  <c r="Y748" i="5" s="1"/>
  <c r="Z748" i="5" s="1"/>
  <c r="M789" i="5"/>
  <c r="M795" i="5"/>
  <c r="AC800" i="5"/>
  <c r="Q830" i="5"/>
  <c r="Q899" i="5"/>
  <c r="X908" i="5"/>
  <c r="X928" i="5"/>
  <c r="X962" i="5"/>
  <c r="M975" i="5"/>
  <c r="M995" i="5"/>
  <c r="AC29" i="5"/>
  <c r="Z29" i="7" s="1"/>
  <c r="AC32" i="5"/>
  <c r="Z32" i="7" s="1"/>
  <c r="AB125" i="5"/>
  <c r="AC221" i="5"/>
  <c r="AB251" i="5"/>
  <c r="AC290" i="5"/>
  <c r="AB293" i="5"/>
  <c r="AB353" i="5"/>
  <c r="Y519" i="5"/>
  <c r="Z519" i="5" s="1"/>
  <c r="AB715" i="5"/>
  <c r="AA757" i="5"/>
  <c r="AA813" i="5"/>
  <c r="AA837" i="5"/>
  <c r="AA857" i="5"/>
  <c r="AA52" i="5"/>
  <c r="AA85" i="5"/>
  <c r="AA360" i="5"/>
  <c r="AA363" i="5"/>
  <c r="AC397" i="5"/>
  <c r="AB557" i="5"/>
  <c r="AA566" i="5"/>
  <c r="M675" i="5"/>
  <c r="AC751" i="5"/>
  <c r="AC760" i="5"/>
  <c r="Q865" i="5"/>
  <c r="AA875" i="5"/>
  <c r="Q885" i="5"/>
  <c r="AA899" i="5"/>
  <c r="X988" i="5"/>
  <c r="AB519" i="5"/>
  <c r="AA668" i="5"/>
  <c r="AA26" i="5"/>
  <c r="X26" i="7" s="1"/>
  <c r="M358" i="5"/>
  <c r="X376" i="5"/>
  <c r="X444" i="5"/>
  <c r="AC463" i="5"/>
  <c r="X466" i="5"/>
  <c r="Q486" i="5"/>
  <c r="M499" i="5"/>
  <c r="AC579" i="5"/>
  <c r="X586" i="5"/>
  <c r="Q617" i="5"/>
  <c r="X627" i="5"/>
  <c r="Q641" i="5"/>
  <c r="M659" i="5"/>
  <c r="M683" i="5"/>
  <c r="M767" i="5"/>
  <c r="M784" i="5"/>
  <c r="M796" i="5"/>
  <c r="Y796" i="5" s="1"/>
  <c r="Z796" i="5" s="1"/>
  <c r="X811" i="5"/>
  <c r="M967" i="5"/>
  <c r="AC992" i="5"/>
  <c r="X764" i="5"/>
  <c r="AC3" i="5"/>
  <c r="Z3" i="7" s="1"/>
  <c r="AA20" i="5"/>
  <c r="X20" i="7" s="1"/>
  <c r="AB37" i="5"/>
  <c r="Y37" i="7" s="1"/>
  <c r="M53" i="5"/>
  <c r="AA62" i="5"/>
  <c r="AA72" i="5"/>
  <c r="M90" i="5"/>
  <c r="AC123" i="5"/>
  <c r="AB140" i="5"/>
  <c r="X156" i="5"/>
  <c r="X159" i="5"/>
  <c r="AA165" i="5"/>
  <c r="X168" i="5"/>
  <c r="AC186" i="5"/>
  <c r="AC245" i="5"/>
  <c r="AC259" i="5"/>
  <c r="AB268" i="5"/>
  <c r="Q286" i="5"/>
  <c r="X298" i="5"/>
  <c r="AA301" i="5"/>
  <c r="AC326" i="5"/>
  <c r="AC329" i="5"/>
  <c r="Q342" i="5"/>
  <c r="M396" i="5"/>
  <c r="Q480" i="5"/>
  <c r="X496" i="5"/>
  <c r="M507" i="5"/>
  <c r="Q536" i="5"/>
  <c r="X555" i="5"/>
  <c r="X601" i="5"/>
  <c r="AB607" i="5"/>
  <c r="X641" i="5"/>
  <c r="AC699" i="5"/>
  <c r="M730" i="5"/>
  <c r="AC752" i="5"/>
  <c r="Q767" i="5"/>
  <c r="X787" i="5"/>
  <c r="AB790" i="5"/>
  <c r="Q802" i="5"/>
  <c r="Q805" i="5"/>
  <c r="AC808" i="5"/>
  <c r="M812" i="5"/>
  <c r="AA828" i="5"/>
  <c r="M839" i="5"/>
  <c r="AA841" i="5"/>
  <c r="M856" i="5"/>
  <c r="Q883" i="5"/>
  <c r="M907" i="5"/>
  <c r="Q910" i="5"/>
  <c r="Q913" i="5"/>
  <c r="X986" i="5"/>
  <c r="X20" i="5"/>
  <c r="U20" i="7" s="1"/>
  <c r="M111" i="5"/>
  <c r="X212" i="5"/>
  <c r="Q345" i="5"/>
  <c r="AB351" i="5"/>
  <c r="AB376" i="5"/>
  <c r="Q393" i="5"/>
  <c r="AC423" i="5"/>
  <c r="X472" i="5"/>
  <c r="AB529" i="5"/>
  <c r="Q573" i="5"/>
  <c r="X607" i="5"/>
  <c r="X675" i="5"/>
  <c r="M710" i="5"/>
  <c r="Q733" i="5"/>
  <c r="X50" i="5"/>
  <c r="AB72" i="5"/>
  <c r="AA75" i="5"/>
  <c r="M114" i="5"/>
  <c r="M117" i="5"/>
  <c r="Q147" i="5"/>
  <c r="AA159" i="5"/>
  <c r="AB189" i="5"/>
  <c r="M203" i="5"/>
  <c r="AB206" i="5"/>
  <c r="M227" i="5"/>
  <c r="X265" i="5"/>
  <c r="AB301" i="5"/>
  <c r="AC304" i="5"/>
  <c r="X307" i="5"/>
  <c r="AA313" i="5"/>
  <c r="M371" i="5"/>
  <c r="X387" i="5"/>
  <c r="X411" i="5"/>
  <c r="AA448" i="5"/>
  <c r="Q458" i="5"/>
  <c r="AC470" i="5"/>
  <c r="Q490" i="5"/>
  <c r="Q514" i="5"/>
  <c r="M568" i="5"/>
  <c r="AC570" i="5"/>
  <c r="X598" i="5"/>
  <c r="Q639" i="5"/>
  <c r="AA693" i="5"/>
  <c r="X703" i="5"/>
  <c r="AC726" i="5"/>
  <c r="AB736" i="5"/>
  <c r="M762" i="5"/>
  <c r="AB770" i="5"/>
  <c r="M774" i="5"/>
  <c r="AB784" i="5"/>
  <c r="AB787" i="5"/>
  <c r="X793" i="5"/>
  <c r="X866" i="5"/>
  <c r="Y889" i="5"/>
  <c r="Z889" i="5" s="1"/>
  <c r="AB895" i="5"/>
  <c r="Q934" i="5"/>
  <c r="M944" i="5"/>
  <c r="Q964" i="5"/>
  <c r="X967" i="5"/>
  <c r="AC973" i="5"/>
  <c r="AB986" i="5"/>
  <c r="M990" i="5"/>
  <c r="Q68" i="5"/>
  <c r="AB176" i="5"/>
  <c r="X255" i="5"/>
  <c r="AA3" i="5"/>
  <c r="X3" i="7" s="1"/>
  <c r="M147" i="5"/>
  <c r="AC271" i="5"/>
  <c r="AB348" i="5"/>
  <c r="AC426" i="5"/>
  <c r="Q470" i="5"/>
  <c r="AC72" i="5"/>
  <c r="AC144" i="5"/>
  <c r="Q172" i="5"/>
  <c r="AB236" i="5"/>
  <c r="AA263" i="5"/>
  <c r="AB265" i="5"/>
  <c r="AA323" i="5"/>
  <c r="AB402" i="5"/>
  <c r="AB411" i="5"/>
  <c r="AB520" i="5"/>
  <c r="AB527" i="5"/>
  <c r="AA533" i="5"/>
  <c r="M663" i="5"/>
  <c r="AC673" i="5"/>
  <c r="AB683" i="5"/>
  <c r="Q697" i="5"/>
  <c r="M765" i="5"/>
  <c r="AB796" i="5"/>
  <c r="AA802" i="5"/>
  <c r="AA866" i="5"/>
  <c r="AB880" i="5"/>
  <c r="AA889" i="5"/>
  <c r="AA910" i="5"/>
  <c r="M958" i="5"/>
  <c r="AC228" i="5"/>
  <c r="X315" i="5"/>
  <c r="Q17" i="5"/>
  <c r="O17" i="7" s="1"/>
  <c r="X62" i="5"/>
  <c r="Y62" i="5" s="1"/>
  <c r="Z62" i="5" s="1"/>
  <c r="M216" i="5"/>
  <c r="AB245" i="5"/>
  <c r="AB866" i="5"/>
  <c r="AC8" i="5"/>
  <c r="Z8" i="7" s="1"/>
  <c r="AB111" i="5"/>
  <c r="X141" i="5"/>
  <c r="Q160" i="5"/>
  <c r="X163" i="5"/>
  <c r="X172" i="5"/>
  <c r="M237" i="5"/>
  <c r="AC240" i="5"/>
  <c r="M293" i="5"/>
  <c r="X299" i="5"/>
  <c r="M353" i="5"/>
  <c r="AB362" i="5"/>
  <c r="M369" i="5"/>
  <c r="AA409" i="5"/>
  <c r="M453" i="5"/>
  <c r="AC484" i="5"/>
  <c r="M521" i="5"/>
  <c r="M534" i="5"/>
  <c r="Q588" i="5"/>
  <c r="M592" i="5"/>
  <c r="Y592" i="5" s="1"/>
  <c r="Z592" i="5" s="1"/>
  <c r="AC602" i="5"/>
  <c r="AA605" i="5"/>
  <c r="AA697" i="5"/>
  <c r="X734" i="5"/>
  <c r="AA819" i="5"/>
  <c r="AB842" i="5"/>
  <c r="AC904" i="5"/>
  <c r="AB917" i="5"/>
  <c r="M977" i="5"/>
  <c r="AB997" i="5"/>
  <c r="M89" i="5"/>
  <c r="AA89" i="5"/>
  <c r="AA191" i="5"/>
  <c r="M191" i="5"/>
  <c r="M210" i="5"/>
  <c r="AA210" i="5"/>
  <c r="M341" i="5"/>
  <c r="AA341" i="5"/>
  <c r="Q350" i="5"/>
  <c r="AB350" i="5"/>
  <c r="AB609" i="5"/>
  <c r="Q609" i="5"/>
  <c r="Q676" i="5"/>
  <c r="AB676" i="5"/>
  <c r="Q708" i="5"/>
  <c r="AB708" i="5"/>
  <c r="M815" i="5"/>
  <c r="Y815" i="5" s="1"/>
  <c r="Z815" i="5" s="1"/>
  <c r="AA815" i="5"/>
  <c r="AA859" i="5"/>
  <c r="M859" i="5"/>
  <c r="X6" i="5"/>
  <c r="U6" i="7" s="1"/>
  <c r="AC6" i="5"/>
  <c r="Z6" i="7" s="1"/>
  <c r="AB92" i="5"/>
  <c r="Q92" i="5"/>
  <c r="Q210" i="5"/>
  <c r="AB210" i="5"/>
  <c r="M242" i="5"/>
  <c r="AA242" i="5"/>
  <c r="Q460" i="5"/>
  <c r="AB460" i="5"/>
  <c r="AC603" i="5"/>
  <c r="X603" i="5"/>
  <c r="X676" i="5"/>
  <c r="AC676" i="5"/>
  <c r="AC708" i="5"/>
  <c r="X708" i="5"/>
  <c r="M744" i="5"/>
  <c r="AA744" i="5"/>
  <c r="Q853" i="5"/>
  <c r="AB853" i="5"/>
  <c r="AA928" i="5"/>
  <c r="M928" i="5"/>
  <c r="AC976" i="5"/>
  <c r="X976" i="5"/>
  <c r="M142" i="5"/>
  <c r="AA142" i="5"/>
  <c r="M151" i="5"/>
  <c r="AA151" i="5"/>
  <c r="Q154" i="5"/>
  <c r="AB154" i="5"/>
  <c r="M157" i="5"/>
  <c r="AA157" i="5"/>
  <c r="AC207" i="5"/>
  <c r="X207" i="5"/>
  <c r="Q242" i="5"/>
  <c r="AB242" i="5"/>
  <c r="M297" i="5"/>
  <c r="Q303" i="5"/>
  <c r="AB303" i="5"/>
  <c r="Q336" i="5"/>
  <c r="AB336" i="5"/>
  <c r="X363" i="5"/>
  <c r="Y363" i="5" s="1"/>
  <c r="Z363" i="5" s="1"/>
  <c r="M385" i="5"/>
  <c r="AA385" i="5"/>
  <c r="Q436" i="5"/>
  <c r="AB436" i="5"/>
  <c r="Q445" i="5"/>
  <c r="M455" i="5"/>
  <c r="AA455" i="5"/>
  <c r="AB488" i="5"/>
  <c r="Q488" i="5"/>
  <c r="M517" i="5"/>
  <c r="AA517" i="5"/>
  <c r="Q555" i="5"/>
  <c r="AB555" i="5"/>
  <c r="Q601" i="5"/>
  <c r="M664" i="5"/>
  <c r="AB667" i="5"/>
  <c r="Q667" i="5"/>
  <c r="M689" i="5"/>
  <c r="Q747" i="5"/>
  <c r="AB747" i="5"/>
  <c r="M770" i="5"/>
  <c r="Q776" i="5"/>
  <c r="X782" i="5"/>
  <c r="M794" i="5"/>
  <c r="Y794" i="5" s="1"/>
  <c r="Z794" i="5" s="1"/>
  <c r="AA794" i="5"/>
  <c r="AA806" i="5"/>
  <c r="M806" i="5"/>
  <c r="M915" i="5"/>
  <c r="AC921" i="5"/>
  <c r="X921" i="5"/>
  <c r="Q925" i="5"/>
  <c r="AB925" i="5"/>
  <c r="AC965" i="5"/>
  <c r="M969" i="5"/>
  <c r="AA969" i="5"/>
  <c r="X971" i="5"/>
  <c r="Y971" i="5" s="1"/>
  <c r="Z971" i="5" s="1"/>
  <c r="Q47" i="5"/>
  <c r="Q67" i="5"/>
  <c r="M73" i="5"/>
  <c r="X79" i="5"/>
  <c r="M83" i="5"/>
  <c r="Q109" i="5"/>
  <c r="Q135" i="5"/>
  <c r="Q145" i="5"/>
  <c r="M201" i="5"/>
  <c r="AA201" i="5"/>
  <c r="M224" i="5"/>
  <c r="AB232" i="5"/>
  <c r="X242" i="5"/>
  <c r="AC242" i="5"/>
  <c r="Q272" i="5"/>
  <c r="AB275" i="5"/>
  <c r="X288" i="5"/>
  <c r="Y288" i="5" s="1"/>
  <c r="Z288" i="5" s="1"/>
  <c r="AC288" i="5"/>
  <c r="X336" i="5"/>
  <c r="AC336" i="5"/>
  <c r="AB375" i="5"/>
  <c r="Q433" i="5"/>
  <c r="Q439" i="5"/>
  <c r="AA452" i="5"/>
  <c r="M452" i="5"/>
  <c r="M482" i="5"/>
  <c r="AA482" i="5"/>
  <c r="Q510" i="5"/>
  <c r="X572" i="5"/>
  <c r="AC572" i="5"/>
  <c r="M696" i="5"/>
  <c r="AA696" i="5"/>
  <c r="M732" i="5"/>
  <c r="AA732" i="5"/>
  <c r="Q744" i="5"/>
  <c r="X779" i="5"/>
  <c r="M783" i="5"/>
  <c r="AA783" i="5"/>
  <c r="X788" i="5"/>
  <c r="AA800" i="5"/>
  <c r="M800" i="5"/>
  <c r="Q828" i="5"/>
  <c r="M831" i="5"/>
  <c r="Q878" i="5"/>
  <c r="M881" i="5"/>
  <c r="AC892" i="5"/>
  <c r="AC895" i="5"/>
  <c r="M898" i="5"/>
  <c r="M906" i="5"/>
  <c r="M909" i="5"/>
  <c r="Q915" i="5"/>
  <c r="Y915" i="5" s="1"/>
  <c r="Z915" i="5" s="1"/>
  <c r="AB915" i="5"/>
  <c r="M922" i="5"/>
  <c r="AA922" i="5"/>
  <c r="AC995" i="5"/>
  <c r="M999" i="5"/>
  <c r="AB26" i="5"/>
  <c r="Y26" i="7" s="1"/>
  <c r="AC44" i="5"/>
  <c r="AB64" i="5"/>
  <c r="AB79" i="5"/>
  <c r="M172" i="5"/>
  <c r="AA172" i="5"/>
  <c r="AA181" i="5"/>
  <c r="M181" i="5"/>
  <c r="Q201" i="5"/>
  <c r="AB201" i="5"/>
  <c r="X227" i="5"/>
  <c r="AB229" i="5"/>
  <c r="X272" i="5"/>
  <c r="AC272" i="5"/>
  <c r="AC278" i="5"/>
  <c r="Q294" i="5"/>
  <c r="X297" i="5"/>
  <c r="AC297" i="5"/>
  <c r="M330" i="5"/>
  <c r="X436" i="5"/>
  <c r="M479" i="5"/>
  <c r="Q482" i="5"/>
  <c r="AB482" i="5"/>
  <c r="Q517" i="5"/>
  <c r="Q564" i="5"/>
  <c r="X664" i="5"/>
  <c r="AC664" i="5"/>
  <c r="Q732" i="5"/>
  <c r="AB732" i="5"/>
  <c r="AA786" i="5"/>
  <c r="M786" i="5"/>
  <c r="X900" i="5"/>
  <c r="Q906" i="5"/>
  <c r="AB906" i="5"/>
  <c r="M963" i="5"/>
  <c r="AA963" i="5"/>
  <c r="Q969" i="5"/>
  <c r="X984" i="5"/>
  <c r="Q993" i="5"/>
  <c r="M71" i="5"/>
  <c r="AA71" i="5"/>
  <c r="M77" i="5"/>
  <c r="AA77" i="5"/>
  <c r="M121" i="5"/>
  <c r="M124" i="5"/>
  <c r="Y124" i="5" s="1"/>
  <c r="Z124" i="5" s="1"/>
  <c r="Q133" i="5"/>
  <c r="X142" i="5"/>
  <c r="X201" i="5"/>
  <c r="AC201" i="5"/>
  <c r="M230" i="5"/>
  <c r="AA230" i="5"/>
  <c r="AB330" i="5"/>
  <c r="Q330" i="5"/>
  <c r="AB373" i="5"/>
  <c r="Q373" i="5"/>
  <c r="X505" i="5"/>
  <c r="Y505" i="5" s="1"/>
  <c r="Z505" i="5" s="1"/>
  <c r="AC505" i="5"/>
  <c r="AC507" i="5"/>
  <c r="M562" i="5"/>
  <c r="M599" i="5"/>
  <c r="X629" i="5"/>
  <c r="M637" i="5"/>
  <c r="AA637" i="5"/>
  <c r="Q648" i="5"/>
  <c r="Y648" i="5" s="1"/>
  <c r="Z648" i="5" s="1"/>
  <c r="M652" i="5"/>
  <c r="AA656" i="5"/>
  <c r="M656" i="5"/>
  <c r="X677" i="5"/>
  <c r="M681" i="5"/>
  <c r="Q693" i="5"/>
  <c r="Q696" i="5"/>
  <c r="M716" i="5"/>
  <c r="X840" i="5"/>
  <c r="AC840" i="5"/>
  <c r="X876" i="5"/>
  <c r="Y876" i="5" s="1"/>
  <c r="Z876" i="5" s="1"/>
  <c r="X903" i="5"/>
  <c r="AC944" i="5"/>
  <c r="Q963" i="5"/>
  <c r="AB963" i="5"/>
  <c r="Q136" i="5"/>
  <c r="AB136" i="5"/>
  <c r="AB227" i="5"/>
  <c r="M328" i="5"/>
  <c r="AA328" i="5"/>
  <c r="X367" i="5"/>
  <c r="AC367" i="5"/>
  <c r="AB407" i="5"/>
  <c r="Q407" i="5"/>
  <c r="Y407" i="5" s="1"/>
  <c r="Z407" i="5" s="1"/>
  <c r="Q553" i="5"/>
  <c r="AB553" i="5"/>
  <c r="AB562" i="5"/>
  <c r="Q562" i="5"/>
  <c r="AB599" i="5"/>
  <c r="Q599" i="5"/>
  <c r="X648" i="5"/>
  <c r="AC648" i="5"/>
  <c r="Q729" i="5"/>
  <c r="AB729" i="5"/>
  <c r="Q777" i="5"/>
  <c r="X783" i="5"/>
  <c r="M822" i="5"/>
  <c r="X825" i="5"/>
  <c r="M829" i="5"/>
  <c r="AA829" i="5"/>
  <c r="X831" i="5"/>
  <c r="M835" i="5"/>
  <c r="M870" i="5"/>
  <c r="M882" i="5"/>
  <c r="AA882" i="5"/>
  <c r="M957" i="5"/>
  <c r="M985" i="5"/>
  <c r="AA985" i="5"/>
  <c r="X987" i="5"/>
  <c r="X990" i="5"/>
  <c r="X993" i="5"/>
  <c r="AA42" i="5"/>
  <c r="X42" i="7" s="1"/>
  <c r="Q53" i="5"/>
  <c r="M68" i="5"/>
  <c r="Q104" i="5"/>
  <c r="X107" i="5"/>
  <c r="AA130" i="5"/>
  <c r="AA133" i="5"/>
  <c r="Q169" i="5"/>
  <c r="M187" i="5"/>
  <c r="Y187" i="5" s="1"/>
  <c r="Z187" i="5" s="1"/>
  <c r="AC195" i="5"/>
  <c r="M199" i="5"/>
  <c r="AA199" i="5"/>
  <c r="M252" i="5"/>
  <c r="Q258" i="5"/>
  <c r="AC261" i="5"/>
  <c r="AC276" i="5"/>
  <c r="AC289" i="5"/>
  <c r="X289" i="5"/>
  <c r="AB318" i="5"/>
  <c r="AA324" i="5"/>
  <c r="Q328" i="5"/>
  <c r="AB328" i="5"/>
  <c r="M362" i="5"/>
  <c r="Y362" i="5" s="1"/>
  <c r="Z362" i="5" s="1"/>
  <c r="AA362" i="5"/>
  <c r="X400" i="5"/>
  <c r="AC400" i="5"/>
  <c r="AA404" i="5"/>
  <c r="M404" i="5"/>
  <c r="AA421" i="5"/>
  <c r="M431" i="5"/>
  <c r="Q434" i="5"/>
  <c r="AB434" i="5"/>
  <c r="AC461" i="5"/>
  <c r="X464" i="5"/>
  <c r="X476" i="5"/>
  <c r="AC476" i="5"/>
  <c r="M496" i="5"/>
  <c r="X532" i="5"/>
  <c r="X543" i="5"/>
  <c r="AB546" i="5"/>
  <c r="Q589" i="5"/>
  <c r="AB592" i="5"/>
  <c r="Q605" i="5"/>
  <c r="AC620" i="5"/>
  <c r="Q637" i="5"/>
  <c r="Q642" i="5"/>
  <c r="X652" i="5"/>
  <c r="AC652" i="5"/>
  <c r="AC762" i="5"/>
  <c r="X774" i="5"/>
  <c r="AC774" i="5"/>
  <c r="AA811" i="5"/>
  <c r="M811" i="5"/>
  <c r="AA876" i="5"/>
  <c r="Q929" i="5"/>
  <c r="X951" i="5"/>
  <c r="AB953" i="5"/>
  <c r="AB7" i="5"/>
  <c r="Y7" i="7" s="1"/>
  <c r="AB2" i="5"/>
  <c r="Y2" i="7" s="1"/>
  <c r="AA36" i="5"/>
  <c r="X36" i="7" s="1"/>
  <c r="Q51" i="5"/>
  <c r="AB51" i="5"/>
  <c r="AA118" i="5"/>
  <c r="M131" i="5"/>
  <c r="AA131" i="5"/>
  <c r="Q199" i="5"/>
  <c r="AB199" i="5"/>
  <c r="AC225" i="5"/>
  <c r="X225" i="5"/>
  <c r="M262" i="5"/>
  <c r="AA262" i="5"/>
  <c r="M325" i="5"/>
  <c r="AA325" i="5"/>
  <c r="X328" i="5"/>
  <c r="AC328" i="5"/>
  <c r="AB400" i="5"/>
  <c r="AB421" i="5"/>
  <c r="AB427" i="5"/>
  <c r="AB505" i="5"/>
  <c r="AB543" i="5"/>
  <c r="AA553" i="5"/>
  <c r="AC592" i="5"/>
  <c r="AC596" i="5"/>
  <c r="X596" i="5"/>
  <c r="AA746" i="5"/>
  <c r="M746" i="5"/>
  <c r="Q768" i="5"/>
  <c r="AB768" i="5"/>
  <c r="AC807" i="5"/>
  <c r="X807" i="5"/>
  <c r="AB876" i="5"/>
  <c r="Q879" i="5"/>
  <c r="AB879" i="5"/>
  <c r="AA951" i="5"/>
  <c r="Q985" i="5"/>
  <c r="Y985" i="5" s="1"/>
  <c r="Z985" i="5" s="1"/>
  <c r="AC7" i="5"/>
  <c r="Z7" i="7" s="1"/>
  <c r="X13" i="5"/>
  <c r="U13" i="7" s="1"/>
  <c r="AB21" i="5"/>
  <c r="Y21" i="7" s="1"/>
  <c r="AC2" i="5"/>
  <c r="Z2" i="7" s="1"/>
  <c r="X27" i="5"/>
  <c r="U27" i="7" s="1"/>
  <c r="AB36" i="5"/>
  <c r="Y36" i="7" s="1"/>
  <c r="X39" i="5"/>
  <c r="U39" i="7" s="1"/>
  <c r="AC39" i="5"/>
  <c r="Z39" i="7" s="1"/>
  <c r="AC94" i="5"/>
  <c r="Y98" i="5"/>
  <c r="Z98" i="5" s="1"/>
  <c r="AA104" i="5"/>
  <c r="AC110" i="5"/>
  <c r="AB115" i="5"/>
  <c r="AB128" i="5"/>
  <c r="Q128" i="5"/>
  <c r="Q167" i="5"/>
  <c r="AB167" i="5"/>
  <c r="M170" i="5"/>
  <c r="AA170" i="5"/>
  <c r="AC199" i="5"/>
  <c r="X199" i="5"/>
  <c r="AC222" i="5"/>
  <c r="X222" i="5"/>
  <c r="Q246" i="5"/>
  <c r="AC249" i="5"/>
  <c r="AA255" i="5"/>
  <c r="AB262" i="5"/>
  <c r="Q262" i="5"/>
  <c r="M271" i="5"/>
  <c r="Y271" i="5" s="1"/>
  <c r="Z271" i="5" s="1"/>
  <c r="AA271" i="5"/>
  <c r="AB304" i="5"/>
  <c r="M319" i="5"/>
  <c r="M322" i="5"/>
  <c r="Q325" i="5"/>
  <c r="AB325" i="5"/>
  <c r="AB359" i="5"/>
  <c r="Q359" i="5"/>
  <c r="X362" i="5"/>
  <c r="AC362" i="5"/>
  <c r="X383" i="5"/>
  <c r="AB415" i="5"/>
  <c r="M462" i="5"/>
  <c r="AB473" i="5"/>
  <c r="Q473" i="5"/>
  <c r="M503" i="5"/>
  <c r="AA530" i="5"/>
  <c r="X541" i="5"/>
  <c r="AC541" i="5"/>
  <c r="Q547" i="5"/>
  <c r="AB547" i="5"/>
  <c r="Q584" i="5"/>
  <c r="Y584" i="5" s="1"/>
  <c r="Z584" i="5" s="1"/>
  <c r="M587" i="5"/>
  <c r="M590" i="5"/>
  <c r="AA590" i="5"/>
  <c r="X605" i="5"/>
  <c r="X624" i="5"/>
  <c r="M666" i="5"/>
  <c r="AC678" i="5"/>
  <c r="AC687" i="5"/>
  <c r="X687" i="5"/>
  <c r="X736" i="5"/>
  <c r="AC736" i="5"/>
  <c r="AC768" i="5"/>
  <c r="X768" i="5"/>
  <c r="AA855" i="5"/>
  <c r="M858" i="5"/>
  <c r="X870" i="5"/>
  <c r="AC923" i="5"/>
  <c r="Y927" i="5"/>
  <c r="Z927" i="5" s="1"/>
  <c r="AA930" i="5"/>
  <c r="M930" i="5"/>
  <c r="AB936" i="5"/>
  <c r="AC948" i="5"/>
  <c r="Q954" i="5"/>
  <c r="AB954" i="5"/>
  <c r="AC985" i="5"/>
  <c r="X985" i="5"/>
  <c r="AC5" i="5"/>
  <c r="Z5" i="7" s="1"/>
  <c r="AB16" i="5"/>
  <c r="Y16" i="7" s="1"/>
  <c r="Q25" i="5"/>
  <c r="O25" i="7" s="1"/>
  <c r="AB27" i="5"/>
  <c r="Y27" i="7" s="1"/>
  <c r="AA105" i="5"/>
  <c r="M105" i="5"/>
  <c r="AA161" i="5"/>
  <c r="Q259" i="5"/>
  <c r="AB259" i="5"/>
  <c r="Q465" i="5"/>
  <c r="M468" i="5"/>
  <c r="AA468" i="5"/>
  <c r="M494" i="5"/>
  <c r="AA494" i="5"/>
  <c r="AC547" i="5"/>
  <c r="X547" i="5"/>
  <c r="X574" i="5"/>
  <c r="AC574" i="5"/>
  <c r="AB611" i="5"/>
  <c r="X618" i="5"/>
  <c r="AC618" i="5"/>
  <c r="Q669" i="5"/>
  <c r="AB669" i="5"/>
  <c r="AB707" i="5"/>
  <c r="AC748" i="5"/>
  <c r="Q755" i="5"/>
  <c r="AC757" i="5"/>
  <c r="AC855" i="5"/>
  <c r="AA861" i="5"/>
  <c r="AB867" i="5"/>
  <c r="M924" i="5"/>
  <c r="AA924" i="5"/>
  <c r="M949" i="5"/>
  <c r="AA949" i="5"/>
  <c r="M971" i="5"/>
  <c r="AA971" i="5"/>
  <c r="Q979" i="5"/>
  <c r="AB979" i="5"/>
  <c r="Q3" i="5"/>
  <c r="O3" i="7" s="1"/>
  <c r="AB3" i="5"/>
  <c r="Y3" i="7" s="1"/>
  <c r="M14" i="5"/>
  <c r="L14" i="7" s="1"/>
  <c r="AA14" i="5"/>
  <c r="X14" i="7" s="1"/>
  <c r="AB22" i="5"/>
  <c r="Y22" i="7" s="1"/>
  <c r="Q22" i="5"/>
  <c r="O22" i="7" s="1"/>
  <c r="AC78" i="5"/>
  <c r="M95" i="5"/>
  <c r="AA99" i="5"/>
  <c r="M99" i="5"/>
  <c r="Q153" i="5"/>
  <c r="X164" i="5"/>
  <c r="AC164" i="5"/>
  <c r="AB187" i="5"/>
  <c r="AB193" i="5"/>
  <c r="AA197" i="5"/>
  <c r="M197" i="5"/>
  <c r="Y197" i="5" s="1"/>
  <c r="Z197" i="5" s="1"/>
  <c r="AC206" i="5"/>
  <c r="AC209" i="5"/>
  <c r="AB216" i="5"/>
  <c r="Q216" i="5"/>
  <c r="X234" i="5"/>
  <c r="AB244" i="5"/>
  <c r="AA246" i="5"/>
  <c r="AB313" i="5"/>
  <c r="X335" i="5"/>
  <c r="AA340" i="5"/>
  <c r="Q347" i="5"/>
  <c r="M384" i="5"/>
  <c r="AB398" i="5"/>
  <c r="Q419" i="5"/>
  <c r="AB419" i="5"/>
  <c r="AC450" i="5"/>
  <c r="AB468" i="5"/>
  <c r="Q468" i="5"/>
  <c r="AC530" i="5"/>
  <c r="X533" i="5"/>
  <c r="AC533" i="5"/>
  <c r="X539" i="5"/>
  <c r="X581" i="5"/>
  <c r="AC581" i="5"/>
  <c r="AA584" i="5"/>
  <c r="Q587" i="5"/>
  <c r="X615" i="5"/>
  <c r="AC615" i="5"/>
  <c r="X657" i="5"/>
  <c r="AC660" i="5"/>
  <c r="Q663" i="5"/>
  <c r="Q666" i="5"/>
  <c r="M676" i="5"/>
  <c r="AA676" i="5"/>
  <c r="AB746" i="5"/>
  <c r="AA761" i="5"/>
  <c r="M761" i="5"/>
  <c r="Q793" i="5"/>
  <c r="Q845" i="5"/>
  <c r="M940" i="5"/>
  <c r="M976" i="5"/>
  <c r="AA976" i="5"/>
  <c r="AA233" i="5"/>
  <c r="M233" i="5"/>
  <c r="M334" i="5"/>
  <c r="AA334" i="5"/>
  <c r="Y385" i="5"/>
  <c r="Z385" i="5" s="1"/>
  <c r="AB634" i="5"/>
  <c r="Q634" i="5"/>
  <c r="AA228" i="5"/>
  <c r="M228" i="5"/>
  <c r="AC247" i="5"/>
  <c r="AA342" i="5"/>
  <c r="M342" i="5"/>
  <c r="X364" i="5"/>
  <c r="M376" i="5"/>
  <c r="Q394" i="5"/>
  <c r="M425" i="5"/>
  <c r="Q449" i="5"/>
  <c r="AB449" i="5"/>
  <c r="AB452" i="5"/>
  <c r="Q452" i="5"/>
  <c r="AC485" i="5"/>
  <c r="X491" i="5"/>
  <c r="X508" i="5"/>
  <c r="M515" i="5"/>
  <c r="AC556" i="5"/>
  <c r="M570" i="5"/>
  <c r="Q579" i="5"/>
  <c r="Y579" i="5" s="1"/>
  <c r="Z579" i="5" s="1"/>
  <c r="Q625" i="5"/>
  <c r="AB625" i="5"/>
  <c r="AA628" i="5"/>
  <c r="M628" i="5"/>
  <c r="AC646" i="5"/>
  <c r="X682" i="5"/>
  <c r="AC690" i="5"/>
  <c r="Q699" i="5"/>
  <c r="M721" i="5"/>
  <c r="Y721" i="5" s="1"/>
  <c r="Z721" i="5" s="1"/>
  <c r="X723" i="5"/>
  <c r="M750" i="5"/>
  <c r="X758" i="5"/>
  <c r="AC820" i="5"/>
  <c r="X835" i="5"/>
  <c r="Y835" i="5" s="1"/>
  <c r="Z835" i="5" s="1"/>
  <c r="AC835" i="5"/>
  <c r="Q847" i="5"/>
  <c r="Q850" i="5"/>
  <c r="M868" i="5"/>
  <c r="AC940" i="5"/>
  <c r="X943" i="5"/>
  <c r="X969" i="5"/>
  <c r="AC303" i="5"/>
  <c r="Q425" i="5"/>
  <c r="AB425" i="5"/>
  <c r="AB446" i="5"/>
  <c r="AC460" i="5"/>
  <c r="AB523" i="5"/>
  <c r="AC590" i="5"/>
  <c r="AC815" i="5"/>
  <c r="AB818" i="5"/>
  <c r="AB835" i="5"/>
  <c r="AC879" i="5"/>
  <c r="AB961" i="5"/>
  <c r="AB983" i="5"/>
  <c r="Y52" i="5"/>
  <c r="Z52" i="5" s="1"/>
  <c r="Y72" i="5"/>
  <c r="Z72" i="5" s="1"/>
  <c r="Y90" i="5"/>
  <c r="Z90" i="5" s="1"/>
  <c r="AA178" i="5"/>
  <c r="AB186" i="5"/>
  <c r="AB230" i="5"/>
  <c r="AA251" i="5"/>
  <c r="AB271" i="5"/>
  <c r="AA292" i="5"/>
  <c r="X301" i="5"/>
  <c r="Y301" i="5" s="1"/>
  <c r="Z301" i="5" s="1"/>
  <c r="AC301" i="5"/>
  <c r="Q326" i="5"/>
  <c r="Y326" i="5" s="1"/>
  <c r="Z326" i="5" s="1"/>
  <c r="AB326" i="5"/>
  <c r="AA329" i="5"/>
  <c r="M329" i="5"/>
  <c r="Y329" i="5" s="1"/>
  <c r="Z329" i="5" s="1"/>
  <c r="AA348" i="5"/>
  <c r="AB385" i="5"/>
  <c r="AA524" i="5"/>
  <c r="M524" i="5"/>
  <c r="Y540" i="5"/>
  <c r="Z540" i="5" s="1"/>
  <c r="M577" i="5"/>
  <c r="AA577" i="5"/>
  <c r="M594" i="5"/>
  <c r="AA594" i="5"/>
  <c r="Y819" i="5"/>
  <c r="Z819" i="5" s="1"/>
  <c r="AA827" i="5"/>
  <c r="X832" i="5"/>
  <c r="AC832" i="5"/>
  <c r="M478" i="5"/>
  <c r="AA478" i="5"/>
  <c r="X509" i="5"/>
  <c r="AC509" i="5"/>
  <c r="AA540" i="5"/>
  <c r="Y620" i="5"/>
  <c r="Z620" i="5" s="1"/>
  <c r="AA718" i="5"/>
  <c r="AC1016" i="5"/>
  <c r="AC1017" i="5"/>
  <c r="X1018" i="5"/>
  <c r="Y1018" i="5" s="1"/>
  <c r="X1009" i="5"/>
  <c r="Y1009" i="5" s="1"/>
  <c r="X1022" i="5"/>
  <c r="Y1022" i="5" s="1"/>
  <c r="AC1019" i="5"/>
  <c r="X1010" i="5"/>
  <c r="X1023" i="5"/>
  <c r="Y1023" i="5" s="1"/>
  <c r="AC1008" i="5"/>
  <c r="AC1020" i="5"/>
  <c r="X1012" i="5"/>
  <c r="Y1012" i="5" s="1"/>
  <c r="X1024" i="5"/>
  <c r="Y1024" i="5" s="1"/>
  <c r="AC1021" i="5"/>
  <c r="X1007" i="5"/>
  <c r="Y1007" i="5" s="1"/>
  <c r="X1013" i="5"/>
  <c r="Y1013" i="5" s="1"/>
  <c r="X1025" i="5"/>
  <c r="Y1025" i="5" s="1"/>
  <c r="X1014" i="5"/>
  <c r="Y1014" i="5" s="1"/>
  <c r="X1001" i="5"/>
  <c r="Y1001" i="5" s="1"/>
  <c r="X1015" i="5"/>
  <c r="AA46" i="5"/>
  <c r="M46" i="5"/>
  <c r="M108" i="5"/>
  <c r="AA108" i="5"/>
  <c r="X121" i="5"/>
  <c r="AC121" i="5"/>
  <c r="AA194" i="5"/>
  <c r="M194" i="5"/>
  <c r="M243" i="5"/>
  <c r="AA243" i="5"/>
  <c r="Q267" i="5"/>
  <c r="AB267" i="5"/>
  <c r="Q281" i="5"/>
  <c r="AB281" i="5"/>
  <c r="AC292" i="5"/>
  <c r="X292" i="5"/>
  <c r="AC479" i="5"/>
  <c r="X479" i="5"/>
  <c r="B10" i="2"/>
  <c r="B9" i="2"/>
  <c r="B8" i="2"/>
  <c r="AC34" i="5"/>
  <c r="Z34" i="7" s="1"/>
  <c r="X34" i="5"/>
  <c r="U34" i="7" s="1"/>
  <c r="X17" i="5"/>
  <c r="U17" i="7" s="1"/>
  <c r="AC58" i="5"/>
  <c r="Q61" i="5"/>
  <c r="Q63" i="5"/>
  <c r="Y63" i="5" s="1"/>
  <c r="Z63" i="5" s="1"/>
  <c r="X71" i="5"/>
  <c r="M82" i="5"/>
  <c r="AB96" i="5"/>
  <c r="Q96" i="5"/>
  <c r="Q99" i="5"/>
  <c r="AB102" i="5"/>
  <c r="Q102" i="5"/>
  <c r="Q108" i="5"/>
  <c r="AB108" i="5"/>
  <c r="AC130" i="5"/>
  <c r="X130" i="5"/>
  <c r="AA139" i="5"/>
  <c r="M139" i="5"/>
  <c r="AB165" i="5"/>
  <c r="X188" i="5"/>
  <c r="AC188" i="5"/>
  <c r="AB222" i="5"/>
  <c r="Q222" i="5"/>
  <c r="Q243" i="5"/>
  <c r="AB243" i="5"/>
  <c r="AC275" i="5"/>
  <c r="X275" i="5"/>
  <c r="X281" i="5"/>
  <c r="AC281" i="5"/>
  <c r="X305" i="5"/>
  <c r="AC305" i="5"/>
  <c r="X316" i="5"/>
  <c r="AC316" i="5"/>
  <c r="M125" i="5"/>
  <c r="Y125" i="5" s="1"/>
  <c r="Z125" i="5" s="1"/>
  <c r="AA125" i="5"/>
  <c r="AA254" i="5"/>
  <c r="M254" i="5"/>
  <c r="Q314" i="5"/>
  <c r="AB314" i="5"/>
  <c r="AB469" i="5"/>
  <c r="Q469" i="5"/>
  <c r="X51" i="5"/>
  <c r="M59" i="5"/>
  <c r="X229" i="5"/>
  <c r="AC229" i="5"/>
  <c r="M241" i="5"/>
  <c r="AA241" i="5"/>
  <c r="AA276" i="5"/>
  <c r="M276" i="5"/>
  <c r="Y276" i="5" s="1"/>
  <c r="Z276" i="5" s="1"/>
  <c r="AB374" i="5"/>
  <c r="Q374" i="5"/>
  <c r="AA69" i="5"/>
  <c r="M69" i="5"/>
  <c r="Q74" i="5"/>
  <c r="AB74" i="5"/>
  <c r="M88" i="5"/>
  <c r="AA88" i="5"/>
  <c r="Q100" i="5"/>
  <c r="AB100" i="5"/>
  <c r="Q116" i="5"/>
  <c r="X139" i="5"/>
  <c r="AC237" i="5"/>
  <c r="X237" i="5"/>
  <c r="AB249" i="5"/>
  <c r="Q249" i="5"/>
  <c r="AC323" i="5"/>
  <c r="X323" i="5"/>
  <c r="Q341" i="5"/>
  <c r="AB341" i="5"/>
  <c r="M400" i="5"/>
  <c r="AA400" i="5"/>
  <c r="AA520" i="5"/>
  <c r="M520" i="5"/>
  <c r="AB32" i="5"/>
  <c r="Y32" i="7" s="1"/>
  <c r="Q32" i="5"/>
  <c r="AB66" i="5"/>
  <c r="Q66" i="5"/>
  <c r="AC87" i="5"/>
  <c r="X87" i="5"/>
  <c r="AA119" i="5"/>
  <c r="M119" i="5"/>
  <c r="X22" i="5"/>
  <c r="U22" i="7" s="1"/>
  <c r="X49" i="5"/>
  <c r="Y49" i="5" s="1"/>
  <c r="Z49" i="5" s="1"/>
  <c r="X77" i="5"/>
  <c r="X85" i="5"/>
  <c r="Y85" i="5" s="1"/>
  <c r="Z85" i="5" s="1"/>
  <c r="Q88" i="5"/>
  <c r="AB88" i="5"/>
  <c r="Q97" i="5"/>
  <c r="X116" i="5"/>
  <c r="AC116" i="5"/>
  <c r="AB123" i="5"/>
  <c r="Q123" i="5"/>
  <c r="X128" i="5"/>
  <c r="AC179" i="5"/>
  <c r="X179" i="5"/>
  <c r="X205" i="5"/>
  <c r="AA372" i="5"/>
  <c r="M372" i="5"/>
  <c r="Q515" i="5"/>
  <c r="AB515" i="5"/>
  <c r="AA37" i="5"/>
  <c r="X37" i="7" s="1"/>
  <c r="M37" i="5"/>
  <c r="L37" i="7" s="1"/>
  <c r="AB56" i="5"/>
  <c r="Q56" i="5"/>
  <c r="M6" i="5"/>
  <c r="M11" i="5"/>
  <c r="L11" i="7" s="1"/>
  <c r="AB13" i="5"/>
  <c r="Y13" i="7" s="1"/>
  <c r="X232" i="5"/>
  <c r="AB512" i="5"/>
  <c r="Q512" i="5"/>
  <c r="AC745" i="5"/>
  <c r="X745" i="5"/>
  <c r="AA780" i="5"/>
  <c r="M780" i="5"/>
  <c r="AA25" i="5"/>
  <c r="X25" i="7" s="1"/>
  <c r="M25" i="5"/>
  <c r="AB15" i="5"/>
  <c r="Y15" i="7" s="1"/>
  <c r="AC35" i="5"/>
  <c r="Z35" i="7" s="1"/>
  <c r="X35" i="5"/>
  <c r="U35" i="7" s="1"/>
  <c r="M54" i="5"/>
  <c r="Y54" i="5" s="1"/>
  <c r="Z54" i="5" s="1"/>
  <c r="M67" i="5"/>
  <c r="X74" i="5"/>
  <c r="AC74" i="5"/>
  <c r="AA9" i="5"/>
  <c r="X9" i="7" s="1"/>
  <c r="M9" i="5"/>
  <c r="L9" i="7" s="1"/>
  <c r="AC97" i="5"/>
  <c r="X97" i="5"/>
  <c r="Q134" i="5"/>
  <c r="AB134" i="5"/>
  <c r="AA339" i="5"/>
  <c r="M339" i="5"/>
  <c r="M493" i="5"/>
  <c r="AA493" i="5"/>
  <c r="AA45" i="5"/>
  <c r="M45" i="5"/>
  <c r="AA47" i="5"/>
  <c r="Q60" i="5"/>
  <c r="Q75" i="5"/>
  <c r="Q101" i="5"/>
  <c r="AB101" i="5"/>
  <c r="AA107" i="5"/>
  <c r="M107" i="5"/>
  <c r="X109" i="5"/>
  <c r="AC109" i="5"/>
  <c r="Q137" i="5"/>
  <c r="AB151" i="5"/>
  <c r="X167" i="5"/>
  <c r="AC167" i="5"/>
  <c r="AB177" i="5"/>
  <c r="Q177" i="5"/>
  <c r="AA209" i="5"/>
  <c r="M209" i="5"/>
  <c r="Q252" i="5"/>
  <c r="X286" i="5"/>
  <c r="Q289" i="5"/>
  <c r="AB289" i="5"/>
  <c r="Q700" i="5"/>
  <c r="AB700" i="5"/>
  <c r="AB719" i="5"/>
  <c r="Q719" i="5"/>
  <c r="O36" i="7"/>
  <c r="X41" i="5"/>
  <c r="U41" i="7" s="1"/>
  <c r="AC41" i="5"/>
  <c r="Z41" i="7" s="1"/>
  <c r="Q57" i="5"/>
  <c r="Q103" i="5"/>
  <c r="Q114" i="5"/>
  <c r="Y114" i="5" s="1"/>
  <c r="Z114" i="5" s="1"/>
  <c r="AB114" i="5"/>
  <c r="M185" i="5"/>
  <c r="AA185" i="5"/>
  <c r="AA235" i="5"/>
  <c r="M235" i="5"/>
  <c r="X273" i="5"/>
  <c r="M280" i="5"/>
  <c r="AA280" i="5"/>
  <c r="M19" i="5"/>
  <c r="X21" i="5"/>
  <c r="U21" i="7" s="1"/>
  <c r="X26" i="5"/>
  <c r="X36" i="5"/>
  <c r="U36" i="7" s="1"/>
  <c r="AA17" i="5"/>
  <c r="X17" i="7" s="1"/>
  <c r="M17" i="5"/>
  <c r="M31" i="5"/>
  <c r="L31" i="7" s="1"/>
  <c r="AC54" i="5"/>
  <c r="AA65" i="5"/>
  <c r="M65" i="5"/>
  <c r="AC75" i="5"/>
  <c r="X75" i="5"/>
  <c r="M81" i="5"/>
  <c r="AC89" i="5"/>
  <c r="X89" i="5"/>
  <c r="Q143" i="5"/>
  <c r="AB143" i="5"/>
  <c r="M175" i="5"/>
  <c r="X198" i="5"/>
  <c r="M215" i="5"/>
  <c r="X226" i="5"/>
  <c r="Q250" i="5"/>
  <c r="Q269" i="5"/>
  <c r="M284" i="5"/>
  <c r="AA335" i="5"/>
  <c r="M335" i="5"/>
  <c r="Q544" i="5"/>
  <c r="AB544" i="5"/>
  <c r="AA698" i="5"/>
  <c r="M698" i="5"/>
  <c r="X25" i="5"/>
  <c r="U25" i="7" s="1"/>
  <c r="AA27" i="5"/>
  <c r="X27" i="7" s="1"/>
  <c r="M23" i="5"/>
  <c r="L23" i="7" s="1"/>
  <c r="Q83" i="5"/>
  <c r="M101" i="5"/>
  <c r="M126" i="5"/>
  <c r="AA126" i="5"/>
  <c r="M289" i="5"/>
  <c r="AA289" i="5"/>
  <c r="X318" i="5"/>
  <c r="AC318" i="5"/>
  <c r="AA367" i="5"/>
  <c r="M367" i="5"/>
  <c r="X428" i="5"/>
  <c r="AC428" i="5"/>
  <c r="AB569" i="5"/>
  <c r="Q569" i="5"/>
  <c r="M740" i="5"/>
  <c r="AA740" i="5"/>
  <c r="AA743" i="5"/>
  <c r="M743" i="5"/>
  <c r="AB175" i="5"/>
  <c r="Q175" i="5"/>
  <c r="Q215" i="5"/>
  <c r="AB215" i="5"/>
  <c r="AC250" i="5"/>
  <c r="X250" i="5"/>
  <c r="AA278" i="5"/>
  <c r="M278" i="5"/>
  <c r="Q284" i="5"/>
  <c r="AB284" i="5"/>
  <c r="AA300" i="5"/>
  <c r="M300" i="5"/>
  <c r="AC313" i="5"/>
  <c r="X313" i="5"/>
  <c r="Y313" i="5" s="1"/>
  <c r="Z313" i="5" s="1"/>
  <c r="M682" i="5"/>
  <c r="AA682" i="5"/>
  <c r="X18" i="5"/>
  <c r="U18" i="7" s="1"/>
  <c r="AC18" i="5"/>
  <c r="Z18" i="7" s="1"/>
  <c r="B11" i="2"/>
  <c r="Q5" i="5"/>
  <c r="O5" i="7" s="1"/>
  <c r="AC28" i="5"/>
  <c r="Z28" i="7" s="1"/>
  <c r="AB71" i="5"/>
  <c r="Q71" i="5"/>
  <c r="X104" i="5"/>
  <c r="AC104" i="5"/>
  <c r="AB121" i="5"/>
  <c r="Q121" i="5"/>
  <c r="AA141" i="5"/>
  <c r="M141" i="5"/>
  <c r="AA204" i="5"/>
  <c r="M204" i="5"/>
  <c r="AC218" i="5"/>
  <c r="X218" i="5"/>
  <c r="Q224" i="5"/>
  <c r="X236" i="5"/>
  <c r="AC236" i="5"/>
  <c r="Q264" i="5"/>
  <c r="M267" i="5"/>
  <c r="AA267" i="5"/>
  <c r="Q571" i="5"/>
  <c r="AB571" i="5"/>
  <c r="X700" i="5"/>
  <c r="AC700" i="5"/>
  <c r="Q713" i="5"/>
  <c r="AB713" i="5"/>
  <c r="AB94" i="5"/>
  <c r="Q94" i="5"/>
  <c r="Y94" i="5" s="1"/>
  <c r="Z94" i="5" s="1"/>
  <c r="X143" i="5"/>
  <c r="AC143" i="5"/>
  <c r="AC160" i="5"/>
  <c r="X160" i="5"/>
  <c r="AB211" i="5"/>
  <c r="Q211" i="5"/>
  <c r="Y211" i="5" s="1"/>
  <c r="Z211" i="5" s="1"/>
  <c r="X216" i="5"/>
  <c r="AC216" i="5"/>
  <c r="X294" i="5"/>
  <c r="AC294" i="5"/>
  <c r="M337" i="5"/>
  <c r="AA337" i="5"/>
  <c r="Q339" i="5"/>
  <c r="AB339" i="5"/>
  <c r="X341" i="5"/>
  <c r="AC341" i="5"/>
  <c r="Q354" i="5"/>
  <c r="AB354" i="5"/>
  <c r="M398" i="5"/>
  <c r="AA398" i="5"/>
  <c r="AA429" i="5"/>
  <c r="M429" i="5"/>
  <c r="AC434" i="5"/>
  <c r="X434" i="5"/>
  <c r="AC439" i="5"/>
  <c r="X439" i="5"/>
  <c r="M443" i="5"/>
  <c r="AA443" i="5"/>
  <c r="X445" i="5"/>
  <c r="AC445" i="5"/>
  <c r="AA477" i="5"/>
  <c r="M477" i="5"/>
  <c r="AC515" i="5"/>
  <c r="X515" i="5"/>
  <c r="M518" i="5"/>
  <c r="AA518" i="5"/>
  <c r="AA558" i="5"/>
  <c r="M558" i="5"/>
  <c r="AA580" i="5"/>
  <c r="M580" i="5"/>
  <c r="AC667" i="5"/>
  <c r="X667" i="5"/>
  <c r="X96" i="5"/>
  <c r="AC98" i="5"/>
  <c r="M109" i="5"/>
  <c r="Y111" i="5"/>
  <c r="Z111" i="5" s="1"/>
  <c r="AC113" i="5"/>
  <c r="X113" i="5"/>
  <c r="AC120" i="5"/>
  <c r="M128" i="5"/>
  <c r="AA128" i="5"/>
  <c r="X146" i="5"/>
  <c r="AC146" i="5"/>
  <c r="X158" i="5"/>
  <c r="AC158" i="5"/>
  <c r="X165" i="5"/>
  <c r="M188" i="5"/>
  <c r="M200" i="5"/>
  <c r="Y200" i="5" s="1"/>
  <c r="Z200" i="5" s="1"/>
  <c r="AA200" i="5"/>
  <c r="AA202" i="5"/>
  <c r="M202" i="5"/>
  <c r="M207" i="5"/>
  <c r="AA207" i="5"/>
  <c r="AA240" i="5"/>
  <c r="M240" i="5"/>
  <c r="X256" i="5"/>
  <c r="Q311" i="5"/>
  <c r="Q321" i="5"/>
  <c r="X349" i="5"/>
  <c r="AC349" i="5"/>
  <c r="M352" i="5"/>
  <c r="X369" i="5"/>
  <c r="AA391" i="5"/>
  <c r="M391" i="5"/>
  <c r="AC418" i="5"/>
  <c r="X418" i="5"/>
  <c r="AA424" i="5"/>
  <c r="M424" i="5"/>
  <c r="M465" i="5"/>
  <c r="M467" i="5"/>
  <c r="AC469" i="5"/>
  <c r="X469" i="5"/>
  <c r="M485" i="5"/>
  <c r="AA491" i="5"/>
  <c r="M491" i="5"/>
  <c r="AB518" i="5"/>
  <c r="Q518" i="5"/>
  <c r="AB535" i="5"/>
  <c r="Q535" i="5"/>
  <c r="X544" i="5"/>
  <c r="AA665" i="5"/>
  <c r="M665" i="5"/>
  <c r="AB679" i="5"/>
  <c r="Q679" i="5"/>
  <c r="Q698" i="5"/>
  <c r="AB698" i="5"/>
  <c r="Q30" i="5"/>
  <c r="O30" i="7" s="1"/>
  <c r="Q77" i="5"/>
  <c r="AC100" i="5"/>
  <c r="M116" i="5"/>
  <c r="Q130" i="5"/>
  <c r="AC136" i="5"/>
  <c r="Q139" i="5"/>
  <c r="Q141" i="5"/>
  <c r="M144" i="5"/>
  <c r="AA144" i="5"/>
  <c r="X151" i="5"/>
  <c r="Y151" i="5" s="1"/>
  <c r="Z151" i="5" s="1"/>
  <c r="M154" i="5"/>
  <c r="Q156" i="5"/>
  <c r="Y156" i="5" s="1"/>
  <c r="Z156" i="5" s="1"/>
  <c r="AB158" i="5"/>
  <c r="Q179" i="5"/>
  <c r="AB179" i="5"/>
  <c r="M198" i="5"/>
  <c r="AA198" i="5"/>
  <c r="Q207" i="5"/>
  <c r="AB207" i="5"/>
  <c r="Q254" i="5"/>
  <c r="M264" i="5"/>
  <c r="AB266" i="5"/>
  <c r="Q266" i="5"/>
  <c r="M314" i="5"/>
  <c r="AA314" i="5"/>
  <c r="AC332" i="5"/>
  <c r="Q337" i="5"/>
  <c r="Q372" i="5"/>
  <c r="AB377" i="5"/>
  <c r="Q377" i="5"/>
  <c r="AC413" i="5"/>
  <c r="Q443" i="5"/>
  <c r="Y456" i="5"/>
  <c r="Z456" i="5" s="1"/>
  <c r="AC462" i="5"/>
  <c r="Q467" i="5"/>
  <c r="AB467" i="5"/>
  <c r="M470" i="5"/>
  <c r="Y470" i="5" s="1"/>
  <c r="Z470" i="5" s="1"/>
  <c r="AA470" i="5"/>
  <c r="M474" i="5"/>
  <c r="Q485" i="5"/>
  <c r="AB485" i="5"/>
  <c r="X542" i="5"/>
  <c r="X644" i="5"/>
  <c r="AC644" i="5"/>
  <c r="Q653" i="5"/>
  <c r="X696" i="5"/>
  <c r="AB737" i="5"/>
  <c r="Q737" i="5"/>
  <c r="X337" i="5"/>
  <c r="AC337" i="5"/>
  <c r="AC352" i="5"/>
  <c r="X352" i="5"/>
  <c r="Q388" i="5"/>
  <c r="AB388" i="5"/>
  <c r="M433" i="5"/>
  <c r="AA433" i="5"/>
  <c r="M437" i="5"/>
  <c r="AA437" i="5"/>
  <c r="AB474" i="5"/>
  <c r="Q474" i="5"/>
  <c r="Q516" i="5"/>
  <c r="AB516" i="5"/>
  <c r="AB600" i="5"/>
  <c r="Q600" i="5"/>
  <c r="AC653" i="5"/>
  <c r="X653" i="5"/>
  <c r="AA694" i="5"/>
  <c r="M694" i="5"/>
  <c r="Q996" i="5"/>
  <c r="AB996" i="5"/>
  <c r="AB302" i="5"/>
  <c r="Q302" i="5"/>
  <c r="Q319" i="5"/>
  <c r="AB319" i="5"/>
  <c r="M333" i="5"/>
  <c r="M345" i="5"/>
  <c r="AA368" i="5"/>
  <c r="M368" i="5"/>
  <c r="X391" i="5"/>
  <c r="Q396" i="5"/>
  <c r="AB396" i="5"/>
  <c r="M414" i="5"/>
  <c r="M416" i="5"/>
  <c r="Q437" i="5"/>
  <c r="AB437" i="5"/>
  <c r="X446" i="5"/>
  <c r="X448" i="5"/>
  <c r="M461" i="5"/>
  <c r="Y461" i="5" s="1"/>
  <c r="Z461" i="5" s="1"/>
  <c r="M463" i="5"/>
  <c r="Y463" i="5" s="1"/>
  <c r="Z463" i="5" s="1"/>
  <c r="M483" i="5"/>
  <c r="AC488" i="5"/>
  <c r="X488" i="5"/>
  <c r="AC516" i="5"/>
  <c r="X516" i="5"/>
  <c r="X526" i="5"/>
  <c r="M539" i="5"/>
  <c r="M541" i="5"/>
  <c r="AA541" i="5"/>
  <c r="AA543" i="5"/>
  <c r="M543" i="5"/>
  <c r="Y543" i="5" s="1"/>
  <c r="Z543" i="5" s="1"/>
  <c r="AA598" i="5"/>
  <c r="M598" i="5"/>
  <c r="X616" i="5"/>
  <c r="AC616" i="5"/>
  <c r="AA642" i="5"/>
  <c r="M642" i="5"/>
  <c r="Q651" i="5"/>
  <c r="Q691" i="5"/>
  <c r="AB691" i="5"/>
  <c r="AC980" i="5"/>
  <c r="X980" i="5"/>
  <c r="Q300" i="5"/>
  <c r="AB300" i="5"/>
  <c r="AA312" i="5"/>
  <c r="M312" i="5"/>
  <c r="AC319" i="5"/>
  <c r="X319" i="5"/>
  <c r="AA356" i="5"/>
  <c r="M356" i="5"/>
  <c r="M361" i="5"/>
  <c r="AA361" i="5"/>
  <c r="Q365" i="5"/>
  <c r="AB365" i="5"/>
  <c r="AC396" i="5"/>
  <c r="X396" i="5"/>
  <c r="AB416" i="5"/>
  <c r="Q416" i="5"/>
  <c r="AC419" i="5"/>
  <c r="X419" i="5"/>
  <c r="X437" i="5"/>
  <c r="AC437" i="5"/>
  <c r="AC453" i="5"/>
  <c r="X453" i="5"/>
  <c r="Q483" i="5"/>
  <c r="AB483" i="5"/>
  <c r="M595" i="5"/>
  <c r="AB610" i="5"/>
  <c r="Q610" i="5"/>
  <c r="X625" i="5"/>
  <c r="AC651" i="5"/>
  <c r="X651" i="5"/>
  <c r="AB841" i="5"/>
  <c r="Q841" i="5"/>
  <c r="Q868" i="5"/>
  <c r="AB868" i="5"/>
  <c r="AC924" i="5"/>
  <c r="X924" i="5"/>
  <c r="AA991" i="5"/>
  <c r="M991" i="5"/>
  <c r="X868" i="5"/>
  <c r="AC868" i="5"/>
  <c r="X977" i="5"/>
  <c r="AC977" i="5"/>
  <c r="AC137" i="5"/>
  <c r="X137" i="5"/>
  <c r="M192" i="5"/>
  <c r="AA192" i="5"/>
  <c r="X252" i="5"/>
  <c r="AC252" i="5"/>
  <c r="AC350" i="5"/>
  <c r="X350" i="5"/>
  <c r="X365" i="5"/>
  <c r="AC365" i="5"/>
  <c r="Q401" i="5"/>
  <c r="Q414" i="5"/>
  <c r="AB435" i="5"/>
  <c r="M451" i="5"/>
  <c r="M481" i="5"/>
  <c r="AA481" i="5"/>
  <c r="Q521" i="5"/>
  <c r="Y521" i="5" s="1"/>
  <c r="Z521" i="5" s="1"/>
  <c r="M529" i="5"/>
  <c r="AA529" i="5"/>
  <c r="AC536" i="5"/>
  <c r="X536" i="5"/>
  <c r="AC610" i="5"/>
  <c r="X610" i="5"/>
  <c r="AC637" i="5"/>
  <c r="X637" i="5"/>
  <c r="M792" i="5"/>
  <c r="AA792" i="5"/>
  <c r="M8" i="5"/>
  <c r="L8" i="7" s="1"/>
  <c r="M10" i="5"/>
  <c r="L10" i="7" s="1"/>
  <c r="M16" i="5"/>
  <c r="L16" i="7" s="1"/>
  <c r="X23" i="5"/>
  <c r="U23" i="7" s="1"/>
  <c r="Q31" i="5"/>
  <c r="O31" i="7" s="1"/>
  <c r="M33" i="5"/>
  <c r="L33" i="7" s="1"/>
  <c r="Q39" i="5"/>
  <c r="O39" i="7" s="1"/>
  <c r="X53" i="5"/>
  <c r="M55" i="5"/>
  <c r="X57" i="5"/>
  <c r="Q59" i="5"/>
  <c r="X82" i="5"/>
  <c r="AC84" i="5"/>
  <c r="X86" i="5"/>
  <c r="Q93" i="5"/>
  <c r="X99" i="5"/>
  <c r="AA106" i="5"/>
  <c r="M106" i="5"/>
  <c r="Q126" i="5"/>
  <c r="Q131" i="5"/>
  <c r="X133" i="5"/>
  <c r="X135" i="5"/>
  <c r="X147" i="5"/>
  <c r="M150" i="5"/>
  <c r="M171" i="5"/>
  <c r="Q185" i="5"/>
  <c r="Q203" i="5"/>
  <c r="M206" i="5"/>
  <c r="Y206" i="5" s="1"/>
  <c r="Z206" i="5" s="1"/>
  <c r="M213" i="5"/>
  <c r="X215" i="5"/>
  <c r="AC217" i="5"/>
  <c r="X220" i="5"/>
  <c r="X243" i="5"/>
  <c r="X260" i="5"/>
  <c r="AC260" i="5"/>
  <c r="AC269" i="5"/>
  <c r="Q298" i="5"/>
  <c r="M303" i="5"/>
  <c r="M310" i="5"/>
  <c r="AA310" i="5"/>
  <c r="Q327" i="5"/>
  <c r="AB327" i="5"/>
  <c r="X340" i="5"/>
  <c r="X348" i="5"/>
  <c r="Y348" i="5" s="1"/>
  <c r="Z348" i="5" s="1"/>
  <c r="AC348" i="5"/>
  <c r="Q361" i="5"/>
  <c r="M382" i="5"/>
  <c r="AA382" i="5"/>
  <c r="Q384" i="5"/>
  <c r="Q386" i="5"/>
  <c r="Q389" i="5"/>
  <c r="AB389" i="5"/>
  <c r="AB392" i="5"/>
  <c r="Q392" i="5"/>
  <c r="Y397" i="5"/>
  <c r="Z397" i="5" s="1"/>
  <c r="X401" i="5"/>
  <c r="AC401" i="5"/>
  <c r="X433" i="5"/>
  <c r="AC492" i="5"/>
  <c r="X492" i="5"/>
  <c r="Y492" i="5" s="1"/>
  <c r="Z492" i="5" s="1"/>
  <c r="M506" i="5"/>
  <c r="AA506" i="5"/>
  <c r="M527" i="5"/>
  <c r="AC584" i="5"/>
  <c r="M623" i="5"/>
  <c r="AC789" i="5"/>
  <c r="X789" i="5"/>
  <c r="AC918" i="5"/>
  <c r="X918" i="5"/>
  <c r="X224" i="5"/>
  <c r="AC224" i="5"/>
  <c r="M258" i="5"/>
  <c r="AA258" i="5"/>
  <c r="AA274" i="5"/>
  <c r="M274" i="5"/>
  <c r="M317" i="5"/>
  <c r="M327" i="5"/>
  <c r="AA327" i="5"/>
  <c r="AC59" i="5"/>
  <c r="X59" i="5"/>
  <c r="X65" i="5"/>
  <c r="X67" i="5"/>
  <c r="Q78" i="5"/>
  <c r="Y78" i="5" s="1"/>
  <c r="Z78" i="5" s="1"/>
  <c r="AB78" i="5"/>
  <c r="Q80" i="5"/>
  <c r="X95" i="5"/>
  <c r="AA97" i="5"/>
  <c r="X126" i="5"/>
  <c r="AC126" i="5"/>
  <c r="M162" i="5"/>
  <c r="AA162" i="5"/>
  <c r="AC185" i="5"/>
  <c r="X185" i="5"/>
  <c r="Q192" i="5"/>
  <c r="X194" i="5"/>
  <c r="AC194" i="5"/>
  <c r="M305" i="5"/>
  <c r="AA305" i="5"/>
  <c r="X317" i="5"/>
  <c r="AC317" i="5"/>
  <c r="AC361" i="5"/>
  <c r="X361" i="5"/>
  <c r="X389" i="5"/>
  <c r="AC389" i="5"/>
  <c r="AC427" i="5"/>
  <c r="M447" i="5"/>
  <c r="M449" i="5"/>
  <c r="Q481" i="5"/>
  <c r="AA495" i="5"/>
  <c r="M495" i="5"/>
  <c r="AC521" i="5"/>
  <c r="X524" i="5"/>
  <c r="AA649" i="5"/>
  <c r="M649" i="5"/>
  <c r="X706" i="5"/>
  <c r="AC706" i="5"/>
  <c r="AA820" i="5"/>
  <c r="M820" i="5"/>
  <c r="M826" i="5"/>
  <c r="Q831" i="5"/>
  <c r="AB831" i="5"/>
  <c r="AC833" i="5"/>
  <c r="M864" i="5"/>
  <c r="AA864" i="5"/>
  <c r="Q888" i="5"/>
  <c r="AB922" i="5"/>
  <c r="Q922" i="5"/>
  <c r="X300" i="5"/>
  <c r="AC300" i="5"/>
  <c r="AC394" i="5"/>
  <c r="X394" i="5"/>
  <c r="AC483" i="5"/>
  <c r="X483" i="5"/>
  <c r="AC12" i="5"/>
  <c r="Z12" i="7" s="1"/>
  <c r="Q20" i="5"/>
  <c r="O20" i="7" s="1"/>
  <c r="Q55" i="5"/>
  <c r="AC73" i="5"/>
  <c r="AC90" i="5"/>
  <c r="X93" i="5"/>
  <c r="AB124" i="5"/>
  <c r="X131" i="5"/>
  <c r="M169" i="5"/>
  <c r="Q171" i="5"/>
  <c r="M183" i="5"/>
  <c r="AB194" i="5"/>
  <c r="AC210" i="5"/>
  <c r="Q213" i="5"/>
  <c r="AB233" i="5"/>
  <c r="Q233" i="5"/>
  <c r="AB241" i="5"/>
  <c r="AC267" i="5"/>
  <c r="AA279" i="5"/>
  <c r="M282" i="5"/>
  <c r="M294" i="5"/>
  <c r="AA294" i="5"/>
  <c r="Q296" i="5"/>
  <c r="Q315" i="5"/>
  <c r="AB315" i="5"/>
  <c r="X327" i="5"/>
  <c r="Q343" i="5"/>
  <c r="Q382" i="5"/>
  <c r="AA389" i="5"/>
  <c r="AC405" i="5"/>
  <c r="X405" i="5"/>
  <c r="M442" i="5"/>
  <c r="AA442" i="5"/>
  <c r="M445" i="5"/>
  <c r="AA445" i="5"/>
  <c r="Q447" i="5"/>
  <c r="AB447" i="5"/>
  <c r="Q471" i="5"/>
  <c r="AB471" i="5"/>
  <c r="AC481" i="5"/>
  <c r="X481" i="5"/>
  <c r="AA504" i="5"/>
  <c r="M504" i="5"/>
  <c r="M522" i="5"/>
  <c r="AA522" i="5"/>
  <c r="AB549" i="5"/>
  <c r="Q549" i="5"/>
  <c r="X560" i="5"/>
  <c r="Y560" i="5" s="1"/>
  <c r="Z560" i="5" s="1"/>
  <c r="AC560" i="5"/>
  <c r="Q582" i="5"/>
  <c r="AB582" i="5"/>
  <c r="AA635" i="5"/>
  <c r="M635" i="5"/>
  <c r="M818" i="5"/>
  <c r="AA818" i="5"/>
  <c r="AB820" i="5"/>
  <c r="Q820" i="5"/>
  <c r="AA886" i="5"/>
  <c r="M886" i="5"/>
  <c r="X888" i="5"/>
  <c r="AC888" i="5"/>
  <c r="Y73" i="5"/>
  <c r="Z73" i="5" s="1"/>
  <c r="X309" i="5"/>
  <c r="AB6" i="5"/>
  <c r="Y6" i="7" s="1"/>
  <c r="AC48" i="5"/>
  <c r="M70" i="5"/>
  <c r="AA78" i="5"/>
  <c r="AC80" i="5"/>
  <c r="Q89" i="5"/>
  <c r="X106" i="5"/>
  <c r="AB110" i="5"/>
  <c r="AC124" i="5"/>
  <c r="M134" i="5"/>
  <c r="AA134" i="5"/>
  <c r="X155" i="5"/>
  <c r="AB183" i="5"/>
  <c r="Q183" i="5"/>
  <c r="Y186" i="5"/>
  <c r="Z186" i="5" s="1"/>
  <c r="M190" i="5"/>
  <c r="X192" i="5"/>
  <c r="AC203" i="5"/>
  <c r="Q218" i="5"/>
  <c r="M221" i="5"/>
  <c r="Y221" i="5" s="1"/>
  <c r="Z221" i="5" s="1"/>
  <c r="M231" i="5"/>
  <c r="M239" i="5"/>
  <c r="Y242" i="5"/>
  <c r="Z242" i="5" s="1"/>
  <c r="M249" i="5"/>
  <c r="M256" i="5"/>
  <c r="X258" i="5"/>
  <c r="AA277" i="5"/>
  <c r="AB279" i="5"/>
  <c r="Q292" i="5"/>
  <c r="Y292" i="5" s="1"/>
  <c r="Z292" i="5" s="1"/>
  <c r="Q305" i="5"/>
  <c r="AC351" i="5"/>
  <c r="X351" i="5"/>
  <c r="AC353" i="5"/>
  <c r="M357" i="5"/>
  <c r="X359" i="5"/>
  <c r="AB379" i="5"/>
  <c r="Q387" i="5"/>
  <c r="AB387" i="5"/>
  <c r="X402" i="5"/>
  <c r="AC402" i="5"/>
  <c r="X425" i="5"/>
  <c r="AC425" i="5"/>
  <c r="X431" i="5"/>
  <c r="M469" i="5"/>
  <c r="AA469" i="5"/>
  <c r="AB487" i="5"/>
  <c r="Q487" i="5"/>
  <c r="AB492" i="5"/>
  <c r="X582" i="5"/>
  <c r="AC582" i="5"/>
  <c r="M700" i="5"/>
  <c r="AA700" i="5"/>
  <c r="AA719" i="5"/>
  <c r="M719" i="5"/>
  <c r="Q745" i="5"/>
  <c r="AB745" i="5"/>
  <c r="AB792" i="5"/>
  <c r="Q792" i="5"/>
  <c r="M893" i="5"/>
  <c r="AA893" i="5"/>
  <c r="Q898" i="5"/>
  <c r="AB898" i="5"/>
  <c r="Y230" i="5"/>
  <c r="Z230" i="5" s="1"/>
  <c r="Y251" i="5"/>
  <c r="Z251" i="5" s="1"/>
  <c r="AB333" i="5"/>
  <c r="Q333" i="5"/>
  <c r="Y360" i="5"/>
  <c r="Z360" i="5" s="1"/>
  <c r="Q412" i="5"/>
  <c r="AB412" i="5"/>
  <c r="AA417" i="5"/>
  <c r="M417" i="5"/>
  <c r="M422" i="5"/>
  <c r="AA422" i="5"/>
  <c r="AA438" i="5"/>
  <c r="M438" i="5"/>
  <c r="AB493" i="5"/>
  <c r="Q493" i="5"/>
  <c r="AB506" i="5"/>
  <c r="Q506" i="5"/>
  <c r="X545" i="5"/>
  <c r="AC545" i="5"/>
  <c r="AB661" i="5"/>
  <c r="Q661" i="5"/>
  <c r="AA778" i="5"/>
  <c r="M778" i="5"/>
  <c r="AB886" i="5"/>
  <c r="Q886" i="5"/>
  <c r="X282" i="5"/>
  <c r="AC282" i="5"/>
  <c r="Y304" i="5"/>
  <c r="Z304" i="5" s="1"/>
  <c r="AC370" i="5"/>
  <c r="X370" i="5"/>
  <c r="AA383" i="5"/>
  <c r="M383" i="5"/>
  <c r="Q459" i="5"/>
  <c r="AB459" i="5"/>
  <c r="AB632" i="5"/>
  <c r="Q632" i="5"/>
  <c r="AB635" i="5"/>
  <c r="Q635" i="5"/>
  <c r="M711" i="5"/>
  <c r="AA711" i="5"/>
  <c r="AB769" i="5"/>
  <c r="Q769" i="5"/>
  <c r="AB778" i="5"/>
  <c r="Q778" i="5"/>
  <c r="AC810" i="5"/>
  <c r="X810" i="5"/>
  <c r="M816" i="5"/>
  <c r="AA816" i="5"/>
  <c r="X150" i="5"/>
  <c r="X162" i="5"/>
  <c r="Q164" i="5"/>
  <c r="M166" i="5"/>
  <c r="Q170" i="5"/>
  <c r="Q204" i="5"/>
  <c r="M225" i="5"/>
  <c r="M232" i="5"/>
  <c r="AC233" i="5"/>
  <c r="X266" i="5"/>
  <c r="X268" i="5"/>
  <c r="Q274" i="5"/>
  <c r="Q276" i="5"/>
  <c r="X280" i="5"/>
  <c r="X287" i="5"/>
  <c r="X302" i="5"/>
  <c r="X310" i="5"/>
  <c r="X380" i="5"/>
  <c r="AC380" i="5"/>
  <c r="M408" i="5"/>
  <c r="Q422" i="5"/>
  <c r="Q429" i="5"/>
  <c r="M432" i="5"/>
  <c r="Q438" i="5"/>
  <c r="M441" i="5"/>
  <c r="Q457" i="5"/>
  <c r="Q491" i="5"/>
  <c r="Q504" i="5"/>
  <c r="M532" i="5"/>
  <c r="Q567" i="5"/>
  <c r="AB567" i="5"/>
  <c r="Q575" i="5"/>
  <c r="Q591" i="5"/>
  <c r="X632" i="5"/>
  <c r="AC632" i="5"/>
  <c r="Q846" i="5"/>
  <c r="X883" i="5"/>
  <c r="AC883" i="5"/>
  <c r="Q949" i="5"/>
  <c r="AB957" i="5"/>
  <c r="Q957" i="5"/>
  <c r="AC960" i="5"/>
  <c r="X960" i="5"/>
  <c r="AA966" i="5"/>
  <c r="M966" i="5"/>
  <c r="M140" i="5"/>
  <c r="X148" i="5"/>
  <c r="Q168" i="5"/>
  <c r="Y168" i="5" s="1"/>
  <c r="Z168" i="5" s="1"/>
  <c r="Q182" i="5"/>
  <c r="Y182" i="5" s="1"/>
  <c r="Z182" i="5" s="1"/>
  <c r="M189" i="5"/>
  <c r="AC202" i="5"/>
  <c r="AC211" i="5"/>
  <c r="Y263" i="5"/>
  <c r="Z263" i="5" s="1"/>
  <c r="M295" i="5"/>
  <c r="Q299" i="5"/>
  <c r="Q308" i="5"/>
  <c r="M318" i="5"/>
  <c r="Q324" i="5"/>
  <c r="M349" i="5"/>
  <c r="AA349" i="5"/>
  <c r="M366" i="5"/>
  <c r="AC375" i="5"/>
  <c r="AC377" i="5"/>
  <c r="AB390" i="5"/>
  <c r="Q390" i="5"/>
  <c r="X417" i="5"/>
  <c r="AC422" i="5"/>
  <c r="X422" i="5"/>
  <c r="X459" i="5"/>
  <c r="AC474" i="5"/>
  <c r="M480" i="5"/>
  <c r="AC486" i="5"/>
  <c r="M489" i="5"/>
  <c r="AB498" i="5"/>
  <c r="M502" i="5"/>
  <c r="AA502" i="5"/>
  <c r="AC504" i="5"/>
  <c r="X504" i="5"/>
  <c r="Q509" i="5"/>
  <c r="X514" i="5"/>
  <c r="AB537" i="5"/>
  <c r="Q537" i="5"/>
  <c r="AC548" i="5"/>
  <c r="M560" i="5"/>
  <c r="AA560" i="5"/>
  <c r="AC567" i="5"/>
  <c r="X567" i="5"/>
  <c r="M589" i="5"/>
  <c r="AA589" i="5"/>
  <c r="AB612" i="5"/>
  <c r="Q612" i="5"/>
  <c r="AB647" i="5"/>
  <c r="Q647" i="5"/>
  <c r="X767" i="5"/>
  <c r="AC767" i="5"/>
  <c r="X843" i="5"/>
  <c r="M952" i="5"/>
  <c r="X963" i="5"/>
  <c r="AC963" i="5"/>
  <c r="AA98" i="5"/>
  <c r="X117" i="5"/>
  <c r="M127" i="5"/>
  <c r="AA148" i="5"/>
  <c r="AB150" i="5"/>
  <c r="AA152" i="5"/>
  <c r="AC173" i="5"/>
  <c r="Y178" i="5"/>
  <c r="Z178" i="5" s="1"/>
  <c r="M180" i="5"/>
  <c r="Q195" i="5"/>
  <c r="Y195" i="5" s="1"/>
  <c r="Z195" i="5" s="1"/>
  <c r="Q217" i="5"/>
  <c r="AA219" i="5"/>
  <c r="AB223" i="5"/>
  <c r="Q225" i="5"/>
  <c r="M238" i="5"/>
  <c r="M244" i="5"/>
  <c r="Y244" i="5" s="1"/>
  <c r="Z244" i="5" s="1"/>
  <c r="Q283" i="5"/>
  <c r="AC285" i="5"/>
  <c r="X291" i="5"/>
  <c r="Q297" i="5"/>
  <c r="Y297" i="5" s="1"/>
  <c r="Z297" i="5" s="1"/>
  <c r="M316" i="5"/>
  <c r="M320" i="5"/>
  <c r="AC322" i="5"/>
  <c r="X322" i="5"/>
  <c r="AA326" i="5"/>
  <c r="AB331" i="5"/>
  <c r="Q344" i="5"/>
  <c r="M351" i="5"/>
  <c r="AC355" i="5"/>
  <c r="X355" i="5"/>
  <c r="AB360" i="5"/>
  <c r="M364" i="5"/>
  <c r="AB366" i="5"/>
  <c r="Q366" i="5"/>
  <c r="AA378" i="5"/>
  <c r="M378" i="5"/>
  <c r="M388" i="5"/>
  <c r="AA388" i="5"/>
  <c r="Y395" i="5"/>
  <c r="Z395" i="5" s="1"/>
  <c r="M401" i="5"/>
  <c r="X403" i="5"/>
  <c r="X406" i="5"/>
  <c r="AC408" i="5"/>
  <c r="X408" i="5"/>
  <c r="M420" i="5"/>
  <c r="M430" i="5"/>
  <c r="AA430" i="5"/>
  <c r="Q432" i="5"/>
  <c r="Q441" i="5"/>
  <c r="Q444" i="5"/>
  <c r="AB444" i="5"/>
  <c r="X452" i="5"/>
  <c r="AA457" i="5"/>
  <c r="AC498" i="5"/>
  <c r="M512" i="5"/>
  <c r="Q526" i="5"/>
  <c r="AB534" i="5"/>
  <c r="M552" i="5"/>
  <c r="M565" i="5"/>
  <c r="M600" i="5"/>
  <c r="AA600" i="5"/>
  <c r="AA619" i="5"/>
  <c r="M619" i="5"/>
  <c r="M670" i="5"/>
  <c r="AA670" i="5"/>
  <c r="AA703" i="5"/>
  <c r="M703" i="5"/>
  <c r="Q794" i="5"/>
  <c r="AB794" i="5"/>
  <c r="M799" i="5"/>
  <c r="AA911" i="5"/>
  <c r="M911" i="5"/>
  <c r="Q941" i="5"/>
  <c r="AB941" i="5"/>
  <c r="AB656" i="5"/>
  <c r="Q656" i="5"/>
  <c r="Q665" i="5"/>
  <c r="AB665" i="5"/>
  <c r="X672" i="5"/>
  <c r="AC672" i="5"/>
  <c r="Q682" i="5"/>
  <c r="AB682" i="5"/>
  <c r="AA717" i="5"/>
  <c r="M717" i="5"/>
  <c r="X719" i="5"/>
  <c r="AC719" i="5"/>
  <c r="Q727" i="5"/>
  <c r="AB727" i="5"/>
  <c r="Q743" i="5"/>
  <c r="AB743" i="5"/>
  <c r="AC750" i="5"/>
  <c r="X750" i="5"/>
  <c r="M758" i="5"/>
  <c r="AA758" i="5"/>
  <c r="Q780" i="5"/>
  <c r="AB780" i="5"/>
  <c r="Q783" i="5"/>
  <c r="AB783" i="5"/>
  <c r="AA879" i="5"/>
  <c r="M879" i="5"/>
  <c r="Y879" i="5" s="1"/>
  <c r="Z879" i="5" s="1"/>
  <c r="M901" i="5"/>
  <c r="AA901" i="5"/>
  <c r="M916" i="5"/>
  <c r="AA916" i="5"/>
  <c r="M939" i="5"/>
  <c r="AA939" i="5"/>
  <c r="X580" i="5"/>
  <c r="AC580" i="5"/>
  <c r="AB598" i="5"/>
  <c r="Q598" i="5"/>
  <c r="Q621" i="5"/>
  <c r="Y628" i="5"/>
  <c r="Z628" i="5" s="1"/>
  <c r="M630" i="5"/>
  <c r="Q649" i="5"/>
  <c r="AA654" i="5"/>
  <c r="M654" i="5"/>
  <c r="Y654" i="5" s="1"/>
  <c r="Z654" i="5" s="1"/>
  <c r="X663" i="5"/>
  <c r="X665" i="5"/>
  <c r="AC665" i="5"/>
  <c r="Q694" i="5"/>
  <c r="M707" i="5"/>
  <c r="Q711" i="5"/>
  <c r="Q735" i="5"/>
  <c r="Q753" i="5"/>
  <c r="Q758" i="5"/>
  <c r="AB758" i="5"/>
  <c r="M768" i="5"/>
  <c r="AA768" i="5"/>
  <c r="M773" i="5"/>
  <c r="AA773" i="5"/>
  <c r="Q785" i="5"/>
  <c r="AC802" i="5"/>
  <c r="X802" i="5"/>
  <c r="Y802" i="5" s="1"/>
  <c r="Z802" i="5" s="1"/>
  <c r="Q816" i="5"/>
  <c r="Q823" i="5"/>
  <c r="M834" i="5"/>
  <c r="M850" i="5"/>
  <c r="AA850" i="5"/>
  <c r="M877" i="5"/>
  <c r="AA877" i="5"/>
  <c r="Q911" i="5"/>
  <c r="M914" i="5"/>
  <c r="AB919" i="5"/>
  <c r="Q919" i="5"/>
  <c r="M942" i="5"/>
  <c r="AA942" i="5"/>
  <c r="X947" i="5"/>
  <c r="Q966" i="5"/>
  <c r="Q991" i="5"/>
  <c r="X999" i="5"/>
  <c r="Q552" i="5"/>
  <c r="M556" i="5"/>
  <c r="AB563" i="5"/>
  <c r="Q563" i="5"/>
  <c r="X571" i="5"/>
  <c r="M574" i="5"/>
  <c r="AA583" i="5"/>
  <c r="M583" i="5"/>
  <c r="X591" i="5"/>
  <c r="Q593" i="5"/>
  <c r="M596" i="5"/>
  <c r="AA596" i="5"/>
  <c r="Q606" i="5"/>
  <c r="Y606" i="5" s="1"/>
  <c r="Z606" i="5" s="1"/>
  <c r="AC612" i="5"/>
  <c r="M615" i="5"/>
  <c r="AC619" i="5"/>
  <c r="X619" i="5"/>
  <c r="AC642" i="5"/>
  <c r="X647" i="5"/>
  <c r="X656" i="5"/>
  <c r="X661" i="5"/>
  <c r="M673" i="5"/>
  <c r="X692" i="5"/>
  <c r="AC692" i="5"/>
  <c r="Q714" i="5"/>
  <c r="AB714" i="5"/>
  <c r="AB720" i="5"/>
  <c r="Q720" i="5"/>
  <c r="X727" i="5"/>
  <c r="X735" i="5"/>
  <c r="AC735" i="5"/>
  <c r="AB738" i="5"/>
  <c r="Q738" i="5"/>
  <c r="M756" i="5"/>
  <c r="X778" i="5"/>
  <c r="X785" i="5"/>
  <c r="AC785" i="5"/>
  <c r="X805" i="5"/>
  <c r="AC805" i="5"/>
  <c r="AC864" i="5"/>
  <c r="Q875" i="5"/>
  <c r="M884" i="5"/>
  <c r="AA887" i="5"/>
  <c r="M887" i="5"/>
  <c r="Q914" i="5"/>
  <c r="AB914" i="5"/>
  <c r="Q916" i="5"/>
  <c r="AA923" i="5"/>
  <c r="M923" i="5"/>
  <c r="X930" i="5"/>
  <c r="AC966" i="5"/>
  <c r="X966" i="5"/>
  <c r="AB994" i="5"/>
  <c r="Q994" i="5"/>
  <c r="AB596" i="5"/>
  <c r="Q596" i="5"/>
  <c r="M671" i="5"/>
  <c r="Q675" i="5"/>
  <c r="Q677" i="5"/>
  <c r="AB677" i="5"/>
  <c r="AA692" i="5"/>
  <c r="X711" i="5"/>
  <c r="M751" i="5"/>
  <c r="X753" i="5"/>
  <c r="AA766" i="5"/>
  <c r="M766" i="5"/>
  <c r="X773" i="5"/>
  <c r="AC773" i="5"/>
  <c r="Q795" i="5"/>
  <c r="AB795" i="5"/>
  <c r="X869" i="5"/>
  <c r="AC869" i="5"/>
  <c r="Q877" i="5"/>
  <c r="Q909" i="5"/>
  <c r="X939" i="5"/>
  <c r="Q958" i="5"/>
  <c r="AB958" i="5"/>
  <c r="M1000" i="5"/>
  <c r="AA1000" i="5"/>
  <c r="AA545" i="5"/>
  <c r="X552" i="5"/>
  <c r="AC554" i="5"/>
  <c r="X554" i="5"/>
  <c r="Y554" i="5" s="1"/>
  <c r="Z554" i="5" s="1"/>
  <c r="Q574" i="5"/>
  <c r="X576" i="5"/>
  <c r="AC576" i="5"/>
  <c r="Q583" i="5"/>
  <c r="X593" i="5"/>
  <c r="AA602" i="5"/>
  <c r="AA606" i="5"/>
  <c r="M611" i="5"/>
  <c r="M613" i="5"/>
  <c r="Q615" i="5"/>
  <c r="AC617" i="5"/>
  <c r="X617" i="5"/>
  <c r="Y617" i="5" s="1"/>
  <c r="Z617" i="5" s="1"/>
  <c r="AA622" i="5"/>
  <c r="M622" i="5"/>
  <c r="AA626" i="5"/>
  <c r="AB628" i="5"/>
  <c r="X638" i="5"/>
  <c r="AC638" i="5"/>
  <c r="M646" i="5"/>
  <c r="AC654" i="5"/>
  <c r="M660" i="5"/>
  <c r="AA660" i="5"/>
  <c r="Q673" i="5"/>
  <c r="AC684" i="5"/>
  <c r="M690" i="5"/>
  <c r="AA690" i="5"/>
  <c r="AB701" i="5"/>
  <c r="X704" i="5"/>
  <c r="X707" i="5"/>
  <c r="Q709" i="5"/>
  <c r="X720" i="5"/>
  <c r="M731" i="5"/>
  <c r="AA733" i="5"/>
  <c r="AC770" i="5"/>
  <c r="AA779" i="5"/>
  <c r="M779" i="5"/>
  <c r="Y779" i="5" s="1"/>
  <c r="Z779" i="5" s="1"/>
  <c r="M803" i="5"/>
  <c r="M809" i="5"/>
  <c r="AA809" i="5"/>
  <c r="X814" i="5"/>
  <c r="Q821" i="5"/>
  <c r="M867" i="5"/>
  <c r="AC872" i="5"/>
  <c r="X875" i="5"/>
  <c r="X901" i="5"/>
  <c r="AC909" i="5"/>
  <c r="X909" i="5"/>
  <c r="M912" i="5"/>
  <c r="AA912" i="5"/>
  <c r="X914" i="5"/>
  <c r="M937" i="5"/>
  <c r="AA937" i="5"/>
  <c r="AC955" i="5"/>
  <c r="X955" i="5"/>
  <c r="AB982" i="5"/>
  <c r="Q982" i="5"/>
  <c r="Q989" i="5"/>
  <c r="X997" i="5"/>
  <c r="AC997" i="5"/>
  <c r="Y517" i="5"/>
  <c r="Z517" i="5" s="1"/>
  <c r="AC535" i="5"/>
  <c r="X535" i="5"/>
  <c r="AA554" i="5"/>
  <c r="AA559" i="5"/>
  <c r="M559" i="5"/>
  <c r="AB561" i="5"/>
  <c r="Q590" i="5"/>
  <c r="Y590" i="5" s="1"/>
  <c r="Z590" i="5" s="1"/>
  <c r="AB590" i="5"/>
  <c r="AA617" i="5"/>
  <c r="M627" i="5"/>
  <c r="AA627" i="5"/>
  <c r="AC628" i="5"/>
  <c r="AA634" i="5"/>
  <c r="M634" i="5"/>
  <c r="Q690" i="5"/>
  <c r="AB690" i="5"/>
  <c r="AC725" i="5"/>
  <c r="X725" i="5"/>
  <c r="X728" i="5"/>
  <c r="AC728" i="5"/>
  <c r="AB761" i="5"/>
  <c r="Q761" i="5"/>
  <c r="AA764" i="5"/>
  <c r="M764" i="5"/>
  <c r="AC776" i="5"/>
  <c r="X776" i="5"/>
  <c r="AB814" i="5"/>
  <c r="AB832" i="5"/>
  <c r="Q832" i="5"/>
  <c r="AC837" i="5"/>
  <c r="X837" i="5"/>
  <c r="X856" i="5"/>
  <c r="AC856" i="5"/>
  <c r="AA873" i="5"/>
  <c r="M873" i="5"/>
  <c r="Y897" i="5"/>
  <c r="Z897" i="5" s="1"/>
  <c r="AC920" i="5"/>
  <c r="X920" i="5"/>
  <c r="Q962" i="5"/>
  <c r="Y962" i="5" s="1"/>
  <c r="Z962" i="5" s="1"/>
  <c r="AB962" i="5"/>
  <c r="Q967" i="5"/>
  <c r="Y967" i="5" s="1"/>
  <c r="Z967" i="5" s="1"/>
  <c r="AB967" i="5"/>
  <c r="Q378" i="5"/>
  <c r="Y378" i="5" s="1"/>
  <c r="Z378" i="5" s="1"/>
  <c r="M387" i="5"/>
  <c r="AC390" i="5"/>
  <c r="X416" i="5"/>
  <c r="M426" i="5"/>
  <c r="Q428" i="5"/>
  <c r="X520" i="5"/>
  <c r="X525" i="5"/>
  <c r="X527" i="5"/>
  <c r="M546" i="5"/>
  <c r="AA546" i="5"/>
  <c r="AA557" i="5"/>
  <c r="M557" i="5"/>
  <c r="Y557" i="5" s="1"/>
  <c r="Z557" i="5" s="1"/>
  <c r="Y570" i="5"/>
  <c r="Z570" i="5" s="1"/>
  <c r="X583" i="5"/>
  <c r="AC606" i="5"/>
  <c r="M625" i="5"/>
  <c r="M631" i="5"/>
  <c r="AA636" i="5"/>
  <c r="X643" i="5"/>
  <c r="Q646" i="5"/>
  <c r="AC650" i="5"/>
  <c r="X650" i="5"/>
  <c r="M655" i="5"/>
  <c r="Q660" i="5"/>
  <c r="X671" i="5"/>
  <c r="M702" i="5"/>
  <c r="AA728" i="5"/>
  <c r="M771" i="5"/>
  <c r="Q774" i="5"/>
  <c r="AB774" i="5"/>
  <c r="AC803" i="5"/>
  <c r="X803" i="5"/>
  <c r="Q854" i="5"/>
  <c r="AB854" i="5"/>
  <c r="M892" i="5"/>
  <c r="Y892" i="5" s="1"/>
  <c r="Z892" i="5" s="1"/>
  <c r="M905" i="5"/>
  <c r="AA905" i="5"/>
  <c r="Q907" i="5"/>
  <c r="Y907" i="5" s="1"/>
  <c r="Z907" i="5" s="1"/>
  <c r="AB907" i="5"/>
  <c r="Q912" i="5"/>
  <c r="M935" i="5"/>
  <c r="M946" i="5"/>
  <c r="AA946" i="5"/>
  <c r="AB956" i="5"/>
  <c r="Q956" i="5"/>
  <c r="AA983" i="5"/>
  <c r="M983" i="5"/>
  <c r="Q497" i="5"/>
  <c r="AB497" i="5"/>
  <c r="AA551" i="5"/>
  <c r="M551" i="5"/>
  <c r="AA579" i="5"/>
  <c r="AA581" i="5"/>
  <c r="Y603" i="5"/>
  <c r="Z603" i="5" s="1"/>
  <c r="AB702" i="5"/>
  <c r="Q702" i="5"/>
  <c r="Q705" i="5"/>
  <c r="AB705" i="5"/>
  <c r="M726" i="5"/>
  <c r="AA726" i="5"/>
  <c r="Q742" i="5"/>
  <c r="AB742" i="5"/>
  <c r="Q782" i="5"/>
  <c r="AB782" i="5"/>
  <c r="AA793" i="5"/>
  <c r="AB825" i="5"/>
  <c r="Q825" i="5"/>
  <c r="AC830" i="5"/>
  <c r="X830" i="5"/>
  <c r="Y830" i="5" s="1"/>
  <c r="Z830" i="5" s="1"/>
  <c r="AA863" i="5"/>
  <c r="M863" i="5"/>
  <c r="M900" i="5"/>
  <c r="AA900" i="5"/>
  <c r="AB943" i="5"/>
  <c r="Q943" i="5"/>
  <c r="Y338" i="5"/>
  <c r="Z338" i="5" s="1"/>
  <c r="AC449" i="5"/>
  <c r="AC473" i="5"/>
  <c r="M490" i="5"/>
  <c r="AC493" i="5"/>
  <c r="AB495" i="5"/>
  <c r="AC506" i="5"/>
  <c r="AB508" i="5"/>
  <c r="AB531" i="5"/>
  <c r="M536" i="5"/>
  <c r="AB548" i="5"/>
  <c r="Q548" i="5"/>
  <c r="AB559" i="5"/>
  <c r="X564" i="5"/>
  <c r="AC564" i="5"/>
  <c r="X566" i="5"/>
  <c r="AC566" i="5"/>
  <c r="AB570" i="5"/>
  <c r="AC588" i="5"/>
  <c r="X588" i="5"/>
  <c r="M597" i="5"/>
  <c r="AC634" i="5"/>
  <c r="X634" i="5"/>
  <c r="M651" i="5"/>
  <c r="M653" i="5"/>
  <c r="AA653" i="5"/>
  <c r="Q655" i="5"/>
  <c r="AB664" i="5"/>
  <c r="AA669" i="5"/>
  <c r="X683" i="5"/>
  <c r="X685" i="5"/>
  <c r="AC685" i="5"/>
  <c r="AC697" i="5"/>
  <c r="AB723" i="5"/>
  <c r="X739" i="5"/>
  <c r="X747" i="5"/>
  <c r="Y747" i="5" s="1"/>
  <c r="Z747" i="5" s="1"/>
  <c r="X749" i="5"/>
  <c r="AC749" i="5"/>
  <c r="Q789" i="5"/>
  <c r="Q801" i="5"/>
  <c r="Q804" i="5"/>
  <c r="AB804" i="5"/>
  <c r="AA833" i="5"/>
  <c r="M833" i="5"/>
  <c r="M838" i="5"/>
  <c r="M846" i="5"/>
  <c r="AA846" i="5"/>
  <c r="AA851" i="5"/>
  <c r="X854" i="5"/>
  <c r="Q857" i="5"/>
  <c r="AB857" i="5"/>
  <c r="M860" i="5"/>
  <c r="AC889" i="5"/>
  <c r="AB900" i="5"/>
  <c r="Q900" i="5"/>
  <c r="Q905" i="5"/>
  <c r="Q924" i="5"/>
  <c r="AC926" i="5"/>
  <c r="M960" i="5"/>
  <c r="AA960" i="5"/>
  <c r="AB970" i="5"/>
  <c r="Q970" i="5"/>
  <c r="Q980" i="5"/>
  <c r="Q952" i="5"/>
  <c r="AB952" i="5"/>
  <c r="M674" i="5"/>
  <c r="AA674" i="5"/>
  <c r="Q756" i="5"/>
  <c r="AB756" i="5"/>
  <c r="X821" i="5"/>
  <c r="AC821" i="5"/>
  <c r="AB834" i="5"/>
  <c r="Q834" i="5"/>
  <c r="AB839" i="5"/>
  <c r="Q839" i="5"/>
  <c r="AC846" i="5"/>
  <c r="X846" i="5"/>
  <c r="M852" i="5"/>
  <c r="AA852" i="5"/>
  <c r="X905" i="5"/>
  <c r="AC905" i="5"/>
  <c r="Q935" i="5"/>
  <c r="Q937" i="5"/>
  <c r="Q1000" i="5"/>
  <c r="Q636" i="5"/>
  <c r="M640" i="5"/>
  <c r="M644" i="5"/>
  <c r="M658" i="5"/>
  <c r="Q680" i="5"/>
  <c r="M688" i="5"/>
  <c r="M699" i="5"/>
  <c r="Y699" i="5" s="1"/>
  <c r="Z699" i="5" s="1"/>
  <c r="M706" i="5"/>
  <c r="AA706" i="5"/>
  <c r="AC714" i="5"/>
  <c r="X717" i="5"/>
  <c r="M754" i="5"/>
  <c r="AC756" i="5"/>
  <c r="X756" i="5"/>
  <c r="AC769" i="5"/>
  <c r="X769" i="5"/>
  <c r="M777" i="5"/>
  <c r="AA777" i="5"/>
  <c r="AC781" i="5"/>
  <c r="M797" i="5"/>
  <c r="Q799" i="5"/>
  <c r="AC817" i="5"/>
  <c r="X817" i="5"/>
  <c r="X841" i="5"/>
  <c r="AA847" i="5"/>
  <c r="M847" i="5"/>
  <c r="Q849" i="5"/>
  <c r="Q860" i="5"/>
  <c r="AB887" i="5"/>
  <c r="Q887" i="5"/>
  <c r="X898" i="5"/>
  <c r="X912" i="5"/>
  <c r="M920" i="5"/>
  <c r="X922" i="5"/>
  <c r="M925" i="5"/>
  <c r="AA925" i="5"/>
  <c r="AC929" i="5"/>
  <c r="X937" i="5"/>
  <c r="AC937" i="5"/>
  <c r="M972" i="5"/>
  <c r="Q974" i="5"/>
  <c r="Q984" i="5"/>
  <c r="AA993" i="5"/>
  <c r="M993" i="5"/>
  <c r="Y993" i="5" s="1"/>
  <c r="Z993" i="5" s="1"/>
  <c r="M998" i="5"/>
  <c r="AA998" i="5"/>
  <c r="AC721" i="5"/>
  <c r="AB754" i="5"/>
  <c r="Q754" i="5"/>
  <c r="M782" i="5"/>
  <c r="AA782" i="5"/>
  <c r="Q810" i="5"/>
  <c r="AB810" i="5"/>
  <c r="AB837" i="5"/>
  <c r="Q837" i="5"/>
  <c r="X860" i="5"/>
  <c r="AC860" i="5"/>
  <c r="AC873" i="5"/>
  <c r="X873" i="5"/>
  <c r="AA927" i="5"/>
  <c r="M948" i="5"/>
  <c r="Y948" i="5" s="1"/>
  <c r="Z948" i="5" s="1"/>
  <c r="AA948" i="5"/>
  <c r="Q972" i="5"/>
  <c r="AB972" i="5"/>
  <c r="Y986" i="5"/>
  <c r="Z986" i="5" s="1"/>
  <c r="Q998" i="5"/>
  <c r="AB998" i="5"/>
  <c r="AA648" i="5"/>
  <c r="AB662" i="5"/>
  <c r="Y668" i="5"/>
  <c r="Z668" i="5" s="1"/>
  <c r="AC670" i="5"/>
  <c r="AA686" i="5"/>
  <c r="AA695" i="5"/>
  <c r="X712" i="5"/>
  <c r="AC712" i="5"/>
  <c r="Q722" i="5"/>
  <c r="AB722" i="5"/>
  <c r="AA729" i="5"/>
  <c r="AC732" i="5"/>
  <c r="X732" i="5"/>
  <c r="Y734" i="5"/>
  <c r="Z734" i="5" s="1"/>
  <c r="AB741" i="5"/>
  <c r="Y757" i="5"/>
  <c r="Z757" i="5" s="1"/>
  <c r="AB763" i="5"/>
  <c r="AC772" i="5"/>
  <c r="X786" i="5"/>
  <c r="AC786" i="5"/>
  <c r="AC795" i="5"/>
  <c r="X795" i="5"/>
  <c r="M840" i="5"/>
  <c r="Y840" i="5" s="1"/>
  <c r="Z840" i="5" s="1"/>
  <c r="AA840" i="5"/>
  <c r="X880" i="5"/>
  <c r="Y880" i="5" s="1"/>
  <c r="Z880" i="5" s="1"/>
  <c r="AC880" i="5"/>
  <c r="AC882" i="5"/>
  <c r="AC917" i="5"/>
  <c r="AC933" i="5"/>
  <c r="X933" i="5"/>
  <c r="AC979" i="5"/>
  <c r="AA988" i="5"/>
  <c r="M996" i="5"/>
  <c r="AA996" i="5"/>
  <c r="B14" i="1"/>
  <c r="X771" i="5"/>
  <c r="Q775" i="5"/>
  <c r="X777" i="5"/>
  <c r="Q788" i="5"/>
  <c r="X812" i="5"/>
  <c r="X824" i="5"/>
  <c r="X836" i="5"/>
  <c r="X838" i="5"/>
  <c r="Q844" i="5"/>
  <c r="X850" i="5"/>
  <c r="M871" i="5"/>
  <c r="M883" i="5"/>
  <c r="Q890" i="5"/>
  <c r="X894" i="5"/>
  <c r="X911" i="5"/>
  <c r="Q942" i="5"/>
  <c r="X946" i="5"/>
  <c r="M954" i="5"/>
  <c r="Y954" i="5" s="1"/>
  <c r="Z954" i="5" s="1"/>
  <c r="AC968" i="5"/>
  <c r="X974" i="5"/>
  <c r="Q976" i="5"/>
  <c r="Y976" i="5" s="1"/>
  <c r="Z976" i="5" s="1"/>
  <c r="Q990" i="5"/>
  <c r="X996" i="5"/>
  <c r="AC799" i="5"/>
  <c r="Q829" i="5"/>
  <c r="M848" i="5"/>
  <c r="AC852" i="5"/>
  <c r="AC858" i="5"/>
  <c r="X867" i="5"/>
  <c r="M869" i="5"/>
  <c r="M874" i="5"/>
  <c r="AC907" i="5"/>
  <c r="M931" i="5"/>
  <c r="M934" i="5"/>
  <c r="AB950" i="5"/>
  <c r="M959" i="5"/>
  <c r="AC964" i="5"/>
  <c r="Y969" i="5"/>
  <c r="Z969" i="5" s="1"/>
  <c r="X994" i="5"/>
  <c r="AC1000" i="5"/>
  <c r="Q781" i="5"/>
  <c r="AA790" i="5"/>
  <c r="AB863" i="5"/>
  <c r="Y866" i="5"/>
  <c r="Z866" i="5" s="1"/>
  <c r="AC916" i="5"/>
  <c r="AB948" i="5"/>
  <c r="AB762" i="5"/>
  <c r="AC784" i="5"/>
  <c r="AB815" i="5"/>
  <c r="AC827" i="5"/>
  <c r="AC842" i="5"/>
  <c r="AB927" i="5"/>
  <c r="AA936" i="5"/>
  <c r="AC954" i="5"/>
  <c r="L544" i="7"/>
  <c r="AA44" i="6"/>
  <c r="X544" i="7" s="1"/>
  <c r="U543" i="7"/>
  <c r="W43" i="6"/>
  <c r="V543" i="7" s="1"/>
  <c r="U155" i="6"/>
  <c r="AA155" i="6"/>
  <c r="W226" i="6"/>
  <c r="AA306" i="6"/>
  <c r="U306" i="6"/>
  <c r="K366" i="6"/>
  <c r="Z366" i="6"/>
  <c r="W373" i="6"/>
  <c r="Z386" i="6"/>
  <c r="K386" i="6"/>
  <c r="K438" i="6"/>
  <c r="Z438" i="6"/>
  <c r="Z548" i="6"/>
  <c r="K548" i="6"/>
  <c r="W548" i="6" s="1"/>
  <c r="U568" i="6"/>
  <c r="W568" i="6" s="1"/>
  <c r="AA568" i="6"/>
  <c r="Z571" i="6"/>
  <c r="K571" i="6"/>
  <c r="AA582" i="6"/>
  <c r="U582" i="6"/>
  <c r="W582" i="6" s="1"/>
  <c r="AA617" i="6"/>
  <c r="U617" i="6"/>
  <c r="W617" i="6" s="1"/>
  <c r="K625" i="6"/>
  <c r="Z625" i="6"/>
  <c r="AA655" i="6"/>
  <c r="U655" i="6"/>
  <c r="W655" i="6" s="1"/>
  <c r="K664" i="6"/>
  <c r="Z664" i="6"/>
  <c r="AA847" i="6"/>
  <c r="U847" i="6"/>
  <c r="W911" i="6"/>
  <c r="U978" i="6"/>
  <c r="AA978" i="6"/>
  <c r="Z995" i="6"/>
  <c r="K995" i="6"/>
  <c r="W995" i="6" s="1"/>
  <c r="Z129" i="6"/>
  <c r="K129" i="6"/>
  <c r="W129" i="6" s="1"/>
  <c r="K191" i="6"/>
  <c r="Z191" i="6"/>
  <c r="K212" i="6"/>
  <c r="Z212" i="6"/>
  <c r="AA366" i="6"/>
  <c r="U366" i="6"/>
  <c r="U412" i="6"/>
  <c r="AA412" i="6"/>
  <c r="K449" i="6"/>
  <c r="Z449" i="6"/>
  <c r="K507" i="6"/>
  <c r="Z507" i="6"/>
  <c r="K553" i="6"/>
  <c r="Z553" i="6"/>
  <c r="K594" i="6"/>
  <c r="Z594" i="6"/>
  <c r="AA602" i="6"/>
  <c r="U602" i="6"/>
  <c r="Z772" i="6"/>
  <c r="K772" i="6"/>
  <c r="AA952" i="6"/>
  <c r="U952" i="6"/>
  <c r="W952" i="6" s="1"/>
  <c r="AA80" i="6"/>
  <c r="U80" i="6"/>
  <c r="Z112" i="6"/>
  <c r="K112" i="6"/>
  <c r="U122" i="6"/>
  <c r="K126" i="6"/>
  <c r="Z126" i="6"/>
  <c r="K149" i="6"/>
  <c r="Z149" i="6"/>
  <c r="K195" i="6"/>
  <c r="AA212" i="6"/>
  <c r="U212" i="6"/>
  <c r="U219" i="6"/>
  <c r="AA226" i="6"/>
  <c r="Z249" i="6"/>
  <c r="K249" i="6"/>
  <c r="K288" i="6"/>
  <c r="U300" i="6"/>
  <c r="K304" i="6"/>
  <c r="Z304" i="6"/>
  <c r="AA310" i="6"/>
  <c r="U379" i="6"/>
  <c r="AA379" i="6"/>
  <c r="AA397" i="6"/>
  <c r="U397" i="6"/>
  <c r="Z409" i="6"/>
  <c r="K409" i="6"/>
  <c r="U438" i="6"/>
  <c r="Z478" i="6"/>
  <c r="K478" i="6"/>
  <c r="AA507" i="6"/>
  <c r="U507" i="6"/>
  <c r="U522" i="6"/>
  <c r="U598" i="6"/>
  <c r="K603" i="6"/>
  <c r="W603" i="6" s="1"/>
  <c r="Z603" i="6"/>
  <c r="K611" i="6"/>
  <c r="Z611" i="6"/>
  <c r="K638" i="6"/>
  <c r="AA652" i="6"/>
  <c r="AA660" i="6"/>
  <c r="U664" i="6"/>
  <c r="Z712" i="6"/>
  <c r="K712" i="6"/>
  <c r="W712" i="6" s="1"/>
  <c r="K718" i="6"/>
  <c r="U752" i="6"/>
  <c r="W752" i="6" s="1"/>
  <c r="AA752" i="6"/>
  <c r="AA760" i="6"/>
  <c r="U776" i="6"/>
  <c r="U827" i="6"/>
  <c r="U831" i="6"/>
  <c r="Z839" i="6"/>
  <c r="K839" i="6"/>
  <c r="K856" i="6"/>
  <c r="Z887" i="6"/>
  <c r="K887" i="6"/>
  <c r="K898" i="6"/>
  <c r="Z903" i="6"/>
  <c r="K903" i="6"/>
  <c r="AA911" i="6"/>
  <c r="Z921" i="6"/>
  <c r="K921" i="6"/>
  <c r="AA995" i="6"/>
  <c r="U142" i="6"/>
  <c r="U503" i="6"/>
  <c r="AA503" i="6"/>
  <c r="U594" i="6"/>
  <c r="Z607" i="6"/>
  <c r="K607" i="6"/>
  <c r="U641" i="6"/>
  <c r="Z661" i="6"/>
  <c r="K661" i="6"/>
  <c r="Z730" i="6"/>
  <c r="K730" i="6"/>
  <c r="Z753" i="6"/>
  <c r="K753" i="6"/>
  <c r="U784" i="6"/>
  <c r="AA784" i="6"/>
  <c r="AA819" i="6"/>
  <c r="U819" i="6"/>
  <c r="U825" i="6"/>
  <c r="W825" i="6" s="1"/>
  <c r="U835" i="6"/>
  <c r="AA848" i="6"/>
  <c r="U848" i="6"/>
  <c r="K942" i="6"/>
  <c r="U945" i="6"/>
  <c r="K957" i="6"/>
  <c r="W957" i="6" s="1"/>
  <c r="U965" i="6"/>
  <c r="U1000" i="6"/>
  <c r="AA13" i="6"/>
  <c r="X513" i="7" s="1"/>
  <c r="K24" i="6"/>
  <c r="Z24" i="6" s="1"/>
  <c r="Z524" i="7" s="1"/>
  <c r="U28" i="6"/>
  <c r="L528" i="7" s="1"/>
  <c r="W38" i="6"/>
  <c r="V538" i="7" s="1"/>
  <c r="K41" i="6"/>
  <c r="U541" i="7" s="1"/>
  <c r="Z56" i="6"/>
  <c r="K68" i="6"/>
  <c r="U74" i="6"/>
  <c r="AA92" i="6"/>
  <c r="K105" i="6"/>
  <c r="K109" i="6"/>
  <c r="Z109" i="6"/>
  <c r="K123" i="6"/>
  <c r="U126" i="6"/>
  <c r="U139" i="6"/>
  <c r="W139" i="6" s="1"/>
  <c r="U149" i="6"/>
  <c r="AA206" i="6"/>
  <c r="Z209" i="6"/>
  <c r="AA223" i="6"/>
  <c r="K227" i="6"/>
  <c r="K258" i="6"/>
  <c r="U304" i="6"/>
  <c r="K311" i="6"/>
  <c r="U324" i="6"/>
  <c r="U328" i="6"/>
  <c r="W328" i="6" s="1"/>
  <c r="U340" i="6"/>
  <c r="W340" i="6" s="1"/>
  <c r="K343" i="6"/>
  <c r="AA367" i="6"/>
  <c r="AA462" i="6"/>
  <c r="U462" i="6"/>
  <c r="U519" i="6"/>
  <c r="Z525" i="6"/>
  <c r="K525" i="6"/>
  <c r="W525" i="6" s="1"/>
  <c r="AA534" i="6"/>
  <c r="AA545" i="6"/>
  <c r="U545" i="6"/>
  <c r="U587" i="6"/>
  <c r="AA587" i="6"/>
  <c r="Z627" i="6"/>
  <c r="K627" i="6"/>
  <c r="Z634" i="6"/>
  <c r="U638" i="6"/>
  <c r="K645" i="6"/>
  <c r="Z649" i="6"/>
  <c r="K688" i="6"/>
  <c r="AA712" i="6"/>
  <c r="AA726" i="6"/>
  <c r="U726" i="6"/>
  <c r="W726" i="6" s="1"/>
  <c r="K761" i="6"/>
  <c r="W761" i="6" s="1"/>
  <c r="U764" i="6"/>
  <c r="W764" i="6" s="1"/>
  <c r="K777" i="6"/>
  <c r="W777" i="6" s="1"/>
  <c r="U823" i="6"/>
  <c r="K832" i="6"/>
  <c r="Z899" i="6"/>
  <c r="K899" i="6"/>
  <c r="B5" i="1"/>
  <c r="A8" i="1" s="1"/>
  <c r="Z20" i="6"/>
  <c r="Z520" i="7" s="1"/>
  <c r="Z38" i="6"/>
  <c r="Z538" i="7" s="1"/>
  <c r="AA56" i="6"/>
  <c r="AA65" i="6"/>
  <c r="Z71" i="6"/>
  <c r="K75" i="6"/>
  <c r="Z75" i="6"/>
  <c r="K120" i="6"/>
  <c r="W120" i="6" s="1"/>
  <c r="K137" i="6"/>
  <c r="AA146" i="6"/>
  <c r="U146" i="6"/>
  <c r="K188" i="6"/>
  <c r="K203" i="6"/>
  <c r="K216" i="6"/>
  <c r="U220" i="6"/>
  <c r="AA242" i="6"/>
  <c r="U246" i="6"/>
  <c r="AA261" i="6"/>
  <c r="U301" i="6"/>
  <c r="K315" i="6"/>
  <c r="Z328" i="6"/>
  <c r="AA350" i="6"/>
  <c r="K354" i="6"/>
  <c r="W354" i="6" s="1"/>
  <c r="K368" i="6"/>
  <c r="W368" i="6" s="1"/>
  <c r="Z368" i="6"/>
  <c r="K391" i="6"/>
  <c r="W391" i="6" s="1"/>
  <c r="U471" i="6"/>
  <c r="U500" i="6"/>
  <c r="U529" i="6"/>
  <c r="U532" i="6"/>
  <c r="AA532" i="6"/>
  <c r="AA688" i="6"/>
  <c r="U688" i="6"/>
  <c r="Z727" i="6"/>
  <c r="K727" i="6"/>
  <c r="W727" i="6" s="1"/>
  <c r="Z764" i="6"/>
  <c r="Z768" i="6"/>
  <c r="Z836" i="6"/>
  <c r="K836" i="6"/>
  <c r="W836" i="6" s="1"/>
  <c r="AA868" i="6"/>
  <c r="U868" i="6"/>
  <c r="AA904" i="6"/>
  <c r="U904" i="6"/>
  <c r="W904" i="6" s="1"/>
  <c r="U922" i="6"/>
  <c r="AA922" i="6"/>
  <c r="K935" i="6"/>
  <c r="W935" i="6" s="1"/>
  <c r="Z935" i="6"/>
  <c r="U957" i="6"/>
  <c r="AA17" i="6"/>
  <c r="X517" i="7" s="1"/>
  <c r="AA49" i="6"/>
  <c r="X549" i="7" s="1"/>
  <c r="K78" i="6"/>
  <c r="W78" i="6" s="1"/>
  <c r="Z78" i="6"/>
  <c r="U98" i="6"/>
  <c r="Z108" i="6"/>
  <c r="AA119" i="6"/>
  <c r="AA145" i="6"/>
  <c r="K152" i="6"/>
  <c r="W152" i="6" s="1"/>
  <c r="AA172" i="6"/>
  <c r="X672" i="7" s="1"/>
  <c r="AA187" i="6"/>
  <c r="U191" i="6"/>
  <c r="Z206" i="6"/>
  <c r="U209" i="6"/>
  <c r="W209" i="6" s="1"/>
  <c r="K220" i="6"/>
  <c r="Z220" i="6"/>
  <c r="K246" i="6"/>
  <c r="U282" i="6"/>
  <c r="W282" i="6" s="1"/>
  <c r="K285" i="6"/>
  <c r="W285" i="6" s="1"/>
  <c r="K301" i="6"/>
  <c r="Z301" i="6"/>
  <c r="AA314" i="6"/>
  <c r="Z318" i="6"/>
  <c r="K318" i="6"/>
  <c r="W318" i="6" s="1"/>
  <c r="U331" i="6"/>
  <c r="AA331" i="6"/>
  <c r="K346" i="6"/>
  <c r="W346" i="6" s="1"/>
  <c r="U353" i="6"/>
  <c r="W353" i="6" s="1"/>
  <c r="U356" i="6"/>
  <c r="W356" i="6" s="1"/>
  <c r="K402" i="6"/>
  <c r="U68" i="6"/>
  <c r="AA71" i="6"/>
  <c r="K96" i="6"/>
  <c r="W96" i="6" s="1"/>
  <c r="K103" i="6"/>
  <c r="Z124" i="6"/>
  <c r="K124" i="6"/>
  <c r="W124" i="6" s="1"/>
  <c r="U137" i="6"/>
  <c r="AA137" i="6"/>
  <c r="Z139" i="6"/>
  <c r="K174" i="6"/>
  <c r="U674" i="7" s="1"/>
  <c r="AA207" i="6"/>
  <c r="U207" i="6"/>
  <c r="Z262" i="6"/>
  <c r="K262" i="6"/>
  <c r="AA315" i="6"/>
  <c r="U315" i="6"/>
  <c r="K351" i="6"/>
  <c r="Z351" i="6"/>
  <c r="Z399" i="6"/>
  <c r="K399" i="6"/>
  <c r="W399" i="6" s="1"/>
  <c r="K460" i="6"/>
  <c r="W460" i="6" s="1"/>
  <c r="Z460" i="6"/>
  <c r="U467" i="6"/>
  <c r="W467" i="6" s="1"/>
  <c r="AA467" i="6"/>
  <c r="Z494" i="6"/>
  <c r="K494" i="6"/>
  <c r="K526" i="6"/>
  <c r="Z526" i="6"/>
  <c r="K673" i="6"/>
  <c r="W673" i="6" s="1"/>
  <c r="Z673" i="6"/>
  <c r="AA705" i="6"/>
  <c r="U705" i="6"/>
  <c r="U713" i="6"/>
  <c r="W713" i="6" s="1"/>
  <c r="AA713" i="6"/>
  <c r="K820" i="6"/>
  <c r="Z820" i="6"/>
  <c r="K892" i="6"/>
  <c r="Z892" i="6"/>
  <c r="K954" i="6"/>
  <c r="Z954" i="6"/>
  <c r="AA4" i="6"/>
  <c r="X504" i="7" s="1"/>
  <c r="W18" i="6"/>
  <c r="V518" i="7" s="1"/>
  <c r="K39" i="6"/>
  <c r="U539" i="7" s="1"/>
  <c r="K57" i="6"/>
  <c r="W57" i="6" s="1"/>
  <c r="U60" i="6"/>
  <c r="Z63" i="6"/>
  <c r="U93" i="6"/>
  <c r="U100" i="6"/>
  <c r="W100" i="6" s="1"/>
  <c r="AA100" i="6"/>
  <c r="AA103" i="6"/>
  <c r="U103" i="6"/>
  <c r="W131" i="6"/>
  <c r="Z140" i="6"/>
  <c r="K140" i="6"/>
  <c r="W169" i="6"/>
  <c r="V669" i="7" s="1"/>
  <c r="U174" i="6"/>
  <c r="L674" i="7" s="1"/>
  <c r="U181" i="6"/>
  <c r="W181" i="6" s="1"/>
  <c r="U216" i="6"/>
  <c r="K243" i="6"/>
  <c r="Z259" i="6"/>
  <c r="K259" i="6"/>
  <c r="W259" i="6" s="1"/>
  <c r="K269" i="6"/>
  <c r="K273" i="6"/>
  <c r="U294" i="6"/>
  <c r="W294" i="6" s="1"/>
  <c r="U305" i="6"/>
  <c r="W305" i="6" s="1"/>
  <c r="U308" i="6"/>
  <c r="K322" i="6"/>
  <c r="W322" i="6" s="1"/>
  <c r="U335" i="6"/>
  <c r="W335" i="6" s="1"/>
  <c r="K344" i="6"/>
  <c r="U388" i="6"/>
  <c r="AA391" i="6"/>
  <c r="K414" i="6"/>
  <c r="U417" i="6"/>
  <c r="K431" i="6"/>
  <c r="U450" i="6"/>
  <c r="W450" i="6" s="1"/>
  <c r="K453" i="6"/>
  <c r="W453" i="6" s="1"/>
  <c r="K483" i="6"/>
  <c r="AA490" i="6"/>
  <c r="K520" i="6"/>
  <c r="AA591" i="6"/>
  <c r="U591" i="6"/>
  <c r="U635" i="6"/>
  <c r="W635" i="6" s="1"/>
  <c r="AA635" i="6"/>
  <c r="U666" i="6"/>
  <c r="W666" i="6" s="1"/>
  <c r="K677" i="6"/>
  <c r="Z684" i="6"/>
  <c r="AA702" i="6"/>
  <c r="Z713" i="6"/>
  <c r="U798" i="6"/>
  <c r="Z801" i="6"/>
  <c r="U805" i="6"/>
  <c r="W805" i="6" s="1"/>
  <c r="AA805" i="6"/>
  <c r="K813" i="6"/>
  <c r="K816" i="6"/>
  <c r="Z816" i="6"/>
  <c r="U892" i="6"/>
  <c r="AA892" i="6"/>
  <c r="Z939" i="6"/>
  <c r="K989" i="6"/>
  <c r="K993" i="6"/>
  <c r="W993" i="6" s="1"/>
  <c r="Z993" i="6"/>
  <c r="Z18" i="6"/>
  <c r="Z518" i="7" s="1"/>
  <c r="Z54" i="6"/>
  <c r="AA63" i="6"/>
  <c r="W66" i="6"/>
  <c r="Z100" i="6"/>
  <c r="W128" i="6"/>
  <c r="K135" i="6"/>
  <c r="Z135" i="6"/>
  <c r="Z169" i="6"/>
  <c r="Z669" i="7" s="1"/>
  <c r="U243" i="6"/>
  <c r="AA243" i="6"/>
  <c r="AA424" i="6"/>
  <c r="U424" i="6"/>
  <c r="W444" i="6"/>
  <c r="Z487" i="6"/>
  <c r="K487" i="6"/>
  <c r="K517" i="6"/>
  <c r="Z517" i="6"/>
  <c r="U520" i="6"/>
  <c r="AA520" i="6"/>
  <c r="K577" i="6"/>
  <c r="Z577" i="6"/>
  <c r="U623" i="6"/>
  <c r="AA623" i="6"/>
  <c r="K696" i="6"/>
  <c r="Z706" i="6"/>
  <c r="K706" i="6"/>
  <c r="Z755" i="6"/>
  <c r="K755" i="6"/>
  <c r="W755" i="6" s="1"/>
  <c r="K796" i="6"/>
  <c r="Z796" i="6"/>
  <c r="Z874" i="6"/>
  <c r="K874" i="6"/>
  <c r="U989" i="6"/>
  <c r="AA989" i="6"/>
  <c r="W29" i="6"/>
  <c r="V529" i="7" s="1"/>
  <c r="AA36" i="6"/>
  <c r="X536" i="7" s="1"/>
  <c r="AA57" i="6"/>
  <c r="Z66" i="6"/>
  <c r="U135" i="6"/>
  <c r="AA135" i="6"/>
  <c r="AA204" i="6"/>
  <c r="U204" i="6"/>
  <c r="AA217" i="6"/>
  <c r="U217" i="6"/>
  <c r="W229" i="6"/>
  <c r="Z280" i="6"/>
  <c r="Z369" i="6"/>
  <c r="K369" i="6"/>
  <c r="W369" i="6" s="1"/>
  <c r="AA375" i="6"/>
  <c r="U375" i="6"/>
  <c r="AA392" i="6"/>
  <c r="U392" i="6"/>
  <c r="Z464" i="6"/>
  <c r="K464" i="6"/>
  <c r="W464" i="6" s="1"/>
  <c r="AA517" i="6"/>
  <c r="U517" i="6"/>
  <c r="U581" i="6"/>
  <c r="W581" i="6" s="1"/>
  <c r="AA581" i="6"/>
  <c r="AA605" i="6"/>
  <c r="U605" i="6"/>
  <c r="W605" i="6" s="1"/>
  <c r="U628" i="6"/>
  <c r="AA628" i="6"/>
  <c r="U658" i="6"/>
  <c r="AA658" i="6"/>
  <c r="AA681" i="6"/>
  <c r="U681" i="6"/>
  <c r="Z739" i="6"/>
  <c r="Z743" i="6"/>
  <c r="K743" i="6"/>
  <c r="Z810" i="6"/>
  <c r="K810" i="6"/>
  <c r="W810" i="6" s="1"/>
  <c r="AA850" i="6"/>
  <c r="U850" i="6"/>
  <c r="AA874" i="6"/>
  <c r="U874" i="6"/>
  <c r="U919" i="6"/>
  <c r="AA919" i="6"/>
  <c r="U981" i="6"/>
  <c r="W981" i="6" s="1"/>
  <c r="AA981" i="6"/>
  <c r="U985" i="6"/>
  <c r="AA985" i="6"/>
  <c r="Z29" i="6"/>
  <c r="Z529" i="7" s="1"/>
  <c r="K97" i="6"/>
  <c r="W97" i="6" s="1"/>
  <c r="Z97" i="6"/>
  <c r="Z118" i="6"/>
  <c r="K118" i="6"/>
  <c r="AA163" i="6"/>
  <c r="U163" i="6"/>
  <c r="K211" i="6"/>
  <c r="U240" i="6"/>
  <c r="K251" i="6"/>
  <c r="W251" i="6" s="1"/>
  <c r="AA255" i="6"/>
  <c r="U255" i="6"/>
  <c r="Z277" i="6"/>
  <c r="K277" i="6"/>
  <c r="W277" i="6" s="1"/>
  <c r="U291" i="6"/>
  <c r="K299" i="6"/>
  <c r="K320" i="6"/>
  <c r="W320" i="6" s="1"/>
  <c r="Z320" i="6"/>
  <c r="Z393" i="6"/>
  <c r="K393" i="6"/>
  <c r="W393" i="6" s="1"/>
  <c r="Z421" i="6"/>
  <c r="K421" i="6"/>
  <c r="K510" i="6"/>
  <c r="Z510" i="6"/>
  <c r="Z620" i="6"/>
  <c r="K620" i="6"/>
  <c r="K700" i="6"/>
  <c r="U703" i="6"/>
  <c r="W703" i="6" s="1"/>
  <c r="AA703" i="6"/>
  <c r="U743" i="6"/>
  <c r="AA743" i="6"/>
  <c r="AA775" i="6"/>
  <c r="U775" i="6"/>
  <c r="K793" i="6"/>
  <c r="U796" i="6"/>
  <c r="K859" i="6"/>
  <c r="U924" i="6"/>
  <c r="AA924" i="6"/>
  <c r="K928" i="6"/>
  <c r="Z928" i="6"/>
  <c r="AA8" i="6"/>
  <c r="X508" i="7" s="1"/>
  <c r="Z42" i="6"/>
  <c r="Z542" i="7" s="1"/>
  <c r="AA52" i="6"/>
  <c r="X552" i="7" s="1"/>
  <c r="AA61" i="6"/>
  <c r="U64" i="6"/>
  <c r="AA64" i="6"/>
  <c r="AA76" i="6"/>
  <c r="U91" i="6"/>
  <c r="U159" i="6"/>
  <c r="AA159" i="6"/>
  <c r="U201" i="6"/>
  <c r="W201" i="6" s="1"/>
  <c r="AA201" i="6"/>
  <c r="K270" i="6"/>
  <c r="AA295" i="6"/>
  <c r="K306" i="6"/>
  <c r="K339" i="6"/>
  <c r="Z339" i="6"/>
  <c r="AA358" i="6"/>
  <c r="K362" i="6"/>
  <c r="W362" i="6" s="1"/>
  <c r="K415" i="6"/>
  <c r="W415" i="6" s="1"/>
  <c r="U421" i="6"/>
  <c r="AA421" i="6"/>
  <c r="K433" i="6"/>
  <c r="Z433" i="6"/>
  <c r="U440" i="6"/>
  <c r="AA484" i="6"/>
  <c r="U484" i="6"/>
  <c r="W484" i="6" s="1"/>
  <c r="AA510" i="6"/>
  <c r="U510" i="6"/>
  <c r="AA547" i="6"/>
  <c r="U547" i="6"/>
  <c r="K559" i="6"/>
  <c r="AA563" i="6"/>
  <c r="AA574" i="6"/>
  <c r="U574" i="6"/>
  <c r="W574" i="6" s="1"/>
  <c r="AA578" i="6"/>
  <c r="U578" i="6"/>
  <c r="Z593" i="6"/>
  <c r="K593" i="6"/>
  <c r="AA620" i="6"/>
  <c r="U620" i="6"/>
  <c r="AA686" i="6"/>
  <c r="U686" i="6"/>
  <c r="K693" i="6"/>
  <c r="K697" i="6"/>
  <c r="W697" i="6" s="1"/>
  <c r="Z843" i="6"/>
  <c r="K843" i="6"/>
  <c r="Z969" i="6"/>
  <c r="K969" i="6"/>
  <c r="W969" i="6" s="1"/>
  <c r="W121" i="6"/>
  <c r="K481" i="6"/>
  <c r="Z481" i="6"/>
  <c r="AA535" i="6"/>
  <c r="U535" i="6"/>
  <c r="Z560" i="6"/>
  <c r="K560" i="6"/>
  <c r="U611" i="6"/>
  <c r="AA611" i="6"/>
  <c r="U642" i="6"/>
  <c r="AA642" i="6"/>
  <c r="AA723" i="6"/>
  <c r="U723" i="6"/>
  <c r="W723" i="6" s="1"/>
  <c r="AA740" i="6"/>
  <c r="U740" i="6"/>
  <c r="Z751" i="6"/>
  <c r="K751" i="6"/>
  <c r="Z900" i="6"/>
  <c r="K900" i="6"/>
  <c r="AA928" i="6"/>
  <c r="U928" i="6"/>
  <c r="U227" i="6"/>
  <c r="W244" i="6"/>
  <c r="K286" i="6"/>
  <c r="W286" i="6" s="1"/>
  <c r="U289" i="6"/>
  <c r="K293" i="6"/>
  <c r="W297" i="6"/>
  <c r="U299" i="6"/>
  <c r="W383" i="6"/>
  <c r="U431" i="6"/>
  <c r="K446" i="6"/>
  <c r="Z446" i="6"/>
  <c r="K472" i="6"/>
  <c r="W472" i="6" s="1"/>
  <c r="Z472" i="6"/>
  <c r="K475" i="6"/>
  <c r="Z596" i="6"/>
  <c r="K596" i="6"/>
  <c r="Z643" i="6"/>
  <c r="K643" i="6"/>
  <c r="W643" i="6" s="1"/>
  <c r="W679" i="6"/>
  <c r="K685" i="6"/>
  <c r="U758" i="6"/>
  <c r="AA758" i="6"/>
  <c r="U780" i="6"/>
  <c r="AA780" i="6"/>
  <c r="W842" i="6"/>
  <c r="U856" i="6"/>
  <c r="K882" i="6"/>
  <c r="W882" i="6" s="1"/>
  <c r="K885" i="6"/>
  <c r="AA889" i="6"/>
  <c r="U889" i="6"/>
  <c r="U913" i="6"/>
  <c r="K937" i="6"/>
  <c r="W937" i="6" s="1"/>
  <c r="K986" i="6"/>
  <c r="W986" i="6" s="1"/>
  <c r="Z986" i="6"/>
  <c r="AA69" i="6"/>
  <c r="U72" i="6"/>
  <c r="W72" i="6" s="1"/>
  <c r="W85" i="6"/>
  <c r="AA129" i="6"/>
  <c r="K156" i="6"/>
  <c r="U183" i="6"/>
  <c r="W183" i="6" s="1"/>
  <c r="K186" i="6"/>
  <c r="K202" i="6"/>
  <c r="W202" i="6" s="1"/>
  <c r="W316" i="6"/>
  <c r="W337" i="6"/>
  <c r="W364" i="6"/>
  <c r="AA406" i="6"/>
  <c r="U406" i="6"/>
  <c r="Z442" i="6"/>
  <c r="K442" i="6"/>
  <c r="AA521" i="6"/>
  <c r="U521" i="6"/>
  <c r="AA596" i="6"/>
  <c r="U596" i="6"/>
  <c r="AA636" i="6"/>
  <c r="U636" i="6"/>
  <c r="W636" i="6" s="1"/>
  <c r="Z665" i="6"/>
  <c r="K665" i="6"/>
  <c r="U751" i="6"/>
  <c r="K759" i="6"/>
  <c r="Z759" i="6"/>
  <c r="K774" i="6"/>
  <c r="K781" i="6"/>
  <c r="W781" i="6" s="1"/>
  <c r="Z781" i="6"/>
  <c r="K817" i="6"/>
  <c r="Z864" i="6"/>
  <c r="K864" i="6"/>
  <c r="W864" i="6" s="1"/>
  <c r="Z872" i="6"/>
  <c r="K872" i="6"/>
  <c r="AA917" i="6"/>
  <c r="U921" i="6"/>
  <c r="Z947" i="6"/>
  <c r="K947" i="6"/>
  <c r="W947" i="6" s="1"/>
  <c r="K971" i="6"/>
  <c r="U974" i="6"/>
  <c r="K979" i="6"/>
  <c r="AA990" i="6"/>
  <c r="U990" i="6"/>
  <c r="U177" i="6"/>
  <c r="AA180" i="6"/>
  <c r="Z183" i="6"/>
  <c r="Z218" i="6"/>
  <c r="U252" i="6"/>
  <c r="U256" i="6"/>
  <c r="Z265" i="6"/>
  <c r="U268" i="6"/>
  <c r="K307" i="6"/>
  <c r="K313" i="6"/>
  <c r="W313" i="6" s="1"/>
  <c r="K326" i="6"/>
  <c r="W326" i="6" s="1"/>
  <c r="U360" i="6"/>
  <c r="AA383" i="6"/>
  <c r="K396" i="6"/>
  <c r="U403" i="6"/>
  <c r="W403" i="6" s="1"/>
  <c r="AA403" i="6"/>
  <c r="Z416" i="6"/>
  <c r="Z436" i="6"/>
  <c r="K436" i="6"/>
  <c r="W436" i="6" s="1"/>
  <c r="U442" i="6"/>
  <c r="AA442" i="6"/>
  <c r="AA461" i="6"/>
  <c r="AA472" i="6"/>
  <c r="Z498" i="6"/>
  <c r="K501" i="6"/>
  <c r="W501" i="6" s="1"/>
  <c r="Z508" i="6"/>
  <c r="K508" i="6"/>
  <c r="U536" i="6"/>
  <c r="W536" i="6" s="1"/>
  <c r="AA536" i="6"/>
  <c r="AA554" i="6"/>
  <c r="U554" i="6"/>
  <c r="W554" i="6" s="1"/>
  <c r="W586" i="6"/>
  <c r="W589" i="6"/>
  <c r="K592" i="6"/>
  <c r="AA600" i="6"/>
  <c r="U600" i="6"/>
  <c r="AA604" i="6"/>
  <c r="Z608" i="6"/>
  <c r="K608" i="6"/>
  <c r="K626" i="6"/>
  <c r="K630" i="6"/>
  <c r="W630" i="6" s="1"/>
  <c r="Z630" i="6"/>
  <c r="Z633" i="6"/>
  <c r="K633" i="6"/>
  <c r="Z636" i="6"/>
  <c r="Z640" i="6"/>
  <c r="K640" i="6"/>
  <c r="W640" i="6" s="1"/>
  <c r="K662" i="6"/>
  <c r="W662" i="6" s="1"/>
  <c r="Z662" i="6"/>
  <c r="U685" i="6"/>
  <c r="AA694" i="6"/>
  <c r="U694" i="6"/>
  <c r="U707" i="6"/>
  <c r="Z710" i="6"/>
  <c r="AA724" i="6"/>
  <c r="K731" i="6"/>
  <c r="W731" i="6" s="1"/>
  <c r="Z811" i="6"/>
  <c r="K811" i="6"/>
  <c r="W811" i="6" s="1"/>
  <c r="K846" i="6"/>
  <c r="AA882" i="6"/>
  <c r="K933" i="6"/>
  <c r="W933" i="6" s="1"/>
  <c r="K941" i="6"/>
  <c r="W941" i="6" s="1"/>
  <c r="Z941" i="6"/>
  <c r="K110" i="6"/>
  <c r="K119" i="6"/>
  <c r="W119" i="6" s="1"/>
  <c r="K130" i="6"/>
  <c r="W130" i="6" s="1"/>
  <c r="K153" i="6"/>
  <c r="W153" i="6" s="1"/>
  <c r="AA189" i="6"/>
  <c r="Z205" i="6"/>
  <c r="W215" i="6"/>
  <c r="AA218" i="6"/>
  <c r="Z241" i="6"/>
  <c r="Z244" i="6"/>
  <c r="AA290" i="6"/>
  <c r="Z297" i="6"/>
  <c r="U342" i="6"/>
  <c r="W342" i="6" s="1"/>
  <c r="K367" i="6"/>
  <c r="W367" i="6" s="1"/>
  <c r="K489" i="6"/>
  <c r="W489" i="6" s="1"/>
  <c r="U493" i="6"/>
  <c r="W493" i="6" s="1"/>
  <c r="AA493" i="6"/>
  <c r="U508" i="6"/>
  <c r="AA508" i="6"/>
  <c r="AA540" i="6"/>
  <c r="U540" i="6"/>
  <c r="U550" i="6"/>
  <c r="Z583" i="6"/>
  <c r="K583" i="6"/>
  <c r="Z589" i="6"/>
  <c r="U592" i="6"/>
  <c r="AA592" i="6"/>
  <c r="K597" i="6"/>
  <c r="U608" i="6"/>
  <c r="AA608" i="6"/>
  <c r="K651" i="6"/>
  <c r="Z651" i="6"/>
  <c r="K658" i="6"/>
  <c r="K672" i="6"/>
  <c r="W672" i="6" s="1"/>
  <c r="Z679" i="6"/>
  <c r="K738" i="6"/>
  <c r="Z738" i="6"/>
  <c r="U756" i="6"/>
  <c r="W756" i="6" s="1"/>
  <c r="AA756" i="6"/>
  <c r="U766" i="6"/>
  <c r="K775" i="6"/>
  <c r="Z775" i="6"/>
  <c r="AA800" i="6"/>
  <c r="Z804" i="6"/>
  <c r="K808" i="6"/>
  <c r="W808" i="6" s="1"/>
  <c r="K818" i="6"/>
  <c r="Z818" i="6"/>
  <c r="Z842" i="6"/>
  <c r="Z857" i="6"/>
  <c r="Z897" i="6"/>
  <c r="K897" i="6"/>
  <c r="AA906" i="6"/>
  <c r="Z922" i="6"/>
  <c r="K922" i="6"/>
  <c r="K960" i="6"/>
  <c r="W960" i="6" s="1"/>
  <c r="Z960" i="6"/>
  <c r="Z968" i="6"/>
  <c r="U971" i="6"/>
  <c r="W457" i="6"/>
  <c r="K686" i="6"/>
  <c r="Z686" i="6"/>
  <c r="W714" i="6"/>
  <c r="Z847" i="6"/>
  <c r="K847" i="6"/>
  <c r="AA857" i="6"/>
  <c r="U857" i="6"/>
  <c r="W857" i="6" s="1"/>
  <c r="W890" i="6"/>
  <c r="AA940" i="6"/>
  <c r="U940" i="6"/>
  <c r="W958" i="6"/>
  <c r="W991" i="6"/>
  <c r="AA499" i="6"/>
  <c r="U499" i="6"/>
  <c r="W515" i="6"/>
  <c r="W539" i="6"/>
  <c r="U551" i="6"/>
  <c r="AA551" i="6"/>
  <c r="AA649" i="6"/>
  <c r="K668" i="6"/>
  <c r="Z668" i="6"/>
  <c r="U680" i="6"/>
  <c r="AA680" i="6"/>
  <c r="AA714" i="6"/>
  <c r="W735" i="6"/>
  <c r="Z785" i="6"/>
  <c r="K785" i="6"/>
  <c r="W785" i="6" s="1"/>
  <c r="K877" i="6"/>
  <c r="Z877" i="6"/>
  <c r="AA880" i="6"/>
  <c r="U880" i="6"/>
  <c r="Z912" i="6"/>
  <c r="K912" i="6"/>
  <c r="Z955" i="6"/>
  <c r="K955" i="6"/>
  <c r="U962" i="6"/>
  <c r="W962" i="6" s="1"/>
  <c r="AA962" i="6"/>
  <c r="U966" i="6"/>
  <c r="W966" i="6" s="1"/>
  <c r="AA969" i="6"/>
  <c r="Z998" i="6"/>
  <c r="K998" i="6"/>
  <c r="W451" i="6"/>
  <c r="W458" i="6"/>
  <c r="W509" i="6"/>
  <c r="W543" i="6"/>
  <c r="K606" i="6"/>
  <c r="W606" i="6" s="1"/>
  <c r="Z606" i="6"/>
  <c r="Z612" i="6"/>
  <c r="K612" i="6"/>
  <c r="K646" i="6"/>
  <c r="U659" i="6"/>
  <c r="AA662" i="6"/>
  <c r="Z723" i="6"/>
  <c r="Z726" i="6"/>
  <c r="U738" i="6"/>
  <c r="AA762" i="6"/>
  <c r="U765" i="6"/>
  <c r="W765" i="6" s="1"/>
  <c r="K769" i="6"/>
  <c r="AA778" i="6"/>
  <c r="U818" i="6"/>
  <c r="U821" i="6"/>
  <c r="W821" i="6" s="1"/>
  <c r="AA836" i="6"/>
  <c r="U840" i="6"/>
  <c r="AA840" i="6"/>
  <c r="AA854" i="6"/>
  <c r="U854" i="6"/>
  <c r="U867" i="6"/>
  <c r="U887" i="6"/>
  <c r="K901" i="6"/>
  <c r="Z901" i="6"/>
  <c r="AA930" i="6"/>
  <c r="AA958" i="6"/>
  <c r="Z966" i="6"/>
  <c r="AA983" i="6"/>
  <c r="U983" i="6"/>
  <c r="K994" i="6"/>
  <c r="U998" i="6"/>
  <c r="AA998" i="6"/>
  <c r="Z482" i="6"/>
  <c r="K482" i="6"/>
  <c r="Z609" i="6"/>
  <c r="K609" i="6"/>
  <c r="W609" i="6" s="1"/>
  <c r="W634" i="6"/>
  <c r="K660" i="6"/>
  <c r="W660" i="6" s="1"/>
  <c r="Z660" i="6"/>
  <c r="W724" i="6"/>
  <c r="K760" i="6"/>
  <c r="W760" i="6" s="1"/>
  <c r="Z760" i="6"/>
  <c r="W822" i="6"/>
  <c r="K851" i="6"/>
  <c r="Z851" i="6"/>
  <c r="Z855" i="6"/>
  <c r="K855" i="6"/>
  <c r="Z977" i="6"/>
  <c r="K977" i="6"/>
  <c r="W977" i="6" s="1"/>
  <c r="Z863" i="6"/>
  <c r="Z925" i="6"/>
  <c r="W970" i="6"/>
  <c r="K950" i="6"/>
  <c r="W950" i="6" s="1"/>
  <c r="K961" i="6"/>
  <c r="C13" i="2"/>
  <c r="AL3" i="3"/>
  <c r="L18" i="7"/>
  <c r="AM3" i="3"/>
  <c r="L3" i="7"/>
  <c r="L5" i="7"/>
  <c r="X30" i="5"/>
  <c r="U30" i="7" s="1"/>
  <c r="AC30" i="5"/>
  <c r="Z30" i="7" s="1"/>
  <c r="Q69" i="5"/>
  <c r="AB69" i="5"/>
  <c r="AB82" i="5"/>
  <c r="Q82" i="5"/>
  <c r="AA87" i="5"/>
  <c r="M87" i="5"/>
  <c r="Y87" i="5" s="1"/>
  <c r="Z87" i="5" s="1"/>
  <c r="M96" i="5"/>
  <c r="AA96" i="5"/>
  <c r="M100" i="5"/>
  <c r="AA100" i="5"/>
  <c r="X153" i="5"/>
  <c r="AC153" i="5"/>
  <c r="AC157" i="5"/>
  <c r="X157" i="5"/>
  <c r="Y157" i="5" s="1"/>
  <c r="Z157" i="5" s="1"/>
  <c r="Q162" i="5"/>
  <c r="AB162" i="5"/>
  <c r="M196" i="5"/>
  <c r="AA196" i="5"/>
  <c r="M234" i="5"/>
  <c r="Y234" i="5" s="1"/>
  <c r="Z234" i="5" s="1"/>
  <c r="AA234" i="5"/>
  <c r="AC283" i="5"/>
  <c r="X283" i="5"/>
  <c r="AC344" i="5"/>
  <c r="X344" i="5"/>
  <c r="X374" i="5"/>
  <c r="Y374" i="5" s="1"/>
  <c r="Z374" i="5" s="1"/>
  <c r="AC374" i="5"/>
  <c r="M434" i="5"/>
  <c r="AA434" i="5"/>
  <c r="AB455" i="5"/>
  <c r="Q455" i="5"/>
  <c r="AA464" i="5"/>
  <c r="M464" i="5"/>
  <c r="Q638" i="5"/>
  <c r="AB638" i="5"/>
  <c r="AC738" i="5"/>
  <c r="X738" i="5"/>
  <c r="M741" i="5"/>
  <c r="AA741" i="5"/>
  <c r="Q8" i="5"/>
  <c r="O8" i="7" s="1"/>
  <c r="X14" i="5"/>
  <c r="U14" i="7" s="1"/>
  <c r="AA18" i="5"/>
  <c r="X18" i="7" s="1"/>
  <c r="Q23" i="5"/>
  <c r="O23" i="7" s="1"/>
  <c r="Y27" i="5"/>
  <c r="M29" i="5"/>
  <c r="M34" i="5"/>
  <c r="AA41" i="5"/>
  <c r="X41" i="7" s="1"/>
  <c r="M48" i="5"/>
  <c r="Y48" i="5" s="1"/>
  <c r="Z48" i="5" s="1"/>
  <c r="AA48" i="5"/>
  <c r="AC55" i="5"/>
  <c r="X55" i="5"/>
  <c r="X60" i="5"/>
  <c r="M91" i="5"/>
  <c r="X103" i="5"/>
  <c r="X122" i="5"/>
  <c r="Q148" i="5"/>
  <c r="Q159" i="5"/>
  <c r="M205" i="5"/>
  <c r="AA205" i="5"/>
  <c r="AA212" i="5"/>
  <c r="M212" i="5"/>
  <c r="AB248" i="5"/>
  <c r="Q248" i="5"/>
  <c r="AC253" i="5"/>
  <c r="X253" i="5"/>
  <c r="AA296" i="5"/>
  <c r="M296" i="5"/>
  <c r="Q316" i="5"/>
  <c r="AB316" i="5"/>
  <c r="AB334" i="5"/>
  <c r="Q334" i="5"/>
  <c r="AB356" i="5"/>
  <c r="Q356" i="5"/>
  <c r="AB462" i="5"/>
  <c r="Q462" i="5"/>
  <c r="Y462" i="5" s="1"/>
  <c r="Z462" i="5" s="1"/>
  <c r="AC573" i="5"/>
  <c r="X573" i="5"/>
  <c r="X600" i="5"/>
  <c r="AC600" i="5"/>
  <c r="X640" i="5"/>
  <c r="AC640" i="5"/>
  <c r="M650" i="5"/>
  <c r="AA650" i="5"/>
  <c r="X655" i="5"/>
  <c r="M708" i="5"/>
  <c r="Y708" i="5" s="1"/>
  <c r="Z708" i="5" s="1"/>
  <c r="AA708" i="5"/>
  <c r="M714" i="5"/>
  <c r="AB716" i="5"/>
  <c r="Q716" i="5"/>
  <c r="AB730" i="5"/>
  <c r="Q730" i="5"/>
  <c r="AC11" i="5"/>
  <c r="Z11" i="7" s="1"/>
  <c r="X11" i="5"/>
  <c r="L13" i="7"/>
  <c r="Y13" i="5"/>
  <c r="M74" i="5"/>
  <c r="AA74" i="5"/>
  <c r="AA79" i="5"/>
  <c r="M79" i="5"/>
  <c r="Y79" i="5" s="1"/>
  <c r="Z79" i="5" s="1"/>
  <c r="AC119" i="5"/>
  <c r="X119" i="5"/>
  <c r="M136" i="5"/>
  <c r="Y136" i="5" s="1"/>
  <c r="Z136" i="5" s="1"/>
  <c r="AA136" i="5"/>
  <c r="AA145" i="5"/>
  <c r="M145" i="5"/>
  <c r="X177" i="5"/>
  <c r="Q196" i="5"/>
  <c r="Q205" i="5"/>
  <c r="AB205" i="5"/>
  <c r="M214" i="5"/>
  <c r="AA214" i="5"/>
  <c r="AB226" i="5"/>
  <c r="Q226" i="5"/>
  <c r="M229" i="5"/>
  <c r="AA229" i="5"/>
  <c r="AB240" i="5"/>
  <c r="Q240" i="5"/>
  <c r="X246" i="5"/>
  <c r="AC246" i="5"/>
  <c r="AC248" i="5"/>
  <c r="X248" i="5"/>
  <c r="M250" i="5"/>
  <c r="AA250" i="5"/>
  <c r="AA261" i="5"/>
  <c r="M261" i="5"/>
  <c r="M273" i="5"/>
  <c r="AB322" i="5"/>
  <c r="Q322" i="5"/>
  <c r="Q352" i="5"/>
  <c r="AB352" i="5"/>
  <c r="AB403" i="5"/>
  <c r="Q403" i="5"/>
  <c r="X455" i="5"/>
  <c r="AB475" i="5"/>
  <c r="X499" i="5"/>
  <c r="AA510" i="5"/>
  <c r="M510" i="5"/>
  <c r="AC512" i="5"/>
  <c r="X512" i="5"/>
  <c r="AB528" i="5"/>
  <c r="Q528" i="5"/>
  <c r="Y528" i="5" s="1"/>
  <c r="Z528" i="5" s="1"/>
  <c r="X630" i="5"/>
  <c r="AC630" i="5"/>
  <c r="AB681" i="5"/>
  <c r="Q681" i="5"/>
  <c r="AC730" i="5"/>
  <c r="X730" i="5"/>
  <c r="AB822" i="5"/>
  <c r="Q822" i="5"/>
  <c r="Y822" i="5" s="1"/>
  <c r="Z822" i="5" s="1"/>
  <c r="AC829" i="5"/>
  <c r="X829" i="5"/>
  <c r="AB848" i="5"/>
  <c r="Q848" i="5"/>
  <c r="M2" i="5"/>
  <c r="AA2" i="5"/>
  <c r="X2" i="7" s="1"/>
  <c r="AB10" i="5"/>
  <c r="Y10" i="7" s="1"/>
  <c r="Q10" i="5"/>
  <c r="Q34" i="5"/>
  <c r="O34" i="7" s="1"/>
  <c r="M40" i="5"/>
  <c r="Q45" i="5"/>
  <c r="Y45" i="5" s="1"/>
  <c r="Z45" i="5" s="1"/>
  <c r="X66" i="5"/>
  <c r="Y66" i="5" s="1"/>
  <c r="Z66" i="5" s="1"/>
  <c r="AC66" i="5"/>
  <c r="Q91" i="5"/>
  <c r="AA94" i="5"/>
  <c r="M102" i="5"/>
  <c r="Q105" i="5"/>
  <c r="AB105" i="5"/>
  <c r="Q107" i="5"/>
  <c r="Q113" i="5"/>
  <c r="AB118" i="5"/>
  <c r="Q118" i="5"/>
  <c r="AA123" i="5"/>
  <c r="M123" i="5"/>
  <c r="M132" i="5"/>
  <c r="AA132" i="5"/>
  <c r="Q174" i="5"/>
  <c r="AB174" i="5"/>
  <c r="AC181" i="5"/>
  <c r="X181" i="5"/>
  <c r="Y181" i="5" s="1"/>
  <c r="Z181" i="5" s="1"/>
  <c r="AC196" i="5"/>
  <c r="X196" i="5"/>
  <c r="AB257" i="5"/>
  <c r="Q257" i="5"/>
  <c r="AB261" i="5"/>
  <c r="Q261" i="5"/>
  <c r="AB273" i="5"/>
  <c r="Q273" i="5"/>
  <c r="M298" i="5"/>
  <c r="Q332" i="5"/>
  <c r="AC347" i="5"/>
  <c r="X347" i="5"/>
  <c r="AA354" i="5"/>
  <c r="M354" i="5"/>
  <c r="M406" i="5"/>
  <c r="AA406" i="5"/>
  <c r="Q420" i="5"/>
  <c r="X451" i="5"/>
  <c r="AC475" i="5"/>
  <c r="AA500" i="5"/>
  <c r="M500" i="5"/>
  <c r="AC518" i="5"/>
  <c r="X518" i="5"/>
  <c r="AC550" i="5"/>
  <c r="X550" i="5"/>
  <c r="X611" i="5"/>
  <c r="M639" i="5"/>
  <c r="Y639" i="5" s="1"/>
  <c r="Z639" i="5" s="1"/>
  <c r="AA639" i="5"/>
  <c r="M641" i="5"/>
  <c r="Q652" i="5"/>
  <c r="AB652" i="5"/>
  <c r="AB739" i="5"/>
  <c r="Q739" i="5"/>
  <c r="AA7" i="5"/>
  <c r="X7" i="7" s="1"/>
  <c r="M7" i="5"/>
  <c r="AA15" i="5"/>
  <c r="X15" i="7" s="1"/>
  <c r="M15" i="5"/>
  <c r="Q40" i="5"/>
  <c r="O40" i="7" s="1"/>
  <c r="AB40" i="5"/>
  <c r="Y40" i="7" s="1"/>
  <c r="M50" i="5"/>
  <c r="AA50" i="5"/>
  <c r="M84" i="5"/>
  <c r="Y84" i="5" s="1"/>
  <c r="Z84" i="5" s="1"/>
  <c r="AA84" i="5"/>
  <c r="AC91" i="5"/>
  <c r="X91" i="5"/>
  <c r="AC114" i="5"/>
  <c r="AA138" i="5"/>
  <c r="M138" i="5"/>
  <c r="AA158" i="5"/>
  <c r="M158" i="5"/>
  <c r="AC169" i="5"/>
  <c r="X169" i="5"/>
  <c r="X174" i="5"/>
  <c r="AC174" i="5"/>
  <c r="AC191" i="5"/>
  <c r="X191" i="5"/>
  <c r="M193" i="5"/>
  <c r="Y193" i="5" s="1"/>
  <c r="Z193" i="5" s="1"/>
  <c r="AA193" i="5"/>
  <c r="AA223" i="5"/>
  <c r="M223" i="5"/>
  <c r="Y223" i="5" s="1"/>
  <c r="Z223" i="5" s="1"/>
  <c r="X257" i="5"/>
  <c r="AC257" i="5"/>
  <c r="M259" i="5"/>
  <c r="Y259" i="5" s="1"/>
  <c r="Z259" i="5" s="1"/>
  <c r="AA259" i="5"/>
  <c r="X296" i="5"/>
  <c r="AC296" i="5"/>
  <c r="AB310" i="5"/>
  <c r="Q310" i="5"/>
  <c r="Q367" i="5"/>
  <c r="AB367" i="5"/>
  <c r="M386" i="5"/>
  <c r="AA386" i="5"/>
  <c r="M413" i="5"/>
  <c r="Y413" i="5" s="1"/>
  <c r="Z413" i="5" s="1"/>
  <c r="AA413" i="5"/>
  <c r="X420" i="5"/>
  <c r="AC420" i="5"/>
  <c r="Q604" i="5"/>
  <c r="AB604" i="5"/>
  <c r="Q623" i="5"/>
  <c r="AB623" i="5"/>
  <c r="AA633" i="5"/>
  <c r="M633" i="5"/>
  <c r="AC698" i="5"/>
  <c r="AC925" i="5"/>
  <c r="X925" i="5"/>
  <c r="U505" i="7"/>
  <c r="X10" i="5"/>
  <c r="U10" i="7" s="1"/>
  <c r="L19" i="7"/>
  <c r="AA21" i="5"/>
  <c r="X21" i="7" s="1"/>
  <c r="M21" i="5"/>
  <c r="X40" i="5"/>
  <c r="U40" i="7" s="1"/>
  <c r="AC40" i="5"/>
  <c r="Z40" i="7" s="1"/>
  <c r="AB48" i="5"/>
  <c r="Q50" i="5"/>
  <c r="AB50" i="5"/>
  <c r="AC88" i="5"/>
  <c r="M110" i="5"/>
  <c r="Y110" i="5" s="1"/>
  <c r="Z110" i="5" s="1"/>
  <c r="AA110" i="5"/>
  <c r="AA115" i="5"/>
  <c r="M115" i="5"/>
  <c r="Y115" i="5" s="1"/>
  <c r="Z115" i="5" s="1"/>
  <c r="X118" i="5"/>
  <c r="Q132" i="5"/>
  <c r="AC145" i="5"/>
  <c r="X145" i="5"/>
  <c r="M149" i="5"/>
  <c r="AA149" i="5"/>
  <c r="AC154" i="5"/>
  <c r="X154" i="5"/>
  <c r="AB181" i="5"/>
  <c r="AC214" i="5"/>
  <c r="X214" i="5"/>
  <c r="Q238" i="5"/>
  <c r="AB238" i="5"/>
  <c r="Q291" i="5"/>
  <c r="AB291" i="5"/>
  <c r="AA306" i="5"/>
  <c r="M306" i="5"/>
  <c r="Y306" i="5" s="1"/>
  <c r="Z306" i="5" s="1"/>
  <c r="AC320" i="5"/>
  <c r="X320" i="5"/>
  <c r="Y320" i="5" s="1"/>
  <c r="Z320" i="5" s="1"/>
  <c r="X324" i="5"/>
  <c r="AC324" i="5"/>
  <c r="X330" i="5"/>
  <c r="Y330" i="5" s="1"/>
  <c r="Z330" i="5" s="1"/>
  <c r="AC330" i="5"/>
  <c r="AC345" i="5"/>
  <c r="X345" i="5"/>
  <c r="Q408" i="5"/>
  <c r="AB408" i="5"/>
  <c r="Q448" i="5"/>
  <c r="AB448" i="5"/>
  <c r="Q496" i="5"/>
  <c r="Y496" i="5" s="1"/>
  <c r="Z496" i="5" s="1"/>
  <c r="AB496" i="5"/>
  <c r="M498" i="5"/>
  <c r="Y498" i="5" s="1"/>
  <c r="Z498" i="5" s="1"/>
  <c r="AA498" i="5"/>
  <c r="AB522" i="5"/>
  <c r="Q522" i="5"/>
  <c r="AA687" i="5"/>
  <c r="M687" i="5"/>
  <c r="AA691" i="5"/>
  <c r="M691" i="5"/>
  <c r="AB751" i="5"/>
  <c r="Q751" i="5"/>
  <c r="Y751" i="5" s="1"/>
  <c r="Z751" i="5" s="1"/>
  <c r="AA5" i="5"/>
  <c r="X5" i="7" s="1"/>
  <c r="M28" i="5"/>
  <c r="AA28" i="5"/>
  <c r="X28" i="7" s="1"/>
  <c r="Y37" i="5"/>
  <c r="M39" i="5"/>
  <c r="M44" i="5"/>
  <c r="X56" i="5"/>
  <c r="Q65" i="5"/>
  <c r="Q70" i="5"/>
  <c r="M76" i="5"/>
  <c r="Q81" i="5"/>
  <c r="X102" i="5"/>
  <c r="AC102" i="5"/>
  <c r="Q127" i="5"/>
  <c r="Q138" i="5"/>
  <c r="M160" i="5"/>
  <c r="AA160" i="5"/>
  <c r="AA174" i="5"/>
  <c r="AC189" i="5"/>
  <c r="AB212" i="5"/>
  <c r="Q231" i="5"/>
  <c r="AB231" i="5"/>
  <c r="M247" i="5"/>
  <c r="Q270" i="5"/>
  <c r="AC277" i="5"/>
  <c r="X277" i="5"/>
  <c r="Y277" i="5" s="1"/>
  <c r="Z277" i="5" s="1"/>
  <c r="Q282" i="5"/>
  <c r="Q312" i="5"/>
  <c r="AC373" i="5"/>
  <c r="X373" i="5"/>
  <c r="Y373" i="5" s="1"/>
  <c r="Z373" i="5" s="1"/>
  <c r="M410" i="5"/>
  <c r="AA410" i="5"/>
  <c r="Q417" i="5"/>
  <c r="AA435" i="5"/>
  <c r="M435" i="5"/>
  <c r="AA450" i="5"/>
  <c r="M450" i="5"/>
  <c r="Y450" i="5" s="1"/>
  <c r="Z450" i="5" s="1"/>
  <c r="M458" i="5"/>
  <c r="Y458" i="5" s="1"/>
  <c r="Z458" i="5" s="1"/>
  <c r="AA458" i="5"/>
  <c r="AC589" i="5"/>
  <c r="X589" i="5"/>
  <c r="Q631" i="5"/>
  <c r="AB631" i="5"/>
  <c r="Q633" i="5"/>
  <c r="Q689" i="5"/>
  <c r="AB689" i="5"/>
  <c r="AA715" i="5"/>
  <c r="M715" i="5"/>
  <c r="AC731" i="5"/>
  <c r="X731" i="5"/>
  <c r="AB749" i="5"/>
  <c r="Q749" i="5"/>
  <c r="X761" i="5"/>
  <c r="AC761" i="5"/>
  <c r="AC791" i="5"/>
  <c r="X791" i="5"/>
  <c r="AC874" i="5"/>
  <c r="X874" i="5"/>
  <c r="X881" i="5"/>
  <c r="AC881" i="5"/>
  <c r="M4" i="5"/>
  <c r="M12" i="5"/>
  <c r="AA12" i="5"/>
  <c r="X12" i="7" s="1"/>
  <c r="Q19" i="5"/>
  <c r="O19" i="7" s="1"/>
  <c r="Q24" i="5"/>
  <c r="O24" i="7" s="1"/>
  <c r="X31" i="5"/>
  <c r="U31" i="7" s="1"/>
  <c r="L41" i="7"/>
  <c r="Y42" i="5"/>
  <c r="Q76" i="5"/>
  <c r="AB76" i="5"/>
  <c r="M86" i="5"/>
  <c r="AA86" i="5"/>
  <c r="Y101" i="5"/>
  <c r="Z101" i="5" s="1"/>
  <c r="AA113" i="5"/>
  <c r="M120" i="5"/>
  <c r="Y120" i="5" s="1"/>
  <c r="Z120" i="5" s="1"/>
  <c r="AA120" i="5"/>
  <c r="AC127" i="5"/>
  <c r="X127" i="5"/>
  <c r="X138" i="5"/>
  <c r="AC138" i="5"/>
  <c r="Q163" i="5"/>
  <c r="Y163" i="5" s="1"/>
  <c r="Z163" i="5" s="1"/>
  <c r="AB163" i="5"/>
  <c r="AA164" i="5"/>
  <c r="Q166" i="5"/>
  <c r="AB166" i="5"/>
  <c r="AC183" i="5"/>
  <c r="X183" i="5"/>
  <c r="AA220" i="5"/>
  <c r="M220" i="5"/>
  <c r="AC312" i="5"/>
  <c r="X312" i="5"/>
  <c r="AB317" i="5"/>
  <c r="Q317" i="5"/>
  <c r="AB346" i="5"/>
  <c r="Q346" i="5"/>
  <c r="AA355" i="5"/>
  <c r="M355" i="5"/>
  <c r="AC357" i="5"/>
  <c r="X357" i="5"/>
  <c r="AB404" i="5"/>
  <c r="Q404" i="5"/>
  <c r="AC443" i="5"/>
  <c r="X443" i="5"/>
  <c r="M471" i="5"/>
  <c r="AA471" i="5"/>
  <c r="AC482" i="5"/>
  <c r="X482" i="5"/>
  <c r="AC489" i="5"/>
  <c r="X489" i="5"/>
  <c r="AC494" i="5"/>
  <c r="Y507" i="5"/>
  <c r="Z507" i="5" s="1"/>
  <c r="AA511" i="5"/>
  <c r="M511" i="5"/>
  <c r="M514" i="5"/>
  <c r="AC551" i="5"/>
  <c r="X551" i="5"/>
  <c r="Q614" i="5"/>
  <c r="AB614" i="5"/>
  <c r="X662" i="5"/>
  <c r="Y662" i="5" s="1"/>
  <c r="Z662" i="5" s="1"/>
  <c r="AC662" i="5"/>
  <c r="AC679" i="5"/>
  <c r="AC689" i="5"/>
  <c r="X689" i="5"/>
  <c r="AB725" i="5"/>
  <c r="Q725" i="5"/>
  <c r="AC763" i="5"/>
  <c r="X763" i="5"/>
  <c r="AA891" i="5"/>
  <c r="M891" i="5"/>
  <c r="Q4" i="5"/>
  <c r="O4" i="7" s="1"/>
  <c r="AB4" i="5"/>
  <c r="Y4" i="7" s="1"/>
  <c r="AC19" i="5"/>
  <c r="Z19" i="7" s="1"/>
  <c r="X19" i="5"/>
  <c r="U19" i="7" s="1"/>
  <c r="Q44" i="5"/>
  <c r="AC47" i="5"/>
  <c r="X47" i="5"/>
  <c r="Y47" i="5" s="1"/>
  <c r="Z47" i="5" s="1"/>
  <c r="AA56" i="5"/>
  <c r="X61" i="5"/>
  <c r="Y61" i="5" s="1"/>
  <c r="Z61" i="5" s="1"/>
  <c r="AB62" i="5"/>
  <c r="X70" i="5"/>
  <c r="X76" i="5"/>
  <c r="AC76" i="5"/>
  <c r="X81" i="5"/>
  <c r="AB84" i="5"/>
  <c r="Q86" i="5"/>
  <c r="AB86" i="5"/>
  <c r="Q95" i="5"/>
  <c r="X166" i="5"/>
  <c r="AC166" i="5"/>
  <c r="M173" i="5"/>
  <c r="Y173" i="5" s="1"/>
  <c r="Z173" i="5" s="1"/>
  <c r="Q209" i="5"/>
  <c r="AB209" i="5"/>
  <c r="Q220" i="5"/>
  <c r="AB220" i="5"/>
  <c r="Q247" i="5"/>
  <c r="Q256" i="5"/>
  <c r="X270" i="5"/>
  <c r="AB277" i="5"/>
  <c r="AA290" i="5"/>
  <c r="M290" i="5"/>
  <c r="Y290" i="5" s="1"/>
  <c r="Z290" i="5" s="1"/>
  <c r="X293" i="5"/>
  <c r="Y293" i="5" s="1"/>
  <c r="Z293" i="5" s="1"/>
  <c r="AC293" i="5"/>
  <c r="Q340" i="5"/>
  <c r="AB340" i="5"/>
  <c r="Q364" i="5"/>
  <c r="AB364" i="5"/>
  <c r="M402" i="5"/>
  <c r="AC501" i="5"/>
  <c r="X501" i="5"/>
  <c r="AB545" i="5"/>
  <c r="Q545" i="5"/>
  <c r="AA586" i="5"/>
  <c r="M586" i="5"/>
  <c r="AB624" i="5"/>
  <c r="Q624" i="5"/>
  <c r="Y624" i="5" s="1"/>
  <c r="Z624" i="5" s="1"/>
  <c r="X631" i="5"/>
  <c r="Q659" i="5"/>
  <c r="AB659" i="5"/>
  <c r="AC729" i="5"/>
  <c r="X729" i="5"/>
  <c r="Y729" i="5" s="1"/>
  <c r="Z729" i="5" s="1"/>
  <c r="X4" i="5"/>
  <c r="U4" i="7" s="1"/>
  <c r="AC4" i="5"/>
  <c r="Z4" i="7" s="1"/>
  <c r="AC16" i="5"/>
  <c r="Z16" i="7" s="1"/>
  <c r="X24" i="5"/>
  <c r="U24" i="7" s="1"/>
  <c r="M30" i="5"/>
  <c r="Q33" i="5"/>
  <c r="O33" i="7" s="1"/>
  <c r="AB33" i="5"/>
  <c r="Y33" i="7" s="1"/>
  <c r="Q35" i="5"/>
  <c r="Q41" i="5"/>
  <c r="O41" i="7" s="1"/>
  <c r="AB42" i="5"/>
  <c r="Y42" i="7" s="1"/>
  <c r="AB46" i="5"/>
  <c r="Q46" i="5"/>
  <c r="AA51" i="5"/>
  <c r="M51" i="5"/>
  <c r="Y51" i="5" s="1"/>
  <c r="Z51" i="5" s="1"/>
  <c r="M60" i="5"/>
  <c r="AA60" i="5"/>
  <c r="M64" i="5"/>
  <c r="Y64" i="5" s="1"/>
  <c r="Z64" i="5" s="1"/>
  <c r="AA64" i="5"/>
  <c r="AC68" i="5"/>
  <c r="M80" i="5"/>
  <c r="X92" i="5"/>
  <c r="Y92" i="5" s="1"/>
  <c r="Z92" i="5" s="1"/>
  <c r="Q106" i="5"/>
  <c r="M112" i="5"/>
  <c r="Q117" i="5"/>
  <c r="M137" i="5"/>
  <c r="AB142" i="5"/>
  <c r="Q142" i="5"/>
  <c r="Y142" i="5" s="1"/>
  <c r="Z142" i="5" s="1"/>
  <c r="AB146" i="5"/>
  <c r="Q146" i="5"/>
  <c r="Y146" i="5" s="1"/>
  <c r="Z146" i="5" s="1"/>
  <c r="X149" i="5"/>
  <c r="AA153" i="5"/>
  <c r="M153" i="5"/>
  <c r="M155" i="5"/>
  <c r="AB180" i="5"/>
  <c r="Q180" i="5"/>
  <c r="M222" i="5"/>
  <c r="AA222" i="5"/>
  <c r="Q235" i="5"/>
  <c r="AB239" i="5"/>
  <c r="Q239" i="5"/>
  <c r="X279" i="5"/>
  <c r="Y279" i="5" s="1"/>
  <c r="Z279" i="5" s="1"/>
  <c r="M302" i="5"/>
  <c r="AA302" i="5"/>
  <c r="Q323" i="5"/>
  <c r="Y323" i="5" s="1"/>
  <c r="Z323" i="5" s="1"/>
  <c r="AA344" i="5"/>
  <c r="M344" i="5"/>
  <c r="AA392" i="5"/>
  <c r="M392" i="5"/>
  <c r="M394" i="5"/>
  <c r="M399" i="5"/>
  <c r="Y399" i="5" s="1"/>
  <c r="Z399" i="5" s="1"/>
  <c r="AA488" i="5"/>
  <c r="M488" i="5"/>
  <c r="AC511" i="5"/>
  <c r="X511" i="5"/>
  <c r="M542" i="5"/>
  <c r="AA542" i="5"/>
  <c r="AA576" i="5"/>
  <c r="X578" i="5"/>
  <c r="AC659" i="5"/>
  <c r="X659" i="5"/>
  <c r="AC705" i="5"/>
  <c r="X705" i="5"/>
  <c r="AC801" i="5"/>
  <c r="X801" i="5"/>
  <c r="X9" i="5"/>
  <c r="U9" i="7" s="1"/>
  <c r="AB28" i="5"/>
  <c r="Y28" i="7" s="1"/>
  <c r="AC37" i="5"/>
  <c r="Z37" i="7" s="1"/>
  <c r="AC42" i="5"/>
  <c r="Z42" i="7" s="1"/>
  <c r="Q112" i="5"/>
  <c r="AB112" i="5"/>
  <c r="M122" i="5"/>
  <c r="AA122" i="5"/>
  <c r="X140" i="5"/>
  <c r="AC140" i="5"/>
  <c r="AC161" i="5"/>
  <c r="AC171" i="5"/>
  <c r="AA177" i="5"/>
  <c r="M177" i="5"/>
  <c r="AB178" i="5"/>
  <c r="X180" i="5"/>
  <c r="AC180" i="5"/>
  <c r="Q190" i="5"/>
  <c r="AC204" i="5"/>
  <c r="X204" i="5"/>
  <c r="AC235" i="5"/>
  <c r="X235" i="5"/>
  <c r="AC239" i="5"/>
  <c r="X239" i="5"/>
  <c r="X241" i="5"/>
  <c r="M253" i="5"/>
  <c r="AA253" i="5"/>
  <c r="AC254" i="5"/>
  <c r="AA260" i="5"/>
  <c r="M260" i="5"/>
  <c r="AB285" i="5"/>
  <c r="Q285" i="5"/>
  <c r="Y285" i="5" s="1"/>
  <c r="Z285" i="5" s="1"/>
  <c r="M287" i="5"/>
  <c r="AA287" i="5"/>
  <c r="AA307" i="5"/>
  <c r="M307" i="5"/>
  <c r="AA309" i="5"/>
  <c r="M309" i="5"/>
  <c r="AC333" i="5"/>
  <c r="X333" i="5"/>
  <c r="AA346" i="5"/>
  <c r="AB368" i="5"/>
  <c r="Q368" i="5"/>
  <c r="M390" i="5"/>
  <c r="AC430" i="5"/>
  <c r="X430" i="5"/>
  <c r="AC441" i="5"/>
  <c r="X441" i="5"/>
  <c r="AB463" i="5"/>
  <c r="AB477" i="5"/>
  <c r="Q477" i="5"/>
  <c r="M486" i="5"/>
  <c r="Y486" i="5" s="1"/>
  <c r="Z486" i="5" s="1"/>
  <c r="AC523" i="5"/>
  <c r="X523" i="5"/>
  <c r="X529" i="5"/>
  <c r="AC529" i="5"/>
  <c r="M531" i="5"/>
  <c r="Y531" i="5" s="1"/>
  <c r="Z531" i="5" s="1"/>
  <c r="AA531" i="5"/>
  <c r="AA535" i="5"/>
  <c r="M535" i="5"/>
  <c r="AC563" i="5"/>
  <c r="X563" i="5"/>
  <c r="AA573" i="5"/>
  <c r="M573" i="5"/>
  <c r="Q618" i="5"/>
  <c r="AB618" i="5"/>
  <c r="Q626" i="5"/>
  <c r="AB626" i="5"/>
  <c r="M657" i="5"/>
  <c r="M736" i="5"/>
  <c r="Y736" i="5" s="1"/>
  <c r="Z736" i="5" s="1"/>
  <c r="AA736" i="5"/>
  <c r="AB12" i="5"/>
  <c r="Y12" i="7" s="1"/>
  <c r="Q14" i="5"/>
  <c r="AB14" i="5"/>
  <c r="Y14" i="7" s="1"/>
  <c r="L17" i="7"/>
  <c r="AA24" i="5"/>
  <c r="X24" i="7" s="1"/>
  <c r="M38" i="5"/>
  <c r="AA38" i="5"/>
  <c r="X38" i="7" s="1"/>
  <c r="AA43" i="5"/>
  <c r="M43" i="5"/>
  <c r="Y43" i="5" s="1"/>
  <c r="Z43" i="5" s="1"/>
  <c r="AC83" i="5"/>
  <c r="X83" i="5"/>
  <c r="AA92" i="5"/>
  <c r="AB98" i="5"/>
  <c r="X112" i="5"/>
  <c r="AC112" i="5"/>
  <c r="AB120" i="5"/>
  <c r="Q122" i="5"/>
  <c r="AB122" i="5"/>
  <c r="AC184" i="5"/>
  <c r="X184" i="5"/>
  <c r="Y184" i="5" s="1"/>
  <c r="Z184" i="5" s="1"/>
  <c r="AC190" i="5"/>
  <c r="X190" i="5"/>
  <c r="M208" i="5"/>
  <c r="Y208" i="5" s="1"/>
  <c r="Z208" i="5" s="1"/>
  <c r="AA208" i="5"/>
  <c r="AC213" i="5"/>
  <c r="X213" i="5"/>
  <c r="AB260" i="5"/>
  <c r="Q260" i="5"/>
  <c r="AC262" i="5"/>
  <c r="X262" i="5"/>
  <c r="AB288" i="5"/>
  <c r="AB307" i="5"/>
  <c r="Q307" i="5"/>
  <c r="AC321" i="5"/>
  <c r="X321" i="5"/>
  <c r="X372" i="5"/>
  <c r="AC372" i="5"/>
  <c r="AB383" i="5"/>
  <c r="M423" i="5"/>
  <c r="Y423" i="5" s="1"/>
  <c r="Z423" i="5" s="1"/>
  <c r="AA423" i="5"/>
  <c r="X432" i="5"/>
  <c r="AC432" i="5"/>
  <c r="AC477" i="5"/>
  <c r="X477" i="5"/>
  <c r="Y497" i="5"/>
  <c r="Z497" i="5" s="1"/>
  <c r="AB502" i="5"/>
  <c r="Q502" i="5"/>
  <c r="AC559" i="5"/>
  <c r="X559" i="5"/>
  <c r="X626" i="5"/>
  <c r="AC626" i="5"/>
  <c r="AB657" i="5"/>
  <c r="Q657" i="5"/>
  <c r="X701" i="5"/>
  <c r="AC701" i="5"/>
  <c r="Q718" i="5"/>
  <c r="Y718" i="5" s="1"/>
  <c r="Z718" i="5" s="1"/>
  <c r="AB718" i="5"/>
  <c r="AA218" i="5"/>
  <c r="M218" i="5"/>
  <c r="AA226" i="5"/>
  <c r="M226" i="5"/>
  <c r="X231" i="5"/>
  <c r="AC231" i="5"/>
  <c r="Y233" i="5"/>
  <c r="Z233" i="5" s="1"/>
  <c r="X366" i="5"/>
  <c r="AC366" i="5"/>
  <c r="X414" i="5"/>
  <c r="AC414" i="5"/>
  <c r="AB418" i="5"/>
  <c r="Q418" i="5"/>
  <c r="Y418" i="5" s="1"/>
  <c r="Z418" i="5" s="1"/>
  <c r="AA428" i="5"/>
  <c r="M428" i="5"/>
  <c r="M446" i="5"/>
  <c r="AA446" i="5"/>
  <c r="Q479" i="5"/>
  <c r="AB479" i="5"/>
  <c r="Q484" i="5"/>
  <c r="Y484" i="5" s="1"/>
  <c r="Z484" i="5" s="1"/>
  <c r="AB484" i="5"/>
  <c r="Q532" i="5"/>
  <c r="AB532" i="5"/>
  <c r="Y536" i="5"/>
  <c r="Z536" i="5" s="1"/>
  <c r="M567" i="5"/>
  <c r="AA567" i="5"/>
  <c r="AB572" i="5"/>
  <c r="Q572" i="5"/>
  <c r="Q616" i="5"/>
  <c r="AB616" i="5"/>
  <c r="M638" i="5"/>
  <c r="AA638" i="5"/>
  <c r="AC658" i="5"/>
  <c r="X658" i="5"/>
  <c r="X724" i="5"/>
  <c r="AC724" i="5"/>
  <c r="AA749" i="5"/>
  <c r="M749" i="5"/>
  <c r="AC804" i="5"/>
  <c r="X804" i="5"/>
  <c r="M845" i="5"/>
  <c r="AA845" i="5"/>
  <c r="Q188" i="5"/>
  <c r="AB188" i="5"/>
  <c r="M265" i="5"/>
  <c r="AA265" i="5"/>
  <c r="M268" i="5"/>
  <c r="AA268" i="5"/>
  <c r="AC274" i="5"/>
  <c r="X274" i="5"/>
  <c r="Q287" i="5"/>
  <c r="AB287" i="5"/>
  <c r="AA332" i="5"/>
  <c r="M332" i="5"/>
  <c r="AC381" i="5"/>
  <c r="X381" i="5"/>
  <c r="AC393" i="5"/>
  <c r="X393" i="5"/>
  <c r="AC409" i="5"/>
  <c r="X409" i="5"/>
  <c r="M411" i="5"/>
  <c r="Y411" i="5" s="1"/>
  <c r="Z411" i="5" s="1"/>
  <c r="AA411" i="5"/>
  <c r="AB426" i="5"/>
  <c r="Q426" i="5"/>
  <c r="AA439" i="5"/>
  <c r="M439" i="5"/>
  <c r="AB451" i="5"/>
  <c r="Q451" i="5"/>
  <c r="Q472" i="5"/>
  <c r="AB472" i="5"/>
  <c r="AB499" i="5"/>
  <c r="Q499" i="5"/>
  <c r="AB513" i="5"/>
  <c r="Q513" i="5"/>
  <c r="Y562" i="5"/>
  <c r="Z562" i="5" s="1"/>
  <c r="AB576" i="5"/>
  <c r="Q576" i="5"/>
  <c r="AA618" i="5"/>
  <c r="M618" i="5"/>
  <c r="Y629" i="5"/>
  <c r="Z629" i="5" s="1"/>
  <c r="X686" i="5"/>
  <c r="Y686" i="5" s="1"/>
  <c r="Z686" i="5" s="1"/>
  <c r="AC686" i="5"/>
  <c r="AC694" i="5"/>
  <c r="X694" i="5"/>
  <c r="Q706" i="5"/>
  <c r="AB706" i="5"/>
  <c r="X715" i="5"/>
  <c r="AC715" i="5"/>
  <c r="AC744" i="5"/>
  <c r="X744" i="5"/>
  <c r="Y744" i="5" s="1"/>
  <c r="Z744" i="5" s="1"/>
  <c r="AC746" i="5"/>
  <c r="X746" i="5"/>
  <c r="AB765" i="5"/>
  <c r="Q765" i="5"/>
  <c r="AA807" i="5"/>
  <c r="M807" i="5"/>
  <c r="AA929" i="5"/>
  <c r="M929" i="5"/>
  <c r="AC956" i="5"/>
  <c r="X956" i="5"/>
  <c r="AB144" i="5"/>
  <c r="Q144" i="5"/>
  <c r="AA179" i="5"/>
  <c r="M179" i="5"/>
  <c r="Q202" i="5"/>
  <c r="AB202" i="5"/>
  <c r="M217" i="5"/>
  <c r="AA217" i="5"/>
  <c r="AA272" i="5"/>
  <c r="M272" i="5"/>
  <c r="Y272" i="5" s="1"/>
  <c r="Z272" i="5" s="1"/>
  <c r="M281" i="5"/>
  <c r="Y281" i="5" s="1"/>
  <c r="Z281" i="5" s="1"/>
  <c r="AA281" i="5"/>
  <c r="AC284" i="5"/>
  <c r="X284" i="5"/>
  <c r="M286" i="5"/>
  <c r="AA286" i="5"/>
  <c r="Y311" i="5"/>
  <c r="Z311" i="5" s="1"/>
  <c r="AA380" i="5"/>
  <c r="M380" i="5"/>
  <c r="Y419" i="5"/>
  <c r="Z419" i="5" s="1"/>
  <c r="M459" i="5"/>
  <c r="AA459" i="5"/>
  <c r="AC500" i="5"/>
  <c r="X500" i="5"/>
  <c r="AA525" i="5"/>
  <c r="M525" i="5"/>
  <c r="AB533" i="5"/>
  <c r="Q533" i="5"/>
  <c r="Y533" i="5" s="1"/>
  <c r="Z533" i="5" s="1"/>
  <c r="Q566" i="5"/>
  <c r="AB566" i="5"/>
  <c r="Q595" i="5"/>
  <c r="AB595" i="5"/>
  <c r="X613" i="5"/>
  <c r="AC613" i="5"/>
  <c r="AA667" i="5"/>
  <c r="M667" i="5"/>
  <c r="AA680" i="5"/>
  <c r="M680" i="5"/>
  <c r="AA737" i="5"/>
  <c r="M737" i="5"/>
  <c r="AC754" i="5"/>
  <c r="X754" i="5"/>
  <c r="Q152" i="5"/>
  <c r="Y152" i="5" s="1"/>
  <c r="Z152" i="5" s="1"/>
  <c r="AB152" i="5"/>
  <c r="Y165" i="5"/>
  <c r="Z165" i="5" s="1"/>
  <c r="Y189" i="5"/>
  <c r="Z189" i="5" s="1"/>
  <c r="Q219" i="5"/>
  <c r="AB219" i="5"/>
  <c r="AA270" i="5"/>
  <c r="AA283" i="5"/>
  <c r="M283" i="5"/>
  <c r="X342" i="5"/>
  <c r="AC342" i="5"/>
  <c r="Q371" i="5"/>
  <c r="AB371" i="5"/>
  <c r="M375" i="5"/>
  <c r="Y375" i="5" s="1"/>
  <c r="Z375" i="5" s="1"/>
  <c r="AA375" i="5"/>
  <c r="AB380" i="5"/>
  <c r="Q380" i="5"/>
  <c r="Q431" i="5"/>
  <c r="AB431" i="5"/>
  <c r="AA440" i="5"/>
  <c r="M440" i="5"/>
  <c r="Y440" i="5" s="1"/>
  <c r="Z440" i="5" s="1"/>
  <c r="Q539" i="5"/>
  <c r="AB539" i="5"/>
  <c r="AC595" i="5"/>
  <c r="X595" i="5"/>
  <c r="AA643" i="5"/>
  <c r="M643" i="5"/>
  <c r="Q712" i="5"/>
  <c r="AB712" i="5"/>
  <c r="AC766" i="5"/>
  <c r="X766" i="5"/>
  <c r="M781" i="5"/>
  <c r="AA781" i="5"/>
  <c r="X33" i="5"/>
  <c r="U33" i="7" s="1"/>
  <c r="M57" i="5"/>
  <c r="X69" i="5"/>
  <c r="M93" i="5"/>
  <c r="X105" i="5"/>
  <c r="M129" i="5"/>
  <c r="Y129" i="5" s="1"/>
  <c r="Z129" i="5" s="1"/>
  <c r="AA143" i="5"/>
  <c r="M143" i="5"/>
  <c r="AA156" i="5"/>
  <c r="X176" i="5"/>
  <c r="Y176" i="5" s="1"/>
  <c r="Z176" i="5" s="1"/>
  <c r="AC176" i="5"/>
  <c r="Q198" i="5"/>
  <c r="AB198" i="5"/>
  <c r="Y210" i="5"/>
  <c r="Z210" i="5" s="1"/>
  <c r="AC219" i="5"/>
  <c r="X219" i="5"/>
  <c r="Q255" i="5"/>
  <c r="Y255" i="5" s="1"/>
  <c r="Z255" i="5" s="1"/>
  <c r="AB255" i="5"/>
  <c r="AA266" i="5"/>
  <c r="M266" i="5"/>
  <c r="Q295" i="5"/>
  <c r="AB295" i="5"/>
  <c r="M350" i="5"/>
  <c r="AA350" i="5"/>
  <c r="X354" i="5"/>
  <c r="AC354" i="5"/>
  <c r="AC371" i="5"/>
  <c r="X371" i="5"/>
  <c r="AA412" i="5"/>
  <c r="M412" i="5"/>
  <c r="AC454" i="5"/>
  <c r="X454" i="5"/>
  <c r="AA473" i="5"/>
  <c r="M473" i="5"/>
  <c r="Y473" i="5" s="1"/>
  <c r="Z473" i="5" s="1"/>
  <c r="X480" i="5"/>
  <c r="AC480" i="5"/>
  <c r="M501" i="5"/>
  <c r="Q503" i="5"/>
  <c r="AA508" i="5"/>
  <c r="M508" i="5"/>
  <c r="Y508" i="5" s="1"/>
  <c r="Z508" i="5" s="1"/>
  <c r="M523" i="5"/>
  <c r="Q525" i="5"/>
  <c r="M555" i="5"/>
  <c r="AA555" i="5"/>
  <c r="Q568" i="5"/>
  <c r="AB568" i="5"/>
  <c r="Q608" i="5"/>
  <c r="AC645" i="5"/>
  <c r="X645" i="5"/>
  <c r="Q671" i="5"/>
  <c r="AB671" i="5"/>
  <c r="M678" i="5"/>
  <c r="AA678" i="5"/>
  <c r="Q726" i="5"/>
  <c r="AB726" i="5"/>
  <c r="AB827" i="5"/>
  <c r="Q827" i="5"/>
  <c r="Y827" i="5" s="1"/>
  <c r="Z827" i="5" s="1"/>
  <c r="AA842" i="5"/>
  <c r="M842" i="5"/>
  <c r="Y842" i="5" s="1"/>
  <c r="Z842" i="5" s="1"/>
  <c r="AC886" i="5"/>
  <c r="X886" i="5"/>
  <c r="AA236" i="5"/>
  <c r="M236" i="5"/>
  <c r="Y236" i="5" s="1"/>
  <c r="Z236" i="5" s="1"/>
  <c r="AA248" i="5"/>
  <c r="M248" i="5"/>
  <c r="Q335" i="5"/>
  <c r="AB335" i="5"/>
  <c r="X384" i="5"/>
  <c r="AC384" i="5"/>
  <c r="Y398" i="5"/>
  <c r="Z398" i="5" s="1"/>
  <c r="Q424" i="5"/>
  <c r="AB424" i="5"/>
  <c r="AC429" i="5"/>
  <c r="X429" i="5"/>
  <c r="AC442" i="5"/>
  <c r="X442" i="5"/>
  <c r="X468" i="5"/>
  <c r="AC468" i="5"/>
  <c r="AC503" i="5"/>
  <c r="X503" i="5"/>
  <c r="M550" i="5"/>
  <c r="AA550" i="5"/>
  <c r="X553" i="5"/>
  <c r="Y553" i="5" s="1"/>
  <c r="Z553" i="5" s="1"/>
  <c r="AC553" i="5"/>
  <c r="X568" i="5"/>
  <c r="AC568" i="5"/>
  <c r="X608" i="5"/>
  <c r="AC608" i="5"/>
  <c r="X636" i="5"/>
  <c r="AC636" i="5"/>
  <c r="Q678" i="5"/>
  <c r="AB678" i="5"/>
  <c r="Q703" i="5"/>
  <c r="AB703" i="5"/>
  <c r="M772" i="5"/>
  <c r="Y772" i="5" s="1"/>
  <c r="Z772" i="5" s="1"/>
  <c r="AA772" i="5"/>
  <c r="Q856" i="5"/>
  <c r="AB856" i="5"/>
  <c r="M974" i="5"/>
  <c r="AA974" i="5"/>
  <c r="AB466" i="5"/>
  <c r="Q466" i="5"/>
  <c r="AB524" i="5"/>
  <c r="Q524" i="5"/>
  <c r="AC538" i="5"/>
  <c r="X538" i="5"/>
  <c r="X604" i="5"/>
  <c r="AC604" i="5"/>
  <c r="AC702" i="5"/>
  <c r="X702" i="5"/>
  <c r="AB773" i="5"/>
  <c r="Q773" i="5"/>
  <c r="AB812" i="5"/>
  <c r="Q812" i="5"/>
  <c r="M825" i="5"/>
  <c r="AA825" i="5"/>
  <c r="AA854" i="5"/>
  <c r="M854" i="5"/>
  <c r="AC865" i="5"/>
  <c r="X865" i="5"/>
  <c r="AC935" i="5"/>
  <c r="X935" i="5"/>
  <c r="AB977" i="5"/>
  <c r="Q977" i="5"/>
  <c r="U160" i="6"/>
  <c r="AA160" i="6"/>
  <c r="AB355" i="5"/>
  <c r="Q355" i="5"/>
  <c r="M381" i="5"/>
  <c r="Q391" i="5"/>
  <c r="M393" i="5"/>
  <c r="AC398" i="5"/>
  <c r="M403" i="5"/>
  <c r="M405" i="5"/>
  <c r="AB413" i="5"/>
  <c r="X421" i="5"/>
  <c r="Y421" i="5" s="1"/>
  <c r="Z421" i="5" s="1"/>
  <c r="X457" i="5"/>
  <c r="M460" i="5"/>
  <c r="Y460" i="5" s="1"/>
  <c r="Z460" i="5" s="1"/>
  <c r="X478" i="5"/>
  <c r="M487" i="5"/>
  <c r="X490" i="5"/>
  <c r="X502" i="5"/>
  <c r="X513" i="5"/>
  <c r="AC517" i="5"/>
  <c r="X522" i="5"/>
  <c r="AC522" i="5"/>
  <c r="X549" i="5"/>
  <c r="AA561" i="5"/>
  <c r="M561" i="5"/>
  <c r="Y581" i="5"/>
  <c r="Z581" i="5" s="1"/>
  <c r="AA582" i="5"/>
  <c r="AB586" i="5"/>
  <c r="Q586" i="5"/>
  <c r="M591" i="5"/>
  <c r="AA591" i="5"/>
  <c r="Q594" i="5"/>
  <c r="Q619" i="5"/>
  <c r="AC668" i="5"/>
  <c r="X681" i="5"/>
  <c r="AB688" i="5"/>
  <c r="Q688" i="5"/>
  <c r="AC713" i="5"/>
  <c r="X713" i="5"/>
  <c r="M722" i="5"/>
  <c r="M724" i="5"/>
  <c r="AB750" i="5"/>
  <c r="Q750" i="5"/>
  <c r="Q759" i="5"/>
  <c r="Y759" i="5" s="1"/>
  <c r="Z759" i="5" s="1"/>
  <c r="AB759" i="5"/>
  <c r="AA787" i="5"/>
  <c r="M787" i="5"/>
  <c r="Y787" i="5" s="1"/>
  <c r="Z787" i="5" s="1"/>
  <c r="AA801" i="5"/>
  <c r="M801" i="5"/>
  <c r="AC818" i="5"/>
  <c r="X818" i="5"/>
  <c r="Y818" i="5" s="1"/>
  <c r="Z818" i="5" s="1"/>
  <c r="AC822" i="5"/>
  <c r="X857" i="5"/>
  <c r="AC857" i="5"/>
  <c r="Q859" i="5"/>
  <c r="X863" i="5"/>
  <c r="AC863" i="5"/>
  <c r="Q931" i="5"/>
  <c r="AB931" i="5"/>
  <c r="Y947" i="5"/>
  <c r="Z947" i="5" s="1"/>
  <c r="X972" i="5"/>
  <c r="AB995" i="5"/>
  <c r="Q995" i="5"/>
  <c r="Y995" i="5" s="1"/>
  <c r="Z995" i="5" s="1"/>
  <c r="L547" i="7"/>
  <c r="AA47" i="6"/>
  <c r="X547" i="7" s="1"/>
  <c r="Z98" i="6"/>
  <c r="K98" i="6"/>
  <c r="Z161" i="6"/>
  <c r="K161" i="6"/>
  <c r="W161" i="6" s="1"/>
  <c r="AA763" i="5"/>
  <c r="M763" i="5"/>
  <c r="AA775" i="5"/>
  <c r="M775" i="5"/>
  <c r="X816" i="5"/>
  <c r="AC816" i="5"/>
  <c r="AA823" i="5"/>
  <c r="M823" i="5"/>
  <c r="Q852" i="5"/>
  <c r="AB852" i="5"/>
  <c r="Y926" i="5"/>
  <c r="Z926" i="5" s="1"/>
  <c r="X931" i="5"/>
  <c r="AC931" i="5"/>
  <c r="L539" i="7"/>
  <c r="X780" i="5"/>
  <c r="AC780" i="5"/>
  <c r="AA836" i="5"/>
  <c r="M836" i="5"/>
  <c r="M878" i="5"/>
  <c r="Y878" i="5" s="1"/>
  <c r="Z878" i="5" s="1"/>
  <c r="AA878" i="5"/>
  <c r="AB881" i="5"/>
  <c r="Q881" i="5"/>
  <c r="M902" i="5"/>
  <c r="AA902" i="5"/>
  <c r="AC945" i="5"/>
  <c r="X945" i="5"/>
  <c r="X959" i="5"/>
  <c r="AC959" i="5"/>
  <c r="AA965" i="5"/>
  <c r="M965" i="5"/>
  <c r="M978" i="5"/>
  <c r="AA978" i="5"/>
  <c r="U523" i="7"/>
  <c r="U73" i="6"/>
  <c r="W73" i="6" s="1"/>
  <c r="AA73" i="6"/>
  <c r="AA86" i="6"/>
  <c r="U86" i="6"/>
  <c r="W86" i="6" s="1"/>
  <c r="Z93" i="6"/>
  <c r="K93" i="6"/>
  <c r="AA890" i="5"/>
  <c r="M890" i="5"/>
  <c r="AA932" i="5"/>
  <c r="M932" i="5"/>
  <c r="X949" i="5"/>
  <c r="AC949" i="5"/>
  <c r="AA955" i="5"/>
  <c r="M955" i="5"/>
  <c r="AB965" i="5"/>
  <c r="Q965" i="5"/>
  <c r="AB978" i="5"/>
  <c r="Q978" i="5"/>
  <c r="X989" i="5"/>
  <c r="AC989" i="5"/>
  <c r="U37" i="6"/>
  <c r="AA37" i="6" s="1"/>
  <c r="X537" i="7" s="1"/>
  <c r="M745" i="5"/>
  <c r="AA745" i="5"/>
  <c r="Y770" i="5"/>
  <c r="Z770" i="5" s="1"/>
  <c r="AB791" i="5"/>
  <c r="Q791" i="5"/>
  <c r="Q807" i="5"/>
  <c r="AB807" i="5"/>
  <c r="Q809" i="5"/>
  <c r="AB809" i="5"/>
  <c r="M817" i="5"/>
  <c r="AA817" i="5"/>
  <c r="AC823" i="5"/>
  <c r="X823" i="5"/>
  <c r="M896" i="5"/>
  <c r="Y899" i="5"/>
  <c r="Z899" i="5" s="1"/>
  <c r="W27" i="6"/>
  <c r="V527" i="7" s="1"/>
  <c r="X809" i="5"/>
  <c r="AC809" i="5"/>
  <c r="AB838" i="5"/>
  <c r="Q838" i="5"/>
  <c r="Q843" i="5"/>
  <c r="Y843" i="5" s="1"/>
  <c r="Z843" i="5" s="1"/>
  <c r="AB843" i="5"/>
  <c r="X848" i="5"/>
  <c r="AC848" i="5"/>
  <c r="Q858" i="5"/>
  <c r="Y858" i="5" s="1"/>
  <c r="Z858" i="5" s="1"/>
  <c r="AB858" i="5"/>
  <c r="X902" i="5"/>
  <c r="AC902" i="5"/>
  <c r="M913" i="5"/>
  <c r="AA913" i="5"/>
  <c r="Q928" i="5"/>
  <c r="Y928" i="5" s="1"/>
  <c r="Z928" i="5" s="1"/>
  <c r="AB928" i="5"/>
  <c r="M994" i="5"/>
  <c r="AA994" i="5"/>
  <c r="AA760" i="5"/>
  <c r="M760" i="5"/>
  <c r="AB803" i="5"/>
  <c r="AB824" i="5"/>
  <c r="Q824" i="5"/>
  <c r="X845" i="5"/>
  <c r="AC845" i="5"/>
  <c r="M853" i="5"/>
  <c r="AA853" i="5"/>
  <c r="Q862" i="5"/>
  <c r="AB862" i="5"/>
  <c r="Q894" i="5"/>
  <c r="AB894" i="5"/>
  <c r="Q896" i="5"/>
  <c r="AB908" i="5"/>
  <c r="Q908" i="5"/>
  <c r="X919" i="5"/>
  <c r="Y919" i="5" s="1"/>
  <c r="Z919" i="5" s="1"/>
  <c r="Q923" i="5"/>
  <c r="AB930" i="5"/>
  <c r="Q930" i="5"/>
  <c r="X934" i="5"/>
  <c r="M938" i="5"/>
  <c r="Y938" i="5" s="1"/>
  <c r="Z938" i="5" s="1"/>
  <c r="X953" i="5"/>
  <c r="AC953" i="5"/>
  <c r="U20" i="6"/>
  <c r="AA20" i="6" s="1"/>
  <c r="X520" i="7" s="1"/>
  <c r="Y353" i="5"/>
  <c r="Z353" i="5" s="1"/>
  <c r="AB358" i="5"/>
  <c r="Q358" i="5"/>
  <c r="AA476" i="5"/>
  <c r="M476" i="5"/>
  <c r="Y494" i="5"/>
  <c r="Z494" i="5" s="1"/>
  <c r="X534" i="5"/>
  <c r="Y534" i="5" s="1"/>
  <c r="Z534" i="5" s="1"/>
  <c r="AC534" i="5"/>
  <c r="Y569" i="5"/>
  <c r="Z569" i="5" s="1"/>
  <c r="Q580" i="5"/>
  <c r="AB580" i="5"/>
  <c r="AB597" i="5"/>
  <c r="Q597" i="5"/>
  <c r="AA645" i="5"/>
  <c r="M645" i="5"/>
  <c r="X649" i="5"/>
  <c r="AC649" i="5"/>
  <c r="Y697" i="5"/>
  <c r="Z697" i="5" s="1"/>
  <c r="AC716" i="5"/>
  <c r="X716" i="5"/>
  <c r="AA727" i="5"/>
  <c r="M727" i="5"/>
  <c r="AA738" i="5"/>
  <c r="M738" i="5"/>
  <c r="AC755" i="5"/>
  <c r="X755" i="5"/>
  <c r="Y755" i="5" s="1"/>
  <c r="Z755" i="5" s="1"/>
  <c r="AB760" i="5"/>
  <c r="Q760" i="5"/>
  <c r="AB811" i="5"/>
  <c r="X813" i="5"/>
  <c r="AC826" i="5"/>
  <c r="X826" i="5"/>
  <c r="Q869" i="5"/>
  <c r="Q871" i="5"/>
  <c r="AB871" i="5"/>
  <c r="AA903" i="5"/>
  <c r="M903" i="5"/>
  <c r="M918" i="5"/>
  <c r="AA921" i="5"/>
  <c r="M933" i="5"/>
  <c r="AB988" i="5"/>
  <c r="Q988" i="5"/>
  <c r="Y988" i="5" s="1"/>
  <c r="Z988" i="5" s="1"/>
  <c r="M992" i="5"/>
  <c r="K14" i="6"/>
  <c r="Z14" i="6" s="1"/>
  <c r="Z514" i="7" s="1"/>
  <c r="Y224" i="5"/>
  <c r="Z224" i="5" s="1"/>
  <c r="AC238" i="5"/>
  <c r="X238" i="5"/>
  <c r="AB406" i="5"/>
  <c r="Q406" i="5"/>
  <c r="Y530" i="5"/>
  <c r="Z530" i="5" s="1"/>
  <c r="AA549" i="5"/>
  <c r="M549" i="5"/>
  <c r="X558" i="5"/>
  <c r="AC558" i="5"/>
  <c r="AC565" i="5"/>
  <c r="X565" i="5"/>
  <c r="AC585" i="5"/>
  <c r="X585" i="5"/>
  <c r="AA609" i="5"/>
  <c r="M609" i="5"/>
  <c r="Y609" i="5" s="1"/>
  <c r="Z609" i="5" s="1"/>
  <c r="Q670" i="5"/>
  <c r="AB670" i="5"/>
  <c r="AC693" i="5"/>
  <c r="X693" i="5"/>
  <c r="Y693" i="5" s="1"/>
  <c r="Z693" i="5" s="1"/>
  <c r="AB740" i="5"/>
  <c r="Q740" i="5"/>
  <c r="Y740" i="5" s="1"/>
  <c r="Z740" i="5" s="1"/>
  <c r="AB764" i="5"/>
  <c r="Q764" i="5"/>
  <c r="M769" i="5"/>
  <c r="AA769" i="5"/>
  <c r="AC794" i="5"/>
  <c r="M810" i="5"/>
  <c r="AA810" i="5"/>
  <c r="AA843" i="5"/>
  <c r="X871" i="5"/>
  <c r="AC871" i="5"/>
  <c r="AC899" i="5"/>
  <c r="X906" i="5"/>
  <c r="AC906" i="5"/>
  <c r="AC910" i="5"/>
  <c r="X910" i="5"/>
  <c r="Y910" i="5" s="1"/>
  <c r="Z910" i="5" s="1"/>
  <c r="AB940" i="5"/>
  <c r="Q940" i="5"/>
  <c r="AA964" i="5"/>
  <c r="M964" i="5"/>
  <c r="Y964" i="5" s="1"/>
  <c r="Z964" i="5" s="1"/>
  <c r="AB981" i="5"/>
  <c r="Q981" i="5"/>
  <c r="AA986" i="5"/>
  <c r="U14" i="6"/>
  <c r="L514" i="7" s="1"/>
  <c r="AB237" i="5"/>
  <c r="Q237" i="5"/>
  <c r="Y237" i="5" s="1"/>
  <c r="Z237" i="5" s="1"/>
  <c r="M275" i="5"/>
  <c r="Y275" i="5" s="1"/>
  <c r="Z275" i="5" s="1"/>
  <c r="X325" i="5"/>
  <c r="X334" i="5"/>
  <c r="M343" i="5"/>
  <c r="X346" i="5"/>
  <c r="X358" i="5"/>
  <c r="AB370" i="5"/>
  <c r="Q370" i="5"/>
  <c r="M377" i="5"/>
  <c r="Y377" i="5" s="1"/>
  <c r="Z377" i="5" s="1"/>
  <c r="AC378" i="5"/>
  <c r="X386" i="5"/>
  <c r="X404" i="5"/>
  <c r="Q430" i="5"/>
  <c r="AC438" i="5"/>
  <c r="Q442" i="5"/>
  <c r="AB454" i="5"/>
  <c r="Q454" i="5"/>
  <c r="Q464" i="5"/>
  <c r="X467" i="5"/>
  <c r="Q476" i="5"/>
  <c r="Q500" i="5"/>
  <c r="Q511" i="5"/>
  <c r="AA513" i="5"/>
  <c r="M513" i="5"/>
  <c r="M572" i="5"/>
  <c r="X575" i="5"/>
  <c r="AC587" i="5"/>
  <c r="X587" i="5"/>
  <c r="M604" i="5"/>
  <c r="M607" i="5"/>
  <c r="Y607" i="5" s="1"/>
  <c r="Z607" i="5" s="1"/>
  <c r="M612" i="5"/>
  <c r="AA612" i="5"/>
  <c r="M614" i="5"/>
  <c r="AA614" i="5"/>
  <c r="AB622" i="5"/>
  <c r="Q622" i="5"/>
  <c r="AB630" i="5"/>
  <c r="Q630" i="5"/>
  <c r="X635" i="5"/>
  <c r="Q640" i="5"/>
  <c r="AB640" i="5"/>
  <c r="Q645" i="5"/>
  <c r="AB654" i="5"/>
  <c r="M684" i="5"/>
  <c r="Y684" i="5" s="1"/>
  <c r="Z684" i="5" s="1"/>
  <c r="AA684" i="5"/>
  <c r="AC691" i="5"/>
  <c r="X695" i="5"/>
  <c r="Y695" i="5" s="1"/>
  <c r="Z695" i="5" s="1"/>
  <c r="X709" i="5"/>
  <c r="AA753" i="5"/>
  <c r="AB786" i="5"/>
  <c r="Q786" i="5"/>
  <c r="X798" i="5"/>
  <c r="Y798" i="5" s="1"/>
  <c r="Z798" i="5" s="1"/>
  <c r="AB800" i="5"/>
  <c r="Q800" i="5"/>
  <c r="M808" i="5"/>
  <c r="AA808" i="5"/>
  <c r="M814" i="5"/>
  <c r="AA814" i="5"/>
  <c r="X828" i="5"/>
  <c r="Y828" i="5" s="1"/>
  <c r="Z828" i="5" s="1"/>
  <c r="AB833" i="5"/>
  <c r="Q833" i="5"/>
  <c r="AC849" i="5"/>
  <c r="X849" i="5"/>
  <c r="AC851" i="5"/>
  <c r="X851" i="5"/>
  <c r="Y851" i="5" s="1"/>
  <c r="Z851" i="5" s="1"/>
  <c r="AA872" i="5"/>
  <c r="M872" i="5"/>
  <c r="AA880" i="5"/>
  <c r="AB884" i="5"/>
  <c r="Q884" i="5"/>
  <c r="Y884" i="5" s="1"/>
  <c r="Z884" i="5" s="1"/>
  <c r="AB892" i="5"/>
  <c r="X913" i="5"/>
  <c r="Q918" i="5"/>
  <c r="AA968" i="5"/>
  <c r="M968" i="5"/>
  <c r="AC981" i="5"/>
  <c r="X981" i="5"/>
  <c r="U511" i="7"/>
  <c r="W11" i="6"/>
  <c r="V511" i="7" s="1"/>
  <c r="Q951" i="5"/>
  <c r="Y951" i="5" s="1"/>
  <c r="Z951" i="5" s="1"/>
  <c r="AB951" i="5"/>
  <c r="AA982" i="5"/>
  <c r="M982" i="5"/>
  <c r="U2" i="6"/>
  <c r="AA2" i="6" s="1"/>
  <c r="X502" i="7" s="1"/>
  <c r="U5" i="6"/>
  <c r="L505" i="7" s="1"/>
  <c r="L511" i="7"/>
  <c r="AA11" i="6"/>
  <c r="X511" i="7" s="1"/>
  <c r="U528" i="7"/>
  <c r="Z28" i="6"/>
  <c r="Z528" i="7" s="1"/>
  <c r="U535" i="7"/>
  <c r="Z87" i="6"/>
  <c r="K87" i="6"/>
  <c r="W87" i="6" s="1"/>
  <c r="U157" i="6"/>
  <c r="W157" i="6" s="1"/>
  <c r="AA157" i="6"/>
  <c r="Z750" i="6"/>
  <c r="K750" i="6"/>
  <c r="W750" i="6" s="1"/>
  <c r="AA980" i="5"/>
  <c r="M980" i="5"/>
  <c r="U35" i="6"/>
  <c r="L535" i="7" s="1"/>
  <c r="AA257" i="6"/>
  <c r="U257" i="6"/>
  <c r="AA987" i="5"/>
  <c r="M987" i="5"/>
  <c r="U512" i="7"/>
  <c r="W12" i="6"/>
  <c r="V512" i="7" s="1"/>
  <c r="U515" i="7"/>
  <c r="U24" i="6"/>
  <c r="L524" i="7" s="1"/>
  <c r="Z35" i="6"/>
  <c r="Z535" i="7" s="1"/>
  <c r="Z53" i="6"/>
  <c r="Z553" i="7" s="1"/>
  <c r="AA55" i="6"/>
  <c r="U55" i="6"/>
  <c r="W55" i="6" s="1"/>
  <c r="Z58" i="6"/>
  <c r="K58" i="6"/>
  <c r="W58" i="6" s="1"/>
  <c r="AA108" i="6"/>
  <c r="U108" i="6"/>
  <c r="W108" i="6" s="1"/>
  <c r="AA111" i="6"/>
  <c r="U111" i="6"/>
  <c r="W111" i="6" s="1"/>
  <c r="AC982" i="5"/>
  <c r="X982" i="5"/>
  <c r="Q987" i="5"/>
  <c r="AB987" i="5"/>
  <c r="AA989" i="5"/>
  <c r="M989" i="5"/>
  <c r="L506" i="7"/>
  <c r="U31" i="6"/>
  <c r="L531" i="7" s="1"/>
  <c r="U553" i="7"/>
  <c r="W53" i="6"/>
  <c r="V553" i="7" s="1"/>
  <c r="AA151" i="6"/>
  <c r="U151" i="6"/>
  <c r="W151" i="6" s="1"/>
  <c r="AA537" i="5"/>
  <c r="M537" i="5"/>
  <c r="X546" i="5"/>
  <c r="AC546" i="5"/>
  <c r="Q556" i="5"/>
  <c r="Y556" i="5" s="1"/>
  <c r="Z556" i="5" s="1"/>
  <c r="AB556" i="5"/>
  <c r="X577" i="5"/>
  <c r="Y577" i="5" s="1"/>
  <c r="Z577" i="5" s="1"/>
  <c r="AC577" i="5"/>
  <c r="AC621" i="5"/>
  <c r="X621" i="5"/>
  <c r="Q650" i="5"/>
  <c r="AB650" i="5"/>
  <c r="M705" i="5"/>
  <c r="AA705" i="5"/>
  <c r="M713" i="5"/>
  <c r="AA713" i="5"/>
  <c r="AB731" i="5"/>
  <c r="Q731" i="5"/>
  <c r="X737" i="5"/>
  <c r="AC737" i="5"/>
  <c r="AC861" i="5"/>
  <c r="X861" i="5"/>
  <c r="Y861" i="5" s="1"/>
  <c r="Z861" i="5" s="1"/>
  <c r="Q891" i="5"/>
  <c r="AB891" i="5"/>
  <c r="AB944" i="5"/>
  <c r="Q944" i="5"/>
  <c r="Y944" i="5" s="1"/>
  <c r="Z944" i="5" s="1"/>
  <c r="AC978" i="5"/>
  <c r="X978" i="5"/>
  <c r="U509" i="7"/>
  <c r="K22" i="6"/>
  <c r="K25" i="6"/>
  <c r="Z25" i="6" s="1"/>
  <c r="Z525" i="7" s="1"/>
  <c r="U194" i="6"/>
  <c r="AA194" i="6"/>
  <c r="M941" i="5"/>
  <c r="AA941" i="5"/>
  <c r="AA950" i="5"/>
  <c r="M950" i="5"/>
  <c r="AA6" i="6"/>
  <c r="X506" i="7" s="1"/>
  <c r="Z12" i="6"/>
  <c r="Z512" i="7" s="1"/>
  <c r="K16" i="6"/>
  <c r="U532" i="7"/>
  <c r="Z32" i="6"/>
  <c r="Z532" i="7" s="1"/>
  <c r="K50" i="6"/>
  <c r="L553" i="7"/>
  <c r="AA53" i="6"/>
  <c r="X553" i="7" s="1"/>
  <c r="K207" i="6"/>
  <c r="Z207" i="6"/>
  <c r="L522" i="7"/>
  <c r="AA22" i="6"/>
  <c r="X522" i="7" s="1"/>
  <c r="U526" i="7"/>
  <c r="Z26" i="6"/>
  <c r="Z526" i="7" s="1"/>
  <c r="U32" i="6"/>
  <c r="L532" i="7" s="1"/>
  <c r="X510" i="5"/>
  <c r="AC510" i="5"/>
  <c r="M578" i="5"/>
  <c r="AA578" i="5"/>
  <c r="X594" i="5"/>
  <c r="AC594" i="5"/>
  <c r="AA662" i="5"/>
  <c r="Q674" i="5"/>
  <c r="AB674" i="5"/>
  <c r="AC680" i="5"/>
  <c r="X680" i="5"/>
  <c r="AB686" i="5"/>
  <c r="Y882" i="5"/>
  <c r="Z882" i="5" s="1"/>
  <c r="AC885" i="5"/>
  <c r="X885" i="5"/>
  <c r="Q939" i="5"/>
  <c r="AB939" i="5"/>
  <c r="AA945" i="5"/>
  <c r="M945" i="5"/>
  <c r="AB946" i="5"/>
  <c r="AC983" i="5"/>
  <c r="X983" i="5"/>
  <c r="U504" i="7"/>
  <c r="W4" i="6"/>
  <c r="V504" i="7" s="1"/>
  <c r="Z4" i="6"/>
  <c r="Z504" i="7" s="1"/>
  <c r="U507" i="7"/>
  <c r="W7" i="6"/>
  <c r="V507" i="7" s="1"/>
  <c r="K33" i="6"/>
  <c r="Z81" i="6"/>
  <c r="K81" i="6"/>
  <c r="W81" i="6" s="1"/>
  <c r="AA101" i="6"/>
  <c r="U101" i="6"/>
  <c r="AA132" i="6"/>
  <c r="U132" i="6"/>
  <c r="W132" i="6" s="1"/>
  <c r="AA140" i="6"/>
  <c r="U140" i="6"/>
  <c r="U166" i="6"/>
  <c r="AA166" i="6"/>
  <c r="Q309" i="5"/>
  <c r="M331" i="5"/>
  <c r="Y331" i="5" s="1"/>
  <c r="Z331" i="5" s="1"/>
  <c r="Q357" i="5"/>
  <c r="M379" i="5"/>
  <c r="Y379" i="5" s="1"/>
  <c r="Z379" i="5" s="1"/>
  <c r="Q405" i="5"/>
  <c r="M427" i="5"/>
  <c r="Y427" i="5" s="1"/>
  <c r="Z427" i="5" s="1"/>
  <c r="Q453" i="5"/>
  <c r="M475" i="5"/>
  <c r="Y475" i="5" s="1"/>
  <c r="Z475" i="5" s="1"/>
  <c r="Q501" i="5"/>
  <c r="X537" i="5"/>
  <c r="M544" i="5"/>
  <c r="M547" i="5"/>
  <c r="Y547" i="5" s="1"/>
  <c r="Z547" i="5" s="1"/>
  <c r="Q558" i="5"/>
  <c r="Q578" i="5"/>
  <c r="AB578" i="5"/>
  <c r="M593" i="5"/>
  <c r="X599" i="5"/>
  <c r="Y599" i="5" s="1"/>
  <c r="Z599" i="5" s="1"/>
  <c r="Q602" i="5"/>
  <c r="Y602" i="5" s="1"/>
  <c r="Z602" i="5" s="1"/>
  <c r="AB602" i="5"/>
  <c r="M608" i="5"/>
  <c r="X614" i="5"/>
  <c r="AC623" i="5"/>
  <c r="X623" i="5"/>
  <c r="Q644" i="5"/>
  <c r="Q658" i="5"/>
  <c r="AC669" i="5"/>
  <c r="X669" i="5"/>
  <c r="Y669" i="5" s="1"/>
  <c r="Z669" i="5" s="1"/>
  <c r="M677" i="5"/>
  <c r="AA677" i="5"/>
  <c r="M685" i="5"/>
  <c r="X688" i="5"/>
  <c r="AC688" i="5"/>
  <c r="AB692" i="5"/>
  <c r="Q692" i="5"/>
  <c r="X710" i="5"/>
  <c r="Q717" i="5"/>
  <c r="M720" i="5"/>
  <c r="AA720" i="5"/>
  <c r="M723" i="5"/>
  <c r="Y723" i="5" s="1"/>
  <c r="Z723" i="5" s="1"/>
  <c r="X733" i="5"/>
  <c r="Y733" i="5" s="1"/>
  <c r="Z733" i="5" s="1"/>
  <c r="AC733" i="5"/>
  <c r="AA735" i="5"/>
  <c r="M735" i="5"/>
  <c r="X741" i="5"/>
  <c r="Q766" i="5"/>
  <c r="AB766" i="5"/>
  <c r="Q826" i="5"/>
  <c r="X834" i="5"/>
  <c r="M862" i="5"/>
  <c r="Q864" i="5"/>
  <c r="Q870" i="5"/>
  <c r="Y870" i="5" s="1"/>
  <c r="Z870" i="5" s="1"/>
  <c r="Q874" i="5"/>
  <c r="Q903" i="5"/>
  <c r="AB903" i="5"/>
  <c r="M908" i="5"/>
  <c r="AC932" i="5"/>
  <c r="X932" i="5"/>
  <c r="AB945" i="5"/>
  <c r="Q945" i="5"/>
  <c r="X950" i="5"/>
  <c r="AA956" i="5"/>
  <c r="M956" i="5"/>
  <c r="AB959" i="5"/>
  <c r="X961" i="5"/>
  <c r="Y961" i="5" s="1"/>
  <c r="Z961" i="5" s="1"/>
  <c r="X991" i="5"/>
  <c r="AC991" i="5"/>
  <c r="M997" i="5"/>
  <c r="AA997" i="5"/>
  <c r="U10" i="6"/>
  <c r="AA10" i="6" s="1"/>
  <c r="X510" i="7" s="1"/>
  <c r="K17" i="6"/>
  <c r="Z27" i="6"/>
  <c r="Z527" i="7" s="1"/>
  <c r="U33" i="6"/>
  <c r="L533" i="7" s="1"/>
  <c r="AA39" i="6"/>
  <c r="X539" i="7" s="1"/>
  <c r="Q710" i="5"/>
  <c r="AB710" i="5"/>
  <c r="AB728" i="5"/>
  <c r="Q728" i="5"/>
  <c r="AA752" i="5"/>
  <c r="M752" i="5"/>
  <c r="AA776" i="5"/>
  <c r="M776" i="5"/>
  <c r="AC957" i="5"/>
  <c r="X957" i="5"/>
  <c r="Z9" i="6"/>
  <c r="Z509" i="7" s="1"/>
  <c r="L527" i="7"/>
  <c r="AA27" i="6"/>
  <c r="X527" i="7" s="1"/>
  <c r="U530" i="7"/>
  <c r="W30" i="6"/>
  <c r="V530" i="7" s="1"/>
  <c r="U544" i="7"/>
  <c r="W44" i="6"/>
  <c r="V544" i="7" s="1"/>
  <c r="Z44" i="6"/>
  <c r="Z544" i="7" s="1"/>
  <c r="U547" i="7"/>
  <c r="W47" i="6"/>
  <c r="V547" i="7" s="1"/>
  <c r="K101" i="6"/>
  <c r="Z101" i="6"/>
  <c r="AA105" i="6"/>
  <c r="U105" i="6"/>
  <c r="U254" i="6"/>
  <c r="AA254" i="6"/>
  <c r="Q999" i="5"/>
  <c r="AB999" i="5"/>
  <c r="Z7" i="6"/>
  <c r="Z507" i="7" s="1"/>
  <c r="U9" i="6"/>
  <c r="W9" i="6" s="1"/>
  <c r="V509" i="7" s="1"/>
  <c r="Z15" i="6"/>
  <c r="Z515" i="7" s="1"/>
  <c r="L530" i="7"/>
  <c r="AA30" i="6"/>
  <c r="X530" i="7" s="1"/>
  <c r="AA84" i="6"/>
  <c r="U84" i="6"/>
  <c r="W84" i="6" s="1"/>
  <c r="AA116" i="6"/>
  <c r="U116" i="6"/>
  <c r="W116" i="6" s="1"/>
  <c r="W133" i="6"/>
  <c r="Z146" i="6"/>
  <c r="K146" i="6"/>
  <c r="U427" i="6"/>
  <c r="W427" i="6" s="1"/>
  <c r="AA427" i="6"/>
  <c r="Z88" i="6"/>
  <c r="K88" i="6"/>
  <c r="Z122" i="6"/>
  <c r="K122" i="6"/>
  <c r="K127" i="6"/>
  <c r="Z410" i="6"/>
  <c r="K410" i="6"/>
  <c r="Z5" i="6"/>
  <c r="Z505" i="7" s="1"/>
  <c r="AA7" i="6"/>
  <c r="X507" i="7" s="1"/>
  <c r="U25" i="6"/>
  <c r="L525" i="7" s="1"/>
  <c r="K45" i="6"/>
  <c r="Z45" i="6" s="1"/>
  <c r="Z545" i="7" s="1"/>
  <c r="K51" i="6"/>
  <c r="Z51" i="6" s="1"/>
  <c r="Z551" i="7" s="1"/>
  <c r="Z74" i="6"/>
  <c r="K74" i="6"/>
  <c r="AA81" i="6"/>
  <c r="U88" i="6"/>
  <c r="AA88" i="6"/>
  <c r="AA127" i="6"/>
  <c r="U127" i="6"/>
  <c r="K224" i="6"/>
  <c r="AA270" i="6"/>
  <c r="U270" i="6"/>
  <c r="U317" i="6"/>
  <c r="AA319" i="6"/>
  <c r="Z23" i="6"/>
  <c r="Z523" i="7" s="1"/>
  <c r="U531" i="7"/>
  <c r="Z31" i="6"/>
  <c r="Z531" i="7" s="1"/>
  <c r="AA45" i="6"/>
  <c r="X545" i="7" s="1"/>
  <c r="W48" i="6"/>
  <c r="V548" i="7" s="1"/>
  <c r="U51" i="6"/>
  <c r="L551" i="7" s="1"/>
  <c r="Z82" i="6"/>
  <c r="K82" i="6"/>
  <c r="K99" i="6"/>
  <c r="W99" i="6" s="1"/>
  <c r="Z99" i="6"/>
  <c r="Z165" i="6"/>
  <c r="K165" i="6"/>
  <c r="K168" i="6"/>
  <c r="Z168" i="6" s="1"/>
  <c r="Z668" i="7" s="1"/>
  <c r="AA171" i="6"/>
  <c r="X671" i="7" s="1"/>
  <c r="Z221" i="6"/>
  <c r="K221" i="6"/>
  <c r="Z312" i="6"/>
  <c r="K312" i="6"/>
  <c r="AA494" i="6"/>
  <c r="U494" i="6"/>
  <c r="U597" i="6"/>
  <c r="AA597" i="6"/>
  <c r="U534" i="7"/>
  <c r="Z107" i="6"/>
  <c r="K107" i="6"/>
  <c r="W107" i="6" s="1"/>
  <c r="AA117" i="6"/>
  <c r="U117" i="6"/>
  <c r="W117" i="6" s="1"/>
  <c r="Z144" i="6"/>
  <c r="K144" i="6"/>
  <c r="Z159" i="6"/>
  <c r="K159" i="6"/>
  <c r="K172" i="6"/>
  <c r="K268" i="6"/>
  <c r="Z268" i="6"/>
  <c r="Z511" i="6"/>
  <c r="K511" i="6"/>
  <c r="AA588" i="5"/>
  <c r="AA624" i="5"/>
  <c r="M672" i="5"/>
  <c r="AA672" i="5"/>
  <c r="Y762" i="5"/>
  <c r="Z762" i="5" s="1"/>
  <c r="AA865" i="5"/>
  <c r="AB920" i="5"/>
  <c r="Q920" i="5"/>
  <c r="X941" i="5"/>
  <c r="AC941" i="5"/>
  <c r="AB992" i="5"/>
  <c r="Q992" i="5"/>
  <c r="Z10" i="6"/>
  <c r="Z510" i="7" s="1"/>
  <c r="U513" i="7"/>
  <c r="Z13" i="6"/>
  <c r="Z513" i="7" s="1"/>
  <c r="W13" i="6"/>
  <c r="V513" i="7" s="1"/>
  <c r="AA18" i="6"/>
  <c r="X518" i="7" s="1"/>
  <c r="U34" i="6"/>
  <c r="L534" i="7" s="1"/>
  <c r="AA48" i="6"/>
  <c r="X548" i="7" s="1"/>
  <c r="U552" i="7"/>
  <c r="W52" i="6"/>
  <c r="V552" i="7" s="1"/>
  <c r="Z52" i="6"/>
  <c r="Z552" i="7" s="1"/>
  <c r="U77" i="6"/>
  <c r="AA85" i="6"/>
  <c r="U89" i="6"/>
  <c r="AA89" i="6"/>
  <c r="U94" i="6"/>
  <c r="AA94" i="6"/>
  <c r="AA99" i="6"/>
  <c r="AA147" i="6"/>
  <c r="U147" i="6"/>
  <c r="W147" i="6" s="1"/>
  <c r="U199" i="6"/>
  <c r="W199" i="6" s="1"/>
  <c r="Z281" i="6"/>
  <c r="K281" i="6"/>
  <c r="U374" i="6"/>
  <c r="W374" i="6" s="1"/>
  <c r="AA374" i="6"/>
  <c r="X561" i="5"/>
  <c r="M585" i="5"/>
  <c r="X597" i="5"/>
  <c r="M621" i="5"/>
  <c r="X633" i="5"/>
  <c r="X666" i="5"/>
  <c r="Y666" i="5" s="1"/>
  <c r="Z666" i="5" s="1"/>
  <c r="M679" i="5"/>
  <c r="Y679" i="5" s="1"/>
  <c r="Z679" i="5" s="1"/>
  <c r="M701" i="5"/>
  <c r="Q704" i="5"/>
  <c r="Q797" i="5"/>
  <c r="X806" i="5"/>
  <c r="Y806" i="5" s="1"/>
  <c r="Z806" i="5" s="1"/>
  <c r="AC806" i="5"/>
  <c r="Q808" i="5"/>
  <c r="M832" i="5"/>
  <c r="M844" i="5"/>
  <c r="AA849" i="5"/>
  <c r="M849" i="5"/>
  <c r="X853" i="5"/>
  <c r="AC853" i="5"/>
  <c r="Q855" i="5"/>
  <c r="Y855" i="5" s="1"/>
  <c r="Z855" i="5" s="1"/>
  <c r="AB855" i="5"/>
  <c r="X859" i="5"/>
  <c r="Q873" i="5"/>
  <c r="M885" i="5"/>
  <c r="Q893" i="5"/>
  <c r="AA895" i="5"/>
  <c r="M895" i="5"/>
  <c r="Y895" i="5" s="1"/>
  <c r="Z895" i="5" s="1"/>
  <c r="AA904" i="5"/>
  <c r="M904" i="5"/>
  <c r="Y904" i="5" s="1"/>
  <c r="Z904" i="5" s="1"/>
  <c r="M917" i="5"/>
  <c r="Y917" i="5" s="1"/>
  <c r="Z917" i="5" s="1"/>
  <c r="AA917" i="5"/>
  <c r="M943" i="5"/>
  <c r="Q955" i="5"/>
  <c r="Q960" i="5"/>
  <c r="X970" i="5"/>
  <c r="K3" i="6"/>
  <c r="K21" i="6"/>
  <c r="Z21" i="6" s="1"/>
  <c r="Z521" i="7" s="1"/>
  <c r="U26" i="6"/>
  <c r="L526" i="7" s="1"/>
  <c r="Z34" i="6"/>
  <c r="Z534" i="7" s="1"/>
  <c r="AA43" i="6"/>
  <c r="X543" i="7" s="1"/>
  <c r="U546" i="7"/>
  <c r="W46" i="6"/>
  <c r="V546" i="7" s="1"/>
  <c r="Z46" i="6"/>
  <c r="Z546" i="7" s="1"/>
  <c r="K60" i="6"/>
  <c r="Z60" i="6"/>
  <c r="W83" i="6"/>
  <c r="K115" i="6"/>
  <c r="AA134" i="6"/>
  <c r="U134" i="6"/>
  <c r="W134" i="6" s="1"/>
  <c r="U144" i="6"/>
  <c r="AA236" i="6"/>
  <c r="U236" i="6"/>
  <c r="Z302" i="6"/>
  <c r="K302" i="6"/>
  <c r="W302" i="6" s="1"/>
  <c r="Q771" i="5"/>
  <c r="AB771" i="5"/>
  <c r="Y784" i="5"/>
  <c r="Z784" i="5" s="1"/>
  <c r="AC790" i="5"/>
  <c r="X790" i="5"/>
  <c r="Y790" i="5" s="1"/>
  <c r="Z790" i="5" s="1"/>
  <c r="X797" i="5"/>
  <c r="AC797" i="5"/>
  <c r="M805" i="5"/>
  <c r="AA805" i="5"/>
  <c r="AB813" i="5"/>
  <c r="Q813" i="5"/>
  <c r="X893" i="5"/>
  <c r="AC893" i="5"/>
  <c r="AA961" i="5"/>
  <c r="X998" i="5"/>
  <c r="AC998" i="5"/>
  <c r="AA3" i="6"/>
  <c r="X503" i="7" s="1"/>
  <c r="W8" i="6"/>
  <c r="V508" i="7" s="1"/>
  <c r="Z11" i="6"/>
  <c r="Z511" i="7" s="1"/>
  <c r="AA16" i="6"/>
  <c r="X516" i="7" s="1"/>
  <c r="U519" i="7"/>
  <c r="W19" i="6"/>
  <c r="V519" i="7" s="1"/>
  <c r="L529" i="7"/>
  <c r="AA29" i="6"/>
  <c r="X529" i="7" s="1"/>
  <c r="AA41" i="6"/>
  <c r="X541" i="7" s="1"/>
  <c r="AA46" i="6"/>
  <c r="X546" i="7" s="1"/>
  <c r="AA118" i="6"/>
  <c r="U118" i="6"/>
  <c r="AA120" i="6"/>
  <c r="Z160" i="6"/>
  <c r="K160" i="6"/>
  <c r="Z166" i="6"/>
  <c r="K166" i="6"/>
  <c r="L669" i="7"/>
  <c r="AA169" i="6"/>
  <c r="X669" i="7" s="1"/>
  <c r="K173" i="6"/>
  <c r="AA197" i="6"/>
  <c r="U197" i="6"/>
  <c r="W197" i="6" s="1"/>
  <c r="U260" i="6"/>
  <c r="Z278" i="6"/>
  <c r="K278" i="6"/>
  <c r="W278" i="6" s="1"/>
  <c r="Z43" i="6"/>
  <c r="Z543" i="7" s="1"/>
  <c r="W179" i="6"/>
  <c r="K184" i="6"/>
  <c r="W184" i="6" s="1"/>
  <c r="Z184" i="6"/>
  <c r="AA224" i="6"/>
  <c r="U224" i="6"/>
  <c r="Z247" i="6"/>
  <c r="K247" i="6"/>
  <c r="W247" i="6" s="1"/>
  <c r="AA283" i="6"/>
  <c r="U283" i="6"/>
  <c r="W283" i="6" s="1"/>
  <c r="AA288" i="6"/>
  <c r="U288" i="6"/>
  <c r="K292" i="6"/>
  <c r="Z292" i="6"/>
  <c r="AA396" i="6"/>
  <c r="U396" i="6"/>
  <c r="U433" i="6"/>
  <c r="AA433" i="6"/>
  <c r="Z521" i="6"/>
  <c r="K521" i="6"/>
  <c r="U647" i="6"/>
  <c r="W647" i="6" s="1"/>
  <c r="AA647" i="6"/>
  <c r="K170" i="6"/>
  <c r="Z170" i="6" s="1"/>
  <c r="Z670" i="7" s="1"/>
  <c r="AA221" i="6"/>
  <c r="U221" i="6"/>
  <c r="K232" i="6"/>
  <c r="Z232" i="6"/>
  <c r="Z331" i="6"/>
  <c r="K331" i="6"/>
  <c r="K352" i="6"/>
  <c r="W352" i="6" s="1"/>
  <c r="Z352" i="6"/>
  <c r="AA480" i="6"/>
  <c r="U480" i="6"/>
  <c r="W480" i="6" s="1"/>
  <c r="AA518" i="6"/>
  <c r="U518" i="6"/>
  <c r="W518" i="6" s="1"/>
  <c r="Z544" i="6"/>
  <c r="K544" i="6"/>
  <c r="W544" i="6" s="1"/>
  <c r="U561" i="6"/>
  <c r="W561" i="6" s="1"/>
  <c r="AA561" i="6"/>
  <c r="U633" i="6"/>
  <c r="AA633" i="6"/>
  <c r="K192" i="6"/>
  <c r="U195" i="6"/>
  <c r="K200" i="6"/>
  <c r="W200" i="6" s="1"/>
  <c r="K219" i="6"/>
  <c r="K225" i="6"/>
  <c r="W225" i="6" s="1"/>
  <c r="Z242" i="6"/>
  <c r="K242" i="6"/>
  <c r="W242" i="6" s="1"/>
  <c r="Z252" i="6"/>
  <c r="K252" i="6"/>
  <c r="K255" i="6"/>
  <c r="U258" i="6"/>
  <c r="U281" i="6"/>
  <c r="K300" i="6"/>
  <c r="AA302" i="6"/>
  <c r="W325" i="6"/>
  <c r="U349" i="6"/>
  <c r="W349" i="6" s="1"/>
  <c r="AA377" i="6"/>
  <c r="U377" i="6"/>
  <c r="W377" i="6" s="1"/>
  <c r="Z394" i="6"/>
  <c r="K394" i="6"/>
  <c r="U411" i="6"/>
  <c r="W411" i="6" s="1"/>
  <c r="AA411" i="6"/>
  <c r="U430" i="6"/>
  <c r="W430" i="6" s="1"/>
  <c r="AA446" i="6"/>
  <c r="U446" i="6"/>
  <c r="AA483" i="6"/>
  <c r="U483" i="6"/>
  <c r="K587" i="6"/>
  <c r="Z587" i="6"/>
  <c r="K177" i="6"/>
  <c r="Z182" i="6"/>
  <c r="K182" i="6"/>
  <c r="W182" i="6" s="1"/>
  <c r="AA192" i="6"/>
  <c r="U192" i="6"/>
  <c r="K245" i="6"/>
  <c r="K266" i="6"/>
  <c r="K279" i="6"/>
  <c r="K289" i="6"/>
  <c r="Z296" i="6"/>
  <c r="K296" i="6"/>
  <c r="AA408" i="6"/>
  <c r="U408" i="6"/>
  <c r="W408" i="6" s="1"/>
  <c r="AA530" i="6"/>
  <c r="U530" i="6"/>
  <c r="AA553" i="6"/>
  <c r="U553" i="6"/>
  <c r="U584" i="6"/>
  <c r="W584" i="6" s="1"/>
  <c r="AA584" i="6"/>
  <c r="AA678" i="6"/>
  <c r="U678" i="6"/>
  <c r="W678" i="6" s="1"/>
  <c r="AA158" i="6"/>
  <c r="U158" i="6"/>
  <c r="W158" i="6" s="1"/>
  <c r="U173" i="6"/>
  <c r="L673" i="7" s="1"/>
  <c r="U175" i="6"/>
  <c r="L675" i="7" s="1"/>
  <c r="K190" i="6"/>
  <c r="W190" i="6" s="1"/>
  <c r="Z230" i="6"/>
  <c r="K230" i="6"/>
  <c r="W230" i="6" s="1"/>
  <c r="Z240" i="6"/>
  <c r="K240" i="6"/>
  <c r="U266" i="6"/>
  <c r="AA266" i="6"/>
  <c r="U298" i="6"/>
  <c r="Z310" i="6"/>
  <c r="K310" i="6"/>
  <c r="W310" i="6" s="1"/>
  <c r="K392" i="6"/>
  <c r="Z392" i="6"/>
  <c r="K406" i="6"/>
  <c r="Z443" i="6"/>
  <c r="K443" i="6"/>
  <c r="Z465" i="6"/>
  <c r="K465" i="6"/>
  <c r="W465" i="6" s="1"/>
  <c r="K563" i="6"/>
  <c r="W563" i="6" s="1"/>
  <c r="Z563" i="6"/>
  <c r="AA579" i="6"/>
  <c r="U579" i="6"/>
  <c r="W579" i="6" s="1"/>
  <c r="Z720" i="6"/>
  <c r="K720" i="6"/>
  <c r="W720" i="6" s="1"/>
  <c r="U203" i="6"/>
  <c r="Z217" i="6"/>
  <c r="K217" i="6"/>
  <c r="U250" i="6"/>
  <c r="W250" i="6" s="1"/>
  <c r="K256" i="6"/>
  <c r="Z256" i="6"/>
  <c r="U271" i="6"/>
  <c r="W271" i="6" s="1"/>
  <c r="U279" i="6"/>
  <c r="AA286" i="6"/>
  <c r="U296" i="6"/>
  <c r="AA347" i="6"/>
  <c r="U347" i="6"/>
  <c r="W347" i="6" s="1"/>
  <c r="Z357" i="6"/>
  <c r="U423" i="6"/>
  <c r="W423" i="6" s="1"/>
  <c r="AA423" i="6"/>
  <c r="Z463" i="6"/>
  <c r="K463" i="6"/>
  <c r="W463" i="6" s="1"/>
  <c r="K504" i="6"/>
  <c r="Z504" i="6"/>
  <c r="AA168" i="6"/>
  <c r="X668" i="7" s="1"/>
  <c r="Z175" i="6"/>
  <c r="Z675" i="7" s="1"/>
  <c r="AA293" i="6"/>
  <c r="U293" i="6"/>
  <c r="Z308" i="6"/>
  <c r="K308" i="6"/>
  <c r="Z334" i="6"/>
  <c r="AA389" i="6"/>
  <c r="U389" i="6"/>
  <c r="W389" i="6" s="1"/>
  <c r="K404" i="6"/>
  <c r="Z404" i="6"/>
  <c r="AA469" i="6"/>
  <c r="K557" i="6"/>
  <c r="W557" i="6" s="1"/>
  <c r="Z557" i="6"/>
  <c r="AA19" i="6"/>
  <c r="X519" i="7" s="1"/>
  <c r="U540" i="7"/>
  <c r="W40" i="6"/>
  <c r="V540" i="7" s="1"/>
  <c r="U549" i="7"/>
  <c r="Z49" i="6"/>
  <c r="Z549" i="7" s="1"/>
  <c r="W49" i="6"/>
  <c r="V549" i="7" s="1"/>
  <c r="W92" i="6"/>
  <c r="U123" i="6"/>
  <c r="K154" i="6"/>
  <c r="U156" i="6"/>
  <c r="AA161" i="6"/>
  <c r="W164" i="6"/>
  <c r="K178" i="6"/>
  <c r="W178" i="6" s="1"/>
  <c r="U185" i="6"/>
  <c r="Z223" i="6"/>
  <c r="K223" i="6"/>
  <c r="W223" i="6" s="1"/>
  <c r="K238" i="6"/>
  <c r="Z248" i="6"/>
  <c r="K253" i="6"/>
  <c r="K264" i="6"/>
  <c r="U269" i="6"/>
  <c r="K272" i="6"/>
  <c r="K274" i="6"/>
  <c r="W274" i="6" s="1"/>
  <c r="U386" i="6"/>
  <c r="AA386" i="6"/>
  <c r="AA401" i="6"/>
  <c r="U401" i="6"/>
  <c r="W401" i="6" s="1"/>
  <c r="AA404" i="6"/>
  <c r="U404" i="6"/>
  <c r="U455" i="6"/>
  <c r="W455" i="6" s="1"/>
  <c r="AA455" i="6"/>
  <c r="W461" i="6"/>
  <c r="K466" i="6"/>
  <c r="Z466" i="6"/>
  <c r="AA487" i="6"/>
  <c r="U487" i="6"/>
  <c r="AA728" i="6"/>
  <c r="U728" i="6"/>
  <c r="W728" i="6" s="1"/>
  <c r="K90" i="6"/>
  <c r="W90" i="6" s="1"/>
  <c r="Z90" i="6"/>
  <c r="U112" i="6"/>
  <c r="AA112" i="6"/>
  <c r="Z132" i="6"/>
  <c r="K162" i="6"/>
  <c r="W162" i="6" s="1"/>
  <c r="Z162" i="6"/>
  <c r="W171" i="6"/>
  <c r="V671" i="7" s="1"/>
  <c r="AA193" i="6"/>
  <c r="U238" i="6"/>
  <c r="AA238" i="6"/>
  <c r="U466" i="6"/>
  <c r="AA466" i="6"/>
  <c r="Z576" i="6"/>
  <c r="Z670" i="6"/>
  <c r="K670" i="6"/>
  <c r="W670" i="6" s="1"/>
  <c r="K702" i="6"/>
  <c r="W702" i="6" s="1"/>
  <c r="Z702" i="6"/>
  <c r="X742" i="5"/>
  <c r="Y742" i="5" s="1"/>
  <c r="Z742" i="5" s="1"/>
  <c r="Q752" i="5"/>
  <c r="M788" i="5"/>
  <c r="M824" i="5"/>
  <c r="Q836" i="5"/>
  <c r="X862" i="5"/>
  <c r="Q872" i="5"/>
  <c r="Q921" i="5"/>
  <c r="Y921" i="5" s="1"/>
  <c r="Z921" i="5" s="1"/>
  <c r="Q932" i="5"/>
  <c r="X958" i="5"/>
  <c r="Q968" i="5"/>
  <c r="M979" i="5"/>
  <c r="Y979" i="5" s="1"/>
  <c r="Z979" i="5" s="1"/>
  <c r="Z2" i="6"/>
  <c r="Z502" i="7" s="1"/>
  <c r="U21" i="6"/>
  <c r="W42" i="6"/>
  <c r="V542" i="7" s="1"/>
  <c r="Z47" i="6"/>
  <c r="Z547" i="7" s="1"/>
  <c r="U82" i="6"/>
  <c r="U154" i="6"/>
  <c r="Z171" i="6"/>
  <c r="Z671" i="7" s="1"/>
  <c r="AA188" i="6"/>
  <c r="U188" i="6"/>
  <c r="Z194" i="6"/>
  <c r="K194" i="6"/>
  <c r="K236" i="6"/>
  <c r="Z257" i="6"/>
  <c r="K257" i="6"/>
  <c r="K260" i="6"/>
  <c r="U272" i="6"/>
  <c r="AA274" i="6"/>
  <c r="Z291" i="6"/>
  <c r="K291" i="6"/>
  <c r="AA311" i="6"/>
  <c r="U311" i="6"/>
  <c r="W319" i="6"/>
  <c r="Z353" i="6"/>
  <c r="K384" i="6"/>
  <c r="AA418" i="6"/>
  <c r="U418" i="6"/>
  <c r="W418" i="6" s="1"/>
  <c r="Z432" i="6"/>
  <c r="K432" i="6"/>
  <c r="Z435" i="6"/>
  <c r="W459" i="6"/>
  <c r="AA699" i="6"/>
  <c r="U699" i="6"/>
  <c r="W699" i="6" s="1"/>
  <c r="U422" i="6"/>
  <c r="W422" i="6" s="1"/>
  <c r="AA422" i="6"/>
  <c r="AA468" i="6"/>
  <c r="U468" i="6"/>
  <c r="W468" i="6" s="1"/>
  <c r="K503" i="6"/>
  <c r="Z503" i="6"/>
  <c r="Z556" i="6"/>
  <c r="K556" i="6"/>
  <c r="W556" i="6" s="1"/>
  <c r="Z600" i="6"/>
  <c r="K600" i="6"/>
  <c r="Z631" i="6"/>
  <c r="K631" i="6"/>
  <c r="AA774" i="6"/>
  <c r="U774" i="6"/>
  <c r="K830" i="6"/>
  <c r="Z830" i="6"/>
  <c r="AA50" i="6"/>
  <c r="X550" i="7" s="1"/>
  <c r="W187" i="6"/>
  <c r="Z276" i="6"/>
  <c r="K276" i="6"/>
  <c r="U327" i="6"/>
  <c r="U344" i="6"/>
  <c r="AA346" i="6"/>
  <c r="K355" i="6"/>
  <c r="W355" i="6" s="1"/>
  <c r="U361" i="6"/>
  <c r="W361" i="6" s="1"/>
  <c r="U372" i="6"/>
  <c r="K398" i="6"/>
  <c r="U410" i="6"/>
  <c r="AA410" i="6"/>
  <c r="AA415" i="6"/>
  <c r="K420" i="6"/>
  <c r="AA425" i="6"/>
  <c r="U425" i="6"/>
  <c r="W425" i="6" s="1"/>
  <c r="AA432" i="6"/>
  <c r="U432" i="6"/>
  <c r="K445" i="6"/>
  <c r="Z445" i="6"/>
  <c r="AA454" i="6"/>
  <c r="AA482" i="6"/>
  <c r="U482" i="6"/>
  <c r="K485" i="6"/>
  <c r="W496" i="6"/>
  <c r="K538" i="6"/>
  <c r="W538" i="6" s="1"/>
  <c r="K562" i="6"/>
  <c r="U576" i="6"/>
  <c r="W576" i="6" s="1"/>
  <c r="Z595" i="6"/>
  <c r="K595" i="6"/>
  <c r="Z659" i="6"/>
  <c r="K659" i="6"/>
  <c r="K667" i="6"/>
  <c r="W667" i="6" s="1"/>
  <c r="K676" i="6"/>
  <c r="U730" i="6"/>
  <c r="K762" i="6"/>
  <c r="W762" i="6" s="1"/>
  <c r="Z762" i="6"/>
  <c r="U843" i="6"/>
  <c r="U398" i="6"/>
  <c r="AA398" i="6"/>
  <c r="AA413" i="6"/>
  <c r="U413" i="6"/>
  <c r="W413" i="6" s="1"/>
  <c r="AA420" i="6"/>
  <c r="U420" i="6"/>
  <c r="AA445" i="6"/>
  <c r="U445" i="6"/>
  <c r="AA452" i="6"/>
  <c r="U452" i="6"/>
  <c r="W452" i="6" s="1"/>
  <c r="K469" i="6"/>
  <c r="W469" i="6" s="1"/>
  <c r="Z469" i="6"/>
  <c r="U477" i="6"/>
  <c r="W477" i="6" s="1"/>
  <c r="AA477" i="6"/>
  <c r="AA485" i="6"/>
  <c r="U485" i="6"/>
  <c r="K551" i="6"/>
  <c r="Z551" i="6"/>
  <c r="AA562" i="6"/>
  <c r="U562" i="6"/>
  <c r="Z566" i="6"/>
  <c r="K566" i="6"/>
  <c r="W566" i="6" s="1"/>
  <c r="Z656" i="6"/>
  <c r="K656" i="6"/>
  <c r="AA772" i="6"/>
  <c r="U772" i="6"/>
  <c r="K784" i="6"/>
  <c r="Z784" i="6"/>
  <c r="K795" i="6"/>
  <c r="W795" i="6" s="1"/>
  <c r="Z795" i="6"/>
  <c r="AA817" i="6"/>
  <c r="U817" i="6"/>
  <c r="U912" i="6"/>
  <c r="AA912" i="6"/>
  <c r="U700" i="6"/>
  <c r="AA700" i="6"/>
  <c r="K763" i="6"/>
  <c r="W763" i="6" s="1"/>
  <c r="Z763" i="6"/>
  <c r="K787" i="6"/>
  <c r="W787" i="6" s="1"/>
  <c r="K812" i="6"/>
  <c r="W812" i="6" s="1"/>
  <c r="Z812" i="6"/>
  <c r="U909" i="6"/>
  <c r="Z948" i="6"/>
  <c r="K948" i="6"/>
  <c r="W948" i="6" s="1"/>
  <c r="AA384" i="6"/>
  <c r="U384" i="6"/>
  <c r="Z455" i="6"/>
  <c r="AA475" i="6"/>
  <c r="U475" i="6"/>
  <c r="U478" i="6"/>
  <c r="AA478" i="6"/>
  <c r="K497" i="6"/>
  <c r="Z497" i="6"/>
  <c r="Z542" i="6"/>
  <c r="K542" i="6"/>
  <c r="K615" i="6"/>
  <c r="W615" i="6" s="1"/>
  <c r="Z615" i="6"/>
  <c r="K629" i="6"/>
  <c r="K648" i="6"/>
  <c r="Z663" i="6"/>
  <c r="K663" i="6"/>
  <c r="U695" i="6"/>
  <c r="W695" i="6" s="1"/>
  <c r="K734" i="6"/>
  <c r="Z734" i="6"/>
  <c r="U769" i="6"/>
  <c r="U979" i="6"/>
  <c r="AA979" i="6"/>
  <c r="U426" i="6"/>
  <c r="W426" i="6" s="1"/>
  <c r="AA426" i="6"/>
  <c r="Z549" i="6"/>
  <c r="K549" i="6"/>
  <c r="W549" i="6" s="1"/>
  <c r="U593" i="6"/>
  <c r="AA593" i="6"/>
  <c r="K623" i="6"/>
  <c r="Z623" i="6"/>
  <c r="AA626" i="6"/>
  <c r="U626" i="6"/>
  <c r="U648" i="6"/>
  <c r="AA648" i="6"/>
  <c r="K674" i="6"/>
  <c r="Z674" i="6"/>
  <c r="Z724" i="6"/>
  <c r="U734" i="6"/>
  <c r="AA734" i="6"/>
  <c r="K770" i="6"/>
  <c r="Z770" i="6"/>
  <c r="Z850" i="6"/>
  <c r="K850" i="6"/>
  <c r="AA963" i="6"/>
  <c r="U963" i="6"/>
  <c r="AA365" i="6"/>
  <c r="U365" i="6"/>
  <c r="W365" i="6" s="1"/>
  <c r="U380" i="6"/>
  <c r="W380" i="6" s="1"/>
  <c r="U394" i="6"/>
  <c r="U414" i="6"/>
  <c r="AA414" i="6"/>
  <c r="K424" i="6"/>
  <c r="Z424" i="6"/>
  <c r="Z492" i="6"/>
  <c r="K492" i="6"/>
  <c r="U526" i="6"/>
  <c r="W526" i="6" s="1"/>
  <c r="Z539" i="6"/>
  <c r="U542" i="6"/>
  <c r="K552" i="6"/>
  <c r="W552" i="6" s="1"/>
  <c r="U560" i="6"/>
  <c r="U567" i="6"/>
  <c r="W567" i="6" s="1"/>
  <c r="AA601" i="6"/>
  <c r="U645" i="6"/>
  <c r="AA654" i="6"/>
  <c r="U654" i="6"/>
  <c r="K671" i="6"/>
  <c r="W671" i="6" s="1"/>
  <c r="Z671" i="6"/>
  <c r="Z719" i="6"/>
  <c r="K719" i="6"/>
  <c r="AA832" i="6"/>
  <c r="U832" i="6"/>
  <c r="U845" i="6"/>
  <c r="W845" i="6" s="1"/>
  <c r="K964" i="6"/>
  <c r="Z964" i="6"/>
  <c r="K976" i="6"/>
  <c r="Z976" i="6"/>
  <c r="K228" i="6"/>
  <c r="U234" i="6"/>
  <c r="W234" i="6" s="1"/>
  <c r="U245" i="6"/>
  <c r="U253" i="6"/>
  <c r="U264" i="6"/>
  <c r="U287" i="6"/>
  <c r="W287" i="6" s="1"/>
  <c r="K290" i="6"/>
  <c r="W290" i="6" s="1"/>
  <c r="U341" i="6"/>
  <c r="W341" i="6" s="1"/>
  <c r="U343" i="6"/>
  <c r="Z350" i="6"/>
  <c r="K350" i="6"/>
  <c r="W350" i="6" s="1"/>
  <c r="K363" i="6"/>
  <c r="U382" i="6"/>
  <c r="AA399" i="6"/>
  <c r="U402" i="6"/>
  <c r="AA402" i="6"/>
  <c r="K412" i="6"/>
  <c r="Z412" i="6"/>
  <c r="K434" i="6"/>
  <c r="W434" i="6" s="1"/>
  <c r="AA436" i="6"/>
  <c r="K447" i="6"/>
  <c r="W447" i="6" s="1"/>
  <c r="Z467" i="6"/>
  <c r="U470" i="6"/>
  <c r="W470" i="6" s="1"/>
  <c r="U473" i="6"/>
  <c r="AA489" i="6"/>
  <c r="U513" i="6"/>
  <c r="AA513" i="6"/>
  <c r="U516" i="6"/>
  <c r="W516" i="6" s="1"/>
  <c r="Z567" i="6"/>
  <c r="AA583" i="6"/>
  <c r="U583" i="6"/>
  <c r="K691" i="6"/>
  <c r="W691" i="6" s="1"/>
  <c r="U729" i="6"/>
  <c r="W729" i="6" s="1"/>
  <c r="AA729" i="6"/>
  <c r="U876" i="6"/>
  <c r="AA876" i="6"/>
  <c r="AA879" i="6"/>
  <c r="U879" i="6"/>
  <c r="AA923" i="6"/>
  <c r="U923" i="6"/>
  <c r="W923" i="6" s="1"/>
  <c r="AA38" i="6"/>
  <c r="X538" i="7" s="1"/>
  <c r="K69" i="6"/>
  <c r="W69" i="6" s="1"/>
  <c r="K141" i="6"/>
  <c r="W141" i="6" s="1"/>
  <c r="AA170" i="6"/>
  <c r="X670" i="7" s="1"/>
  <c r="U186" i="6"/>
  <c r="AA200" i="6"/>
  <c r="K295" i="6"/>
  <c r="W295" i="6" s="1"/>
  <c r="K324" i="6"/>
  <c r="AA326" i="6"/>
  <c r="K329" i="6"/>
  <c r="Z348" i="6"/>
  <c r="K348" i="6"/>
  <c r="W348" i="6" s="1"/>
  <c r="Z356" i="6"/>
  <c r="Z380" i="6"/>
  <c r="AA387" i="6"/>
  <c r="U390" i="6"/>
  <c r="W390" i="6" s="1"/>
  <c r="AA390" i="6"/>
  <c r="K400" i="6"/>
  <c r="Z400" i="6"/>
  <c r="K437" i="6"/>
  <c r="W437" i="6" s="1"/>
  <c r="Z437" i="6"/>
  <c r="Z458" i="6"/>
  <c r="Z471" i="6"/>
  <c r="K471" i="6"/>
  <c r="Z514" i="6"/>
  <c r="K514" i="6"/>
  <c r="W514" i="6" s="1"/>
  <c r="Z537" i="6"/>
  <c r="K537" i="6"/>
  <c r="W537" i="6" s="1"/>
  <c r="U564" i="6"/>
  <c r="W564" i="6" s="1"/>
  <c r="K602" i="6"/>
  <c r="W616" i="6"/>
  <c r="K624" i="6"/>
  <c r="W624" i="6" s="1"/>
  <c r="Z624" i="6"/>
  <c r="Z635" i="6"/>
  <c r="U719" i="6"/>
  <c r="AA935" i="6"/>
  <c r="K196" i="6"/>
  <c r="W196" i="6" s="1"/>
  <c r="Z196" i="6"/>
  <c r="Z314" i="6"/>
  <c r="K314" i="6"/>
  <c r="W314" i="6" s="1"/>
  <c r="AA329" i="6"/>
  <c r="U329" i="6"/>
  <c r="K388" i="6"/>
  <c r="Z388" i="6"/>
  <c r="Z439" i="6"/>
  <c r="K527" i="6"/>
  <c r="W527" i="6" s="1"/>
  <c r="Z527" i="6"/>
  <c r="Z530" i="6"/>
  <c r="K530" i="6"/>
  <c r="Z599" i="6"/>
  <c r="K683" i="6"/>
  <c r="W683" i="6" s="1"/>
  <c r="Z683" i="6"/>
  <c r="AA706" i="6"/>
  <c r="U706" i="6"/>
  <c r="Z752" i="6"/>
  <c r="U782" i="6"/>
  <c r="AA782" i="6"/>
  <c r="AA801" i="6"/>
  <c r="U801" i="6"/>
  <c r="W801" i="6" s="1"/>
  <c r="Z918" i="6"/>
  <c r="K918" i="6"/>
  <c r="U505" i="6"/>
  <c r="W505" i="6" s="1"/>
  <c r="AA505" i="6"/>
  <c r="AA571" i="6"/>
  <c r="U571" i="6"/>
  <c r="W571" i="6" s="1"/>
  <c r="AA629" i="6"/>
  <c r="U629" i="6"/>
  <c r="AA637" i="6"/>
  <c r="U637" i="6"/>
  <c r="W637" i="6" s="1"/>
  <c r="AA687" i="6"/>
  <c r="U687" i="6"/>
  <c r="W687" i="6" s="1"/>
  <c r="Z709" i="6"/>
  <c r="K709" i="6"/>
  <c r="W709" i="6" s="1"/>
  <c r="Z749" i="6"/>
  <c r="K749" i="6"/>
  <c r="W749" i="6" s="1"/>
  <c r="U791" i="6"/>
  <c r="W791" i="6" s="1"/>
  <c r="AA791" i="6"/>
  <c r="Z799" i="6"/>
  <c r="K799" i="6"/>
  <c r="W799" i="6" s="1"/>
  <c r="K943" i="6"/>
  <c r="Z943" i="6"/>
  <c r="AA984" i="6"/>
  <c r="U984" i="6"/>
  <c r="W984" i="6" s="1"/>
  <c r="U816" i="6"/>
  <c r="AA816" i="6"/>
  <c r="K758" i="6"/>
  <c r="W758" i="6" s="1"/>
  <c r="Z758" i="6"/>
  <c r="Z790" i="6"/>
  <c r="K790" i="6"/>
  <c r="W790" i="6" s="1"/>
  <c r="Z803" i="6"/>
  <c r="K803" i="6"/>
  <c r="U961" i="6"/>
  <c r="AA961" i="6"/>
  <c r="AA976" i="6"/>
  <c r="U976" i="6"/>
  <c r="U585" i="6"/>
  <c r="W585" i="6" s="1"/>
  <c r="AA585" i="6"/>
  <c r="AA625" i="6"/>
  <c r="U625" i="6"/>
  <c r="K639" i="6"/>
  <c r="W639" i="6" s="1"/>
  <c r="Z639" i="6"/>
  <c r="AA657" i="6"/>
  <c r="U657" i="6"/>
  <c r="W657" i="6" s="1"/>
  <c r="AA737" i="6"/>
  <c r="U737" i="6"/>
  <c r="U820" i="6"/>
  <c r="AA820" i="6"/>
  <c r="AA872" i="6"/>
  <c r="U872" i="6"/>
  <c r="K915" i="6"/>
  <c r="Z915" i="6"/>
  <c r="K919" i="6"/>
  <c r="Z919" i="6"/>
  <c r="Z973" i="6"/>
  <c r="K973" i="6"/>
  <c r="W973" i="6" s="1"/>
  <c r="K204" i="6"/>
  <c r="K441" i="6"/>
  <c r="W441" i="6" s="1"/>
  <c r="U443" i="6"/>
  <c r="AA443" i="6"/>
  <c r="W448" i="6"/>
  <c r="K490" i="6"/>
  <c r="W490" i="6" s="1"/>
  <c r="AA492" i="6"/>
  <c r="U492" i="6"/>
  <c r="U504" i="6"/>
  <c r="AA511" i="6"/>
  <c r="U511" i="6"/>
  <c r="AA525" i="6"/>
  <c r="K535" i="6"/>
  <c r="K540" i="6"/>
  <c r="K545" i="6"/>
  <c r="Z545" i="6"/>
  <c r="Z550" i="6"/>
  <c r="K550" i="6"/>
  <c r="U565" i="6"/>
  <c r="W565" i="6" s="1"/>
  <c r="AA565" i="6"/>
  <c r="Z578" i="6"/>
  <c r="K578" i="6"/>
  <c r="AA595" i="6"/>
  <c r="U595" i="6"/>
  <c r="K610" i="6"/>
  <c r="U612" i="6"/>
  <c r="AA631" i="6"/>
  <c r="U631" i="6"/>
  <c r="U665" i="6"/>
  <c r="U676" i="6"/>
  <c r="Z711" i="6"/>
  <c r="K711" i="6"/>
  <c r="U745" i="6"/>
  <c r="U753" i="6"/>
  <c r="U849" i="6"/>
  <c r="W849" i="6" s="1"/>
  <c r="AA849" i="6"/>
  <c r="Z852" i="6"/>
  <c r="K852" i="6"/>
  <c r="W852" i="6" s="1"/>
  <c r="U869" i="6"/>
  <c r="Z893" i="6"/>
  <c r="K893" i="6"/>
  <c r="W893" i="6" s="1"/>
  <c r="AA915" i="6"/>
  <c r="U915" i="6"/>
  <c r="K959" i="6"/>
  <c r="U684" i="6"/>
  <c r="W684" i="6" s="1"/>
  <c r="AA684" i="6"/>
  <c r="AA767" i="6"/>
  <c r="U767" i="6"/>
  <c r="W767" i="6" s="1"/>
  <c r="K782" i="6"/>
  <c r="Z782" i="6"/>
  <c r="K788" i="6"/>
  <c r="W788" i="6" s="1"/>
  <c r="Z788" i="6"/>
  <c r="Z807" i="6"/>
  <c r="K807" i="6"/>
  <c r="AA959" i="6"/>
  <c r="U959" i="6"/>
  <c r="W569" i="6"/>
  <c r="U573" i="6"/>
  <c r="W573" i="6" s="1"/>
  <c r="AA573" i="6"/>
  <c r="K642" i="6"/>
  <c r="Z642" i="6"/>
  <c r="AA830" i="6"/>
  <c r="U830" i="6"/>
  <c r="U860" i="6"/>
  <c r="AA860" i="6"/>
  <c r="Z905" i="6"/>
  <c r="K905" i="6"/>
  <c r="K967" i="6"/>
  <c r="Z967" i="6"/>
  <c r="Z985" i="6"/>
  <c r="K985" i="6"/>
  <c r="K988" i="6"/>
  <c r="Z988" i="6"/>
  <c r="U999" i="6"/>
  <c r="AA999" i="6"/>
  <c r="K823" i="6"/>
  <c r="Z823" i="6"/>
  <c r="Z883" i="6"/>
  <c r="K883" i="6"/>
  <c r="W883" i="6" s="1"/>
  <c r="Z829" i="6"/>
  <c r="K829" i="6"/>
  <c r="W829" i="6" s="1"/>
  <c r="K841" i="6"/>
  <c r="AA897" i="6"/>
  <c r="U897" i="6"/>
  <c r="U900" i="6"/>
  <c r="AA900" i="6"/>
  <c r="K936" i="6"/>
  <c r="U955" i="6"/>
  <c r="AA577" i="6"/>
  <c r="U577" i="6"/>
  <c r="U621" i="6"/>
  <c r="W621" i="6" s="1"/>
  <c r="AA621" i="6"/>
  <c r="W649" i="6"/>
  <c r="AA674" i="6"/>
  <c r="U674" i="6"/>
  <c r="AA689" i="6"/>
  <c r="U689" i="6"/>
  <c r="K722" i="6"/>
  <c r="Z722" i="6"/>
  <c r="AA759" i="6"/>
  <c r="U759" i="6"/>
  <c r="Z780" i="6"/>
  <c r="K780" i="6"/>
  <c r="AA803" i="6"/>
  <c r="U803" i="6"/>
  <c r="AA841" i="6"/>
  <c r="U841" i="6"/>
  <c r="U870" i="6"/>
  <c r="K910" i="6"/>
  <c r="K913" i="6"/>
  <c r="Z913" i="6"/>
  <c r="Z916" i="6"/>
  <c r="K927" i="6"/>
  <c r="Z927" i="6"/>
  <c r="U936" i="6"/>
  <c r="AA936" i="6"/>
  <c r="Z949" i="6"/>
  <c r="W488" i="6"/>
  <c r="AA619" i="6"/>
  <c r="U619" i="6"/>
  <c r="W619" i="6" s="1"/>
  <c r="W669" i="6"/>
  <c r="K746" i="6"/>
  <c r="W746" i="6" s="1"/>
  <c r="Z746" i="6"/>
  <c r="AA838" i="6"/>
  <c r="U838" i="6"/>
  <c r="K895" i="6"/>
  <c r="W895" i="6" s="1"/>
  <c r="Z895" i="6"/>
  <c r="U910" i="6"/>
  <c r="AA910" i="6"/>
  <c r="W653" i="6"/>
  <c r="K698" i="6"/>
  <c r="Z698" i="6"/>
  <c r="AA770" i="6"/>
  <c r="U770" i="6"/>
  <c r="AA807" i="6"/>
  <c r="U807" i="6"/>
  <c r="W863" i="6"/>
  <c r="K868" i="6"/>
  <c r="Z868" i="6"/>
  <c r="K878" i="6"/>
  <c r="W878" i="6" s="1"/>
  <c r="Z878" i="6"/>
  <c r="AA885" i="6"/>
  <c r="U885" i="6"/>
  <c r="U888" i="6"/>
  <c r="W888" i="6" s="1"/>
  <c r="AA888" i="6"/>
  <c r="K914" i="6"/>
  <c r="W914" i="6" s="1"/>
  <c r="Z914" i="6"/>
  <c r="W925" i="6"/>
  <c r="W931" i="6"/>
  <c r="AA982" i="6"/>
  <c r="U982" i="6"/>
  <c r="W982" i="6" s="1"/>
  <c r="Z992" i="6"/>
  <c r="K992" i="6"/>
  <c r="W800" i="6"/>
  <c r="AA905" i="6"/>
  <c r="U905" i="6"/>
  <c r="U994" i="6"/>
  <c r="AA994" i="6"/>
  <c r="Z1000" i="6"/>
  <c r="K1000" i="6"/>
  <c r="W701" i="6"/>
  <c r="W725" i="6"/>
  <c r="Z754" i="6"/>
  <c r="K754" i="6"/>
  <c r="W754" i="6" s="1"/>
  <c r="K786" i="6"/>
  <c r="W786" i="6" s="1"/>
  <c r="Z786" i="6"/>
  <c r="K854" i="6"/>
  <c r="Z854" i="6"/>
  <c r="Z934" i="6"/>
  <c r="K934" i="6"/>
  <c r="W934" i="6" s="1"/>
  <c r="K997" i="6"/>
  <c r="Z997" i="6"/>
  <c r="AA672" i="6"/>
  <c r="K694" i="6"/>
  <c r="U696" i="6"/>
  <c r="AA696" i="6"/>
  <c r="AA718" i="6"/>
  <c r="U718" i="6"/>
  <c r="Z733" i="6"/>
  <c r="K740" i="6"/>
  <c r="AA771" i="6"/>
  <c r="U771" i="6"/>
  <c r="W771" i="6" s="1"/>
  <c r="K776" i="6"/>
  <c r="Z821" i="6"/>
  <c r="U834" i="6"/>
  <c r="W834" i="6" s="1"/>
  <c r="U839" i="6"/>
  <c r="AA863" i="6"/>
  <c r="K866" i="6"/>
  <c r="W866" i="6" s="1"/>
  <c r="Z866" i="6"/>
  <c r="K881" i="6"/>
  <c r="W881" i="6" s="1"/>
  <c r="Z931" i="6"/>
  <c r="Z974" i="6"/>
  <c r="K974" i="6"/>
  <c r="K990" i="6"/>
  <c r="Z990" i="6"/>
  <c r="K940" i="6"/>
  <c r="Z940" i="6"/>
  <c r="AA942" i="6"/>
  <c r="U942" i="6"/>
  <c r="AA954" i="6"/>
  <c r="U954" i="6"/>
  <c r="U975" i="6"/>
  <c r="AA975" i="6"/>
  <c r="Z996" i="6"/>
  <c r="K996" i="6"/>
  <c r="W996" i="6" s="1"/>
  <c r="K999" i="6"/>
  <c r="Z999" i="6"/>
  <c r="K844" i="6"/>
  <c r="W844" i="6" s="1"/>
  <c r="Z844" i="6"/>
  <c r="Z886" i="6"/>
  <c r="K886" i="6"/>
  <c r="W886" i="6" s="1"/>
  <c r="AA967" i="6"/>
  <c r="U967" i="6"/>
  <c r="U997" i="6"/>
  <c r="AA997" i="6"/>
  <c r="K828" i="6"/>
  <c r="W828" i="6" s="1"/>
  <c r="U837" i="6"/>
  <c r="W837" i="6" s="1"/>
  <c r="Z871" i="6"/>
  <c r="K871" i="6"/>
  <c r="W871" i="6" s="1"/>
  <c r="U877" i="6"/>
  <c r="AA891" i="6"/>
  <c r="U891" i="6"/>
  <c r="U898" i="6"/>
  <c r="U903" i="6"/>
  <c r="K908" i="6"/>
  <c r="W908" i="6" s="1"/>
  <c r="Z908" i="6"/>
  <c r="U920" i="6"/>
  <c r="W920" i="6" s="1"/>
  <c r="U927" i="6"/>
  <c r="U929" i="6"/>
  <c r="W929" i="6" s="1"/>
  <c r="K932" i="6"/>
  <c r="W932" i="6" s="1"/>
  <c r="K944" i="6"/>
  <c r="W944" i="6" s="1"/>
  <c r="U953" i="6"/>
  <c r="W953" i="6" s="1"/>
  <c r="U964" i="6"/>
  <c r="U988" i="6"/>
  <c r="K682" i="6"/>
  <c r="W682" i="6" s="1"/>
  <c r="U711" i="6"/>
  <c r="U744" i="6"/>
  <c r="W744" i="6" s="1"/>
  <c r="AA744" i="6"/>
  <c r="K766" i="6"/>
  <c r="U768" i="6"/>
  <c r="W768" i="6" s="1"/>
  <c r="AA768" i="6"/>
  <c r="U783" i="6"/>
  <c r="W783" i="6" s="1"/>
  <c r="Z833" i="6"/>
  <c r="Z840" i="6"/>
  <c r="K840" i="6"/>
  <c r="AA844" i="6"/>
  <c r="K858" i="6"/>
  <c r="W858" i="6" s="1"/>
  <c r="Z862" i="6"/>
  <c r="K862" i="6"/>
  <c r="W862" i="6" s="1"/>
  <c r="AA886" i="6"/>
  <c r="K889" i="6"/>
  <c r="U916" i="6"/>
  <c r="W916" i="6" s="1"/>
  <c r="U918" i="6"/>
  <c r="AA934" i="6"/>
  <c r="U951" i="6"/>
  <c r="W951" i="6" s="1"/>
  <c r="U651" i="6"/>
  <c r="K737" i="6"/>
  <c r="K814" i="6"/>
  <c r="W814" i="6" s="1"/>
  <c r="K831" i="6"/>
  <c r="AA833" i="6"/>
  <c r="Z853" i="6"/>
  <c r="K860" i="6"/>
  <c r="Z869" i="6"/>
  <c r="K869" i="6"/>
  <c r="U873" i="6"/>
  <c r="W873" i="6" s="1"/>
  <c r="AA873" i="6"/>
  <c r="U896" i="6"/>
  <c r="W896" i="6" s="1"/>
  <c r="U901" i="6"/>
  <c r="K906" i="6"/>
  <c r="W906" i="6" s="1"/>
  <c r="Z906" i="6"/>
  <c r="AA908" i="6"/>
  <c r="K930" i="6"/>
  <c r="W930" i="6" s="1"/>
  <c r="Z930" i="6"/>
  <c r="U946" i="6"/>
  <c r="W946" i="6" s="1"/>
  <c r="AA948" i="6"/>
  <c r="U972" i="6"/>
  <c r="W972" i="6" s="1"/>
  <c r="AA977" i="6"/>
  <c r="K963" i="6"/>
  <c r="Z963" i="6"/>
  <c r="K975" i="6"/>
  <c r="Z975" i="6"/>
  <c r="Z978" i="6"/>
  <c r="K978" i="6"/>
  <c r="Z983" i="6"/>
  <c r="K983" i="6"/>
  <c r="U949" i="6"/>
  <c r="W949" i="6" s="1"/>
  <c r="AA949" i="6"/>
  <c r="K987" i="6"/>
  <c r="W987" i="6" s="1"/>
  <c r="Z987" i="6"/>
  <c r="Z965" i="6"/>
  <c r="K965" i="6"/>
  <c r="K902" i="6"/>
  <c r="W902" i="6" s="1"/>
  <c r="Z902" i="6"/>
  <c r="W813" i="6" l="1"/>
  <c r="W591" i="6"/>
  <c r="W500" i="6"/>
  <c r="W861" i="6"/>
  <c r="W838" i="6"/>
  <c r="W759" i="6"/>
  <c r="W646" i="6"/>
  <c r="W522" i="6"/>
  <c r="W64" i="6"/>
  <c r="W681" i="6"/>
  <c r="W819" i="6"/>
  <c r="W370" i="6"/>
  <c r="W298" i="6"/>
  <c r="W855" i="6"/>
  <c r="W360" i="6"/>
  <c r="W558" i="6"/>
  <c r="W359" i="6"/>
  <c r="W6" i="6"/>
  <c r="V506" i="7" s="1"/>
  <c r="W693" i="6"/>
  <c r="W632" i="6"/>
  <c r="W292" i="6"/>
  <c r="W851" i="6"/>
  <c r="W462" i="6"/>
  <c r="W252" i="6"/>
  <c r="W262" i="6"/>
  <c r="W449" i="6"/>
  <c r="W397" i="6"/>
  <c r="W722" i="6"/>
  <c r="W288" i="6"/>
  <c r="W115" i="6"/>
  <c r="W77" i="6"/>
  <c r="W382" i="6"/>
  <c r="W654" i="6"/>
  <c r="W23" i="6"/>
  <c r="V523" i="7" s="1"/>
  <c r="W627" i="6"/>
  <c r="W379" i="6"/>
  <c r="W105" i="6"/>
  <c r="W607" i="6"/>
  <c r="W143" i="6"/>
  <c r="W233" i="6"/>
  <c r="W491" i="6"/>
  <c r="W809" i="6"/>
  <c r="W736" i="6"/>
  <c r="W570" i="6"/>
  <c r="W79" i="6"/>
  <c r="W572" i="6"/>
  <c r="W912" i="6"/>
  <c r="W163" i="6"/>
  <c r="W523" i="6"/>
  <c r="W371" i="6"/>
  <c r="W529" i="6"/>
  <c r="W924" i="6"/>
  <c r="W689" i="6"/>
  <c r="W497" i="6"/>
  <c r="W317" i="6"/>
  <c r="W698" i="6"/>
  <c r="W228" i="6"/>
  <c r="W559" i="6"/>
  <c r="W705" i="6"/>
  <c r="W109" i="6"/>
  <c r="W276" i="6"/>
  <c r="W859" i="6"/>
  <c r="W680" i="6"/>
  <c r="W289" i="6"/>
  <c r="W125" i="6"/>
  <c r="W797" i="6"/>
  <c r="W155" i="6"/>
  <c r="W345" i="6"/>
  <c r="W214" i="6"/>
  <c r="W406" i="6"/>
  <c r="W507" i="6"/>
  <c r="W593" i="6"/>
  <c r="W307" i="6"/>
  <c r="W547" i="6"/>
  <c r="W903" i="6"/>
  <c r="W992" i="6"/>
  <c r="W610" i="6"/>
  <c r="W961" i="6"/>
  <c r="W943" i="6"/>
  <c r="W879" i="6"/>
  <c r="W513" i="6"/>
  <c r="W867" i="6"/>
  <c r="W793" i="6"/>
  <c r="W909" i="6"/>
  <c r="W532" i="6"/>
  <c r="W481" i="6"/>
  <c r="W36" i="6"/>
  <c r="V536" i="7" s="1"/>
  <c r="W891" i="6"/>
  <c r="W388" i="6"/>
  <c r="W473" i="6"/>
  <c r="W363" i="6"/>
  <c r="W424" i="6"/>
  <c r="W663" i="6"/>
  <c r="W344" i="6"/>
  <c r="W94" i="6"/>
  <c r="W254" i="6"/>
  <c r="W499" i="6"/>
  <c r="W339" i="6"/>
  <c r="W142" i="6"/>
  <c r="W249" i="6"/>
  <c r="W159" i="6"/>
  <c r="W400" i="6"/>
  <c r="W876" i="6"/>
  <c r="W656" i="6"/>
  <c r="W327" i="6"/>
  <c r="W185" i="6"/>
  <c r="W707" i="6"/>
  <c r="W306" i="6"/>
  <c r="W351" i="6"/>
  <c r="W409" i="6"/>
  <c r="W870" i="6"/>
  <c r="W372" i="6"/>
  <c r="W745" i="6"/>
  <c r="W89" i="6"/>
  <c r="W417" i="6"/>
  <c r="W827" i="6"/>
  <c r="W80" i="6"/>
  <c r="W798" i="6"/>
  <c r="W772" i="6"/>
  <c r="W232" i="6"/>
  <c r="W165" i="6"/>
  <c r="W440" i="6"/>
  <c r="W899" i="6"/>
  <c r="W848" i="6"/>
  <c r="W661" i="6"/>
  <c r="W628" i="6"/>
  <c r="W446" i="6"/>
  <c r="W300" i="6"/>
  <c r="W665" i="6"/>
  <c r="W694" i="6"/>
  <c r="W965" i="6"/>
  <c r="W112" i="6"/>
  <c r="W331" i="6"/>
  <c r="W594" i="6"/>
  <c r="W39" i="6"/>
  <c r="V539" i="7" s="1"/>
  <c r="W375" i="6"/>
  <c r="W519" i="6"/>
  <c r="W237" i="6"/>
  <c r="W983" i="6"/>
  <c r="W583" i="6"/>
  <c r="W626" i="6"/>
  <c r="W638" i="6"/>
  <c r="W840" i="6"/>
  <c r="W483" i="6"/>
  <c r="W839" i="6"/>
  <c r="W545" i="6"/>
  <c r="W123" i="6"/>
  <c r="W311" i="6"/>
  <c r="W971" i="6"/>
  <c r="W419" i="6"/>
  <c r="W550" i="6"/>
  <c r="W945" i="6"/>
  <c r="W588" i="6"/>
  <c r="W195" i="6"/>
  <c r="W312" i="6"/>
  <c r="W15" i="6"/>
  <c r="V515" i="7" s="1"/>
  <c r="W641" i="6"/>
  <c r="W823" i="6"/>
  <c r="W877" i="6"/>
  <c r="W386" i="6"/>
  <c r="W901" i="6"/>
  <c r="W900" i="6"/>
  <c r="W433" i="6"/>
  <c r="W820" i="6"/>
  <c r="W412" i="6"/>
  <c r="W110" i="6"/>
  <c r="W696" i="6"/>
  <c r="W769" i="6"/>
  <c r="W93" i="6"/>
  <c r="U524" i="7"/>
  <c r="W740" i="6"/>
  <c r="W402" i="6"/>
  <c r="W659" i="6"/>
  <c r="W743" i="6"/>
  <c r="W623" i="6"/>
  <c r="W940" i="6"/>
  <c r="W706" i="6"/>
  <c r="W475" i="6"/>
  <c r="W774" i="6"/>
  <c r="W60" i="6"/>
  <c r="W553" i="6"/>
  <c r="W258" i="6"/>
  <c r="W396" i="6"/>
  <c r="W954" i="6"/>
  <c r="W471" i="6"/>
  <c r="W293" i="6"/>
  <c r="W255" i="6"/>
  <c r="W31" i="6"/>
  <c r="V531" i="7" s="1"/>
  <c r="W207" i="6"/>
  <c r="W846" i="6"/>
  <c r="W835" i="6"/>
  <c r="W546" i="6"/>
  <c r="W872" i="6"/>
  <c r="W149" i="6"/>
  <c r="W730" i="6"/>
  <c r="W978" i="6"/>
  <c r="W378" i="6"/>
  <c r="W875" i="6"/>
  <c r="W551" i="6"/>
  <c r="W203" i="6"/>
  <c r="W482" i="6"/>
  <c r="W963" i="6"/>
  <c r="W913" i="6"/>
  <c r="W919" i="6"/>
  <c r="W818" i="6"/>
  <c r="W177" i="6"/>
  <c r="W524" i="6"/>
  <c r="W716" i="6"/>
  <c r="W658" i="6"/>
  <c r="W103" i="6"/>
  <c r="W985" i="6"/>
  <c r="W587" i="6"/>
  <c r="W508" i="6"/>
  <c r="W675" i="6"/>
  <c r="W831" i="6"/>
  <c r="W612" i="6"/>
  <c r="W540" i="6"/>
  <c r="W494" i="6"/>
  <c r="W303" i="6"/>
  <c r="W291" i="6"/>
  <c r="W219" i="6"/>
  <c r="W832" i="6"/>
  <c r="W74" i="6"/>
  <c r="W990" i="6"/>
  <c r="W776" i="6"/>
  <c r="W843" i="6"/>
  <c r="W974" i="6"/>
  <c r="W955" i="6"/>
  <c r="W753" i="6"/>
  <c r="W578" i="6"/>
  <c r="W217" i="6"/>
  <c r="W240" i="6"/>
  <c r="W521" i="6"/>
  <c r="W270" i="6"/>
  <c r="W211" i="6"/>
  <c r="W677" i="6"/>
  <c r="W267" i="6"/>
  <c r="W309" i="6"/>
  <c r="W502" i="6"/>
  <c r="W495" i="6"/>
  <c r="W487" i="6"/>
  <c r="W146" i="6"/>
  <c r="W592" i="6"/>
  <c r="W245" i="6"/>
  <c r="W942" i="6"/>
  <c r="W816" i="6"/>
  <c r="W645" i="6"/>
  <c r="W194" i="6"/>
  <c r="W156" i="6"/>
  <c r="W410" i="6"/>
  <c r="W598" i="6"/>
  <c r="W236" i="6"/>
  <c r="W91" i="6"/>
  <c r="W75" i="6"/>
  <c r="W614" i="6"/>
  <c r="W186" i="6"/>
  <c r="W414" i="6"/>
  <c r="W700" i="6"/>
  <c r="W269" i="6"/>
  <c r="W975" i="6"/>
  <c r="W595" i="6"/>
  <c r="W651" i="6"/>
  <c r="W577" i="6"/>
  <c r="W560" i="6"/>
  <c r="W296" i="6"/>
  <c r="W118" i="6"/>
  <c r="W41" i="6"/>
  <c r="V541" i="7" s="1"/>
  <c r="W880" i="6"/>
  <c r="W668" i="6"/>
  <c r="W174" i="6"/>
  <c r="V674" i="7" s="1"/>
  <c r="W718" i="6"/>
  <c r="W898" i="6"/>
  <c r="W868" i="6"/>
  <c r="W979" i="6"/>
  <c r="W889" i="6"/>
  <c r="W28" i="6"/>
  <c r="V528" i="7" s="1"/>
  <c r="B13" i="1"/>
  <c r="W284" i="6"/>
  <c r="W757" i="6"/>
  <c r="W642" i="6"/>
  <c r="W431" i="6"/>
  <c r="Z174" i="6"/>
  <c r="Z674" i="7" s="1"/>
  <c r="W590" i="6"/>
  <c r="W885" i="6"/>
  <c r="W122" i="6"/>
  <c r="W751" i="6"/>
  <c r="W520" i="6"/>
  <c r="W343" i="6"/>
  <c r="W633" i="6"/>
  <c r="W597" i="6"/>
  <c r="W88" i="6"/>
  <c r="W273" i="6"/>
  <c r="W976" i="6"/>
  <c r="W336" i="6"/>
  <c r="W854" i="6"/>
  <c r="W140" i="6"/>
  <c r="W98" i="6"/>
  <c r="W897" i="6"/>
  <c r="W625" i="6"/>
  <c r="W817" i="6"/>
  <c r="W188" i="6"/>
  <c r="W841" i="6"/>
  <c r="W542" i="6"/>
  <c r="W192" i="6"/>
  <c r="AA32" i="6"/>
  <c r="X532" i="7" s="1"/>
  <c r="AA31" i="6"/>
  <c r="X531" i="7" s="1"/>
  <c r="W738" i="6"/>
  <c r="W227" i="6"/>
  <c r="W135" i="6"/>
  <c r="W892" i="6"/>
  <c r="W231" i="6"/>
  <c r="W780" i="6"/>
  <c r="W600" i="6"/>
  <c r="W392" i="6"/>
  <c r="Z36" i="6"/>
  <c r="Z536" i="7" s="1"/>
  <c r="W884" i="6"/>
  <c r="Z6" i="6"/>
  <c r="Z506" i="7" s="1"/>
  <c r="W766" i="6"/>
  <c r="W1000" i="6"/>
  <c r="W324" i="6"/>
  <c r="W166" i="6"/>
  <c r="W281" i="6"/>
  <c r="W688" i="6"/>
  <c r="AA23" i="6"/>
  <c r="X523" i="7" s="1"/>
  <c r="W268" i="6"/>
  <c r="W620" i="6"/>
  <c r="W243" i="6"/>
  <c r="W68" i="6"/>
  <c r="W301" i="6"/>
  <c r="W602" i="6"/>
  <c r="W784" i="6"/>
  <c r="W260" i="6"/>
  <c r="W535" i="6"/>
  <c r="W204" i="6"/>
  <c r="W478" i="6"/>
  <c r="W994" i="6"/>
  <c r="W910" i="6"/>
  <c r="W503" i="6"/>
  <c r="AA24" i="6"/>
  <c r="X524" i="7" s="1"/>
  <c r="W421" i="6"/>
  <c r="W517" i="6"/>
  <c r="W442" i="6"/>
  <c r="W596" i="6"/>
  <c r="AA25" i="6"/>
  <c r="X525" i="7" s="1"/>
  <c r="W874" i="6"/>
  <c r="W980" i="6"/>
  <c r="W865" i="6"/>
  <c r="W220" i="6"/>
  <c r="W438" i="6"/>
  <c r="AA15" i="6"/>
  <c r="X515" i="7" s="1"/>
  <c r="Y622" i="5"/>
  <c r="Z622" i="5" s="1"/>
  <c r="Y743" i="5"/>
  <c r="Z743" i="5" s="1"/>
  <c r="Y920" i="5"/>
  <c r="Z920" i="5" s="1"/>
  <c r="Y722" i="5"/>
  <c r="Z722" i="5" s="1"/>
  <c r="Y667" i="5"/>
  <c r="Z667" i="5" s="1"/>
  <c r="Y488" i="5"/>
  <c r="Z488" i="5" s="1"/>
  <c r="Y725" i="5"/>
  <c r="Z725" i="5" s="1"/>
  <c r="Y589" i="5"/>
  <c r="Z589" i="5" s="1"/>
  <c r="Y444" i="5"/>
  <c r="Z444" i="5" s="1"/>
  <c r="Y170" i="5"/>
  <c r="Z170" i="5" s="1"/>
  <c r="Y478" i="5"/>
  <c r="Z478" i="5" s="1"/>
  <c r="Y643" i="5"/>
  <c r="Z643" i="5" s="1"/>
  <c r="Y869" i="5"/>
  <c r="Z869" i="5" s="1"/>
  <c r="Y814" i="5"/>
  <c r="Z814" i="5" s="1"/>
  <c r="Y966" i="5"/>
  <c r="Z966" i="5" s="1"/>
  <c r="Y359" i="5"/>
  <c r="Z359" i="5" s="1"/>
  <c r="Y130" i="5"/>
  <c r="Z130" i="5" s="1"/>
  <c r="Y1003" i="5"/>
  <c r="Y514" i="5"/>
  <c r="Z514" i="5" s="1"/>
  <c r="Y351" i="5"/>
  <c r="Z351" i="5" s="1"/>
  <c r="Y783" i="5"/>
  <c r="Z783" i="5" s="1"/>
  <c r="Y636" i="5"/>
  <c r="Z636" i="5" s="1"/>
  <c r="Y1017" i="5"/>
  <c r="Y403" i="5"/>
  <c r="Z403" i="5" s="1"/>
  <c r="Y1015" i="5"/>
  <c r="Y1010" i="5"/>
  <c r="Y53" i="5"/>
  <c r="Z53" i="5" s="1"/>
  <c r="Y906" i="5"/>
  <c r="Z906" i="5" s="1"/>
  <c r="Y201" i="5"/>
  <c r="Z201" i="5" s="1"/>
  <c r="Y269" i="5"/>
  <c r="Z269" i="5" s="1"/>
  <c r="Y1016" i="5"/>
  <c r="Y431" i="5"/>
  <c r="Z431" i="5" s="1"/>
  <c r="Y873" i="5"/>
  <c r="Z873" i="5" s="1"/>
  <c r="Y325" i="5"/>
  <c r="Z325" i="5" s="1"/>
  <c r="Y953" i="5"/>
  <c r="Z953" i="5" s="1"/>
  <c r="Y576" i="5"/>
  <c r="Z576" i="5" s="1"/>
  <c r="Y340" i="5"/>
  <c r="Z340" i="5" s="1"/>
  <c r="Y209" i="5"/>
  <c r="Z209" i="5" s="1"/>
  <c r="Y56" i="5"/>
  <c r="Z56" i="5" s="1"/>
  <c r="Y712" i="5"/>
  <c r="Z712" i="5" s="1"/>
  <c r="Y228" i="5"/>
  <c r="Z228" i="5" s="1"/>
  <c r="Y158" i="5"/>
  <c r="Z158" i="5" s="1"/>
  <c r="Y308" i="5"/>
  <c r="Z308" i="5" s="1"/>
  <c r="Y383" i="5"/>
  <c r="Z383" i="5" s="1"/>
  <c r="Y495" i="5"/>
  <c r="Z495" i="5" s="1"/>
  <c r="Y409" i="5"/>
  <c r="Z409" i="5" s="1"/>
  <c r="Y159" i="5"/>
  <c r="Z159" i="5" s="1"/>
  <c r="Y651" i="5"/>
  <c r="Z651" i="5" s="1"/>
  <c r="Y289" i="5"/>
  <c r="Z289" i="5" s="1"/>
  <c r="Y800" i="5"/>
  <c r="Z800" i="5" s="1"/>
  <c r="Y745" i="5"/>
  <c r="Z745" i="5" s="1"/>
  <c r="Y591" i="5"/>
  <c r="Z591" i="5" s="1"/>
  <c r="Y538" i="5"/>
  <c r="Z538" i="5" s="1"/>
  <c r="Y350" i="5"/>
  <c r="Z350" i="5" s="1"/>
  <c r="Y202" i="5"/>
  <c r="Z202" i="5" s="1"/>
  <c r="Y472" i="5"/>
  <c r="Z472" i="5" s="1"/>
  <c r="Y265" i="5"/>
  <c r="Z265" i="5" s="1"/>
  <c r="Y448" i="5"/>
  <c r="Z448" i="5" s="1"/>
  <c r="Y367" i="5"/>
  <c r="Z367" i="5" s="1"/>
  <c r="Y18" i="5"/>
  <c r="Y655" i="5"/>
  <c r="Z655" i="5" s="1"/>
  <c r="Y642" i="5"/>
  <c r="Z642" i="5" s="1"/>
  <c r="Y696" i="5"/>
  <c r="Z696" i="5" s="1"/>
  <c r="Y698" i="5"/>
  <c r="Z698" i="5" s="1"/>
  <c r="Y1006" i="5"/>
  <c r="Y77" i="5"/>
  <c r="Z77" i="5" s="1"/>
  <c r="Y370" i="5"/>
  <c r="Z370" i="5" s="1"/>
  <c r="Y356" i="5"/>
  <c r="Z356" i="5" s="1"/>
  <c r="Y975" i="5"/>
  <c r="Z975" i="5" s="1"/>
  <c r="Y692" i="5"/>
  <c r="Z692" i="5" s="1"/>
  <c r="Y810" i="5"/>
  <c r="Z810" i="5" s="1"/>
  <c r="Y179" i="5"/>
  <c r="Z179" i="5" s="1"/>
  <c r="Y746" i="5"/>
  <c r="Z746" i="5" s="1"/>
  <c r="Y133" i="5"/>
  <c r="Z133" i="5" s="1"/>
  <c r="Y664" i="5"/>
  <c r="Z664" i="5" s="1"/>
  <c r="Y776" i="5"/>
  <c r="Z776" i="5" s="1"/>
  <c r="Y229" i="5"/>
  <c r="Z229" i="5" s="1"/>
  <c r="Y278" i="5"/>
  <c r="Z278" i="5" s="1"/>
  <c r="Y839" i="5"/>
  <c r="Z839" i="5" s="1"/>
  <c r="Y424" i="5"/>
  <c r="Z424" i="5" s="1"/>
  <c r="Y342" i="5"/>
  <c r="Z342" i="5" s="1"/>
  <c r="Y123" i="5"/>
  <c r="Z123" i="5" s="1"/>
  <c r="Y432" i="5"/>
  <c r="Z432" i="5" s="1"/>
  <c r="Y412" i="5"/>
  <c r="Z412" i="5" s="1"/>
  <c r="Y143" i="5"/>
  <c r="Z143" i="5" s="1"/>
  <c r="Y479" i="5"/>
  <c r="Z479" i="5" s="1"/>
  <c r="Y191" i="5"/>
  <c r="Z191" i="5" s="1"/>
  <c r="Y732" i="5"/>
  <c r="Z732" i="5" s="1"/>
  <c r="Y541" i="5"/>
  <c r="Z541" i="5" s="1"/>
  <c r="Y856" i="5"/>
  <c r="Z856" i="5" s="1"/>
  <c r="Y449" i="5"/>
  <c r="Z449" i="5" s="1"/>
  <c r="Y963" i="5"/>
  <c r="Z963" i="5" s="1"/>
  <c r="Y637" i="5"/>
  <c r="Z637" i="5" s="1"/>
  <c r="Y687" i="5"/>
  <c r="Z687" i="5" s="1"/>
  <c r="Y886" i="5"/>
  <c r="Z886" i="5" s="1"/>
  <c r="Y545" i="5"/>
  <c r="Z545" i="5" s="1"/>
  <c r="Y539" i="5"/>
  <c r="Z539" i="5" s="1"/>
  <c r="Y1020" i="5"/>
  <c r="Y852" i="5"/>
  <c r="Z852" i="5" s="1"/>
  <c r="Y735" i="5"/>
  <c r="Z735" i="5" s="1"/>
  <c r="Y5" i="5"/>
  <c r="Y685" i="5"/>
  <c r="Z685" i="5" s="1"/>
  <c r="Y246" i="5"/>
  <c r="Z246" i="5" s="1"/>
  <c r="Y957" i="5"/>
  <c r="Z957" i="5" s="1"/>
  <c r="Y863" i="5"/>
  <c r="Z863" i="5" s="1"/>
  <c r="Y833" i="5"/>
  <c r="Z833" i="5" s="1"/>
  <c r="Y482" i="5"/>
  <c r="Z482" i="5" s="1"/>
  <c r="Y86" i="5"/>
  <c r="Z86" i="5" s="1"/>
  <c r="Y435" i="5"/>
  <c r="Z435" i="5" s="1"/>
  <c r="Y694" i="5"/>
  <c r="Z694" i="5" s="1"/>
  <c r="Y846" i="5"/>
  <c r="Z846" i="5" s="1"/>
  <c r="Y401" i="5"/>
  <c r="Z401" i="5" s="1"/>
  <c r="Y509" i="5"/>
  <c r="Z509" i="5" s="1"/>
  <c r="Y203" i="5"/>
  <c r="Z203" i="5" s="1"/>
  <c r="Y425" i="5"/>
  <c r="Z425" i="5" s="1"/>
  <c r="Y135" i="5"/>
  <c r="Z135" i="5" s="1"/>
  <c r="Y357" i="5"/>
  <c r="Z357" i="5" s="1"/>
  <c r="Y466" i="5"/>
  <c r="Z466" i="5" s="1"/>
  <c r="Y198" i="5"/>
  <c r="Z198" i="5" s="1"/>
  <c r="Y765" i="5"/>
  <c r="Z765" i="5" s="1"/>
  <c r="Y394" i="5"/>
  <c r="Z394" i="5" s="1"/>
  <c r="Y74" i="5"/>
  <c r="Z74" i="5" s="1"/>
  <c r="Y950" i="5"/>
  <c r="Z950" i="5" s="1"/>
  <c r="Y780" i="5"/>
  <c r="Z780" i="5" s="1"/>
  <c r="Y930" i="5"/>
  <c r="Z930" i="5" s="1"/>
  <c r="Y566" i="5"/>
  <c r="Z566" i="5" s="1"/>
  <c r="Y347" i="5"/>
  <c r="Z347" i="5" s="1"/>
  <c r="Y670" i="5"/>
  <c r="Z670" i="5" s="1"/>
  <c r="Y366" i="5"/>
  <c r="Z366" i="5" s="1"/>
  <c r="Y262" i="5"/>
  <c r="Z262" i="5" s="1"/>
  <c r="Y205" i="5"/>
  <c r="Z205" i="5" s="1"/>
  <c r="Y515" i="5"/>
  <c r="Z515" i="5" s="1"/>
  <c r="Y605" i="5"/>
  <c r="Z605" i="5" s="1"/>
  <c r="Y949" i="5"/>
  <c r="Z949" i="5" s="1"/>
  <c r="Y429" i="5"/>
  <c r="Z429" i="5" s="1"/>
  <c r="Y865" i="5"/>
  <c r="Z865" i="5" s="1"/>
  <c r="Y426" i="5"/>
  <c r="Z426" i="5" s="1"/>
  <c r="Y299" i="5"/>
  <c r="Z299" i="5" s="1"/>
  <c r="Y68" i="5"/>
  <c r="Z68" i="5" s="1"/>
  <c r="Y760" i="5"/>
  <c r="Z760" i="5" s="1"/>
  <c r="Y901" i="5"/>
  <c r="Z901" i="5" s="1"/>
  <c r="Y613" i="5"/>
  <c r="Z613" i="5" s="1"/>
  <c r="Y596" i="5"/>
  <c r="Z596" i="5" s="1"/>
  <c r="Y583" i="5"/>
  <c r="Z583" i="5" s="1"/>
  <c r="Y816" i="5"/>
  <c r="Z816" i="5" s="1"/>
  <c r="Y175" i="5"/>
  <c r="Z175" i="5" s="1"/>
  <c r="Y793" i="5"/>
  <c r="Z793" i="5" s="1"/>
  <c r="Y266" i="5"/>
  <c r="Z266" i="5" s="1"/>
  <c r="Y764" i="5"/>
  <c r="Z764" i="5" s="1"/>
  <c r="Y410" i="5"/>
  <c r="Z410" i="5" s="1"/>
  <c r="Y652" i="5"/>
  <c r="Z652" i="5" s="1"/>
  <c r="Y490" i="5"/>
  <c r="Z490" i="5" s="1"/>
  <c r="Y641" i="5"/>
  <c r="Z641" i="5" s="1"/>
  <c r="Y727" i="5"/>
  <c r="Z727" i="5" s="1"/>
  <c r="Y580" i="5"/>
  <c r="Z580" i="5" s="1"/>
  <c r="Y894" i="5"/>
  <c r="Z894" i="5" s="1"/>
  <c r="Y487" i="5"/>
  <c r="Z487" i="5" s="1"/>
  <c r="Y761" i="5"/>
  <c r="Z761" i="5" s="1"/>
  <c r="Y169" i="5"/>
  <c r="Z169" i="5" s="1"/>
  <c r="Y150" i="5"/>
  <c r="Z150" i="5" s="1"/>
  <c r="Y1021" i="5"/>
  <c r="Y17" i="5"/>
  <c r="V17" i="7" s="1"/>
  <c r="Y20" i="5"/>
  <c r="Y943" i="5"/>
  <c r="Z943" i="5" s="1"/>
  <c r="Y555" i="5"/>
  <c r="Z555" i="5" s="1"/>
  <c r="Y414" i="5"/>
  <c r="Z414" i="5" s="1"/>
  <c r="Y551" i="5"/>
  <c r="Z551" i="5" s="1"/>
  <c r="Y471" i="5"/>
  <c r="Z471" i="5" s="1"/>
  <c r="Y148" i="5"/>
  <c r="Z148" i="5" s="1"/>
  <c r="Y3" i="5"/>
  <c r="Y315" i="5"/>
  <c r="Z315" i="5" s="1"/>
  <c r="Y811" i="5"/>
  <c r="Z811" i="5" s="1"/>
  <c r="Y935" i="5"/>
  <c r="Z935" i="5" s="1"/>
  <c r="Y535" i="5"/>
  <c r="Z535" i="5" s="1"/>
  <c r="Y841" i="5"/>
  <c r="Z841" i="5" s="1"/>
  <c r="Y653" i="5"/>
  <c r="Z653" i="5" s="1"/>
  <c r="Y227" i="5"/>
  <c r="Z227" i="5" s="1"/>
  <c r="Y548" i="5"/>
  <c r="Z548" i="5" s="1"/>
  <c r="Y774" i="5"/>
  <c r="Z774" i="5" s="1"/>
  <c r="Y890" i="5"/>
  <c r="Z890" i="5" s="1"/>
  <c r="Y485" i="5"/>
  <c r="Z485" i="5" s="1"/>
  <c r="Y469" i="5"/>
  <c r="Z469" i="5" s="1"/>
  <c r="Y588" i="5"/>
  <c r="Z588" i="5" s="1"/>
  <c r="Y627" i="5"/>
  <c r="Z627" i="5" s="1"/>
  <c r="Y767" i="5"/>
  <c r="Z767" i="5" s="1"/>
  <c r="Y984" i="5"/>
  <c r="Z984" i="5" s="1"/>
  <c r="Y675" i="5"/>
  <c r="Z675" i="5" s="1"/>
  <c r="Y922" i="5"/>
  <c r="Z922" i="5" s="1"/>
  <c r="Y665" i="5"/>
  <c r="Z665" i="5" s="1"/>
  <c r="Y601" i="5"/>
  <c r="Z601" i="5" s="1"/>
  <c r="Y994" i="5"/>
  <c r="Z994" i="5" s="1"/>
  <c r="Y154" i="5"/>
  <c r="Z154" i="5" s="1"/>
  <c r="Y46" i="5"/>
  <c r="Z46" i="5" s="1"/>
  <c r="Y489" i="5"/>
  <c r="Z489" i="5" s="1"/>
  <c r="Y212" i="5"/>
  <c r="Z212" i="5" s="1"/>
  <c r="Y384" i="5"/>
  <c r="Z384" i="5" s="1"/>
  <c r="Y480" i="5"/>
  <c r="Z480" i="5" s="1"/>
  <c r="Y929" i="5"/>
  <c r="Z929" i="5" s="1"/>
  <c r="Y990" i="5"/>
  <c r="Z990" i="5" s="1"/>
  <c r="Y683" i="5"/>
  <c r="Z683" i="5" s="1"/>
  <c r="Y318" i="5"/>
  <c r="Z318" i="5" s="1"/>
  <c r="Y649" i="5"/>
  <c r="Z649" i="5" s="1"/>
  <c r="Y868" i="5"/>
  <c r="Z868" i="5" s="1"/>
  <c r="Y139" i="5"/>
  <c r="Z139" i="5" s="1"/>
  <c r="Y465" i="5"/>
  <c r="Z465" i="5" s="1"/>
  <c r="Y36" i="5"/>
  <c r="Y837" i="5"/>
  <c r="Z837" i="5" s="1"/>
  <c r="Y739" i="5"/>
  <c r="Z739" i="5" s="1"/>
  <c r="Y55" i="5"/>
  <c r="Z55" i="5" s="1"/>
  <c r="Y788" i="5"/>
  <c r="Z788" i="5" s="1"/>
  <c r="Y805" i="5"/>
  <c r="Z805" i="5" s="1"/>
  <c r="Y704" i="5"/>
  <c r="Z704" i="5" s="1"/>
  <c r="Y991" i="5"/>
  <c r="Z991" i="5" s="1"/>
  <c r="Y786" i="5"/>
  <c r="Z786" i="5" s="1"/>
  <c r="Y923" i="5"/>
  <c r="Z923" i="5" s="1"/>
  <c r="Y977" i="5"/>
  <c r="Z977" i="5" s="1"/>
  <c r="Y468" i="5"/>
  <c r="Z468" i="5" s="1"/>
  <c r="Y217" i="5"/>
  <c r="Z217" i="5" s="1"/>
  <c r="Y268" i="5"/>
  <c r="Z268" i="5" s="1"/>
  <c r="Y80" i="5"/>
  <c r="Z80" i="5" s="1"/>
  <c r="Y364" i="5"/>
  <c r="Z364" i="5" s="1"/>
  <c r="Y317" i="5"/>
  <c r="Z317" i="5" s="1"/>
  <c r="Y691" i="5"/>
  <c r="Z691" i="5" s="1"/>
  <c r="Y859" i="5"/>
  <c r="Z859" i="5" s="1"/>
  <c r="Y644" i="5"/>
  <c r="Z644" i="5" s="1"/>
  <c r="Y558" i="5"/>
  <c r="Z558" i="5" s="1"/>
  <c r="Y321" i="5"/>
  <c r="Z321" i="5" s="1"/>
  <c r="Y700" i="5"/>
  <c r="Z700" i="5" s="1"/>
  <c r="Y940" i="5"/>
  <c r="Z940" i="5" s="1"/>
  <c r="Y328" i="5"/>
  <c r="Z328" i="5" s="1"/>
  <c r="Y616" i="5"/>
  <c r="Z616" i="5" s="1"/>
  <c r="Y390" i="5"/>
  <c r="Z390" i="5" s="1"/>
  <c r="Y1000" i="5"/>
  <c r="Z1000" i="5" s="1"/>
  <c r="Y946" i="5"/>
  <c r="Z946" i="5" s="1"/>
  <c r="Y707" i="5"/>
  <c r="Z707" i="5" s="1"/>
  <c r="Y864" i="5"/>
  <c r="Z864" i="5" s="1"/>
  <c r="Y550" i="5"/>
  <c r="Z550" i="5" s="1"/>
  <c r="Y804" i="5"/>
  <c r="Z804" i="5" s="1"/>
  <c r="Y137" i="5"/>
  <c r="Z137" i="5" s="1"/>
  <c r="Y282" i="5"/>
  <c r="Z282" i="5" s="1"/>
  <c r="Y324" i="5"/>
  <c r="Z324" i="5" s="1"/>
  <c r="Y113" i="5"/>
  <c r="Z113" i="5" s="1"/>
  <c r="Y663" i="5"/>
  <c r="Z663" i="5" s="1"/>
  <c r="Y758" i="5"/>
  <c r="Z758" i="5" s="1"/>
  <c r="Y164" i="5"/>
  <c r="Z164" i="5" s="1"/>
  <c r="Y303" i="5"/>
  <c r="Z303" i="5" s="1"/>
  <c r="Y252" i="5"/>
  <c r="Z252" i="5" s="1"/>
  <c r="Y467" i="5"/>
  <c r="Z467" i="5" s="1"/>
  <c r="Y981" i="5"/>
  <c r="Z981" i="5" s="1"/>
  <c r="Y117" i="5"/>
  <c r="Z117" i="5" s="1"/>
  <c r="Y829" i="5"/>
  <c r="Z829" i="5" s="1"/>
  <c r="Y341" i="5"/>
  <c r="Z341" i="5" s="1"/>
  <c r="Y376" i="5"/>
  <c r="Z376" i="5" s="1"/>
  <c r="Y172" i="5"/>
  <c r="Z172" i="5" s="1"/>
  <c r="Y391" i="5"/>
  <c r="Z391" i="5" s="1"/>
  <c r="Y612" i="5"/>
  <c r="Z612" i="5" s="1"/>
  <c r="Y188" i="5"/>
  <c r="Z188" i="5" s="1"/>
  <c r="Y980" i="5"/>
  <c r="Z980" i="5" s="1"/>
  <c r="Y343" i="5"/>
  <c r="Z343" i="5" s="1"/>
  <c r="Y674" i="5"/>
  <c r="Z674" i="5" s="1"/>
  <c r="Y575" i="5"/>
  <c r="Z575" i="5" s="1"/>
  <c r="Y559" i="5"/>
  <c r="Z559" i="5" s="1"/>
  <c r="Y445" i="5"/>
  <c r="Z445" i="5" s="1"/>
  <c r="Y831" i="5"/>
  <c r="Z831" i="5" s="1"/>
  <c r="Y314" i="5"/>
  <c r="Z314" i="5" s="1"/>
  <c r="Y267" i="5"/>
  <c r="Z267" i="5" s="1"/>
  <c r="Y676" i="5"/>
  <c r="Z676" i="5" s="1"/>
  <c r="Y459" i="5"/>
  <c r="Z459" i="5" s="1"/>
  <c r="Y270" i="5"/>
  <c r="Z270" i="5" s="1"/>
  <c r="Y416" i="5"/>
  <c r="Z416" i="5" s="1"/>
  <c r="Y512" i="5"/>
  <c r="Z512" i="5" s="1"/>
  <c r="Y632" i="5"/>
  <c r="Z632" i="5" s="1"/>
  <c r="Y493" i="5"/>
  <c r="Z493" i="5" s="1"/>
  <c r="Y89" i="5"/>
  <c r="Z89" i="5" s="1"/>
  <c r="Y194" i="5"/>
  <c r="Z194" i="5" s="1"/>
  <c r="Y147" i="5"/>
  <c r="Z147" i="5" s="1"/>
  <c r="Y369" i="5"/>
  <c r="Z369" i="5" s="1"/>
  <c r="Y88" i="5"/>
  <c r="Z88" i="5" s="1"/>
  <c r="Y619" i="5"/>
  <c r="Z619" i="5" s="1"/>
  <c r="Y715" i="5"/>
  <c r="Z715" i="5" s="1"/>
  <c r="Y241" i="5"/>
  <c r="Z241" i="5" s="1"/>
  <c r="Y162" i="5"/>
  <c r="Z162" i="5" s="1"/>
  <c r="Y965" i="5"/>
  <c r="Z965" i="5" s="1"/>
  <c r="Y247" i="5"/>
  <c r="Z247" i="5" s="1"/>
  <c r="Y518" i="5"/>
  <c r="Z518" i="5" s="1"/>
  <c r="Y959" i="5"/>
  <c r="Z959" i="5" s="1"/>
  <c r="Y860" i="5"/>
  <c r="Z860" i="5" s="1"/>
  <c r="Y821" i="5"/>
  <c r="Z821" i="5" s="1"/>
  <c r="Y634" i="5"/>
  <c r="Z634" i="5" s="1"/>
  <c r="Y625" i="5"/>
  <c r="Z625" i="5" s="1"/>
  <c r="Y711" i="5"/>
  <c r="Z711" i="5" s="1"/>
  <c r="Y952" i="5"/>
  <c r="Z952" i="5" s="1"/>
  <c r="Y506" i="5"/>
  <c r="Z506" i="5" s="1"/>
  <c r="Y768" i="5"/>
  <c r="Z768" i="5" s="1"/>
  <c r="Y719" i="5"/>
  <c r="Z719" i="5" s="1"/>
  <c r="Y389" i="5"/>
  <c r="Z389" i="5" s="1"/>
  <c r="Y216" i="5"/>
  <c r="Z216" i="5" s="1"/>
  <c r="Y69" i="5"/>
  <c r="Z69" i="5" s="1"/>
  <c r="Y454" i="5"/>
  <c r="Z454" i="5" s="1"/>
  <c r="Y657" i="5"/>
  <c r="Z657" i="5" s="1"/>
  <c r="Y294" i="5"/>
  <c r="Z294" i="5" s="1"/>
  <c r="Y587" i="5"/>
  <c r="Z587" i="5" s="1"/>
  <c r="Y775" i="5"/>
  <c r="Z775" i="5" s="1"/>
  <c r="Y972" i="5"/>
  <c r="Z972" i="5" s="1"/>
  <c r="Y726" i="5"/>
  <c r="Z726" i="5" s="1"/>
  <c r="Y140" i="5"/>
  <c r="Z140" i="5" s="1"/>
  <c r="Y753" i="5"/>
  <c r="Z753" i="5" s="1"/>
  <c r="Y447" i="5"/>
  <c r="Z447" i="5" s="1"/>
  <c r="Y207" i="5"/>
  <c r="Z207" i="5" s="1"/>
  <c r="Y97" i="5"/>
  <c r="Z97" i="5" s="1"/>
  <c r="Y274" i="5"/>
  <c r="Z274" i="5" s="1"/>
  <c r="Y22" i="5"/>
  <c r="V22" i="7" s="1"/>
  <c r="Y100" i="5"/>
  <c r="Z100" i="5" s="1"/>
  <c r="Y452" i="5"/>
  <c r="Z452" i="5" s="1"/>
  <c r="Y121" i="5"/>
  <c r="Z121" i="5" s="1"/>
  <c r="Y167" i="5"/>
  <c r="Z167" i="5" s="1"/>
  <c r="Y598" i="5"/>
  <c r="Z598" i="5" s="1"/>
  <c r="Y898" i="5"/>
  <c r="Z898" i="5" s="1"/>
  <c r="Y67" i="5"/>
  <c r="Z67" i="5" s="1"/>
  <c r="Y706" i="5"/>
  <c r="Z706" i="5" s="1"/>
  <c r="Y213" i="5"/>
  <c r="Z213" i="5" s="1"/>
  <c r="Y392" i="5"/>
  <c r="Z392" i="5" s="1"/>
  <c r="Y623" i="5"/>
  <c r="Z623" i="5" s="1"/>
  <c r="Y524" i="5"/>
  <c r="Z524" i="5" s="1"/>
  <c r="Y807" i="5"/>
  <c r="Z807" i="5" s="1"/>
  <c r="Y218" i="5"/>
  <c r="Z218" i="5" s="1"/>
  <c r="Y222" i="5"/>
  <c r="Z222" i="5" s="1"/>
  <c r="Y925" i="5"/>
  <c r="Z925" i="5" s="1"/>
  <c r="Y257" i="5"/>
  <c r="Z257" i="5" s="1"/>
  <c r="Y119" i="5"/>
  <c r="Z119" i="5" s="1"/>
  <c r="Y225" i="5"/>
  <c r="Z225" i="5" s="1"/>
  <c r="Y847" i="5"/>
  <c r="Z847" i="5" s="1"/>
  <c r="Y789" i="5"/>
  <c r="Z789" i="5" s="1"/>
  <c r="Y803" i="5"/>
  <c r="Z803" i="5" s="1"/>
  <c r="Y646" i="5"/>
  <c r="Z646" i="5" s="1"/>
  <c r="Y249" i="5"/>
  <c r="Z249" i="5" s="1"/>
  <c r="Y104" i="5"/>
  <c r="Z104" i="5" s="1"/>
  <c r="Y958" i="5"/>
  <c r="Z958" i="5" s="1"/>
  <c r="Y701" i="5"/>
  <c r="Z701" i="5" s="1"/>
  <c r="Y544" i="5"/>
  <c r="Z544" i="5" s="1"/>
  <c r="Y565" i="5"/>
  <c r="Z565" i="5" s="1"/>
  <c r="Y371" i="5"/>
  <c r="Z371" i="5" s="1"/>
  <c r="Y563" i="5"/>
  <c r="Z563" i="5" s="1"/>
  <c r="Y166" i="5"/>
  <c r="Z166" i="5" s="1"/>
  <c r="Y564" i="5"/>
  <c r="Z564" i="5" s="1"/>
  <c r="Y785" i="5"/>
  <c r="Z785" i="5" s="1"/>
  <c r="Y792" i="5"/>
  <c r="Z792" i="5" s="1"/>
  <c r="Y888" i="5"/>
  <c r="Z888" i="5" s="1"/>
  <c r="Y754" i="5"/>
  <c r="Z754" i="5" s="1"/>
  <c r="Y635" i="5"/>
  <c r="Z635" i="5" s="1"/>
  <c r="Y631" i="5"/>
  <c r="Z631" i="5" s="1"/>
  <c r="Y256" i="5"/>
  <c r="Z256" i="5" s="1"/>
  <c r="Y939" i="5"/>
  <c r="Z939" i="5" s="1"/>
  <c r="Y502" i="5"/>
  <c r="Z502" i="5" s="1"/>
  <c r="Y264" i="5"/>
  <c r="Z264" i="5" s="1"/>
  <c r="Y322" i="5"/>
  <c r="Z322" i="5" s="1"/>
  <c r="Y998" i="5"/>
  <c r="Z998" i="5" s="1"/>
  <c r="Y909" i="5"/>
  <c r="Z909" i="5" s="1"/>
  <c r="Y582" i="5"/>
  <c r="Z582" i="5" s="1"/>
  <c r="Y437" i="5"/>
  <c r="Z437" i="5" s="1"/>
  <c r="Y877" i="5"/>
  <c r="Z877" i="5" s="1"/>
  <c r="Y254" i="5"/>
  <c r="Z254" i="5" s="1"/>
  <c r="Y766" i="5"/>
  <c r="Z766" i="5" s="1"/>
  <c r="Y709" i="5"/>
  <c r="Z709" i="5" s="1"/>
  <c r="Y769" i="5"/>
  <c r="Z769" i="5" s="1"/>
  <c r="Y730" i="5"/>
  <c r="Z730" i="5" s="1"/>
  <c r="Y809" i="5"/>
  <c r="Z809" i="5" s="1"/>
  <c r="Y235" i="5"/>
  <c r="Z235" i="5" s="1"/>
  <c r="Y81" i="5"/>
  <c r="Z81" i="5" s="1"/>
  <c r="Y600" i="5"/>
  <c r="Z600" i="5" s="1"/>
  <c r="Y574" i="5"/>
  <c r="Z574" i="5" s="1"/>
  <c r="Y883" i="5"/>
  <c r="Z883" i="5" s="1"/>
  <c r="Y441" i="5"/>
  <c r="Z441" i="5" s="1"/>
  <c r="Y327" i="5"/>
  <c r="Z327" i="5" s="1"/>
  <c r="Y610" i="5"/>
  <c r="Z610" i="5" s="1"/>
  <c r="Y433" i="5"/>
  <c r="Z433" i="5" s="1"/>
  <c r="Y71" i="5"/>
  <c r="Z71" i="5" s="1"/>
  <c r="Y520" i="5"/>
  <c r="Z520" i="5" s="1"/>
  <c r="Y199" i="5"/>
  <c r="Z199" i="5" s="1"/>
  <c r="Y737" i="5"/>
  <c r="Z737" i="5" s="1"/>
  <c r="Y105" i="5"/>
  <c r="Z105" i="5" s="1"/>
  <c r="Y60" i="5"/>
  <c r="Z60" i="5" s="1"/>
  <c r="Y791" i="5"/>
  <c r="Z791" i="5" s="1"/>
  <c r="Y974" i="5"/>
  <c r="Z974" i="5" s="1"/>
  <c r="Y404" i="5"/>
  <c r="Z404" i="5" s="1"/>
  <c r="Y231" i="5"/>
  <c r="Z231" i="5" s="1"/>
  <c r="Y149" i="5"/>
  <c r="Z149" i="5" s="1"/>
  <c r="Y716" i="5"/>
  <c r="Z716" i="5" s="1"/>
  <c r="Y850" i="5"/>
  <c r="Z850" i="5" s="1"/>
  <c r="Y396" i="5"/>
  <c r="Z396" i="5" s="1"/>
  <c r="Y339" i="5"/>
  <c r="Z339" i="5" s="1"/>
  <c r="Y232" i="5"/>
  <c r="Z232" i="5" s="1"/>
  <c r="Y436" i="5"/>
  <c r="Z436" i="5" s="1"/>
  <c r="Y503" i="5"/>
  <c r="Z503" i="5" s="1"/>
  <c r="Y771" i="5"/>
  <c r="Z771" i="5" s="1"/>
  <c r="Y874" i="5"/>
  <c r="Z874" i="5" s="1"/>
  <c r="Y614" i="5"/>
  <c r="Z614" i="5" s="1"/>
  <c r="Y358" i="5"/>
  <c r="Z358" i="5" s="1"/>
  <c r="Y57" i="5"/>
  <c r="Z57" i="5" s="1"/>
  <c r="Y103" i="5"/>
  <c r="Z103" i="5" s="1"/>
  <c r="Y867" i="5"/>
  <c r="Z867" i="5" s="1"/>
  <c r="Y615" i="5"/>
  <c r="Z615" i="5" s="1"/>
  <c r="Y795" i="5"/>
  <c r="Z795" i="5" s="1"/>
  <c r="Y671" i="5"/>
  <c r="Z671" i="5" s="1"/>
  <c r="Y661" i="5"/>
  <c r="Z661" i="5" s="1"/>
  <c r="Y95" i="5"/>
  <c r="Z95" i="5" s="1"/>
  <c r="Y400" i="5"/>
  <c r="Z400" i="5" s="1"/>
  <c r="Y813" i="5"/>
  <c r="Z813" i="5" s="1"/>
  <c r="Y872" i="5"/>
  <c r="Z872" i="5" s="1"/>
  <c r="Y808" i="5"/>
  <c r="Z808" i="5" s="1"/>
  <c r="Y738" i="5"/>
  <c r="Z738" i="5" s="1"/>
  <c r="Y177" i="5"/>
  <c r="Z177" i="5" s="1"/>
  <c r="Y65" i="5"/>
  <c r="Z65" i="5" s="1"/>
  <c r="Y107" i="5"/>
  <c r="Z107" i="5" s="1"/>
  <c r="Y250" i="5"/>
  <c r="Z250" i="5" s="1"/>
  <c r="Y214" i="5"/>
  <c r="Z214" i="5" s="1"/>
  <c r="Y660" i="5"/>
  <c r="Z660" i="5" s="1"/>
  <c r="Y305" i="5"/>
  <c r="Z305" i="5" s="1"/>
  <c r="Y171" i="5"/>
  <c r="Z171" i="5" s="1"/>
  <c r="Y483" i="5"/>
  <c r="Z483" i="5" s="1"/>
  <c r="Y365" i="5"/>
  <c r="Z365" i="5" s="1"/>
  <c r="Y346" i="5"/>
  <c r="Z346" i="5" s="1"/>
  <c r="Y630" i="5"/>
  <c r="Z630" i="5" s="1"/>
  <c r="Y801" i="5"/>
  <c r="Z801" i="5" s="1"/>
  <c r="Y183" i="5"/>
  <c r="Z183" i="5" s="1"/>
  <c r="Y138" i="5"/>
  <c r="Z138" i="5" s="1"/>
  <c r="Y881" i="5"/>
  <c r="Z881" i="5" s="1"/>
  <c r="Y295" i="5"/>
  <c r="Z295" i="5" s="1"/>
  <c r="Y283" i="5"/>
  <c r="Z283" i="5" s="1"/>
  <c r="Y9" i="5"/>
  <c r="Z9" i="5" s="1"/>
  <c r="W9" i="7" s="1"/>
  <c r="Y355" i="5"/>
  <c r="Z355" i="5" s="1"/>
  <c r="Y681" i="5"/>
  <c r="Z681" i="5" s="1"/>
  <c r="Y455" i="5"/>
  <c r="Z455" i="5" s="1"/>
  <c r="Y777" i="5"/>
  <c r="Z777" i="5" s="1"/>
  <c r="Y702" i="5"/>
  <c r="Z702" i="5" s="1"/>
  <c r="Y647" i="5"/>
  <c r="Z647" i="5" s="1"/>
  <c r="Y131" i="5"/>
  <c r="Z131" i="5" s="1"/>
  <c r="Y258" i="5"/>
  <c r="Z258" i="5" s="1"/>
  <c r="Y192" i="5"/>
  <c r="Z192" i="5" s="1"/>
  <c r="Y126" i="5"/>
  <c r="Z126" i="5" s="1"/>
  <c r="Y75" i="5"/>
  <c r="Z75" i="5" s="1"/>
  <c r="Y388" i="5"/>
  <c r="Z388" i="5" s="1"/>
  <c r="Y59" i="5"/>
  <c r="Z59" i="5" s="1"/>
  <c r="Y361" i="5"/>
  <c r="Z361" i="5" s="1"/>
  <c r="Y319" i="5"/>
  <c r="Z319" i="5" s="1"/>
  <c r="Y571" i="5"/>
  <c r="Z571" i="5" s="1"/>
  <c r="Y280" i="5"/>
  <c r="Z280" i="5" s="1"/>
  <c r="Y99" i="5"/>
  <c r="Z99" i="5" s="1"/>
  <c r="Y336" i="5"/>
  <c r="Z336" i="5" s="1"/>
  <c r="C11" i="2"/>
  <c r="C9" i="2"/>
  <c r="C10" i="2"/>
  <c r="C12" i="2"/>
  <c r="C8" i="2"/>
  <c r="Y937" i="5"/>
  <c r="Z937" i="5" s="1"/>
  <c r="Y756" i="5"/>
  <c r="Z756" i="5" s="1"/>
  <c r="Y690" i="5"/>
  <c r="Z690" i="5" s="1"/>
  <c r="Y911" i="5"/>
  <c r="Z911" i="5" s="1"/>
  <c r="Y996" i="5"/>
  <c r="Z996" i="5" s="1"/>
  <c r="Y337" i="5"/>
  <c r="Z337" i="5" s="1"/>
  <c r="Y728" i="5"/>
  <c r="Z728" i="5" s="1"/>
  <c r="Y597" i="5"/>
  <c r="Z597" i="5" s="1"/>
  <c r="Y763" i="5"/>
  <c r="Z763" i="5" s="1"/>
  <c r="Y595" i="5"/>
  <c r="Z595" i="5" s="1"/>
  <c r="Y439" i="5"/>
  <c r="Z439" i="5" s="1"/>
  <c r="Y532" i="5"/>
  <c r="Z532" i="5" s="1"/>
  <c r="Y316" i="5"/>
  <c r="Z316" i="5" s="1"/>
  <c r="Y912" i="5"/>
  <c r="Z912" i="5" s="1"/>
  <c r="Y820" i="5"/>
  <c r="Z820" i="5" s="1"/>
  <c r="Y141" i="5"/>
  <c r="Z141" i="5" s="1"/>
  <c r="U26" i="7"/>
  <c r="Y26" i="5"/>
  <c r="O32" i="7"/>
  <c r="Y32" i="5"/>
  <c r="Y243" i="5"/>
  <c r="Z243" i="5" s="1"/>
  <c r="Y70" i="5"/>
  <c r="Z70" i="5" s="1"/>
  <c r="Y464" i="5"/>
  <c r="Z464" i="5" s="1"/>
  <c r="Y527" i="5"/>
  <c r="Z527" i="5" s="1"/>
  <c r="Y552" i="5"/>
  <c r="Z552" i="5" s="1"/>
  <c r="Y916" i="5"/>
  <c r="Z916" i="5" s="1"/>
  <c r="Y491" i="5"/>
  <c r="Z491" i="5" s="1"/>
  <c r="Y731" i="5"/>
  <c r="Z731" i="5" s="1"/>
  <c r="Y443" i="5"/>
  <c r="Z443" i="5" s="1"/>
  <c r="Y298" i="5"/>
  <c r="Z298" i="5" s="1"/>
  <c r="Y174" i="5"/>
  <c r="Z174" i="5" s="1"/>
  <c r="Y714" i="5"/>
  <c r="Z714" i="5" s="1"/>
  <c r="Y481" i="5"/>
  <c r="Z481" i="5" s="1"/>
  <c r="Y349" i="5"/>
  <c r="Z349" i="5" s="1"/>
  <c r="Y296" i="5"/>
  <c r="Z296" i="5" s="1"/>
  <c r="Y854" i="5"/>
  <c r="Z854" i="5" s="1"/>
  <c r="Y344" i="5"/>
  <c r="Z344" i="5" s="1"/>
  <c r="Y180" i="5"/>
  <c r="Z180" i="5" s="1"/>
  <c r="Y578" i="5"/>
  <c r="Z578" i="5" s="1"/>
  <c r="Y705" i="5"/>
  <c r="Z705" i="5" s="1"/>
  <c r="Y825" i="5"/>
  <c r="Z825" i="5" s="1"/>
  <c r="Y446" i="5"/>
  <c r="Z446" i="5" s="1"/>
  <c r="Y368" i="5"/>
  <c r="Z368" i="5" s="1"/>
  <c r="Y112" i="5"/>
  <c r="Z112" i="5" s="1"/>
  <c r="Y633" i="5"/>
  <c r="Z633" i="5" s="1"/>
  <c r="Y924" i="5"/>
  <c r="Z924" i="5" s="1"/>
  <c r="Y382" i="5"/>
  <c r="Z382" i="5" s="1"/>
  <c r="Y682" i="5"/>
  <c r="Z682" i="5" s="1"/>
  <c r="Y134" i="5"/>
  <c r="Z134" i="5" s="1"/>
  <c r="Y799" i="5"/>
  <c r="Z799" i="5" s="1"/>
  <c r="Y893" i="5"/>
  <c r="Z893" i="5" s="1"/>
  <c r="Y978" i="5"/>
  <c r="Z978" i="5" s="1"/>
  <c r="Y96" i="5"/>
  <c r="Z96" i="5" s="1"/>
  <c r="Y970" i="5"/>
  <c r="Z970" i="5" s="1"/>
  <c r="Y834" i="5"/>
  <c r="Z834" i="5" s="1"/>
  <c r="Y453" i="5"/>
  <c r="Z453" i="5" s="1"/>
  <c r="Y983" i="5"/>
  <c r="Z983" i="5" s="1"/>
  <c r="Y537" i="5"/>
  <c r="Z537" i="5" s="1"/>
  <c r="Y572" i="5"/>
  <c r="Z572" i="5" s="1"/>
  <c r="Y933" i="5"/>
  <c r="Z933" i="5" s="1"/>
  <c r="Y934" i="5"/>
  <c r="Z934" i="5" s="1"/>
  <c r="Y838" i="5"/>
  <c r="Z838" i="5" s="1"/>
  <c r="Y812" i="5"/>
  <c r="Z812" i="5" s="1"/>
  <c r="Y568" i="5"/>
  <c r="Z568" i="5" s="1"/>
  <c r="Y286" i="5"/>
  <c r="Z286" i="5" s="1"/>
  <c r="Y428" i="5"/>
  <c r="Z428" i="5" s="1"/>
  <c r="Y190" i="5"/>
  <c r="Z190" i="5" s="1"/>
  <c r="Y204" i="5"/>
  <c r="Z204" i="5" s="1"/>
  <c r="Y24" i="5"/>
  <c r="V24" i="7" s="1"/>
  <c r="Y542" i="5"/>
  <c r="Z542" i="5" s="1"/>
  <c r="Y155" i="5"/>
  <c r="Z155" i="5" s="1"/>
  <c r="Y106" i="5"/>
  <c r="Z106" i="5" s="1"/>
  <c r="Y511" i="5"/>
  <c r="Z511" i="5" s="1"/>
  <c r="Y160" i="5"/>
  <c r="Z160" i="5" s="1"/>
  <c r="Y408" i="5"/>
  <c r="Z408" i="5" s="1"/>
  <c r="Y291" i="5"/>
  <c r="Z291" i="5" s="1"/>
  <c r="Y451" i="5"/>
  <c r="Z451" i="5" s="1"/>
  <c r="Y132" i="5"/>
  <c r="Z132" i="5" s="1"/>
  <c r="Y887" i="5"/>
  <c r="Z887" i="5" s="1"/>
  <c r="Y942" i="5"/>
  <c r="Z942" i="5" s="1"/>
  <c r="Y656" i="5"/>
  <c r="Z656" i="5" s="1"/>
  <c r="Y185" i="5"/>
  <c r="Z185" i="5" s="1"/>
  <c r="Y526" i="5"/>
  <c r="Z526" i="5" s="1"/>
  <c r="Y109" i="5"/>
  <c r="Z109" i="5" s="1"/>
  <c r="L25" i="7"/>
  <c r="Y25" i="5"/>
  <c r="L6" i="7"/>
  <c r="Y6" i="5"/>
  <c r="Y128" i="5"/>
  <c r="Z128" i="5" s="1"/>
  <c r="Y300" i="5"/>
  <c r="Z300" i="5" s="1"/>
  <c r="Y885" i="5"/>
  <c r="Z885" i="5" s="1"/>
  <c r="Y987" i="5"/>
  <c r="Z987" i="5" s="1"/>
  <c r="Y817" i="5"/>
  <c r="Z817" i="5" s="1"/>
  <c r="Y989" i="5"/>
  <c r="Z989" i="5" s="1"/>
  <c r="Y430" i="5"/>
  <c r="Z430" i="5" s="1"/>
  <c r="Y857" i="5"/>
  <c r="Z857" i="5" s="1"/>
  <c r="Y420" i="5"/>
  <c r="Z420" i="5" s="1"/>
  <c r="Y848" i="5"/>
  <c r="Z848" i="5" s="1"/>
  <c r="Y741" i="5"/>
  <c r="Z741" i="5" s="1"/>
  <c r="Y900" i="5"/>
  <c r="Z900" i="5" s="1"/>
  <c r="Y875" i="5"/>
  <c r="Z875" i="5" s="1"/>
  <c r="Y422" i="5"/>
  <c r="Z422" i="5" s="1"/>
  <c r="Y215" i="5"/>
  <c r="Z215" i="5" s="1"/>
  <c r="Y108" i="5"/>
  <c r="Z108" i="5" s="1"/>
  <c r="Y956" i="5"/>
  <c r="Z956" i="5" s="1"/>
  <c r="Y673" i="5"/>
  <c r="Z673" i="5" s="1"/>
  <c r="Y335" i="5"/>
  <c r="Z335" i="5" s="1"/>
  <c r="Y93" i="5"/>
  <c r="Z93" i="5" s="1"/>
  <c r="Y372" i="5"/>
  <c r="Z372" i="5" s="1"/>
  <c r="Y529" i="5"/>
  <c r="Z529" i="5" s="1"/>
  <c r="Y287" i="5"/>
  <c r="Z287" i="5" s="1"/>
  <c r="Y672" i="5"/>
  <c r="Z672" i="5" s="1"/>
  <c r="Y677" i="5"/>
  <c r="Z677" i="5" s="1"/>
  <c r="Y546" i="5"/>
  <c r="Z546" i="5" s="1"/>
  <c r="Y442" i="5"/>
  <c r="Z442" i="5" s="1"/>
  <c r="Y457" i="5"/>
  <c r="Z457" i="5" s="1"/>
  <c r="Y525" i="5"/>
  <c r="Z525" i="5" s="1"/>
  <c r="Y960" i="5"/>
  <c r="Z960" i="5" s="1"/>
  <c r="Y797" i="5"/>
  <c r="Z797" i="5" s="1"/>
  <c r="Y826" i="5"/>
  <c r="Z826" i="5" s="1"/>
  <c r="Y593" i="5"/>
  <c r="Z593" i="5" s="1"/>
  <c r="Y853" i="5"/>
  <c r="Z853" i="5" s="1"/>
  <c r="Y750" i="5"/>
  <c r="Z750" i="5" s="1"/>
  <c r="Y594" i="5"/>
  <c r="Z594" i="5" s="1"/>
  <c r="Y703" i="5"/>
  <c r="Z703" i="5" s="1"/>
  <c r="Y284" i="5"/>
  <c r="Z284" i="5" s="1"/>
  <c r="Y302" i="5"/>
  <c r="Z302" i="5" s="1"/>
  <c r="Y153" i="5"/>
  <c r="Z153" i="5" s="1"/>
  <c r="Y345" i="5"/>
  <c r="Z345" i="5" s="1"/>
  <c r="Y196" i="5"/>
  <c r="Z196" i="5" s="1"/>
  <c r="Y999" i="5"/>
  <c r="Z999" i="5" s="1"/>
  <c r="Y720" i="5"/>
  <c r="Z720" i="5" s="1"/>
  <c r="Y918" i="5"/>
  <c r="Z918" i="5" s="1"/>
  <c r="Y913" i="5"/>
  <c r="Z913" i="5" s="1"/>
  <c r="Y773" i="5"/>
  <c r="Z773" i="5" s="1"/>
  <c r="Y144" i="5"/>
  <c r="Z144" i="5" s="1"/>
  <c r="Y567" i="5"/>
  <c r="Z567" i="5" s="1"/>
  <c r="Y83" i="5"/>
  <c r="Z83" i="5" s="1"/>
  <c r="Y477" i="5"/>
  <c r="Z477" i="5" s="1"/>
  <c r="Y333" i="5"/>
  <c r="Z333" i="5" s="1"/>
  <c r="Y402" i="5"/>
  <c r="Z402" i="5" s="1"/>
  <c r="Y417" i="5"/>
  <c r="Z417" i="5" s="1"/>
  <c r="Y127" i="5"/>
  <c r="Z127" i="5" s="1"/>
  <c r="Y522" i="5"/>
  <c r="Z522" i="5" s="1"/>
  <c r="Y238" i="5"/>
  <c r="Z238" i="5" s="1"/>
  <c r="Y352" i="5"/>
  <c r="Z352" i="5" s="1"/>
  <c r="Y240" i="5"/>
  <c r="Z240" i="5" s="1"/>
  <c r="Y434" i="5"/>
  <c r="Z434" i="5" s="1"/>
  <c r="Y82" i="5"/>
  <c r="Z82" i="5" s="1"/>
  <c r="Y782" i="5"/>
  <c r="Z782" i="5" s="1"/>
  <c r="Y474" i="5"/>
  <c r="Z474" i="5" s="1"/>
  <c r="Y116" i="5"/>
  <c r="Z116" i="5" s="1"/>
  <c r="Y844" i="5"/>
  <c r="Z844" i="5" s="1"/>
  <c r="Y688" i="5"/>
  <c r="Z688" i="5" s="1"/>
  <c r="Y832" i="5"/>
  <c r="Z832" i="5" s="1"/>
  <c r="Y997" i="5"/>
  <c r="Z997" i="5" s="1"/>
  <c r="Y717" i="5"/>
  <c r="Z717" i="5" s="1"/>
  <c r="Y658" i="5"/>
  <c r="Z658" i="5" s="1"/>
  <c r="Y645" i="5"/>
  <c r="Z645" i="5" s="1"/>
  <c r="Y724" i="5"/>
  <c r="Z724" i="5" s="1"/>
  <c r="Y678" i="5"/>
  <c r="Z678" i="5" s="1"/>
  <c r="Y781" i="5"/>
  <c r="Z781" i="5" s="1"/>
  <c r="Y659" i="5"/>
  <c r="Z659" i="5" s="1"/>
  <c r="Y16" i="5"/>
  <c r="V16" i="7" s="1"/>
  <c r="Y310" i="5"/>
  <c r="Z310" i="5" s="1"/>
  <c r="Y611" i="5"/>
  <c r="Z611" i="5" s="1"/>
  <c r="Y905" i="5"/>
  <c r="Z905" i="5" s="1"/>
  <c r="Y387" i="5"/>
  <c r="Z387" i="5" s="1"/>
  <c r="Y914" i="5"/>
  <c r="Z914" i="5" s="1"/>
  <c r="Y504" i="5"/>
  <c r="Z504" i="5" s="1"/>
  <c r="Y778" i="5"/>
  <c r="Z778" i="5" s="1"/>
  <c r="Y438" i="5"/>
  <c r="Z438" i="5" s="1"/>
  <c r="Y516" i="5"/>
  <c r="Z516" i="5" s="1"/>
  <c r="AA51" i="6"/>
  <c r="X551" i="7" s="1"/>
  <c r="W648" i="6"/>
  <c r="W685" i="6"/>
  <c r="W299" i="6"/>
  <c r="W796" i="6"/>
  <c r="AA174" i="6"/>
  <c r="X674" i="7" s="1"/>
  <c r="W562" i="6"/>
  <c r="W279" i="6"/>
  <c r="W304" i="6"/>
  <c r="W191" i="6"/>
  <c r="W737" i="6"/>
  <c r="W967" i="6"/>
  <c r="W266" i="6"/>
  <c r="W34" i="6"/>
  <c r="V534" i="7" s="1"/>
  <c r="AA33" i="6"/>
  <c r="X533" i="7" s="1"/>
  <c r="W126" i="6"/>
  <c r="W922" i="6"/>
  <c r="W921" i="6"/>
  <c r="W664" i="6"/>
  <c r="Z41" i="6"/>
  <c r="Z541" i="7" s="1"/>
  <c r="W775" i="6"/>
  <c r="W608" i="6"/>
  <c r="W510" i="6"/>
  <c r="W246" i="6"/>
  <c r="W137" i="6"/>
  <c r="W366" i="6"/>
  <c r="W175" i="6"/>
  <c r="V675" i="7" s="1"/>
  <c r="W918" i="6"/>
  <c r="W850" i="6"/>
  <c r="W315" i="6"/>
  <c r="AN5" i="3"/>
  <c r="W611" i="6"/>
  <c r="W905" i="6"/>
  <c r="A10" i="1"/>
  <c r="Z39" i="6"/>
  <c r="Z539" i="7" s="1"/>
  <c r="W253" i="6"/>
  <c r="W807" i="6"/>
  <c r="W238" i="6"/>
  <c r="W256" i="6"/>
  <c r="W711" i="6"/>
  <c r="W631" i="6"/>
  <c r="W308" i="6"/>
  <c r="A9" i="1"/>
  <c r="W887" i="6"/>
  <c r="W989" i="6"/>
  <c r="W212" i="6"/>
  <c r="AA28" i="6"/>
  <c r="X528" i="7" s="1"/>
  <c r="B9" i="1"/>
  <c r="W998" i="6"/>
  <c r="W686" i="6"/>
  <c r="W928" i="6"/>
  <c r="W216" i="6"/>
  <c r="W856" i="6"/>
  <c r="W847" i="6"/>
  <c r="Y871" i="5"/>
  <c r="Z871" i="5" s="1"/>
  <c r="Y405" i="5"/>
  <c r="Z405" i="5" s="1"/>
  <c r="O14" i="7"/>
  <c r="Y14" i="5"/>
  <c r="L12" i="7"/>
  <c r="Y12" i="5"/>
  <c r="L2" i="7"/>
  <c r="B8" i="1" s="1"/>
  <c r="Y2" i="5"/>
  <c r="Y908" i="5"/>
  <c r="Z908" i="5" s="1"/>
  <c r="U516" i="7"/>
  <c r="W16" i="6"/>
  <c r="V516" i="7" s="1"/>
  <c r="Z16" i="6"/>
  <c r="Z516" i="7" s="1"/>
  <c r="U522" i="7"/>
  <c r="W22" i="6"/>
  <c r="V522" i="7" s="1"/>
  <c r="Z22" i="6"/>
  <c r="Z522" i="7" s="1"/>
  <c r="W803" i="6"/>
  <c r="W445" i="6"/>
  <c r="Y626" i="5"/>
  <c r="Z626" i="5" s="1"/>
  <c r="Y891" i="5"/>
  <c r="Z891" i="5" s="1"/>
  <c r="L21" i="7"/>
  <c r="Y21" i="5"/>
  <c r="V20" i="7"/>
  <c r="Z20" i="5"/>
  <c r="W20" i="7" s="1"/>
  <c r="Y261" i="5"/>
  <c r="Z261" i="5" s="1"/>
  <c r="L29" i="7"/>
  <c r="Y29" i="5"/>
  <c r="V18" i="7"/>
  <c r="Z18" i="5"/>
  <c r="W18" i="7" s="1"/>
  <c r="L510" i="7"/>
  <c r="W10" i="6"/>
  <c r="V510" i="7" s="1"/>
  <c r="U514" i="7"/>
  <c r="W14" i="6"/>
  <c r="V514" i="7" s="1"/>
  <c r="Y513" i="5"/>
  <c r="Z513" i="5" s="1"/>
  <c r="L521" i="7"/>
  <c r="AA21" i="6"/>
  <c r="X521" i="7" s="1"/>
  <c r="Z17" i="5"/>
  <c r="W17" i="7" s="1"/>
  <c r="L28" i="7"/>
  <c r="Y28" i="5"/>
  <c r="W915" i="6"/>
  <c r="W734" i="6"/>
  <c r="Y902" i="5"/>
  <c r="Z902" i="5" s="1"/>
  <c r="W999" i="6"/>
  <c r="W770" i="6"/>
  <c r="L537" i="7"/>
  <c r="W37" i="6"/>
  <c r="V537" i="7" s="1"/>
  <c r="Y932" i="5"/>
  <c r="Z932" i="5" s="1"/>
  <c r="Y845" i="5"/>
  <c r="Z845" i="5" s="1"/>
  <c r="Y638" i="5"/>
  <c r="Z638" i="5" s="1"/>
  <c r="L15" i="7"/>
  <c r="Y15" i="5"/>
  <c r="W869" i="6"/>
  <c r="W964" i="6"/>
  <c r="L509" i="7"/>
  <c r="AA9" i="6"/>
  <c r="X509" i="7" s="1"/>
  <c r="Y307" i="5"/>
  <c r="Z307" i="5" s="1"/>
  <c r="L30" i="7"/>
  <c r="Y30" i="5"/>
  <c r="Y689" i="5"/>
  <c r="Z689" i="5" s="1"/>
  <c r="W160" i="6"/>
  <c r="U525" i="7"/>
  <c r="W25" i="6"/>
  <c r="V525" i="7" s="1"/>
  <c r="Y992" i="5"/>
  <c r="Z992" i="5" s="1"/>
  <c r="L520" i="7"/>
  <c r="W20" i="6"/>
  <c r="V520" i="7" s="1"/>
  <c r="L4" i="7"/>
  <c r="Y4" i="5"/>
  <c r="Y500" i="5"/>
  <c r="Z500" i="5" s="1"/>
  <c r="Y102" i="5"/>
  <c r="Z102" i="5" s="1"/>
  <c r="O10" i="7"/>
  <c r="Y10" i="5"/>
  <c r="V27" i="7"/>
  <c r="Z27" i="5"/>
  <c r="W27" i="7" s="1"/>
  <c r="U503" i="7"/>
  <c r="W3" i="6"/>
  <c r="V503" i="7" s="1"/>
  <c r="Y19" i="5"/>
  <c r="Z3" i="6"/>
  <c r="Z503" i="7" s="1"/>
  <c r="Y752" i="5"/>
  <c r="Z752" i="5" s="1"/>
  <c r="Y573" i="5"/>
  <c r="Z573" i="5" s="1"/>
  <c r="W830" i="6"/>
  <c r="W384" i="6"/>
  <c r="U672" i="7"/>
  <c r="W172" i="6"/>
  <c r="V672" i="7" s="1"/>
  <c r="U668" i="7"/>
  <c r="W168" i="6"/>
  <c r="V668" i="7" s="1"/>
  <c r="Y499" i="5"/>
  <c r="Z499" i="5" s="1"/>
  <c r="L39" i="7"/>
  <c r="Y39" i="5"/>
  <c r="W936" i="6"/>
  <c r="W257" i="6"/>
  <c r="Y824" i="5"/>
  <c r="Z824" i="5" s="1"/>
  <c r="AA175" i="6"/>
  <c r="X675" i="7" s="1"/>
  <c r="Z172" i="6"/>
  <c r="Z672" i="7" s="1"/>
  <c r="Y586" i="5"/>
  <c r="Z586" i="5" s="1"/>
  <c r="V37" i="7"/>
  <c r="Z37" i="5"/>
  <c r="W37" i="7" s="1"/>
  <c r="Y273" i="5"/>
  <c r="Z273" i="5" s="1"/>
  <c r="L34" i="7"/>
  <c r="Y34" i="5"/>
  <c r="V3" i="7"/>
  <c r="Z3" i="5"/>
  <c r="W3" i="7" s="1"/>
  <c r="W272" i="6"/>
  <c r="W144" i="6"/>
  <c r="Y710" i="5"/>
  <c r="Z710" i="5" s="1"/>
  <c r="U533" i="7"/>
  <c r="W33" i="6"/>
  <c r="V533" i="7" s="1"/>
  <c r="Y945" i="5"/>
  <c r="Z945" i="5" s="1"/>
  <c r="U550" i="7"/>
  <c r="W50" i="6"/>
  <c r="V550" i="7" s="1"/>
  <c r="Y931" i="5"/>
  <c r="Z931" i="5" s="1"/>
  <c r="Y393" i="5"/>
  <c r="Z393" i="5" s="1"/>
  <c r="Y523" i="5"/>
  <c r="Z523" i="5" s="1"/>
  <c r="Y219" i="5"/>
  <c r="Z219" i="5" s="1"/>
  <c r="Y260" i="5"/>
  <c r="Z260" i="5" s="1"/>
  <c r="Y220" i="5"/>
  <c r="Z220" i="5" s="1"/>
  <c r="V42" i="7"/>
  <c r="Z42" i="5"/>
  <c r="W42" i="7" s="1"/>
  <c r="Y76" i="5"/>
  <c r="Z76" i="5" s="1"/>
  <c r="L7" i="7"/>
  <c r="Y7" i="5"/>
  <c r="Y406" i="5"/>
  <c r="Z406" i="5" s="1"/>
  <c r="Y118" i="5"/>
  <c r="Z118" i="5" s="1"/>
  <c r="U673" i="7"/>
  <c r="W173" i="6"/>
  <c r="V673" i="7" s="1"/>
  <c r="Y604" i="5"/>
  <c r="Z604" i="5" s="1"/>
  <c r="W5" i="6"/>
  <c r="V505" i="7" s="1"/>
  <c r="Y31" i="5"/>
  <c r="V13" i="7"/>
  <c r="Z13" i="5"/>
  <c r="W13" i="7" s="1"/>
  <c r="W432" i="6"/>
  <c r="W224" i="6"/>
  <c r="U551" i="7"/>
  <c r="W51" i="6"/>
  <c r="V551" i="7" s="1"/>
  <c r="Y608" i="5"/>
  <c r="Z608" i="5" s="1"/>
  <c r="Y332" i="5"/>
  <c r="Z332" i="5" s="1"/>
  <c r="L38" i="7"/>
  <c r="Y38" i="5"/>
  <c r="Y122" i="5"/>
  <c r="Z122" i="5" s="1"/>
  <c r="O35" i="7"/>
  <c r="Y35" i="5"/>
  <c r="W959" i="6"/>
  <c r="U521" i="7"/>
  <c r="W21" i="6"/>
  <c r="V521" i="7" s="1"/>
  <c r="Y585" i="5"/>
  <c r="Z585" i="5" s="1"/>
  <c r="AA26" i="6"/>
  <c r="X526" i="7" s="1"/>
  <c r="U545" i="7"/>
  <c r="W45" i="6"/>
  <c r="V545" i="7" s="1"/>
  <c r="W127" i="6"/>
  <c r="Y862" i="5"/>
  <c r="Z862" i="5" s="1"/>
  <c r="W26" i="6"/>
  <c r="V526" i="7" s="1"/>
  <c r="AA173" i="6"/>
  <c r="X673" i="7" s="1"/>
  <c r="Y713" i="5"/>
  <c r="Z713" i="5" s="1"/>
  <c r="W24" i="6"/>
  <c r="V524" i="7" s="1"/>
  <c r="Y982" i="5"/>
  <c r="Z982" i="5" s="1"/>
  <c r="Y640" i="5"/>
  <c r="Z640" i="5" s="1"/>
  <c r="Y476" i="5"/>
  <c r="Z476" i="5" s="1"/>
  <c r="Y955" i="5"/>
  <c r="Z955" i="5" s="1"/>
  <c r="Y561" i="5"/>
  <c r="Z561" i="5" s="1"/>
  <c r="Y248" i="5"/>
  <c r="Z248" i="5" s="1"/>
  <c r="Y501" i="5"/>
  <c r="Z501" i="5" s="1"/>
  <c r="Y380" i="5"/>
  <c r="Z380" i="5" s="1"/>
  <c r="Y309" i="5"/>
  <c r="Z309" i="5" s="1"/>
  <c r="Y253" i="5"/>
  <c r="Z253" i="5" s="1"/>
  <c r="Y239" i="5"/>
  <c r="Z239" i="5" s="1"/>
  <c r="Y33" i="5"/>
  <c r="Y510" i="5"/>
  <c r="Z510" i="5" s="1"/>
  <c r="Y145" i="5"/>
  <c r="Z145" i="5" s="1"/>
  <c r="Y650" i="5"/>
  <c r="Z650" i="5" s="1"/>
  <c r="AM4" i="3"/>
  <c r="W782" i="6"/>
  <c r="W492" i="6"/>
  <c r="W629" i="6"/>
  <c r="W398" i="6"/>
  <c r="W404" i="6"/>
  <c r="W504" i="6"/>
  <c r="W443" i="6"/>
  <c r="W394" i="6"/>
  <c r="U670" i="7"/>
  <c r="W170" i="6"/>
  <c r="V670" i="7" s="1"/>
  <c r="W221" i="6"/>
  <c r="U517" i="7"/>
  <c r="B10" i="1" s="1"/>
  <c r="W17" i="6"/>
  <c r="V517" i="7" s="1"/>
  <c r="W35" i="6"/>
  <c r="V535" i="7" s="1"/>
  <c r="Y903" i="5"/>
  <c r="Z903" i="5" s="1"/>
  <c r="Y896" i="5"/>
  <c r="Z896" i="5" s="1"/>
  <c r="Y226" i="5"/>
  <c r="Z226" i="5" s="1"/>
  <c r="Y23" i="5"/>
  <c r="Y44" i="5"/>
  <c r="Z44" i="5" s="1"/>
  <c r="Y50" i="5"/>
  <c r="Z50" i="5" s="1"/>
  <c r="U11" i="7"/>
  <c r="Y11" i="5"/>
  <c r="Y334" i="5"/>
  <c r="Z334" i="5" s="1"/>
  <c r="V5" i="7"/>
  <c r="Z5" i="5"/>
  <c r="W5" i="7" s="1"/>
  <c r="W997" i="6"/>
  <c r="W530" i="6"/>
  <c r="W154" i="6"/>
  <c r="W101" i="6"/>
  <c r="Y8" i="5"/>
  <c r="Y312" i="5"/>
  <c r="Z312" i="5" s="1"/>
  <c r="AL4" i="3"/>
  <c r="W329" i="6"/>
  <c r="W719" i="6"/>
  <c r="W420" i="6"/>
  <c r="W466" i="6"/>
  <c r="Y849" i="5"/>
  <c r="Z849" i="5" s="1"/>
  <c r="Z33" i="6"/>
  <c r="Z533" i="7" s="1"/>
  <c r="Z50" i="6"/>
  <c r="Z550" i="7" s="1"/>
  <c r="Y941" i="5"/>
  <c r="Z941" i="5" s="1"/>
  <c r="AA5" i="6"/>
  <c r="X505" i="7" s="1"/>
  <c r="AA14" i="6"/>
  <c r="X514" i="7" s="1"/>
  <c r="Y618" i="5"/>
  <c r="Z618" i="5" s="1"/>
  <c r="Y749" i="5"/>
  <c r="Z749" i="5" s="1"/>
  <c r="Y41" i="5"/>
  <c r="L40" i="7"/>
  <c r="Y40" i="5"/>
  <c r="W860" i="6"/>
  <c r="W927" i="6"/>
  <c r="W988" i="6"/>
  <c r="W674" i="6"/>
  <c r="W676" i="6"/>
  <c r="W485" i="6"/>
  <c r="W264" i="6"/>
  <c r="Z173" i="6"/>
  <c r="Z673" i="7" s="1"/>
  <c r="Y621" i="5"/>
  <c r="Z621" i="5" s="1"/>
  <c r="AA34" i="6"/>
  <c r="X534" i="7" s="1"/>
  <c r="W511" i="6"/>
  <c r="W82" i="6"/>
  <c r="Z17" i="6"/>
  <c r="Z517" i="7" s="1"/>
  <c r="B15" i="1" s="1"/>
  <c r="W32" i="6"/>
  <c r="V532" i="7" s="1"/>
  <c r="AA35" i="6"/>
  <c r="X535" i="7" s="1"/>
  <c r="L502" i="7"/>
  <c r="W2" i="6"/>
  <c r="V502" i="7" s="1"/>
  <c r="Y968" i="5"/>
  <c r="Z968" i="5" s="1"/>
  <c r="Y549" i="5"/>
  <c r="Z549" i="5" s="1"/>
  <c r="Y836" i="5"/>
  <c r="Z836" i="5" s="1"/>
  <c r="Y823" i="5"/>
  <c r="Z823" i="5" s="1"/>
  <c r="Y381" i="5"/>
  <c r="Z381" i="5" s="1"/>
  <c r="Y680" i="5"/>
  <c r="Z680" i="5" s="1"/>
  <c r="Y386" i="5"/>
  <c r="Z386" i="5" s="1"/>
  <c r="Y354" i="5"/>
  <c r="Z354" i="5" s="1"/>
  <c r="Y91" i="5"/>
  <c r="Z91" i="5" s="1"/>
  <c r="V9" i="7" l="1"/>
  <c r="Z22" i="5"/>
  <c r="W22" i="7" s="1"/>
  <c r="V36" i="7"/>
  <c r="Z36" i="5"/>
  <c r="W36" i="7" s="1"/>
  <c r="Z16" i="5"/>
  <c r="W16" i="7" s="1"/>
  <c r="Z24" i="5"/>
  <c r="W24" i="7" s="1"/>
  <c r="V32" i="7"/>
  <c r="Z32" i="5"/>
  <c r="W32" i="7" s="1"/>
  <c r="V26" i="7"/>
  <c r="Z26" i="5"/>
  <c r="W26" i="7" s="1"/>
  <c r="V6" i="7"/>
  <c r="Z6" i="5"/>
  <c r="W6" i="7" s="1"/>
  <c r="V25" i="7"/>
  <c r="Z25" i="5"/>
  <c r="W25" i="7" s="1"/>
  <c r="AN6" i="3"/>
  <c r="AN7" i="3" s="1"/>
  <c r="V38" i="7"/>
  <c r="Z38" i="5"/>
  <c r="W38" i="7" s="1"/>
  <c r="V7" i="7"/>
  <c r="Z7" i="5"/>
  <c r="W7" i="7" s="1"/>
  <c r="V34" i="7"/>
  <c r="Z34" i="5"/>
  <c r="W34" i="7" s="1"/>
  <c r="V4" i="7"/>
  <c r="Z4" i="5"/>
  <c r="W4" i="7" s="1"/>
  <c r="V21" i="7"/>
  <c r="Z21" i="5"/>
  <c r="W21" i="7" s="1"/>
  <c r="V2" i="7"/>
  <c r="B6" i="1" s="1"/>
  <c r="Z2" i="5"/>
  <c r="W2" i="7" s="1"/>
  <c r="V11" i="7"/>
  <c r="Z11" i="5"/>
  <c r="W11" i="7" s="1"/>
  <c r="AM5" i="3"/>
  <c r="V31" i="7"/>
  <c r="Z31" i="5"/>
  <c r="W31" i="7" s="1"/>
  <c r="V15" i="7"/>
  <c r="Z15" i="5"/>
  <c r="W15" i="7" s="1"/>
  <c r="V28" i="7"/>
  <c r="Z28" i="5"/>
  <c r="W28" i="7" s="1"/>
  <c r="AL5" i="3"/>
  <c r="AL6" i="3" s="1"/>
  <c r="V10" i="7"/>
  <c r="Z10" i="5"/>
  <c r="W10" i="7" s="1"/>
  <c r="V12" i="7"/>
  <c r="Z12" i="5"/>
  <c r="W12" i="7" s="1"/>
  <c r="V33" i="7"/>
  <c r="Z33" i="5"/>
  <c r="W33" i="7" s="1"/>
  <c r="V8" i="7"/>
  <c r="Z8" i="5"/>
  <c r="W8" i="7" s="1"/>
  <c r="V14" i="7"/>
  <c r="Z14" i="5"/>
  <c r="W14" i="7" s="1"/>
  <c r="V23" i="7"/>
  <c r="Z23" i="5"/>
  <c r="W23" i="7" s="1"/>
  <c r="V35" i="7"/>
  <c r="Z35" i="5"/>
  <c r="W35" i="7" s="1"/>
  <c r="V40" i="7"/>
  <c r="Z40" i="5"/>
  <c r="W40" i="7" s="1"/>
  <c r="V30" i="7"/>
  <c r="Z30" i="5"/>
  <c r="W30" i="7" s="1"/>
  <c r="V29" i="7"/>
  <c r="Z29" i="5"/>
  <c r="W29" i="7" s="1"/>
  <c r="V41" i="7"/>
  <c r="Z41" i="5"/>
  <c r="W41" i="7" s="1"/>
  <c r="V39" i="7"/>
  <c r="Z39" i="5"/>
  <c r="W39" i="7" s="1"/>
  <c r="V19" i="7"/>
  <c r="Z19" i="5"/>
  <c r="W19" i="7" s="1"/>
  <c r="AN8" i="3" l="1"/>
  <c r="AN9" i="3" s="1"/>
  <c r="AL7" i="3"/>
  <c r="AM6" i="3"/>
  <c r="AN10" i="3" l="1"/>
  <c r="AN11" i="3" s="1"/>
  <c r="AM7" i="3"/>
  <c r="AL8" i="3"/>
  <c r="AL9" i="3" s="1"/>
  <c r="AN12" i="3" l="1"/>
  <c r="AN13" i="3" s="1"/>
  <c r="AM8" i="3"/>
  <c r="AM9" i="3" s="1"/>
  <c r="AL10" i="3"/>
  <c r="AN14" i="3" l="1"/>
  <c r="AN15" i="3" s="1"/>
  <c r="AL11" i="3"/>
  <c r="AM10" i="3"/>
  <c r="AM11" i="3" s="1"/>
  <c r="AL12" i="3" l="1"/>
  <c r="AL13" i="3" s="1"/>
  <c r="AL14" i="3" s="1"/>
  <c r="AL15" i="3" s="1"/>
  <c r="AL16" i="3" s="1"/>
  <c r="AL17" i="3" s="1"/>
  <c r="AL18" i="3" s="1"/>
  <c r="AL19" i="3" s="1"/>
  <c r="AL20" i="3" s="1"/>
  <c r="AL21" i="3" s="1"/>
  <c r="AL22" i="3" s="1"/>
  <c r="AL23" i="3" s="1"/>
  <c r="AL24" i="3" s="1"/>
  <c r="AL25" i="3" s="1"/>
  <c r="AL26" i="3" s="1"/>
  <c r="AL27" i="3" s="1"/>
  <c r="AL28" i="3" s="1"/>
  <c r="AL29" i="3" s="1"/>
  <c r="AL30" i="3" s="1"/>
  <c r="AL31" i="3" s="1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L64" i="3" s="1"/>
  <c r="AL65" i="3" s="1"/>
  <c r="AL66" i="3" s="1"/>
  <c r="AL67" i="3" s="1"/>
  <c r="AL68" i="3" s="1"/>
  <c r="AL69" i="3" s="1"/>
  <c r="AL70" i="3" s="1"/>
  <c r="AL71" i="3" s="1"/>
  <c r="AL72" i="3" s="1"/>
  <c r="AL73" i="3" s="1"/>
  <c r="AL74" i="3" s="1"/>
  <c r="AL75" i="3" s="1"/>
  <c r="AL76" i="3" s="1"/>
  <c r="AL77" i="3" s="1"/>
  <c r="AL78" i="3" s="1"/>
  <c r="AL79" i="3" s="1"/>
  <c r="AL80" i="3" s="1"/>
  <c r="AL81" i="3" s="1"/>
  <c r="AL82" i="3" s="1"/>
  <c r="AL83" i="3" s="1"/>
  <c r="AL84" i="3" s="1"/>
  <c r="AL85" i="3" s="1"/>
  <c r="AL86" i="3" s="1"/>
  <c r="AL87" i="3" s="1"/>
  <c r="AL88" i="3" s="1"/>
  <c r="AL89" i="3" s="1"/>
  <c r="AL90" i="3" s="1"/>
  <c r="AL91" i="3" s="1"/>
  <c r="AL92" i="3" s="1"/>
  <c r="AL93" i="3" s="1"/>
  <c r="AL94" i="3" s="1"/>
  <c r="AL95" i="3" s="1"/>
  <c r="AL96" i="3" s="1"/>
  <c r="AL97" i="3" s="1"/>
  <c r="AL98" i="3" s="1"/>
  <c r="AL99" i="3" s="1"/>
  <c r="AL100" i="3" s="1"/>
  <c r="AL101" i="3" s="1"/>
  <c r="AL102" i="3" s="1"/>
  <c r="AL103" i="3" s="1"/>
  <c r="AL104" i="3" s="1"/>
  <c r="AL105" i="3" s="1"/>
  <c r="AL106" i="3" s="1"/>
  <c r="AL107" i="3" s="1"/>
  <c r="AL108" i="3" s="1"/>
  <c r="AL109" i="3" s="1"/>
  <c r="AL110" i="3" s="1"/>
  <c r="AL111" i="3" s="1"/>
  <c r="AL112" i="3" s="1"/>
  <c r="AL113" i="3" s="1"/>
  <c r="AL114" i="3" s="1"/>
  <c r="AL115" i="3" s="1"/>
  <c r="AL116" i="3" s="1"/>
  <c r="AL117" i="3" s="1"/>
  <c r="AL118" i="3" s="1"/>
  <c r="AL119" i="3" s="1"/>
  <c r="AL120" i="3" s="1"/>
  <c r="AL121" i="3" s="1"/>
  <c r="AL122" i="3" s="1"/>
  <c r="AL123" i="3" s="1"/>
  <c r="AL124" i="3" s="1"/>
  <c r="AL125" i="3" s="1"/>
  <c r="AL126" i="3" s="1"/>
  <c r="AL127" i="3" s="1"/>
  <c r="AL128" i="3" s="1"/>
  <c r="AL129" i="3" s="1"/>
  <c r="AL130" i="3" s="1"/>
  <c r="AL131" i="3" s="1"/>
  <c r="AL132" i="3" s="1"/>
  <c r="AL133" i="3" s="1"/>
  <c r="AL134" i="3" s="1"/>
  <c r="AL135" i="3" s="1"/>
  <c r="AL136" i="3" s="1"/>
  <c r="AL137" i="3" s="1"/>
  <c r="AL138" i="3" s="1"/>
  <c r="AL139" i="3" s="1"/>
  <c r="AL140" i="3" s="1"/>
  <c r="AL141" i="3" s="1"/>
  <c r="AL142" i="3" s="1"/>
  <c r="AL143" i="3" s="1"/>
  <c r="AL144" i="3" s="1"/>
  <c r="AL145" i="3" s="1"/>
  <c r="AL146" i="3" s="1"/>
  <c r="AL147" i="3" s="1"/>
  <c r="AL148" i="3" s="1"/>
  <c r="AL149" i="3" s="1"/>
  <c r="AL150" i="3" s="1"/>
  <c r="AL151" i="3" s="1"/>
  <c r="AL152" i="3" s="1"/>
  <c r="AL153" i="3" s="1"/>
  <c r="AL154" i="3" s="1"/>
  <c r="AL155" i="3" s="1"/>
  <c r="AL156" i="3" s="1"/>
  <c r="AL157" i="3" s="1"/>
  <c r="AL158" i="3" s="1"/>
  <c r="AL159" i="3" s="1"/>
  <c r="AL160" i="3" s="1"/>
  <c r="AL161" i="3" s="1"/>
  <c r="AL162" i="3" s="1"/>
  <c r="AL163" i="3" s="1"/>
  <c r="AL164" i="3" s="1"/>
  <c r="AL165" i="3" s="1"/>
  <c r="AL166" i="3" s="1"/>
  <c r="AL167" i="3" s="1"/>
  <c r="AL168" i="3" s="1"/>
  <c r="AL169" i="3" s="1"/>
  <c r="AL170" i="3" s="1"/>
  <c r="AL171" i="3" s="1"/>
  <c r="AL172" i="3" s="1"/>
  <c r="AL173" i="3" s="1"/>
  <c r="AL174" i="3" s="1"/>
  <c r="AL175" i="3" s="1"/>
  <c r="AL176" i="3" s="1"/>
  <c r="AL177" i="3" s="1"/>
  <c r="AL178" i="3" s="1"/>
  <c r="AL179" i="3" s="1"/>
  <c r="AL180" i="3" s="1"/>
  <c r="AL181" i="3" s="1"/>
  <c r="AL182" i="3" s="1"/>
  <c r="AL183" i="3" s="1"/>
  <c r="AL184" i="3" s="1"/>
  <c r="AL185" i="3" s="1"/>
  <c r="AL186" i="3" s="1"/>
  <c r="AL187" i="3" s="1"/>
  <c r="AL188" i="3" s="1"/>
  <c r="AL189" i="3" s="1"/>
  <c r="AL190" i="3" s="1"/>
  <c r="AL191" i="3" s="1"/>
  <c r="AL192" i="3" s="1"/>
  <c r="AL193" i="3" s="1"/>
  <c r="AL194" i="3" s="1"/>
  <c r="AL195" i="3" s="1"/>
  <c r="AL196" i="3" s="1"/>
  <c r="AL197" i="3" s="1"/>
  <c r="AL198" i="3" s="1"/>
  <c r="AL199" i="3" s="1"/>
  <c r="AL200" i="3" s="1"/>
  <c r="AL201" i="3" s="1"/>
  <c r="AN16" i="3"/>
  <c r="AM12" i="3"/>
  <c r="AN17" i="3" l="1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AN63" i="3" s="1"/>
  <c r="AN64" i="3" s="1"/>
  <c r="AN65" i="3" s="1"/>
  <c r="AN66" i="3" s="1"/>
  <c r="AN67" i="3" s="1"/>
  <c r="AN68" i="3" s="1"/>
  <c r="AN69" i="3" s="1"/>
  <c r="AN70" i="3" s="1"/>
  <c r="AN71" i="3" s="1"/>
  <c r="AN72" i="3" s="1"/>
  <c r="AN73" i="3" s="1"/>
  <c r="AN74" i="3" s="1"/>
  <c r="AN75" i="3" s="1"/>
  <c r="AN76" i="3" s="1"/>
  <c r="AN77" i="3" s="1"/>
  <c r="AN78" i="3" s="1"/>
  <c r="AN79" i="3" s="1"/>
  <c r="AN80" i="3" s="1"/>
  <c r="AN81" i="3" s="1"/>
  <c r="AN82" i="3" s="1"/>
  <c r="AN83" i="3" s="1"/>
  <c r="AN84" i="3" s="1"/>
  <c r="AN85" i="3" s="1"/>
  <c r="AN86" i="3" s="1"/>
  <c r="AN87" i="3" s="1"/>
  <c r="AN88" i="3" s="1"/>
  <c r="AN89" i="3" s="1"/>
  <c r="AN90" i="3" s="1"/>
  <c r="AN91" i="3" s="1"/>
  <c r="AN92" i="3" s="1"/>
  <c r="AN93" i="3" s="1"/>
  <c r="AN94" i="3" s="1"/>
  <c r="AN95" i="3" s="1"/>
  <c r="AN96" i="3" s="1"/>
  <c r="AN97" i="3" s="1"/>
  <c r="AN98" i="3" s="1"/>
  <c r="AN99" i="3" s="1"/>
  <c r="AN100" i="3" s="1"/>
  <c r="AN101" i="3" s="1"/>
  <c r="AN102" i="3" s="1"/>
  <c r="AN103" i="3" s="1"/>
  <c r="AN104" i="3" s="1"/>
  <c r="AN105" i="3" s="1"/>
  <c r="AN106" i="3" s="1"/>
  <c r="AN107" i="3" s="1"/>
  <c r="AN108" i="3" s="1"/>
  <c r="AN109" i="3" s="1"/>
  <c r="AN110" i="3" s="1"/>
  <c r="AN111" i="3" s="1"/>
  <c r="AN112" i="3" s="1"/>
  <c r="AN113" i="3" s="1"/>
  <c r="AN114" i="3" s="1"/>
  <c r="AN115" i="3" s="1"/>
  <c r="AN116" i="3" s="1"/>
  <c r="AN117" i="3" s="1"/>
  <c r="AN118" i="3" s="1"/>
  <c r="AN119" i="3" s="1"/>
  <c r="AN120" i="3" s="1"/>
  <c r="AN121" i="3" s="1"/>
  <c r="AN122" i="3" s="1"/>
  <c r="AN123" i="3" s="1"/>
  <c r="AN124" i="3" s="1"/>
  <c r="AN125" i="3" s="1"/>
  <c r="AN126" i="3" s="1"/>
  <c r="AN127" i="3" s="1"/>
  <c r="AN128" i="3" s="1"/>
  <c r="AN129" i="3" s="1"/>
  <c r="AN130" i="3" s="1"/>
  <c r="AN131" i="3" s="1"/>
  <c r="AN132" i="3" s="1"/>
  <c r="AN133" i="3" s="1"/>
  <c r="AN134" i="3" s="1"/>
  <c r="AN135" i="3" s="1"/>
  <c r="AN136" i="3" s="1"/>
  <c r="AN137" i="3" s="1"/>
  <c r="AN138" i="3" s="1"/>
  <c r="AN139" i="3" s="1"/>
  <c r="AN140" i="3" s="1"/>
  <c r="AN141" i="3" s="1"/>
  <c r="AN142" i="3" s="1"/>
  <c r="AN143" i="3" s="1"/>
  <c r="AN144" i="3" s="1"/>
  <c r="AN145" i="3" s="1"/>
  <c r="AN146" i="3" s="1"/>
  <c r="AN147" i="3" s="1"/>
  <c r="AN148" i="3" s="1"/>
  <c r="AN149" i="3" s="1"/>
  <c r="AN150" i="3" s="1"/>
  <c r="AN151" i="3" s="1"/>
  <c r="AN152" i="3" s="1"/>
  <c r="AN153" i="3" s="1"/>
  <c r="AN154" i="3" s="1"/>
  <c r="AN155" i="3" s="1"/>
  <c r="AN156" i="3" s="1"/>
  <c r="AN157" i="3" s="1"/>
  <c r="AN158" i="3" s="1"/>
  <c r="AN159" i="3" s="1"/>
  <c r="AN160" i="3" s="1"/>
  <c r="AN161" i="3" s="1"/>
  <c r="AN162" i="3" s="1"/>
  <c r="AN163" i="3" s="1"/>
  <c r="AN164" i="3" s="1"/>
  <c r="AN165" i="3" s="1"/>
  <c r="AN166" i="3" s="1"/>
  <c r="AN167" i="3" s="1"/>
  <c r="AN168" i="3" s="1"/>
  <c r="AN169" i="3" s="1"/>
  <c r="AN170" i="3" s="1"/>
  <c r="AN171" i="3" s="1"/>
  <c r="AN172" i="3" s="1"/>
  <c r="AN173" i="3" s="1"/>
  <c r="AN174" i="3" s="1"/>
  <c r="AN175" i="3" s="1"/>
  <c r="AN176" i="3" s="1"/>
  <c r="AN177" i="3" s="1"/>
  <c r="AN178" i="3" s="1"/>
  <c r="AN179" i="3" s="1"/>
  <c r="AN180" i="3" s="1"/>
  <c r="AN181" i="3" s="1"/>
  <c r="AN182" i="3" s="1"/>
  <c r="AN183" i="3" s="1"/>
  <c r="AN184" i="3" s="1"/>
  <c r="AN185" i="3" s="1"/>
  <c r="AN186" i="3" s="1"/>
  <c r="AN187" i="3" s="1"/>
  <c r="AN188" i="3" s="1"/>
  <c r="AN189" i="3" s="1"/>
  <c r="AN190" i="3" s="1"/>
  <c r="AN191" i="3" s="1"/>
  <c r="AN192" i="3" s="1"/>
  <c r="AN193" i="3" s="1"/>
  <c r="AN194" i="3" s="1"/>
  <c r="AN195" i="3" s="1"/>
  <c r="AN196" i="3" s="1"/>
  <c r="AN197" i="3" s="1"/>
  <c r="AN198" i="3" s="1"/>
  <c r="AN199" i="3" s="1"/>
  <c r="AN200" i="3" s="1"/>
  <c r="AN201" i="3" s="1"/>
  <c r="AM13" i="3"/>
  <c r="AM14" i="3" s="1"/>
  <c r="AM15" i="3" s="1"/>
  <c r="AM16" i="3" s="1"/>
  <c r="AM17" i="3" s="1"/>
  <c r="AM18" i="3" s="1"/>
  <c r="AM19" i="3" s="1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M63" i="3" s="1"/>
  <c r="AM64" i="3" s="1"/>
  <c r="AM65" i="3" s="1"/>
  <c r="AM66" i="3" s="1"/>
  <c r="AM67" i="3" s="1"/>
  <c r="AM68" i="3" s="1"/>
  <c r="AM69" i="3" s="1"/>
  <c r="AM70" i="3" s="1"/>
  <c r="AM71" i="3" s="1"/>
  <c r="AM72" i="3" s="1"/>
  <c r="AM73" i="3" s="1"/>
  <c r="AM74" i="3" s="1"/>
  <c r="AM75" i="3" s="1"/>
  <c r="AM76" i="3" s="1"/>
  <c r="AM77" i="3" s="1"/>
  <c r="AM78" i="3" s="1"/>
  <c r="AM79" i="3" s="1"/>
  <c r="AM80" i="3" s="1"/>
  <c r="AM81" i="3" s="1"/>
  <c r="AM82" i="3" s="1"/>
  <c r="AM83" i="3" s="1"/>
  <c r="AM84" i="3" s="1"/>
  <c r="AM85" i="3" s="1"/>
  <c r="AM86" i="3" s="1"/>
  <c r="AM87" i="3" s="1"/>
  <c r="AM88" i="3" s="1"/>
  <c r="AM89" i="3" s="1"/>
  <c r="AM90" i="3" s="1"/>
  <c r="AM91" i="3" s="1"/>
  <c r="AM92" i="3" s="1"/>
  <c r="AM93" i="3" s="1"/>
  <c r="AM94" i="3" s="1"/>
  <c r="AM95" i="3" s="1"/>
  <c r="AM96" i="3" s="1"/>
  <c r="AM97" i="3" s="1"/>
  <c r="AM98" i="3" s="1"/>
  <c r="AM99" i="3" s="1"/>
  <c r="AM100" i="3" s="1"/>
  <c r="AM101" i="3" s="1"/>
  <c r="AM102" i="3" s="1"/>
  <c r="AM103" i="3" s="1"/>
  <c r="AM104" i="3" s="1"/>
  <c r="AM105" i="3" s="1"/>
  <c r="AM106" i="3" s="1"/>
  <c r="AM107" i="3" s="1"/>
  <c r="AM108" i="3" s="1"/>
  <c r="AM109" i="3" s="1"/>
  <c r="AM110" i="3" s="1"/>
  <c r="AM111" i="3" s="1"/>
  <c r="AM112" i="3" s="1"/>
  <c r="AM113" i="3" s="1"/>
  <c r="AM114" i="3" s="1"/>
  <c r="AM115" i="3" s="1"/>
  <c r="AM116" i="3" s="1"/>
  <c r="AM117" i="3" s="1"/>
  <c r="AM118" i="3" s="1"/>
  <c r="AM119" i="3" s="1"/>
  <c r="AM120" i="3" s="1"/>
  <c r="AM121" i="3" s="1"/>
  <c r="AM122" i="3" s="1"/>
  <c r="AM123" i="3" s="1"/>
  <c r="AM124" i="3" s="1"/>
  <c r="AM125" i="3" s="1"/>
  <c r="AM126" i="3" s="1"/>
  <c r="AM127" i="3" s="1"/>
  <c r="AM128" i="3" s="1"/>
  <c r="AM129" i="3" s="1"/>
  <c r="AM130" i="3" s="1"/>
  <c r="AM131" i="3" s="1"/>
  <c r="AM132" i="3" s="1"/>
  <c r="AM133" i="3" s="1"/>
  <c r="AM134" i="3" s="1"/>
  <c r="AM135" i="3" s="1"/>
  <c r="AM136" i="3" s="1"/>
  <c r="AM137" i="3" s="1"/>
  <c r="AM138" i="3" s="1"/>
  <c r="AM139" i="3" s="1"/>
  <c r="AM140" i="3" s="1"/>
  <c r="AM141" i="3" s="1"/>
  <c r="AM142" i="3" s="1"/>
  <c r="AM143" i="3" s="1"/>
  <c r="AM144" i="3" s="1"/>
  <c r="AM145" i="3" s="1"/>
  <c r="AM146" i="3" s="1"/>
  <c r="AM147" i="3" s="1"/>
  <c r="AM148" i="3" s="1"/>
  <c r="AM149" i="3" s="1"/>
  <c r="AM150" i="3" s="1"/>
  <c r="AM151" i="3" s="1"/>
  <c r="AM152" i="3" s="1"/>
  <c r="AM153" i="3" s="1"/>
  <c r="AM154" i="3" s="1"/>
  <c r="AM155" i="3" s="1"/>
  <c r="AM156" i="3" s="1"/>
  <c r="AM157" i="3" s="1"/>
  <c r="AM158" i="3" s="1"/>
  <c r="AM159" i="3" s="1"/>
  <c r="AM160" i="3" s="1"/>
  <c r="AM161" i="3" s="1"/>
  <c r="AM162" i="3" s="1"/>
  <c r="AM163" i="3" s="1"/>
  <c r="AM164" i="3" s="1"/>
  <c r="AM165" i="3" s="1"/>
  <c r="AM166" i="3" s="1"/>
  <c r="AM167" i="3" s="1"/>
  <c r="AM168" i="3" s="1"/>
  <c r="AM169" i="3" s="1"/>
  <c r="AM170" i="3" s="1"/>
  <c r="AM171" i="3" s="1"/>
  <c r="AM172" i="3" s="1"/>
  <c r="AM173" i="3" s="1"/>
  <c r="AM174" i="3" s="1"/>
  <c r="AM175" i="3" s="1"/>
  <c r="AM176" i="3" s="1"/>
  <c r="AM177" i="3" s="1"/>
  <c r="AM178" i="3" s="1"/>
  <c r="AM179" i="3" s="1"/>
  <c r="AM180" i="3" s="1"/>
  <c r="AM181" i="3" s="1"/>
  <c r="AM182" i="3" s="1"/>
  <c r="AM183" i="3" s="1"/>
  <c r="AM184" i="3" s="1"/>
  <c r="AM185" i="3" s="1"/>
  <c r="AM186" i="3" s="1"/>
  <c r="AM187" i="3" s="1"/>
  <c r="AM188" i="3" s="1"/>
  <c r="AM189" i="3" s="1"/>
  <c r="AM190" i="3" s="1"/>
  <c r="AM191" i="3" s="1"/>
  <c r="AM192" i="3" s="1"/>
  <c r="AM193" i="3" s="1"/>
  <c r="AM194" i="3" s="1"/>
  <c r="AM195" i="3" s="1"/>
  <c r="AM196" i="3" s="1"/>
  <c r="AM197" i="3" s="1"/>
  <c r="AM198" i="3" s="1"/>
  <c r="AM199" i="3" s="1"/>
  <c r="AM200" i="3" s="1"/>
  <c r="AM201" i="3" s="1"/>
</calcChain>
</file>

<file path=xl/sharedStrings.xml><?xml version="1.0" encoding="utf-8"?>
<sst xmlns="http://schemas.openxmlformats.org/spreadsheetml/2006/main" count="1450" uniqueCount="427">
  <si>
    <t>剑桥英语级别诊断报告 (V22 终极兼容版)</t>
  </si>
  <si>
    <t>日期</t>
  </si>
  <si>
    <t>成绩</t>
  </si>
  <si>
    <t>请选择学生姓名:</t>
  </si>
  <si>
    <t>祝沐妍 Mia Zhu</t>
  </si>
  <si>
    <t>报考级别 (Level):</t>
  </si>
  <si>
    <t>总分 / 盾牌 (Total):</t>
  </si>
  <si>
    <t>【核心能力诊断与建议】</t>
  </si>
  <si>
    <t>阅读/读写建议:</t>
  </si>
  <si>
    <t>写作建议:</t>
  </si>
  <si>
    <t>听力建议:</t>
  </si>
  <si>
    <t>班级分项能力看板</t>
  </si>
  <si>
    <t>1. 选择SET:</t>
  </si>
  <si>
    <t>B1</t>
  </si>
  <si>
    <t>2. 选择级别:</t>
  </si>
  <si>
    <t>PET</t>
  </si>
  <si>
    <t>3. 选择科目:</t>
  </si>
  <si>
    <t>Part 1</t>
  </si>
  <si>
    <t>Part 2</t>
  </si>
  <si>
    <t>Part 3</t>
  </si>
  <si>
    <t>Part 4</t>
  </si>
  <si>
    <t>Part 5</t>
  </si>
  <si>
    <t>Part 6</t>
  </si>
  <si>
    <t>Part 7</t>
  </si>
  <si>
    <t>Movers 
R&amp;W分</t>
  </si>
  <si>
    <t>盾</t>
  </si>
  <si>
    <t>Movers 
Listening</t>
  </si>
  <si>
    <t>盾.1</t>
  </si>
  <si>
    <t>CES分数段</t>
  </si>
  <si>
    <t>Unnamed: 5</t>
  </si>
  <si>
    <t>Flyers 
R&amp;W分</t>
  </si>
  <si>
    <t>盾.2</t>
  </si>
  <si>
    <t>Flyers 
Listening分</t>
  </si>
  <si>
    <t>盾.3</t>
  </si>
  <si>
    <t>CES分数段.1</t>
  </si>
  <si>
    <t>Unnamed: 11</t>
  </si>
  <si>
    <t>KET
Reading 
卷面</t>
  </si>
  <si>
    <t>KET
Reading 
换算</t>
  </si>
  <si>
    <t>KET
Writing 卷面</t>
  </si>
  <si>
    <t>KET
Writing
换算</t>
  </si>
  <si>
    <t>KET
Listening
卷面</t>
  </si>
  <si>
    <t>KET
Listening
换算</t>
  </si>
  <si>
    <t>PET
Reading 
卷面</t>
  </si>
  <si>
    <t>PET
Reading
换算</t>
  </si>
  <si>
    <t>PET
Writing
卷面</t>
  </si>
  <si>
    <t>PET 
Writing 
换算</t>
  </si>
  <si>
    <t>PET
Listening
卷面</t>
  </si>
  <si>
    <t>PET
Listening 
换算</t>
  </si>
  <si>
    <t>Unnamed: 24</t>
  </si>
  <si>
    <t>Z (等级标准)</t>
  </si>
  <si>
    <t>AA (分数线)</t>
  </si>
  <si>
    <t>Unnamed: 27</t>
  </si>
  <si>
    <t>FCE Reading Raw</t>
  </si>
  <si>
    <t>FCE Reading Scale</t>
  </si>
  <si>
    <t>FCE UoE Raw</t>
  </si>
  <si>
    <t>FCE UoE Scale</t>
  </si>
  <si>
    <t>FCE Writing Raw</t>
  </si>
  <si>
    <t>FCE Writing Scale</t>
  </si>
  <si>
    <t>FCE Listening Raw</t>
  </si>
  <si>
    <t>FCE Listening Scale</t>
  </si>
  <si>
    <t>Unnamed: 36</t>
  </si>
  <si>
    <t>LIVE SET LIST</t>
  </si>
  <si>
    <t>LIVE LEVEL LIST</t>
  </si>
  <si>
    <t>LIVE NAME LIST</t>
  </si>
  <si>
    <t>Below 80</t>
  </si>
  <si>
    <t>90 - 99</t>
  </si>
  <si>
    <t>KET Distinction (A)</t>
  </si>
  <si>
    <t>80 - 89</t>
  </si>
  <si>
    <t>100 - 109</t>
  </si>
  <si>
    <t>KET Merit (B)</t>
  </si>
  <si>
    <t>110 - 119</t>
  </si>
  <si>
    <t>KET Pass (C)</t>
  </si>
  <si>
    <t>120 - 132</t>
  </si>
  <si>
    <t>KET A1</t>
  </si>
  <si>
    <t>133 - 139</t>
  </si>
  <si>
    <t>PET Distinction (A)</t>
  </si>
  <si>
    <t>PET Merit (B)</t>
  </si>
  <si>
    <t>PET Pass (C)</t>
  </si>
  <si>
    <t>PET A2</t>
  </si>
  <si>
    <t>ID (关键索引)</t>
  </si>
  <si>
    <t>Level</t>
  </si>
  <si>
    <t>Type-Part</t>
  </si>
  <si>
    <t>满分</t>
  </si>
  <si>
    <t>考察能力 (Skill)</t>
  </si>
  <si>
    <t>建议 (Advice)</t>
  </si>
  <si>
    <t>MOVERS_L-Pt1</t>
  </si>
  <si>
    <t>Movers</t>
  </si>
  <si>
    <t>L-Pt1</t>
  </si>
  <si>
    <t>[听力] 听音辨人 (连线)</t>
  </si>
  <si>
    <t>听前先看图，注意人物的衣着颜色和动作特征。</t>
  </si>
  <si>
    <t>MOVERS_L-Pt2</t>
  </si>
  <si>
    <t>L-Pt2</t>
  </si>
  <si>
    <t>[听力] 听取细节并填空</t>
  </si>
  <si>
    <t>重点练习拼写人名、地名以及抓取数字信息。</t>
  </si>
  <si>
    <t>MOVERS_L-Pt3</t>
  </si>
  <si>
    <t>L-Pt3</t>
  </si>
  <si>
    <t>[听力] 图片匹配 (星期/活动)</t>
  </si>
  <si>
    <t>听完整的句子，注意区分过去几天做了什么，留意干扰项。</t>
  </si>
  <si>
    <t>MOVERS_L-Pt4</t>
  </si>
  <si>
    <t>L-Pt4</t>
  </si>
  <si>
    <t>[听力] 听取细节 (选择题)</t>
  </si>
  <si>
    <t>每个小题都是一个小故事，注意听转折词 (but, no)。</t>
  </si>
  <si>
    <t>MOVERS_L-Pt5</t>
  </si>
  <si>
    <t>L-Pt5</t>
  </si>
  <si>
    <t>[听力] 听音涂色与书写</t>
  </si>
  <si>
    <t>区分位置介词，准确找到需要涂色的物体，只涂色不画画。</t>
  </si>
  <si>
    <t>MOVERS_RW-Pt1</t>
  </si>
  <si>
    <t>RW-Pt1</t>
  </si>
  <si>
    <t>[读写] 词汇定义匹配</t>
  </si>
  <si>
    <t>积累名词定义，注意区分功能相似的物品 (如不同种类的动物)。</t>
  </si>
  <si>
    <t>MOVERS_RW-Pt2</t>
  </si>
  <si>
    <t>RW-Pt2</t>
  </si>
  <si>
    <t>[读写] 补全对话</t>
  </si>
  <si>
    <t>结合上下文语境，注意问句和答句的时态一致性。</t>
  </si>
  <si>
    <t>MOVERS_RW-Pt3</t>
  </si>
  <si>
    <t>RW-Pt3</t>
  </si>
  <si>
    <t>[读写] 完形填空 (选词)</t>
  </si>
  <si>
    <t>通读全文掌握大意，根据词性判断空格处应填名词还是动词。</t>
  </si>
  <si>
    <t>MOVERS_RW-Pt4</t>
  </si>
  <si>
    <t>RW-Pt4</t>
  </si>
  <si>
    <t>[读写] 多项选择 (语法)</t>
  </si>
  <si>
    <t>重点考核语法基础，如名词单复数、代词指代、动词形式。</t>
  </si>
  <si>
    <t>MOVERS_RW-Pt5</t>
  </si>
  <si>
    <t>RW-Pt5</t>
  </si>
  <si>
    <t>[读写] 阅读故事补全句子</t>
  </si>
  <si>
    <t>练习同义替换，答案通常直接来自文章，不要自己编造。</t>
  </si>
  <si>
    <t>MOVERS_RW-Pt6</t>
  </si>
  <si>
    <t>RW-Pt6</t>
  </si>
  <si>
    <t>[读写] 看图写句子</t>
  </si>
  <si>
    <t>仔细观察图片，回答问题并写完整的句子，注意拼写。</t>
  </si>
  <si>
    <t>MOVERS_RW-Pt7</t>
  </si>
  <si>
    <t>RW-Pt7</t>
  </si>
  <si>
    <t>[N/A] Movers无此题型</t>
  </si>
  <si>
    <t>此级别不包含该部分。</t>
  </si>
  <si>
    <t>FLYERS_L-Pt1</t>
  </si>
  <si>
    <t>Flyers</t>
  </si>
  <si>
    <t>场景更复杂，注意区分相似人物的细微差别 (如头发、配饰)。</t>
  </si>
  <si>
    <t>FLYERS_L-Pt2</t>
  </si>
  <si>
    <t>信息量增加，注意快速书写，拼写必须准确。</t>
  </si>
  <si>
    <t>FLYERS_L-Pt3</t>
  </si>
  <si>
    <t>[听力] 物品/人物匹配</t>
  </si>
  <si>
    <t>听力材料较长，需在脑海中快速建立物品与人的对应关系。</t>
  </si>
  <si>
    <t>FLYERS_L-Pt4</t>
  </si>
  <si>
    <t>干扰项增多，需听完完整对话再做判断，不要听到单词就选。</t>
  </si>
  <si>
    <t>FLYERS_L-Pt5</t>
  </si>
  <si>
    <t>听指令更加复杂，涉及物体具体部位的涂色或写词。</t>
  </si>
  <si>
    <t>FLYERS_RW-Pt1</t>
  </si>
  <si>
    <t>词汇量要求高，需准确理解长句定义的含义。</t>
  </si>
  <si>
    <t>FLYERS_RW-Pt2</t>
  </si>
  <si>
    <t>逻辑性增强，需根据前言后语推断缺失的句子。</t>
  </si>
  <si>
    <t>FLYERS_RW-Pt3</t>
  </si>
  <si>
    <t>考察词汇辨析和固定搭配，注意上下文连贯性。</t>
  </si>
  <si>
    <t>FLYERS_RW-Pt4</t>
  </si>
  <si>
    <t>[读写] 语法填空 (无选项)</t>
  </si>
  <si>
    <t>难度较高，需自主填写介词、连词、代词等虚词。</t>
  </si>
  <si>
    <t>FLYERS_RW-Pt5</t>
  </si>
  <si>
    <t>概括能力要求提升，需归纳文章信息来填空。</t>
  </si>
  <si>
    <t>FLYERS_RW-Pt6</t>
  </si>
  <si>
    <t>[读写] 完形填空 (无选项)</t>
  </si>
  <si>
    <t>类似于Part 4，但通常考察更具功能性的语法点。</t>
  </si>
  <si>
    <t>FLYERS_RW-Pt7</t>
  </si>
  <si>
    <t>[读写] 看图写作文</t>
  </si>
  <si>
    <t>观察三幅图，运用连接词编写一个有逻辑的短故事 (20词+)。</t>
  </si>
  <si>
    <t>KET_R-Pt1</t>
  </si>
  <si>
    <t>KET</t>
  </si>
  <si>
    <t>R-Pt1</t>
  </si>
  <si>
    <t>[阅读] 短讯息主旨理解</t>
  </si>
  <si>
    <t>关注生活中的标识、短信，练习找出关键词的同义替换。</t>
  </si>
  <si>
    <t>KET_R-Pt2</t>
  </si>
  <si>
    <t>R-Pt2</t>
  </si>
  <si>
    <t>[阅读] 三选一匹配 (细节)</t>
  </si>
  <si>
    <t>练习快速定位，注意题目描述与原文细节的对应。</t>
  </si>
  <si>
    <t>KET_R-Pt3</t>
  </si>
  <si>
    <t>R-Pt3</t>
  </si>
  <si>
    <t>[阅读] 长文主旨理解</t>
  </si>
  <si>
    <t>提升长难句阅读能力，关注段落大意和作者态度。</t>
  </si>
  <si>
    <t>KET_R-Pt4</t>
  </si>
  <si>
    <t>R-Pt4</t>
  </si>
  <si>
    <t>[阅读] 完形填空 (词汇)</t>
  </si>
  <si>
    <t>积累名词、形容词、动词的常见搭配及近义词辨析。</t>
  </si>
  <si>
    <t>KET_R-Pt5</t>
  </si>
  <si>
    <t>R-Pt5</t>
  </si>
  <si>
    <t>[阅读] 开放式填空 (语法)</t>
  </si>
  <si>
    <t>纯语法考核，重点强化介词、代词、连词和时态助动词。</t>
  </si>
  <si>
    <t>KET_R-Pt6</t>
  </si>
  <si>
    <t>R-Pt6</t>
  </si>
  <si>
    <t>[N/A] KET无此题型</t>
  </si>
  <si>
    <t>KET_W-Pt1</t>
  </si>
  <si>
    <t>W-Pt1</t>
  </si>
  <si>
    <t>[写作] 短邮件/便条</t>
  </si>
  <si>
    <t>必须覆盖所有3个要点，注意语域恰当，无拼写语法错误。</t>
  </si>
  <si>
    <t>KET_W-Pt2</t>
  </si>
  <si>
    <t>W-Pt2</t>
  </si>
  <si>
    <t>[写作] 看图写故事</t>
  </si>
  <si>
    <t>运用 linking words (so, because) 串联图片，注意过去时态。</t>
  </si>
  <si>
    <t>KET_L-Pt1</t>
  </si>
  <si>
    <t>[听力] 多选 (关键信息)</t>
  </si>
  <si>
    <t>警惕干扰项，通常听到的第一个选项是错误的，听完整再选。</t>
  </si>
  <si>
    <t>KET_L-Pt2</t>
  </si>
  <si>
    <t>[听力] 填空 (信息记录)</t>
  </si>
  <si>
    <t>强化数字、价格、日期、拼写的听写训练。</t>
  </si>
  <si>
    <t>KET_L-Pt3</t>
  </si>
  <si>
    <t>[听力] 长对话 (具体信息)</t>
  </si>
  <si>
    <t>听懂对话中的观点和态度，注意同义转换。</t>
  </si>
  <si>
    <t>KET_L-Pt4</t>
  </si>
  <si>
    <t>[听力] 听主旨/观点</t>
  </si>
  <si>
    <t>不要纠结个别词，听懂说话人的主要意图或感受。</t>
  </si>
  <si>
    <t>KET_L-Pt5</t>
  </si>
  <si>
    <t>[听力] 匹配题</t>
  </si>
  <si>
    <t>边听边记笔记，排除法是个好工具。</t>
  </si>
  <si>
    <t>PET_R-Pt1</t>
  </si>
  <si>
    <t>[阅读] 短讯息主旨</t>
  </si>
  <si>
    <t>注意细微的情感态度差异，理解隐含意义。</t>
  </si>
  <si>
    <t>PET_R-Pt2</t>
  </si>
  <si>
    <t>[阅读] 人物与描述匹配</t>
  </si>
  <si>
    <t>阅读量大，练习划关键词，寻找完全匹配项。</t>
  </si>
  <si>
    <t>PET_R-Pt3</t>
  </si>
  <si>
    <t>[阅读] 长文理解 (多选)</t>
  </si>
  <si>
    <t>深入理解文章结构，区分事实与观点。</t>
  </si>
  <si>
    <t>PET_R-Pt4</t>
  </si>
  <si>
    <t>[阅读] 句子还原 (填空)</t>
  </si>
  <si>
    <t>逻辑性极强，需关注代词指代和上下文逻辑连接词。</t>
  </si>
  <si>
    <t>PET_R-Pt5</t>
  </si>
  <si>
    <t>[阅读] 完形填空 (多选)</t>
  </si>
  <si>
    <t>考核精准的词汇搭配、固定用法及词义辨析。</t>
  </si>
  <si>
    <t>PET_R-Pt6</t>
  </si>
  <si>
    <t>[阅读] 开放式填空</t>
  </si>
  <si>
    <t>考核语法结构，如从句引导词、固定介词搭配。</t>
  </si>
  <si>
    <t>PET_W-Pt1</t>
  </si>
  <si>
    <t>[写作] 邮件回复 (100词)</t>
  </si>
  <si>
    <t>必须回应4个要点，注意语气的得体和内容的扩展。</t>
  </si>
  <si>
    <t>PET_W-Pt2</t>
  </si>
  <si>
    <t>[写作] 文章/故事</t>
  </si>
  <si>
    <t>文章需有清晰的结构和标题；故事需情节生动，时态准确。</t>
  </si>
  <si>
    <t>PET_L-Pt1</t>
  </si>
  <si>
    <t>[听力] 多选 (关键图片)</t>
  </si>
  <si>
    <t>听懂具体细节，排除极具迷惑性的干扰信息。</t>
  </si>
  <si>
    <t>PET_L-Pt2</t>
  </si>
  <si>
    <t>[听力] 多选 (短对话)</t>
  </si>
  <si>
    <t>听懂说话人的态度、观点和意图。</t>
  </si>
  <si>
    <t>PET_L-Pt3</t>
  </si>
  <si>
    <t>[听力] 填空 (长独白)</t>
  </si>
  <si>
    <t>听懂说明性文字，捕捉并准确拼写关键名词或数字。</t>
  </si>
  <si>
    <t>PET_L-Pt4</t>
  </si>
  <si>
    <t>[听力] 多选 (长采访)</t>
  </si>
  <si>
    <t>听懂详细的观点阐述，理解对话深层逻辑。</t>
  </si>
  <si>
    <t>PET_L-Pt5</t>
  </si>
  <si>
    <t>[N/A] PET无此题型</t>
  </si>
  <si>
    <t>FCE_R-Pt1</t>
  </si>
  <si>
    <t>FCE</t>
  </si>
  <si>
    <t>[语用] 完形填空 (多选)</t>
  </si>
  <si>
    <t>重点积累固定搭配(Collocations)、短语动词和近义词辨析。</t>
  </si>
  <si>
    <t>FCE_R-Pt2</t>
  </si>
  <si>
    <t>[语用] 开放式填空</t>
  </si>
  <si>
    <t>纯语法考核，关注介词、连词、冠词及代词的上下文指代。</t>
  </si>
  <si>
    <t>FCE_R-Pt3</t>
  </si>
  <si>
    <t>[语用] 构词法 (Word Formation)</t>
  </si>
  <si>
    <t>扩大词汇族(Word Families)积累，熟悉前缀、后缀及词性转换。</t>
  </si>
  <si>
    <t>FCE_R-Pt4</t>
  </si>
  <si>
    <t>[语用] 句型转换 (Key Word)</t>
  </si>
  <si>
    <t>熟练掌握被动语态、虚拟语气、直接/间接引语及倒装句。</t>
  </si>
  <si>
    <t>FCE_R-Pt5</t>
  </si>
  <si>
    <t>[阅读] 长篇阅读 (多选)</t>
  </si>
  <si>
    <t>分析文章结构，推断作者观点与态度，学会排除干扰项。</t>
  </si>
  <si>
    <t>FCE_R-Pt6</t>
  </si>
  <si>
    <t>[阅读] 句子还原 (七选六)</t>
  </si>
  <si>
    <t>极度考验逻辑！圈画代词(it/they)、连接词(however/so)来锁定位置。</t>
  </si>
  <si>
    <t>FCE_R-Pt7</t>
  </si>
  <si>
    <t>R-Pt7</t>
  </si>
  <si>
    <t>[阅读] 多项匹配 (长文)</t>
  </si>
  <si>
    <t>练习快速扫描(Scanning)，寻找题目与文中信息的同义替换。</t>
  </si>
  <si>
    <t>FCE_W-Pt1</t>
  </si>
  <si>
    <t>[写作] 议论文 (Essay)</t>
  </si>
  <si>
    <t>结构必须严谨(首尾呼应)，使用正式语体，必须覆盖给定的两个观点及自己的观点。</t>
  </si>
  <si>
    <t>FCE_W-Pt2</t>
  </si>
  <si>
    <t>[写作] 多体裁选择 (文章/信件等)</t>
  </si>
  <si>
    <t>准确判断读者对象(Audience)和语体(Register)，格式必须规范。</t>
  </si>
  <si>
    <t>FCE_L-Pt1</t>
  </si>
  <si>
    <t>[听力] 短篇多选 (主旨/细节)</t>
  </si>
  <si>
    <t>听出说话人的意图、情感或场景，注意转折词后的真实含义。</t>
  </si>
  <si>
    <t>FCE_L-Pt2</t>
  </si>
  <si>
    <t>[听力] 句子填空</t>
  </si>
  <si>
    <t>必须填入原文听到的词(Exact word)，注意单复数和词性变化。</t>
  </si>
  <si>
    <t>FCE_L-Pt3</t>
  </si>
  <si>
    <t>[听力] 多项匹配</t>
  </si>
  <si>
    <t>听懂这5个人的共同主题中的不同观点，避免被个别匹配词误导。</t>
  </si>
  <si>
    <t>FCE_L-Pt4</t>
  </si>
  <si>
    <t>[听力] 长篇访谈 (多选)</t>
  </si>
  <si>
    <t>跟踪采访者的提问逻辑，区分事实陈述与个人观点。</t>
  </si>
  <si>
    <t>Class</t>
  </si>
  <si>
    <t>SET</t>
  </si>
  <si>
    <t>Name</t>
  </si>
  <si>
    <t>R-Raw</t>
  </si>
  <si>
    <t>R-Scale</t>
  </si>
  <si>
    <t>W-Raw</t>
  </si>
  <si>
    <t>W-Scale</t>
  </si>
  <si>
    <t>L-Raw</t>
  </si>
  <si>
    <t>L-Scale</t>
  </si>
  <si>
    <t>Total-Score</t>
  </si>
  <si>
    <t>Grade</t>
  </si>
  <si>
    <t>Reading Diagonosis</t>
  </si>
  <si>
    <t>Writing Diagonosis</t>
  </si>
  <si>
    <t>Listening Diagonosis</t>
  </si>
  <si>
    <t>Exam Date</t>
  </si>
  <si>
    <t>2024-01-15</t>
  </si>
  <si>
    <t>孙雨萱 Annie Sun</t>
  </si>
  <si>
    <t>戴依唯 Ivy Dai</t>
  </si>
  <si>
    <t xml:space="preserve">项思为 Emma Xiang </t>
  </si>
  <si>
    <t>孙梓木 Jackson Sun</t>
  </si>
  <si>
    <t>孙策 Lucas Sun</t>
  </si>
  <si>
    <t>徐一濯 Ejay Xu</t>
  </si>
  <si>
    <t>徐昀 Constance Xu</t>
  </si>
  <si>
    <t>朱梓琦 Anker Zhu</t>
  </si>
  <si>
    <t>梁绍启 Sean Liang</t>
  </si>
  <si>
    <t>詹远 James Zhan</t>
  </si>
  <si>
    <t>郑楷 Kyle Zheng</t>
  </si>
  <si>
    <t>陈昱昊 Matte Chen</t>
  </si>
  <si>
    <t>A1</t>
  </si>
  <si>
    <t>吴皓轩 Jeffrey Wu</t>
  </si>
  <si>
    <t>应颜妍 Queen Ying</t>
  </si>
  <si>
    <t>王翊名 Mia Wang</t>
  </si>
  <si>
    <t>石蕴瑶 Yaoyao Shi</t>
  </si>
  <si>
    <t>赵清晔 William Zhao</t>
  </si>
  <si>
    <t xml:space="preserve">黄翊桐 Yaya Huang </t>
  </si>
  <si>
    <t>刘泽楷 Nick Liu</t>
  </si>
  <si>
    <t>刘野晨 Daniel Liu</t>
  </si>
  <si>
    <t>夏添翊 Tommy Xia</t>
  </si>
  <si>
    <t>张芮语 Ann Zhang</t>
  </si>
  <si>
    <t>张茉凡 Kimberley Zhang</t>
  </si>
  <si>
    <t>朱诗淇 Sophia Zhu</t>
  </si>
  <si>
    <t>李翎嫣 Oli Li</t>
  </si>
  <si>
    <t>林奕辰 Eason Lin</t>
  </si>
  <si>
    <t>王薇童 Vera Wang</t>
  </si>
  <si>
    <t>石帛玄 Mambo Shi</t>
  </si>
  <si>
    <t>胡鸿轩 Lucas Hu</t>
  </si>
  <si>
    <t>贺艺婕 Hesper He</t>
  </si>
  <si>
    <t>郭哲宁 Kris Guo</t>
  </si>
  <si>
    <t>陈辰 Chris Chen</t>
  </si>
  <si>
    <t>A2</t>
  </si>
  <si>
    <t>吕一 Bella Lv</t>
  </si>
  <si>
    <t>李浩辰 Henry Lee</t>
  </si>
  <si>
    <t>胡瀚文 Jayden Hu</t>
  </si>
  <si>
    <t>苏同吴 Lawrence Su</t>
  </si>
  <si>
    <t>蒋一帆 Tom Jiang</t>
  </si>
  <si>
    <t>金铂瑞 Nathan Jin</t>
  </si>
  <si>
    <t>陈奕森 Ethan Chen</t>
  </si>
  <si>
    <t>陈尔萱 Gemma Chen</t>
  </si>
  <si>
    <t>L-Total</t>
  </si>
  <si>
    <t>L-Shields</t>
  </si>
  <si>
    <t>L-CES</t>
  </si>
  <si>
    <t>RW-Total</t>
  </si>
  <si>
    <t>RW-Shields</t>
  </si>
  <si>
    <t>RW-CES</t>
  </si>
  <si>
    <t>Total Shields (10)</t>
  </si>
  <si>
    <t>Reading &amp; Writing Diagonosis</t>
  </si>
  <si>
    <t>何灼灼 Carmen He</t>
  </si>
  <si>
    <t>庄婧妍 Jessie Zhuang</t>
  </si>
  <si>
    <t>庄婼棱 Doris Zhuang</t>
  </si>
  <si>
    <t>徐梓怡 Kiki Xu</t>
  </si>
  <si>
    <t>江函妤 Hannah Jiang</t>
  </si>
  <si>
    <t>沈致远 Mikey Shen</t>
  </si>
  <si>
    <t>王译帆 Carl Wang</t>
  </si>
  <si>
    <t>蒋博安 Stephan Jiang</t>
  </si>
  <si>
    <t>赵谦牧 Harvey Zhao</t>
  </si>
  <si>
    <t>陈歆冉 Ella Chen</t>
  </si>
  <si>
    <t>余宜城 Luca Yu</t>
  </si>
  <si>
    <t>李嘉晟 Eleven Li</t>
  </si>
  <si>
    <t>陈奕泓 Charlie Chen</t>
  </si>
  <si>
    <t>Sharon Liuer Lin</t>
  </si>
  <si>
    <t>周子淇 Lucy Zhou</t>
  </si>
  <si>
    <t>周慕晨 Candy Zhou</t>
  </si>
  <si>
    <t>张芷悦 Olivia Zhang</t>
  </si>
  <si>
    <t>徐坤泽 Zachary</t>
  </si>
  <si>
    <t>方辰晞 Amy Fang</t>
  </si>
  <si>
    <t>曹梓诚 James Cao</t>
  </si>
  <si>
    <t>苏泓恺 Dayton Su</t>
  </si>
  <si>
    <t>郑乔元 George Zheng</t>
  </si>
  <si>
    <t>钱沅 Elsa Qian</t>
  </si>
  <si>
    <t>陆羿恺 Noah Lu</t>
  </si>
  <si>
    <t>陈奕臻 Eason Chen</t>
  </si>
  <si>
    <t>刘芷萱 Heidi Liu</t>
  </si>
  <si>
    <t>吕婉仪 Sofia Lv</t>
  </si>
  <si>
    <t>林怿辛 Adam Lin</t>
  </si>
  <si>
    <t>邬宇玹 Zoe Wu</t>
  </si>
  <si>
    <t>A4</t>
  </si>
  <si>
    <t>李晨弘 Sean Li</t>
  </si>
  <si>
    <t xml:space="preserve">Flyers </t>
  </si>
  <si>
    <t>严浩桐 Ryan Yan</t>
  </si>
  <si>
    <t>沈泽辰 Jack Shen</t>
  </si>
  <si>
    <t>徐沁尧 Yoyo Xu</t>
  </si>
  <si>
    <t>史言 Millie Shi</t>
  </si>
  <si>
    <t>周晟妍 Candy Zhou</t>
  </si>
  <si>
    <t>黄楒雯 Wendy Huang</t>
  </si>
  <si>
    <t>陈佳浩 Henry Chen</t>
  </si>
  <si>
    <t>田子甯 Cora Tian</t>
  </si>
  <si>
    <t>王海晴 Cherry Wang</t>
  </si>
  <si>
    <t>黄悦翰 Oscar Huang</t>
  </si>
  <si>
    <t>泮羿帆 Milo Pan</t>
  </si>
  <si>
    <t>黄冉 Aimee Huang</t>
  </si>
  <si>
    <t>周楚娴 Victoria Zhou</t>
  </si>
  <si>
    <t>赵之源 Adam Zhao</t>
  </si>
  <si>
    <t>沈传扬 Anson Shen</t>
  </si>
  <si>
    <t>陆宇晨 Lucas Lu</t>
  </si>
  <si>
    <t>黄俊泽 Jeffery Huang</t>
  </si>
  <si>
    <t>林霆沣 Johnson Lin</t>
  </si>
  <si>
    <t>梁柯添玥 Summer Liang</t>
  </si>
  <si>
    <t>黄缙 Jin Huang</t>
  </si>
  <si>
    <t>包言心 Angelina Bao</t>
  </si>
  <si>
    <t>陈睿淇 Rachel Chen</t>
  </si>
  <si>
    <t>Starters</t>
  </si>
  <si>
    <t>2024-02-15</t>
  </si>
  <si>
    <t>Total</t>
  </si>
  <si>
    <t>R-Diag</t>
  </si>
  <si>
    <t>W-Diag</t>
  </si>
  <si>
    <t>L-Diag</t>
  </si>
  <si>
    <t>Listening</t>
  </si>
  <si>
    <t>91 - 99</t>
  </si>
  <si>
    <t>92 - 99</t>
  </si>
  <si>
    <t>93 - 99</t>
  </si>
  <si>
    <t>94 - 99</t>
  </si>
  <si>
    <t>95 - 99</t>
  </si>
  <si>
    <t>15/09/2025</t>
  </si>
  <si>
    <t xml:space="preserve">Evian Meng </t>
  </si>
  <si>
    <t>Leo Shi</t>
  </si>
  <si>
    <t xml:space="preserve">Leo Li </t>
  </si>
  <si>
    <t xml:space="preserve">Tiffany Pu </t>
  </si>
  <si>
    <t>王哲翰 Harry 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</si>
</sst>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进步趋势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学生诊断报告!$I$2</c:f>
              <c:strCache>
                <c:ptCount val="1"/>
                <c:pt idx="0">
                  <c:v>成绩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学生诊断报告!$H$3:$H$12</c:f>
              <c:strCache>
                <c:ptCount val="2"/>
                <c:pt idx="0">
                  <c:v>15/09/2025</c:v>
                </c:pt>
                <c:pt idx="1">
                  <c:v>4/14/26</c:v>
                </c:pt>
              </c:strCache>
            </c:strRef>
          </c:cat>
          <c:val>
            <c:numRef>
              <c:f>学生诊断报告!$I$3:$I$12</c:f>
              <c:numCache>
                <c:formatCode>General</c:formatCode>
                <c:ptCount val="10"/>
                <c:pt idx="0">
                  <c:v>136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3-0743-987E-91AE11152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能力分布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班级板块精细诊断!$B$7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班级板块精细诊断!$A$8:$A$14</c:f>
              <c:strCache>
                <c:ptCount val="7"/>
                <c:pt idx="0">
                  <c:v>Part 1</c:v>
                </c:pt>
                <c:pt idx="1">
                  <c:v>Part 2</c:v>
                </c:pt>
                <c:pt idx="2">
                  <c:v>Part 3</c:v>
                </c:pt>
                <c:pt idx="3">
                  <c:v>Part 4</c:v>
                </c:pt>
                <c:pt idx="4">
                  <c:v>Part 5</c:v>
                </c:pt>
                <c:pt idx="5">
                  <c:v>Part 6</c:v>
                </c:pt>
                <c:pt idx="6">
                  <c:v>Part 7</c:v>
                </c:pt>
              </c:strCache>
            </c:strRef>
          </c:cat>
          <c:val>
            <c:numRef>
              <c:f>班级板块精细诊断!$B$8:$B$14</c:f>
              <c:numCache>
                <c:formatCode>General</c:formatCode>
                <c:ptCount val="7"/>
                <c:pt idx="0">
                  <c:v>0</c:v>
                </c:pt>
                <c:pt idx="1">
                  <c:v>4.7200000000000015</c:v>
                </c:pt>
                <c:pt idx="2">
                  <c:v>1.553333333333333</c:v>
                </c:pt>
                <c:pt idx="3">
                  <c:v>4.1977777777777776</c:v>
                </c:pt>
                <c:pt idx="4">
                  <c:v>4.7155555555555555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5-844F-AC34-9A2F2A12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12</xdr:row>
      <xdr:rowOff>1257300</xdr:rowOff>
    </xdr:from>
    <xdr:ext cx="7277100" cy="3454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K5" sqref="K5"/>
    </sheetView>
  </sheetViews>
  <sheetFormatPr baseColWidth="10" defaultColWidth="8.83203125" defaultRowHeight="15" x14ac:dyDescent="0.2"/>
  <cols>
    <col min="1" max="1" width="25" customWidth="1"/>
    <col min="2" max="2" width="80" customWidth="1"/>
    <col min="8" max="8" width="12.1640625" customWidth="1"/>
  </cols>
  <sheetData>
    <row r="1" spans="1:9" ht="24" x14ac:dyDescent="0.3">
      <c r="A1" s="7" t="s">
        <v>0</v>
      </c>
      <c r="B1" s="8"/>
    </row>
    <row r="2" spans="1:9" x14ac:dyDescent="0.2">
      <c r="H2" t="s">
        <v>1</v>
      </c>
      <c r="I2" t="s">
        <v>2</v>
      </c>
    </row>
    <row r="3" spans="1:9" ht="16" x14ac:dyDescent="0.2">
      <c r="A3" s="1" t="s">
        <v>3</v>
      </c>
      <c r="B3" s="2" t="s">
        <v>395</v>
      </c>
      <c r="H3" t="s">
        <v>421</v>
      </c>
      <c r="I3">
        <v>136</v>
      </c>
    </row>
    <row r="4" spans="1:9" x14ac:dyDescent="0.2">
      <c r="A4" s="1"/>
      <c r="B4" s="1"/>
      <c r="H4" s="6">
        <v>46126</v>
      </c>
      <c r="I4" t="str">
        <f ca="1">IF($B$3="","", IFERROR(INDEX(Helper_AllData!V:V, _xludf.AGGREGATE(15,6,ROW(Helper_AllData!$A$2:$A$1000)/(Helper_AllData!$A$2:$A$1000=$B$3),2)),""))</f>
        <v/>
      </c>
    </row>
    <row r="5" spans="1:9" ht="16" x14ac:dyDescent="0.2">
      <c r="A5" s="1" t="s">
        <v>5</v>
      </c>
      <c r="B5" s="1" t="str">
        <f>IF($B$3="","", IFERROR(LOOKUP(2, 1/(Helper_AllData!$A$2:$A$1000=$B$3), Helper_AllData!$D$2:$D$1000), ""))</f>
        <v>Movers</v>
      </c>
      <c r="H5" t="str">
        <f ca="1">IF($B$3="","", IFERROR(INDEX(Helper_AllData!B:B, _xludf.AGGREGATE(15,6,ROW(Helper_AllData!$A$2:$A$1000)/(Helper_AllData!$A$2:$A$1000=$B$3),3)),""))</f>
        <v/>
      </c>
      <c r="I5" t="str">
        <f ca="1">IF($B$3="","", IFERROR(INDEX(Helper_AllData!V:V, _xludf.AGGREGATE(15,6,ROW(Helper_AllData!$A$2:$A$1000)/(Helper_AllData!$A$2:$A$1000=$B$3),3)),""))</f>
        <v/>
      </c>
    </row>
    <row r="6" spans="1:9" ht="16" x14ac:dyDescent="0.2">
      <c r="A6" s="1" t="s">
        <v>6</v>
      </c>
      <c r="B6" s="1">
        <f>IF($B$3="","", IFERROR(LOOKUP(2, 1/(Helper_AllData!$A$2:$A$1000=$B$3), Helper_AllData!$V$2:$V$1000), ""))</f>
        <v>3</v>
      </c>
      <c r="H6" t="str">
        <f ca="1">IF($B$3="","", IFERROR(INDEX(Helper_AllData!B:B, _xludf.AGGREGATE(15,6,ROW(Helper_AllData!$A$2:$A$1000)/(Helper_AllData!$A$2:$A$1000=$B$3),4)),""))</f>
        <v/>
      </c>
      <c r="I6" t="str">
        <f ca="1">IF($B$3="","", IFERROR(INDEX(Helper_AllData!V:V, _xludf.AGGREGATE(15,6,ROW(Helper_AllData!$A$2:$A$1000)/(Helper_AllData!$A$2:$A$1000=$B$3),4)),""))</f>
        <v/>
      </c>
    </row>
    <row r="7" spans="1:9" x14ac:dyDescent="0.2">
      <c r="A7" s="1"/>
      <c r="B7" s="1"/>
      <c r="H7" t="str">
        <f ca="1">IF($B$3="","", IFERROR(INDEX(Helper_AllData!B:B, _xludf.AGGREGATE(15,6,ROW(Helper_AllData!$A$2:$A$1000)/(Helper_AllData!$A$2:$A$1000=$B$3),5)),""))</f>
        <v/>
      </c>
      <c r="I7" t="str">
        <f ca="1">IF($B$3="","", IFERROR(INDEX(Helper_AllData!V:V, _xludf.AGGREGATE(15,6,ROW(Helper_AllData!$A$2:$A$1000)/(Helper_AllData!$A$2:$A$1000=$B$3),5)),""))</f>
        <v/>
      </c>
    </row>
    <row r="8" spans="1:9" ht="16" x14ac:dyDescent="0.2">
      <c r="A8" s="1" t="str">
        <f>IF($B$3="","", IF(OR(B5="Flyers", B5="Movers"), "R&amp;W 盾牌 (Shields):", "Reading Scale:"))</f>
        <v>R&amp;W 盾牌 (Shields):</v>
      </c>
      <c r="B8" s="1">
        <f>IF($B$3="","", IFERROR(LOOKUP(2, 1/(Helper_AllData!$A$2:$A$1000=$B$3), Helper_AllData!$L$2:$L$1000), ""))</f>
        <v>1</v>
      </c>
      <c r="H8" t="str">
        <f ca="1">IF($B$3="","", IFERROR(INDEX(Helper_AllData!B:B, _xludf.AGGREGATE(15,6,ROW(Helper_AllData!$A$2:$A$1000)/(Helper_AllData!$A$2:$A$1000=$B$3),6)),""))</f>
        <v/>
      </c>
      <c r="I8" t="str">
        <f ca="1">IF($B$3="","", IFERROR(INDEX(Helper_AllData!V:V, _xludf.AGGREGATE(15,6,ROW(Helper_AllData!$A$2:$A$1000)/(Helper_AllData!$A$2:$A$1000=$B$3),6)),""))</f>
        <v/>
      </c>
    </row>
    <row r="9" spans="1:9" ht="16" x14ac:dyDescent="0.2">
      <c r="A9" s="1" t="str">
        <f>IF($B$3="","", IF(OR(B5="Flyers", B5="Movers"), "-", "Writing Scale:"))</f>
        <v>-</v>
      </c>
      <c r="B9" s="1" t="str">
        <f>IF($B$3="","", IF(OR(B5="Flyers", B5="Movers"), "-", LOOKUP(2, 1/(Helper_AllData!$A$2:$A$1000=$B$3), Helper_AllData!$O$2:$O$1000)))</f>
        <v>-</v>
      </c>
      <c r="H9" t="str">
        <f ca="1">IF($B$3="","", IFERROR(INDEX(Helper_AllData!B:B, _xludf.AGGREGATE(15,6,ROW(Helper_AllData!$A$2:$A$1000)/(Helper_AllData!$A$2:$A$1000=$B$3),7)),""))</f>
        <v/>
      </c>
      <c r="I9" t="str">
        <f ca="1">IF($B$3="","", IFERROR(INDEX(Helper_AllData!V:V, _xludf.AGGREGATE(15,6,ROW(Helper_AllData!$A$2:$A$1000)/(Helper_AllData!$A$2:$A$1000=$B$3),7)),""))</f>
        <v/>
      </c>
    </row>
    <row r="10" spans="1:9" ht="16" x14ac:dyDescent="0.2">
      <c r="A10" s="1" t="str">
        <f>IF($B$3="","", IF(OR(B5="Flyers", B5="Movers"), "Listening 盾牌 (Shields):", "Listening Scale:"))</f>
        <v>Listening 盾牌 (Shields):</v>
      </c>
      <c r="B10" s="1">
        <f>IF($B$3="","", IFERROR(LOOKUP(2, 1/(Helper_AllData!$A$2:$A$1000=$B$3), Helper_AllData!$U$2:$U$1000), ""))</f>
        <v>2</v>
      </c>
      <c r="H10" t="str">
        <f ca="1">IF($B$3="","", IFERROR(INDEX(Helper_AllData!B:B, _xludf.AGGREGATE(15,6,ROW(Helper_AllData!$A$2:$A$1000)/(Helper_AllData!$A$2:$A$1000=$B$3),8)),""))</f>
        <v/>
      </c>
      <c r="I10" t="str">
        <f ca="1">IF($B$3="","", IFERROR(INDEX(Helper_AllData!V:V, _xludf.AGGREGATE(15,6,ROW(Helper_AllData!$A$2:$A$1000)/(Helper_AllData!$A$2:$A$1000=$B$3),8)),""))</f>
        <v/>
      </c>
    </row>
    <row r="11" spans="1:9" x14ac:dyDescent="0.2">
      <c r="A11" s="1"/>
      <c r="B11" s="1"/>
      <c r="H11" t="str">
        <f ca="1">IF($B$3="","", IFERROR(INDEX(Helper_AllData!B:B, _xludf.AGGREGATE(15,6,ROW(Helper_AllData!$A$2:$A$1000)/(Helper_AllData!$A$2:$A$1000=$B$3),9)),""))</f>
        <v/>
      </c>
      <c r="I11" t="str">
        <f ca="1">IF($B$3="","", IFERROR(INDEX(Helper_AllData!V:V, _xludf.AGGREGATE(15,6,ROW(Helper_AllData!$A$2:$A$1000)/(Helper_AllData!$A$2:$A$1000=$B$3),9)),""))</f>
        <v/>
      </c>
    </row>
    <row r="12" spans="1:9" ht="16" x14ac:dyDescent="0.2">
      <c r="A12" s="3" t="s">
        <v>7</v>
      </c>
      <c r="B12" s="1"/>
      <c r="H12" t="str">
        <f ca="1">IF($B$3="","", IFERROR(INDEX(Helper_AllData!B:B, _xludf.AGGREGATE(15,6,ROW(Helper_AllData!$A$2:$A$1000)/(Helper_AllData!$A$2:$A$1000=$B$3),10)),""))</f>
        <v/>
      </c>
      <c r="I12" t="str">
        <f ca="1">IF($B$3="","", IFERROR(INDEX(Helper_AllData!V:V, _xludf.AGGREGATE(15,6,ROW(Helper_AllData!$A$2:$A$1000)/(Helper_AllData!$A$2:$A$1000=$B$3),10)),""))</f>
        <v/>
      </c>
    </row>
    <row r="13" spans="1:9" ht="140" customHeight="1" x14ac:dyDescent="0.2">
      <c r="A13" s="1" t="s">
        <v>8</v>
      </c>
      <c r="B13" s="1" t="str">
        <f>IF($B$3="","", IFERROR(LOOKUP(2, 1/(Helper_AllData!$A$2:$A$1000=$B$3), Helper_AllData!$X$2:$X$1000), ""))</f>
        <v>⚠️ 薄弱环节: RW-Pt5
📉 考察能力: [读写] 阅读故事补全句子
💡 提升建议: 练习同义替换，答案通常直接来自文章，不要自己编造。</v>
      </c>
    </row>
    <row r="14" spans="1:9" ht="140" customHeight="1" x14ac:dyDescent="0.2">
      <c r="A14" s="1" t="s">
        <v>9</v>
      </c>
      <c r="B14" s="1">
        <f>IF($B$3="","", IFERROR(LOOKUP(2, 1/(Helper_AllData!$A$2:$A$1000=$B$3), Helper_AllData!$Y$2:$Y$1000), ""))</f>
        <v>0</v>
      </c>
    </row>
    <row r="15" spans="1:9" ht="140" customHeight="1" x14ac:dyDescent="0.2">
      <c r="A15" s="1" t="s">
        <v>10</v>
      </c>
      <c r="B15" s="1" t="str">
        <f>IF($B$3="","", IFERROR(LOOKUP(2, 1/(Helper_AllData!$A$2:$A$1000=$B$3), Helper_AllData!$Z$2:$Z$1000), ""))</f>
        <v>⚠️ 薄弱环节: L-Pt3
📉 考察能力: [听力] 图片匹配 (星期/活动)
💡 提升建议: 听完整的句子，注意区分过去几天做了什么，留意干扰项。</v>
      </c>
    </row>
  </sheetData>
  <mergeCells count="1">
    <mergeCell ref="A1:B1"/>
  </mergeCells>
  <phoneticPr fontId="3" type="noConversion"/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Warning" prompt="Select name" xr:uid="{00000000-0002-0000-0000-000000000000}">
          <x14:formula1>
            <xm:f>换算标准!$AN$2:$AN$200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7" ht="24" x14ac:dyDescent="0.3">
      <c r="A1" s="9" t="s">
        <v>11</v>
      </c>
      <c r="B1" s="8"/>
      <c r="C1" s="8"/>
      <c r="D1" s="8"/>
      <c r="E1" s="8"/>
      <c r="F1" s="8"/>
      <c r="G1" s="8"/>
    </row>
    <row r="3" spans="1:7" x14ac:dyDescent="0.2">
      <c r="A3" t="s">
        <v>12</v>
      </c>
      <c r="B3" t="s">
        <v>13</v>
      </c>
    </row>
    <row r="4" spans="1:7" x14ac:dyDescent="0.2">
      <c r="A4" t="s">
        <v>14</v>
      </c>
      <c r="B4" t="s">
        <v>135</v>
      </c>
    </row>
    <row r="5" spans="1:7" x14ac:dyDescent="0.2">
      <c r="A5" t="s">
        <v>16</v>
      </c>
      <c r="B5" t="s">
        <v>415</v>
      </c>
    </row>
    <row r="8" spans="1:7" x14ac:dyDescent="0.2">
      <c r="A8" t="s">
        <v>17</v>
      </c>
      <c r="B8">
        <f ca="1">IF(OR(AND($B$5="Writing", 1&gt;2), AND($B$5="Listening", 1&gt;5)), "-", IFERROR(AVERAGEIFS(OFFSET(Helper_AllData!$A:$A, 0, IF($B$5="Reading", 3+1, IF($B$5="Writing", 11+1, 14+1))), Helper_AllData!$C:$C, $B$3, Helper_AllData!$D:$D, $B$4), 0))</f>
        <v>0</v>
      </c>
      <c r="C8" t="str">
        <f t="shared" ref="C8:C14" ca="1" si="0">IF(B8="-", "-", IF(B8=0, "-", IF(B8&lt;MAX($B$8:$B$14)*0.8, "🚨 重点突击", "✅ 稳健")))</f>
        <v>-</v>
      </c>
    </row>
    <row r="9" spans="1:7" x14ac:dyDescent="0.2">
      <c r="A9" t="s">
        <v>18</v>
      </c>
      <c r="B9">
        <f ca="1">IF(OR(AND($B$5="Writing", 2&gt;2), AND($B$5="Listening", 2&gt;5)), "-", IFERROR(AVERAGEIFS(OFFSET(Helper_AllData!$A:$A, 0, IF($B$5="Reading", 3+2, IF($B$5="Writing", 11+2, 14+2))), Helper_AllData!$C:$C, $B$3, Helper_AllData!$D:$D, $B$4), 0))</f>
        <v>4.7200000000000015</v>
      </c>
      <c r="C9" t="str">
        <f t="shared" ca="1" si="0"/>
        <v>✅ 稳健</v>
      </c>
    </row>
    <row r="10" spans="1:7" x14ac:dyDescent="0.2">
      <c r="A10" t="s">
        <v>19</v>
      </c>
      <c r="B10">
        <f ca="1">IF(OR(AND($B$5="Writing", 3&gt;2), AND($B$5="Listening", 3&gt;5)), "-", IFERROR(AVERAGEIFS(OFFSET(Helper_AllData!$A:$A, 0, IF($B$5="Reading", 3+3, IF($B$5="Writing", 11+3, 14+3))), Helper_AllData!$C:$C, $B$3, Helper_AllData!$D:$D, $B$4), 0))</f>
        <v>1.553333333333333</v>
      </c>
      <c r="C10" t="str">
        <f t="shared" ca="1" si="0"/>
        <v>🚨 重点突击</v>
      </c>
    </row>
    <row r="11" spans="1:7" x14ac:dyDescent="0.2">
      <c r="A11" t="s">
        <v>20</v>
      </c>
      <c r="B11">
        <f ca="1">IF(OR(AND($B$5="Writing", 4&gt;2), AND($B$5="Listening", 4&gt;5)), "-", IFERROR(AVERAGEIFS(OFFSET(Helper_AllData!$A:$A, 0, IF($B$5="Reading", 3+4, IF($B$5="Writing", 11+4, 14+4))), Helper_AllData!$C:$C, $B$3, Helper_AllData!$D:$D, $B$4), 0))</f>
        <v>4.1977777777777776</v>
      </c>
      <c r="C11" t="str">
        <f t="shared" ca="1" si="0"/>
        <v>✅ 稳健</v>
      </c>
    </row>
    <row r="12" spans="1:7" x14ac:dyDescent="0.2">
      <c r="A12" t="s">
        <v>21</v>
      </c>
      <c r="B12">
        <f ca="1">IF(OR(AND($B$5="Writing", 5&gt;2), AND($B$5="Listening", 5&gt;5)), "-", IFERROR(AVERAGEIFS(OFFSET(Helper_AllData!$A:$A, 0, IF($B$5="Reading", 3+5, IF($B$5="Writing", 11+5, 14+5))), Helper_AllData!$C:$C, $B$3, Helper_AllData!$D:$D, $B$4), 0))</f>
        <v>4.7155555555555555</v>
      </c>
      <c r="C12" t="str">
        <f t="shared" ca="1" si="0"/>
        <v>✅ 稳健</v>
      </c>
    </row>
    <row r="13" spans="1:7" x14ac:dyDescent="0.2">
      <c r="A13" t="s">
        <v>22</v>
      </c>
      <c r="B13" t="str">
        <f ca="1">IF(OR(AND($B$5="Writing", 6&gt;2), AND($B$5="Listening", 6&gt;5)), "-", IFERROR(AVERAGEIFS(OFFSET(Helper_AllData!$A:$A, 0, IF($B$5="Reading", 3+6, IF($B$5="Writing", 11+6, 14+6))), Helper_AllData!$C:$C, $B$3, Helper_AllData!$D:$D, $B$4), 0))</f>
        <v>-</v>
      </c>
      <c r="C13" t="str">
        <f t="shared" ca="1" si="0"/>
        <v>-</v>
      </c>
    </row>
    <row r="14" spans="1:7" x14ac:dyDescent="0.2">
      <c r="A14" t="s">
        <v>23</v>
      </c>
      <c r="B14" t="str">
        <f ca="1">IF(OR(AND($B$5="Writing", 7&gt;2), AND($B$5="Listening", 7&gt;5)), "-", IFERROR(AVERAGEIFS(OFFSET(Helper_AllData!$A:$A, 0, IF($B$5="Reading", 3+7, IF($B$5="Writing", 11+7, 14+7))), Helper_AllData!$C:$C, $B$3, Helper_AllData!$D:$D, $B$4), 0))</f>
        <v>-</v>
      </c>
      <c r="C14" t="str">
        <f t="shared" ca="1" si="0"/>
        <v>-</v>
      </c>
    </row>
  </sheetData>
  <mergeCells count="1">
    <mergeCell ref="A1:G1"/>
  </mergeCells>
  <dataValidations count="1">
    <dataValidation type="list" sqref="B5" xr:uid="{00000000-0002-0000-0100-000002000000}">
      <formula1>"Reading,Writing,Listening"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Warning" prompt="Select SET" xr:uid="{00000000-0002-0000-0100-000000000000}">
          <x14:formula1>
            <xm:f>换算标准!$AL$2:$AL$50</xm:f>
          </x14:formula1>
          <xm:sqref>B3</xm:sqref>
        </x14:dataValidation>
        <x14:dataValidation type="list" allowBlank="1" xr:uid="{00000000-0002-0000-0100-000001000000}">
          <x14:formula1>
            <xm:f>换算标准!$AM$2:$AM$20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01"/>
  <sheetViews>
    <sheetView workbookViewId="0">
      <selection activeCell="AA25" sqref="AA25"/>
    </sheetView>
  </sheetViews>
  <sheetFormatPr baseColWidth="10" defaultColWidth="8.83203125" defaultRowHeight="15" x14ac:dyDescent="0.2"/>
  <sheetData>
    <row r="1" spans="1:40" x14ac:dyDescent="0.2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56</v>
      </c>
      <c r="AH1" s="4" t="s">
        <v>57</v>
      </c>
      <c r="AI1" s="4" t="s">
        <v>58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</row>
    <row r="2" spans="1:40" x14ac:dyDescent="0.2">
      <c r="A2">
        <v>0</v>
      </c>
      <c r="B2">
        <v>1</v>
      </c>
      <c r="C2">
        <v>0</v>
      </c>
      <c r="D2">
        <v>1</v>
      </c>
      <c r="E2" t="s">
        <v>64</v>
      </c>
      <c r="G2">
        <v>0</v>
      </c>
      <c r="H2">
        <v>1</v>
      </c>
      <c r="I2">
        <v>0</v>
      </c>
      <c r="J2">
        <v>1</v>
      </c>
      <c r="K2" t="s">
        <v>65</v>
      </c>
      <c r="M2">
        <v>13</v>
      </c>
      <c r="N2">
        <v>100</v>
      </c>
      <c r="O2">
        <v>12</v>
      </c>
      <c r="P2">
        <v>102</v>
      </c>
      <c r="Q2">
        <v>11</v>
      </c>
      <c r="R2">
        <v>100</v>
      </c>
      <c r="S2">
        <v>13</v>
      </c>
      <c r="T2">
        <v>120</v>
      </c>
      <c r="U2">
        <v>16</v>
      </c>
      <c r="V2">
        <v>120</v>
      </c>
      <c r="W2">
        <v>11</v>
      </c>
      <c r="X2">
        <v>120</v>
      </c>
      <c r="Z2" t="s">
        <v>66</v>
      </c>
      <c r="AA2">
        <v>140</v>
      </c>
      <c r="AC2">
        <v>0</v>
      </c>
      <c r="AD2">
        <v>80</v>
      </c>
      <c r="AE2">
        <v>0</v>
      </c>
      <c r="AF2">
        <v>80</v>
      </c>
      <c r="AG2">
        <v>0</v>
      </c>
      <c r="AH2">
        <v>80</v>
      </c>
      <c r="AI2">
        <v>0</v>
      </c>
      <c r="AJ2">
        <v>80</v>
      </c>
      <c r="AL2" t="str">
        <f>IFERROR(INDEX(Helper_AllData!$C$2:$C$1000, MATCH(0, INDEX(COUNTIF($AL$1:AL1, Helper_AllData!$C$2:$C$1000)+(Helper_AllData!$C$2:$C$1000=""), 0, 0), 0)), "")</f>
        <v>B1</v>
      </c>
      <c r="AM2" t="str">
        <f>IFERROR(INDEX(Helper_AllData!$D$2:$D$1000, MATCH(0, INDEX(COUNTIF($AM$1:AM1, Helper_AllData!$D$2:$D$1000)+(Helper_AllData!$D$2:$D$1000=""), 0, 0), 0)), "")</f>
        <v>PET</v>
      </c>
      <c r="AN2" t="str">
        <f>IFERROR(INDEX(Helper_AllData!$A$2:$A$1000, MATCH(0, INDEX(COUNTIF($AN$1:AN1, Helper_AllData!$A$2:$A$1000)+(Helper_AllData!$A$2:$A$1000=""), 0, 0), 0)), "")</f>
        <v>祝沐妍 Mia Zhu</v>
      </c>
    </row>
    <row r="3" spans="1:40" x14ac:dyDescent="0.2">
      <c r="A3">
        <v>18</v>
      </c>
      <c r="B3">
        <v>2</v>
      </c>
      <c r="C3">
        <v>11</v>
      </c>
      <c r="D3">
        <v>2</v>
      </c>
      <c r="E3" t="s">
        <v>67</v>
      </c>
      <c r="G3">
        <v>18</v>
      </c>
      <c r="H3">
        <v>2</v>
      </c>
      <c r="I3">
        <v>11</v>
      </c>
      <c r="J3">
        <v>2</v>
      </c>
      <c r="K3" t="s">
        <v>68</v>
      </c>
      <c r="M3">
        <v>14</v>
      </c>
      <c r="N3">
        <v>102</v>
      </c>
      <c r="O3">
        <v>13</v>
      </c>
      <c r="P3">
        <v>105</v>
      </c>
      <c r="Q3">
        <v>12</v>
      </c>
      <c r="R3">
        <v>103</v>
      </c>
      <c r="S3">
        <v>14</v>
      </c>
      <c r="T3">
        <v>122</v>
      </c>
      <c r="U3">
        <v>17</v>
      </c>
      <c r="V3">
        <v>120</v>
      </c>
      <c r="W3">
        <v>12</v>
      </c>
      <c r="X3">
        <v>122</v>
      </c>
      <c r="Z3" t="s">
        <v>69</v>
      </c>
      <c r="AA3">
        <v>133</v>
      </c>
      <c r="AC3">
        <v>10</v>
      </c>
      <c r="AD3">
        <v>122</v>
      </c>
      <c r="AE3">
        <v>7</v>
      </c>
      <c r="AF3">
        <v>122</v>
      </c>
      <c r="AG3">
        <v>10</v>
      </c>
      <c r="AH3">
        <v>122</v>
      </c>
      <c r="AI3">
        <v>8</v>
      </c>
      <c r="AJ3">
        <v>122</v>
      </c>
      <c r="AL3" t="str">
        <f>IFERROR(INDEX(Helper_AllData!$C$2:$C$1000, MATCH(0, INDEX(COUNTIF($AL$1:AL2, Helper_AllData!$C$2:$C$1000)+(Helper_AllData!$C$2:$C$1000=""), 0, 0), 0)), "")</f>
        <v>A1</v>
      </c>
      <c r="AM3" t="str">
        <f>IFERROR(INDEX(Helper_AllData!$D$2:$D$1000, MATCH(0, INDEX(COUNTIF($AM$1:AM2, Helper_AllData!$D$2:$D$1000)+(Helper_AllData!$D$2:$D$1000=""), 0, 0), 0)), "")</f>
        <v>KET</v>
      </c>
      <c r="AN3" t="str">
        <f>IFERROR(INDEX(Helper_AllData!$A$2:$A$1000, MATCH(0, INDEX(COUNTIF($AN$1:AN2, Helper_AllData!$A$2:$A$1000)+(Helper_AllData!$A$2:$A$1000=""), 0, 0), 0)), "")</f>
        <v>孙雨萱 Annie Sun</v>
      </c>
    </row>
    <row r="4" spans="1:40" x14ac:dyDescent="0.2">
      <c r="A4">
        <v>24</v>
      </c>
      <c r="B4">
        <v>3</v>
      </c>
      <c r="C4">
        <v>14</v>
      </c>
      <c r="D4">
        <v>3</v>
      </c>
      <c r="E4" t="s">
        <v>65</v>
      </c>
      <c r="G4">
        <v>24</v>
      </c>
      <c r="H4">
        <v>3</v>
      </c>
      <c r="I4">
        <v>14</v>
      </c>
      <c r="J4">
        <v>3</v>
      </c>
      <c r="K4" t="s">
        <v>70</v>
      </c>
      <c r="M4">
        <v>15</v>
      </c>
      <c r="N4">
        <v>105</v>
      </c>
      <c r="O4">
        <v>14</v>
      </c>
      <c r="P4">
        <v>108</v>
      </c>
      <c r="Q4">
        <v>13</v>
      </c>
      <c r="R4">
        <v>106</v>
      </c>
      <c r="S4">
        <v>15</v>
      </c>
      <c r="T4">
        <v>124</v>
      </c>
      <c r="U4">
        <v>18</v>
      </c>
      <c r="V4">
        <v>123</v>
      </c>
      <c r="W4">
        <v>13</v>
      </c>
      <c r="X4">
        <v>125</v>
      </c>
      <c r="Z4" t="s">
        <v>71</v>
      </c>
      <c r="AA4">
        <v>120</v>
      </c>
      <c r="AC4">
        <v>16</v>
      </c>
      <c r="AD4">
        <v>140</v>
      </c>
      <c r="AE4">
        <v>11</v>
      </c>
      <c r="AF4">
        <v>140</v>
      </c>
      <c r="AG4">
        <v>16</v>
      </c>
      <c r="AH4">
        <v>140</v>
      </c>
      <c r="AI4">
        <v>12</v>
      </c>
      <c r="AJ4">
        <v>140</v>
      </c>
      <c r="AL4" t="str">
        <f>IFERROR(INDEX(Helper_AllData!$C$2:$C$1000, MATCH(0, INDEX(COUNTIF($AL$1:AL3, Helper_AllData!$C$2:$C$1000)+(Helper_AllData!$C$2:$C$1000=""), 0, 0), 0)), "")</f>
        <v>A2</v>
      </c>
      <c r="AM4" t="str">
        <f>IFERROR(INDEX(Helper_AllData!$D$2:$D$1000, MATCH(0, INDEX(COUNTIF($AM$1:AM3, Helper_AllData!$D$2:$D$1000)+(Helper_AllData!$D$2:$D$1000=""), 0, 0), 0)), "")</f>
        <v>Flyers</v>
      </c>
      <c r="AN4" t="str">
        <f>IFERROR(INDEX(Helper_AllData!$A$2:$A$1000, MATCH(0, INDEX(COUNTIF($AN$1:AN3, Helper_AllData!$A$2:$A$1000)+(Helper_AllData!$A$2:$A$1000=""), 0, 0), 0)), "")</f>
        <v>戴依唯 Ivy Dai</v>
      </c>
    </row>
    <row r="5" spans="1:40" x14ac:dyDescent="0.2">
      <c r="A5">
        <v>29</v>
      </c>
      <c r="B5">
        <v>4</v>
      </c>
      <c r="C5">
        <v>18</v>
      </c>
      <c r="D5">
        <v>4</v>
      </c>
      <c r="E5" t="s">
        <v>68</v>
      </c>
      <c r="G5">
        <v>36</v>
      </c>
      <c r="H5">
        <v>4</v>
      </c>
      <c r="I5">
        <v>18</v>
      </c>
      <c r="J5">
        <v>4</v>
      </c>
      <c r="K5" t="s">
        <v>72</v>
      </c>
      <c r="M5">
        <v>16</v>
      </c>
      <c r="N5">
        <v>108</v>
      </c>
      <c r="O5">
        <v>15</v>
      </c>
      <c r="P5">
        <v>111</v>
      </c>
      <c r="Q5">
        <v>14</v>
      </c>
      <c r="R5">
        <v>110</v>
      </c>
      <c r="S5">
        <v>16</v>
      </c>
      <c r="T5">
        <v>126</v>
      </c>
      <c r="U5">
        <v>19</v>
      </c>
      <c r="V5">
        <v>125</v>
      </c>
      <c r="W5">
        <v>14</v>
      </c>
      <c r="X5">
        <v>128</v>
      </c>
      <c r="Z5" t="s">
        <v>73</v>
      </c>
      <c r="AA5">
        <v>100</v>
      </c>
      <c r="AC5">
        <v>24</v>
      </c>
      <c r="AD5">
        <v>160</v>
      </c>
      <c r="AE5">
        <v>18</v>
      </c>
      <c r="AF5">
        <v>160</v>
      </c>
      <c r="AG5">
        <v>24</v>
      </c>
      <c r="AH5">
        <v>160</v>
      </c>
      <c r="AI5">
        <v>18</v>
      </c>
      <c r="AJ5">
        <v>160</v>
      </c>
      <c r="AL5" t="str">
        <f>IFERROR(INDEX(Helper_AllData!$C$2:$C$1000, MATCH(0, INDEX(COUNTIF($AL$1:AL4, Helper_AllData!$C$2:$C$1000)+(Helper_AllData!$C$2:$C$1000=""), 0, 0), 0)), "")</f>
        <v>A4</v>
      </c>
      <c r="AM5" t="str">
        <f>IFERROR(INDEX(Helper_AllData!$D$2:$D$1000, MATCH(0, INDEX(COUNTIF($AM$1:AM4, Helper_AllData!$D$2:$D$1000)+(Helper_AllData!$D$2:$D$1000=""), 0, 0), 0)), "")</f>
        <v>Movers</v>
      </c>
      <c r="AN5" t="str">
        <f>IFERROR(INDEX(Helper_AllData!$A$2:$A$1000, MATCH(0, INDEX(COUNTIF($AN$1:AN4, Helper_AllData!$A$2:$A$1000)+(Helper_AllData!$A$2:$A$1000=""), 0, 0), 0)), "")</f>
        <v xml:space="preserve">项思为 Emma Xiang </v>
      </c>
    </row>
    <row r="6" spans="1:40" x14ac:dyDescent="0.2">
      <c r="A6">
        <v>33</v>
      </c>
      <c r="B6">
        <v>5</v>
      </c>
      <c r="C6">
        <v>21</v>
      </c>
      <c r="D6">
        <v>5</v>
      </c>
      <c r="E6" t="s">
        <v>70</v>
      </c>
      <c r="G6">
        <v>42</v>
      </c>
      <c r="H6">
        <v>5</v>
      </c>
      <c r="I6">
        <v>21</v>
      </c>
      <c r="J6">
        <v>5</v>
      </c>
      <c r="K6" t="s">
        <v>74</v>
      </c>
      <c r="M6">
        <v>17</v>
      </c>
      <c r="N6">
        <v>111</v>
      </c>
      <c r="O6">
        <v>16</v>
      </c>
      <c r="P6">
        <v>114</v>
      </c>
      <c r="Q6">
        <v>15</v>
      </c>
      <c r="R6">
        <v>113</v>
      </c>
      <c r="S6">
        <v>17</v>
      </c>
      <c r="T6">
        <v>128</v>
      </c>
      <c r="U6">
        <v>20</v>
      </c>
      <c r="V6">
        <v>128</v>
      </c>
      <c r="W6">
        <v>15</v>
      </c>
      <c r="X6">
        <v>131</v>
      </c>
      <c r="Z6" t="s">
        <v>75</v>
      </c>
      <c r="AA6">
        <v>160</v>
      </c>
      <c r="AC6">
        <v>37</v>
      </c>
      <c r="AD6">
        <v>180</v>
      </c>
      <c r="AE6">
        <v>24</v>
      </c>
      <c r="AF6">
        <v>180</v>
      </c>
      <c r="AG6">
        <v>34</v>
      </c>
      <c r="AH6">
        <v>180</v>
      </c>
      <c r="AI6">
        <v>27</v>
      </c>
      <c r="AJ6">
        <v>180</v>
      </c>
      <c r="AL6" t="str">
        <f>IFERROR(INDEX(Helper_AllData!$C$2:$C$1000, MATCH(0, INDEX(COUNTIF($AL$1:AL5, Helper_AllData!$C$2:$C$1000)+(Helper_AllData!$C$2:$C$1000=""), 0, 0), 0)), "")</f>
        <v/>
      </c>
      <c r="AM6" t="str">
        <f>IFERROR(INDEX(Helper_AllData!$D$2:$D$1000, MATCH(0, INDEX(COUNTIF($AM$1:AM5, Helper_AllData!$D$2:$D$1000)+(Helper_AllData!$D$2:$D$1000=""), 0, 0), 0)), "")</f>
        <v xml:space="preserve">Flyers </v>
      </c>
      <c r="AN6" t="str">
        <f>IFERROR(INDEX(Helper_AllData!$A$2:$A$1000, MATCH(0, INDEX(COUNTIF($AN$1:AN5, Helper_AllData!$A$2:$A$1000)+(Helper_AllData!$A$2:$A$1000=""), 0, 0), 0)), "")</f>
        <v>孙梓木 Jackson Sun</v>
      </c>
    </row>
    <row r="7" spans="1:40" x14ac:dyDescent="0.2">
      <c r="M7">
        <v>18</v>
      </c>
      <c r="N7">
        <v>114</v>
      </c>
      <c r="O7">
        <v>17</v>
      </c>
      <c r="P7">
        <v>117</v>
      </c>
      <c r="Q7">
        <v>16</v>
      </c>
      <c r="R7">
        <v>116</v>
      </c>
      <c r="S7">
        <v>18</v>
      </c>
      <c r="T7">
        <v>130</v>
      </c>
      <c r="U7">
        <v>21</v>
      </c>
      <c r="V7">
        <v>130</v>
      </c>
      <c r="W7">
        <v>16</v>
      </c>
      <c r="X7">
        <v>134</v>
      </c>
      <c r="Z7" t="s">
        <v>76</v>
      </c>
      <c r="AA7">
        <v>153</v>
      </c>
      <c r="AC7">
        <v>42</v>
      </c>
      <c r="AD7">
        <v>190</v>
      </c>
      <c r="AE7">
        <v>28</v>
      </c>
      <c r="AF7">
        <v>190</v>
      </c>
      <c r="AG7">
        <v>40</v>
      </c>
      <c r="AH7">
        <v>190</v>
      </c>
      <c r="AI7">
        <v>30</v>
      </c>
      <c r="AJ7">
        <v>190</v>
      </c>
      <c r="AL7" t="str">
        <f>IFERROR(INDEX(Helper_AllData!$C$2:$C$1000, MATCH(0, INDEX(COUNTIF($AL$1:AL6, Helper_AllData!$C$2:$C$1000)+(Helper_AllData!$C$2:$C$1000=""), 0, 0), 0)), "")</f>
        <v/>
      </c>
      <c r="AM7" t="str">
        <f>IFERROR(INDEX(Helper_AllData!$D$2:$D$1000, MATCH(0, INDEX(COUNTIF($AM$1:AM6, Helper_AllData!$D$2:$D$1000)+(Helper_AllData!$D$2:$D$1000=""), 0, 0), 0)), "")</f>
        <v>Starters</v>
      </c>
      <c r="AN7" t="str">
        <f>IFERROR(INDEX(Helper_AllData!$A$2:$A$1000, MATCH(0, INDEX(COUNTIF($AN$1:AN6, Helper_AllData!$A$2:$A$1000)+(Helper_AllData!$A$2:$A$1000=""), 0, 0), 0)), "")</f>
        <v>孙策 Lucas Sun</v>
      </c>
    </row>
    <row r="8" spans="1:40" x14ac:dyDescent="0.2">
      <c r="M8">
        <v>19</v>
      </c>
      <c r="N8">
        <v>117</v>
      </c>
      <c r="O8">
        <v>18</v>
      </c>
      <c r="P8">
        <v>120</v>
      </c>
      <c r="Q8">
        <v>17</v>
      </c>
      <c r="R8">
        <v>120</v>
      </c>
      <c r="S8">
        <v>19</v>
      </c>
      <c r="T8">
        <v>132</v>
      </c>
      <c r="U8">
        <v>22</v>
      </c>
      <c r="V8">
        <v>133</v>
      </c>
      <c r="W8">
        <v>17</v>
      </c>
      <c r="X8">
        <v>137</v>
      </c>
      <c r="Z8" t="s">
        <v>77</v>
      </c>
      <c r="AA8">
        <v>140</v>
      </c>
      <c r="AL8" t="str">
        <f>IFERROR(INDEX(Helper_AllData!$C$2:$C$1000, MATCH(0, INDEX(COUNTIF($AL$1:AL7, Helper_AllData!$C$2:$C$1000)+(Helper_AllData!$C$2:$C$1000=""), 0, 0), 0)), "")</f>
        <v/>
      </c>
      <c r="AM8" t="str">
        <f>IFERROR(INDEX(Helper_AllData!$D$2:$D$1000, MATCH(0, INDEX(COUNTIF($AM$1:AM7, Helper_AllData!$D$2:$D$1000)+(Helper_AllData!$D$2:$D$1000=""), 0, 0), 0)), "")</f>
        <v/>
      </c>
      <c r="AN8" t="str">
        <f>IFERROR(INDEX(Helper_AllData!$A$2:$A$1000, MATCH(0, INDEX(COUNTIF($AN$1:AN7, Helper_AllData!$A$2:$A$1000)+(Helper_AllData!$A$2:$A$1000=""), 0, 0), 0)), "")</f>
        <v>徐一濯 Ejay Xu</v>
      </c>
    </row>
    <row r="9" spans="1:40" x14ac:dyDescent="0.2">
      <c r="M9">
        <v>20</v>
      </c>
      <c r="N9">
        <v>120</v>
      </c>
      <c r="O9">
        <v>19</v>
      </c>
      <c r="P9">
        <v>123</v>
      </c>
      <c r="Q9">
        <v>18</v>
      </c>
      <c r="R9">
        <v>123</v>
      </c>
      <c r="S9">
        <v>20</v>
      </c>
      <c r="T9">
        <v>134</v>
      </c>
      <c r="U9">
        <v>23</v>
      </c>
      <c r="V9">
        <v>135</v>
      </c>
      <c r="W9">
        <v>18</v>
      </c>
      <c r="X9">
        <v>140</v>
      </c>
      <c r="Z9" t="s">
        <v>78</v>
      </c>
      <c r="AA9">
        <v>120</v>
      </c>
      <c r="AL9" t="str">
        <f>IFERROR(INDEX(Helper_AllData!$C$2:$C$1000, MATCH(0, INDEX(COUNTIF($AL$1:AL8, Helper_AllData!$C$2:$C$1000)+(Helper_AllData!$C$2:$C$1000=""), 0, 0), 0)), "")</f>
        <v/>
      </c>
      <c r="AM9" t="str">
        <f>IFERROR(INDEX(Helper_AllData!$D$2:$D$1000, MATCH(0, INDEX(COUNTIF($AM$1:AM8, Helper_AllData!$D$2:$D$1000)+(Helper_AllData!$D$2:$D$1000=""), 0, 0), 0)), "")</f>
        <v/>
      </c>
      <c r="AN9" t="str">
        <f>IFERROR(INDEX(Helper_AllData!$A$2:$A$1000, MATCH(0, INDEX(COUNTIF($AN$1:AN8, Helper_AllData!$A$2:$A$1000)+(Helper_AllData!$A$2:$A$1000=""), 0, 0), 0)), "")</f>
        <v>徐昀 Constance Xu</v>
      </c>
    </row>
    <row r="10" spans="1:40" x14ac:dyDescent="0.2">
      <c r="M10">
        <v>21</v>
      </c>
      <c r="N10">
        <v>122</v>
      </c>
      <c r="O10">
        <v>20</v>
      </c>
      <c r="P10">
        <v>125</v>
      </c>
      <c r="Q10">
        <v>19</v>
      </c>
      <c r="R10">
        <v>126</v>
      </c>
      <c r="S10">
        <v>21</v>
      </c>
      <c r="T10">
        <v>136</v>
      </c>
      <c r="U10">
        <v>24</v>
      </c>
      <c r="V10">
        <v>140</v>
      </c>
      <c r="W10">
        <v>19</v>
      </c>
      <c r="X10">
        <v>144</v>
      </c>
      <c r="AL10" t="str">
        <f>IFERROR(INDEX(Helper_AllData!$C$2:$C$1000, MATCH(0, INDEX(COUNTIF($AL$1:AL9, Helper_AllData!$C$2:$C$1000)+(Helper_AllData!$C$2:$C$1000=""), 0, 0), 0)), "")</f>
        <v/>
      </c>
      <c r="AM10" t="str">
        <f>IFERROR(INDEX(Helper_AllData!$D$2:$D$1000, MATCH(0, INDEX(COUNTIF($AM$1:AM9, Helper_AllData!$D$2:$D$1000)+(Helper_AllData!$D$2:$D$1000=""), 0, 0), 0)), "")</f>
        <v/>
      </c>
      <c r="AN10" t="str">
        <f>IFERROR(INDEX(Helper_AllData!$A$2:$A$1000, MATCH(0, INDEX(COUNTIF($AN$1:AN9, Helper_AllData!$A$2:$A$1000)+(Helper_AllData!$A$2:$A$1000=""), 0, 0), 0)), "")</f>
        <v>朱梓琦 Anker Zhu</v>
      </c>
    </row>
    <row r="11" spans="1:40" x14ac:dyDescent="0.2">
      <c r="M11">
        <v>22</v>
      </c>
      <c r="N11">
        <v>125</v>
      </c>
      <c r="O11">
        <v>21</v>
      </c>
      <c r="P11">
        <v>128</v>
      </c>
      <c r="Q11">
        <v>20</v>
      </c>
      <c r="R11">
        <v>130</v>
      </c>
      <c r="S11">
        <v>22</v>
      </c>
      <c r="T11">
        <v>138</v>
      </c>
      <c r="U11">
        <v>25</v>
      </c>
      <c r="V11">
        <v>142</v>
      </c>
      <c r="W11">
        <v>20</v>
      </c>
      <c r="X11">
        <v>148</v>
      </c>
      <c r="AL11" t="str">
        <f>IFERROR(INDEX(Helper_AllData!$C$2:$C$1000, MATCH(0, INDEX(COUNTIF($AL$1:AL10, Helper_AllData!$C$2:$C$1000)+(Helper_AllData!$C$2:$C$1000=""), 0, 0), 0)), "")</f>
        <v/>
      </c>
      <c r="AM11" t="str">
        <f>IFERROR(INDEX(Helper_AllData!$D$2:$D$1000, MATCH(0, INDEX(COUNTIF($AM$1:AM10, Helper_AllData!$D$2:$D$1000)+(Helper_AllData!$D$2:$D$1000=""), 0, 0), 0)), "")</f>
        <v/>
      </c>
      <c r="AN11" t="str">
        <f>IFERROR(INDEX(Helper_AllData!$A$2:$A$1000, MATCH(0, INDEX(COUNTIF($AN$1:AN10, Helper_AllData!$A$2:$A$1000)+(Helper_AllData!$A$2:$A$1000=""), 0, 0), 0)), "")</f>
        <v>梁绍启 Sean Liang</v>
      </c>
    </row>
    <row r="12" spans="1:40" x14ac:dyDescent="0.2">
      <c r="M12">
        <v>23</v>
      </c>
      <c r="N12">
        <v>127</v>
      </c>
      <c r="O12">
        <v>22</v>
      </c>
      <c r="P12">
        <v>130</v>
      </c>
      <c r="Q12">
        <v>21</v>
      </c>
      <c r="R12">
        <v>133</v>
      </c>
      <c r="S12">
        <v>23</v>
      </c>
      <c r="T12">
        <v>140</v>
      </c>
      <c r="U12">
        <v>26</v>
      </c>
      <c r="V12">
        <v>144</v>
      </c>
      <c r="W12">
        <v>21</v>
      </c>
      <c r="X12">
        <v>152</v>
      </c>
      <c r="AL12" t="str">
        <f>IFERROR(INDEX(Helper_AllData!$C$2:$C$1000, MATCH(0, INDEX(COUNTIF($AL$1:AL11, Helper_AllData!$C$2:$C$1000)+(Helper_AllData!$C$2:$C$1000=""), 0, 0), 0)), "")</f>
        <v/>
      </c>
      <c r="AM12" t="str">
        <f>IFERROR(INDEX(Helper_AllData!$D$2:$D$1000, MATCH(0, INDEX(COUNTIF($AM$1:AM11, Helper_AllData!$D$2:$D$1000)+(Helper_AllData!$D$2:$D$1000=""), 0, 0), 0)), "")</f>
        <v/>
      </c>
      <c r="AN12" t="str">
        <f>IFERROR(INDEX(Helper_AllData!$A$2:$A$1000, MATCH(0, INDEX(COUNTIF($AN$1:AN11, Helper_AllData!$A$2:$A$1000)+(Helper_AllData!$A$2:$A$1000=""), 0, 0), 0)), "")</f>
        <v>詹远 James Zhan</v>
      </c>
    </row>
    <row r="13" spans="1:40" x14ac:dyDescent="0.2">
      <c r="M13">
        <v>24</v>
      </c>
      <c r="N13">
        <v>130</v>
      </c>
      <c r="O13">
        <v>23</v>
      </c>
      <c r="P13">
        <v>133</v>
      </c>
      <c r="Q13">
        <v>22</v>
      </c>
      <c r="R13">
        <v>136</v>
      </c>
      <c r="S13">
        <v>24</v>
      </c>
      <c r="T13">
        <v>143</v>
      </c>
      <c r="U13">
        <v>27</v>
      </c>
      <c r="V13">
        <v>146</v>
      </c>
      <c r="W13">
        <v>22</v>
      </c>
      <c r="X13">
        <v>156</v>
      </c>
      <c r="AL13" t="str">
        <f>IFERROR(INDEX(Helper_AllData!$C$2:$C$1000, MATCH(0, INDEX(COUNTIF($AL$1:AL12, Helper_AllData!$C$2:$C$1000)+(Helper_AllData!$C$2:$C$1000=""), 0, 0), 0)), "")</f>
        <v/>
      </c>
      <c r="AM13" t="str">
        <f>IFERROR(INDEX(Helper_AllData!$D$2:$D$1000, MATCH(0, INDEX(COUNTIF($AM$1:AM12, Helper_AllData!$D$2:$D$1000)+(Helper_AllData!$D$2:$D$1000=""), 0, 0), 0)), "")</f>
        <v/>
      </c>
      <c r="AN13" t="str">
        <f>IFERROR(INDEX(Helper_AllData!$A$2:$A$1000, MATCH(0, INDEX(COUNTIF($AN$1:AN12, Helper_AllData!$A$2:$A$1000)+(Helper_AllData!$A$2:$A$1000=""), 0, 0), 0)), "")</f>
        <v>郑楷 Kyle Zheng</v>
      </c>
    </row>
    <row r="14" spans="1:40" x14ac:dyDescent="0.2">
      <c r="M14">
        <v>25</v>
      </c>
      <c r="N14">
        <v>133</v>
      </c>
      <c r="O14">
        <v>24</v>
      </c>
      <c r="P14">
        <v>135</v>
      </c>
      <c r="Q14">
        <v>23</v>
      </c>
      <c r="R14">
        <v>140</v>
      </c>
      <c r="S14">
        <v>25</v>
      </c>
      <c r="T14">
        <v>146</v>
      </c>
      <c r="U14">
        <v>28</v>
      </c>
      <c r="V14">
        <v>148</v>
      </c>
      <c r="W14">
        <v>23</v>
      </c>
      <c r="X14">
        <v>160</v>
      </c>
      <c r="AL14" t="str">
        <f>IFERROR(INDEX(Helper_AllData!$C$2:$C$1000, MATCH(0, INDEX(COUNTIF($AL$1:AL13, Helper_AllData!$C$2:$C$1000)+(Helper_AllData!$C$2:$C$1000=""), 0, 0), 0)), "")</f>
        <v/>
      </c>
      <c r="AM14" t="str">
        <f>IFERROR(INDEX(Helper_AllData!$D$2:$D$1000, MATCH(0, INDEX(COUNTIF($AM$1:AM13, Helper_AllData!$D$2:$D$1000)+(Helper_AllData!$D$2:$D$1000=""), 0, 0), 0)), "")</f>
        <v/>
      </c>
      <c r="AN14" t="str">
        <f>IFERROR(INDEX(Helper_AllData!$A$2:$A$1000, MATCH(0, INDEX(COUNTIF($AN$1:AN13, Helper_AllData!$A$2:$A$1000)+(Helper_AllData!$A$2:$A$1000=""), 0, 0), 0)), "")</f>
        <v>陈昱昊 Matte Chen</v>
      </c>
    </row>
    <row r="15" spans="1:40" x14ac:dyDescent="0.2">
      <c r="M15">
        <v>26</v>
      </c>
      <c r="N15">
        <v>135</v>
      </c>
      <c r="O15">
        <v>25</v>
      </c>
      <c r="P15">
        <v>138</v>
      </c>
      <c r="Q15">
        <v>24</v>
      </c>
      <c r="R15">
        <v>145</v>
      </c>
      <c r="S15">
        <v>26</v>
      </c>
      <c r="T15">
        <v>150</v>
      </c>
      <c r="U15">
        <v>29</v>
      </c>
      <c r="V15">
        <v>150</v>
      </c>
      <c r="W15">
        <v>24</v>
      </c>
      <c r="X15">
        <v>165</v>
      </c>
      <c r="AL15" t="str">
        <f>IFERROR(INDEX(Helper_AllData!$C$2:$C$1000, MATCH(0, INDEX(COUNTIF($AL$1:AL14, Helper_AllData!$C$2:$C$1000)+(Helper_AllData!$C$2:$C$1000=""), 0, 0), 0)), "")</f>
        <v/>
      </c>
      <c r="AM15" t="str">
        <f>IFERROR(INDEX(Helper_AllData!$D$2:$D$1000, MATCH(0, INDEX(COUNTIF($AM$1:AM14, Helper_AllData!$D$2:$D$1000)+(Helper_AllData!$D$2:$D$1000=""), 0, 0), 0)), "")</f>
        <v/>
      </c>
      <c r="AN15" t="str">
        <f>IFERROR(INDEX(Helper_AllData!$A$2:$A$1000, MATCH(0, INDEX(COUNTIF($AN$1:AN14, Helper_AllData!$A$2:$A$1000)+(Helper_AllData!$A$2:$A$1000=""), 0, 0), 0)), "")</f>
        <v>吴皓轩 Jeffrey Wu</v>
      </c>
    </row>
    <row r="16" spans="1:40" x14ac:dyDescent="0.2">
      <c r="M16">
        <v>27</v>
      </c>
      <c r="N16">
        <v>137</v>
      </c>
      <c r="O16">
        <v>26</v>
      </c>
      <c r="P16">
        <v>140</v>
      </c>
      <c r="Q16">
        <v>25</v>
      </c>
      <c r="R16">
        <v>150</v>
      </c>
      <c r="S16">
        <v>27</v>
      </c>
      <c r="T16">
        <v>153</v>
      </c>
      <c r="U16">
        <v>30</v>
      </c>
      <c r="V16">
        <v>152</v>
      </c>
      <c r="W16">
        <v>25</v>
      </c>
      <c r="X16">
        <v>170</v>
      </c>
      <c r="AL16" t="str">
        <f>IFERROR(INDEX(Helper_AllData!$C$2:$C$1000, MATCH(0, INDEX(COUNTIF($AL$1:AL15, Helper_AllData!$C$2:$C$1000)+(Helper_AllData!$C$2:$C$1000=""), 0, 0), 0)), "")</f>
        <v/>
      </c>
      <c r="AM16" t="str">
        <f>IFERROR(INDEX(Helper_AllData!$D$2:$D$1000, MATCH(0, INDEX(COUNTIF($AM$1:AM15, Helper_AllData!$D$2:$D$1000)+(Helper_AllData!$D$2:$D$1000=""), 0, 0), 0)), "")</f>
        <v/>
      </c>
      <c r="AN16" t="str">
        <f>IFERROR(INDEX(Helper_AllData!$A$2:$A$1000, MATCH(0, INDEX(COUNTIF($AN$1:AN15, Helper_AllData!$A$2:$A$1000)+(Helper_AllData!$A$2:$A$1000=""), 0, 0), 0)), "")</f>
        <v>应颜妍 Queen Ying</v>
      </c>
    </row>
    <row r="17" spans="13:40" x14ac:dyDescent="0.2">
      <c r="M17">
        <v>28</v>
      </c>
      <c r="N17">
        <v>140</v>
      </c>
      <c r="O17">
        <v>27</v>
      </c>
      <c r="P17">
        <v>143</v>
      </c>
      <c r="S17">
        <v>28</v>
      </c>
      <c r="T17">
        <v>156</v>
      </c>
      <c r="U17">
        <v>31</v>
      </c>
      <c r="V17">
        <v>154</v>
      </c>
      <c r="AL17" t="str">
        <f>IFERROR(INDEX(Helper_AllData!$C$2:$C$1000, MATCH(0, INDEX(COUNTIF($AL$1:AL16, Helper_AllData!$C$2:$C$1000)+(Helper_AllData!$C$2:$C$1000=""), 0, 0), 0)), "")</f>
        <v/>
      </c>
      <c r="AM17" t="str">
        <f>IFERROR(INDEX(Helper_AllData!$D$2:$D$1000, MATCH(0, INDEX(COUNTIF($AM$1:AM16, Helper_AllData!$D$2:$D$1000)+(Helper_AllData!$D$2:$D$1000=""), 0, 0), 0)), "")</f>
        <v/>
      </c>
      <c r="AN17" t="str">
        <f>IFERROR(INDEX(Helper_AllData!$A$2:$A$1000, MATCH(0, INDEX(COUNTIF($AN$1:AN16, Helper_AllData!$A$2:$A$1000)+(Helper_AllData!$A$2:$A$1000=""), 0, 0), 0)), "")</f>
        <v>王翊名 Mia Wang</v>
      </c>
    </row>
    <row r="18" spans="13:40" x14ac:dyDescent="0.2">
      <c r="M18">
        <v>29</v>
      </c>
      <c r="N18">
        <v>145</v>
      </c>
      <c r="O18">
        <v>28</v>
      </c>
      <c r="P18">
        <v>145</v>
      </c>
      <c r="S18">
        <v>29</v>
      </c>
      <c r="T18">
        <v>160</v>
      </c>
      <c r="U18">
        <v>32</v>
      </c>
      <c r="V18">
        <v>156</v>
      </c>
      <c r="AL18" t="str">
        <f>IFERROR(INDEX(Helper_AllData!$C$2:$C$1000, MATCH(0, INDEX(COUNTIF($AL$1:AL17, Helper_AllData!$C$2:$C$1000)+(Helper_AllData!$C$2:$C$1000=""), 0, 0), 0)), "")</f>
        <v/>
      </c>
      <c r="AM18" t="str">
        <f>IFERROR(INDEX(Helper_AllData!$D$2:$D$1000, MATCH(0, INDEX(COUNTIF($AM$1:AM17, Helper_AllData!$D$2:$D$1000)+(Helper_AllData!$D$2:$D$1000=""), 0, 0), 0)), "")</f>
        <v/>
      </c>
      <c r="AN18" t="str">
        <f>IFERROR(INDEX(Helper_AllData!$A$2:$A$1000, MATCH(0, INDEX(COUNTIF($AN$1:AN17, Helper_AllData!$A$2:$A$1000)+(Helper_AllData!$A$2:$A$1000=""), 0, 0), 0)), "")</f>
        <v>石蕴瑶 Yaoyao Shi</v>
      </c>
    </row>
    <row r="19" spans="13:40" x14ac:dyDescent="0.2">
      <c r="M19">
        <v>30</v>
      </c>
      <c r="N19">
        <v>150</v>
      </c>
      <c r="O19">
        <v>29</v>
      </c>
      <c r="P19">
        <v>148</v>
      </c>
      <c r="S19">
        <v>30</v>
      </c>
      <c r="T19">
        <v>163</v>
      </c>
      <c r="U19">
        <v>33</v>
      </c>
      <c r="V19">
        <v>158</v>
      </c>
      <c r="AL19" t="str">
        <f>IFERROR(INDEX(Helper_AllData!$C$2:$C$1000, MATCH(0, INDEX(COUNTIF($AL$1:AL18, Helper_AllData!$C$2:$C$1000)+(Helper_AllData!$C$2:$C$1000=""), 0, 0), 0)), "")</f>
        <v/>
      </c>
      <c r="AM19" t="str">
        <f>IFERROR(INDEX(Helper_AllData!$D$2:$D$1000, MATCH(0, INDEX(COUNTIF($AM$1:AM18, Helper_AllData!$D$2:$D$1000)+(Helper_AllData!$D$2:$D$1000=""), 0, 0), 0)), "")</f>
        <v/>
      </c>
      <c r="AN19" t="str">
        <f>IFERROR(INDEX(Helper_AllData!$A$2:$A$1000, MATCH(0, INDEX(COUNTIF($AN$1:AN18, Helper_AllData!$A$2:$A$1000)+(Helper_AllData!$A$2:$A$1000=""), 0, 0), 0)), "")</f>
        <v>赵清晔 William Zhao</v>
      </c>
    </row>
    <row r="20" spans="13:40" x14ac:dyDescent="0.2">
      <c r="O20">
        <v>30</v>
      </c>
      <c r="P20">
        <v>150</v>
      </c>
      <c r="S20">
        <v>31</v>
      </c>
      <c r="T20">
        <v>166</v>
      </c>
      <c r="U20">
        <v>34</v>
      </c>
      <c r="V20">
        <v>160</v>
      </c>
      <c r="AL20" t="str">
        <f>IFERROR(INDEX(Helper_AllData!$C$2:$C$1000, MATCH(0, INDEX(COUNTIF($AL$1:AL19, Helper_AllData!$C$2:$C$1000)+(Helper_AllData!$C$2:$C$1000=""), 0, 0), 0)), "")</f>
        <v/>
      </c>
      <c r="AM20" t="str">
        <f>IFERROR(INDEX(Helper_AllData!$D$2:$D$1000, MATCH(0, INDEX(COUNTIF($AM$1:AM19, Helper_AllData!$D$2:$D$1000)+(Helper_AllData!$D$2:$D$1000=""), 0, 0), 0)), "")</f>
        <v/>
      </c>
      <c r="AN20" t="str">
        <f>IFERROR(INDEX(Helper_AllData!$A$2:$A$1000, MATCH(0, INDEX(COUNTIF($AN$1:AN19, Helper_AllData!$A$2:$A$1000)+(Helper_AllData!$A$2:$A$1000=""), 0, 0), 0)), "")</f>
        <v xml:space="preserve">黄翊桐 Yaya Huang </v>
      </c>
    </row>
    <row r="21" spans="13:40" x14ac:dyDescent="0.2">
      <c r="S21">
        <v>32</v>
      </c>
      <c r="T21">
        <v>170</v>
      </c>
      <c r="U21">
        <v>35</v>
      </c>
      <c r="V21">
        <v>162</v>
      </c>
      <c r="AL21" t="str">
        <f>IFERROR(INDEX(Helper_AllData!$C$2:$C$1000, MATCH(0, INDEX(COUNTIF($AL$1:AL20, Helper_AllData!$C$2:$C$1000)+(Helper_AllData!$C$2:$C$1000=""), 0, 0), 0)), "")</f>
        <v/>
      </c>
      <c r="AM21" t="str">
        <f>IFERROR(INDEX(Helper_AllData!$D$2:$D$1000, MATCH(0, INDEX(COUNTIF($AM$1:AM20, Helper_AllData!$D$2:$D$1000)+(Helper_AllData!$D$2:$D$1000=""), 0, 0), 0)), "")</f>
        <v/>
      </c>
      <c r="AN21" t="str">
        <f>IFERROR(INDEX(Helper_AllData!$A$2:$A$1000, MATCH(0, INDEX(COUNTIF($AN$1:AN20, Helper_AllData!$A$2:$A$1000)+(Helper_AllData!$A$2:$A$1000=""), 0, 0), 0)), "")</f>
        <v>刘泽楷 Nick Liu</v>
      </c>
    </row>
    <row r="22" spans="13:40" x14ac:dyDescent="0.2">
      <c r="U22">
        <v>36</v>
      </c>
      <c r="V22">
        <v>163</v>
      </c>
      <c r="AL22" t="str">
        <f>IFERROR(INDEX(Helper_AllData!$C$2:$C$1000, MATCH(0, INDEX(COUNTIF($AL$1:AL21, Helper_AllData!$C$2:$C$1000)+(Helper_AllData!$C$2:$C$1000=""), 0, 0), 0)), "")</f>
        <v/>
      </c>
      <c r="AM22" t="str">
        <f>IFERROR(INDEX(Helper_AllData!$D$2:$D$1000, MATCH(0, INDEX(COUNTIF($AM$1:AM21, Helper_AllData!$D$2:$D$1000)+(Helper_AllData!$D$2:$D$1000=""), 0, 0), 0)), "")</f>
        <v/>
      </c>
      <c r="AN22" t="str">
        <f>IFERROR(INDEX(Helper_AllData!$A$2:$A$1000, MATCH(0, INDEX(COUNTIF($AN$1:AN21, Helper_AllData!$A$2:$A$1000)+(Helper_AllData!$A$2:$A$1000=""), 0, 0), 0)), "")</f>
        <v>刘野晨 Daniel Liu</v>
      </c>
    </row>
    <row r="23" spans="13:40" x14ac:dyDescent="0.2">
      <c r="U23">
        <v>37</v>
      </c>
      <c r="V23">
        <v>165</v>
      </c>
      <c r="AL23" t="str">
        <f>IFERROR(INDEX(Helper_AllData!$C$2:$C$1000, MATCH(0, INDEX(COUNTIF($AL$1:AL22, Helper_AllData!$C$2:$C$1000)+(Helper_AllData!$C$2:$C$1000=""), 0, 0), 0)), "")</f>
        <v/>
      </c>
      <c r="AM23" t="str">
        <f>IFERROR(INDEX(Helper_AllData!$D$2:$D$1000, MATCH(0, INDEX(COUNTIF($AM$1:AM22, Helper_AllData!$D$2:$D$1000)+(Helper_AllData!$D$2:$D$1000=""), 0, 0), 0)), "")</f>
        <v/>
      </c>
      <c r="AN23" t="str">
        <f>IFERROR(INDEX(Helper_AllData!$A$2:$A$1000, MATCH(0, INDEX(COUNTIF($AN$1:AN22, Helper_AllData!$A$2:$A$1000)+(Helper_AllData!$A$2:$A$1000=""), 0, 0), 0)), "")</f>
        <v>夏添翊 Tommy Xia</v>
      </c>
    </row>
    <row r="24" spans="13:40" x14ac:dyDescent="0.2">
      <c r="U24">
        <v>38</v>
      </c>
      <c r="V24">
        <v>167</v>
      </c>
      <c r="AL24" t="str">
        <f>IFERROR(INDEX(Helper_AllData!$C$2:$C$1000, MATCH(0, INDEX(COUNTIF($AL$1:AL23, Helper_AllData!$C$2:$C$1000)+(Helper_AllData!$C$2:$C$1000=""), 0, 0), 0)), "")</f>
        <v/>
      </c>
      <c r="AM24" t="str">
        <f>IFERROR(INDEX(Helper_AllData!$D$2:$D$1000, MATCH(0, INDEX(COUNTIF($AM$1:AM23, Helper_AllData!$D$2:$D$1000)+(Helper_AllData!$D$2:$D$1000=""), 0, 0), 0)), "")</f>
        <v/>
      </c>
      <c r="AN24" t="str">
        <f>IFERROR(INDEX(Helper_AllData!$A$2:$A$1000, MATCH(0, INDEX(COUNTIF($AN$1:AN23, Helper_AllData!$A$2:$A$1000)+(Helper_AllData!$A$2:$A$1000=""), 0, 0), 0)), "")</f>
        <v>张芮语 Ann Zhang</v>
      </c>
    </row>
    <row r="25" spans="13:40" x14ac:dyDescent="0.2">
      <c r="U25">
        <v>39</v>
      </c>
      <c r="V25">
        <v>168</v>
      </c>
      <c r="AL25" t="str">
        <f>IFERROR(INDEX(Helper_AllData!$C$2:$C$1000, MATCH(0, INDEX(COUNTIF($AL$1:AL24, Helper_AllData!$C$2:$C$1000)+(Helper_AllData!$C$2:$C$1000=""), 0, 0), 0)), "")</f>
        <v/>
      </c>
      <c r="AM25" t="str">
        <f>IFERROR(INDEX(Helper_AllData!$D$2:$D$1000, MATCH(0, INDEX(COUNTIF($AM$1:AM24, Helper_AllData!$D$2:$D$1000)+(Helper_AllData!$D$2:$D$1000=""), 0, 0), 0)), "")</f>
        <v/>
      </c>
      <c r="AN25" t="str">
        <f>IFERROR(INDEX(Helper_AllData!$A$2:$A$1000, MATCH(0, INDEX(COUNTIF($AN$1:AN24, Helper_AllData!$A$2:$A$1000)+(Helper_AllData!$A$2:$A$1000=""), 0, 0), 0)), "")</f>
        <v>张茉凡 Kimberley Zhang</v>
      </c>
    </row>
    <row r="26" spans="13:40" x14ac:dyDescent="0.2">
      <c r="U26">
        <v>40</v>
      </c>
      <c r="V26">
        <v>170</v>
      </c>
      <c r="AL26" t="str">
        <f>IFERROR(INDEX(Helper_AllData!$C$2:$C$1000, MATCH(0, INDEX(COUNTIF($AL$1:AL25, Helper_AllData!$C$2:$C$1000)+(Helper_AllData!$C$2:$C$1000=""), 0, 0), 0)), "")</f>
        <v/>
      </c>
      <c r="AM26" t="str">
        <f>IFERROR(INDEX(Helper_AllData!$D$2:$D$1000, MATCH(0, INDEX(COUNTIF($AM$1:AM25, Helper_AllData!$D$2:$D$1000)+(Helper_AllData!$D$2:$D$1000=""), 0, 0), 0)), "")</f>
        <v/>
      </c>
      <c r="AN26" t="str">
        <f>IFERROR(INDEX(Helper_AllData!$A$2:$A$1000, MATCH(0, INDEX(COUNTIF($AN$1:AN25, Helper_AllData!$A$2:$A$1000)+(Helper_AllData!$A$2:$A$1000=""), 0, 0), 0)), "")</f>
        <v>朱诗淇 Sophia Zhu</v>
      </c>
    </row>
    <row r="27" spans="13:40" x14ac:dyDescent="0.2">
      <c r="AL27" t="str">
        <f>IFERROR(INDEX(Helper_AllData!$C$2:$C$1000, MATCH(0, INDEX(COUNTIF($AL$1:AL26, Helper_AllData!$C$2:$C$1000)+(Helper_AllData!$C$2:$C$1000=""), 0, 0), 0)), "")</f>
        <v/>
      </c>
      <c r="AM27" t="str">
        <f>IFERROR(INDEX(Helper_AllData!$D$2:$D$1000, MATCH(0, INDEX(COUNTIF($AM$1:AM26, Helper_AllData!$D$2:$D$1000)+(Helper_AllData!$D$2:$D$1000=""), 0, 0), 0)), "")</f>
        <v/>
      </c>
      <c r="AN27" t="str">
        <f>IFERROR(INDEX(Helper_AllData!$A$2:$A$1000, MATCH(0, INDEX(COUNTIF($AN$1:AN26, Helper_AllData!$A$2:$A$1000)+(Helper_AllData!$A$2:$A$1000=""), 0, 0), 0)), "")</f>
        <v>李翎嫣 Oli Li</v>
      </c>
    </row>
    <row r="28" spans="13:40" x14ac:dyDescent="0.2">
      <c r="AL28" t="str">
        <f>IFERROR(INDEX(Helper_AllData!$C$2:$C$1000, MATCH(0, INDEX(COUNTIF($AL$1:AL27, Helper_AllData!$C$2:$C$1000)+(Helper_AllData!$C$2:$C$1000=""), 0, 0), 0)), "")</f>
        <v/>
      </c>
      <c r="AM28" t="str">
        <f>IFERROR(INDEX(Helper_AllData!$D$2:$D$1000, MATCH(0, INDEX(COUNTIF($AM$1:AM27, Helper_AllData!$D$2:$D$1000)+(Helper_AllData!$D$2:$D$1000=""), 0, 0), 0)), "")</f>
        <v/>
      </c>
      <c r="AN28" t="str">
        <f>IFERROR(INDEX(Helper_AllData!$A$2:$A$1000, MATCH(0, INDEX(COUNTIF($AN$1:AN27, Helper_AllData!$A$2:$A$1000)+(Helper_AllData!$A$2:$A$1000=""), 0, 0), 0)), "")</f>
        <v>林奕辰 Eason Lin</v>
      </c>
    </row>
    <row r="29" spans="13:40" x14ac:dyDescent="0.2">
      <c r="AL29" t="str">
        <f>IFERROR(INDEX(Helper_AllData!$C$2:$C$1000, MATCH(0, INDEX(COUNTIF($AL$1:AL28, Helper_AllData!$C$2:$C$1000)+(Helper_AllData!$C$2:$C$1000=""), 0, 0), 0)), "")</f>
        <v/>
      </c>
      <c r="AM29" t="str">
        <f>IFERROR(INDEX(Helper_AllData!$D$2:$D$1000, MATCH(0, INDEX(COUNTIF($AM$1:AM28, Helper_AllData!$D$2:$D$1000)+(Helper_AllData!$D$2:$D$1000=""), 0, 0), 0)), "")</f>
        <v/>
      </c>
      <c r="AN29" t="str">
        <f>IFERROR(INDEX(Helper_AllData!$A$2:$A$1000, MATCH(0, INDEX(COUNTIF($AN$1:AN28, Helper_AllData!$A$2:$A$1000)+(Helper_AllData!$A$2:$A$1000=""), 0, 0), 0)), "")</f>
        <v>王薇童 Vera Wang</v>
      </c>
    </row>
    <row r="30" spans="13:40" x14ac:dyDescent="0.2">
      <c r="AL30" t="str">
        <f>IFERROR(INDEX(Helper_AllData!$C$2:$C$1000, MATCH(0, INDEX(COUNTIF($AL$1:AL29, Helper_AllData!$C$2:$C$1000)+(Helper_AllData!$C$2:$C$1000=""), 0, 0), 0)), "")</f>
        <v/>
      </c>
      <c r="AM30" t="str">
        <f>IFERROR(INDEX(Helper_AllData!$D$2:$D$1000, MATCH(0, INDEX(COUNTIF($AM$1:AM29, Helper_AllData!$D$2:$D$1000)+(Helper_AllData!$D$2:$D$1000=""), 0, 0), 0)), "")</f>
        <v/>
      </c>
      <c r="AN30" t="str">
        <f>IFERROR(INDEX(Helper_AllData!$A$2:$A$1000, MATCH(0, INDEX(COUNTIF($AN$1:AN29, Helper_AllData!$A$2:$A$1000)+(Helper_AllData!$A$2:$A$1000=""), 0, 0), 0)), "")</f>
        <v>石帛玄 Mambo Shi</v>
      </c>
    </row>
    <row r="31" spans="13:40" x14ac:dyDescent="0.2">
      <c r="AL31" t="str">
        <f>IFERROR(INDEX(Helper_AllData!$C$2:$C$1000, MATCH(0, INDEX(COUNTIF($AL$1:AL30, Helper_AllData!$C$2:$C$1000)+(Helper_AllData!$C$2:$C$1000=""), 0, 0), 0)), "")</f>
        <v/>
      </c>
      <c r="AM31" t="str">
        <f>IFERROR(INDEX(Helper_AllData!$D$2:$D$1000, MATCH(0, INDEX(COUNTIF($AM$1:AM30, Helper_AllData!$D$2:$D$1000)+(Helper_AllData!$D$2:$D$1000=""), 0, 0), 0)), "")</f>
        <v/>
      </c>
      <c r="AN31" t="str">
        <f>IFERROR(INDEX(Helper_AllData!$A$2:$A$1000, MATCH(0, INDEX(COUNTIF($AN$1:AN30, Helper_AllData!$A$2:$A$1000)+(Helper_AllData!$A$2:$A$1000=""), 0, 0), 0)), "")</f>
        <v>胡鸿轩 Lucas Hu</v>
      </c>
    </row>
    <row r="32" spans="13:40" x14ac:dyDescent="0.2">
      <c r="AL32" t="str">
        <f>IFERROR(INDEX(Helper_AllData!$C$2:$C$1000, MATCH(0, INDEX(COUNTIF($AL$1:AL31, Helper_AllData!$C$2:$C$1000)+(Helper_AllData!$C$2:$C$1000=""), 0, 0), 0)), "")</f>
        <v/>
      </c>
      <c r="AM32" t="str">
        <f>IFERROR(INDEX(Helper_AllData!$D$2:$D$1000, MATCH(0, INDEX(COUNTIF($AM$1:AM31, Helper_AllData!$D$2:$D$1000)+(Helper_AllData!$D$2:$D$1000=""), 0, 0), 0)), "")</f>
        <v/>
      </c>
      <c r="AN32" t="str">
        <f>IFERROR(INDEX(Helper_AllData!$A$2:$A$1000, MATCH(0, INDEX(COUNTIF($AN$1:AN31, Helper_AllData!$A$2:$A$1000)+(Helper_AllData!$A$2:$A$1000=""), 0, 0), 0)), "")</f>
        <v>贺艺婕 Hesper He</v>
      </c>
    </row>
    <row r="33" spans="38:40" x14ac:dyDescent="0.2">
      <c r="AL33" t="str">
        <f>IFERROR(INDEX(Helper_AllData!$C$2:$C$1000, MATCH(0, INDEX(COUNTIF($AL$1:AL32, Helper_AllData!$C$2:$C$1000)+(Helper_AllData!$C$2:$C$1000=""), 0, 0), 0)), "")</f>
        <v/>
      </c>
      <c r="AM33" t="str">
        <f>IFERROR(INDEX(Helper_AllData!$D$2:$D$1000, MATCH(0, INDEX(COUNTIF($AM$1:AM32, Helper_AllData!$D$2:$D$1000)+(Helper_AllData!$D$2:$D$1000=""), 0, 0), 0)), "")</f>
        <v/>
      </c>
      <c r="AN33" t="str">
        <f>IFERROR(INDEX(Helper_AllData!$A$2:$A$1000, MATCH(0, INDEX(COUNTIF($AN$1:AN32, Helper_AllData!$A$2:$A$1000)+(Helper_AllData!$A$2:$A$1000=""), 0, 0), 0)), "")</f>
        <v>郭哲宁 Kris Guo</v>
      </c>
    </row>
    <row r="34" spans="38:40" x14ac:dyDescent="0.2">
      <c r="AL34" t="str">
        <f>IFERROR(INDEX(Helper_AllData!$C$2:$C$1000, MATCH(0, INDEX(COUNTIF($AL$1:AL33, Helper_AllData!$C$2:$C$1000)+(Helper_AllData!$C$2:$C$1000=""), 0, 0), 0)), "")</f>
        <v/>
      </c>
      <c r="AM34" t="str">
        <f>IFERROR(INDEX(Helper_AllData!$D$2:$D$1000, MATCH(0, INDEX(COUNTIF($AM$1:AM33, Helper_AllData!$D$2:$D$1000)+(Helper_AllData!$D$2:$D$1000=""), 0, 0), 0)), "")</f>
        <v/>
      </c>
      <c r="AN34" t="str">
        <f>IFERROR(INDEX(Helper_AllData!$A$2:$A$1000, MATCH(0, INDEX(COUNTIF($AN$1:AN33, Helper_AllData!$A$2:$A$1000)+(Helper_AllData!$A$2:$A$1000=""), 0, 0), 0)), "")</f>
        <v>陈辰 Chris Chen</v>
      </c>
    </row>
    <row r="35" spans="38:40" x14ac:dyDescent="0.2">
      <c r="AL35" t="str">
        <f>IFERROR(INDEX(Helper_AllData!$C$2:$C$1000, MATCH(0, INDEX(COUNTIF($AL$1:AL34, Helper_AllData!$C$2:$C$1000)+(Helper_AllData!$C$2:$C$1000=""), 0, 0), 0)), "")</f>
        <v/>
      </c>
      <c r="AM35" t="str">
        <f>IFERROR(INDEX(Helper_AllData!$D$2:$D$1000, MATCH(0, INDEX(COUNTIF($AM$1:AM34, Helper_AllData!$D$2:$D$1000)+(Helper_AllData!$D$2:$D$1000=""), 0, 0), 0)), "")</f>
        <v/>
      </c>
      <c r="AN35" t="str">
        <f>IFERROR(INDEX(Helper_AllData!$A$2:$A$1000, MATCH(0, INDEX(COUNTIF($AN$1:AN34, Helper_AllData!$A$2:$A$1000)+(Helper_AllData!$A$2:$A$1000=""), 0, 0), 0)), "")</f>
        <v>吕一 Bella Lv</v>
      </c>
    </row>
    <row r="36" spans="38:40" x14ac:dyDescent="0.2">
      <c r="AL36" t="str">
        <f>IFERROR(INDEX(Helper_AllData!$C$2:$C$1000, MATCH(0, INDEX(COUNTIF($AL$1:AL35, Helper_AllData!$C$2:$C$1000)+(Helper_AllData!$C$2:$C$1000=""), 0, 0), 0)), "")</f>
        <v/>
      </c>
      <c r="AM36" t="str">
        <f>IFERROR(INDEX(Helper_AllData!$D$2:$D$1000, MATCH(0, INDEX(COUNTIF($AM$1:AM35, Helper_AllData!$D$2:$D$1000)+(Helper_AllData!$D$2:$D$1000=""), 0, 0), 0)), "")</f>
        <v/>
      </c>
      <c r="AN36" t="str">
        <f>IFERROR(INDEX(Helper_AllData!$A$2:$A$1000, MATCH(0, INDEX(COUNTIF($AN$1:AN35, Helper_AllData!$A$2:$A$1000)+(Helper_AllData!$A$2:$A$1000=""), 0, 0), 0)), "")</f>
        <v>李浩辰 Henry Lee</v>
      </c>
    </row>
    <row r="37" spans="38:40" x14ac:dyDescent="0.2">
      <c r="AL37" t="str">
        <f>IFERROR(INDEX(Helper_AllData!$C$2:$C$1000, MATCH(0, INDEX(COUNTIF($AL$1:AL36, Helper_AllData!$C$2:$C$1000)+(Helper_AllData!$C$2:$C$1000=""), 0, 0), 0)), "")</f>
        <v/>
      </c>
      <c r="AM37" t="str">
        <f>IFERROR(INDEX(Helper_AllData!$D$2:$D$1000, MATCH(0, INDEX(COUNTIF($AM$1:AM36, Helper_AllData!$D$2:$D$1000)+(Helper_AllData!$D$2:$D$1000=""), 0, 0), 0)), "")</f>
        <v/>
      </c>
      <c r="AN37" t="str">
        <f>IFERROR(INDEX(Helper_AllData!$A$2:$A$1000, MATCH(0, INDEX(COUNTIF($AN$1:AN36, Helper_AllData!$A$2:$A$1000)+(Helper_AllData!$A$2:$A$1000=""), 0, 0), 0)), "")</f>
        <v>胡瀚文 Jayden Hu</v>
      </c>
    </row>
    <row r="38" spans="38:40" x14ac:dyDescent="0.2">
      <c r="AL38" t="str">
        <f>IFERROR(INDEX(Helper_AllData!$C$2:$C$1000, MATCH(0, INDEX(COUNTIF($AL$1:AL37, Helper_AllData!$C$2:$C$1000)+(Helper_AllData!$C$2:$C$1000=""), 0, 0), 0)), "")</f>
        <v/>
      </c>
      <c r="AM38" t="str">
        <f>IFERROR(INDEX(Helper_AllData!$D$2:$D$1000, MATCH(0, INDEX(COUNTIF($AM$1:AM37, Helper_AllData!$D$2:$D$1000)+(Helper_AllData!$D$2:$D$1000=""), 0, 0), 0)), "")</f>
        <v/>
      </c>
      <c r="AN38" t="str">
        <f>IFERROR(INDEX(Helper_AllData!$A$2:$A$1000, MATCH(0, INDEX(COUNTIF($AN$1:AN37, Helper_AllData!$A$2:$A$1000)+(Helper_AllData!$A$2:$A$1000=""), 0, 0), 0)), "")</f>
        <v>苏同吴 Lawrence Su</v>
      </c>
    </row>
    <row r="39" spans="38:40" x14ac:dyDescent="0.2">
      <c r="AL39" t="str">
        <f>IFERROR(INDEX(Helper_AllData!$C$2:$C$1000, MATCH(0, INDEX(COUNTIF($AL$1:AL38, Helper_AllData!$C$2:$C$1000)+(Helper_AllData!$C$2:$C$1000=""), 0, 0), 0)), "")</f>
        <v/>
      </c>
      <c r="AM39" t="str">
        <f>IFERROR(INDEX(Helper_AllData!$D$2:$D$1000, MATCH(0, INDEX(COUNTIF($AM$1:AM38, Helper_AllData!$D$2:$D$1000)+(Helper_AllData!$D$2:$D$1000=""), 0, 0), 0)), "")</f>
        <v/>
      </c>
      <c r="AN39" t="str">
        <f>IFERROR(INDEX(Helper_AllData!$A$2:$A$1000, MATCH(0, INDEX(COUNTIF($AN$1:AN38, Helper_AllData!$A$2:$A$1000)+(Helper_AllData!$A$2:$A$1000=""), 0, 0), 0)), "")</f>
        <v>蒋一帆 Tom Jiang</v>
      </c>
    </row>
    <row r="40" spans="38:40" x14ac:dyDescent="0.2">
      <c r="AL40" t="str">
        <f>IFERROR(INDEX(Helper_AllData!$C$2:$C$1000, MATCH(0, INDEX(COUNTIF($AL$1:AL39, Helper_AllData!$C$2:$C$1000)+(Helper_AllData!$C$2:$C$1000=""), 0, 0), 0)), "")</f>
        <v/>
      </c>
      <c r="AM40" t="str">
        <f>IFERROR(INDEX(Helper_AllData!$D$2:$D$1000, MATCH(0, INDEX(COUNTIF($AM$1:AM39, Helper_AllData!$D$2:$D$1000)+(Helper_AllData!$D$2:$D$1000=""), 0, 0), 0)), "")</f>
        <v/>
      </c>
      <c r="AN40" t="str">
        <f>IFERROR(INDEX(Helper_AllData!$A$2:$A$1000, MATCH(0, INDEX(COUNTIF($AN$1:AN39, Helper_AllData!$A$2:$A$1000)+(Helper_AllData!$A$2:$A$1000=""), 0, 0), 0)), "")</f>
        <v>金铂瑞 Nathan Jin</v>
      </c>
    </row>
    <row r="41" spans="38:40" x14ac:dyDescent="0.2">
      <c r="AL41" t="str">
        <f>IFERROR(INDEX(Helper_AllData!$C$2:$C$1000, MATCH(0, INDEX(COUNTIF($AL$1:AL40, Helper_AllData!$C$2:$C$1000)+(Helper_AllData!$C$2:$C$1000=""), 0, 0), 0)), "")</f>
        <v/>
      </c>
      <c r="AM41" t="str">
        <f>IFERROR(INDEX(Helper_AllData!$D$2:$D$1000, MATCH(0, INDEX(COUNTIF($AM$1:AM40, Helper_AllData!$D$2:$D$1000)+(Helper_AllData!$D$2:$D$1000=""), 0, 0), 0)), "")</f>
        <v/>
      </c>
      <c r="AN41" t="str">
        <f>IFERROR(INDEX(Helper_AllData!$A$2:$A$1000, MATCH(0, INDEX(COUNTIF($AN$1:AN40, Helper_AllData!$A$2:$A$1000)+(Helper_AllData!$A$2:$A$1000=""), 0, 0), 0)), "")</f>
        <v>陈奕森 Ethan Chen</v>
      </c>
    </row>
    <row r="42" spans="38:40" x14ac:dyDescent="0.2">
      <c r="AL42" t="str">
        <f>IFERROR(INDEX(Helper_AllData!$C$2:$C$1000, MATCH(0, INDEX(COUNTIF($AL$1:AL41, Helper_AllData!$C$2:$C$1000)+(Helper_AllData!$C$2:$C$1000=""), 0, 0), 0)), "")</f>
        <v/>
      </c>
      <c r="AM42" t="str">
        <f>IFERROR(INDEX(Helper_AllData!$D$2:$D$1000, MATCH(0, INDEX(COUNTIF($AM$1:AM41, Helper_AllData!$D$2:$D$1000)+(Helper_AllData!$D$2:$D$1000=""), 0, 0), 0)), "")</f>
        <v/>
      </c>
      <c r="AN42" t="str">
        <f>IFERROR(INDEX(Helper_AllData!$A$2:$A$1000, MATCH(0, INDEX(COUNTIF($AN$1:AN41, Helper_AllData!$A$2:$A$1000)+(Helper_AllData!$A$2:$A$1000=""), 0, 0), 0)), "")</f>
        <v>陈尔萱 Gemma Chen</v>
      </c>
    </row>
    <row r="43" spans="38:40" x14ac:dyDescent="0.2">
      <c r="AL43" t="str">
        <f>IFERROR(INDEX(Helper_AllData!$C$2:$C$1000, MATCH(0, INDEX(COUNTIF($AL$1:AL42, Helper_AllData!$C$2:$C$1000)+(Helper_AllData!$C$2:$C$1000=""), 0, 0), 0)), "")</f>
        <v/>
      </c>
      <c r="AM43" t="str">
        <f>IFERROR(INDEX(Helper_AllData!$D$2:$D$1000, MATCH(0, INDEX(COUNTIF($AM$1:AM42, Helper_AllData!$D$2:$D$1000)+(Helper_AllData!$D$2:$D$1000=""), 0, 0), 0)), "")</f>
        <v/>
      </c>
      <c r="AN43" t="str">
        <f>IFERROR(INDEX(Helper_AllData!$A$2:$A$1000, MATCH(0, INDEX(COUNTIF($AN$1:AN42, Helper_AllData!$A$2:$A$1000)+(Helper_AllData!$A$2:$A$1000=""), 0, 0), 0)), "")</f>
        <v>何灼灼 Carmen He</v>
      </c>
    </row>
    <row r="44" spans="38:40" x14ac:dyDescent="0.2">
      <c r="AL44" t="str">
        <f>IFERROR(INDEX(Helper_AllData!$C$2:$C$1000, MATCH(0, INDEX(COUNTIF($AL$1:AL43, Helper_AllData!$C$2:$C$1000)+(Helper_AllData!$C$2:$C$1000=""), 0, 0), 0)), "")</f>
        <v/>
      </c>
      <c r="AM44" t="str">
        <f>IFERROR(INDEX(Helper_AllData!$D$2:$D$1000, MATCH(0, INDEX(COUNTIF($AM$1:AM43, Helper_AllData!$D$2:$D$1000)+(Helper_AllData!$D$2:$D$1000=""), 0, 0), 0)), "")</f>
        <v/>
      </c>
      <c r="AN44" t="str">
        <f>IFERROR(INDEX(Helper_AllData!$A$2:$A$1000, MATCH(0, INDEX(COUNTIF($AN$1:AN43, Helper_AllData!$A$2:$A$1000)+(Helper_AllData!$A$2:$A$1000=""), 0, 0), 0)), "")</f>
        <v>庄婧妍 Jessie Zhuang</v>
      </c>
    </row>
    <row r="45" spans="38:40" x14ac:dyDescent="0.2">
      <c r="AL45" t="str">
        <f>IFERROR(INDEX(Helper_AllData!$C$2:$C$1000, MATCH(0, INDEX(COUNTIF($AL$1:AL44, Helper_AllData!$C$2:$C$1000)+(Helper_AllData!$C$2:$C$1000=""), 0, 0), 0)), "")</f>
        <v/>
      </c>
      <c r="AM45" t="str">
        <f>IFERROR(INDEX(Helper_AllData!$D$2:$D$1000, MATCH(0, INDEX(COUNTIF($AM$1:AM44, Helper_AllData!$D$2:$D$1000)+(Helper_AllData!$D$2:$D$1000=""), 0, 0), 0)), "")</f>
        <v/>
      </c>
      <c r="AN45" t="str">
        <f>IFERROR(INDEX(Helper_AllData!$A$2:$A$1000, MATCH(0, INDEX(COUNTIF($AN$1:AN44, Helper_AllData!$A$2:$A$1000)+(Helper_AllData!$A$2:$A$1000=""), 0, 0), 0)), "")</f>
        <v>庄婼棱 Doris Zhuang</v>
      </c>
    </row>
    <row r="46" spans="38:40" x14ac:dyDescent="0.2">
      <c r="AL46" t="str">
        <f>IFERROR(INDEX(Helper_AllData!$C$2:$C$1000, MATCH(0, INDEX(COUNTIF($AL$1:AL45, Helper_AllData!$C$2:$C$1000)+(Helper_AllData!$C$2:$C$1000=""), 0, 0), 0)), "")</f>
        <v/>
      </c>
      <c r="AM46" t="str">
        <f>IFERROR(INDEX(Helper_AllData!$D$2:$D$1000, MATCH(0, INDEX(COUNTIF($AM$1:AM45, Helper_AllData!$D$2:$D$1000)+(Helper_AllData!$D$2:$D$1000=""), 0, 0), 0)), "")</f>
        <v/>
      </c>
      <c r="AN46" t="str">
        <f>IFERROR(INDEX(Helper_AllData!$A$2:$A$1000, MATCH(0, INDEX(COUNTIF($AN$1:AN45, Helper_AllData!$A$2:$A$1000)+(Helper_AllData!$A$2:$A$1000=""), 0, 0), 0)), "")</f>
        <v>徐梓怡 Kiki Xu</v>
      </c>
    </row>
    <row r="47" spans="38:40" x14ac:dyDescent="0.2">
      <c r="AL47" t="str">
        <f>IFERROR(INDEX(Helper_AllData!$C$2:$C$1000, MATCH(0, INDEX(COUNTIF($AL$1:AL46, Helper_AllData!$C$2:$C$1000)+(Helper_AllData!$C$2:$C$1000=""), 0, 0), 0)), "")</f>
        <v/>
      </c>
      <c r="AM47" t="str">
        <f>IFERROR(INDEX(Helper_AllData!$D$2:$D$1000, MATCH(0, INDEX(COUNTIF($AM$1:AM46, Helper_AllData!$D$2:$D$1000)+(Helper_AllData!$D$2:$D$1000=""), 0, 0), 0)), "")</f>
        <v/>
      </c>
      <c r="AN47" t="str">
        <f>IFERROR(INDEX(Helper_AllData!$A$2:$A$1000, MATCH(0, INDEX(COUNTIF($AN$1:AN46, Helper_AllData!$A$2:$A$1000)+(Helper_AllData!$A$2:$A$1000=""), 0, 0), 0)), "")</f>
        <v>江函妤 Hannah Jiang</v>
      </c>
    </row>
    <row r="48" spans="38:40" x14ac:dyDescent="0.2">
      <c r="AL48" t="str">
        <f>IFERROR(INDEX(Helper_AllData!$C$2:$C$1000, MATCH(0, INDEX(COUNTIF($AL$1:AL47, Helper_AllData!$C$2:$C$1000)+(Helper_AllData!$C$2:$C$1000=""), 0, 0), 0)), "")</f>
        <v/>
      </c>
      <c r="AM48" t="str">
        <f>IFERROR(INDEX(Helper_AllData!$D$2:$D$1000, MATCH(0, INDEX(COUNTIF($AM$1:AM47, Helper_AllData!$D$2:$D$1000)+(Helper_AllData!$D$2:$D$1000=""), 0, 0), 0)), "")</f>
        <v/>
      </c>
      <c r="AN48" t="str">
        <f>IFERROR(INDEX(Helper_AllData!$A$2:$A$1000, MATCH(0, INDEX(COUNTIF($AN$1:AN47, Helper_AllData!$A$2:$A$1000)+(Helper_AllData!$A$2:$A$1000=""), 0, 0), 0)), "")</f>
        <v>沈致远 Mikey Shen</v>
      </c>
    </row>
    <row r="49" spans="38:40" x14ac:dyDescent="0.2">
      <c r="AL49" t="str">
        <f>IFERROR(INDEX(Helper_AllData!$C$2:$C$1000, MATCH(0, INDEX(COUNTIF($AL$1:AL48, Helper_AllData!$C$2:$C$1000)+(Helper_AllData!$C$2:$C$1000=""), 0, 0), 0)), "")</f>
        <v/>
      </c>
      <c r="AM49" t="str">
        <f>IFERROR(INDEX(Helper_AllData!$D$2:$D$1000, MATCH(0, INDEX(COUNTIF($AM$1:AM48, Helper_AllData!$D$2:$D$1000)+(Helper_AllData!$D$2:$D$1000=""), 0, 0), 0)), "")</f>
        <v/>
      </c>
      <c r="AN49" t="str">
        <f>IFERROR(INDEX(Helper_AllData!$A$2:$A$1000, MATCH(0, INDEX(COUNTIF($AN$1:AN48, Helper_AllData!$A$2:$A$1000)+(Helper_AllData!$A$2:$A$1000=""), 0, 0), 0)), "")</f>
        <v>王译帆 Carl Wang</v>
      </c>
    </row>
    <row r="50" spans="38:40" x14ac:dyDescent="0.2">
      <c r="AL50" t="str">
        <f>IFERROR(INDEX(Helper_AllData!$C$2:$C$1000, MATCH(0, INDEX(COUNTIF($AL$1:AL49, Helper_AllData!$C$2:$C$1000)+(Helper_AllData!$C$2:$C$1000=""), 0, 0), 0)), "")</f>
        <v/>
      </c>
      <c r="AM50" t="str">
        <f>IFERROR(INDEX(Helper_AllData!$D$2:$D$1000, MATCH(0, INDEX(COUNTIF($AM$1:AM49, Helper_AllData!$D$2:$D$1000)+(Helper_AllData!$D$2:$D$1000=""), 0, 0), 0)), "")</f>
        <v/>
      </c>
      <c r="AN50" t="str">
        <f>IFERROR(INDEX(Helper_AllData!$A$2:$A$1000, MATCH(0, INDEX(COUNTIF($AN$1:AN49, Helper_AllData!$A$2:$A$1000)+(Helper_AllData!$A$2:$A$1000=""), 0, 0), 0)), "")</f>
        <v>蒋博安 Stephan Jiang</v>
      </c>
    </row>
    <row r="51" spans="38:40" x14ac:dyDescent="0.2">
      <c r="AL51" t="str">
        <f>IFERROR(INDEX(Helper_AllData!$C$2:$C$1000, MATCH(0, INDEX(COUNTIF($AL$1:AL50, Helper_AllData!$C$2:$C$1000)+(Helper_AllData!$C$2:$C$1000=""), 0, 0), 0)), "")</f>
        <v/>
      </c>
      <c r="AM51" t="str">
        <f>IFERROR(INDEX(Helper_AllData!$D$2:$D$1000, MATCH(0, INDEX(COUNTIF($AM$1:AM50, Helper_AllData!$D$2:$D$1000)+(Helper_AllData!$D$2:$D$1000=""), 0, 0), 0)), "")</f>
        <v/>
      </c>
      <c r="AN51" t="str">
        <f>IFERROR(INDEX(Helper_AllData!$A$2:$A$1000, MATCH(0, INDEX(COUNTIF($AN$1:AN50, Helper_AllData!$A$2:$A$1000)+(Helper_AllData!$A$2:$A$1000=""), 0, 0), 0)), "")</f>
        <v>赵谦牧 Harvey Zhao</v>
      </c>
    </row>
    <row r="52" spans="38:40" x14ac:dyDescent="0.2">
      <c r="AL52" t="str">
        <f>IFERROR(INDEX(Helper_AllData!$C$2:$C$1000, MATCH(0, INDEX(COUNTIF($AL$1:AL51, Helper_AllData!$C$2:$C$1000)+(Helper_AllData!$C$2:$C$1000=""), 0, 0), 0)), "")</f>
        <v/>
      </c>
      <c r="AM52" t="str">
        <f>IFERROR(INDEX(Helper_AllData!$D$2:$D$1000, MATCH(0, INDEX(COUNTIF($AM$1:AM51, Helper_AllData!$D$2:$D$1000)+(Helper_AllData!$D$2:$D$1000=""), 0, 0), 0)), "")</f>
        <v/>
      </c>
      <c r="AN52" t="str">
        <f>IFERROR(INDEX(Helper_AllData!$A$2:$A$1000, MATCH(0, INDEX(COUNTIF($AN$1:AN51, Helper_AllData!$A$2:$A$1000)+(Helper_AllData!$A$2:$A$1000=""), 0, 0), 0)), "")</f>
        <v>陈歆冉 Ella Chen</v>
      </c>
    </row>
    <row r="53" spans="38:40" x14ac:dyDescent="0.2">
      <c r="AL53" t="str">
        <f>IFERROR(INDEX(Helper_AllData!$C$2:$C$1000, MATCH(0, INDEX(COUNTIF($AL$1:AL52, Helper_AllData!$C$2:$C$1000)+(Helper_AllData!$C$2:$C$1000=""), 0, 0), 0)), "")</f>
        <v/>
      </c>
      <c r="AM53" t="str">
        <f>IFERROR(INDEX(Helper_AllData!$D$2:$D$1000, MATCH(0, INDEX(COUNTIF($AM$1:AM52, Helper_AllData!$D$2:$D$1000)+(Helper_AllData!$D$2:$D$1000=""), 0, 0), 0)), "")</f>
        <v/>
      </c>
      <c r="AN53" t="str">
        <f>IFERROR(INDEX(Helper_AllData!$A$2:$A$1000, MATCH(0, INDEX(COUNTIF($AN$1:AN52, Helper_AllData!$A$2:$A$1000)+(Helper_AllData!$A$2:$A$1000=""), 0, 0), 0)), "")</f>
        <v>余宜城 Luca Yu</v>
      </c>
    </row>
    <row r="54" spans="38:40" x14ac:dyDescent="0.2">
      <c r="AL54" t="str">
        <f>IFERROR(INDEX(Helper_AllData!$C$2:$C$1000, MATCH(0, INDEX(COUNTIF($AL$1:AL53, Helper_AllData!$C$2:$C$1000)+(Helper_AllData!$C$2:$C$1000=""), 0, 0), 0)), "")</f>
        <v/>
      </c>
      <c r="AM54" t="str">
        <f>IFERROR(INDEX(Helper_AllData!$D$2:$D$1000, MATCH(0, INDEX(COUNTIF($AM$1:AM53, Helper_AllData!$D$2:$D$1000)+(Helper_AllData!$D$2:$D$1000=""), 0, 0), 0)), "")</f>
        <v/>
      </c>
      <c r="AN54" t="str">
        <f>IFERROR(INDEX(Helper_AllData!$A$2:$A$1000, MATCH(0, INDEX(COUNTIF($AN$1:AN53, Helper_AllData!$A$2:$A$1000)+(Helper_AllData!$A$2:$A$1000=""), 0, 0), 0)), "")</f>
        <v>李嘉晟 Eleven Li</v>
      </c>
    </row>
    <row r="55" spans="38:40" x14ac:dyDescent="0.2">
      <c r="AL55" t="str">
        <f>IFERROR(INDEX(Helper_AllData!$C$2:$C$1000, MATCH(0, INDEX(COUNTIF($AL$1:AL54, Helper_AllData!$C$2:$C$1000)+(Helper_AllData!$C$2:$C$1000=""), 0, 0), 0)), "")</f>
        <v/>
      </c>
      <c r="AM55" t="str">
        <f>IFERROR(INDEX(Helper_AllData!$D$2:$D$1000, MATCH(0, INDEX(COUNTIF($AM$1:AM54, Helper_AllData!$D$2:$D$1000)+(Helper_AllData!$D$2:$D$1000=""), 0, 0), 0)), "")</f>
        <v/>
      </c>
      <c r="AN55" t="str">
        <f>IFERROR(INDEX(Helper_AllData!$A$2:$A$1000, MATCH(0, INDEX(COUNTIF($AN$1:AN54, Helper_AllData!$A$2:$A$1000)+(Helper_AllData!$A$2:$A$1000=""), 0, 0), 0)), "")</f>
        <v>陈奕泓 Charlie Chen</v>
      </c>
    </row>
    <row r="56" spans="38:40" x14ac:dyDescent="0.2">
      <c r="AL56" t="str">
        <f>IFERROR(INDEX(Helper_AllData!$C$2:$C$1000, MATCH(0, INDEX(COUNTIF($AL$1:AL55, Helper_AllData!$C$2:$C$1000)+(Helper_AllData!$C$2:$C$1000=""), 0, 0), 0)), "")</f>
        <v/>
      </c>
      <c r="AM56" t="str">
        <f>IFERROR(INDEX(Helper_AllData!$D$2:$D$1000, MATCH(0, INDEX(COUNTIF($AM$1:AM55, Helper_AllData!$D$2:$D$1000)+(Helper_AllData!$D$2:$D$1000=""), 0, 0), 0)), "")</f>
        <v/>
      </c>
      <c r="AN56" t="str">
        <f>IFERROR(INDEX(Helper_AllData!$A$2:$A$1000, MATCH(0, INDEX(COUNTIF($AN$1:AN55, Helper_AllData!$A$2:$A$1000)+(Helper_AllData!$A$2:$A$1000=""), 0, 0), 0)), "")</f>
        <v>Sharon Liuer Lin</v>
      </c>
    </row>
    <row r="57" spans="38:40" x14ac:dyDescent="0.2">
      <c r="AL57" t="str">
        <f>IFERROR(INDEX(Helper_AllData!$C$2:$C$1000, MATCH(0, INDEX(COUNTIF($AL$1:AL56, Helper_AllData!$C$2:$C$1000)+(Helper_AllData!$C$2:$C$1000=""), 0, 0), 0)), "")</f>
        <v/>
      </c>
      <c r="AM57" t="str">
        <f>IFERROR(INDEX(Helper_AllData!$D$2:$D$1000, MATCH(0, INDEX(COUNTIF($AM$1:AM56, Helper_AllData!$D$2:$D$1000)+(Helper_AllData!$D$2:$D$1000=""), 0, 0), 0)), "")</f>
        <v/>
      </c>
      <c r="AN57" t="str">
        <f>IFERROR(INDEX(Helper_AllData!$A$2:$A$1000, MATCH(0, INDEX(COUNTIF($AN$1:AN56, Helper_AllData!$A$2:$A$1000)+(Helper_AllData!$A$2:$A$1000=""), 0, 0), 0)), "")</f>
        <v>周子淇 Lucy Zhou</v>
      </c>
    </row>
    <row r="58" spans="38:40" x14ac:dyDescent="0.2">
      <c r="AL58" t="str">
        <f>IFERROR(INDEX(Helper_AllData!$C$2:$C$1000, MATCH(0, INDEX(COUNTIF($AL$1:AL57, Helper_AllData!$C$2:$C$1000)+(Helper_AllData!$C$2:$C$1000=""), 0, 0), 0)), "")</f>
        <v/>
      </c>
      <c r="AM58" t="str">
        <f>IFERROR(INDEX(Helper_AllData!$D$2:$D$1000, MATCH(0, INDEX(COUNTIF($AM$1:AM57, Helper_AllData!$D$2:$D$1000)+(Helper_AllData!$D$2:$D$1000=""), 0, 0), 0)), "")</f>
        <v/>
      </c>
      <c r="AN58" t="str">
        <f>IFERROR(INDEX(Helper_AllData!$A$2:$A$1000, MATCH(0, INDEX(COUNTIF($AN$1:AN57, Helper_AllData!$A$2:$A$1000)+(Helper_AllData!$A$2:$A$1000=""), 0, 0), 0)), "")</f>
        <v>周慕晨 Candy Zhou</v>
      </c>
    </row>
    <row r="59" spans="38:40" x14ac:dyDescent="0.2">
      <c r="AL59" t="str">
        <f>IFERROR(INDEX(Helper_AllData!$C$2:$C$1000, MATCH(0, INDEX(COUNTIF($AL$1:AL58, Helper_AllData!$C$2:$C$1000)+(Helper_AllData!$C$2:$C$1000=""), 0, 0), 0)), "")</f>
        <v/>
      </c>
      <c r="AM59" t="str">
        <f>IFERROR(INDEX(Helper_AllData!$D$2:$D$1000, MATCH(0, INDEX(COUNTIF($AM$1:AM58, Helper_AllData!$D$2:$D$1000)+(Helper_AllData!$D$2:$D$1000=""), 0, 0), 0)), "")</f>
        <v/>
      </c>
      <c r="AN59" t="str">
        <f>IFERROR(INDEX(Helper_AllData!$A$2:$A$1000, MATCH(0, INDEX(COUNTIF($AN$1:AN58, Helper_AllData!$A$2:$A$1000)+(Helper_AllData!$A$2:$A$1000=""), 0, 0), 0)), "")</f>
        <v>张芷悦 Olivia Zhang</v>
      </c>
    </row>
    <row r="60" spans="38:40" x14ac:dyDescent="0.2">
      <c r="AL60" t="str">
        <f>IFERROR(INDEX(Helper_AllData!$C$2:$C$1000, MATCH(0, INDEX(COUNTIF($AL$1:AL59, Helper_AllData!$C$2:$C$1000)+(Helper_AllData!$C$2:$C$1000=""), 0, 0), 0)), "")</f>
        <v/>
      </c>
      <c r="AM60" t="str">
        <f>IFERROR(INDEX(Helper_AllData!$D$2:$D$1000, MATCH(0, INDEX(COUNTIF($AM$1:AM59, Helper_AllData!$D$2:$D$1000)+(Helper_AllData!$D$2:$D$1000=""), 0, 0), 0)), "")</f>
        <v/>
      </c>
      <c r="AN60" t="str">
        <f>IFERROR(INDEX(Helper_AllData!$A$2:$A$1000, MATCH(0, INDEX(COUNTIF($AN$1:AN59, Helper_AllData!$A$2:$A$1000)+(Helper_AllData!$A$2:$A$1000=""), 0, 0), 0)), "")</f>
        <v>徐坤泽 Zachary</v>
      </c>
    </row>
    <row r="61" spans="38:40" x14ac:dyDescent="0.2">
      <c r="AL61" t="str">
        <f>IFERROR(INDEX(Helper_AllData!$C$2:$C$1000, MATCH(0, INDEX(COUNTIF($AL$1:AL60, Helper_AllData!$C$2:$C$1000)+(Helper_AllData!$C$2:$C$1000=""), 0, 0), 0)), "")</f>
        <v/>
      </c>
      <c r="AM61" t="str">
        <f>IFERROR(INDEX(Helper_AllData!$D$2:$D$1000, MATCH(0, INDEX(COUNTIF($AM$1:AM60, Helper_AllData!$D$2:$D$1000)+(Helper_AllData!$D$2:$D$1000=""), 0, 0), 0)), "")</f>
        <v/>
      </c>
      <c r="AN61" t="str">
        <f>IFERROR(INDEX(Helper_AllData!$A$2:$A$1000, MATCH(0, INDEX(COUNTIF($AN$1:AN60, Helper_AllData!$A$2:$A$1000)+(Helper_AllData!$A$2:$A$1000=""), 0, 0), 0)), "")</f>
        <v>方辰晞 Amy Fang</v>
      </c>
    </row>
    <row r="62" spans="38:40" x14ac:dyDescent="0.2">
      <c r="AL62" t="str">
        <f>IFERROR(INDEX(Helper_AllData!$C$2:$C$1000, MATCH(0, INDEX(COUNTIF($AL$1:AL61, Helper_AllData!$C$2:$C$1000)+(Helper_AllData!$C$2:$C$1000=""), 0, 0), 0)), "")</f>
        <v/>
      </c>
      <c r="AM62" t="str">
        <f>IFERROR(INDEX(Helper_AllData!$D$2:$D$1000, MATCH(0, INDEX(COUNTIF($AM$1:AM61, Helper_AllData!$D$2:$D$1000)+(Helper_AllData!$D$2:$D$1000=""), 0, 0), 0)), "")</f>
        <v/>
      </c>
      <c r="AN62" t="str">
        <f>IFERROR(INDEX(Helper_AllData!$A$2:$A$1000, MATCH(0, INDEX(COUNTIF($AN$1:AN61, Helper_AllData!$A$2:$A$1000)+(Helper_AllData!$A$2:$A$1000=""), 0, 0), 0)), "")</f>
        <v>曹梓诚 James Cao</v>
      </c>
    </row>
    <row r="63" spans="38:40" x14ac:dyDescent="0.2">
      <c r="AL63" t="str">
        <f>IFERROR(INDEX(Helper_AllData!$C$2:$C$1000, MATCH(0, INDEX(COUNTIF($AL$1:AL62, Helper_AllData!$C$2:$C$1000)+(Helper_AllData!$C$2:$C$1000=""), 0, 0), 0)), "")</f>
        <v/>
      </c>
      <c r="AM63" t="str">
        <f>IFERROR(INDEX(Helper_AllData!$D$2:$D$1000, MATCH(0, INDEX(COUNTIF($AM$1:AM62, Helper_AllData!$D$2:$D$1000)+(Helper_AllData!$D$2:$D$1000=""), 0, 0), 0)), "")</f>
        <v/>
      </c>
      <c r="AN63" t="str">
        <f>IFERROR(INDEX(Helper_AllData!$A$2:$A$1000, MATCH(0, INDEX(COUNTIF($AN$1:AN62, Helper_AllData!$A$2:$A$1000)+(Helper_AllData!$A$2:$A$1000=""), 0, 0), 0)), "")</f>
        <v>苏泓恺 Dayton Su</v>
      </c>
    </row>
    <row r="64" spans="38:40" x14ac:dyDescent="0.2">
      <c r="AL64" t="str">
        <f>IFERROR(INDEX(Helper_AllData!$C$2:$C$1000, MATCH(0, INDEX(COUNTIF($AL$1:AL63, Helper_AllData!$C$2:$C$1000)+(Helper_AllData!$C$2:$C$1000=""), 0, 0), 0)), "")</f>
        <v/>
      </c>
      <c r="AM64" t="str">
        <f>IFERROR(INDEX(Helper_AllData!$D$2:$D$1000, MATCH(0, INDEX(COUNTIF($AM$1:AM63, Helper_AllData!$D$2:$D$1000)+(Helper_AllData!$D$2:$D$1000=""), 0, 0), 0)), "")</f>
        <v/>
      </c>
      <c r="AN64" t="str">
        <f>IFERROR(INDEX(Helper_AllData!$A$2:$A$1000, MATCH(0, INDEX(COUNTIF($AN$1:AN63, Helper_AllData!$A$2:$A$1000)+(Helper_AllData!$A$2:$A$1000=""), 0, 0), 0)), "")</f>
        <v>郑乔元 George Zheng</v>
      </c>
    </row>
    <row r="65" spans="38:40" x14ac:dyDescent="0.2">
      <c r="AL65" t="str">
        <f>IFERROR(INDEX(Helper_AllData!$C$2:$C$1000, MATCH(0, INDEX(COUNTIF($AL$1:AL64, Helper_AllData!$C$2:$C$1000)+(Helper_AllData!$C$2:$C$1000=""), 0, 0), 0)), "")</f>
        <v/>
      </c>
      <c r="AM65" t="str">
        <f>IFERROR(INDEX(Helper_AllData!$D$2:$D$1000, MATCH(0, INDEX(COUNTIF($AM$1:AM64, Helper_AllData!$D$2:$D$1000)+(Helper_AllData!$D$2:$D$1000=""), 0, 0), 0)), "")</f>
        <v/>
      </c>
      <c r="AN65" t="str">
        <f>IFERROR(INDEX(Helper_AllData!$A$2:$A$1000, MATCH(0, INDEX(COUNTIF($AN$1:AN64, Helper_AllData!$A$2:$A$1000)+(Helper_AllData!$A$2:$A$1000=""), 0, 0), 0)), "")</f>
        <v>钱沅 Elsa Qian</v>
      </c>
    </row>
    <row r="66" spans="38:40" x14ac:dyDescent="0.2">
      <c r="AL66" t="str">
        <f>IFERROR(INDEX(Helper_AllData!$C$2:$C$1000, MATCH(0, INDEX(COUNTIF($AL$1:AL65, Helper_AllData!$C$2:$C$1000)+(Helper_AllData!$C$2:$C$1000=""), 0, 0), 0)), "")</f>
        <v/>
      </c>
      <c r="AM66" t="str">
        <f>IFERROR(INDEX(Helper_AllData!$D$2:$D$1000, MATCH(0, INDEX(COUNTIF($AM$1:AM65, Helper_AllData!$D$2:$D$1000)+(Helper_AllData!$D$2:$D$1000=""), 0, 0), 0)), "")</f>
        <v/>
      </c>
      <c r="AN66" t="str">
        <f>IFERROR(INDEX(Helper_AllData!$A$2:$A$1000, MATCH(0, INDEX(COUNTIF($AN$1:AN65, Helper_AllData!$A$2:$A$1000)+(Helper_AllData!$A$2:$A$1000=""), 0, 0), 0)), "")</f>
        <v>陆羿恺 Noah Lu</v>
      </c>
    </row>
    <row r="67" spans="38:40" x14ac:dyDescent="0.2">
      <c r="AL67" t="str">
        <f>IFERROR(INDEX(Helper_AllData!$C$2:$C$1000, MATCH(0, INDEX(COUNTIF($AL$1:AL66, Helper_AllData!$C$2:$C$1000)+(Helper_AllData!$C$2:$C$1000=""), 0, 0), 0)), "")</f>
        <v/>
      </c>
      <c r="AM67" t="str">
        <f>IFERROR(INDEX(Helper_AllData!$D$2:$D$1000, MATCH(0, INDEX(COUNTIF($AM$1:AM66, Helper_AllData!$D$2:$D$1000)+(Helper_AllData!$D$2:$D$1000=""), 0, 0), 0)), "")</f>
        <v/>
      </c>
      <c r="AN67" t="str">
        <f>IFERROR(INDEX(Helper_AllData!$A$2:$A$1000, MATCH(0, INDEX(COUNTIF($AN$1:AN66, Helper_AllData!$A$2:$A$1000)+(Helper_AllData!$A$2:$A$1000=""), 0, 0), 0)), "")</f>
        <v>陈奕臻 Eason Chen</v>
      </c>
    </row>
    <row r="68" spans="38:40" x14ac:dyDescent="0.2">
      <c r="AL68" t="str">
        <f>IFERROR(INDEX(Helper_AllData!$C$2:$C$1000, MATCH(0, INDEX(COUNTIF($AL$1:AL67, Helper_AllData!$C$2:$C$1000)+(Helper_AllData!$C$2:$C$1000=""), 0, 0), 0)), "")</f>
        <v/>
      </c>
      <c r="AM68" t="str">
        <f>IFERROR(INDEX(Helper_AllData!$D$2:$D$1000, MATCH(0, INDEX(COUNTIF($AM$1:AM67, Helper_AllData!$D$2:$D$1000)+(Helper_AllData!$D$2:$D$1000=""), 0, 0), 0)), "")</f>
        <v/>
      </c>
      <c r="AN68" t="str">
        <f>IFERROR(INDEX(Helper_AllData!$A$2:$A$1000, MATCH(0, INDEX(COUNTIF($AN$1:AN67, Helper_AllData!$A$2:$A$1000)+(Helper_AllData!$A$2:$A$1000=""), 0, 0), 0)), "")</f>
        <v>刘芷萱 Heidi Liu</v>
      </c>
    </row>
    <row r="69" spans="38:40" x14ac:dyDescent="0.2">
      <c r="AL69" t="str">
        <f>IFERROR(INDEX(Helper_AllData!$C$2:$C$1000, MATCH(0, INDEX(COUNTIF($AL$1:AL68, Helper_AllData!$C$2:$C$1000)+(Helper_AllData!$C$2:$C$1000=""), 0, 0), 0)), "")</f>
        <v/>
      </c>
      <c r="AM69" t="str">
        <f>IFERROR(INDEX(Helper_AllData!$D$2:$D$1000, MATCH(0, INDEX(COUNTIF($AM$1:AM68, Helper_AllData!$D$2:$D$1000)+(Helper_AllData!$D$2:$D$1000=""), 0, 0), 0)), "")</f>
        <v/>
      </c>
      <c r="AN69" t="str">
        <f>IFERROR(INDEX(Helper_AllData!$A$2:$A$1000, MATCH(0, INDEX(COUNTIF($AN$1:AN68, Helper_AllData!$A$2:$A$1000)+(Helper_AllData!$A$2:$A$1000=""), 0, 0), 0)), "")</f>
        <v>吕婉仪 Sofia Lv</v>
      </c>
    </row>
    <row r="70" spans="38:40" x14ac:dyDescent="0.2">
      <c r="AL70" t="str">
        <f>IFERROR(INDEX(Helper_AllData!$C$2:$C$1000, MATCH(0, INDEX(COUNTIF($AL$1:AL69, Helper_AllData!$C$2:$C$1000)+(Helper_AllData!$C$2:$C$1000=""), 0, 0), 0)), "")</f>
        <v/>
      </c>
      <c r="AM70" t="str">
        <f>IFERROR(INDEX(Helper_AllData!$D$2:$D$1000, MATCH(0, INDEX(COUNTIF($AM$1:AM69, Helper_AllData!$D$2:$D$1000)+(Helper_AllData!$D$2:$D$1000=""), 0, 0), 0)), "")</f>
        <v/>
      </c>
      <c r="AN70" t="str">
        <f>IFERROR(INDEX(Helper_AllData!$A$2:$A$1000, MATCH(0, INDEX(COUNTIF($AN$1:AN69, Helper_AllData!$A$2:$A$1000)+(Helper_AllData!$A$2:$A$1000=""), 0, 0), 0)), "")</f>
        <v>林怿辛 Adam Lin</v>
      </c>
    </row>
    <row r="71" spans="38:40" x14ac:dyDescent="0.2">
      <c r="AL71" t="str">
        <f>IFERROR(INDEX(Helper_AllData!$C$2:$C$1000, MATCH(0, INDEX(COUNTIF($AL$1:AL70, Helper_AllData!$C$2:$C$1000)+(Helper_AllData!$C$2:$C$1000=""), 0, 0), 0)), "")</f>
        <v/>
      </c>
      <c r="AM71" t="str">
        <f>IFERROR(INDEX(Helper_AllData!$D$2:$D$1000, MATCH(0, INDEX(COUNTIF($AM$1:AM70, Helper_AllData!$D$2:$D$1000)+(Helper_AllData!$D$2:$D$1000=""), 0, 0), 0)), "")</f>
        <v/>
      </c>
      <c r="AN71" t="str">
        <f>IFERROR(INDEX(Helper_AllData!$A$2:$A$1000, MATCH(0, INDEX(COUNTIF($AN$1:AN70, Helper_AllData!$A$2:$A$1000)+(Helper_AllData!$A$2:$A$1000=""), 0, 0), 0)), "")</f>
        <v>邬宇玹 Zoe Wu</v>
      </c>
    </row>
    <row r="72" spans="38:40" x14ac:dyDescent="0.2">
      <c r="AL72" t="str">
        <f>IFERROR(INDEX(Helper_AllData!$C$2:$C$1000, MATCH(0, INDEX(COUNTIF($AL$1:AL71, Helper_AllData!$C$2:$C$1000)+(Helper_AllData!$C$2:$C$1000=""), 0, 0), 0)), "")</f>
        <v/>
      </c>
      <c r="AM72" t="str">
        <f>IFERROR(INDEX(Helper_AllData!$D$2:$D$1000, MATCH(0, INDEX(COUNTIF($AM$1:AM71, Helper_AllData!$D$2:$D$1000)+(Helper_AllData!$D$2:$D$1000=""), 0, 0), 0)), "")</f>
        <v/>
      </c>
      <c r="AN72" t="str">
        <f>IFERROR(INDEX(Helper_AllData!$A$2:$A$1000, MATCH(0, INDEX(COUNTIF($AN$1:AN71, Helper_AllData!$A$2:$A$1000)+(Helper_AllData!$A$2:$A$1000=""), 0, 0), 0)), "")</f>
        <v>李晨弘 Sean Li</v>
      </c>
    </row>
    <row r="73" spans="38:40" x14ac:dyDescent="0.2">
      <c r="AL73" t="str">
        <f>IFERROR(INDEX(Helper_AllData!$C$2:$C$1000, MATCH(0, INDEX(COUNTIF($AL$1:AL72, Helper_AllData!$C$2:$C$1000)+(Helper_AllData!$C$2:$C$1000=""), 0, 0), 0)), "")</f>
        <v/>
      </c>
      <c r="AM73" t="str">
        <f>IFERROR(INDEX(Helper_AllData!$D$2:$D$1000, MATCH(0, INDEX(COUNTIF($AM$1:AM72, Helper_AllData!$D$2:$D$1000)+(Helper_AllData!$D$2:$D$1000=""), 0, 0), 0)), "")</f>
        <v/>
      </c>
      <c r="AN73" t="str">
        <f>IFERROR(INDEX(Helper_AllData!$A$2:$A$1000, MATCH(0, INDEX(COUNTIF($AN$1:AN72, Helper_AllData!$A$2:$A$1000)+(Helper_AllData!$A$2:$A$1000=""), 0, 0), 0)), "")</f>
        <v>严浩桐 Ryan Yan</v>
      </c>
    </row>
    <row r="74" spans="38:40" x14ac:dyDescent="0.2">
      <c r="AL74" t="str">
        <f>IFERROR(INDEX(Helper_AllData!$C$2:$C$1000, MATCH(0, INDEX(COUNTIF($AL$1:AL73, Helper_AllData!$C$2:$C$1000)+(Helper_AllData!$C$2:$C$1000=""), 0, 0), 0)), "")</f>
        <v/>
      </c>
      <c r="AM74" t="str">
        <f>IFERROR(INDEX(Helper_AllData!$D$2:$D$1000, MATCH(0, INDEX(COUNTIF($AM$1:AM73, Helper_AllData!$D$2:$D$1000)+(Helper_AllData!$D$2:$D$1000=""), 0, 0), 0)), "")</f>
        <v/>
      </c>
      <c r="AN74" t="str">
        <f>IFERROR(INDEX(Helper_AllData!$A$2:$A$1000, MATCH(0, INDEX(COUNTIF($AN$1:AN73, Helper_AllData!$A$2:$A$1000)+(Helper_AllData!$A$2:$A$1000=""), 0, 0), 0)), "")</f>
        <v>沈泽辰 Jack Shen</v>
      </c>
    </row>
    <row r="75" spans="38:40" x14ac:dyDescent="0.2">
      <c r="AL75" t="str">
        <f>IFERROR(INDEX(Helper_AllData!$C$2:$C$1000, MATCH(0, INDEX(COUNTIF($AL$1:AL74, Helper_AllData!$C$2:$C$1000)+(Helper_AllData!$C$2:$C$1000=""), 0, 0), 0)), "")</f>
        <v/>
      </c>
      <c r="AM75" t="str">
        <f>IFERROR(INDEX(Helper_AllData!$D$2:$D$1000, MATCH(0, INDEX(COUNTIF($AM$1:AM74, Helper_AllData!$D$2:$D$1000)+(Helper_AllData!$D$2:$D$1000=""), 0, 0), 0)), "")</f>
        <v/>
      </c>
      <c r="AN75" t="str">
        <f>IFERROR(INDEX(Helper_AllData!$A$2:$A$1000, MATCH(0, INDEX(COUNTIF($AN$1:AN74, Helper_AllData!$A$2:$A$1000)+(Helper_AllData!$A$2:$A$1000=""), 0, 0), 0)), "")</f>
        <v>徐沁尧 Yoyo Xu</v>
      </c>
    </row>
    <row r="76" spans="38:40" x14ac:dyDescent="0.2">
      <c r="AL76" t="str">
        <f>IFERROR(INDEX(Helper_AllData!$C$2:$C$1000, MATCH(0, INDEX(COUNTIF($AL$1:AL75, Helper_AllData!$C$2:$C$1000)+(Helper_AllData!$C$2:$C$1000=""), 0, 0), 0)), "")</f>
        <v/>
      </c>
      <c r="AM76" t="str">
        <f>IFERROR(INDEX(Helper_AllData!$D$2:$D$1000, MATCH(0, INDEX(COUNTIF($AM$1:AM75, Helper_AllData!$D$2:$D$1000)+(Helper_AllData!$D$2:$D$1000=""), 0, 0), 0)), "")</f>
        <v/>
      </c>
      <c r="AN76" t="str">
        <f>IFERROR(INDEX(Helper_AllData!$A$2:$A$1000, MATCH(0, INDEX(COUNTIF($AN$1:AN75, Helper_AllData!$A$2:$A$1000)+(Helper_AllData!$A$2:$A$1000=""), 0, 0), 0)), "")</f>
        <v>史言 Millie Shi</v>
      </c>
    </row>
    <row r="77" spans="38:40" x14ac:dyDescent="0.2">
      <c r="AL77" t="str">
        <f>IFERROR(INDEX(Helper_AllData!$C$2:$C$1000, MATCH(0, INDEX(COUNTIF($AL$1:AL76, Helper_AllData!$C$2:$C$1000)+(Helper_AllData!$C$2:$C$1000=""), 0, 0), 0)), "")</f>
        <v/>
      </c>
      <c r="AM77" t="str">
        <f>IFERROR(INDEX(Helper_AllData!$D$2:$D$1000, MATCH(0, INDEX(COUNTIF($AM$1:AM76, Helper_AllData!$D$2:$D$1000)+(Helper_AllData!$D$2:$D$1000=""), 0, 0), 0)), "")</f>
        <v/>
      </c>
      <c r="AN77" t="str">
        <f>IFERROR(INDEX(Helper_AllData!$A$2:$A$1000, MATCH(0, INDEX(COUNTIF($AN$1:AN76, Helper_AllData!$A$2:$A$1000)+(Helper_AllData!$A$2:$A$1000=""), 0, 0), 0)), "")</f>
        <v>周晟妍 Candy Zhou</v>
      </c>
    </row>
    <row r="78" spans="38:40" x14ac:dyDescent="0.2">
      <c r="AL78" t="str">
        <f>IFERROR(INDEX(Helper_AllData!$C$2:$C$1000, MATCH(0, INDEX(COUNTIF($AL$1:AL77, Helper_AllData!$C$2:$C$1000)+(Helper_AllData!$C$2:$C$1000=""), 0, 0), 0)), "")</f>
        <v/>
      </c>
      <c r="AM78" t="str">
        <f>IFERROR(INDEX(Helper_AllData!$D$2:$D$1000, MATCH(0, INDEX(COUNTIF($AM$1:AM77, Helper_AllData!$D$2:$D$1000)+(Helper_AllData!$D$2:$D$1000=""), 0, 0), 0)), "")</f>
        <v/>
      </c>
      <c r="AN78" t="str">
        <f>IFERROR(INDEX(Helper_AllData!$A$2:$A$1000, MATCH(0, INDEX(COUNTIF($AN$1:AN77, Helper_AllData!$A$2:$A$1000)+(Helper_AllData!$A$2:$A$1000=""), 0, 0), 0)), "")</f>
        <v>黄楒雯 Wendy Huang</v>
      </c>
    </row>
    <row r="79" spans="38:40" x14ac:dyDescent="0.2">
      <c r="AL79" t="str">
        <f>IFERROR(INDEX(Helper_AllData!$C$2:$C$1000, MATCH(0, INDEX(COUNTIF($AL$1:AL78, Helper_AllData!$C$2:$C$1000)+(Helper_AllData!$C$2:$C$1000=""), 0, 0), 0)), "")</f>
        <v/>
      </c>
      <c r="AM79" t="str">
        <f>IFERROR(INDEX(Helper_AllData!$D$2:$D$1000, MATCH(0, INDEX(COUNTIF($AM$1:AM78, Helper_AllData!$D$2:$D$1000)+(Helper_AllData!$D$2:$D$1000=""), 0, 0), 0)), "")</f>
        <v/>
      </c>
      <c r="AN79" t="str">
        <f>IFERROR(INDEX(Helper_AllData!$A$2:$A$1000, MATCH(0, INDEX(COUNTIF($AN$1:AN78, Helper_AllData!$A$2:$A$1000)+(Helper_AllData!$A$2:$A$1000=""), 0, 0), 0)), "")</f>
        <v>陈佳浩 Henry Chen</v>
      </c>
    </row>
    <row r="80" spans="38:40" x14ac:dyDescent="0.2">
      <c r="AL80" t="str">
        <f>IFERROR(INDEX(Helper_AllData!$C$2:$C$1000, MATCH(0, INDEX(COUNTIF($AL$1:AL79, Helper_AllData!$C$2:$C$1000)+(Helper_AllData!$C$2:$C$1000=""), 0, 0), 0)), "")</f>
        <v/>
      </c>
      <c r="AM80" t="str">
        <f>IFERROR(INDEX(Helper_AllData!$D$2:$D$1000, MATCH(0, INDEX(COUNTIF($AM$1:AM79, Helper_AllData!$D$2:$D$1000)+(Helper_AllData!$D$2:$D$1000=""), 0, 0), 0)), "")</f>
        <v/>
      </c>
      <c r="AN80" t="str">
        <f>IFERROR(INDEX(Helper_AllData!$A$2:$A$1000, MATCH(0, INDEX(COUNTIF($AN$1:AN79, Helper_AllData!$A$2:$A$1000)+(Helper_AllData!$A$2:$A$1000=""), 0, 0), 0)), "")</f>
        <v>田子甯 Cora Tian</v>
      </c>
    </row>
    <row r="81" spans="38:40" x14ac:dyDescent="0.2">
      <c r="AL81" t="str">
        <f>IFERROR(INDEX(Helper_AllData!$C$2:$C$1000, MATCH(0, INDEX(COUNTIF($AL$1:AL80, Helper_AllData!$C$2:$C$1000)+(Helper_AllData!$C$2:$C$1000=""), 0, 0), 0)), "")</f>
        <v/>
      </c>
      <c r="AM81" t="str">
        <f>IFERROR(INDEX(Helper_AllData!$D$2:$D$1000, MATCH(0, INDEX(COUNTIF($AM$1:AM80, Helper_AllData!$D$2:$D$1000)+(Helper_AllData!$D$2:$D$1000=""), 0, 0), 0)), "")</f>
        <v/>
      </c>
      <c r="AN81" t="str">
        <f>IFERROR(INDEX(Helper_AllData!$A$2:$A$1000, MATCH(0, INDEX(COUNTIF($AN$1:AN80, Helper_AllData!$A$2:$A$1000)+(Helper_AllData!$A$2:$A$1000=""), 0, 0), 0)), "")</f>
        <v>王海晴 Cherry Wang</v>
      </c>
    </row>
    <row r="82" spans="38:40" x14ac:dyDescent="0.2">
      <c r="AL82" t="str">
        <f>IFERROR(INDEX(Helper_AllData!$C$2:$C$1000, MATCH(0, INDEX(COUNTIF($AL$1:AL81, Helper_AllData!$C$2:$C$1000)+(Helper_AllData!$C$2:$C$1000=""), 0, 0), 0)), "")</f>
        <v/>
      </c>
      <c r="AM82" t="str">
        <f>IFERROR(INDEX(Helper_AllData!$D$2:$D$1000, MATCH(0, INDEX(COUNTIF($AM$1:AM81, Helper_AllData!$D$2:$D$1000)+(Helper_AllData!$D$2:$D$1000=""), 0, 0), 0)), "")</f>
        <v/>
      </c>
      <c r="AN82" t="str">
        <f>IFERROR(INDEX(Helper_AllData!$A$2:$A$1000, MATCH(0, INDEX(COUNTIF($AN$1:AN81, Helper_AllData!$A$2:$A$1000)+(Helper_AllData!$A$2:$A$1000=""), 0, 0), 0)), "")</f>
        <v>黄悦翰 Oscar Huang</v>
      </c>
    </row>
    <row r="83" spans="38:40" x14ac:dyDescent="0.2">
      <c r="AL83" t="str">
        <f>IFERROR(INDEX(Helper_AllData!$C$2:$C$1000, MATCH(0, INDEX(COUNTIF($AL$1:AL82, Helper_AllData!$C$2:$C$1000)+(Helper_AllData!$C$2:$C$1000=""), 0, 0), 0)), "")</f>
        <v/>
      </c>
      <c r="AM83" t="str">
        <f>IFERROR(INDEX(Helper_AllData!$D$2:$D$1000, MATCH(0, INDEX(COUNTIF($AM$1:AM82, Helper_AllData!$D$2:$D$1000)+(Helper_AllData!$D$2:$D$1000=""), 0, 0), 0)), "")</f>
        <v/>
      </c>
      <c r="AN83" t="str">
        <f>IFERROR(INDEX(Helper_AllData!$A$2:$A$1000, MATCH(0, INDEX(COUNTIF($AN$1:AN82, Helper_AllData!$A$2:$A$1000)+(Helper_AllData!$A$2:$A$1000=""), 0, 0), 0)), "")</f>
        <v>泮羿帆 Milo Pan</v>
      </c>
    </row>
    <row r="84" spans="38:40" x14ac:dyDescent="0.2">
      <c r="AL84" t="str">
        <f>IFERROR(INDEX(Helper_AllData!$C$2:$C$1000, MATCH(0, INDEX(COUNTIF($AL$1:AL83, Helper_AllData!$C$2:$C$1000)+(Helper_AllData!$C$2:$C$1000=""), 0, 0), 0)), "")</f>
        <v/>
      </c>
      <c r="AM84" t="str">
        <f>IFERROR(INDEX(Helper_AllData!$D$2:$D$1000, MATCH(0, INDEX(COUNTIF($AM$1:AM83, Helper_AllData!$D$2:$D$1000)+(Helper_AllData!$D$2:$D$1000=""), 0, 0), 0)), "")</f>
        <v/>
      </c>
      <c r="AN84" t="str">
        <f>IFERROR(INDEX(Helper_AllData!$A$2:$A$1000, MATCH(0, INDEX(COUNTIF($AN$1:AN83, Helper_AllData!$A$2:$A$1000)+(Helper_AllData!$A$2:$A$1000=""), 0, 0), 0)), "")</f>
        <v>黄冉 Aimee Huang</v>
      </c>
    </row>
    <row r="85" spans="38:40" x14ac:dyDescent="0.2">
      <c r="AL85" t="str">
        <f>IFERROR(INDEX(Helper_AllData!$C$2:$C$1000, MATCH(0, INDEX(COUNTIF($AL$1:AL84, Helper_AllData!$C$2:$C$1000)+(Helper_AllData!$C$2:$C$1000=""), 0, 0), 0)), "")</f>
        <v/>
      </c>
      <c r="AM85" t="str">
        <f>IFERROR(INDEX(Helper_AllData!$D$2:$D$1000, MATCH(0, INDEX(COUNTIF($AM$1:AM84, Helper_AllData!$D$2:$D$1000)+(Helper_AllData!$D$2:$D$1000=""), 0, 0), 0)), "")</f>
        <v/>
      </c>
      <c r="AN85" t="str">
        <f>IFERROR(INDEX(Helper_AllData!$A$2:$A$1000, MATCH(0, INDEX(COUNTIF($AN$1:AN84, Helper_AllData!$A$2:$A$1000)+(Helper_AllData!$A$2:$A$1000=""), 0, 0), 0)), "")</f>
        <v>周楚娴 Victoria Zhou</v>
      </c>
    </row>
    <row r="86" spans="38:40" x14ac:dyDescent="0.2">
      <c r="AL86" t="str">
        <f>IFERROR(INDEX(Helper_AllData!$C$2:$C$1000, MATCH(0, INDEX(COUNTIF($AL$1:AL85, Helper_AllData!$C$2:$C$1000)+(Helper_AllData!$C$2:$C$1000=""), 0, 0), 0)), "")</f>
        <v/>
      </c>
      <c r="AM86" t="str">
        <f>IFERROR(INDEX(Helper_AllData!$D$2:$D$1000, MATCH(0, INDEX(COUNTIF($AM$1:AM85, Helper_AllData!$D$2:$D$1000)+(Helper_AllData!$D$2:$D$1000=""), 0, 0), 0)), "")</f>
        <v/>
      </c>
      <c r="AN86" t="str">
        <f>IFERROR(INDEX(Helper_AllData!$A$2:$A$1000, MATCH(0, INDEX(COUNTIF($AN$1:AN85, Helper_AllData!$A$2:$A$1000)+(Helper_AllData!$A$2:$A$1000=""), 0, 0), 0)), "")</f>
        <v>赵之源 Adam Zhao</v>
      </c>
    </row>
    <row r="87" spans="38:40" x14ac:dyDescent="0.2">
      <c r="AL87" t="str">
        <f>IFERROR(INDEX(Helper_AllData!$C$2:$C$1000, MATCH(0, INDEX(COUNTIF($AL$1:AL86, Helper_AllData!$C$2:$C$1000)+(Helper_AllData!$C$2:$C$1000=""), 0, 0), 0)), "")</f>
        <v/>
      </c>
      <c r="AM87" t="str">
        <f>IFERROR(INDEX(Helper_AllData!$D$2:$D$1000, MATCH(0, INDEX(COUNTIF($AM$1:AM86, Helper_AllData!$D$2:$D$1000)+(Helper_AllData!$D$2:$D$1000=""), 0, 0), 0)), "")</f>
        <v/>
      </c>
      <c r="AN87" t="str">
        <f>IFERROR(INDEX(Helper_AllData!$A$2:$A$1000, MATCH(0, INDEX(COUNTIF($AN$1:AN86, Helper_AllData!$A$2:$A$1000)+(Helper_AllData!$A$2:$A$1000=""), 0, 0), 0)), "")</f>
        <v>沈传扬 Anson Shen</v>
      </c>
    </row>
    <row r="88" spans="38:40" x14ac:dyDescent="0.2">
      <c r="AL88" t="str">
        <f>IFERROR(INDEX(Helper_AllData!$C$2:$C$1000, MATCH(0, INDEX(COUNTIF($AL$1:AL87, Helper_AllData!$C$2:$C$1000)+(Helper_AllData!$C$2:$C$1000=""), 0, 0), 0)), "")</f>
        <v/>
      </c>
      <c r="AM88" t="str">
        <f>IFERROR(INDEX(Helper_AllData!$D$2:$D$1000, MATCH(0, INDEX(COUNTIF($AM$1:AM87, Helper_AllData!$D$2:$D$1000)+(Helper_AllData!$D$2:$D$1000=""), 0, 0), 0)), "")</f>
        <v/>
      </c>
      <c r="AN88" t="str">
        <f>IFERROR(INDEX(Helper_AllData!$A$2:$A$1000, MATCH(0, INDEX(COUNTIF($AN$1:AN87, Helper_AllData!$A$2:$A$1000)+(Helper_AllData!$A$2:$A$1000=""), 0, 0), 0)), "")</f>
        <v>陆宇晨 Lucas Lu</v>
      </c>
    </row>
    <row r="89" spans="38:40" x14ac:dyDescent="0.2">
      <c r="AL89" t="str">
        <f>IFERROR(INDEX(Helper_AllData!$C$2:$C$1000, MATCH(0, INDEX(COUNTIF($AL$1:AL88, Helper_AllData!$C$2:$C$1000)+(Helper_AllData!$C$2:$C$1000=""), 0, 0), 0)), "")</f>
        <v/>
      </c>
      <c r="AM89" t="str">
        <f>IFERROR(INDEX(Helper_AllData!$D$2:$D$1000, MATCH(0, INDEX(COUNTIF($AM$1:AM88, Helper_AllData!$D$2:$D$1000)+(Helper_AllData!$D$2:$D$1000=""), 0, 0), 0)), "")</f>
        <v/>
      </c>
      <c r="AN89" t="str">
        <f>IFERROR(INDEX(Helper_AllData!$A$2:$A$1000, MATCH(0, INDEX(COUNTIF($AN$1:AN88, Helper_AllData!$A$2:$A$1000)+(Helper_AllData!$A$2:$A$1000=""), 0, 0), 0)), "")</f>
        <v>黄俊泽 Jeffery Huang</v>
      </c>
    </row>
    <row r="90" spans="38:40" x14ac:dyDescent="0.2">
      <c r="AL90" t="str">
        <f>IFERROR(INDEX(Helper_AllData!$C$2:$C$1000, MATCH(0, INDEX(COUNTIF($AL$1:AL89, Helper_AllData!$C$2:$C$1000)+(Helper_AllData!$C$2:$C$1000=""), 0, 0), 0)), "")</f>
        <v/>
      </c>
      <c r="AM90" t="str">
        <f>IFERROR(INDEX(Helper_AllData!$D$2:$D$1000, MATCH(0, INDEX(COUNTIF($AM$1:AM89, Helper_AllData!$D$2:$D$1000)+(Helper_AllData!$D$2:$D$1000=""), 0, 0), 0)), "")</f>
        <v/>
      </c>
      <c r="AN90" t="str">
        <f>IFERROR(INDEX(Helper_AllData!$A$2:$A$1000, MATCH(0, INDEX(COUNTIF($AN$1:AN89, Helper_AllData!$A$2:$A$1000)+(Helper_AllData!$A$2:$A$1000=""), 0, 0), 0)), "")</f>
        <v>林霆沣 Johnson Lin</v>
      </c>
    </row>
    <row r="91" spans="38:40" x14ac:dyDescent="0.2">
      <c r="AL91" t="str">
        <f>IFERROR(INDEX(Helper_AllData!$C$2:$C$1000, MATCH(0, INDEX(COUNTIF($AL$1:AL90, Helper_AllData!$C$2:$C$1000)+(Helper_AllData!$C$2:$C$1000=""), 0, 0), 0)), "")</f>
        <v/>
      </c>
      <c r="AM91" t="str">
        <f>IFERROR(INDEX(Helper_AllData!$D$2:$D$1000, MATCH(0, INDEX(COUNTIF($AM$1:AM90, Helper_AllData!$D$2:$D$1000)+(Helper_AllData!$D$2:$D$1000=""), 0, 0), 0)), "")</f>
        <v/>
      </c>
      <c r="AN91" t="str">
        <f>IFERROR(INDEX(Helper_AllData!$A$2:$A$1000, MATCH(0, INDEX(COUNTIF($AN$1:AN90, Helper_AllData!$A$2:$A$1000)+(Helper_AllData!$A$2:$A$1000=""), 0, 0), 0)), "")</f>
        <v>梁柯添玥 Summer Liang</v>
      </c>
    </row>
    <row r="92" spans="38:40" x14ac:dyDescent="0.2">
      <c r="AL92" t="str">
        <f>IFERROR(INDEX(Helper_AllData!$C$2:$C$1000, MATCH(0, INDEX(COUNTIF($AL$1:AL91, Helper_AllData!$C$2:$C$1000)+(Helper_AllData!$C$2:$C$1000=""), 0, 0), 0)), "")</f>
        <v/>
      </c>
      <c r="AM92" t="str">
        <f>IFERROR(INDEX(Helper_AllData!$D$2:$D$1000, MATCH(0, INDEX(COUNTIF($AM$1:AM91, Helper_AllData!$D$2:$D$1000)+(Helper_AllData!$D$2:$D$1000=""), 0, 0), 0)), "")</f>
        <v/>
      </c>
      <c r="AN92" t="str">
        <f>IFERROR(INDEX(Helper_AllData!$A$2:$A$1000, MATCH(0, INDEX(COUNTIF($AN$1:AN91, Helper_AllData!$A$2:$A$1000)+(Helper_AllData!$A$2:$A$1000=""), 0, 0), 0)), "")</f>
        <v>黄缙 Jin Huang</v>
      </c>
    </row>
    <row r="93" spans="38:40" x14ac:dyDescent="0.2">
      <c r="AL93" t="str">
        <f>IFERROR(INDEX(Helper_AllData!$C$2:$C$1000, MATCH(0, INDEX(COUNTIF($AL$1:AL92, Helper_AllData!$C$2:$C$1000)+(Helper_AllData!$C$2:$C$1000=""), 0, 0), 0)), "")</f>
        <v/>
      </c>
      <c r="AM93" t="str">
        <f>IFERROR(INDEX(Helper_AllData!$D$2:$D$1000, MATCH(0, INDEX(COUNTIF($AM$1:AM92, Helper_AllData!$D$2:$D$1000)+(Helper_AllData!$D$2:$D$1000=""), 0, 0), 0)), "")</f>
        <v/>
      </c>
      <c r="AN93" t="str">
        <f>IFERROR(INDEX(Helper_AllData!$A$2:$A$1000, MATCH(0, INDEX(COUNTIF($AN$1:AN92, Helper_AllData!$A$2:$A$1000)+(Helper_AllData!$A$2:$A$1000=""), 0, 0), 0)), "")</f>
        <v>包言心 Angelina Bao</v>
      </c>
    </row>
    <row r="94" spans="38:40" x14ac:dyDescent="0.2">
      <c r="AL94" t="str">
        <f>IFERROR(INDEX(Helper_AllData!$C$2:$C$1000, MATCH(0, INDEX(COUNTIF($AL$1:AL93, Helper_AllData!$C$2:$C$1000)+(Helper_AllData!$C$2:$C$1000=""), 0, 0), 0)), "")</f>
        <v/>
      </c>
      <c r="AM94" t="str">
        <f>IFERROR(INDEX(Helper_AllData!$D$2:$D$1000, MATCH(0, INDEX(COUNTIF($AM$1:AM93, Helper_AllData!$D$2:$D$1000)+(Helper_AllData!$D$2:$D$1000=""), 0, 0), 0)), "")</f>
        <v/>
      </c>
      <c r="AN94" t="str">
        <f>IFERROR(INDEX(Helper_AllData!$A$2:$A$1000, MATCH(0, INDEX(COUNTIF($AN$1:AN93, Helper_AllData!$A$2:$A$1000)+(Helper_AllData!$A$2:$A$1000=""), 0, 0), 0)), "")</f>
        <v>陈睿淇 Rachel Chen</v>
      </c>
    </row>
    <row r="95" spans="38:40" x14ac:dyDescent="0.2">
      <c r="AL95" t="str">
        <f>IFERROR(INDEX(Helper_AllData!$C$2:$C$1000, MATCH(0, INDEX(COUNTIF($AL$1:AL94, Helper_AllData!$C$2:$C$1000)+(Helper_AllData!$C$2:$C$1000=""), 0, 0), 0)), "")</f>
        <v/>
      </c>
      <c r="AM95" t="str">
        <f>IFERROR(INDEX(Helper_AllData!$D$2:$D$1000, MATCH(0, INDEX(COUNTIF($AM$1:AM94, Helper_AllData!$D$2:$D$1000)+(Helper_AllData!$D$2:$D$1000=""), 0, 0), 0)), "")</f>
        <v/>
      </c>
      <c r="AN95" t="str">
        <f>IFERROR(INDEX(Helper_AllData!$A$2:$A$1000, MATCH(0, INDEX(COUNTIF($AN$1:AN94, Helper_AllData!$A$2:$A$1000)+(Helper_AllData!$A$2:$A$1000=""), 0, 0), 0)), "")</f>
        <v/>
      </c>
    </row>
    <row r="96" spans="38:40" x14ac:dyDescent="0.2">
      <c r="AL96" t="str">
        <f>IFERROR(INDEX(Helper_AllData!$C$2:$C$1000, MATCH(0, INDEX(COUNTIF($AL$1:AL95, Helper_AllData!$C$2:$C$1000)+(Helper_AllData!$C$2:$C$1000=""), 0, 0), 0)), "")</f>
        <v/>
      </c>
      <c r="AM96" t="str">
        <f>IFERROR(INDEX(Helper_AllData!$D$2:$D$1000, MATCH(0, INDEX(COUNTIF($AM$1:AM95, Helper_AllData!$D$2:$D$1000)+(Helper_AllData!$D$2:$D$1000=""), 0, 0), 0)), "")</f>
        <v/>
      </c>
      <c r="AN96" t="str">
        <f>IFERROR(INDEX(Helper_AllData!$A$2:$A$1000, MATCH(0, INDEX(COUNTIF($AN$1:AN95, Helper_AllData!$A$2:$A$1000)+(Helper_AllData!$A$2:$A$1000=""), 0, 0), 0)), "")</f>
        <v/>
      </c>
    </row>
    <row r="97" spans="38:40" x14ac:dyDescent="0.2">
      <c r="AL97" t="str">
        <f>IFERROR(INDEX(Helper_AllData!$C$2:$C$1000, MATCH(0, INDEX(COUNTIF($AL$1:AL96, Helper_AllData!$C$2:$C$1000)+(Helper_AllData!$C$2:$C$1000=""), 0, 0), 0)), "")</f>
        <v/>
      </c>
      <c r="AM97" t="str">
        <f>IFERROR(INDEX(Helper_AllData!$D$2:$D$1000, MATCH(0, INDEX(COUNTIF($AM$1:AM96, Helper_AllData!$D$2:$D$1000)+(Helper_AllData!$D$2:$D$1000=""), 0, 0), 0)), "")</f>
        <v/>
      </c>
      <c r="AN97" t="str">
        <f>IFERROR(INDEX(Helper_AllData!$A$2:$A$1000, MATCH(0, INDEX(COUNTIF($AN$1:AN96, Helper_AllData!$A$2:$A$1000)+(Helper_AllData!$A$2:$A$1000=""), 0, 0), 0)), "")</f>
        <v/>
      </c>
    </row>
    <row r="98" spans="38:40" x14ac:dyDescent="0.2">
      <c r="AL98" t="str">
        <f>IFERROR(INDEX(Helper_AllData!$C$2:$C$1000, MATCH(0, INDEX(COUNTIF($AL$1:AL97, Helper_AllData!$C$2:$C$1000)+(Helper_AllData!$C$2:$C$1000=""), 0, 0), 0)), "")</f>
        <v/>
      </c>
      <c r="AM98" t="str">
        <f>IFERROR(INDEX(Helper_AllData!$D$2:$D$1000, MATCH(0, INDEX(COUNTIF($AM$1:AM97, Helper_AllData!$D$2:$D$1000)+(Helper_AllData!$D$2:$D$1000=""), 0, 0), 0)), "")</f>
        <v/>
      </c>
      <c r="AN98" t="str">
        <f>IFERROR(INDEX(Helper_AllData!$A$2:$A$1000, MATCH(0, INDEX(COUNTIF($AN$1:AN97, Helper_AllData!$A$2:$A$1000)+(Helper_AllData!$A$2:$A$1000=""), 0, 0), 0)), "")</f>
        <v/>
      </c>
    </row>
    <row r="99" spans="38:40" x14ac:dyDescent="0.2">
      <c r="AL99" t="str">
        <f>IFERROR(INDEX(Helper_AllData!$C$2:$C$1000, MATCH(0, INDEX(COUNTIF($AL$1:AL98, Helper_AllData!$C$2:$C$1000)+(Helper_AllData!$C$2:$C$1000=""), 0, 0), 0)), "")</f>
        <v/>
      </c>
      <c r="AM99" t="str">
        <f>IFERROR(INDEX(Helper_AllData!$D$2:$D$1000, MATCH(0, INDEX(COUNTIF($AM$1:AM98, Helper_AllData!$D$2:$D$1000)+(Helper_AllData!$D$2:$D$1000=""), 0, 0), 0)), "")</f>
        <v/>
      </c>
      <c r="AN99" t="str">
        <f>IFERROR(INDEX(Helper_AllData!$A$2:$A$1000, MATCH(0, INDEX(COUNTIF($AN$1:AN98, Helper_AllData!$A$2:$A$1000)+(Helper_AllData!$A$2:$A$1000=""), 0, 0), 0)), "")</f>
        <v/>
      </c>
    </row>
    <row r="100" spans="38:40" x14ac:dyDescent="0.2">
      <c r="AL100" t="str">
        <f>IFERROR(INDEX(Helper_AllData!$C$2:$C$1000, MATCH(0, INDEX(COUNTIF($AL$1:AL99, Helper_AllData!$C$2:$C$1000)+(Helper_AllData!$C$2:$C$1000=""), 0, 0), 0)), "")</f>
        <v/>
      </c>
      <c r="AM100" t="str">
        <f>IFERROR(INDEX(Helper_AllData!$D$2:$D$1000, MATCH(0, INDEX(COUNTIF($AM$1:AM99, Helper_AllData!$D$2:$D$1000)+(Helper_AllData!$D$2:$D$1000=""), 0, 0), 0)), "")</f>
        <v/>
      </c>
      <c r="AN100" t="str">
        <f>IFERROR(INDEX(Helper_AllData!$A$2:$A$1000, MATCH(0, INDEX(COUNTIF($AN$1:AN99, Helper_AllData!$A$2:$A$1000)+(Helper_AllData!$A$2:$A$1000=""), 0, 0), 0)), "")</f>
        <v/>
      </c>
    </row>
    <row r="101" spans="38:40" x14ac:dyDescent="0.2">
      <c r="AL101" t="str">
        <f>IFERROR(INDEX(Helper_AllData!$C$2:$C$1000, MATCH(0, INDEX(COUNTIF($AL$1:AL100, Helper_AllData!$C$2:$C$1000)+(Helper_AllData!$C$2:$C$1000=""), 0, 0), 0)), "")</f>
        <v/>
      </c>
      <c r="AM101" t="str">
        <f>IFERROR(INDEX(Helper_AllData!$D$2:$D$1000, MATCH(0, INDEX(COUNTIF($AM$1:AM100, Helper_AllData!$D$2:$D$1000)+(Helper_AllData!$D$2:$D$1000=""), 0, 0), 0)), "")</f>
        <v/>
      </c>
      <c r="AN101" t="str">
        <f>IFERROR(INDEX(Helper_AllData!$A$2:$A$1000, MATCH(0, INDEX(COUNTIF($AN$1:AN100, Helper_AllData!$A$2:$A$1000)+(Helper_AllData!$A$2:$A$1000=""), 0, 0), 0)), "")</f>
        <v/>
      </c>
    </row>
    <row r="102" spans="38:40" x14ac:dyDescent="0.2">
      <c r="AL102" t="str">
        <f>IFERROR(INDEX(Helper_AllData!$C$2:$C$1000, MATCH(0, INDEX(COUNTIF($AL$1:AL101, Helper_AllData!$C$2:$C$1000)+(Helper_AllData!$C$2:$C$1000=""), 0, 0), 0)), "")</f>
        <v/>
      </c>
      <c r="AM102" t="str">
        <f>IFERROR(INDEX(Helper_AllData!$D$2:$D$1000, MATCH(0, INDEX(COUNTIF($AM$1:AM101, Helper_AllData!$D$2:$D$1000)+(Helper_AllData!$D$2:$D$1000=""), 0, 0), 0)), "")</f>
        <v/>
      </c>
      <c r="AN102" t="str">
        <f>IFERROR(INDEX(Helper_AllData!$A$2:$A$1000, MATCH(0, INDEX(COUNTIF($AN$1:AN101, Helper_AllData!$A$2:$A$1000)+(Helper_AllData!$A$2:$A$1000=""), 0, 0), 0)), "")</f>
        <v/>
      </c>
    </row>
    <row r="103" spans="38:40" x14ac:dyDescent="0.2">
      <c r="AL103" t="str">
        <f>IFERROR(INDEX(Helper_AllData!$C$2:$C$1000, MATCH(0, INDEX(COUNTIF($AL$1:AL102, Helper_AllData!$C$2:$C$1000)+(Helper_AllData!$C$2:$C$1000=""), 0, 0), 0)), "")</f>
        <v/>
      </c>
      <c r="AM103" t="str">
        <f>IFERROR(INDEX(Helper_AllData!$D$2:$D$1000, MATCH(0, INDEX(COUNTIF($AM$1:AM102, Helper_AllData!$D$2:$D$1000)+(Helper_AllData!$D$2:$D$1000=""), 0, 0), 0)), "")</f>
        <v/>
      </c>
      <c r="AN103" t="str">
        <f>IFERROR(INDEX(Helper_AllData!$A$2:$A$1000, MATCH(0, INDEX(COUNTIF($AN$1:AN102, Helper_AllData!$A$2:$A$1000)+(Helper_AllData!$A$2:$A$1000=""), 0, 0), 0)), "")</f>
        <v/>
      </c>
    </row>
    <row r="104" spans="38:40" x14ac:dyDescent="0.2">
      <c r="AL104" t="str">
        <f>IFERROR(INDEX(Helper_AllData!$C$2:$C$1000, MATCH(0, INDEX(COUNTIF($AL$1:AL103, Helper_AllData!$C$2:$C$1000)+(Helper_AllData!$C$2:$C$1000=""), 0, 0), 0)), "")</f>
        <v/>
      </c>
      <c r="AM104" t="str">
        <f>IFERROR(INDEX(Helper_AllData!$D$2:$D$1000, MATCH(0, INDEX(COUNTIF($AM$1:AM103, Helper_AllData!$D$2:$D$1000)+(Helper_AllData!$D$2:$D$1000=""), 0, 0), 0)), "")</f>
        <v/>
      </c>
      <c r="AN104" t="str">
        <f>IFERROR(INDEX(Helper_AllData!$A$2:$A$1000, MATCH(0, INDEX(COUNTIF($AN$1:AN103, Helper_AllData!$A$2:$A$1000)+(Helper_AllData!$A$2:$A$1000=""), 0, 0), 0)), "")</f>
        <v/>
      </c>
    </row>
    <row r="105" spans="38:40" x14ac:dyDescent="0.2">
      <c r="AL105" t="str">
        <f>IFERROR(INDEX(Helper_AllData!$C$2:$C$1000, MATCH(0, INDEX(COUNTIF($AL$1:AL104, Helper_AllData!$C$2:$C$1000)+(Helper_AllData!$C$2:$C$1000=""), 0, 0), 0)), "")</f>
        <v/>
      </c>
      <c r="AM105" t="str">
        <f>IFERROR(INDEX(Helper_AllData!$D$2:$D$1000, MATCH(0, INDEX(COUNTIF($AM$1:AM104, Helper_AllData!$D$2:$D$1000)+(Helper_AllData!$D$2:$D$1000=""), 0, 0), 0)), "")</f>
        <v/>
      </c>
      <c r="AN105" t="str">
        <f>IFERROR(INDEX(Helper_AllData!$A$2:$A$1000, MATCH(0, INDEX(COUNTIF($AN$1:AN104, Helper_AllData!$A$2:$A$1000)+(Helper_AllData!$A$2:$A$1000=""), 0, 0), 0)), "")</f>
        <v/>
      </c>
    </row>
    <row r="106" spans="38:40" x14ac:dyDescent="0.2">
      <c r="AL106" t="str">
        <f>IFERROR(INDEX(Helper_AllData!$C$2:$C$1000, MATCH(0, INDEX(COUNTIF($AL$1:AL105, Helper_AllData!$C$2:$C$1000)+(Helper_AllData!$C$2:$C$1000=""), 0, 0), 0)), "")</f>
        <v/>
      </c>
      <c r="AM106" t="str">
        <f>IFERROR(INDEX(Helper_AllData!$D$2:$D$1000, MATCH(0, INDEX(COUNTIF($AM$1:AM105, Helper_AllData!$D$2:$D$1000)+(Helper_AllData!$D$2:$D$1000=""), 0, 0), 0)), "")</f>
        <v/>
      </c>
      <c r="AN106" t="str">
        <f>IFERROR(INDEX(Helper_AllData!$A$2:$A$1000, MATCH(0, INDEX(COUNTIF($AN$1:AN105, Helper_AllData!$A$2:$A$1000)+(Helper_AllData!$A$2:$A$1000=""), 0, 0), 0)), "")</f>
        <v/>
      </c>
    </row>
    <row r="107" spans="38:40" x14ac:dyDescent="0.2">
      <c r="AL107" t="str">
        <f>IFERROR(INDEX(Helper_AllData!$C$2:$C$1000, MATCH(0, INDEX(COUNTIF($AL$1:AL106, Helper_AllData!$C$2:$C$1000)+(Helper_AllData!$C$2:$C$1000=""), 0, 0), 0)), "")</f>
        <v/>
      </c>
      <c r="AM107" t="str">
        <f>IFERROR(INDEX(Helper_AllData!$D$2:$D$1000, MATCH(0, INDEX(COUNTIF($AM$1:AM106, Helper_AllData!$D$2:$D$1000)+(Helper_AllData!$D$2:$D$1000=""), 0, 0), 0)), "")</f>
        <v/>
      </c>
      <c r="AN107" t="str">
        <f>IFERROR(INDEX(Helper_AllData!$A$2:$A$1000, MATCH(0, INDEX(COUNTIF($AN$1:AN106, Helper_AllData!$A$2:$A$1000)+(Helper_AllData!$A$2:$A$1000=""), 0, 0), 0)), "")</f>
        <v/>
      </c>
    </row>
    <row r="108" spans="38:40" x14ac:dyDescent="0.2">
      <c r="AL108" t="str">
        <f>IFERROR(INDEX(Helper_AllData!$C$2:$C$1000, MATCH(0, INDEX(COUNTIF($AL$1:AL107, Helper_AllData!$C$2:$C$1000)+(Helper_AllData!$C$2:$C$1000=""), 0, 0), 0)), "")</f>
        <v/>
      </c>
      <c r="AM108" t="str">
        <f>IFERROR(INDEX(Helper_AllData!$D$2:$D$1000, MATCH(0, INDEX(COUNTIF($AM$1:AM107, Helper_AllData!$D$2:$D$1000)+(Helper_AllData!$D$2:$D$1000=""), 0, 0), 0)), "")</f>
        <v/>
      </c>
      <c r="AN108" t="str">
        <f>IFERROR(INDEX(Helper_AllData!$A$2:$A$1000, MATCH(0, INDEX(COUNTIF($AN$1:AN107, Helper_AllData!$A$2:$A$1000)+(Helper_AllData!$A$2:$A$1000=""), 0, 0), 0)), "")</f>
        <v/>
      </c>
    </row>
    <row r="109" spans="38:40" x14ac:dyDescent="0.2">
      <c r="AL109" t="str">
        <f>IFERROR(INDEX(Helper_AllData!$C$2:$C$1000, MATCH(0, INDEX(COUNTIF($AL$1:AL108, Helper_AllData!$C$2:$C$1000)+(Helper_AllData!$C$2:$C$1000=""), 0, 0), 0)), "")</f>
        <v/>
      </c>
      <c r="AM109" t="str">
        <f>IFERROR(INDEX(Helper_AllData!$D$2:$D$1000, MATCH(0, INDEX(COUNTIF($AM$1:AM108, Helper_AllData!$D$2:$D$1000)+(Helper_AllData!$D$2:$D$1000=""), 0, 0), 0)), "")</f>
        <v/>
      </c>
      <c r="AN109" t="str">
        <f>IFERROR(INDEX(Helper_AllData!$A$2:$A$1000, MATCH(0, INDEX(COUNTIF($AN$1:AN108, Helper_AllData!$A$2:$A$1000)+(Helper_AllData!$A$2:$A$1000=""), 0, 0), 0)), "")</f>
        <v/>
      </c>
    </row>
    <row r="110" spans="38:40" x14ac:dyDescent="0.2">
      <c r="AL110" t="str">
        <f>IFERROR(INDEX(Helper_AllData!$C$2:$C$1000, MATCH(0, INDEX(COUNTIF($AL$1:AL109, Helper_AllData!$C$2:$C$1000)+(Helper_AllData!$C$2:$C$1000=""), 0, 0), 0)), "")</f>
        <v/>
      </c>
      <c r="AM110" t="str">
        <f>IFERROR(INDEX(Helper_AllData!$D$2:$D$1000, MATCH(0, INDEX(COUNTIF($AM$1:AM109, Helper_AllData!$D$2:$D$1000)+(Helper_AllData!$D$2:$D$1000=""), 0, 0), 0)), "")</f>
        <v/>
      </c>
      <c r="AN110" t="str">
        <f>IFERROR(INDEX(Helper_AllData!$A$2:$A$1000, MATCH(0, INDEX(COUNTIF($AN$1:AN109, Helper_AllData!$A$2:$A$1000)+(Helper_AllData!$A$2:$A$1000=""), 0, 0), 0)), "")</f>
        <v/>
      </c>
    </row>
    <row r="111" spans="38:40" x14ac:dyDescent="0.2">
      <c r="AL111" t="str">
        <f>IFERROR(INDEX(Helper_AllData!$C$2:$C$1000, MATCH(0, INDEX(COUNTIF($AL$1:AL110, Helper_AllData!$C$2:$C$1000)+(Helper_AllData!$C$2:$C$1000=""), 0, 0), 0)), "")</f>
        <v/>
      </c>
      <c r="AM111" t="str">
        <f>IFERROR(INDEX(Helper_AllData!$D$2:$D$1000, MATCH(0, INDEX(COUNTIF($AM$1:AM110, Helper_AllData!$D$2:$D$1000)+(Helper_AllData!$D$2:$D$1000=""), 0, 0), 0)), "")</f>
        <v/>
      </c>
      <c r="AN111" t="str">
        <f>IFERROR(INDEX(Helper_AllData!$A$2:$A$1000, MATCH(0, INDEX(COUNTIF($AN$1:AN110, Helper_AllData!$A$2:$A$1000)+(Helper_AllData!$A$2:$A$1000=""), 0, 0), 0)), "")</f>
        <v/>
      </c>
    </row>
    <row r="112" spans="38:40" x14ac:dyDescent="0.2">
      <c r="AL112" t="str">
        <f>IFERROR(INDEX(Helper_AllData!$C$2:$C$1000, MATCH(0, INDEX(COUNTIF($AL$1:AL111, Helper_AllData!$C$2:$C$1000)+(Helper_AllData!$C$2:$C$1000=""), 0, 0), 0)), "")</f>
        <v/>
      </c>
      <c r="AM112" t="str">
        <f>IFERROR(INDEX(Helper_AllData!$D$2:$D$1000, MATCH(0, INDEX(COUNTIF($AM$1:AM111, Helper_AllData!$D$2:$D$1000)+(Helper_AllData!$D$2:$D$1000=""), 0, 0), 0)), "")</f>
        <v/>
      </c>
      <c r="AN112" t="str">
        <f>IFERROR(INDEX(Helper_AllData!$A$2:$A$1000, MATCH(0, INDEX(COUNTIF($AN$1:AN111, Helper_AllData!$A$2:$A$1000)+(Helper_AllData!$A$2:$A$1000=""), 0, 0), 0)), "")</f>
        <v/>
      </c>
    </row>
    <row r="113" spans="38:40" x14ac:dyDescent="0.2">
      <c r="AL113" t="str">
        <f>IFERROR(INDEX(Helper_AllData!$C$2:$C$1000, MATCH(0, INDEX(COUNTIF($AL$1:AL112, Helper_AllData!$C$2:$C$1000)+(Helper_AllData!$C$2:$C$1000=""), 0, 0), 0)), "")</f>
        <v/>
      </c>
      <c r="AM113" t="str">
        <f>IFERROR(INDEX(Helper_AllData!$D$2:$D$1000, MATCH(0, INDEX(COUNTIF($AM$1:AM112, Helper_AllData!$D$2:$D$1000)+(Helper_AllData!$D$2:$D$1000=""), 0, 0), 0)), "")</f>
        <v/>
      </c>
      <c r="AN113" t="str">
        <f>IFERROR(INDEX(Helper_AllData!$A$2:$A$1000, MATCH(0, INDEX(COUNTIF($AN$1:AN112, Helper_AllData!$A$2:$A$1000)+(Helper_AllData!$A$2:$A$1000=""), 0, 0), 0)), "")</f>
        <v/>
      </c>
    </row>
    <row r="114" spans="38:40" x14ac:dyDescent="0.2">
      <c r="AL114" t="str">
        <f>IFERROR(INDEX(Helper_AllData!$C$2:$C$1000, MATCH(0, INDEX(COUNTIF($AL$1:AL113, Helper_AllData!$C$2:$C$1000)+(Helper_AllData!$C$2:$C$1000=""), 0, 0), 0)), "")</f>
        <v/>
      </c>
      <c r="AM114" t="str">
        <f>IFERROR(INDEX(Helper_AllData!$D$2:$D$1000, MATCH(0, INDEX(COUNTIF($AM$1:AM113, Helper_AllData!$D$2:$D$1000)+(Helper_AllData!$D$2:$D$1000=""), 0, 0), 0)), "")</f>
        <v/>
      </c>
      <c r="AN114" t="str">
        <f>IFERROR(INDEX(Helper_AllData!$A$2:$A$1000, MATCH(0, INDEX(COUNTIF($AN$1:AN113, Helper_AllData!$A$2:$A$1000)+(Helper_AllData!$A$2:$A$1000=""), 0, 0), 0)), "")</f>
        <v/>
      </c>
    </row>
    <row r="115" spans="38:40" x14ac:dyDescent="0.2">
      <c r="AL115" t="str">
        <f>IFERROR(INDEX(Helper_AllData!$C$2:$C$1000, MATCH(0, INDEX(COUNTIF($AL$1:AL114, Helper_AllData!$C$2:$C$1000)+(Helper_AllData!$C$2:$C$1000=""), 0, 0), 0)), "")</f>
        <v/>
      </c>
      <c r="AM115" t="str">
        <f>IFERROR(INDEX(Helper_AllData!$D$2:$D$1000, MATCH(0, INDEX(COUNTIF($AM$1:AM114, Helper_AllData!$D$2:$D$1000)+(Helper_AllData!$D$2:$D$1000=""), 0, 0), 0)), "")</f>
        <v/>
      </c>
      <c r="AN115" t="str">
        <f>IFERROR(INDEX(Helper_AllData!$A$2:$A$1000, MATCH(0, INDEX(COUNTIF($AN$1:AN114, Helper_AllData!$A$2:$A$1000)+(Helper_AllData!$A$2:$A$1000=""), 0, 0), 0)), "")</f>
        <v/>
      </c>
    </row>
    <row r="116" spans="38:40" x14ac:dyDescent="0.2">
      <c r="AL116" t="str">
        <f>IFERROR(INDEX(Helper_AllData!$C$2:$C$1000, MATCH(0, INDEX(COUNTIF($AL$1:AL115, Helper_AllData!$C$2:$C$1000)+(Helper_AllData!$C$2:$C$1000=""), 0, 0), 0)), "")</f>
        <v/>
      </c>
      <c r="AM116" t="str">
        <f>IFERROR(INDEX(Helper_AllData!$D$2:$D$1000, MATCH(0, INDEX(COUNTIF($AM$1:AM115, Helper_AllData!$D$2:$D$1000)+(Helper_AllData!$D$2:$D$1000=""), 0, 0), 0)), "")</f>
        <v/>
      </c>
      <c r="AN116" t="str">
        <f>IFERROR(INDEX(Helper_AllData!$A$2:$A$1000, MATCH(0, INDEX(COUNTIF($AN$1:AN115, Helper_AllData!$A$2:$A$1000)+(Helper_AllData!$A$2:$A$1000=""), 0, 0), 0)), "")</f>
        <v/>
      </c>
    </row>
    <row r="117" spans="38:40" x14ac:dyDescent="0.2">
      <c r="AL117" t="str">
        <f>IFERROR(INDEX(Helper_AllData!$C$2:$C$1000, MATCH(0, INDEX(COUNTIF($AL$1:AL116, Helper_AllData!$C$2:$C$1000)+(Helper_AllData!$C$2:$C$1000=""), 0, 0), 0)), "")</f>
        <v/>
      </c>
      <c r="AM117" t="str">
        <f>IFERROR(INDEX(Helper_AllData!$D$2:$D$1000, MATCH(0, INDEX(COUNTIF($AM$1:AM116, Helper_AllData!$D$2:$D$1000)+(Helper_AllData!$D$2:$D$1000=""), 0, 0), 0)), "")</f>
        <v/>
      </c>
      <c r="AN117" t="str">
        <f>IFERROR(INDEX(Helper_AllData!$A$2:$A$1000, MATCH(0, INDEX(COUNTIF($AN$1:AN116, Helper_AllData!$A$2:$A$1000)+(Helper_AllData!$A$2:$A$1000=""), 0, 0), 0)), "")</f>
        <v/>
      </c>
    </row>
    <row r="118" spans="38:40" x14ac:dyDescent="0.2">
      <c r="AL118" t="str">
        <f>IFERROR(INDEX(Helper_AllData!$C$2:$C$1000, MATCH(0, INDEX(COUNTIF($AL$1:AL117, Helper_AllData!$C$2:$C$1000)+(Helper_AllData!$C$2:$C$1000=""), 0, 0), 0)), "")</f>
        <v/>
      </c>
      <c r="AM118" t="str">
        <f>IFERROR(INDEX(Helper_AllData!$D$2:$D$1000, MATCH(0, INDEX(COUNTIF($AM$1:AM117, Helper_AllData!$D$2:$D$1000)+(Helper_AllData!$D$2:$D$1000=""), 0, 0), 0)), "")</f>
        <v/>
      </c>
      <c r="AN118" t="str">
        <f>IFERROR(INDEX(Helper_AllData!$A$2:$A$1000, MATCH(0, INDEX(COUNTIF($AN$1:AN117, Helper_AllData!$A$2:$A$1000)+(Helper_AllData!$A$2:$A$1000=""), 0, 0), 0)), "")</f>
        <v/>
      </c>
    </row>
    <row r="119" spans="38:40" x14ac:dyDescent="0.2">
      <c r="AL119" t="str">
        <f>IFERROR(INDEX(Helper_AllData!$C$2:$C$1000, MATCH(0, INDEX(COUNTIF($AL$1:AL118, Helper_AllData!$C$2:$C$1000)+(Helper_AllData!$C$2:$C$1000=""), 0, 0), 0)), "")</f>
        <v/>
      </c>
      <c r="AM119" t="str">
        <f>IFERROR(INDEX(Helper_AllData!$D$2:$D$1000, MATCH(0, INDEX(COUNTIF($AM$1:AM118, Helper_AllData!$D$2:$D$1000)+(Helper_AllData!$D$2:$D$1000=""), 0, 0), 0)), "")</f>
        <v/>
      </c>
      <c r="AN119" t="str">
        <f>IFERROR(INDEX(Helper_AllData!$A$2:$A$1000, MATCH(0, INDEX(COUNTIF($AN$1:AN118, Helper_AllData!$A$2:$A$1000)+(Helper_AllData!$A$2:$A$1000=""), 0, 0), 0)), "")</f>
        <v/>
      </c>
    </row>
    <row r="120" spans="38:40" x14ac:dyDescent="0.2">
      <c r="AL120" t="str">
        <f>IFERROR(INDEX(Helper_AllData!$C$2:$C$1000, MATCH(0, INDEX(COUNTIF($AL$1:AL119, Helper_AllData!$C$2:$C$1000)+(Helper_AllData!$C$2:$C$1000=""), 0, 0), 0)), "")</f>
        <v/>
      </c>
      <c r="AM120" t="str">
        <f>IFERROR(INDEX(Helper_AllData!$D$2:$D$1000, MATCH(0, INDEX(COUNTIF($AM$1:AM119, Helper_AllData!$D$2:$D$1000)+(Helper_AllData!$D$2:$D$1000=""), 0, 0), 0)), "")</f>
        <v/>
      </c>
      <c r="AN120" t="str">
        <f>IFERROR(INDEX(Helper_AllData!$A$2:$A$1000, MATCH(0, INDEX(COUNTIF($AN$1:AN119, Helper_AllData!$A$2:$A$1000)+(Helper_AllData!$A$2:$A$1000=""), 0, 0), 0)), "")</f>
        <v/>
      </c>
    </row>
    <row r="121" spans="38:40" x14ac:dyDescent="0.2">
      <c r="AL121" t="str">
        <f>IFERROR(INDEX(Helper_AllData!$C$2:$C$1000, MATCH(0, INDEX(COUNTIF($AL$1:AL120, Helper_AllData!$C$2:$C$1000)+(Helper_AllData!$C$2:$C$1000=""), 0, 0), 0)), "")</f>
        <v/>
      </c>
      <c r="AM121" t="str">
        <f>IFERROR(INDEX(Helper_AllData!$D$2:$D$1000, MATCH(0, INDEX(COUNTIF($AM$1:AM120, Helper_AllData!$D$2:$D$1000)+(Helper_AllData!$D$2:$D$1000=""), 0, 0), 0)), "")</f>
        <v/>
      </c>
      <c r="AN121" t="str">
        <f>IFERROR(INDEX(Helper_AllData!$A$2:$A$1000, MATCH(0, INDEX(COUNTIF($AN$1:AN120, Helper_AllData!$A$2:$A$1000)+(Helper_AllData!$A$2:$A$1000=""), 0, 0), 0)), "")</f>
        <v/>
      </c>
    </row>
    <row r="122" spans="38:40" x14ac:dyDescent="0.2">
      <c r="AL122" t="str">
        <f>IFERROR(INDEX(Helper_AllData!$C$2:$C$1000, MATCH(0, INDEX(COUNTIF($AL$1:AL121, Helper_AllData!$C$2:$C$1000)+(Helper_AllData!$C$2:$C$1000=""), 0, 0), 0)), "")</f>
        <v/>
      </c>
      <c r="AM122" t="str">
        <f>IFERROR(INDEX(Helper_AllData!$D$2:$D$1000, MATCH(0, INDEX(COUNTIF($AM$1:AM121, Helper_AllData!$D$2:$D$1000)+(Helper_AllData!$D$2:$D$1000=""), 0, 0), 0)), "")</f>
        <v/>
      </c>
      <c r="AN122" t="str">
        <f>IFERROR(INDEX(Helper_AllData!$A$2:$A$1000, MATCH(0, INDEX(COUNTIF($AN$1:AN121, Helper_AllData!$A$2:$A$1000)+(Helper_AllData!$A$2:$A$1000=""), 0, 0), 0)), "")</f>
        <v/>
      </c>
    </row>
    <row r="123" spans="38:40" x14ac:dyDescent="0.2">
      <c r="AL123" t="str">
        <f>IFERROR(INDEX(Helper_AllData!$C$2:$C$1000, MATCH(0, INDEX(COUNTIF($AL$1:AL122, Helper_AllData!$C$2:$C$1000)+(Helper_AllData!$C$2:$C$1000=""), 0, 0), 0)), "")</f>
        <v/>
      </c>
      <c r="AM123" t="str">
        <f>IFERROR(INDEX(Helper_AllData!$D$2:$D$1000, MATCH(0, INDEX(COUNTIF($AM$1:AM122, Helper_AllData!$D$2:$D$1000)+(Helper_AllData!$D$2:$D$1000=""), 0, 0), 0)), "")</f>
        <v/>
      </c>
      <c r="AN123" t="str">
        <f>IFERROR(INDEX(Helper_AllData!$A$2:$A$1000, MATCH(0, INDEX(COUNTIF($AN$1:AN122, Helper_AllData!$A$2:$A$1000)+(Helper_AllData!$A$2:$A$1000=""), 0, 0), 0)), "")</f>
        <v/>
      </c>
    </row>
    <row r="124" spans="38:40" x14ac:dyDescent="0.2">
      <c r="AL124" t="str">
        <f>IFERROR(INDEX(Helper_AllData!$C$2:$C$1000, MATCH(0, INDEX(COUNTIF($AL$1:AL123, Helper_AllData!$C$2:$C$1000)+(Helper_AllData!$C$2:$C$1000=""), 0, 0), 0)), "")</f>
        <v/>
      </c>
      <c r="AM124" t="str">
        <f>IFERROR(INDEX(Helper_AllData!$D$2:$D$1000, MATCH(0, INDEX(COUNTIF($AM$1:AM123, Helper_AllData!$D$2:$D$1000)+(Helper_AllData!$D$2:$D$1000=""), 0, 0), 0)), "")</f>
        <v/>
      </c>
      <c r="AN124" t="str">
        <f>IFERROR(INDEX(Helper_AllData!$A$2:$A$1000, MATCH(0, INDEX(COUNTIF($AN$1:AN123, Helper_AllData!$A$2:$A$1000)+(Helper_AllData!$A$2:$A$1000=""), 0, 0), 0)), "")</f>
        <v/>
      </c>
    </row>
    <row r="125" spans="38:40" x14ac:dyDescent="0.2">
      <c r="AL125" t="str">
        <f>IFERROR(INDEX(Helper_AllData!$C$2:$C$1000, MATCH(0, INDEX(COUNTIF($AL$1:AL124, Helper_AllData!$C$2:$C$1000)+(Helper_AllData!$C$2:$C$1000=""), 0, 0), 0)), "")</f>
        <v/>
      </c>
      <c r="AM125" t="str">
        <f>IFERROR(INDEX(Helper_AllData!$D$2:$D$1000, MATCH(0, INDEX(COUNTIF($AM$1:AM124, Helper_AllData!$D$2:$D$1000)+(Helper_AllData!$D$2:$D$1000=""), 0, 0), 0)), "")</f>
        <v/>
      </c>
      <c r="AN125" t="str">
        <f>IFERROR(INDEX(Helper_AllData!$A$2:$A$1000, MATCH(0, INDEX(COUNTIF($AN$1:AN124, Helper_AllData!$A$2:$A$1000)+(Helper_AllData!$A$2:$A$1000=""), 0, 0), 0)), "")</f>
        <v/>
      </c>
    </row>
    <row r="126" spans="38:40" x14ac:dyDescent="0.2">
      <c r="AL126" t="str">
        <f>IFERROR(INDEX(Helper_AllData!$C$2:$C$1000, MATCH(0, INDEX(COUNTIF($AL$1:AL125, Helper_AllData!$C$2:$C$1000)+(Helper_AllData!$C$2:$C$1000=""), 0, 0), 0)), "")</f>
        <v/>
      </c>
      <c r="AM126" t="str">
        <f>IFERROR(INDEX(Helper_AllData!$D$2:$D$1000, MATCH(0, INDEX(COUNTIF($AM$1:AM125, Helper_AllData!$D$2:$D$1000)+(Helper_AllData!$D$2:$D$1000=""), 0, 0), 0)), "")</f>
        <v/>
      </c>
      <c r="AN126" t="str">
        <f>IFERROR(INDEX(Helper_AllData!$A$2:$A$1000, MATCH(0, INDEX(COUNTIF($AN$1:AN125, Helper_AllData!$A$2:$A$1000)+(Helper_AllData!$A$2:$A$1000=""), 0, 0), 0)), "")</f>
        <v/>
      </c>
    </row>
    <row r="127" spans="38:40" x14ac:dyDescent="0.2">
      <c r="AL127" t="str">
        <f>IFERROR(INDEX(Helper_AllData!$C$2:$C$1000, MATCH(0, INDEX(COUNTIF($AL$1:AL126, Helper_AllData!$C$2:$C$1000)+(Helper_AllData!$C$2:$C$1000=""), 0, 0), 0)), "")</f>
        <v/>
      </c>
      <c r="AM127" t="str">
        <f>IFERROR(INDEX(Helper_AllData!$D$2:$D$1000, MATCH(0, INDEX(COUNTIF($AM$1:AM126, Helper_AllData!$D$2:$D$1000)+(Helper_AllData!$D$2:$D$1000=""), 0, 0), 0)), "")</f>
        <v/>
      </c>
      <c r="AN127" t="str">
        <f>IFERROR(INDEX(Helper_AllData!$A$2:$A$1000, MATCH(0, INDEX(COUNTIF($AN$1:AN126, Helper_AllData!$A$2:$A$1000)+(Helper_AllData!$A$2:$A$1000=""), 0, 0), 0)), "")</f>
        <v/>
      </c>
    </row>
    <row r="128" spans="38:40" x14ac:dyDescent="0.2">
      <c r="AL128" t="str">
        <f>IFERROR(INDEX(Helper_AllData!$C$2:$C$1000, MATCH(0, INDEX(COUNTIF($AL$1:AL127, Helper_AllData!$C$2:$C$1000)+(Helper_AllData!$C$2:$C$1000=""), 0, 0), 0)), "")</f>
        <v/>
      </c>
      <c r="AM128" t="str">
        <f>IFERROR(INDEX(Helper_AllData!$D$2:$D$1000, MATCH(0, INDEX(COUNTIF($AM$1:AM127, Helper_AllData!$D$2:$D$1000)+(Helper_AllData!$D$2:$D$1000=""), 0, 0), 0)), "")</f>
        <v/>
      </c>
      <c r="AN128" t="str">
        <f>IFERROR(INDEX(Helper_AllData!$A$2:$A$1000, MATCH(0, INDEX(COUNTIF($AN$1:AN127, Helper_AllData!$A$2:$A$1000)+(Helper_AllData!$A$2:$A$1000=""), 0, 0), 0)), "")</f>
        <v/>
      </c>
    </row>
    <row r="129" spans="38:40" x14ac:dyDescent="0.2">
      <c r="AL129" t="str">
        <f>IFERROR(INDEX(Helper_AllData!$C$2:$C$1000, MATCH(0, INDEX(COUNTIF($AL$1:AL128, Helper_AllData!$C$2:$C$1000)+(Helper_AllData!$C$2:$C$1000=""), 0, 0), 0)), "")</f>
        <v/>
      </c>
      <c r="AM129" t="str">
        <f>IFERROR(INDEX(Helper_AllData!$D$2:$D$1000, MATCH(0, INDEX(COUNTIF($AM$1:AM128, Helper_AllData!$D$2:$D$1000)+(Helper_AllData!$D$2:$D$1000=""), 0, 0), 0)), "")</f>
        <v/>
      </c>
      <c r="AN129" t="str">
        <f>IFERROR(INDEX(Helper_AllData!$A$2:$A$1000, MATCH(0, INDEX(COUNTIF($AN$1:AN128, Helper_AllData!$A$2:$A$1000)+(Helper_AllData!$A$2:$A$1000=""), 0, 0), 0)), "")</f>
        <v/>
      </c>
    </row>
    <row r="130" spans="38:40" x14ac:dyDescent="0.2">
      <c r="AL130" t="str">
        <f>IFERROR(INDEX(Helper_AllData!$C$2:$C$1000, MATCH(0, INDEX(COUNTIF($AL$1:AL129, Helper_AllData!$C$2:$C$1000)+(Helper_AllData!$C$2:$C$1000=""), 0, 0), 0)), "")</f>
        <v/>
      </c>
      <c r="AM130" t="str">
        <f>IFERROR(INDEX(Helper_AllData!$D$2:$D$1000, MATCH(0, INDEX(COUNTIF($AM$1:AM129, Helper_AllData!$D$2:$D$1000)+(Helper_AllData!$D$2:$D$1000=""), 0, 0), 0)), "")</f>
        <v/>
      </c>
      <c r="AN130" t="str">
        <f>IFERROR(INDEX(Helper_AllData!$A$2:$A$1000, MATCH(0, INDEX(COUNTIF($AN$1:AN129, Helper_AllData!$A$2:$A$1000)+(Helper_AllData!$A$2:$A$1000=""), 0, 0), 0)), "")</f>
        <v/>
      </c>
    </row>
    <row r="131" spans="38:40" x14ac:dyDescent="0.2">
      <c r="AL131" t="str">
        <f>IFERROR(INDEX(Helper_AllData!$C$2:$C$1000, MATCH(0, INDEX(COUNTIF($AL$1:AL130, Helper_AllData!$C$2:$C$1000)+(Helper_AllData!$C$2:$C$1000=""), 0, 0), 0)), "")</f>
        <v/>
      </c>
      <c r="AM131" t="str">
        <f>IFERROR(INDEX(Helper_AllData!$D$2:$D$1000, MATCH(0, INDEX(COUNTIF($AM$1:AM130, Helper_AllData!$D$2:$D$1000)+(Helper_AllData!$D$2:$D$1000=""), 0, 0), 0)), "")</f>
        <v/>
      </c>
      <c r="AN131" t="str">
        <f>IFERROR(INDEX(Helper_AllData!$A$2:$A$1000, MATCH(0, INDEX(COUNTIF($AN$1:AN130, Helper_AllData!$A$2:$A$1000)+(Helper_AllData!$A$2:$A$1000=""), 0, 0), 0)), "")</f>
        <v/>
      </c>
    </row>
    <row r="132" spans="38:40" x14ac:dyDescent="0.2">
      <c r="AL132" t="str">
        <f>IFERROR(INDEX(Helper_AllData!$C$2:$C$1000, MATCH(0, INDEX(COUNTIF($AL$1:AL131, Helper_AllData!$C$2:$C$1000)+(Helper_AllData!$C$2:$C$1000=""), 0, 0), 0)), "")</f>
        <v/>
      </c>
      <c r="AM132" t="str">
        <f>IFERROR(INDEX(Helper_AllData!$D$2:$D$1000, MATCH(0, INDEX(COUNTIF($AM$1:AM131, Helper_AllData!$D$2:$D$1000)+(Helper_AllData!$D$2:$D$1000=""), 0, 0), 0)), "")</f>
        <v/>
      </c>
      <c r="AN132" t="str">
        <f>IFERROR(INDEX(Helper_AllData!$A$2:$A$1000, MATCH(0, INDEX(COUNTIF($AN$1:AN131, Helper_AllData!$A$2:$A$1000)+(Helper_AllData!$A$2:$A$1000=""), 0, 0), 0)), "")</f>
        <v/>
      </c>
    </row>
    <row r="133" spans="38:40" x14ac:dyDescent="0.2">
      <c r="AL133" t="str">
        <f>IFERROR(INDEX(Helper_AllData!$C$2:$C$1000, MATCH(0, INDEX(COUNTIF($AL$1:AL132, Helper_AllData!$C$2:$C$1000)+(Helper_AllData!$C$2:$C$1000=""), 0, 0), 0)), "")</f>
        <v/>
      </c>
      <c r="AM133" t="str">
        <f>IFERROR(INDEX(Helper_AllData!$D$2:$D$1000, MATCH(0, INDEX(COUNTIF($AM$1:AM132, Helper_AllData!$D$2:$D$1000)+(Helper_AllData!$D$2:$D$1000=""), 0, 0), 0)), "")</f>
        <v/>
      </c>
      <c r="AN133" t="str">
        <f>IFERROR(INDEX(Helper_AllData!$A$2:$A$1000, MATCH(0, INDEX(COUNTIF($AN$1:AN132, Helper_AllData!$A$2:$A$1000)+(Helper_AllData!$A$2:$A$1000=""), 0, 0), 0)), "")</f>
        <v/>
      </c>
    </row>
    <row r="134" spans="38:40" x14ac:dyDescent="0.2">
      <c r="AL134" t="str">
        <f>IFERROR(INDEX(Helper_AllData!$C$2:$C$1000, MATCH(0, INDEX(COUNTIF($AL$1:AL133, Helper_AllData!$C$2:$C$1000)+(Helper_AllData!$C$2:$C$1000=""), 0, 0), 0)), "")</f>
        <v/>
      </c>
      <c r="AM134" t="str">
        <f>IFERROR(INDEX(Helper_AllData!$D$2:$D$1000, MATCH(0, INDEX(COUNTIF($AM$1:AM133, Helper_AllData!$D$2:$D$1000)+(Helper_AllData!$D$2:$D$1000=""), 0, 0), 0)), "")</f>
        <v/>
      </c>
      <c r="AN134" t="str">
        <f>IFERROR(INDEX(Helper_AllData!$A$2:$A$1000, MATCH(0, INDEX(COUNTIF($AN$1:AN133, Helper_AllData!$A$2:$A$1000)+(Helper_AllData!$A$2:$A$1000=""), 0, 0), 0)), "")</f>
        <v/>
      </c>
    </row>
    <row r="135" spans="38:40" x14ac:dyDescent="0.2">
      <c r="AL135" t="str">
        <f>IFERROR(INDEX(Helper_AllData!$C$2:$C$1000, MATCH(0, INDEX(COUNTIF($AL$1:AL134, Helper_AllData!$C$2:$C$1000)+(Helper_AllData!$C$2:$C$1000=""), 0, 0), 0)), "")</f>
        <v/>
      </c>
      <c r="AM135" t="str">
        <f>IFERROR(INDEX(Helper_AllData!$D$2:$D$1000, MATCH(0, INDEX(COUNTIF($AM$1:AM134, Helper_AllData!$D$2:$D$1000)+(Helper_AllData!$D$2:$D$1000=""), 0, 0), 0)), "")</f>
        <v/>
      </c>
      <c r="AN135" t="str">
        <f>IFERROR(INDEX(Helper_AllData!$A$2:$A$1000, MATCH(0, INDEX(COUNTIF($AN$1:AN134, Helper_AllData!$A$2:$A$1000)+(Helper_AllData!$A$2:$A$1000=""), 0, 0), 0)), "")</f>
        <v/>
      </c>
    </row>
    <row r="136" spans="38:40" x14ac:dyDescent="0.2">
      <c r="AL136" t="str">
        <f>IFERROR(INDEX(Helper_AllData!$C$2:$C$1000, MATCH(0, INDEX(COUNTIF($AL$1:AL135, Helper_AllData!$C$2:$C$1000)+(Helper_AllData!$C$2:$C$1000=""), 0, 0), 0)), "")</f>
        <v/>
      </c>
      <c r="AM136" t="str">
        <f>IFERROR(INDEX(Helper_AllData!$D$2:$D$1000, MATCH(0, INDEX(COUNTIF($AM$1:AM135, Helper_AllData!$D$2:$D$1000)+(Helper_AllData!$D$2:$D$1000=""), 0, 0), 0)), "")</f>
        <v/>
      </c>
      <c r="AN136" t="str">
        <f>IFERROR(INDEX(Helper_AllData!$A$2:$A$1000, MATCH(0, INDEX(COUNTIF($AN$1:AN135, Helper_AllData!$A$2:$A$1000)+(Helper_AllData!$A$2:$A$1000=""), 0, 0), 0)), "")</f>
        <v/>
      </c>
    </row>
    <row r="137" spans="38:40" x14ac:dyDescent="0.2">
      <c r="AL137" t="str">
        <f>IFERROR(INDEX(Helper_AllData!$C$2:$C$1000, MATCH(0, INDEX(COUNTIF($AL$1:AL136, Helper_AllData!$C$2:$C$1000)+(Helper_AllData!$C$2:$C$1000=""), 0, 0), 0)), "")</f>
        <v/>
      </c>
      <c r="AM137" t="str">
        <f>IFERROR(INDEX(Helper_AllData!$D$2:$D$1000, MATCH(0, INDEX(COUNTIF($AM$1:AM136, Helper_AllData!$D$2:$D$1000)+(Helper_AllData!$D$2:$D$1000=""), 0, 0), 0)), "")</f>
        <v/>
      </c>
      <c r="AN137" t="str">
        <f>IFERROR(INDEX(Helper_AllData!$A$2:$A$1000, MATCH(0, INDEX(COUNTIF($AN$1:AN136, Helper_AllData!$A$2:$A$1000)+(Helper_AllData!$A$2:$A$1000=""), 0, 0), 0)), "")</f>
        <v/>
      </c>
    </row>
    <row r="138" spans="38:40" x14ac:dyDescent="0.2">
      <c r="AL138" t="str">
        <f>IFERROR(INDEX(Helper_AllData!$C$2:$C$1000, MATCH(0, INDEX(COUNTIF($AL$1:AL137, Helper_AllData!$C$2:$C$1000)+(Helper_AllData!$C$2:$C$1000=""), 0, 0), 0)), "")</f>
        <v/>
      </c>
      <c r="AM138" t="str">
        <f>IFERROR(INDEX(Helper_AllData!$D$2:$D$1000, MATCH(0, INDEX(COUNTIF($AM$1:AM137, Helper_AllData!$D$2:$D$1000)+(Helper_AllData!$D$2:$D$1000=""), 0, 0), 0)), "")</f>
        <v/>
      </c>
      <c r="AN138" t="str">
        <f>IFERROR(INDEX(Helper_AllData!$A$2:$A$1000, MATCH(0, INDEX(COUNTIF($AN$1:AN137, Helper_AllData!$A$2:$A$1000)+(Helper_AllData!$A$2:$A$1000=""), 0, 0), 0)), "")</f>
        <v/>
      </c>
    </row>
    <row r="139" spans="38:40" x14ac:dyDescent="0.2">
      <c r="AL139" t="str">
        <f>IFERROR(INDEX(Helper_AllData!$C$2:$C$1000, MATCH(0, INDEX(COUNTIF($AL$1:AL138, Helper_AllData!$C$2:$C$1000)+(Helper_AllData!$C$2:$C$1000=""), 0, 0), 0)), "")</f>
        <v/>
      </c>
      <c r="AM139" t="str">
        <f>IFERROR(INDEX(Helper_AllData!$D$2:$D$1000, MATCH(0, INDEX(COUNTIF($AM$1:AM138, Helper_AllData!$D$2:$D$1000)+(Helper_AllData!$D$2:$D$1000=""), 0, 0), 0)), "")</f>
        <v/>
      </c>
      <c r="AN139" t="str">
        <f>IFERROR(INDEX(Helper_AllData!$A$2:$A$1000, MATCH(0, INDEX(COUNTIF($AN$1:AN138, Helper_AllData!$A$2:$A$1000)+(Helper_AllData!$A$2:$A$1000=""), 0, 0), 0)), "")</f>
        <v/>
      </c>
    </row>
    <row r="140" spans="38:40" x14ac:dyDescent="0.2">
      <c r="AL140" t="str">
        <f>IFERROR(INDEX(Helper_AllData!$C$2:$C$1000, MATCH(0, INDEX(COUNTIF($AL$1:AL139, Helper_AllData!$C$2:$C$1000)+(Helper_AllData!$C$2:$C$1000=""), 0, 0), 0)), "")</f>
        <v/>
      </c>
      <c r="AM140" t="str">
        <f>IFERROR(INDEX(Helper_AllData!$D$2:$D$1000, MATCH(0, INDEX(COUNTIF($AM$1:AM139, Helper_AllData!$D$2:$D$1000)+(Helper_AllData!$D$2:$D$1000=""), 0, 0), 0)), "")</f>
        <v/>
      </c>
      <c r="AN140" t="str">
        <f>IFERROR(INDEX(Helper_AllData!$A$2:$A$1000, MATCH(0, INDEX(COUNTIF($AN$1:AN139, Helper_AllData!$A$2:$A$1000)+(Helper_AllData!$A$2:$A$1000=""), 0, 0), 0)), "")</f>
        <v/>
      </c>
    </row>
    <row r="141" spans="38:40" x14ac:dyDescent="0.2">
      <c r="AL141" t="str">
        <f>IFERROR(INDEX(Helper_AllData!$C$2:$C$1000, MATCH(0, INDEX(COUNTIF($AL$1:AL140, Helper_AllData!$C$2:$C$1000)+(Helper_AllData!$C$2:$C$1000=""), 0, 0), 0)), "")</f>
        <v/>
      </c>
      <c r="AM141" t="str">
        <f>IFERROR(INDEX(Helper_AllData!$D$2:$D$1000, MATCH(0, INDEX(COUNTIF($AM$1:AM140, Helper_AllData!$D$2:$D$1000)+(Helper_AllData!$D$2:$D$1000=""), 0, 0), 0)), "")</f>
        <v/>
      </c>
      <c r="AN141" t="str">
        <f>IFERROR(INDEX(Helper_AllData!$A$2:$A$1000, MATCH(0, INDEX(COUNTIF($AN$1:AN140, Helper_AllData!$A$2:$A$1000)+(Helper_AllData!$A$2:$A$1000=""), 0, 0), 0)), "")</f>
        <v/>
      </c>
    </row>
    <row r="142" spans="38:40" x14ac:dyDescent="0.2">
      <c r="AL142" t="str">
        <f>IFERROR(INDEX(Helper_AllData!$C$2:$C$1000, MATCH(0, INDEX(COUNTIF($AL$1:AL141, Helper_AllData!$C$2:$C$1000)+(Helper_AllData!$C$2:$C$1000=""), 0, 0), 0)), "")</f>
        <v/>
      </c>
      <c r="AM142" t="str">
        <f>IFERROR(INDEX(Helper_AllData!$D$2:$D$1000, MATCH(0, INDEX(COUNTIF($AM$1:AM141, Helper_AllData!$D$2:$D$1000)+(Helper_AllData!$D$2:$D$1000=""), 0, 0), 0)), "")</f>
        <v/>
      </c>
      <c r="AN142" t="str">
        <f>IFERROR(INDEX(Helper_AllData!$A$2:$A$1000, MATCH(0, INDEX(COUNTIF($AN$1:AN141, Helper_AllData!$A$2:$A$1000)+(Helper_AllData!$A$2:$A$1000=""), 0, 0), 0)), "")</f>
        <v/>
      </c>
    </row>
    <row r="143" spans="38:40" x14ac:dyDescent="0.2">
      <c r="AL143" t="str">
        <f>IFERROR(INDEX(Helper_AllData!$C$2:$C$1000, MATCH(0, INDEX(COUNTIF($AL$1:AL142, Helper_AllData!$C$2:$C$1000)+(Helper_AllData!$C$2:$C$1000=""), 0, 0), 0)), "")</f>
        <v/>
      </c>
      <c r="AM143" t="str">
        <f>IFERROR(INDEX(Helper_AllData!$D$2:$D$1000, MATCH(0, INDEX(COUNTIF($AM$1:AM142, Helper_AllData!$D$2:$D$1000)+(Helper_AllData!$D$2:$D$1000=""), 0, 0), 0)), "")</f>
        <v/>
      </c>
      <c r="AN143" t="str">
        <f>IFERROR(INDEX(Helper_AllData!$A$2:$A$1000, MATCH(0, INDEX(COUNTIF($AN$1:AN142, Helper_AllData!$A$2:$A$1000)+(Helper_AllData!$A$2:$A$1000=""), 0, 0), 0)), "")</f>
        <v/>
      </c>
    </row>
    <row r="144" spans="38:40" x14ac:dyDescent="0.2">
      <c r="AL144" t="str">
        <f>IFERROR(INDEX(Helper_AllData!$C$2:$C$1000, MATCH(0, INDEX(COUNTIF($AL$1:AL143, Helper_AllData!$C$2:$C$1000)+(Helper_AllData!$C$2:$C$1000=""), 0, 0), 0)), "")</f>
        <v/>
      </c>
      <c r="AM144" t="str">
        <f>IFERROR(INDEX(Helper_AllData!$D$2:$D$1000, MATCH(0, INDEX(COUNTIF($AM$1:AM143, Helper_AllData!$D$2:$D$1000)+(Helper_AllData!$D$2:$D$1000=""), 0, 0), 0)), "")</f>
        <v/>
      </c>
      <c r="AN144" t="str">
        <f>IFERROR(INDEX(Helper_AllData!$A$2:$A$1000, MATCH(0, INDEX(COUNTIF($AN$1:AN143, Helper_AllData!$A$2:$A$1000)+(Helper_AllData!$A$2:$A$1000=""), 0, 0), 0)), "")</f>
        <v/>
      </c>
    </row>
    <row r="145" spans="38:40" x14ac:dyDescent="0.2">
      <c r="AL145" t="str">
        <f>IFERROR(INDEX(Helper_AllData!$C$2:$C$1000, MATCH(0, INDEX(COUNTIF($AL$1:AL144, Helper_AllData!$C$2:$C$1000)+(Helper_AllData!$C$2:$C$1000=""), 0, 0), 0)), "")</f>
        <v/>
      </c>
      <c r="AM145" t="str">
        <f>IFERROR(INDEX(Helper_AllData!$D$2:$D$1000, MATCH(0, INDEX(COUNTIF($AM$1:AM144, Helper_AllData!$D$2:$D$1000)+(Helper_AllData!$D$2:$D$1000=""), 0, 0), 0)), "")</f>
        <v/>
      </c>
      <c r="AN145" t="str">
        <f>IFERROR(INDEX(Helper_AllData!$A$2:$A$1000, MATCH(0, INDEX(COUNTIF($AN$1:AN144, Helper_AllData!$A$2:$A$1000)+(Helper_AllData!$A$2:$A$1000=""), 0, 0), 0)), "")</f>
        <v/>
      </c>
    </row>
    <row r="146" spans="38:40" x14ac:dyDescent="0.2">
      <c r="AL146" t="str">
        <f>IFERROR(INDEX(Helper_AllData!$C$2:$C$1000, MATCH(0, INDEX(COUNTIF($AL$1:AL145, Helper_AllData!$C$2:$C$1000)+(Helper_AllData!$C$2:$C$1000=""), 0, 0), 0)), "")</f>
        <v/>
      </c>
      <c r="AM146" t="str">
        <f>IFERROR(INDEX(Helper_AllData!$D$2:$D$1000, MATCH(0, INDEX(COUNTIF($AM$1:AM145, Helper_AllData!$D$2:$D$1000)+(Helper_AllData!$D$2:$D$1000=""), 0, 0), 0)), "")</f>
        <v/>
      </c>
      <c r="AN146" t="str">
        <f>IFERROR(INDEX(Helper_AllData!$A$2:$A$1000, MATCH(0, INDEX(COUNTIF($AN$1:AN145, Helper_AllData!$A$2:$A$1000)+(Helper_AllData!$A$2:$A$1000=""), 0, 0), 0)), "")</f>
        <v/>
      </c>
    </row>
    <row r="147" spans="38:40" x14ac:dyDescent="0.2">
      <c r="AL147" t="str">
        <f>IFERROR(INDEX(Helper_AllData!$C$2:$C$1000, MATCH(0, INDEX(COUNTIF($AL$1:AL146, Helper_AllData!$C$2:$C$1000)+(Helper_AllData!$C$2:$C$1000=""), 0, 0), 0)), "")</f>
        <v/>
      </c>
      <c r="AM147" t="str">
        <f>IFERROR(INDEX(Helper_AllData!$D$2:$D$1000, MATCH(0, INDEX(COUNTIF($AM$1:AM146, Helper_AllData!$D$2:$D$1000)+(Helper_AllData!$D$2:$D$1000=""), 0, 0), 0)), "")</f>
        <v/>
      </c>
      <c r="AN147" t="str">
        <f>IFERROR(INDEX(Helper_AllData!$A$2:$A$1000, MATCH(0, INDEX(COUNTIF($AN$1:AN146, Helper_AllData!$A$2:$A$1000)+(Helper_AllData!$A$2:$A$1000=""), 0, 0), 0)), "")</f>
        <v/>
      </c>
    </row>
    <row r="148" spans="38:40" x14ac:dyDescent="0.2">
      <c r="AL148" t="str">
        <f>IFERROR(INDEX(Helper_AllData!$C$2:$C$1000, MATCH(0, INDEX(COUNTIF($AL$1:AL147, Helper_AllData!$C$2:$C$1000)+(Helper_AllData!$C$2:$C$1000=""), 0, 0), 0)), "")</f>
        <v/>
      </c>
      <c r="AM148" t="str">
        <f>IFERROR(INDEX(Helper_AllData!$D$2:$D$1000, MATCH(0, INDEX(COUNTIF($AM$1:AM147, Helper_AllData!$D$2:$D$1000)+(Helper_AllData!$D$2:$D$1000=""), 0, 0), 0)), "")</f>
        <v/>
      </c>
      <c r="AN148" t="str">
        <f>IFERROR(INDEX(Helper_AllData!$A$2:$A$1000, MATCH(0, INDEX(COUNTIF($AN$1:AN147, Helper_AllData!$A$2:$A$1000)+(Helper_AllData!$A$2:$A$1000=""), 0, 0), 0)), "")</f>
        <v/>
      </c>
    </row>
    <row r="149" spans="38:40" x14ac:dyDescent="0.2">
      <c r="AL149" t="str">
        <f>IFERROR(INDEX(Helper_AllData!$C$2:$C$1000, MATCH(0, INDEX(COUNTIF($AL$1:AL148, Helper_AllData!$C$2:$C$1000)+(Helper_AllData!$C$2:$C$1000=""), 0, 0), 0)), "")</f>
        <v/>
      </c>
      <c r="AM149" t="str">
        <f>IFERROR(INDEX(Helper_AllData!$D$2:$D$1000, MATCH(0, INDEX(COUNTIF($AM$1:AM148, Helper_AllData!$D$2:$D$1000)+(Helper_AllData!$D$2:$D$1000=""), 0, 0), 0)), "")</f>
        <v/>
      </c>
      <c r="AN149" t="str">
        <f>IFERROR(INDEX(Helper_AllData!$A$2:$A$1000, MATCH(0, INDEX(COUNTIF($AN$1:AN148, Helper_AllData!$A$2:$A$1000)+(Helper_AllData!$A$2:$A$1000=""), 0, 0), 0)), "")</f>
        <v/>
      </c>
    </row>
    <row r="150" spans="38:40" x14ac:dyDescent="0.2">
      <c r="AL150" t="str">
        <f>IFERROR(INDEX(Helper_AllData!$C$2:$C$1000, MATCH(0, INDEX(COUNTIF($AL$1:AL149, Helper_AllData!$C$2:$C$1000)+(Helper_AllData!$C$2:$C$1000=""), 0, 0), 0)), "")</f>
        <v/>
      </c>
      <c r="AM150" t="str">
        <f>IFERROR(INDEX(Helper_AllData!$D$2:$D$1000, MATCH(0, INDEX(COUNTIF($AM$1:AM149, Helper_AllData!$D$2:$D$1000)+(Helper_AllData!$D$2:$D$1000=""), 0, 0), 0)), "")</f>
        <v/>
      </c>
      <c r="AN150" t="str">
        <f>IFERROR(INDEX(Helper_AllData!$A$2:$A$1000, MATCH(0, INDEX(COUNTIF($AN$1:AN149, Helper_AllData!$A$2:$A$1000)+(Helper_AllData!$A$2:$A$1000=""), 0, 0), 0)), "")</f>
        <v/>
      </c>
    </row>
    <row r="151" spans="38:40" x14ac:dyDescent="0.2">
      <c r="AL151" t="str">
        <f>IFERROR(INDEX(Helper_AllData!$C$2:$C$1000, MATCH(0, INDEX(COUNTIF($AL$1:AL150, Helper_AllData!$C$2:$C$1000)+(Helper_AllData!$C$2:$C$1000=""), 0, 0), 0)), "")</f>
        <v/>
      </c>
      <c r="AM151" t="str">
        <f>IFERROR(INDEX(Helper_AllData!$D$2:$D$1000, MATCH(0, INDEX(COUNTIF($AM$1:AM150, Helper_AllData!$D$2:$D$1000)+(Helper_AllData!$D$2:$D$1000=""), 0, 0), 0)), "")</f>
        <v/>
      </c>
      <c r="AN151" t="str">
        <f>IFERROR(INDEX(Helper_AllData!$A$2:$A$1000, MATCH(0, INDEX(COUNTIF($AN$1:AN150, Helper_AllData!$A$2:$A$1000)+(Helper_AllData!$A$2:$A$1000=""), 0, 0), 0)), "")</f>
        <v/>
      </c>
    </row>
    <row r="152" spans="38:40" x14ac:dyDescent="0.2">
      <c r="AL152" t="str">
        <f>IFERROR(INDEX(Helper_AllData!$C$2:$C$1000, MATCH(0, INDEX(COUNTIF($AL$1:AL151, Helper_AllData!$C$2:$C$1000)+(Helper_AllData!$C$2:$C$1000=""), 0, 0), 0)), "")</f>
        <v/>
      </c>
      <c r="AM152" t="str">
        <f>IFERROR(INDEX(Helper_AllData!$D$2:$D$1000, MATCH(0, INDEX(COUNTIF($AM$1:AM151, Helper_AllData!$D$2:$D$1000)+(Helper_AllData!$D$2:$D$1000=""), 0, 0), 0)), "")</f>
        <v/>
      </c>
      <c r="AN152" t="str">
        <f>IFERROR(INDEX(Helper_AllData!$A$2:$A$1000, MATCH(0, INDEX(COUNTIF($AN$1:AN151, Helper_AllData!$A$2:$A$1000)+(Helper_AllData!$A$2:$A$1000=""), 0, 0), 0)), "")</f>
        <v/>
      </c>
    </row>
    <row r="153" spans="38:40" x14ac:dyDescent="0.2">
      <c r="AL153" t="str">
        <f>IFERROR(INDEX(Helper_AllData!$C$2:$C$1000, MATCH(0, INDEX(COUNTIF($AL$1:AL152, Helper_AllData!$C$2:$C$1000)+(Helper_AllData!$C$2:$C$1000=""), 0, 0), 0)), "")</f>
        <v/>
      </c>
      <c r="AM153" t="str">
        <f>IFERROR(INDEX(Helper_AllData!$D$2:$D$1000, MATCH(0, INDEX(COUNTIF($AM$1:AM152, Helper_AllData!$D$2:$D$1000)+(Helper_AllData!$D$2:$D$1000=""), 0, 0), 0)), "")</f>
        <v/>
      </c>
      <c r="AN153" t="str">
        <f>IFERROR(INDEX(Helper_AllData!$A$2:$A$1000, MATCH(0, INDEX(COUNTIF($AN$1:AN152, Helper_AllData!$A$2:$A$1000)+(Helper_AllData!$A$2:$A$1000=""), 0, 0), 0)), "")</f>
        <v/>
      </c>
    </row>
    <row r="154" spans="38:40" x14ac:dyDescent="0.2">
      <c r="AL154" t="str">
        <f>IFERROR(INDEX(Helper_AllData!$C$2:$C$1000, MATCH(0, INDEX(COUNTIF($AL$1:AL153, Helper_AllData!$C$2:$C$1000)+(Helper_AllData!$C$2:$C$1000=""), 0, 0), 0)), "")</f>
        <v/>
      </c>
      <c r="AM154" t="str">
        <f>IFERROR(INDEX(Helper_AllData!$D$2:$D$1000, MATCH(0, INDEX(COUNTIF($AM$1:AM153, Helper_AllData!$D$2:$D$1000)+(Helper_AllData!$D$2:$D$1000=""), 0, 0), 0)), "")</f>
        <v/>
      </c>
      <c r="AN154" t="str">
        <f>IFERROR(INDEX(Helper_AllData!$A$2:$A$1000, MATCH(0, INDEX(COUNTIF($AN$1:AN153, Helper_AllData!$A$2:$A$1000)+(Helper_AllData!$A$2:$A$1000=""), 0, 0), 0)), "")</f>
        <v/>
      </c>
    </row>
    <row r="155" spans="38:40" x14ac:dyDescent="0.2">
      <c r="AL155" t="str">
        <f>IFERROR(INDEX(Helper_AllData!$C$2:$C$1000, MATCH(0, INDEX(COUNTIF($AL$1:AL154, Helper_AllData!$C$2:$C$1000)+(Helper_AllData!$C$2:$C$1000=""), 0, 0), 0)), "")</f>
        <v/>
      </c>
      <c r="AM155" t="str">
        <f>IFERROR(INDEX(Helper_AllData!$D$2:$D$1000, MATCH(0, INDEX(COUNTIF($AM$1:AM154, Helper_AllData!$D$2:$D$1000)+(Helper_AllData!$D$2:$D$1000=""), 0, 0), 0)), "")</f>
        <v/>
      </c>
      <c r="AN155" t="str">
        <f>IFERROR(INDEX(Helper_AllData!$A$2:$A$1000, MATCH(0, INDEX(COUNTIF($AN$1:AN154, Helper_AllData!$A$2:$A$1000)+(Helper_AllData!$A$2:$A$1000=""), 0, 0), 0)), "")</f>
        <v/>
      </c>
    </row>
    <row r="156" spans="38:40" x14ac:dyDescent="0.2">
      <c r="AL156" t="str">
        <f>IFERROR(INDEX(Helper_AllData!$C$2:$C$1000, MATCH(0, INDEX(COUNTIF($AL$1:AL155, Helper_AllData!$C$2:$C$1000)+(Helper_AllData!$C$2:$C$1000=""), 0, 0), 0)), "")</f>
        <v/>
      </c>
      <c r="AM156" t="str">
        <f>IFERROR(INDEX(Helper_AllData!$D$2:$D$1000, MATCH(0, INDEX(COUNTIF($AM$1:AM155, Helper_AllData!$D$2:$D$1000)+(Helper_AllData!$D$2:$D$1000=""), 0, 0), 0)), "")</f>
        <v/>
      </c>
      <c r="AN156" t="str">
        <f>IFERROR(INDEX(Helper_AllData!$A$2:$A$1000, MATCH(0, INDEX(COUNTIF($AN$1:AN155, Helper_AllData!$A$2:$A$1000)+(Helper_AllData!$A$2:$A$1000=""), 0, 0), 0)), "")</f>
        <v/>
      </c>
    </row>
    <row r="157" spans="38:40" x14ac:dyDescent="0.2">
      <c r="AL157" t="str">
        <f>IFERROR(INDEX(Helper_AllData!$C$2:$C$1000, MATCH(0, INDEX(COUNTIF($AL$1:AL156, Helper_AllData!$C$2:$C$1000)+(Helper_AllData!$C$2:$C$1000=""), 0, 0), 0)), "")</f>
        <v/>
      </c>
      <c r="AM157" t="str">
        <f>IFERROR(INDEX(Helper_AllData!$D$2:$D$1000, MATCH(0, INDEX(COUNTIF($AM$1:AM156, Helper_AllData!$D$2:$D$1000)+(Helper_AllData!$D$2:$D$1000=""), 0, 0), 0)), "")</f>
        <v/>
      </c>
      <c r="AN157" t="str">
        <f>IFERROR(INDEX(Helper_AllData!$A$2:$A$1000, MATCH(0, INDEX(COUNTIF($AN$1:AN156, Helper_AllData!$A$2:$A$1000)+(Helper_AllData!$A$2:$A$1000=""), 0, 0), 0)), "")</f>
        <v/>
      </c>
    </row>
    <row r="158" spans="38:40" x14ac:dyDescent="0.2">
      <c r="AL158" t="str">
        <f>IFERROR(INDEX(Helper_AllData!$C$2:$C$1000, MATCH(0, INDEX(COUNTIF($AL$1:AL157, Helper_AllData!$C$2:$C$1000)+(Helper_AllData!$C$2:$C$1000=""), 0, 0), 0)), "")</f>
        <v/>
      </c>
      <c r="AM158" t="str">
        <f>IFERROR(INDEX(Helper_AllData!$D$2:$D$1000, MATCH(0, INDEX(COUNTIF($AM$1:AM157, Helper_AllData!$D$2:$D$1000)+(Helper_AllData!$D$2:$D$1000=""), 0, 0), 0)), "")</f>
        <v/>
      </c>
      <c r="AN158" t="str">
        <f>IFERROR(INDEX(Helper_AllData!$A$2:$A$1000, MATCH(0, INDEX(COUNTIF($AN$1:AN157, Helper_AllData!$A$2:$A$1000)+(Helper_AllData!$A$2:$A$1000=""), 0, 0), 0)), "")</f>
        <v/>
      </c>
    </row>
    <row r="159" spans="38:40" x14ac:dyDescent="0.2">
      <c r="AL159" t="str">
        <f>IFERROR(INDEX(Helper_AllData!$C$2:$C$1000, MATCH(0, INDEX(COUNTIF($AL$1:AL158, Helper_AllData!$C$2:$C$1000)+(Helper_AllData!$C$2:$C$1000=""), 0, 0), 0)), "")</f>
        <v/>
      </c>
      <c r="AM159" t="str">
        <f>IFERROR(INDEX(Helper_AllData!$D$2:$D$1000, MATCH(0, INDEX(COUNTIF($AM$1:AM158, Helper_AllData!$D$2:$D$1000)+(Helper_AllData!$D$2:$D$1000=""), 0, 0), 0)), "")</f>
        <v/>
      </c>
      <c r="AN159" t="str">
        <f>IFERROR(INDEX(Helper_AllData!$A$2:$A$1000, MATCH(0, INDEX(COUNTIF($AN$1:AN158, Helper_AllData!$A$2:$A$1000)+(Helper_AllData!$A$2:$A$1000=""), 0, 0), 0)), "")</f>
        <v/>
      </c>
    </row>
    <row r="160" spans="38:40" x14ac:dyDescent="0.2">
      <c r="AL160" t="str">
        <f>IFERROR(INDEX(Helper_AllData!$C$2:$C$1000, MATCH(0, INDEX(COUNTIF($AL$1:AL159, Helper_AllData!$C$2:$C$1000)+(Helper_AllData!$C$2:$C$1000=""), 0, 0), 0)), "")</f>
        <v/>
      </c>
      <c r="AM160" t="str">
        <f>IFERROR(INDEX(Helper_AllData!$D$2:$D$1000, MATCH(0, INDEX(COUNTIF($AM$1:AM159, Helper_AllData!$D$2:$D$1000)+(Helper_AllData!$D$2:$D$1000=""), 0, 0), 0)), "")</f>
        <v/>
      </c>
      <c r="AN160" t="str">
        <f>IFERROR(INDEX(Helper_AllData!$A$2:$A$1000, MATCH(0, INDEX(COUNTIF($AN$1:AN159, Helper_AllData!$A$2:$A$1000)+(Helper_AllData!$A$2:$A$1000=""), 0, 0), 0)), "")</f>
        <v/>
      </c>
    </row>
    <row r="161" spans="38:40" x14ac:dyDescent="0.2">
      <c r="AL161" t="str">
        <f>IFERROR(INDEX(Helper_AllData!$C$2:$C$1000, MATCH(0, INDEX(COUNTIF($AL$1:AL160, Helper_AllData!$C$2:$C$1000)+(Helper_AllData!$C$2:$C$1000=""), 0, 0), 0)), "")</f>
        <v/>
      </c>
      <c r="AM161" t="str">
        <f>IFERROR(INDEX(Helper_AllData!$D$2:$D$1000, MATCH(0, INDEX(COUNTIF($AM$1:AM160, Helper_AllData!$D$2:$D$1000)+(Helper_AllData!$D$2:$D$1000=""), 0, 0), 0)), "")</f>
        <v/>
      </c>
      <c r="AN161" t="str">
        <f>IFERROR(INDEX(Helper_AllData!$A$2:$A$1000, MATCH(0, INDEX(COUNTIF($AN$1:AN160, Helper_AllData!$A$2:$A$1000)+(Helper_AllData!$A$2:$A$1000=""), 0, 0), 0)), "")</f>
        <v/>
      </c>
    </row>
    <row r="162" spans="38:40" x14ac:dyDescent="0.2">
      <c r="AL162" t="str">
        <f>IFERROR(INDEX(Helper_AllData!$C$2:$C$1000, MATCH(0, INDEX(COUNTIF($AL$1:AL161, Helper_AllData!$C$2:$C$1000)+(Helper_AllData!$C$2:$C$1000=""), 0, 0), 0)), "")</f>
        <v/>
      </c>
      <c r="AM162" t="str">
        <f>IFERROR(INDEX(Helper_AllData!$D$2:$D$1000, MATCH(0, INDEX(COUNTIF($AM$1:AM161, Helper_AllData!$D$2:$D$1000)+(Helper_AllData!$D$2:$D$1000=""), 0, 0), 0)), "")</f>
        <v/>
      </c>
      <c r="AN162" t="str">
        <f>IFERROR(INDEX(Helper_AllData!$A$2:$A$1000, MATCH(0, INDEX(COUNTIF($AN$1:AN161, Helper_AllData!$A$2:$A$1000)+(Helper_AllData!$A$2:$A$1000=""), 0, 0), 0)), "")</f>
        <v/>
      </c>
    </row>
    <row r="163" spans="38:40" x14ac:dyDescent="0.2">
      <c r="AL163" t="str">
        <f>IFERROR(INDEX(Helper_AllData!$C$2:$C$1000, MATCH(0, INDEX(COUNTIF($AL$1:AL162, Helper_AllData!$C$2:$C$1000)+(Helper_AllData!$C$2:$C$1000=""), 0, 0), 0)), "")</f>
        <v/>
      </c>
      <c r="AM163" t="str">
        <f>IFERROR(INDEX(Helper_AllData!$D$2:$D$1000, MATCH(0, INDEX(COUNTIF($AM$1:AM162, Helper_AllData!$D$2:$D$1000)+(Helper_AllData!$D$2:$D$1000=""), 0, 0), 0)), "")</f>
        <v/>
      </c>
      <c r="AN163" t="str">
        <f>IFERROR(INDEX(Helper_AllData!$A$2:$A$1000, MATCH(0, INDEX(COUNTIF($AN$1:AN162, Helper_AllData!$A$2:$A$1000)+(Helper_AllData!$A$2:$A$1000=""), 0, 0), 0)), "")</f>
        <v/>
      </c>
    </row>
    <row r="164" spans="38:40" x14ac:dyDescent="0.2">
      <c r="AL164" t="str">
        <f>IFERROR(INDEX(Helper_AllData!$C$2:$C$1000, MATCH(0, INDEX(COUNTIF($AL$1:AL163, Helper_AllData!$C$2:$C$1000)+(Helper_AllData!$C$2:$C$1000=""), 0, 0), 0)), "")</f>
        <v/>
      </c>
      <c r="AM164" t="str">
        <f>IFERROR(INDEX(Helper_AllData!$D$2:$D$1000, MATCH(0, INDEX(COUNTIF($AM$1:AM163, Helper_AllData!$D$2:$D$1000)+(Helper_AllData!$D$2:$D$1000=""), 0, 0), 0)), "")</f>
        <v/>
      </c>
      <c r="AN164" t="str">
        <f>IFERROR(INDEX(Helper_AllData!$A$2:$A$1000, MATCH(0, INDEX(COUNTIF($AN$1:AN163, Helper_AllData!$A$2:$A$1000)+(Helper_AllData!$A$2:$A$1000=""), 0, 0), 0)), "")</f>
        <v/>
      </c>
    </row>
    <row r="165" spans="38:40" x14ac:dyDescent="0.2">
      <c r="AL165" t="str">
        <f>IFERROR(INDEX(Helper_AllData!$C$2:$C$1000, MATCH(0, INDEX(COUNTIF($AL$1:AL164, Helper_AllData!$C$2:$C$1000)+(Helper_AllData!$C$2:$C$1000=""), 0, 0), 0)), "")</f>
        <v/>
      </c>
      <c r="AM165" t="str">
        <f>IFERROR(INDEX(Helper_AllData!$D$2:$D$1000, MATCH(0, INDEX(COUNTIF($AM$1:AM164, Helper_AllData!$D$2:$D$1000)+(Helper_AllData!$D$2:$D$1000=""), 0, 0), 0)), "")</f>
        <v/>
      </c>
      <c r="AN165" t="str">
        <f>IFERROR(INDEX(Helper_AllData!$A$2:$A$1000, MATCH(0, INDEX(COUNTIF($AN$1:AN164, Helper_AllData!$A$2:$A$1000)+(Helper_AllData!$A$2:$A$1000=""), 0, 0), 0)), "")</f>
        <v/>
      </c>
    </row>
    <row r="166" spans="38:40" x14ac:dyDescent="0.2">
      <c r="AL166" t="str">
        <f>IFERROR(INDEX(Helper_AllData!$C$2:$C$1000, MATCH(0, INDEX(COUNTIF($AL$1:AL165, Helper_AllData!$C$2:$C$1000)+(Helper_AllData!$C$2:$C$1000=""), 0, 0), 0)), "")</f>
        <v/>
      </c>
      <c r="AM166" t="str">
        <f>IFERROR(INDEX(Helper_AllData!$D$2:$D$1000, MATCH(0, INDEX(COUNTIF($AM$1:AM165, Helper_AllData!$D$2:$D$1000)+(Helper_AllData!$D$2:$D$1000=""), 0, 0), 0)), "")</f>
        <v/>
      </c>
      <c r="AN166" t="str">
        <f>IFERROR(INDEX(Helper_AllData!$A$2:$A$1000, MATCH(0, INDEX(COUNTIF($AN$1:AN165, Helper_AllData!$A$2:$A$1000)+(Helper_AllData!$A$2:$A$1000=""), 0, 0), 0)), "")</f>
        <v/>
      </c>
    </row>
    <row r="167" spans="38:40" x14ac:dyDescent="0.2">
      <c r="AL167" t="str">
        <f>IFERROR(INDEX(Helper_AllData!$C$2:$C$1000, MATCH(0, INDEX(COUNTIF($AL$1:AL166, Helper_AllData!$C$2:$C$1000)+(Helper_AllData!$C$2:$C$1000=""), 0, 0), 0)), "")</f>
        <v/>
      </c>
      <c r="AM167" t="str">
        <f>IFERROR(INDEX(Helper_AllData!$D$2:$D$1000, MATCH(0, INDEX(COUNTIF($AM$1:AM166, Helper_AllData!$D$2:$D$1000)+(Helper_AllData!$D$2:$D$1000=""), 0, 0), 0)), "")</f>
        <v/>
      </c>
      <c r="AN167" t="str">
        <f>IFERROR(INDEX(Helper_AllData!$A$2:$A$1000, MATCH(0, INDEX(COUNTIF($AN$1:AN166, Helper_AllData!$A$2:$A$1000)+(Helper_AllData!$A$2:$A$1000=""), 0, 0), 0)), "")</f>
        <v/>
      </c>
    </row>
    <row r="168" spans="38:40" x14ac:dyDescent="0.2">
      <c r="AL168" t="str">
        <f>IFERROR(INDEX(Helper_AllData!$C$2:$C$1000, MATCH(0, INDEX(COUNTIF($AL$1:AL167, Helper_AllData!$C$2:$C$1000)+(Helper_AllData!$C$2:$C$1000=""), 0, 0), 0)), "")</f>
        <v/>
      </c>
      <c r="AM168" t="str">
        <f>IFERROR(INDEX(Helper_AllData!$D$2:$D$1000, MATCH(0, INDEX(COUNTIF($AM$1:AM167, Helper_AllData!$D$2:$D$1000)+(Helper_AllData!$D$2:$D$1000=""), 0, 0), 0)), "")</f>
        <v/>
      </c>
      <c r="AN168" t="str">
        <f>IFERROR(INDEX(Helper_AllData!$A$2:$A$1000, MATCH(0, INDEX(COUNTIF($AN$1:AN167, Helper_AllData!$A$2:$A$1000)+(Helper_AllData!$A$2:$A$1000=""), 0, 0), 0)), "")</f>
        <v/>
      </c>
    </row>
    <row r="169" spans="38:40" x14ac:dyDescent="0.2">
      <c r="AL169" t="str">
        <f>IFERROR(INDEX(Helper_AllData!$C$2:$C$1000, MATCH(0, INDEX(COUNTIF($AL$1:AL168, Helper_AllData!$C$2:$C$1000)+(Helper_AllData!$C$2:$C$1000=""), 0, 0), 0)), "")</f>
        <v/>
      </c>
      <c r="AM169" t="str">
        <f>IFERROR(INDEX(Helper_AllData!$D$2:$D$1000, MATCH(0, INDEX(COUNTIF($AM$1:AM168, Helper_AllData!$D$2:$D$1000)+(Helper_AllData!$D$2:$D$1000=""), 0, 0), 0)), "")</f>
        <v/>
      </c>
      <c r="AN169" t="str">
        <f>IFERROR(INDEX(Helper_AllData!$A$2:$A$1000, MATCH(0, INDEX(COUNTIF($AN$1:AN168, Helper_AllData!$A$2:$A$1000)+(Helper_AllData!$A$2:$A$1000=""), 0, 0), 0)), "")</f>
        <v/>
      </c>
    </row>
    <row r="170" spans="38:40" x14ac:dyDescent="0.2">
      <c r="AL170" t="str">
        <f>IFERROR(INDEX(Helper_AllData!$C$2:$C$1000, MATCH(0, INDEX(COUNTIF($AL$1:AL169, Helper_AllData!$C$2:$C$1000)+(Helper_AllData!$C$2:$C$1000=""), 0, 0), 0)), "")</f>
        <v/>
      </c>
      <c r="AM170" t="str">
        <f>IFERROR(INDEX(Helper_AllData!$D$2:$D$1000, MATCH(0, INDEX(COUNTIF($AM$1:AM169, Helper_AllData!$D$2:$D$1000)+(Helper_AllData!$D$2:$D$1000=""), 0, 0), 0)), "")</f>
        <v/>
      </c>
      <c r="AN170" t="str">
        <f>IFERROR(INDEX(Helper_AllData!$A$2:$A$1000, MATCH(0, INDEX(COUNTIF($AN$1:AN169, Helper_AllData!$A$2:$A$1000)+(Helper_AllData!$A$2:$A$1000=""), 0, 0), 0)), "")</f>
        <v/>
      </c>
    </row>
    <row r="171" spans="38:40" x14ac:dyDescent="0.2">
      <c r="AL171" t="str">
        <f>IFERROR(INDEX(Helper_AllData!$C$2:$C$1000, MATCH(0, INDEX(COUNTIF($AL$1:AL170, Helper_AllData!$C$2:$C$1000)+(Helper_AllData!$C$2:$C$1000=""), 0, 0), 0)), "")</f>
        <v/>
      </c>
      <c r="AM171" t="str">
        <f>IFERROR(INDEX(Helper_AllData!$D$2:$D$1000, MATCH(0, INDEX(COUNTIF($AM$1:AM170, Helper_AllData!$D$2:$D$1000)+(Helper_AllData!$D$2:$D$1000=""), 0, 0), 0)), "")</f>
        <v/>
      </c>
      <c r="AN171" t="str">
        <f>IFERROR(INDEX(Helper_AllData!$A$2:$A$1000, MATCH(0, INDEX(COUNTIF($AN$1:AN170, Helper_AllData!$A$2:$A$1000)+(Helper_AllData!$A$2:$A$1000=""), 0, 0), 0)), "")</f>
        <v/>
      </c>
    </row>
    <row r="172" spans="38:40" x14ac:dyDescent="0.2">
      <c r="AL172" t="str">
        <f>IFERROR(INDEX(Helper_AllData!$C$2:$C$1000, MATCH(0, INDEX(COUNTIF($AL$1:AL171, Helper_AllData!$C$2:$C$1000)+(Helper_AllData!$C$2:$C$1000=""), 0, 0), 0)), "")</f>
        <v/>
      </c>
      <c r="AM172" t="str">
        <f>IFERROR(INDEX(Helper_AllData!$D$2:$D$1000, MATCH(0, INDEX(COUNTIF($AM$1:AM171, Helper_AllData!$D$2:$D$1000)+(Helper_AllData!$D$2:$D$1000=""), 0, 0), 0)), "")</f>
        <v/>
      </c>
      <c r="AN172" t="str">
        <f>IFERROR(INDEX(Helper_AllData!$A$2:$A$1000, MATCH(0, INDEX(COUNTIF($AN$1:AN171, Helper_AllData!$A$2:$A$1000)+(Helper_AllData!$A$2:$A$1000=""), 0, 0), 0)), "")</f>
        <v/>
      </c>
    </row>
    <row r="173" spans="38:40" x14ac:dyDescent="0.2">
      <c r="AL173" t="str">
        <f>IFERROR(INDEX(Helper_AllData!$C$2:$C$1000, MATCH(0, INDEX(COUNTIF($AL$1:AL172, Helper_AllData!$C$2:$C$1000)+(Helper_AllData!$C$2:$C$1000=""), 0, 0), 0)), "")</f>
        <v/>
      </c>
      <c r="AM173" t="str">
        <f>IFERROR(INDEX(Helper_AllData!$D$2:$D$1000, MATCH(0, INDEX(COUNTIF($AM$1:AM172, Helper_AllData!$D$2:$D$1000)+(Helper_AllData!$D$2:$D$1000=""), 0, 0), 0)), "")</f>
        <v/>
      </c>
      <c r="AN173" t="str">
        <f>IFERROR(INDEX(Helper_AllData!$A$2:$A$1000, MATCH(0, INDEX(COUNTIF($AN$1:AN172, Helper_AllData!$A$2:$A$1000)+(Helper_AllData!$A$2:$A$1000=""), 0, 0), 0)), "")</f>
        <v/>
      </c>
    </row>
    <row r="174" spans="38:40" x14ac:dyDescent="0.2">
      <c r="AL174" t="str">
        <f>IFERROR(INDEX(Helper_AllData!$C$2:$C$1000, MATCH(0, INDEX(COUNTIF($AL$1:AL173, Helper_AllData!$C$2:$C$1000)+(Helper_AllData!$C$2:$C$1000=""), 0, 0), 0)), "")</f>
        <v/>
      </c>
      <c r="AM174" t="str">
        <f>IFERROR(INDEX(Helper_AllData!$D$2:$D$1000, MATCH(0, INDEX(COUNTIF($AM$1:AM173, Helper_AllData!$D$2:$D$1000)+(Helper_AllData!$D$2:$D$1000=""), 0, 0), 0)), "")</f>
        <v/>
      </c>
      <c r="AN174" t="str">
        <f>IFERROR(INDEX(Helper_AllData!$A$2:$A$1000, MATCH(0, INDEX(COUNTIF($AN$1:AN173, Helper_AllData!$A$2:$A$1000)+(Helper_AllData!$A$2:$A$1000=""), 0, 0), 0)), "")</f>
        <v/>
      </c>
    </row>
    <row r="175" spans="38:40" x14ac:dyDescent="0.2">
      <c r="AL175" t="str">
        <f>IFERROR(INDEX(Helper_AllData!$C$2:$C$1000, MATCH(0, INDEX(COUNTIF($AL$1:AL174, Helper_AllData!$C$2:$C$1000)+(Helper_AllData!$C$2:$C$1000=""), 0, 0), 0)), "")</f>
        <v/>
      </c>
      <c r="AM175" t="str">
        <f>IFERROR(INDEX(Helper_AllData!$D$2:$D$1000, MATCH(0, INDEX(COUNTIF($AM$1:AM174, Helper_AllData!$D$2:$D$1000)+(Helper_AllData!$D$2:$D$1000=""), 0, 0), 0)), "")</f>
        <v/>
      </c>
      <c r="AN175" t="str">
        <f>IFERROR(INDEX(Helper_AllData!$A$2:$A$1000, MATCH(0, INDEX(COUNTIF($AN$1:AN174, Helper_AllData!$A$2:$A$1000)+(Helper_AllData!$A$2:$A$1000=""), 0, 0), 0)), "")</f>
        <v/>
      </c>
    </row>
    <row r="176" spans="38:40" x14ac:dyDescent="0.2">
      <c r="AL176" t="str">
        <f>IFERROR(INDEX(Helper_AllData!$C$2:$C$1000, MATCH(0, INDEX(COUNTIF($AL$1:AL175, Helper_AllData!$C$2:$C$1000)+(Helper_AllData!$C$2:$C$1000=""), 0, 0), 0)), "")</f>
        <v/>
      </c>
      <c r="AM176" t="str">
        <f>IFERROR(INDEX(Helper_AllData!$D$2:$D$1000, MATCH(0, INDEX(COUNTIF($AM$1:AM175, Helper_AllData!$D$2:$D$1000)+(Helper_AllData!$D$2:$D$1000=""), 0, 0), 0)), "")</f>
        <v/>
      </c>
      <c r="AN176" t="str">
        <f>IFERROR(INDEX(Helper_AllData!$A$2:$A$1000, MATCH(0, INDEX(COUNTIF($AN$1:AN175, Helper_AllData!$A$2:$A$1000)+(Helper_AllData!$A$2:$A$1000=""), 0, 0), 0)), "")</f>
        <v/>
      </c>
    </row>
    <row r="177" spans="38:40" x14ac:dyDescent="0.2">
      <c r="AL177" t="str">
        <f>IFERROR(INDEX(Helper_AllData!$C$2:$C$1000, MATCH(0, INDEX(COUNTIF($AL$1:AL176, Helper_AllData!$C$2:$C$1000)+(Helper_AllData!$C$2:$C$1000=""), 0, 0), 0)), "")</f>
        <v/>
      </c>
      <c r="AM177" t="str">
        <f>IFERROR(INDEX(Helper_AllData!$D$2:$D$1000, MATCH(0, INDEX(COUNTIF($AM$1:AM176, Helper_AllData!$D$2:$D$1000)+(Helper_AllData!$D$2:$D$1000=""), 0, 0), 0)), "")</f>
        <v/>
      </c>
      <c r="AN177" t="str">
        <f>IFERROR(INDEX(Helper_AllData!$A$2:$A$1000, MATCH(0, INDEX(COUNTIF($AN$1:AN176, Helper_AllData!$A$2:$A$1000)+(Helper_AllData!$A$2:$A$1000=""), 0, 0), 0)), "")</f>
        <v/>
      </c>
    </row>
    <row r="178" spans="38:40" x14ac:dyDescent="0.2">
      <c r="AL178" t="str">
        <f>IFERROR(INDEX(Helper_AllData!$C$2:$C$1000, MATCH(0, INDEX(COUNTIF($AL$1:AL177, Helper_AllData!$C$2:$C$1000)+(Helper_AllData!$C$2:$C$1000=""), 0, 0), 0)), "")</f>
        <v/>
      </c>
      <c r="AM178" t="str">
        <f>IFERROR(INDEX(Helper_AllData!$D$2:$D$1000, MATCH(0, INDEX(COUNTIF($AM$1:AM177, Helper_AllData!$D$2:$D$1000)+(Helper_AllData!$D$2:$D$1000=""), 0, 0), 0)), "")</f>
        <v/>
      </c>
      <c r="AN178" t="str">
        <f>IFERROR(INDEX(Helper_AllData!$A$2:$A$1000, MATCH(0, INDEX(COUNTIF($AN$1:AN177, Helper_AllData!$A$2:$A$1000)+(Helper_AllData!$A$2:$A$1000=""), 0, 0), 0)), "")</f>
        <v/>
      </c>
    </row>
    <row r="179" spans="38:40" x14ac:dyDescent="0.2">
      <c r="AL179" t="str">
        <f>IFERROR(INDEX(Helper_AllData!$C$2:$C$1000, MATCH(0, INDEX(COUNTIF($AL$1:AL178, Helper_AllData!$C$2:$C$1000)+(Helper_AllData!$C$2:$C$1000=""), 0, 0), 0)), "")</f>
        <v/>
      </c>
      <c r="AM179" t="str">
        <f>IFERROR(INDEX(Helper_AllData!$D$2:$D$1000, MATCH(0, INDEX(COUNTIF($AM$1:AM178, Helper_AllData!$D$2:$D$1000)+(Helper_AllData!$D$2:$D$1000=""), 0, 0), 0)), "")</f>
        <v/>
      </c>
      <c r="AN179" t="str">
        <f>IFERROR(INDEX(Helper_AllData!$A$2:$A$1000, MATCH(0, INDEX(COUNTIF($AN$1:AN178, Helper_AllData!$A$2:$A$1000)+(Helper_AllData!$A$2:$A$1000=""), 0, 0), 0)), "")</f>
        <v/>
      </c>
    </row>
    <row r="180" spans="38:40" x14ac:dyDescent="0.2">
      <c r="AL180" t="str">
        <f>IFERROR(INDEX(Helper_AllData!$C$2:$C$1000, MATCH(0, INDEX(COUNTIF($AL$1:AL179, Helper_AllData!$C$2:$C$1000)+(Helper_AllData!$C$2:$C$1000=""), 0, 0), 0)), "")</f>
        <v/>
      </c>
      <c r="AM180" t="str">
        <f>IFERROR(INDEX(Helper_AllData!$D$2:$D$1000, MATCH(0, INDEX(COUNTIF($AM$1:AM179, Helper_AllData!$D$2:$D$1000)+(Helper_AllData!$D$2:$D$1000=""), 0, 0), 0)), "")</f>
        <v/>
      </c>
      <c r="AN180" t="str">
        <f>IFERROR(INDEX(Helper_AllData!$A$2:$A$1000, MATCH(0, INDEX(COUNTIF($AN$1:AN179, Helper_AllData!$A$2:$A$1000)+(Helper_AllData!$A$2:$A$1000=""), 0, 0), 0)), "")</f>
        <v/>
      </c>
    </row>
    <row r="181" spans="38:40" x14ac:dyDescent="0.2">
      <c r="AL181" t="str">
        <f>IFERROR(INDEX(Helper_AllData!$C$2:$C$1000, MATCH(0, INDEX(COUNTIF($AL$1:AL180, Helper_AllData!$C$2:$C$1000)+(Helper_AllData!$C$2:$C$1000=""), 0, 0), 0)), "")</f>
        <v/>
      </c>
      <c r="AM181" t="str">
        <f>IFERROR(INDEX(Helper_AllData!$D$2:$D$1000, MATCH(0, INDEX(COUNTIF($AM$1:AM180, Helper_AllData!$D$2:$D$1000)+(Helper_AllData!$D$2:$D$1000=""), 0, 0), 0)), "")</f>
        <v/>
      </c>
      <c r="AN181" t="str">
        <f>IFERROR(INDEX(Helper_AllData!$A$2:$A$1000, MATCH(0, INDEX(COUNTIF($AN$1:AN180, Helper_AllData!$A$2:$A$1000)+(Helper_AllData!$A$2:$A$1000=""), 0, 0), 0)), "")</f>
        <v/>
      </c>
    </row>
    <row r="182" spans="38:40" x14ac:dyDescent="0.2">
      <c r="AL182" t="str">
        <f>IFERROR(INDEX(Helper_AllData!$C$2:$C$1000, MATCH(0, INDEX(COUNTIF($AL$1:AL181, Helper_AllData!$C$2:$C$1000)+(Helper_AllData!$C$2:$C$1000=""), 0, 0), 0)), "")</f>
        <v/>
      </c>
      <c r="AM182" t="str">
        <f>IFERROR(INDEX(Helper_AllData!$D$2:$D$1000, MATCH(0, INDEX(COUNTIF($AM$1:AM181, Helper_AllData!$D$2:$D$1000)+(Helper_AllData!$D$2:$D$1000=""), 0, 0), 0)), "")</f>
        <v/>
      </c>
      <c r="AN182" t="str">
        <f>IFERROR(INDEX(Helper_AllData!$A$2:$A$1000, MATCH(0, INDEX(COUNTIF($AN$1:AN181, Helper_AllData!$A$2:$A$1000)+(Helper_AllData!$A$2:$A$1000=""), 0, 0), 0)), "")</f>
        <v/>
      </c>
    </row>
    <row r="183" spans="38:40" x14ac:dyDescent="0.2">
      <c r="AL183" t="str">
        <f>IFERROR(INDEX(Helper_AllData!$C$2:$C$1000, MATCH(0, INDEX(COUNTIF($AL$1:AL182, Helper_AllData!$C$2:$C$1000)+(Helper_AllData!$C$2:$C$1000=""), 0, 0), 0)), "")</f>
        <v/>
      </c>
      <c r="AM183" t="str">
        <f>IFERROR(INDEX(Helper_AllData!$D$2:$D$1000, MATCH(0, INDEX(COUNTIF($AM$1:AM182, Helper_AllData!$D$2:$D$1000)+(Helper_AllData!$D$2:$D$1000=""), 0, 0), 0)), "")</f>
        <v/>
      </c>
      <c r="AN183" t="str">
        <f>IFERROR(INDEX(Helper_AllData!$A$2:$A$1000, MATCH(0, INDEX(COUNTIF($AN$1:AN182, Helper_AllData!$A$2:$A$1000)+(Helper_AllData!$A$2:$A$1000=""), 0, 0), 0)), "")</f>
        <v/>
      </c>
    </row>
    <row r="184" spans="38:40" x14ac:dyDescent="0.2">
      <c r="AL184" t="str">
        <f>IFERROR(INDEX(Helper_AllData!$C$2:$C$1000, MATCH(0, INDEX(COUNTIF($AL$1:AL183, Helper_AllData!$C$2:$C$1000)+(Helper_AllData!$C$2:$C$1000=""), 0, 0), 0)), "")</f>
        <v/>
      </c>
      <c r="AM184" t="str">
        <f>IFERROR(INDEX(Helper_AllData!$D$2:$D$1000, MATCH(0, INDEX(COUNTIF($AM$1:AM183, Helper_AllData!$D$2:$D$1000)+(Helper_AllData!$D$2:$D$1000=""), 0, 0), 0)), "")</f>
        <v/>
      </c>
      <c r="AN184" t="str">
        <f>IFERROR(INDEX(Helper_AllData!$A$2:$A$1000, MATCH(0, INDEX(COUNTIF($AN$1:AN183, Helper_AllData!$A$2:$A$1000)+(Helper_AllData!$A$2:$A$1000=""), 0, 0), 0)), "")</f>
        <v/>
      </c>
    </row>
    <row r="185" spans="38:40" x14ac:dyDescent="0.2">
      <c r="AL185" t="str">
        <f>IFERROR(INDEX(Helper_AllData!$C$2:$C$1000, MATCH(0, INDEX(COUNTIF($AL$1:AL184, Helper_AllData!$C$2:$C$1000)+(Helper_AllData!$C$2:$C$1000=""), 0, 0), 0)), "")</f>
        <v/>
      </c>
      <c r="AM185" t="str">
        <f>IFERROR(INDEX(Helper_AllData!$D$2:$D$1000, MATCH(0, INDEX(COUNTIF($AM$1:AM184, Helper_AllData!$D$2:$D$1000)+(Helper_AllData!$D$2:$D$1000=""), 0, 0), 0)), "")</f>
        <v/>
      </c>
      <c r="AN185" t="str">
        <f>IFERROR(INDEX(Helper_AllData!$A$2:$A$1000, MATCH(0, INDEX(COUNTIF($AN$1:AN184, Helper_AllData!$A$2:$A$1000)+(Helper_AllData!$A$2:$A$1000=""), 0, 0), 0)), "")</f>
        <v/>
      </c>
    </row>
    <row r="186" spans="38:40" x14ac:dyDescent="0.2">
      <c r="AL186" t="str">
        <f>IFERROR(INDEX(Helper_AllData!$C$2:$C$1000, MATCH(0, INDEX(COUNTIF($AL$1:AL185, Helper_AllData!$C$2:$C$1000)+(Helper_AllData!$C$2:$C$1000=""), 0, 0), 0)), "")</f>
        <v/>
      </c>
      <c r="AM186" t="str">
        <f>IFERROR(INDEX(Helper_AllData!$D$2:$D$1000, MATCH(0, INDEX(COUNTIF($AM$1:AM185, Helper_AllData!$D$2:$D$1000)+(Helper_AllData!$D$2:$D$1000=""), 0, 0), 0)), "")</f>
        <v/>
      </c>
      <c r="AN186" t="str">
        <f>IFERROR(INDEX(Helper_AllData!$A$2:$A$1000, MATCH(0, INDEX(COUNTIF($AN$1:AN185, Helper_AllData!$A$2:$A$1000)+(Helper_AllData!$A$2:$A$1000=""), 0, 0), 0)), "")</f>
        <v/>
      </c>
    </row>
    <row r="187" spans="38:40" x14ac:dyDescent="0.2">
      <c r="AL187" t="str">
        <f>IFERROR(INDEX(Helper_AllData!$C$2:$C$1000, MATCH(0, INDEX(COUNTIF($AL$1:AL186, Helper_AllData!$C$2:$C$1000)+(Helper_AllData!$C$2:$C$1000=""), 0, 0), 0)), "")</f>
        <v/>
      </c>
      <c r="AM187" t="str">
        <f>IFERROR(INDEX(Helper_AllData!$D$2:$D$1000, MATCH(0, INDEX(COUNTIF($AM$1:AM186, Helper_AllData!$D$2:$D$1000)+(Helper_AllData!$D$2:$D$1000=""), 0, 0), 0)), "")</f>
        <v/>
      </c>
      <c r="AN187" t="str">
        <f>IFERROR(INDEX(Helper_AllData!$A$2:$A$1000, MATCH(0, INDEX(COUNTIF($AN$1:AN186, Helper_AllData!$A$2:$A$1000)+(Helper_AllData!$A$2:$A$1000=""), 0, 0), 0)), "")</f>
        <v/>
      </c>
    </row>
    <row r="188" spans="38:40" x14ac:dyDescent="0.2">
      <c r="AL188" t="str">
        <f>IFERROR(INDEX(Helper_AllData!$C$2:$C$1000, MATCH(0, INDEX(COUNTIF($AL$1:AL187, Helper_AllData!$C$2:$C$1000)+(Helper_AllData!$C$2:$C$1000=""), 0, 0), 0)), "")</f>
        <v/>
      </c>
      <c r="AM188" t="str">
        <f>IFERROR(INDEX(Helper_AllData!$D$2:$D$1000, MATCH(0, INDEX(COUNTIF($AM$1:AM187, Helper_AllData!$D$2:$D$1000)+(Helper_AllData!$D$2:$D$1000=""), 0, 0), 0)), "")</f>
        <v/>
      </c>
      <c r="AN188" t="str">
        <f>IFERROR(INDEX(Helper_AllData!$A$2:$A$1000, MATCH(0, INDEX(COUNTIF($AN$1:AN187, Helper_AllData!$A$2:$A$1000)+(Helper_AllData!$A$2:$A$1000=""), 0, 0), 0)), "")</f>
        <v/>
      </c>
    </row>
    <row r="189" spans="38:40" x14ac:dyDescent="0.2">
      <c r="AL189" t="str">
        <f>IFERROR(INDEX(Helper_AllData!$C$2:$C$1000, MATCH(0, INDEX(COUNTIF($AL$1:AL188, Helper_AllData!$C$2:$C$1000)+(Helper_AllData!$C$2:$C$1000=""), 0, 0), 0)), "")</f>
        <v/>
      </c>
      <c r="AM189" t="str">
        <f>IFERROR(INDEX(Helper_AllData!$D$2:$D$1000, MATCH(0, INDEX(COUNTIF($AM$1:AM188, Helper_AllData!$D$2:$D$1000)+(Helper_AllData!$D$2:$D$1000=""), 0, 0), 0)), "")</f>
        <v/>
      </c>
      <c r="AN189" t="str">
        <f>IFERROR(INDEX(Helper_AllData!$A$2:$A$1000, MATCH(0, INDEX(COUNTIF($AN$1:AN188, Helper_AllData!$A$2:$A$1000)+(Helper_AllData!$A$2:$A$1000=""), 0, 0), 0)), "")</f>
        <v/>
      </c>
    </row>
    <row r="190" spans="38:40" x14ac:dyDescent="0.2">
      <c r="AL190" t="str">
        <f>IFERROR(INDEX(Helper_AllData!$C$2:$C$1000, MATCH(0, INDEX(COUNTIF($AL$1:AL189, Helper_AllData!$C$2:$C$1000)+(Helper_AllData!$C$2:$C$1000=""), 0, 0), 0)), "")</f>
        <v/>
      </c>
      <c r="AM190" t="str">
        <f>IFERROR(INDEX(Helper_AllData!$D$2:$D$1000, MATCH(0, INDEX(COUNTIF($AM$1:AM189, Helper_AllData!$D$2:$D$1000)+(Helper_AllData!$D$2:$D$1000=""), 0, 0), 0)), "")</f>
        <v/>
      </c>
      <c r="AN190" t="str">
        <f>IFERROR(INDEX(Helper_AllData!$A$2:$A$1000, MATCH(0, INDEX(COUNTIF($AN$1:AN189, Helper_AllData!$A$2:$A$1000)+(Helper_AllData!$A$2:$A$1000=""), 0, 0), 0)), "")</f>
        <v/>
      </c>
    </row>
    <row r="191" spans="38:40" x14ac:dyDescent="0.2">
      <c r="AL191" t="str">
        <f>IFERROR(INDEX(Helper_AllData!$C$2:$C$1000, MATCH(0, INDEX(COUNTIF($AL$1:AL190, Helper_AllData!$C$2:$C$1000)+(Helper_AllData!$C$2:$C$1000=""), 0, 0), 0)), "")</f>
        <v/>
      </c>
      <c r="AM191" t="str">
        <f>IFERROR(INDEX(Helper_AllData!$D$2:$D$1000, MATCH(0, INDEX(COUNTIF($AM$1:AM190, Helper_AllData!$D$2:$D$1000)+(Helper_AllData!$D$2:$D$1000=""), 0, 0), 0)), "")</f>
        <v/>
      </c>
      <c r="AN191" t="str">
        <f>IFERROR(INDEX(Helper_AllData!$A$2:$A$1000, MATCH(0, INDEX(COUNTIF($AN$1:AN190, Helper_AllData!$A$2:$A$1000)+(Helper_AllData!$A$2:$A$1000=""), 0, 0), 0)), "")</f>
        <v/>
      </c>
    </row>
    <row r="192" spans="38:40" x14ac:dyDescent="0.2">
      <c r="AL192" t="str">
        <f>IFERROR(INDEX(Helper_AllData!$C$2:$C$1000, MATCH(0, INDEX(COUNTIF($AL$1:AL191, Helper_AllData!$C$2:$C$1000)+(Helper_AllData!$C$2:$C$1000=""), 0, 0), 0)), "")</f>
        <v/>
      </c>
      <c r="AM192" t="str">
        <f>IFERROR(INDEX(Helper_AllData!$D$2:$D$1000, MATCH(0, INDEX(COUNTIF($AM$1:AM191, Helper_AllData!$D$2:$D$1000)+(Helper_AllData!$D$2:$D$1000=""), 0, 0), 0)), "")</f>
        <v/>
      </c>
      <c r="AN192" t="str">
        <f>IFERROR(INDEX(Helper_AllData!$A$2:$A$1000, MATCH(0, INDEX(COUNTIF($AN$1:AN191, Helper_AllData!$A$2:$A$1000)+(Helper_AllData!$A$2:$A$1000=""), 0, 0), 0)), "")</f>
        <v/>
      </c>
    </row>
    <row r="193" spans="38:40" x14ac:dyDescent="0.2">
      <c r="AL193" t="str">
        <f>IFERROR(INDEX(Helper_AllData!$C$2:$C$1000, MATCH(0, INDEX(COUNTIF($AL$1:AL192, Helper_AllData!$C$2:$C$1000)+(Helper_AllData!$C$2:$C$1000=""), 0, 0), 0)), "")</f>
        <v/>
      </c>
      <c r="AM193" t="str">
        <f>IFERROR(INDEX(Helper_AllData!$D$2:$D$1000, MATCH(0, INDEX(COUNTIF($AM$1:AM192, Helper_AllData!$D$2:$D$1000)+(Helper_AllData!$D$2:$D$1000=""), 0, 0), 0)), "")</f>
        <v/>
      </c>
      <c r="AN193" t="str">
        <f>IFERROR(INDEX(Helper_AllData!$A$2:$A$1000, MATCH(0, INDEX(COUNTIF($AN$1:AN192, Helper_AllData!$A$2:$A$1000)+(Helper_AllData!$A$2:$A$1000=""), 0, 0), 0)), "")</f>
        <v/>
      </c>
    </row>
    <row r="194" spans="38:40" x14ac:dyDescent="0.2">
      <c r="AL194" t="str">
        <f>IFERROR(INDEX(Helper_AllData!$C$2:$C$1000, MATCH(0, INDEX(COUNTIF($AL$1:AL193, Helper_AllData!$C$2:$C$1000)+(Helper_AllData!$C$2:$C$1000=""), 0, 0), 0)), "")</f>
        <v/>
      </c>
      <c r="AM194" t="str">
        <f>IFERROR(INDEX(Helper_AllData!$D$2:$D$1000, MATCH(0, INDEX(COUNTIF($AM$1:AM193, Helper_AllData!$D$2:$D$1000)+(Helper_AllData!$D$2:$D$1000=""), 0, 0), 0)), "")</f>
        <v/>
      </c>
      <c r="AN194" t="str">
        <f>IFERROR(INDEX(Helper_AllData!$A$2:$A$1000, MATCH(0, INDEX(COUNTIF($AN$1:AN193, Helper_AllData!$A$2:$A$1000)+(Helper_AllData!$A$2:$A$1000=""), 0, 0), 0)), "")</f>
        <v/>
      </c>
    </row>
    <row r="195" spans="38:40" x14ac:dyDescent="0.2">
      <c r="AL195" t="str">
        <f>IFERROR(INDEX(Helper_AllData!$C$2:$C$1000, MATCH(0, INDEX(COUNTIF($AL$1:AL194, Helper_AllData!$C$2:$C$1000)+(Helper_AllData!$C$2:$C$1000=""), 0, 0), 0)), "")</f>
        <v/>
      </c>
      <c r="AM195" t="str">
        <f>IFERROR(INDEX(Helper_AllData!$D$2:$D$1000, MATCH(0, INDEX(COUNTIF($AM$1:AM194, Helper_AllData!$D$2:$D$1000)+(Helper_AllData!$D$2:$D$1000=""), 0, 0), 0)), "")</f>
        <v/>
      </c>
      <c r="AN195" t="str">
        <f>IFERROR(INDEX(Helper_AllData!$A$2:$A$1000, MATCH(0, INDEX(COUNTIF($AN$1:AN194, Helper_AllData!$A$2:$A$1000)+(Helper_AllData!$A$2:$A$1000=""), 0, 0), 0)), "")</f>
        <v/>
      </c>
    </row>
    <row r="196" spans="38:40" x14ac:dyDescent="0.2">
      <c r="AL196" t="str">
        <f>IFERROR(INDEX(Helper_AllData!$C$2:$C$1000, MATCH(0, INDEX(COUNTIF($AL$1:AL195, Helper_AllData!$C$2:$C$1000)+(Helper_AllData!$C$2:$C$1000=""), 0, 0), 0)), "")</f>
        <v/>
      </c>
      <c r="AM196" t="str">
        <f>IFERROR(INDEX(Helper_AllData!$D$2:$D$1000, MATCH(0, INDEX(COUNTIF($AM$1:AM195, Helper_AllData!$D$2:$D$1000)+(Helper_AllData!$D$2:$D$1000=""), 0, 0), 0)), "")</f>
        <v/>
      </c>
      <c r="AN196" t="str">
        <f>IFERROR(INDEX(Helper_AllData!$A$2:$A$1000, MATCH(0, INDEX(COUNTIF($AN$1:AN195, Helper_AllData!$A$2:$A$1000)+(Helper_AllData!$A$2:$A$1000=""), 0, 0), 0)), "")</f>
        <v/>
      </c>
    </row>
    <row r="197" spans="38:40" x14ac:dyDescent="0.2">
      <c r="AL197" t="str">
        <f>IFERROR(INDEX(Helper_AllData!$C$2:$C$1000, MATCH(0, INDEX(COUNTIF($AL$1:AL196, Helper_AllData!$C$2:$C$1000)+(Helper_AllData!$C$2:$C$1000=""), 0, 0), 0)), "")</f>
        <v/>
      </c>
      <c r="AM197" t="str">
        <f>IFERROR(INDEX(Helper_AllData!$D$2:$D$1000, MATCH(0, INDEX(COUNTIF($AM$1:AM196, Helper_AllData!$D$2:$D$1000)+(Helper_AllData!$D$2:$D$1000=""), 0, 0), 0)), "")</f>
        <v/>
      </c>
      <c r="AN197" t="str">
        <f>IFERROR(INDEX(Helper_AllData!$A$2:$A$1000, MATCH(0, INDEX(COUNTIF($AN$1:AN196, Helper_AllData!$A$2:$A$1000)+(Helper_AllData!$A$2:$A$1000=""), 0, 0), 0)), "")</f>
        <v/>
      </c>
    </row>
    <row r="198" spans="38:40" x14ac:dyDescent="0.2">
      <c r="AL198" t="str">
        <f>IFERROR(INDEX(Helper_AllData!$C$2:$C$1000, MATCH(0, INDEX(COUNTIF($AL$1:AL197, Helper_AllData!$C$2:$C$1000)+(Helper_AllData!$C$2:$C$1000=""), 0, 0), 0)), "")</f>
        <v/>
      </c>
      <c r="AM198" t="str">
        <f>IFERROR(INDEX(Helper_AllData!$D$2:$D$1000, MATCH(0, INDEX(COUNTIF($AM$1:AM197, Helper_AllData!$D$2:$D$1000)+(Helper_AllData!$D$2:$D$1000=""), 0, 0), 0)), "")</f>
        <v/>
      </c>
      <c r="AN198" t="str">
        <f>IFERROR(INDEX(Helper_AllData!$A$2:$A$1000, MATCH(0, INDEX(COUNTIF($AN$1:AN197, Helper_AllData!$A$2:$A$1000)+(Helper_AllData!$A$2:$A$1000=""), 0, 0), 0)), "")</f>
        <v/>
      </c>
    </row>
    <row r="199" spans="38:40" x14ac:dyDescent="0.2">
      <c r="AL199" t="str">
        <f>IFERROR(INDEX(Helper_AllData!$C$2:$C$1000, MATCH(0, INDEX(COUNTIF($AL$1:AL198, Helper_AllData!$C$2:$C$1000)+(Helper_AllData!$C$2:$C$1000=""), 0, 0), 0)), "")</f>
        <v/>
      </c>
      <c r="AM199" t="str">
        <f>IFERROR(INDEX(Helper_AllData!$D$2:$D$1000, MATCH(0, INDEX(COUNTIF($AM$1:AM198, Helper_AllData!$D$2:$D$1000)+(Helper_AllData!$D$2:$D$1000=""), 0, 0), 0)), "")</f>
        <v/>
      </c>
      <c r="AN199" t="str">
        <f>IFERROR(INDEX(Helper_AllData!$A$2:$A$1000, MATCH(0, INDEX(COUNTIF($AN$1:AN198, Helper_AllData!$A$2:$A$1000)+(Helper_AllData!$A$2:$A$1000=""), 0, 0), 0)), "")</f>
        <v/>
      </c>
    </row>
    <row r="200" spans="38:40" x14ac:dyDescent="0.2">
      <c r="AL200" t="str">
        <f>IFERROR(INDEX(Helper_AllData!$C$2:$C$1000, MATCH(0, INDEX(COUNTIF($AL$1:AL199, Helper_AllData!$C$2:$C$1000)+(Helper_AllData!$C$2:$C$1000=""), 0, 0), 0)), "")</f>
        <v/>
      </c>
      <c r="AM200" t="str">
        <f>IFERROR(INDEX(Helper_AllData!$D$2:$D$1000, MATCH(0, INDEX(COUNTIF($AM$1:AM199, Helper_AllData!$D$2:$D$1000)+(Helper_AllData!$D$2:$D$1000=""), 0, 0), 0)), "")</f>
        <v/>
      </c>
      <c r="AN200" t="str">
        <f>IFERROR(INDEX(Helper_AllData!$A$2:$A$1000, MATCH(0, INDEX(COUNTIF($AN$1:AN199, Helper_AllData!$A$2:$A$1000)+(Helper_AllData!$A$2:$A$1000=""), 0, 0), 0)), "")</f>
        <v/>
      </c>
    </row>
    <row r="201" spans="38:40" x14ac:dyDescent="0.2">
      <c r="AL201" t="str">
        <f>IFERROR(INDEX(Helper_AllData!$C$2:$C$1000, MATCH(0, INDEX(COUNTIF($AL$1:AL200, Helper_AllData!$C$2:$C$1000)+(Helper_AllData!$C$2:$C$1000=""), 0, 0), 0)), "")</f>
        <v/>
      </c>
      <c r="AM201" t="str">
        <f>IFERROR(INDEX(Helper_AllData!$D$2:$D$1000, MATCH(0, INDEX(COUNTIF($AM$1:AM200, Helper_AllData!$D$2:$D$1000)+(Helper_AllData!$D$2:$D$1000=""), 0, 0), 0)), "")</f>
        <v/>
      </c>
      <c r="AN201" t="str">
        <f>IFERROR(INDEX(Helper_AllData!$A$2:$A$1000, MATCH(0, INDEX(COUNTIF($AN$1:AN200, Helper_AllData!$A$2:$A$1000)+(Helper_AllData!$A$2:$A$1000=""), 0, 0), 0)),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5" max="5" width="30.33203125" customWidth="1"/>
    <col min="6" max="6" width="53" customWidth="1"/>
  </cols>
  <sheetData>
    <row r="1" spans="1:6" x14ac:dyDescent="0.2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</row>
    <row r="2" spans="1:6" x14ac:dyDescent="0.2">
      <c r="A2" t="s">
        <v>85</v>
      </c>
      <c r="B2" t="s">
        <v>86</v>
      </c>
      <c r="C2" t="s">
        <v>87</v>
      </c>
      <c r="D2">
        <v>5</v>
      </c>
      <c r="E2" t="s">
        <v>88</v>
      </c>
      <c r="F2" t="s">
        <v>89</v>
      </c>
    </row>
    <row r="3" spans="1:6" x14ac:dyDescent="0.2">
      <c r="A3" t="s">
        <v>90</v>
      </c>
      <c r="B3" t="s">
        <v>86</v>
      </c>
      <c r="C3" t="s">
        <v>91</v>
      </c>
      <c r="D3">
        <v>5</v>
      </c>
      <c r="E3" t="s">
        <v>92</v>
      </c>
      <c r="F3" t="s">
        <v>93</v>
      </c>
    </row>
    <row r="4" spans="1:6" x14ac:dyDescent="0.2">
      <c r="A4" t="s">
        <v>94</v>
      </c>
      <c r="B4" t="s">
        <v>86</v>
      </c>
      <c r="C4" t="s">
        <v>95</v>
      </c>
      <c r="D4">
        <v>5</v>
      </c>
      <c r="E4" t="s">
        <v>96</v>
      </c>
      <c r="F4" t="s">
        <v>97</v>
      </c>
    </row>
    <row r="5" spans="1:6" x14ac:dyDescent="0.2">
      <c r="A5" t="s">
        <v>98</v>
      </c>
      <c r="B5" t="s">
        <v>86</v>
      </c>
      <c r="C5" t="s">
        <v>99</v>
      </c>
      <c r="D5">
        <v>5</v>
      </c>
      <c r="E5" t="s">
        <v>100</v>
      </c>
      <c r="F5" t="s">
        <v>101</v>
      </c>
    </row>
    <row r="6" spans="1:6" x14ac:dyDescent="0.2">
      <c r="A6" t="s">
        <v>102</v>
      </c>
      <c r="B6" t="s">
        <v>86</v>
      </c>
      <c r="C6" t="s">
        <v>103</v>
      </c>
      <c r="D6">
        <v>5</v>
      </c>
      <c r="E6" t="s">
        <v>104</v>
      </c>
      <c r="F6" t="s">
        <v>105</v>
      </c>
    </row>
    <row r="7" spans="1:6" x14ac:dyDescent="0.2">
      <c r="A7" t="s">
        <v>106</v>
      </c>
      <c r="B7" t="s">
        <v>86</v>
      </c>
      <c r="C7" t="s">
        <v>107</v>
      </c>
      <c r="D7">
        <v>5</v>
      </c>
      <c r="E7" t="s">
        <v>108</v>
      </c>
      <c r="F7" t="s">
        <v>109</v>
      </c>
    </row>
    <row r="8" spans="1:6" x14ac:dyDescent="0.2">
      <c r="A8" t="s">
        <v>110</v>
      </c>
      <c r="B8" t="s">
        <v>86</v>
      </c>
      <c r="C8" t="s">
        <v>111</v>
      </c>
      <c r="D8">
        <v>6</v>
      </c>
      <c r="E8" t="s">
        <v>112</v>
      </c>
      <c r="F8" t="s">
        <v>113</v>
      </c>
    </row>
    <row r="9" spans="1:6" x14ac:dyDescent="0.2">
      <c r="A9" t="s">
        <v>114</v>
      </c>
      <c r="B9" t="s">
        <v>86</v>
      </c>
      <c r="C9" t="s">
        <v>115</v>
      </c>
      <c r="D9">
        <v>6</v>
      </c>
      <c r="E9" t="s">
        <v>116</v>
      </c>
      <c r="F9" t="s">
        <v>117</v>
      </c>
    </row>
    <row r="10" spans="1:6" x14ac:dyDescent="0.2">
      <c r="A10" t="s">
        <v>118</v>
      </c>
      <c r="B10" t="s">
        <v>86</v>
      </c>
      <c r="C10" t="s">
        <v>119</v>
      </c>
      <c r="D10">
        <v>5</v>
      </c>
      <c r="E10" t="s">
        <v>120</v>
      </c>
      <c r="F10" t="s">
        <v>121</v>
      </c>
    </row>
    <row r="11" spans="1:6" x14ac:dyDescent="0.2">
      <c r="A11" t="s">
        <v>122</v>
      </c>
      <c r="B11" t="s">
        <v>86</v>
      </c>
      <c r="C11" t="s">
        <v>123</v>
      </c>
      <c r="D11">
        <v>7</v>
      </c>
      <c r="E11" t="s">
        <v>124</v>
      </c>
      <c r="F11" t="s">
        <v>125</v>
      </c>
    </row>
    <row r="12" spans="1:6" x14ac:dyDescent="0.2">
      <c r="A12" t="s">
        <v>126</v>
      </c>
      <c r="B12" t="s">
        <v>86</v>
      </c>
      <c r="C12" t="s">
        <v>127</v>
      </c>
      <c r="D12">
        <v>6</v>
      </c>
      <c r="E12" t="s">
        <v>128</v>
      </c>
      <c r="F12" t="s">
        <v>129</v>
      </c>
    </row>
    <row r="13" spans="1:6" x14ac:dyDescent="0.2">
      <c r="A13" t="s">
        <v>130</v>
      </c>
      <c r="B13" t="s">
        <v>86</v>
      </c>
      <c r="C13" t="s">
        <v>131</v>
      </c>
      <c r="D13">
        <v>0</v>
      </c>
      <c r="E13" t="s">
        <v>132</v>
      </c>
      <c r="F13" t="s">
        <v>133</v>
      </c>
    </row>
    <row r="14" spans="1:6" x14ac:dyDescent="0.2">
      <c r="A14" t="s">
        <v>134</v>
      </c>
      <c r="B14" t="s">
        <v>135</v>
      </c>
      <c r="C14" t="s">
        <v>87</v>
      </c>
      <c r="D14">
        <v>5</v>
      </c>
      <c r="E14" t="s">
        <v>88</v>
      </c>
      <c r="F14" t="s">
        <v>136</v>
      </c>
    </row>
    <row r="15" spans="1:6" x14ac:dyDescent="0.2">
      <c r="A15" t="s">
        <v>137</v>
      </c>
      <c r="B15" t="s">
        <v>135</v>
      </c>
      <c r="C15" t="s">
        <v>91</v>
      </c>
      <c r="D15">
        <v>5</v>
      </c>
      <c r="E15" t="s">
        <v>92</v>
      </c>
      <c r="F15" t="s">
        <v>138</v>
      </c>
    </row>
    <row r="16" spans="1:6" x14ac:dyDescent="0.2">
      <c r="A16" t="s">
        <v>139</v>
      </c>
      <c r="B16" t="s">
        <v>135</v>
      </c>
      <c r="C16" t="s">
        <v>95</v>
      </c>
      <c r="D16">
        <v>5</v>
      </c>
      <c r="E16" t="s">
        <v>140</v>
      </c>
      <c r="F16" t="s">
        <v>141</v>
      </c>
    </row>
    <row r="17" spans="1:6" x14ac:dyDescent="0.2">
      <c r="A17" t="s">
        <v>142</v>
      </c>
      <c r="B17" t="s">
        <v>135</v>
      </c>
      <c r="C17" t="s">
        <v>99</v>
      </c>
      <c r="D17">
        <v>5</v>
      </c>
      <c r="E17" t="s">
        <v>100</v>
      </c>
      <c r="F17" t="s">
        <v>143</v>
      </c>
    </row>
    <row r="18" spans="1:6" x14ac:dyDescent="0.2">
      <c r="A18" t="s">
        <v>144</v>
      </c>
      <c r="B18" t="s">
        <v>135</v>
      </c>
      <c r="C18" t="s">
        <v>103</v>
      </c>
      <c r="D18">
        <v>5</v>
      </c>
      <c r="E18" t="s">
        <v>104</v>
      </c>
      <c r="F18" t="s">
        <v>145</v>
      </c>
    </row>
    <row r="19" spans="1:6" x14ac:dyDescent="0.2">
      <c r="A19" t="s">
        <v>146</v>
      </c>
      <c r="B19" t="s">
        <v>135</v>
      </c>
      <c r="C19" t="s">
        <v>107</v>
      </c>
      <c r="D19">
        <v>10</v>
      </c>
      <c r="E19" t="s">
        <v>108</v>
      </c>
      <c r="F19" t="s">
        <v>147</v>
      </c>
    </row>
    <row r="20" spans="1:6" x14ac:dyDescent="0.2">
      <c r="A20" t="s">
        <v>148</v>
      </c>
      <c r="B20" t="s">
        <v>135</v>
      </c>
      <c r="C20" t="s">
        <v>111</v>
      </c>
      <c r="D20">
        <v>5</v>
      </c>
      <c r="E20" t="s">
        <v>112</v>
      </c>
      <c r="F20" t="s">
        <v>149</v>
      </c>
    </row>
    <row r="21" spans="1:6" x14ac:dyDescent="0.2">
      <c r="A21" t="s">
        <v>150</v>
      </c>
      <c r="B21" t="s">
        <v>135</v>
      </c>
      <c r="C21" t="s">
        <v>115</v>
      </c>
      <c r="D21">
        <v>6</v>
      </c>
      <c r="E21" t="s">
        <v>116</v>
      </c>
      <c r="F21" t="s">
        <v>151</v>
      </c>
    </row>
    <row r="22" spans="1:6" x14ac:dyDescent="0.2">
      <c r="A22" t="s">
        <v>152</v>
      </c>
      <c r="B22" t="s">
        <v>135</v>
      </c>
      <c r="C22" t="s">
        <v>119</v>
      </c>
      <c r="D22">
        <v>10</v>
      </c>
      <c r="E22" t="s">
        <v>153</v>
      </c>
      <c r="F22" t="s">
        <v>154</v>
      </c>
    </row>
    <row r="23" spans="1:6" x14ac:dyDescent="0.2">
      <c r="A23" t="s">
        <v>155</v>
      </c>
      <c r="B23" t="s">
        <v>135</v>
      </c>
      <c r="C23" t="s">
        <v>123</v>
      </c>
      <c r="D23">
        <v>7</v>
      </c>
      <c r="E23" t="s">
        <v>124</v>
      </c>
      <c r="F23" t="s">
        <v>156</v>
      </c>
    </row>
    <row r="24" spans="1:6" x14ac:dyDescent="0.2">
      <c r="A24" t="s">
        <v>157</v>
      </c>
      <c r="B24" t="s">
        <v>135</v>
      </c>
      <c r="C24" t="s">
        <v>127</v>
      </c>
      <c r="D24">
        <v>5</v>
      </c>
      <c r="E24" t="s">
        <v>158</v>
      </c>
      <c r="F24" t="s">
        <v>159</v>
      </c>
    </row>
    <row r="25" spans="1:6" x14ac:dyDescent="0.2">
      <c r="A25" t="s">
        <v>160</v>
      </c>
      <c r="B25" t="s">
        <v>135</v>
      </c>
      <c r="C25" t="s">
        <v>131</v>
      </c>
      <c r="D25">
        <v>1</v>
      </c>
      <c r="E25" t="s">
        <v>161</v>
      </c>
      <c r="F25" t="s">
        <v>162</v>
      </c>
    </row>
    <row r="26" spans="1:6" x14ac:dyDescent="0.2">
      <c r="A26" t="s">
        <v>163</v>
      </c>
      <c r="B26" t="s">
        <v>164</v>
      </c>
      <c r="C26" t="s">
        <v>165</v>
      </c>
      <c r="D26">
        <v>6</v>
      </c>
      <c r="E26" t="s">
        <v>166</v>
      </c>
      <c r="F26" t="s">
        <v>167</v>
      </c>
    </row>
    <row r="27" spans="1:6" x14ac:dyDescent="0.2">
      <c r="A27" t="s">
        <v>168</v>
      </c>
      <c r="B27" t="s">
        <v>164</v>
      </c>
      <c r="C27" t="s">
        <v>169</v>
      </c>
      <c r="D27">
        <v>3</v>
      </c>
      <c r="E27" t="s">
        <v>170</v>
      </c>
      <c r="F27" t="s">
        <v>171</v>
      </c>
    </row>
    <row r="28" spans="1:6" x14ac:dyDescent="0.2">
      <c r="A28" t="s">
        <v>172</v>
      </c>
      <c r="B28" t="s">
        <v>164</v>
      </c>
      <c r="C28" t="s">
        <v>173</v>
      </c>
      <c r="D28">
        <v>3</v>
      </c>
      <c r="E28" t="s">
        <v>174</v>
      </c>
      <c r="F28" t="s">
        <v>175</v>
      </c>
    </row>
    <row r="29" spans="1:6" x14ac:dyDescent="0.2">
      <c r="A29" t="s">
        <v>176</v>
      </c>
      <c r="B29" t="s">
        <v>164</v>
      </c>
      <c r="C29" t="s">
        <v>177</v>
      </c>
      <c r="D29">
        <v>6</v>
      </c>
      <c r="E29" t="s">
        <v>178</v>
      </c>
      <c r="F29" t="s">
        <v>179</v>
      </c>
    </row>
    <row r="30" spans="1:6" x14ac:dyDescent="0.2">
      <c r="A30" t="s">
        <v>180</v>
      </c>
      <c r="B30" t="s">
        <v>164</v>
      </c>
      <c r="C30" t="s">
        <v>181</v>
      </c>
      <c r="D30">
        <v>6</v>
      </c>
      <c r="E30" t="s">
        <v>182</v>
      </c>
      <c r="F30" t="s">
        <v>183</v>
      </c>
    </row>
    <row r="31" spans="1:6" x14ac:dyDescent="0.2">
      <c r="A31" t="s">
        <v>184</v>
      </c>
      <c r="B31" t="s">
        <v>164</v>
      </c>
      <c r="C31" t="s">
        <v>185</v>
      </c>
      <c r="D31">
        <v>0</v>
      </c>
      <c r="E31" t="s">
        <v>186</v>
      </c>
      <c r="F31" t="s">
        <v>133</v>
      </c>
    </row>
    <row r="32" spans="1:6" x14ac:dyDescent="0.2">
      <c r="A32" t="s">
        <v>187</v>
      </c>
      <c r="B32" t="s">
        <v>164</v>
      </c>
      <c r="C32" t="s">
        <v>188</v>
      </c>
      <c r="D32">
        <v>15</v>
      </c>
      <c r="E32" t="s">
        <v>189</v>
      </c>
      <c r="F32" t="s">
        <v>190</v>
      </c>
    </row>
    <row r="33" spans="1:6" x14ac:dyDescent="0.2">
      <c r="A33" t="s">
        <v>191</v>
      </c>
      <c r="B33" t="s">
        <v>164</v>
      </c>
      <c r="C33" t="s">
        <v>192</v>
      </c>
      <c r="D33">
        <v>15</v>
      </c>
      <c r="E33" t="s">
        <v>193</v>
      </c>
      <c r="F33" t="s">
        <v>194</v>
      </c>
    </row>
    <row r="34" spans="1:6" x14ac:dyDescent="0.2">
      <c r="A34" t="s">
        <v>195</v>
      </c>
      <c r="B34" t="s">
        <v>164</v>
      </c>
      <c r="C34" t="s">
        <v>87</v>
      </c>
      <c r="D34">
        <v>5</v>
      </c>
      <c r="E34" t="s">
        <v>196</v>
      </c>
      <c r="F34" t="s">
        <v>197</v>
      </c>
    </row>
    <row r="35" spans="1:6" x14ac:dyDescent="0.2">
      <c r="A35" t="s">
        <v>198</v>
      </c>
      <c r="B35" t="s">
        <v>164</v>
      </c>
      <c r="C35" t="s">
        <v>91</v>
      </c>
      <c r="D35">
        <v>5</v>
      </c>
      <c r="E35" t="s">
        <v>199</v>
      </c>
      <c r="F35" t="s">
        <v>200</v>
      </c>
    </row>
    <row r="36" spans="1:6" x14ac:dyDescent="0.2">
      <c r="A36" t="s">
        <v>201</v>
      </c>
      <c r="B36" t="s">
        <v>164</v>
      </c>
      <c r="C36" t="s">
        <v>95</v>
      </c>
      <c r="D36">
        <v>5</v>
      </c>
      <c r="E36" t="s">
        <v>202</v>
      </c>
      <c r="F36" t="s">
        <v>203</v>
      </c>
    </row>
    <row r="37" spans="1:6" x14ac:dyDescent="0.2">
      <c r="A37" t="s">
        <v>204</v>
      </c>
      <c r="B37" t="s">
        <v>164</v>
      </c>
      <c r="C37" t="s">
        <v>99</v>
      </c>
      <c r="D37">
        <v>5</v>
      </c>
      <c r="E37" t="s">
        <v>205</v>
      </c>
      <c r="F37" t="s">
        <v>206</v>
      </c>
    </row>
    <row r="38" spans="1:6" x14ac:dyDescent="0.2">
      <c r="A38" t="s">
        <v>207</v>
      </c>
      <c r="B38" t="s">
        <v>164</v>
      </c>
      <c r="C38" t="s">
        <v>103</v>
      </c>
      <c r="D38">
        <v>5</v>
      </c>
      <c r="E38" t="s">
        <v>208</v>
      </c>
      <c r="F38" t="s">
        <v>209</v>
      </c>
    </row>
    <row r="39" spans="1:6" x14ac:dyDescent="0.2">
      <c r="A39" t="s">
        <v>210</v>
      </c>
      <c r="B39" t="s">
        <v>15</v>
      </c>
      <c r="C39" t="s">
        <v>165</v>
      </c>
      <c r="D39">
        <v>5</v>
      </c>
      <c r="E39" t="s">
        <v>211</v>
      </c>
      <c r="F39" t="s">
        <v>212</v>
      </c>
    </row>
    <row r="40" spans="1:6" x14ac:dyDescent="0.2">
      <c r="A40" t="s">
        <v>213</v>
      </c>
      <c r="B40" t="s">
        <v>15</v>
      </c>
      <c r="C40" t="s">
        <v>169</v>
      </c>
      <c r="D40">
        <v>5</v>
      </c>
      <c r="E40" t="s">
        <v>214</v>
      </c>
      <c r="F40" t="s">
        <v>215</v>
      </c>
    </row>
    <row r="41" spans="1:6" x14ac:dyDescent="0.2">
      <c r="A41" t="s">
        <v>216</v>
      </c>
      <c r="B41" t="s">
        <v>15</v>
      </c>
      <c r="C41" t="s">
        <v>173</v>
      </c>
      <c r="D41">
        <v>5</v>
      </c>
      <c r="E41" t="s">
        <v>217</v>
      </c>
      <c r="F41" t="s">
        <v>218</v>
      </c>
    </row>
    <row r="42" spans="1:6" x14ac:dyDescent="0.2">
      <c r="A42" t="s">
        <v>219</v>
      </c>
      <c r="B42" t="s">
        <v>15</v>
      </c>
      <c r="C42" t="s">
        <v>177</v>
      </c>
      <c r="D42">
        <v>5</v>
      </c>
      <c r="E42" t="s">
        <v>220</v>
      </c>
      <c r="F42" t="s">
        <v>221</v>
      </c>
    </row>
    <row r="43" spans="1:6" x14ac:dyDescent="0.2">
      <c r="A43" t="s">
        <v>222</v>
      </c>
      <c r="B43" t="s">
        <v>15</v>
      </c>
      <c r="C43" t="s">
        <v>181</v>
      </c>
      <c r="D43">
        <v>6</v>
      </c>
      <c r="E43" t="s">
        <v>223</v>
      </c>
      <c r="F43" t="s">
        <v>224</v>
      </c>
    </row>
    <row r="44" spans="1:6" x14ac:dyDescent="0.2">
      <c r="A44" t="s">
        <v>225</v>
      </c>
      <c r="B44" t="s">
        <v>15</v>
      </c>
      <c r="C44" t="s">
        <v>185</v>
      </c>
      <c r="D44">
        <v>6</v>
      </c>
      <c r="E44" t="s">
        <v>226</v>
      </c>
      <c r="F44" t="s">
        <v>227</v>
      </c>
    </row>
    <row r="45" spans="1:6" x14ac:dyDescent="0.2">
      <c r="A45" t="s">
        <v>228</v>
      </c>
      <c r="B45" t="s">
        <v>15</v>
      </c>
      <c r="C45" t="s">
        <v>188</v>
      </c>
      <c r="D45">
        <v>20</v>
      </c>
      <c r="E45" t="s">
        <v>229</v>
      </c>
      <c r="F45" t="s">
        <v>230</v>
      </c>
    </row>
    <row r="46" spans="1:6" x14ac:dyDescent="0.2">
      <c r="A46" t="s">
        <v>231</v>
      </c>
      <c r="B46" t="s">
        <v>15</v>
      </c>
      <c r="C46" t="s">
        <v>192</v>
      </c>
      <c r="D46">
        <v>20</v>
      </c>
      <c r="E46" t="s">
        <v>232</v>
      </c>
      <c r="F46" t="s">
        <v>233</v>
      </c>
    </row>
    <row r="47" spans="1:6" x14ac:dyDescent="0.2">
      <c r="A47" t="s">
        <v>234</v>
      </c>
      <c r="B47" t="s">
        <v>15</v>
      </c>
      <c r="C47" t="s">
        <v>87</v>
      </c>
      <c r="D47">
        <v>7</v>
      </c>
      <c r="E47" t="s">
        <v>235</v>
      </c>
      <c r="F47" t="s">
        <v>236</v>
      </c>
    </row>
    <row r="48" spans="1:6" x14ac:dyDescent="0.2">
      <c r="A48" t="s">
        <v>237</v>
      </c>
      <c r="B48" t="s">
        <v>15</v>
      </c>
      <c r="C48" t="s">
        <v>91</v>
      </c>
      <c r="D48">
        <v>6</v>
      </c>
      <c r="E48" t="s">
        <v>238</v>
      </c>
      <c r="F48" t="s">
        <v>239</v>
      </c>
    </row>
    <row r="49" spans="1:6" x14ac:dyDescent="0.2">
      <c r="A49" t="s">
        <v>240</v>
      </c>
      <c r="B49" t="s">
        <v>15</v>
      </c>
      <c r="C49" t="s">
        <v>95</v>
      </c>
      <c r="D49">
        <v>6</v>
      </c>
      <c r="E49" t="s">
        <v>241</v>
      </c>
      <c r="F49" t="s">
        <v>242</v>
      </c>
    </row>
    <row r="50" spans="1:6" x14ac:dyDescent="0.2">
      <c r="A50" t="s">
        <v>243</v>
      </c>
      <c r="B50" t="s">
        <v>15</v>
      </c>
      <c r="C50" t="s">
        <v>99</v>
      </c>
      <c r="D50">
        <v>6</v>
      </c>
      <c r="E50" t="s">
        <v>244</v>
      </c>
      <c r="F50" t="s">
        <v>245</v>
      </c>
    </row>
    <row r="51" spans="1:6" x14ac:dyDescent="0.2">
      <c r="A51" t="s">
        <v>246</v>
      </c>
      <c r="B51" t="s">
        <v>15</v>
      </c>
      <c r="C51" t="s">
        <v>103</v>
      </c>
      <c r="D51">
        <v>0</v>
      </c>
      <c r="E51" t="s">
        <v>247</v>
      </c>
      <c r="F51" t="s">
        <v>133</v>
      </c>
    </row>
    <row r="52" spans="1:6" x14ac:dyDescent="0.2">
      <c r="A52" t="s">
        <v>248</v>
      </c>
      <c r="B52" t="s">
        <v>249</v>
      </c>
      <c r="C52" t="s">
        <v>165</v>
      </c>
      <c r="D52">
        <v>8</v>
      </c>
      <c r="E52" t="s">
        <v>250</v>
      </c>
      <c r="F52" t="s">
        <v>251</v>
      </c>
    </row>
    <row r="53" spans="1:6" x14ac:dyDescent="0.2">
      <c r="A53" t="s">
        <v>252</v>
      </c>
      <c r="B53" t="s">
        <v>249</v>
      </c>
      <c r="C53" t="s">
        <v>169</v>
      </c>
      <c r="D53">
        <v>8</v>
      </c>
      <c r="E53" t="s">
        <v>253</v>
      </c>
      <c r="F53" t="s">
        <v>254</v>
      </c>
    </row>
    <row r="54" spans="1:6" x14ac:dyDescent="0.2">
      <c r="A54" t="s">
        <v>255</v>
      </c>
      <c r="B54" t="s">
        <v>249</v>
      </c>
      <c r="C54" t="s">
        <v>173</v>
      </c>
      <c r="D54">
        <v>8</v>
      </c>
      <c r="E54" t="s">
        <v>256</v>
      </c>
      <c r="F54" t="s">
        <v>257</v>
      </c>
    </row>
    <row r="55" spans="1:6" x14ac:dyDescent="0.2">
      <c r="A55" t="s">
        <v>258</v>
      </c>
      <c r="B55" t="s">
        <v>249</v>
      </c>
      <c r="C55" t="s">
        <v>177</v>
      </c>
      <c r="D55">
        <v>12</v>
      </c>
      <c r="E55" t="s">
        <v>259</v>
      </c>
      <c r="F55" t="s">
        <v>260</v>
      </c>
    </row>
    <row r="56" spans="1:6" x14ac:dyDescent="0.2">
      <c r="A56" t="s">
        <v>261</v>
      </c>
      <c r="B56" t="s">
        <v>249</v>
      </c>
      <c r="C56" t="s">
        <v>181</v>
      </c>
      <c r="D56">
        <v>12</v>
      </c>
      <c r="E56" t="s">
        <v>262</v>
      </c>
      <c r="F56" t="s">
        <v>263</v>
      </c>
    </row>
    <row r="57" spans="1:6" x14ac:dyDescent="0.2">
      <c r="A57" t="s">
        <v>264</v>
      </c>
      <c r="B57" t="s">
        <v>249</v>
      </c>
      <c r="C57" t="s">
        <v>185</v>
      </c>
      <c r="D57">
        <v>12</v>
      </c>
      <c r="E57" t="s">
        <v>265</v>
      </c>
      <c r="F57" t="s">
        <v>266</v>
      </c>
    </row>
    <row r="58" spans="1:6" x14ac:dyDescent="0.2">
      <c r="A58" t="s">
        <v>267</v>
      </c>
      <c r="B58" t="s">
        <v>249</v>
      </c>
      <c r="C58" t="s">
        <v>268</v>
      </c>
      <c r="D58">
        <v>10</v>
      </c>
      <c r="E58" t="s">
        <v>269</v>
      </c>
      <c r="F58" t="s">
        <v>270</v>
      </c>
    </row>
    <row r="59" spans="1:6" x14ac:dyDescent="0.2">
      <c r="A59" t="s">
        <v>271</v>
      </c>
      <c r="B59" t="s">
        <v>249</v>
      </c>
      <c r="C59" t="s">
        <v>188</v>
      </c>
      <c r="D59">
        <v>20</v>
      </c>
      <c r="E59" t="s">
        <v>272</v>
      </c>
      <c r="F59" t="s">
        <v>273</v>
      </c>
    </row>
    <row r="60" spans="1:6" x14ac:dyDescent="0.2">
      <c r="A60" t="s">
        <v>274</v>
      </c>
      <c r="B60" t="s">
        <v>249</v>
      </c>
      <c r="C60" t="s">
        <v>192</v>
      </c>
      <c r="D60">
        <v>20</v>
      </c>
      <c r="E60" t="s">
        <v>275</v>
      </c>
      <c r="F60" t="s">
        <v>276</v>
      </c>
    </row>
    <row r="61" spans="1:6" x14ac:dyDescent="0.2">
      <c r="A61" t="s">
        <v>277</v>
      </c>
      <c r="B61" t="s">
        <v>249</v>
      </c>
      <c r="C61" t="s">
        <v>87</v>
      </c>
      <c r="D61">
        <v>8</v>
      </c>
      <c r="E61" t="s">
        <v>278</v>
      </c>
      <c r="F61" t="s">
        <v>279</v>
      </c>
    </row>
    <row r="62" spans="1:6" x14ac:dyDescent="0.2">
      <c r="A62" t="s">
        <v>280</v>
      </c>
      <c r="B62" t="s">
        <v>249</v>
      </c>
      <c r="C62" t="s">
        <v>91</v>
      </c>
      <c r="D62">
        <v>10</v>
      </c>
      <c r="E62" t="s">
        <v>281</v>
      </c>
      <c r="F62" t="s">
        <v>282</v>
      </c>
    </row>
    <row r="63" spans="1:6" x14ac:dyDescent="0.2">
      <c r="A63" t="s">
        <v>283</v>
      </c>
      <c r="B63" t="s">
        <v>249</v>
      </c>
      <c r="C63" t="s">
        <v>95</v>
      </c>
      <c r="D63">
        <v>5</v>
      </c>
      <c r="E63" t="s">
        <v>284</v>
      </c>
      <c r="F63" t="s">
        <v>285</v>
      </c>
    </row>
    <row r="64" spans="1:6" x14ac:dyDescent="0.2">
      <c r="A64" t="s">
        <v>286</v>
      </c>
      <c r="B64" t="s">
        <v>249</v>
      </c>
      <c r="C64" t="s">
        <v>99</v>
      </c>
      <c r="D64">
        <v>7</v>
      </c>
      <c r="E64" t="s">
        <v>287</v>
      </c>
      <c r="F64" t="s">
        <v>288</v>
      </c>
    </row>
  </sheetData>
  <autoFilter ref="A1:F6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1036"/>
  <sheetViews>
    <sheetView workbookViewId="0">
      <pane ySplit="1" topLeftCell="A15" activePane="bottomLeft" state="frozen"/>
      <selection pane="bottomLeft" activeCell="R1004" sqref="R1004"/>
    </sheetView>
  </sheetViews>
  <sheetFormatPr baseColWidth="10" defaultColWidth="8.83203125" defaultRowHeight="15" x14ac:dyDescent="0.2"/>
  <cols>
    <col min="2" max="2" width="4.6640625" customWidth="1"/>
    <col min="3" max="3" width="16.33203125" customWidth="1"/>
    <col min="27" max="27" width="14.1640625" customWidth="1"/>
  </cols>
  <sheetData>
    <row r="1" spans="1:30" x14ac:dyDescent="0.2">
      <c r="A1" s="4" t="s">
        <v>289</v>
      </c>
      <c r="B1" s="4" t="s">
        <v>290</v>
      </c>
      <c r="C1" s="4" t="s">
        <v>291</v>
      </c>
      <c r="D1" s="4" t="s">
        <v>80</v>
      </c>
      <c r="E1" s="4" t="s">
        <v>165</v>
      </c>
      <c r="F1" s="4" t="s">
        <v>169</v>
      </c>
      <c r="G1" s="4" t="s">
        <v>173</v>
      </c>
      <c r="H1" s="4" t="s">
        <v>177</v>
      </c>
      <c r="I1" s="4" t="s">
        <v>181</v>
      </c>
      <c r="J1" s="4" t="s">
        <v>185</v>
      </c>
      <c r="K1" s="4" t="s">
        <v>268</v>
      </c>
      <c r="L1" s="4" t="s">
        <v>292</v>
      </c>
      <c r="M1" s="4" t="s">
        <v>293</v>
      </c>
      <c r="N1" s="4" t="s">
        <v>188</v>
      </c>
      <c r="O1" s="4" t="s">
        <v>192</v>
      </c>
      <c r="P1" s="4" t="s">
        <v>294</v>
      </c>
      <c r="Q1" s="4" t="s">
        <v>295</v>
      </c>
      <c r="R1" s="4" t="s">
        <v>87</v>
      </c>
      <c r="S1" s="4" t="s">
        <v>91</v>
      </c>
      <c r="T1" s="4" t="s">
        <v>95</v>
      </c>
      <c r="U1" s="4" t="s">
        <v>99</v>
      </c>
      <c r="V1" s="4" t="s">
        <v>103</v>
      </c>
      <c r="W1" s="4" t="s">
        <v>296</v>
      </c>
      <c r="X1" s="4" t="s">
        <v>297</v>
      </c>
      <c r="Y1" s="4" t="s">
        <v>298</v>
      </c>
      <c r="Z1" s="4" t="s">
        <v>299</v>
      </c>
      <c r="AA1" s="4" t="s">
        <v>300</v>
      </c>
      <c r="AB1" s="4" t="s">
        <v>301</v>
      </c>
      <c r="AC1" s="4" t="s">
        <v>302</v>
      </c>
      <c r="AD1" s="4" t="s">
        <v>303</v>
      </c>
    </row>
    <row r="2" spans="1:30" ht="240" hidden="1" x14ac:dyDescent="0.2">
      <c r="A2">
        <v>306</v>
      </c>
      <c r="B2" t="s">
        <v>13</v>
      </c>
      <c r="C2" t="s">
        <v>4</v>
      </c>
      <c r="D2" t="s">
        <v>15</v>
      </c>
      <c r="E2">
        <v>3</v>
      </c>
      <c r="F2">
        <v>1</v>
      </c>
      <c r="G2">
        <v>3</v>
      </c>
      <c r="H2">
        <v>0</v>
      </c>
      <c r="I2">
        <v>3</v>
      </c>
      <c r="J2">
        <v>4</v>
      </c>
      <c r="L2">
        <f t="shared" ref="L2:L65" si="0">IF(COUNT(E2:K2)&gt;0, SUM(E2:K2), "")</f>
        <v>14</v>
      </c>
      <c r="M2">
        <f>IF(L2="","", IFERROR(VLOOKUP(L2, IF(D2="KET", 换算标准!$M:$N, IF(D2="PET", 换算标准!$S:$T, 换算标准!$AC:$AD)), 2, TRUE), 0))</f>
        <v>122</v>
      </c>
      <c r="P2" t="str">
        <f t="shared" ref="P2:P65" si="1">IF(COUNT(N2:O2)&gt;0, SUM(N2:O2), "")</f>
        <v/>
      </c>
      <c r="Q2" t="str">
        <f>IF(P2="","", IFERROR(VLOOKUP(P2, IF(D2="KET", 换算标准!$O:$P, IF(D2="PET", 换算标准!$U:$V, 换算标准!$AG:$AH)), 2, TRUE), 0))</f>
        <v/>
      </c>
      <c r="R2">
        <v>7</v>
      </c>
      <c r="S2">
        <v>4</v>
      </c>
      <c r="T2">
        <v>6</v>
      </c>
      <c r="U2">
        <v>4</v>
      </c>
      <c r="W2">
        <f t="shared" ref="W2:W65" si="2">IF(COUNT(R2:V2)&gt;0, SUM(R2:V2), "")</f>
        <v>21</v>
      </c>
      <c r="X2">
        <f>IF(W2="","", IFERROR(VLOOKUP(W2, IF(D2="KET", 换算标准!$Q:$R, IF(D2="PET", 换算标准!$W:$X, 换算标准!$AI:$AJ)), 2, TRUE), 0))</f>
        <v>152</v>
      </c>
      <c r="Y2">
        <f t="shared" ref="Y2:Y65" si="3">IF(COUNT(M2,Q2,X2)&gt;0, AVERAGE(M2,Q2,X2), "")</f>
        <v>137</v>
      </c>
      <c r="Z2" t="str">
        <f>IF(Y2="","", IFERROR(VLOOKUP(Y2, 换算标准!$Z:$AA, 1, TRUE), ""))</f>
        <v/>
      </c>
      <c r="AA2" s="5" t="str">
        <f>IF(L2="","", "⚠️ 薄弱环节: "&amp;INDEX($E$1:$K$1, MATCH(MIN(E2:K2), E2:K2, 0))&amp;CHAR(10)&amp;"📉 考察能力: "&amp;IFERROR(VLOOKUP(TRIM(D2)&amp;"_"&amp;TRIM(INDEX($E$1:$K$1, MATCH(MIN(E2:K2), E2:K2, 0))), 技能库!$A:$F, 5, 0),"建议查阅考纲")&amp;CHAR(10)&amp;"💡 提升建议: "&amp;IFERROR(VLOOKUP(TRIM(D2)&amp;"_"&amp;TRIM(INDEX($E$1:$K$1, MATCH(MIN(E2:K2), E2:K2, 0))), 技能库!$A:$F, 6, 0),"请针对该题型加强练习"))</f>
        <v>⚠️ 薄弱环节: R-Pt4
📉 考察能力: [阅读] 句子还原 (填空)
💡 提升建议: 逻辑性极强，需关注代词指代和上下文逻辑连接词。</v>
      </c>
      <c r="AB2" s="5" t="str">
        <f>IF(P2="","", "⚠️ 薄弱环节: "&amp;INDEX($N$1:$O$1, MATCH(MIN(N2:O2), N2:O2, 0))&amp;CHAR(10)&amp;"📉 考察能力: "&amp;IFERROR(VLOOKUP(TRIM(D2)&amp;"_"&amp;TRIM(INDEX($N$1:$O$1, MATCH(MIN(N2:O2), N2:O2, 0))), 技能库!$A:$F, 5, 0),"建议查阅考纲")&amp;CHAR(10)&amp;"💡 提升建议: "&amp;IFERROR(VLOOKUP(TRIM(D2)&amp;"_"&amp;TRIM(INDEX($N$1:$O$1, MATCH(MIN(N2:O2), N2:O2, 0))), 技能库!$A:$F, 6, 0),"请针对该题型加强练习"))</f>
        <v/>
      </c>
      <c r="AC2" s="5" t="str">
        <f>IF(W2="","", "⚠️ 薄弱环节: "&amp;INDEX($R$1:$V$1, MATCH(MIN(R2:V2), R2:V2, 0))&amp;CHAR(10)&amp;"📉 考察能力: "&amp;IFERROR(VLOOKUP(TRIM(D2)&amp;"_"&amp;TRIM(INDEX($R$1:$V$1, MATCH(MIN(R2:V2), R2:V2, 0))), 技能库!$A:$F, 5, 0),"建议查阅考纲")&amp;CHAR(10)&amp;"💡 提升建议: "&amp;IFERROR(VLOOKUP(TRIM(D2)&amp;"_"&amp;TRIM(INDEX($R$1:$V$1, MATCH(MIN(R2:V2), R2:V2, 0))), 技能库!$A:$F, 6, 0),"请针对该题型加强练习"))</f>
        <v>⚠️ 薄弱环节: L-Pt2
📉 考察能力: [听力] 多选 (短对话)
💡 提升建议: 听懂说话人的态度、观点和意图。</v>
      </c>
      <c r="AD2" t="s">
        <v>304</v>
      </c>
    </row>
    <row r="3" spans="1:30" ht="256" hidden="1" x14ac:dyDescent="0.2">
      <c r="A3">
        <v>302</v>
      </c>
      <c r="B3" t="s">
        <v>13</v>
      </c>
      <c r="C3" t="s">
        <v>305</v>
      </c>
      <c r="D3" t="s">
        <v>15</v>
      </c>
      <c r="E3">
        <v>4</v>
      </c>
      <c r="F3">
        <v>1</v>
      </c>
      <c r="G3">
        <v>4</v>
      </c>
      <c r="H3">
        <v>2</v>
      </c>
      <c r="I3">
        <v>2</v>
      </c>
      <c r="J3">
        <v>4</v>
      </c>
      <c r="L3">
        <f t="shared" si="0"/>
        <v>17</v>
      </c>
      <c r="M3">
        <f>IF(L3="","", IFERROR(VLOOKUP(L3, IF(D3="KET", 换算标准!$M:$N, IF(D3="PET", 换算标准!$S:$T, 换算标准!$AC:$AD)), 2, TRUE), 0))</f>
        <v>128</v>
      </c>
      <c r="P3" t="str">
        <f t="shared" si="1"/>
        <v/>
      </c>
      <c r="Q3" t="str">
        <f>IF(P3="","", IFERROR(VLOOKUP(P3, IF(D3="KET", 换算标准!$O:$P, IF(D3="PET", 换算标准!$U:$V, 换算标准!$AG:$AH)), 2, TRUE), 0))</f>
        <v/>
      </c>
      <c r="R3">
        <v>7</v>
      </c>
      <c r="S3">
        <v>5</v>
      </c>
      <c r="T3">
        <v>5</v>
      </c>
      <c r="U3">
        <v>2</v>
      </c>
      <c r="W3">
        <f t="shared" si="2"/>
        <v>19</v>
      </c>
      <c r="X3">
        <f>IF(W3="","", IFERROR(VLOOKUP(W3, IF(D3="KET", 换算标准!$Q:$R, IF(D3="PET", 换算标准!$W:$X, 换算标准!$AI:$AJ)), 2, TRUE), 0))</f>
        <v>144</v>
      </c>
      <c r="Y3">
        <f t="shared" si="3"/>
        <v>136</v>
      </c>
      <c r="Z3" t="str">
        <f>IF(Y3="","", IFERROR(VLOOKUP(Y3, 换算标准!$Z:$AA, 1, TRUE), ""))</f>
        <v/>
      </c>
      <c r="AA3" s="5" t="str">
        <f>IF(L3="","", "⚠️ 薄弱环节: "&amp;INDEX($E$1:$K$1, MATCH(MIN(E3:K3), E3:K3, 0))&amp;CHAR(10)&amp;"📉 考察能力: "&amp;IFERROR(VLOOKUP(TRIM(D3)&amp;"_"&amp;TRIM(INDEX($E$1:$K$1, MATCH(MIN(E3:K3), E3:K3, 0))), 技能库!$A:$F, 5, 0),"建议查阅考纲")&amp;CHAR(10)&amp;"💡 提升建议: "&amp;IFERROR(VLOOKUP(TRIM(D3)&amp;"_"&amp;TRIM(INDEX($E$1:$K$1, MATCH(MIN(E3:K3), E3:K3, 0))), 技能库!$A:$F, 6, 0),"请针对该题型加强练习"))</f>
        <v>⚠️ 薄弱环节: R-Pt2
📉 考察能力: [阅读] 人物与描述匹配
💡 提升建议: 阅读量大，练习划关键词，寻找完全匹配项。</v>
      </c>
      <c r="AB3" s="5" t="str">
        <f>IF(P3="","", "⚠️ 薄弱环节: "&amp;INDEX($N$1:$O$1, MATCH(MIN(N3:O3), N3:O3, 0))&amp;CHAR(10)&amp;"📉 考察能力: "&amp;IFERROR(VLOOKUP(TRIM(D3)&amp;"_"&amp;TRIM(INDEX($N$1:$O$1, MATCH(MIN(N3:O3), N3:O3, 0))), 技能库!$A:$F, 5, 0),"建议查阅考纲")&amp;CHAR(10)&amp;"💡 提升建议: "&amp;IFERROR(VLOOKUP(TRIM(D3)&amp;"_"&amp;TRIM(INDEX($N$1:$O$1, MATCH(MIN(N3:O3), N3:O3, 0))), 技能库!$A:$F, 6, 0),"请针对该题型加强练习"))</f>
        <v/>
      </c>
      <c r="AC3" s="5" t="str">
        <f>IF(W3="","", "⚠️ 薄弱环节: "&amp;INDEX($R$1:$V$1, MATCH(MIN(R3:V3), R3:V3, 0))&amp;CHAR(10)&amp;"📉 考察能力: "&amp;IFERROR(VLOOKUP(TRIM(D3)&amp;"_"&amp;TRIM(INDEX($R$1:$V$1, MATCH(MIN(R3:V3), R3:V3, 0))), 技能库!$A:$F, 5, 0),"建议查阅考纲")&amp;CHAR(10)&amp;"💡 提升建议: "&amp;IFERROR(VLOOKUP(TRIM(D3)&amp;"_"&amp;TRIM(INDEX($R$1:$V$1, MATCH(MIN(R3:V3), R3:V3, 0))), 技能库!$A:$F, 6, 0),"请针对该题型加强练习"))</f>
        <v>⚠️ 薄弱环节: L-Pt4
📉 考察能力: [听力] 多选 (长采访)
💡 提升建议: 听懂详细的观点阐述，理解对话深层逻辑。</v>
      </c>
      <c r="AD3" t="s">
        <v>304</v>
      </c>
    </row>
    <row r="4" spans="1:30" ht="272" hidden="1" x14ac:dyDescent="0.2">
      <c r="A4">
        <v>302</v>
      </c>
      <c r="B4" t="s">
        <v>13</v>
      </c>
      <c r="C4" t="s">
        <v>306</v>
      </c>
      <c r="D4" t="s">
        <v>15</v>
      </c>
      <c r="E4">
        <v>3</v>
      </c>
      <c r="F4">
        <v>5</v>
      </c>
      <c r="G4">
        <v>2</v>
      </c>
      <c r="L4">
        <f t="shared" si="0"/>
        <v>10</v>
      </c>
      <c r="M4">
        <f>IF(L4="","", IFERROR(VLOOKUP(L4, IF(D4="KET", 换算标准!$M:$N, IF(D4="PET", 换算标准!$S:$T, 换算标准!$AC:$AD)), 2, TRUE), 0))</f>
        <v>0</v>
      </c>
      <c r="P4" t="str">
        <f t="shared" si="1"/>
        <v/>
      </c>
      <c r="Q4" t="str">
        <f>IF(P4="","", IFERROR(VLOOKUP(P4, IF(D4="KET", 换算标准!$O:$P, IF(D4="PET", 换算标准!$U:$V, 换算标准!$AG:$AH)), 2, TRUE), 0))</f>
        <v/>
      </c>
      <c r="R4">
        <v>7</v>
      </c>
      <c r="S4">
        <v>5</v>
      </c>
      <c r="T4">
        <v>3</v>
      </c>
      <c r="U4">
        <v>3</v>
      </c>
      <c r="W4">
        <f t="shared" si="2"/>
        <v>18</v>
      </c>
      <c r="X4">
        <f>IF(W4="","", IFERROR(VLOOKUP(W4, IF(D4="KET", 换算标准!$Q:$R, IF(D4="PET", 换算标准!$W:$X, 换算标准!$AI:$AJ)), 2, TRUE), 0))</f>
        <v>140</v>
      </c>
      <c r="Y4">
        <f t="shared" si="3"/>
        <v>70</v>
      </c>
      <c r="Z4" t="str">
        <f>IF(Y4="","", IFERROR(VLOOKUP(Y4, 换算标准!$Z:$AA, 1, TRUE), ""))</f>
        <v/>
      </c>
      <c r="AA4" s="5" t="str">
        <f>IF(L4="","", "⚠️ 薄弱环节: "&amp;INDEX($E$1:$K$1, MATCH(MIN(E4:K4), E4:K4, 0))&amp;CHAR(10)&amp;"📉 考察能力: "&amp;IFERROR(VLOOKUP(TRIM(D4)&amp;"_"&amp;TRIM(INDEX($E$1:$K$1, MATCH(MIN(E4:K4), E4:K4, 0))), 技能库!$A:$F, 5, 0),"建议查阅考纲")&amp;CHAR(10)&amp;"💡 提升建议: "&amp;IFERROR(VLOOKUP(TRIM(D4)&amp;"_"&amp;TRIM(INDEX($E$1:$K$1, MATCH(MIN(E4:K4), E4:K4, 0))), 技能库!$A:$F, 6, 0),"请针对该题型加强练习"))</f>
        <v>⚠️ 薄弱环节: R-Pt3
📉 考察能力: [阅读] 长文理解 (多选)
💡 提升建议: 深入理解文章结构，区分事实与观点。</v>
      </c>
      <c r="AB4" s="5" t="str">
        <f>IF(P4="","", "⚠️ 薄弱环节: "&amp;INDEX($N$1:$O$1, MATCH(MIN(N4:O4), N4:O4, 0))&amp;CHAR(10)&amp;"📉 考察能力: "&amp;IFERROR(VLOOKUP(TRIM(D4)&amp;"_"&amp;TRIM(INDEX($N$1:$O$1, MATCH(MIN(N4:O4), N4:O4, 0))), 技能库!$A:$F, 5, 0),"建议查阅考纲")&amp;CHAR(10)&amp;"💡 提升建议: "&amp;IFERROR(VLOOKUP(TRIM(D4)&amp;"_"&amp;TRIM(INDEX($N$1:$O$1, MATCH(MIN(N4:O4), N4:O4, 0))), 技能库!$A:$F, 6, 0),"请针对该题型加强练习"))</f>
        <v/>
      </c>
      <c r="AC4" s="5" t="str">
        <f>IF(W4="","", "⚠️ 薄弱环节: "&amp;INDEX($R$1:$V$1, MATCH(MIN(R4:V4), R4:V4, 0))&amp;CHAR(10)&amp;"📉 考察能力: "&amp;IFERROR(VLOOKUP(TRIM(D4)&amp;"_"&amp;TRIM(INDEX($R$1:$V$1, MATCH(MIN(R4:V4), R4:V4, 0))), 技能库!$A:$F, 5, 0),"建议查阅考纲")&amp;CHAR(10)&amp;"💡 提升建议: "&amp;IFERROR(VLOOKUP(TRIM(D4)&amp;"_"&amp;TRIM(INDEX($R$1:$V$1, MATCH(MIN(R4:V4), R4:V4, 0))), 技能库!$A:$F, 6, 0),"请针对该题型加强练习"))</f>
        <v>⚠️ 薄弱环节: L-Pt3
📉 考察能力: [听力] 填空 (长独白)
💡 提升建议: 听懂说明性文字，捕捉并准确拼写关键名词或数字。</v>
      </c>
      <c r="AD4" t="s">
        <v>304</v>
      </c>
    </row>
    <row r="5" spans="1:30" ht="256" hidden="1" x14ac:dyDescent="0.2">
      <c r="A5">
        <v>302</v>
      </c>
      <c r="B5" t="s">
        <v>13</v>
      </c>
      <c r="C5" t="s">
        <v>307</v>
      </c>
      <c r="D5" t="s">
        <v>15</v>
      </c>
      <c r="E5">
        <v>1</v>
      </c>
      <c r="F5">
        <v>1</v>
      </c>
      <c r="G5">
        <v>1</v>
      </c>
      <c r="H5">
        <v>1</v>
      </c>
      <c r="I5">
        <v>3</v>
      </c>
      <c r="J5">
        <v>3</v>
      </c>
      <c r="L5">
        <f t="shared" si="0"/>
        <v>10</v>
      </c>
      <c r="M5">
        <f>IF(L5="","", IFERROR(VLOOKUP(L5, IF(D5="KET", 换算标准!$M:$N, IF(D5="PET", 换算标准!$S:$T, 换算标准!$AC:$AD)), 2, TRUE), 0))</f>
        <v>0</v>
      </c>
      <c r="P5" t="str">
        <f t="shared" si="1"/>
        <v/>
      </c>
      <c r="Q5" t="str">
        <f>IF(P5="","", IFERROR(VLOOKUP(P5, IF(D5="KET", 换算标准!$O:$P, IF(D5="PET", 换算标准!$U:$V, 换算标准!$AG:$AH)), 2, TRUE), 0))</f>
        <v/>
      </c>
      <c r="R5">
        <v>7</v>
      </c>
      <c r="S5">
        <v>5</v>
      </c>
      <c r="T5">
        <v>3</v>
      </c>
      <c r="U5">
        <v>2</v>
      </c>
      <c r="W5">
        <f t="shared" si="2"/>
        <v>17</v>
      </c>
      <c r="X5">
        <f>IF(W5="","", IFERROR(VLOOKUP(W5, IF(D5="KET", 换算标准!$Q:$R, IF(D5="PET", 换算标准!$W:$X, 换算标准!$AI:$AJ)), 2, TRUE), 0))</f>
        <v>137</v>
      </c>
      <c r="Y5">
        <f t="shared" si="3"/>
        <v>68.5</v>
      </c>
      <c r="Z5" t="str">
        <f>IF(Y5="","", IFERROR(VLOOKUP(Y5, 换算标准!$Z:$AA, 1, TRUE), ""))</f>
        <v/>
      </c>
      <c r="AA5" s="5" t="str">
        <f>IF(L5="","", "⚠️ 薄弱环节: "&amp;INDEX($E$1:$K$1, MATCH(MIN(E5:K5), E5:K5, 0))&amp;CHAR(10)&amp;"📉 考察能力: "&amp;IFERROR(VLOOKUP(TRIM(D5)&amp;"_"&amp;TRIM(INDEX($E$1:$K$1, MATCH(MIN(E5:K5), E5:K5, 0))), 技能库!$A:$F, 5, 0),"建议查阅考纲")&amp;CHAR(10)&amp;"💡 提升建议: "&amp;IFERROR(VLOOKUP(TRIM(D5)&amp;"_"&amp;TRIM(INDEX($E$1:$K$1, MATCH(MIN(E5:K5), E5:K5, 0))), 技能库!$A:$F, 6, 0),"请针对该题型加强练习"))</f>
        <v>⚠️ 薄弱环节: R-Pt1
📉 考察能力: [阅读] 短讯息主旨
💡 提升建议: 注意细微的情感态度差异，理解隐含意义。</v>
      </c>
      <c r="AB5" s="5" t="str">
        <f>IF(P5="","", "⚠️ 薄弱环节: "&amp;INDEX($N$1:$O$1, MATCH(MIN(N5:O5), N5:O5, 0))&amp;CHAR(10)&amp;"📉 考察能力: "&amp;IFERROR(VLOOKUP(TRIM(D5)&amp;"_"&amp;TRIM(INDEX($N$1:$O$1, MATCH(MIN(N5:O5), N5:O5, 0))), 技能库!$A:$F, 5, 0),"建议查阅考纲")&amp;CHAR(10)&amp;"💡 提升建议: "&amp;IFERROR(VLOOKUP(TRIM(D5)&amp;"_"&amp;TRIM(INDEX($N$1:$O$1, MATCH(MIN(N5:O5), N5:O5, 0))), 技能库!$A:$F, 6, 0),"请针对该题型加强练习"))</f>
        <v/>
      </c>
      <c r="AC5" s="5" t="str">
        <f>IF(W5="","", "⚠️ 薄弱环节: "&amp;INDEX($R$1:$V$1, MATCH(MIN(R5:V5), R5:V5, 0))&amp;CHAR(10)&amp;"📉 考察能力: "&amp;IFERROR(VLOOKUP(TRIM(D5)&amp;"_"&amp;TRIM(INDEX($R$1:$V$1, MATCH(MIN(R5:V5), R5:V5, 0))), 技能库!$A:$F, 5, 0),"建议查阅考纲")&amp;CHAR(10)&amp;"💡 提升建议: "&amp;IFERROR(VLOOKUP(TRIM(D5)&amp;"_"&amp;TRIM(INDEX($R$1:$V$1, MATCH(MIN(R5:V5), R5:V5, 0))), 技能库!$A:$F, 6, 0),"请针对该题型加强练习"))</f>
        <v>⚠️ 薄弱环节: L-Pt4
📉 考察能力: [听力] 多选 (长采访)
💡 提升建议: 听懂详细的观点阐述，理解对话深层逻辑。</v>
      </c>
      <c r="AD5" t="s">
        <v>304</v>
      </c>
    </row>
    <row r="6" spans="1:30" ht="288" hidden="1" x14ac:dyDescent="0.2">
      <c r="A6">
        <v>302</v>
      </c>
      <c r="B6" t="s">
        <v>13</v>
      </c>
      <c r="C6" t="s">
        <v>308</v>
      </c>
      <c r="D6" t="s">
        <v>164</v>
      </c>
      <c r="E6">
        <v>0</v>
      </c>
      <c r="F6">
        <v>6</v>
      </c>
      <c r="G6">
        <v>5</v>
      </c>
      <c r="H6">
        <v>5</v>
      </c>
      <c r="I6">
        <v>4</v>
      </c>
      <c r="L6">
        <f t="shared" si="0"/>
        <v>20</v>
      </c>
      <c r="M6">
        <f>IF(L6="","", IFERROR(VLOOKUP(L6, IF(D6="KET", 换算标准!$M:$N, IF(D6="PET", 换算标准!$S:$T, 换算标准!$AC:$AD)), 2, TRUE), 0))</f>
        <v>120</v>
      </c>
      <c r="N6">
        <v>7</v>
      </c>
      <c r="O6">
        <v>9</v>
      </c>
      <c r="P6">
        <f t="shared" si="1"/>
        <v>16</v>
      </c>
      <c r="Q6">
        <f>IF(P6="","", IFERROR(VLOOKUP(P6, IF(D6="KET", 换算标准!$O:$P, IF(D6="PET", 换算标准!$U:$V, 换算标准!$AG:$AH)), 2, TRUE), 0))</f>
        <v>114</v>
      </c>
      <c r="R6">
        <v>4</v>
      </c>
      <c r="S6">
        <v>3</v>
      </c>
      <c r="T6">
        <v>4</v>
      </c>
      <c r="U6">
        <v>4</v>
      </c>
      <c r="V6">
        <v>5</v>
      </c>
      <c r="W6">
        <f t="shared" si="2"/>
        <v>20</v>
      </c>
      <c r="X6">
        <f>IF(W6="","", IFERROR(VLOOKUP(W6, IF(D6="KET", 换算标准!$Q:$R, IF(D6="PET", 换算标准!$W:$X, 换算标准!$AI:$AJ)), 2, TRUE), 0))</f>
        <v>130</v>
      </c>
      <c r="Y6">
        <f t="shared" si="3"/>
        <v>121.33333333333333</v>
      </c>
      <c r="Z6" t="str">
        <f>IF(Y6="","", IFERROR(VLOOKUP(Y6, 换算标准!$Z:$AA, 1, TRUE), ""))</f>
        <v/>
      </c>
      <c r="AA6" s="5" t="str">
        <f>IF(L6="","", "⚠️ 薄弱环节: "&amp;INDEX($E$1:$K$1, MATCH(MIN(E6:K6), E6:K6, 0))&amp;CHAR(10)&amp;"📉 考察能力: "&amp;IFERROR(VLOOKUP(TRIM(D6)&amp;"_"&amp;TRIM(INDEX($E$1:$K$1, MATCH(MIN(E6:K6), E6:K6, 0))), 技能库!$A:$F, 5, 0),"建议查阅考纲")&amp;CHAR(10)&amp;"💡 提升建议: "&amp;IFERROR(VLOOKUP(TRIM(D6)&amp;"_"&amp;TRIM(INDEX($E$1:$K$1, MATCH(MIN(E6:K6), E6:K6,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6" s="5" t="str">
        <f>IF(P6="","", "⚠️ 薄弱环节: "&amp;INDEX($N$1:$O$1, MATCH(MIN(N6:O6), N6:O6, 0))&amp;CHAR(10)&amp;"📉 考察能力: "&amp;IFERROR(VLOOKUP(TRIM(D6)&amp;"_"&amp;TRIM(INDEX($N$1:$O$1, MATCH(MIN(N6:O6), N6:O6, 0))), 技能库!$A:$F, 5, 0),"建议查阅考纲")&amp;CHAR(10)&amp;"💡 提升建议: "&amp;IFERROR(VLOOKUP(TRIM(D6)&amp;"_"&amp;TRIM(INDEX($N$1:$O$1, MATCH(MIN(N6:O6), N6:O6, 0))), 技能库!$A:$F, 6, 0),"请针对该题型加强练习"))</f>
        <v>⚠️ 薄弱环节: W-Pt1
📉 考察能力: [写作] 短邮件/便条
💡 提升建议: 必须覆盖所有3个要点，注意语域恰当，无拼写语法错误。</v>
      </c>
      <c r="AC6" s="5" t="str">
        <f>IF(W6="","", "⚠️ 薄弱环节: "&amp;INDEX($R$1:$V$1, MATCH(MIN(R6:V6), R6:V6, 0))&amp;CHAR(10)&amp;"📉 考察能力: "&amp;IFERROR(VLOOKUP(TRIM(D6)&amp;"_"&amp;TRIM(INDEX($R$1:$V$1, MATCH(MIN(R6:V6), R6:V6, 0))), 技能库!$A:$F, 5, 0),"建议查阅考纲")&amp;CHAR(10)&amp;"💡 提升建议: "&amp;IFERROR(VLOOKUP(TRIM(D6)&amp;"_"&amp;TRIM(INDEX($R$1:$V$1, MATCH(MIN(R6:V6), R6:V6, 0))), 技能库!$A:$F, 6, 0),"请针对该题型加强练习"))</f>
        <v>⚠️ 薄弱环节: L-Pt2
📉 考察能力: [听力] 填空 (信息记录)
💡 提升建议: 强化数字、价格、日期、拼写的听写训练。</v>
      </c>
      <c r="AD6" t="s">
        <v>304</v>
      </c>
    </row>
    <row r="7" spans="1:30" ht="288" hidden="1" x14ac:dyDescent="0.2">
      <c r="A7">
        <v>304</v>
      </c>
      <c r="B7" t="s">
        <v>13</v>
      </c>
      <c r="C7" t="s">
        <v>309</v>
      </c>
      <c r="D7" t="s">
        <v>164</v>
      </c>
      <c r="E7">
        <v>3</v>
      </c>
      <c r="F7">
        <v>7</v>
      </c>
      <c r="G7">
        <v>5</v>
      </c>
      <c r="H7">
        <v>5</v>
      </c>
      <c r="I7">
        <v>3</v>
      </c>
      <c r="L7">
        <f t="shared" si="0"/>
        <v>23</v>
      </c>
      <c r="M7">
        <f>IF(L7="","", IFERROR(VLOOKUP(L7, IF(D7="KET", 换算标准!$M:$N, IF(D7="PET", 换算标准!$S:$T, 换算标准!$AC:$AD)), 2, TRUE), 0))</f>
        <v>127</v>
      </c>
      <c r="N7">
        <v>0</v>
      </c>
      <c r="O7">
        <v>0</v>
      </c>
      <c r="P7">
        <f t="shared" si="1"/>
        <v>0</v>
      </c>
      <c r="Q7">
        <f>IF(P7="","", IFERROR(VLOOKUP(P7, IF(D7="KET", 换算标准!$O:$P, IF(D7="PET", 换算标准!$U:$V, 换算标准!$AG:$AH)), 2, TRUE), 0))</f>
        <v>0</v>
      </c>
      <c r="R7">
        <v>4</v>
      </c>
      <c r="S7">
        <v>1</v>
      </c>
      <c r="T7">
        <v>4</v>
      </c>
      <c r="U7">
        <v>3</v>
      </c>
      <c r="V7">
        <v>3</v>
      </c>
      <c r="W7">
        <f t="shared" si="2"/>
        <v>15</v>
      </c>
      <c r="X7">
        <f>IF(W7="","", IFERROR(VLOOKUP(W7, IF(D7="KET", 换算标准!$Q:$R, IF(D7="PET", 换算标准!$W:$X, 换算标准!$AI:$AJ)), 2, TRUE), 0))</f>
        <v>113</v>
      </c>
      <c r="Y7">
        <f t="shared" si="3"/>
        <v>80</v>
      </c>
      <c r="Z7" t="str">
        <f>IF(Y7="","", IFERROR(VLOOKUP(Y7, 换算标准!$Z:$AA, 1, TRUE), ""))</f>
        <v/>
      </c>
      <c r="AA7" s="5" t="str">
        <f>IF(L7="","", "⚠️ 薄弱环节: "&amp;INDEX($E$1:$K$1, MATCH(MIN(E7:K7), E7:K7, 0))&amp;CHAR(10)&amp;"📉 考察能力: "&amp;IFERROR(VLOOKUP(TRIM(D7)&amp;"_"&amp;TRIM(INDEX($E$1:$K$1, MATCH(MIN(E7:K7), E7:K7, 0))), 技能库!$A:$F, 5, 0),"建议查阅考纲")&amp;CHAR(10)&amp;"💡 提升建议: "&amp;IFERROR(VLOOKUP(TRIM(D7)&amp;"_"&amp;TRIM(INDEX($E$1:$K$1, MATCH(MIN(E7:K7), E7:K7,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7" s="5" t="str">
        <f>IF(P7="","", "⚠️ 薄弱环节: "&amp;INDEX($N$1:$O$1, MATCH(MIN(N7:O7), N7:O7, 0))&amp;CHAR(10)&amp;"📉 考察能力: "&amp;IFERROR(VLOOKUP(TRIM(D7)&amp;"_"&amp;TRIM(INDEX($N$1:$O$1, MATCH(MIN(N7:O7), N7:O7, 0))), 技能库!$A:$F, 5, 0),"建议查阅考纲")&amp;CHAR(10)&amp;"💡 提升建议: "&amp;IFERROR(VLOOKUP(TRIM(D7)&amp;"_"&amp;TRIM(INDEX($N$1:$O$1, MATCH(MIN(N7:O7), N7:O7, 0))), 技能库!$A:$F, 6, 0),"请针对该题型加强练习"))</f>
        <v>⚠️ 薄弱环节: W-Pt1
📉 考察能力: [写作] 短邮件/便条
💡 提升建议: 必须覆盖所有3个要点，注意语域恰当，无拼写语法错误。</v>
      </c>
      <c r="AC7" s="5" t="str">
        <f>IF(W7="","", "⚠️ 薄弱环节: "&amp;INDEX($R$1:$V$1, MATCH(MIN(R7:V7), R7:V7, 0))&amp;CHAR(10)&amp;"📉 考察能力: "&amp;IFERROR(VLOOKUP(TRIM(D7)&amp;"_"&amp;TRIM(INDEX($R$1:$V$1, MATCH(MIN(R7:V7), R7:V7, 0))), 技能库!$A:$F, 5, 0),"建议查阅考纲")&amp;CHAR(10)&amp;"💡 提升建议: "&amp;IFERROR(VLOOKUP(TRIM(D7)&amp;"_"&amp;TRIM(INDEX($R$1:$V$1, MATCH(MIN(R7:V7), R7:V7, 0))), 技能库!$A:$F, 6, 0),"请针对该题型加强练习"))</f>
        <v>⚠️ 薄弱环节: L-Pt2
📉 考察能力: [听力] 填空 (信息记录)
💡 提升建议: 强化数字、价格、日期、拼写的听写训练。</v>
      </c>
      <c r="AD7" t="s">
        <v>304</v>
      </c>
    </row>
    <row r="8" spans="1:30" ht="304" hidden="1" x14ac:dyDescent="0.2">
      <c r="A8">
        <v>302</v>
      </c>
      <c r="B8" t="s">
        <v>13</v>
      </c>
      <c r="C8" t="s">
        <v>310</v>
      </c>
      <c r="D8" t="s">
        <v>164</v>
      </c>
      <c r="E8">
        <v>5</v>
      </c>
      <c r="F8">
        <v>5</v>
      </c>
      <c r="G8">
        <v>5</v>
      </c>
      <c r="H8">
        <v>6</v>
      </c>
      <c r="I8">
        <v>5</v>
      </c>
      <c r="L8">
        <f t="shared" si="0"/>
        <v>26</v>
      </c>
      <c r="M8">
        <f>IF(L8="","", IFERROR(VLOOKUP(L8, IF(D8="KET", 换算标准!$M:$N, IF(D8="PET", 换算标准!$S:$T, 换算标准!$AC:$AD)), 2, TRUE), 0))</f>
        <v>135</v>
      </c>
      <c r="N8">
        <v>14</v>
      </c>
      <c r="O8">
        <v>13</v>
      </c>
      <c r="P8">
        <f t="shared" si="1"/>
        <v>27</v>
      </c>
      <c r="Q8">
        <f>IF(P8="","", IFERROR(VLOOKUP(P8, IF(D8="KET", 换算标准!$O:$P, IF(D8="PET", 换算标准!$U:$V, 换算标准!$AG:$AH)), 2, TRUE), 0))</f>
        <v>143</v>
      </c>
      <c r="R8">
        <v>2</v>
      </c>
      <c r="S8">
        <v>4</v>
      </c>
      <c r="T8">
        <v>5</v>
      </c>
      <c r="U8">
        <v>5</v>
      </c>
      <c r="V8">
        <v>3</v>
      </c>
      <c r="W8">
        <f t="shared" si="2"/>
        <v>19</v>
      </c>
      <c r="X8">
        <f>IF(W8="","", IFERROR(VLOOKUP(W8, IF(D8="KET", 换算标准!$Q:$R, IF(D8="PET", 换算标准!$W:$X, 换算标准!$AI:$AJ)), 2, TRUE), 0))</f>
        <v>126</v>
      </c>
      <c r="Y8">
        <f t="shared" si="3"/>
        <v>134.66666666666666</v>
      </c>
      <c r="Z8" t="str">
        <f>IF(Y8="","", IFERROR(VLOOKUP(Y8, 换算标准!$Z:$AA, 1, TRUE), ""))</f>
        <v/>
      </c>
      <c r="AA8" s="5" t="str">
        <f>IF(L8="","", "⚠️ 薄弱环节: "&amp;INDEX($E$1:$K$1, MATCH(MIN(E8:K8), E8:K8, 0))&amp;CHAR(10)&amp;"📉 考察能力: "&amp;IFERROR(VLOOKUP(TRIM(D8)&amp;"_"&amp;TRIM(INDEX($E$1:$K$1, MATCH(MIN(E8:K8), E8:K8, 0))), 技能库!$A:$F, 5, 0),"建议查阅考纲")&amp;CHAR(10)&amp;"💡 提升建议: "&amp;IFERROR(VLOOKUP(TRIM(D8)&amp;"_"&amp;TRIM(INDEX($E$1:$K$1, MATCH(MIN(E8:K8), E8:K8,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8" s="5" t="str">
        <f>IF(P8="","", "⚠️ 薄弱环节: "&amp;INDEX($N$1:$O$1, MATCH(MIN(N8:O8), N8:O8, 0))&amp;CHAR(10)&amp;"📉 考察能力: "&amp;IFERROR(VLOOKUP(TRIM(D8)&amp;"_"&amp;TRIM(INDEX($N$1:$O$1, MATCH(MIN(N8:O8), N8:O8, 0))), 技能库!$A:$F, 5, 0),"建议查阅考纲")&amp;CHAR(10)&amp;"💡 提升建议: "&amp;IFERROR(VLOOKUP(TRIM(D8)&amp;"_"&amp;TRIM(INDEX($N$1:$O$1, MATCH(MIN(N8:O8), N8:O8, 0))), 技能库!$A:$F, 6, 0),"请针对该题型加强练习"))</f>
        <v>⚠️ 薄弱环节: W-Pt2
📉 考察能力: [写作] 看图写故事
💡 提升建议: 运用 linking words (so, because) 串联图片，注意过去时态。</v>
      </c>
      <c r="AC8" s="5" t="str">
        <f>IF(W8="","", "⚠️ 薄弱环节: "&amp;INDEX($R$1:$V$1, MATCH(MIN(R8:V8), R8:V8, 0))&amp;CHAR(10)&amp;"📉 考察能力: "&amp;IFERROR(VLOOKUP(TRIM(D8)&amp;"_"&amp;TRIM(INDEX($R$1:$V$1, MATCH(MIN(R8:V8), R8:V8, 0))), 技能库!$A:$F, 5, 0),"建议查阅考纲")&amp;CHAR(10)&amp;"💡 提升建议: "&amp;IFERROR(VLOOKUP(TRIM(D8)&amp;"_"&amp;TRIM(INDEX($R$1:$V$1, MATCH(MIN(R8:V8), R8:V8,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8" t="s">
        <v>304</v>
      </c>
    </row>
    <row r="9" spans="1:30" ht="288" hidden="1" x14ac:dyDescent="0.2">
      <c r="A9">
        <v>304</v>
      </c>
      <c r="B9" t="s">
        <v>13</v>
      </c>
      <c r="C9" t="s">
        <v>311</v>
      </c>
      <c r="D9" t="s">
        <v>164</v>
      </c>
      <c r="E9">
        <v>4</v>
      </c>
      <c r="F9">
        <v>7</v>
      </c>
      <c r="G9">
        <v>3</v>
      </c>
      <c r="H9">
        <v>3</v>
      </c>
      <c r="I9">
        <v>3</v>
      </c>
      <c r="L9">
        <f t="shared" si="0"/>
        <v>20</v>
      </c>
      <c r="M9">
        <f>IF(L9="","", IFERROR(VLOOKUP(L9, IF(D9="KET", 换算标准!$M:$N, IF(D9="PET", 换算标准!$S:$T, 换算标准!$AC:$AD)), 2, TRUE), 0))</f>
        <v>120</v>
      </c>
      <c r="N9">
        <v>0</v>
      </c>
      <c r="O9">
        <v>0</v>
      </c>
      <c r="P9">
        <f t="shared" si="1"/>
        <v>0</v>
      </c>
      <c r="Q9">
        <f>IF(P9="","", IFERROR(VLOOKUP(P9, IF(D9="KET", 换算标准!$O:$P, IF(D9="PET", 换算标准!$U:$V, 换算标准!$AG:$AH)), 2, TRUE), 0))</f>
        <v>0</v>
      </c>
      <c r="R9">
        <v>3</v>
      </c>
      <c r="S9">
        <v>1</v>
      </c>
      <c r="T9">
        <v>5</v>
      </c>
      <c r="U9">
        <v>5</v>
      </c>
      <c r="V9">
        <v>5</v>
      </c>
      <c r="W9">
        <f t="shared" si="2"/>
        <v>19</v>
      </c>
      <c r="X9">
        <f>IF(W9="","", IFERROR(VLOOKUP(W9, IF(D9="KET", 换算标准!$Q:$R, IF(D9="PET", 换算标准!$W:$X, 换算标准!$AI:$AJ)), 2, TRUE), 0))</f>
        <v>126</v>
      </c>
      <c r="Y9">
        <f t="shared" si="3"/>
        <v>82</v>
      </c>
      <c r="Z9" t="str">
        <f>IF(Y9="","", IFERROR(VLOOKUP(Y9, 换算标准!$Z:$AA, 1, TRUE), ""))</f>
        <v/>
      </c>
      <c r="AA9" s="5" t="str">
        <f>IF(L9="","", "⚠️ 薄弱环节: "&amp;INDEX($E$1:$K$1, MATCH(MIN(E9:K9), E9:K9, 0))&amp;CHAR(10)&amp;"📉 考察能力: "&amp;IFERROR(VLOOKUP(TRIM(D9)&amp;"_"&amp;TRIM(INDEX($E$1:$K$1, MATCH(MIN(E9:K9), E9:K9, 0))), 技能库!$A:$F, 5, 0),"建议查阅考纲")&amp;CHAR(10)&amp;"💡 提升建议: "&amp;IFERROR(VLOOKUP(TRIM(D9)&amp;"_"&amp;TRIM(INDEX($E$1:$K$1, MATCH(MIN(E9:K9), E9:K9, 0))), 技能库!$A:$F, 6, 0),"请针对该题型加强练习"))</f>
        <v>⚠️ 薄弱环节: R-Pt3
📉 考察能力: [阅读] 长文主旨理解
💡 提升建议: 提升长难句阅读能力，关注段落大意和作者态度。</v>
      </c>
      <c r="AB9" s="5" t="str">
        <f>IF(P9="","", "⚠️ 薄弱环节: "&amp;INDEX($N$1:$O$1, MATCH(MIN(N9:O9), N9:O9, 0))&amp;CHAR(10)&amp;"📉 考察能力: "&amp;IFERROR(VLOOKUP(TRIM(D9)&amp;"_"&amp;TRIM(INDEX($N$1:$O$1, MATCH(MIN(N9:O9), N9:O9, 0))), 技能库!$A:$F, 5, 0),"建议查阅考纲")&amp;CHAR(10)&amp;"💡 提升建议: "&amp;IFERROR(VLOOKUP(TRIM(D9)&amp;"_"&amp;TRIM(INDEX($N$1:$O$1, MATCH(MIN(N9:O9), N9:O9, 0))), 技能库!$A:$F, 6, 0),"请针对该题型加强练习"))</f>
        <v>⚠️ 薄弱环节: W-Pt1
📉 考察能力: [写作] 短邮件/便条
💡 提升建议: 必须覆盖所有3个要点，注意语域恰当，无拼写语法错误。</v>
      </c>
      <c r="AC9" s="5" t="str">
        <f>IF(W9="","", "⚠️ 薄弱环节: "&amp;INDEX($R$1:$V$1, MATCH(MIN(R9:V9), R9:V9, 0))&amp;CHAR(10)&amp;"📉 考察能力: "&amp;IFERROR(VLOOKUP(TRIM(D9)&amp;"_"&amp;TRIM(INDEX($R$1:$V$1, MATCH(MIN(R9:V9), R9:V9, 0))), 技能库!$A:$F, 5, 0),"建议查阅考纲")&amp;CHAR(10)&amp;"💡 提升建议: "&amp;IFERROR(VLOOKUP(TRIM(D9)&amp;"_"&amp;TRIM(INDEX($R$1:$V$1, MATCH(MIN(R9:V9), R9:V9, 0))), 技能库!$A:$F, 6, 0),"请针对该题型加强练习"))</f>
        <v>⚠️ 薄弱环节: L-Pt2
📉 考察能力: [听力] 填空 (信息记录)
💡 提升建议: 强化数字、价格、日期、拼写的听写训练。</v>
      </c>
      <c r="AD9" t="s">
        <v>304</v>
      </c>
    </row>
    <row r="10" spans="1:30" ht="288" hidden="1" x14ac:dyDescent="0.2">
      <c r="A10">
        <v>304</v>
      </c>
      <c r="B10" t="s">
        <v>13</v>
      </c>
      <c r="C10" t="s">
        <v>312</v>
      </c>
      <c r="D10" t="s">
        <v>164</v>
      </c>
      <c r="E10">
        <v>6</v>
      </c>
      <c r="F10">
        <v>7</v>
      </c>
      <c r="G10">
        <v>4</v>
      </c>
      <c r="H10">
        <v>4</v>
      </c>
      <c r="I10">
        <v>5</v>
      </c>
      <c r="L10">
        <f t="shared" si="0"/>
        <v>26</v>
      </c>
      <c r="M10">
        <f>IF(L10="","", IFERROR(VLOOKUP(L10, IF(D10="KET", 换算标准!$M:$N, IF(D10="PET", 换算标准!$S:$T, 换算标准!$AC:$AD)), 2, TRUE), 0))</f>
        <v>135</v>
      </c>
      <c r="N10">
        <v>12</v>
      </c>
      <c r="O10">
        <v>10</v>
      </c>
      <c r="P10">
        <f t="shared" si="1"/>
        <v>22</v>
      </c>
      <c r="Q10">
        <f>IF(P10="","", IFERROR(VLOOKUP(P10, IF(D10="KET", 换算标准!$O:$P, IF(D10="PET", 换算标准!$U:$V, 换算标准!$AG:$AH)), 2, TRUE), 0))</f>
        <v>130</v>
      </c>
      <c r="R10">
        <v>2</v>
      </c>
      <c r="S10">
        <v>1</v>
      </c>
      <c r="T10">
        <v>3</v>
      </c>
      <c r="U10">
        <v>2</v>
      </c>
      <c r="V10">
        <v>3</v>
      </c>
      <c r="W10">
        <f t="shared" si="2"/>
        <v>11</v>
      </c>
      <c r="X10">
        <f>IF(W10="","", IFERROR(VLOOKUP(W10, IF(D10="KET", 换算标准!$Q:$R, IF(D10="PET", 换算标准!$W:$X, 换算标准!$AI:$AJ)), 2, TRUE), 0))</f>
        <v>100</v>
      </c>
      <c r="Y10">
        <f t="shared" si="3"/>
        <v>121.66666666666667</v>
      </c>
      <c r="Z10" t="str">
        <f>IF(Y10="","", IFERROR(VLOOKUP(Y10, 换算标准!$Z:$AA, 1, TRUE), ""))</f>
        <v/>
      </c>
      <c r="AA10" s="5" t="str">
        <f>IF(L10="","", "⚠️ 薄弱环节: "&amp;INDEX($E$1:$K$1, MATCH(MIN(E10:K10), E10:K10, 0))&amp;CHAR(10)&amp;"📉 考察能力: "&amp;IFERROR(VLOOKUP(TRIM(D10)&amp;"_"&amp;TRIM(INDEX($E$1:$K$1, MATCH(MIN(E10:K10), E10:K10, 0))), 技能库!$A:$F, 5, 0),"建议查阅考纲")&amp;CHAR(10)&amp;"💡 提升建议: "&amp;IFERROR(VLOOKUP(TRIM(D10)&amp;"_"&amp;TRIM(INDEX($E$1:$K$1, MATCH(MIN(E10:K10), E10:K10, 0))), 技能库!$A:$F, 6, 0),"请针对该题型加强练习"))</f>
        <v>⚠️ 薄弱环节: R-Pt3
📉 考察能力: [阅读] 长文主旨理解
💡 提升建议: 提升长难句阅读能力，关注段落大意和作者态度。</v>
      </c>
      <c r="AB10" s="5" t="str">
        <f>IF(P10="","", "⚠️ 薄弱环节: "&amp;INDEX($N$1:$O$1, MATCH(MIN(N10:O10), N10:O10, 0))&amp;CHAR(10)&amp;"📉 考察能力: "&amp;IFERROR(VLOOKUP(TRIM(D10)&amp;"_"&amp;TRIM(INDEX($N$1:$O$1, MATCH(MIN(N10:O10), N10:O10, 0))), 技能库!$A:$F, 5, 0),"建议查阅考纲")&amp;CHAR(10)&amp;"💡 提升建议: "&amp;IFERROR(VLOOKUP(TRIM(D10)&amp;"_"&amp;TRIM(INDEX($N$1:$O$1, MATCH(MIN(N10:O10), N10:O10, 0))), 技能库!$A:$F, 6, 0),"请针对该题型加强练习"))</f>
        <v>⚠️ 薄弱环节: W-Pt2
📉 考察能力: [写作] 看图写故事
💡 提升建议: 运用 linking words (so, because) 串联图片，注意过去时态。</v>
      </c>
      <c r="AC10" s="5" t="str">
        <f>IF(W10="","", "⚠️ 薄弱环节: "&amp;INDEX($R$1:$V$1, MATCH(MIN(R10:V10), R10:V10, 0))&amp;CHAR(10)&amp;"📉 考察能力: "&amp;IFERROR(VLOOKUP(TRIM(D10)&amp;"_"&amp;TRIM(INDEX($R$1:$V$1, MATCH(MIN(R10:V10), R10:V10, 0))), 技能库!$A:$F, 5, 0),"建议查阅考纲")&amp;CHAR(10)&amp;"💡 提升建议: "&amp;IFERROR(VLOOKUP(TRIM(D10)&amp;"_"&amp;TRIM(INDEX($R$1:$V$1, MATCH(MIN(R10:V10), R10:V10, 0))), 技能库!$A:$F, 6, 0),"请针对该题型加强练习"))</f>
        <v>⚠️ 薄弱环节: L-Pt2
📉 考察能力: [听力] 填空 (信息记录)
💡 提升建议: 强化数字、价格、日期、拼写的听写训练。</v>
      </c>
      <c r="AD10" t="s">
        <v>304</v>
      </c>
    </row>
    <row r="11" spans="1:30" ht="288" hidden="1" x14ac:dyDescent="0.2">
      <c r="A11">
        <v>302</v>
      </c>
      <c r="B11" t="s">
        <v>13</v>
      </c>
      <c r="C11" t="s">
        <v>313</v>
      </c>
      <c r="D11" t="s">
        <v>164</v>
      </c>
      <c r="E11">
        <v>5</v>
      </c>
      <c r="F11">
        <v>5</v>
      </c>
      <c r="G11">
        <v>5</v>
      </c>
      <c r="H11">
        <v>0</v>
      </c>
      <c r="I11">
        <v>0</v>
      </c>
      <c r="L11">
        <f t="shared" si="0"/>
        <v>15</v>
      </c>
      <c r="M11">
        <f>IF(L11="","", IFERROR(VLOOKUP(L11, IF(D11="KET", 换算标准!$M:$N, IF(D11="PET", 换算标准!$S:$T, 换算标准!$AC:$AD)), 2, TRUE), 0))</f>
        <v>105</v>
      </c>
      <c r="N11">
        <v>13</v>
      </c>
      <c r="O11">
        <v>13</v>
      </c>
      <c r="P11">
        <f t="shared" si="1"/>
        <v>26</v>
      </c>
      <c r="Q11">
        <f>IF(P11="","", IFERROR(VLOOKUP(P11, IF(D11="KET", 换算标准!$O:$P, IF(D11="PET", 换算标准!$U:$V, 换算标准!$AG:$AH)), 2, TRUE), 0))</f>
        <v>140</v>
      </c>
      <c r="R11">
        <v>4</v>
      </c>
      <c r="S11">
        <v>2</v>
      </c>
      <c r="T11">
        <v>4</v>
      </c>
      <c r="U11">
        <v>5</v>
      </c>
      <c r="V11">
        <v>5</v>
      </c>
      <c r="W11">
        <f t="shared" si="2"/>
        <v>20</v>
      </c>
      <c r="X11">
        <f>IF(W11="","", IFERROR(VLOOKUP(W11, IF(D11="KET", 换算标准!$Q:$R, IF(D11="PET", 换算标准!$W:$X, 换算标准!$AI:$AJ)), 2, TRUE), 0))</f>
        <v>130</v>
      </c>
      <c r="Y11">
        <f t="shared" si="3"/>
        <v>125</v>
      </c>
      <c r="Z11" t="str">
        <f>IF(Y11="","", IFERROR(VLOOKUP(Y11, 换算标准!$Z:$AA, 1, TRUE), ""))</f>
        <v/>
      </c>
      <c r="AA11" s="5" t="str">
        <f>IF(L11="","", "⚠️ 薄弱环节: "&amp;INDEX($E$1:$K$1, MATCH(MIN(E11:K11), E11:K11, 0))&amp;CHAR(10)&amp;"📉 考察能力: "&amp;IFERROR(VLOOKUP(TRIM(D11)&amp;"_"&amp;TRIM(INDEX($E$1:$K$1, MATCH(MIN(E11:K11), E11:K11, 0))), 技能库!$A:$F, 5, 0),"建议查阅考纲")&amp;CHAR(10)&amp;"💡 提升建议: "&amp;IFERROR(VLOOKUP(TRIM(D11)&amp;"_"&amp;TRIM(INDEX($E$1:$K$1, MATCH(MIN(E11:K11), E11:K11, 0))), 技能库!$A:$F, 6, 0),"请针对该题型加强练习"))</f>
        <v>⚠️ 薄弱环节: R-Pt4
📉 考察能力: [阅读] 完形填空 (词汇)
💡 提升建议: 积累名词、形容词、动词的常见搭配及近义词辨析。</v>
      </c>
      <c r="AB11" s="5" t="str">
        <f>IF(P11="","", "⚠️ 薄弱环节: "&amp;INDEX($N$1:$O$1, MATCH(MIN(N11:O11), N11:O11, 0))&amp;CHAR(10)&amp;"📉 考察能力: "&amp;IFERROR(VLOOKUP(TRIM(D11)&amp;"_"&amp;TRIM(INDEX($N$1:$O$1, MATCH(MIN(N11:O11), N11:O11, 0))), 技能库!$A:$F, 5, 0),"建议查阅考纲")&amp;CHAR(10)&amp;"💡 提升建议: "&amp;IFERROR(VLOOKUP(TRIM(D11)&amp;"_"&amp;TRIM(INDEX($N$1:$O$1, MATCH(MIN(N11:O11), N11:O11, 0))), 技能库!$A:$F, 6, 0),"请针对该题型加强练习"))</f>
        <v>⚠️ 薄弱环节: W-Pt1
📉 考察能力: [写作] 短邮件/便条
💡 提升建议: 必须覆盖所有3个要点，注意语域恰当，无拼写语法错误。</v>
      </c>
      <c r="AC11" s="5" t="str">
        <f>IF(W11="","", "⚠️ 薄弱环节: "&amp;INDEX($R$1:$V$1, MATCH(MIN(R11:V11), R11:V11, 0))&amp;CHAR(10)&amp;"📉 考察能力: "&amp;IFERROR(VLOOKUP(TRIM(D11)&amp;"_"&amp;TRIM(INDEX($R$1:$V$1, MATCH(MIN(R11:V11), R11:V11, 0))), 技能库!$A:$F, 5, 0),"建议查阅考纲")&amp;CHAR(10)&amp;"💡 提升建议: "&amp;IFERROR(VLOOKUP(TRIM(D11)&amp;"_"&amp;TRIM(INDEX($R$1:$V$1, MATCH(MIN(R11:V11), R11:V11, 0))), 技能库!$A:$F, 6, 0),"请针对该题型加强练习"))</f>
        <v>⚠️ 薄弱环节: L-Pt2
📉 考察能力: [听力] 填空 (信息记录)
💡 提升建议: 强化数字、价格、日期、拼写的听写训练。</v>
      </c>
      <c r="AD11" t="s">
        <v>304</v>
      </c>
    </row>
    <row r="12" spans="1:30" ht="288" hidden="1" x14ac:dyDescent="0.2">
      <c r="A12">
        <v>304</v>
      </c>
      <c r="B12" t="s">
        <v>13</v>
      </c>
      <c r="C12" t="s">
        <v>314</v>
      </c>
      <c r="D12" t="s">
        <v>164</v>
      </c>
      <c r="E12">
        <v>6</v>
      </c>
      <c r="F12">
        <v>6</v>
      </c>
      <c r="G12">
        <v>5</v>
      </c>
      <c r="H12">
        <v>5</v>
      </c>
      <c r="I12">
        <v>4</v>
      </c>
      <c r="L12">
        <f t="shared" si="0"/>
        <v>26</v>
      </c>
      <c r="M12">
        <f>IF(L12="","", IFERROR(VLOOKUP(L12, IF(D12="KET", 换算标准!$M:$N, IF(D12="PET", 换算标准!$S:$T, 换算标准!$AC:$AD)), 2, TRUE), 0))</f>
        <v>135</v>
      </c>
      <c r="N12">
        <v>10</v>
      </c>
      <c r="O12">
        <v>10</v>
      </c>
      <c r="P12">
        <f t="shared" si="1"/>
        <v>20</v>
      </c>
      <c r="Q12">
        <f>IF(P12="","", IFERROR(VLOOKUP(P12, IF(D12="KET", 换算标准!$O:$P, IF(D12="PET", 换算标准!$U:$V, 换算标准!$AG:$AH)), 2, TRUE), 0))</f>
        <v>125</v>
      </c>
      <c r="R12">
        <v>2</v>
      </c>
      <c r="S12">
        <v>1</v>
      </c>
      <c r="T12">
        <v>5</v>
      </c>
      <c r="U12">
        <v>5</v>
      </c>
      <c r="V12">
        <v>3</v>
      </c>
      <c r="W12">
        <f t="shared" si="2"/>
        <v>16</v>
      </c>
      <c r="X12">
        <f>IF(W12="","", IFERROR(VLOOKUP(W12, IF(D12="KET", 换算标准!$Q:$R, IF(D12="PET", 换算标准!$W:$X, 换算标准!$AI:$AJ)), 2, TRUE), 0))</f>
        <v>116</v>
      </c>
      <c r="Y12">
        <f t="shared" si="3"/>
        <v>125.33333333333333</v>
      </c>
      <c r="Z12" t="str">
        <f>IF(Y12="","", IFERROR(VLOOKUP(Y12, 换算标准!$Z:$AA, 1, TRUE), ""))</f>
        <v/>
      </c>
      <c r="AA12" s="5" t="str">
        <f>IF(L12="","", "⚠️ 薄弱环节: "&amp;INDEX($E$1:$K$1, MATCH(MIN(E12:K12), E12:K12, 0))&amp;CHAR(10)&amp;"📉 考察能力: "&amp;IFERROR(VLOOKUP(TRIM(D12)&amp;"_"&amp;TRIM(INDEX($E$1:$K$1, MATCH(MIN(E12:K12), E12:K12, 0))), 技能库!$A:$F, 5, 0),"建议查阅考纲")&amp;CHAR(10)&amp;"💡 提升建议: "&amp;IFERROR(VLOOKUP(TRIM(D12)&amp;"_"&amp;TRIM(INDEX($E$1:$K$1, MATCH(MIN(E12:K12), E12:K12,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12" s="5" t="str">
        <f>IF(P12="","", "⚠️ 薄弱环节: "&amp;INDEX($N$1:$O$1, MATCH(MIN(N12:O12), N12:O12, 0))&amp;CHAR(10)&amp;"📉 考察能力: "&amp;IFERROR(VLOOKUP(TRIM(D12)&amp;"_"&amp;TRIM(INDEX($N$1:$O$1, MATCH(MIN(N12:O12), N12:O12, 0))), 技能库!$A:$F, 5, 0),"建议查阅考纲")&amp;CHAR(10)&amp;"💡 提升建议: "&amp;IFERROR(VLOOKUP(TRIM(D12)&amp;"_"&amp;TRIM(INDEX($N$1:$O$1, MATCH(MIN(N12:O12), N12:O12, 0))), 技能库!$A:$F, 6, 0),"请针对该题型加强练习"))</f>
        <v>⚠️ 薄弱环节: W-Pt1
📉 考察能力: [写作] 短邮件/便条
💡 提升建议: 必须覆盖所有3个要点，注意语域恰当，无拼写语法错误。</v>
      </c>
      <c r="AC12" s="5" t="str">
        <f>IF(W12="","", "⚠️ 薄弱环节: "&amp;INDEX($R$1:$V$1, MATCH(MIN(R12:V12), R12:V12, 0))&amp;CHAR(10)&amp;"📉 考察能力: "&amp;IFERROR(VLOOKUP(TRIM(D12)&amp;"_"&amp;TRIM(INDEX($R$1:$V$1, MATCH(MIN(R12:V12), R12:V12, 0))), 技能库!$A:$F, 5, 0),"建议查阅考纲")&amp;CHAR(10)&amp;"💡 提升建议: "&amp;IFERROR(VLOOKUP(TRIM(D12)&amp;"_"&amp;TRIM(INDEX($R$1:$V$1, MATCH(MIN(R12:V12), R12:V12, 0))), 技能库!$A:$F, 6, 0),"请针对该题型加强练习"))</f>
        <v>⚠️ 薄弱环节: L-Pt2
📉 考察能力: [听力] 填空 (信息记录)
💡 提升建议: 强化数字、价格、日期、拼写的听写训练。</v>
      </c>
      <c r="AD12" t="s">
        <v>304</v>
      </c>
    </row>
    <row r="13" spans="1:30" ht="288" hidden="1" x14ac:dyDescent="0.2">
      <c r="A13">
        <v>302</v>
      </c>
      <c r="B13" t="s">
        <v>13</v>
      </c>
      <c r="C13" t="s">
        <v>315</v>
      </c>
      <c r="D13" t="s">
        <v>164</v>
      </c>
      <c r="E13">
        <v>4</v>
      </c>
      <c r="F13">
        <v>5</v>
      </c>
      <c r="G13">
        <v>4</v>
      </c>
      <c r="H13">
        <v>6</v>
      </c>
      <c r="I13">
        <v>3</v>
      </c>
      <c r="L13">
        <f t="shared" si="0"/>
        <v>22</v>
      </c>
      <c r="M13">
        <f>IF(L13="","", IFERROR(VLOOKUP(L13, IF(D13="KET", 换算标准!$M:$N, IF(D13="PET", 换算标准!$S:$T, 换算标准!$AC:$AD)), 2, TRUE), 0))</f>
        <v>125</v>
      </c>
      <c r="N13">
        <v>10</v>
      </c>
      <c r="O13">
        <v>0</v>
      </c>
      <c r="P13">
        <f t="shared" si="1"/>
        <v>10</v>
      </c>
      <c r="Q13">
        <f>IF(P13="","", IFERROR(VLOOKUP(P13, IF(D13="KET", 换算标准!$O:$P, IF(D13="PET", 换算标准!$U:$V, 换算标准!$AG:$AH)), 2, TRUE), 0))</f>
        <v>0</v>
      </c>
      <c r="R13">
        <v>4</v>
      </c>
      <c r="S13">
        <v>3</v>
      </c>
      <c r="T13">
        <v>5</v>
      </c>
      <c r="U13">
        <v>5</v>
      </c>
      <c r="V13">
        <v>2</v>
      </c>
      <c r="W13">
        <f t="shared" si="2"/>
        <v>19</v>
      </c>
      <c r="X13">
        <f>IF(W13="","", IFERROR(VLOOKUP(W13, IF(D13="KET", 换算标准!$Q:$R, IF(D13="PET", 换算标准!$W:$X, 换算标准!$AI:$AJ)), 2, TRUE), 0))</f>
        <v>126</v>
      </c>
      <c r="Y13">
        <f t="shared" si="3"/>
        <v>83.666666666666671</v>
      </c>
      <c r="Z13" t="str">
        <f>IF(Y13="","", IFERROR(VLOOKUP(Y13, 换算标准!$Z:$AA, 1, TRUE), ""))</f>
        <v/>
      </c>
      <c r="AA13" s="5" t="str">
        <f>IF(L13="","", "⚠️ 薄弱环节: "&amp;INDEX($E$1:$K$1, MATCH(MIN(E13:K13), E13:K13, 0))&amp;CHAR(10)&amp;"📉 考察能力: "&amp;IFERROR(VLOOKUP(TRIM(D13)&amp;"_"&amp;TRIM(INDEX($E$1:$K$1, MATCH(MIN(E13:K13), E13:K13, 0))), 技能库!$A:$F, 5, 0),"建议查阅考纲")&amp;CHAR(10)&amp;"💡 提升建议: "&amp;IFERROR(VLOOKUP(TRIM(D13)&amp;"_"&amp;TRIM(INDEX($E$1:$K$1, MATCH(MIN(E13:K13), E13:K13,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13" s="5" t="str">
        <f>IF(P13="","", "⚠️ 薄弱环节: "&amp;INDEX($N$1:$O$1, MATCH(MIN(N13:O13), N13:O13, 0))&amp;CHAR(10)&amp;"📉 考察能力: "&amp;IFERROR(VLOOKUP(TRIM(D13)&amp;"_"&amp;TRIM(INDEX($N$1:$O$1, MATCH(MIN(N13:O13), N13:O13, 0))), 技能库!$A:$F, 5, 0),"建议查阅考纲")&amp;CHAR(10)&amp;"💡 提升建议: "&amp;IFERROR(VLOOKUP(TRIM(D13)&amp;"_"&amp;TRIM(INDEX($N$1:$O$1, MATCH(MIN(N13:O13), N13:O13, 0))), 技能库!$A:$F, 6, 0),"请针对该题型加强练习"))</f>
        <v>⚠️ 薄弱环节: W-Pt2
📉 考察能力: [写作] 看图写故事
💡 提升建议: 运用 linking words (so, because) 串联图片，注意过去时态。</v>
      </c>
      <c r="AC13" s="5" t="str">
        <f>IF(W13="","", "⚠️ 薄弱环节: "&amp;INDEX($R$1:$V$1, MATCH(MIN(R13:V13), R13:V13, 0))&amp;CHAR(10)&amp;"📉 考察能力: "&amp;IFERROR(VLOOKUP(TRIM(D13)&amp;"_"&amp;TRIM(INDEX($R$1:$V$1, MATCH(MIN(R13:V13), R13:V13, 0))), 技能库!$A:$F, 5, 0),"建议查阅考纲")&amp;CHAR(10)&amp;"💡 提升建议: "&amp;IFERROR(VLOOKUP(TRIM(D13)&amp;"_"&amp;TRIM(INDEX($R$1:$V$1, MATCH(MIN(R13:V13), R13:V13, 0))), 技能库!$A:$F, 6, 0),"请针对该题型加强练习"))</f>
        <v>⚠️ 薄弱环节: L-Pt5
📉 考察能力: [听力] 匹配题
💡 提升建议: 边听边记笔记，排除法是个好工具。</v>
      </c>
      <c r="AD13" t="s">
        <v>304</v>
      </c>
    </row>
    <row r="14" spans="1:30" ht="304" hidden="1" x14ac:dyDescent="0.2">
      <c r="A14">
        <v>304</v>
      </c>
      <c r="B14" t="s">
        <v>13</v>
      </c>
      <c r="C14" t="s">
        <v>316</v>
      </c>
      <c r="D14" t="s">
        <v>164</v>
      </c>
      <c r="E14">
        <v>5</v>
      </c>
      <c r="F14">
        <v>5</v>
      </c>
      <c r="G14">
        <v>5</v>
      </c>
      <c r="H14">
        <v>3</v>
      </c>
      <c r="I14">
        <v>2</v>
      </c>
      <c r="L14">
        <f t="shared" si="0"/>
        <v>20</v>
      </c>
      <c r="M14">
        <f>IF(L14="","", IFERROR(VLOOKUP(L14, IF(D14="KET", 换算标准!$M:$N, IF(D14="PET", 换算标准!$S:$T, 换算标准!$AC:$AD)), 2, TRUE), 0))</f>
        <v>120</v>
      </c>
      <c r="N14">
        <v>8</v>
      </c>
      <c r="O14">
        <v>0</v>
      </c>
      <c r="P14">
        <f t="shared" si="1"/>
        <v>8</v>
      </c>
      <c r="Q14">
        <f>IF(P14="","", IFERROR(VLOOKUP(P14, IF(D14="KET", 换算标准!$O:$P, IF(D14="PET", 换算标准!$U:$V, 换算标准!$AG:$AH)), 2, TRUE), 0))</f>
        <v>0</v>
      </c>
      <c r="R14">
        <v>3</v>
      </c>
      <c r="S14">
        <v>4</v>
      </c>
      <c r="T14">
        <v>3</v>
      </c>
      <c r="U14">
        <v>5</v>
      </c>
      <c r="V14">
        <v>3</v>
      </c>
      <c r="W14">
        <f t="shared" si="2"/>
        <v>18</v>
      </c>
      <c r="X14">
        <f>IF(W14="","", IFERROR(VLOOKUP(W14, IF(D14="KET", 换算标准!$Q:$R, IF(D14="PET", 换算标准!$W:$X, 换算标准!$AI:$AJ)), 2, TRUE), 0))</f>
        <v>123</v>
      </c>
      <c r="Y14">
        <f t="shared" si="3"/>
        <v>81</v>
      </c>
      <c r="Z14" t="str">
        <f>IF(Y14="","", IFERROR(VLOOKUP(Y14, 换算标准!$Z:$AA, 1, TRUE), ""))</f>
        <v/>
      </c>
      <c r="AA14" s="5" t="str">
        <f>IF(L14="","", "⚠️ 薄弱环节: "&amp;INDEX($E$1:$K$1, MATCH(MIN(E14:K14), E14:K14, 0))&amp;CHAR(10)&amp;"📉 考察能力: "&amp;IFERROR(VLOOKUP(TRIM(D14)&amp;"_"&amp;TRIM(INDEX($E$1:$K$1, MATCH(MIN(E14:K14), E14:K14, 0))), 技能库!$A:$F, 5, 0),"建议查阅考纲")&amp;CHAR(10)&amp;"💡 提升建议: "&amp;IFERROR(VLOOKUP(TRIM(D14)&amp;"_"&amp;TRIM(INDEX($E$1:$K$1, MATCH(MIN(E14:K14), E14:K14,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14" s="5" t="str">
        <f>IF(P14="","", "⚠️ 薄弱环节: "&amp;INDEX($N$1:$O$1, MATCH(MIN(N14:O14), N14:O14, 0))&amp;CHAR(10)&amp;"📉 考察能力: "&amp;IFERROR(VLOOKUP(TRIM(D14)&amp;"_"&amp;TRIM(INDEX($N$1:$O$1, MATCH(MIN(N14:O14), N14:O14, 0))), 技能库!$A:$F, 5, 0),"建议查阅考纲")&amp;CHAR(10)&amp;"💡 提升建议: "&amp;IFERROR(VLOOKUP(TRIM(D14)&amp;"_"&amp;TRIM(INDEX($N$1:$O$1, MATCH(MIN(N14:O14), N14:O14, 0))), 技能库!$A:$F, 6, 0),"请针对该题型加强练习"))</f>
        <v>⚠️ 薄弱环节: W-Pt2
📉 考察能力: [写作] 看图写故事
💡 提升建议: 运用 linking words (so, because) 串联图片，注意过去时态。</v>
      </c>
      <c r="AC14" s="5" t="str">
        <f>IF(W14="","", "⚠️ 薄弱环节: "&amp;INDEX($R$1:$V$1, MATCH(MIN(R14:V14), R14:V14, 0))&amp;CHAR(10)&amp;"📉 考察能力: "&amp;IFERROR(VLOOKUP(TRIM(D14)&amp;"_"&amp;TRIM(INDEX($R$1:$V$1, MATCH(MIN(R14:V14), R14:V14, 0))), 技能库!$A:$F, 5, 0),"建议查阅考纲")&amp;CHAR(10)&amp;"💡 提升建议: "&amp;IFERROR(VLOOKUP(TRIM(D14)&amp;"_"&amp;TRIM(INDEX($R$1:$V$1, MATCH(MIN(R14:V14), R14:V14,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4" t="s">
        <v>304</v>
      </c>
    </row>
    <row r="15" spans="1:30" ht="18" customHeight="1" x14ac:dyDescent="0.2">
      <c r="A15">
        <v>305</v>
      </c>
      <c r="B15" t="s">
        <v>317</v>
      </c>
      <c r="C15" t="s">
        <v>318</v>
      </c>
      <c r="D15" t="s">
        <v>15</v>
      </c>
      <c r="E15">
        <v>2</v>
      </c>
      <c r="F15">
        <v>0</v>
      </c>
      <c r="G15">
        <v>3</v>
      </c>
      <c r="H15">
        <v>0</v>
      </c>
      <c r="I15">
        <v>0</v>
      </c>
      <c r="J15">
        <v>0</v>
      </c>
      <c r="L15">
        <f t="shared" si="0"/>
        <v>5</v>
      </c>
      <c r="M15">
        <f>IF(L15="","", IFERROR(VLOOKUP(L15, IF(D15="KET", 换算标准!$M:$N, IF(D15="PET", 换算标准!$S:$T, 换算标准!$AC:$AD)), 2, TRUE), 0))</f>
        <v>0</v>
      </c>
      <c r="P15" t="str">
        <f t="shared" si="1"/>
        <v/>
      </c>
      <c r="Q15" t="str">
        <f>IF(P15="","", IFERROR(VLOOKUP(P15, IF(D15="KET", 换算标准!$O:$P, IF(D15="PET", 换算标准!$U:$V, 换算标准!$AG:$AH)), 2, TRUE), 0))</f>
        <v/>
      </c>
      <c r="R15">
        <v>4</v>
      </c>
      <c r="S15">
        <v>4</v>
      </c>
      <c r="T15">
        <v>3</v>
      </c>
      <c r="U15">
        <v>2</v>
      </c>
      <c r="W15">
        <f t="shared" si="2"/>
        <v>13</v>
      </c>
      <c r="X15">
        <f>IF(W15="","", IFERROR(VLOOKUP(W15, IF(D15="KET", 换算标准!$Q:$R, IF(D15="PET", 换算标准!$W:$X, 换算标准!$AI:$AJ)), 2, TRUE), 0))</f>
        <v>125</v>
      </c>
      <c r="Y15">
        <f t="shared" si="3"/>
        <v>62.5</v>
      </c>
      <c r="Z15" t="str">
        <f>IF(Y15="","", IFERROR(VLOOKUP(Y15, 换算标准!$Z:$AA, 1, TRUE), ""))</f>
        <v/>
      </c>
      <c r="AA15" s="5" t="str">
        <f>IF(L15="","", "⚠️ 薄弱环节: "&amp;INDEX($E$1:$K$1, MATCH(MIN(E15:K15), E15:K15, 0))&amp;CHAR(10)&amp;"📉 考察能力: "&amp;IFERROR(VLOOKUP(TRIM(D15)&amp;"_"&amp;TRIM(INDEX($E$1:$K$1, MATCH(MIN(E15:K15), E15:K15, 0))), 技能库!$A:$F, 5, 0),"建议查阅考纲")&amp;CHAR(10)&amp;"💡 提升建议: "&amp;IFERROR(VLOOKUP(TRIM(D15)&amp;"_"&amp;TRIM(INDEX($E$1:$K$1, MATCH(MIN(E15:K15), E15:K15, 0))), 技能库!$A:$F, 6, 0),"请针对该题型加强练习"))</f>
        <v>⚠️ 薄弱环节: R-Pt2
📉 考察能力: [阅读] 人物与描述匹配
💡 提升建议: 阅读量大，练习划关键词，寻找完全匹配项。</v>
      </c>
      <c r="AB15" s="5" t="str">
        <f>IF(P15="","", "⚠️ 薄弱环节: "&amp;INDEX($N$1:$O$1, MATCH(MIN(N15:O15), N15:O15, 0))&amp;CHAR(10)&amp;"📉 考察能力: "&amp;IFERROR(VLOOKUP(TRIM(D15)&amp;"_"&amp;TRIM(INDEX($N$1:$O$1, MATCH(MIN(N15:O15), N15:O15, 0))), 技能库!$A:$F, 5, 0),"建议查阅考纲")&amp;CHAR(10)&amp;"💡 提升建议: "&amp;IFERROR(VLOOKUP(TRIM(D15)&amp;"_"&amp;TRIM(INDEX($N$1:$O$1, MATCH(MIN(N15:O15), N15:O15, 0))), 技能库!$A:$F, 6, 0),"请针对该题型加强练习"))</f>
        <v/>
      </c>
      <c r="AC15" s="5" t="str">
        <f>IF(W15="","", "⚠️ 薄弱环节: "&amp;INDEX($R$1:$V$1, MATCH(MIN(R15:V15), R15:V15, 0))&amp;CHAR(10)&amp;"📉 考察能力: "&amp;IFERROR(VLOOKUP(TRIM(D15)&amp;"_"&amp;TRIM(INDEX($R$1:$V$1, MATCH(MIN(R15:V15), R15:V15, 0))), 技能库!$A:$F, 5, 0),"建议查阅考纲")&amp;CHAR(10)&amp;"💡 提升建议: "&amp;IFERROR(VLOOKUP(TRIM(D15)&amp;"_"&amp;TRIM(INDEX($R$1:$V$1, MATCH(MIN(R15:V15), R15:V15, 0))), 技能库!$A:$F, 6, 0),"请针对该题型加强练习"))</f>
        <v>⚠️ 薄弱环节: L-Pt4
📉 考察能力: [听力] 多选 (长采访)
💡 提升建议: 听懂详细的观点阐述，理解对话深层逻辑。</v>
      </c>
      <c r="AD15" s="6">
        <v>45915</v>
      </c>
    </row>
    <row r="16" spans="1:30" ht="18" customHeight="1" x14ac:dyDescent="0.2">
      <c r="A16">
        <v>301</v>
      </c>
      <c r="B16" t="s">
        <v>317</v>
      </c>
      <c r="C16" t="s">
        <v>319</v>
      </c>
      <c r="D16" t="s">
        <v>15</v>
      </c>
      <c r="E16">
        <v>1</v>
      </c>
      <c r="F16">
        <v>2</v>
      </c>
      <c r="G16">
        <v>2</v>
      </c>
      <c r="H16">
        <v>1</v>
      </c>
      <c r="I16">
        <v>3</v>
      </c>
      <c r="J16">
        <v>5</v>
      </c>
      <c r="L16">
        <f t="shared" si="0"/>
        <v>14</v>
      </c>
      <c r="M16">
        <f>IF(L16="","", IFERROR(VLOOKUP(L16, IF(D16="KET", 换算标准!$M:$N, IF(D16="PET", 换算标准!$S:$T, 换算标准!$AC:$AD)), 2, TRUE), 0))</f>
        <v>122</v>
      </c>
      <c r="P16" t="str">
        <f t="shared" si="1"/>
        <v/>
      </c>
      <c r="Q16" t="str">
        <f>IF(P16="","", IFERROR(VLOOKUP(P16, IF(D16="KET", 换算标准!$O:$P, IF(D16="PET", 换算标准!$U:$V, 换算标准!$AG:$AH)), 2, TRUE), 0))</f>
        <v/>
      </c>
      <c r="R16">
        <v>6</v>
      </c>
      <c r="S16">
        <v>5</v>
      </c>
      <c r="T16">
        <v>4</v>
      </c>
      <c r="U16">
        <v>1</v>
      </c>
      <c r="W16">
        <f t="shared" si="2"/>
        <v>16</v>
      </c>
      <c r="X16">
        <f>IF(W16="","", IFERROR(VLOOKUP(W16, IF(D16="KET", 换算标准!$Q:$R, IF(D16="PET", 换算标准!$W:$X, 换算标准!$AI:$AJ)), 2, TRUE), 0))</f>
        <v>134</v>
      </c>
      <c r="Y16">
        <f t="shared" si="3"/>
        <v>128</v>
      </c>
      <c r="Z16" t="str">
        <f>IF(Y16="","", IFERROR(VLOOKUP(Y16, 换算标准!$Z:$AA, 1, TRUE), ""))</f>
        <v/>
      </c>
      <c r="AA16" s="5" t="str">
        <f>IF(L16="","", "⚠️ 薄弱环节: "&amp;INDEX($E$1:$K$1, MATCH(MIN(E16:K16), E16:K16, 0))&amp;CHAR(10)&amp;"📉 考察能力: "&amp;IFERROR(VLOOKUP(TRIM(D16)&amp;"_"&amp;TRIM(INDEX($E$1:$K$1, MATCH(MIN(E16:K16), E16:K16, 0))), 技能库!$A:$F, 5, 0),"建议查阅考纲")&amp;CHAR(10)&amp;"💡 提升建议: "&amp;IFERROR(VLOOKUP(TRIM(D16)&amp;"_"&amp;TRIM(INDEX($E$1:$K$1, MATCH(MIN(E16:K16), E16:K16, 0))), 技能库!$A:$F, 6, 0),"请针对该题型加强练习"))</f>
        <v>⚠️ 薄弱环节: R-Pt1
📉 考察能力: [阅读] 短讯息主旨
💡 提升建议: 注意细微的情感态度差异，理解隐含意义。</v>
      </c>
      <c r="AB16" s="5" t="str">
        <f>IF(P16="","", "⚠️ 薄弱环节: "&amp;INDEX($N$1:$O$1, MATCH(MIN(N16:O16), N16:O16, 0))&amp;CHAR(10)&amp;"📉 考察能力: "&amp;IFERROR(VLOOKUP(TRIM(D16)&amp;"_"&amp;TRIM(INDEX($N$1:$O$1, MATCH(MIN(N16:O16), N16:O16, 0))), 技能库!$A:$F, 5, 0),"建议查阅考纲")&amp;CHAR(10)&amp;"💡 提升建议: "&amp;IFERROR(VLOOKUP(TRIM(D16)&amp;"_"&amp;TRIM(INDEX($N$1:$O$1, MATCH(MIN(N16:O16), N16:O16, 0))), 技能库!$A:$F, 6, 0),"请针对该题型加强练习"))</f>
        <v/>
      </c>
      <c r="AC16" s="5" t="str">
        <f>IF(W16="","", "⚠️ 薄弱环节: "&amp;INDEX($R$1:$V$1, MATCH(MIN(R16:V16), R16:V16, 0))&amp;CHAR(10)&amp;"📉 考察能力: "&amp;IFERROR(VLOOKUP(TRIM(D16)&amp;"_"&amp;TRIM(INDEX($R$1:$V$1, MATCH(MIN(R16:V16), R16:V16, 0))), 技能库!$A:$F, 5, 0),"建议查阅考纲")&amp;CHAR(10)&amp;"💡 提升建议: "&amp;IFERROR(VLOOKUP(TRIM(D16)&amp;"_"&amp;TRIM(INDEX($R$1:$V$1, MATCH(MIN(R16:V16), R16:V16, 0))), 技能库!$A:$F, 6, 0),"请针对该题型加强练习"))</f>
        <v>⚠️ 薄弱环节: L-Pt4
📉 考察能力: [听力] 多选 (长采访)
💡 提升建议: 听懂详细的观点阐述，理解对话深层逻辑。</v>
      </c>
      <c r="AD16" s="6">
        <v>45915</v>
      </c>
    </row>
    <row r="17" spans="1:30" ht="18" customHeight="1" x14ac:dyDescent="0.2">
      <c r="A17">
        <v>303</v>
      </c>
      <c r="B17" t="s">
        <v>317</v>
      </c>
      <c r="C17" t="s">
        <v>320</v>
      </c>
      <c r="D17" t="s">
        <v>15</v>
      </c>
      <c r="E17">
        <v>4</v>
      </c>
      <c r="F17">
        <v>2</v>
      </c>
      <c r="G17">
        <v>3</v>
      </c>
      <c r="H17">
        <v>2</v>
      </c>
      <c r="I17">
        <v>4</v>
      </c>
      <c r="J17">
        <v>5</v>
      </c>
      <c r="L17">
        <f t="shared" si="0"/>
        <v>20</v>
      </c>
      <c r="M17">
        <f>IF(L17="","", IFERROR(VLOOKUP(L17, IF(D17="KET", 换算标准!$M:$N, IF(D17="PET", 换算标准!$S:$T, 换算标准!$AC:$AD)), 2, TRUE), 0))</f>
        <v>134</v>
      </c>
      <c r="P17" t="str">
        <f t="shared" si="1"/>
        <v/>
      </c>
      <c r="Q17" t="str">
        <f>IF(P17="","", IFERROR(VLOOKUP(P17, IF(D17="KET", 换算标准!$O:$P, IF(D17="PET", 换算标准!$U:$V, 换算标准!$AG:$AH)), 2, TRUE), 0))</f>
        <v/>
      </c>
      <c r="R17">
        <v>7</v>
      </c>
      <c r="S17">
        <v>2</v>
      </c>
      <c r="T17">
        <v>4</v>
      </c>
      <c r="U17">
        <v>2</v>
      </c>
      <c r="W17">
        <f t="shared" si="2"/>
        <v>15</v>
      </c>
      <c r="X17">
        <f>IF(W17="","", IFERROR(VLOOKUP(W17, IF(D17="KET", 换算标准!$Q:$R, IF(D17="PET", 换算标准!$W:$X, 换算标准!$AI:$AJ)), 2, TRUE), 0))</f>
        <v>131</v>
      </c>
      <c r="Y17">
        <f t="shared" si="3"/>
        <v>132.5</v>
      </c>
      <c r="Z17" t="str">
        <f>IF(Y17="","", IFERROR(VLOOKUP(Y17, 换算标准!$Z:$AA, 1, TRUE), ""))</f>
        <v/>
      </c>
      <c r="AA17" s="5" t="str">
        <f>IF(L17="","", "⚠️ 薄弱环节: "&amp;INDEX($E$1:$K$1, MATCH(MIN(E17:K17), E17:K17, 0))&amp;CHAR(10)&amp;"📉 考察能力: "&amp;IFERROR(VLOOKUP(TRIM(D17)&amp;"_"&amp;TRIM(INDEX($E$1:$K$1, MATCH(MIN(E17:K17), E17:K17, 0))), 技能库!$A:$F, 5, 0),"建议查阅考纲")&amp;CHAR(10)&amp;"💡 提升建议: "&amp;IFERROR(VLOOKUP(TRIM(D17)&amp;"_"&amp;TRIM(INDEX($E$1:$K$1, MATCH(MIN(E17:K17), E17:K17, 0))), 技能库!$A:$F, 6, 0),"请针对该题型加强练习"))</f>
        <v>⚠️ 薄弱环节: R-Pt2
📉 考察能力: [阅读] 人物与描述匹配
💡 提升建议: 阅读量大，练习划关键词，寻找完全匹配项。</v>
      </c>
      <c r="AB17" s="5" t="str">
        <f>IF(P17="","", "⚠️ 薄弱环节: "&amp;INDEX($N$1:$O$1, MATCH(MIN(N17:O17), N17:O17, 0))&amp;CHAR(10)&amp;"📉 考察能力: "&amp;IFERROR(VLOOKUP(TRIM(D17)&amp;"_"&amp;TRIM(INDEX($N$1:$O$1, MATCH(MIN(N17:O17), N17:O17, 0))), 技能库!$A:$F, 5, 0),"建议查阅考纲")&amp;CHAR(10)&amp;"💡 提升建议: "&amp;IFERROR(VLOOKUP(TRIM(D17)&amp;"_"&amp;TRIM(INDEX($N$1:$O$1, MATCH(MIN(N17:O17), N17:O17, 0))), 技能库!$A:$F, 6, 0),"请针对该题型加强练习"))</f>
        <v/>
      </c>
      <c r="AC17" s="5" t="str">
        <f>IF(W17="","", "⚠️ 薄弱环节: "&amp;INDEX($R$1:$V$1, MATCH(MIN(R17:V17), R17:V17, 0))&amp;CHAR(10)&amp;"📉 考察能力: "&amp;IFERROR(VLOOKUP(TRIM(D17)&amp;"_"&amp;TRIM(INDEX($R$1:$V$1, MATCH(MIN(R17:V17), R17:V17, 0))), 技能库!$A:$F, 5, 0),"建议查阅考纲")&amp;CHAR(10)&amp;"💡 提升建议: "&amp;IFERROR(VLOOKUP(TRIM(D17)&amp;"_"&amp;TRIM(INDEX($R$1:$V$1, MATCH(MIN(R17:V17), R17:V17, 0))), 技能库!$A:$F, 6, 0),"请针对该题型加强练习"))</f>
        <v>⚠️ 薄弱环节: L-Pt2
📉 考察能力: [听力] 多选 (短对话)
💡 提升建议: 听懂说话人的态度、观点和意图。</v>
      </c>
      <c r="AD17" s="6">
        <v>45915</v>
      </c>
    </row>
    <row r="18" spans="1:30" ht="18" customHeight="1" x14ac:dyDescent="0.2">
      <c r="A18">
        <v>303</v>
      </c>
      <c r="B18" t="s">
        <v>317</v>
      </c>
      <c r="C18" t="s">
        <v>321</v>
      </c>
      <c r="D18" t="s">
        <v>15</v>
      </c>
      <c r="E18">
        <v>4</v>
      </c>
      <c r="F18">
        <v>5</v>
      </c>
      <c r="G18">
        <v>4</v>
      </c>
      <c r="H18">
        <v>1</v>
      </c>
      <c r="I18">
        <v>4</v>
      </c>
      <c r="J18">
        <v>4</v>
      </c>
      <c r="L18">
        <f t="shared" si="0"/>
        <v>22</v>
      </c>
      <c r="M18">
        <f>IF(L18="","", IFERROR(VLOOKUP(L18, IF(D18="KET", 换算标准!$M:$N, IF(D18="PET", 换算标准!$S:$T, 换算标准!$AC:$AD)), 2, TRUE), 0))</f>
        <v>138</v>
      </c>
      <c r="P18" t="str">
        <f t="shared" si="1"/>
        <v/>
      </c>
      <c r="Q18" t="str">
        <f>IF(P18="","", IFERROR(VLOOKUP(P18, IF(D18="KET", 换算标准!$O:$P, IF(D18="PET", 换算标准!$U:$V, 换算标准!$AG:$AH)), 2, TRUE), 0))</f>
        <v/>
      </c>
      <c r="R18">
        <v>7</v>
      </c>
      <c r="S18">
        <v>5</v>
      </c>
      <c r="T18">
        <v>5</v>
      </c>
      <c r="U18">
        <v>1</v>
      </c>
      <c r="W18">
        <f t="shared" si="2"/>
        <v>18</v>
      </c>
      <c r="X18">
        <f>IF(W18="","", IFERROR(VLOOKUP(W18, IF(D18="KET", 换算标准!$Q:$R, IF(D18="PET", 换算标准!$W:$X, 换算标准!$AI:$AJ)), 2, TRUE), 0))</f>
        <v>140</v>
      </c>
      <c r="Y18">
        <f t="shared" si="3"/>
        <v>139</v>
      </c>
      <c r="Z18" t="str">
        <f>IF(Y18="","", IFERROR(VLOOKUP(Y18, 换算标准!$Z:$AA, 1, TRUE), ""))</f>
        <v/>
      </c>
      <c r="AA18" s="5" t="str">
        <f>IF(L18="","", "⚠️ 薄弱环节: "&amp;INDEX($E$1:$K$1, MATCH(MIN(E18:K18), E18:K18, 0))&amp;CHAR(10)&amp;"📉 考察能力: "&amp;IFERROR(VLOOKUP(TRIM(D18)&amp;"_"&amp;TRIM(INDEX($E$1:$K$1, MATCH(MIN(E18:K18), E18:K18, 0))), 技能库!$A:$F, 5, 0),"建议查阅考纲")&amp;CHAR(10)&amp;"💡 提升建议: "&amp;IFERROR(VLOOKUP(TRIM(D18)&amp;"_"&amp;TRIM(INDEX($E$1:$K$1, MATCH(MIN(E18:K18), E18:K18, 0))), 技能库!$A:$F, 6, 0),"请针对该题型加强练习"))</f>
        <v>⚠️ 薄弱环节: R-Pt4
📉 考察能力: [阅读] 句子还原 (填空)
💡 提升建议: 逻辑性极强，需关注代词指代和上下文逻辑连接词。</v>
      </c>
      <c r="AB18" s="5" t="str">
        <f>IF(P18="","", "⚠️ 薄弱环节: "&amp;INDEX($N$1:$O$1, MATCH(MIN(N18:O18), N18:O18, 0))&amp;CHAR(10)&amp;"📉 考察能力: "&amp;IFERROR(VLOOKUP(TRIM(D18)&amp;"_"&amp;TRIM(INDEX($N$1:$O$1, MATCH(MIN(N18:O18), N18:O18, 0))), 技能库!$A:$F, 5, 0),"建议查阅考纲")&amp;CHAR(10)&amp;"💡 提升建议: "&amp;IFERROR(VLOOKUP(TRIM(D18)&amp;"_"&amp;TRIM(INDEX($N$1:$O$1, MATCH(MIN(N18:O18), N18:O18, 0))), 技能库!$A:$F, 6, 0),"请针对该题型加强练习"))</f>
        <v/>
      </c>
      <c r="AC18" s="5" t="str">
        <f>IF(W18="","", "⚠️ 薄弱环节: "&amp;INDEX($R$1:$V$1, MATCH(MIN(R18:V18), R18:V18, 0))&amp;CHAR(10)&amp;"📉 考察能力: "&amp;IFERROR(VLOOKUP(TRIM(D18)&amp;"_"&amp;TRIM(INDEX($R$1:$V$1, MATCH(MIN(R18:V18), R18:V18, 0))), 技能库!$A:$F, 5, 0),"建议查阅考纲")&amp;CHAR(10)&amp;"💡 提升建议: "&amp;IFERROR(VLOOKUP(TRIM(D18)&amp;"_"&amp;TRIM(INDEX($R$1:$V$1, MATCH(MIN(R18:V18), R18:V18, 0))), 技能库!$A:$F, 6, 0),"请针对该题型加强练习"))</f>
        <v>⚠️ 薄弱环节: L-Pt4
📉 考察能力: [听力] 多选 (长采访)
💡 提升建议: 听懂详细的观点阐述，理解对话深层逻辑。</v>
      </c>
      <c r="AD18" s="6">
        <v>45915</v>
      </c>
    </row>
    <row r="19" spans="1:30" ht="18" customHeight="1" x14ac:dyDescent="0.2">
      <c r="A19">
        <v>301</v>
      </c>
      <c r="B19" t="s">
        <v>317</v>
      </c>
      <c r="C19" t="s">
        <v>322</v>
      </c>
      <c r="D19" t="s">
        <v>15</v>
      </c>
      <c r="E19">
        <v>3</v>
      </c>
      <c r="F19">
        <v>4</v>
      </c>
      <c r="G19">
        <v>4</v>
      </c>
      <c r="H19">
        <v>4</v>
      </c>
      <c r="I19">
        <v>4</v>
      </c>
      <c r="J19">
        <v>3</v>
      </c>
      <c r="L19">
        <f t="shared" si="0"/>
        <v>22</v>
      </c>
      <c r="M19">
        <f>IF(L19="","", IFERROR(VLOOKUP(L19, IF(D19="KET", 换算标准!$M:$N, IF(D19="PET", 换算标准!$S:$T, 换算标准!$AC:$AD)), 2, TRUE), 0))</f>
        <v>138</v>
      </c>
      <c r="P19" t="str">
        <f t="shared" si="1"/>
        <v/>
      </c>
      <c r="Q19" t="str">
        <f>IF(P19="","", IFERROR(VLOOKUP(P19, IF(D19="KET", 换算标准!$O:$P, IF(D19="PET", 换算标准!$U:$V, 换算标准!$AG:$AH)), 2, TRUE), 0))</f>
        <v/>
      </c>
      <c r="R19">
        <v>6</v>
      </c>
      <c r="S19">
        <v>5</v>
      </c>
      <c r="T19">
        <v>6</v>
      </c>
      <c r="U19">
        <v>4</v>
      </c>
      <c r="W19">
        <f t="shared" si="2"/>
        <v>21</v>
      </c>
      <c r="X19">
        <f>IF(W19="","", IFERROR(VLOOKUP(W19, IF(D19="KET", 换算标准!$Q:$R, IF(D19="PET", 换算标准!$W:$X, 换算标准!$AI:$AJ)), 2, TRUE), 0))</f>
        <v>152</v>
      </c>
      <c r="Y19">
        <f t="shared" si="3"/>
        <v>145</v>
      </c>
      <c r="Z19" t="str">
        <f>IF(Y19="","", IFERROR(VLOOKUP(Y19, 换算标准!$Z:$AA, 1, TRUE), ""))</f>
        <v/>
      </c>
      <c r="AA19" s="5" t="str">
        <f>IF(L19="","", "⚠️ 薄弱环节: "&amp;INDEX($E$1:$K$1, MATCH(MIN(E19:K19), E19:K19, 0))&amp;CHAR(10)&amp;"📉 考察能力: "&amp;IFERROR(VLOOKUP(TRIM(D19)&amp;"_"&amp;TRIM(INDEX($E$1:$K$1, MATCH(MIN(E19:K19), E19:K19, 0))), 技能库!$A:$F, 5, 0),"建议查阅考纲")&amp;CHAR(10)&amp;"💡 提升建议: "&amp;IFERROR(VLOOKUP(TRIM(D19)&amp;"_"&amp;TRIM(INDEX($E$1:$K$1, MATCH(MIN(E19:K19), E19:K19, 0))), 技能库!$A:$F, 6, 0),"请针对该题型加强练习"))</f>
        <v>⚠️ 薄弱环节: R-Pt1
📉 考察能力: [阅读] 短讯息主旨
💡 提升建议: 注意细微的情感态度差异，理解隐含意义。</v>
      </c>
      <c r="AB19" s="5" t="str">
        <f>IF(P19="","", "⚠️ 薄弱环节: "&amp;INDEX($N$1:$O$1, MATCH(MIN(N19:O19), N19:O19, 0))&amp;CHAR(10)&amp;"📉 考察能力: "&amp;IFERROR(VLOOKUP(TRIM(D19)&amp;"_"&amp;TRIM(INDEX($N$1:$O$1, MATCH(MIN(N19:O19), N19:O19, 0))), 技能库!$A:$F, 5, 0),"建议查阅考纲")&amp;CHAR(10)&amp;"💡 提升建议: "&amp;IFERROR(VLOOKUP(TRIM(D19)&amp;"_"&amp;TRIM(INDEX($N$1:$O$1, MATCH(MIN(N19:O19), N19:O19, 0))), 技能库!$A:$F, 6, 0),"请针对该题型加强练习"))</f>
        <v/>
      </c>
      <c r="AC19" s="5" t="str">
        <f>IF(W19="","", "⚠️ 薄弱环节: "&amp;INDEX($R$1:$V$1, MATCH(MIN(R19:V19), R19:V19, 0))&amp;CHAR(10)&amp;"📉 考察能力: "&amp;IFERROR(VLOOKUP(TRIM(D19)&amp;"_"&amp;TRIM(INDEX($R$1:$V$1, MATCH(MIN(R19:V19), R19:V19, 0))), 技能库!$A:$F, 5, 0),"建议查阅考纲")&amp;CHAR(10)&amp;"💡 提升建议: "&amp;IFERROR(VLOOKUP(TRIM(D19)&amp;"_"&amp;TRIM(INDEX($R$1:$V$1, MATCH(MIN(R19:V19), R19:V19, 0))), 技能库!$A:$F, 6, 0),"请针对该题型加强练习"))</f>
        <v>⚠️ 薄弱环节: L-Pt4
📉 考察能力: [听力] 多选 (长采访)
💡 提升建议: 听懂详细的观点阐述，理解对话深层逻辑。</v>
      </c>
      <c r="AD19" s="6">
        <v>45915</v>
      </c>
    </row>
    <row r="20" spans="1:30" ht="18" customHeight="1" x14ac:dyDescent="0.2">
      <c r="A20">
        <v>305</v>
      </c>
      <c r="B20" t="s">
        <v>317</v>
      </c>
      <c r="C20" t="s">
        <v>323</v>
      </c>
      <c r="D20" t="s">
        <v>15</v>
      </c>
      <c r="E20">
        <v>5</v>
      </c>
      <c r="F20">
        <v>1</v>
      </c>
      <c r="G20">
        <v>1</v>
      </c>
      <c r="H20">
        <v>1</v>
      </c>
      <c r="I20">
        <v>4</v>
      </c>
      <c r="J20">
        <v>4</v>
      </c>
      <c r="L20">
        <f t="shared" si="0"/>
        <v>16</v>
      </c>
      <c r="M20">
        <f>IF(L20="","", IFERROR(VLOOKUP(L20, IF(D20="KET", 换算标准!$M:$N, IF(D20="PET", 换算标准!$S:$T, 换算标准!$AC:$AD)), 2, TRUE), 0))</f>
        <v>126</v>
      </c>
      <c r="P20" t="str">
        <f t="shared" si="1"/>
        <v/>
      </c>
      <c r="Q20" t="str">
        <f>IF(P20="","", IFERROR(VLOOKUP(P20, IF(D20="KET", 换算标准!$O:$P, IF(D20="PET", 换算标准!$U:$V, 换算标准!$AG:$AH)), 2, TRUE), 0))</f>
        <v/>
      </c>
      <c r="R20">
        <v>6</v>
      </c>
      <c r="S20">
        <v>4</v>
      </c>
      <c r="T20">
        <v>5</v>
      </c>
      <c r="U20">
        <v>2</v>
      </c>
      <c r="W20">
        <f t="shared" si="2"/>
        <v>17</v>
      </c>
      <c r="X20">
        <f>IF(W20="","", IFERROR(VLOOKUP(W20, IF(D20="KET", 换算标准!$Q:$R, IF(D20="PET", 换算标准!$W:$X, 换算标准!$AI:$AJ)), 2, TRUE), 0))</f>
        <v>137</v>
      </c>
      <c r="Y20">
        <f t="shared" si="3"/>
        <v>131.5</v>
      </c>
      <c r="Z20" t="str">
        <f>IF(Y20="","", IFERROR(VLOOKUP(Y20, 换算标准!$Z:$AA, 1, TRUE), ""))</f>
        <v/>
      </c>
      <c r="AA20" s="5" t="str">
        <f>IF(L20="","", "⚠️ 薄弱环节: "&amp;INDEX($E$1:$K$1, MATCH(MIN(E20:K20), E20:K20, 0))&amp;CHAR(10)&amp;"📉 考察能力: "&amp;IFERROR(VLOOKUP(TRIM(D20)&amp;"_"&amp;TRIM(INDEX($E$1:$K$1, MATCH(MIN(E20:K20), E20:K20, 0))), 技能库!$A:$F, 5, 0),"建议查阅考纲")&amp;CHAR(10)&amp;"💡 提升建议: "&amp;IFERROR(VLOOKUP(TRIM(D20)&amp;"_"&amp;TRIM(INDEX($E$1:$K$1, MATCH(MIN(E20:K20), E20:K20, 0))), 技能库!$A:$F, 6, 0),"请针对该题型加强练习"))</f>
        <v>⚠️ 薄弱环节: R-Pt2
📉 考察能力: [阅读] 人物与描述匹配
💡 提升建议: 阅读量大，练习划关键词，寻找完全匹配项。</v>
      </c>
      <c r="AB20" s="5" t="str">
        <f>IF(P20="","", "⚠️ 薄弱环节: "&amp;INDEX($N$1:$O$1, MATCH(MIN(N20:O20), N20:O20, 0))&amp;CHAR(10)&amp;"📉 考察能力: "&amp;IFERROR(VLOOKUP(TRIM(D20)&amp;"_"&amp;TRIM(INDEX($N$1:$O$1, MATCH(MIN(N20:O20), N20:O20, 0))), 技能库!$A:$F, 5, 0),"建议查阅考纲")&amp;CHAR(10)&amp;"💡 提升建议: "&amp;IFERROR(VLOOKUP(TRIM(D20)&amp;"_"&amp;TRIM(INDEX($N$1:$O$1, MATCH(MIN(N20:O20), N20:O20, 0))), 技能库!$A:$F, 6, 0),"请针对该题型加强练习"))</f>
        <v/>
      </c>
      <c r="AC20" s="5" t="str">
        <f>IF(W20="","", "⚠️ 薄弱环节: "&amp;INDEX($R$1:$V$1, MATCH(MIN(R20:V20), R20:V20, 0))&amp;CHAR(10)&amp;"📉 考察能力: "&amp;IFERROR(VLOOKUP(TRIM(D20)&amp;"_"&amp;TRIM(INDEX($R$1:$V$1, MATCH(MIN(R20:V20), R20:V20, 0))), 技能库!$A:$F, 5, 0),"建议查阅考纲")&amp;CHAR(10)&amp;"💡 提升建议: "&amp;IFERROR(VLOOKUP(TRIM(D20)&amp;"_"&amp;TRIM(INDEX($R$1:$V$1, MATCH(MIN(R20:V20), R20:V20, 0))), 技能库!$A:$F, 6, 0),"请针对该题型加强练习"))</f>
        <v>⚠️ 薄弱环节: L-Pt4
📉 考察能力: [听力] 多选 (长采访)
💡 提升建议: 听懂详细的观点阐述，理解对话深层逻辑。</v>
      </c>
      <c r="AD20" s="6">
        <v>45915</v>
      </c>
    </row>
    <row r="21" spans="1:30" ht="18" customHeight="1" x14ac:dyDescent="0.2">
      <c r="A21">
        <v>301</v>
      </c>
      <c r="B21" t="s">
        <v>317</v>
      </c>
      <c r="C21" t="s">
        <v>324</v>
      </c>
      <c r="D21" t="s">
        <v>164</v>
      </c>
      <c r="E21">
        <v>3</v>
      </c>
      <c r="F21">
        <v>4</v>
      </c>
      <c r="G21">
        <v>2</v>
      </c>
      <c r="H21">
        <v>4</v>
      </c>
      <c r="I21">
        <v>3</v>
      </c>
      <c r="L21">
        <f t="shared" si="0"/>
        <v>16</v>
      </c>
      <c r="M21">
        <f>IF(L21="","", IFERROR(VLOOKUP(L21, IF(D21="KET", 换算标准!$M:$N, IF(D21="PET", 换算标准!$S:$T, 换算标准!$AC:$AD)), 2, TRUE), 0))</f>
        <v>108</v>
      </c>
      <c r="N21">
        <v>9</v>
      </c>
      <c r="O21">
        <v>13</v>
      </c>
      <c r="P21">
        <f t="shared" si="1"/>
        <v>22</v>
      </c>
      <c r="Q21">
        <f>IF(P21="","", IFERROR(VLOOKUP(P21, IF(D21="KET", 换算标准!$O:$P, IF(D21="PET", 换算标准!$U:$V, 换算标准!$AG:$AH)), 2, TRUE), 0))</f>
        <v>130</v>
      </c>
      <c r="R21">
        <v>2</v>
      </c>
      <c r="S21">
        <v>4</v>
      </c>
      <c r="T21">
        <v>3</v>
      </c>
      <c r="U21">
        <v>4</v>
      </c>
      <c r="V21">
        <v>5</v>
      </c>
      <c r="W21">
        <f t="shared" si="2"/>
        <v>18</v>
      </c>
      <c r="X21">
        <f>IF(W21="","", IFERROR(VLOOKUP(W21, IF(D21="KET", 换算标准!$Q:$R, IF(D21="PET", 换算标准!$W:$X, 换算标准!$AI:$AJ)), 2, TRUE), 0))</f>
        <v>123</v>
      </c>
      <c r="Y21">
        <f t="shared" si="3"/>
        <v>120.33333333333333</v>
      </c>
      <c r="Z21" t="str">
        <f>IF(Y21="","", IFERROR(VLOOKUP(Y21, 换算标准!$Z:$AA, 1, TRUE), ""))</f>
        <v/>
      </c>
      <c r="AA21" s="5" t="str">
        <f>IF(L21="","", "⚠️ 薄弱环节: "&amp;INDEX($E$1:$K$1, MATCH(MIN(E21:K21), E21:K21, 0))&amp;CHAR(10)&amp;"📉 考察能力: "&amp;IFERROR(VLOOKUP(TRIM(D21)&amp;"_"&amp;TRIM(INDEX($E$1:$K$1, MATCH(MIN(E21:K21), E21:K21, 0))), 技能库!$A:$F, 5, 0),"建议查阅考纲")&amp;CHAR(10)&amp;"💡 提升建议: "&amp;IFERROR(VLOOKUP(TRIM(D21)&amp;"_"&amp;TRIM(INDEX($E$1:$K$1, MATCH(MIN(E21:K21), E21:K21, 0))), 技能库!$A:$F, 6, 0),"请针对该题型加强练习"))</f>
        <v>⚠️ 薄弱环节: R-Pt3
📉 考察能力: [阅读] 长文主旨理解
💡 提升建议: 提升长难句阅读能力，关注段落大意和作者态度。</v>
      </c>
      <c r="AB21" s="5" t="str">
        <f>IF(P21="","", "⚠️ 薄弱环节: "&amp;INDEX($N$1:$O$1, MATCH(MIN(N21:O21), N21:O21, 0))&amp;CHAR(10)&amp;"📉 考察能力: "&amp;IFERROR(VLOOKUP(TRIM(D21)&amp;"_"&amp;TRIM(INDEX($N$1:$O$1, MATCH(MIN(N21:O21), N21:O21, 0))), 技能库!$A:$F, 5, 0),"建议查阅考纲")&amp;CHAR(10)&amp;"💡 提升建议: "&amp;IFERROR(VLOOKUP(TRIM(D21)&amp;"_"&amp;TRIM(INDEX($N$1:$O$1, MATCH(MIN(N21:O21), N21:O21, 0))), 技能库!$A:$F, 6, 0),"请针对该题型加强练习"))</f>
        <v>⚠️ 薄弱环节: W-Pt1
📉 考察能力: [写作] 短邮件/便条
💡 提升建议: 必须覆盖所有3个要点，注意语域恰当，无拼写语法错误。</v>
      </c>
      <c r="AC21" s="5" t="str">
        <f>IF(W21="","", "⚠️ 薄弱环节: "&amp;INDEX($R$1:$V$1, MATCH(MIN(R21:V21), R21:V21, 0))&amp;CHAR(10)&amp;"📉 考察能力: "&amp;IFERROR(VLOOKUP(TRIM(D21)&amp;"_"&amp;TRIM(INDEX($R$1:$V$1, MATCH(MIN(R21:V21), R21:V21, 0))), 技能库!$A:$F, 5, 0),"建议查阅考纲")&amp;CHAR(10)&amp;"💡 提升建议: "&amp;IFERROR(VLOOKUP(TRIM(D21)&amp;"_"&amp;TRIM(INDEX($R$1:$V$1, MATCH(MIN(R21:V21), R21:V21,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21" s="6">
        <v>45915</v>
      </c>
    </row>
    <row r="22" spans="1:30" ht="18" customHeight="1" x14ac:dyDescent="0.2">
      <c r="A22">
        <v>305</v>
      </c>
      <c r="B22" t="s">
        <v>317</v>
      </c>
      <c r="C22" t="s">
        <v>325</v>
      </c>
      <c r="D22" t="s">
        <v>164</v>
      </c>
      <c r="E22">
        <v>5</v>
      </c>
      <c r="F22">
        <v>7</v>
      </c>
      <c r="G22">
        <v>2</v>
      </c>
      <c r="H22">
        <v>4</v>
      </c>
      <c r="I22">
        <v>3</v>
      </c>
      <c r="L22">
        <f t="shared" si="0"/>
        <v>21</v>
      </c>
      <c r="M22">
        <f>IF(L22="","", IFERROR(VLOOKUP(L22, IF(D22="KET", 换算标准!$M:$N, IF(D22="PET", 换算标准!$S:$T, 换算标准!$AC:$AD)), 2, TRUE), 0))</f>
        <v>122</v>
      </c>
      <c r="N22">
        <v>7</v>
      </c>
      <c r="O22">
        <v>0</v>
      </c>
      <c r="P22">
        <f t="shared" si="1"/>
        <v>7</v>
      </c>
      <c r="Q22">
        <f>IF(P22="","", IFERROR(VLOOKUP(P22, IF(D22="KET", 换算标准!$O:$P, IF(D22="PET", 换算标准!$U:$V, 换算标准!$AG:$AH)), 2, TRUE), 0))</f>
        <v>0</v>
      </c>
      <c r="R22">
        <v>4</v>
      </c>
      <c r="S22">
        <v>4</v>
      </c>
      <c r="T22">
        <v>5</v>
      </c>
      <c r="U22">
        <v>5</v>
      </c>
      <c r="V22">
        <v>5</v>
      </c>
      <c r="W22">
        <f t="shared" si="2"/>
        <v>23</v>
      </c>
      <c r="X22">
        <f>IF(W22="","", IFERROR(VLOOKUP(W22, IF(D22="KET", 换算标准!$Q:$R, IF(D22="PET", 换算标准!$W:$X, 换算标准!$AI:$AJ)), 2, TRUE), 0))</f>
        <v>140</v>
      </c>
      <c r="Y22">
        <f t="shared" si="3"/>
        <v>87.333333333333329</v>
      </c>
      <c r="Z22" t="str">
        <f>IF(Y22="","", IFERROR(VLOOKUP(Y22, 换算标准!$Z:$AA, 1, TRUE), ""))</f>
        <v/>
      </c>
      <c r="AA22" s="5" t="str">
        <f>IF(L22="","", "⚠️ 薄弱环节: "&amp;INDEX($E$1:$K$1, MATCH(MIN(E22:K22), E22:K22, 0))&amp;CHAR(10)&amp;"📉 考察能力: "&amp;IFERROR(VLOOKUP(TRIM(D22)&amp;"_"&amp;TRIM(INDEX($E$1:$K$1, MATCH(MIN(E22:K22), E22:K22, 0))), 技能库!$A:$F, 5, 0),"建议查阅考纲")&amp;CHAR(10)&amp;"💡 提升建议: "&amp;IFERROR(VLOOKUP(TRIM(D22)&amp;"_"&amp;TRIM(INDEX($E$1:$K$1, MATCH(MIN(E22:K22), E22:K22, 0))), 技能库!$A:$F, 6, 0),"请针对该题型加强练习"))</f>
        <v>⚠️ 薄弱环节: R-Pt3
📉 考察能力: [阅读] 长文主旨理解
💡 提升建议: 提升长难句阅读能力，关注段落大意和作者态度。</v>
      </c>
      <c r="AB22" s="5" t="str">
        <f>IF(P22="","", "⚠️ 薄弱环节: "&amp;INDEX($N$1:$O$1, MATCH(MIN(N22:O22), N22:O22, 0))&amp;CHAR(10)&amp;"📉 考察能力: "&amp;IFERROR(VLOOKUP(TRIM(D22)&amp;"_"&amp;TRIM(INDEX($N$1:$O$1, MATCH(MIN(N22:O22), N22:O22, 0))), 技能库!$A:$F, 5, 0),"建议查阅考纲")&amp;CHAR(10)&amp;"💡 提升建议: "&amp;IFERROR(VLOOKUP(TRIM(D22)&amp;"_"&amp;TRIM(INDEX($N$1:$O$1, MATCH(MIN(N22:O22), N22:O22, 0))), 技能库!$A:$F, 6, 0),"请针对该题型加强练习"))</f>
        <v>⚠️ 薄弱环节: W-Pt2
📉 考察能力: [写作] 看图写故事
💡 提升建议: 运用 linking words (so, because) 串联图片，注意过去时态。</v>
      </c>
      <c r="AC22" s="5" t="str">
        <f>IF(W22="","", "⚠️ 薄弱环节: "&amp;INDEX($R$1:$V$1, MATCH(MIN(R22:V22), R22:V22, 0))&amp;CHAR(10)&amp;"📉 考察能力: "&amp;IFERROR(VLOOKUP(TRIM(D22)&amp;"_"&amp;TRIM(INDEX($R$1:$V$1, MATCH(MIN(R22:V22), R22:V22, 0))), 技能库!$A:$F, 5, 0),"建议查阅考纲")&amp;CHAR(10)&amp;"💡 提升建议: "&amp;IFERROR(VLOOKUP(TRIM(D22)&amp;"_"&amp;TRIM(INDEX($R$1:$V$1, MATCH(MIN(R22:V22), R22:V22,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22" s="6">
        <v>45915</v>
      </c>
    </row>
    <row r="23" spans="1:30" ht="18" customHeight="1" x14ac:dyDescent="0.2">
      <c r="A23">
        <v>301</v>
      </c>
      <c r="B23" t="s">
        <v>317</v>
      </c>
      <c r="C23" t="s">
        <v>326</v>
      </c>
      <c r="D23" t="s">
        <v>164</v>
      </c>
      <c r="E23">
        <v>5</v>
      </c>
      <c r="F23">
        <v>6</v>
      </c>
      <c r="G23">
        <v>4</v>
      </c>
      <c r="H23">
        <v>5</v>
      </c>
      <c r="I23">
        <v>5</v>
      </c>
      <c r="L23">
        <f t="shared" si="0"/>
        <v>25</v>
      </c>
      <c r="M23">
        <f>IF(L23="","", IFERROR(VLOOKUP(L23, IF(D23="KET", 换算标准!$M:$N, IF(D23="PET", 换算标准!$S:$T, 换算标准!$AC:$AD)), 2, TRUE), 0))</f>
        <v>133</v>
      </c>
      <c r="N23">
        <v>12</v>
      </c>
      <c r="O23">
        <v>12</v>
      </c>
      <c r="P23">
        <f t="shared" si="1"/>
        <v>24</v>
      </c>
      <c r="Q23">
        <f>IF(P23="","", IFERROR(VLOOKUP(P23, IF(D23="KET", 换算标准!$O:$P, IF(D23="PET", 换算标准!$U:$V, 换算标准!$AG:$AH)), 2, TRUE), 0))</f>
        <v>135</v>
      </c>
      <c r="R23">
        <v>4</v>
      </c>
      <c r="S23">
        <v>2</v>
      </c>
      <c r="T23">
        <v>5</v>
      </c>
      <c r="U23">
        <v>5</v>
      </c>
      <c r="V23">
        <v>3</v>
      </c>
      <c r="W23">
        <f t="shared" si="2"/>
        <v>19</v>
      </c>
      <c r="X23">
        <f>IF(W23="","", IFERROR(VLOOKUP(W23, IF(D23="KET", 换算标准!$Q:$R, IF(D23="PET", 换算标准!$W:$X, 换算标准!$AI:$AJ)), 2, TRUE), 0))</f>
        <v>126</v>
      </c>
      <c r="Y23">
        <f t="shared" si="3"/>
        <v>131.33333333333334</v>
      </c>
      <c r="Z23" t="str">
        <f>IF(Y23="","", IFERROR(VLOOKUP(Y23, 换算标准!$Z:$AA, 1, TRUE), ""))</f>
        <v/>
      </c>
      <c r="AA23" s="5" t="str">
        <f>IF(L23="","", "⚠️ 薄弱环节: "&amp;INDEX($E$1:$K$1, MATCH(MIN(E23:K23), E23:K23, 0))&amp;CHAR(10)&amp;"📉 考察能力: "&amp;IFERROR(VLOOKUP(TRIM(D23)&amp;"_"&amp;TRIM(INDEX($E$1:$K$1, MATCH(MIN(E23:K23), E23:K23, 0))), 技能库!$A:$F, 5, 0),"建议查阅考纲")&amp;CHAR(10)&amp;"💡 提升建议: "&amp;IFERROR(VLOOKUP(TRIM(D23)&amp;"_"&amp;TRIM(INDEX($E$1:$K$1, MATCH(MIN(E23:K23), E23:K23, 0))), 技能库!$A:$F, 6, 0),"请针对该题型加强练习"))</f>
        <v>⚠️ 薄弱环节: R-Pt3
📉 考察能力: [阅读] 长文主旨理解
💡 提升建议: 提升长难句阅读能力，关注段落大意和作者态度。</v>
      </c>
      <c r="AB23" s="5" t="str">
        <f>IF(P23="","", "⚠️ 薄弱环节: "&amp;INDEX($N$1:$O$1, MATCH(MIN(N23:O23), N23:O23, 0))&amp;CHAR(10)&amp;"📉 考察能力: "&amp;IFERROR(VLOOKUP(TRIM(D23)&amp;"_"&amp;TRIM(INDEX($N$1:$O$1, MATCH(MIN(N23:O23), N23:O23, 0))), 技能库!$A:$F, 5, 0),"建议查阅考纲")&amp;CHAR(10)&amp;"💡 提升建议: "&amp;IFERROR(VLOOKUP(TRIM(D23)&amp;"_"&amp;TRIM(INDEX($N$1:$O$1, MATCH(MIN(N23:O23), N23:O23, 0))), 技能库!$A:$F, 6, 0),"请针对该题型加强练习"))</f>
        <v>⚠️ 薄弱环节: W-Pt1
📉 考察能力: [写作] 短邮件/便条
💡 提升建议: 必须覆盖所有3个要点，注意语域恰当，无拼写语法错误。</v>
      </c>
      <c r="AC23" s="5" t="str">
        <f>IF(W23="","", "⚠️ 薄弱环节: "&amp;INDEX($R$1:$V$1, MATCH(MIN(R23:V23), R23:V23, 0))&amp;CHAR(10)&amp;"📉 考察能力: "&amp;IFERROR(VLOOKUP(TRIM(D23)&amp;"_"&amp;TRIM(INDEX($R$1:$V$1, MATCH(MIN(R23:V23), R23:V23, 0))), 技能库!$A:$F, 5, 0),"建议查阅考纲")&amp;CHAR(10)&amp;"💡 提升建议: "&amp;IFERROR(VLOOKUP(TRIM(D23)&amp;"_"&amp;TRIM(INDEX($R$1:$V$1, MATCH(MIN(R23:V23), R23:V23, 0))), 技能库!$A:$F, 6, 0),"请针对该题型加强练习"))</f>
        <v>⚠️ 薄弱环节: L-Pt2
📉 考察能力: [听力] 填空 (信息记录)
💡 提升建议: 强化数字、价格、日期、拼写的听写训练。</v>
      </c>
      <c r="AD23" s="6">
        <v>45915</v>
      </c>
    </row>
    <row r="24" spans="1:30" ht="18" customHeight="1" x14ac:dyDescent="0.2">
      <c r="A24">
        <v>307</v>
      </c>
      <c r="B24" t="s">
        <v>317</v>
      </c>
      <c r="C24" t="s">
        <v>327</v>
      </c>
      <c r="D24" t="s">
        <v>164</v>
      </c>
      <c r="E24">
        <v>0</v>
      </c>
      <c r="F24">
        <v>5</v>
      </c>
      <c r="G24">
        <v>2</v>
      </c>
      <c r="H24">
        <v>4</v>
      </c>
      <c r="I24">
        <v>1</v>
      </c>
      <c r="L24">
        <f t="shared" si="0"/>
        <v>12</v>
      </c>
      <c r="M24">
        <f>IF(L24="","", IFERROR(VLOOKUP(L24, IF(D24="KET", 换算标准!$M:$N, IF(D24="PET", 换算标准!$S:$T, 换算标准!$AC:$AD)), 2, TRUE), 0))</f>
        <v>0</v>
      </c>
      <c r="N24">
        <v>10</v>
      </c>
      <c r="O24">
        <v>9</v>
      </c>
      <c r="P24">
        <f t="shared" si="1"/>
        <v>19</v>
      </c>
      <c r="Q24">
        <f>IF(P24="","", IFERROR(VLOOKUP(P24, IF(D24="KET", 换算标准!$O:$P, IF(D24="PET", 换算标准!$U:$V, 换算标准!$AG:$AH)), 2, TRUE), 0))</f>
        <v>123</v>
      </c>
      <c r="R24">
        <v>4</v>
      </c>
      <c r="S24">
        <v>3</v>
      </c>
      <c r="T24">
        <v>5</v>
      </c>
      <c r="U24">
        <v>5</v>
      </c>
      <c r="V24">
        <v>4</v>
      </c>
      <c r="W24">
        <f t="shared" si="2"/>
        <v>21</v>
      </c>
      <c r="X24">
        <f>IF(W24="","", IFERROR(VLOOKUP(W24, IF(D24="KET", 换算标准!$Q:$R, IF(D24="PET", 换算标准!$W:$X, 换算标准!$AI:$AJ)), 2, TRUE), 0))</f>
        <v>133</v>
      </c>
      <c r="Y24">
        <f t="shared" si="3"/>
        <v>85.333333333333329</v>
      </c>
      <c r="Z24" t="str">
        <f>IF(Y24="","", IFERROR(VLOOKUP(Y24, 换算标准!$Z:$AA, 1, TRUE), ""))</f>
        <v/>
      </c>
      <c r="AA24" s="5" t="str">
        <f>IF(L24="","", "⚠️ 薄弱环节: "&amp;INDEX($E$1:$K$1, MATCH(MIN(E24:K24), E24:K24, 0))&amp;CHAR(10)&amp;"📉 考察能力: "&amp;IFERROR(VLOOKUP(TRIM(D24)&amp;"_"&amp;TRIM(INDEX($E$1:$K$1, MATCH(MIN(E24:K24), E24:K24, 0))), 技能库!$A:$F, 5, 0),"建议查阅考纲")&amp;CHAR(10)&amp;"💡 提升建议: "&amp;IFERROR(VLOOKUP(TRIM(D24)&amp;"_"&amp;TRIM(INDEX($E$1:$K$1, MATCH(MIN(E24:K24), E24:K24,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24" s="5" t="str">
        <f>IF(P24="","", "⚠️ 薄弱环节: "&amp;INDEX($N$1:$O$1, MATCH(MIN(N24:O24), N24:O24, 0))&amp;CHAR(10)&amp;"📉 考察能力: "&amp;IFERROR(VLOOKUP(TRIM(D24)&amp;"_"&amp;TRIM(INDEX($N$1:$O$1, MATCH(MIN(N24:O24), N24:O24, 0))), 技能库!$A:$F, 5, 0),"建议查阅考纲")&amp;CHAR(10)&amp;"💡 提升建议: "&amp;IFERROR(VLOOKUP(TRIM(D24)&amp;"_"&amp;TRIM(INDEX($N$1:$O$1, MATCH(MIN(N24:O24), N24:O24, 0))), 技能库!$A:$F, 6, 0),"请针对该题型加强练习"))</f>
        <v>⚠️ 薄弱环节: W-Pt2
📉 考察能力: [写作] 看图写故事
💡 提升建议: 运用 linking words (so, because) 串联图片，注意过去时态。</v>
      </c>
      <c r="AC24" s="5" t="str">
        <f>IF(W24="","", "⚠️ 薄弱环节: "&amp;INDEX($R$1:$V$1, MATCH(MIN(R24:V24), R24:V24, 0))&amp;CHAR(10)&amp;"📉 考察能力: "&amp;IFERROR(VLOOKUP(TRIM(D24)&amp;"_"&amp;TRIM(INDEX($R$1:$V$1, MATCH(MIN(R24:V24), R24:V24, 0))), 技能库!$A:$F, 5, 0),"建议查阅考纲")&amp;CHAR(10)&amp;"💡 提升建议: "&amp;IFERROR(VLOOKUP(TRIM(D24)&amp;"_"&amp;TRIM(INDEX($R$1:$V$1, MATCH(MIN(R24:V24), R24:V24, 0))), 技能库!$A:$F, 6, 0),"请针对该题型加强练习"))</f>
        <v>⚠️ 薄弱环节: L-Pt2
📉 考察能力: [听力] 填空 (信息记录)
💡 提升建议: 强化数字、价格、日期、拼写的听写训练。</v>
      </c>
      <c r="AD24" s="6">
        <v>45915</v>
      </c>
    </row>
    <row r="25" spans="1:30" ht="18" customHeight="1" x14ac:dyDescent="0.2">
      <c r="A25">
        <v>305</v>
      </c>
      <c r="B25" t="s">
        <v>317</v>
      </c>
      <c r="C25" t="s">
        <v>328</v>
      </c>
      <c r="D25" t="s">
        <v>164</v>
      </c>
      <c r="E25">
        <v>6</v>
      </c>
      <c r="F25">
        <v>7</v>
      </c>
      <c r="G25">
        <v>4</v>
      </c>
      <c r="H25">
        <v>4</v>
      </c>
      <c r="I25">
        <v>4</v>
      </c>
      <c r="L25">
        <f t="shared" si="0"/>
        <v>25</v>
      </c>
      <c r="M25">
        <f>IF(L25="","", IFERROR(VLOOKUP(L25, IF(D25="KET", 换算标准!$M:$N, IF(D25="PET", 换算标准!$S:$T, 换算标准!$AC:$AD)), 2, TRUE), 0))</f>
        <v>133</v>
      </c>
      <c r="N25">
        <v>13</v>
      </c>
      <c r="O25">
        <v>13</v>
      </c>
      <c r="P25">
        <f t="shared" si="1"/>
        <v>26</v>
      </c>
      <c r="Q25">
        <f>IF(P25="","", IFERROR(VLOOKUP(P25, IF(D25="KET", 换算标准!$O:$P, IF(D25="PET", 换算标准!$U:$V, 换算标准!$AG:$AH)), 2, TRUE), 0))</f>
        <v>140</v>
      </c>
      <c r="R25">
        <v>4</v>
      </c>
      <c r="S25">
        <v>5</v>
      </c>
      <c r="T25">
        <v>5</v>
      </c>
      <c r="U25">
        <v>5</v>
      </c>
      <c r="V25">
        <v>3</v>
      </c>
      <c r="W25">
        <f t="shared" si="2"/>
        <v>22</v>
      </c>
      <c r="X25">
        <f>IF(W25="","", IFERROR(VLOOKUP(W25, IF(D25="KET", 换算标准!$Q:$R, IF(D25="PET", 换算标准!$W:$X, 换算标准!$AI:$AJ)), 2, TRUE), 0))</f>
        <v>136</v>
      </c>
      <c r="Y25">
        <f t="shared" si="3"/>
        <v>136.33333333333334</v>
      </c>
      <c r="Z25" t="str">
        <f>IF(Y25="","", IFERROR(VLOOKUP(Y25, 换算标准!$Z:$AA, 1, TRUE), ""))</f>
        <v/>
      </c>
      <c r="AA25" s="5" t="str">
        <f>IF(L25="","", "⚠️ 薄弱环节: "&amp;INDEX($E$1:$K$1, MATCH(MIN(E25:K25), E25:K25, 0))&amp;CHAR(10)&amp;"📉 考察能力: "&amp;IFERROR(VLOOKUP(TRIM(D25)&amp;"_"&amp;TRIM(INDEX($E$1:$K$1, MATCH(MIN(E25:K25), E25:K25, 0))), 技能库!$A:$F, 5, 0),"建议查阅考纲")&amp;CHAR(10)&amp;"💡 提升建议: "&amp;IFERROR(VLOOKUP(TRIM(D25)&amp;"_"&amp;TRIM(INDEX($E$1:$K$1, MATCH(MIN(E25:K25), E25:K25, 0))), 技能库!$A:$F, 6, 0),"请针对该题型加强练习"))</f>
        <v>⚠️ 薄弱环节: R-Pt3
📉 考察能力: [阅读] 长文主旨理解
💡 提升建议: 提升长难句阅读能力，关注段落大意和作者态度。</v>
      </c>
      <c r="AB25" s="5" t="str">
        <f>IF(P25="","", "⚠️ 薄弱环节: "&amp;INDEX($N$1:$O$1, MATCH(MIN(N25:O25), N25:O25, 0))&amp;CHAR(10)&amp;"📉 考察能力: "&amp;IFERROR(VLOOKUP(TRIM(D25)&amp;"_"&amp;TRIM(INDEX($N$1:$O$1, MATCH(MIN(N25:O25), N25:O25, 0))), 技能库!$A:$F, 5, 0),"建议查阅考纲")&amp;CHAR(10)&amp;"💡 提升建议: "&amp;IFERROR(VLOOKUP(TRIM(D25)&amp;"_"&amp;TRIM(INDEX($N$1:$O$1, MATCH(MIN(N25:O25), N25:O25, 0))), 技能库!$A:$F, 6, 0),"请针对该题型加强练习"))</f>
        <v>⚠️ 薄弱环节: W-Pt1
📉 考察能力: [写作] 短邮件/便条
💡 提升建议: 必须覆盖所有3个要点，注意语域恰当，无拼写语法错误。</v>
      </c>
      <c r="AC25" s="5" t="str">
        <f>IF(W25="","", "⚠️ 薄弱环节: "&amp;INDEX($R$1:$V$1, MATCH(MIN(R25:V25), R25:V25, 0))&amp;CHAR(10)&amp;"📉 考察能力: "&amp;IFERROR(VLOOKUP(TRIM(D25)&amp;"_"&amp;TRIM(INDEX($R$1:$V$1, MATCH(MIN(R25:V25), R25:V25, 0))), 技能库!$A:$F, 5, 0),"建议查阅考纲")&amp;CHAR(10)&amp;"💡 提升建议: "&amp;IFERROR(VLOOKUP(TRIM(D25)&amp;"_"&amp;TRIM(INDEX($R$1:$V$1, MATCH(MIN(R25:V25), R25:V25, 0))), 技能库!$A:$F, 6, 0),"请针对该题型加强练习"))</f>
        <v>⚠️ 薄弱环节: L-Pt5
📉 考察能力: [听力] 匹配题
💡 提升建议: 边听边记笔记，排除法是个好工具。</v>
      </c>
      <c r="AD25" s="6">
        <v>45915</v>
      </c>
    </row>
    <row r="26" spans="1:30" ht="18" customHeight="1" x14ac:dyDescent="0.2">
      <c r="A26">
        <v>305</v>
      </c>
      <c r="B26" t="s">
        <v>317</v>
      </c>
      <c r="C26" t="s">
        <v>329</v>
      </c>
      <c r="D26" t="s">
        <v>164</v>
      </c>
      <c r="E26">
        <v>2</v>
      </c>
      <c r="F26">
        <v>6</v>
      </c>
      <c r="G26">
        <v>4</v>
      </c>
      <c r="H26">
        <v>3</v>
      </c>
      <c r="I26">
        <v>2</v>
      </c>
      <c r="L26">
        <f t="shared" si="0"/>
        <v>17</v>
      </c>
      <c r="M26">
        <f>IF(L26="","", IFERROR(VLOOKUP(L26, IF(D26="KET", 换算标准!$M:$N, IF(D26="PET", 换算标准!$S:$T, 换算标准!$AC:$AD)), 2, TRUE), 0))</f>
        <v>111</v>
      </c>
      <c r="N26">
        <v>12</v>
      </c>
      <c r="O26">
        <v>11</v>
      </c>
      <c r="P26">
        <f t="shared" si="1"/>
        <v>23</v>
      </c>
      <c r="Q26">
        <f>IF(P26="","", IFERROR(VLOOKUP(P26, IF(D26="KET", 换算标准!$O:$P, IF(D26="PET", 换算标准!$U:$V, 换算标准!$AG:$AH)), 2, TRUE), 0))</f>
        <v>133</v>
      </c>
      <c r="R26">
        <v>3</v>
      </c>
      <c r="S26">
        <v>2</v>
      </c>
      <c r="T26">
        <v>5</v>
      </c>
      <c r="U26">
        <v>4</v>
      </c>
      <c r="V26">
        <v>5</v>
      </c>
      <c r="W26">
        <f t="shared" si="2"/>
        <v>19</v>
      </c>
      <c r="X26">
        <f>IF(W26="","", IFERROR(VLOOKUP(W26, IF(D26="KET", 换算标准!$Q:$R, IF(D26="PET", 换算标准!$W:$X, 换算标准!$AI:$AJ)), 2, TRUE), 0))</f>
        <v>126</v>
      </c>
      <c r="Y26">
        <f t="shared" si="3"/>
        <v>123.33333333333333</v>
      </c>
      <c r="Z26" t="str">
        <f>IF(Y26="","", IFERROR(VLOOKUP(Y26, 换算标准!$Z:$AA, 1, TRUE), ""))</f>
        <v/>
      </c>
      <c r="AA26" s="5" t="str">
        <f>IF(L26="","", "⚠️ 薄弱环节: "&amp;INDEX($E$1:$K$1, MATCH(MIN(E26:K26), E26:K26, 0))&amp;CHAR(10)&amp;"📉 考察能力: "&amp;IFERROR(VLOOKUP(TRIM(D26)&amp;"_"&amp;TRIM(INDEX($E$1:$K$1, MATCH(MIN(E26:K26), E26:K26, 0))), 技能库!$A:$F, 5, 0),"建议查阅考纲")&amp;CHAR(10)&amp;"💡 提升建议: "&amp;IFERROR(VLOOKUP(TRIM(D26)&amp;"_"&amp;TRIM(INDEX($E$1:$K$1, MATCH(MIN(E26:K26), E26:K26,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26" s="5" t="str">
        <f>IF(P26="","", "⚠️ 薄弱环节: "&amp;INDEX($N$1:$O$1, MATCH(MIN(N26:O26), N26:O26, 0))&amp;CHAR(10)&amp;"📉 考察能力: "&amp;IFERROR(VLOOKUP(TRIM(D26)&amp;"_"&amp;TRIM(INDEX($N$1:$O$1, MATCH(MIN(N26:O26), N26:O26, 0))), 技能库!$A:$F, 5, 0),"建议查阅考纲")&amp;CHAR(10)&amp;"💡 提升建议: "&amp;IFERROR(VLOOKUP(TRIM(D26)&amp;"_"&amp;TRIM(INDEX($N$1:$O$1, MATCH(MIN(N26:O26), N26:O26, 0))), 技能库!$A:$F, 6, 0),"请针对该题型加强练习"))</f>
        <v>⚠️ 薄弱环节: W-Pt2
📉 考察能力: [写作] 看图写故事
💡 提升建议: 运用 linking words (so, because) 串联图片，注意过去时态。</v>
      </c>
      <c r="AC26" s="5" t="str">
        <f>IF(W26="","", "⚠️ 薄弱环节: "&amp;INDEX($R$1:$V$1, MATCH(MIN(R26:V26), R26:V26, 0))&amp;CHAR(10)&amp;"📉 考察能力: "&amp;IFERROR(VLOOKUP(TRIM(D26)&amp;"_"&amp;TRIM(INDEX($R$1:$V$1, MATCH(MIN(R26:V26), R26:V26, 0))), 技能库!$A:$F, 5, 0),"建议查阅考纲")&amp;CHAR(10)&amp;"💡 提升建议: "&amp;IFERROR(VLOOKUP(TRIM(D26)&amp;"_"&amp;TRIM(INDEX($R$1:$V$1, MATCH(MIN(R26:V26), R26:V26, 0))), 技能库!$A:$F, 6, 0),"请针对该题型加强练习"))</f>
        <v>⚠️ 薄弱环节: L-Pt2
📉 考察能力: [听力] 填空 (信息记录)
💡 提升建议: 强化数字、价格、日期、拼写的听写训练。</v>
      </c>
      <c r="AD26" s="6">
        <v>45915</v>
      </c>
    </row>
    <row r="27" spans="1:30" ht="18" customHeight="1" x14ac:dyDescent="0.2">
      <c r="A27">
        <v>305</v>
      </c>
      <c r="B27" t="s">
        <v>317</v>
      </c>
      <c r="C27" t="s">
        <v>330</v>
      </c>
      <c r="D27" t="s">
        <v>164</v>
      </c>
      <c r="E27">
        <v>5</v>
      </c>
      <c r="F27">
        <v>5</v>
      </c>
      <c r="G27">
        <v>5</v>
      </c>
      <c r="H27">
        <v>3</v>
      </c>
      <c r="I27">
        <v>5</v>
      </c>
      <c r="L27">
        <f t="shared" si="0"/>
        <v>23</v>
      </c>
      <c r="M27">
        <f>IF(L27="","", IFERROR(VLOOKUP(L27, IF(D27="KET", 换算标准!$M:$N, IF(D27="PET", 换算标准!$S:$T, 换算标准!$AC:$AD)), 2, TRUE), 0))</f>
        <v>127</v>
      </c>
      <c r="N27">
        <v>12</v>
      </c>
      <c r="O27">
        <v>0</v>
      </c>
      <c r="P27">
        <f t="shared" si="1"/>
        <v>12</v>
      </c>
      <c r="Q27">
        <f>IF(P27="","", IFERROR(VLOOKUP(P27, IF(D27="KET", 换算标准!$O:$P, IF(D27="PET", 换算标准!$U:$V, 换算标准!$AG:$AH)), 2, TRUE), 0))</f>
        <v>102</v>
      </c>
      <c r="R27">
        <v>5</v>
      </c>
      <c r="S27">
        <v>4</v>
      </c>
      <c r="T27">
        <v>4</v>
      </c>
      <c r="U27">
        <v>4</v>
      </c>
      <c r="V27">
        <v>5</v>
      </c>
      <c r="W27">
        <f t="shared" si="2"/>
        <v>22</v>
      </c>
      <c r="X27">
        <f>IF(W27="","", IFERROR(VLOOKUP(W27, IF(D27="KET", 换算标准!$Q:$R, IF(D27="PET", 换算标准!$W:$X, 换算标准!$AI:$AJ)), 2, TRUE), 0))</f>
        <v>136</v>
      </c>
      <c r="Y27">
        <f t="shared" si="3"/>
        <v>121.66666666666667</v>
      </c>
      <c r="Z27" t="str">
        <f>IF(Y27="","", IFERROR(VLOOKUP(Y27, 换算标准!$Z:$AA, 1, TRUE), ""))</f>
        <v/>
      </c>
      <c r="AA27" s="5" t="str">
        <f>IF(L27="","", "⚠️ 薄弱环节: "&amp;INDEX($E$1:$K$1, MATCH(MIN(E27:K27), E27:K27, 0))&amp;CHAR(10)&amp;"📉 考察能力: "&amp;IFERROR(VLOOKUP(TRIM(D27)&amp;"_"&amp;TRIM(INDEX($E$1:$K$1, MATCH(MIN(E27:K27), E27:K27, 0))), 技能库!$A:$F, 5, 0),"建议查阅考纲")&amp;CHAR(10)&amp;"💡 提升建议: "&amp;IFERROR(VLOOKUP(TRIM(D27)&amp;"_"&amp;TRIM(INDEX($E$1:$K$1, MATCH(MIN(E27:K27), E27:K27, 0))), 技能库!$A:$F, 6, 0),"请针对该题型加强练习"))</f>
        <v>⚠️ 薄弱环节: R-Pt4
📉 考察能力: [阅读] 完形填空 (词汇)
💡 提升建议: 积累名词、形容词、动词的常见搭配及近义词辨析。</v>
      </c>
      <c r="AB27" s="5" t="str">
        <f>IF(P27="","", "⚠️ 薄弱环节: "&amp;INDEX($N$1:$O$1, MATCH(MIN(N27:O27), N27:O27, 0))&amp;CHAR(10)&amp;"📉 考察能力: "&amp;IFERROR(VLOOKUP(TRIM(D27)&amp;"_"&amp;TRIM(INDEX($N$1:$O$1, MATCH(MIN(N27:O27), N27:O27, 0))), 技能库!$A:$F, 5, 0),"建议查阅考纲")&amp;CHAR(10)&amp;"💡 提升建议: "&amp;IFERROR(VLOOKUP(TRIM(D27)&amp;"_"&amp;TRIM(INDEX($N$1:$O$1, MATCH(MIN(N27:O27), N27:O27, 0))), 技能库!$A:$F, 6, 0),"请针对该题型加强练习"))</f>
        <v>⚠️ 薄弱环节: W-Pt2
📉 考察能力: [写作] 看图写故事
💡 提升建议: 运用 linking words (so, because) 串联图片，注意过去时态。</v>
      </c>
      <c r="AC27" s="5" t="str">
        <f>IF(W27="","", "⚠️ 薄弱环节: "&amp;INDEX($R$1:$V$1, MATCH(MIN(R27:V27), R27:V27, 0))&amp;CHAR(10)&amp;"📉 考察能力: "&amp;IFERROR(VLOOKUP(TRIM(D27)&amp;"_"&amp;TRIM(INDEX($R$1:$V$1, MATCH(MIN(R27:V27), R27:V27, 0))), 技能库!$A:$F, 5, 0),"建议查阅考纲")&amp;CHAR(10)&amp;"💡 提升建议: "&amp;IFERROR(VLOOKUP(TRIM(D27)&amp;"_"&amp;TRIM(INDEX($R$1:$V$1, MATCH(MIN(R27:V27), R27:V27, 0))), 技能库!$A:$F, 6, 0),"请针对该题型加强练习"))</f>
        <v>⚠️ 薄弱环节: L-Pt2
📉 考察能力: [听力] 填空 (信息记录)
💡 提升建议: 强化数字、价格、日期、拼写的听写训练。</v>
      </c>
      <c r="AD27" s="6">
        <v>45915</v>
      </c>
    </row>
    <row r="28" spans="1:30" ht="18" customHeight="1" x14ac:dyDescent="0.2">
      <c r="A28">
        <v>301</v>
      </c>
      <c r="B28" t="s">
        <v>317</v>
      </c>
      <c r="C28" t="s">
        <v>331</v>
      </c>
      <c r="D28" t="s">
        <v>164</v>
      </c>
      <c r="E28">
        <v>5</v>
      </c>
      <c r="F28">
        <v>5</v>
      </c>
      <c r="G28">
        <v>5</v>
      </c>
      <c r="H28">
        <v>5</v>
      </c>
      <c r="I28">
        <v>4</v>
      </c>
      <c r="L28">
        <f t="shared" si="0"/>
        <v>24</v>
      </c>
      <c r="M28">
        <f>IF(L28="","", IFERROR(VLOOKUP(L28, IF(D28="KET", 换算标准!$M:$N, IF(D28="PET", 换算标准!$S:$T, 换算标准!$AC:$AD)), 2, TRUE), 0))</f>
        <v>130</v>
      </c>
      <c r="N28">
        <v>11</v>
      </c>
      <c r="O28">
        <v>10</v>
      </c>
      <c r="P28">
        <f t="shared" si="1"/>
        <v>21</v>
      </c>
      <c r="Q28">
        <f>IF(P28="","", IFERROR(VLOOKUP(P28, IF(D28="KET", 换算标准!$O:$P, IF(D28="PET", 换算标准!$U:$V, 换算标准!$AG:$AH)), 2, TRUE), 0))</f>
        <v>128</v>
      </c>
      <c r="R28">
        <v>4</v>
      </c>
      <c r="S28">
        <v>1</v>
      </c>
      <c r="T28">
        <v>4</v>
      </c>
      <c r="U28">
        <v>4</v>
      </c>
      <c r="V28">
        <v>5</v>
      </c>
      <c r="W28">
        <f t="shared" si="2"/>
        <v>18</v>
      </c>
      <c r="X28">
        <f>IF(W28="","", IFERROR(VLOOKUP(W28, IF(D28="KET", 换算标准!$Q:$R, IF(D28="PET", 换算标准!$W:$X, 换算标准!$AI:$AJ)), 2, TRUE), 0))</f>
        <v>123</v>
      </c>
      <c r="Y28">
        <f t="shared" si="3"/>
        <v>127</v>
      </c>
      <c r="Z28" t="str">
        <f>IF(Y28="","", IFERROR(VLOOKUP(Y28, 换算标准!$Z:$AA, 1, TRUE), ""))</f>
        <v/>
      </c>
      <c r="AA28" s="5" t="str">
        <f>IF(L28="","", "⚠️ 薄弱环节: "&amp;INDEX($E$1:$K$1, MATCH(MIN(E28:K28), E28:K28, 0))&amp;CHAR(10)&amp;"📉 考察能力: "&amp;IFERROR(VLOOKUP(TRIM(D28)&amp;"_"&amp;TRIM(INDEX($E$1:$K$1, MATCH(MIN(E28:K28), E28:K28, 0))), 技能库!$A:$F, 5, 0),"建议查阅考纲")&amp;CHAR(10)&amp;"💡 提升建议: "&amp;IFERROR(VLOOKUP(TRIM(D28)&amp;"_"&amp;TRIM(INDEX($E$1:$K$1, MATCH(MIN(E28:K28), E28:K28,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28" s="5" t="str">
        <f>IF(P28="","", "⚠️ 薄弱环节: "&amp;INDEX($N$1:$O$1, MATCH(MIN(N28:O28), N28:O28, 0))&amp;CHAR(10)&amp;"📉 考察能力: "&amp;IFERROR(VLOOKUP(TRIM(D28)&amp;"_"&amp;TRIM(INDEX($N$1:$O$1, MATCH(MIN(N28:O28), N28:O28, 0))), 技能库!$A:$F, 5, 0),"建议查阅考纲")&amp;CHAR(10)&amp;"💡 提升建议: "&amp;IFERROR(VLOOKUP(TRIM(D28)&amp;"_"&amp;TRIM(INDEX($N$1:$O$1, MATCH(MIN(N28:O28), N28:O28, 0))), 技能库!$A:$F, 6, 0),"请针对该题型加强练习"))</f>
        <v>⚠️ 薄弱环节: W-Pt2
📉 考察能力: [写作] 看图写故事
💡 提升建议: 运用 linking words (so, because) 串联图片，注意过去时态。</v>
      </c>
      <c r="AC28" s="5" t="str">
        <f>IF(W28="","", "⚠️ 薄弱环节: "&amp;INDEX($R$1:$V$1, MATCH(MIN(R28:V28), R28:V28, 0))&amp;CHAR(10)&amp;"📉 考察能力: "&amp;IFERROR(VLOOKUP(TRIM(D28)&amp;"_"&amp;TRIM(INDEX($R$1:$V$1, MATCH(MIN(R28:V28), R28:V28, 0))), 技能库!$A:$F, 5, 0),"建议查阅考纲")&amp;CHAR(10)&amp;"💡 提升建议: "&amp;IFERROR(VLOOKUP(TRIM(D28)&amp;"_"&amp;TRIM(INDEX($R$1:$V$1, MATCH(MIN(R28:V28), R28:V28, 0))), 技能库!$A:$F, 6, 0),"请针对该题型加强练习"))</f>
        <v>⚠️ 薄弱环节: L-Pt2
📉 考察能力: [听力] 填空 (信息记录)
💡 提升建议: 强化数字、价格、日期、拼写的听写训练。</v>
      </c>
      <c r="AD28" s="6">
        <v>45915</v>
      </c>
    </row>
    <row r="29" spans="1:30" ht="18" customHeight="1" x14ac:dyDescent="0.2">
      <c r="A29">
        <v>303</v>
      </c>
      <c r="B29" t="s">
        <v>317</v>
      </c>
      <c r="C29" t="s">
        <v>332</v>
      </c>
      <c r="D29" t="s">
        <v>164</v>
      </c>
      <c r="E29">
        <v>4</v>
      </c>
      <c r="F29">
        <v>0</v>
      </c>
      <c r="G29">
        <v>5</v>
      </c>
      <c r="H29">
        <v>4</v>
      </c>
      <c r="I29">
        <v>6</v>
      </c>
      <c r="L29">
        <f t="shared" si="0"/>
        <v>19</v>
      </c>
      <c r="M29">
        <f>IF(L29="","", IFERROR(VLOOKUP(L29, IF(D29="KET", 换算标准!$M:$N, IF(D29="PET", 换算标准!$S:$T, 换算标准!$AC:$AD)), 2, TRUE), 0))</f>
        <v>117</v>
      </c>
      <c r="N29">
        <v>13</v>
      </c>
      <c r="O29">
        <v>16</v>
      </c>
      <c r="P29">
        <f t="shared" si="1"/>
        <v>29</v>
      </c>
      <c r="Q29">
        <f>IF(P29="","", IFERROR(VLOOKUP(P29, IF(D29="KET", 换算标准!$O:$P, IF(D29="PET", 换算标准!$U:$V, 换算标准!$AG:$AH)), 2, TRUE), 0))</f>
        <v>148</v>
      </c>
      <c r="R29">
        <v>5</v>
      </c>
      <c r="S29">
        <v>3</v>
      </c>
      <c r="T29">
        <v>4</v>
      </c>
      <c r="U29">
        <v>5</v>
      </c>
      <c r="V29">
        <v>5</v>
      </c>
      <c r="W29">
        <f t="shared" si="2"/>
        <v>22</v>
      </c>
      <c r="X29">
        <f>IF(W29="","", IFERROR(VLOOKUP(W29, IF(D29="KET", 换算标准!$Q:$R, IF(D29="PET", 换算标准!$W:$X, 换算标准!$AI:$AJ)), 2, TRUE), 0))</f>
        <v>136</v>
      </c>
      <c r="Y29">
        <f t="shared" si="3"/>
        <v>133.66666666666666</v>
      </c>
      <c r="Z29" t="str">
        <f>IF(Y29="","", IFERROR(VLOOKUP(Y29, 换算标准!$Z:$AA, 1, TRUE), ""))</f>
        <v/>
      </c>
      <c r="AA29" s="5" t="str">
        <f>IF(L29="","", "⚠️ 薄弱环节: "&amp;INDEX($E$1:$K$1, MATCH(MIN(E29:K29), E29:K29, 0))&amp;CHAR(10)&amp;"📉 考察能力: "&amp;IFERROR(VLOOKUP(TRIM(D29)&amp;"_"&amp;TRIM(INDEX($E$1:$K$1, MATCH(MIN(E29:K29), E29:K29, 0))), 技能库!$A:$F, 5, 0),"建议查阅考纲")&amp;CHAR(10)&amp;"💡 提升建议: "&amp;IFERROR(VLOOKUP(TRIM(D29)&amp;"_"&amp;TRIM(INDEX($E$1:$K$1, MATCH(MIN(E29:K29), E29:K29, 0))), 技能库!$A:$F, 6, 0),"请针对该题型加强练习"))</f>
        <v>⚠️ 薄弱环节: R-Pt2
📉 考察能力: [阅读] 三选一匹配 (细节)
💡 提升建议: 练习快速定位，注意题目描述与原文细节的对应。</v>
      </c>
      <c r="AB29" s="5" t="str">
        <f>IF(P29="","", "⚠️ 薄弱环节: "&amp;INDEX($N$1:$O$1, MATCH(MIN(N29:O29), N29:O29, 0))&amp;CHAR(10)&amp;"📉 考察能力: "&amp;IFERROR(VLOOKUP(TRIM(D29)&amp;"_"&amp;TRIM(INDEX($N$1:$O$1, MATCH(MIN(N29:O29), N29:O29, 0))), 技能库!$A:$F, 5, 0),"建议查阅考纲")&amp;CHAR(10)&amp;"💡 提升建议: "&amp;IFERROR(VLOOKUP(TRIM(D29)&amp;"_"&amp;TRIM(INDEX($N$1:$O$1, MATCH(MIN(N29:O29), N29:O29, 0))), 技能库!$A:$F, 6, 0),"请针对该题型加强练习"))</f>
        <v>⚠️ 薄弱环节: W-Pt1
📉 考察能力: [写作] 短邮件/便条
💡 提升建议: 必须覆盖所有3个要点，注意语域恰当，无拼写语法错误。</v>
      </c>
      <c r="AC29" s="5" t="str">
        <f>IF(W29="","", "⚠️ 薄弱环节: "&amp;INDEX($R$1:$V$1, MATCH(MIN(R29:V29), R29:V29, 0))&amp;CHAR(10)&amp;"📉 考察能力: "&amp;IFERROR(VLOOKUP(TRIM(D29)&amp;"_"&amp;TRIM(INDEX($R$1:$V$1, MATCH(MIN(R29:V29), R29:V29, 0))), 技能库!$A:$F, 5, 0),"建议查阅考纲")&amp;CHAR(10)&amp;"💡 提升建议: "&amp;IFERROR(VLOOKUP(TRIM(D29)&amp;"_"&amp;TRIM(INDEX($R$1:$V$1, MATCH(MIN(R29:V29), R29:V29, 0))), 技能库!$A:$F, 6, 0),"请针对该题型加强练习"))</f>
        <v>⚠️ 薄弱环节: L-Pt2
📉 考察能力: [听力] 填空 (信息记录)
💡 提升建议: 强化数字、价格、日期、拼写的听写训练。</v>
      </c>
      <c r="AD29" s="6">
        <v>45915</v>
      </c>
    </row>
    <row r="30" spans="1:30" ht="18" customHeight="1" x14ac:dyDescent="0.2">
      <c r="A30">
        <v>303</v>
      </c>
      <c r="B30" t="s">
        <v>317</v>
      </c>
      <c r="C30" t="s">
        <v>333</v>
      </c>
      <c r="D30" t="s">
        <v>164</v>
      </c>
      <c r="E30">
        <v>1</v>
      </c>
      <c r="F30">
        <v>7</v>
      </c>
      <c r="G30">
        <v>3</v>
      </c>
      <c r="H30">
        <v>3</v>
      </c>
      <c r="I30">
        <v>0</v>
      </c>
      <c r="L30">
        <f t="shared" si="0"/>
        <v>14</v>
      </c>
      <c r="M30">
        <f>IF(L30="","", IFERROR(VLOOKUP(L30, IF(D30="KET", 换算标准!$M:$N, IF(D30="PET", 换算标准!$S:$T, 换算标准!$AC:$AD)), 2, TRUE), 0))</f>
        <v>102</v>
      </c>
      <c r="N30">
        <v>6</v>
      </c>
      <c r="O30">
        <v>10</v>
      </c>
      <c r="P30">
        <f t="shared" si="1"/>
        <v>16</v>
      </c>
      <c r="Q30">
        <f>IF(P30="","", IFERROR(VLOOKUP(P30, IF(D30="KET", 换算标准!$O:$P, IF(D30="PET", 换算标准!$U:$V, 换算标准!$AG:$AH)), 2, TRUE), 0))</f>
        <v>114</v>
      </c>
      <c r="R30">
        <v>4</v>
      </c>
      <c r="S30">
        <v>1</v>
      </c>
      <c r="T30">
        <v>4</v>
      </c>
      <c r="U30">
        <v>4</v>
      </c>
      <c r="V30">
        <v>5</v>
      </c>
      <c r="W30">
        <f t="shared" si="2"/>
        <v>18</v>
      </c>
      <c r="X30">
        <f>IF(W30="","", IFERROR(VLOOKUP(W30, IF(D30="KET", 换算标准!$Q:$R, IF(D30="PET", 换算标准!$W:$X, 换算标准!$AI:$AJ)), 2, TRUE), 0))</f>
        <v>123</v>
      </c>
      <c r="Y30">
        <f t="shared" si="3"/>
        <v>113</v>
      </c>
      <c r="Z30" t="str">
        <f>IF(Y30="","", IFERROR(VLOOKUP(Y30, 换算标准!$Z:$AA, 1, TRUE), ""))</f>
        <v/>
      </c>
      <c r="AA30" s="5" t="str">
        <f>IF(L30="","", "⚠️ 薄弱环节: "&amp;INDEX($E$1:$K$1, MATCH(MIN(E30:K30), E30:K30, 0))&amp;CHAR(10)&amp;"📉 考察能力: "&amp;IFERROR(VLOOKUP(TRIM(D30)&amp;"_"&amp;TRIM(INDEX($E$1:$K$1, MATCH(MIN(E30:K30), E30:K30, 0))), 技能库!$A:$F, 5, 0),"建议查阅考纲")&amp;CHAR(10)&amp;"💡 提升建议: "&amp;IFERROR(VLOOKUP(TRIM(D30)&amp;"_"&amp;TRIM(INDEX($E$1:$K$1, MATCH(MIN(E30:K30), E30:K30,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30" s="5" t="str">
        <f>IF(P30="","", "⚠️ 薄弱环节: "&amp;INDEX($N$1:$O$1, MATCH(MIN(N30:O30), N30:O30, 0))&amp;CHAR(10)&amp;"📉 考察能力: "&amp;IFERROR(VLOOKUP(TRIM(D30)&amp;"_"&amp;TRIM(INDEX($N$1:$O$1, MATCH(MIN(N30:O30), N30:O30, 0))), 技能库!$A:$F, 5, 0),"建议查阅考纲")&amp;CHAR(10)&amp;"💡 提升建议: "&amp;IFERROR(VLOOKUP(TRIM(D30)&amp;"_"&amp;TRIM(INDEX($N$1:$O$1, MATCH(MIN(N30:O30), N30:O30, 0))), 技能库!$A:$F, 6, 0),"请针对该题型加强练习"))</f>
        <v>⚠️ 薄弱环节: W-Pt1
📉 考察能力: [写作] 短邮件/便条
💡 提升建议: 必须覆盖所有3个要点，注意语域恰当，无拼写语法错误。</v>
      </c>
      <c r="AC30" s="5" t="str">
        <f>IF(W30="","", "⚠️ 薄弱环节: "&amp;INDEX($R$1:$V$1, MATCH(MIN(R30:V30), R30:V30, 0))&amp;CHAR(10)&amp;"📉 考察能力: "&amp;IFERROR(VLOOKUP(TRIM(D30)&amp;"_"&amp;TRIM(INDEX($R$1:$V$1, MATCH(MIN(R30:V30), R30:V30, 0))), 技能库!$A:$F, 5, 0),"建议查阅考纲")&amp;CHAR(10)&amp;"💡 提升建议: "&amp;IFERROR(VLOOKUP(TRIM(D30)&amp;"_"&amp;TRIM(INDEX($R$1:$V$1, MATCH(MIN(R30:V30), R30:V30, 0))), 技能库!$A:$F, 6, 0),"请针对该题型加强练习"))</f>
        <v>⚠️ 薄弱环节: L-Pt2
📉 考察能力: [听力] 填空 (信息记录)
💡 提升建议: 强化数字、价格、日期、拼写的听写训练。</v>
      </c>
      <c r="AD30" s="6">
        <v>45915</v>
      </c>
    </row>
    <row r="31" spans="1:30" ht="18" customHeight="1" x14ac:dyDescent="0.2">
      <c r="A31">
        <v>305</v>
      </c>
      <c r="B31" t="s">
        <v>317</v>
      </c>
      <c r="C31" t="s">
        <v>334</v>
      </c>
      <c r="D31" t="s">
        <v>164</v>
      </c>
      <c r="E31">
        <v>5</v>
      </c>
      <c r="F31">
        <v>6</v>
      </c>
      <c r="G31">
        <v>4</v>
      </c>
      <c r="H31">
        <v>4</v>
      </c>
      <c r="I31">
        <v>3</v>
      </c>
      <c r="L31">
        <f t="shared" si="0"/>
        <v>22</v>
      </c>
      <c r="M31">
        <f>IF(L31="","", IFERROR(VLOOKUP(L31, IF(D31="KET", 换算标准!$M:$N, IF(D31="PET", 换算标准!$S:$T, 换算标准!$AC:$AD)), 2, TRUE), 0))</f>
        <v>125</v>
      </c>
      <c r="N31">
        <v>9</v>
      </c>
      <c r="O31">
        <v>9</v>
      </c>
      <c r="P31">
        <f t="shared" si="1"/>
        <v>18</v>
      </c>
      <c r="Q31">
        <f>IF(P31="","", IFERROR(VLOOKUP(P31, IF(D31="KET", 换算标准!$O:$P, IF(D31="PET", 换算标准!$U:$V, 换算标准!$AG:$AH)), 2, TRUE), 0))</f>
        <v>120</v>
      </c>
      <c r="R31">
        <v>1</v>
      </c>
      <c r="S31">
        <v>2</v>
      </c>
      <c r="T31">
        <v>5</v>
      </c>
      <c r="U31">
        <v>4</v>
      </c>
      <c r="V31">
        <v>4</v>
      </c>
      <c r="W31">
        <f t="shared" si="2"/>
        <v>16</v>
      </c>
      <c r="X31">
        <f>IF(W31="","", IFERROR(VLOOKUP(W31, IF(D31="KET", 换算标准!$Q:$R, IF(D31="PET", 换算标准!$W:$X, 换算标准!$AI:$AJ)), 2, TRUE), 0))</f>
        <v>116</v>
      </c>
      <c r="Y31">
        <f t="shared" si="3"/>
        <v>120.33333333333333</v>
      </c>
      <c r="Z31" t="str">
        <f>IF(Y31="","", IFERROR(VLOOKUP(Y31, 换算标准!$Z:$AA, 1, TRUE), ""))</f>
        <v/>
      </c>
      <c r="AA31" s="5" t="str">
        <f>IF(L31="","", "⚠️ 薄弱环节: "&amp;INDEX($E$1:$K$1, MATCH(MIN(E31:K31), E31:K31, 0))&amp;CHAR(10)&amp;"📉 考察能力: "&amp;IFERROR(VLOOKUP(TRIM(D31)&amp;"_"&amp;TRIM(INDEX($E$1:$K$1, MATCH(MIN(E31:K31), E31:K31, 0))), 技能库!$A:$F, 5, 0),"建议查阅考纲")&amp;CHAR(10)&amp;"💡 提升建议: "&amp;IFERROR(VLOOKUP(TRIM(D31)&amp;"_"&amp;TRIM(INDEX($E$1:$K$1, MATCH(MIN(E31:K31), E31:K31,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31" s="5" t="str">
        <f>IF(P31="","", "⚠️ 薄弱环节: "&amp;INDEX($N$1:$O$1, MATCH(MIN(N31:O31), N31:O31, 0))&amp;CHAR(10)&amp;"📉 考察能力: "&amp;IFERROR(VLOOKUP(TRIM(D31)&amp;"_"&amp;TRIM(INDEX($N$1:$O$1, MATCH(MIN(N31:O31), N31:O31, 0))), 技能库!$A:$F, 5, 0),"建议查阅考纲")&amp;CHAR(10)&amp;"💡 提升建议: "&amp;IFERROR(VLOOKUP(TRIM(D31)&amp;"_"&amp;TRIM(INDEX($N$1:$O$1, MATCH(MIN(N31:O31), N31:O31, 0))), 技能库!$A:$F, 6, 0),"请针对该题型加强练习"))</f>
        <v>⚠️ 薄弱环节: W-Pt1
📉 考察能力: [写作] 短邮件/便条
💡 提升建议: 必须覆盖所有3个要点，注意语域恰当，无拼写语法错误。</v>
      </c>
      <c r="AC31" s="5" t="str">
        <f>IF(W31="","", "⚠️ 薄弱环节: "&amp;INDEX($R$1:$V$1, MATCH(MIN(R31:V31), R31:V31, 0))&amp;CHAR(10)&amp;"📉 考察能力: "&amp;IFERROR(VLOOKUP(TRIM(D31)&amp;"_"&amp;TRIM(INDEX($R$1:$V$1, MATCH(MIN(R31:V31), R31:V31, 0))), 技能库!$A:$F, 5, 0),"建议查阅考纲")&amp;CHAR(10)&amp;"💡 提升建议: "&amp;IFERROR(VLOOKUP(TRIM(D31)&amp;"_"&amp;TRIM(INDEX($R$1:$V$1, MATCH(MIN(R31:V31), R31:V31,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31" s="6">
        <v>45915</v>
      </c>
    </row>
    <row r="32" spans="1:30" ht="18" customHeight="1" x14ac:dyDescent="0.2">
      <c r="A32">
        <v>303</v>
      </c>
      <c r="B32" t="s">
        <v>317</v>
      </c>
      <c r="C32" t="s">
        <v>335</v>
      </c>
      <c r="D32" t="s">
        <v>164</v>
      </c>
      <c r="E32">
        <v>3</v>
      </c>
      <c r="F32">
        <v>7</v>
      </c>
      <c r="G32">
        <v>5</v>
      </c>
      <c r="H32">
        <v>5</v>
      </c>
      <c r="I32">
        <v>4</v>
      </c>
      <c r="L32">
        <f t="shared" si="0"/>
        <v>24</v>
      </c>
      <c r="M32">
        <f>IF(L32="","", IFERROR(VLOOKUP(L32, IF(D32="KET", 换算标准!$M:$N, IF(D32="PET", 换算标准!$S:$T, 换算标准!$AC:$AD)), 2, TRUE), 0))</f>
        <v>130</v>
      </c>
      <c r="N32">
        <v>13</v>
      </c>
      <c r="O32">
        <v>13</v>
      </c>
      <c r="P32">
        <f t="shared" si="1"/>
        <v>26</v>
      </c>
      <c r="Q32">
        <f>IF(P32="","", IFERROR(VLOOKUP(P32, IF(D32="KET", 换算标准!$O:$P, IF(D32="PET", 换算标准!$U:$V, 换算标准!$AG:$AH)), 2, TRUE), 0))</f>
        <v>140</v>
      </c>
      <c r="R32">
        <v>4</v>
      </c>
      <c r="S32">
        <v>3</v>
      </c>
      <c r="T32">
        <v>5</v>
      </c>
      <c r="U32">
        <v>4</v>
      </c>
      <c r="V32">
        <v>3</v>
      </c>
      <c r="W32">
        <f t="shared" si="2"/>
        <v>19</v>
      </c>
      <c r="X32">
        <f>IF(W32="","", IFERROR(VLOOKUP(W32, IF(D32="KET", 换算标准!$Q:$R, IF(D32="PET", 换算标准!$W:$X, 换算标准!$AI:$AJ)), 2, TRUE), 0))</f>
        <v>126</v>
      </c>
      <c r="Y32">
        <f t="shared" si="3"/>
        <v>132</v>
      </c>
      <c r="Z32" t="str">
        <f>IF(Y32="","", IFERROR(VLOOKUP(Y32, 换算标准!$Z:$AA, 1, TRUE), ""))</f>
        <v/>
      </c>
      <c r="AA32" s="5" t="str">
        <f>IF(L32="","", "⚠️ 薄弱环节: "&amp;INDEX($E$1:$K$1, MATCH(MIN(E32:K32), E32:K32, 0))&amp;CHAR(10)&amp;"📉 考察能力: "&amp;IFERROR(VLOOKUP(TRIM(D32)&amp;"_"&amp;TRIM(INDEX($E$1:$K$1, MATCH(MIN(E32:K32), E32:K32, 0))), 技能库!$A:$F, 5, 0),"建议查阅考纲")&amp;CHAR(10)&amp;"💡 提升建议: "&amp;IFERROR(VLOOKUP(TRIM(D32)&amp;"_"&amp;TRIM(INDEX($E$1:$K$1, MATCH(MIN(E32:K32), E32:K32,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32" s="5" t="str">
        <f>IF(P32="","", "⚠️ 薄弱环节: "&amp;INDEX($N$1:$O$1, MATCH(MIN(N32:O32), N32:O32, 0))&amp;CHAR(10)&amp;"📉 考察能力: "&amp;IFERROR(VLOOKUP(TRIM(D32)&amp;"_"&amp;TRIM(INDEX($N$1:$O$1, MATCH(MIN(N32:O32), N32:O32, 0))), 技能库!$A:$F, 5, 0),"建议查阅考纲")&amp;CHAR(10)&amp;"💡 提升建议: "&amp;IFERROR(VLOOKUP(TRIM(D32)&amp;"_"&amp;TRIM(INDEX($N$1:$O$1, MATCH(MIN(N32:O32), N32:O32, 0))), 技能库!$A:$F, 6, 0),"请针对该题型加强练习"))</f>
        <v>⚠️ 薄弱环节: W-Pt1
📉 考察能力: [写作] 短邮件/便条
💡 提升建议: 必须覆盖所有3个要点，注意语域恰当，无拼写语法错误。</v>
      </c>
      <c r="AC32" s="5" t="str">
        <f>IF(W32="","", "⚠️ 薄弱环节: "&amp;INDEX($R$1:$V$1, MATCH(MIN(R32:V32), R32:V32, 0))&amp;CHAR(10)&amp;"📉 考察能力: "&amp;IFERROR(VLOOKUP(TRIM(D32)&amp;"_"&amp;TRIM(INDEX($R$1:$V$1, MATCH(MIN(R32:V32), R32:V32, 0))), 技能库!$A:$F, 5, 0),"建议查阅考纲")&amp;CHAR(10)&amp;"💡 提升建议: "&amp;IFERROR(VLOOKUP(TRIM(D32)&amp;"_"&amp;TRIM(INDEX($R$1:$V$1, MATCH(MIN(R32:V32), R32:V32, 0))), 技能库!$A:$F, 6, 0),"请针对该题型加强练习"))</f>
        <v>⚠️ 薄弱环节: L-Pt2
📉 考察能力: [听力] 填空 (信息记录)
💡 提升建议: 强化数字、价格、日期、拼写的听写训练。</v>
      </c>
      <c r="AD32" s="6">
        <v>45915</v>
      </c>
    </row>
    <row r="33" spans="1:30" ht="18" customHeight="1" x14ac:dyDescent="0.2">
      <c r="A33">
        <v>303</v>
      </c>
      <c r="B33" t="s">
        <v>317</v>
      </c>
      <c r="C33" t="s">
        <v>336</v>
      </c>
      <c r="D33" t="s">
        <v>164</v>
      </c>
      <c r="E33">
        <v>4</v>
      </c>
      <c r="F33">
        <v>5</v>
      </c>
      <c r="G33">
        <v>5</v>
      </c>
      <c r="H33">
        <v>4</v>
      </c>
      <c r="I33">
        <v>2</v>
      </c>
      <c r="L33">
        <f t="shared" si="0"/>
        <v>20</v>
      </c>
      <c r="M33">
        <f>IF(L33="","", IFERROR(VLOOKUP(L33, IF(D33="KET", 换算标准!$M:$N, IF(D33="PET", 换算标准!$S:$T, 换算标准!$AC:$AD)), 2, TRUE), 0))</f>
        <v>120</v>
      </c>
      <c r="N33">
        <v>9</v>
      </c>
      <c r="O33">
        <v>13</v>
      </c>
      <c r="P33">
        <f t="shared" si="1"/>
        <v>22</v>
      </c>
      <c r="Q33">
        <f>IF(P33="","", IFERROR(VLOOKUP(P33, IF(D33="KET", 换算标准!$O:$P, IF(D33="PET", 换算标准!$U:$V, 换算标准!$AG:$AH)), 2, TRUE), 0))</f>
        <v>130</v>
      </c>
      <c r="R33">
        <v>2</v>
      </c>
      <c r="S33">
        <v>1</v>
      </c>
      <c r="T33">
        <v>1</v>
      </c>
      <c r="U33">
        <v>4</v>
      </c>
      <c r="V33">
        <v>3</v>
      </c>
      <c r="W33">
        <f t="shared" si="2"/>
        <v>11</v>
      </c>
      <c r="X33">
        <f>IF(W33="","", IFERROR(VLOOKUP(W33, IF(D33="KET", 换算标准!$Q:$R, IF(D33="PET", 换算标准!$W:$X, 换算标准!$AI:$AJ)), 2, TRUE), 0))</f>
        <v>100</v>
      </c>
      <c r="Y33">
        <f t="shared" si="3"/>
        <v>116.66666666666667</v>
      </c>
      <c r="Z33" t="str">
        <f>IF(Y33="","", IFERROR(VLOOKUP(Y33, 换算标准!$Z:$AA, 1, TRUE), ""))</f>
        <v/>
      </c>
      <c r="AA33" s="5" t="str">
        <f>IF(L33="","", "⚠️ 薄弱环节: "&amp;INDEX($E$1:$K$1, MATCH(MIN(E33:K33), E33:K33, 0))&amp;CHAR(10)&amp;"📉 考察能力: "&amp;IFERROR(VLOOKUP(TRIM(D33)&amp;"_"&amp;TRIM(INDEX($E$1:$K$1, MATCH(MIN(E33:K33), E33:K33, 0))), 技能库!$A:$F, 5, 0),"建议查阅考纲")&amp;CHAR(10)&amp;"💡 提升建议: "&amp;IFERROR(VLOOKUP(TRIM(D33)&amp;"_"&amp;TRIM(INDEX($E$1:$K$1, MATCH(MIN(E33:K33), E33:K33,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33" s="5" t="str">
        <f>IF(P33="","", "⚠️ 薄弱环节: "&amp;INDEX($N$1:$O$1, MATCH(MIN(N33:O33), N33:O33, 0))&amp;CHAR(10)&amp;"📉 考察能力: "&amp;IFERROR(VLOOKUP(TRIM(D33)&amp;"_"&amp;TRIM(INDEX($N$1:$O$1, MATCH(MIN(N33:O33), N33:O33, 0))), 技能库!$A:$F, 5, 0),"建议查阅考纲")&amp;CHAR(10)&amp;"💡 提升建议: "&amp;IFERROR(VLOOKUP(TRIM(D33)&amp;"_"&amp;TRIM(INDEX($N$1:$O$1, MATCH(MIN(N33:O33), N33:O33, 0))), 技能库!$A:$F, 6, 0),"请针对该题型加强练习"))</f>
        <v>⚠️ 薄弱环节: W-Pt1
📉 考察能力: [写作] 短邮件/便条
💡 提升建议: 必须覆盖所有3个要点，注意语域恰当，无拼写语法错误。</v>
      </c>
      <c r="AC33" s="5" t="str">
        <f>IF(W33="","", "⚠️ 薄弱环节: "&amp;INDEX($R$1:$V$1, MATCH(MIN(R33:V33), R33:V33, 0))&amp;CHAR(10)&amp;"📉 考察能力: "&amp;IFERROR(VLOOKUP(TRIM(D33)&amp;"_"&amp;TRIM(INDEX($R$1:$V$1, MATCH(MIN(R33:V33), R33:V33, 0))), 技能库!$A:$F, 5, 0),"建议查阅考纲")&amp;CHAR(10)&amp;"💡 提升建议: "&amp;IFERROR(VLOOKUP(TRIM(D33)&amp;"_"&amp;TRIM(INDEX($R$1:$V$1, MATCH(MIN(R33:V33), R33:V33, 0))), 技能库!$A:$F, 6, 0),"请针对该题型加强练习"))</f>
        <v>⚠️ 薄弱环节: L-Pt2
📉 考察能力: [听力] 填空 (信息记录)
💡 提升建议: 强化数字、价格、日期、拼写的听写训练。</v>
      </c>
      <c r="AD33" s="6">
        <v>45915</v>
      </c>
    </row>
    <row r="34" spans="1:30" ht="18" customHeight="1" x14ac:dyDescent="0.2">
      <c r="A34">
        <v>303</v>
      </c>
      <c r="B34" t="s">
        <v>317</v>
      </c>
      <c r="C34" t="s">
        <v>337</v>
      </c>
      <c r="D34" t="s">
        <v>164</v>
      </c>
      <c r="E34">
        <v>6</v>
      </c>
      <c r="F34">
        <v>5</v>
      </c>
      <c r="G34">
        <v>4</v>
      </c>
      <c r="H34">
        <v>5</v>
      </c>
      <c r="I34">
        <v>5</v>
      </c>
      <c r="L34">
        <f t="shared" si="0"/>
        <v>25</v>
      </c>
      <c r="M34">
        <f>IF(L34="","", IFERROR(VLOOKUP(L34, IF(D34="KET", 换算标准!$M:$N, IF(D34="PET", 换算标准!$S:$T, 换算标准!$AC:$AD)), 2, TRUE), 0))</f>
        <v>133</v>
      </c>
      <c r="N34">
        <v>8</v>
      </c>
      <c r="O34">
        <v>0</v>
      </c>
      <c r="P34">
        <f t="shared" si="1"/>
        <v>8</v>
      </c>
      <c r="Q34">
        <f>IF(P34="","", IFERROR(VLOOKUP(P34, IF(D34="KET", 换算标准!$O:$P, IF(D34="PET", 换算标准!$U:$V, 换算标准!$AG:$AH)), 2, TRUE), 0))</f>
        <v>0</v>
      </c>
      <c r="R34">
        <v>4</v>
      </c>
      <c r="S34">
        <v>1</v>
      </c>
      <c r="T34">
        <v>5</v>
      </c>
      <c r="U34">
        <v>5</v>
      </c>
      <c r="V34">
        <v>4</v>
      </c>
      <c r="W34">
        <f t="shared" si="2"/>
        <v>19</v>
      </c>
      <c r="X34">
        <f>IF(W34="","", IFERROR(VLOOKUP(W34, IF(D34="KET", 换算标准!$Q:$R, IF(D34="PET", 换算标准!$W:$X, 换算标准!$AI:$AJ)), 2, TRUE), 0))</f>
        <v>126</v>
      </c>
      <c r="Y34">
        <f t="shared" si="3"/>
        <v>86.333333333333329</v>
      </c>
      <c r="Z34" t="str">
        <f>IF(Y34="","", IFERROR(VLOOKUP(Y34, 换算标准!$Z:$AA, 1, TRUE), ""))</f>
        <v/>
      </c>
      <c r="AA34" s="5" t="str">
        <f>IF(L34="","", "⚠️ 薄弱环节: "&amp;INDEX($E$1:$K$1, MATCH(MIN(E34:K34), E34:K34, 0))&amp;CHAR(10)&amp;"📉 考察能力: "&amp;IFERROR(VLOOKUP(TRIM(D34)&amp;"_"&amp;TRIM(INDEX($E$1:$K$1, MATCH(MIN(E34:K34), E34:K34, 0))), 技能库!$A:$F, 5, 0),"建议查阅考纲")&amp;CHAR(10)&amp;"💡 提升建议: "&amp;IFERROR(VLOOKUP(TRIM(D34)&amp;"_"&amp;TRIM(INDEX($E$1:$K$1, MATCH(MIN(E34:K34), E34:K34, 0))), 技能库!$A:$F, 6, 0),"请针对该题型加强练习"))</f>
        <v>⚠️ 薄弱环节: R-Pt3
📉 考察能力: [阅读] 长文主旨理解
💡 提升建议: 提升长难句阅读能力，关注段落大意和作者态度。</v>
      </c>
      <c r="AB34" s="5" t="str">
        <f>IF(P34="","", "⚠️ 薄弱环节: "&amp;INDEX($N$1:$O$1, MATCH(MIN(N34:O34), N34:O34, 0))&amp;CHAR(10)&amp;"📉 考察能力: "&amp;IFERROR(VLOOKUP(TRIM(D34)&amp;"_"&amp;TRIM(INDEX($N$1:$O$1, MATCH(MIN(N34:O34), N34:O34, 0))), 技能库!$A:$F, 5, 0),"建议查阅考纲")&amp;CHAR(10)&amp;"💡 提升建议: "&amp;IFERROR(VLOOKUP(TRIM(D34)&amp;"_"&amp;TRIM(INDEX($N$1:$O$1, MATCH(MIN(N34:O34), N34:O34, 0))), 技能库!$A:$F, 6, 0),"请针对该题型加强练习"))</f>
        <v>⚠️ 薄弱环节: W-Pt2
📉 考察能力: [写作] 看图写故事
💡 提升建议: 运用 linking words (so, because) 串联图片，注意过去时态。</v>
      </c>
      <c r="AC34" s="5" t="str">
        <f>IF(W34="","", "⚠️ 薄弱环节: "&amp;INDEX($R$1:$V$1, MATCH(MIN(R34:V34), R34:V34, 0))&amp;CHAR(10)&amp;"📉 考察能力: "&amp;IFERROR(VLOOKUP(TRIM(D34)&amp;"_"&amp;TRIM(INDEX($R$1:$V$1, MATCH(MIN(R34:V34), R34:V34, 0))), 技能库!$A:$F, 5, 0),"建议查阅考纲")&amp;CHAR(10)&amp;"💡 提升建议: "&amp;IFERROR(VLOOKUP(TRIM(D34)&amp;"_"&amp;TRIM(INDEX($R$1:$V$1, MATCH(MIN(R34:V34), R34:V34, 0))), 技能库!$A:$F, 6, 0),"请针对该题型加强练习"))</f>
        <v>⚠️ 薄弱环节: L-Pt2
📉 考察能力: [听力] 填空 (信息记录)
💡 提升建议: 强化数字、价格、日期、拼写的听写训练。</v>
      </c>
      <c r="AD34" s="6">
        <v>45915</v>
      </c>
    </row>
    <row r="35" spans="1:30" ht="18" hidden="1" customHeight="1" x14ac:dyDescent="0.2">
      <c r="A35">
        <v>307</v>
      </c>
      <c r="B35" t="s">
        <v>338</v>
      </c>
      <c r="C35" t="s">
        <v>339</v>
      </c>
      <c r="D35" t="s">
        <v>164</v>
      </c>
      <c r="E35">
        <v>2</v>
      </c>
      <c r="F35">
        <v>5</v>
      </c>
      <c r="G35">
        <v>4</v>
      </c>
      <c r="H35">
        <v>4</v>
      </c>
      <c r="I35">
        <v>2</v>
      </c>
      <c r="L35">
        <f t="shared" si="0"/>
        <v>17</v>
      </c>
      <c r="M35">
        <f>IF(L35="","", IFERROR(VLOOKUP(L35, IF(D35="KET", 换算标准!$M:$N, IF(D35="PET", 换算标准!$S:$T, 换算标准!$AC:$AD)), 2, TRUE), 0))</f>
        <v>111</v>
      </c>
      <c r="N35">
        <v>13</v>
      </c>
      <c r="O35">
        <v>9</v>
      </c>
      <c r="P35">
        <f t="shared" si="1"/>
        <v>22</v>
      </c>
      <c r="Q35">
        <f>IF(P35="","", IFERROR(VLOOKUP(P35, IF(D35="KET", 换算标准!$O:$P, IF(D35="PET", 换算标准!$U:$V, 换算标准!$AG:$AH)), 2, TRUE), 0))</f>
        <v>130</v>
      </c>
      <c r="R35">
        <v>2</v>
      </c>
      <c r="S35">
        <v>0</v>
      </c>
      <c r="T35">
        <v>5</v>
      </c>
      <c r="U35">
        <v>2</v>
      </c>
      <c r="V35">
        <v>3</v>
      </c>
      <c r="W35">
        <f t="shared" si="2"/>
        <v>12</v>
      </c>
      <c r="X35">
        <f>IF(W35="","", IFERROR(VLOOKUP(W35, IF(D35="KET", 换算标准!$Q:$R, IF(D35="PET", 换算标准!$W:$X, 换算标准!$AI:$AJ)), 2, TRUE), 0))</f>
        <v>103</v>
      </c>
      <c r="Y35">
        <f t="shared" si="3"/>
        <v>114.66666666666667</v>
      </c>
      <c r="Z35" t="str">
        <f>IF(Y35="","", IFERROR(VLOOKUP(Y35, 换算标准!$Z:$AA, 1, TRUE), ""))</f>
        <v/>
      </c>
      <c r="AA35" s="5" t="str">
        <f>IF(L35="","", "⚠️ 薄弱环节: "&amp;INDEX($E$1:$K$1, MATCH(MIN(E35:K35), E35:K35, 0))&amp;CHAR(10)&amp;"📉 考察能力: "&amp;IFERROR(VLOOKUP(TRIM(D35)&amp;"_"&amp;TRIM(INDEX($E$1:$K$1, MATCH(MIN(E35:K35), E35:K35, 0))), 技能库!$A:$F, 5, 0),"建议查阅考纲")&amp;CHAR(10)&amp;"💡 提升建议: "&amp;IFERROR(VLOOKUP(TRIM(D35)&amp;"_"&amp;TRIM(INDEX($E$1:$K$1, MATCH(MIN(E35:K35), E35:K35,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35" s="5" t="str">
        <f>IF(P35="","", "⚠️ 薄弱环节: "&amp;INDEX($N$1:$O$1, MATCH(MIN(N35:O35), N35:O35, 0))&amp;CHAR(10)&amp;"📉 考察能力: "&amp;IFERROR(VLOOKUP(TRIM(D35)&amp;"_"&amp;TRIM(INDEX($N$1:$O$1, MATCH(MIN(N35:O35), N35:O35, 0))), 技能库!$A:$F, 5, 0),"建议查阅考纲")&amp;CHAR(10)&amp;"💡 提升建议: "&amp;IFERROR(VLOOKUP(TRIM(D35)&amp;"_"&amp;TRIM(INDEX($N$1:$O$1, MATCH(MIN(N35:O35), N35:O35, 0))), 技能库!$A:$F, 6, 0),"请针对该题型加强练习"))</f>
        <v>⚠️ 薄弱环节: W-Pt2
📉 考察能力: [写作] 看图写故事
💡 提升建议: 运用 linking words (so, because) 串联图片，注意过去时态。</v>
      </c>
      <c r="AC35" s="5" t="str">
        <f>IF(W35="","", "⚠️ 薄弱环节: "&amp;INDEX($R$1:$V$1, MATCH(MIN(R35:V35), R35:V35, 0))&amp;CHAR(10)&amp;"📉 考察能力: "&amp;IFERROR(VLOOKUP(TRIM(D35)&amp;"_"&amp;TRIM(INDEX($R$1:$V$1, MATCH(MIN(R35:V35), R35:V35, 0))), 技能库!$A:$F, 5, 0),"建议查阅考纲")&amp;CHAR(10)&amp;"💡 提升建议: "&amp;IFERROR(VLOOKUP(TRIM(D35)&amp;"_"&amp;TRIM(INDEX($R$1:$V$1, MATCH(MIN(R35:V35), R35:V35, 0))), 技能库!$A:$F, 6, 0),"请针对该题型加强练习"))</f>
        <v>⚠️ 薄弱环节: L-Pt2
📉 考察能力: [听力] 填空 (信息记录)
💡 提升建议: 强化数字、价格、日期、拼写的听写训练。</v>
      </c>
      <c r="AD35" s="6">
        <v>45915</v>
      </c>
    </row>
    <row r="36" spans="1:30" ht="18" hidden="1" customHeight="1" x14ac:dyDescent="0.2">
      <c r="A36">
        <v>305</v>
      </c>
      <c r="B36" t="s">
        <v>338</v>
      </c>
      <c r="C36" t="s">
        <v>340</v>
      </c>
      <c r="D36" t="s">
        <v>164</v>
      </c>
      <c r="E36">
        <v>4</v>
      </c>
      <c r="F36">
        <v>5</v>
      </c>
      <c r="G36">
        <v>2</v>
      </c>
      <c r="H36">
        <v>4</v>
      </c>
      <c r="I36">
        <v>3</v>
      </c>
      <c r="L36">
        <f t="shared" si="0"/>
        <v>18</v>
      </c>
      <c r="M36">
        <f>IF(L36="","", IFERROR(VLOOKUP(L36, IF(D36="KET", 换算标准!$M:$N, IF(D36="PET", 换算标准!$S:$T, 换算标准!$AC:$AD)), 2, TRUE), 0))</f>
        <v>114</v>
      </c>
      <c r="N36">
        <v>3</v>
      </c>
      <c r="O36">
        <v>9</v>
      </c>
      <c r="P36">
        <f t="shared" si="1"/>
        <v>12</v>
      </c>
      <c r="Q36">
        <f>IF(P36="","", IFERROR(VLOOKUP(P36, IF(D36="KET", 换算标准!$O:$P, IF(D36="PET", 换算标准!$U:$V, 换算标准!$AG:$AH)), 2, TRUE), 0))</f>
        <v>102</v>
      </c>
      <c r="R36">
        <v>3</v>
      </c>
      <c r="S36">
        <v>0</v>
      </c>
      <c r="T36">
        <v>5</v>
      </c>
      <c r="U36">
        <v>4</v>
      </c>
      <c r="V36">
        <v>2</v>
      </c>
      <c r="W36">
        <f t="shared" si="2"/>
        <v>14</v>
      </c>
      <c r="X36">
        <f>IF(W36="","", IFERROR(VLOOKUP(W36, IF(D36="KET", 换算标准!$Q:$R, IF(D36="PET", 换算标准!$W:$X, 换算标准!$AI:$AJ)), 2, TRUE), 0))</f>
        <v>110</v>
      </c>
      <c r="Y36">
        <f t="shared" si="3"/>
        <v>108.66666666666667</v>
      </c>
      <c r="Z36" t="str">
        <f>IF(Y36="","", IFERROR(VLOOKUP(Y36, 换算标准!$Z:$AA, 1, TRUE), ""))</f>
        <v/>
      </c>
      <c r="AA36" s="5" t="str">
        <f>IF(L36="","", "⚠️ 薄弱环节: "&amp;INDEX($E$1:$K$1, MATCH(MIN(E36:K36), E36:K36, 0))&amp;CHAR(10)&amp;"📉 考察能力: "&amp;IFERROR(VLOOKUP(TRIM(D36)&amp;"_"&amp;TRIM(INDEX($E$1:$K$1, MATCH(MIN(E36:K36), E36:K36, 0))), 技能库!$A:$F, 5, 0),"建议查阅考纲")&amp;CHAR(10)&amp;"💡 提升建议: "&amp;IFERROR(VLOOKUP(TRIM(D36)&amp;"_"&amp;TRIM(INDEX($E$1:$K$1, MATCH(MIN(E36:K36), E36:K36, 0))), 技能库!$A:$F, 6, 0),"请针对该题型加强练习"))</f>
        <v>⚠️ 薄弱环节: R-Pt3
📉 考察能力: [阅读] 长文主旨理解
💡 提升建议: 提升长难句阅读能力，关注段落大意和作者态度。</v>
      </c>
      <c r="AB36" s="5" t="str">
        <f>IF(P36="","", "⚠️ 薄弱环节: "&amp;INDEX($N$1:$O$1, MATCH(MIN(N36:O36), N36:O36, 0))&amp;CHAR(10)&amp;"📉 考察能力: "&amp;IFERROR(VLOOKUP(TRIM(D36)&amp;"_"&amp;TRIM(INDEX($N$1:$O$1, MATCH(MIN(N36:O36), N36:O36, 0))), 技能库!$A:$F, 5, 0),"建议查阅考纲")&amp;CHAR(10)&amp;"💡 提升建议: "&amp;IFERROR(VLOOKUP(TRIM(D36)&amp;"_"&amp;TRIM(INDEX($N$1:$O$1, MATCH(MIN(N36:O36), N36:O36, 0))), 技能库!$A:$F, 6, 0),"请针对该题型加强练习"))</f>
        <v>⚠️ 薄弱环节: W-Pt1
📉 考察能力: [写作] 短邮件/便条
💡 提升建议: 必须覆盖所有3个要点，注意语域恰当，无拼写语法错误。</v>
      </c>
      <c r="AC36" s="5" t="str">
        <f>IF(W36="","", "⚠️ 薄弱环节: "&amp;INDEX($R$1:$V$1, MATCH(MIN(R36:V36), R36:V36, 0))&amp;CHAR(10)&amp;"📉 考察能力: "&amp;IFERROR(VLOOKUP(TRIM(D36)&amp;"_"&amp;TRIM(INDEX($R$1:$V$1, MATCH(MIN(R36:V36), R36:V36, 0))), 技能库!$A:$F, 5, 0),"建议查阅考纲")&amp;CHAR(10)&amp;"💡 提升建议: "&amp;IFERROR(VLOOKUP(TRIM(D36)&amp;"_"&amp;TRIM(INDEX($R$1:$V$1, MATCH(MIN(R36:V36), R36:V36, 0))), 技能库!$A:$F, 6, 0),"请针对该题型加强练习"))</f>
        <v>⚠️ 薄弱环节: L-Pt2
📉 考察能力: [听力] 填空 (信息记录)
💡 提升建议: 强化数字、价格、日期、拼写的听写训练。</v>
      </c>
      <c r="AD36" s="6">
        <v>45915</v>
      </c>
    </row>
    <row r="37" spans="1:30" ht="18" hidden="1" customHeight="1" x14ac:dyDescent="0.2">
      <c r="A37">
        <v>301</v>
      </c>
      <c r="B37" t="s">
        <v>338</v>
      </c>
      <c r="C37" t="s">
        <v>341</v>
      </c>
      <c r="D37" t="s">
        <v>164</v>
      </c>
      <c r="E37">
        <v>3</v>
      </c>
      <c r="F37">
        <v>3</v>
      </c>
      <c r="G37">
        <v>2</v>
      </c>
      <c r="H37">
        <v>4</v>
      </c>
      <c r="I37">
        <v>1</v>
      </c>
      <c r="L37">
        <f t="shared" si="0"/>
        <v>13</v>
      </c>
      <c r="M37">
        <f>IF(L37="","", IFERROR(VLOOKUP(L37, IF(D37="KET", 换算标准!$M:$N, IF(D37="PET", 换算标准!$S:$T, 换算标准!$AC:$AD)), 2, TRUE), 0))</f>
        <v>100</v>
      </c>
      <c r="N37">
        <v>12</v>
      </c>
      <c r="O37">
        <v>11</v>
      </c>
      <c r="P37">
        <f t="shared" si="1"/>
        <v>23</v>
      </c>
      <c r="Q37">
        <f>IF(P37="","", IFERROR(VLOOKUP(P37, IF(D37="KET", 换算标准!$O:$P, IF(D37="PET", 换算标准!$U:$V, 换算标准!$AG:$AH)), 2, TRUE), 0))</f>
        <v>133</v>
      </c>
      <c r="R37">
        <v>3</v>
      </c>
      <c r="S37">
        <v>0</v>
      </c>
      <c r="T37">
        <v>4</v>
      </c>
      <c r="U37">
        <v>5</v>
      </c>
      <c r="V37">
        <v>5</v>
      </c>
      <c r="W37">
        <f t="shared" si="2"/>
        <v>17</v>
      </c>
      <c r="X37">
        <f>IF(W37="","", IFERROR(VLOOKUP(W37, IF(D37="KET", 换算标准!$Q:$R, IF(D37="PET", 换算标准!$W:$X, 换算标准!$AI:$AJ)), 2, TRUE), 0))</f>
        <v>120</v>
      </c>
      <c r="Y37">
        <f t="shared" si="3"/>
        <v>117.66666666666667</v>
      </c>
      <c r="Z37" t="str">
        <f>IF(Y37="","", IFERROR(VLOOKUP(Y37, 换算标准!$Z:$AA, 1, TRUE), ""))</f>
        <v/>
      </c>
      <c r="AA37" s="5" t="str">
        <f>IF(L37="","", "⚠️ 薄弱环节: "&amp;INDEX($E$1:$K$1, MATCH(MIN(E37:K37), E37:K37, 0))&amp;CHAR(10)&amp;"📉 考察能力: "&amp;IFERROR(VLOOKUP(TRIM(D37)&amp;"_"&amp;TRIM(INDEX($E$1:$K$1, MATCH(MIN(E37:K37), E37:K37, 0))), 技能库!$A:$F, 5, 0),"建议查阅考纲")&amp;CHAR(10)&amp;"💡 提升建议: "&amp;IFERROR(VLOOKUP(TRIM(D37)&amp;"_"&amp;TRIM(INDEX($E$1:$K$1, MATCH(MIN(E37:K37), E37:K37,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37" s="5" t="str">
        <f>IF(P37="","", "⚠️ 薄弱环节: "&amp;INDEX($N$1:$O$1, MATCH(MIN(N37:O37), N37:O37, 0))&amp;CHAR(10)&amp;"📉 考察能力: "&amp;IFERROR(VLOOKUP(TRIM(D37)&amp;"_"&amp;TRIM(INDEX($N$1:$O$1, MATCH(MIN(N37:O37), N37:O37, 0))), 技能库!$A:$F, 5, 0),"建议查阅考纲")&amp;CHAR(10)&amp;"💡 提升建议: "&amp;IFERROR(VLOOKUP(TRIM(D37)&amp;"_"&amp;TRIM(INDEX($N$1:$O$1, MATCH(MIN(N37:O37), N37:O37, 0))), 技能库!$A:$F, 6, 0),"请针对该题型加强练习"))</f>
        <v>⚠️ 薄弱环节: W-Pt2
📉 考察能力: [写作] 看图写故事
💡 提升建议: 运用 linking words (so, because) 串联图片，注意过去时态。</v>
      </c>
      <c r="AC37" s="5" t="str">
        <f>IF(W37="","", "⚠️ 薄弱环节: "&amp;INDEX($R$1:$V$1, MATCH(MIN(R37:V37), R37:V37, 0))&amp;CHAR(10)&amp;"📉 考察能力: "&amp;IFERROR(VLOOKUP(TRIM(D37)&amp;"_"&amp;TRIM(INDEX($R$1:$V$1, MATCH(MIN(R37:V37), R37:V37, 0))), 技能库!$A:$F, 5, 0),"建议查阅考纲")&amp;CHAR(10)&amp;"💡 提升建议: "&amp;IFERROR(VLOOKUP(TRIM(D37)&amp;"_"&amp;TRIM(INDEX($R$1:$V$1, MATCH(MIN(R37:V37), R37:V37, 0))), 技能库!$A:$F, 6, 0),"请针对该题型加强练习"))</f>
        <v>⚠️ 薄弱环节: L-Pt2
📉 考察能力: [听力] 填空 (信息记录)
💡 提升建议: 强化数字、价格、日期、拼写的听写训练。</v>
      </c>
      <c r="AD37" s="6">
        <v>45915</v>
      </c>
    </row>
    <row r="38" spans="1:30" ht="18" hidden="1" customHeight="1" x14ac:dyDescent="0.2">
      <c r="A38">
        <v>305</v>
      </c>
      <c r="B38" t="s">
        <v>338</v>
      </c>
      <c r="C38" t="s">
        <v>342</v>
      </c>
      <c r="D38" t="s">
        <v>164</v>
      </c>
      <c r="E38">
        <v>2</v>
      </c>
      <c r="F38">
        <v>5</v>
      </c>
      <c r="G38">
        <v>4</v>
      </c>
      <c r="H38">
        <v>4</v>
      </c>
      <c r="I38">
        <v>2</v>
      </c>
      <c r="L38">
        <f t="shared" si="0"/>
        <v>17</v>
      </c>
      <c r="M38">
        <f>IF(L38="","", IFERROR(VLOOKUP(L38, IF(D38="KET", 换算标准!$M:$N, IF(D38="PET", 换算标准!$S:$T, 换算标准!$AC:$AD)), 2, TRUE), 0))</f>
        <v>111</v>
      </c>
      <c r="N38">
        <v>6</v>
      </c>
      <c r="O38">
        <v>6</v>
      </c>
      <c r="P38">
        <f t="shared" si="1"/>
        <v>12</v>
      </c>
      <c r="Q38">
        <f>IF(P38="","", IFERROR(VLOOKUP(P38, IF(D38="KET", 换算标准!$O:$P, IF(D38="PET", 换算标准!$U:$V, 换算标准!$AG:$AH)), 2, TRUE), 0))</f>
        <v>102</v>
      </c>
      <c r="R38">
        <v>3</v>
      </c>
      <c r="S38">
        <v>2</v>
      </c>
      <c r="T38">
        <v>4</v>
      </c>
      <c r="U38">
        <v>5</v>
      </c>
      <c r="V38">
        <v>3</v>
      </c>
      <c r="W38">
        <f t="shared" si="2"/>
        <v>17</v>
      </c>
      <c r="X38">
        <f>IF(W38="","", IFERROR(VLOOKUP(W38, IF(D38="KET", 换算标准!$Q:$R, IF(D38="PET", 换算标准!$W:$X, 换算标准!$AI:$AJ)), 2, TRUE), 0))</f>
        <v>120</v>
      </c>
      <c r="Y38">
        <f t="shared" si="3"/>
        <v>111</v>
      </c>
      <c r="Z38" t="str">
        <f>IF(Y38="","", IFERROR(VLOOKUP(Y38, 换算标准!$Z:$AA, 1, TRUE), ""))</f>
        <v/>
      </c>
      <c r="AA38" s="5" t="str">
        <f>IF(L38="","", "⚠️ 薄弱环节: "&amp;INDEX($E$1:$K$1, MATCH(MIN(E38:K38), E38:K38, 0))&amp;CHAR(10)&amp;"📉 考察能力: "&amp;IFERROR(VLOOKUP(TRIM(D38)&amp;"_"&amp;TRIM(INDEX($E$1:$K$1, MATCH(MIN(E38:K38), E38:K38, 0))), 技能库!$A:$F, 5, 0),"建议查阅考纲")&amp;CHAR(10)&amp;"💡 提升建议: "&amp;IFERROR(VLOOKUP(TRIM(D38)&amp;"_"&amp;TRIM(INDEX($E$1:$K$1, MATCH(MIN(E38:K38), E38:K38,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38" s="5" t="str">
        <f>IF(P38="","", "⚠️ 薄弱环节: "&amp;INDEX($N$1:$O$1, MATCH(MIN(N38:O38), N38:O38, 0))&amp;CHAR(10)&amp;"📉 考察能力: "&amp;IFERROR(VLOOKUP(TRIM(D38)&amp;"_"&amp;TRIM(INDEX($N$1:$O$1, MATCH(MIN(N38:O38), N38:O38, 0))), 技能库!$A:$F, 5, 0),"建议查阅考纲")&amp;CHAR(10)&amp;"💡 提升建议: "&amp;IFERROR(VLOOKUP(TRIM(D38)&amp;"_"&amp;TRIM(INDEX($N$1:$O$1, MATCH(MIN(N38:O38), N38:O38, 0))), 技能库!$A:$F, 6, 0),"请针对该题型加强练习"))</f>
        <v>⚠️ 薄弱环节: W-Pt1
📉 考察能力: [写作] 短邮件/便条
💡 提升建议: 必须覆盖所有3个要点，注意语域恰当，无拼写语法错误。</v>
      </c>
      <c r="AC38" s="5" t="str">
        <f>IF(W38="","", "⚠️ 薄弱环节: "&amp;INDEX($R$1:$V$1, MATCH(MIN(R38:V38), R38:V38, 0))&amp;CHAR(10)&amp;"📉 考察能力: "&amp;IFERROR(VLOOKUP(TRIM(D38)&amp;"_"&amp;TRIM(INDEX($R$1:$V$1, MATCH(MIN(R38:V38), R38:V38, 0))), 技能库!$A:$F, 5, 0),"建议查阅考纲")&amp;CHAR(10)&amp;"💡 提升建议: "&amp;IFERROR(VLOOKUP(TRIM(D38)&amp;"_"&amp;TRIM(INDEX($R$1:$V$1, MATCH(MIN(R38:V38), R38:V38, 0))), 技能库!$A:$F, 6, 0),"请针对该题型加强练习"))</f>
        <v>⚠️ 薄弱环节: L-Pt2
📉 考察能力: [听力] 填空 (信息记录)
💡 提升建议: 强化数字、价格、日期、拼写的听写训练。</v>
      </c>
      <c r="AD38" s="6">
        <v>45915</v>
      </c>
    </row>
    <row r="39" spans="1:30" ht="18" customHeight="1" x14ac:dyDescent="0.2">
      <c r="A39">
        <v>303</v>
      </c>
      <c r="B39" t="s">
        <v>317</v>
      </c>
      <c r="C39" t="s">
        <v>343</v>
      </c>
      <c r="D39" t="s">
        <v>164</v>
      </c>
      <c r="E39">
        <v>2</v>
      </c>
      <c r="F39">
        <v>3</v>
      </c>
      <c r="G39">
        <v>4</v>
      </c>
      <c r="H39">
        <v>4</v>
      </c>
      <c r="I39">
        <v>3</v>
      </c>
      <c r="L39">
        <f t="shared" si="0"/>
        <v>16</v>
      </c>
      <c r="M39">
        <f>IF(L39="","", IFERROR(VLOOKUP(L39, IF(D39="KET", 换算标准!$M:$N, IF(D39="PET", 换算标准!$S:$T, 换算标准!$AC:$AD)), 2, TRUE), 0))</f>
        <v>108</v>
      </c>
      <c r="N39">
        <v>0</v>
      </c>
      <c r="O39">
        <v>0</v>
      </c>
      <c r="P39">
        <f t="shared" si="1"/>
        <v>0</v>
      </c>
      <c r="Q39">
        <f>IF(P39="","", IFERROR(VLOOKUP(P39, IF(D39="KET", 换算标准!$O:$P, IF(D39="PET", 换算标准!$U:$V, 换算标准!$AG:$AH)), 2, TRUE), 0))</f>
        <v>0</v>
      </c>
      <c r="R39">
        <v>4</v>
      </c>
      <c r="S39">
        <v>0</v>
      </c>
      <c r="T39">
        <v>4</v>
      </c>
      <c r="U39">
        <v>5</v>
      </c>
      <c r="V39">
        <v>5</v>
      </c>
      <c r="W39">
        <f t="shared" si="2"/>
        <v>18</v>
      </c>
      <c r="X39">
        <f>IF(W39="","", IFERROR(VLOOKUP(W39, IF(D39="KET", 换算标准!$Q:$R, IF(D39="PET", 换算标准!$W:$X, 换算标准!$AI:$AJ)), 2, TRUE), 0))</f>
        <v>123</v>
      </c>
      <c r="Y39">
        <f t="shared" si="3"/>
        <v>77</v>
      </c>
      <c r="Z39" t="str">
        <f>IF(Y39="","", IFERROR(VLOOKUP(Y39, 换算标准!$Z:$AA, 1, TRUE), ""))</f>
        <v/>
      </c>
      <c r="AA39" s="5" t="str">
        <f>IF(L39="","", "⚠️ 薄弱环节: "&amp;INDEX($E$1:$K$1, MATCH(MIN(E39:K39), E39:K39, 0))&amp;CHAR(10)&amp;"📉 考察能力: "&amp;IFERROR(VLOOKUP(TRIM(D39)&amp;"_"&amp;TRIM(INDEX($E$1:$K$1, MATCH(MIN(E39:K39), E39:K39, 0))), 技能库!$A:$F, 5, 0),"建议查阅考纲")&amp;CHAR(10)&amp;"💡 提升建议: "&amp;IFERROR(VLOOKUP(TRIM(D39)&amp;"_"&amp;TRIM(INDEX($E$1:$K$1, MATCH(MIN(E39:K39), E39:K39,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39" s="5" t="str">
        <f>IF(P39="","", "⚠️ 薄弱环节: "&amp;INDEX($N$1:$O$1, MATCH(MIN(N39:O39), N39:O39, 0))&amp;CHAR(10)&amp;"📉 考察能力: "&amp;IFERROR(VLOOKUP(TRIM(D39)&amp;"_"&amp;TRIM(INDEX($N$1:$O$1, MATCH(MIN(N39:O39), N39:O39, 0))), 技能库!$A:$F, 5, 0),"建议查阅考纲")&amp;CHAR(10)&amp;"💡 提升建议: "&amp;IFERROR(VLOOKUP(TRIM(D39)&amp;"_"&amp;TRIM(INDEX($N$1:$O$1, MATCH(MIN(N39:O39), N39:O39, 0))), 技能库!$A:$F, 6, 0),"请针对该题型加强练习"))</f>
        <v>⚠️ 薄弱环节: W-Pt1
📉 考察能力: [写作] 短邮件/便条
💡 提升建议: 必须覆盖所有3个要点，注意语域恰当，无拼写语法错误。</v>
      </c>
      <c r="AC39" s="5" t="str">
        <f>IF(W39="","", "⚠️ 薄弱环节: "&amp;INDEX($R$1:$V$1, MATCH(MIN(R39:V39), R39:V39, 0))&amp;CHAR(10)&amp;"📉 考察能力: "&amp;IFERROR(VLOOKUP(TRIM(D39)&amp;"_"&amp;TRIM(INDEX($R$1:$V$1, MATCH(MIN(R39:V39), R39:V39, 0))), 技能库!$A:$F, 5, 0),"建议查阅考纲")&amp;CHAR(10)&amp;"💡 提升建议: "&amp;IFERROR(VLOOKUP(TRIM(D39)&amp;"_"&amp;TRIM(INDEX($R$1:$V$1, MATCH(MIN(R39:V39), R39:V39, 0))), 技能库!$A:$F, 6, 0),"请针对该题型加强练习"))</f>
        <v>⚠️ 薄弱环节: L-Pt2
📉 考察能力: [听力] 填空 (信息记录)
💡 提升建议: 强化数字、价格、日期、拼写的听写训练。</v>
      </c>
      <c r="AD39" s="6">
        <v>45915</v>
      </c>
    </row>
    <row r="40" spans="1:30" ht="18" hidden="1" customHeight="1" x14ac:dyDescent="0.2">
      <c r="A40">
        <v>301</v>
      </c>
      <c r="B40" t="s">
        <v>338</v>
      </c>
      <c r="C40" t="s">
        <v>344</v>
      </c>
      <c r="D40" t="s">
        <v>164</v>
      </c>
      <c r="E40">
        <v>4</v>
      </c>
      <c r="F40">
        <v>5</v>
      </c>
      <c r="G40">
        <v>5</v>
      </c>
      <c r="H40">
        <v>3</v>
      </c>
      <c r="I40">
        <v>2</v>
      </c>
      <c r="L40">
        <f t="shared" si="0"/>
        <v>19</v>
      </c>
      <c r="M40">
        <f>IF(L40="","", IFERROR(VLOOKUP(L40, IF(D40="KET", 换算标准!$M:$N, IF(D40="PET", 换算标准!$S:$T, 换算标准!$AC:$AD)), 2, TRUE), 0))</f>
        <v>117</v>
      </c>
      <c r="N40">
        <v>12</v>
      </c>
      <c r="O40">
        <v>0</v>
      </c>
      <c r="P40">
        <f t="shared" si="1"/>
        <v>12</v>
      </c>
      <c r="Q40">
        <f>IF(P40="","", IFERROR(VLOOKUP(P40, IF(D40="KET", 换算标准!$O:$P, IF(D40="PET", 换算标准!$U:$V, 换算标准!$AG:$AH)), 2, TRUE), 0))</f>
        <v>102</v>
      </c>
      <c r="R40">
        <v>3</v>
      </c>
      <c r="S40">
        <v>2</v>
      </c>
      <c r="T40">
        <v>4</v>
      </c>
      <c r="U40">
        <v>5</v>
      </c>
      <c r="V40">
        <v>5</v>
      </c>
      <c r="W40">
        <f t="shared" si="2"/>
        <v>19</v>
      </c>
      <c r="X40">
        <f>IF(W40="","", IFERROR(VLOOKUP(W40, IF(D40="KET", 换算标准!$Q:$R, IF(D40="PET", 换算标准!$W:$X, 换算标准!$AI:$AJ)), 2, TRUE), 0))</f>
        <v>126</v>
      </c>
      <c r="Y40">
        <f t="shared" si="3"/>
        <v>115</v>
      </c>
      <c r="Z40" t="str">
        <f>IF(Y40="","", IFERROR(VLOOKUP(Y40, 换算标准!$Z:$AA, 1, TRUE), ""))</f>
        <v/>
      </c>
      <c r="AA40" s="5" t="str">
        <f>IF(L40="","", "⚠️ 薄弱环节: "&amp;INDEX($E$1:$K$1, MATCH(MIN(E40:K40), E40:K40, 0))&amp;CHAR(10)&amp;"📉 考察能力: "&amp;IFERROR(VLOOKUP(TRIM(D40)&amp;"_"&amp;TRIM(INDEX($E$1:$K$1, MATCH(MIN(E40:K40), E40:K40, 0))), 技能库!$A:$F, 5, 0),"建议查阅考纲")&amp;CHAR(10)&amp;"💡 提升建议: "&amp;IFERROR(VLOOKUP(TRIM(D40)&amp;"_"&amp;TRIM(INDEX($E$1:$K$1, MATCH(MIN(E40:K40), E40:K40,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40" s="5" t="str">
        <f>IF(P40="","", "⚠️ 薄弱环节: "&amp;INDEX($N$1:$O$1, MATCH(MIN(N40:O40), N40:O40, 0))&amp;CHAR(10)&amp;"📉 考察能力: "&amp;IFERROR(VLOOKUP(TRIM(D40)&amp;"_"&amp;TRIM(INDEX($N$1:$O$1, MATCH(MIN(N40:O40), N40:O40, 0))), 技能库!$A:$F, 5, 0),"建议查阅考纲")&amp;CHAR(10)&amp;"💡 提升建议: "&amp;IFERROR(VLOOKUP(TRIM(D40)&amp;"_"&amp;TRIM(INDEX($N$1:$O$1, MATCH(MIN(N40:O40), N40:O40, 0))), 技能库!$A:$F, 6, 0),"请针对该题型加强练习"))</f>
        <v>⚠️ 薄弱环节: W-Pt2
📉 考察能力: [写作] 看图写故事
💡 提升建议: 运用 linking words (so, because) 串联图片，注意过去时态。</v>
      </c>
      <c r="AC40" s="5" t="str">
        <f>IF(W40="","", "⚠️ 薄弱环节: "&amp;INDEX($R$1:$V$1, MATCH(MIN(R40:V40), R40:V40, 0))&amp;CHAR(10)&amp;"📉 考察能力: "&amp;IFERROR(VLOOKUP(TRIM(D40)&amp;"_"&amp;TRIM(INDEX($R$1:$V$1, MATCH(MIN(R40:V40), R40:V40, 0))), 技能库!$A:$F, 5, 0),"建议查阅考纲")&amp;CHAR(10)&amp;"💡 提升建议: "&amp;IFERROR(VLOOKUP(TRIM(D40)&amp;"_"&amp;TRIM(INDEX($R$1:$V$1, MATCH(MIN(R40:V40), R40:V40, 0))), 技能库!$A:$F, 6, 0),"请针对该题型加强练习"))</f>
        <v>⚠️ 薄弱环节: L-Pt2
📉 考察能力: [听力] 填空 (信息记录)
💡 提升建议: 强化数字、价格、日期、拼写的听写训练。</v>
      </c>
      <c r="AD40" s="6">
        <v>45915</v>
      </c>
    </row>
    <row r="41" spans="1:30" ht="18" hidden="1" customHeight="1" x14ac:dyDescent="0.2">
      <c r="A41">
        <v>301</v>
      </c>
      <c r="B41" t="s">
        <v>338</v>
      </c>
      <c r="C41" t="s">
        <v>345</v>
      </c>
      <c r="D41" t="s">
        <v>164</v>
      </c>
      <c r="E41">
        <v>4</v>
      </c>
      <c r="F41">
        <v>5</v>
      </c>
      <c r="G41">
        <v>1</v>
      </c>
      <c r="H41">
        <v>3</v>
      </c>
      <c r="I41">
        <v>3</v>
      </c>
      <c r="L41">
        <f t="shared" si="0"/>
        <v>16</v>
      </c>
      <c r="M41">
        <f>IF(L41="","", IFERROR(VLOOKUP(L41, IF(D41="KET", 换算标准!$M:$N, IF(D41="PET", 换算标准!$S:$T, 换算标准!$AC:$AD)), 2, TRUE), 0))</f>
        <v>108</v>
      </c>
      <c r="N41">
        <v>11</v>
      </c>
      <c r="O41">
        <v>6</v>
      </c>
      <c r="P41">
        <f t="shared" si="1"/>
        <v>17</v>
      </c>
      <c r="Q41">
        <f>IF(P41="","", IFERROR(VLOOKUP(P41, IF(D41="KET", 换算标准!$O:$P, IF(D41="PET", 换算标准!$U:$V, 换算标准!$AG:$AH)), 2, TRUE), 0))</f>
        <v>117</v>
      </c>
      <c r="R41">
        <v>4</v>
      </c>
      <c r="S41">
        <v>0</v>
      </c>
      <c r="T41">
        <v>5</v>
      </c>
      <c r="U41">
        <v>4</v>
      </c>
      <c r="V41">
        <v>2</v>
      </c>
      <c r="W41">
        <f t="shared" si="2"/>
        <v>15</v>
      </c>
      <c r="X41">
        <f>IF(W41="","", IFERROR(VLOOKUP(W41, IF(D41="KET", 换算标准!$Q:$R, IF(D41="PET", 换算标准!$W:$X, 换算标准!$AI:$AJ)), 2, TRUE), 0))</f>
        <v>113</v>
      </c>
      <c r="Y41">
        <f t="shared" si="3"/>
        <v>112.66666666666667</v>
      </c>
      <c r="Z41" t="str">
        <f>IF(Y41="","", IFERROR(VLOOKUP(Y41, 换算标准!$Z:$AA, 1, TRUE), ""))</f>
        <v/>
      </c>
      <c r="AA41" s="5" t="str">
        <f>IF(L41="","", "⚠️ 薄弱环节: "&amp;INDEX($E$1:$K$1, MATCH(MIN(E41:K41), E41:K41, 0))&amp;CHAR(10)&amp;"📉 考察能力: "&amp;IFERROR(VLOOKUP(TRIM(D41)&amp;"_"&amp;TRIM(INDEX($E$1:$K$1, MATCH(MIN(E41:K41), E41:K41, 0))), 技能库!$A:$F, 5, 0),"建议查阅考纲")&amp;CHAR(10)&amp;"💡 提升建议: "&amp;IFERROR(VLOOKUP(TRIM(D41)&amp;"_"&amp;TRIM(INDEX($E$1:$K$1, MATCH(MIN(E41:K41), E41:K41, 0))), 技能库!$A:$F, 6, 0),"请针对该题型加强练习"))</f>
        <v>⚠️ 薄弱环节: R-Pt3
📉 考察能力: [阅读] 长文主旨理解
💡 提升建议: 提升长难句阅读能力，关注段落大意和作者态度。</v>
      </c>
      <c r="AB41" s="5" t="str">
        <f>IF(P41="","", "⚠️ 薄弱环节: "&amp;INDEX($N$1:$O$1, MATCH(MIN(N41:O41), N41:O41, 0))&amp;CHAR(10)&amp;"📉 考察能力: "&amp;IFERROR(VLOOKUP(TRIM(D41)&amp;"_"&amp;TRIM(INDEX($N$1:$O$1, MATCH(MIN(N41:O41), N41:O41, 0))), 技能库!$A:$F, 5, 0),"建议查阅考纲")&amp;CHAR(10)&amp;"💡 提升建议: "&amp;IFERROR(VLOOKUP(TRIM(D41)&amp;"_"&amp;TRIM(INDEX($N$1:$O$1, MATCH(MIN(N41:O41), N41:O41, 0))), 技能库!$A:$F, 6, 0),"请针对该题型加强练习"))</f>
        <v>⚠️ 薄弱环节: W-Pt2
📉 考察能力: [写作] 看图写故事
💡 提升建议: 运用 linking words (so, because) 串联图片，注意过去时态。</v>
      </c>
      <c r="AC41" s="5" t="str">
        <f>IF(W41="","", "⚠️ 薄弱环节: "&amp;INDEX($R$1:$V$1, MATCH(MIN(R41:V41), R41:V41, 0))&amp;CHAR(10)&amp;"📉 考察能力: "&amp;IFERROR(VLOOKUP(TRIM(D41)&amp;"_"&amp;TRIM(INDEX($R$1:$V$1, MATCH(MIN(R41:V41), R41:V41, 0))), 技能库!$A:$F, 5, 0),"建议查阅考纲")&amp;CHAR(10)&amp;"💡 提升建议: "&amp;IFERROR(VLOOKUP(TRIM(D41)&amp;"_"&amp;TRIM(INDEX($R$1:$V$1, MATCH(MIN(R41:V41), R41:V41, 0))), 技能库!$A:$F, 6, 0),"请针对该题型加强练习"))</f>
        <v>⚠️ 薄弱环节: L-Pt2
📉 考察能力: [听力] 填空 (信息记录)
💡 提升建议: 强化数字、价格、日期、拼写的听写训练。</v>
      </c>
      <c r="AD41" s="6">
        <v>45915</v>
      </c>
    </row>
    <row r="42" spans="1:30" ht="18" hidden="1" customHeight="1" x14ac:dyDescent="0.2">
      <c r="A42">
        <v>303</v>
      </c>
      <c r="B42" t="s">
        <v>338</v>
      </c>
      <c r="C42" t="s">
        <v>346</v>
      </c>
      <c r="D42" t="s">
        <v>164</v>
      </c>
      <c r="E42">
        <v>4</v>
      </c>
      <c r="F42">
        <v>6</v>
      </c>
      <c r="G42">
        <v>0</v>
      </c>
      <c r="H42">
        <v>1</v>
      </c>
      <c r="I42">
        <v>3</v>
      </c>
      <c r="L42">
        <f t="shared" si="0"/>
        <v>14</v>
      </c>
      <c r="M42">
        <f>IF(L42="","", IFERROR(VLOOKUP(L42, IF(D42="KET", 换算标准!$M:$N, IF(D42="PET", 换算标准!$S:$T, 换算标准!$AC:$AD)), 2, TRUE), 0))</f>
        <v>102</v>
      </c>
      <c r="N42">
        <v>9</v>
      </c>
      <c r="O42">
        <v>8</v>
      </c>
      <c r="P42">
        <f t="shared" si="1"/>
        <v>17</v>
      </c>
      <c r="Q42">
        <f>IF(P42="","", IFERROR(VLOOKUP(P42, IF(D42="KET", 换算标准!$O:$P, IF(D42="PET", 换算标准!$U:$V, 换算标准!$AG:$AH)), 2, TRUE), 0))</f>
        <v>117</v>
      </c>
      <c r="R42">
        <v>2</v>
      </c>
      <c r="S42">
        <v>1</v>
      </c>
      <c r="T42">
        <v>2</v>
      </c>
      <c r="U42">
        <v>3</v>
      </c>
      <c r="V42">
        <v>3</v>
      </c>
      <c r="W42">
        <f t="shared" si="2"/>
        <v>11</v>
      </c>
      <c r="X42">
        <f>IF(W42="","", IFERROR(VLOOKUP(W42, IF(D42="KET", 换算标准!$Q:$R, IF(D42="PET", 换算标准!$W:$X, 换算标准!$AI:$AJ)), 2, TRUE), 0))</f>
        <v>100</v>
      </c>
      <c r="Y42">
        <f t="shared" si="3"/>
        <v>106.33333333333333</v>
      </c>
      <c r="Z42" t="str">
        <f>IF(Y42="","", IFERROR(VLOOKUP(Y42, 换算标准!$Z:$AA, 1, TRUE), ""))</f>
        <v/>
      </c>
      <c r="AA42" s="5" t="str">
        <f>IF(L42="","", "⚠️ 薄弱环节: "&amp;INDEX($E$1:$K$1, MATCH(MIN(E42:K42), E42:K42, 0))&amp;CHAR(10)&amp;"📉 考察能力: "&amp;IFERROR(VLOOKUP(TRIM(D42)&amp;"_"&amp;TRIM(INDEX($E$1:$K$1, MATCH(MIN(E42:K42), E42:K42, 0))), 技能库!$A:$F, 5, 0),"建议查阅考纲")&amp;CHAR(10)&amp;"💡 提升建议: "&amp;IFERROR(VLOOKUP(TRIM(D42)&amp;"_"&amp;TRIM(INDEX($E$1:$K$1, MATCH(MIN(E42:K42), E42:K42, 0))), 技能库!$A:$F, 6, 0),"请针对该题型加强练习"))</f>
        <v>⚠️ 薄弱环节: R-Pt3
📉 考察能力: [阅读] 长文主旨理解
💡 提升建议: 提升长难句阅读能力，关注段落大意和作者态度。</v>
      </c>
      <c r="AB42" s="5" t="str">
        <f>IF(P42="","", "⚠️ 薄弱环节: "&amp;INDEX($N$1:$O$1, MATCH(MIN(N42:O42), N42:O42, 0))&amp;CHAR(10)&amp;"📉 考察能力: "&amp;IFERROR(VLOOKUP(TRIM(D42)&amp;"_"&amp;TRIM(INDEX($N$1:$O$1, MATCH(MIN(N42:O42), N42:O42, 0))), 技能库!$A:$F, 5, 0),"建议查阅考纲")&amp;CHAR(10)&amp;"💡 提升建议: "&amp;IFERROR(VLOOKUP(TRIM(D42)&amp;"_"&amp;TRIM(INDEX($N$1:$O$1, MATCH(MIN(N42:O42), N42:O42, 0))), 技能库!$A:$F, 6, 0),"请针对该题型加强练习"))</f>
        <v>⚠️ 薄弱环节: W-Pt2
📉 考察能力: [写作] 看图写故事
💡 提升建议: 运用 linking words (so, because) 串联图片，注意过去时态。</v>
      </c>
      <c r="AC42" s="5" t="str">
        <f>IF(W42="","", "⚠️ 薄弱环节: "&amp;INDEX($R$1:$V$1, MATCH(MIN(R42:V42), R42:V42, 0))&amp;CHAR(10)&amp;"📉 考察能力: "&amp;IFERROR(VLOOKUP(TRIM(D42)&amp;"_"&amp;TRIM(INDEX($R$1:$V$1, MATCH(MIN(R42:V42), R42:V42, 0))), 技能库!$A:$F, 5, 0),"建议查阅考纲")&amp;CHAR(10)&amp;"💡 提升建议: "&amp;IFERROR(VLOOKUP(TRIM(D42)&amp;"_"&amp;TRIM(INDEX($R$1:$V$1, MATCH(MIN(R42:V42), R42:V42, 0))), 技能库!$A:$F, 6, 0),"请针对该题型加强练习"))</f>
        <v>⚠️ 薄弱环节: L-Pt2
📉 考察能力: [听力] 填空 (信息记录)
💡 提升建议: 强化数字、价格、日期、拼写的听写训练。</v>
      </c>
      <c r="AD42" s="6">
        <v>45915</v>
      </c>
    </row>
    <row r="43" spans="1:30" ht="16" hidden="1" x14ac:dyDescent="0.2">
      <c r="L43" t="str">
        <f t="shared" si="0"/>
        <v/>
      </c>
      <c r="M43" t="str">
        <f>IF(L43="","", IFERROR(VLOOKUP(L43, IF(D43="KET", 换算标准!$M:$N, IF(D43="PET", 换算标准!$S:$T, 换算标准!$AC:$AD)), 2, TRUE), 0))</f>
        <v/>
      </c>
      <c r="P43" t="str">
        <f t="shared" si="1"/>
        <v/>
      </c>
      <c r="Q43" t="str">
        <f>IF(P43="","", IFERROR(VLOOKUP(P43, IF(D43="KET", 换算标准!$O:$P, IF(D43="PET", 换算标准!$U:$V, 换算标准!$AG:$AH)), 2, TRUE), 0))</f>
        <v/>
      </c>
      <c r="W43" t="str">
        <f t="shared" si="2"/>
        <v/>
      </c>
      <c r="X43" t="str">
        <f>IF(W43="","", IFERROR(VLOOKUP(W43, IF(D43="KET", 换算标准!$Q:$R, IF(D43="PET", 换算标准!$W:$X, 换算标准!$AI:$AJ)), 2, TRUE), 0))</f>
        <v/>
      </c>
      <c r="Y43" t="str">
        <f t="shared" si="3"/>
        <v/>
      </c>
      <c r="Z43" t="str">
        <f>IF(Y43="","", IFERROR(VLOOKUP(Y43, 换算标准!$Z:$AA, 1, TRUE), ""))</f>
        <v/>
      </c>
      <c r="AA43" s="5" t="str">
        <f>IF(L43="","", "⚠️ 薄弱环节: "&amp;INDEX($E$1:$K$1, MATCH(MIN(E43:K43), E43:K43, 0))&amp;CHAR(10)&amp;"📉 考察能力: "&amp;IFERROR(VLOOKUP(TRIM(D43)&amp;"_"&amp;TRIM(INDEX($E$1:$K$1, MATCH(MIN(E43:K43), E43:K43, 0))), 技能库!$A:$F, 5, 0),"建议查阅考纲")&amp;CHAR(10)&amp;"💡 提升建议: "&amp;IFERROR(VLOOKUP(TRIM(D43)&amp;"_"&amp;TRIM(INDEX($E$1:$K$1, MATCH(MIN(E43:K43), E43:K43, 0))), 技能库!$A:$F, 6, 0),"请针对该题型加强练习"))</f>
        <v/>
      </c>
      <c r="AB43" s="5" t="str">
        <f>IF(P43="","", "⚠️ 薄弱环节: "&amp;INDEX($N$1:$O$1, MATCH(MIN(N43:O43), N43:O43, 0))&amp;CHAR(10)&amp;"📉 考察能力: "&amp;IFERROR(VLOOKUP(TRIM(D43)&amp;"_"&amp;TRIM(INDEX($N$1:$O$1, MATCH(MIN(N43:O43), N43:O43, 0))), 技能库!$A:$F, 5, 0),"建议查阅考纲")&amp;CHAR(10)&amp;"💡 提升建议: "&amp;IFERROR(VLOOKUP(TRIM(D43)&amp;"_"&amp;TRIM(INDEX($N$1:$O$1, MATCH(MIN(N43:O43), N43:O43, 0))), 技能库!$A:$F, 6, 0),"请针对该题型加强练习"))</f>
        <v/>
      </c>
      <c r="AC43" s="5" t="str">
        <f>IF(W43="","", "⚠️ 薄弱环节: "&amp;INDEX($R$1:$V$1, MATCH(MIN(R43:V43), R43:V43, 0))&amp;CHAR(10)&amp;"📉 考察能力: "&amp;IFERROR(VLOOKUP(TRIM(D43)&amp;"_"&amp;TRIM(INDEX($R$1:$V$1, MATCH(MIN(R43:V43), R43:V43, 0))), 技能库!$A:$F, 5, 0),"建议查阅考纲")&amp;CHAR(10)&amp;"💡 提升建议: "&amp;IFERROR(VLOOKUP(TRIM(D43)&amp;"_"&amp;TRIM(INDEX($R$1:$V$1, MATCH(MIN(R43:V43), R43:V43, 0))), 技能库!$A:$F, 6, 0),"请针对该题型加强练习"))</f>
        <v/>
      </c>
      <c r="AD43" t="s">
        <v>304</v>
      </c>
    </row>
    <row r="44" spans="1:30" ht="16" hidden="1" x14ac:dyDescent="0.2">
      <c r="L44" t="str">
        <f t="shared" si="0"/>
        <v/>
      </c>
      <c r="M44" t="str">
        <f>IF(L44="","", IFERROR(VLOOKUP(L44, IF(D44="KET", 换算标准!$M:$N, IF(D44="PET", 换算标准!$S:$T, 换算标准!$AC:$AD)), 2, TRUE), 0))</f>
        <v/>
      </c>
      <c r="P44" t="str">
        <f t="shared" si="1"/>
        <v/>
      </c>
      <c r="Q44" t="str">
        <f>IF(P44="","", IFERROR(VLOOKUP(P44, IF(D44="KET", 换算标准!$O:$P, IF(D44="PET", 换算标准!$U:$V, 换算标准!$AG:$AH)), 2, TRUE), 0))</f>
        <v/>
      </c>
      <c r="W44" t="str">
        <f t="shared" si="2"/>
        <v/>
      </c>
      <c r="X44" t="str">
        <f>IF(W44="","", IFERROR(VLOOKUP(W44, IF(D44="KET", 换算标准!$Q:$R, IF(D44="PET", 换算标准!$W:$X, 换算标准!$AI:$AJ)), 2, TRUE), 0))</f>
        <v/>
      </c>
      <c r="Y44" t="str">
        <f t="shared" si="3"/>
        <v/>
      </c>
      <c r="Z44" t="str">
        <f>IF(Y44="","", IFERROR(VLOOKUP(Y44, 换算标准!$Z:$AA, 1, TRUE), ""))</f>
        <v/>
      </c>
      <c r="AA44" s="5" t="str">
        <f>IF(L44="","", "⚠️ 薄弱环节: "&amp;INDEX($E$1:$K$1, MATCH(MIN(E44:K44), E44:K44, 0))&amp;CHAR(10)&amp;"📉 考察能力: "&amp;IFERROR(VLOOKUP(TRIM(D44)&amp;"_"&amp;TRIM(INDEX($E$1:$K$1, MATCH(MIN(E44:K44), E44:K44, 0))), 技能库!$A:$F, 5, 0),"建议查阅考纲")&amp;CHAR(10)&amp;"💡 提升建议: "&amp;IFERROR(VLOOKUP(TRIM(D44)&amp;"_"&amp;TRIM(INDEX($E$1:$K$1, MATCH(MIN(E44:K44), E44:K44, 0))), 技能库!$A:$F, 6, 0),"请针对该题型加强练习"))</f>
        <v/>
      </c>
      <c r="AB44" s="5" t="str">
        <f>IF(P44="","", "⚠️ 薄弱环节: "&amp;INDEX($N$1:$O$1, MATCH(MIN(N44:O44), N44:O44, 0))&amp;CHAR(10)&amp;"📉 考察能力: "&amp;IFERROR(VLOOKUP(TRIM(D44)&amp;"_"&amp;TRIM(INDEX($N$1:$O$1, MATCH(MIN(N44:O44), N44:O44, 0))), 技能库!$A:$F, 5, 0),"建议查阅考纲")&amp;CHAR(10)&amp;"💡 提升建议: "&amp;IFERROR(VLOOKUP(TRIM(D44)&amp;"_"&amp;TRIM(INDEX($N$1:$O$1, MATCH(MIN(N44:O44), N44:O44, 0))), 技能库!$A:$F, 6, 0),"请针对该题型加强练习"))</f>
        <v/>
      </c>
      <c r="AC44" s="5" t="str">
        <f>IF(W44="","", "⚠️ 薄弱环节: "&amp;INDEX($R$1:$V$1, MATCH(MIN(R44:V44), R44:V44, 0))&amp;CHAR(10)&amp;"📉 考察能力: "&amp;IFERROR(VLOOKUP(TRIM(D44)&amp;"_"&amp;TRIM(INDEX($R$1:$V$1, MATCH(MIN(R44:V44), R44:V44, 0))), 技能库!$A:$F, 5, 0),"建议查阅考纲")&amp;CHAR(10)&amp;"💡 提升建议: "&amp;IFERROR(VLOOKUP(TRIM(D44)&amp;"_"&amp;TRIM(INDEX($R$1:$V$1, MATCH(MIN(R44:V44), R44:V44, 0))), 技能库!$A:$F, 6, 0),"请针对该题型加强练习"))</f>
        <v/>
      </c>
      <c r="AD44" t="s">
        <v>304</v>
      </c>
    </row>
    <row r="45" spans="1:30" ht="16" hidden="1" x14ac:dyDescent="0.2">
      <c r="L45" t="str">
        <f t="shared" si="0"/>
        <v/>
      </c>
      <c r="M45" t="str">
        <f>IF(L45="","", IFERROR(VLOOKUP(L45, IF(D45="KET", 换算标准!$M:$N, IF(D45="PET", 换算标准!$S:$T, 换算标准!$AC:$AD)), 2, TRUE), 0))</f>
        <v/>
      </c>
      <c r="P45" t="str">
        <f t="shared" si="1"/>
        <v/>
      </c>
      <c r="Q45" t="str">
        <f>IF(P45="","", IFERROR(VLOOKUP(P45, IF(D45="KET", 换算标准!$O:$P, IF(D45="PET", 换算标准!$U:$V, 换算标准!$AG:$AH)), 2, TRUE), 0))</f>
        <v/>
      </c>
      <c r="W45" t="str">
        <f t="shared" si="2"/>
        <v/>
      </c>
      <c r="X45" t="str">
        <f>IF(W45="","", IFERROR(VLOOKUP(W45, IF(D45="KET", 换算标准!$Q:$R, IF(D45="PET", 换算标准!$W:$X, 换算标准!$AI:$AJ)), 2, TRUE), 0))</f>
        <v/>
      </c>
      <c r="Y45" t="str">
        <f t="shared" si="3"/>
        <v/>
      </c>
      <c r="Z45" t="str">
        <f>IF(Y45="","", IFERROR(VLOOKUP(Y45, 换算标准!$Z:$AA, 1, TRUE), ""))</f>
        <v/>
      </c>
      <c r="AA45" s="5" t="str">
        <f>IF(L45="","", "⚠️ 薄弱环节: "&amp;INDEX($E$1:$K$1, MATCH(MIN(E45:K45), E45:K45, 0))&amp;CHAR(10)&amp;"📉 考察能力: "&amp;IFERROR(VLOOKUP(TRIM(D45)&amp;"_"&amp;TRIM(INDEX($E$1:$K$1, MATCH(MIN(E45:K45), E45:K45, 0))), 技能库!$A:$F, 5, 0),"建议查阅考纲")&amp;CHAR(10)&amp;"💡 提升建议: "&amp;IFERROR(VLOOKUP(TRIM(D45)&amp;"_"&amp;TRIM(INDEX($E$1:$K$1, MATCH(MIN(E45:K45), E45:K45, 0))), 技能库!$A:$F, 6, 0),"请针对该题型加强练习"))</f>
        <v/>
      </c>
      <c r="AB45" s="5" t="str">
        <f>IF(P45="","", "⚠️ 薄弱环节: "&amp;INDEX($N$1:$O$1, MATCH(MIN(N45:O45), N45:O45, 0))&amp;CHAR(10)&amp;"📉 考察能力: "&amp;IFERROR(VLOOKUP(TRIM(D45)&amp;"_"&amp;TRIM(INDEX($N$1:$O$1, MATCH(MIN(N45:O45), N45:O45, 0))), 技能库!$A:$F, 5, 0),"建议查阅考纲")&amp;CHAR(10)&amp;"💡 提升建议: "&amp;IFERROR(VLOOKUP(TRIM(D45)&amp;"_"&amp;TRIM(INDEX($N$1:$O$1, MATCH(MIN(N45:O45), N45:O45, 0))), 技能库!$A:$F, 6, 0),"请针对该题型加强练习"))</f>
        <v/>
      </c>
      <c r="AC45" s="5" t="str">
        <f>IF(W45="","", "⚠️ 薄弱环节: "&amp;INDEX($R$1:$V$1, MATCH(MIN(R45:V45), R45:V45, 0))&amp;CHAR(10)&amp;"📉 考察能力: "&amp;IFERROR(VLOOKUP(TRIM(D45)&amp;"_"&amp;TRIM(INDEX($R$1:$V$1, MATCH(MIN(R45:V45), R45:V45, 0))), 技能库!$A:$F, 5, 0),"建议查阅考纲")&amp;CHAR(10)&amp;"💡 提升建议: "&amp;IFERROR(VLOOKUP(TRIM(D45)&amp;"_"&amp;TRIM(INDEX($R$1:$V$1, MATCH(MIN(R45:V45), R45:V45, 0))), 技能库!$A:$F, 6, 0),"请针对该题型加强练习"))</f>
        <v/>
      </c>
      <c r="AD45" t="s">
        <v>304</v>
      </c>
    </row>
    <row r="46" spans="1:30" ht="16" hidden="1" x14ac:dyDescent="0.2">
      <c r="L46" t="str">
        <f t="shared" si="0"/>
        <v/>
      </c>
      <c r="M46" t="str">
        <f>IF(L46="","", IFERROR(VLOOKUP(L46, IF(D46="KET", 换算标准!$M:$N, IF(D46="PET", 换算标准!$S:$T, 换算标准!$AC:$AD)), 2, TRUE), 0))</f>
        <v/>
      </c>
      <c r="P46" t="str">
        <f t="shared" si="1"/>
        <v/>
      </c>
      <c r="Q46" t="str">
        <f>IF(P46="","", IFERROR(VLOOKUP(P46, IF(D46="KET", 换算标准!$O:$P, IF(D46="PET", 换算标准!$U:$V, 换算标准!$AG:$AH)), 2, TRUE), 0))</f>
        <v/>
      </c>
      <c r="W46" t="str">
        <f t="shared" si="2"/>
        <v/>
      </c>
      <c r="X46" t="str">
        <f>IF(W46="","", IFERROR(VLOOKUP(W46, IF(D46="KET", 换算标准!$Q:$R, IF(D46="PET", 换算标准!$W:$X, 换算标准!$AI:$AJ)), 2, TRUE), 0))</f>
        <v/>
      </c>
      <c r="Y46" t="str">
        <f t="shared" si="3"/>
        <v/>
      </c>
      <c r="Z46" t="str">
        <f>IF(Y46="","", IFERROR(VLOOKUP(Y46, 换算标准!$Z:$AA, 1, TRUE), ""))</f>
        <v/>
      </c>
      <c r="AA46" s="5" t="str">
        <f>IF(L46="","", "⚠️ 薄弱环节: "&amp;INDEX($E$1:$K$1, MATCH(MIN(E46:K46), E46:K46, 0))&amp;CHAR(10)&amp;"📉 考察能力: "&amp;IFERROR(VLOOKUP(TRIM(D46)&amp;"_"&amp;TRIM(INDEX($E$1:$K$1, MATCH(MIN(E46:K46), E46:K46, 0))), 技能库!$A:$F, 5, 0),"建议查阅考纲")&amp;CHAR(10)&amp;"💡 提升建议: "&amp;IFERROR(VLOOKUP(TRIM(D46)&amp;"_"&amp;TRIM(INDEX($E$1:$K$1, MATCH(MIN(E46:K46), E46:K46, 0))), 技能库!$A:$F, 6, 0),"请针对该题型加强练习"))</f>
        <v/>
      </c>
      <c r="AB46" s="5" t="str">
        <f>IF(P46="","", "⚠️ 薄弱环节: "&amp;INDEX($N$1:$O$1, MATCH(MIN(N46:O46), N46:O46, 0))&amp;CHAR(10)&amp;"📉 考察能力: "&amp;IFERROR(VLOOKUP(TRIM(D46)&amp;"_"&amp;TRIM(INDEX($N$1:$O$1, MATCH(MIN(N46:O46), N46:O46, 0))), 技能库!$A:$F, 5, 0),"建议查阅考纲")&amp;CHAR(10)&amp;"💡 提升建议: "&amp;IFERROR(VLOOKUP(TRIM(D46)&amp;"_"&amp;TRIM(INDEX($N$1:$O$1, MATCH(MIN(N46:O46), N46:O46, 0))), 技能库!$A:$F, 6, 0),"请针对该题型加强练习"))</f>
        <v/>
      </c>
      <c r="AC46" s="5" t="str">
        <f>IF(W46="","", "⚠️ 薄弱环节: "&amp;INDEX($R$1:$V$1, MATCH(MIN(R46:V46), R46:V46, 0))&amp;CHAR(10)&amp;"📉 考察能力: "&amp;IFERROR(VLOOKUP(TRIM(D46)&amp;"_"&amp;TRIM(INDEX($R$1:$V$1, MATCH(MIN(R46:V46), R46:V46, 0))), 技能库!$A:$F, 5, 0),"建议查阅考纲")&amp;CHAR(10)&amp;"💡 提升建议: "&amp;IFERROR(VLOOKUP(TRIM(D46)&amp;"_"&amp;TRIM(INDEX($R$1:$V$1, MATCH(MIN(R46:V46), R46:V46, 0))), 技能库!$A:$F, 6, 0),"请针对该题型加强练习"))</f>
        <v/>
      </c>
      <c r="AD46" t="s">
        <v>304</v>
      </c>
    </row>
    <row r="47" spans="1:30" ht="16" hidden="1" x14ac:dyDescent="0.2">
      <c r="L47" t="str">
        <f t="shared" si="0"/>
        <v/>
      </c>
      <c r="M47" t="str">
        <f>IF(L47="","", IFERROR(VLOOKUP(L47, IF(D47="KET", 换算标准!$M:$N, IF(D47="PET", 换算标准!$S:$T, 换算标准!$AC:$AD)), 2, TRUE), 0))</f>
        <v/>
      </c>
      <c r="P47" t="str">
        <f t="shared" si="1"/>
        <v/>
      </c>
      <c r="Q47" t="str">
        <f>IF(P47="","", IFERROR(VLOOKUP(P47, IF(D47="KET", 换算标准!$O:$P, IF(D47="PET", 换算标准!$U:$V, 换算标准!$AG:$AH)), 2, TRUE), 0))</f>
        <v/>
      </c>
      <c r="W47" t="str">
        <f t="shared" si="2"/>
        <v/>
      </c>
      <c r="X47" t="str">
        <f>IF(W47="","", IFERROR(VLOOKUP(W47, IF(D47="KET", 换算标准!$Q:$R, IF(D47="PET", 换算标准!$W:$X, 换算标准!$AI:$AJ)), 2, TRUE), 0))</f>
        <v/>
      </c>
      <c r="Y47" t="str">
        <f t="shared" si="3"/>
        <v/>
      </c>
      <c r="Z47" t="str">
        <f>IF(Y47="","", IFERROR(VLOOKUP(Y47, 换算标准!$Z:$AA, 1, TRUE), ""))</f>
        <v/>
      </c>
      <c r="AA47" s="5" t="str">
        <f>IF(L47="","", "⚠️ 薄弱环节: "&amp;INDEX($E$1:$K$1, MATCH(MIN(E47:K47), E47:K47, 0))&amp;CHAR(10)&amp;"📉 考察能力: "&amp;IFERROR(VLOOKUP(TRIM(D47)&amp;"_"&amp;TRIM(INDEX($E$1:$K$1, MATCH(MIN(E47:K47), E47:K47, 0))), 技能库!$A:$F, 5, 0),"建议查阅考纲")&amp;CHAR(10)&amp;"💡 提升建议: "&amp;IFERROR(VLOOKUP(TRIM(D47)&amp;"_"&amp;TRIM(INDEX($E$1:$K$1, MATCH(MIN(E47:K47), E47:K47, 0))), 技能库!$A:$F, 6, 0),"请针对该题型加强练习"))</f>
        <v/>
      </c>
      <c r="AB47" s="5" t="str">
        <f>IF(P47="","", "⚠️ 薄弱环节: "&amp;INDEX($N$1:$O$1, MATCH(MIN(N47:O47), N47:O47, 0))&amp;CHAR(10)&amp;"📉 考察能力: "&amp;IFERROR(VLOOKUP(TRIM(D47)&amp;"_"&amp;TRIM(INDEX($N$1:$O$1, MATCH(MIN(N47:O47), N47:O47, 0))), 技能库!$A:$F, 5, 0),"建议查阅考纲")&amp;CHAR(10)&amp;"💡 提升建议: "&amp;IFERROR(VLOOKUP(TRIM(D47)&amp;"_"&amp;TRIM(INDEX($N$1:$O$1, MATCH(MIN(N47:O47), N47:O47, 0))), 技能库!$A:$F, 6, 0),"请针对该题型加强练习"))</f>
        <v/>
      </c>
      <c r="AC47" s="5" t="str">
        <f>IF(W47="","", "⚠️ 薄弱环节: "&amp;INDEX($R$1:$V$1, MATCH(MIN(R47:V47), R47:V47, 0))&amp;CHAR(10)&amp;"📉 考察能力: "&amp;IFERROR(VLOOKUP(TRIM(D47)&amp;"_"&amp;TRIM(INDEX($R$1:$V$1, MATCH(MIN(R47:V47), R47:V47, 0))), 技能库!$A:$F, 5, 0),"建议查阅考纲")&amp;CHAR(10)&amp;"💡 提升建议: "&amp;IFERROR(VLOOKUP(TRIM(D47)&amp;"_"&amp;TRIM(INDEX($R$1:$V$1, MATCH(MIN(R47:V47), R47:V47, 0))), 技能库!$A:$F, 6, 0),"请针对该题型加强练习"))</f>
        <v/>
      </c>
      <c r="AD47" t="s">
        <v>304</v>
      </c>
    </row>
    <row r="48" spans="1:30" ht="16" hidden="1" x14ac:dyDescent="0.2">
      <c r="L48" t="str">
        <f t="shared" si="0"/>
        <v/>
      </c>
      <c r="M48" t="str">
        <f>IF(L48="","", IFERROR(VLOOKUP(L48, IF(D48="KET", 换算标准!$M:$N, IF(D48="PET", 换算标准!$S:$T, 换算标准!$AC:$AD)), 2, TRUE), 0))</f>
        <v/>
      </c>
      <c r="P48" t="str">
        <f t="shared" si="1"/>
        <v/>
      </c>
      <c r="Q48" t="str">
        <f>IF(P48="","", IFERROR(VLOOKUP(P48, IF(D48="KET", 换算标准!$O:$P, IF(D48="PET", 换算标准!$U:$V, 换算标准!$AG:$AH)), 2, TRUE), 0))</f>
        <v/>
      </c>
      <c r="W48" t="str">
        <f t="shared" si="2"/>
        <v/>
      </c>
      <c r="X48" t="str">
        <f>IF(W48="","", IFERROR(VLOOKUP(W48, IF(D48="KET", 换算标准!$Q:$R, IF(D48="PET", 换算标准!$W:$X, 换算标准!$AI:$AJ)), 2, TRUE), 0))</f>
        <v/>
      </c>
      <c r="Y48" t="str">
        <f t="shared" si="3"/>
        <v/>
      </c>
      <c r="Z48" t="str">
        <f>IF(Y48="","", IFERROR(VLOOKUP(Y48, 换算标准!$Z:$AA, 1, TRUE), ""))</f>
        <v/>
      </c>
      <c r="AA48" s="5" t="str">
        <f>IF(L48="","", "⚠️ 薄弱环节: "&amp;INDEX($E$1:$K$1, MATCH(MIN(E48:K48), E48:K48, 0))&amp;CHAR(10)&amp;"📉 考察能力: "&amp;IFERROR(VLOOKUP(TRIM(D48)&amp;"_"&amp;TRIM(INDEX($E$1:$K$1, MATCH(MIN(E48:K48), E48:K48, 0))), 技能库!$A:$F, 5, 0),"建议查阅考纲")&amp;CHAR(10)&amp;"💡 提升建议: "&amp;IFERROR(VLOOKUP(TRIM(D48)&amp;"_"&amp;TRIM(INDEX($E$1:$K$1, MATCH(MIN(E48:K48), E48:K48, 0))), 技能库!$A:$F, 6, 0),"请针对该题型加强练习"))</f>
        <v/>
      </c>
      <c r="AB48" s="5" t="str">
        <f>IF(P48="","", "⚠️ 薄弱环节: "&amp;INDEX($N$1:$O$1, MATCH(MIN(N48:O48), N48:O48, 0))&amp;CHAR(10)&amp;"📉 考察能力: "&amp;IFERROR(VLOOKUP(TRIM(D48)&amp;"_"&amp;TRIM(INDEX($N$1:$O$1, MATCH(MIN(N48:O48), N48:O48, 0))), 技能库!$A:$F, 5, 0),"建议查阅考纲")&amp;CHAR(10)&amp;"💡 提升建议: "&amp;IFERROR(VLOOKUP(TRIM(D48)&amp;"_"&amp;TRIM(INDEX($N$1:$O$1, MATCH(MIN(N48:O48), N48:O48, 0))), 技能库!$A:$F, 6, 0),"请针对该题型加强练习"))</f>
        <v/>
      </c>
      <c r="AC48" s="5" t="str">
        <f>IF(W48="","", "⚠️ 薄弱环节: "&amp;INDEX($R$1:$V$1, MATCH(MIN(R48:V48), R48:V48, 0))&amp;CHAR(10)&amp;"📉 考察能力: "&amp;IFERROR(VLOOKUP(TRIM(D48)&amp;"_"&amp;TRIM(INDEX($R$1:$V$1, MATCH(MIN(R48:V48), R48:V48, 0))), 技能库!$A:$F, 5, 0),"建议查阅考纲")&amp;CHAR(10)&amp;"💡 提升建议: "&amp;IFERROR(VLOOKUP(TRIM(D48)&amp;"_"&amp;TRIM(INDEX($R$1:$V$1, MATCH(MIN(R48:V48), R48:V48, 0))), 技能库!$A:$F, 6, 0),"请针对该题型加强练习"))</f>
        <v/>
      </c>
      <c r="AD48" t="s">
        <v>304</v>
      </c>
    </row>
    <row r="49" spans="12:30" ht="16" hidden="1" x14ac:dyDescent="0.2">
      <c r="L49" t="str">
        <f t="shared" si="0"/>
        <v/>
      </c>
      <c r="M49" t="str">
        <f>IF(L49="","", IFERROR(VLOOKUP(L49, IF(D49="KET", 换算标准!$M:$N, IF(D49="PET", 换算标准!$S:$T, 换算标准!$AC:$AD)), 2, TRUE), 0))</f>
        <v/>
      </c>
      <c r="P49" t="str">
        <f t="shared" si="1"/>
        <v/>
      </c>
      <c r="Q49" t="str">
        <f>IF(P49="","", IFERROR(VLOOKUP(P49, IF(D49="KET", 换算标准!$O:$P, IF(D49="PET", 换算标准!$U:$V, 换算标准!$AG:$AH)), 2, TRUE), 0))</f>
        <v/>
      </c>
      <c r="W49" t="str">
        <f t="shared" si="2"/>
        <v/>
      </c>
      <c r="X49" t="str">
        <f>IF(W49="","", IFERROR(VLOOKUP(W49, IF(D49="KET", 换算标准!$Q:$R, IF(D49="PET", 换算标准!$W:$X, 换算标准!$AI:$AJ)), 2, TRUE), 0))</f>
        <v/>
      </c>
      <c r="Y49" t="str">
        <f t="shared" si="3"/>
        <v/>
      </c>
      <c r="Z49" t="str">
        <f>IF(Y49="","", IFERROR(VLOOKUP(Y49, 换算标准!$Z:$AA, 1, TRUE), ""))</f>
        <v/>
      </c>
      <c r="AA49" s="5" t="str">
        <f>IF(L49="","", "⚠️ 薄弱环节: "&amp;INDEX($E$1:$K$1, MATCH(MIN(E49:K49), E49:K49, 0))&amp;CHAR(10)&amp;"📉 考察能力: "&amp;IFERROR(VLOOKUP(TRIM(D49)&amp;"_"&amp;TRIM(INDEX($E$1:$K$1, MATCH(MIN(E49:K49), E49:K49, 0))), 技能库!$A:$F, 5, 0),"建议查阅考纲")&amp;CHAR(10)&amp;"💡 提升建议: "&amp;IFERROR(VLOOKUP(TRIM(D49)&amp;"_"&amp;TRIM(INDEX($E$1:$K$1, MATCH(MIN(E49:K49), E49:K49, 0))), 技能库!$A:$F, 6, 0),"请针对该题型加强练习"))</f>
        <v/>
      </c>
      <c r="AB49" s="5" t="str">
        <f>IF(P49="","", "⚠️ 薄弱环节: "&amp;INDEX($N$1:$O$1, MATCH(MIN(N49:O49), N49:O49, 0))&amp;CHAR(10)&amp;"📉 考察能力: "&amp;IFERROR(VLOOKUP(TRIM(D49)&amp;"_"&amp;TRIM(INDEX($N$1:$O$1, MATCH(MIN(N49:O49), N49:O49, 0))), 技能库!$A:$F, 5, 0),"建议查阅考纲")&amp;CHAR(10)&amp;"💡 提升建议: "&amp;IFERROR(VLOOKUP(TRIM(D49)&amp;"_"&amp;TRIM(INDEX($N$1:$O$1, MATCH(MIN(N49:O49), N49:O49, 0))), 技能库!$A:$F, 6, 0),"请针对该题型加强练习"))</f>
        <v/>
      </c>
      <c r="AC49" s="5" t="str">
        <f>IF(W49="","", "⚠️ 薄弱环节: "&amp;INDEX($R$1:$V$1, MATCH(MIN(R49:V49), R49:V49, 0))&amp;CHAR(10)&amp;"📉 考察能力: "&amp;IFERROR(VLOOKUP(TRIM(D49)&amp;"_"&amp;TRIM(INDEX($R$1:$V$1, MATCH(MIN(R49:V49), R49:V49, 0))), 技能库!$A:$F, 5, 0),"建议查阅考纲")&amp;CHAR(10)&amp;"💡 提升建议: "&amp;IFERROR(VLOOKUP(TRIM(D49)&amp;"_"&amp;TRIM(INDEX($R$1:$V$1, MATCH(MIN(R49:V49), R49:V49, 0))), 技能库!$A:$F, 6, 0),"请针对该题型加强练习"))</f>
        <v/>
      </c>
      <c r="AD49" t="s">
        <v>304</v>
      </c>
    </row>
    <row r="50" spans="12:30" ht="16" hidden="1" x14ac:dyDescent="0.2">
      <c r="L50" t="str">
        <f t="shared" si="0"/>
        <v/>
      </c>
      <c r="M50" t="str">
        <f>IF(L50="","", IFERROR(VLOOKUP(L50, IF(D50="KET", 换算标准!$M:$N, IF(D50="PET", 换算标准!$S:$T, 换算标准!$AC:$AD)), 2, TRUE), 0))</f>
        <v/>
      </c>
      <c r="P50" t="str">
        <f t="shared" si="1"/>
        <v/>
      </c>
      <c r="Q50" t="str">
        <f>IF(P50="","", IFERROR(VLOOKUP(P50, IF(D50="KET", 换算标准!$O:$P, IF(D50="PET", 换算标准!$U:$V, 换算标准!$AG:$AH)), 2, TRUE), 0))</f>
        <v/>
      </c>
      <c r="W50" t="str">
        <f t="shared" si="2"/>
        <v/>
      </c>
      <c r="X50" t="str">
        <f>IF(W50="","", IFERROR(VLOOKUP(W50, IF(D50="KET", 换算标准!$Q:$R, IF(D50="PET", 换算标准!$W:$X, 换算标准!$AI:$AJ)), 2, TRUE), 0))</f>
        <v/>
      </c>
      <c r="Y50" t="str">
        <f t="shared" si="3"/>
        <v/>
      </c>
      <c r="Z50" t="str">
        <f>IF(Y50="","", IFERROR(VLOOKUP(Y50, 换算标准!$Z:$AA, 1, TRUE), ""))</f>
        <v/>
      </c>
      <c r="AA50" s="5" t="str">
        <f>IF(L50="","", "⚠️ 薄弱环节: "&amp;INDEX($E$1:$K$1, MATCH(MIN(E50:K50), E50:K50, 0))&amp;CHAR(10)&amp;"📉 考察能力: "&amp;IFERROR(VLOOKUP(TRIM(D50)&amp;"_"&amp;TRIM(INDEX($E$1:$K$1, MATCH(MIN(E50:K50), E50:K50, 0))), 技能库!$A:$F, 5, 0),"建议查阅考纲")&amp;CHAR(10)&amp;"💡 提升建议: "&amp;IFERROR(VLOOKUP(TRIM(D50)&amp;"_"&amp;TRIM(INDEX($E$1:$K$1, MATCH(MIN(E50:K50), E50:K50, 0))), 技能库!$A:$F, 6, 0),"请针对该题型加强练习"))</f>
        <v/>
      </c>
      <c r="AB50" s="5" t="str">
        <f>IF(P50="","", "⚠️ 薄弱环节: "&amp;INDEX($N$1:$O$1, MATCH(MIN(N50:O50), N50:O50, 0))&amp;CHAR(10)&amp;"📉 考察能力: "&amp;IFERROR(VLOOKUP(TRIM(D50)&amp;"_"&amp;TRIM(INDEX($N$1:$O$1, MATCH(MIN(N50:O50), N50:O50, 0))), 技能库!$A:$F, 5, 0),"建议查阅考纲")&amp;CHAR(10)&amp;"💡 提升建议: "&amp;IFERROR(VLOOKUP(TRIM(D50)&amp;"_"&amp;TRIM(INDEX($N$1:$O$1, MATCH(MIN(N50:O50), N50:O50, 0))), 技能库!$A:$F, 6, 0),"请针对该题型加强练习"))</f>
        <v/>
      </c>
      <c r="AC50" s="5" t="str">
        <f>IF(W50="","", "⚠️ 薄弱环节: "&amp;INDEX($R$1:$V$1, MATCH(MIN(R50:V50), R50:V50, 0))&amp;CHAR(10)&amp;"📉 考察能力: "&amp;IFERROR(VLOOKUP(TRIM(D50)&amp;"_"&amp;TRIM(INDEX($R$1:$V$1, MATCH(MIN(R50:V50), R50:V50, 0))), 技能库!$A:$F, 5, 0),"建议查阅考纲")&amp;CHAR(10)&amp;"💡 提升建议: "&amp;IFERROR(VLOOKUP(TRIM(D50)&amp;"_"&amp;TRIM(INDEX($R$1:$V$1, MATCH(MIN(R50:V50), R50:V50, 0))), 技能库!$A:$F, 6, 0),"请针对该题型加强练习"))</f>
        <v/>
      </c>
      <c r="AD50" t="s">
        <v>304</v>
      </c>
    </row>
    <row r="51" spans="12:30" ht="16" hidden="1" x14ac:dyDescent="0.2">
      <c r="L51" t="str">
        <f t="shared" si="0"/>
        <v/>
      </c>
      <c r="M51" t="str">
        <f>IF(L51="","", IFERROR(VLOOKUP(L51, IF(D51="KET", 换算标准!$M:$N, IF(D51="PET", 换算标准!$S:$T, 换算标准!$AC:$AD)), 2, TRUE), 0))</f>
        <v/>
      </c>
      <c r="P51" t="str">
        <f t="shared" si="1"/>
        <v/>
      </c>
      <c r="Q51" t="str">
        <f>IF(P51="","", IFERROR(VLOOKUP(P51, IF(D51="KET", 换算标准!$O:$P, IF(D51="PET", 换算标准!$U:$V, 换算标准!$AG:$AH)), 2, TRUE), 0))</f>
        <v/>
      </c>
      <c r="W51" t="str">
        <f t="shared" si="2"/>
        <v/>
      </c>
      <c r="X51" t="str">
        <f>IF(W51="","", IFERROR(VLOOKUP(W51, IF(D51="KET", 换算标准!$Q:$R, IF(D51="PET", 换算标准!$W:$X, 换算标准!$AI:$AJ)), 2, TRUE), 0))</f>
        <v/>
      </c>
      <c r="Y51" t="str">
        <f t="shared" si="3"/>
        <v/>
      </c>
      <c r="Z51" t="str">
        <f>IF(Y51="","", IFERROR(VLOOKUP(Y51, 换算标准!$Z:$AA, 1, TRUE), ""))</f>
        <v/>
      </c>
      <c r="AA51" s="5" t="str">
        <f>IF(L51="","", "⚠️ 薄弱环节: "&amp;INDEX($E$1:$K$1, MATCH(MIN(E51:K51), E51:K51, 0))&amp;CHAR(10)&amp;"📉 考察能力: "&amp;IFERROR(VLOOKUP(TRIM(D51)&amp;"_"&amp;TRIM(INDEX($E$1:$K$1, MATCH(MIN(E51:K51), E51:K51, 0))), 技能库!$A:$F, 5, 0),"建议查阅考纲")&amp;CHAR(10)&amp;"💡 提升建议: "&amp;IFERROR(VLOOKUP(TRIM(D51)&amp;"_"&amp;TRIM(INDEX($E$1:$K$1, MATCH(MIN(E51:K51), E51:K51, 0))), 技能库!$A:$F, 6, 0),"请针对该题型加强练习"))</f>
        <v/>
      </c>
      <c r="AB51" s="5" t="str">
        <f>IF(P51="","", "⚠️ 薄弱环节: "&amp;INDEX($N$1:$O$1, MATCH(MIN(N51:O51), N51:O51, 0))&amp;CHAR(10)&amp;"📉 考察能力: "&amp;IFERROR(VLOOKUP(TRIM(D51)&amp;"_"&amp;TRIM(INDEX($N$1:$O$1, MATCH(MIN(N51:O51), N51:O51, 0))), 技能库!$A:$F, 5, 0),"建议查阅考纲")&amp;CHAR(10)&amp;"💡 提升建议: "&amp;IFERROR(VLOOKUP(TRIM(D51)&amp;"_"&amp;TRIM(INDEX($N$1:$O$1, MATCH(MIN(N51:O51), N51:O51, 0))), 技能库!$A:$F, 6, 0),"请针对该题型加强练习"))</f>
        <v/>
      </c>
      <c r="AC51" s="5" t="str">
        <f>IF(W51="","", "⚠️ 薄弱环节: "&amp;INDEX($R$1:$V$1, MATCH(MIN(R51:V51), R51:V51, 0))&amp;CHAR(10)&amp;"📉 考察能力: "&amp;IFERROR(VLOOKUP(TRIM(D51)&amp;"_"&amp;TRIM(INDEX($R$1:$V$1, MATCH(MIN(R51:V51), R51:V51, 0))), 技能库!$A:$F, 5, 0),"建议查阅考纲")&amp;CHAR(10)&amp;"💡 提升建议: "&amp;IFERROR(VLOOKUP(TRIM(D51)&amp;"_"&amp;TRIM(INDEX($R$1:$V$1, MATCH(MIN(R51:V51), R51:V51, 0))), 技能库!$A:$F, 6, 0),"请针对该题型加强练习"))</f>
        <v/>
      </c>
      <c r="AD51" t="s">
        <v>304</v>
      </c>
    </row>
    <row r="52" spans="12:30" ht="16" hidden="1" x14ac:dyDescent="0.2">
      <c r="L52" t="str">
        <f t="shared" si="0"/>
        <v/>
      </c>
      <c r="M52" t="str">
        <f>IF(L52="","", IFERROR(VLOOKUP(L52, IF(D52="KET", 换算标准!$M:$N, IF(D52="PET", 换算标准!$S:$T, 换算标准!$AC:$AD)), 2, TRUE), 0))</f>
        <v/>
      </c>
      <c r="P52" t="str">
        <f t="shared" si="1"/>
        <v/>
      </c>
      <c r="Q52" t="str">
        <f>IF(P52="","", IFERROR(VLOOKUP(P52, IF(D52="KET", 换算标准!$O:$P, IF(D52="PET", 换算标准!$U:$V, 换算标准!$AG:$AH)), 2, TRUE), 0))</f>
        <v/>
      </c>
      <c r="W52" t="str">
        <f t="shared" si="2"/>
        <v/>
      </c>
      <c r="X52" t="str">
        <f>IF(W52="","", IFERROR(VLOOKUP(W52, IF(D52="KET", 换算标准!$Q:$R, IF(D52="PET", 换算标准!$W:$X, 换算标准!$AI:$AJ)), 2, TRUE), 0))</f>
        <v/>
      </c>
      <c r="Y52" t="str">
        <f t="shared" si="3"/>
        <v/>
      </c>
      <c r="Z52" t="str">
        <f>IF(Y52="","", IFERROR(VLOOKUP(Y52, 换算标准!$Z:$AA, 1, TRUE), ""))</f>
        <v/>
      </c>
      <c r="AA52" s="5" t="str">
        <f>IF(L52="","", "⚠️ 薄弱环节: "&amp;INDEX($E$1:$K$1, MATCH(MIN(E52:K52), E52:K52, 0))&amp;CHAR(10)&amp;"📉 考察能力: "&amp;IFERROR(VLOOKUP(TRIM(D52)&amp;"_"&amp;TRIM(INDEX($E$1:$K$1, MATCH(MIN(E52:K52), E52:K52, 0))), 技能库!$A:$F, 5, 0),"建议查阅考纲")&amp;CHAR(10)&amp;"💡 提升建议: "&amp;IFERROR(VLOOKUP(TRIM(D52)&amp;"_"&amp;TRIM(INDEX($E$1:$K$1, MATCH(MIN(E52:K52), E52:K52, 0))), 技能库!$A:$F, 6, 0),"请针对该题型加强练习"))</f>
        <v/>
      </c>
      <c r="AB52" s="5" t="str">
        <f>IF(P52="","", "⚠️ 薄弱环节: "&amp;INDEX($N$1:$O$1, MATCH(MIN(N52:O52), N52:O52, 0))&amp;CHAR(10)&amp;"📉 考察能力: "&amp;IFERROR(VLOOKUP(TRIM(D52)&amp;"_"&amp;TRIM(INDEX($N$1:$O$1, MATCH(MIN(N52:O52), N52:O52, 0))), 技能库!$A:$F, 5, 0),"建议查阅考纲")&amp;CHAR(10)&amp;"💡 提升建议: "&amp;IFERROR(VLOOKUP(TRIM(D52)&amp;"_"&amp;TRIM(INDEX($N$1:$O$1, MATCH(MIN(N52:O52), N52:O52, 0))), 技能库!$A:$F, 6, 0),"请针对该题型加强练习"))</f>
        <v/>
      </c>
      <c r="AC52" s="5" t="str">
        <f>IF(W52="","", "⚠️ 薄弱环节: "&amp;INDEX($R$1:$V$1, MATCH(MIN(R52:V52), R52:V52, 0))&amp;CHAR(10)&amp;"📉 考察能力: "&amp;IFERROR(VLOOKUP(TRIM(D52)&amp;"_"&amp;TRIM(INDEX($R$1:$V$1, MATCH(MIN(R52:V52), R52:V52, 0))), 技能库!$A:$F, 5, 0),"建议查阅考纲")&amp;CHAR(10)&amp;"💡 提升建议: "&amp;IFERROR(VLOOKUP(TRIM(D52)&amp;"_"&amp;TRIM(INDEX($R$1:$V$1, MATCH(MIN(R52:V52), R52:V52, 0))), 技能库!$A:$F, 6, 0),"请针对该题型加强练习"))</f>
        <v/>
      </c>
      <c r="AD52" t="s">
        <v>304</v>
      </c>
    </row>
    <row r="53" spans="12:30" ht="16" hidden="1" x14ac:dyDescent="0.2">
      <c r="L53" t="str">
        <f t="shared" si="0"/>
        <v/>
      </c>
      <c r="M53" t="str">
        <f>IF(L53="","", IFERROR(VLOOKUP(L53, IF(D53="KET", 换算标准!$M:$N, IF(D53="PET", 换算标准!$S:$T, 换算标准!$AC:$AD)), 2, TRUE), 0))</f>
        <v/>
      </c>
      <c r="P53" t="str">
        <f t="shared" si="1"/>
        <v/>
      </c>
      <c r="Q53" t="str">
        <f>IF(P53="","", IFERROR(VLOOKUP(P53, IF(D53="KET", 换算标准!$O:$P, IF(D53="PET", 换算标准!$U:$V, 换算标准!$AG:$AH)), 2, TRUE), 0))</f>
        <v/>
      </c>
      <c r="W53" t="str">
        <f t="shared" si="2"/>
        <v/>
      </c>
      <c r="X53" t="str">
        <f>IF(W53="","", IFERROR(VLOOKUP(W53, IF(D53="KET", 换算标准!$Q:$R, IF(D53="PET", 换算标准!$W:$X, 换算标准!$AI:$AJ)), 2, TRUE), 0))</f>
        <v/>
      </c>
      <c r="Y53" t="str">
        <f t="shared" si="3"/>
        <v/>
      </c>
      <c r="Z53" t="str">
        <f>IF(Y53="","", IFERROR(VLOOKUP(Y53, 换算标准!$Z:$AA, 1, TRUE), ""))</f>
        <v/>
      </c>
      <c r="AA53" s="5" t="str">
        <f>IF(L53="","", "⚠️ 薄弱环节: "&amp;INDEX($E$1:$K$1, MATCH(MIN(E53:K53), E53:K53, 0))&amp;CHAR(10)&amp;"📉 考察能力: "&amp;IFERROR(VLOOKUP(TRIM(D53)&amp;"_"&amp;TRIM(INDEX($E$1:$K$1, MATCH(MIN(E53:K53), E53:K53, 0))), 技能库!$A:$F, 5, 0),"建议查阅考纲")&amp;CHAR(10)&amp;"💡 提升建议: "&amp;IFERROR(VLOOKUP(TRIM(D53)&amp;"_"&amp;TRIM(INDEX($E$1:$K$1, MATCH(MIN(E53:K53), E53:K53, 0))), 技能库!$A:$F, 6, 0),"请针对该题型加强练习"))</f>
        <v/>
      </c>
      <c r="AB53" s="5" t="str">
        <f>IF(P53="","", "⚠️ 薄弱环节: "&amp;INDEX($N$1:$O$1, MATCH(MIN(N53:O53), N53:O53, 0))&amp;CHAR(10)&amp;"📉 考察能力: "&amp;IFERROR(VLOOKUP(TRIM(D53)&amp;"_"&amp;TRIM(INDEX($N$1:$O$1, MATCH(MIN(N53:O53), N53:O53, 0))), 技能库!$A:$F, 5, 0),"建议查阅考纲")&amp;CHAR(10)&amp;"💡 提升建议: "&amp;IFERROR(VLOOKUP(TRIM(D53)&amp;"_"&amp;TRIM(INDEX($N$1:$O$1, MATCH(MIN(N53:O53), N53:O53, 0))), 技能库!$A:$F, 6, 0),"请针对该题型加强练习"))</f>
        <v/>
      </c>
      <c r="AC53" s="5" t="str">
        <f>IF(W53="","", "⚠️ 薄弱环节: "&amp;INDEX($R$1:$V$1, MATCH(MIN(R53:V53), R53:V53, 0))&amp;CHAR(10)&amp;"📉 考察能力: "&amp;IFERROR(VLOOKUP(TRIM(D53)&amp;"_"&amp;TRIM(INDEX($R$1:$V$1, MATCH(MIN(R53:V53), R53:V53, 0))), 技能库!$A:$F, 5, 0),"建议查阅考纲")&amp;CHAR(10)&amp;"💡 提升建议: "&amp;IFERROR(VLOOKUP(TRIM(D53)&amp;"_"&amp;TRIM(INDEX($R$1:$V$1, MATCH(MIN(R53:V53), R53:V53, 0))), 技能库!$A:$F, 6, 0),"请针对该题型加强练习"))</f>
        <v/>
      </c>
      <c r="AD53" t="s">
        <v>304</v>
      </c>
    </row>
    <row r="54" spans="12:30" ht="16" hidden="1" x14ac:dyDescent="0.2">
      <c r="L54" t="str">
        <f t="shared" si="0"/>
        <v/>
      </c>
      <c r="M54" t="str">
        <f>IF(L54="","", IFERROR(VLOOKUP(L54, IF(D54="KET", 换算标准!$M:$N, IF(D54="PET", 换算标准!$S:$T, 换算标准!$AC:$AD)), 2, TRUE), 0))</f>
        <v/>
      </c>
      <c r="P54" t="str">
        <f t="shared" si="1"/>
        <v/>
      </c>
      <c r="Q54" t="str">
        <f>IF(P54="","", IFERROR(VLOOKUP(P54, IF(D54="KET", 换算标准!$O:$P, IF(D54="PET", 换算标准!$U:$V, 换算标准!$AG:$AH)), 2, TRUE), 0))</f>
        <v/>
      </c>
      <c r="W54" t="str">
        <f t="shared" si="2"/>
        <v/>
      </c>
      <c r="X54" t="str">
        <f>IF(W54="","", IFERROR(VLOOKUP(W54, IF(D54="KET", 换算标准!$Q:$R, IF(D54="PET", 换算标准!$W:$X, 换算标准!$AI:$AJ)), 2, TRUE), 0))</f>
        <v/>
      </c>
      <c r="Y54" t="str">
        <f t="shared" si="3"/>
        <v/>
      </c>
      <c r="Z54" t="str">
        <f>IF(Y54="","", IFERROR(VLOOKUP(Y54, 换算标准!$Z:$AA, 1, TRUE), ""))</f>
        <v/>
      </c>
      <c r="AA54" s="5" t="str">
        <f>IF(L54="","", "⚠️ 薄弱环节: "&amp;INDEX($E$1:$K$1, MATCH(MIN(E54:K54), E54:K54, 0))&amp;CHAR(10)&amp;"📉 考察能力: "&amp;IFERROR(VLOOKUP(TRIM(D54)&amp;"_"&amp;TRIM(INDEX($E$1:$K$1, MATCH(MIN(E54:K54), E54:K54, 0))), 技能库!$A:$F, 5, 0),"建议查阅考纲")&amp;CHAR(10)&amp;"💡 提升建议: "&amp;IFERROR(VLOOKUP(TRIM(D54)&amp;"_"&amp;TRIM(INDEX($E$1:$K$1, MATCH(MIN(E54:K54), E54:K54, 0))), 技能库!$A:$F, 6, 0),"请针对该题型加强练习"))</f>
        <v/>
      </c>
      <c r="AB54" s="5" t="str">
        <f>IF(P54="","", "⚠️ 薄弱环节: "&amp;INDEX($N$1:$O$1, MATCH(MIN(N54:O54), N54:O54, 0))&amp;CHAR(10)&amp;"📉 考察能力: "&amp;IFERROR(VLOOKUP(TRIM(D54)&amp;"_"&amp;TRIM(INDEX($N$1:$O$1, MATCH(MIN(N54:O54), N54:O54, 0))), 技能库!$A:$F, 5, 0),"建议查阅考纲")&amp;CHAR(10)&amp;"💡 提升建议: "&amp;IFERROR(VLOOKUP(TRIM(D54)&amp;"_"&amp;TRIM(INDEX($N$1:$O$1, MATCH(MIN(N54:O54), N54:O54, 0))), 技能库!$A:$F, 6, 0),"请针对该题型加强练习"))</f>
        <v/>
      </c>
      <c r="AC54" s="5" t="str">
        <f>IF(W54="","", "⚠️ 薄弱环节: "&amp;INDEX($R$1:$V$1, MATCH(MIN(R54:V54), R54:V54, 0))&amp;CHAR(10)&amp;"📉 考察能力: "&amp;IFERROR(VLOOKUP(TRIM(D54)&amp;"_"&amp;TRIM(INDEX($R$1:$V$1, MATCH(MIN(R54:V54), R54:V54, 0))), 技能库!$A:$F, 5, 0),"建议查阅考纲")&amp;CHAR(10)&amp;"💡 提升建议: "&amp;IFERROR(VLOOKUP(TRIM(D54)&amp;"_"&amp;TRIM(INDEX($R$1:$V$1, MATCH(MIN(R54:V54), R54:V54, 0))), 技能库!$A:$F, 6, 0),"请针对该题型加强练习"))</f>
        <v/>
      </c>
      <c r="AD54" t="s">
        <v>304</v>
      </c>
    </row>
    <row r="55" spans="12:30" ht="16" hidden="1" x14ac:dyDescent="0.2">
      <c r="L55" t="str">
        <f t="shared" si="0"/>
        <v/>
      </c>
      <c r="M55" t="str">
        <f>IF(L55="","", IFERROR(VLOOKUP(L55, IF(D55="KET", 换算标准!$M:$N, IF(D55="PET", 换算标准!$S:$T, 换算标准!$AC:$AD)), 2, TRUE), 0))</f>
        <v/>
      </c>
      <c r="P55" t="str">
        <f t="shared" si="1"/>
        <v/>
      </c>
      <c r="Q55" t="str">
        <f>IF(P55="","", IFERROR(VLOOKUP(P55, IF(D55="KET", 换算标准!$O:$P, IF(D55="PET", 换算标准!$U:$V, 换算标准!$AG:$AH)), 2, TRUE), 0))</f>
        <v/>
      </c>
      <c r="W55" t="str">
        <f t="shared" si="2"/>
        <v/>
      </c>
      <c r="X55" t="str">
        <f>IF(W55="","", IFERROR(VLOOKUP(W55, IF(D55="KET", 换算标准!$Q:$R, IF(D55="PET", 换算标准!$W:$X, 换算标准!$AI:$AJ)), 2, TRUE), 0))</f>
        <v/>
      </c>
      <c r="Y55" t="str">
        <f t="shared" si="3"/>
        <v/>
      </c>
      <c r="Z55" t="str">
        <f>IF(Y55="","", IFERROR(VLOOKUP(Y55, 换算标准!$Z:$AA, 1, TRUE), ""))</f>
        <v/>
      </c>
      <c r="AA55" s="5" t="str">
        <f>IF(L55="","", "⚠️ 薄弱环节: "&amp;INDEX($E$1:$K$1, MATCH(MIN(E55:K55), E55:K55, 0))&amp;CHAR(10)&amp;"📉 考察能力: "&amp;IFERROR(VLOOKUP(TRIM(D55)&amp;"_"&amp;TRIM(INDEX($E$1:$K$1, MATCH(MIN(E55:K55), E55:K55, 0))), 技能库!$A:$F, 5, 0),"建议查阅考纲")&amp;CHAR(10)&amp;"💡 提升建议: "&amp;IFERROR(VLOOKUP(TRIM(D55)&amp;"_"&amp;TRIM(INDEX($E$1:$K$1, MATCH(MIN(E55:K55), E55:K55, 0))), 技能库!$A:$F, 6, 0),"请针对该题型加强练习"))</f>
        <v/>
      </c>
      <c r="AB55" s="5" t="str">
        <f>IF(P55="","", "⚠️ 薄弱环节: "&amp;INDEX($N$1:$O$1, MATCH(MIN(N55:O55), N55:O55, 0))&amp;CHAR(10)&amp;"📉 考察能力: "&amp;IFERROR(VLOOKUP(TRIM(D55)&amp;"_"&amp;TRIM(INDEX($N$1:$O$1, MATCH(MIN(N55:O55), N55:O55, 0))), 技能库!$A:$F, 5, 0),"建议查阅考纲")&amp;CHAR(10)&amp;"💡 提升建议: "&amp;IFERROR(VLOOKUP(TRIM(D55)&amp;"_"&amp;TRIM(INDEX($N$1:$O$1, MATCH(MIN(N55:O55), N55:O55, 0))), 技能库!$A:$F, 6, 0),"请针对该题型加强练习"))</f>
        <v/>
      </c>
      <c r="AC55" s="5" t="str">
        <f>IF(W55="","", "⚠️ 薄弱环节: "&amp;INDEX($R$1:$V$1, MATCH(MIN(R55:V55), R55:V55, 0))&amp;CHAR(10)&amp;"📉 考察能力: "&amp;IFERROR(VLOOKUP(TRIM(D55)&amp;"_"&amp;TRIM(INDEX($R$1:$V$1, MATCH(MIN(R55:V55), R55:V55, 0))), 技能库!$A:$F, 5, 0),"建议查阅考纲")&amp;CHAR(10)&amp;"💡 提升建议: "&amp;IFERROR(VLOOKUP(TRIM(D55)&amp;"_"&amp;TRIM(INDEX($R$1:$V$1, MATCH(MIN(R55:V55), R55:V55, 0))), 技能库!$A:$F, 6, 0),"请针对该题型加强练习"))</f>
        <v/>
      </c>
      <c r="AD55" t="s">
        <v>304</v>
      </c>
    </row>
    <row r="56" spans="12:30" ht="16" hidden="1" x14ac:dyDescent="0.2">
      <c r="L56" t="str">
        <f t="shared" si="0"/>
        <v/>
      </c>
      <c r="M56" t="str">
        <f>IF(L56="","", IFERROR(VLOOKUP(L56, IF(D56="KET", 换算标准!$M:$N, IF(D56="PET", 换算标准!$S:$T, 换算标准!$AC:$AD)), 2, TRUE), 0))</f>
        <v/>
      </c>
      <c r="P56" t="str">
        <f t="shared" si="1"/>
        <v/>
      </c>
      <c r="Q56" t="str">
        <f>IF(P56="","", IFERROR(VLOOKUP(P56, IF(D56="KET", 换算标准!$O:$P, IF(D56="PET", 换算标准!$U:$V, 换算标准!$AG:$AH)), 2, TRUE), 0))</f>
        <v/>
      </c>
      <c r="W56" t="str">
        <f t="shared" si="2"/>
        <v/>
      </c>
      <c r="X56" t="str">
        <f>IF(W56="","", IFERROR(VLOOKUP(W56, IF(D56="KET", 换算标准!$Q:$R, IF(D56="PET", 换算标准!$W:$X, 换算标准!$AI:$AJ)), 2, TRUE), 0))</f>
        <v/>
      </c>
      <c r="Y56" t="str">
        <f t="shared" si="3"/>
        <v/>
      </c>
      <c r="Z56" t="str">
        <f>IF(Y56="","", IFERROR(VLOOKUP(Y56, 换算标准!$Z:$AA, 1, TRUE), ""))</f>
        <v/>
      </c>
      <c r="AA56" s="5" t="str">
        <f>IF(L56="","", "⚠️ 薄弱环节: "&amp;INDEX($E$1:$K$1, MATCH(MIN(E56:K56), E56:K56, 0))&amp;CHAR(10)&amp;"📉 考察能力: "&amp;IFERROR(VLOOKUP(TRIM(D56)&amp;"_"&amp;TRIM(INDEX($E$1:$K$1, MATCH(MIN(E56:K56), E56:K56, 0))), 技能库!$A:$F, 5, 0),"建议查阅考纲")&amp;CHAR(10)&amp;"💡 提升建议: "&amp;IFERROR(VLOOKUP(TRIM(D56)&amp;"_"&amp;TRIM(INDEX($E$1:$K$1, MATCH(MIN(E56:K56), E56:K56, 0))), 技能库!$A:$F, 6, 0),"请针对该题型加强练习"))</f>
        <v/>
      </c>
      <c r="AB56" s="5" t="str">
        <f>IF(P56="","", "⚠️ 薄弱环节: "&amp;INDEX($N$1:$O$1, MATCH(MIN(N56:O56), N56:O56, 0))&amp;CHAR(10)&amp;"📉 考察能力: "&amp;IFERROR(VLOOKUP(TRIM(D56)&amp;"_"&amp;TRIM(INDEX($N$1:$O$1, MATCH(MIN(N56:O56), N56:O56, 0))), 技能库!$A:$F, 5, 0),"建议查阅考纲")&amp;CHAR(10)&amp;"💡 提升建议: "&amp;IFERROR(VLOOKUP(TRIM(D56)&amp;"_"&amp;TRIM(INDEX($N$1:$O$1, MATCH(MIN(N56:O56), N56:O56, 0))), 技能库!$A:$F, 6, 0),"请针对该题型加强练习"))</f>
        <v/>
      </c>
      <c r="AC56" s="5" t="str">
        <f>IF(W56="","", "⚠️ 薄弱环节: "&amp;INDEX($R$1:$V$1, MATCH(MIN(R56:V56), R56:V56, 0))&amp;CHAR(10)&amp;"📉 考察能力: "&amp;IFERROR(VLOOKUP(TRIM(D56)&amp;"_"&amp;TRIM(INDEX($R$1:$V$1, MATCH(MIN(R56:V56), R56:V56, 0))), 技能库!$A:$F, 5, 0),"建议查阅考纲")&amp;CHAR(10)&amp;"💡 提升建议: "&amp;IFERROR(VLOOKUP(TRIM(D56)&amp;"_"&amp;TRIM(INDEX($R$1:$V$1, MATCH(MIN(R56:V56), R56:V56, 0))), 技能库!$A:$F, 6, 0),"请针对该题型加强练习"))</f>
        <v/>
      </c>
      <c r="AD56" t="s">
        <v>304</v>
      </c>
    </row>
    <row r="57" spans="12:30" ht="16" hidden="1" x14ac:dyDescent="0.2">
      <c r="L57" t="str">
        <f t="shared" si="0"/>
        <v/>
      </c>
      <c r="M57" t="str">
        <f>IF(L57="","", IFERROR(VLOOKUP(L57, IF(D57="KET", 换算标准!$M:$N, IF(D57="PET", 换算标准!$S:$T, 换算标准!$AC:$AD)), 2, TRUE), 0))</f>
        <v/>
      </c>
      <c r="P57" t="str">
        <f t="shared" si="1"/>
        <v/>
      </c>
      <c r="Q57" t="str">
        <f>IF(P57="","", IFERROR(VLOOKUP(P57, IF(D57="KET", 换算标准!$O:$P, IF(D57="PET", 换算标准!$U:$V, 换算标准!$AG:$AH)), 2, TRUE), 0))</f>
        <v/>
      </c>
      <c r="W57" t="str">
        <f t="shared" si="2"/>
        <v/>
      </c>
      <c r="X57" t="str">
        <f>IF(W57="","", IFERROR(VLOOKUP(W57, IF(D57="KET", 换算标准!$Q:$R, IF(D57="PET", 换算标准!$W:$X, 换算标准!$AI:$AJ)), 2, TRUE), 0))</f>
        <v/>
      </c>
      <c r="Y57" t="str">
        <f t="shared" si="3"/>
        <v/>
      </c>
      <c r="Z57" t="str">
        <f>IF(Y57="","", IFERROR(VLOOKUP(Y57, 换算标准!$Z:$AA, 1, TRUE), ""))</f>
        <v/>
      </c>
      <c r="AA57" s="5" t="str">
        <f>IF(L57="","", "⚠️ 薄弱环节: "&amp;INDEX($E$1:$K$1, MATCH(MIN(E57:K57), E57:K57, 0))&amp;CHAR(10)&amp;"📉 考察能力: "&amp;IFERROR(VLOOKUP(TRIM(D57)&amp;"_"&amp;TRIM(INDEX($E$1:$K$1, MATCH(MIN(E57:K57), E57:K57, 0))), 技能库!$A:$F, 5, 0),"建议查阅考纲")&amp;CHAR(10)&amp;"💡 提升建议: "&amp;IFERROR(VLOOKUP(TRIM(D57)&amp;"_"&amp;TRIM(INDEX($E$1:$K$1, MATCH(MIN(E57:K57), E57:K57, 0))), 技能库!$A:$F, 6, 0),"请针对该题型加强练习"))</f>
        <v/>
      </c>
      <c r="AB57" s="5" t="str">
        <f>IF(P57="","", "⚠️ 薄弱环节: "&amp;INDEX($N$1:$O$1, MATCH(MIN(N57:O57), N57:O57, 0))&amp;CHAR(10)&amp;"📉 考察能力: "&amp;IFERROR(VLOOKUP(TRIM(D57)&amp;"_"&amp;TRIM(INDEX($N$1:$O$1, MATCH(MIN(N57:O57), N57:O57, 0))), 技能库!$A:$F, 5, 0),"建议查阅考纲")&amp;CHAR(10)&amp;"💡 提升建议: "&amp;IFERROR(VLOOKUP(TRIM(D57)&amp;"_"&amp;TRIM(INDEX($N$1:$O$1, MATCH(MIN(N57:O57), N57:O57, 0))), 技能库!$A:$F, 6, 0),"请针对该题型加强练习"))</f>
        <v/>
      </c>
      <c r="AC57" s="5" t="str">
        <f>IF(W57="","", "⚠️ 薄弱环节: "&amp;INDEX($R$1:$V$1, MATCH(MIN(R57:V57), R57:V57, 0))&amp;CHAR(10)&amp;"📉 考察能力: "&amp;IFERROR(VLOOKUP(TRIM(D57)&amp;"_"&amp;TRIM(INDEX($R$1:$V$1, MATCH(MIN(R57:V57), R57:V57, 0))), 技能库!$A:$F, 5, 0),"建议查阅考纲")&amp;CHAR(10)&amp;"💡 提升建议: "&amp;IFERROR(VLOOKUP(TRIM(D57)&amp;"_"&amp;TRIM(INDEX($R$1:$V$1, MATCH(MIN(R57:V57), R57:V57, 0))), 技能库!$A:$F, 6, 0),"请针对该题型加强练习"))</f>
        <v/>
      </c>
      <c r="AD57" t="s">
        <v>304</v>
      </c>
    </row>
    <row r="58" spans="12:30" ht="16" hidden="1" x14ac:dyDescent="0.2">
      <c r="L58" t="str">
        <f t="shared" si="0"/>
        <v/>
      </c>
      <c r="M58" t="str">
        <f>IF(L58="","", IFERROR(VLOOKUP(L58, IF(D58="KET", 换算标准!$M:$N, IF(D58="PET", 换算标准!$S:$T, 换算标准!$AC:$AD)), 2, TRUE), 0))</f>
        <v/>
      </c>
      <c r="P58" t="str">
        <f t="shared" si="1"/>
        <v/>
      </c>
      <c r="Q58" t="str">
        <f>IF(P58="","", IFERROR(VLOOKUP(P58, IF(D58="KET", 换算标准!$O:$P, IF(D58="PET", 换算标准!$U:$V, 换算标准!$AG:$AH)), 2, TRUE), 0))</f>
        <v/>
      </c>
      <c r="W58" t="str">
        <f t="shared" si="2"/>
        <v/>
      </c>
      <c r="X58" t="str">
        <f>IF(W58="","", IFERROR(VLOOKUP(W58, IF(D58="KET", 换算标准!$Q:$R, IF(D58="PET", 换算标准!$W:$X, 换算标准!$AI:$AJ)), 2, TRUE), 0))</f>
        <v/>
      </c>
      <c r="Y58" t="str">
        <f t="shared" si="3"/>
        <v/>
      </c>
      <c r="Z58" t="str">
        <f>IF(Y58="","", IFERROR(VLOOKUP(Y58, 换算标准!$Z:$AA, 1, TRUE), ""))</f>
        <v/>
      </c>
      <c r="AA58" s="5" t="str">
        <f>IF(L58="","", "⚠️ 薄弱环节: "&amp;INDEX($E$1:$K$1, MATCH(MIN(E58:K58), E58:K58, 0))&amp;CHAR(10)&amp;"📉 考察能力: "&amp;IFERROR(VLOOKUP(TRIM(D58)&amp;"_"&amp;TRIM(INDEX($E$1:$K$1, MATCH(MIN(E58:K58), E58:K58, 0))), 技能库!$A:$F, 5, 0),"建议查阅考纲")&amp;CHAR(10)&amp;"💡 提升建议: "&amp;IFERROR(VLOOKUP(TRIM(D58)&amp;"_"&amp;TRIM(INDEX($E$1:$K$1, MATCH(MIN(E58:K58), E58:K58, 0))), 技能库!$A:$F, 6, 0),"请针对该题型加强练习"))</f>
        <v/>
      </c>
      <c r="AB58" s="5" t="str">
        <f>IF(P58="","", "⚠️ 薄弱环节: "&amp;INDEX($N$1:$O$1, MATCH(MIN(N58:O58), N58:O58, 0))&amp;CHAR(10)&amp;"📉 考察能力: "&amp;IFERROR(VLOOKUP(TRIM(D58)&amp;"_"&amp;TRIM(INDEX($N$1:$O$1, MATCH(MIN(N58:O58), N58:O58, 0))), 技能库!$A:$F, 5, 0),"建议查阅考纲")&amp;CHAR(10)&amp;"💡 提升建议: "&amp;IFERROR(VLOOKUP(TRIM(D58)&amp;"_"&amp;TRIM(INDEX($N$1:$O$1, MATCH(MIN(N58:O58), N58:O58, 0))), 技能库!$A:$F, 6, 0),"请针对该题型加强练习"))</f>
        <v/>
      </c>
      <c r="AC58" s="5" t="str">
        <f>IF(W58="","", "⚠️ 薄弱环节: "&amp;INDEX($R$1:$V$1, MATCH(MIN(R58:V58), R58:V58, 0))&amp;CHAR(10)&amp;"📉 考察能力: "&amp;IFERROR(VLOOKUP(TRIM(D58)&amp;"_"&amp;TRIM(INDEX($R$1:$V$1, MATCH(MIN(R58:V58), R58:V58, 0))), 技能库!$A:$F, 5, 0),"建议查阅考纲")&amp;CHAR(10)&amp;"💡 提升建议: "&amp;IFERROR(VLOOKUP(TRIM(D58)&amp;"_"&amp;TRIM(INDEX($R$1:$V$1, MATCH(MIN(R58:V58), R58:V58, 0))), 技能库!$A:$F, 6, 0),"请针对该题型加强练习"))</f>
        <v/>
      </c>
      <c r="AD58" t="s">
        <v>304</v>
      </c>
    </row>
    <row r="59" spans="12:30" ht="16" hidden="1" x14ac:dyDescent="0.2">
      <c r="L59" t="str">
        <f t="shared" si="0"/>
        <v/>
      </c>
      <c r="M59" t="str">
        <f>IF(L59="","", IFERROR(VLOOKUP(L59, IF(D59="KET", 换算标准!$M:$N, IF(D59="PET", 换算标准!$S:$T, 换算标准!$AC:$AD)), 2, TRUE), 0))</f>
        <v/>
      </c>
      <c r="P59" t="str">
        <f t="shared" si="1"/>
        <v/>
      </c>
      <c r="Q59" t="str">
        <f>IF(P59="","", IFERROR(VLOOKUP(P59, IF(D59="KET", 换算标准!$O:$P, IF(D59="PET", 换算标准!$U:$V, 换算标准!$AG:$AH)), 2, TRUE), 0))</f>
        <v/>
      </c>
      <c r="W59" t="str">
        <f t="shared" si="2"/>
        <v/>
      </c>
      <c r="X59" t="str">
        <f>IF(W59="","", IFERROR(VLOOKUP(W59, IF(D59="KET", 换算标准!$Q:$R, IF(D59="PET", 换算标准!$W:$X, 换算标准!$AI:$AJ)), 2, TRUE), 0))</f>
        <v/>
      </c>
      <c r="Y59" t="str">
        <f t="shared" si="3"/>
        <v/>
      </c>
      <c r="Z59" t="str">
        <f>IF(Y59="","", IFERROR(VLOOKUP(Y59, 换算标准!$Z:$AA, 1, TRUE), ""))</f>
        <v/>
      </c>
      <c r="AA59" s="5" t="str">
        <f>IF(L59="","", "⚠️ 薄弱环节: "&amp;INDEX($E$1:$K$1, MATCH(MIN(E59:K59), E59:K59, 0))&amp;CHAR(10)&amp;"📉 考察能力: "&amp;IFERROR(VLOOKUP(TRIM(D59)&amp;"_"&amp;TRIM(INDEX($E$1:$K$1, MATCH(MIN(E59:K59), E59:K59, 0))), 技能库!$A:$F, 5, 0),"建议查阅考纲")&amp;CHAR(10)&amp;"💡 提升建议: "&amp;IFERROR(VLOOKUP(TRIM(D59)&amp;"_"&amp;TRIM(INDEX($E$1:$K$1, MATCH(MIN(E59:K59), E59:K59, 0))), 技能库!$A:$F, 6, 0),"请针对该题型加强练习"))</f>
        <v/>
      </c>
      <c r="AB59" s="5" t="str">
        <f>IF(P59="","", "⚠️ 薄弱环节: "&amp;INDEX($N$1:$O$1, MATCH(MIN(N59:O59), N59:O59, 0))&amp;CHAR(10)&amp;"📉 考察能力: "&amp;IFERROR(VLOOKUP(TRIM(D59)&amp;"_"&amp;TRIM(INDEX($N$1:$O$1, MATCH(MIN(N59:O59), N59:O59, 0))), 技能库!$A:$F, 5, 0),"建议查阅考纲")&amp;CHAR(10)&amp;"💡 提升建议: "&amp;IFERROR(VLOOKUP(TRIM(D59)&amp;"_"&amp;TRIM(INDEX($N$1:$O$1, MATCH(MIN(N59:O59), N59:O59, 0))), 技能库!$A:$F, 6, 0),"请针对该题型加强练习"))</f>
        <v/>
      </c>
      <c r="AC59" s="5" t="str">
        <f>IF(W59="","", "⚠️ 薄弱环节: "&amp;INDEX($R$1:$V$1, MATCH(MIN(R59:V59), R59:V59, 0))&amp;CHAR(10)&amp;"📉 考察能力: "&amp;IFERROR(VLOOKUP(TRIM(D59)&amp;"_"&amp;TRIM(INDEX($R$1:$V$1, MATCH(MIN(R59:V59), R59:V59, 0))), 技能库!$A:$F, 5, 0),"建议查阅考纲")&amp;CHAR(10)&amp;"💡 提升建议: "&amp;IFERROR(VLOOKUP(TRIM(D59)&amp;"_"&amp;TRIM(INDEX($R$1:$V$1, MATCH(MIN(R59:V59), R59:V59, 0))), 技能库!$A:$F, 6, 0),"请针对该题型加强练习"))</f>
        <v/>
      </c>
      <c r="AD59" t="s">
        <v>304</v>
      </c>
    </row>
    <row r="60" spans="12:30" ht="16" hidden="1" x14ac:dyDescent="0.2">
      <c r="L60" t="str">
        <f t="shared" si="0"/>
        <v/>
      </c>
      <c r="M60" t="str">
        <f>IF(L60="","", IFERROR(VLOOKUP(L60, IF(D60="KET", 换算标准!$M:$N, IF(D60="PET", 换算标准!$S:$T, 换算标准!$AC:$AD)), 2, TRUE), 0))</f>
        <v/>
      </c>
      <c r="P60" t="str">
        <f t="shared" si="1"/>
        <v/>
      </c>
      <c r="Q60" t="str">
        <f>IF(P60="","", IFERROR(VLOOKUP(P60, IF(D60="KET", 换算标准!$O:$P, IF(D60="PET", 换算标准!$U:$V, 换算标准!$AG:$AH)), 2, TRUE), 0))</f>
        <v/>
      </c>
      <c r="W60" t="str">
        <f t="shared" si="2"/>
        <v/>
      </c>
      <c r="X60" t="str">
        <f>IF(W60="","", IFERROR(VLOOKUP(W60, IF(D60="KET", 换算标准!$Q:$R, IF(D60="PET", 换算标准!$W:$X, 换算标准!$AI:$AJ)), 2, TRUE), 0))</f>
        <v/>
      </c>
      <c r="Y60" t="str">
        <f t="shared" si="3"/>
        <v/>
      </c>
      <c r="Z60" t="str">
        <f>IF(Y60="","", IFERROR(VLOOKUP(Y60, 换算标准!$Z:$AA, 1, TRUE), ""))</f>
        <v/>
      </c>
      <c r="AA60" s="5" t="str">
        <f>IF(L60="","", "⚠️ 薄弱环节: "&amp;INDEX($E$1:$K$1, MATCH(MIN(E60:K60), E60:K60, 0))&amp;CHAR(10)&amp;"📉 考察能力: "&amp;IFERROR(VLOOKUP(TRIM(D60)&amp;"_"&amp;TRIM(INDEX($E$1:$K$1, MATCH(MIN(E60:K60), E60:K60, 0))), 技能库!$A:$F, 5, 0),"建议查阅考纲")&amp;CHAR(10)&amp;"💡 提升建议: "&amp;IFERROR(VLOOKUP(TRIM(D60)&amp;"_"&amp;TRIM(INDEX($E$1:$K$1, MATCH(MIN(E60:K60), E60:K60, 0))), 技能库!$A:$F, 6, 0),"请针对该题型加强练习"))</f>
        <v/>
      </c>
      <c r="AB60" s="5" t="str">
        <f>IF(P60="","", "⚠️ 薄弱环节: "&amp;INDEX($N$1:$O$1, MATCH(MIN(N60:O60), N60:O60, 0))&amp;CHAR(10)&amp;"📉 考察能力: "&amp;IFERROR(VLOOKUP(TRIM(D60)&amp;"_"&amp;TRIM(INDEX($N$1:$O$1, MATCH(MIN(N60:O60), N60:O60, 0))), 技能库!$A:$F, 5, 0),"建议查阅考纲")&amp;CHAR(10)&amp;"💡 提升建议: "&amp;IFERROR(VLOOKUP(TRIM(D60)&amp;"_"&amp;TRIM(INDEX($N$1:$O$1, MATCH(MIN(N60:O60), N60:O60, 0))), 技能库!$A:$F, 6, 0),"请针对该题型加强练习"))</f>
        <v/>
      </c>
      <c r="AC60" s="5" t="str">
        <f>IF(W60="","", "⚠️ 薄弱环节: "&amp;INDEX($R$1:$V$1, MATCH(MIN(R60:V60), R60:V60, 0))&amp;CHAR(10)&amp;"📉 考察能力: "&amp;IFERROR(VLOOKUP(TRIM(D60)&amp;"_"&amp;TRIM(INDEX($R$1:$V$1, MATCH(MIN(R60:V60), R60:V60, 0))), 技能库!$A:$F, 5, 0),"建议查阅考纲")&amp;CHAR(10)&amp;"💡 提升建议: "&amp;IFERROR(VLOOKUP(TRIM(D60)&amp;"_"&amp;TRIM(INDEX($R$1:$V$1, MATCH(MIN(R60:V60), R60:V60, 0))), 技能库!$A:$F, 6, 0),"请针对该题型加强练习"))</f>
        <v/>
      </c>
      <c r="AD60" t="s">
        <v>304</v>
      </c>
    </row>
    <row r="61" spans="12:30" ht="16" hidden="1" x14ac:dyDescent="0.2">
      <c r="L61" t="str">
        <f t="shared" si="0"/>
        <v/>
      </c>
      <c r="M61" t="str">
        <f>IF(L61="","", IFERROR(VLOOKUP(L61, IF(D61="KET", 换算标准!$M:$N, IF(D61="PET", 换算标准!$S:$T, 换算标准!$AC:$AD)), 2, TRUE), 0))</f>
        <v/>
      </c>
      <c r="P61" t="str">
        <f t="shared" si="1"/>
        <v/>
      </c>
      <c r="Q61" t="str">
        <f>IF(P61="","", IFERROR(VLOOKUP(P61, IF(D61="KET", 换算标准!$O:$P, IF(D61="PET", 换算标准!$U:$V, 换算标准!$AG:$AH)), 2, TRUE), 0))</f>
        <v/>
      </c>
      <c r="W61" t="str">
        <f t="shared" si="2"/>
        <v/>
      </c>
      <c r="X61" t="str">
        <f>IF(W61="","", IFERROR(VLOOKUP(W61, IF(D61="KET", 换算标准!$Q:$R, IF(D61="PET", 换算标准!$W:$X, 换算标准!$AI:$AJ)), 2, TRUE), 0))</f>
        <v/>
      </c>
      <c r="Y61" t="str">
        <f t="shared" si="3"/>
        <v/>
      </c>
      <c r="Z61" t="str">
        <f>IF(Y61="","", IFERROR(VLOOKUP(Y61, 换算标准!$Z:$AA, 1, TRUE), ""))</f>
        <v/>
      </c>
      <c r="AA61" s="5" t="str">
        <f>IF(L61="","", "⚠️ 薄弱环节: "&amp;INDEX($E$1:$K$1, MATCH(MIN(E61:K61), E61:K61, 0))&amp;CHAR(10)&amp;"📉 考察能力: "&amp;IFERROR(VLOOKUP(TRIM(D61)&amp;"_"&amp;TRIM(INDEX($E$1:$K$1, MATCH(MIN(E61:K61), E61:K61, 0))), 技能库!$A:$F, 5, 0),"建议查阅考纲")&amp;CHAR(10)&amp;"💡 提升建议: "&amp;IFERROR(VLOOKUP(TRIM(D61)&amp;"_"&amp;TRIM(INDEX($E$1:$K$1, MATCH(MIN(E61:K61), E61:K61, 0))), 技能库!$A:$F, 6, 0),"请针对该题型加强练习"))</f>
        <v/>
      </c>
      <c r="AB61" s="5" t="str">
        <f>IF(P61="","", "⚠️ 薄弱环节: "&amp;INDEX($N$1:$O$1, MATCH(MIN(N61:O61), N61:O61, 0))&amp;CHAR(10)&amp;"📉 考察能力: "&amp;IFERROR(VLOOKUP(TRIM(D61)&amp;"_"&amp;TRIM(INDEX($N$1:$O$1, MATCH(MIN(N61:O61), N61:O61, 0))), 技能库!$A:$F, 5, 0),"建议查阅考纲")&amp;CHAR(10)&amp;"💡 提升建议: "&amp;IFERROR(VLOOKUP(TRIM(D61)&amp;"_"&amp;TRIM(INDEX($N$1:$O$1, MATCH(MIN(N61:O61), N61:O61, 0))), 技能库!$A:$F, 6, 0),"请针对该题型加强练习"))</f>
        <v/>
      </c>
      <c r="AC61" s="5" t="str">
        <f>IF(W61="","", "⚠️ 薄弱环节: "&amp;INDEX($R$1:$V$1, MATCH(MIN(R61:V61), R61:V61, 0))&amp;CHAR(10)&amp;"📉 考察能力: "&amp;IFERROR(VLOOKUP(TRIM(D61)&amp;"_"&amp;TRIM(INDEX($R$1:$V$1, MATCH(MIN(R61:V61), R61:V61, 0))), 技能库!$A:$F, 5, 0),"建议查阅考纲")&amp;CHAR(10)&amp;"💡 提升建议: "&amp;IFERROR(VLOOKUP(TRIM(D61)&amp;"_"&amp;TRIM(INDEX($R$1:$V$1, MATCH(MIN(R61:V61), R61:V61, 0))), 技能库!$A:$F, 6, 0),"请针对该题型加强练习"))</f>
        <v/>
      </c>
      <c r="AD61" t="s">
        <v>304</v>
      </c>
    </row>
    <row r="62" spans="12:30" ht="16" hidden="1" x14ac:dyDescent="0.2">
      <c r="L62" t="str">
        <f t="shared" si="0"/>
        <v/>
      </c>
      <c r="M62" t="str">
        <f>IF(L62="","", IFERROR(VLOOKUP(L62, IF(D62="KET", 换算标准!$M:$N, IF(D62="PET", 换算标准!$S:$T, 换算标准!$AC:$AD)), 2, TRUE), 0))</f>
        <v/>
      </c>
      <c r="P62" t="str">
        <f t="shared" si="1"/>
        <v/>
      </c>
      <c r="Q62" t="str">
        <f>IF(P62="","", IFERROR(VLOOKUP(P62, IF(D62="KET", 换算标准!$O:$P, IF(D62="PET", 换算标准!$U:$V, 换算标准!$AG:$AH)), 2, TRUE), 0))</f>
        <v/>
      </c>
      <c r="W62" t="str">
        <f t="shared" si="2"/>
        <v/>
      </c>
      <c r="X62" t="str">
        <f>IF(W62="","", IFERROR(VLOOKUP(W62, IF(D62="KET", 换算标准!$Q:$R, IF(D62="PET", 换算标准!$W:$X, 换算标准!$AI:$AJ)), 2, TRUE), 0))</f>
        <v/>
      </c>
      <c r="Y62" t="str">
        <f t="shared" si="3"/>
        <v/>
      </c>
      <c r="Z62" t="str">
        <f>IF(Y62="","", IFERROR(VLOOKUP(Y62, 换算标准!$Z:$AA, 1, TRUE), ""))</f>
        <v/>
      </c>
      <c r="AA62" s="5" t="str">
        <f>IF(L62="","", "⚠️ 薄弱环节: "&amp;INDEX($E$1:$K$1, MATCH(MIN(E62:K62), E62:K62, 0))&amp;CHAR(10)&amp;"📉 考察能力: "&amp;IFERROR(VLOOKUP(TRIM(D62)&amp;"_"&amp;TRIM(INDEX($E$1:$K$1, MATCH(MIN(E62:K62), E62:K62, 0))), 技能库!$A:$F, 5, 0),"建议查阅考纲")&amp;CHAR(10)&amp;"💡 提升建议: "&amp;IFERROR(VLOOKUP(TRIM(D62)&amp;"_"&amp;TRIM(INDEX($E$1:$K$1, MATCH(MIN(E62:K62), E62:K62, 0))), 技能库!$A:$F, 6, 0),"请针对该题型加强练习"))</f>
        <v/>
      </c>
      <c r="AB62" s="5" t="str">
        <f>IF(P62="","", "⚠️ 薄弱环节: "&amp;INDEX($N$1:$O$1, MATCH(MIN(N62:O62), N62:O62, 0))&amp;CHAR(10)&amp;"📉 考察能力: "&amp;IFERROR(VLOOKUP(TRIM(D62)&amp;"_"&amp;TRIM(INDEX($N$1:$O$1, MATCH(MIN(N62:O62), N62:O62, 0))), 技能库!$A:$F, 5, 0),"建议查阅考纲")&amp;CHAR(10)&amp;"💡 提升建议: "&amp;IFERROR(VLOOKUP(TRIM(D62)&amp;"_"&amp;TRIM(INDEX($N$1:$O$1, MATCH(MIN(N62:O62), N62:O62, 0))), 技能库!$A:$F, 6, 0),"请针对该题型加强练习"))</f>
        <v/>
      </c>
      <c r="AC62" s="5" t="str">
        <f>IF(W62="","", "⚠️ 薄弱环节: "&amp;INDEX($R$1:$V$1, MATCH(MIN(R62:V62), R62:V62, 0))&amp;CHAR(10)&amp;"📉 考察能力: "&amp;IFERROR(VLOOKUP(TRIM(D62)&amp;"_"&amp;TRIM(INDEX($R$1:$V$1, MATCH(MIN(R62:V62), R62:V62, 0))), 技能库!$A:$F, 5, 0),"建议查阅考纲")&amp;CHAR(10)&amp;"💡 提升建议: "&amp;IFERROR(VLOOKUP(TRIM(D62)&amp;"_"&amp;TRIM(INDEX($R$1:$V$1, MATCH(MIN(R62:V62), R62:V62, 0))), 技能库!$A:$F, 6, 0),"请针对该题型加强练习"))</f>
        <v/>
      </c>
      <c r="AD62" t="s">
        <v>304</v>
      </c>
    </row>
    <row r="63" spans="12:30" ht="16" hidden="1" x14ac:dyDescent="0.2">
      <c r="L63" t="str">
        <f t="shared" si="0"/>
        <v/>
      </c>
      <c r="M63" t="str">
        <f>IF(L63="","", IFERROR(VLOOKUP(L63, IF(D63="KET", 换算标准!$M:$N, IF(D63="PET", 换算标准!$S:$T, 换算标准!$AC:$AD)), 2, TRUE), 0))</f>
        <v/>
      </c>
      <c r="P63" t="str">
        <f t="shared" si="1"/>
        <v/>
      </c>
      <c r="Q63" t="str">
        <f>IF(P63="","", IFERROR(VLOOKUP(P63, IF(D63="KET", 换算标准!$O:$P, IF(D63="PET", 换算标准!$U:$V, 换算标准!$AG:$AH)), 2, TRUE), 0))</f>
        <v/>
      </c>
      <c r="W63" t="str">
        <f t="shared" si="2"/>
        <v/>
      </c>
      <c r="X63" t="str">
        <f>IF(W63="","", IFERROR(VLOOKUP(W63, IF(D63="KET", 换算标准!$Q:$R, IF(D63="PET", 换算标准!$W:$X, 换算标准!$AI:$AJ)), 2, TRUE), 0))</f>
        <v/>
      </c>
      <c r="Y63" t="str">
        <f t="shared" si="3"/>
        <v/>
      </c>
      <c r="Z63" t="str">
        <f>IF(Y63="","", IFERROR(VLOOKUP(Y63, 换算标准!$Z:$AA, 1, TRUE), ""))</f>
        <v/>
      </c>
      <c r="AA63" s="5" t="str">
        <f>IF(L63="","", "⚠️ 薄弱环节: "&amp;INDEX($E$1:$K$1, MATCH(MIN(E63:K63), E63:K63, 0))&amp;CHAR(10)&amp;"📉 考察能力: "&amp;IFERROR(VLOOKUP(TRIM(D63)&amp;"_"&amp;TRIM(INDEX($E$1:$K$1, MATCH(MIN(E63:K63), E63:K63, 0))), 技能库!$A:$F, 5, 0),"建议查阅考纲")&amp;CHAR(10)&amp;"💡 提升建议: "&amp;IFERROR(VLOOKUP(TRIM(D63)&amp;"_"&amp;TRIM(INDEX($E$1:$K$1, MATCH(MIN(E63:K63), E63:K63, 0))), 技能库!$A:$F, 6, 0),"请针对该题型加强练习"))</f>
        <v/>
      </c>
      <c r="AB63" s="5" t="str">
        <f>IF(P63="","", "⚠️ 薄弱环节: "&amp;INDEX($N$1:$O$1, MATCH(MIN(N63:O63), N63:O63, 0))&amp;CHAR(10)&amp;"📉 考察能力: "&amp;IFERROR(VLOOKUP(TRIM(D63)&amp;"_"&amp;TRIM(INDEX($N$1:$O$1, MATCH(MIN(N63:O63), N63:O63, 0))), 技能库!$A:$F, 5, 0),"建议查阅考纲")&amp;CHAR(10)&amp;"💡 提升建议: "&amp;IFERROR(VLOOKUP(TRIM(D63)&amp;"_"&amp;TRIM(INDEX($N$1:$O$1, MATCH(MIN(N63:O63), N63:O63, 0))), 技能库!$A:$F, 6, 0),"请针对该题型加强练习"))</f>
        <v/>
      </c>
      <c r="AC63" s="5" t="str">
        <f>IF(W63="","", "⚠️ 薄弱环节: "&amp;INDEX($R$1:$V$1, MATCH(MIN(R63:V63), R63:V63, 0))&amp;CHAR(10)&amp;"📉 考察能力: "&amp;IFERROR(VLOOKUP(TRIM(D63)&amp;"_"&amp;TRIM(INDEX($R$1:$V$1, MATCH(MIN(R63:V63), R63:V63, 0))), 技能库!$A:$F, 5, 0),"建议查阅考纲")&amp;CHAR(10)&amp;"💡 提升建议: "&amp;IFERROR(VLOOKUP(TRIM(D63)&amp;"_"&amp;TRIM(INDEX($R$1:$V$1, MATCH(MIN(R63:V63), R63:V63, 0))), 技能库!$A:$F, 6, 0),"请针对该题型加强练习"))</f>
        <v/>
      </c>
      <c r="AD63" t="s">
        <v>304</v>
      </c>
    </row>
    <row r="64" spans="12:30" ht="16" hidden="1" x14ac:dyDescent="0.2">
      <c r="L64" t="str">
        <f t="shared" si="0"/>
        <v/>
      </c>
      <c r="M64" t="str">
        <f>IF(L64="","", IFERROR(VLOOKUP(L64, IF(D64="KET", 换算标准!$M:$N, IF(D64="PET", 换算标准!$S:$T, 换算标准!$AC:$AD)), 2, TRUE), 0))</f>
        <v/>
      </c>
      <c r="P64" t="str">
        <f t="shared" si="1"/>
        <v/>
      </c>
      <c r="Q64" t="str">
        <f>IF(P64="","", IFERROR(VLOOKUP(P64, IF(D64="KET", 换算标准!$O:$P, IF(D64="PET", 换算标准!$U:$V, 换算标准!$AG:$AH)), 2, TRUE), 0))</f>
        <v/>
      </c>
      <c r="W64" t="str">
        <f t="shared" si="2"/>
        <v/>
      </c>
      <c r="X64" t="str">
        <f>IF(W64="","", IFERROR(VLOOKUP(W64, IF(D64="KET", 换算标准!$Q:$R, IF(D64="PET", 换算标准!$W:$X, 换算标准!$AI:$AJ)), 2, TRUE), 0))</f>
        <v/>
      </c>
      <c r="Y64" t="str">
        <f t="shared" si="3"/>
        <v/>
      </c>
      <c r="Z64" t="str">
        <f>IF(Y64="","", IFERROR(VLOOKUP(Y64, 换算标准!$Z:$AA, 1, TRUE), ""))</f>
        <v/>
      </c>
      <c r="AA64" s="5" t="str">
        <f>IF(L64="","", "⚠️ 薄弱环节: "&amp;INDEX($E$1:$K$1, MATCH(MIN(E64:K64), E64:K64, 0))&amp;CHAR(10)&amp;"📉 考察能力: "&amp;IFERROR(VLOOKUP(TRIM(D64)&amp;"_"&amp;TRIM(INDEX($E$1:$K$1, MATCH(MIN(E64:K64), E64:K64, 0))), 技能库!$A:$F, 5, 0),"建议查阅考纲")&amp;CHAR(10)&amp;"💡 提升建议: "&amp;IFERROR(VLOOKUP(TRIM(D64)&amp;"_"&amp;TRIM(INDEX($E$1:$K$1, MATCH(MIN(E64:K64), E64:K64, 0))), 技能库!$A:$F, 6, 0),"请针对该题型加强练习"))</f>
        <v/>
      </c>
      <c r="AB64" s="5" t="str">
        <f>IF(P64="","", "⚠️ 薄弱环节: "&amp;INDEX($N$1:$O$1, MATCH(MIN(N64:O64), N64:O64, 0))&amp;CHAR(10)&amp;"📉 考察能力: "&amp;IFERROR(VLOOKUP(TRIM(D64)&amp;"_"&amp;TRIM(INDEX($N$1:$O$1, MATCH(MIN(N64:O64), N64:O64, 0))), 技能库!$A:$F, 5, 0),"建议查阅考纲")&amp;CHAR(10)&amp;"💡 提升建议: "&amp;IFERROR(VLOOKUP(TRIM(D64)&amp;"_"&amp;TRIM(INDEX($N$1:$O$1, MATCH(MIN(N64:O64), N64:O64, 0))), 技能库!$A:$F, 6, 0),"请针对该题型加强练习"))</f>
        <v/>
      </c>
      <c r="AC64" s="5" t="str">
        <f>IF(W64="","", "⚠️ 薄弱环节: "&amp;INDEX($R$1:$V$1, MATCH(MIN(R64:V64), R64:V64, 0))&amp;CHAR(10)&amp;"📉 考察能力: "&amp;IFERROR(VLOOKUP(TRIM(D64)&amp;"_"&amp;TRIM(INDEX($R$1:$V$1, MATCH(MIN(R64:V64), R64:V64, 0))), 技能库!$A:$F, 5, 0),"建议查阅考纲")&amp;CHAR(10)&amp;"💡 提升建议: "&amp;IFERROR(VLOOKUP(TRIM(D64)&amp;"_"&amp;TRIM(INDEX($R$1:$V$1, MATCH(MIN(R64:V64), R64:V64, 0))), 技能库!$A:$F, 6, 0),"请针对该题型加强练习"))</f>
        <v/>
      </c>
      <c r="AD64" t="s">
        <v>304</v>
      </c>
    </row>
    <row r="65" spans="12:30" ht="16" hidden="1" x14ac:dyDescent="0.2">
      <c r="L65" t="str">
        <f t="shared" si="0"/>
        <v/>
      </c>
      <c r="M65" t="str">
        <f>IF(L65="","", IFERROR(VLOOKUP(L65, IF(D65="KET", 换算标准!$M:$N, IF(D65="PET", 换算标准!$S:$T, 换算标准!$AC:$AD)), 2, TRUE), 0))</f>
        <v/>
      </c>
      <c r="P65" t="str">
        <f t="shared" si="1"/>
        <v/>
      </c>
      <c r="Q65" t="str">
        <f>IF(P65="","", IFERROR(VLOOKUP(P65, IF(D65="KET", 换算标准!$O:$P, IF(D65="PET", 换算标准!$U:$V, 换算标准!$AG:$AH)), 2, TRUE), 0))</f>
        <v/>
      </c>
      <c r="W65" t="str">
        <f t="shared" si="2"/>
        <v/>
      </c>
      <c r="X65" t="str">
        <f>IF(W65="","", IFERROR(VLOOKUP(W65, IF(D65="KET", 换算标准!$Q:$R, IF(D65="PET", 换算标准!$W:$X, 换算标准!$AI:$AJ)), 2, TRUE), 0))</f>
        <v/>
      </c>
      <c r="Y65" t="str">
        <f t="shared" si="3"/>
        <v/>
      </c>
      <c r="Z65" t="str">
        <f>IF(Y65="","", IFERROR(VLOOKUP(Y65, 换算标准!$Z:$AA, 1, TRUE), ""))</f>
        <v/>
      </c>
      <c r="AA65" s="5" t="str">
        <f>IF(L65="","", "⚠️ 薄弱环节: "&amp;INDEX($E$1:$K$1, MATCH(MIN(E65:K65), E65:K65, 0))&amp;CHAR(10)&amp;"📉 考察能力: "&amp;IFERROR(VLOOKUP(TRIM(D65)&amp;"_"&amp;TRIM(INDEX($E$1:$K$1, MATCH(MIN(E65:K65), E65:K65, 0))), 技能库!$A:$F, 5, 0),"建议查阅考纲")&amp;CHAR(10)&amp;"💡 提升建议: "&amp;IFERROR(VLOOKUP(TRIM(D65)&amp;"_"&amp;TRIM(INDEX($E$1:$K$1, MATCH(MIN(E65:K65), E65:K65, 0))), 技能库!$A:$F, 6, 0),"请针对该题型加强练习"))</f>
        <v/>
      </c>
      <c r="AB65" s="5" t="str">
        <f>IF(P65="","", "⚠️ 薄弱环节: "&amp;INDEX($N$1:$O$1, MATCH(MIN(N65:O65), N65:O65, 0))&amp;CHAR(10)&amp;"📉 考察能力: "&amp;IFERROR(VLOOKUP(TRIM(D65)&amp;"_"&amp;TRIM(INDEX($N$1:$O$1, MATCH(MIN(N65:O65), N65:O65, 0))), 技能库!$A:$F, 5, 0),"建议查阅考纲")&amp;CHAR(10)&amp;"💡 提升建议: "&amp;IFERROR(VLOOKUP(TRIM(D65)&amp;"_"&amp;TRIM(INDEX($N$1:$O$1, MATCH(MIN(N65:O65), N65:O65, 0))), 技能库!$A:$F, 6, 0),"请针对该题型加强练习"))</f>
        <v/>
      </c>
      <c r="AC65" s="5" t="str">
        <f>IF(W65="","", "⚠️ 薄弱环节: "&amp;INDEX($R$1:$V$1, MATCH(MIN(R65:V65), R65:V65, 0))&amp;CHAR(10)&amp;"📉 考察能力: "&amp;IFERROR(VLOOKUP(TRIM(D65)&amp;"_"&amp;TRIM(INDEX($R$1:$V$1, MATCH(MIN(R65:V65), R65:V65, 0))), 技能库!$A:$F, 5, 0),"建议查阅考纲")&amp;CHAR(10)&amp;"💡 提升建议: "&amp;IFERROR(VLOOKUP(TRIM(D65)&amp;"_"&amp;TRIM(INDEX($R$1:$V$1, MATCH(MIN(R65:V65), R65:V65, 0))), 技能库!$A:$F, 6, 0),"请针对该题型加强练习"))</f>
        <v/>
      </c>
      <c r="AD65" t="s">
        <v>304</v>
      </c>
    </row>
    <row r="66" spans="12:30" ht="16" hidden="1" x14ac:dyDescent="0.2">
      <c r="L66" t="str">
        <f t="shared" ref="L66:L129" si="4">IF(COUNT(E66:K66)&gt;0, SUM(E66:K66), "")</f>
        <v/>
      </c>
      <c r="M66" t="str">
        <f>IF(L66="","", IFERROR(VLOOKUP(L66, IF(D66="KET", 换算标准!$M:$N, IF(D66="PET", 换算标准!$S:$T, 换算标准!$AC:$AD)), 2, TRUE), 0))</f>
        <v/>
      </c>
      <c r="P66" t="str">
        <f t="shared" ref="P66:P129" si="5">IF(COUNT(N66:O66)&gt;0, SUM(N66:O66), "")</f>
        <v/>
      </c>
      <c r="Q66" t="str">
        <f>IF(P66="","", IFERROR(VLOOKUP(P66, IF(D66="KET", 换算标准!$O:$P, IF(D66="PET", 换算标准!$U:$V, 换算标准!$AG:$AH)), 2, TRUE), 0))</f>
        <v/>
      </c>
      <c r="W66" t="str">
        <f t="shared" ref="W66:W129" si="6">IF(COUNT(R66:V66)&gt;0, SUM(R66:V66), "")</f>
        <v/>
      </c>
      <c r="X66" t="str">
        <f>IF(W66="","", IFERROR(VLOOKUP(W66, IF(D66="KET", 换算标准!$Q:$R, IF(D66="PET", 换算标准!$W:$X, 换算标准!$AI:$AJ)), 2, TRUE), 0))</f>
        <v/>
      </c>
      <c r="Y66" t="str">
        <f t="shared" ref="Y66:Y129" si="7">IF(COUNT(M66,Q66,X66)&gt;0, AVERAGE(M66,Q66,X66), "")</f>
        <v/>
      </c>
      <c r="Z66" t="str">
        <f>IF(Y66="","", IFERROR(VLOOKUP(Y66, 换算标准!$Z:$AA, 1, TRUE), ""))</f>
        <v/>
      </c>
      <c r="AA66" s="5" t="str">
        <f>IF(L66="","", "⚠️ 薄弱环节: "&amp;INDEX($E$1:$K$1, MATCH(MIN(E66:K66), E66:K66, 0))&amp;CHAR(10)&amp;"📉 考察能力: "&amp;IFERROR(VLOOKUP(TRIM(D66)&amp;"_"&amp;TRIM(INDEX($E$1:$K$1, MATCH(MIN(E66:K66), E66:K66, 0))), 技能库!$A:$F, 5, 0),"建议查阅考纲")&amp;CHAR(10)&amp;"💡 提升建议: "&amp;IFERROR(VLOOKUP(TRIM(D66)&amp;"_"&amp;TRIM(INDEX($E$1:$K$1, MATCH(MIN(E66:K66), E66:K66, 0))), 技能库!$A:$F, 6, 0),"请针对该题型加强练习"))</f>
        <v/>
      </c>
      <c r="AB66" s="5" t="str">
        <f>IF(P66="","", "⚠️ 薄弱环节: "&amp;INDEX($N$1:$O$1, MATCH(MIN(N66:O66), N66:O66, 0))&amp;CHAR(10)&amp;"📉 考察能力: "&amp;IFERROR(VLOOKUP(TRIM(D66)&amp;"_"&amp;TRIM(INDEX($N$1:$O$1, MATCH(MIN(N66:O66), N66:O66, 0))), 技能库!$A:$F, 5, 0),"建议查阅考纲")&amp;CHAR(10)&amp;"💡 提升建议: "&amp;IFERROR(VLOOKUP(TRIM(D66)&amp;"_"&amp;TRIM(INDEX($N$1:$O$1, MATCH(MIN(N66:O66), N66:O66, 0))), 技能库!$A:$F, 6, 0),"请针对该题型加强练习"))</f>
        <v/>
      </c>
      <c r="AC66" s="5" t="str">
        <f>IF(W66="","", "⚠️ 薄弱环节: "&amp;INDEX($R$1:$V$1, MATCH(MIN(R66:V66), R66:V66, 0))&amp;CHAR(10)&amp;"📉 考察能力: "&amp;IFERROR(VLOOKUP(TRIM(D66)&amp;"_"&amp;TRIM(INDEX($R$1:$V$1, MATCH(MIN(R66:V66), R66:V66, 0))), 技能库!$A:$F, 5, 0),"建议查阅考纲")&amp;CHAR(10)&amp;"💡 提升建议: "&amp;IFERROR(VLOOKUP(TRIM(D66)&amp;"_"&amp;TRIM(INDEX($R$1:$V$1, MATCH(MIN(R66:V66), R66:V66, 0))), 技能库!$A:$F, 6, 0),"请针对该题型加强练习"))</f>
        <v/>
      </c>
      <c r="AD66" t="s">
        <v>304</v>
      </c>
    </row>
    <row r="67" spans="12:30" ht="16" hidden="1" x14ac:dyDescent="0.2">
      <c r="L67" t="str">
        <f t="shared" si="4"/>
        <v/>
      </c>
      <c r="M67" t="str">
        <f>IF(L67="","", IFERROR(VLOOKUP(L67, IF(D67="KET", 换算标准!$M:$N, IF(D67="PET", 换算标准!$S:$T, 换算标准!$AC:$AD)), 2, TRUE), 0))</f>
        <v/>
      </c>
      <c r="P67" t="str">
        <f t="shared" si="5"/>
        <v/>
      </c>
      <c r="Q67" t="str">
        <f>IF(P67="","", IFERROR(VLOOKUP(P67, IF(D67="KET", 换算标准!$O:$P, IF(D67="PET", 换算标准!$U:$V, 换算标准!$AG:$AH)), 2, TRUE), 0))</f>
        <v/>
      </c>
      <c r="W67" t="str">
        <f t="shared" si="6"/>
        <v/>
      </c>
      <c r="X67" t="str">
        <f>IF(W67="","", IFERROR(VLOOKUP(W67, IF(D67="KET", 换算标准!$Q:$R, IF(D67="PET", 换算标准!$W:$X, 换算标准!$AI:$AJ)), 2, TRUE), 0))</f>
        <v/>
      </c>
      <c r="Y67" t="str">
        <f t="shared" si="7"/>
        <v/>
      </c>
      <c r="Z67" t="str">
        <f>IF(Y67="","", IFERROR(VLOOKUP(Y67, 换算标准!$Z:$AA, 1, TRUE), ""))</f>
        <v/>
      </c>
      <c r="AA67" s="5" t="str">
        <f>IF(L67="","", "⚠️ 薄弱环节: "&amp;INDEX($E$1:$K$1, MATCH(MIN(E67:K67), E67:K67, 0))&amp;CHAR(10)&amp;"📉 考察能力: "&amp;IFERROR(VLOOKUP(TRIM(D67)&amp;"_"&amp;TRIM(INDEX($E$1:$K$1, MATCH(MIN(E67:K67), E67:K67, 0))), 技能库!$A:$F, 5, 0),"建议查阅考纲")&amp;CHAR(10)&amp;"💡 提升建议: "&amp;IFERROR(VLOOKUP(TRIM(D67)&amp;"_"&amp;TRIM(INDEX($E$1:$K$1, MATCH(MIN(E67:K67), E67:K67, 0))), 技能库!$A:$F, 6, 0),"请针对该题型加强练习"))</f>
        <v/>
      </c>
      <c r="AB67" s="5" t="str">
        <f>IF(P67="","", "⚠️ 薄弱环节: "&amp;INDEX($N$1:$O$1, MATCH(MIN(N67:O67), N67:O67, 0))&amp;CHAR(10)&amp;"📉 考察能力: "&amp;IFERROR(VLOOKUP(TRIM(D67)&amp;"_"&amp;TRIM(INDEX($N$1:$O$1, MATCH(MIN(N67:O67), N67:O67, 0))), 技能库!$A:$F, 5, 0),"建议查阅考纲")&amp;CHAR(10)&amp;"💡 提升建议: "&amp;IFERROR(VLOOKUP(TRIM(D67)&amp;"_"&amp;TRIM(INDEX($N$1:$O$1, MATCH(MIN(N67:O67), N67:O67, 0))), 技能库!$A:$F, 6, 0),"请针对该题型加强练习"))</f>
        <v/>
      </c>
      <c r="AC67" s="5" t="str">
        <f>IF(W67="","", "⚠️ 薄弱环节: "&amp;INDEX($R$1:$V$1, MATCH(MIN(R67:V67), R67:V67, 0))&amp;CHAR(10)&amp;"📉 考察能力: "&amp;IFERROR(VLOOKUP(TRIM(D67)&amp;"_"&amp;TRIM(INDEX($R$1:$V$1, MATCH(MIN(R67:V67), R67:V67, 0))), 技能库!$A:$F, 5, 0),"建议查阅考纲")&amp;CHAR(10)&amp;"💡 提升建议: "&amp;IFERROR(VLOOKUP(TRIM(D67)&amp;"_"&amp;TRIM(INDEX($R$1:$V$1, MATCH(MIN(R67:V67), R67:V67, 0))), 技能库!$A:$F, 6, 0),"请针对该题型加强练习"))</f>
        <v/>
      </c>
      <c r="AD67" t="s">
        <v>304</v>
      </c>
    </row>
    <row r="68" spans="12:30" ht="16" hidden="1" x14ac:dyDescent="0.2">
      <c r="L68" t="str">
        <f t="shared" si="4"/>
        <v/>
      </c>
      <c r="M68" t="str">
        <f>IF(L68="","", IFERROR(VLOOKUP(L68, IF(D68="KET", 换算标准!$M:$N, IF(D68="PET", 换算标准!$S:$T, 换算标准!$AC:$AD)), 2, TRUE), 0))</f>
        <v/>
      </c>
      <c r="P68" t="str">
        <f t="shared" si="5"/>
        <v/>
      </c>
      <c r="Q68" t="str">
        <f>IF(P68="","", IFERROR(VLOOKUP(P68, IF(D68="KET", 换算标准!$O:$P, IF(D68="PET", 换算标准!$U:$V, 换算标准!$AG:$AH)), 2, TRUE), 0))</f>
        <v/>
      </c>
      <c r="W68" t="str">
        <f t="shared" si="6"/>
        <v/>
      </c>
      <c r="X68" t="str">
        <f>IF(W68="","", IFERROR(VLOOKUP(W68, IF(D68="KET", 换算标准!$Q:$R, IF(D68="PET", 换算标准!$W:$X, 换算标准!$AI:$AJ)), 2, TRUE), 0))</f>
        <v/>
      </c>
      <c r="Y68" t="str">
        <f t="shared" si="7"/>
        <v/>
      </c>
      <c r="Z68" t="str">
        <f>IF(Y68="","", IFERROR(VLOOKUP(Y68, 换算标准!$Z:$AA, 1, TRUE), ""))</f>
        <v/>
      </c>
      <c r="AA68" s="5" t="str">
        <f>IF(L68="","", "⚠️ 薄弱环节: "&amp;INDEX($E$1:$K$1, MATCH(MIN(E68:K68), E68:K68, 0))&amp;CHAR(10)&amp;"📉 考察能力: "&amp;IFERROR(VLOOKUP(TRIM(D68)&amp;"_"&amp;TRIM(INDEX($E$1:$K$1, MATCH(MIN(E68:K68), E68:K68, 0))), 技能库!$A:$F, 5, 0),"建议查阅考纲")&amp;CHAR(10)&amp;"💡 提升建议: "&amp;IFERROR(VLOOKUP(TRIM(D68)&amp;"_"&amp;TRIM(INDEX($E$1:$K$1, MATCH(MIN(E68:K68), E68:K68, 0))), 技能库!$A:$F, 6, 0),"请针对该题型加强练习"))</f>
        <v/>
      </c>
      <c r="AB68" s="5" t="str">
        <f>IF(P68="","", "⚠️ 薄弱环节: "&amp;INDEX($N$1:$O$1, MATCH(MIN(N68:O68), N68:O68, 0))&amp;CHAR(10)&amp;"📉 考察能力: "&amp;IFERROR(VLOOKUP(TRIM(D68)&amp;"_"&amp;TRIM(INDEX($N$1:$O$1, MATCH(MIN(N68:O68), N68:O68, 0))), 技能库!$A:$F, 5, 0),"建议查阅考纲")&amp;CHAR(10)&amp;"💡 提升建议: "&amp;IFERROR(VLOOKUP(TRIM(D68)&amp;"_"&amp;TRIM(INDEX($N$1:$O$1, MATCH(MIN(N68:O68), N68:O68, 0))), 技能库!$A:$F, 6, 0),"请针对该题型加强练习"))</f>
        <v/>
      </c>
      <c r="AC68" s="5" t="str">
        <f>IF(W68="","", "⚠️ 薄弱环节: "&amp;INDEX($R$1:$V$1, MATCH(MIN(R68:V68), R68:V68, 0))&amp;CHAR(10)&amp;"📉 考察能力: "&amp;IFERROR(VLOOKUP(TRIM(D68)&amp;"_"&amp;TRIM(INDEX($R$1:$V$1, MATCH(MIN(R68:V68), R68:V68, 0))), 技能库!$A:$F, 5, 0),"建议查阅考纲")&amp;CHAR(10)&amp;"💡 提升建议: "&amp;IFERROR(VLOOKUP(TRIM(D68)&amp;"_"&amp;TRIM(INDEX($R$1:$V$1, MATCH(MIN(R68:V68), R68:V68, 0))), 技能库!$A:$F, 6, 0),"请针对该题型加强练习"))</f>
        <v/>
      </c>
      <c r="AD68" t="s">
        <v>304</v>
      </c>
    </row>
    <row r="69" spans="12:30" ht="16" hidden="1" x14ac:dyDescent="0.2">
      <c r="L69" t="str">
        <f t="shared" si="4"/>
        <v/>
      </c>
      <c r="M69" t="str">
        <f>IF(L69="","", IFERROR(VLOOKUP(L69, IF(D69="KET", 换算标准!$M:$N, IF(D69="PET", 换算标准!$S:$T, 换算标准!$AC:$AD)), 2, TRUE), 0))</f>
        <v/>
      </c>
      <c r="P69" t="str">
        <f t="shared" si="5"/>
        <v/>
      </c>
      <c r="Q69" t="str">
        <f>IF(P69="","", IFERROR(VLOOKUP(P69, IF(D69="KET", 换算标准!$O:$P, IF(D69="PET", 换算标准!$U:$V, 换算标准!$AG:$AH)), 2, TRUE), 0))</f>
        <v/>
      </c>
      <c r="W69" t="str">
        <f t="shared" si="6"/>
        <v/>
      </c>
      <c r="X69" t="str">
        <f>IF(W69="","", IFERROR(VLOOKUP(W69, IF(D69="KET", 换算标准!$Q:$R, IF(D69="PET", 换算标准!$W:$X, 换算标准!$AI:$AJ)), 2, TRUE), 0))</f>
        <v/>
      </c>
      <c r="Y69" t="str">
        <f t="shared" si="7"/>
        <v/>
      </c>
      <c r="Z69" t="str">
        <f>IF(Y69="","", IFERROR(VLOOKUP(Y69, 换算标准!$Z:$AA, 1, TRUE), ""))</f>
        <v/>
      </c>
      <c r="AA69" s="5" t="str">
        <f>IF(L69="","", "⚠️ 薄弱环节: "&amp;INDEX($E$1:$K$1, MATCH(MIN(E69:K69), E69:K69, 0))&amp;CHAR(10)&amp;"📉 考察能力: "&amp;IFERROR(VLOOKUP(TRIM(D69)&amp;"_"&amp;TRIM(INDEX($E$1:$K$1, MATCH(MIN(E69:K69), E69:K69, 0))), 技能库!$A:$F, 5, 0),"建议查阅考纲")&amp;CHAR(10)&amp;"💡 提升建议: "&amp;IFERROR(VLOOKUP(TRIM(D69)&amp;"_"&amp;TRIM(INDEX($E$1:$K$1, MATCH(MIN(E69:K69), E69:K69, 0))), 技能库!$A:$F, 6, 0),"请针对该题型加强练习"))</f>
        <v/>
      </c>
      <c r="AB69" s="5" t="str">
        <f>IF(P69="","", "⚠️ 薄弱环节: "&amp;INDEX($N$1:$O$1, MATCH(MIN(N69:O69), N69:O69, 0))&amp;CHAR(10)&amp;"📉 考察能力: "&amp;IFERROR(VLOOKUP(TRIM(D69)&amp;"_"&amp;TRIM(INDEX($N$1:$O$1, MATCH(MIN(N69:O69), N69:O69, 0))), 技能库!$A:$F, 5, 0),"建议查阅考纲")&amp;CHAR(10)&amp;"💡 提升建议: "&amp;IFERROR(VLOOKUP(TRIM(D69)&amp;"_"&amp;TRIM(INDEX($N$1:$O$1, MATCH(MIN(N69:O69), N69:O69, 0))), 技能库!$A:$F, 6, 0),"请针对该题型加强练习"))</f>
        <v/>
      </c>
      <c r="AC69" s="5" t="str">
        <f>IF(W69="","", "⚠️ 薄弱环节: "&amp;INDEX($R$1:$V$1, MATCH(MIN(R69:V69), R69:V69, 0))&amp;CHAR(10)&amp;"📉 考察能力: "&amp;IFERROR(VLOOKUP(TRIM(D69)&amp;"_"&amp;TRIM(INDEX($R$1:$V$1, MATCH(MIN(R69:V69), R69:V69, 0))), 技能库!$A:$F, 5, 0),"建议查阅考纲")&amp;CHAR(10)&amp;"💡 提升建议: "&amp;IFERROR(VLOOKUP(TRIM(D69)&amp;"_"&amp;TRIM(INDEX($R$1:$V$1, MATCH(MIN(R69:V69), R69:V69, 0))), 技能库!$A:$F, 6, 0),"请针对该题型加强练习"))</f>
        <v/>
      </c>
      <c r="AD69" t="s">
        <v>304</v>
      </c>
    </row>
    <row r="70" spans="12:30" ht="16" hidden="1" x14ac:dyDescent="0.2">
      <c r="L70" t="str">
        <f t="shared" si="4"/>
        <v/>
      </c>
      <c r="M70" t="str">
        <f>IF(L70="","", IFERROR(VLOOKUP(L70, IF(D70="KET", 换算标准!$M:$N, IF(D70="PET", 换算标准!$S:$T, 换算标准!$AC:$AD)), 2, TRUE), 0))</f>
        <v/>
      </c>
      <c r="P70" t="str">
        <f t="shared" si="5"/>
        <v/>
      </c>
      <c r="Q70" t="str">
        <f>IF(P70="","", IFERROR(VLOOKUP(P70, IF(D70="KET", 换算标准!$O:$P, IF(D70="PET", 换算标准!$U:$V, 换算标准!$AG:$AH)), 2, TRUE), 0))</f>
        <v/>
      </c>
      <c r="W70" t="str">
        <f t="shared" si="6"/>
        <v/>
      </c>
      <c r="X70" t="str">
        <f>IF(W70="","", IFERROR(VLOOKUP(W70, IF(D70="KET", 换算标准!$Q:$R, IF(D70="PET", 换算标准!$W:$X, 换算标准!$AI:$AJ)), 2, TRUE), 0))</f>
        <v/>
      </c>
      <c r="Y70" t="str">
        <f t="shared" si="7"/>
        <v/>
      </c>
      <c r="Z70" t="str">
        <f>IF(Y70="","", IFERROR(VLOOKUP(Y70, 换算标准!$Z:$AA, 1, TRUE), ""))</f>
        <v/>
      </c>
      <c r="AA70" s="5" t="str">
        <f>IF(L70="","", "⚠️ 薄弱环节: "&amp;INDEX($E$1:$K$1, MATCH(MIN(E70:K70), E70:K70, 0))&amp;CHAR(10)&amp;"📉 考察能力: "&amp;IFERROR(VLOOKUP(TRIM(D70)&amp;"_"&amp;TRIM(INDEX($E$1:$K$1, MATCH(MIN(E70:K70), E70:K70, 0))), 技能库!$A:$F, 5, 0),"建议查阅考纲")&amp;CHAR(10)&amp;"💡 提升建议: "&amp;IFERROR(VLOOKUP(TRIM(D70)&amp;"_"&amp;TRIM(INDEX($E$1:$K$1, MATCH(MIN(E70:K70), E70:K70, 0))), 技能库!$A:$F, 6, 0),"请针对该题型加强练习"))</f>
        <v/>
      </c>
      <c r="AB70" s="5" t="str">
        <f>IF(P70="","", "⚠️ 薄弱环节: "&amp;INDEX($N$1:$O$1, MATCH(MIN(N70:O70), N70:O70, 0))&amp;CHAR(10)&amp;"📉 考察能力: "&amp;IFERROR(VLOOKUP(TRIM(D70)&amp;"_"&amp;TRIM(INDEX($N$1:$O$1, MATCH(MIN(N70:O70), N70:O70, 0))), 技能库!$A:$F, 5, 0),"建议查阅考纲")&amp;CHAR(10)&amp;"💡 提升建议: "&amp;IFERROR(VLOOKUP(TRIM(D70)&amp;"_"&amp;TRIM(INDEX($N$1:$O$1, MATCH(MIN(N70:O70), N70:O70, 0))), 技能库!$A:$F, 6, 0),"请针对该题型加强练习"))</f>
        <v/>
      </c>
      <c r="AC70" s="5" t="str">
        <f>IF(W70="","", "⚠️ 薄弱环节: "&amp;INDEX($R$1:$V$1, MATCH(MIN(R70:V70), R70:V70, 0))&amp;CHAR(10)&amp;"📉 考察能力: "&amp;IFERROR(VLOOKUP(TRIM(D70)&amp;"_"&amp;TRIM(INDEX($R$1:$V$1, MATCH(MIN(R70:V70), R70:V70, 0))), 技能库!$A:$F, 5, 0),"建议查阅考纲")&amp;CHAR(10)&amp;"💡 提升建议: "&amp;IFERROR(VLOOKUP(TRIM(D70)&amp;"_"&amp;TRIM(INDEX($R$1:$V$1, MATCH(MIN(R70:V70), R70:V70, 0))), 技能库!$A:$F, 6, 0),"请针对该题型加强练习"))</f>
        <v/>
      </c>
      <c r="AD70" t="s">
        <v>304</v>
      </c>
    </row>
    <row r="71" spans="12:30" ht="16" hidden="1" x14ac:dyDescent="0.2">
      <c r="L71" t="str">
        <f t="shared" si="4"/>
        <v/>
      </c>
      <c r="M71" t="str">
        <f>IF(L71="","", IFERROR(VLOOKUP(L71, IF(D71="KET", 换算标准!$M:$N, IF(D71="PET", 换算标准!$S:$T, 换算标准!$AC:$AD)), 2, TRUE), 0))</f>
        <v/>
      </c>
      <c r="P71" t="str">
        <f t="shared" si="5"/>
        <v/>
      </c>
      <c r="Q71" t="str">
        <f>IF(P71="","", IFERROR(VLOOKUP(P71, IF(D71="KET", 换算标准!$O:$P, IF(D71="PET", 换算标准!$U:$V, 换算标准!$AG:$AH)), 2, TRUE), 0))</f>
        <v/>
      </c>
      <c r="W71" t="str">
        <f t="shared" si="6"/>
        <v/>
      </c>
      <c r="X71" t="str">
        <f>IF(W71="","", IFERROR(VLOOKUP(W71, IF(D71="KET", 换算标准!$Q:$R, IF(D71="PET", 换算标准!$W:$X, 换算标准!$AI:$AJ)), 2, TRUE), 0))</f>
        <v/>
      </c>
      <c r="Y71" t="str">
        <f t="shared" si="7"/>
        <v/>
      </c>
      <c r="Z71" t="str">
        <f>IF(Y71="","", IFERROR(VLOOKUP(Y71, 换算标准!$Z:$AA, 1, TRUE), ""))</f>
        <v/>
      </c>
      <c r="AA71" s="5" t="str">
        <f>IF(L71="","", "⚠️ 薄弱环节: "&amp;INDEX($E$1:$K$1, MATCH(MIN(E71:K71), E71:K71, 0))&amp;CHAR(10)&amp;"📉 考察能力: "&amp;IFERROR(VLOOKUP(TRIM(D71)&amp;"_"&amp;TRIM(INDEX($E$1:$K$1, MATCH(MIN(E71:K71), E71:K71, 0))), 技能库!$A:$F, 5, 0),"建议查阅考纲")&amp;CHAR(10)&amp;"💡 提升建议: "&amp;IFERROR(VLOOKUP(TRIM(D71)&amp;"_"&amp;TRIM(INDEX($E$1:$K$1, MATCH(MIN(E71:K71), E71:K71, 0))), 技能库!$A:$F, 6, 0),"请针对该题型加强练习"))</f>
        <v/>
      </c>
      <c r="AB71" s="5" t="str">
        <f>IF(P71="","", "⚠️ 薄弱环节: "&amp;INDEX($N$1:$O$1, MATCH(MIN(N71:O71), N71:O71, 0))&amp;CHAR(10)&amp;"📉 考察能力: "&amp;IFERROR(VLOOKUP(TRIM(D71)&amp;"_"&amp;TRIM(INDEX($N$1:$O$1, MATCH(MIN(N71:O71), N71:O71, 0))), 技能库!$A:$F, 5, 0),"建议查阅考纲")&amp;CHAR(10)&amp;"💡 提升建议: "&amp;IFERROR(VLOOKUP(TRIM(D71)&amp;"_"&amp;TRIM(INDEX($N$1:$O$1, MATCH(MIN(N71:O71), N71:O71, 0))), 技能库!$A:$F, 6, 0),"请针对该题型加强练习"))</f>
        <v/>
      </c>
      <c r="AC71" s="5" t="str">
        <f>IF(W71="","", "⚠️ 薄弱环节: "&amp;INDEX($R$1:$V$1, MATCH(MIN(R71:V71), R71:V71, 0))&amp;CHAR(10)&amp;"📉 考察能力: "&amp;IFERROR(VLOOKUP(TRIM(D71)&amp;"_"&amp;TRIM(INDEX($R$1:$V$1, MATCH(MIN(R71:V71), R71:V71, 0))), 技能库!$A:$F, 5, 0),"建议查阅考纲")&amp;CHAR(10)&amp;"💡 提升建议: "&amp;IFERROR(VLOOKUP(TRIM(D71)&amp;"_"&amp;TRIM(INDEX($R$1:$V$1, MATCH(MIN(R71:V71), R71:V71, 0))), 技能库!$A:$F, 6, 0),"请针对该题型加强练习"))</f>
        <v/>
      </c>
      <c r="AD71" t="s">
        <v>304</v>
      </c>
    </row>
    <row r="72" spans="12:30" ht="16" hidden="1" x14ac:dyDescent="0.2">
      <c r="L72" t="str">
        <f t="shared" si="4"/>
        <v/>
      </c>
      <c r="M72" t="str">
        <f>IF(L72="","", IFERROR(VLOOKUP(L72, IF(D72="KET", 换算标准!$M:$N, IF(D72="PET", 换算标准!$S:$T, 换算标准!$AC:$AD)), 2, TRUE), 0))</f>
        <v/>
      </c>
      <c r="P72" t="str">
        <f t="shared" si="5"/>
        <v/>
      </c>
      <c r="Q72" t="str">
        <f>IF(P72="","", IFERROR(VLOOKUP(P72, IF(D72="KET", 换算标准!$O:$P, IF(D72="PET", 换算标准!$U:$V, 换算标准!$AG:$AH)), 2, TRUE), 0))</f>
        <v/>
      </c>
      <c r="W72" t="str">
        <f t="shared" si="6"/>
        <v/>
      </c>
      <c r="X72" t="str">
        <f>IF(W72="","", IFERROR(VLOOKUP(W72, IF(D72="KET", 换算标准!$Q:$R, IF(D72="PET", 换算标准!$W:$X, 换算标准!$AI:$AJ)), 2, TRUE), 0))</f>
        <v/>
      </c>
      <c r="Y72" t="str">
        <f t="shared" si="7"/>
        <v/>
      </c>
      <c r="Z72" t="str">
        <f>IF(Y72="","", IFERROR(VLOOKUP(Y72, 换算标准!$Z:$AA, 1, TRUE), ""))</f>
        <v/>
      </c>
      <c r="AA72" s="5" t="str">
        <f>IF(L72="","", "⚠️ 薄弱环节: "&amp;INDEX($E$1:$K$1, MATCH(MIN(E72:K72), E72:K72, 0))&amp;CHAR(10)&amp;"📉 考察能力: "&amp;IFERROR(VLOOKUP(TRIM(D72)&amp;"_"&amp;TRIM(INDEX($E$1:$K$1, MATCH(MIN(E72:K72), E72:K72, 0))), 技能库!$A:$F, 5, 0),"建议查阅考纲")&amp;CHAR(10)&amp;"💡 提升建议: "&amp;IFERROR(VLOOKUP(TRIM(D72)&amp;"_"&amp;TRIM(INDEX($E$1:$K$1, MATCH(MIN(E72:K72), E72:K72, 0))), 技能库!$A:$F, 6, 0),"请针对该题型加强练习"))</f>
        <v/>
      </c>
      <c r="AB72" s="5" t="str">
        <f>IF(P72="","", "⚠️ 薄弱环节: "&amp;INDEX($N$1:$O$1, MATCH(MIN(N72:O72), N72:O72, 0))&amp;CHAR(10)&amp;"📉 考察能力: "&amp;IFERROR(VLOOKUP(TRIM(D72)&amp;"_"&amp;TRIM(INDEX($N$1:$O$1, MATCH(MIN(N72:O72), N72:O72, 0))), 技能库!$A:$F, 5, 0),"建议查阅考纲")&amp;CHAR(10)&amp;"💡 提升建议: "&amp;IFERROR(VLOOKUP(TRIM(D72)&amp;"_"&amp;TRIM(INDEX($N$1:$O$1, MATCH(MIN(N72:O72), N72:O72, 0))), 技能库!$A:$F, 6, 0),"请针对该题型加强练习"))</f>
        <v/>
      </c>
      <c r="AC72" s="5" t="str">
        <f>IF(W72="","", "⚠️ 薄弱环节: "&amp;INDEX($R$1:$V$1, MATCH(MIN(R72:V72), R72:V72, 0))&amp;CHAR(10)&amp;"📉 考察能力: "&amp;IFERROR(VLOOKUP(TRIM(D72)&amp;"_"&amp;TRIM(INDEX($R$1:$V$1, MATCH(MIN(R72:V72), R72:V72, 0))), 技能库!$A:$F, 5, 0),"建议查阅考纲")&amp;CHAR(10)&amp;"💡 提升建议: "&amp;IFERROR(VLOOKUP(TRIM(D72)&amp;"_"&amp;TRIM(INDEX($R$1:$V$1, MATCH(MIN(R72:V72), R72:V72, 0))), 技能库!$A:$F, 6, 0),"请针对该题型加强练习"))</f>
        <v/>
      </c>
      <c r="AD72" t="s">
        <v>304</v>
      </c>
    </row>
    <row r="73" spans="12:30" ht="16" hidden="1" x14ac:dyDescent="0.2">
      <c r="L73" t="str">
        <f t="shared" si="4"/>
        <v/>
      </c>
      <c r="M73" t="str">
        <f>IF(L73="","", IFERROR(VLOOKUP(L73, IF(D73="KET", 换算标准!$M:$N, IF(D73="PET", 换算标准!$S:$T, 换算标准!$AC:$AD)), 2, TRUE), 0))</f>
        <v/>
      </c>
      <c r="P73" t="str">
        <f t="shared" si="5"/>
        <v/>
      </c>
      <c r="Q73" t="str">
        <f>IF(P73="","", IFERROR(VLOOKUP(P73, IF(D73="KET", 换算标准!$O:$P, IF(D73="PET", 换算标准!$U:$V, 换算标准!$AG:$AH)), 2, TRUE), 0))</f>
        <v/>
      </c>
      <c r="W73" t="str">
        <f t="shared" si="6"/>
        <v/>
      </c>
      <c r="X73" t="str">
        <f>IF(W73="","", IFERROR(VLOOKUP(W73, IF(D73="KET", 换算标准!$Q:$R, IF(D73="PET", 换算标准!$W:$X, 换算标准!$AI:$AJ)), 2, TRUE), 0))</f>
        <v/>
      </c>
      <c r="Y73" t="str">
        <f t="shared" si="7"/>
        <v/>
      </c>
      <c r="Z73" t="str">
        <f>IF(Y73="","", IFERROR(VLOOKUP(Y73, 换算标准!$Z:$AA, 1, TRUE), ""))</f>
        <v/>
      </c>
      <c r="AA73" s="5" t="str">
        <f>IF(L73="","", "⚠️ 薄弱环节: "&amp;INDEX($E$1:$K$1, MATCH(MIN(E73:K73), E73:K73, 0))&amp;CHAR(10)&amp;"📉 考察能力: "&amp;IFERROR(VLOOKUP(TRIM(D73)&amp;"_"&amp;TRIM(INDEX($E$1:$K$1, MATCH(MIN(E73:K73), E73:K73, 0))), 技能库!$A:$F, 5, 0),"建议查阅考纲")&amp;CHAR(10)&amp;"💡 提升建议: "&amp;IFERROR(VLOOKUP(TRIM(D73)&amp;"_"&amp;TRIM(INDEX($E$1:$K$1, MATCH(MIN(E73:K73), E73:K73, 0))), 技能库!$A:$F, 6, 0),"请针对该题型加强练习"))</f>
        <v/>
      </c>
      <c r="AB73" s="5" t="str">
        <f>IF(P73="","", "⚠️ 薄弱环节: "&amp;INDEX($N$1:$O$1, MATCH(MIN(N73:O73), N73:O73, 0))&amp;CHAR(10)&amp;"📉 考察能力: "&amp;IFERROR(VLOOKUP(TRIM(D73)&amp;"_"&amp;TRIM(INDEX($N$1:$O$1, MATCH(MIN(N73:O73), N73:O73, 0))), 技能库!$A:$F, 5, 0),"建议查阅考纲")&amp;CHAR(10)&amp;"💡 提升建议: "&amp;IFERROR(VLOOKUP(TRIM(D73)&amp;"_"&amp;TRIM(INDEX($N$1:$O$1, MATCH(MIN(N73:O73), N73:O73, 0))), 技能库!$A:$F, 6, 0),"请针对该题型加强练习"))</f>
        <v/>
      </c>
      <c r="AC73" s="5" t="str">
        <f>IF(W73="","", "⚠️ 薄弱环节: "&amp;INDEX($R$1:$V$1, MATCH(MIN(R73:V73), R73:V73, 0))&amp;CHAR(10)&amp;"📉 考察能力: "&amp;IFERROR(VLOOKUP(TRIM(D73)&amp;"_"&amp;TRIM(INDEX($R$1:$V$1, MATCH(MIN(R73:V73), R73:V73, 0))), 技能库!$A:$F, 5, 0),"建议查阅考纲")&amp;CHAR(10)&amp;"💡 提升建议: "&amp;IFERROR(VLOOKUP(TRIM(D73)&amp;"_"&amp;TRIM(INDEX($R$1:$V$1, MATCH(MIN(R73:V73), R73:V73, 0))), 技能库!$A:$F, 6, 0),"请针对该题型加强练习"))</f>
        <v/>
      </c>
      <c r="AD73" t="s">
        <v>304</v>
      </c>
    </row>
    <row r="74" spans="12:30" ht="16" hidden="1" x14ac:dyDescent="0.2">
      <c r="L74" t="str">
        <f t="shared" si="4"/>
        <v/>
      </c>
      <c r="M74" t="str">
        <f>IF(L74="","", IFERROR(VLOOKUP(L74, IF(D74="KET", 换算标准!$M:$N, IF(D74="PET", 换算标准!$S:$T, 换算标准!$AC:$AD)), 2, TRUE), 0))</f>
        <v/>
      </c>
      <c r="P74" t="str">
        <f t="shared" si="5"/>
        <v/>
      </c>
      <c r="Q74" t="str">
        <f>IF(P74="","", IFERROR(VLOOKUP(P74, IF(D74="KET", 换算标准!$O:$P, IF(D74="PET", 换算标准!$U:$V, 换算标准!$AG:$AH)), 2, TRUE), 0))</f>
        <v/>
      </c>
      <c r="W74" t="str">
        <f t="shared" si="6"/>
        <v/>
      </c>
      <c r="X74" t="str">
        <f>IF(W74="","", IFERROR(VLOOKUP(W74, IF(D74="KET", 换算标准!$Q:$R, IF(D74="PET", 换算标准!$W:$X, 换算标准!$AI:$AJ)), 2, TRUE), 0))</f>
        <v/>
      </c>
      <c r="Y74" t="str">
        <f t="shared" si="7"/>
        <v/>
      </c>
      <c r="Z74" t="str">
        <f>IF(Y74="","", IFERROR(VLOOKUP(Y74, 换算标准!$Z:$AA, 1, TRUE), ""))</f>
        <v/>
      </c>
      <c r="AA74" s="5" t="str">
        <f>IF(L74="","", "⚠️ 薄弱环节: "&amp;INDEX($E$1:$K$1, MATCH(MIN(E74:K74), E74:K74, 0))&amp;CHAR(10)&amp;"📉 考察能力: "&amp;IFERROR(VLOOKUP(TRIM(D74)&amp;"_"&amp;TRIM(INDEX($E$1:$K$1, MATCH(MIN(E74:K74), E74:K74, 0))), 技能库!$A:$F, 5, 0),"建议查阅考纲")&amp;CHAR(10)&amp;"💡 提升建议: "&amp;IFERROR(VLOOKUP(TRIM(D74)&amp;"_"&amp;TRIM(INDEX($E$1:$K$1, MATCH(MIN(E74:K74), E74:K74, 0))), 技能库!$A:$F, 6, 0),"请针对该题型加强练习"))</f>
        <v/>
      </c>
      <c r="AB74" s="5" t="str">
        <f>IF(P74="","", "⚠️ 薄弱环节: "&amp;INDEX($N$1:$O$1, MATCH(MIN(N74:O74), N74:O74, 0))&amp;CHAR(10)&amp;"📉 考察能力: "&amp;IFERROR(VLOOKUP(TRIM(D74)&amp;"_"&amp;TRIM(INDEX($N$1:$O$1, MATCH(MIN(N74:O74), N74:O74, 0))), 技能库!$A:$F, 5, 0),"建议查阅考纲")&amp;CHAR(10)&amp;"💡 提升建议: "&amp;IFERROR(VLOOKUP(TRIM(D74)&amp;"_"&amp;TRIM(INDEX($N$1:$O$1, MATCH(MIN(N74:O74), N74:O74, 0))), 技能库!$A:$F, 6, 0),"请针对该题型加强练习"))</f>
        <v/>
      </c>
      <c r="AC74" s="5" t="str">
        <f>IF(W74="","", "⚠️ 薄弱环节: "&amp;INDEX($R$1:$V$1, MATCH(MIN(R74:V74), R74:V74, 0))&amp;CHAR(10)&amp;"📉 考察能力: "&amp;IFERROR(VLOOKUP(TRIM(D74)&amp;"_"&amp;TRIM(INDEX($R$1:$V$1, MATCH(MIN(R74:V74), R74:V74, 0))), 技能库!$A:$F, 5, 0),"建议查阅考纲")&amp;CHAR(10)&amp;"💡 提升建议: "&amp;IFERROR(VLOOKUP(TRIM(D74)&amp;"_"&amp;TRIM(INDEX($R$1:$V$1, MATCH(MIN(R74:V74), R74:V74, 0))), 技能库!$A:$F, 6, 0),"请针对该题型加强练习"))</f>
        <v/>
      </c>
      <c r="AD74" t="s">
        <v>304</v>
      </c>
    </row>
    <row r="75" spans="12:30" ht="16" hidden="1" x14ac:dyDescent="0.2">
      <c r="L75" t="str">
        <f t="shared" si="4"/>
        <v/>
      </c>
      <c r="M75" t="str">
        <f>IF(L75="","", IFERROR(VLOOKUP(L75, IF(D75="KET", 换算标准!$M:$N, IF(D75="PET", 换算标准!$S:$T, 换算标准!$AC:$AD)), 2, TRUE), 0))</f>
        <v/>
      </c>
      <c r="P75" t="str">
        <f t="shared" si="5"/>
        <v/>
      </c>
      <c r="Q75" t="str">
        <f>IF(P75="","", IFERROR(VLOOKUP(P75, IF(D75="KET", 换算标准!$O:$P, IF(D75="PET", 换算标准!$U:$V, 换算标准!$AG:$AH)), 2, TRUE), 0))</f>
        <v/>
      </c>
      <c r="W75" t="str">
        <f t="shared" si="6"/>
        <v/>
      </c>
      <c r="X75" t="str">
        <f>IF(W75="","", IFERROR(VLOOKUP(W75, IF(D75="KET", 换算标准!$Q:$R, IF(D75="PET", 换算标准!$W:$X, 换算标准!$AI:$AJ)), 2, TRUE), 0))</f>
        <v/>
      </c>
      <c r="Y75" t="str">
        <f t="shared" si="7"/>
        <v/>
      </c>
      <c r="Z75" t="str">
        <f>IF(Y75="","", IFERROR(VLOOKUP(Y75, 换算标准!$Z:$AA, 1, TRUE), ""))</f>
        <v/>
      </c>
      <c r="AA75" s="5" t="str">
        <f>IF(L75="","", "⚠️ 薄弱环节: "&amp;INDEX($E$1:$K$1, MATCH(MIN(E75:K75), E75:K75, 0))&amp;CHAR(10)&amp;"📉 考察能力: "&amp;IFERROR(VLOOKUP(TRIM(D75)&amp;"_"&amp;TRIM(INDEX($E$1:$K$1, MATCH(MIN(E75:K75), E75:K75, 0))), 技能库!$A:$F, 5, 0),"建议查阅考纲")&amp;CHAR(10)&amp;"💡 提升建议: "&amp;IFERROR(VLOOKUP(TRIM(D75)&amp;"_"&amp;TRIM(INDEX($E$1:$K$1, MATCH(MIN(E75:K75), E75:K75, 0))), 技能库!$A:$F, 6, 0),"请针对该题型加强练习"))</f>
        <v/>
      </c>
      <c r="AB75" s="5" t="str">
        <f>IF(P75="","", "⚠️ 薄弱环节: "&amp;INDEX($N$1:$O$1, MATCH(MIN(N75:O75), N75:O75, 0))&amp;CHAR(10)&amp;"📉 考察能力: "&amp;IFERROR(VLOOKUP(TRIM(D75)&amp;"_"&amp;TRIM(INDEX($N$1:$O$1, MATCH(MIN(N75:O75), N75:O75, 0))), 技能库!$A:$F, 5, 0),"建议查阅考纲")&amp;CHAR(10)&amp;"💡 提升建议: "&amp;IFERROR(VLOOKUP(TRIM(D75)&amp;"_"&amp;TRIM(INDEX($N$1:$O$1, MATCH(MIN(N75:O75), N75:O75, 0))), 技能库!$A:$F, 6, 0),"请针对该题型加强练习"))</f>
        <v/>
      </c>
      <c r="AC75" s="5" t="str">
        <f>IF(W75="","", "⚠️ 薄弱环节: "&amp;INDEX($R$1:$V$1, MATCH(MIN(R75:V75), R75:V75, 0))&amp;CHAR(10)&amp;"📉 考察能力: "&amp;IFERROR(VLOOKUP(TRIM(D75)&amp;"_"&amp;TRIM(INDEX($R$1:$V$1, MATCH(MIN(R75:V75), R75:V75, 0))), 技能库!$A:$F, 5, 0),"建议查阅考纲")&amp;CHAR(10)&amp;"💡 提升建议: "&amp;IFERROR(VLOOKUP(TRIM(D75)&amp;"_"&amp;TRIM(INDEX($R$1:$V$1, MATCH(MIN(R75:V75), R75:V75, 0))), 技能库!$A:$F, 6, 0),"请针对该题型加强练习"))</f>
        <v/>
      </c>
    </row>
    <row r="76" spans="12:30" ht="16" hidden="1" x14ac:dyDescent="0.2">
      <c r="L76" t="str">
        <f t="shared" si="4"/>
        <v/>
      </c>
      <c r="M76" t="str">
        <f>IF(L76="","", IFERROR(VLOOKUP(L76, IF(D76="KET", 换算标准!$M:$N, IF(D76="PET", 换算标准!$S:$T, 换算标准!$AC:$AD)), 2, TRUE), 0))</f>
        <v/>
      </c>
      <c r="P76" t="str">
        <f t="shared" si="5"/>
        <v/>
      </c>
      <c r="Q76" t="str">
        <f>IF(P76="","", IFERROR(VLOOKUP(P76, IF(D76="KET", 换算标准!$O:$P, IF(D76="PET", 换算标准!$U:$V, 换算标准!$AG:$AH)), 2, TRUE), 0))</f>
        <v/>
      </c>
      <c r="W76" t="str">
        <f t="shared" si="6"/>
        <v/>
      </c>
      <c r="X76" t="str">
        <f>IF(W76="","", IFERROR(VLOOKUP(W76, IF(D76="KET", 换算标准!$Q:$R, IF(D76="PET", 换算标准!$W:$X, 换算标准!$AI:$AJ)), 2, TRUE), 0))</f>
        <v/>
      </c>
      <c r="Y76" t="str">
        <f t="shared" si="7"/>
        <v/>
      </c>
      <c r="Z76" t="str">
        <f>IF(Y76="","", IFERROR(VLOOKUP(Y76, 换算标准!$Z:$AA, 1, TRUE), ""))</f>
        <v/>
      </c>
      <c r="AA76" s="5" t="str">
        <f>IF(L76="","", "⚠️ 薄弱环节: "&amp;INDEX($E$1:$K$1, MATCH(MIN(E76:K76), E76:K76, 0))&amp;CHAR(10)&amp;"📉 考察能力: "&amp;IFERROR(VLOOKUP(TRIM(D76)&amp;"_"&amp;TRIM(INDEX($E$1:$K$1, MATCH(MIN(E76:K76), E76:K76, 0))), 技能库!$A:$F, 5, 0),"建议查阅考纲")&amp;CHAR(10)&amp;"💡 提升建议: "&amp;IFERROR(VLOOKUP(TRIM(D76)&amp;"_"&amp;TRIM(INDEX($E$1:$K$1, MATCH(MIN(E76:K76), E76:K76, 0))), 技能库!$A:$F, 6, 0),"请针对该题型加强练习"))</f>
        <v/>
      </c>
      <c r="AB76" s="5" t="str">
        <f>IF(P76="","", "⚠️ 薄弱环节: "&amp;INDEX($N$1:$O$1, MATCH(MIN(N76:O76), N76:O76, 0))&amp;CHAR(10)&amp;"📉 考察能力: "&amp;IFERROR(VLOOKUP(TRIM(D76)&amp;"_"&amp;TRIM(INDEX($N$1:$O$1, MATCH(MIN(N76:O76), N76:O76, 0))), 技能库!$A:$F, 5, 0),"建议查阅考纲")&amp;CHAR(10)&amp;"💡 提升建议: "&amp;IFERROR(VLOOKUP(TRIM(D76)&amp;"_"&amp;TRIM(INDEX($N$1:$O$1, MATCH(MIN(N76:O76), N76:O76, 0))), 技能库!$A:$F, 6, 0),"请针对该题型加强练习"))</f>
        <v/>
      </c>
      <c r="AC76" s="5" t="str">
        <f>IF(W76="","", "⚠️ 薄弱环节: "&amp;INDEX($R$1:$V$1, MATCH(MIN(R76:V76), R76:V76, 0))&amp;CHAR(10)&amp;"📉 考察能力: "&amp;IFERROR(VLOOKUP(TRIM(D76)&amp;"_"&amp;TRIM(INDEX($R$1:$V$1, MATCH(MIN(R76:V76), R76:V76, 0))), 技能库!$A:$F, 5, 0),"建议查阅考纲")&amp;CHAR(10)&amp;"💡 提升建议: "&amp;IFERROR(VLOOKUP(TRIM(D76)&amp;"_"&amp;TRIM(INDEX($R$1:$V$1, MATCH(MIN(R76:V76), R76:V76, 0))), 技能库!$A:$F, 6, 0),"请针对该题型加强练习"))</f>
        <v/>
      </c>
    </row>
    <row r="77" spans="12:30" ht="16" hidden="1" x14ac:dyDescent="0.2">
      <c r="L77" t="str">
        <f t="shared" si="4"/>
        <v/>
      </c>
      <c r="M77" t="str">
        <f>IF(L77="","", IFERROR(VLOOKUP(L77, IF(D77="KET", 换算标准!$M:$N, IF(D77="PET", 换算标准!$S:$T, 换算标准!$AC:$AD)), 2, TRUE), 0))</f>
        <v/>
      </c>
      <c r="P77" t="str">
        <f t="shared" si="5"/>
        <v/>
      </c>
      <c r="Q77" t="str">
        <f>IF(P77="","", IFERROR(VLOOKUP(P77, IF(D77="KET", 换算标准!$O:$P, IF(D77="PET", 换算标准!$U:$V, 换算标准!$AG:$AH)), 2, TRUE), 0))</f>
        <v/>
      </c>
      <c r="W77" t="str">
        <f t="shared" si="6"/>
        <v/>
      </c>
      <c r="X77" t="str">
        <f>IF(W77="","", IFERROR(VLOOKUP(W77, IF(D77="KET", 换算标准!$Q:$R, IF(D77="PET", 换算标准!$W:$X, 换算标准!$AI:$AJ)), 2, TRUE), 0))</f>
        <v/>
      </c>
      <c r="Y77" t="str">
        <f t="shared" si="7"/>
        <v/>
      </c>
      <c r="Z77" t="str">
        <f>IF(Y77="","", IFERROR(VLOOKUP(Y77, 换算标准!$Z:$AA, 1, TRUE), ""))</f>
        <v/>
      </c>
      <c r="AA77" s="5" t="str">
        <f>IF(L77="","", "⚠️ 薄弱环节: "&amp;INDEX($E$1:$K$1, MATCH(MIN(E77:K77), E77:K77, 0))&amp;CHAR(10)&amp;"📉 考察能力: "&amp;IFERROR(VLOOKUP(TRIM(D77)&amp;"_"&amp;TRIM(INDEX($E$1:$K$1, MATCH(MIN(E77:K77), E77:K77, 0))), 技能库!$A:$F, 5, 0),"建议查阅考纲")&amp;CHAR(10)&amp;"💡 提升建议: "&amp;IFERROR(VLOOKUP(TRIM(D77)&amp;"_"&amp;TRIM(INDEX($E$1:$K$1, MATCH(MIN(E77:K77), E77:K77, 0))), 技能库!$A:$F, 6, 0),"请针对该题型加强练习"))</f>
        <v/>
      </c>
      <c r="AB77" s="5" t="str">
        <f>IF(P77="","", "⚠️ 薄弱环节: "&amp;INDEX($N$1:$O$1, MATCH(MIN(N77:O77), N77:O77, 0))&amp;CHAR(10)&amp;"📉 考察能力: "&amp;IFERROR(VLOOKUP(TRIM(D77)&amp;"_"&amp;TRIM(INDEX($N$1:$O$1, MATCH(MIN(N77:O77), N77:O77, 0))), 技能库!$A:$F, 5, 0),"建议查阅考纲")&amp;CHAR(10)&amp;"💡 提升建议: "&amp;IFERROR(VLOOKUP(TRIM(D77)&amp;"_"&amp;TRIM(INDEX($N$1:$O$1, MATCH(MIN(N77:O77), N77:O77, 0))), 技能库!$A:$F, 6, 0),"请针对该题型加强练习"))</f>
        <v/>
      </c>
      <c r="AC77" s="5" t="str">
        <f>IF(W77="","", "⚠️ 薄弱环节: "&amp;INDEX($R$1:$V$1, MATCH(MIN(R77:V77), R77:V77, 0))&amp;CHAR(10)&amp;"📉 考察能力: "&amp;IFERROR(VLOOKUP(TRIM(D77)&amp;"_"&amp;TRIM(INDEX($R$1:$V$1, MATCH(MIN(R77:V77), R77:V77, 0))), 技能库!$A:$F, 5, 0),"建议查阅考纲")&amp;CHAR(10)&amp;"💡 提升建议: "&amp;IFERROR(VLOOKUP(TRIM(D77)&amp;"_"&amp;TRIM(INDEX($R$1:$V$1, MATCH(MIN(R77:V77), R77:V77, 0))), 技能库!$A:$F, 6, 0),"请针对该题型加强练习"))</f>
        <v/>
      </c>
    </row>
    <row r="78" spans="12:30" ht="16" hidden="1" x14ac:dyDescent="0.2">
      <c r="L78" t="str">
        <f t="shared" si="4"/>
        <v/>
      </c>
      <c r="M78" t="str">
        <f>IF(L78="","", IFERROR(VLOOKUP(L78, IF(D78="KET", 换算标准!$M:$N, IF(D78="PET", 换算标准!$S:$T, 换算标准!$AC:$AD)), 2, TRUE), 0))</f>
        <v/>
      </c>
      <c r="P78" t="str">
        <f t="shared" si="5"/>
        <v/>
      </c>
      <c r="Q78" t="str">
        <f>IF(P78="","", IFERROR(VLOOKUP(P78, IF(D78="KET", 换算标准!$O:$P, IF(D78="PET", 换算标准!$U:$V, 换算标准!$AG:$AH)), 2, TRUE), 0))</f>
        <v/>
      </c>
      <c r="W78" t="str">
        <f t="shared" si="6"/>
        <v/>
      </c>
      <c r="X78" t="str">
        <f>IF(W78="","", IFERROR(VLOOKUP(W78, IF(D78="KET", 换算标准!$Q:$R, IF(D78="PET", 换算标准!$W:$X, 换算标准!$AI:$AJ)), 2, TRUE), 0))</f>
        <v/>
      </c>
      <c r="Y78" t="str">
        <f t="shared" si="7"/>
        <v/>
      </c>
      <c r="Z78" t="str">
        <f>IF(Y78="","", IFERROR(VLOOKUP(Y78, 换算标准!$Z:$AA, 1, TRUE), ""))</f>
        <v/>
      </c>
      <c r="AA78" s="5" t="str">
        <f>IF(L78="","", "⚠️ 薄弱环节: "&amp;INDEX($E$1:$K$1, MATCH(MIN(E78:K78), E78:K78, 0))&amp;CHAR(10)&amp;"📉 考察能力: "&amp;IFERROR(VLOOKUP(TRIM(D78)&amp;"_"&amp;TRIM(INDEX($E$1:$K$1, MATCH(MIN(E78:K78), E78:K78, 0))), 技能库!$A:$F, 5, 0),"建议查阅考纲")&amp;CHAR(10)&amp;"💡 提升建议: "&amp;IFERROR(VLOOKUP(TRIM(D78)&amp;"_"&amp;TRIM(INDEX($E$1:$K$1, MATCH(MIN(E78:K78), E78:K78, 0))), 技能库!$A:$F, 6, 0),"请针对该题型加强练习"))</f>
        <v/>
      </c>
      <c r="AB78" s="5" t="str">
        <f>IF(P78="","", "⚠️ 薄弱环节: "&amp;INDEX($N$1:$O$1, MATCH(MIN(N78:O78), N78:O78, 0))&amp;CHAR(10)&amp;"📉 考察能力: "&amp;IFERROR(VLOOKUP(TRIM(D78)&amp;"_"&amp;TRIM(INDEX($N$1:$O$1, MATCH(MIN(N78:O78), N78:O78, 0))), 技能库!$A:$F, 5, 0),"建议查阅考纲")&amp;CHAR(10)&amp;"💡 提升建议: "&amp;IFERROR(VLOOKUP(TRIM(D78)&amp;"_"&amp;TRIM(INDEX($N$1:$O$1, MATCH(MIN(N78:O78), N78:O78, 0))), 技能库!$A:$F, 6, 0),"请针对该题型加强练习"))</f>
        <v/>
      </c>
      <c r="AC78" s="5" t="str">
        <f>IF(W78="","", "⚠️ 薄弱环节: "&amp;INDEX($R$1:$V$1, MATCH(MIN(R78:V78), R78:V78, 0))&amp;CHAR(10)&amp;"📉 考察能力: "&amp;IFERROR(VLOOKUP(TRIM(D78)&amp;"_"&amp;TRIM(INDEX($R$1:$V$1, MATCH(MIN(R78:V78), R78:V78, 0))), 技能库!$A:$F, 5, 0),"建议查阅考纲")&amp;CHAR(10)&amp;"💡 提升建议: "&amp;IFERROR(VLOOKUP(TRIM(D78)&amp;"_"&amp;TRIM(INDEX($R$1:$V$1, MATCH(MIN(R78:V78), R78:V78, 0))), 技能库!$A:$F, 6, 0),"请针对该题型加强练习"))</f>
        <v/>
      </c>
    </row>
    <row r="79" spans="12:30" ht="16" hidden="1" x14ac:dyDescent="0.2">
      <c r="L79" t="str">
        <f t="shared" si="4"/>
        <v/>
      </c>
      <c r="M79" t="str">
        <f>IF(L79="","", IFERROR(VLOOKUP(L79, IF(D79="KET", 换算标准!$M:$N, IF(D79="PET", 换算标准!$S:$T, 换算标准!$AC:$AD)), 2, TRUE), 0))</f>
        <v/>
      </c>
      <c r="P79" t="str">
        <f t="shared" si="5"/>
        <v/>
      </c>
      <c r="Q79" t="str">
        <f>IF(P79="","", IFERROR(VLOOKUP(P79, IF(D79="KET", 换算标准!$O:$P, IF(D79="PET", 换算标准!$U:$V, 换算标准!$AG:$AH)), 2, TRUE), 0))</f>
        <v/>
      </c>
      <c r="W79" t="str">
        <f t="shared" si="6"/>
        <v/>
      </c>
      <c r="X79" t="str">
        <f>IF(W79="","", IFERROR(VLOOKUP(W79, IF(D79="KET", 换算标准!$Q:$R, IF(D79="PET", 换算标准!$W:$X, 换算标准!$AI:$AJ)), 2, TRUE), 0))</f>
        <v/>
      </c>
      <c r="Y79" t="str">
        <f t="shared" si="7"/>
        <v/>
      </c>
      <c r="Z79" t="str">
        <f>IF(Y79="","", IFERROR(VLOOKUP(Y79, 换算标准!$Z:$AA, 1, TRUE), ""))</f>
        <v/>
      </c>
      <c r="AA79" s="5" t="str">
        <f>IF(L79="","", "⚠️ 薄弱环节: "&amp;INDEX($E$1:$K$1, MATCH(MIN(E79:K79), E79:K79, 0))&amp;CHAR(10)&amp;"📉 考察能力: "&amp;IFERROR(VLOOKUP(TRIM(D79)&amp;"_"&amp;TRIM(INDEX($E$1:$K$1, MATCH(MIN(E79:K79), E79:K79, 0))), 技能库!$A:$F, 5, 0),"建议查阅考纲")&amp;CHAR(10)&amp;"💡 提升建议: "&amp;IFERROR(VLOOKUP(TRIM(D79)&amp;"_"&amp;TRIM(INDEX($E$1:$K$1, MATCH(MIN(E79:K79), E79:K79, 0))), 技能库!$A:$F, 6, 0),"请针对该题型加强练习"))</f>
        <v/>
      </c>
      <c r="AB79" s="5" t="str">
        <f>IF(P79="","", "⚠️ 薄弱环节: "&amp;INDEX($N$1:$O$1, MATCH(MIN(N79:O79), N79:O79, 0))&amp;CHAR(10)&amp;"📉 考察能力: "&amp;IFERROR(VLOOKUP(TRIM(D79)&amp;"_"&amp;TRIM(INDEX($N$1:$O$1, MATCH(MIN(N79:O79), N79:O79, 0))), 技能库!$A:$F, 5, 0),"建议查阅考纲")&amp;CHAR(10)&amp;"💡 提升建议: "&amp;IFERROR(VLOOKUP(TRIM(D79)&amp;"_"&amp;TRIM(INDEX($N$1:$O$1, MATCH(MIN(N79:O79), N79:O79, 0))), 技能库!$A:$F, 6, 0),"请针对该题型加强练习"))</f>
        <v/>
      </c>
      <c r="AC79" s="5" t="str">
        <f>IF(W79="","", "⚠️ 薄弱环节: "&amp;INDEX($R$1:$V$1, MATCH(MIN(R79:V79), R79:V79, 0))&amp;CHAR(10)&amp;"📉 考察能力: "&amp;IFERROR(VLOOKUP(TRIM(D79)&amp;"_"&amp;TRIM(INDEX($R$1:$V$1, MATCH(MIN(R79:V79), R79:V79, 0))), 技能库!$A:$F, 5, 0),"建议查阅考纲")&amp;CHAR(10)&amp;"💡 提升建议: "&amp;IFERROR(VLOOKUP(TRIM(D79)&amp;"_"&amp;TRIM(INDEX($R$1:$V$1, MATCH(MIN(R79:V79), R79:V79, 0))), 技能库!$A:$F, 6, 0),"请针对该题型加强练习"))</f>
        <v/>
      </c>
    </row>
    <row r="80" spans="12:30" ht="16" hidden="1" x14ac:dyDescent="0.2">
      <c r="L80" t="str">
        <f t="shared" si="4"/>
        <v/>
      </c>
      <c r="M80" t="str">
        <f>IF(L80="","", IFERROR(VLOOKUP(L80, IF(D80="KET", 换算标准!$M:$N, IF(D80="PET", 换算标准!$S:$T, 换算标准!$AC:$AD)), 2, TRUE), 0))</f>
        <v/>
      </c>
      <c r="P80" t="str">
        <f t="shared" si="5"/>
        <v/>
      </c>
      <c r="Q80" t="str">
        <f>IF(P80="","", IFERROR(VLOOKUP(P80, IF(D80="KET", 换算标准!$O:$P, IF(D80="PET", 换算标准!$U:$V, 换算标准!$AG:$AH)), 2, TRUE), 0))</f>
        <v/>
      </c>
      <c r="W80" t="str">
        <f t="shared" si="6"/>
        <v/>
      </c>
      <c r="X80" t="str">
        <f>IF(W80="","", IFERROR(VLOOKUP(W80, IF(D80="KET", 换算标准!$Q:$R, IF(D80="PET", 换算标准!$W:$X, 换算标准!$AI:$AJ)), 2, TRUE), 0))</f>
        <v/>
      </c>
      <c r="Y80" t="str">
        <f t="shared" si="7"/>
        <v/>
      </c>
      <c r="Z80" t="str">
        <f>IF(Y80="","", IFERROR(VLOOKUP(Y80, 换算标准!$Z:$AA, 1, TRUE), ""))</f>
        <v/>
      </c>
      <c r="AA80" s="5" t="str">
        <f>IF(L80="","", "⚠️ 薄弱环节: "&amp;INDEX($E$1:$K$1, MATCH(MIN(E80:K80), E80:K80, 0))&amp;CHAR(10)&amp;"📉 考察能力: "&amp;IFERROR(VLOOKUP(TRIM(D80)&amp;"_"&amp;TRIM(INDEX($E$1:$K$1, MATCH(MIN(E80:K80), E80:K80, 0))), 技能库!$A:$F, 5, 0),"建议查阅考纲")&amp;CHAR(10)&amp;"💡 提升建议: "&amp;IFERROR(VLOOKUP(TRIM(D80)&amp;"_"&amp;TRIM(INDEX($E$1:$K$1, MATCH(MIN(E80:K80), E80:K80, 0))), 技能库!$A:$F, 6, 0),"请针对该题型加强练习"))</f>
        <v/>
      </c>
      <c r="AB80" s="5" t="str">
        <f>IF(P80="","", "⚠️ 薄弱环节: "&amp;INDEX($N$1:$O$1, MATCH(MIN(N80:O80), N80:O80, 0))&amp;CHAR(10)&amp;"📉 考察能力: "&amp;IFERROR(VLOOKUP(TRIM(D80)&amp;"_"&amp;TRIM(INDEX($N$1:$O$1, MATCH(MIN(N80:O80), N80:O80, 0))), 技能库!$A:$F, 5, 0),"建议查阅考纲")&amp;CHAR(10)&amp;"💡 提升建议: "&amp;IFERROR(VLOOKUP(TRIM(D80)&amp;"_"&amp;TRIM(INDEX($N$1:$O$1, MATCH(MIN(N80:O80), N80:O80, 0))), 技能库!$A:$F, 6, 0),"请针对该题型加强练习"))</f>
        <v/>
      </c>
      <c r="AC80" s="5" t="str">
        <f>IF(W80="","", "⚠️ 薄弱环节: "&amp;INDEX($R$1:$V$1, MATCH(MIN(R80:V80), R80:V80, 0))&amp;CHAR(10)&amp;"📉 考察能力: "&amp;IFERROR(VLOOKUP(TRIM(D80)&amp;"_"&amp;TRIM(INDEX($R$1:$V$1, MATCH(MIN(R80:V80), R80:V80, 0))), 技能库!$A:$F, 5, 0),"建议查阅考纲")&amp;CHAR(10)&amp;"💡 提升建议: "&amp;IFERROR(VLOOKUP(TRIM(D80)&amp;"_"&amp;TRIM(INDEX($R$1:$V$1, MATCH(MIN(R80:V80), R80:V80, 0))), 技能库!$A:$F, 6, 0),"请针对该题型加强练习"))</f>
        <v/>
      </c>
    </row>
    <row r="81" spans="12:29" ht="16" hidden="1" x14ac:dyDescent="0.2">
      <c r="L81" t="str">
        <f t="shared" si="4"/>
        <v/>
      </c>
      <c r="M81" t="str">
        <f>IF(L81="","", IFERROR(VLOOKUP(L81, IF(D81="KET", 换算标准!$M:$N, IF(D81="PET", 换算标准!$S:$T, 换算标准!$AC:$AD)), 2, TRUE), 0))</f>
        <v/>
      </c>
      <c r="P81" t="str">
        <f t="shared" si="5"/>
        <v/>
      </c>
      <c r="Q81" t="str">
        <f>IF(P81="","", IFERROR(VLOOKUP(P81, IF(D81="KET", 换算标准!$O:$P, IF(D81="PET", 换算标准!$U:$V, 换算标准!$AG:$AH)), 2, TRUE), 0))</f>
        <v/>
      </c>
      <c r="W81" t="str">
        <f t="shared" si="6"/>
        <v/>
      </c>
      <c r="X81" t="str">
        <f>IF(W81="","", IFERROR(VLOOKUP(W81, IF(D81="KET", 换算标准!$Q:$R, IF(D81="PET", 换算标准!$W:$X, 换算标准!$AI:$AJ)), 2, TRUE), 0))</f>
        <v/>
      </c>
      <c r="Y81" t="str">
        <f t="shared" si="7"/>
        <v/>
      </c>
      <c r="Z81" t="str">
        <f>IF(Y81="","", IFERROR(VLOOKUP(Y81, 换算标准!$Z:$AA, 1, TRUE), ""))</f>
        <v/>
      </c>
      <c r="AA81" s="5" t="str">
        <f>IF(L81="","", "⚠️ 薄弱环节: "&amp;INDEX($E$1:$K$1, MATCH(MIN(E81:K81), E81:K81, 0))&amp;CHAR(10)&amp;"📉 考察能力: "&amp;IFERROR(VLOOKUP(TRIM(D81)&amp;"_"&amp;TRIM(INDEX($E$1:$K$1, MATCH(MIN(E81:K81), E81:K81, 0))), 技能库!$A:$F, 5, 0),"建议查阅考纲")&amp;CHAR(10)&amp;"💡 提升建议: "&amp;IFERROR(VLOOKUP(TRIM(D81)&amp;"_"&amp;TRIM(INDEX($E$1:$K$1, MATCH(MIN(E81:K81), E81:K81, 0))), 技能库!$A:$F, 6, 0),"请针对该题型加强练习"))</f>
        <v/>
      </c>
      <c r="AB81" s="5" t="str">
        <f>IF(P81="","", "⚠️ 薄弱环节: "&amp;INDEX($N$1:$O$1, MATCH(MIN(N81:O81), N81:O81, 0))&amp;CHAR(10)&amp;"📉 考察能力: "&amp;IFERROR(VLOOKUP(TRIM(D81)&amp;"_"&amp;TRIM(INDEX($N$1:$O$1, MATCH(MIN(N81:O81), N81:O81, 0))), 技能库!$A:$F, 5, 0),"建议查阅考纲")&amp;CHAR(10)&amp;"💡 提升建议: "&amp;IFERROR(VLOOKUP(TRIM(D81)&amp;"_"&amp;TRIM(INDEX($N$1:$O$1, MATCH(MIN(N81:O81), N81:O81, 0))), 技能库!$A:$F, 6, 0),"请针对该题型加强练习"))</f>
        <v/>
      </c>
      <c r="AC81" s="5" t="str">
        <f>IF(W81="","", "⚠️ 薄弱环节: "&amp;INDEX($R$1:$V$1, MATCH(MIN(R81:V81), R81:V81, 0))&amp;CHAR(10)&amp;"📉 考察能力: "&amp;IFERROR(VLOOKUP(TRIM(D81)&amp;"_"&amp;TRIM(INDEX($R$1:$V$1, MATCH(MIN(R81:V81), R81:V81, 0))), 技能库!$A:$F, 5, 0),"建议查阅考纲")&amp;CHAR(10)&amp;"💡 提升建议: "&amp;IFERROR(VLOOKUP(TRIM(D81)&amp;"_"&amp;TRIM(INDEX($R$1:$V$1, MATCH(MIN(R81:V81), R81:V81, 0))), 技能库!$A:$F, 6, 0),"请针对该题型加强练习"))</f>
        <v/>
      </c>
    </row>
    <row r="82" spans="12:29" ht="16" hidden="1" x14ac:dyDescent="0.2">
      <c r="L82" t="str">
        <f t="shared" si="4"/>
        <v/>
      </c>
      <c r="M82" t="str">
        <f>IF(L82="","", IFERROR(VLOOKUP(L82, IF(D82="KET", 换算标准!$M:$N, IF(D82="PET", 换算标准!$S:$T, 换算标准!$AC:$AD)), 2, TRUE), 0))</f>
        <v/>
      </c>
      <c r="P82" t="str">
        <f t="shared" si="5"/>
        <v/>
      </c>
      <c r="Q82" t="str">
        <f>IF(P82="","", IFERROR(VLOOKUP(P82, IF(D82="KET", 换算标准!$O:$P, IF(D82="PET", 换算标准!$U:$V, 换算标准!$AG:$AH)), 2, TRUE), 0))</f>
        <v/>
      </c>
      <c r="W82" t="str">
        <f t="shared" si="6"/>
        <v/>
      </c>
      <c r="X82" t="str">
        <f>IF(W82="","", IFERROR(VLOOKUP(W82, IF(D82="KET", 换算标准!$Q:$R, IF(D82="PET", 换算标准!$W:$X, 换算标准!$AI:$AJ)), 2, TRUE), 0))</f>
        <v/>
      </c>
      <c r="Y82" t="str">
        <f t="shared" si="7"/>
        <v/>
      </c>
      <c r="Z82" t="str">
        <f>IF(Y82="","", IFERROR(VLOOKUP(Y82, 换算标准!$Z:$AA, 1, TRUE), ""))</f>
        <v/>
      </c>
      <c r="AA82" s="5" t="str">
        <f>IF(L82="","", "⚠️ 薄弱环节: "&amp;INDEX($E$1:$K$1, MATCH(MIN(E82:K82), E82:K82, 0))&amp;CHAR(10)&amp;"📉 考察能力: "&amp;IFERROR(VLOOKUP(TRIM(D82)&amp;"_"&amp;TRIM(INDEX($E$1:$K$1, MATCH(MIN(E82:K82), E82:K82, 0))), 技能库!$A:$F, 5, 0),"建议查阅考纲")&amp;CHAR(10)&amp;"💡 提升建议: "&amp;IFERROR(VLOOKUP(TRIM(D82)&amp;"_"&amp;TRIM(INDEX($E$1:$K$1, MATCH(MIN(E82:K82), E82:K82, 0))), 技能库!$A:$F, 6, 0),"请针对该题型加强练习"))</f>
        <v/>
      </c>
      <c r="AB82" s="5" t="str">
        <f>IF(P82="","", "⚠️ 薄弱环节: "&amp;INDEX($N$1:$O$1, MATCH(MIN(N82:O82), N82:O82, 0))&amp;CHAR(10)&amp;"📉 考察能力: "&amp;IFERROR(VLOOKUP(TRIM(D82)&amp;"_"&amp;TRIM(INDEX($N$1:$O$1, MATCH(MIN(N82:O82), N82:O82, 0))), 技能库!$A:$F, 5, 0),"建议查阅考纲")&amp;CHAR(10)&amp;"💡 提升建议: "&amp;IFERROR(VLOOKUP(TRIM(D82)&amp;"_"&amp;TRIM(INDEX($N$1:$O$1, MATCH(MIN(N82:O82), N82:O82, 0))), 技能库!$A:$F, 6, 0),"请针对该题型加强练习"))</f>
        <v/>
      </c>
      <c r="AC82" s="5" t="str">
        <f>IF(W82="","", "⚠️ 薄弱环节: "&amp;INDEX($R$1:$V$1, MATCH(MIN(R82:V82), R82:V82, 0))&amp;CHAR(10)&amp;"📉 考察能力: "&amp;IFERROR(VLOOKUP(TRIM(D82)&amp;"_"&amp;TRIM(INDEX($R$1:$V$1, MATCH(MIN(R82:V82), R82:V82, 0))), 技能库!$A:$F, 5, 0),"建议查阅考纲")&amp;CHAR(10)&amp;"💡 提升建议: "&amp;IFERROR(VLOOKUP(TRIM(D82)&amp;"_"&amp;TRIM(INDEX($R$1:$V$1, MATCH(MIN(R82:V82), R82:V82, 0))), 技能库!$A:$F, 6, 0),"请针对该题型加强练习"))</f>
        <v/>
      </c>
    </row>
    <row r="83" spans="12:29" ht="16" hidden="1" x14ac:dyDescent="0.2">
      <c r="L83" t="str">
        <f t="shared" si="4"/>
        <v/>
      </c>
      <c r="M83" t="str">
        <f>IF(L83="","", IFERROR(VLOOKUP(L83, IF(D83="KET", 换算标准!$M:$N, IF(D83="PET", 换算标准!$S:$T, 换算标准!$AC:$AD)), 2, TRUE), 0))</f>
        <v/>
      </c>
      <c r="P83" t="str">
        <f t="shared" si="5"/>
        <v/>
      </c>
      <c r="Q83" t="str">
        <f>IF(P83="","", IFERROR(VLOOKUP(P83, IF(D83="KET", 换算标准!$O:$P, IF(D83="PET", 换算标准!$U:$V, 换算标准!$AG:$AH)), 2, TRUE), 0))</f>
        <v/>
      </c>
      <c r="W83" t="str">
        <f t="shared" si="6"/>
        <v/>
      </c>
      <c r="X83" t="str">
        <f>IF(W83="","", IFERROR(VLOOKUP(W83, IF(D83="KET", 换算标准!$Q:$R, IF(D83="PET", 换算标准!$W:$X, 换算标准!$AI:$AJ)), 2, TRUE), 0))</f>
        <v/>
      </c>
      <c r="Y83" t="str">
        <f t="shared" si="7"/>
        <v/>
      </c>
      <c r="Z83" t="str">
        <f>IF(Y83="","", IFERROR(VLOOKUP(Y83, 换算标准!$Z:$AA, 1, TRUE), ""))</f>
        <v/>
      </c>
      <c r="AA83" s="5" t="str">
        <f>IF(L83="","", "⚠️ 薄弱环节: "&amp;INDEX($E$1:$K$1, MATCH(MIN(E83:K83), E83:K83, 0))&amp;CHAR(10)&amp;"📉 考察能力: "&amp;IFERROR(VLOOKUP(TRIM(D83)&amp;"_"&amp;TRIM(INDEX($E$1:$K$1, MATCH(MIN(E83:K83), E83:K83, 0))), 技能库!$A:$F, 5, 0),"建议查阅考纲")&amp;CHAR(10)&amp;"💡 提升建议: "&amp;IFERROR(VLOOKUP(TRIM(D83)&amp;"_"&amp;TRIM(INDEX($E$1:$K$1, MATCH(MIN(E83:K83), E83:K83, 0))), 技能库!$A:$F, 6, 0),"请针对该题型加强练习"))</f>
        <v/>
      </c>
      <c r="AB83" s="5" t="str">
        <f>IF(P83="","", "⚠️ 薄弱环节: "&amp;INDEX($N$1:$O$1, MATCH(MIN(N83:O83), N83:O83, 0))&amp;CHAR(10)&amp;"📉 考察能力: "&amp;IFERROR(VLOOKUP(TRIM(D83)&amp;"_"&amp;TRIM(INDEX($N$1:$O$1, MATCH(MIN(N83:O83), N83:O83, 0))), 技能库!$A:$F, 5, 0),"建议查阅考纲")&amp;CHAR(10)&amp;"💡 提升建议: "&amp;IFERROR(VLOOKUP(TRIM(D83)&amp;"_"&amp;TRIM(INDEX($N$1:$O$1, MATCH(MIN(N83:O83), N83:O83, 0))), 技能库!$A:$F, 6, 0),"请针对该题型加强练习"))</f>
        <v/>
      </c>
      <c r="AC83" s="5" t="str">
        <f>IF(W83="","", "⚠️ 薄弱环节: "&amp;INDEX($R$1:$V$1, MATCH(MIN(R83:V83), R83:V83, 0))&amp;CHAR(10)&amp;"📉 考察能力: "&amp;IFERROR(VLOOKUP(TRIM(D83)&amp;"_"&amp;TRIM(INDEX($R$1:$V$1, MATCH(MIN(R83:V83), R83:V83, 0))), 技能库!$A:$F, 5, 0),"建议查阅考纲")&amp;CHAR(10)&amp;"💡 提升建议: "&amp;IFERROR(VLOOKUP(TRIM(D83)&amp;"_"&amp;TRIM(INDEX($R$1:$V$1, MATCH(MIN(R83:V83), R83:V83, 0))), 技能库!$A:$F, 6, 0),"请针对该题型加强练习"))</f>
        <v/>
      </c>
    </row>
    <row r="84" spans="12:29" ht="16" hidden="1" x14ac:dyDescent="0.2">
      <c r="L84" t="str">
        <f t="shared" si="4"/>
        <v/>
      </c>
      <c r="M84" t="str">
        <f>IF(L84="","", IFERROR(VLOOKUP(L84, IF(D84="KET", 换算标准!$M:$N, IF(D84="PET", 换算标准!$S:$T, 换算标准!$AC:$AD)), 2, TRUE), 0))</f>
        <v/>
      </c>
      <c r="P84" t="str">
        <f t="shared" si="5"/>
        <v/>
      </c>
      <c r="Q84" t="str">
        <f>IF(P84="","", IFERROR(VLOOKUP(P84, IF(D84="KET", 换算标准!$O:$P, IF(D84="PET", 换算标准!$U:$V, 换算标准!$AG:$AH)), 2, TRUE), 0))</f>
        <v/>
      </c>
      <c r="W84" t="str">
        <f t="shared" si="6"/>
        <v/>
      </c>
      <c r="X84" t="str">
        <f>IF(W84="","", IFERROR(VLOOKUP(W84, IF(D84="KET", 换算标准!$Q:$R, IF(D84="PET", 换算标准!$W:$X, 换算标准!$AI:$AJ)), 2, TRUE), 0))</f>
        <v/>
      </c>
      <c r="Y84" t="str">
        <f t="shared" si="7"/>
        <v/>
      </c>
      <c r="Z84" t="str">
        <f>IF(Y84="","", IFERROR(VLOOKUP(Y84, 换算标准!$Z:$AA, 1, TRUE), ""))</f>
        <v/>
      </c>
      <c r="AA84" s="5" t="str">
        <f>IF(L84="","", "⚠️ 薄弱环节: "&amp;INDEX($E$1:$K$1, MATCH(MIN(E84:K84), E84:K84, 0))&amp;CHAR(10)&amp;"📉 考察能力: "&amp;IFERROR(VLOOKUP(TRIM(D84)&amp;"_"&amp;TRIM(INDEX($E$1:$K$1, MATCH(MIN(E84:K84), E84:K84, 0))), 技能库!$A:$F, 5, 0),"建议查阅考纲")&amp;CHAR(10)&amp;"💡 提升建议: "&amp;IFERROR(VLOOKUP(TRIM(D84)&amp;"_"&amp;TRIM(INDEX($E$1:$K$1, MATCH(MIN(E84:K84), E84:K84, 0))), 技能库!$A:$F, 6, 0),"请针对该题型加强练习"))</f>
        <v/>
      </c>
      <c r="AB84" s="5" t="str">
        <f>IF(P84="","", "⚠️ 薄弱环节: "&amp;INDEX($N$1:$O$1, MATCH(MIN(N84:O84), N84:O84, 0))&amp;CHAR(10)&amp;"📉 考察能力: "&amp;IFERROR(VLOOKUP(TRIM(D84)&amp;"_"&amp;TRIM(INDEX($N$1:$O$1, MATCH(MIN(N84:O84), N84:O84, 0))), 技能库!$A:$F, 5, 0),"建议查阅考纲")&amp;CHAR(10)&amp;"💡 提升建议: "&amp;IFERROR(VLOOKUP(TRIM(D84)&amp;"_"&amp;TRIM(INDEX($N$1:$O$1, MATCH(MIN(N84:O84), N84:O84, 0))), 技能库!$A:$F, 6, 0),"请针对该题型加强练习"))</f>
        <v/>
      </c>
      <c r="AC84" s="5" t="str">
        <f>IF(W84="","", "⚠️ 薄弱环节: "&amp;INDEX($R$1:$V$1, MATCH(MIN(R84:V84), R84:V84, 0))&amp;CHAR(10)&amp;"📉 考察能力: "&amp;IFERROR(VLOOKUP(TRIM(D84)&amp;"_"&amp;TRIM(INDEX($R$1:$V$1, MATCH(MIN(R84:V84), R84:V84, 0))), 技能库!$A:$F, 5, 0),"建议查阅考纲")&amp;CHAR(10)&amp;"💡 提升建议: "&amp;IFERROR(VLOOKUP(TRIM(D84)&amp;"_"&amp;TRIM(INDEX($R$1:$V$1, MATCH(MIN(R84:V84), R84:V84, 0))), 技能库!$A:$F, 6, 0),"请针对该题型加强练习"))</f>
        <v/>
      </c>
    </row>
    <row r="85" spans="12:29" ht="16" hidden="1" x14ac:dyDescent="0.2">
      <c r="L85" t="str">
        <f t="shared" si="4"/>
        <v/>
      </c>
      <c r="M85" t="str">
        <f>IF(L85="","", IFERROR(VLOOKUP(L85, IF(D85="KET", 换算标准!$M:$N, IF(D85="PET", 换算标准!$S:$T, 换算标准!$AC:$AD)), 2, TRUE), 0))</f>
        <v/>
      </c>
      <c r="P85" t="str">
        <f t="shared" si="5"/>
        <v/>
      </c>
      <c r="Q85" t="str">
        <f>IF(P85="","", IFERROR(VLOOKUP(P85, IF(D85="KET", 换算标准!$O:$P, IF(D85="PET", 换算标准!$U:$V, 换算标准!$AG:$AH)), 2, TRUE), 0))</f>
        <v/>
      </c>
      <c r="W85" t="str">
        <f t="shared" si="6"/>
        <v/>
      </c>
      <c r="X85" t="str">
        <f>IF(W85="","", IFERROR(VLOOKUP(W85, IF(D85="KET", 换算标准!$Q:$R, IF(D85="PET", 换算标准!$W:$X, 换算标准!$AI:$AJ)), 2, TRUE), 0))</f>
        <v/>
      </c>
      <c r="Y85" t="str">
        <f t="shared" si="7"/>
        <v/>
      </c>
      <c r="Z85" t="str">
        <f>IF(Y85="","", IFERROR(VLOOKUP(Y85, 换算标准!$Z:$AA, 1, TRUE), ""))</f>
        <v/>
      </c>
      <c r="AA85" s="5" t="str">
        <f>IF(L85="","", "⚠️ 薄弱环节: "&amp;INDEX($E$1:$K$1, MATCH(MIN(E85:K85), E85:K85, 0))&amp;CHAR(10)&amp;"📉 考察能力: "&amp;IFERROR(VLOOKUP(TRIM(D85)&amp;"_"&amp;TRIM(INDEX($E$1:$K$1, MATCH(MIN(E85:K85), E85:K85, 0))), 技能库!$A:$F, 5, 0),"建议查阅考纲")&amp;CHAR(10)&amp;"💡 提升建议: "&amp;IFERROR(VLOOKUP(TRIM(D85)&amp;"_"&amp;TRIM(INDEX($E$1:$K$1, MATCH(MIN(E85:K85), E85:K85, 0))), 技能库!$A:$F, 6, 0),"请针对该题型加强练习"))</f>
        <v/>
      </c>
      <c r="AB85" s="5" t="str">
        <f>IF(P85="","", "⚠️ 薄弱环节: "&amp;INDEX($N$1:$O$1, MATCH(MIN(N85:O85), N85:O85, 0))&amp;CHAR(10)&amp;"📉 考察能力: "&amp;IFERROR(VLOOKUP(TRIM(D85)&amp;"_"&amp;TRIM(INDEX($N$1:$O$1, MATCH(MIN(N85:O85), N85:O85, 0))), 技能库!$A:$F, 5, 0),"建议查阅考纲")&amp;CHAR(10)&amp;"💡 提升建议: "&amp;IFERROR(VLOOKUP(TRIM(D85)&amp;"_"&amp;TRIM(INDEX($N$1:$O$1, MATCH(MIN(N85:O85), N85:O85, 0))), 技能库!$A:$F, 6, 0),"请针对该题型加强练习"))</f>
        <v/>
      </c>
      <c r="AC85" s="5" t="str">
        <f>IF(W85="","", "⚠️ 薄弱环节: "&amp;INDEX($R$1:$V$1, MATCH(MIN(R85:V85), R85:V85, 0))&amp;CHAR(10)&amp;"📉 考察能力: "&amp;IFERROR(VLOOKUP(TRIM(D85)&amp;"_"&amp;TRIM(INDEX($R$1:$V$1, MATCH(MIN(R85:V85), R85:V85, 0))), 技能库!$A:$F, 5, 0),"建议查阅考纲")&amp;CHAR(10)&amp;"💡 提升建议: "&amp;IFERROR(VLOOKUP(TRIM(D85)&amp;"_"&amp;TRIM(INDEX($R$1:$V$1, MATCH(MIN(R85:V85), R85:V85, 0))), 技能库!$A:$F, 6, 0),"请针对该题型加强练习"))</f>
        <v/>
      </c>
    </row>
    <row r="86" spans="12:29" ht="16" hidden="1" x14ac:dyDescent="0.2">
      <c r="L86" t="str">
        <f t="shared" si="4"/>
        <v/>
      </c>
      <c r="M86" t="str">
        <f>IF(L86="","", IFERROR(VLOOKUP(L86, IF(D86="KET", 换算标准!$M:$N, IF(D86="PET", 换算标准!$S:$T, 换算标准!$AC:$AD)), 2, TRUE), 0))</f>
        <v/>
      </c>
      <c r="P86" t="str">
        <f t="shared" si="5"/>
        <v/>
      </c>
      <c r="Q86" t="str">
        <f>IF(P86="","", IFERROR(VLOOKUP(P86, IF(D86="KET", 换算标准!$O:$P, IF(D86="PET", 换算标准!$U:$V, 换算标准!$AG:$AH)), 2, TRUE), 0))</f>
        <v/>
      </c>
      <c r="W86" t="str">
        <f t="shared" si="6"/>
        <v/>
      </c>
      <c r="X86" t="str">
        <f>IF(W86="","", IFERROR(VLOOKUP(W86, IF(D86="KET", 换算标准!$Q:$R, IF(D86="PET", 换算标准!$W:$X, 换算标准!$AI:$AJ)), 2, TRUE), 0))</f>
        <v/>
      </c>
      <c r="Y86" t="str">
        <f t="shared" si="7"/>
        <v/>
      </c>
      <c r="Z86" t="str">
        <f>IF(Y86="","", IFERROR(VLOOKUP(Y86, 换算标准!$Z:$AA, 1, TRUE), ""))</f>
        <v/>
      </c>
      <c r="AA86" s="5" t="str">
        <f>IF(L86="","", "⚠️ 薄弱环节: "&amp;INDEX($E$1:$K$1, MATCH(MIN(E86:K86), E86:K86, 0))&amp;CHAR(10)&amp;"📉 考察能力: "&amp;IFERROR(VLOOKUP(TRIM(D86)&amp;"_"&amp;TRIM(INDEX($E$1:$K$1, MATCH(MIN(E86:K86), E86:K86, 0))), 技能库!$A:$F, 5, 0),"建议查阅考纲")&amp;CHAR(10)&amp;"💡 提升建议: "&amp;IFERROR(VLOOKUP(TRIM(D86)&amp;"_"&amp;TRIM(INDEX($E$1:$K$1, MATCH(MIN(E86:K86), E86:K86, 0))), 技能库!$A:$F, 6, 0),"请针对该题型加强练习"))</f>
        <v/>
      </c>
      <c r="AB86" s="5" t="str">
        <f>IF(P86="","", "⚠️ 薄弱环节: "&amp;INDEX($N$1:$O$1, MATCH(MIN(N86:O86), N86:O86, 0))&amp;CHAR(10)&amp;"📉 考察能力: "&amp;IFERROR(VLOOKUP(TRIM(D86)&amp;"_"&amp;TRIM(INDEX($N$1:$O$1, MATCH(MIN(N86:O86), N86:O86, 0))), 技能库!$A:$F, 5, 0),"建议查阅考纲")&amp;CHAR(10)&amp;"💡 提升建议: "&amp;IFERROR(VLOOKUP(TRIM(D86)&amp;"_"&amp;TRIM(INDEX($N$1:$O$1, MATCH(MIN(N86:O86), N86:O86, 0))), 技能库!$A:$F, 6, 0),"请针对该题型加强练习"))</f>
        <v/>
      </c>
      <c r="AC86" s="5" t="str">
        <f>IF(W86="","", "⚠️ 薄弱环节: "&amp;INDEX($R$1:$V$1, MATCH(MIN(R86:V86), R86:V86, 0))&amp;CHAR(10)&amp;"📉 考察能力: "&amp;IFERROR(VLOOKUP(TRIM(D86)&amp;"_"&amp;TRIM(INDEX($R$1:$V$1, MATCH(MIN(R86:V86), R86:V86, 0))), 技能库!$A:$F, 5, 0),"建议查阅考纲")&amp;CHAR(10)&amp;"💡 提升建议: "&amp;IFERROR(VLOOKUP(TRIM(D86)&amp;"_"&amp;TRIM(INDEX($R$1:$V$1, MATCH(MIN(R86:V86), R86:V86, 0))), 技能库!$A:$F, 6, 0),"请针对该题型加强练习"))</f>
        <v/>
      </c>
    </row>
    <row r="87" spans="12:29" ht="16" hidden="1" x14ac:dyDescent="0.2">
      <c r="L87" t="str">
        <f t="shared" si="4"/>
        <v/>
      </c>
      <c r="M87" t="str">
        <f>IF(L87="","", IFERROR(VLOOKUP(L87, IF(D87="KET", 换算标准!$M:$N, IF(D87="PET", 换算标准!$S:$T, 换算标准!$AC:$AD)), 2, TRUE), 0))</f>
        <v/>
      </c>
      <c r="P87" t="str">
        <f t="shared" si="5"/>
        <v/>
      </c>
      <c r="Q87" t="str">
        <f>IF(P87="","", IFERROR(VLOOKUP(P87, IF(D87="KET", 换算标准!$O:$P, IF(D87="PET", 换算标准!$U:$V, 换算标准!$AG:$AH)), 2, TRUE), 0))</f>
        <v/>
      </c>
      <c r="W87" t="str">
        <f t="shared" si="6"/>
        <v/>
      </c>
      <c r="X87" t="str">
        <f>IF(W87="","", IFERROR(VLOOKUP(W87, IF(D87="KET", 换算标准!$Q:$R, IF(D87="PET", 换算标准!$W:$X, 换算标准!$AI:$AJ)), 2, TRUE), 0))</f>
        <v/>
      </c>
      <c r="Y87" t="str">
        <f t="shared" si="7"/>
        <v/>
      </c>
      <c r="Z87" t="str">
        <f>IF(Y87="","", IFERROR(VLOOKUP(Y87, 换算标准!$Z:$AA, 1, TRUE), ""))</f>
        <v/>
      </c>
      <c r="AA87" s="5" t="str">
        <f>IF(L87="","", "⚠️ 薄弱环节: "&amp;INDEX($E$1:$K$1, MATCH(MIN(E87:K87), E87:K87, 0))&amp;CHAR(10)&amp;"📉 考察能力: "&amp;IFERROR(VLOOKUP(TRIM(D87)&amp;"_"&amp;TRIM(INDEX($E$1:$K$1, MATCH(MIN(E87:K87), E87:K87, 0))), 技能库!$A:$F, 5, 0),"建议查阅考纲")&amp;CHAR(10)&amp;"💡 提升建议: "&amp;IFERROR(VLOOKUP(TRIM(D87)&amp;"_"&amp;TRIM(INDEX($E$1:$K$1, MATCH(MIN(E87:K87), E87:K87, 0))), 技能库!$A:$F, 6, 0),"请针对该题型加强练习"))</f>
        <v/>
      </c>
      <c r="AB87" s="5" t="str">
        <f>IF(P87="","", "⚠️ 薄弱环节: "&amp;INDEX($N$1:$O$1, MATCH(MIN(N87:O87), N87:O87, 0))&amp;CHAR(10)&amp;"📉 考察能力: "&amp;IFERROR(VLOOKUP(TRIM(D87)&amp;"_"&amp;TRIM(INDEX($N$1:$O$1, MATCH(MIN(N87:O87), N87:O87, 0))), 技能库!$A:$F, 5, 0),"建议查阅考纲")&amp;CHAR(10)&amp;"💡 提升建议: "&amp;IFERROR(VLOOKUP(TRIM(D87)&amp;"_"&amp;TRIM(INDEX($N$1:$O$1, MATCH(MIN(N87:O87), N87:O87, 0))), 技能库!$A:$F, 6, 0),"请针对该题型加强练习"))</f>
        <v/>
      </c>
      <c r="AC87" s="5" t="str">
        <f>IF(W87="","", "⚠️ 薄弱环节: "&amp;INDEX($R$1:$V$1, MATCH(MIN(R87:V87), R87:V87, 0))&amp;CHAR(10)&amp;"📉 考察能力: "&amp;IFERROR(VLOOKUP(TRIM(D87)&amp;"_"&amp;TRIM(INDEX($R$1:$V$1, MATCH(MIN(R87:V87), R87:V87, 0))), 技能库!$A:$F, 5, 0),"建议查阅考纲")&amp;CHAR(10)&amp;"💡 提升建议: "&amp;IFERROR(VLOOKUP(TRIM(D87)&amp;"_"&amp;TRIM(INDEX($R$1:$V$1, MATCH(MIN(R87:V87), R87:V87, 0))), 技能库!$A:$F, 6, 0),"请针对该题型加强练习"))</f>
        <v/>
      </c>
    </row>
    <row r="88" spans="12:29" ht="16" hidden="1" x14ac:dyDescent="0.2">
      <c r="L88" t="str">
        <f t="shared" si="4"/>
        <v/>
      </c>
      <c r="M88" t="str">
        <f>IF(L88="","", IFERROR(VLOOKUP(L88, IF(D88="KET", 换算标准!$M:$N, IF(D88="PET", 换算标准!$S:$T, 换算标准!$AC:$AD)), 2, TRUE), 0))</f>
        <v/>
      </c>
      <c r="P88" t="str">
        <f t="shared" si="5"/>
        <v/>
      </c>
      <c r="Q88" t="str">
        <f>IF(P88="","", IFERROR(VLOOKUP(P88, IF(D88="KET", 换算标准!$O:$P, IF(D88="PET", 换算标准!$U:$V, 换算标准!$AG:$AH)), 2, TRUE), 0))</f>
        <v/>
      </c>
      <c r="W88" t="str">
        <f t="shared" si="6"/>
        <v/>
      </c>
      <c r="X88" t="str">
        <f>IF(W88="","", IFERROR(VLOOKUP(W88, IF(D88="KET", 换算标准!$Q:$R, IF(D88="PET", 换算标准!$W:$X, 换算标准!$AI:$AJ)), 2, TRUE), 0))</f>
        <v/>
      </c>
      <c r="Y88" t="str">
        <f t="shared" si="7"/>
        <v/>
      </c>
      <c r="Z88" t="str">
        <f>IF(Y88="","", IFERROR(VLOOKUP(Y88, 换算标准!$Z:$AA, 1, TRUE), ""))</f>
        <v/>
      </c>
      <c r="AA88" s="5" t="str">
        <f>IF(L88="","", "⚠️ 薄弱环节: "&amp;INDEX($E$1:$K$1, MATCH(MIN(E88:K88), E88:K88, 0))&amp;CHAR(10)&amp;"📉 考察能力: "&amp;IFERROR(VLOOKUP(TRIM(D88)&amp;"_"&amp;TRIM(INDEX($E$1:$K$1, MATCH(MIN(E88:K88), E88:K88, 0))), 技能库!$A:$F, 5, 0),"建议查阅考纲")&amp;CHAR(10)&amp;"💡 提升建议: "&amp;IFERROR(VLOOKUP(TRIM(D88)&amp;"_"&amp;TRIM(INDEX($E$1:$K$1, MATCH(MIN(E88:K88), E88:K88, 0))), 技能库!$A:$F, 6, 0),"请针对该题型加强练习"))</f>
        <v/>
      </c>
      <c r="AB88" s="5" t="str">
        <f>IF(P88="","", "⚠️ 薄弱环节: "&amp;INDEX($N$1:$O$1, MATCH(MIN(N88:O88), N88:O88, 0))&amp;CHAR(10)&amp;"📉 考察能力: "&amp;IFERROR(VLOOKUP(TRIM(D88)&amp;"_"&amp;TRIM(INDEX($N$1:$O$1, MATCH(MIN(N88:O88), N88:O88, 0))), 技能库!$A:$F, 5, 0),"建议查阅考纲")&amp;CHAR(10)&amp;"💡 提升建议: "&amp;IFERROR(VLOOKUP(TRIM(D88)&amp;"_"&amp;TRIM(INDEX($N$1:$O$1, MATCH(MIN(N88:O88), N88:O88, 0))), 技能库!$A:$F, 6, 0),"请针对该题型加强练习"))</f>
        <v/>
      </c>
      <c r="AC88" s="5" t="str">
        <f>IF(W88="","", "⚠️ 薄弱环节: "&amp;INDEX($R$1:$V$1, MATCH(MIN(R88:V88), R88:V88, 0))&amp;CHAR(10)&amp;"📉 考察能力: "&amp;IFERROR(VLOOKUP(TRIM(D88)&amp;"_"&amp;TRIM(INDEX($R$1:$V$1, MATCH(MIN(R88:V88), R88:V88, 0))), 技能库!$A:$F, 5, 0),"建议查阅考纲")&amp;CHAR(10)&amp;"💡 提升建议: "&amp;IFERROR(VLOOKUP(TRIM(D88)&amp;"_"&amp;TRIM(INDEX($R$1:$V$1, MATCH(MIN(R88:V88), R88:V88, 0))), 技能库!$A:$F, 6, 0),"请针对该题型加强练习"))</f>
        <v/>
      </c>
    </row>
    <row r="89" spans="12:29" ht="16" hidden="1" x14ac:dyDescent="0.2">
      <c r="L89" t="str">
        <f t="shared" si="4"/>
        <v/>
      </c>
      <c r="M89" t="str">
        <f>IF(L89="","", IFERROR(VLOOKUP(L89, IF(D89="KET", 换算标准!$M:$N, IF(D89="PET", 换算标准!$S:$T, 换算标准!$AC:$AD)), 2, TRUE), 0))</f>
        <v/>
      </c>
      <c r="P89" t="str">
        <f t="shared" si="5"/>
        <v/>
      </c>
      <c r="Q89" t="str">
        <f>IF(P89="","", IFERROR(VLOOKUP(P89, IF(D89="KET", 换算标准!$O:$P, IF(D89="PET", 换算标准!$U:$V, 换算标准!$AG:$AH)), 2, TRUE), 0))</f>
        <v/>
      </c>
      <c r="W89" t="str">
        <f t="shared" si="6"/>
        <v/>
      </c>
      <c r="X89" t="str">
        <f>IF(W89="","", IFERROR(VLOOKUP(W89, IF(D89="KET", 换算标准!$Q:$R, IF(D89="PET", 换算标准!$W:$X, 换算标准!$AI:$AJ)), 2, TRUE), 0))</f>
        <v/>
      </c>
      <c r="Y89" t="str">
        <f t="shared" si="7"/>
        <v/>
      </c>
      <c r="Z89" t="str">
        <f>IF(Y89="","", IFERROR(VLOOKUP(Y89, 换算标准!$Z:$AA, 1, TRUE), ""))</f>
        <v/>
      </c>
      <c r="AA89" s="5" t="str">
        <f>IF(L89="","", "⚠️ 薄弱环节: "&amp;INDEX($E$1:$K$1, MATCH(MIN(E89:K89), E89:K89, 0))&amp;CHAR(10)&amp;"📉 考察能力: "&amp;IFERROR(VLOOKUP(TRIM(D89)&amp;"_"&amp;TRIM(INDEX($E$1:$K$1, MATCH(MIN(E89:K89), E89:K89, 0))), 技能库!$A:$F, 5, 0),"建议查阅考纲")&amp;CHAR(10)&amp;"💡 提升建议: "&amp;IFERROR(VLOOKUP(TRIM(D89)&amp;"_"&amp;TRIM(INDEX($E$1:$K$1, MATCH(MIN(E89:K89), E89:K89, 0))), 技能库!$A:$F, 6, 0),"请针对该题型加强练习"))</f>
        <v/>
      </c>
      <c r="AB89" s="5" t="str">
        <f>IF(P89="","", "⚠️ 薄弱环节: "&amp;INDEX($N$1:$O$1, MATCH(MIN(N89:O89), N89:O89, 0))&amp;CHAR(10)&amp;"📉 考察能力: "&amp;IFERROR(VLOOKUP(TRIM(D89)&amp;"_"&amp;TRIM(INDEX($N$1:$O$1, MATCH(MIN(N89:O89), N89:O89, 0))), 技能库!$A:$F, 5, 0),"建议查阅考纲")&amp;CHAR(10)&amp;"💡 提升建议: "&amp;IFERROR(VLOOKUP(TRIM(D89)&amp;"_"&amp;TRIM(INDEX($N$1:$O$1, MATCH(MIN(N89:O89), N89:O89, 0))), 技能库!$A:$F, 6, 0),"请针对该题型加强练习"))</f>
        <v/>
      </c>
      <c r="AC89" s="5" t="str">
        <f>IF(W89="","", "⚠️ 薄弱环节: "&amp;INDEX($R$1:$V$1, MATCH(MIN(R89:V89), R89:V89, 0))&amp;CHAR(10)&amp;"📉 考察能力: "&amp;IFERROR(VLOOKUP(TRIM(D89)&amp;"_"&amp;TRIM(INDEX($R$1:$V$1, MATCH(MIN(R89:V89), R89:V89, 0))), 技能库!$A:$F, 5, 0),"建议查阅考纲")&amp;CHAR(10)&amp;"💡 提升建议: "&amp;IFERROR(VLOOKUP(TRIM(D89)&amp;"_"&amp;TRIM(INDEX($R$1:$V$1, MATCH(MIN(R89:V89), R89:V89, 0))), 技能库!$A:$F, 6, 0),"请针对该题型加强练习"))</f>
        <v/>
      </c>
    </row>
    <row r="90" spans="12:29" ht="16" hidden="1" x14ac:dyDescent="0.2">
      <c r="L90" t="str">
        <f t="shared" si="4"/>
        <v/>
      </c>
      <c r="M90" t="str">
        <f>IF(L90="","", IFERROR(VLOOKUP(L90, IF(D90="KET", 换算标准!$M:$N, IF(D90="PET", 换算标准!$S:$T, 换算标准!$AC:$AD)), 2, TRUE), 0))</f>
        <v/>
      </c>
      <c r="P90" t="str">
        <f t="shared" si="5"/>
        <v/>
      </c>
      <c r="Q90" t="str">
        <f>IF(P90="","", IFERROR(VLOOKUP(P90, IF(D90="KET", 换算标准!$O:$P, IF(D90="PET", 换算标准!$U:$V, 换算标准!$AG:$AH)), 2, TRUE), 0))</f>
        <v/>
      </c>
      <c r="W90" t="str">
        <f t="shared" si="6"/>
        <v/>
      </c>
      <c r="X90" t="str">
        <f>IF(W90="","", IFERROR(VLOOKUP(W90, IF(D90="KET", 换算标准!$Q:$R, IF(D90="PET", 换算标准!$W:$X, 换算标准!$AI:$AJ)), 2, TRUE), 0))</f>
        <v/>
      </c>
      <c r="Y90" t="str">
        <f t="shared" si="7"/>
        <v/>
      </c>
      <c r="Z90" t="str">
        <f>IF(Y90="","", IFERROR(VLOOKUP(Y90, 换算标准!$Z:$AA, 1, TRUE), ""))</f>
        <v/>
      </c>
      <c r="AA90" s="5" t="str">
        <f>IF(L90="","", "⚠️ 薄弱环节: "&amp;INDEX($E$1:$K$1, MATCH(MIN(E90:K90), E90:K90, 0))&amp;CHAR(10)&amp;"📉 考察能力: "&amp;IFERROR(VLOOKUP(TRIM(D90)&amp;"_"&amp;TRIM(INDEX($E$1:$K$1, MATCH(MIN(E90:K90), E90:K90, 0))), 技能库!$A:$F, 5, 0),"建议查阅考纲")&amp;CHAR(10)&amp;"💡 提升建议: "&amp;IFERROR(VLOOKUP(TRIM(D90)&amp;"_"&amp;TRIM(INDEX($E$1:$K$1, MATCH(MIN(E90:K90), E90:K90, 0))), 技能库!$A:$F, 6, 0),"请针对该题型加强练习"))</f>
        <v/>
      </c>
      <c r="AB90" s="5" t="str">
        <f>IF(P90="","", "⚠️ 薄弱环节: "&amp;INDEX($N$1:$O$1, MATCH(MIN(N90:O90), N90:O90, 0))&amp;CHAR(10)&amp;"📉 考察能力: "&amp;IFERROR(VLOOKUP(TRIM(D90)&amp;"_"&amp;TRIM(INDEX($N$1:$O$1, MATCH(MIN(N90:O90), N90:O90, 0))), 技能库!$A:$F, 5, 0),"建议查阅考纲")&amp;CHAR(10)&amp;"💡 提升建议: "&amp;IFERROR(VLOOKUP(TRIM(D90)&amp;"_"&amp;TRIM(INDEX($N$1:$O$1, MATCH(MIN(N90:O90), N90:O90, 0))), 技能库!$A:$F, 6, 0),"请针对该题型加强练习"))</f>
        <v/>
      </c>
      <c r="AC90" s="5" t="str">
        <f>IF(W90="","", "⚠️ 薄弱环节: "&amp;INDEX($R$1:$V$1, MATCH(MIN(R90:V90), R90:V90, 0))&amp;CHAR(10)&amp;"📉 考察能力: "&amp;IFERROR(VLOOKUP(TRIM(D90)&amp;"_"&amp;TRIM(INDEX($R$1:$V$1, MATCH(MIN(R90:V90), R90:V90, 0))), 技能库!$A:$F, 5, 0),"建议查阅考纲")&amp;CHAR(10)&amp;"💡 提升建议: "&amp;IFERROR(VLOOKUP(TRIM(D90)&amp;"_"&amp;TRIM(INDEX($R$1:$V$1, MATCH(MIN(R90:V90), R90:V90, 0))), 技能库!$A:$F, 6, 0),"请针对该题型加强练习"))</f>
        <v/>
      </c>
    </row>
    <row r="91" spans="12:29" ht="16" hidden="1" x14ac:dyDescent="0.2">
      <c r="L91" t="str">
        <f t="shared" si="4"/>
        <v/>
      </c>
      <c r="M91" t="str">
        <f>IF(L91="","", IFERROR(VLOOKUP(L91, IF(D91="KET", 换算标准!$M:$N, IF(D91="PET", 换算标准!$S:$T, 换算标准!$AC:$AD)), 2, TRUE), 0))</f>
        <v/>
      </c>
      <c r="P91" t="str">
        <f t="shared" si="5"/>
        <v/>
      </c>
      <c r="Q91" t="str">
        <f>IF(P91="","", IFERROR(VLOOKUP(P91, IF(D91="KET", 换算标准!$O:$P, IF(D91="PET", 换算标准!$U:$V, 换算标准!$AG:$AH)), 2, TRUE), 0))</f>
        <v/>
      </c>
      <c r="W91" t="str">
        <f t="shared" si="6"/>
        <v/>
      </c>
      <c r="X91" t="str">
        <f>IF(W91="","", IFERROR(VLOOKUP(W91, IF(D91="KET", 换算标准!$Q:$R, IF(D91="PET", 换算标准!$W:$X, 换算标准!$AI:$AJ)), 2, TRUE), 0))</f>
        <v/>
      </c>
      <c r="Y91" t="str">
        <f t="shared" si="7"/>
        <v/>
      </c>
      <c r="Z91" t="str">
        <f>IF(Y91="","", IFERROR(VLOOKUP(Y91, 换算标准!$Z:$AA, 1, TRUE), ""))</f>
        <v/>
      </c>
      <c r="AA91" s="5" t="str">
        <f>IF(L91="","", "⚠️ 薄弱环节: "&amp;INDEX($E$1:$K$1, MATCH(MIN(E91:K91), E91:K91, 0))&amp;CHAR(10)&amp;"📉 考察能力: "&amp;IFERROR(VLOOKUP(TRIM(D91)&amp;"_"&amp;TRIM(INDEX($E$1:$K$1, MATCH(MIN(E91:K91), E91:K91, 0))), 技能库!$A:$F, 5, 0),"建议查阅考纲")&amp;CHAR(10)&amp;"💡 提升建议: "&amp;IFERROR(VLOOKUP(TRIM(D91)&amp;"_"&amp;TRIM(INDEX($E$1:$K$1, MATCH(MIN(E91:K91), E91:K91, 0))), 技能库!$A:$F, 6, 0),"请针对该题型加强练习"))</f>
        <v/>
      </c>
      <c r="AB91" s="5" t="str">
        <f>IF(P91="","", "⚠️ 薄弱环节: "&amp;INDEX($N$1:$O$1, MATCH(MIN(N91:O91), N91:O91, 0))&amp;CHAR(10)&amp;"📉 考察能力: "&amp;IFERROR(VLOOKUP(TRIM(D91)&amp;"_"&amp;TRIM(INDEX($N$1:$O$1, MATCH(MIN(N91:O91), N91:O91, 0))), 技能库!$A:$F, 5, 0),"建议查阅考纲")&amp;CHAR(10)&amp;"💡 提升建议: "&amp;IFERROR(VLOOKUP(TRIM(D91)&amp;"_"&amp;TRIM(INDEX($N$1:$O$1, MATCH(MIN(N91:O91), N91:O91, 0))), 技能库!$A:$F, 6, 0),"请针对该题型加强练习"))</f>
        <v/>
      </c>
      <c r="AC91" s="5" t="str">
        <f>IF(W91="","", "⚠️ 薄弱环节: "&amp;INDEX($R$1:$V$1, MATCH(MIN(R91:V91), R91:V91, 0))&amp;CHAR(10)&amp;"📉 考察能力: "&amp;IFERROR(VLOOKUP(TRIM(D91)&amp;"_"&amp;TRIM(INDEX($R$1:$V$1, MATCH(MIN(R91:V91), R91:V91, 0))), 技能库!$A:$F, 5, 0),"建议查阅考纲")&amp;CHAR(10)&amp;"💡 提升建议: "&amp;IFERROR(VLOOKUP(TRIM(D91)&amp;"_"&amp;TRIM(INDEX($R$1:$V$1, MATCH(MIN(R91:V91), R91:V91, 0))), 技能库!$A:$F, 6, 0),"请针对该题型加强练习"))</f>
        <v/>
      </c>
    </row>
    <row r="92" spans="12:29" ht="16" hidden="1" x14ac:dyDescent="0.2">
      <c r="L92" t="str">
        <f t="shared" si="4"/>
        <v/>
      </c>
      <c r="M92" t="str">
        <f>IF(L92="","", IFERROR(VLOOKUP(L92, IF(D92="KET", 换算标准!$M:$N, IF(D92="PET", 换算标准!$S:$T, 换算标准!$AC:$AD)), 2, TRUE), 0))</f>
        <v/>
      </c>
      <c r="P92" t="str">
        <f t="shared" si="5"/>
        <v/>
      </c>
      <c r="Q92" t="str">
        <f>IF(P92="","", IFERROR(VLOOKUP(P92, IF(D92="KET", 换算标准!$O:$P, IF(D92="PET", 换算标准!$U:$V, 换算标准!$AG:$AH)), 2, TRUE), 0))</f>
        <v/>
      </c>
      <c r="W92" t="str">
        <f t="shared" si="6"/>
        <v/>
      </c>
      <c r="X92" t="str">
        <f>IF(W92="","", IFERROR(VLOOKUP(W92, IF(D92="KET", 换算标准!$Q:$R, IF(D92="PET", 换算标准!$W:$X, 换算标准!$AI:$AJ)), 2, TRUE), 0))</f>
        <v/>
      </c>
      <c r="Y92" t="str">
        <f t="shared" si="7"/>
        <v/>
      </c>
      <c r="Z92" t="str">
        <f>IF(Y92="","", IFERROR(VLOOKUP(Y92, 换算标准!$Z:$AA, 1, TRUE), ""))</f>
        <v/>
      </c>
      <c r="AA92" s="5" t="str">
        <f>IF(L92="","", "⚠️ 薄弱环节: "&amp;INDEX($E$1:$K$1, MATCH(MIN(E92:K92), E92:K92, 0))&amp;CHAR(10)&amp;"📉 考察能力: "&amp;IFERROR(VLOOKUP(TRIM(D92)&amp;"_"&amp;TRIM(INDEX($E$1:$K$1, MATCH(MIN(E92:K92), E92:K92, 0))), 技能库!$A:$F, 5, 0),"建议查阅考纲")&amp;CHAR(10)&amp;"💡 提升建议: "&amp;IFERROR(VLOOKUP(TRIM(D92)&amp;"_"&amp;TRIM(INDEX($E$1:$K$1, MATCH(MIN(E92:K92), E92:K92, 0))), 技能库!$A:$F, 6, 0),"请针对该题型加强练习"))</f>
        <v/>
      </c>
      <c r="AB92" s="5" t="str">
        <f>IF(P92="","", "⚠️ 薄弱环节: "&amp;INDEX($N$1:$O$1, MATCH(MIN(N92:O92), N92:O92, 0))&amp;CHAR(10)&amp;"📉 考察能力: "&amp;IFERROR(VLOOKUP(TRIM(D92)&amp;"_"&amp;TRIM(INDEX($N$1:$O$1, MATCH(MIN(N92:O92), N92:O92, 0))), 技能库!$A:$F, 5, 0),"建议查阅考纲")&amp;CHAR(10)&amp;"💡 提升建议: "&amp;IFERROR(VLOOKUP(TRIM(D92)&amp;"_"&amp;TRIM(INDEX($N$1:$O$1, MATCH(MIN(N92:O92), N92:O92, 0))), 技能库!$A:$F, 6, 0),"请针对该题型加强练习"))</f>
        <v/>
      </c>
      <c r="AC92" s="5" t="str">
        <f>IF(W92="","", "⚠️ 薄弱环节: "&amp;INDEX($R$1:$V$1, MATCH(MIN(R92:V92), R92:V92, 0))&amp;CHAR(10)&amp;"📉 考察能力: "&amp;IFERROR(VLOOKUP(TRIM(D92)&amp;"_"&amp;TRIM(INDEX($R$1:$V$1, MATCH(MIN(R92:V92), R92:V92, 0))), 技能库!$A:$F, 5, 0),"建议查阅考纲")&amp;CHAR(10)&amp;"💡 提升建议: "&amp;IFERROR(VLOOKUP(TRIM(D92)&amp;"_"&amp;TRIM(INDEX($R$1:$V$1, MATCH(MIN(R92:V92), R92:V92, 0))), 技能库!$A:$F, 6, 0),"请针对该题型加强练习"))</f>
        <v/>
      </c>
    </row>
    <row r="93" spans="12:29" ht="16" hidden="1" x14ac:dyDescent="0.2">
      <c r="L93" t="str">
        <f t="shared" si="4"/>
        <v/>
      </c>
      <c r="M93" t="str">
        <f>IF(L93="","", IFERROR(VLOOKUP(L93, IF(D93="KET", 换算标准!$M:$N, IF(D93="PET", 换算标准!$S:$T, 换算标准!$AC:$AD)), 2, TRUE), 0))</f>
        <v/>
      </c>
      <c r="P93" t="str">
        <f t="shared" si="5"/>
        <v/>
      </c>
      <c r="Q93" t="str">
        <f>IF(P93="","", IFERROR(VLOOKUP(P93, IF(D93="KET", 换算标准!$O:$P, IF(D93="PET", 换算标准!$U:$V, 换算标准!$AG:$AH)), 2, TRUE), 0))</f>
        <v/>
      </c>
      <c r="W93" t="str">
        <f t="shared" si="6"/>
        <v/>
      </c>
      <c r="X93" t="str">
        <f>IF(W93="","", IFERROR(VLOOKUP(W93, IF(D93="KET", 换算标准!$Q:$R, IF(D93="PET", 换算标准!$W:$X, 换算标准!$AI:$AJ)), 2, TRUE), 0))</f>
        <v/>
      </c>
      <c r="Y93" t="str">
        <f t="shared" si="7"/>
        <v/>
      </c>
      <c r="Z93" t="str">
        <f>IF(Y93="","", IFERROR(VLOOKUP(Y93, 换算标准!$Z:$AA, 1, TRUE), ""))</f>
        <v/>
      </c>
      <c r="AA93" s="5" t="str">
        <f>IF(L93="","", "⚠️ 薄弱环节: "&amp;INDEX($E$1:$K$1, MATCH(MIN(E93:K93), E93:K93, 0))&amp;CHAR(10)&amp;"📉 考察能力: "&amp;IFERROR(VLOOKUP(TRIM(D93)&amp;"_"&amp;TRIM(INDEX($E$1:$K$1, MATCH(MIN(E93:K93), E93:K93, 0))), 技能库!$A:$F, 5, 0),"建议查阅考纲")&amp;CHAR(10)&amp;"💡 提升建议: "&amp;IFERROR(VLOOKUP(TRIM(D93)&amp;"_"&amp;TRIM(INDEX($E$1:$K$1, MATCH(MIN(E93:K93), E93:K93, 0))), 技能库!$A:$F, 6, 0),"请针对该题型加强练习"))</f>
        <v/>
      </c>
      <c r="AB93" s="5" t="str">
        <f>IF(P93="","", "⚠️ 薄弱环节: "&amp;INDEX($N$1:$O$1, MATCH(MIN(N93:O93), N93:O93, 0))&amp;CHAR(10)&amp;"📉 考察能力: "&amp;IFERROR(VLOOKUP(TRIM(D93)&amp;"_"&amp;TRIM(INDEX($N$1:$O$1, MATCH(MIN(N93:O93), N93:O93, 0))), 技能库!$A:$F, 5, 0),"建议查阅考纲")&amp;CHAR(10)&amp;"💡 提升建议: "&amp;IFERROR(VLOOKUP(TRIM(D93)&amp;"_"&amp;TRIM(INDEX($N$1:$O$1, MATCH(MIN(N93:O93), N93:O93, 0))), 技能库!$A:$F, 6, 0),"请针对该题型加强练习"))</f>
        <v/>
      </c>
      <c r="AC93" s="5" t="str">
        <f>IF(W93="","", "⚠️ 薄弱环节: "&amp;INDEX($R$1:$V$1, MATCH(MIN(R93:V93), R93:V93, 0))&amp;CHAR(10)&amp;"📉 考察能力: "&amp;IFERROR(VLOOKUP(TRIM(D93)&amp;"_"&amp;TRIM(INDEX($R$1:$V$1, MATCH(MIN(R93:V93), R93:V93, 0))), 技能库!$A:$F, 5, 0),"建议查阅考纲")&amp;CHAR(10)&amp;"💡 提升建议: "&amp;IFERROR(VLOOKUP(TRIM(D93)&amp;"_"&amp;TRIM(INDEX($R$1:$V$1, MATCH(MIN(R93:V93), R93:V93, 0))), 技能库!$A:$F, 6, 0),"请针对该题型加强练习"))</f>
        <v/>
      </c>
    </row>
    <row r="94" spans="12:29" ht="16" hidden="1" x14ac:dyDescent="0.2">
      <c r="L94" t="str">
        <f t="shared" si="4"/>
        <v/>
      </c>
      <c r="M94" t="str">
        <f>IF(L94="","", IFERROR(VLOOKUP(L94, IF(D94="KET", 换算标准!$M:$N, IF(D94="PET", 换算标准!$S:$T, 换算标准!$AC:$AD)), 2, TRUE), 0))</f>
        <v/>
      </c>
      <c r="P94" t="str">
        <f t="shared" si="5"/>
        <v/>
      </c>
      <c r="Q94" t="str">
        <f>IF(P94="","", IFERROR(VLOOKUP(P94, IF(D94="KET", 换算标准!$O:$P, IF(D94="PET", 换算标准!$U:$V, 换算标准!$AG:$AH)), 2, TRUE), 0))</f>
        <v/>
      </c>
      <c r="W94" t="str">
        <f t="shared" si="6"/>
        <v/>
      </c>
      <c r="X94" t="str">
        <f>IF(W94="","", IFERROR(VLOOKUP(W94, IF(D94="KET", 换算标准!$Q:$R, IF(D94="PET", 换算标准!$W:$X, 换算标准!$AI:$AJ)), 2, TRUE), 0))</f>
        <v/>
      </c>
      <c r="Y94" t="str">
        <f t="shared" si="7"/>
        <v/>
      </c>
      <c r="Z94" t="str">
        <f>IF(Y94="","", IFERROR(VLOOKUP(Y94, 换算标准!$Z:$AA, 1, TRUE), ""))</f>
        <v/>
      </c>
      <c r="AA94" s="5" t="str">
        <f>IF(L94="","", "⚠️ 薄弱环节: "&amp;INDEX($E$1:$K$1, MATCH(MIN(E94:K94), E94:K94, 0))&amp;CHAR(10)&amp;"📉 考察能力: "&amp;IFERROR(VLOOKUP(TRIM(D94)&amp;"_"&amp;TRIM(INDEX($E$1:$K$1, MATCH(MIN(E94:K94), E94:K94, 0))), 技能库!$A:$F, 5, 0),"建议查阅考纲")&amp;CHAR(10)&amp;"💡 提升建议: "&amp;IFERROR(VLOOKUP(TRIM(D94)&amp;"_"&amp;TRIM(INDEX($E$1:$K$1, MATCH(MIN(E94:K94), E94:K94, 0))), 技能库!$A:$F, 6, 0),"请针对该题型加强练习"))</f>
        <v/>
      </c>
      <c r="AB94" s="5" t="str">
        <f>IF(P94="","", "⚠️ 薄弱环节: "&amp;INDEX($N$1:$O$1, MATCH(MIN(N94:O94), N94:O94, 0))&amp;CHAR(10)&amp;"📉 考察能力: "&amp;IFERROR(VLOOKUP(TRIM(D94)&amp;"_"&amp;TRIM(INDEX($N$1:$O$1, MATCH(MIN(N94:O94), N94:O94, 0))), 技能库!$A:$F, 5, 0),"建议查阅考纲")&amp;CHAR(10)&amp;"💡 提升建议: "&amp;IFERROR(VLOOKUP(TRIM(D94)&amp;"_"&amp;TRIM(INDEX($N$1:$O$1, MATCH(MIN(N94:O94), N94:O94, 0))), 技能库!$A:$F, 6, 0),"请针对该题型加强练习"))</f>
        <v/>
      </c>
      <c r="AC94" s="5" t="str">
        <f>IF(W94="","", "⚠️ 薄弱环节: "&amp;INDEX($R$1:$V$1, MATCH(MIN(R94:V94), R94:V94, 0))&amp;CHAR(10)&amp;"📉 考察能力: "&amp;IFERROR(VLOOKUP(TRIM(D94)&amp;"_"&amp;TRIM(INDEX($R$1:$V$1, MATCH(MIN(R94:V94), R94:V94, 0))), 技能库!$A:$F, 5, 0),"建议查阅考纲")&amp;CHAR(10)&amp;"💡 提升建议: "&amp;IFERROR(VLOOKUP(TRIM(D94)&amp;"_"&amp;TRIM(INDEX($R$1:$V$1, MATCH(MIN(R94:V94), R94:V94, 0))), 技能库!$A:$F, 6, 0),"请针对该题型加强练习"))</f>
        <v/>
      </c>
    </row>
    <row r="95" spans="12:29" ht="16" hidden="1" x14ac:dyDescent="0.2">
      <c r="L95" t="str">
        <f t="shared" si="4"/>
        <v/>
      </c>
      <c r="M95" t="str">
        <f>IF(L95="","", IFERROR(VLOOKUP(L95, IF(D95="KET", 换算标准!$M:$N, IF(D95="PET", 换算标准!$S:$T, 换算标准!$AC:$AD)), 2, TRUE), 0))</f>
        <v/>
      </c>
      <c r="P95" t="str">
        <f t="shared" si="5"/>
        <v/>
      </c>
      <c r="Q95" t="str">
        <f>IF(P95="","", IFERROR(VLOOKUP(P95, IF(D95="KET", 换算标准!$O:$P, IF(D95="PET", 换算标准!$U:$V, 换算标准!$AG:$AH)), 2, TRUE), 0))</f>
        <v/>
      </c>
      <c r="W95" t="str">
        <f t="shared" si="6"/>
        <v/>
      </c>
      <c r="X95" t="str">
        <f>IF(W95="","", IFERROR(VLOOKUP(W95, IF(D95="KET", 换算标准!$Q:$R, IF(D95="PET", 换算标准!$W:$X, 换算标准!$AI:$AJ)), 2, TRUE), 0))</f>
        <v/>
      </c>
      <c r="Y95" t="str">
        <f t="shared" si="7"/>
        <v/>
      </c>
      <c r="Z95" t="str">
        <f>IF(Y95="","", IFERROR(VLOOKUP(Y95, 换算标准!$Z:$AA, 1, TRUE), ""))</f>
        <v/>
      </c>
      <c r="AA95" s="5" t="str">
        <f>IF(L95="","", "⚠️ 薄弱环节: "&amp;INDEX($E$1:$K$1, MATCH(MIN(E95:K95), E95:K95, 0))&amp;CHAR(10)&amp;"📉 考察能力: "&amp;IFERROR(VLOOKUP(TRIM(D95)&amp;"_"&amp;TRIM(INDEX($E$1:$K$1, MATCH(MIN(E95:K95), E95:K95, 0))), 技能库!$A:$F, 5, 0),"建议查阅考纲")&amp;CHAR(10)&amp;"💡 提升建议: "&amp;IFERROR(VLOOKUP(TRIM(D95)&amp;"_"&amp;TRIM(INDEX($E$1:$K$1, MATCH(MIN(E95:K95), E95:K95, 0))), 技能库!$A:$F, 6, 0),"请针对该题型加强练习"))</f>
        <v/>
      </c>
      <c r="AB95" s="5" t="str">
        <f>IF(P95="","", "⚠️ 薄弱环节: "&amp;INDEX($N$1:$O$1, MATCH(MIN(N95:O95), N95:O95, 0))&amp;CHAR(10)&amp;"📉 考察能力: "&amp;IFERROR(VLOOKUP(TRIM(D95)&amp;"_"&amp;TRIM(INDEX($N$1:$O$1, MATCH(MIN(N95:O95), N95:O95, 0))), 技能库!$A:$F, 5, 0),"建议查阅考纲")&amp;CHAR(10)&amp;"💡 提升建议: "&amp;IFERROR(VLOOKUP(TRIM(D95)&amp;"_"&amp;TRIM(INDEX($N$1:$O$1, MATCH(MIN(N95:O95), N95:O95, 0))), 技能库!$A:$F, 6, 0),"请针对该题型加强练习"))</f>
        <v/>
      </c>
      <c r="AC95" s="5" t="str">
        <f>IF(W95="","", "⚠️ 薄弱环节: "&amp;INDEX($R$1:$V$1, MATCH(MIN(R95:V95), R95:V95, 0))&amp;CHAR(10)&amp;"📉 考察能力: "&amp;IFERROR(VLOOKUP(TRIM(D95)&amp;"_"&amp;TRIM(INDEX($R$1:$V$1, MATCH(MIN(R95:V95), R95:V95, 0))), 技能库!$A:$F, 5, 0),"建议查阅考纲")&amp;CHAR(10)&amp;"💡 提升建议: "&amp;IFERROR(VLOOKUP(TRIM(D95)&amp;"_"&amp;TRIM(INDEX($R$1:$V$1, MATCH(MIN(R95:V95), R95:V95, 0))), 技能库!$A:$F, 6, 0),"请针对该题型加强练习"))</f>
        <v/>
      </c>
    </row>
    <row r="96" spans="12:29" ht="16" hidden="1" x14ac:dyDescent="0.2">
      <c r="L96" t="str">
        <f t="shared" si="4"/>
        <v/>
      </c>
      <c r="M96" t="str">
        <f>IF(L96="","", IFERROR(VLOOKUP(L96, IF(D96="KET", 换算标准!$M:$N, IF(D96="PET", 换算标准!$S:$T, 换算标准!$AC:$AD)), 2, TRUE), 0))</f>
        <v/>
      </c>
      <c r="P96" t="str">
        <f t="shared" si="5"/>
        <v/>
      </c>
      <c r="Q96" t="str">
        <f>IF(P96="","", IFERROR(VLOOKUP(P96, IF(D96="KET", 换算标准!$O:$P, IF(D96="PET", 换算标准!$U:$V, 换算标准!$AG:$AH)), 2, TRUE), 0))</f>
        <v/>
      </c>
      <c r="W96" t="str">
        <f t="shared" si="6"/>
        <v/>
      </c>
      <c r="X96" t="str">
        <f>IF(W96="","", IFERROR(VLOOKUP(W96, IF(D96="KET", 换算标准!$Q:$R, IF(D96="PET", 换算标准!$W:$X, 换算标准!$AI:$AJ)), 2, TRUE), 0))</f>
        <v/>
      </c>
      <c r="Y96" t="str">
        <f t="shared" si="7"/>
        <v/>
      </c>
      <c r="Z96" t="str">
        <f>IF(Y96="","", IFERROR(VLOOKUP(Y96, 换算标准!$Z:$AA, 1, TRUE), ""))</f>
        <v/>
      </c>
      <c r="AA96" s="5" t="str">
        <f>IF(L96="","", "⚠️ 薄弱环节: "&amp;INDEX($E$1:$K$1, MATCH(MIN(E96:K96), E96:K96, 0))&amp;CHAR(10)&amp;"📉 考察能力: "&amp;IFERROR(VLOOKUP(TRIM(D96)&amp;"_"&amp;TRIM(INDEX($E$1:$K$1, MATCH(MIN(E96:K96), E96:K96, 0))), 技能库!$A:$F, 5, 0),"建议查阅考纲")&amp;CHAR(10)&amp;"💡 提升建议: "&amp;IFERROR(VLOOKUP(TRIM(D96)&amp;"_"&amp;TRIM(INDEX($E$1:$K$1, MATCH(MIN(E96:K96), E96:K96, 0))), 技能库!$A:$F, 6, 0),"请针对该题型加强练习"))</f>
        <v/>
      </c>
      <c r="AB96" s="5" t="str">
        <f>IF(P96="","", "⚠️ 薄弱环节: "&amp;INDEX($N$1:$O$1, MATCH(MIN(N96:O96), N96:O96, 0))&amp;CHAR(10)&amp;"📉 考察能力: "&amp;IFERROR(VLOOKUP(TRIM(D96)&amp;"_"&amp;TRIM(INDEX($N$1:$O$1, MATCH(MIN(N96:O96), N96:O96, 0))), 技能库!$A:$F, 5, 0),"建议查阅考纲")&amp;CHAR(10)&amp;"💡 提升建议: "&amp;IFERROR(VLOOKUP(TRIM(D96)&amp;"_"&amp;TRIM(INDEX($N$1:$O$1, MATCH(MIN(N96:O96), N96:O96, 0))), 技能库!$A:$F, 6, 0),"请针对该题型加强练习"))</f>
        <v/>
      </c>
      <c r="AC96" s="5" t="str">
        <f>IF(W96="","", "⚠️ 薄弱环节: "&amp;INDEX($R$1:$V$1, MATCH(MIN(R96:V96), R96:V96, 0))&amp;CHAR(10)&amp;"📉 考察能力: "&amp;IFERROR(VLOOKUP(TRIM(D96)&amp;"_"&amp;TRIM(INDEX($R$1:$V$1, MATCH(MIN(R96:V96), R96:V96, 0))), 技能库!$A:$F, 5, 0),"建议查阅考纲")&amp;CHAR(10)&amp;"💡 提升建议: "&amp;IFERROR(VLOOKUP(TRIM(D96)&amp;"_"&amp;TRIM(INDEX($R$1:$V$1, MATCH(MIN(R96:V96), R96:V96, 0))), 技能库!$A:$F, 6, 0),"请针对该题型加强练习"))</f>
        <v/>
      </c>
    </row>
    <row r="97" spans="12:29" ht="16" hidden="1" x14ac:dyDescent="0.2">
      <c r="L97" t="str">
        <f t="shared" si="4"/>
        <v/>
      </c>
      <c r="M97" t="str">
        <f>IF(L97="","", IFERROR(VLOOKUP(L97, IF(D97="KET", 换算标准!$M:$N, IF(D97="PET", 换算标准!$S:$T, 换算标准!$AC:$AD)), 2, TRUE), 0))</f>
        <v/>
      </c>
      <c r="P97" t="str">
        <f t="shared" si="5"/>
        <v/>
      </c>
      <c r="Q97" t="str">
        <f>IF(P97="","", IFERROR(VLOOKUP(P97, IF(D97="KET", 换算标准!$O:$P, IF(D97="PET", 换算标准!$U:$V, 换算标准!$AG:$AH)), 2, TRUE), 0))</f>
        <v/>
      </c>
      <c r="W97" t="str">
        <f t="shared" si="6"/>
        <v/>
      </c>
      <c r="X97" t="str">
        <f>IF(W97="","", IFERROR(VLOOKUP(W97, IF(D97="KET", 换算标准!$Q:$R, IF(D97="PET", 换算标准!$W:$X, 换算标准!$AI:$AJ)), 2, TRUE), 0))</f>
        <v/>
      </c>
      <c r="Y97" t="str">
        <f t="shared" si="7"/>
        <v/>
      </c>
      <c r="Z97" t="str">
        <f>IF(Y97="","", IFERROR(VLOOKUP(Y97, 换算标准!$Z:$AA, 1, TRUE), ""))</f>
        <v/>
      </c>
      <c r="AA97" s="5" t="str">
        <f>IF(L97="","", "⚠️ 薄弱环节: "&amp;INDEX($E$1:$K$1, MATCH(MIN(E97:K97), E97:K97, 0))&amp;CHAR(10)&amp;"📉 考察能力: "&amp;IFERROR(VLOOKUP(TRIM(D97)&amp;"_"&amp;TRIM(INDEX($E$1:$K$1, MATCH(MIN(E97:K97), E97:K97, 0))), 技能库!$A:$F, 5, 0),"建议查阅考纲")&amp;CHAR(10)&amp;"💡 提升建议: "&amp;IFERROR(VLOOKUP(TRIM(D97)&amp;"_"&amp;TRIM(INDEX($E$1:$K$1, MATCH(MIN(E97:K97), E97:K97, 0))), 技能库!$A:$F, 6, 0),"请针对该题型加强练习"))</f>
        <v/>
      </c>
      <c r="AB97" s="5" t="str">
        <f>IF(P97="","", "⚠️ 薄弱环节: "&amp;INDEX($N$1:$O$1, MATCH(MIN(N97:O97), N97:O97, 0))&amp;CHAR(10)&amp;"📉 考察能力: "&amp;IFERROR(VLOOKUP(TRIM(D97)&amp;"_"&amp;TRIM(INDEX($N$1:$O$1, MATCH(MIN(N97:O97), N97:O97, 0))), 技能库!$A:$F, 5, 0),"建议查阅考纲")&amp;CHAR(10)&amp;"💡 提升建议: "&amp;IFERROR(VLOOKUP(TRIM(D97)&amp;"_"&amp;TRIM(INDEX($N$1:$O$1, MATCH(MIN(N97:O97), N97:O97, 0))), 技能库!$A:$F, 6, 0),"请针对该题型加强练习"))</f>
        <v/>
      </c>
      <c r="AC97" s="5" t="str">
        <f>IF(W97="","", "⚠️ 薄弱环节: "&amp;INDEX($R$1:$V$1, MATCH(MIN(R97:V97), R97:V97, 0))&amp;CHAR(10)&amp;"📉 考察能力: "&amp;IFERROR(VLOOKUP(TRIM(D97)&amp;"_"&amp;TRIM(INDEX($R$1:$V$1, MATCH(MIN(R97:V97), R97:V97, 0))), 技能库!$A:$F, 5, 0),"建议查阅考纲")&amp;CHAR(10)&amp;"💡 提升建议: "&amp;IFERROR(VLOOKUP(TRIM(D97)&amp;"_"&amp;TRIM(INDEX($R$1:$V$1, MATCH(MIN(R97:V97), R97:V97, 0))), 技能库!$A:$F, 6, 0),"请针对该题型加强练习"))</f>
        <v/>
      </c>
    </row>
    <row r="98" spans="12:29" ht="16" hidden="1" x14ac:dyDescent="0.2">
      <c r="L98" t="str">
        <f t="shared" si="4"/>
        <v/>
      </c>
      <c r="M98" t="str">
        <f>IF(L98="","", IFERROR(VLOOKUP(L98, IF(D98="KET", 换算标准!$M:$N, IF(D98="PET", 换算标准!$S:$T, 换算标准!$AC:$AD)), 2, TRUE), 0))</f>
        <v/>
      </c>
      <c r="P98" t="str">
        <f t="shared" si="5"/>
        <v/>
      </c>
      <c r="Q98" t="str">
        <f>IF(P98="","", IFERROR(VLOOKUP(P98, IF(D98="KET", 换算标准!$O:$P, IF(D98="PET", 换算标准!$U:$V, 换算标准!$AG:$AH)), 2, TRUE), 0))</f>
        <v/>
      </c>
      <c r="W98" t="str">
        <f t="shared" si="6"/>
        <v/>
      </c>
      <c r="X98" t="str">
        <f>IF(W98="","", IFERROR(VLOOKUP(W98, IF(D98="KET", 换算标准!$Q:$R, IF(D98="PET", 换算标准!$W:$X, 换算标准!$AI:$AJ)), 2, TRUE), 0))</f>
        <v/>
      </c>
      <c r="Y98" t="str">
        <f t="shared" si="7"/>
        <v/>
      </c>
      <c r="Z98" t="str">
        <f>IF(Y98="","", IFERROR(VLOOKUP(Y98, 换算标准!$Z:$AA, 1, TRUE), ""))</f>
        <v/>
      </c>
      <c r="AA98" s="5" t="str">
        <f>IF(L98="","", "⚠️ 薄弱环节: "&amp;INDEX($E$1:$K$1, MATCH(MIN(E98:K98), E98:K98, 0))&amp;CHAR(10)&amp;"📉 考察能力: "&amp;IFERROR(VLOOKUP(TRIM(D98)&amp;"_"&amp;TRIM(INDEX($E$1:$K$1, MATCH(MIN(E98:K98), E98:K98, 0))), 技能库!$A:$F, 5, 0),"建议查阅考纲")&amp;CHAR(10)&amp;"💡 提升建议: "&amp;IFERROR(VLOOKUP(TRIM(D98)&amp;"_"&amp;TRIM(INDEX($E$1:$K$1, MATCH(MIN(E98:K98), E98:K98, 0))), 技能库!$A:$F, 6, 0),"请针对该题型加强练习"))</f>
        <v/>
      </c>
      <c r="AB98" s="5" t="str">
        <f>IF(P98="","", "⚠️ 薄弱环节: "&amp;INDEX($N$1:$O$1, MATCH(MIN(N98:O98), N98:O98, 0))&amp;CHAR(10)&amp;"📉 考察能力: "&amp;IFERROR(VLOOKUP(TRIM(D98)&amp;"_"&amp;TRIM(INDEX($N$1:$O$1, MATCH(MIN(N98:O98), N98:O98, 0))), 技能库!$A:$F, 5, 0),"建议查阅考纲")&amp;CHAR(10)&amp;"💡 提升建议: "&amp;IFERROR(VLOOKUP(TRIM(D98)&amp;"_"&amp;TRIM(INDEX($N$1:$O$1, MATCH(MIN(N98:O98), N98:O98, 0))), 技能库!$A:$F, 6, 0),"请针对该题型加强练习"))</f>
        <v/>
      </c>
      <c r="AC98" s="5" t="str">
        <f>IF(W98="","", "⚠️ 薄弱环节: "&amp;INDEX($R$1:$V$1, MATCH(MIN(R98:V98), R98:V98, 0))&amp;CHAR(10)&amp;"📉 考察能力: "&amp;IFERROR(VLOOKUP(TRIM(D98)&amp;"_"&amp;TRIM(INDEX($R$1:$V$1, MATCH(MIN(R98:V98), R98:V98, 0))), 技能库!$A:$F, 5, 0),"建议查阅考纲")&amp;CHAR(10)&amp;"💡 提升建议: "&amp;IFERROR(VLOOKUP(TRIM(D98)&amp;"_"&amp;TRIM(INDEX($R$1:$V$1, MATCH(MIN(R98:V98), R98:V98, 0))), 技能库!$A:$F, 6, 0),"请针对该题型加强练习"))</f>
        <v/>
      </c>
    </row>
    <row r="99" spans="12:29" ht="16" hidden="1" x14ac:dyDescent="0.2">
      <c r="L99" t="str">
        <f t="shared" si="4"/>
        <v/>
      </c>
      <c r="M99" t="str">
        <f>IF(L99="","", IFERROR(VLOOKUP(L99, IF(D99="KET", 换算标准!$M:$N, IF(D99="PET", 换算标准!$S:$T, 换算标准!$AC:$AD)), 2, TRUE), 0))</f>
        <v/>
      </c>
      <c r="P99" t="str">
        <f t="shared" si="5"/>
        <v/>
      </c>
      <c r="Q99" t="str">
        <f>IF(P99="","", IFERROR(VLOOKUP(P99, IF(D99="KET", 换算标准!$O:$P, IF(D99="PET", 换算标准!$U:$V, 换算标准!$AG:$AH)), 2, TRUE), 0))</f>
        <v/>
      </c>
      <c r="W99" t="str">
        <f t="shared" si="6"/>
        <v/>
      </c>
      <c r="X99" t="str">
        <f>IF(W99="","", IFERROR(VLOOKUP(W99, IF(D99="KET", 换算标准!$Q:$R, IF(D99="PET", 换算标准!$W:$X, 换算标准!$AI:$AJ)), 2, TRUE), 0))</f>
        <v/>
      </c>
      <c r="Y99" t="str">
        <f t="shared" si="7"/>
        <v/>
      </c>
      <c r="Z99" t="str">
        <f>IF(Y99="","", IFERROR(VLOOKUP(Y99, 换算标准!$Z:$AA, 1, TRUE), ""))</f>
        <v/>
      </c>
      <c r="AA99" s="5" t="str">
        <f>IF(L99="","", "⚠️ 薄弱环节: "&amp;INDEX($E$1:$K$1, MATCH(MIN(E99:K99), E99:K99, 0))&amp;CHAR(10)&amp;"📉 考察能力: "&amp;IFERROR(VLOOKUP(TRIM(D99)&amp;"_"&amp;TRIM(INDEX($E$1:$K$1, MATCH(MIN(E99:K99), E99:K99, 0))), 技能库!$A:$F, 5, 0),"建议查阅考纲")&amp;CHAR(10)&amp;"💡 提升建议: "&amp;IFERROR(VLOOKUP(TRIM(D99)&amp;"_"&amp;TRIM(INDEX($E$1:$K$1, MATCH(MIN(E99:K99), E99:K99, 0))), 技能库!$A:$F, 6, 0),"请针对该题型加强练习"))</f>
        <v/>
      </c>
      <c r="AB99" s="5" t="str">
        <f>IF(P99="","", "⚠️ 薄弱环节: "&amp;INDEX($N$1:$O$1, MATCH(MIN(N99:O99), N99:O99, 0))&amp;CHAR(10)&amp;"📉 考察能力: "&amp;IFERROR(VLOOKUP(TRIM(D99)&amp;"_"&amp;TRIM(INDEX($N$1:$O$1, MATCH(MIN(N99:O99), N99:O99, 0))), 技能库!$A:$F, 5, 0),"建议查阅考纲")&amp;CHAR(10)&amp;"💡 提升建议: "&amp;IFERROR(VLOOKUP(TRIM(D99)&amp;"_"&amp;TRIM(INDEX($N$1:$O$1, MATCH(MIN(N99:O99), N99:O99, 0))), 技能库!$A:$F, 6, 0),"请针对该题型加强练习"))</f>
        <v/>
      </c>
      <c r="AC99" s="5" t="str">
        <f>IF(W99="","", "⚠️ 薄弱环节: "&amp;INDEX($R$1:$V$1, MATCH(MIN(R99:V99), R99:V99, 0))&amp;CHAR(10)&amp;"📉 考察能力: "&amp;IFERROR(VLOOKUP(TRIM(D99)&amp;"_"&amp;TRIM(INDEX($R$1:$V$1, MATCH(MIN(R99:V99), R99:V99, 0))), 技能库!$A:$F, 5, 0),"建议查阅考纲")&amp;CHAR(10)&amp;"💡 提升建议: "&amp;IFERROR(VLOOKUP(TRIM(D99)&amp;"_"&amp;TRIM(INDEX($R$1:$V$1, MATCH(MIN(R99:V99), R99:V99, 0))), 技能库!$A:$F, 6, 0),"请针对该题型加强练习"))</f>
        <v/>
      </c>
    </row>
    <row r="100" spans="12:29" ht="16" hidden="1" x14ac:dyDescent="0.2">
      <c r="L100" t="str">
        <f t="shared" si="4"/>
        <v/>
      </c>
      <c r="M100" t="str">
        <f>IF(L100="","", IFERROR(VLOOKUP(L100, IF(D100="KET", 换算标准!$M:$N, IF(D100="PET", 换算标准!$S:$T, 换算标准!$AC:$AD)), 2, TRUE), 0))</f>
        <v/>
      </c>
      <c r="P100" t="str">
        <f t="shared" si="5"/>
        <v/>
      </c>
      <c r="Q100" t="str">
        <f>IF(P100="","", IFERROR(VLOOKUP(P100, IF(D100="KET", 换算标准!$O:$P, IF(D100="PET", 换算标准!$U:$V, 换算标准!$AG:$AH)), 2, TRUE), 0))</f>
        <v/>
      </c>
      <c r="W100" t="str">
        <f t="shared" si="6"/>
        <v/>
      </c>
      <c r="X100" t="str">
        <f>IF(W100="","", IFERROR(VLOOKUP(W100, IF(D100="KET", 换算标准!$Q:$R, IF(D100="PET", 换算标准!$W:$X, 换算标准!$AI:$AJ)), 2, TRUE), 0))</f>
        <v/>
      </c>
      <c r="Y100" t="str">
        <f t="shared" si="7"/>
        <v/>
      </c>
      <c r="Z100" t="str">
        <f>IF(Y100="","", IFERROR(VLOOKUP(Y100, 换算标准!$Z:$AA, 1, TRUE), ""))</f>
        <v/>
      </c>
      <c r="AA100" s="5" t="str">
        <f>IF(L100="","", "⚠️ 薄弱环节: "&amp;INDEX($E$1:$K$1, MATCH(MIN(E100:K100), E100:K100, 0))&amp;CHAR(10)&amp;"📉 考察能力: "&amp;IFERROR(VLOOKUP(TRIM(D100)&amp;"_"&amp;TRIM(INDEX($E$1:$K$1, MATCH(MIN(E100:K100), E100:K100, 0))), 技能库!$A:$F, 5, 0),"建议查阅考纲")&amp;CHAR(10)&amp;"💡 提升建议: "&amp;IFERROR(VLOOKUP(TRIM(D100)&amp;"_"&amp;TRIM(INDEX($E$1:$K$1, MATCH(MIN(E100:K100), E100:K100, 0))), 技能库!$A:$F, 6, 0),"请针对该题型加强练习"))</f>
        <v/>
      </c>
      <c r="AB100" s="5" t="str">
        <f>IF(P100="","", "⚠️ 薄弱环节: "&amp;INDEX($N$1:$O$1, MATCH(MIN(N100:O100), N100:O100, 0))&amp;CHAR(10)&amp;"📉 考察能力: "&amp;IFERROR(VLOOKUP(TRIM(D100)&amp;"_"&amp;TRIM(INDEX($N$1:$O$1, MATCH(MIN(N100:O100), N100:O100, 0))), 技能库!$A:$F, 5, 0),"建议查阅考纲")&amp;CHAR(10)&amp;"💡 提升建议: "&amp;IFERROR(VLOOKUP(TRIM(D100)&amp;"_"&amp;TRIM(INDEX($N$1:$O$1, MATCH(MIN(N100:O100), N100:O100, 0))), 技能库!$A:$F, 6, 0),"请针对该题型加强练习"))</f>
        <v/>
      </c>
      <c r="AC100" s="5" t="str">
        <f>IF(W100="","", "⚠️ 薄弱环节: "&amp;INDEX($R$1:$V$1, MATCH(MIN(R100:V100), R100:V100, 0))&amp;CHAR(10)&amp;"📉 考察能力: "&amp;IFERROR(VLOOKUP(TRIM(D100)&amp;"_"&amp;TRIM(INDEX($R$1:$V$1, MATCH(MIN(R100:V100), R100:V100, 0))), 技能库!$A:$F, 5, 0),"建议查阅考纲")&amp;CHAR(10)&amp;"💡 提升建议: "&amp;IFERROR(VLOOKUP(TRIM(D100)&amp;"_"&amp;TRIM(INDEX($R$1:$V$1, MATCH(MIN(R100:V100), R100:V100, 0))), 技能库!$A:$F, 6, 0),"请针对该题型加强练习"))</f>
        <v/>
      </c>
    </row>
    <row r="101" spans="12:29" ht="16" hidden="1" x14ac:dyDescent="0.2">
      <c r="L101" t="str">
        <f t="shared" si="4"/>
        <v/>
      </c>
      <c r="M101" t="str">
        <f>IF(L101="","", IFERROR(VLOOKUP(L101, IF(D101="KET", 换算标准!$M:$N, IF(D101="PET", 换算标准!$S:$T, 换算标准!$AC:$AD)), 2, TRUE), 0))</f>
        <v/>
      </c>
      <c r="P101" t="str">
        <f t="shared" si="5"/>
        <v/>
      </c>
      <c r="Q101" t="str">
        <f>IF(P101="","", IFERROR(VLOOKUP(P101, IF(D101="KET", 换算标准!$O:$P, IF(D101="PET", 换算标准!$U:$V, 换算标准!$AG:$AH)), 2, TRUE), 0))</f>
        <v/>
      </c>
      <c r="W101" t="str">
        <f t="shared" si="6"/>
        <v/>
      </c>
      <c r="X101" t="str">
        <f>IF(W101="","", IFERROR(VLOOKUP(W101, IF(D101="KET", 换算标准!$Q:$R, IF(D101="PET", 换算标准!$W:$X, 换算标准!$AI:$AJ)), 2, TRUE), 0))</f>
        <v/>
      </c>
      <c r="Y101" t="str">
        <f t="shared" si="7"/>
        <v/>
      </c>
      <c r="Z101" t="str">
        <f>IF(Y101="","", IFERROR(VLOOKUP(Y101, 换算标准!$Z:$AA, 1, TRUE), ""))</f>
        <v/>
      </c>
      <c r="AA101" s="5" t="str">
        <f>IF(L101="","", "⚠️ 薄弱环节: "&amp;INDEX($E$1:$K$1, MATCH(MIN(E101:K101), E101:K101, 0))&amp;CHAR(10)&amp;"📉 考察能力: "&amp;IFERROR(VLOOKUP(TRIM(D101)&amp;"_"&amp;TRIM(INDEX($E$1:$K$1, MATCH(MIN(E101:K101), E101:K101, 0))), 技能库!$A:$F, 5, 0),"建议查阅考纲")&amp;CHAR(10)&amp;"💡 提升建议: "&amp;IFERROR(VLOOKUP(TRIM(D101)&amp;"_"&amp;TRIM(INDEX($E$1:$K$1, MATCH(MIN(E101:K101), E101:K101, 0))), 技能库!$A:$F, 6, 0),"请针对该题型加强练习"))</f>
        <v/>
      </c>
      <c r="AB101" s="5" t="str">
        <f>IF(P101="","", "⚠️ 薄弱环节: "&amp;INDEX($N$1:$O$1, MATCH(MIN(N101:O101), N101:O101, 0))&amp;CHAR(10)&amp;"📉 考察能力: "&amp;IFERROR(VLOOKUP(TRIM(D101)&amp;"_"&amp;TRIM(INDEX($N$1:$O$1, MATCH(MIN(N101:O101), N101:O101, 0))), 技能库!$A:$F, 5, 0),"建议查阅考纲")&amp;CHAR(10)&amp;"💡 提升建议: "&amp;IFERROR(VLOOKUP(TRIM(D101)&amp;"_"&amp;TRIM(INDEX($N$1:$O$1, MATCH(MIN(N101:O101), N101:O101, 0))), 技能库!$A:$F, 6, 0),"请针对该题型加强练习"))</f>
        <v/>
      </c>
      <c r="AC101" s="5" t="str">
        <f>IF(W101="","", "⚠️ 薄弱环节: "&amp;INDEX($R$1:$V$1, MATCH(MIN(R101:V101), R101:V101, 0))&amp;CHAR(10)&amp;"📉 考察能力: "&amp;IFERROR(VLOOKUP(TRIM(D101)&amp;"_"&amp;TRIM(INDEX($R$1:$V$1, MATCH(MIN(R101:V101), R101:V101, 0))), 技能库!$A:$F, 5, 0),"建议查阅考纲")&amp;CHAR(10)&amp;"💡 提升建议: "&amp;IFERROR(VLOOKUP(TRIM(D101)&amp;"_"&amp;TRIM(INDEX($R$1:$V$1, MATCH(MIN(R101:V101), R101:V101, 0))), 技能库!$A:$F, 6, 0),"请针对该题型加强练习"))</f>
        <v/>
      </c>
    </row>
    <row r="102" spans="12:29" ht="16" hidden="1" x14ac:dyDescent="0.2">
      <c r="L102" t="str">
        <f t="shared" si="4"/>
        <v/>
      </c>
      <c r="M102" t="str">
        <f>IF(L102="","", IFERROR(VLOOKUP(L102, IF(D102="KET", 换算标准!$M:$N, IF(D102="PET", 换算标准!$S:$T, 换算标准!$AC:$AD)), 2, TRUE), 0))</f>
        <v/>
      </c>
      <c r="P102" t="str">
        <f t="shared" si="5"/>
        <v/>
      </c>
      <c r="Q102" t="str">
        <f>IF(P102="","", IFERROR(VLOOKUP(P102, IF(D102="KET", 换算标准!$O:$P, IF(D102="PET", 换算标准!$U:$V, 换算标准!$AG:$AH)), 2, TRUE), 0))</f>
        <v/>
      </c>
      <c r="W102" t="str">
        <f t="shared" si="6"/>
        <v/>
      </c>
      <c r="X102" t="str">
        <f>IF(W102="","", IFERROR(VLOOKUP(W102, IF(D102="KET", 换算标准!$Q:$R, IF(D102="PET", 换算标准!$W:$X, 换算标准!$AI:$AJ)), 2, TRUE), 0))</f>
        <v/>
      </c>
      <c r="Y102" t="str">
        <f t="shared" si="7"/>
        <v/>
      </c>
      <c r="Z102" t="str">
        <f>IF(Y102="","", IFERROR(VLOOKUP(Y102, 换算标准!$Z:$AA, 1, TRUE), ""))</f>
        <v/>
      </c>
      <c r="AA102" s="5" t="str">
        <f>IF(L102="","", "⚠️ 薄弱环节: "&amp;INDEX($E$1:$K$1, MATCH(MIN(E102:K102), E102:K102, 0))&amp;CHAR(10)&amp;"📉 考察能力: "&amp;IFERROR(VLOOKUP(TRIM(D102)&amp;"_"&amp;TRIM(INDEX($E$1:$K$1, MATCH(MIN(E102:K102), E102:K102, 0))), 技能库!$A:$F, 5, 0),"建议查阅考纲")&amp;CHAR(10)&amp;"💡 提升建议: "&amp;IFERROR(VLOOKUP(TRIM(D102)&amp;"_"&amp;TRIM(INDEX($E$1:$K$1, MATCH(MIN(E102:K102), E102:K102, 0))), 技能库!$A:$F, 6, 0),"请针对该题型加强练习"))</f>
        <v/>
      </c>
      <c r="AB102" s="5" t="str">
        <f>IF(P102="","", "⚠️ 薄弱环节: "&amp;INDEX($N$1:$O$1, MATCH(MIN(N102:O102), N102:O102, 0))&amp;CHAR(10)&amp;"📉 考察能力: "&amp;IFERROR(VLOOKUP(TRIM(D102)&amp;"_"&amp;TRIM(INDEX($N$1:$O$1, MATCH(MIN(N102:O102), N102:O102, 0))), 技能库!$A:$F, 5, 0),"建议查阅考纲")&amp;CHAR(10)&amp;"💡 提升建议: "&amp;IFERROR(VLOOKUP(TRIM(D102)&amp;"_"&amp;TRIM(INDEX($N$1:$O$1, MATCH(MIN(N102:O102), N102:O102, 0))), 技能库!$A:$F, 6, 0),"请针对该题型加强练习"))</f>
        <v/>
      </c>
      <c r="AC102" s="5" t="str">
        <f>IF(W102="","", "⚠️ 薄弱环节: "&amp;INDEX($R$1:$V$1, MATCH(MIN(R102:V102), R102:V102, 0))&amp;CHAR(10)&amp;"📉 考察能力: "&amp;IFERROR(VLOOKUP(TRIM(D102)&amp;"_"&amp;TRIM(INDEX($R$1:$V$1, MATCH(MIN(R102:V102), R102:V102, 0))), 技能库!$A:$F, 5, 0),"建议查阅考纲")&amp;CHAR(10)&amp;"💡 提升建议: "&amp;IFERROR(VLOOKUP(TRIM(D102)&amp;"_"&amp;TRIM(INDEX($R$1:$V$1, MATCH(MIN(R102:V102), R102:V102, 0))), 技能库!$A:$F, 6, 0),"请针对该题型加强练习"))</f>
        <v/>
      </c>
    </row>
    <row r="103" spans="12:29" ht="16" hidden="1" x14ac:dyDescent="0.2">
      <c r="L103" t="str">
        <f t="shared" si="4"/>
        <v/>
      </c>
      <c r="M103" t="str">
        <f>IF(L103="","", IFERROR(VLOOKUP(L103, IF(D103="KET", 换算标准!$M:$N, IF(D103="PET", 换算标准!$S:$T, 换算标准!$AC:$AD)), 2, TRUE), 0))</f>
        <v/>
      </c>
      <c r="P103" t="str">
        <f t="shared" si="5"/>
        <v/>
      </c>
      <c r="Q103" t="str">
        <f>IF(P103="","", IFERROR(VLOOKUP(P103, IF(D103="KET", 换算标准!$O:$P, IF(D103="PET", 换算标准!$U:$V, 换算标准!$AG:$AH)), 2, TRUE), 0))</f>
        <v/>
      </c>
      <c r="W103" t="str">
        <f t="shared" si="6"/>
        <v/>
      </c>
      <c r="X103" t="str">
        <f>IF(W103="","", IFERROR(VLOOKUP(W103, IF(D103="KET", 换算标准!$Q:$R, IF(D103="PET", 换算标准!$W:$X, 换算标准!$AI:$AJ)), 2, TRUE), 0))</f>
        <v/>
      </c>
      <c r="Y103" t="str">
        <f t="shared" si="7"/>
        <v/>
      </c>
      <c r="Z103" t="str">
        <f>IF(Y103="","", IFERROR(VLOOKUP(Y103, 换算标准!$Z:$AA, 1, TRUE), ""))</f>
        <v/>
      </c>
      <c r="AA103" s="5" t="str">
        <f>IF(L103="","", "⚠️ 薄弱环节: "&amp;INDEX($E$1:$K$1, MATCH(MIN(E103:K103), E103:K103, 0))&amp;CHAR(10)&amp;"📉 考察能力: "&amp;IFERROR(VLOOKUP(TRIM(D103)&amp;"_"&amp;TRIM(INDEX($E$1:$K$1, MATCH(MIN(E103:K103), E103:K103, 0))), 技能库!$A:$F, 5, 0),"建议查阅考纲")&amp;CHAR(10)&amp;"💡 提升建议: "&amp;IFERROR(VLOOKUP(TRIM(D103)&amp;"_"&amp;TRIM(INDEX($E$1:$K$1, MATCH(MIN(E103:K103), E103:K103, 0))), 技能库!$A:$F, 6, 0),"请针对该题型加强练习"))</f>
        <v/>
      </c>
      <c r="AB103" s="5" t="str">
        <f>IF(P103="","", "⚠️ 薄弱环节: "&amp;INDEX($N$1:$O$1, MATCH(MIN(N103:O103), N103:O103, 0))&amp;CHAR(10)&amp;"📉 考察能力: "&amp;IFERROR(VLOOKUP(TRIM(D103)&amp;"_"&amp;TRIM(INDEX($N$1:$O$1, MATCH(MIN(N103:O103), N103:O103, 0))), 技能库!$A:$F, 5, 0),"建议查阅考纲")&amp;CHAR(10)&amp;"💡 提升建议: "&amp;IFERROR(VLOOKUP(TRIM(D103)&amp;"_"&amp;TRIM(INDEX($N$1:$O$1, MATCH(MIN(N103:O103), N103:O103, 0))), 技能库!$A:$F, 6, 0),"请针对该题型加强练习"))</f>
        <v/>
      </c>
      <c r="AC103" s="5" t="str">
        <f>IF(W103="","", "⚠️ 薄弱环节: "&amp;INDEX($R$1:$V$1, MATCH(MIN(R103:V103), R103:V103, 0))&amp;CHAR(10)&amp;"📉 考察能力: "&amp;IFERROR(VLOOKUP(TRIM(D103)&amp;"_"&amp;TRIM(INDEX($R$1:$V$1, MATCH(MIN(R103:V103), R103:V103, 0))), 技能库!$A:$F, 5, 0),"建议查阅考纲")&amp;CHAR(10)&amp;"💡 提升建议: "&amp;IFERROR(VLOOKUP(TRIM(D103)&amp;"_"&amp;TRIM(INDEX($R$1:$V$1, MATCH(MIN(R103:V103), R103:V103, 0))), 技能库!$A:$F, 6, 0),"请针对该题型加强练习"))</f>
        <v/>
      </c>
    </row>
    <row r="104" spans="12:29" ht="16" hidden="1" x14ac:dyDescent="0.2">
      <c r="L104" t="str">
        <f t="shared" si="4"/>
        <v/>
      </c>
      <c r="M104" t="str">
        <f>IF(L104="","", IFERROR(VLOOKUP(L104, IF(D104="KET", 换算标准!$M:$N, IF(D104="PET", 换算标准!$S:$T, 换算标准!$AC:$AD)), 2, TRUE), 0))</f>
        <v/>
      </c>
      <c r="P104" t="str">
        <f t="shared" si="5"/>
        <v/>
      </c>
      <c r="Q104" t="str">
        <f>IF(P104="","", IFERROR(VLOOKUP(P104, IF(D104="KET", 换算标准!$O:$P, IF(D104="PET", 换算标准!$U:$V, 换算标准!$AG:$AH)), 2, TRUE), 0))</f>
        <v/>
      </c>
      <c r="W104" t="str">
        <f t="shared" si="6"/>
        <v/>
      </c>
      <c r="X104" t="str">
        <f>IF(W104="","", IFERROR(VLOOKUP(W104, IF(D104="KET", 换算标准!$Q:$R, IF(D104="PET", 换算标准!$W:$X, 换算标准!$AI:$AJ)), 2, TRUE), 0))</f>
        <v/>
      </c>
      <c r="Y104" t="str">
        <f t="shared" si="7"/>
        <v/>
      </c>
      <c r="Z104" t="str">
        <f>IF(Y104="","", IFERROR(VLOOKUP(Y104, 换算标准!$Z:$AA, 1, TRUE), ""))</f>
        <v/>
      </c>
      <c r="AA104" s="5" t="str">
        <f>IF(L104="","", "⚠️ 薄弱环节: "&amp;INDEX($E$1:$K$1, MATCH(MIN(E104:K104), E104:K104, 0))&amp;CHAR(10)&amp;"📉 考察能力: "&amp;IFERROR(VLOOKUP(TRIM(D104)&amp;"_"&amp;TRIM(INDEX($E$1:$K$1, MATCH(MIN(E104:K104), E104:K104, 0))), 技能库!$A:$F, 5, 0),"建议查阅考纲")&amp;CHAR(10)&amp;"💡 提升建议: "&amp;IFERROR(VLOOKUP(TRIM(D104)&amp;"_"&amp;TRIM(INDEX($E$1:$K$1, MATCH(MIN(E104:K104), E104:K104, 0))), 技能库!$A:$F, 6, 0),"请针对该题型加强练习"))</f>
        <v/>
      </c>
      <c r="AB104" s="5" t="str">
        <f>IF(P104="","", "⚠️ 薄弱环节: "&amp;INDEX($N$1:$O$1, MATCH(MIN(N104:O104), N104:O104, 0))&amp;CHAR(10)&amp;"📉 考察能力: "&amp;IFERROR(VLOOKUP(TRIM(D104)&amp;"_"&amp;TRIM(INDEX($N$1:$O$1, MATCH(MIN(N104:O104), N104:O104, 0))), 技能库!$A:$F, 5, 0),"建议查阅考纲")&amp;CHAR(10)&amp;"💡 提升建议: "&amp;IFERROR(VLOOKUP(TRIM(D104)&amp;"_"&amp;TRIM(INDEX($N$1:$O$1, MATCH(MIN(N104:O104), N104:O104, 0))), 技能库!$A:$F, 6, 0),"请针对该题型加强练习"))</f>
        <v/>
      </c>
      <c r="AC104" s="5" t="str">
        <f>IF(W104="","", "⚠️ 薄弱环节: "&amp;INDEX($R$1:$V$1, MATCH(MIN(R104:V104), R104:V104, 0))&amp;CHAR(10)&amp;"📉 考察能力: "&amp;IFERROR(VLOOKUP(TRIM(D104)&amp;"_"&amp;TRIM(INDEX($R$1:$V$1, MATCH(MIN(R104:V104), R104:V104, 0))), 技能库!$A:$F, 5, 0),"建议查阅考纲")&amp;CHAR(10)&amp;"💡 提升建议: "&amp;IFERROR(VLOOKUP(TRIM(D104)&amp;"_"&amp;TRIM(INDEX($R$1:$V$1, MATCH(MIN(R104:V104), R104:V104, 0))), 技能库!$A:$F, 6, 0),"请针对该题型加强练习"))</f>
        <v/>
      </c>
    </row>
    <row r="105" spans="12:29" ht="16" hidden="1" x14ac:dyDescent="0.2">
      <c r="L105" t="str">
        <f t="shared" si="4"/>
        <v/>
      </c>
      <c r="M105" t="str">
        <f>IF(L105="","", IFERROR(VLOOKUP(L105, IF(D105="KET", 换算标准!$M:$N, IF(D105="PET", 换算标准!$S:$T, 换算标准!$AC:$AD)), 2, TRUE), 0))</f>
        <v/>
      </c>
      <c r="P105" t="str">
        <f t="shared" si="5"/>
        <v/>
      </c>
      <c r="Q105" t="str">
        <f>IF(P105="","", IFERROR(VLOOKUP(P105, IF(D105="KET", 换算标准!$O:$P, IF(D105="PET", 换算标准!$U:$V, 换算标准!$AG:$AH)), 2, TRUE), 0))</f>
        <v/>
      </c>
      <c r="W105" t="str">
        <f t="shared" si="6"/>
        <v/>
      </c>
      <c r="X105" t="str">
        <f>IF(W105="","", IFERROR(VLOOKUP(W105, IF(D105="KET", 换算标准!$Q:$R, IF(D105="PET", 换算标准!$W:$X, 换算标准!$AI:$AJ)), 2, TRUE), 0))</f>
        <v/>
      </c>
      <c r="Y105" t="str">
        <f t="shared" si="7"/>
        <v/>
      </c>
      <c r="Z105" t="str">
        <f>IF(Y105="","", IFERROR(VLOOKUP(Y105, 换算标准!$Z:$AA, 1, TRUE), ""))</f>
        <v/>
      </c>
      <c r="AA105" s="5" t="str">
        <f>IF(L105="","", "⚠️ 薄弱环节: "&amp;INDEX($E$1:$K$1, MATCH(MIN(E105:K105), E105:K105, 0))&amp;CHAR(10)&amp;"📉 考察能力: "&amp;IFERROR(VLOOKUP(TRIM(D105)&amp;"_"&amp;TRIM(INDEX($E$1:$K$1, MATCH(MIN(E105:K105), E105:K105, 0))), 技能库!$A:$F, 5, 0),"建议查阅考纲")&amp;CHAR(10)&amp;"💡 提升建议: "&amp;IFERROR(VLOOKUP(TRIM(D105)&amp;"_"&amp;TRIM(INDEX($E$1:$K$1, MATCH(MIN(E105:K105), E105:K105, 0))), 技能库!$A:$F, 6, 0),"请针对该题型加强练习"))</f>
        <v/>
      </c>
      <c r="AB105" s="5" t="str">
        <f>IF(P105="","", "⚠️ 薄弱环节: "&amp;INDEX($N$1:$O$1, MATCH(MIN(N105:O105), N105:O105, 0))&amp;CHAR(10)&amp;"📉 考察能力: "&amp;IFERROR(VLOOKUP(TRIM(D105)&amp;"_"&amp;TRIM(INDEX($N$1:$O$1, MATCH(MIN(N105:O105), N105:O105, 0))), 技能库!$A:$F, 5, 0),"建议查阅考纲")&amp;CHAR(10)&amp;"💡 提升建议: "&amp;IFERROR(VLOOKUP(TRIM(D105)&amp;"_"&amp;TRIM(INDEX($N$1:$O$1, MATCH(MIN(N105:O105), N105:O105, 0))), 技能库!$A:$F, 6, 0),"请针对该题型加强练习"))</f>
        <v/>
      </c>
      <c r="AC105" s="5" t="str">
        <f>IF(W105="","", "⚠️ 薄弱环节: "&amp;INDEX($R$1:$V$1, MATCH(MIN(R105:V105), R105:V105, 0))&amp;CHAR(10)&amp;"📉 考察能力: "&amp;IFERROR(VLOOKUP(TRIM(D105)&amp;"_"&amp;TRIM(INDEX($R$1:$V$1, MATCH(MIN(R105:V105), R105:V105, 0))), 技能库!$A:$F, 5, 0),"建议查阅考纲")&amp;CHAR(10)&amp;"💡 提升建议: "&amp;IFERROR(VLOOKUP(TRIM(D105)&amp;"_"&amp;TRIM(INDEX($R$1:$V$1, MATCH(MIN(R105:V105), R105:V105, 0))), 技能库!$A:$F, 6, 0),"请针对该题型加强练习"))</f>
        <v/>
      </c>
    </row>
    <row r="106" spans="12:29" ht="16" hidden="1" x14ac:dyDescent="0.2">
      <c r="L106" t="str">
        <f t="shared" si="4"/>
        <v/>
      </c>
      <c r="M106" t="str">
        <f>IF(L106="","", IFERROR(VLOOKUP(L106, IF(D106="KET", 换算标准!$M:$N, IF(D106="PET", 换算标准!$S:$T, 换算标准!$AC:$AD)), 2, TRUE), 0))</f>
        <v/>
      </c>
      <c r="P106" t="str">
        <f t="shared" si="5"/>
        <v/>
      </c>
      <c r="Q106" t="str">
        <f>IF(P106="","", IFERROR(VLOOKUP(P106, IF(D106="KET", 换算标准!$O:$P, IF(D106="PET", 换算标准!$U:$V, 换算标准!$AG:$AH)), 2, TRUE), 0))</f>
        <v/>
      </c>
      <c r="W106" t="str">
        <f t="shared" si="6"/>
        <v/>
      </c>
      <c r="X106" t="str">
        <f>IF(W106="","", IFERROR(VLOOKUP(W106, IF(D106="KET", 换算标准!$Q:$R, IF(D106="PET", 换算标准!$W:$X, 换算标准!$AI:$AJ)), 2, TRUE), 0))</f>
        <v/>
      </c>
      <c r="Y106" t="str">
        <f t="shared" si="7"/>
        <v/>
      </c>
      <c r="Z106" t="str">
        <f>IF(Y106="","", IFERROR(VLOOKUP(Y106, 换算标准!$Z:$AA, 1, TRUE), ""))</f>
        <v/>
      </c>
      <c r="AA106" s="5" t="str">
        <f>IF(L106="","", "⚠️ 薄弱环节: "&amp;INDEX($E$1:$K$1, MATCH(MIN(E106:K106), E106:K106, 0))&amp;CHAR(10)&amp;"📉 考察能力: "&amp;IFERROR(VLOOKUP(TRIM(D106)&amp;"_"&amp;TRIM(INDEX($E$1:$K$1, MATCH(MIN(E106:K106), E106:K106, 0))), 技能库!$A:$F, 5, 0),"建议查阅考纲")&amp;CHAR(10)&amp;"💡 提升建议: "&amp;IFERROR(VLOOKUP(TRIM(D106)&amp;"_"&amp;TRIM(INDEX($E$1:$K$1, MATCH(MIN(E106:K106), E106:K106, 0))), 技能库!$A:$F, 6, 0),"请针对该题型加强练习"))</f>
        <v/>
      </c>
      <c r="AB106" s="5" t="str">
        <f>IF(P106="","", "⚠️ 薄弱环节: "&amp;INDEX($N$1:$O$1, MATCH(MIN(N106:O106), N106:O106, 0))&amp;CHAR(10)&amp;"📉 考察能力: "&amp;IFERROR(VLOOKUP(TRIM(D106)&amp;"_"&amp;TRIM(INDEX($N$1:$O$1, MATCH(MIN(N106:O106), N106:O106, 0))), 技能库!$A:$F, 5, 0),"建议查阅考纲")&amp;CHAR(10)&amp;"💡 提升建议: "&amp;IFERROR(VLOOKUP(TRIM(D106)&amp;"_"&amp;TRIM(INDEX($N$1:$O$1, MATCH(MIN(N106:O106), N106:O106, 0))), 技能库!$A:$F, 6, 0),"请针对该题型加强练习"))</f>
        <v/>
      </c>
      <c r="AC106" s="5" t="str">
        <f>IF(W106="","", "⚠️ 薄弱环节: "&amp;INDEX($R$1:$V$1, MATCH(MIN(R106:V106), R106:V106, 0))&amp;CHAR(10)&amp;"📉 考察能力: "&amp;IFERROR(VLOOKUP(TRIM(D106)&amp;"_"&amp;TRIM(INDEX($R$1:$V$1, MATCH(MIN(R106:V106), R106:V106, 0))), 技能库!$A:$F, 5, 0),"建议查阅考纲")&amp;CHAR(10)&amp;"💡 提升建议: "&amp;IFERROR(VLOOKUP(TRIM(D106)&amp;"_"&amp;TRIM(INDEX($R$1:$V$1, MATCH(MIN(R106:V106), R106:V106, 0))), 技能库!$A:$F, 6, 0),"请针对该题型加强练习"))</f>
        <v/>
      </c>
    </row>
    <row r="107" spans="12:29" ht="16" hidden="1" x14ac:dyDescent="0.2">
      <c r="L107" t="str">
        <f t="shared" si="4"/>
        <v/>
      </c>
      <c r="M107" t="str">
        <f>IF(L107="","", IFERROR(VLOOKUP(L107, IF(D107="KET", 换算标准!$M:$N, IF(D107="PET", 换算标准!$S:$T, 换算标准!$AC:$AD)), 2, TRUE), 0))</f>
        <v/>
      </c>
      <c r="P107" t="str">
        <f t="shared" si="5"/>
        <v/>
      </c>
      <c r="Q107" t="str">
        <f>IF(P107="","", IFERROR(VLOOKUP(P107, IF(D107="KET", 换算标准!$O:$P, IF(D107="PET", 换算标准!$U:$V, 换算标准!$AG:$AH)), 2, TRUE), 0))</f>
        <v/>
      </c>
      <c r="W107" t="str">
        <f t="shared" si="6"/>
        <v/>
      </c>
      <c r="X107" t="str">
        <f>IF(W107="","", IFERROR(VLOOKUP(W107, IF(D107="KET", 换算标准!$Q:$R, IF(D107="PET", 换算标准!$W:$X, 换算标准!$AI:$AJ)), 2, TRUE), 0))</f>
        <v/>
      </c>
      <c r="Y107" t="str">
        <f t="shared" si="7"/>
        <v/>
      </c>
      <c r="Z107" t="str">
        <f>IF(Y107="","", IFERROR(VLOOKUP(Y107, 换算标准!$Z:$AA, 1, TRUE), ""))</f>
        <v/>
      </c>
      <c r="AA107" s="5" t="str">
        <f>IF(L107="","", "⚠️ 薄弱环节: "&amp;INDEX($E$1:$K$1, MATCH(MIN(E107:K107), E107:K107, 0))&amp;CHAR(10)&amp;"📉 考察能力: "&amp;IFERROR(VLOOKUP(TRIM(D107)&amp;"_"&amp;TRIM(INDEX($E$1:$K$1, MATCH(MIN(E107:K107), E107:K107, 0))), 技能库!$A:$F, 5, 0),"建议查阅考纲")&amp;CHAR(10)&amp;"💡 提升建议: "&amp;IFERROR(VLOOKUP(TRIM(D107)&amp;"_"&amp;TRIM(INDEX($E$1:$K$1, MATCH(MIN(E107:K107), E107:K107, 0))), 技能库!$A:$F, 6, 0),"请针对该题型加强练习"))</f>
        <v/>
      </c>
      <c r="AB107" s="5" t="str">
        <f>IF(P107="","", "⚠️ 薄弱环节: "&amp;INDEX($N$1:$O$1, MATCH(MIN(N107:O107), N107:O107, 0))&amp;CHAR(10)&amp;"📉 考察能力: "&amp;IFERROR(VLOOKUP(TRIM(D107)&amp;"_"&amp;TRIM(INDEX($N$1:$O$1, MATCH(MIN(N107:O107), N107:O107, 0))), 技能库!$A:$F, 5, 0),"建议查阅考纲")&amp;CHAR(10)&amp;"💡 提升建议: "&amp;IFERROR(VLOOKUP(TRIM(D107)&amp;"_"&amp;TRIM(INDEX($N$1:$O$1, MATCH(MIN(N107:O107), N107:O107, 0))), 技能库!$A:$F, 6, 0),"请针对该题型加强练习"))</f>
        <v/>
      </c>
      <c r="AC107" s="5" t="str">
        <f>IF(W107="","", "⚠️ 薄弱环节: "&amp;INDEX($R$1:$V$1, MATCH(MIN(R107:V107), R107:V107, 0))&amp;CHAR(10)&amp;"📉 考察能力: "&amp;IFERROR(VLOOKUP(TRIM(D107)&amp;"_"&amp;TRIM(INDEX($R$1:$V$1, MATCH(MIN(R107:V107), R107:V107, 0))), 技能库!$A:$F, 5, 0),"建议查阅考纲")&amp;CHAR(10)&amp;"💡 提升建议: "&amp;IFERROR(VLOOKUP(TRIM(D107)&amp;"_"&amp;TRIM(INDEX($R$1:$V$1, MATCH(MIN(R107:V107), R107:V107, 0))), 技能库!$A:$F, 6, 0),"请针对该题型加强练习"))</f>
        <v/>
      </c>
    </row>
    <row r="108" spans="12:29" ht="16" hidden="1" x14ac:dyDescent="0.2">
      <c r="L108" t="str">
        <f t="shared" si="4"/>
        <v/>
      </c>
      <c r="M108" t="str">
        <f>IF(L108="","", IFERROR(VLOOKUP(L108, IF(D108="KET", 换算标准!$M:$N, IF(D108="PET", 换算标准!$S:$T, 换算标准!$AC:$AD)), 2, TRUE), 0))</f>
        <v/>
      </c>
      <c r="P108" t="str">
        <f t="shared" si="5"/>
        <v/>
      </c>
      <c r="Q108" t="str">
        <f>IF(P108="","", IFERROR(VLOOKUP(P108, IF(D108="KET", 换算标准!$O:$P, IF(D108="PET", 换算标准!$U:$V, 换算标准!$AG:$AH)), 2, TRUE), 0))</f>
        <v/>
      </c>
      <c r="W108" t="str">
        <f t="shared" si="6"/>
        <v/>
      </c>
      <c r="X108" t="str">
        <f>IF(W108="","", IFERROR(VLOOKUP(W108, IF(D108="KET", 换算标准!$Q:$R, IF(D108="PET", 换算标准!$W:$X, 换算标准!$AI:$AJ)), 2, TRUE), 0))</f>
        <v/>
      </c>
      <c r="Y108" t="str">
        <f t="shared" si="7"/>
        <v/>
      </c>
      <c r="Z108" t="str">
        <f>IF(Y108="","", IFERROR(VLOOKUP(Y108, 换算标准!$Z:$AA, 1, TRUE), ""))</f>
        <v/>
      </c>
      <c r="AA108" s="5" t="str">
        <f>IF(L108="","", "⚠️ 薄弱环节: "&amp;INDEX($E$1:$K$1, MATCH(MIN(E108:K108), E108:K108, 0))&amp;CHAR(10)&amp;"📉 考察能力: "&amp;IFERROR(VLOOKUP(TRIM(D108)&amp;"_"&amp;TRIM(INDEX($E$1:$K$1, MATCH(MIN(E108:K108), E108:K108, 0))), 技能库!$A:$F, 5, 0),"建议查阅考纲")&amp;CHAR(10)&amp;"💡 提升建议: "&amp;IFERROR(VLOOKUP(TRIM(D108)&amp;"_"&amp;TRIM(INDEX($E$1:$K$1, MATCH(MIN(E108:K108), E108:K108, 0))), 技能库!$A:$F, 6, 0),"请针对该题型加强练习"))</f>
        <v/>
      </c>
      <c r="AB108" s="5" t="str">
        <f>IF(P108="","", "⚠️ 薄弱环节: "&amp;INDEX($N$1:$O$1, MATCH(MIN(N108:O108), N108:O108, 0))&amp;CHAR(10)&amp;"📉 考察能力: "&amp;IFERROR(VLOOKUP(TRIM(D108)&amp;"_"&amp;TRIM(INDEX($N$1:$O$1, MATCH(MIN(N108:O108), N108:O108, 0))), 技能库!$A:$F, 5, 0),"建议查阅考纲")&amp;CHAR(10)&amp;"💡 提升建议: "&amp;IFERROR(VLOOKUP(TRIM(D108)&amp;"_"&amp;TRIM(INDEX($N$1:$O$1, MATCH(MIN(N108:O108), N108:O108, 0))), 技能库!$A:$F, 6, 0),"请针对该题型加强练习"))</f>
        <v/>
      </c>
      <c r="AC108" s="5" t="str">
        <f>IF(W108="","", "⚠️ 薄弱环节: "&amp;INDEX($R$1:$V$1, MATCH(MIN(R108:V108), R108:V108, 0))&amp;CHAR(10)&amp;"📉 考察能力: "&amp;IFERROR(VLOOKUP(TRIM(D108)&amp;"_"&amp;TRIM(INDEX($R$1:$V$1, MATCH(MIN(R108:V108), R108:V108, 0))), 技能库!$A:$F, 5, 0),"建议查阅考纲")&amp;CHAR(10)&amp;"💡 提升建议: "&amp;IFERROR(VLOOKUP(TRIM(D108)&amp;"_"&amp;TRIM(INDEX($R$1:$V$1, MATCH(MIN(R108:V108), R108:V108, 0))), 技能库!$A:$F, 6, 0),"请针对该题型加强练习"))</f>
        <v/>
      </c>
    </row>
    <row r="109" spans="12:29" ht="16" hidden="1" x14ac:dyDescent="0.2">
      <c r="L109" t="str">
        <f t="shared" si="4"/>
        <v/>
      </c>
      <c r="M109" t="str">
        <f>IF(L109="","", IFERROR(VLOOKUP(L109, IF(D109="KET", 换算标准!$M:$N, IF(D109="PET", 换算标准!$S:$T, 换算标准!$AC:$AD)), 2, TRUE), 0))</f>
        <v/>
      </c>
      <c r="P109" t="str">
        <f t="shared" si="5"/>
        <v/>
      </c>
      <c r="Q109" t="str">
        <f>IF(P109="","", IFERROR(VLOOKUP(P109, IF(D109="KET", 换算标准!$O:$P, IF(D109="PET", 换算标准!$U:$V, 换算标准!$AG:$AH)), 2, TRUE), 0))</f>
        <v/>
      </c>
      <c r="W109" t="str">
        <f t="shared" si="6"/>
        <v/>
      </c>
      <c r="X109" t="str">
        <f>IF(W109="","", IFERROR(VLOOKUP(W109, IF(D109="KET", 换算标准!$Q:$R, IF(D109="PET", 换算标准!$W:$X, 换算标准!$AI:$AJ)), 2, TRUE), 0))</f>
        <v/>
      </c>
      <c r="Y109" t="str">
        <f t="shared" si="7"/>
        <v/>
      </c>
      <c r="Z109" t="str">
        <f>IF(Y109="","", IFERROR(VLOOKUP(Y109, 换算标准!$Z:$AA, 1, TRUE), ""))</f>
        <v/>
      </c>
      <c r="AA109" s="5" t="str">
        <f>IF(L109="","", "⚠️ 薄弱环节: "&amp;INDEX($E$1:$K$1, MATCH(MIN(E109:K109), E109:K109, 0))&amp;CHAR(10)&amp;"📉 考察能力: "&amp;IFERROR(VLOOKUP(TRIM(D109)&amp;"_"&amp;TRIM(INDEX($E$1:$K$1, MATCH(MIN(E109:K109), E109:K109, 0))), 技能库!$A:$F, 5, 0),"建议查阅考纲")&amp;CHAR(10)&amp;"💡 提升建议: "&amp;IFERROR(VLOOKUP(TRIM(D109)&amp;"_"&amp;TRIM(INDEX($E$1:$K$1, MATCH(MIN(E109:K109), E109:K109, 0))), 技能库!$A:$F, 6, 0),"请针对该题型加强练习"))</f>
        <v/>
      </c>
      <c r="AB109" s="5" t="str">
        <f>IF(P109="","", "⚠️ 薄弱环节: "&amp;INDEX($N$1:$O$1, MATCH(MIN(N109:O109), N109:O109, 0))&amp;CHAR(10)&amp;"📉 考察能力: "&amp;IFERROR(VLOOKUP(TRIM(D109)&amp;"_"&amp;TRIM(INDEX($N$1:$O$1, MATCH(MIN(N109:O109), N109:O109, 0))), 技能库!$A:$F, 5, 0),"建议查阅考纲")&amp;CHAR(10)&amp;"💡 提升建议: "&amp;IFERROR(VLOOKUP(TRIM(D109)&amp;"_"&amp;TRIM(INDEX($N$1:$O$1, MATCH(MIN(N109:O109), N109:O109, 0))), 技能库!$A:$F, 6, 0),"请针对该题型加强练习"))</f>
        <v/>
      </c>
      <c r="AC109" s="5" t="str">
        <f>IF(W109="","", "⚠️ 薄弱环节: "&amp;INDEX($R$1:$V$1, MATCH(MIN(R109:V109), R109:V109, 0))&amp;CHAR(10)&amp;"📉 考察能力: "&amp;IFERROR(VLOOKUP(TRIM(D109)&amp;"_"&amp;TRIM(INDEX($R$1:$V$1, MATCH(MIN(R109:V109), R109:V109, 0))), 技能库!$A:$F, 5, 0),"建议查阅考纲")&amp;CHAR(10)&amp;"💡 提升建议: "&amp;IFERROR(VLOOKUP(TRIM(D109)&amp;"_"&amp;TRIM(INDEX($R$1:$V$1, MATCH(MIN(R109:V109), R109:V109, 0))), 技能库!$A:$F, 6, 0),"请针对该题型加强练习"))</f>
        <v/>
      </c>
    </row>
    <row r="110" spans="12:29" ht="16" hidden="1" x14ac:dyDescent="0.2">
      <c r="L110" t="str">
        <f t="shared" si="4"/>
        <v/>
      </c>
      <c r="M110" t="str">
        <f>IF(L110="","", IFERROR(VLOOKUP(L110, IF(D110="KET", 换算标准!$M:$N, IF(D110="PET", 换算标准!$S:$T, 换算标准!$AC:$AD)), 2, TRUE), 0))</f>
        <v/>
      </c>
      <c r="P110" t="str">
        <f t="shared" si="5"/>
        <v/>
      </c>
      <c r="Q110" t="str">
        <f>IF(P110="","", IFERROR(VLOOKUP(P110, IF(D110="KET", 换算标准!$O:$P, IF(D110="PET", 换算标准!$U:$V, 换算标准!$AG:$AH)), 2, TRUE), 0))</f>
        <v/>
      </c>
      <c r="W110" t="str">
        <f t="shared" si="6"/>
        <v/>
      </c>
      <c r="X110" t="str">
        <f>IF(W110="","", IFERROR(VLOOKUP(W110, IF(D110="KET", 换算标准!$Q:$R, IF(D110="PET", 换算标准!$W:$X, 换算标准!$AI:$AJ)), 2, TRUE), 0))</f>
        <v/>
      </c>
      <c r="Y110" t="str">
        <f t="shared" si="7"/>
        <v/>
      </c>
      <c r="Z110" t="str">
        <f>IF(Y110="","", IFERROR(VLOOKUP(Y110, 换算标准!$Z:$AA, 1, TRUE), ""))</f>
        <v/>
      </c>
      <c r="AA110" s="5" t="str">
        <f>IF(L110="","", "⚠️ 薄弱环节: "&amp;INDEX($E$1:$K$1, MATCH(MIN(E110:K110), E110:K110, 0))&amp;CHAR(10)&amp;"📉 考察能力: "&amp;IFERROR(VLOOKUP(TRIM(D110)&amp;"_"&amp;TRIM(INDEX($E$1:$K$1, MATCH(MIN(E110:K110), E110:K110, 0))), 技能库!$A:$F, 5, 0),"建议查阅考纲")&amp;CHAR(10)&amp;"💡 提升建议: "&amp;IFERROR(VLOOKUP(TRIM(D110)&amp;"_"&amp;TRIM(INDEX($E$1:$K$1, MATCH(MIN(E110:K110), E110:K110, 0))), 技能库!$A:$F, 6, 0),"请针对该题型加强练习"))</f>
        <v/>
      </c>
      <c r="AB110" s="5" t="str">
        <f>IF(P110="","", "⚠️ 薄弱环节: "&amp;INDEX($N$1:$O$1, MATCH(MIN(N110:O110), N110:O110, 0))&amp;CHAR(10)&amp;"📉 考察能力: "&amp;IFERROR(VLOOKUP(TRIM(D110)&amp;"_"&amp;TRIM(INDEX($N$1:$O$1, MATCH(MIN(N110:O110), N110:O110, 0))), 技能库!$A:$F, 5, 0),"建议查阅考纲")&amp;CHAR(10)&amp;"💡 提升建议: "&amp;IFERROR(VLOOKUP(TRIM(D110)&amp;"_"&amp;TRIM(INDEX($N$1:$O$1, MATCH(MIN(N110:O110), N110:O110, 0))), 技能库!$A:$F, 6, 0),"请针对该题型加强练习"))</f>
        <v/>
      </c>
      <c r="AC110" s="5" t="str">
        <f>IF(W110="","", "⚠️ 薄弱环节: "&amp;INDEX($R$1:$V$1, MATCH(MIN(R110:V110), R110:V110, 0))&amp;CHAR(10)&amp;"📉 考察能力: "&amp;IFERROR(VLOOKUP(TRIM(D110)&amp;"_"&amp;TRIM(INDEX($R$1:$V$1, MATCH(MIN(R110:V110), R110:V110, 0))), 技能库!$A:$F, 5, 0),"建议查阅考纲")&amp;CHAR(10)&amp;"💡 提升建议: "&amp;IFERROR(VLOOKUP(TRIM(D110)&amp;"_"&amp;TRIM(INDEX($R$1:$V$1, MATCH(MIN(R110:V110), R110:V110, 0))), 技能库!$A:$F, 6, 0),"请针对该题型加强练习"))</f>
        <v/>
      </c>
    </row>
    <row r="111" spans="12:29" ht="16" hidden="1" x14ac:dyDescent="0.2">
      <c r="L111" t="str">
        <f t="shared" si="4"/>
        <v/>
      </c>
      <c r="M111" t="str">
        <f>IF(L111="","", IFERROR(VLOOKUP(L111, IF(D111="KET", 换算标准!$M:$N, IF(D111="PET", 换算标准!$S:$T, 换算标准!$AC:$AD)), 2, TRUE), 0))</f>
        <v/>
      </c>
      <c r="P111" t="str">
        <f t="shared" si="5"/>
        <v/>
      </c>
      <c r="Q111" t="str">
        <f>IF(P111="","", IFERROR(VLOOKUP(P111, IF(D111="KET", 换算标准!$O:$P, IF(D111="PET", 换算标准!$U:$V, 换算标准!$AG:$AH)), 2, TRUE), 0))</f>
        <v/>
      </c>
      <c r="W111" t="str">
        <f t="shared" si="6"/>
        <v/>
      </c>
      <c r="X111" t="str">
        <f>IF(W111="","", IFERROR(VLOOKUP(W111, IF(D111="KET", 换算标准!$Q:$R, IF(D111="PET", 换算标准!$W:$X, 换算标准!$AI:$AJ)), 2, TRUE), 0))</f>
        <v/>
      </c>
      <c r="Y111" t="str">
        <f t="shared" si="7"/>
        <v/>
      </c>
      <c r="Z111" t="str">
        <f>IF(Y111="","", IFERROR(VLOOKUP(Y111, 换算标准!$Z:$AA, 1, TRUE), ""))</f>
        <v/>
      </c>
      <c r="AA111" s="5" t="str">
        <f>IF(L111="","", "⚠️ 薄弱环节: "&amp;INDEX($E$1:$K$1, MATCH(MIN(E111:K111), E111:K111, 0))&amp;CHAR(10)&amp;"📉 考察能力: "&amp;IFERROR(VLOOKUP(TRIM(D111)&amp;"_"&amp;TRIM(INDEX($E$1:$K$1, MATCH(MIN(E111:K111), E111:K111, 0))), 技能库!$A:$F, 5, 0),"建议查阅考纲")&amp;CHAR(10)&amp;"💡 提升建议: "&amp;IFERROR(VLOOKUP(TRIM(D111)&amp;"_"&amp;TRIM(INDEX($E$1:$K$1, MATCH(MIN(E111:K111), E111:K111, 0))), 技能库!$A:$F, 6, 0),"请针对该题型加强练习"))</f>
        <v/>
      </c>
      <c r="AB111" s="5" t="str">
        <f>IF(P111="","", "⚠️ 薄弱环节: "&amp;INDEX($N$1:$O$1, MATCH(MIN(N111:O111), N111:O111, 0))&amp;CHAR(10)&amp;"📉 考察能力: "&amp;IFERROR(VLOOKUP(TRIM(D111)&amp;"_"&amp;TRIM(INDEX($N$1:$O$1, MATCH(MIN(N111:O111), N111:O111, 0))), 技能库!$A:$F, 5, 0),"建议查阅考纲")&amp;CHAR(10)&amp;"💡 提升建议: "&amp;IFERROR(VLOOKUP(TRIM(D111)&amp;"_"&amp;TRIM(INDEX($N$1:$O$1, MATCH(MIN(N111:O111), N111:O111, 0))), 技能库!$A:$F, 6, 0),"请针对该题型加强练习"))</f>
        <v/>
      </c>
      <c r="AC111" s="5" t="str">
        <f>IF(W111="","", "⚠️ 薄弱环节: "&amp;INDEX($R$1:$V$1, MATCH(MIN(R111:V111), R111:V111, 0))&amp;CHAR(10)&amp;"📉 考察能力: "&amp;IFERROR(VLOOKUP(TRIM(D111)&amp;"_"&amp;TRIM(INDEX($R$1:$V$1, MATCH(MIN(R111:V111), R111:V111, 0))), 技能库!$A:$F, 5, 0),"建议查阅考纲")&amp;CHAR(10)&amp;"💡 提升建议: "&amp;IFERROR(VLOOKUP(TRIM(D111)&amp;"_"&amp;TRIM(INDEX($R$1:$V$1, MATCH(MIN(R111:V111), R111:V111, 0))), 技能库!$A:$F, 6, 0),"请针对该题型加强练习"))</f>
        <v/>
      </c>
    </row>
    <row r="112" spans="12:29" ht="16" hidden="1" x14ac:dyDescent="0.2">
      <c r="L112" t="str">
        <f t="shared" si="4"/>
        <v/>
      </c>
      <c r="M112" t="str">
        <f>IF(L112="","", IFERROR(VLOOKUP(L112, IF(D112="KET", 换算标准!$M:$N, IF(D112="PET", 换算标准!$S:$T, 换算标准!$AC:$AD)), 2, TRUE), 0))</f>
        <v/>
      </c>
      <c r="P112" t="str">
        <f t="shared" si="5"/>
        <v/>
      </c>
      <c r="Q112" t="str">
        <f>IF(P112="","", IFERROR(VLOOKUP(P112, IF(D112="KET", 换算标准!$O:$P, IF(D112="PET", 换算标准!$U:$V, 换算标准!$AG:$AH)), 2, TRUE), 0))</f>
        <v/>
      </c>
      <c r="W112" t="str">
        <f t="shared" si="6"/>
        <v/>
      </c>
      <c r="X112" t="str">
        <f>IF(W112="","", IFERROR(VLOOKUP(W112, IF(D112="KET", 换算标准!$Q:$R, IF(D112="PET", 换算标准!$W:$X, 换算标准!$AI:$AJ)), 2, TRUE), 0))</f>
        <v/>
      </c>
      <c r="Y112" t="str">
        <f t="shared" si="7"/>
        <v/>
      </c>
      <c r="Z112" t="str">
        <f>IF(Y112="","", IFERROR(VLOOKUP(Y112, 换算标准!$Z:$AA, 1, TRUE), ""))</f>
        <v/>
      </c>
      <c r="AA112" s="5" t="str">
        <f>IF(L112="","", "⚠️ 薄弱环节: "&amp;INDEX($E$1:$K$1, MATCH(MIN(E112:K112), E112:K112, 0))&amp;CHAR(10)&amp;"📉 考察能力: "&amp;IFERROR(VLOOKUP(TRIM(D112)&amp;"_"&amp;TRIM(INDEX($E$1:$K$1, MATCH(MIN(E112:K112), E112:K112, 0))), 技能库!$A:$F, 5, 0),"建议查阅考纲")&amp;CHAR(10)&amp;"💡 提升建议: "&amp;IFERROR(VLOOKUP(TRIM(D112)&amp;"_"&amp;TRIM(INDEX($E$1:$K$1, MATCH(MIN(E112:K112), E112:K112, 0))), 技能库!$A:$F, 6, 0),"请针对该题型加强练习"))</f>
        <v/>
      </c>
      <c r="AB112" s="5" t="str">
        <f>IF(P112="","", "⚠️ 薄弱环节: "&amp;INDEX($N$1:$O$1, MATCH(MIN(N112:O112), N112:O112, 0))&amp;CHAR(10)&amp;"📉 考察能力: "&amp;IFERROR(VLOOKUP(TRIM(D112)&amp;"_"&amp;TRIM(INDEX($N$1:$O$1, MATCH(MIN(N112:O112), N112:O112, 0))), 技能库!$A:$F, 5, 0),"建议查阅考纲")&amp;CHAR(10)&amp;"💡 提升建议: "&amp;IFERROR(VLOOKUP(TRIM(D112)&amp;"_"&amp;TRIM(INDEX($N$1:$O$1, MATCH(MIN(N112:O112), N112:O112, 0))), 技能库!$A:$F, 6, 0),"请针对该题型加强练习"))</f>
        <v/>
      </c>
      <c r="AC112" s="5" t="str">
        <f>IF(W112="","", "⚠️ 薄弱环节: "&amp;INDEX($R$1:$V$1, MATCH(MIN(R112:V112), R112:V112, 0))&amp;CHAR(10)&amp;"📉 考察能力: "&amp;IFERROR(VLOOKUP(TRIM(D112)&amp;"_"&amp;TRIM(INDEX($R$1:$V$1, MATCH(MIN(R112:V112), R112:V112, 0))), 技能库!$A:$F, 5, 0),"建议查阅考纲")&amp;CHAR(10)&amp;"💡 提升建议: "&amp;IFERROR(VLOOKUP(TRIM(D112)&amp;"_"&amp;TRIM(INDEX($R$1:$V$1, MATCH(MIN(R112:V112), R112:V112, 0))), 技能库!$A:$F, 6, 0),"请针对该题型加强练习"))</f>
        <v/>
      </c>
    </row>
    <row r="113" spans="12:29" ht="16" hidden="1" x14ac:dyDescent="0.2">
      <c r="L113" t="str">
        <f t="shared" si="4"/>
        <v/>
      </c>
      <c r="M113" t="str">
        <f>IF(L113="","", IFERROR(VLOOKUP(L113, IF(D113="KET", 换算标准!$M:$N, IF(D113="PET", 换算标准!$S:$T, 换算标准!$AC:$AD)), 2, TRUE), 0))</f>
        <v/>
      </c>
      <c r="P113" t="str">
        <f t="shared" si="5"/>
        <v/>
      </c>
      <c r="Q113" t="str">
        <f>IF(P113="","", IFERROR(VLOOKUP(P113, IF(D113="KET", 换算标准!$O:$P, IF(D113="PET", 换算标准!$U:$V, 换算标准!$AG:$AH)), 2, TRUE), 0))</f>
        <v/>
      </c>
      <c r="W113" t="str">
        <f t="shared" si="6"/>
        <v/>
      </c>
      <c r="X113" t="str">
        <f>IF(W113="","", IFERROR(VLOOKUP(W113, IF(D113="KET", 换算标准!$Q:$R, IF(D113="PET", 换算标准!$W:$X, 换算标准!$AI:$AJ)), 2, TRUE), 0))</f>
        <v/>
      </c>
      <c r="Y113" t="str">
        <f t="shared" si="7"/>
        <v/>
      </c>
      <c r="Z113" t="str">
        <f>IF(Y113="","", IFERROR(VLOOKUP(Y113, 换算标准!$Z:$AA, 1, TRUE), ""))</f>
        <v/>
      </c>
      <c r="AA113" s="5" t="str">
        <f>IF(L113="","", "⚠️ 薄弱环节: "&amp;INDEX($E$1:$K$1, MATCH(MIN(E113:K113), E113:K113, 0))&amp;CHAR(10)&amp;"📉 考察能力: "&amp;IFERROR(VLOOKUP(TRIM(D113)&amp;"_"&amp;TRIM(INDEX($E$1:$K$1, MATCH(MIN(E113:K113), E113:K113, 0))), 技能库!$A:$F, 5, 0),"建议查阅考纲")&amp;CHAR(10)&amp;"💡 提升建议: "&amp;IFERROR(VLOOKUP(TRIM(D113)&amp;"_"&amp;TRIM(INDEX($E$1:$K$1, MATCH(MIN(E113:K113), E113:K113, 0))), 技能库!$A:$F, 6, 0),"请针对该题型加强练习"))</f>
        <v/>
      </c>
      <c r="AB113" s="5" t="str">
        <f>IF(P113="","", "⚠️ 薄弱环节: "&amp;INDEX($N$1:$O$1, MATCH(MIN(N113:O113), N113:O113, 0))&amp;CHAR(10)&amp;"📉 考察能力: "&amp;IFERROR(VLOOKUP(TRIM(D113)&amp;"_"&amp;TRIM(INDEX($N$1:$O$1, MATCH(MIN(N113:O113), N113:O113, 0))), 技能库!$A:$F, 5, 0),"建议查阅考纲")&amp;CHAR(10)&amp;"💡 提升建议: "&amp;IFERROR(VLOOKUP(TRIM(D113)&amp;"_"&amp;TRIM(INDEX($N$1:$O$1, MATCH(MIN(N113:O113), N113:O113, 0))), 技能库!$A:$F, 6, 0),"请针对该题型加强练习"))</f>
        <v/>
      </c>
      <c r="AC113" s="5" t="str">
        <f>IF(W113="","", "⚠️ 薄弱环节: "&amp;INDEX($R$1:$V$1, MATCH(MIN(R113:V113), R113:V113, 0))&amp;CHAR(10)&amp;"📉 考察能力: "&amp;IFERROR(VLOOKUP(TRIM(D113)&amp;"_"&amp;TRIM(INDEX($R$1:$V$1, MATCH(MIN(R113:V113), R113:V113, 0))), 技能库!$A:$F, 5, 0),"建议查阅考纲")&amp;CHAR(10)&amp;"💡 提升建议: "&amp;IFERROR(VLOOKUP(TRIM(D113)&amp;"_"&amp;TRIM(INDEX($R$1:$V$1, MATCH(MIN(R113:V113), R113:V113, 0))), 技能库!$A:$F, 6, 0),"请针对该题型加强练习"))</f>
        <v/>
      </c>
    </row>
    <row r="114" spans="12:29" ht="16" hidden="1" x14ac:dyDescent="0.2">
      <c r="L114" t="str">
        <f t="shared" si="4"/>
        <v/>
      </c>
      <c r="M114" t="str">
        <f>IF(L114="","", IFERROR(VLOOKUP(L114, IF(D114="KET", 换算标准!$M:$N, IF(D114="PET", 换算标准!$S:$T, 换算标准!$AC:$AD)), 2, TRUE), 0))</f>
        <v/>
      </c>
      <c r="P114" t="str">
        <f t="shared" si="5"/>
        <v/>
      </c>
      <c r="Q114" t="str">
        <f>IF(P114="","", IFERROR(VLOOKUP(P114, IF(D114="KET", 换算标准!$O:$P, IF(D114="PET", 换算标准!$U:$V, 换算标准!$AG:$AH)), 2, TRUE), 0))</f>
        <v/>
      </c>
      <c r="W114" t="str">
        <f t="shared" si="6"/>
        <v/>
      </c>
      <c r="X114" t="str">
        <f>IF(W114="","", IFERROR(VLOOKUP(W114, IF(D114="KET", 换算标准!$Q:$R, IF(D114="PET", 换算标准!$W:$X, 换算标准!$AI:$AJ)), 2, TRUE), 0))</f>
        <v/>
      </c>
      <c r="Y114" t="str">
        <f t="shared" si="7"/>
        <v/>
      </c>
      <c r="Z114" t="str">
        <f>IF(Y114="","", IFERROR(VLOOKUP(Y114, 换算标准!$Z:$AA, 1, TRUE), ""))</f>
        <v/>
      </c>
      <c r="AA114" s="5" t="str">
        <f>IF(L114="","", "⚠️ 薄弱环节: "&amp;INDEX($E$1:$K$1, MATCH(MIN(E114:K114), E114:K114, 0))&amp;CHAR(10)&amp;"📉 考察能力: "&amp;IFERROR(VLOOKUP(TRIM(D114)&amp;"_"&amp;TRIM(INDEX($E$1:$K$1, MATCH(MIN(E114:K114), E114:K114, 0))), 技能库!$A:$F, 5, 0),"建议查阅考纲")&amp;CHAR(10)&amp;"💡 提升建议: "&amp;IFERROR(VLOOKUP(TRIM(D114)&amp;"_"&amp;TRIM(INDEX($E$1:$K$1, MATCH(MIN(E114:K114), E114:K114, 0))), 技能库!$A:$F, 6, 0),"请针对该题型加强练习"))</f>
        <v/>
      </c>
      <c r="AB114" s="5" t="str">
        <f>IF(P114="","", "⚠️ 薄弱环节: "&amp;INDEX($N$1:$O$1, MATCH(MIN(N114:O114), N114:O114, 0))&amp;CHAR(10)&amp;"📉 考察能力: "&amp;IFERROR(VLOOKUP(TRIM(D114)&amp;"_"&amp;TRIM(INDEX($N$1:$O$1, MATCH(MIN(N114:O114), N114:O114, 0))), 技能库!$A:$F, 5, 0),"建议查阅考纲")&amp;CHAR(10)&amp;"💡 提升建议: "&amp;IFERROR(VLOOKUP(TRIM(D114)&amp;"_"&amp;TRIM(INDEX($N$1:$O$1, MATCH(MIN(N114:O114), N114:O114, 0))), 技能库!$A:$F, 6, 0),"请针对该题型加强练习"))</f>
        <v/>
      </c>
      <c r="AC114" s="5" t="str">
        <f>IF(W114="","", "⚠️ 薄弱环节: "&amp;INDEX($R$1:$V$1, MATCH(MIN(R114:V114), R114:V114, 0))&amp;CHAR(10)&amp;"📉 考察能力: "&amp;IFERROR(VLOOKUP(TRIM(D114)&amp;"_"&amp;TRIM(INDEX($R$1:$V$1, MATCH(MIN(R114:V114), R114:V114, 0))), 技能库!$A:$F, 5, 0),"建议查阅考纲")&amp;CHAR(10)&amp;"💡 提升建议: "&amp;IFERROR(VLOOKUP(TRIM(D114)&amp;"_"&amp;TRIM(INDEX($R$1:$V$1, MATCH(MIN(R114:V114), R114:V114, 0))), 技能库!$A:$F, 6, 0),"请针对该题型加强练习"))</f>
        <v/>
      </c>
    </row>
    <row r="115" spans="12:29" ht="16" hidden="1" x14ac:dyDescent="0.2">
      <c r="L115" t="str">
        <f t="shared" si="4"/>
        <v/>
      </c>
      <c r="M115" t="str">
        <f>IF(L115="","", IFERROR(VLOOKUP(L115, IF(D115="KET", 换算标准!$M:$N, IF(D115="PET", 换算标准!$S:$T, 换算标准!$AC:$AD)), 2, TRUE), 0))</f>
        <v/>
      </c>
      <c r="P115" t="str">
        <f t="shared" si="5"/>
        <v/>
      </c>
      <c r="Q115" t="str">
        <f>IF(P115="","", IFERROR(VLOOKUP(P115, IF(D115="KET", 换算标准!$O:$P, IF(D115="PET", 换算标准!$U:$V, 换算标准!$AG:$AH)), 2, TRUE), 0))</f>
        <v/>
      </c>
      <c r="W115" t="str">
        <f t="shared" si="6"/>
        <v/>
      </c>
      <c r="X115" t="str">
        <f>IF(W115="","", IFERROR(VLOOKUP(W115, IF(D115="KET", 换算标准!$Q:$R, IF(D115="PET", 换算标准!$W:$X, 换算标准!$AI:$AJ)), 2, TRUE), 0))</f>
        <v/>
      </c>
      <c r="Y115" t="str">
        <f t="shared" si="7"/>
        <v/>
      </c>
      <c r="Z115" t="str">
        <f>IF(Y115="","", IFERROR(VLOOKUP(Y115, 换算标准!$Z:$AA, 1, TRUE), ""))</f>
        <v/>
      </c>
      <c r="AA115" s="5" t="str">
        <f>IF(L115="","", "⚠️ 薄弱环节: "&amp;INDEX($E$1:$K$1, MATCH(MIN(E115:K115), E115:K115, 0))&amp;CHAR(10)&amp;"📉 考察能力: "&amp;IFERROR(VLOOKUP(TRIM(D115)&amp;"_"&amp;TRIM(INDEX($E$1:$K$1, MATCH(MIN(E115:K115), E115:K115, 0))), 技能库!$A:$F, 5, 0),"建议查阅考纲")&amp;CHAR(10)&amp;"💡 提升建议: "&amp;IFERROR(VLOOKUP(TRIM(D115)&amp;"_"&amp;TRIM(INDEX($E$1:$K$1, MATCH(MIN(E115:K115), E115:K115, 0))), 技能库!$A:$F, 6, 0),"请针对该题型加强练习"))</f>
        <v/>
      </c>
      <c r="AB115" s="5" t="str">
        <f>IF(P115="","", "⚠️ 薄弱环节: "&amp;INDEX($N$1:$O$1, MATCH(MIN(N115:O115), N115:O115, 0))&amp;CHAR(10)&amp;"📉 考察能力: "&amp;IFERROR(VLOOKUP(TRIM(D115)&amp;"_"&amp;TRIM(INDEX($N$1:$O$1, MATCH(MIN(N115:O115), N115:O115, 0))), 技能库!$A:$F, 5, 0),"建议查阅考纲")&amp;CHAR(10)&amp;"💡 提升建议: "&amp;IFERROR(VLOOKUP(TRIM(D115)&amp;"_"&amp;TRIM(INDEX($N$1:$O$1, MATCH(MIN(N115:O115), N115:O115, 0))), 技能库!$A:$F, 6, 0),"请针对该题型加强练习"))</f>
        <v/>
      </c>
      <c r="AC115" s="5" t="str">
        <f>IF(W115="","", "⚠️ 薄弱环节: "&amp;INDEX($R$1:$V$1, MATCH(MIN(R115:V115), R115:V115, 0))&amp;CHAR(10)&amp;"📉 考察能力: "&amp;IFERROR(VLOOKUP(TRIM(D115)&amp;"_"&amp;TRIM(INDEX($R$1:$V$1, MATCH(MIN(R115:V115), R115:V115, 0))), 技能库!$A:$F, 5, 0),"建议查阅考纲")&amp;CHAR(10)&amp;"💡 提升建议: "&amp;IFERROR(VLOOKUP(TRIM(D115)&amp;"_"&amp;TRIM(INDEX($R$1:$V$1, MATCH(MIN(R115:V115), R115:V115, 0))), 技能库!$A:$F, 6, 0),"请针对该题型加强练习"))</f>
        <v/>
      </c>
    </row>
    <row r="116" spans="12:29" ht="16" hidden="1" x14ac:dyDescent="0.2">
      <c r="L116" t="str">
        <f t="shared" si="4"/>
        <v/>
      </c>
      <c r="M116" t="str">
        <f>IF(L116="","", IFERROR(VLOOKUP(L116, IF(D116="KET", 换算标准!$M:$N, IF(D116="PET", 换算标准!$S:$T, 换算标准!$AC:$AD)), 2, TRUE), 0))</f>
        <v/>
      </c>
      <c r="P116" t="str">
        <f t="shared" si="5"/>
        <v/>
      </c>
      <c r="Q116" t="str">
        <f>IF(P116="","", IFERROR(VLOOKUP(P116, IF(D116="KET", 换算标准!$O:$P, IF(D116="PET", 换算标准!$U:$V, 换算标准!$AG:$AH)), 2, TRUE), 0))</f>
        <v/>
      </c>
      <c r="W116" t="str">
        <f t="shared" si="6"/>
        <v/>
      </c>
      <c r="X116" t="str">
        <f>IF(W116="","", IFERROR(VLOOKUP(W116, IF(D116="KET", 换算标准!$Q:$R, IF(D116="PET", 换算标准!$W:$X, 换算标准!$AI:$AJ)), 2, TRUE), 0))</f>
        <v/>
      </c>
      <c r="Y116" t="str">
        <f t="shared" si="7"/>
        <v/>
      </c>
      <c r="Z116" t="str">
        <f>IF(Y116="","", IFERROR(VLOOKUP(Y116, 换算标准!$Z:$AA, 1, TRUE), ""))</f>
        <v/>
      </c>
      <c r="AA116" s="5" t="str">
        <f>IF(L116="","", "⚠️ 薄弱环节: "&amp;INDEX($E$1:$K$1, MATCH(MIN(E116:K116), E116:K116, 0))&amp;CHAR(10)&amp;"📉 考察能力: "&amp;IFERROR(VLOOKUP(TRIM(D116)&amp;"_"&amp;TRIM(INDEX($E$1:$K$1, MATCH(MIN(E116:K116), E116:K116, 0))), 技能库!$A:$F, 5, 0),"建议查阅考纲")&amp;CHAR(10)&amp;"💡 提升建议: "&amp;IFERROR(VLOOKUP(TRIM(D116)&amp;"_"&amp;TRIM(INDEX($E$1:$K$1, MATCH(MIN(E116:K116), E116:K116, 0))), 技能库!$A:$F, 6, 0),"请针对该题型加强练习"))</f>
        <v/>
      </c>
      <c r="AB116" s="5" t="str">
        <f>IF(P116="","", "⚠️ 薄弱环节: "&amp;INDEX($N$1:$O$1, MATCH(MIN(N116:O116), N116:O116, 0))&amp;CHAR(10)&amp;"📉 考察能力: "&amp;IFERROR(VLOOKUP(TRIM(D116)&amp;"_"&amp;TRIM(INDEX($N$1:$O$1, MATCH(MIN(N116:O116), N116:O116, 0))), 技能库!$A:$F, 5, 0),"建议查阅考纲")&amp;CHAR(10)&amp;"💡 提升建议: "&amp;IFERROR(VLOOKUP(TRIM(D116)&amp;"_"&amp;TRIM(INDEX($N$1:$O$1, MATCH(MIN(N116:O116), N116:O116, 0))), 技能库!$A:$F, 6, 0),"请针对该题型加强练习"))</f>
        <v/>
      </c>
      <c r="AC116" s="5" t="str">
        <f>IF(W116="","", "⚠️ 薄弱环节: "&amp;INDEX($R$1:$V$1, MATCH(MIN(R116:V116), R116:V116, 0))&amp;CHAR(10)&amp;"📉 考察能力: "&amp;IFERROR(VLOOKUP(TRIM(D116)&amp;"_"&amp;TRIM(INDEX($R$1:$V$1, MATCH(MIN(R116:V116), R116:V116, 0))), 技能库!$A:$F, 5, 0),"建议查阅考纲")&amp;CHAR(10)&amp;"💡 提升建议: "&amp;IFERROR(VLOOKUP(TRIM(D116)&amp;"_"&amp;TRIM(INDEX($R$1:$V$1, MATCH(MIN(R116:V116), R116:V116, 0))), 技能库!$A:$F, 6, 0),"请针对该题型加强练习"))</f>
        <v/>
      </c>
    </row>
    <row r="117" spans="12:29" ht="16" hidden="1" x14ac:dyDescent="0.2">
      <c r="L117" t="str">
        <f t="shared" si="4"/>
        <v/>
      </c>
      <c r="M117" t="str">
        <f>IF(L117="","", IFERROR(VLOOKUP(L117, IF(D117="KET", 换算标准!$M:$N, IF(D117="PET", 换算标准!$S:$T, 换算标准!$AC:$AD)), 2, TRUE), 0))</f>
        <v/>
      </c>
      <c r="P117" t="str">
        <f t="shared" si="5"/>
        <v/>
      </c>
      <c r="Q117" t="str">
        <f>IF(P117="","", IFERROR(VLOOKUP(P117, IF(D117="KET", 换算标准!$O:$P, IF(D117="PET", 换算标准!$U:$V, 换算标准!$AG:$AH)), 2, TRUE), 0))</f>
        <v/>
      </c>
      <c r="W117" t="str">
        <f t="shared" si="6"/>
        <v/>
      </c>
      <c r="X117" t="str">
        <f>IF(W117="","", IFERROR(VLOOKUP(W117, IF(D117="KET", 换算标准!$Q:$R, IF(D117="PET", 换算标准!$W:$X, 换算标准!$AI:$AJ)), 2, TRUE), 0))</f>
        <v/>
      </c>
      <c r="Y117" t="str">
        <f t="shared" si="7"/>
        <v/>
      </c>
      <c r="Z117" t="str">
        <f>IF(Y117="","", IFERROR(VLOOKUP(Y117, 换算标准!$Z:$AA, 1, TRUE), ""))</f>
        <v/>
      </c>
      <c r="AA117" s="5" t="str">
        <f>IF(L117="","", "⚠️ 薄弱环节: "&amp;INDEX($E$1:$K$1, MATCH(MIN(E117:K117), E117:K117, 0))&amp;CHAR(10)&amp;"📉 考察能力: "&amp;IFERROR(VLOOKUP(TRIM(D117)&amp;"_"&amp;TRIM(INDEX($E$1:$K$1, MATCH(MIN(E117:K117), E117:K117, 0))), 技能库!$A:$F, 5, 0),"建议查阅考纲")&amp;CHAR(10)&amp;"💡 提升建议: "&amp;IFERROR(VLOOKUP(TRIM(D117)&amp;"_"&amp;TRIM(INDEX($E$1:$K$1, MATCH(MIN(E117:K117), E117:K117, 0))), 技能库!$A:$F, 6, 0),"请针对该题型加强练习"))</f>
        <v/>
      </c>
      <c r="AB117" s="5" t="str">
        <f>IF(P117="","", "⚠️ 薄弱环节: "&amp;INDEX($N$1:$O$1, MATCH(MIN(N117:O117), N117:O117, 0))&amp;CHAR(10)&amp;"📉 考察能力: "&amp;IFERROR(VLOOKUP(TRIM(D117)&amp;"_"&amp;TRIM(INDEX($N$1:$O$1, MATCH(MIN(N117:O117), N117:O117, 0))), 技能库!$A:$F, 5, 0),"建议查阅考纲")&amp;CHAR(10)&amp;"💡 提升建议: "&amp;IFERROR(VLOOKUP(TRIM(D117)&amp;"_"&amp;TRIM(INDEX($N$1:$O$1, MATCH(MIN(N117:O117), N117:O117, 0))), 技能库!$A:$F, 6, 0),"请针对该题型加强练习"))</f>
        <v/>
      </c>
      <c r="AC117" s="5" t="str">
        <f>IF(W117="","", "⚠️ 薄弱环节: "&amp;INDEX($R$1:$V$1, MATCH(MIN(R117:V117), R117:V117, 0))&amp;CHAR(10)&amp;"📉 考察能力: "&amp;IFERROR(VLOOKUP(TRIM(D117)&amp;"_"&amp;TRIM(INDEX($R$1:$V$1, MATCH(MIN(R117:V117), R117:V117, 0))), 技能库!$A:$F, 5, 0),"建议查阅考纲")&amp;CHAR(10)&amp;"💡 提升建议: "&amp;IFERROR(VLOOKUP(TRIM(D117)&amp;"_"&amp;TRIM(INDEX($R$1:$V$1, MATCH(MIN(R117:V117), R117:V117, 0))), 技能库!$A:$F, 6, 0),"请针对该题型加强练习"))</f>
        <v/>
      </c>
    </row>
    <row r="118" spans="12:29" ht="16" hidden="1" x14ac:dyDescent="0.2">
      <c r="L118" t="str">
        <f t="shared" si="4"/>
        <v/>
      </c>
      <c r="M118" t="str">
        <f>IF(L118="","", IFERROR(VLOOKUP(L118, IF(D118="KET", 换算标准!$M:$N, IF(D118="PET", 换算标准!$S:$T, 换算标准!$AC:$AD)), 2, TRUE), 0))</f>
        <v/>
      </c>
      <c r="P118" t="str">
        <f t="shared" si="5"/>
        <v/>
      </c>
      <c r="Q118" t="str">
        <f>IF(P118="","", IFERROR(VLOOKUP(P118, IF(D118="KET", 换算标准!$O:$P, IF(D118="PET", 换算标准!$U:$V, 换算标准!$AG:$AH)), 2, TRUE), 0))</f>
        <v/>
      </c>
      <c r="W118" t="str">
        <f t="shared" si="6"/>
        <v/>
      </c>
      <c r="X118" t="str">
        <f>IF(W118="","", IFERROR(VLOOKUP(W118, IF(D118="KET", 换算标准!$Q:$R, IF(D118="PET", 换算标准!$W:$X, 换算标准!$AI:$AJ)), 2, TRUE), 0))</f>
        <v/>
      </c>
      <c r="Y118" t="str">
        <f t="shared" si="7"/>
        <v/>
      </c>
      <c r="Z118" t="str">
        <f>IF(Y118="","", IFERROR(VLOOKUP(Y118, 换算标准!$Z:$AA, 1, TRUE), ""))</f>
        <v/>
      </c>
      <c r="AA118" s="5" t="str">
        <f>IF(L118="","", "⚠️ 薄弱环节: "&amp;INDEX($E$1:$K$1, MATCH(MIN(E118:K118), E118:K118, 0))&amp;CHAR(10)&amp;"📉 考察能力: "&amp;IFERROR(VLOOKUP(TRIM(D118)&amp;"_"&amp;TRIM(INDEX($E$1:$K$1, MATCH(MIN(E118:K118), E118:K118, 0))), 技能库!$A:$F, 5, 0),"建议查阅考纲")&amp;CHAR(10)&amp;"💡 提升建议: "&amp;IFERROR(VLOOKUP(TRIM(D118)&amp;"_"&amp;TRIM(INDEX($E$1:$K$1, MATCH(MIN(E118:K118), E118:K118, 0))), 技能库!$A:$F, 6, 0),"请针对该题型加强练习"))</f>
        <v/>
      </c>
      <c r="AB118" s="5" t="str">
        <f>IF(P118="","", "⚠️ 薄弱环节: "&amp;INDEX($N$1:$O$1, MATCH(MIN(N118:O118), N118:O118, 0))&amp;CHAR(10)&amp;"📉 考察能力: "&amp;IFERROR(VLOOKUP(TRIM(D118)&amp;"_"&amp;TRIM(INDEX($N$1:$O$1, MATCH(MIN(N118:O118), N118:O118, 0))), 技能库!$A:$F, 5, 0),"建议查阅考纲")&amp;CHAR(10)&amp;"💡 提升建议: "&amp;IFERROR(VLOOKUP(TRIM(D118)&amp;"_"&amp;TRIM(INDEX($N$1:$O$1, MATCH(MIN(N118:O118), N118:O118, 0))), 技能库!$A:$F, 6, 0),"请针对该题型加强练习"))</f>
        <v/>
      </c>
      <c r="AC118" s="5" t="str">
        <f>IF(W118="","", "⚠️ 薄弱环节: "&amp;INDEX($R$1:$V$1, MATCH(MIN(R118:V118), R118:V118, 0))&amp;CHAR(10)&amp;"📉 考察能力: "&amp;IFERROR(VLOOKUP(TRIM(D118)&amp;"_"&amp;TRIM(INDEX($R$1:$V$1, MATCH(MIN(R118:V118), R118:V118, 0))), 技能库!$A:$F, 5, 0),"建议查阅考纲")&amp;CHAR(10)&amp;"💡 提升建议: "&amp;IFERROR(VLOOKUP(TRIM(D118)&amp;"_"&amp;TRIM(INDEX($R$1:$V$1, MATCH(MIN(R118:V118), R118:V118, 0))), 技能库!$A:$F, 6, 0),"请针对该题型加强练习"))</f>
        <v/>
      </c>
    </row>
    <row r="119" spans="12:29" ht="16" hidden="1" x14ac:dyDescent="0.2">
      <c r="L119" t="str">
        <f t="shared" si="4"/>
        <v/>
      </c>
      <c r="M119" t="str">
        <f>IF(L119="","", IFERROR(VLOOKUP(L119, IF(D119="KET", 换算标准!$M:$N, IF(D119="PET", 换算标准!$S:$T, 换算标准!$AC:$AD)), 2, TRUE), 0))</f>
        <v/>
      </c>
      <c r="P119" t="str">
        <f t="shared" si="5"/>
        <v/>
      </c>
      <c r="Q119" t="str">
        <f>IF(P119="","", IFERROR(VLOOKUP(P119, IF(D119="KET", 换算标准!$O:$P, IF(D119="PET", 换算标准!$U:$V, 换算标准!$AG:$AH)), 2, TRUE), 0))</f>
        <v/>
      </c>
      <c r="W119" t="str">
        <f t="shared" si="6"/>
        <v/>
      </c>
      <c r="X119" t="str">
        <f>IF(W119="","", IFERROR(VLOOKUP(W119, IF(D119="KET", 换算标准!$Q:$R, IF(D119="PET", 换算标准!$W:$X, 换算标准!$AI:$AJ)), 2, TRUE), 0))</f>
        <v/>
      </c>
      <c r="Y119" t="str">
        <f t="shared" si="7"/>
        <v/>
      </c>
      <c r="Z119" t="str">
        <f>IF(Y119="","", IFERROR(VLOOKUP(Y119, 换算标准!$Z:$AA, 1, TRUE), ""))</f>
        <v/>
      </c>
      <c r="AA119" s="5" t="str">
        <f>IF(L119="","", "⚠️ 薄弱环节: "&amp;INDEX($E$1:$K$1, MATCH(MIN(E119:K119), E119:K119, 0))&amp;CHAR(10)&amp;"📉 考察能力: "&amp;IFERROR(VLOOKUP(TRIM(D119)&amp;"_"&amp;TRIM(INDEX($E$1:$K$1, MATCH(MIN(E119:K119), E119:K119, 0))), 技能库!$A:$F, 5, 0),"建议查阅考纲")&amp;CHAR(10)&amp;"💡 提升建议: "&amp;IFERROR(VLOOKUP(TRIM(D119)&amp;"_"&amp;TRIM(INDEX($E$1:$K$1, MATCH(MIN(E119:K119), E119:K119, 0))), 技能库!$A:$F, 6, 0),"请针对该题型加强练习"))</f>
        <v/>
      </c>
      <c r="AB119" s="5" t="str">
        <f>IF(P119="","", "⚠️ 薄弱环节: "&amp;INDEX($N$1:$O$1, MATCH(MIN(N119:O119), N119:O119, 0))&amp;CHAR(10)&amp;"📉 考察能力: "&amp;IFERROR(VLOOKUP(TRIM(D119)&amp;"_"&amp;TRIM(INDEX($N$1:$O$1, MATCH(MIN(N119:O119), N119:O119, 0))), 技能库!$A:$F, 5, 0),"建议查阅考纲")&amp;CHAR(10)&amp;"💡 提升建议: "&amp;IFERROR(VLOOKUP(TRIM(D119)&amp;"_"&amp;TRIM(INDEX($N$1:$O$1, MATCH(MIN(N119:O119), N119:O119, 0))), 技能库!$A:$F, 6, 0),"请针对该题型加强练习"))</f>
        <v/>
      </c>
      <c r="AC119" s="5" t="str">
        <f>IF(W119="","", "⚠️ 薄弱环节: "&amp;INDEX($R$1:$V$1, MATCH(MIN(R119:V119), R119:V119, 0))&amp;CHAR(10)&amp;"📉 考察能力: "&amp;IFERROR(VLOOKUP(TRIM(D119)&amp;"_"&amp;TRIM(INDEX($R$1:$V$1, MATCH(MIN(R119:V119), R119:V119, 0))), 技能库!$A:$F, 5, 0),"建议查阅考纲")&amp;CHAR(10)&amp;"💡 提升建议: "&amp;IFERROR(VLOOKUP(TRIM(D119)&amp;"_"&amp;TRIM(INDEX($R$1:$V$1, MATCH(MIN(R119:V119), R119:V119, 0))), 技能库!$A:$F, 6, 0),"请针对该题型加强练习"))</f>
        <v/>
      </c>
    </row>
    <row r="120" spans="12:29" ht="16" hidden="1" x14ac:dyDescent="0.2">
      <c r="L120" t="str">
        <f t="shared" si="4"/>
        <v/>
      </c>
      <c r="M120" t="str">
        <f>IF(L120="","", IFERROR(VLOOKUP(L120, IF(D120="KET", 换算标准!$M:$N, IF(D120="PET", 换算标准!$S:$T, 换算标准!$AC:$AD)), 2, TRUE), 0))</f>
        <v/>
      </c>
      <c r="P120" t="str">
        <f t="shared" si="5"/>
        <v/>
      </c>
      <c r="Q120" t="str">
        <f>IF(P120="","", IFERROR(VLOOKUP(P120, IF(D120="KET", 换算标准!$O:$P, IF(D120="PET", 换算标准!$U:$V, 换算标准!$AG:$AH)), 2, TRUE), 0))</f>
        <v/>
      </c>
      <c r="W120" t="str">
        <f t="shared" si="6"/>
        <v/>
      </c>
      <c r="X120" t="str">
        <f>IF(W120="","", IFERROR(VLOOKUP(W120, IF(D120="KET", 换算标准!$Q:$R, IF(D120="PET", 换算标准!$W:$X, 换算标准!$AI:$AJ)), 2, TRUE), 0))</f>
        <v/>
      </c>
      <c r="Y120" t="str">
        <f t="shared" si="7"/>
        <v/>
      </c>
      <c r="Z120" t="str">
        <f>IF(Y120="","", IFERROR(VLOOKUP(Y120, 换算标准!$Z:$AA, 1, TRUE), ""))</f>
        <v/>
      </c>
      <c r="AA120" s="5" t="str">
        <f>IF(L120="","", "⚠️ 薄弱环节: "&amp;INDEX($E$1:$K$1, MATCH(MIN(E120:K120), E120:K120, 0))&amp;CHAR(10)&amp;"📉 考察能力: "&amp;IFERROR(VLOOKUP(TRIM(D120)&amp;"_"&amp;TRIM(INDEX($E$1:$K$1, MATCH(MIN(E120:K120), E120:K120, 0))), 技能库!$A:$F, 5, 0),"建议查阅考纲")&amp;CHAR(10)&amp;"💡 提升建议: "&amp;IFERROR(VLOOKUP(TRIM(D120)&amp;"_"&amp;TRIM(INDEX($E$1:$K$1, MATCH(MIN(E120:K120), E120:K120, 0))), 技能库!$A:$F, 6, 0),"请针对该题型加强练习"))</f>
        <v/>
      </c>
      <c r="AB120" s="5" t="str">
        <f>IF(P120="","", "⚠️ 薄弱环节: "&amp;INDEX($N$1:$O$1, MATCH(MIN(N120:O120), N120:O120, 0))&amp;CHAR(10)&amp;"📉 考察能力: "&amp;IFERROR(VLOOKUP(TRIM(D120)&amp;"_"&amp;TRIM(INDEX($N$1:$O$1, MATCH(MIN(N120:O120), N120:O120, 0))), 技能库!$A:$F, 5, 0),"建议查阅考纲")&amp;CHAR(10)&amp;"💡 提升建议: "&amp;IFERROR(VLOOKUP(TRIM(D120)&amp;"_"&amp;TRIM(INDEX($N$1:$O$1, MATCH(MIN(N120:O120), N120:O120, 0))), 技能库!$A:$F, 6, 0),"请针对该题型加强练习"))</f>
        <v/>
      </c>
      <c r="AC120" s="5" t="str">
        <f>IF(W120="","", "⚠️ 薄弱环节: "&amp;INDEX($R$1:$V$1, MATCH(MIN(R120:V120), R120:V120, 0))&amp;CHAR(10)&amp;"📉 考察能力: "&amp;IFERROR(VLOOKUP(TRIM(D120)&amp;"_"&amp;TRIM(INDEX($R$1:$V$1, MATCH(MIN(R120:V120), R120:V120, 0))), 技能库!$A:$F, 5, 0),"建议查阅考纲")&amp;CHAR(10)&amp;"💡 提升建议: "&amp;IFERROR(VLOOKUP(TRIM(D120)&amp;"_"&amp;TRIM(INDEX($R$1:$V$1, MATCH(MIN(R120:V120), R120:V120, 0))), 技能库!$A:$F, 6, 0),"请针对该题型加强练习"))</f>
        <v/>
      </c>
    </row>
    <row r="121" spans="12:29" ht="16" hidden="1" x14ac:dyDescent="0.2">
      <c r="L121" t="str">
        <f t="shared" si="4"/>
        <v/>
      </c>
      <c r="M121" t="str">
        <f>IF(L121="","", IFERROR(VLOOKUP(L121, IF(D121="KET", 换算标准!$M:$N, IF(D121="PET", 换算标准!$S:$T, 换算标准!$AC:$AD)), 2, TRUE), 0))</f>
        <v/>
      </c>
      <c r="P121" t="str">
        <f t="shared" si="5"/>
        <v/>
      </c>
      <c r="Q121" t="str">
        <f>IF(P121="","", IFERROR(VLOOKUP(P121, IF(D121="KET", 换算标准!$O:$P, IF(D121="PET", 换算标准!$U:$V, 换算标准!$AG:$AH)), 2, TRUE), 0))</f>
        <v/>
      </c>
      <c r="W121" t="str">
        <f t="shared" si="6"/>
        <v/>
      </c>
      <c r="X121" t="str">
        <f>IF(W121="","", IFERROR(VLOOKUP(W121, IF(D121="KET", 换算标准!$Q:$R, IF(D121="PET", 换算标准!$W:$X, 换算标准!$AI:$AJ)), 2, TRUE), 0))</f>
        <v/>
      </c>
      <c r="Y121" t="str">
        <f t="shared" si="7"/>
        <v/>
      </c>
      <c r="Z121" t="str">
        <f>IF(Y121="","", IFERROR(VLOOKUP(Y121, 换算标准!$Z:$AA, 1, TRUE), ""))</f>
        <v/>
      </c>
      <c r="AA121" s="5" t="str">
        <f>IF(L121="","", "⚠️ 薄弱环节: "&amp;INDEX($E$1:$K$1, MATCH(MIN(E121:K121), E121:K121, 0))&amp;CHAR(10)&amp;"📉 考察能力: "&amp;IFERROR(VLOOKUP(TRIM(D121)&amp;"_"&amp;TRIM(INDEX($E$1:$K$1, MATCH(MIN(E121:K121), E121:K121, 0))), 技能库!$A:$F, 5, 0),"建议查阅考纲")&amp;CHAR(10)&amp;"💡 提升建议: "&amp;IFERROR(VLOOKUP(TRIM(D121)&amp;"_"&amp;TRIM(INDEX($E$1:$K$1, MATCH(MIN(E121:K121), E121:K121, 0))), 技能库!$A:$F, 6, 0),"请针对该题型加强练习"))</f>
        <v/>
      </c>
      <c r="AB121" s="5" t="str">
        <f>IF(P121="","", "⚠️ 薄弱环节: "&amp;INDEX($N$1:$O$1, MATCH(MIN(N121:O121), N121:O121, 0))&amp;CHAR(10)&amp;"📉 考察能力: "&amp;IFERROR(VLOOKUP(TRIM(D121)&amp;"_"&amp;TRIM(INDEX($N$1:$O$1, MATCH(MIN(N121:O121), N121:O121, 0))), 技能库!$A:$F, 5, 0),"建议查阅考纲")&amp;CHAR(10)&amp;"💡 提升建议: "&amp;IFERROR(VLOOKUP(TRIM(D121)&amp;"_"&amp;TRIM(INDEX($N$1:$O$1, MATCH(MIN(N121:O121), N121:O121, 0))), 技能库!$A:$F, 6, 0),"请针对该题型加强练习"))</f>
        <v/>
      </c>
      <c r="AC121" s="5" t="str">
        <f>IF(W121="","", "⚠️ 薄弱环节: "&amp;INDEX($R$1:$V$1, MATCH(MIN(R121:V121), R121:V121, 0))&amp;CHAR(10)&amp;"📉 考察能力: "&amp;IFERROR(VLOOKUP(TRIM(D121)&amp;"_"&amp;TRIM(INDEX($R$1:$V$1, MATCH(MIN(R121:V121), R121:V121, 0))), 技能库!$A:$F, 5, 0),"建议查阅考纲")&amp;CHAR(10)&amp;"💡 提升建议: "&amp;IFERROR(VLOOKUP(TRIM(D121)&amp;"_"&amp;TRIM(INDEX($R$1:$V$1, MATCH(MIN(R121:V121), R121:V121, 0))), 技能库!$A:$F, 6, 0),"请针对该题型加强练习"))</f>
        <v/>
      </c>
    </row>
    <row r="122" spans="12:29" ht="16" hidden="1" x14ac:dyDescent="0.2">
      <c r="L122" t="str">
        <f t="shared" si="4"/>
        <v/>
      </c>
      <c r="M122" t="str">
        <f>IF(L122="","", IFERROR(VLOOKUP(L122, IF(D122="KET", 换算标准!$M:$N, IF(D122="PET", 换算标准!$S:$T, 换算标准!$AC:$AD)), 2, TRUE), 0))</f>
        <v/>
      </c>
      <c r="P122" t="str">
        <f t="shared" si="5"/>
        <v/>
      </c>
      <c r="Q122" t="str">
        <f>IF(P122="","", IFERROR(VLOOKUP(P122, IF(D122="KET", 换算标准!$O:$P, IF(D122="PET", 换算标准!$U:$V, 换算标准!$AG:$AH)), 2, TRUE), 0))</f>
        <v/>
      </c>
      <c r="W122" t="str">
        <f t="shared" si="6"/>
        <v/>
      </c>
      <c r="X122" t="str">
        <f>IF(W122="","", IFERROR(VLOOKUP(W122, IF(D122="KET", 换算标准!$Q:$R, IF(D122="PET", 换算标准!$W:$X, 换算标准!$AI:$AJ)), 2, TRUE), 0))</f>
        <v/>
      </c>
      <c r="Y122" t="str">
        <f t="shared" si="7"/>
        <v/>
      </c>
      <c r="Z122" t="str">
        <f>IF(Y122="","", IFERROR(VLOOKUP(Y122, 换算标准!$Z:$AA, 1, TRUE), ""))</f>
        <v/>
      </c>
      <c r="AA122" s="5" t="str">
        <f>IF(L122="","", "⚠️ 薄弱环节: "&amp;INDEX($E$1:$K$1, MATCH(MIN(E122:K122), E122:K122, 0))&amp;CHAR(10)&amp;"📉 考察能力: "&amp;IFERROR(VLOOKUP(TRIM(D122)&amp;"_"&amp;TRIM(INDEX($E$1:$K$1, MATCH(MIN(E122:K122), E122:K122, 0))), 技能库!$A:$F, 5, 0),"建议查阅考纲")&amp;CHAR(10)&amp;"💡 提升建议: "&amp;IFERROR(VLOOKUP(TRIM(D122)&amp;"_"&amp;TRIM(INDEX($E$1:$K$1, MATCH(MIN(E122:K122), E122:K122, 0))), 技能库!$A:$F, 6, 0),"请针对该题型加强练习"))</f>
        <v/>
      </c>
      <c r="AB122" s="5" t="str">
        <f>IF(P122="","", "⚠️ 薄弱环节: "&amp;INDEX($N$1:$O$1, MATCH(MIN(N122:O122), N122:O122, 0))&amp;CHAR(10)&amp;"📉 考察能力: "&amp;IFERROR(VLOOKUP(TRIM(D122)&amp;"_"&amp;TRIM(INDEX($N$1:$O$1, MATCH(MIN(N122:O122), N122:O122, 0))), 技能库!$A:$F, 5, 0),"建议查阅考纲")&amp;CHAR(10)&amp;"💡 提升建议: "&amp;IFERROR(VLOOKUP(TRIM(D122)&amp;"_"&amp;TRIM(INDEX($N$1:$O$1, MATCH(MIN(N122:O122), N122:O122, 0))), 技能库!$A:$F, 6, 0),"请针对该题型加强练习"))</f>
        <v/>
      </c>
      <c r="AC122" s="5" t="str">
        <f>IF(W122="","", "⚠️ 薄弱环节: "&amp;INDEX($R$1:$V$1, MATCH(MIN(R122:V122), R122:V122, 0))&amp;CHAR(10)&amp;"📉 考察能力: "&amp;IFERROR(VLOOKUP(TRIM(D122)&amp;"_"&amp;TRIM(INDEX($R$1:$V$1, MATCH(MIN(R122:V122), R122:V122, 0))), 技能库!$A:$F, 5, 0),"建议查阅考纲")&amp;CHAR(10)&amp;"💡 提升建议: "&amp;IFERROR(VLOOKUP(TRIM(D122)&amp;"_"&amp;TRIM(INDEX($R$1:$V$1, MATCH(MIN(R122:V122), R122:V122, 0))), 技能库!$A:$F, 6, 0),"请针对该题型加强练习"))</f>
        <v/>
      </c>
    </row>
    <row r="123" spans="12:29" ht="16" hidden="1" x14ac:dyDescent="0.2">
      <c r="L123" t="str">
        <f t="shared" si="4"/>
        <v/>
      </c>
      <c r="M123" t="str">
        <f>IF(L123="","", IFERROR(VLOOKUP(L123, IF(D123="KET", 换算标准!$M:$N, IF(D123="PET", 换算标准!$S:$T, 换算标准!$AC:$AD)), 2, TRUE), 0))</f>
        <v/>
      </c>
      <c r="P123" t="str">
        <f t="shared" si="5"/>
        <v/>
      </c>
      <c r="Q123" t="str">
        <f>IF(P123="","", IFERROR(VLOOKUP(P123, IF(D123="KET", 换算标准!$O:$P, IF(D123="PET", 换算标准!$U:$V, 换算标准!$AG:$AH)), 2, TRUE), 0))</f>
        <v/>
      </c>
      <c r="W123" t="str">
        <f t="shared" si="6"/>
        <v/>
      </c>
      <c r="X123" t="str">
        <f>IF(W123="","", IFERROR(VLOOKUP(W123, IF(D123="KET", 换算标准!$Q:$R, IF(D123="PET", 换算标准!$W:$X, 换算标准!$AI:$AJ)), 2, TRUE), 0))</f>
        <v/>
      </c>
      <c r="Y123" t="str">
        <f t="shared" si="7"/>
        <v/>
      </c>
      <c r="Z123" t="str">
        <f>IF(Y123="","", IFERROR(VLOOKUP(Y123, 换算标准!$Z:$AA, 1, TRUE), ""))</f>
        <v/>
      </c>
      <c r="AA123" s="5" t="str">
        <f>IF(L123="","", "⚠️ 薄弱环节: "&amp;INDEX($E$1:$K$1, MATCH(MIN(E123:K123), E123:K123, 0))&amp;CHAR(10)&amp;"📉 考察能力: "&amp;IFERROR(VLOOKUP(TRIM(D123)&amp;"_"&amp;TRIM(INDEX($E$1:$K$1, MATCH(MIN(E123:K123), E123:K123, 0))), 技能库!$A:$F, 5, 0),"建议查阅考纲")&amp;CHAR(10)&amp;"💡 提升建议: "&amp;IFERROR(VLOOKUP(TRIM(D123)&amp;"_"&amp;TRIM(INDEX($E$1:$K$1, MATCH(MIN(E123:K123), E123:K123, 0))), 技能库!$A:$F, 6, 0),"请针对该题型加强练习"))</f>
        <v/>
      </c>
      <c r="AB123" s="5" t="str">
        <f>IF(P123="","", "⚠️ 薄弱环节: "&amp;INDEX($N$1:$O$1, MATCH(MIN(N123:O123), N123:O123, 0))&amp;CHAR(10)&amp;"📉 考察能力: "&amp;IFERROR(VLOOKUP(TRIM(D123)&amp;"_"&amp;TRIM(INDEX($N$1:$O$1, MATCH(MIN(N123:O123), N123:O123, 0))), 技能库!$A:$F, 5, 0),"建议查阅考纲")&amp;CHAR(10)&amp;"💡 提升建议: "&amp;IFERROR(VLOOKUP(TRIM(D123)&amp;"_"&amp;TRIM(INDEX($N$1:$O$1, MATCH(MIN(N123:O123), N123:O123, 0))), 技能库!$A:$F, 6, 0),"请针对该题型加强练习"))</f>
        <v/>
      </c>
      <c r="AC123" s="5" t="str">
        <f>IF(W123="","", "⚠️ 薄弱环节: "&amp;INDEX($R$1:$V$1, MATCH(MIN(R123:V123), R123:V123, 0))&amp;CHAR(10)&amp;"📉 考察能力: "&amp;IFERROR(VLOOKUP(TRIM(D123)&amp;"_"&amp;TRIM(INDEX($R$1:$V$1, MATCH(MIN(R123:V123), R123:V123, 0))), 技能库!$A:$F, 5, 0),"建议查阅考纲")&amp;CHAR(10)&amp;"💡 提升建议: "&amp;IFERROR(VLOOKUP(TRIM(D123)&amp;"_"&amp;TRIM(INDEX($R$1:$V$1, MATCH(MIN(R123:V123), R123:V123, 0))), 技能库!$A:$F, 6, 0),"请针对该题型加强练习"))</f>
        <v/>
      </c>
    </row>
    <row r="124" spans="12:29" ht="16" hidden="1" x14ac:dyDescent="0.2">
      <c r="L124" t="str">
        <f t="shared" si="4"/>
        <v/>
      </c>
      <c r="M124" t="str">
        <f>IF(L124="","", IFERROR(VLOOKUP(L124, IF(D124="KET", 换算标准!$M:$N, IF(D124="PET", 换算标准!$S:$T, 换算标准!$AC:$AD)), 2, TRUE), 0))</f>
        <v/>
      </c>
      <c r="P124" t="str">
        <f t="shared" si="5"/>
        <v/>
      </c>
      <c r="Q124" t="str">
        <f>IF(P124="","", IFERROR(VLOOKUP(P124, IF(D124="KET", 换算标准!$O:$P, IF(D124="PET", 换算标准!$U:$V, 换算标准!$AG:$AH)), 2, TRUE), 0))</f>
        <v/>
      </c>
      <c r="W124" t="str">
        <f t="shared" si="6"/>
        <v/>
      </c>
      <c r="X124" t="str">
        <f>IF(W124="","", IFERROR(VLOOKUP(W124, IF(D124="KET", 换算标准!$Q:$R, IF(D124="PET", 换算标准!$W:$X, 换算标准!$AI:$AJ)), 2, TRUE), 0))</f>
        <v/>
      </c>
      <c r="Y124" t="str">
        <f t="shared" si="7"/>
        <v/>
      </c>
      <c r="Z124" t="str">
        <f>IF(Y124="","", IFERROR(VLOOKUP(Y124, 换算标准!$Z:$AA, 1, TRUE), ""))</f>
        <v/>
      </c>
      <c r="AA124" s="5" t="str">
        <f>IF(L124="","", "⚠️ 薄弱环节: "&amp;INDEX($E$1:$K$1, MATCH(MIN(E124:K124), E124:K124, 0))&amp;CHAR(10)&amp;"📉 考察能力: "&amp;IFERROR(VLOOKUP(TRIM(D124)&amp;"_"&amp;TRIM(INDEX($E$1:$K$1, MATCH(MIN(E124:K124), E124:K124, 0))), 技能库!$A:$F, 5, 0),"建议查阅考纲")&amp;CHAR(10)&amp;"💡 提升建议: "&amp;IFERROR(VLOOKUP(TRIM(D124)&amp;"_"&amp;TRIM(INDEX($E$1:$K$1, MATCH(MIN(E124:K124), E124:K124, 0))), 技能库!$A:$F, 6, 0),"请针对该题型加强练习"))</f>
        <v/>
      </c>
      <c r="AB124" s="5" t="str">
        <f>IF(P124="","", "⚠️ 薄弱环节: "&amp;INDEX($N$1:$O$1, MATCH(MIN(N124:O124), N124:O124, 0))&amp;CHAR(10)&amp;"📉 考察能力: "&amp;IFERROR(VLOOKUP(TRIM(D124)&amp;"_"&amp;TRIM(INDEX($N$1:$O$1, MATCH(MIN(N124:O124), N124:O124, 0))), 技能库!$A:$F, 5, 0),"建议查阅考纲")&amp;CHAR(10)&amp;"💡 提升建议: "&amp;IFERROR(VLOOKUP(TRIM(D124)&amp;"_"&amp;TRIM(INDEX($N$1:$O$1, MATCH(MIN(N124:O124), N124:O124, 0))), 技能库!$A:$F, 6, 0),"请针对该题型加强练习"))</f>
        <v/>
      </c>
      <c r="AC124" s="5" t="str">
        <f>IF(W124="","", "⚠️ 薄弱环节: "&amp;INDEX($R$1:$V$1, MATCH(MIN(R124:V124), R124:V124, 0))&amp;CHAR(10)&amp;"📉 考察能力: "&amp;IFERROR(VLOOKUP(TRIM(D124)&amp;"_"&amp;TRIM(INDEX($R$1:$V$1, MATCH(MIN(R124:V124), R124:V124, 0))), 技能库!$A:$F, 5, 0),"建议查阅考纲")&amp;CHAR(10)&amp;"💡 提升建议: "&amp;IFERROR(VLOOKUP(TRIM(D124)&amp;"_"&amp;TRIM(INDEX($R$1:$V$1, MATCH(MIN(R124:V124), R124:V124, 0))), 技能库!$A:$F, 6, 0),"请针对该题型加强练习"))</f>
        <v/>
      </c>
    </row>
    <row r="125" spans="12:29" ht="16" hidden="1" x14ac:dyDescent="0.2">
      <c r="L125" t="str">
        <f t="shared" si="4"/>
        <v/>
      </c>
      <c r="M125" t="str">
        <f>IF(L125="","", IFERROR(VLOOKUP(L125, IF(D125="KET", 换算标准!$M:$N, IF(D125="PET", 换算标准!$S:$T, 换算标准!$AC:$AD)), 2, TRUE), 0))</f>
        <v/>
      </c>
      <c r="P125" t="str">
        <f t="shared" si="5"/>
        <v/>
      </c>
      <c r="Q125" t="str">
        <f>IF(P125="","", IFERROR(VLOOKUP(P125, IF(D125="KET", 换算标准!$O:$P, IF(D125="PET", 换算标准!$U:$V, 换算标准!$AG:$AH)), 2, TRUE), 0))</f>
        <v/>
      </c>
      <c r="W125" t="str">
        <f t="shared" si="6"/>
        <v/>
      </c>
      <c r="X125" t="str">
        <f>IF(W125="","", IFERROR(VLOOKUP(W125, IF(D125="KET", 换算标准!$Q:$R, IF(D125="PET", 换算标准!$W:$X, 换算标准!$AI:$AJ)), 2, TRUE), 0))</f>
        <v/>
      </c>
      <c r="Y125" t="str">
        <f t="shared" si="7"/>
        <v/>
      </c>
      <c r="Z125" t="str">
        <f>IF(Y125="","", IFERROR(VLOOKUP(Y125, 换算标准!$Z:$AA, 1, TRUE), ""))</f>
        <v/>
      </c>
      <c r="AA125" s="5" t="str">
        <f>IF(L125="","", "⚠️ 薄弱环节: "&amp;INDEX($E$1:$K$1, MATCH(MIN(E125:K125), E125:K125, 0))&amp;CHAR(10)&amp;"📉 考察能力: "&amp;IFERROR(VLOOKUP(TRIM(D125)&amp;"_"&amp;TRIM(INDEX($E$1:$K$1, MATCH(MIN(E125:K125), E125:K125, 0))), 技能库!$A:$F, 5, 0),"建议查阅考纲")&amp;CHAR(10)&amp;"💡 提升建议: "&amp;IFERROR(VLOOKUP(TRIM(D125)&amp;"_"&amp;TRIM(INDEX($E$1:$K$1, MATCH(MIN(E125:K125), E125:K125, 0))), 技能库!$A:$F, 6, 0),"请针对该题型加强练习"))</f>
        <v/>
      </c>
      <c r="AB125" s="5" t="str">
        <f>IF(P125="","", "⚠️ 薄弱环节: "&amp;INDEX($N$1:$O$1, MATCH(MIN(N125:O125), N125:O125, 0))&amp;CHAR(10)&amp;"📉 考察能力: "&amp;IFERROR(VLOOKUP(TRIM(D125)&amp;"_"&amp;TRIM(INDEX($N$1:$O$1, MATCH(MIN(N125:O125), N125:O125, 0))), 技能库!$A:$F, 5, 0),"建议查阅考纲")&amp;CHAR(10)&amp;"💡 提升建议: "&amp;IFERROR(VLOOKUP(TRIM(D125)&amp;"_"&amp;TRIM(INDEX($N$1:$O$1, MATCH(MIN(N125:O125), N125:O125, 0))), 技能库!$A:$F, 6, 0),"请针对该题型加强练习"))</f>
        <v/>
      </c>
      <c r="AC125" s="5" t="str">
        <f>IF(W125="","", "⚠️ 薄弱环节: "&amp;INDEX($R$1:$V$1, MATCH(MIN(R125:V125), R125:V125, 0))&amp;CHAR(10)&amp;"📉 考察能力: "&amp;IFERROR(VLOOKUP(TRIM(D125)&amp;"_"&amp;TRIM(INDEX($R$1:$V$1, MATCH(MIN(R125:V125), R125:V125, 0))), 技能库!$A:$F, 5, 0),"建议查阅考纲")&amp;CHAR(10)&amp;"💡 提升建议: "&amp;IFERROR(VLOOKUP(TRIM(D125)&amp;"_"&amp;TRIM(INDEX($R$1:$V$1, MATCH(MIN(R125:V125), R125:V125, 0))), 技能库!$A:$F, 6, 0),"请针对该题型加强练习"))</f>
        <v/>
      </c>
    </row>
    <row r="126" spans="12:29" ht="16" hidden="1" x14ac:dyDescent="0.2">
      <c r="L126" t="str">
        <f t="shared" si="4"/>
        <v/>
      </c>
      <c r="M126" t="str">
        <f>IF(L126="","", IFERROR(VLOOKUP(L126, IF(D126="KET", 换算标准!$M:$N, IF(D126="PET", 换算标准!$S:$T, 换算标准!$AC:$AD)), 2, TRUE), 0))</f>
        <v/>
      </c>
      <c r="P126" t="str">
        <f t="shared" si="5"/>
        <v/>
      </c>
      <c r="Q126" t="str">
        <f>IF(P126="","", IFERROR(VLOOKUP(P126, IF(D126="KET", 换算标准!$O:$P, IF(D126="PET", 换算标准!$U:$V, 换算标准!$AG:$AH)), 2, TRUE), 0))</f>
        <v/>
      </c>
      <c r="W126" t="str">
        <f t="shared" si="6"/>
        <v/>
      </c>
      <c r="X126" t="str">
        <f>IF(W126="","", IFERROR(VLOOKUP(W126, IF(D126="KET", 换算标准!$Q:$R, IF(D126="PET", 换算标准!$W:$X, 换算标准!$AI:$AJ)), 2, TRUE), 0))</f>
        <v/>
      </c>
      <c r="Y126" t="str">
        <f t="shared" si="7"/>
        <v/>
      </c>
      <c r="Z126" t="str">
        <f>IF(Y126="","", IFERROR(VLOOKUP(Y126, 换算标准!$Z:$AA, 1, TRUE), ""))</f>
        <v/>
      </c>
      <c r="AA126" s="5" t="str">
        <f>IF(L126="","", "⚠️ 薄弱环节: "&amp;INDEX($E$1:$K$1, MATCH(MIN(E126:K126), E126:K126, 0))&amp;CHAR(10)&amp;"📉 考察能力: "&amp;IFERROR(VLOOKUP(TRIM(D126)&amp;"_"&amp;TRIM(INDEX($E$1:$K$1, MATCH(MIN(E126:K126), E126:K126, 0))), 技能库!$A:$F, 5, 0),"建议查阅考纲")&amp;CHAR(10)&amp;"💡 提升建议: "&amp;IFERROR(VLOOKUP(TRIM(D126)&amp;"_"&amp;TRIM(INDEX($E$1:$K$1, MATCH(MIN(E126:K126), E126:K126, 0))), 技能库!$A:$F, 6, 0),"请针对该题型加强练习"))</f>
        <v/>
      </c>
      <c r="AB126" s="5" t="str">
        <f>IF(P126="","", "⚠️ 薄弱环节: "&amp;INDEX($N$1:$O$1, MATCH(MIN(N126:O126), N126:O126, 0))&amp;CHAR(10)&amp;"📉 考察能力: "&amp;IFERROR(VLOOKUP(TRIM(D126)&amp;"_"&amp;TRIM(INDEX($N$1:$O$1, MATCH(MIN(N126:O126), N126:O126, 0))), 技能库!$A:$F, 5, 0),"建议查阅考纲")&amp;CHAR(10)&amp;"💡 提升建议: "&amp;IFERROR(VLOOKUP(TRIM(D126)&amp;"_"&amp;TRIM(INDEX($N$1:$O$1, MATCH(MIN(N126:O126), N126:O126, 0))), 技能库!$A:$F, 6, 0),"请针对该题型加强练习"))</f>
        <v/>
      </c>
      <c r="AC126" s="5" t="str">
        <f>IF(W126="","", "⚠️ 薄弱环节: "&amp;INDEX($R$1:$V$1, MATCH(MIN(R126:V126), R126:V126, 0))&amp;CHAR(10)&amp;"📉 考察能力: "&amp;IFERROR(VLOOKUP(TRIM(D126)&amp;"_"&amp;TRIM(INDEX($R$1:$V$1, MATCH(MIN(R126:V126), R126:V126, 0))), 技能库!$A:$F, 5, 0),"建议查阅考纲")&amp;CHAR(10)&amp;"💡 提升建议: "&amp;IFERROR(VLOOKUP(TRIM(D126)&amp;"_"&amp;TRIM(INDEX($R$1:$V$1, MATCH(MIN(R126:V126), R126:V126, 0))), 技能库!$A:$F, 6, 0),"请针对该题型加强练习"))</f>
        <v/>
      </c>
    </row>
    <row r="127" spans="12:29" ht="16" hidden="1" x14ac:dyDescent="0.2">
      <c r="L127" t="str">
        <f t="shared" si="4"/>
        <v/>
      </c>
      <c r="M127" t="str">
        <f>IF(L127="","", IFERROR(VLOOKUP(L127, IF(D127="KET", 换算标准!$M:$N, IF(D127="PET", 换算标准!$S:$T, 换算标准!$AC:$AD)), 2, TRUE), 0))</f>
        <v/>
      </c>
      <c r="P127" t="str">
        <f t="shared" si="5"/>
        <v/>
      </c>
      <c r="Q127" t="str">
        <f>IF(P127="","", IFERROR(VLOOKUP(P127, IF(D127="KET", 换算标准!$O:$P, IF(D127="PET", 换算标准!$U:$V, 换算标准!$AG:$AH)), 2, TRUE), 0))</f>
        <v/>
      </c>
      <c r="W127" t="str">
        <f t="shared" si="6"/>
        <v/>
      </c>
      <c r="X127" t="str">
        <f>IF(W127="","", IFERROR(VLOOKUP(W127, IF(D127="KET", 换算标准!$Q:$R, IF(D127="PET", 换算标准!$W:$X, 换算标准!$AI:$AJ)), 2, TRUE), 0))</f>
        <v/>
      </c>
      <c r="Y127" t="str">
        <f t="shared" si="7"/>
        <v/>
      </c>
      <c r="Z127" t="str">
        <f>IF(Y127="","", IFERROR(VLOOKUP(Y127, 换算标准!$Z:$AA, 1, TRUE), ""))</f>
        <v/>
      </c>
      <c r="AA127" s="5" t="str">
        <f>IF(L127="","", "⚠️ 薄弱环节: "&amp;INDEX($E$1:$K$1, MATCH(MIN(E127:K127), E127:K127, 0))&amp;CHAR(10)&amp;"📉 考察能力: "&amp;IFERROR(VLOOKUP(TRIM(D127)&amp;"_"&amp;TRIM(INDEX($E$1:$K$1, MATCH(MIN(E127:K127), E127:K127, 0))), 技能库!$A:$F, 5, 0),"建议查阅考纲")&amp;CHAR(10)&amp;"💡 提升建议: "&amp;IFERROR(VLOOKUP(TRIM(D127)&amp;"_"&amp;TRIM(INDEX($E$1:$K$1, MATCH(MIN(E127:K127), E127:K127, 0))), 技能库!$A:$F, 6, 0),"请针对该题型加强练习"))</f>
        <v/>
      </c>
      <c r="AB127" s="5" t="str">
        <f>IF(P127="","", "⚠️ 薄弱环节: "&amp;INDEX($N$1:$O$1, MATCH(MIN(N127:O127), N127:O127, 0))&amp;CHAR(10)&amp;"📉 考察能力: "&amp;IFERROR(VLOOKUP(TRIM(D127)&amp;"_"&amp;TRIM(INDEX($N$1:$O$1, MATCH(MIN(N127:O127), N127:O127, 0))), 技能库!$A:$F, 5, 0),"建议查阅考纲")&amp;CHAR(10)&amp;"💡 提升建议: "&amp;IFERROR(VLOOKUP(TRIM(D127)&amp;"_"&amp;TRIM(INDEX($N$1:$O$1, MATCH(MIN(N127:O127), N127:O127, 0))), 技能库!$A:$F, 6, 0),"请针对该题型加强练习"))</f>
        <v/>
      </c>
      <c r="AC127" s="5" t="str">
        <f>IF(W127="","", "⚠️ 薄弱环节: "&amp;INDEX($R$1:$V$1, MATCH(MIN(R127:V127), R127:V127, 0))&amp;CHAR(10)&amp;"📉 考察能力: "&amp;IFERROR(VLOOKUP(TRIM(D127)&amp;"_"&amp;TRIM(INDEX($R$1:$V$1, MATCH(MIN(R127:V127), R127:V127, 0))), 技能库!$A:$F, 5, 0),"建议查阅考纲")&amp;CHAR(10)&amp;"💡 提升建议: "&amp;IFERROR(VLOOKUP(TRIM(D127)&amp;"_"&amp;TRIM(INDEX($R$1:$V$1, MATCH(MIN(R127:V127), R127:V127, 0))), 技能库!$A:$F, 6, 0),"请针对该题型加强练习"))</f>
        <v/>
      </c>
    </row>
    <row r="128" spans="12:29" ht="16" hidden="1" x14ac:dyDescent="0.2">
      <c r="L128" t="str">
        <f t="shared" si="4"/>
        <v/>
      </c>
      <c r="M128" t="str">
        <f>IF(L128="","", IFERROR(VLOOKUP(L128, IF(D128="KET", 换算标准!$M:$N, IF(D128="PET", 换算标准!$S:$T, 换算标准!$AC:$AD)), 2, TRUE), 0))</f>
        <v/>
      </c>
      <c r="P128" t="str">
        <f t="shared" si="5"/>
        <v/>
      </c>
      <c r="Q128" t="str">
        <f>IF(P128="","", IFERROR(VLOOKUP(P128, IF(D128="KET", 换算标准!$O:$P, IF(D128="PET", 换算标准!$U:$V, 换算标准!$AG:$AH)), 2, TRUE), 0))</f>
        <v/>
      </c>
      <c r="W128" t="str">
        <f t="shared" si="6"/>
        <v/>
      </c>
      <c r="X128" t="str">
        <f>IF(W128="","", IFERROR(VLOOKUP(W128, IF(D128="KET", 换算标准!$Q:$R, IF(D128="PET", 换算标准!$W:$X, 换算标准!$AI:$AJ)), 2, TRUE), 0))</f>
        <v/>
      </c>
      <c r="Y128" t="str">
        <f t="shared" si="7"/>
        <v/>
      </c>
      <c r="Z128" t="str">
        <f>IF(Y128="","", IFERROR(VLOOKUP(Y128, 换算标准!$Z:$AA, 1, TRUE), ""))</f>
        <v/>
      </c>
      <c r="AA128" s="5" t="str">
        <f>IF(L128="","", "⚠️ 薄弱环节: "&amp;INDEX($E$1:$K$1, MATCH(MIN(E128:K128), E128:K128, 0))&amp;CHAR(10)&amp;"📉 考察能力: "&amp;IFERROR(VLOOKUP(TRIM(D128)&amp;"_"&amp;TRIM(INDEX($E$1:$K$1, MATCH(MIN(E128:K128), E128:K128, 0))), 技能库!$A:$F, 5, 0),"建议查阅考纲")&amp;CHAR(10)&amp;"💡 提升建议: "&amp;IFERROR(VLOOKUP(TRIM(D128)&amp;"_"&amp;TRIM(INDEX($E$1:$K$1, MATCH(MIN(E128:K128), E128:K128, 0))), 技能库!$A:$F, 6, 0),"请针对该题型加强练习"))</f>
        <v/>
      </c>
      <c r="AB128" s="5" t="str">
        <f>IF(P128="","", "⚠️ 薄弱环节: "&amp;INDEX($N$1:$O$1, MATCH(MIN(N128:O128), N128:O128, 0))&amp;CHAR(10)&amp;"📉 考察能力: "&amp;IFERROR(VLOOKUP(TRIM(D128)&amp;"_"&amp;TRIM(INDEX($N$1:$O$1, MATCH(MIN(N128:O128), N128:O128, 0))), 技能库!$A:$F, 5, 0),"建议查阅考纲")&amp;CHAR(10)&amp;"💡 提升建议: "&amp;IFERROR(VLOOKUP(TRIM(D128)&amp;"_"&amp;TRIM(INDEX($N$1:$O$1, MATCH(MIN(N128:O128), N128:O128, 0))), 技能库!$A:$F, 6, 0),"请针对该题型加强练习"))</f>
        <v/>
      </c>
      <c r="AC128" s="5" t="str">
        <f>IF(W128="","", "⚠️ 薄弱环节: "&amp;INDEX($R$1:$V$1, MATCH(MIN(R128:V128), R128:V128, 0))&amp;CHAR(10)&amp;"📉 考察能力: "&amp;IFERROR(VLOOKUP(TRIM(D128)&amp;"_"&amp;TRIM(INDEX($R$1:$V$1, MATCH(MIN(R128:V128), R128:V128, 0))), 技能库!$A:$F, 5, 0),"建议查阅考纲")&amp;CHAR(10)&amp;"💡 提升建议: "&amp;IFERROR(VLOOKUP(TRIM(D128)&amp;"_"&amp;TRIM(INDEX($R$1:$V$1, MATCH(MIN(R128:V128), R128:V128, 0))), 技能库!$A:$F, 6, 0),"请针对该题型加强练习"))</f>
        <v/>
      </c>
    </row>
    <row r="129" spans="12:29" ht="16" hidden="1" x14ac:dyDescent="0.2">
      <c r="L129" t="str">
        <f t="shared" si="4"/>
        <v/>
      </c>
      <c r="M129" t="str">
        <f>IF(L129="","", IFERROR(VLOOKUP(L129, IF(D129="KET", 换算标准!$M:$N, IF(D129="PET", 换算标准!$S:$T, 换算标准!$AC:$AD)), 2, TRUE), 0))</f>
        <v/>
      </c>
      <c r="P129" t="str">
        <f t="shared" si="5"/>
        <v/>
      </c>
      <c r="Q129" t="str">
        <f>IF(P129="","", IFERROR(VLOOKUP(P129, IF(D129="KET", 换算标准!$O:$P, IF(D129="PET", 换算标准!$U:$V, 换算标准!$AG:$AH)), 2, TRUE), 0))</f>
        <v/>
      </c>
      <c r="W129" t="str">
        <f t="shared" si="6"/>
        <v/>
      </c>
      <c r="X129" t="str">
        <f>IF(W129="","", IFERROR(VLOOKUP(W129, IF(D129="KET", 换算标准!$Q:$R, IF(D129="PET", 换算标准!$W:$X, 换算标准!$AI:$AJ)), 2, TRUE), 0))</f>
        <v/>
      </c>
      <c r="Y129" t="str">
        <f t="shared" si="7"/>
        <v/>
      </c>
      <c r="Z129" t="str">
        <f>IF(Y129="","", IFERROR(VLOOKUP(Y129, 换算标准!$Z:$AA, 1, TRUE), ""))</f>
        <v/>
      </c>
      <c r="AA129" s="5" t="str">
        <f>IF(L129="","", "⚠️ 薄弱环节: "&amp;INDEX($E$1:$K$1, MATCH(MIN(E129:K129), E129:K129, 0))&amp;CHAR(10)&amp;"📉 考察能力: "&amp;IFERROR(VLOOKUP(TRIM(D129)&amp;"_"&amp;TRIM(INDEX($E$1:$K$1, MATCH(MIN(E129:K129), E129:K129, 0))), 技能库!$A:$F, 5, 0),"建议查阅考纲")&amp;CHAR(10)&amp;"💡 提升建议: "&amp;IFERROR(VLOOKUP(TRIM(D129)&amp;"_"&amp;TRIM(INDEX($E$1:$K$1, MATCH(MIN(E129:K129), E129:K129, 0))), 技能库!$A:$F, 6, 0),"请针对该题型加强练习"))</f>
        <v/>
      </c>
      <c r="AB129" s="5" t="str">
        <f>IF(P129="","", "⚠️ 薄弱环节: "&amp;INDEX($N$1:$O$1, MATCH(MIN(N129:O129), N129:O129, 0))&amp;CHAR(10)&amp;"📉 考察能力: "&amp;IFERROR(VLOOKUP(TRIM(D129)&amp;"_"&amp;TRIM(INDEX($N$1:$O$1, MATCH(MIN(N129:O129), N129:O129, 0))), 技能库!$A:$F, 5, 0),"建议查阅考纲")&amp;CHAR(10)&amp;"💡 提升建议: "&amp;IFERROR(VLOOKUP(TRIM(D129)&amp;"_"&amp;TRIM(INDEX($N$1:$O$1, MATCH(MIN(N129:O129), N129:O129, 0))), 技能库!$A:$F, 6, 0),"请针对该题型加强练习"))</f>
        <v/>
      </c>
      <c r="AC129" s="5" t="str">
        <f>IF(W129="","", "⚠️ 薄弱环节: "&amp;INDEX($R$1:$V$1, MATCH(MIN(R129:V129), R129:V129, 0))&amp;CHAR(10)&amp;"📉 考察能力: "&amp;IFERROR(VLOOKUP(TRIM(D129)&amp;"_"&amp;TRIM(INDEX($R$1:$V$1, MATCH(MIN(R129:V129), R129:V129, 0))), 技能库!$A:$F, 5, 0),"建议查阅考纲")&amp;CHAR(10)&amp;"💡 提升建议: "&amp;IFERROR(VLOOKUP(TRIM(D129)&amp;"_"&amp;TRIM(INDEX($R$1:$V$1, MATCH(MIN(R129:V129), R129:V129, 0))), 技能库!$A:$F, 6, 0),"请针对该题型加强练习"))</f>
        <v/>
      </c>
    </row>
    <row r="130" spans="12:29" ht="16" hidden="1" x14ac:dyDescent="0.2">
      <c r="L130" t="str">
        <f t="shared" ref="L130:L193" si="8">IF(COUNT(E130:K130)&gt;0, SUM(E130:K130), "")</f>
        <v/>
      </c>
      <c r="M130" t="str">
        <f>IF(L130="","", IFERROR(VLOOKUP(L130, IF(D130="KET", 换算标准!$M:$N, IF(D130="PET", 换算标准!$S:$T, 换算标准!$AC:$AD)), 2, TRUE), 0))</f>
        <v/>
      </c>
      <c r="P130" t="str">
        <f t="shared" ref="P130:P193" si="9">IF(COUNT(N130:O130)&gt;0, SUM(N130:O130), "")</f>
        <v/>
      </c>
      <c r="Q130" t="str">
        <f>IF(P130="","", IFERROR(VLOOKUP(P130, IF(D130="KET", 换算标准!$O:$P, IF(D130="PET", 换算标准!$U:$V, 换算标准!$AG:$AH)), 2, TRUE), 0))</f>
        <v/>
      </c>
      <c r="W130" t="str">
        <f t="shared" ref="W130:W193" si="10">IF(COUNT(R130:V130)&gt;0, SUM(R130:V130), "")</f>
        <v/>
      </c>
      <c r="X130" t="str">
        <f>IF(W130="","", IFERROR(VLOOKUP(W130, IF(D130="KET", 换算标准!$Q:$R, IF(D130="PET", 换算标准!$W:$X, 换算标准!$AI:$AJ)), 2, TRUE), 0))</f>
        <v/>
      </c>
      <c r="Y130" t="str">
        <f t="shared" ref="Y130:Y193" si="11">IF(COUNT(M130,Q130,X130)&gt;0, AVERAGE(M130,Q130,X130), "")</f>
        <v/>
      </c>
      <c r="Z130" t="str">
        <f>IF(Y130="","", IFERROR(VLOOKUP(Y130, 换算标准!$Z:$AA, 1, TRUE), ""))</f>
        <v/>
      </c>
      <c r="AA130" s="5" t="str">
        <f>IF(L130="","", "⚠️ 薄弱环节: "&amp;INDEX($E$1:$K$1, MATCH(MIN(E130:K130), E130:K130, 0))&amp;CHAR(10)&amp;"📉 考察能力: "&amp;IFERROR(VLOOKUP(TRIM(D130)&amp;"_"&amp;TRIM(INDEX($E$1:$K$1, MATCH(MIN(E130:K130), E130:K130, 0))), 技能库!$A:$F, 5, 0),"建议查阅考纲")&amp;CHAR(10)&amp;"💡 提升建议: "&amp;IFERROR(VLOOKUP(TRIM(D130)&amp;"_"&amp;TRIM(INDEX($E$1:$K$1, MATCH(MIN(E130:K130), E130:K130, 0))), 技能库!$A:$F, 6, 0),"请针对该题型加强练习"))</f>
        <v/>
      </c>
      <c r="AB130" s="5" t="str">
        <f>IF(P130="","", "⚠️ 薄弱环节: "&amp;INDEX($N$1:$O$1, MATCH(MIN(N130:O130), N130:O130, 0))&amp;CHAR(10)&amp;"📉 考察能力: "&amp;IFERROR(VLOOKUP(TRIM(D130)&amp;"_"&amp;TRIM(INDEX($N$1:$O$1, MATCH(MIN(N130:O130), N130:O130, 0))), 技能库!$A:$F, 5, 0),"建议查阅考纲")&amp;CHAR(10)&amp;"💡 提升建议: "&amp;IFERROR(VLOOKUP(TRIM(D130)&amp;"_"&amp;TRIM(INDEX($N$1:$O$1, MATCH(MIN(N130:O130), N130:O130, 0))), 技能库!$A:$F, 6, 0),"请针对该题型加强练习"))</f>
        <v/>
      </c>
      <c r="AC130" s="5" t="str">
        <f>IF(W130="","", "⚠️ 薄弱环节: "&amp;INDEX($R$1:$V$1, MATCH(MIN(R130:V130), R130:V130, 0))&amp;CHAR(10)&amp;"📉 考察能力: "&amp;IFERROR(VLOOKUP(TRIM(D130)&amp;"_"&amp;TRIM(INDEX($R$1:$V$1, MATCH(MIN(R130:V130), R130:V130, 0))), 技能库!$A:$F, 5, 0),"建议查阅考纲")&amp;CHAR(10)&amp;"💡 提升建议: "&amp;IFERROR(VLOOKUP(TRIM(D130)&amp;"_"&amp;TRIM(INDEX($R$1:$V$1, MATCH(MIN(R130:V130), R130:V130, 0))), 技能库!$A:$F, 6, 0),"请针对该题型加强练习"))</f>
        <v/>
      </c>
    </row>
    <row r="131" spans="12:29" ht="16" hidden="1" x14ac:dyDescent="0.2">
      <c r="L131" t="str">
        <f t="shared" si="8"/>
        <v/>
      </c>
      <c r="M131" t="str">
        <f>IF(L131="","", IFERROR(VLOOKUP(L131, IF(D131="KET", 换算标准!$M:$N, IF(D131="PET", 换算标准!$S:$T, 换算标准!$AC:$AD)), 2, TRUE), 0))</f>
        <v/>
      </c>
      <c r="P131" t="str">
        <f t="shared" si="9"/>
        <v/>
      </c>
      <c r="Q131" t="str">
        <f>IF(P131="","", IFERROR(VLOOKUP(P131, IF(D131="KET", 换算标准!$O:$P, IF(D131="PET", 换算标准!$U:$V, 换算标准!$AG:$AH)), 2, TRUE), 0))</f>
        <v/>
      </c>
      <c r="W131" t="str">
        <f t="shared" si="10"/>
        <v/>
      </c>
      <c r="X131" t="str">
        <f>IF(W131="","", IFERROR(VLOOKUP(W131, IF(D131="KET", 换算标准!$Q:$R, IF(D131="PET", 换算标准!$W:$X, 换算标准!$AI:$AJ)), 2, TRUE), 0))</f>
        <v/>
      </c>
      <c r="Y131" t="str">
        <f t="shared" si="11"/>
        <v/>
      </c>
      <c r="Z131" t="str">
        <f>IF(Y131="","", IFERROR(VLOOKUP(Y131, 换算标准!$Z:$AA, 1, TRUE), ""))</f>
        <v/>
      </c>
      <c r="AA131" s="5" t="str">
        <f>IF(L131="","", "⚠️ 薄弱环节: "&amp;INDEX($E$1:$K$1, MATCH(MIN(E131:K131), E131:K131, 0))&amp;CHAR(10)&amp;"📉 考察能力: "&amp;IFERROR(VLOOKUP(TRIM(D131)&amp;"_"&amp;TRIM(INDEX($E$1:$K$1, MATCH(MIN(E131:K131), E131:K131, 0))), 技能库!$A:$F, 5, 0),"建议查阅考纲")&amp;CHAR(10)&amp;"💡 提升建议: "&amp;IFERROR(VLOOKUP(TRIM(D131)&amp;"_"&amp;TRIM(INDEX($E$1:$K$1, MATCH(MIN(E131:K131), E131:K131, 0))), 技能库!$A:$F, 6, 0),"请针对该题型加强练习"))</f>
        <v/>
      </c>
      <c r="AB131" s="5" t="str">
        <f>IF(P131="","", "⚠️ 薄弱环节: "&amp;INDEX($N$1:$O$1, MATCH(MIN(N131:O131), N131:O131, 0))&amp;CHAR(10)&amp;"📉 考察能力: "&amp;IFERROR(VLOOKUP(TRIM(D131)&amp;"_"&amp;TRIM(INDEX($N$1:$O$1, MATCH(MIN(N131:O131), N131:O131, 0))), 技能库!$A:$F, 5, 0),"建议查阅考纲")&amp;CHAR(10)&amp;"💡 提升建议: "&amp;IFERROR(VLOOKUP(TRIM(D131)&amp;"_"&amp;TRIM(INDEX($N$1:$O$1, MATCH(MIN(N131:O131), N131:O131, 0))), 技能库!$A:$F, 6, 0),"请针对该题型加强练习"))</f>
        <v/>
      </c>
      <c r="AC131" s="5" t="str">
        <f>IF(W131="","", "⚠️ 薄弱环节: "&amp;INDEX($R$1:$V$1, MATCH(MIN(R131:V131), R131:V131, 0))&amp;CHAR(10)&amp;"📉 考察能力: "&amp;IFERROR(VLOOKUP(TRIM(D131)&amp;"_"&amp;TRIM(INDEX($R$1:$V$1, MATCH(MIN(R131:V131), R131:V131, 0))), 技能库!$A:$F, 5, 0),"建议查阅考纲")&amp;CHAR(10)&amp;"💡 提升建议: "&amp;IFERROR(VLOOKUP(TRIM(D131)&amp;"_"&amp;TRIM(INDEX($R$1:$V$1, MATCH(MIN(R131:V131), R131:V131, 0))), 技能库!$A:$F, 6, 0),"请针对该题型加强练习"))</f>
        <v/>
      </c>
    </row>
    <row r="132" spans="12:29" ht="16" hidden="1" x14ac:dyDescent="0.2">
      <c r="L132" t="str">
        <f t="shared" si="8"/>
        <v/>
      </c>
      <c r="M132" t="str">
        <f>IF(L132="","", IFERROR(VLOOKUP(L132, IF(D132="KET", 换算标准!$M:$N, IF(D132="PET", 换算标准!$S:$T, 换算标准!$AC:$AD)), 2, TRUE), 0))</f>
        <v/>
      </c>
      <c r="P132" t="str">
        <f t="shared" si="9"/>
        <v/>
      </c>
      <c r="Q132" t="str">
        <f>IF(P132="","", IFERROR(VLOOKUP(P132, IF(D132="KET", 换算标准!$O:$P, IF(D132="PET", 换算标准!$U:$V, 换算标准!$AG:$AH)), 2, TRUE), 0))</f>
        <v/>
      </c>
      <c r="W132" t="str">
        <f t="shared" si="10"/>
        <v/>
      </c>
      <c r="X132" t="str">
        <f>IF(W132="","", IFERROR(VLOOKUP(W132, IF(D132="KET", 换算标准!$Q:$R, IF(D132="PET", 换算标准!$W:$X, 换算标准!$AI:$AJ)), 2, TRUE), 0))</f>
        <v/>
      </c>
      <c r="Y132" t="str">
        <f t="shared" si="11"/>
        <v/>
      </c>
      <c r="Z132" t="str">
        <f>IF(Y132="","", IFERROR(VLOOKUP(Y132, 换算标准!$Z:$AA, 1, TRUE), ""))</f>
        <v/>
      </c>
      <c r="AA132" s="5" t="str">
        <f>IF(L132="","", "⚠️ 薄弱环节: "&amp;INDEX($E$1:$K$1, MATCH(MIN(E132:K132), E132:K132, 0))&amp;CHAR(10)&amp;"📉 考察能力: "&amp;IFERROR(VLOOKUP(TRIM(D132)&amp;"_"&amp;TRIM(INDEX($E$1:$K$1, MATCH(MIN(E132:K132), E132:K132, 0))), 技能库!$A:$F, 5, 0),"建议查阅考纲")&amp;CHAR(10)&amp;"💡 提升建议: "&amp;IFERROR(VLOOKUP(TRIM(D132)&amp;"_"&amp;TRIM(INDEX($E$1:$K$1, MATCH(MIN(E132:K132), E132:K132, 0))), 技能库!$A:$F, 6, 0),"请针对该题型加强练习"))</f>
        <v/>
      </c>
      <c r="AB132" s="5" t="str">
        <f>IF(P132="","", "⚠️ 薄弱环节: "&amp;INDEX($N$1:$O$1, MATCH(MIN(N132:O132), N132:O132, 0))&amp;CHAR(10)&amp;"📉 考察能力: "&amp;IFERROR(VLOOKUP(TRIM(D132)&amp;"_"&amp;TRIM(INDEX($N$1:$O$1, MATCH(MIN(N132:O132), N132:O132, 0))), 技能库!$A:$F, 5, 0),"建议查阅考纲")&amp;CHAR(10)&amp;"💡 提升建议: "&amp;IFERROR(VLOOKUP(TRIM(D132)&amp;"_"&amp;TRIM(INDEX($N$1:$O$1, MATCH(MIN(N132:O132), N132:O132, 0))), 技能库!$A:$F, 6, 0),"请针对该题型加强练习"))</f>
        <v/>
      </c>
      <c r="AC132" s="5" t="str">
        <f>IF(W132="","", "⚠️ 薄弱环节: "&amp;INDEX($R$1:$V$1, MATCH(MIN(R132:V132), R132:V132, 0))&amp;CHAR(10)&amp;"📉 考察能力: "&amp;IFERROR(VLOOKUP(TRIM(D132)&amp;"_"&amp;TRIM(INDEX($R$1:$V$1, MATCH(MIN(R132:V132), R132:V132, 0))), 技能库!$A:$F, 5, 0),"建议查阅考纲")&amp;CHAR(10)&amp;"💡 提升建议: "&amp;IFERROR(VLOOKUP(TRIM(D132)&amp;"_"&amp;TRIM(INDEX($R$1:$V$1, MATCH(MIN(R132:V132), R132:V132, 0))), 技能库!$A:$F, 6, 0),"请针对该题型加强练习"))</f>
        <v/>
      </c>
    </row>
    <row r="133" spans="12:29" ht="16" hidden="1" x14ac:dyDescent="0.2">
      <c r="L133" t="str">
        <f t="shared" si="8"/>
        <v/>
      </c>
      <c r="M133" t="str">
        <f>IF(L133="","", IFERROR(VLOOKUP(L133, IF(D133="KET", 换算标准!$M:$N, IF(D133="PET", 换算标准!$S:$T, 换算标准!$AC:$AD)), 2, TRUE), 0))</f>
        <v/>
      </c>
      <c r="P133" t="str">
        <f t="shared" si="9"/>
        <v/>
      </c>
      <c r="Q133" t="str">
        <f>IF(P133="","", IFERROR(VLOOKUP(P133, IF(D133="KET", 换算标准!$O:$P, IF(D133="PET", 换算标准!$U:$V, 换算标准!$AG:$AH)), 2, TRUE), 0))</f>
        <v/>
      </c>
      <c r="W133" t="str">
        <f t="shared" si="10"/>
        <v/>
      </c>
      <c r="X133" t="str">
        <f>IF(W133="","", IFERROR(VLOOKUP(W133, IF(D133="KET", 换算标准!$Q:$R, IF(D133="PET", 换算标准!$W:$X, 换算标准!$AI:$AJ)), 2, TRUE), 0))</f>
        <v/>
      </c>
      <c r="Y133" t="str">
        <f t="shared" si="11"/>
        <v/>
      </c>
      <c r="Z133" t="str">
        <f>IF(Y133="","", IFERROR(VLOOKUP(Y133, 换算标准!$Z:$AA, 1, TRUE), ""))</f>
        <v/>
      </c>
      <c r="AA133" s="5" t="str">
        <f>IF(L133="","", "⚠️ 薄弱环节: "&amp;INDEX($E$1:$K$1, MATCH(MIN(E133:K133), E133:K133, 0))&amp;CHAR(10)&amp;"📉 考察能力: "&amp;IFERROR(VLOOKUP(TRIM(D133)&amp;"_"&amp;TRIM(INDEX($E$1:$K$1, MATCH(MIN(E133:K133), E133:K133, 0))), 技能库!$A:$F, 5, 0),"建议查阅考纲")&amp;CHAR(10)&amp;"💡 提升建议: "&amp;IFERROR(VLOOKUP(TRIM(D133)&amp;"_"&amp;TRIM(INDEX($E$1:$K$1, MATCH(MIN(E133:K133), E133:K133, 0))), 技能库!$A:$F, 6, 0),"请针对该题型加强练习"))</f>
        <v/>
      </c>
      <c r="AB133" s="5" t="str">
        <f>IF(P133="","", "⚠️ 薄弱环节: "&amp;INDEX($N$1:$O$1, MATCH(MIN(N133:O133), N133:O133, 0))&amp;CHAR(10)&amp;"📉 考察能力: "&amp;IFERROR(VLOOKUP(TRIM(D133)&amp;"_"&amp;TRIM(INDEX($N$1:$O$1, MATCH(MIN(N133:O133), N133:O133, 0))), 技能库!$A:$F, 5, 0),"建议查阅考纲")&amp;CHAR(10)&amp;"💡 提升建议: "&amp;IFERROR(VLOOKUP(TRIM(D133)&amp;"_"&amp;TRIM(INDEX($N$1:$O$1, MATCH(MIN(N133:O133), N133:O133, 0))), 技能库!$A:$F, 6, 0),"请针对该题型加强练习"))</f>
        <v/>
      </c>
      <c r="AC133" s="5" t="str">
        <f>IF(W133="","", "⚠️ 薄弱环节: "&amp;INDEX($R$1:$V$1, MATCH(MIN(R133:V133), R133:V133, 0))&amp;CHAR(10)&amp;"📉 考察能力: "&amp;IFERROR(VLOOKUP(TRIM(D133)&amp;"_"&amp;TRIM(INDEX($R$1:$V$1, MATCH(MIN(R133:V133), R133:V133, 0))), 技能库!$A:$F, 5, 0),"建议查阅考纲")&amp;CHAR(10)&amp;"💡 提升建议: "&amp;IFERROR(VLOOKUP(TRIM(D133)&amp;"_"&amp;TRIM(INDEX($R$1:$V$1, MATCH(MIN(R133:V133), R133:V133, 0))), 技能库!$A:$F, 6, 0),"请针对该题型加强练习"))</f>
        <v/>
      </c>
    </row>
    <row r="134" spans="12:29" ht="16" hidden="1" x14ac:dyDescent="0.2">
      <c r="L134" t="str">
        <f t="shared" si="8"/>
        <v/>
      </c>
      <c r="M134" t="str">
        <f>IF(L134="","", IFERROR(VLOOKUP(L134, IF(D134="KET", 换算标准!$M:$N, IF(D134="PET", 换算标准!$S:$T, 换算标准!$AC:$AD)), 2, TRUE), 0))</f>
        <v/>
      </c>
      <c r="P134" t="str">
        <f t="shared" si="9"/>
        <v/>
      </c>
      <c r="Q134" t="str">
        <f>IF(P134="","", IFERROR(VLOOKUP(P134, IF(D134="KET", 换算标准!$O:$P, IF(D134="PET", 换算标准!$U:$V, 换算标准!$AG:$AH)), 2, TRUE), 0))</f>
        <v/>
      </c>
      <c r="W134" t="str">
        <f t="shared" si="10"/>
        <v/>
      </c>
      <c r="X134" t="str">
        <f>IF(W134="","", IFERROR(VLOOKUP(W134, IF(D134="KET", 换算标准!$Q:$R, IF(D134="PET", 换算标准!$W:$X, 换算标准!$AI:$AJ)), 2, TRUE), 0))</f>
        <v/>
      </c>
      <c r="Y134" t="str">
        <f t="shared" si="11"/>
        <v/>
      </c>
      <c r="Z134" t="str">
        <f>IF(Y134="","", IFERROR(VLOOKUP(Y134, 换算标准!$Z:$AA, 1, TRUE), ""))</f>
        <v/>
      </c>
      <c r="AA134" s="5" t="str">
        <f>IF(L134="","", "⚠️ 薄弱环节: "&amp;INDEX($E$1:$K$1, MATCH(MIN(E134:K134), E134:K134, 0))&amp;CHAR(10)&amp;"📉 考察能力: "&amp;IFERROR(VLOOKUP(TRIM(D134)&amp;"_"&amp;TRIM(INDEX($E$1:$K$1, MATCH(MIN(E134:K134), E134:K134, 0))), 技能库!$A:$F, 5, 0),"建议查阅考纲")&amp;CHAR(10)&amp;"💡 提升建议: "&amp;IFERROR(VLOOKUP(TRIM(D134)&amp;"_"&amp;TRIM(INDEX($E$1:$K$1, MATCH(MIN(E134:K134), E134:K134, 0))), 技能库!$A:$F, 6, 0),"请针对该题型加强练习"))</f>
        <v/>
      </c>
      <c r="AB134" s="5" t="str">
        <f>IF(P134="","", "⚠️ 薄弱环节: "&amp;INDEX($N$1:$O$1, MATCH(MIN(N134:O134), N134:O134, 0))&amp;CHAR(10)&amp;"📉 考察能力: "&amp;IFERROR(VLOOKUP(TRIM(D134)&amp;"_"&amp;TRIM(INDEX($N$1:$O$1, MATCH(MIN(N134:O134), N134:O134, 0))), 技能库!$A:$F, 5, 0),"建议查阅考纲")&amp;CHAR(10)&amp;"💡 提升建议: "&amp;IFERROR(VLOOKUP(TRIM(D134)&amp;"_"&amp;TRIM(INDEX($N$1:$O$1, MATCH(MIN(N134:O134), N134:O134, 0))), 技能库!$A:$F, 6, 0),"请针对该题型加强练习"))</f>
        <v/>
      </c>
      <c r="AC134" s="5" t="str">
        <f>IF(W134="","", "⚠️ 薄弱环节: "&amp;INDEX($R$1:$V$1, MATCH(MIN(R134:V134), R134:V134, 0))&amp;CHAR(10)&amp;"📉 考察能力: "&amp;IFERROR(VLOOKUP(TRIM(D134)&amp;"_"&amp;TRIM(INDEX($R$1:$V$1, MATCH(MIN(R134:V134), R134:V134, 0))), 技能库!$A:$F, 5, 0),"建议查阅考纲")&amp;CHAR(10)&amp;"💡 提升建议: "&amp;IFERROR(VLOOKUP(TRIM(D134)&amp;"_"&amp;TRIM(INDEX($R$1:$V$1, MATCH(MIN(R134:V134), R134:V134, 0))), 技能库!$A:$F, 6, 0),"请针对该题型加强练习"))</f>
        <v/>
      </c>
    </row>
    <row r="135" spans="12:29" ht="16" hidden="1" x14ac:dyDescent="0.2">
      <c r="L135" t="str">
        <f t="shared" si="8"/>
        <v/>
      </c>
      <c r="M135" t="str">
        <f>IF(L135="","", IFERROR(VLOOKUP(L135, IF(D135="KET", 换算标准!$M:$N, IF(D135="PET", 换算标准!$S:$T, 换算标准!$AC:$AD)), 2, TRUE), 0))</f>
        <v/>
      </c>
      <c r="P135" t="str">
        <f t="shared" si="9"/>
        <v/>
      </c>
      <c r="Q135" t="str">
        <f>IF(P135="","", IFERROR(VLOOKUP(P135, IF(D135="KET", 换算标准!$O:$P, IF(D135="PET", 换算标准!$U:$V, 换算标准!$AG:$AH)), 2, TRUE), 0))</f>
        <v/>
      </c>
      <c r="W135" t="str">
        <f t="shared" si="10"/>
        <v/>
      </c>
      <c r="X135" t="str">
        <f>IF(W135="","", IFERROR(VLOOKUP(W135, IF(D135="KET", 换算标准!$Q:$R, IF(D135="PET", 换算标准!$W:$X, 换算标准!$AI:$AJ)), 2, TRUE), 0))</f>
        <v/>
      </c>
      <c r="Y135" t="str">
        <f t="shared" si="11"/>
        <v/>
      </c>
      <c r="Z135" t="str">
        <f>IF(Y135="","", IFERROR(VLOOKUP(Y135, 换算标准!$Z:$AA, 1, TRUE), ""))</f>
        <v/>
      </c>
      <c r="AA135" s="5" t="str">
        <f>IF(L135="","", "⚠️ 薄弱环节: "&amp;INDEX($E$1:$K$1, MATCH(MIN(E135:K135), E135:K135, 0))&amp;CHAR(10)&amp;"📉 考察能力: "&amp;IFERROR(VLOOKUP(TRIM(D135)&amp;"_"&amp;TRIM(INDEX($E$1:$K$1, MATCH(MIN(E135:K135), E135:K135, 0))), 技能库!$A:$F, 5, 0),"建议查阅考纲")&amp;CHAR(10)&amp;"💡 提升建议: "&amp;IFERROR(VLOOKUP(TRIM(D135)&amp;"_"&amp;TRIM(INDEX($E$1:$K$1, MATCH(MIN(E135:K135), E135:K135, 0))), 技能库!$A:$F, 6, 0),"请针对该题型加强练习"))</f>
        <v/>
      </c>
      <c r="AB135" s="5" t="str">
        <f>IF(P135="","", "⚠️ 薄弱环节: "&amp;INDEX($N$1:$O$1, MATCH(MIN(N135:O135), N135:O135, 0))&amp;CHAR(10)&amp;"📉 考察能力: "&amp;IFERROR(VLOOKUP(TRIM(D135)&amp;"_"&amp;TRIM(INDEX($N$1:$O$1, MATCH(MIN(N135:O135), N135:O135, 0))), 技能库!$A:$F, 5, 0),"建议查阅考纲")&amp;CHAR(10)&amp;"💡 提升建议: "&amp;IFERROR(VLOOKUP(TRIM(D135)&amp;"_"&amp;TRIM(INDEX($N$1:$O$1, MATCH(MIN(N135:O135), N135:O135, 0))), 技能库!$A:$F, 6, 0),"请针对该题型加强练习"))</f>
        <v/>
      </c>
      <c r="AC135" s="5" t="str">
        <f>IF(W135="","", "⚠️ 薄弱环节: "&amp;INDEX($R$1:$V$1, MATCH(MIN(R135:V135), R135:V135, 0))&amp;CHAR(10)&amp;"📉 考察能力: "&amp;IFERROR(VLOOKUP(TRIM(D135)&amp;"_"&amp;TRIM(INDEX($R$1:$V$1, MATCH(MIN(R135:V135), R135:V135, 0))), 技能库!$A:$F, 5, 0),"建议查阅考纲")&amp;CHAR(10)&amp;"💡 提升建议: "&amp;IFERROR(VLOOKUP(TRIM(D135)&amp;"_"&amp;TRIM(INDEX($R$1:$V$1, MATCH(MIN(R135:V135), R135:V135, 0))), 技能库!$A:$F, 6, 0),"请针对该题型加强练习"))</f>
        <v/>
      </c>
    </row>
    <row r="136" spans="12:29" ht="16" hidden="1" x14ac:dyDescent="0.2">
      <c r="L136" t="str">
        <f t="shared" si="8"/>
        <v/>
      </c>
      <c r="M136" t="str">
        <f>IF(L136="","", IFERROR(VLOOKUP(L136, IF(D136="KET", 换算标准!$M:$N, IF(D136="PET", 换算标准!$S:$T, 换算标准!$AC:$AD)), 2, TRUE), 0))</f>
        <v/>
      </c>
      <c r="P136" t="str">
        <f t="shared" si="9"/>
        <v/>
      </c>
      <c r="Q136" t="str">
        <f>IF(P136="","", IFERROR(VLOOKUP(P136, IF(D136="KET", 换算标准!$O:$P, IF(D136="PET", 换算标准!$U:$V, 换算标准!$AG:$AH)), 2, TRUE), 0))</f>
        <v/>
      </c>
      <c r="W136" t="str">
        <f t="shared" si="10"/>
        <v/>
      </c>
      <c r="X136" t="str">
        <f>IF(W136="","", IFERROR(VLOOKUP(W136, IF(D136="KET", 换算标准!$Q:$R, IF(D136="PET", 换算标准!$W:$X, 换算标准!$AI:$AJ)), 2, TRUE), 0))</f>
        <v/>
      </c>
      <c r="Y136" t="str">
        <f t="shared" si="11"/>
        <v/>
      </c>
      <c r="Z136" t="str">
        <f>IF(Y136="","", IFERROR(VLOOKUP(Y136, 换算标准!$Z:$AA, 1, TRUE), ""))</f>
        <v/>
      </c>
      <c r="AA136" s="5" t="str">
        <f>IF(L136="","", "⚠️ 薄弱环节: "&amp;INDEX($E$1:$K$1, MATCH(MIN(E136:K136), E136:K136, 0))&amp;CHAR(10)&amp;"📉 考察能力: "&amp;IFERROR(VLOOKUP(TRIM(D136)&amp;"_"&amp;TRIM(INDEX($E$1:$K$1, MATCH(MIN(E136:K136), E136:K136, 0))), 技能库!$A:$F, 5, 0),"建议查阅考纲")&amp;CHAR(10)&amp;"💡 提升建议: "&amp;IFERROR(VLOOKUP(TRIM(D136)&amp;"_"&amp;TRIM(INDEX($E$1:$K$1, MATCH(MIN(E136:K136), E136:K136, 0))), 技能库!$A:$F, 6, 0),"请针对该题型加强练习"))</f>
        <v/>
      </c>
      <c r="AB136" s="5" t="str">
        <f>IF(P136="","", "⚠️ 薄弱环节: "&amp;INDEX($N$1:$O$1, MATCH(MIN(N136:O136), N136:O136, 0))&amp;CHAR(10)&amp;"📉 考察能力: "&amp;IFERROR(VLOOKUP(TRIM(D136)&amp;"_"&amp;TRIM(INDEX($N$1:$O$1, MATCH(MIN(N136:O136), N136:O136, 0))), 技能库!$A:$F, 5, 0),"建议查阅考纲")&amp;CHAR(10)&amp;"💡 提升建议: "&amp;IFERROR(VLOOKUP(TRIM(D136)&amp;"_"&amp;TRIM(INDEX($N$1:$O$1, MATCH(MIN(N136:O136), N136:O136, 0))), 技能库!$A:$F, 6, 0),"请针对该题型加强练习"))</f>
        <v/>
      </c>
      <c r="AC136" s="5" t="str">
        <f>IF(W136="","", "⚠️ 薄弱环节: "&amp;INDEX($R$1:$V$1, MATCH(MIN(R136:V136), R136:V136, 0))&amp;CHAR(10)&amp;"📉 考察能力: "&amp;IFERROR(VLOOKUP(TRIM(D136)&amp;"_"&amp;TRIM(INDEX($R$1:$V$1, MATCH(MIN(R136:V136), R136:V136, 0))), 技能库!$A:$F, 5, 0),"建议查阅考纲")&amp;CHAR(10)&amp;"💡 提升建议: "&amp;IFERROR(VLOOKUP(TRIM(D136)&amp;"_"&amp;TRIM(INDEX($R$1:$V$1, MATCH(MIN(R136:V136), R136:V136, 0))), 技能库!$A:$F, 6, 0),"请针对该题型加强练习"))</f>
        <v/>
      </c>
    </row>
    <row r="137" spans="12:29" ht="16" hidden="1" x14ac:dyDescent="0.2">
      <c r="L137" t="str">
        <f t="shared" si="8"/>
        <v/>
      </c>
      <c r="M137" t="str">
        <f>IF(L137="","", IFERROR(VLOOKUP(L137, IF(D137="KET", 换算标准!$M:$N, IF(D137="PET", 换算标准!$S:$T, 换算标准!$AC:$AD)), 2, TRUE), 0))</f>
        <v/>
      </c>
      <c r="P137" t="str">
        <f t="shared" si="9"/>
        <v/>
      </c>
      <c r="Q137" t="str">
        <f>IF(P137="","", IFERROR(VLOOKUP(P137, IF(D137="KET", 换算标准!$O:$P, IF(D137="PET", 换算标准!$U:$V, 换算标准!$AG:$AH)), 2, TRUE), 0))</f>
        <v/>
      </c>
      <c r="W137" t="str">
        <f t="shared" si="10"/>
        <v/>
      </c>
      <c r="X137" t="str">
        <f>IF(W137="","", IFERROR(VLOOKUP(W137, IF(D137="KET", 换算标准!$Q:$R, IF(D137="PET", 换算标准!$W:$X, 换算标准!$AI:$AJ)), 2, TRUE), 0))</f>
        <v/>
      </c>
      <c r="Y137" t="str">
        <f t="shared" si="11"/>
        <v/>
      </c>
      <c r="Z137" t="str">
        <f>IF(Y137="","", IFERROR(VLOOKUP(Y137, 换算标准!$Z:$AA, 1, TRUE), ""))</f>
        <v/>
      </c>
      <c r="AA137" s="5" t="str">
        <f>IF(L137="","", "⚠️ 薄弱环节: "&amp;INDEX($E$1:$K$1, MATCH(MIN(E137:K137), E137:K137, 0))&amp;CHAR(10)&amp;"📉 考察能力: "&amp;IFERROR(VLOOKUP(TRIM(D137)&amp;"_"&amp;TRIM(INDEX($E$1:$K$1, MATCH(MIN(E137:K137), E137:K137, 0))), 技能库!$A:$F, 5, 0),"建议查阅考纲")&amp;CHAR(10)&amp;"💡 提升建议: "&amp;IFERROR(VLOOKUP(TRIM(D137)&amp;"_"&amp;TRIM(INDEX($E$1:$K$1, MATCH(MIN(E137:K137), E137:K137, 0))), 技能库!$A:$F, 6, 0),"请针对该题型加强练习"))</f>
        <v/>
      </c>
      <c r="AB137" s="5" t="str">
        <f>IF(P137="","", "⚠️ 薄弱环节: "&amp;INDEX($N$1:$O$1, MATCH(MIN(N137:O137), N137:O137, 0))&amp;CHAR(10)&amp;"📉 考察能力: "&amp;IFERROR(VLOOKUP(TRIM(D137)&amp;"_"&amp;TRIM(INDEX($N$1:$O$1, MATCH(MIN(N137:O137), N137:O137, 0))), 技能库!$A:$F, 5, 0),"建议查阅考纲")&amp;CHAR(10)&amp;"💡 提升建议: "&amp;IFERROR(VLOOKUP(TRIM(D137)&amp;"_"&amp;TRIM(INDEX($N$1:$O$1, MATCH(MIN(N137:O137), N137:O137, 0))), 技能库!$A:$F, 6, 0),"请针对该题型加强练习"))</f>
        <v/>
      </c>
      <c r="AC137" s="5" t="str">
        <f>IF(W137="","", "⚠️ 薄弱环节: "&amp;INDEX($R$1:$V$1, MATCH(MIN(R137:V137), R137:V137, 0))&amp;CHAR(10)&amp;"📉 考察能力: "&amp;IFERROR(VLOOKUP(TRIM(D137)&amp;"_"&amp;TRIM(INDEX($R$1:$V$1, MATCH(MIN(R137:V137), R137:V137, 0))), 技能库!$A:$F, 5, 0),"建议查阅考纲")&amp;CHAR(10)&amp;"💡 提升建议: "&amp;IFERROR(VLOOKUP(TRIM(D137)&amp;"_"&amp;TRIM(INDEX($R$1:$V$1, MATCH(MIN(R137:V137), R137:V137, 0))), 技能库!$A:$F, 6, 0),"请针对该题型加强练习"))</f>
        <v/>
      </c>
    </row>
    <row r="138" spans="12:29" ht="16" hidden="1" x14ac:dyDescent="0.2">
      <c r="L138" t="str">
        <f t="shared" si="8"/>
        <v/>
      </c>
      <c r="M138" t="str">
        <f>IF(L138="","", IFERROR(VLOOKUP(L138, IF(D138="KET", 换算标准!$M:$N, IF(D138="PET", 换算标准!$S:$T, 换算标准!$AC:$AD)), 2, TRUE), 0))</f>
        <v/>
      </c>
      <c r="P138" t="str">
        <f t="shared" si="9"/>
        <v/>
      </c>
      <c r="Q138" t="str">
        <f>IF(P138="","", IFERROR(VLOOKUP(P138, IF(D138="KET", 换算标准!$O:$P, IF(D138="PET", 换算标准!$U:$V, 换算标准!$AG:$AH)), 2, TRUE), 0))</f>
        <v/>
      </c>
      <c r="W138" t="str">
        <f t="shared" si="10"/>
        <v/>
      </c>
      <c r="X138" t="str">
        <f>IF(W138="","", IFERROR(VLOOKUP(W138, IF(D138="KET", 换算标准!$Q:$R, IF(D138="PET", 换算标准!$W:$X, 换算标准!$AI:$AJ)), 2, TRUE), 0))</f>
        <v/>
      </c>
      <c r="Y138" t="str">
        <f t="shared" si="11"/>
        <v/>
      </c>
      <c r="Z138" t="str">
        <f>IF(Y138="","", IFERROR(VLOOKUP(Y138, 换算标准!$Z:$AA, 1, TRUE), ""))</f>
        <v/>
      </c>
      <c r="AA138" s="5" t="str">
        <f>IF(L138="","", "⚠️ 薄弱环节: "&amp;INDEX($E$1:$K$1, MATCH(MIN(E138:K138), E138:K138, 0))&amp;CHAR(10)&amp;"📉 考察能力: "&amp;IFERROR(VLOOKUP(TRIM(D138)&amp;"_"&amp;TRIM(INDEX($E$1:$K$1, MATCH(MIN(E138:K138), E138:K138, 0))), 技能库!$A:$F, 5, 0),"建议查阅考纲")&amp;CHAR(10)&amp;"💡 提升建议: "&amp;IFERROR(VLOOKUP(TRIM(D138)&amp;"_"&amp;TRIM(INDEX($E$1:$K$1, MATCH(MIN(E138:K138), E138:K138, 0))), 技能库!$A:$F, 6, 0),"请针对该题型加强练习"))</f>
        <v/>
      </c>
      <c r="AB138" s="5" t="str">
        <f>IF(P138="","", "⚠️ 薄弱环节: "&amp;INDEX($N$1:$O$1, MATCH(MIN(N138:O138), N138:O138, 0))&amp;CHAR(10)&amp;"📉 考察能力: "&amp;IFERROR(VLOOKUP(TRIM(D138)&amp;"_"&amp;TRIM(INDEX($N$1:$O$1, MATCH(MIN(N138:O138), N138:O138, 0))), 技能库!$A:$F, 5, 0),"建议查阅考纲")&amp;CHAR(10)&amp;"💡 提升建议: "&amp;IFERROR(VLOOKUP(TRIM(D138)&amp;"_"&amp;TRIM(INDEX($N$1:$O$1, MATCH(MIN(N138:O138), N138:O138, 0))), 技能库!$A:$F, 6, 0),"请针对该题型加强练习"))</f>
        <v/>
      </c>
      <c r="AC138" s="5" t="str">
        <f>IF(W138="","", "⚠️ 薄弱环节: "&amp;INDEX($R$1:$V$1, MATCH(MIN(R138:V138), R138:V138, 0))&amp;CHAR(10)&amp;"📉 考察能力: "&amp;IFERROR(VLOOKUP(TRIM(D138)&amp;"_"&amp;TRIM(INDEX($R$1:$V$1, MATCH(MIN(R138:V138), R138:V138, 0))), 技能库!$A:$F, 5, 0),"建议查阅考纲")&amp;CHAR(10)&amp;"💡 提升建议: "&amp;IFERROR(VLOOKUP(TRIM(D138)&amp;"_"&amp;TRIM(INDEX($R$1:$V$1, MATCH(MIN(R138:V138), R138:V138, 0))), 技能库!$A:$F, 6, 0),"请针对该题型加强练习"))</f>
        <v/>
      </c>
    </row>
    <row r="139" spans="12:29" ht="16" hidden="1" x14ac:dyDescent="0.2">
      <c r="L139" t="str">
        <f t="shared" si="8"/>
        <v/>
      </c>
      <c r="M139" t="str">
        <f>IF(L139="","", IFERROR(VLOOKUP(L139, IF(D139="KET", 换算标准!$M:$N, IF(D139="PET", 换算标准!$S:$T, 换算标准!$AC:$AD)), 2, TRUE), 0))</f>
        <v/>
      </c>
      <c r="P139" t="str">
        <f t="shared" si="9"/>
        <v/>
      </c>
      <c r="Q139" t="str">
        <f>IF(P139="","", IFERROR(VLOOKUP(P139, IF(D139="KET", 换算标准!$O:$P, IF(D139="PET", 换算标准!$U:$V, 换算标准!$AG:$AH)), 2, TRUE), 0))</f>
        <v/>
      </c>
      <c r="W139" t="str">
        <f t="shared" si="10"/>
        <v/>
      </c>
      <c r="X139" t="str">
        <f>IF(W139="","", IFERROR(VLOOKUP(W139, IF(D139="KET", 换算标准!$Q:$R, IF(D139="PET", 换算标准!$W:$X, 换算标准!$AI:$AJ)), 2, TRUE), 0))</f>
        <v/>
      </c>
      <c r="Y139" t="str">
        <f t="shared" si="11"/>
        <v/>
      </c>
      <c r="Z139" t="str">
        <f>IF(Y139="","", IFERROR(VLOOKUP(Y139, 换算标准!$Z:$AA, 1, TRUE), ""))</f>
        <v/>
      </c>
      <c r="AA139" s="5" t="str">
        <f>IF(L139="","", "⚠️ 薄弱环节: "&amp;INDEX($E$1:$K$1, MATCH(MIN(E139:K139), E139:K139, 0))&amp;CHAR(10)&amp;"📉 考察能力: "&amp;IFERROR(VLOOKUP(TRIM(D139)&amp;"_"&amp;TRIM(INDEX($E$1:$K$1, MATCH(MIN(E139:K139), E139:K139, 0))), 技能库!$A:$F, 5, 0),"建议查阅考纲")&amp;CHAR(10)&amp;"💡 提升建议: "&amp;IFERROR(VLOOKUP(TRIM(D139)&amp;"_"&amp;TRIM(INDEX($E$1:$K$1, MATCH(MIN(E139:K139), E139:K139, 0))), 技能库!$A:$F, 6, 0),"请针对该题型加强练习"))</f>
        <v/>
      </c>
      <c r="AB139" s="5" t="str">
        <f>IF(P139="","", "⚠️ 薄弱环节: "&amp;INDEX($N$1:$O$1, MATCH(MIN(N139:O139), N139:O139, 0))&amp;CHAR(10)&amp;"📉 考察能力: "&amp;IFERROR(VLOOKUP(TRIM(D139)&amp;"_"&amp;TRIM(INDEX($N$1:$O$1, MATCH(MIN(N139:O139), N139:O139, 0))), 技能库!$A:$F, 5, 0),"建议查阅考纲")&amp;CHAR(10)&amp;"💡 提升建议: "&amp;IFERROR(VLOOKUP(TRIM(D139)&amp;"_"&amp;TRIM(INDEX($N$1:$O$1, MATCH(MIN(N139:O139), N139:O139, 0))), 技能库!$A:$F, 6, 0),"请针对该题型加强练习"))</f>
        <v/>
      </c>
      <c r="AC139" s="5" t="str">
        <f>IF(W139="","", "⚠️ 薄弱环节: "&amp;INDEX($R$1:$V$1, MATCH(MIN(R139:V139), R139:V139, 0))&amp;CHAR(10)&amp;"📉 考察能力: "&amp;IFERROR(VLOOKUP(TRIM(D139)&amp;"_"&amp;TRIM(INDEX($R$1:$V$1, MATCH(MIN(R139:V139), R139:V139, 0))), 技能库!$A:$F, 5, 0),"建议查阅考纲")&amp;CHAR(10)&amp;"💡 提升建议: "&amp;IFERROR(VLOOKUP(TRIM(D139)&amp;"_"&amp;TRIM(INDEX($R$1:$V$1, MATCH(MIN(R139:V139), R139:V139, 0))), 技能库!$A:$F, 6, 0),"请针对该题型加强练习"))</f>
        <v/>
      </c>
    </row>
    <row r="140" spans="12:29" ht="16" hidden="1" x14ac:dyDescent="0.2">
      <c r="L140" t="str">
        <f t="shared" si="8"/>
        <v/>
      </c>
      <c r="M140" t="str">
        <f>IF(L140="","", IFERROR(VLOOKUP(L140, IF(D140="KET", 换算标准!$M:$N, IF(D140="PET", 换算标准!$S:$T, 换算标准!$AC:$AD)), 2, TRUE), 0))</f>
        <v/>
      </c>
      <c r="P140" t="str">
        <f t="shared" si="9"/>
        <v/>
      </c>
      <c r="Q140" t="str">
        <f>IF(P140="","", IFERROR(VLOOKUP(P140, IF(D140="KET", 换算标准!$O:$P, IF(D140="PET", 换算标准!$U:$V, 换算标准!$AG:$AH)), 2, TRUE), 0))</f>
        <v/>
      </c>
      <c r="W140" t="str">
        <f t="shared" si="10"/>
        <v/>
      </c>
      <c r="X140" t="str">
        <f>IF(W140="","", IFERROR(VLOOKUP(W140, IF(D140="KET", 换算标准!$Q:$R, IF(D140="PET", 换算标准!$W:$X, 换算标准!$AI:$AJ)), 2, TRUE), 0))</f>
        <v/>
      </c>
      <c r="Y140" t="str">
        <f t="shared" si="11"/>
        <v/>
      </c>
      <c r="Z140" t="str">
        <f>IF(Y140="","", IFERROR(VLOOKUP(Y140, 换算标准!$Z:$AA, 1, TRUE), ""))</f>
        <v/>
      </c>
      <c r="AA140" s="5" t="str">
        <f>IF(L140="","", "⚠️ 薄弱环节: "&amp;INDEX($E$1:$K$1, MATCH(MIN(E140:K140), E140:K140, 0))&amp;CHAR(10)&amp;"📉 考察能力: "&amp;IFERROR(VLOOKUP(TRIM(D140)&amp;"_"&amp;TRIM(INDEX($E$1:$K$1, MATCH(MIN(E140:K140), E140:K140, 0))), 技能库!$A:$F, 5, 0),"建议查阅考纲")&amp;CHAR(10)&amp;"💡 提升建议: "&amp;IFERROR(VLOOKUP(TRIM(D140)&amp;"_"&amp;TRIM(INDEX($E$1:$K$1, MATCH(MIN(E140:K140), E140:K140, 0))), 技能库!$A:$F, 6, 0),"请针对该题型加强练习"))</f>
        <v/>
      </c>
      <c r="AB140" s="5" t="str">
        <f>IF(P140="","", "⚠️ 薄弱环节: "&amp;INDEX($N$1:$O$1, MATCH(MIN(N140:O140), N140:O140, 0))&amp;CHAR(10)&amp;"📉 考察能力: "&amp;IFERROR(VLOOKUP(TRIM(D140)&amp;"_"&amp;TRIM(INDEX($N$1:$O$1, MATCH(MIN(N140:O140), N140:O140, 0))), 技能库!$A:$F, 5, 0),"建议查阅考纲")&amp;CHAR(10)&amp;"💡 提升建议: "&amp;IFERROR(VLOOKUP(TRIM(D140)&amp;"_"&amp;TRIM(INDEX($N$1:$O$1, MATCH(MIN(N140:O140), N140:O140, 0))), 技能库!$A:$F, 6, 0),"请针对该题型加强练习"))</f>
        <v/>
      </c>
      <c r="AC140" s="5" t="str">
        <f>IF(W140="","", "⚠️ 薄弱环节: "&amp;INDEX($R$1:$V$1, MATCH(MIN(R140:V140), R140:V140, 0))&amp;CHAR(10)&amp;"📉 考察能力: "&amp;IFERROR(VLOOKUP(TRIM(D140)&amp;"_"&amp;TRIM(INDEX($R$1:$V$1, MATCH(MIN(R140:V140), R140:V140, 0))), 技能库!$A:$F, 5, 0),"建议查阅考纲")&amp;CHAR(10)&amp;"💡 提升建议: "&amp;IFERROR(VLOOKUP(TRIM(D140)&amp;"_"&amp;TRIM(INDEX($R$1:$V$1, MATCH(MIN(R140:V140), R140:V140, 0))), 技能库!$A:$F, 6, 0),"请针对该题型加强练习"))</f>
        <v/>
      </c>
    </row>
    <row r="141" spans="12:29" ht="16" hidden="1" x14ac:dyDescent="0.2">
      <c r="L141" t="str">
        <f t="shared" si="8"/>
        <v/>
      </c>
      <c r="M141" t="str">
        <f>IF(L141="","", IFERROR(VLOOKUP(L141, IF(D141="KET", 换算标准!$M:$N, IF(D141="PET", 换算标准!$S:$T, 换算标准!$AC:$AD)), 2, TRUE), 0))</f>
        <v/>
      </c>
      <c r="P141" t="str">
        <f t="shared" si="9"/>
        <v/>
      </c>
      <c r="Q141" t="str">
        <f>IF(P141="","", IFERROR(VLOOKUP(P141, IF(D141="KET", 换算标准!$O:$P, IF(D141="PET", 换算标准!$U:$V, 换算标准!$AG:$AH)), 2, TRUE), 0))</f>
        <v/>
      </c>
      <c r="W141" t="str">
        <f t="shared" si="10"/>
        <v/>
      </c>
      <c r="X141" t="str">
        <f>IF(W141="","", IFERROR(VLOOKUP(W141, IF(D141="KET", 换算标准!$Q:$R, IF(D141="PET", 换算标准!$W:$X, 换算标准!$AI:$AJ)), 2, TRUE), 0))</f>
        <v/>
      </c>
      <c r="Y141" t="str">
        <f t="shared" si="11"/>
        <v/>
      </c>
      <c r="Z141" t="str">
        <f>IF(Y141="","", IFERROR(VLOOKUP(Y141, 换算标准!$Z:$AA, 1, TRUE), ""))</f>
        <v/>
      </c>
      <c r="AA141" s="5" t="str">
        <f>IF(L141="","", "⚠️ 薄弱环节: "&amp;INDEX($E$1:$K$1, MATCH(MIN(E141:K141), E141:K141, 0))&amp;CHAR(10)&amp;"📉 考察能力: "&amp;IFERROR(VLOOKUP(TRIM(D141)&amp;"_"&amp;TRIM(INDEX($E$1:$K$1, MATCH(MIN(E141:K141), E141:K141, 0))), 技能库!$A:$F, 5, 0),"建议查阅考纲")&amp;CHAR(10)&amp;"💡 提升建议: "&amp;IFERROR(VLOOKUP(TRIM(D141)&amp;"_"&amp;TRIM(INDEX($E$1:$K$1, MATCH(MIN(E141:K141), E141:K141, 0))), 技能库!$A:$F, 6, 0),"请针对该题型加强练习"))</f>
        <v/>
      </c>
      <c r="AB141" s="5" t="str">
        <f>IF(P141="","", "⚠️ 薄弱环节: "&amp;INDEX($N$1:$O$1, MATCH(MIN(N141:O141), N141:O141, 0))&amp;CHAR(10)&amp;"📉 考察能力: "&amp;IFERROR(VLOOKUP(TRIM(D141)&amp;"_"&amp;TRIM(INDEX($N$1:$O$1, MATCH(MIN(N141:O141), N141:O141, 0))), 技能库!$A:$F, 5, 0),"建议查阅考纲")&amp;CHAR(10)&amp;"💡 提升建议: "&amp;IFERROR(VLOOKUP(TRIM(D141)&amp;"_"&amp;TRIM(INDEX($N$1:$O$1, MATCH(MIN(N141:O141), N141:O141, 0))), 技能库!$A:$F, 6, 0),"请针对该题型加强练习"))</f>
        <v/>
      </c>
      <c r="AC141" s="5" t="str">
        <f>IF(W141="","", "⚠️ 薄弱环节: "&amp;INDEX($R$1:$V$1, MATCH(MIN(R141:V141), R141:V141, 0))&amp;CHAR(10)&amp;"📉 考察能力: "&amp;IFERROR(VLOOKUP(TRIM(D141)&amp;"_"&amp;TRIM(INDEX($R$1:$V$1, MATCH(MIN(R141:V141), R141:V141, 0))), 技能库!$A:$F, 5, 0),"建议查阅考纲")&amp;CHAR(10)&amp;"💡 提升建议: "&amp;IFERROR(VLOOKUP(TRIM(D141)&amp;"_"&amp;TRIM(INDEX($R$1:$V$1, MATCH(MIN(R141:V141), R141:V141, 0))), 技能库!$A:$F, 6, 0),"请针对该题型加强练习"))</f>
        <v/>
      </c>
    </row>
    <row r="142" spans="12:29" ht="16" hidden="1" x14ac:dyDescent="0.2">
      <c r="L142" t="str">
        <f t="shared" si="8"/>
        <v/>
      </c>
      <c r="M142" t="str">
        <f>IF(L142="","", IFERROR(VLOOKUP(L142, IF(D142="KET", 换算标准!$M:$N, IF(D142="PET", 换算标准!$S:$T, 换算标准!$AC:$AD)), 2, TRUE), 0))</f>
        <v/>
      </c>
      <c r="P142" t="str">
        <f t="shared" si="9"/>
        <v/>
      </c>
      <c r="Q142" t="str">
        <f>IF(P142="","", IFERROR(VLOOKUP(P142, IF(D142="KET", 换算标准!$O:$P, IF(D142="PET", 换算标准!$U:$V, 换算标准!$AG:$AH)), 2, TRUE), 0))</f>
        <v/>
      </c>
      <c r="W142" t="str">
        <f t="shared" si="10"/>
        <v/>
      </c>
      <c r="X142" t="str">
        <f>IF(W142="","", IFERROR(VLOOKUP(W142, IF(D142="KET", 换算标准!$Q:$R, IF(D142="PET", 换算标准!$W:$X, 换算标准!$AI:$AJ)), 2, TRUE), 0))</f>
        <v/>
      </c>
      <c r="Y142" t="str">
        <f t="shared" si="11"/>
        <v/>
      </c>
      <c r="Z142" t="str">
        <f>IF(Y142="","", IFERROR(VLOOKUP(Y142, 换算标准!$Z:$AA, 1, TRUE), ""))</f>
        <v/>
      </c>
      <c r="AA142" s="5" t="str">
        <f>IF(L142="","", "⚠️ 薄弱环节: "&amp;INDEX($E$1:$K$1, MATCH(MIN(E142:K142), E142:K142, 0))&amp;CHAR(10)&amp;"📉 考察能力: "&amp;IFERROR(VLOOKUP(TRIM(D142)&amp;"_"&amp;TRIM(INDEX($E$1:$K$1, MATCH(MIN(E142:K142), E142:K142, 0))), 技能库!$A:$F, 5, 0),"建议查阅考纲")&amp;CHAR(10)&amp;"💡 提升建议: "&amp;IFERROR(VLOOKUP(TRIM(D142)&amp;"_"&amp;TRIM(INDEX($E$1:$K$1, MATCH(MIN(E142:K142), E142:K142, 0))), 技能库!$A:$F, 6, 0),"请针对该题型加强练习"))</f>
        <v/>
      </c>
      <c r="AB142" s="5" t="str">
        <f>IF(P142="","", "⚠️ 薄弱环节: "&amp;INDEX($N$1:$O$1, MATCH(MIN(N142:O142), N142:O142, 0))&amp;CHAR(10)&amp;"📉 考察能力: "&amp;IFERROR(VLOOKUP(TRIM(D142)&amp;"_"&amp;TRIM(INDEX($N$1:$O$1, MATCH(MIN(N142:O142), N142:O142, 0))), 技能库!$A:$F, 5, 0),"建议查阅考纲")&amp;CHAR(10)&amp;"💡 提升建议: "&amp;IFERROR(VLOOKUP(TRIM(D142)&amp;"_"&amp;TRIM(INDEX($N$1:$O$1, MATCH(MIN(N142:O142), N142:O142, 0))), 技能库!$A:$F, 6, 0),"请针对该题型加强练习"))</f>
        <v/>
      </c>
      <c r="AC142" s="5" t="str">
        <f>IF(W142="","", "⚠️ 薄弱环节: "&amp;INDEX($R$1:$V$1, MATCH(MIN(R142:V142), R142:V142, 0))&amp;CHAR(10)&amp;"📉 考察能力: "&amp;IFERROR(VLOOKUP(TRIM(D142)&amp;"_"&amp;TRIM(INDEX($R$1:$V$1, MATCH(MIN(R142:V142), R142:V142, 0))), 技能库!$A:$F, 5, 0),"建议查阅考纲")&amp;CHAR(10)&amp;"💡 提升建议: "&amp;IFERROR(VLOOKUP(TRIM(D142)&amp;"_"&amp;TRIM(INDEX($R$1:$V$1, MATCH(MIN(R142:V142), R142:V142, 0))), 技能库!$A:$F, 6, 0),"请针对该题型加强练习"))</f>
        <v/>
      </c>
    </row>
    <row r="143" spans="12:29" ht="16" hidden="1" x14ac:dyDescent="0.2">
      <c r="L143" t="str">
        <f t="shared" si="8"/>
        <v/>
      </c>
      <c r="M143" t="str">
        <f>IF(L143="","", IFERROR(VLOOKUP(L143, IF(D143="KET", 换算标准!$M:$N, IF(D143="PET", 换算标准!$S:$T, 换算标准!$AC:$AD)), 2, TRUE), 0))</f>
        <v/>
      </c>
      <c r="P143" t="str">
        <f t="shared" si="9"/>
        <v/>
      </c>
      <c r="Q143" t="str">
        <f>IF(P143="","", IFERROR(VLOOKUP(P143, IF(D143="KET", 换算标准!$O:$P, IF(D143="PET", 换算标准!$U:$V, 换算标准!$AG:$AH)), 2, TRUE), 0))</f>
        <v/>
      </c>
      <c r="W143" t="str">
        <f t="shared" si="10"/>
        <v/>
      </c>
      <c r="X143" t="str">
        <f>IF(W143="","", IFERROR(VLOOKUP(W143, IF(D143="KET", 换算标准!$Q:$R, IF(D143="PET", 换算标准!$W:$X, 换算标准!$AI:$AJ)), 2, TRUE), 0))</f>
        <v/>
      </c>
      <c r="Y143" t="str">
        <f t="shared" si="11"/>
        <v/>
      </c>
      <c r="Z143" t="str">
        <f>IF(Y143="","", IFERROR(VLOOKUP(Y143, 换算标准!$Z:$AA, 1, TRUE), ""))</f>
        <v/>
      </c>
      <c r="AA143" s="5" t="str">
        <f>IF(L143="","", "⚠️ 薄弱环节: "&amp;INDEX($E$1:$K$1, MATCH(MIN(E143:K143), E143:K143, 0))&amp;CHAR(10)&amp;"📉 考察能力: "&amp;IFERROR(VLOOKUP(TRIM(D143)&amp;"_"&amp;TRIM(INDEX($E$1:$K$1, MATCH(MIN(E143:K143), E143:K143, 0))), 技能库!$A:$F, 5, 0),"建议查阅考纲")&amp;CHAR(10)&amp;"💡 提升建议: "&amp;IFERROR(VLOOKUP(TRIM(D143)&amp;"_"&amp;TRIM(INDEX($E$1:$K$1, MATCH(MIN(E143:K143), E143:K143, 0))), 技能库!$A:$F, 6, 0),"请针对该题型加强练习"))</f>
        <v/>
      </c>
      <c r="AB143" s="5" t="str">
        <f>IF(P143="","", "⚠️ 薄弱环节: "&amp;INDEX($N$1:$O$1, MATCH(MIN(N143:O143), N143:O143, 0))&amp;CHAR(10)&amp;"📉 考察能力: "&amp;IFERROR(VLOOKUP(TRIM(D143)&amp;"_"&amp;TRIM(INDEX($N$1:$O$1, MATCH(MIN(N143:O143), N143:O143, 0))), 技能库!$A:$F, 5, 0),"建议查阅考纲")&amp;CHAR(10)&amp;"💡 提升建议: "&amp;IFERROR(VLOOKUP(TRIM(D143)&amp;"_"&amp;TRIM(INDEX($N$1:$O$1, MATCH(MIN(N143:O143), N143:O143, 0))), 技能库!$A:$F, 6, 0),"请针对该题型加强练习"))</f>
        <v/>
      </c>
      <c r="AC143" s="5" t="str">
        <f>IF(W143="","", "⚠️ 薄弱环节: "&amp;INDEX($R$1:$V$1, MATCH(MIN(R143:V143), R143:V143, 0))&amp;CHAR(10)&amp;"📉 考察能力: "&amp;IFERROR(VLOOKUP(TRIM(D143)&amp;"_"&amp;TRIM(INDEX($R$1:$V$1, MATCH(MIN(R143:V143), R143:V143, 0))), 技能库!$A:$F, 5, 0),"建议查阅考纲")&amp;CHAR(10)&amp;"💡 提升建议: "&amp;IFERROR(VLOOKUP(TRIM(D143)&amp;"_"&amp;TRIM(INDEX($R$1:$V$1, MATCH(MIN(R143:V143), R143:V143, 0))), 技能库!$A:$F, 6, 0),"请针对该题型加强练习"))</f>
        <v/>
      </c>
    </row>
    <row r="144" spans="12:29" ht="16" hidden="1" x14ac:dyDescent="0.2">
      <c r="L144" t="str">
        <f t="shared" si="8"/>
        <v/>
      </c>
      <c r="M144" t="str">
        <f>IF(L144="","", IFERROR(VLOOKUP(L144, IF(D144="KET", 换算标准!$M:$N, IF(D144="PET", 换算标准!$S:$T, 换算标准!$AC:$AD)), 2, TRUE), 0))</f>
        <v/>
      </c>
      <c r="P144" t="str">
        <f t="shared" si="9"/>
        <v/>
      </c>
      <c r="Q144" t="str">
        <f>IF(P144="","", IFERROR(VLOOKUP(P144, IF(D144="KET", 换算标准!$O:$P, IF(D144="PET", 换算标准!$U:$V, 换算标准!$AG:$AH)), 2, TRUE), 0))</f>
        <v/>
      </c>
      <c r="W144" t="str">
        <f t="shared" si="10"/>
        <v/>
      </c>
      <c r="X144" t="str">
        <f>IF(W144="","", IFERROR(VLOOKUP(W144, IF(D144="KET", 换算标准!$Q:$R, IF(D144="PET", 换算标准!$W:$X, 换算标准!$AI:$AJ)), 2, TRUE), 0))</f>
        <v/>
      </c>
      <c r="Y144" t="str">
        <f t="shared" si="11"/>
        <v/>
      </c>
      <c r="Z144" t="str">
        <f>IF(Y144="","", IFERROR(VLOOKUP(Y144, 换算标准!$Z:$AA, 1, TRUE), ""))</f>
        <v/>
      </c>
      <c r="AA144" s="5" t="str">
        <f>IF(L144="","", "⚠️ 薄弱环节: "&amp;INDEX($E$1:$K$1, MATCH(MIN(E144:K144), E144:K144, 0))&amp;CHAR(10)&amp;"📉 考察能力: "&amp;IFERROR(VLOOKUP(TRIM(D144)&amp;"_"&amp;TRIM(INDEX($E$1:$K$1, MATCH(MIN(E144:K144), E144:K144, 0))), 技能库!$A:$F, 5, 0),"建议查阅考纲")&amp;CHAR(10)&amp;"💡 提升建议: "&amp;IFERROR(VLOOKUP(TRIM(D144)&amp;"_"&amp;TRIM(INDEX($E$1:$K$1, MATCH(MIN(E144:K144), E144:K144, 0))), 技能库!$A:$F, 6, 0),"请针对该题型加强练习"))</f>
        <v/>
      </c>
      <c r="AB144" s="5" t="str">
        <f>IF(P144="","", "⚠️ 薄弱环节: "&amp;INDEX($N$1:$O$1, MATCH(MIN(N144:O144), N144:O144, 0))&amp;CHAR(10)&amp;"📉 考察能力: "&amp;IFERROR(VLOOKUP(TRIM(D144)&amp;"_"&amp;TRIM(INDEX($N$1:$O$1, MATCH(MIN(N144:O144), N144:O144, 0))), 技能库!$A:$F, 5, 0),"建议查阅考纲")&amp;CHAR(10)&amp;"💡 提升建议: "&amp;IFERROR(VLOOKUP(TRIM(D144)&amp;"_"&amp;TRIM(INDEX($N$1:$O$1, MATCH(MIN(N144:O144), N144:O144, 0))), 技能库!$A:$F, 6, 0),"请针对该题型加强练习"))</f>
        <v/>
      </c>
      <c r="AC144" s="5" t="str">
        <f>IF(W144="","", "⚠️ 薄弱环节: "&amp;INDEX($R$1:$V$1, MATCH(MIN(R144:V144), R144:V144, 0))&amp;CHAR(10)&amp;"📉 考察能力: "&amp;IFERROR(VLOOKUP(TRIM(D144)&amp;"_"&amp;TRIM(INDEX($R$1:$V$1, MATCH(MIN(R144:V144), R144:V144, 0))), 技能库!$A:$F, 5, 0),"建议查阅考纲")&amp;CHAR(10)&amp;"💡 提升建议: "&amp;IFERROR(VLOOKUP(TRIM(D144)&amp;"_"&amp;TRIM(INDEX($R$1:$V$1, MATCH(MIN(R144:V144), R144:V144, 0))), 技能库!$A:$F, 6, 0),"请针对该题型加强练习"))</f>
        <v/>
      </c>
    </row>
    <row r="145" spans="12:29" ht="16" hidden="1" x14ac:dyDescent="0.2">
      <c r="L145" t="str">
        <f t="shared" si="8"/>
        <v/>
      </c>
      <c r="M145" t="str">
        <f>IF(L145="","", IFERROR(VLOOKUP(L145, IF(D145="KET", 换算标准!$M:$N, IF(D145="PET", 换算标准!$S:$T, 换算标准!$AC:$AD)), 2, TRUE), 0))</f>
        <v/>
      </c>
      <c r="P145" t="str">
        <f t="shared" si="9"/>
        <v/>
      </c>
      <c r="Q145" t="str">
        <f>IF(P145="","", IFERROR(VLOOKUP(P145, IF(D145="KET", 换算标准!$O:$P, IF(D145="PET", 换算标准!$U:$V, 换算标准!$AG:$AH)), 2, TRUE), 0))</f>
        <v/>
      </c>
      <c r="W145" t="str">
        <f t="shared" si="10"/>
        <v/>
      </c>
      <c r="X145" t="str">
        <f>IF(W145="","", IFERROR(VLOOKUP(W145, IF(D145="KET", 换算标准!$Q:$R, IF(D145="PET", 换算标准!$W:$X, 换算标准!$AI:$AJ)), 2, TRUE), 0))</f>
        <v/>
      </c>
      <c r="Y145" t="str">
        <f t="shared" si="11"/>
        <v/>
      </c>
      <c r="Z145" t="str">
        <f>IF(Y145="","", IFERROR(VLOOKUP(Y145, 换算标准!$Z:$AA, 1, TRUE), ""))</f>
        <v/>
      </c>
      <c r="AA145" s="5" t="str">
        <f>IF(L145="","", "⚠️ 薄弱环节: "&amp;INDEX($E$1:$K$1, MATCH(MIN(E145:K145), E145:K145, 0))&amp;CHAR(10)&amp;"📉 考察能力: "&amp;IFERROR(VLOOKUP(TRIM(D145)&amp;"_"&amp;TRIM(INDEX($E$1:$K$1, MATCH(MIN(E145:K145), E145:K145, 0))), 技能库!$A:$F, 5, 0),"建议查阅考纲")&amp;CHAR(10)&amp;"💡 提升建议: "&amp;IFERROR(VLOOKUP(TRIM(D145)&amp;"_"&amp;TRIM(INDEX($E$1:$K$1, MATCH(MIN(E145:K145), E145:K145, 0))), 技能库!$A:$F, 6, 0),"请针对该题型加强练习"))</f>
        <v/>
      </c>
      <c r="AB145" s="5" t="str">
        <f>IF(P145="","", "⚠️ 薄弱环节: "&amp;INDEX($N$1:$O$1, MATCH(MIN(N145:O145), N145:O145, 0))&amp;CHAR(10)&amp;"📉 考察能力: "&amp;IFERROR(VLOOKUP(TRIM(D145)&amp;"_"&amp;TRIM(INDEX($N$1:$O$1, MATCH(MIN(N145:O145), N145:O145, 0))), 技能库!$A:$F, 5, 0),"建议查阅考纲")&amp;CHAR(10)&amp;"💡 提升建议: "&amp;IFERROR(VLOOKUP(TRIM(D145)&amp;"_"&amp;TRIM(INDEX($N$1:$O$1, MATCH(MIN(N145:O145), N145:O145, 0))), 技能库!$A:$F, 6, 0),"请针对该题型加强练习"))</f>
        <v/>
      </c>
      <c r="AC145" s="5" t="str">
        <f>IF(W145="","", "⚠️ 薄弱环节: "&amp;INDEX($R$1:$V$1, MATCH(MIN(R145:V145), R145:V145, 0))&amp;CHAR(10)&amp;"📉 考察能力: "&amp;IFERROR(VLOOKUP(TRIM(D145)&amp;"_"&amp;TRIM(INDEX($R$1:$V$1, MATCH(MIN(R145:V145), R145:V145, 0))), 技能库!$A:$F, 5, 0),"建议查阅考纲")&amp;CHAR(10)&amp;"💡 提升建议: "&amp;IFERROR(VLOOKUP(TRIM(D145)&amp;"_"&amp;TRIM(INDEX($R$1:$V$1, MATCH(MIN(R145:V145), R145:V145, 0))), 技能库!$A:$F, 6, 0),"请针对该题型加强练习"))</f>
        <v/>
      </c>
    </row>
    <row r="146" spans="12:29" ht="16" hidden="1" x14ac:dyDescent="0.2">
      <c r="L146" t="str">
        <f t="shared" si="8"/>
        <v/>
      </c>
      <c r="M146" t="str">
        <f>IF(L146="","", IFERROR(VLOOKUP(L146, IF(D146="KET", 换算标准!$M:$N, IF(D146="PET", 换算标准!$S:$T, 换算标准!$AC:$AD)), 2, TRUE), 0))</f>
        <v/>
      </c>
      <c r="P146" t="str">
        <f t="shared" si="9"/>
        <v/>
      </c>
      <c r="Q146" t="str">
        <f>IF(P146="","", IFERROR(VLOOKUP(P146, IF(D146="KET", 换算标准!$O:$P, IF(D146="PET", 换算标准!$U:$V, 换算标准!$AG:$AH)), 2, TRUE), 0))</f>
        <v/>
      </c>
      <c r="W146" t="str">
        <f t="shared" si="10"/>
        <v/>
      </c>
      <c r="X146" t="str">
        <f>IF(W146="","", IFERROR(VLOOKUP(W146, IF(D146="KET", 换算标准!$Q:$R, IF(D146="PET", 换算标准!$W:$X, 换算标准!$AI:$AJ)), 2, TRUE), 0))</f>
        <v/>
      </c>
      <c r="Y146" t="str">
        <f t="shared" si="11"/>
        <v/>
      </c>
      <c r="Z146" t="str">
        <f>IF(Y146="","", IFERROR(VLOOKUP(Y146, 换算标准!$Z:$AA, 1, TRUE), ""))</f>
        <v/>
      </c>
      <c r="AA146" s="5" t="str">
        <f>IF(L146="","", "⚠️ 薄弱环节: "&amp;INDEX($E$1:$K$1, MATCH(MIN(E146:K146), E146:K146, 0))&amp;CHAR(10)&amp;"📉 考察能力: "&amp;IFERROR(VLOOKUP(TRIM(D146)&amp;"_"&amp;TRIM(INDEX($E$1:$K$1, MATCH(MIN(E146:K146), E146:K146, 0))), 技能库!$A:$F, 5, 0),"建议查阅考纲")&amp;CHAR(10)&amp;"💡 提升建议: "&amp;IFERROR(VLOOKUP(TRIM(D146)&amp;"_"&amp;TRIM(INDEX($E$1:$K$1, MATCH(MIN(E146:K146), E146:K146, 0))), 技能库!$A:$F, 6, 0),"请针对该题型加强练习"))</f>
        <v/>
      </c>
      <c r="AB146" s="5" t="str">
        <f>IF(P146="","", "⚠️ 薄弱环节: "&amp;INDEX($N$1:$O$1, MATCH(MIN(N146:O146), N146:O146, 0))&amp;CHAR(10)&amp;"📉 考察能力: "&amp;IFERROR(VLOOKUP(TRIM(D146)&amp;"_"&amp;TRIM(INDEX($N$1:$O$1, MATCH(MIN(N146:O146), N146:O146, 0))), 技能库!$A:$F, 5, 0),"建议查阅考纲")&amp;CHAR(10)&amp;"💡 提升建议: "&amp;IFERROR(VLOOKUP(TRIM(D146)&amp;"_"&amp;TRIM(INDEX($N$1:$O$1, MATCH(MIN(N146:O146), N146:O146, 0))), 技能库!$A:$F, 6, 0),"请针对该题型加强练习"))</f>
        <v/>
      </c>
      <c r="AC146" s="5" t="str">
        <f>IF(W146="","", "⚠️ 薄弱环节: "&amp;INDEX($R$1:$V$1, MATCH(MIN(R146:V146), R146:V146, 0))&amp;CHAR(10)&amp;"📉 考察能力: "&amp;IFERROR(VLOOKUP(TRIM(D146)&amp;"_"&amp;TRIM(INDEX($R$1:$V$1, MATCH(MIN(R146:V146), R146:V146, 0))), 技能库!$A:$F, 5, 0),"建议查阅考纲")&amp;CHAR(10)&amp;"💡 提升建议: "&amp;IFERROR(VLOOKUP(TRIM(D146)&amp;"_"&amp;TRIM(INDEX($R$1:$V$1, MATCH(MIN(R146:V146), R146:V146, 0))), 技能库!$A:$F, 6, 0),"请针对该题型加强练习"))</f>
        <v/>
      </c>
    </row>
    <row r="147" spans="12:29" ht="16" hidden="1" x14ac:dyDescent="0.2">
      <c r="L147" t="str">
        <f t="shared" si="8"/>
        <v/>
      </c>
      <c r="M147" t="str">
        <f>IF(L147="","", IFERROR(VLOOKUP(L147, IF(D147="KET", 换算标准!$M:$N, IF(D147="PET", 换算标准!$S:$T, 换算标准!$AC:$AD)), 2, TRUE), 0))</f>
        <v/>
      </c>
      <c r="P147" t="str">
        <f t="shared" si="9"/>
        <v/>
      </c>
      <c r="Q147" t="str">
        <f>IF(P147="","", IFERROR(VLOOKUP(P147, IF(D147="KET", 换算标准!$O:$P, IF(D147="PET", 换算标准!$U:$V, 换算标准!$AG:$AH)), 2, TRUE), 0))</f>
        <v/>
      </c>
      <c r="W147" t="str">
        <f t="shared" si="10"/>
        <v/>
      </c>
      <c r="X147" t="str">
        <f>IF(W147="","", IFERROR(VLOOKUP(W147, IF(D147="KET", 换算标准!$Q:$R, IF(D147="PET", 换算标准!$W:$X, 换算标准!$AI:$AJ)), 2, TRUE), 0))</f>
        <v/>
      </c>
      <c r="Y147" t="str">
        <f t="shared" si="11"/>
        <v/>
      </c>
      <c r="Z147" t="str">
        <f>IF(Y147="","", IFERROR(VLOOKUP(Y147, 换算标准!$Z:$AA, 1, TRUE), ""))</f>
        <v/>
      </c>
      <c r="AA147" s="5" t="str">
        <f>IF(L147="","", "⚠️ 薄弱环节: "&amp;INDEX($E$1:$K$1, MATCH(MIN(E147:K147), E147:K147, 0))&amp;CHAR(10)&amp;"📉 考察能力: "&amp;IFERROR(VLOOKUP(TRIM(D147)&amp;"_"&amp;TRIM(INDEX($E$1:$K$1, MATCH(MIN(E147:K147), E147:K147, 0))), 技能库!$A:$F, 5, 0),"建议查阅考纲")&amp;CHAR(10)&amp;"💡 提升建议: "&amp;IFERROR(VLOOKUP(TRIM(D147)&amp;"_"&amp;TRIM(INDEX($E$1:$K$1, MATCH(MIN(E147:K147), E147:K147, 0))), 技能库!$A:$F, 6, 0),"请针对该题型加强练习"))</f>
        <v/>
      </c>
      <c r="AB147" s="5" t="str">
        <f>IF(P147="","", "⚠️ 薄弱环节: "&amp;INDEX($N$1:$O$1, MATCH(MIN(N147:O147), N147:O147, 0))&amp;CHAR(10)&amp;"📉 考察能力: "&amp;IFERROR(VLOOKUP(TRIM(D147)&amp;"_"&amp;TRIM(INDEX($N$1:$O$1, MATCH(MIN(N147:O147), N147:O147, 0))), 技能库!$A:$F, 5, 0),"建议查阅考纲")&amp;CHAR(10)&amp;"💡 提升建议: "&amp;IFERROR(VLOOKUP(TRIM(D147)&amp;"_"&amp;TRIM(INDEX($N$1:$O$1, MATCH(MIN(N147:O147), N147:O147, 0))), 技能库!$A:$F, 6, 0),"请针对该题型加强练习"))</f>
        <v/>
      </c>
      <c r="AC147" s="5" t="str">
        <f>IF(W147="","", "⚠️ 薄弱环节: "&amp;INDEX($R$1:$V$1, MATCH(MIN(R147:V147), R147:V147, 0))&amp;CHAR(10)&amp;"📉 考察能力: "&amp;IFERROR(VLOOKUP(TRIM(D147)&amp;"_"&amp;TRIM(INDEX($R$1:$V$1, MATCH(MIN(R147:V147), R147:V147, 0))), 技能库!$A:$F, 5, 0),"建议查阅考纲")&amp;CHAR(10)&amp;"💡 提升建议: "&amp;IFERROR(VLOOKUP(TRIM(D147)&amp;"_"&amp;TRIM(INDEX($R$1:$V$1, MATCH(MIN(R147:V147), R147:V147, 0))), 技能库!$A:$F, 6, 0),"请针对该题型加强练习"))</f>
        <v/>
      </c>
    </row>
    <row r="148" spans="12:29" ht="16" hidden="1" x14ac:dyDescent="0.2">
      <c r="L148" t="str">
        <f t="shared" si="8"/>
        <v/>
      </c>
      <c r="M148" t="str">
        <f>IF(L148="","", IFERROR(VLOOKUP(L148, IF(D148="KET", 换算标准!$M:$N, IF(D148="PET", 换算标准!$S:$T, 换算标准!$AC:$AD)), 2, TRUE), 0))</f>
        <v/>
      </c>
      <c r="P148" t="str">
        <f t="shared" si="9"/>
        <v/>
      </c>
      <c r="Q148" t="str">
        <f>IF(P148="","", IFERROR(VLOOKUP(P148, IF(D148="KET", 换算标准!$O:$P, IF(D148="PET", 换算标准!$U:$V, 换算标准!$AG:$AH)), 2, TRUE), 0))</f>
        <v/>
      </c>
      <c r="W148" t="str">
        <f t="shared" si="10"/>
        <v/>
      </c>
      <c r="X148" t="str">
        <f>IF(W148="","", IFERROR(VLOOKUP(W148, IF(D148="KET", 换算标准!$Q:$R, IF(D148="PET", 换算标准!$W:$X, 换算标准!$AI:$AJ)), 2, TRUE), 0))</f>
        <v/>
      </c>
      <c r="Y148" t="str">
        <f t="shared" si="11"/>
        <v/>
      </c>
      <c r="Z148" t="str">
        <f>IF(Y148="","", IFERROR(VLOOKUP(Y148, 换算标准!$Z:$AA, 1, TRUE), ""))</f>
        <v/>
      </c>
      <c r="AA148" s="5" t="str">
        <f>IF(L148="","", "⚠️ 薄弱环节: "&amp;INDEX($E$1:$K$1, MATCH(MIN(E148:K148), E148:K148, 0))&amp;CHAR(10)&amp;"📉 考察能力: "&amp;IFERROR(VLOOKUP(TRIM(D148)&amp;"_"&amp;TRIM(INDEX($E$1:$K$1, MATCH(MIN(E148:K148), E148:K148, 0))), 技能库!$A:$F, 5, 0),"建议查阅考纲")&amp;CHAR(10)&amp;"💡 提升建议: "&amp;IFERROR(VLOOKUP(TRIM(D148)&amp;"_"&amp;TRIM(INDEX($E$1:$K$1, MATCH(MIN(E148:K148), E148:K148, 0))), 技能库!$A:$F, 6, 0),"请针对该题型加强练习"))</f>
        <v/>
      </c>
      <c r="AB148" s="5" t="str">
        <f>IF(P148="","", "⚠️ 薄弱环节: "&amp;INDEX($N$1:$O$1, MATCH(MIN(N148:O148), N148:O148, 0))&amp;CHAR(10)&amp;"📉 考察能力: "&amp;IFERROR(VLOOKUP(TRIM(D148)&amp;"_"&amp;TRIM(INDEX($N$1:$O$1, MATCH(MIN(N148:O148), N148:O148, 0))), 技能库!$A:$F, 5, 0),"建议查阅考纲")&amp;CHAR(10)&amp;"💡 提升建议: "&amp;IFERROR(VLOOKUP(TRIM(D148)&amp;"_"&amp;TRIM(INDEX($N$1:$O$1, MATCH(MIN(N148:O148), N148:O148, 0))), 技能库!$A:$F, 6, 0),"请针对该题型加强练习"))</f>
        <v/>
      </c>
      <c r="AC148" s="5" t="str">
        <f>IF(W148="","", "⚠️ 薄弱环节: "&amp;INDEX($R$1:$V$1, MATCH(MIN(R148:V148), R148:V148, 0))&amp;CHAR(10)&amp;"📉 考察能力: "&amp;IFERROR(VLOOKUP(TRIM(D148)&amp;"_"&amp;TRIM(INDEX($R$1:$V$1, MATCH(MIN(R148:V148), R148:V148, 0))), 技能库!$A:$F, 5, 0),"建议查阅考纲")&amp;CHAR(10)&amp;"💡 提升建议: "&amp;IFERROR(VLOOKUP(TRIM(D148)&amp;"_"&amp;TRIM(INDEX($R$1:$V$1, MATCH(MIN(R148:V148), R148:V148, 0))), 技能库!$A:$F, 6, 0),"请针对该题型加强练习"))</f>
        <v/>
      </c>
    </row>
    <row r="149" spans="12:29" ht="16" hidden="1" x14ac:dyDescent="0.2">
      <c r="L149" t="str">
        <f t="shared" si="8"/>
        <v/>
      </c>
      <c r="M149" t="str">
        <f>IF(L149="","", IFERROR(VLOOKUP(L149, IF(D149="KET", 换算标准!$M:$N, IF(D149="PET", 换算标准!$S:$T, 换算标准!$AC:$AD)), 2, TRUE), 0))</f>
        <v/>
      </c>
      <c r="P149" t="str">
        <f t="shared" si="9"/>
        <v/>
      </c>
      <c r="Q149" t="str">
        <f>IF(P149="","", IFERROR(VLOOKUP(P149, IF(D149="KET", 换算标准!$O:$P, IF(D149="PET", 换算标准!$U:$V, 换算标准!$AG:$AH)), 2, TRUE), 0))</f>
        <v/>
      </c>
      <c r="W149" t="str">
        <f t="shared" si="10"/>
        <v/>
      </c>
      <c r="X149" t="str">
        <f>IF(W149="","", IFERROR(VLOOKUP(W149, IF(D149="KET", 换算标准!$Q:$R, IF(D149="PET", 换算标准!$W:$X, 换算标准!$AI:$AJ)), 2, TRUE), 0))</f>
        <v/>
      </c>
      <c r="Y149" t="str">
        <f t="shared" si="11"/>
        <v/>
      </c>
      <c r="Z149" t="str">
        <f>IF(Y149="","", IFERROR(VLOOKUP(Y149, 换算标准!$Z:$AA, 1, TRUE), ""))</f>
        <v/>
      </c>
      <c r="AA149" s="5" t="str">
        <f>IF(L149="","", "⚠️ 薄弱环节: "&amp;INDEX($E$1:$K$1, MATCH(MIN(E149:K149), E149:K149, 0))&amp;CHAR(10)&amp;"📉 考察能力: "&amp;IFERROR(VLOOKUP(TRIM(D149)&amp;"_"&amp;TRIM(INDEX($E$1:$K$1, MATCH(MIN(E149:K149), E149:K149, 0))), 技能库!$A:$F, 5, 0),"建议查阅考纲")&amp;CHAR(10)&amp;"💡 提升建议: "&amp;IFERROR(VLOOKUP(TRIM(D149)&amp;"_"&amp;TRIM(INDEX($E$1:$K$1, MATCH(MIN(E149:K149), E149:K149, 0))), 技能库!$A:$F, 6, 0),"请针对该题型加强练习"))</f>
        <v/>
      </c>
      <c r="AB149" s="5" t="str">
        <f>IF(P149="","", "⚠️ 薄弱环节: "&amp;INDEX($N$1:$O$1, MATCH(MIN(N149:O149), N149:O149, 0))&amp;CHAR(10)&amp;"📉 考察能力: "&amp;IFERROR(VLOOKUP(TRIM(D149)&amp;"_"&amp;TRIM(INDEX($N$1:$O$1, MATCH(MIN(N149:O149), N149:O149, 0))), 技能库!$A:$F, 5, 0),"建议查阅考纲")&amp;CHAR(10)&amp;"💡 提升建议: "&amp;IFERROR(VLOOKUP(TRIM(D149)&amp;"_"&amp;TRIM(INDEX($N$1:$O$1, MATCH(MIN(N149:O149), N149:O149, 0))), 技能库!$A:$F, 6, 0),"请针对该题型加强练习"))</f>
        <v/>
      </c>
      <c r="AC149" s="5" t="str">
        <f>IF(W149="","", "⚠️ 薄弱环节: "&amp;INDEX($R$1:$V$1, MATCH(MIN(R149:V149), R149:V149, 0))&amp;CHAR(10)&amp;"📉 考察能力: "&amp;IFERROR(VLOOKUP(TRIM(D149)&amp;"_"&amp;TRIM(INDEX($R$1:$V$1, MATCH(MIN(R149:V149), R149:V149, 0))), 技能库!$A:$F, 5, 0),"建议查阅考纲")&amp;CHAR(10)&amp;"💡 提升建议: "&amp;IFERROR(VLOOKUP(TRIM(D149)&amp;"_"&amp;TRIM(INDEX($R$1:$V$1, MATCH(MIN(R149:V149), R149:V149, 0))), 技能库!$A:$F, 6, 0),"请针对该题型加强练习"))</f>
        <v/>
      </c>
    </row>
    <row r="150" spans="12:29" ht="16" hidden="1" x14ac:dyDescent="0.2">
      <c r="L150" t="str">
        <f t="shared" si="8"/>
        <v/>
      </c>
      <c r="M150" t="str">
        <f>IF(L150="","", IFERROR(VLOOKUP(L150, IF(D150="KET", 换算标准!$M:$N, IF(D150="PET", 换算标准!$S:$T, 换算标准!$AC:$AD)), 2, TRUE), 0))</f>
        <v/>
      </c>
      <c r="P150" t="str">
        <f t="shared" si="9"/>
        <v/>
      </c>
      <c r="Q150" t="str">
        <f>IF(P150="","", IFERROR(VLOOKUP(P150, IF(D150="KET", 换算标准!$O:$P, IF(D150="PET", 换算标准!$U:$V, 换算标准!$AG:$AH)), 2, TRUE), 0))</f>
        <v/>
      </c>
      <c r="W150" t="str">
        <f t="shared" si="10"/>
        <v/>
      </c>
      <c r="X150" t="str">
        <f>IF(W150="","", IFERROR(VLOOKUP(W150, IF(D150="KET", 换算标准!$Q:$R, IF(D150="PET", 换算标准!$W:$X, 换算标准!$AI:$AJ)), 2, TRUE), 0))</f>
        <v/>
      </c>
      <c r="Y150" t="str">
        <f t="shared" si="11"/>
        <v/>
      </c>
      <c r="Z150" t="str">
        <f>IF(Y150="","", IFERROR(VLOOKUP(Y150, 换算标准!$Z:$AA, 1, TRUE), ""))</f>
        <v/>
      </c>
      <c r="AA150" s="5" t="str">
        <f>IF(L150="","", "⚠️ 薄弱环节: "&amp;INDEX($E$1:$K$1, MATCH(MIN(E150:K150), E150:K150, 0))&amp;CHAR(10)&amp;"📉 考察能力: "&amp;IFERROR(VLOOKUP(TRIM(D150)&amp;"_"&amp;TRIM(INDEX($E$1:$K$1, MATCH(MIN(E150:K150), E150:K150, 0))), 技能库!$A:$F, 5, 0),"建议查阅考纲")&amp;CHAR(10)&amp;"💡 提升建议: "&amp;IFERROR(VLOOKUP(TRIM(D150)&amp;"_"&amp;TRIM(INDEX($E$1:$K$1, MATCH(MIN(E150:K150), E150:K150, 0))), 技能库!$A:$F, 6, 0),"请针对该题型加强练习"))</f>
        <v/>
      </c>
      <c r="AB150" s="5" t="str">
        <f>IF(P150="","", "⚠️ 薄弱环节: "&amp;INDEX($N$1:$O$1, MATCH(MIN(N150:O150), N150:O150, 0))&amp;CHAR(10)&amp;"📉 考察能力: "&amp;IFERROR(VLOOKUP(TRIM(D150)&amp;"_"&amp;TRIM(INDEX($N$1:$O$1, MATCH(MIN(N150:O150), N150:O150, 0))), 技能库!$A:$F, 5, 0),"建议查阅考纲")&amp;CHAR(10)&amp;"💡 提升建议: "&amp;IFERROR(VLOOKUP(TRIM(D150)&amp;"_"&amp;TRIM(INDEX($N$1:$O$1, MATCH(MIN(N150:O150), N150:O150, 0))), 技能库!$A:$F, 6, 0),"请针对该题型加强练习"))</f>
        <v/>
      </c>
      <c r="AC150" s="5" t="str">
        <f>IF(W150="","", "⚠️ 薄弱环节: "&amp;INDEX($R$1:$V$1, MATCH(MIN(R150:V150), R150:V150, 0))&amp;CHAR(10)&amp;"📉 考察能力: "&amp;IFERROR(VLOOKUP(TRIM(D150)&amp;"_"&amp;TRIM(INDEX($R$1:$V$1, MATCH(MIN(R150:V150), R150:V150, 0))), 技能库!$A:$F, 5, 0),"建议查阅考纲")&amp;CHAR(10)&amp;"💡 提升建议: "&amp;IFERROR(VLOOKUP(TRIM(D150)&amp;"_"&amp;TRIM(INDEX($R$1:$V$1, MATCH(MIN(R150:V150), R150:V150, 0))), 技能库!$A:$F, 6, 0),"请针对该题型加强练习"))</f>
        <v/>
      </c>
    </row>
    <row r="151" spans="12:29" ht="16" hidden="1" x14ac:dyDescent="0.2">
      <c r="L151" t="str">
        <f t="shared" si="8"/>
        <v/>
      </c>
      <c r="M151" t="str">
        <f>IF(L151="","", IFERROR(VLOOKUP(L151, IF(D151="KET", 换算标准!$M:$N, IF(D151="PET", 换算标准!$S:$T, 换算标准!$AC:$AD)), 2, TRUE), 0))</f>
        <v/>
      </c>
      <c r="P151" t="str">
        <f t="shared" si="9"/>
        <v/>
      </c>
      <c r="Q151" t="str">
        <f>IF(P151="","", IFERROR(VLOOKUP(P151, IF(D151="KET", 换算标准!$O:$P, IF(D151="PET", 换算标准!$U:$V, 换算标准!$AG:$AH)), 2, TRUE), 0))</f>
        <v/>
      </c>
      <c r="W151" t="str">
        <f t="shared" si="10"/>
        <v/>
      </c>
      <c r="X151" t="str">
        <f>IF(W151="","", IFERROR(VLOOKUP(W151, IF(D151="KET", 换算标准!$Q:$R, IF(D151="PET", 换算标准!$W:$X, 换算标准!$AI:$AJ)), 2, TRUE), 0))</f>
        <v/>
      </c>
      <c r="Y151" t="str">
        <f t="shared" si="11"/>
        <v/>
      </c>
      <c r="Z151" t="str">
        <f>IF(Y151="","", IFERROR(VLOOKUP(Y151, 换算标准!$Z:$AA, 1, TRUE), ""))</f>
        <v/>
      </c>
      <c r="AA151" s="5" t="str">
        <f>IF(L151="","", "⚠️ 薄弱环节: "&amp;INDEX($E$1:$K$1, MATCH(MIN(E151:K151), E151:K151, 0))&amp;CHAR(10)&amp;"📉 考察能力: "&amp;IFERROR(VLOOKUP(TRIM(D151)&amp;"_"&amp;TRIM(INDEX($E$1:$K$1, MATCH(MIN(E151:K151), E151:K151, 0))), 技能库!$A:$F, 5, 0),"建议查阅考纲")&amp;CHAR(10)&amp;"💡 提升建议: "&amp;IFERROR(VLOOKUP(TRIM(D151)&amp;"_"&amp;TRIM(INDEX($E$1:$K$1, MATCH(MIN(E151:K151), E151:K151, 0))), 技能库!$A:$F, 6, 0),"请针对该题型加强练习"))</f>
        <v/>
      </c>
      <c r="AB151" s="5" t="str">
        <f>IF(P151="","", "⚠️ 薄弱环节: "&amp;INDEX($N$1:$O$1, MATCH(MIN(N151:O151), N151:O151, 0))&amp;CHAR(10)&amp;"📉 考察能力: "&amp;IFERROR(VLOOKUP(TRIM(D151)&amp;"_"&amp;TRIM(INDEX($N$1:$O$1, MATCH(MIN(N151:O151), N151:O151, 0))), 技能库!$A:$F, 5, 0),"建议查阅考纲")&amp;CHAR(10)&amp;"💡 提升建议: "&amp;IFERROR(VLOOKUP(TRIM(D151)&amp;"_"&amp;TRIM(INDEX($N$1:$O$1, MATCH(MIN(N151:O151), N151:O151, 0))), 技能库!$A:$F, 6, 0),"请针对该题型加强练习"))</f>
        <v/>
      </c>
      <c r="AC151" s="5" t="str">
        <f>IF(W151="","", "⚠️ 薄弱环节: "&amp;INDEX($R$1:$V$1, MATCH(MIN(R151:V151), R151:V151, 0))&amp;CHAR(10)&amp;"📉 考察能力: "&amp;IFERROR(VLOOKUP(TRIM(D151)&amp;"_"&amp;TRIM(INDEX($R$1:$V$1, MATCH(MIN(R151:V151), R151:V151, 0))), 技能库!$A:$F, 5, 0),"建议查阅考纲")&amp;CHAR(10)&amp;"💡 提升建议: "&amp;IFERROR(VLOOKUP(TRIM(D151)&amp;"_"&amp;TRIM(INDEX($R$1:$V$1, MATCH(MIN(R151:V151), R151:V151, 0))), 技能库!$A:$F, 6, 0),"请针对该题型加强练习"))</f>
        <v/>
      </c>
    </row>
    <row r="152" spans="12:29" ht="16" hidden="1" x14ac:dyDescent="0.2">
      <c r="L152" t="str">
        <f t="shared" si="8"/>
        <v/>
      </c>
      <c r="M152" t="str">
        <f>IF(L152="","", IFERROR(VLOOKUP(L152, IF(D152="KET", 换算标准!$M:$N, IF(D152="PET", 换算标准!$S:$T, 换算标准!$AC:$AD)), 2, TRUE), 0))</f>
        <v/>
      </c>
      <c r="P152" t="str">
        <f t="shared" si="9"/>
        <v/>
      </c>
      <c r="Q152" t="str">
        <f>IF(P152="","", IFERROR(VLOOKUP(P152, IF(D152="KET", 换算标准!$O:$P, IF(D152="PET", 换算标准!$U:$V, 换算标准!$AG:$AH)), 2, TRUE), 0))</f>
        <v/>
      </c>
      <c r="W152" t="str">
        <f t="shared" si="10"/>
        <v/>
      </c>
      <c r="X152" t="str">
        <f>IF(W152="","", IFERROR(VLOOKUP(W152, IF(D152="KET", 换算标准!$Q:$R, IF(D152="PET", 换算标准!$W:$X, 换算标准!$AI:$AJ)), 2, TRUE), 0))</f>
        <v/>
      </c>
      <c r="Y152" t="str">
        <f t="shared" si="11"/>
        <v/>
      </c>
      <c r="Z152" t="str">
        <f>IF(Y152="","", IFERROR(VLOOKUP(Y152, 换算标准!$Z:$AA, 1, TRUE), ""))</f>
        <v/>
      </c>
      <c r="AA152" s="5" t="str">
        <f>IF(L152="","", "⚠️ 薄弱环节: "&amp;INDEX($E$1:$K$1, MATCH(MIN(E152:K152), E152:K152, 0))&amp;CHAR(10)&amp;"📉 考察能力: "&amp;IFERROR(VLOOKUP(TRIM(D152)&amp;"_"&amp;TRIM(INDEX($E$1:$K$1, MATCH(MIN(E152:K152), E152:K152, 0))), 技能库!$A:$F, 5, 0),"建议查阅考纲")&amp;CHAR(10)&amp;"💡 提升建议: "&amp;IFERROR(VLOOKUP(TRIM(D152)&amp;"_"&amp;TRIM(INDEX($E$1:$K$1, MATCH(MIN(E152:K152), E152:K152, 0))), 技能库!$A:$F, 6, 0),"请针对该题型加强练习"))</f>
        <v/>
      </c>
      <c r="AB152" s="5" t="str">
        <f>IF(P152="","", "⚠️ 薄弱环节: "&amp;INDEX($N$1:$O$1, MATCH(MIN(N152:O152), N152:O152, 0))&amp;CHAR(10)&amp;"📉 考察能力: "&amp;IFERROR(VLOOKUP(TRIM(D152)&amp;"_"&amp;TRIM(INDEX($N$1:$O$1, MATCH(MIN(N152:O152), N152:O152, 0))), 技能库!$A:$F, 5, 0),"建议查阅考纲")&amp;CHAR(10)&amp;"💡 提升建议: "&amp;IFERROR(VLOOKUP(TRIM(D152)&amp;"_"&amp;TRIM(INDEX($N$1:$O$1, MATCH(MIN(N152:O152), N152:O152, 0))), 技能库!$A:$F, 6, 0),"请针对该题型加强练习"))</f>
        <v/>
      </c>
      <c r="AC152" s="5" t="str">
        <f>IF(W152="","", "⚠️ 薄弱环节: "&amp;INDEX($R$1:$V$1, MATCH(MIN(R152:V152), R152:V152, 0))&amp;CHAR(10)&amp;"📉 考察能力: "&amp;IFERROR(VLOOKUP(TRIM(D152)&amp;"_"&amp;TRIM(INDEX($R$1:$V$1, MATCH(MIN(R152:V152), R152:V152, 0))), 技能库!$A:$F, 5, 0),"建议查阅考纲")&amp;CHAR(10)&amp;"💡 提升建议: "&amp;IFERROR(VLOOKUP(TRIM(D152)&amp;"_"&amp;TRIM(INDEX($R$1:$V$1, MATCH(MIN(R152:V152), R152:V152, 0))), 技能库!$A:$F, 6, 0),"请针对该题型加强练习"))</f>
        <v/>
      </c>
    </row>
    <row r="153" spans="12:29" ht="16" hidden="1" x14ac:dyDescent="0.2">
      <c r="L153" t="str">
        <f t="shared" si="8"/>
        <v/>
      </c>
      <c r="M153" t="str">
        <f>IF(L153="","", IFERROR(VLOOKUP(L153, IF(D153="KET", 换算标准!$M:$N, IF(D153="PET", 换算标准!$S:$T, 换算标准!$AC:$AD)), 2, TRUE), 0))</f>
        <v/>
      </c>
      <c r="P153" t="str">
        <f t="shared" si="9"/>
        <v/>
      </c>
      <c r="Q153" t="str">
        <f>IF(P153="","", IFERROR(VLOOKUP(P153, IF(D153="KET", 换算标准!$O:$P, IF(D153="PET", 换算标准!$U:$V, 换算标准!$AG:$AH)), 2, TRUE), 0))</f>
        <v/>
      </c>
      <c r="W153" t="str">
        <f t="shared" si="10"/>
        <v/>
      </c>
      <c r="X153" t="str">
        <f>IF(W153="","", IFERROR(VLOOKUP(W153, IF(D153="KET", 换算标准!$Q:$R, IF(D153="PET", 换算标准!$W:$X, 换算标准!$AI:$AJ)), 2, TRUE), 0))</f>
        <v/>
      </c>
      <c r="Y153" t="str">
        <f t="shared" si="11"/>
        <v/>
      </c>
      <c r="Z153" t="str">
        <f>IF(Y153="","", IFERROR(VLOOKUP(Y153, 换算标准!$Z:$AA, 1, TRUE), ""))</f>
        <v/>
      </c>
      <c r="AA153" s="5" t="str">
        <f>IF(L153="","", "⚠️ 薄弱环节: "&amp;INDEX($E$1:$K$1, MATCH(MIN(E153:K153), E153:K153, 0))&amp;CHAR(10)&amp;"📉 考察能力: "&amp;IFERROR(VLOOKUP(TRIM(D153)&amp;"_"&amp;TRIM(INDEX($E$1:$K$1, MATCH(MIN(E153:K153), E153:K153, 0))), 技能库!$A:$F, 5, 0),"建议查阅考纲")&amp;CHAR(10)&amp;"💡 提升建议: "&amp;IFERROR(VLOOKUP(TRIM(D153)&amp;"_"&amp;TRIM(INDEX($E$1:$K$1, MATCH(MIN(E153:K153), E153:K153, 0))), 技能库!$A:$F, 6, 0),"请针对该题型加强练习"))</f>
        <v/>
      </c>
      <c r="AB153" s="5" t="str">
        <f>IF(P153="","", "⚠️ 薄弱环节: "&amp;INDEX($N$1:$O$1, MATCH(MIN(N153:O153), N153:O153, 0))&amp;CHAR(10)&amp;"📉 考察能力: "&amp;IFERROR(VLOOKUP(TRIM(D153)&amp;"_"&amp;TRIM(INDEX($N$1:$O$1, MATCH(MIN(N153:O153), N153:O153, 0))), 技能库!$A:$F, 5, 0),"建议查阅考纲")&amp;CHAR(10)&amp;"💡 提升建议: "&amp;IFERROR(VLOOKUP(TRIM(D153)&amp;"_"&amp;TRIM(INDEX($N$1:$O$1, MATCH(MIN(N153:O153), N153:O153, 0))), 技能库!$A:$F, 6, 0),"请针对该题型加强练习"))</f>
        <v/>
      </c>
      <c r="AC153" s="5" t="str">
        <f>IF(W153="","", "⚠️ 薄弱环节: "&amp;INDEX($R$1:$V$1, MATCH(MIN(R153:V153), R153:V153, 0))&amp;CHAR(10)&amp;"📉 考察能力: "&amp;IFERROR(VLOOKUP(TRIM(D153)&amp;"_"&amp;TRIM(INDEX($R$1:$V$1, MATCH(MIN(R153:V153), R153:V153, 0))), 技能库!$A:$F, 5, 0),"建议查阅考纲")&amp;CHAR(10)&amp;"💡 提升建议: "&amp;IFERROR(VLOOKUP(TRIM(D153)&amp;"_"&amp;TRIM(INDEX($R$1:$V$1, MATCH(MIN(R153:V153), R153:V153, 0))), 技能库!$A:$F, 6, 0),"请针对该题型加强练习"))</f>
        <v/>
      </c>
    </row>
    <row r="154" spans="12:29" ht="16" hidden="1" x14ac:dyDescent="0.2">
      <c r="L154" t="str">
        <f t="shared" si="8"/>
        <v/>
      </c>
      <c r="M154" t="str">
        <f>IF(L154="","", IFERROR(VLOOKUP(L154, IF(D154="KET", 换算标准!$M:$N, IF(D154="PET", 换算标准!$S:$T, 换算标准!$AC:$AD)), 2, TRUE), 0))</f>
        <v/>
      </c>
      <c r="P154" t="str">
        <f t="shared" si="9"/>
        <v/>
      </c>
      <c r="Q154" t="str">
        <f>IF(P154="","", IFERROR(VLOOKUP(P154, IF(D154="KET", 换算标准!$O:$P, IF(D154="PET", 换算标准!$U:$V, 换算标准!$AG:$AH)), 2, TRUE), 0))</f>
        <v/>
      </c>
      <c r="W154" t="str">
        <f t="shared" si="10"/>
        <v/>
      </c>
      <c r="X154" t="str">
        <f>IF(W154="","", IFERROR(VLOOKUP(W154, IF(D154="KET", 换算标准!$Q:$R, IF(D154="PET", 换算标准!$W:$X, 换算标准!$AI:$AJ)), 2, TRUE), 0))</f>
        <v/>
      </c>
      <c r="Y154" t="str">
        <f t="shared" si="11"/>
        <v/>
      </c>
      <c r="Z154" t="str">
        <f>IF(Y154="","", IFERROR(VLOOKUP(Y154, 换算标准!$Z:$AA, 1, TRUE), ""))</f>
        <v/>
      </c>
      <c r="AA154" s="5" t="str">
        <f>IF(L154="","", "⚠️ 薄弱环节: "&amp;INDEX($E$1:$K$1, MATCH(MIN(E154:K154), E154:K154, 0))&amp;CHAR(10)&amp;"📉 考察能力: "&amp;IFERROR(VLOOKUP(TRIM(D154)&amp;"_"&amp;TRIM(INDEX($E$1:$K$1, MATCH(MIN(E154:K154), E154:K154, 0))), 技能库!$A:$F, 5, 0),"建议查阅考纲")&amp;CHAR(10)&amp;"💡 提升建议: "&amp;IFERROR(VLOOKUP(TRIM(D154)&amp;"_"&amp;TRIM(INDEX($E$1:$K$1, MATCH(MIN(E154:K154), E154:K154, 0))), 技能库!$A:$F, 6, 0),"请针对该题型加强练习"))</f>
        <v/>
      </c>
      <c r="AB154" s="5" t="str">
        <f>IF(P154="","", "⚠️ 薄弱环节: "&amp;INDEX($N$1:$O$1, MATCH(MIN(N154:O154), N154:O154, 0))&amp;CHAR(10)&amp;"📉 考察能力: "&amp;IFERROR(VLOOKUP(TRIM(D154)&amp;"_"&amp;TRIM(INDEX($N$1:$O$1, MATCH(MIN(N154:O154), N154:O154, 0))), 技能库!$A:$F, 5, 0),"建议查阅考纲")&amp;CHAR(10)&amp;"💡 提升建议: "&amp;IFERROR(VLOOKUP(TRIM(D154)&amp;"_"&amp;TRIM(INDEX($N$1:$O$1, MATCH(MIN(N154:O154), N154:O154, 0))), 技能库!$A:$F, 6, 0),"请针对该题型加强练习"))</f>
        <v/>
      </c>
      <c r="AC154" s="5" t="str">
        <f>IF(W154="","", "⚠️ 薄弱环节: "&amp;INDEX($R$1:$V$1, MATCH(MIN(R154:V154), R154:V154, 0))&amp;CHAR(10)&amp;"📉 考察能力: "&amp;IFERROR(VLOOKUP(TRIM(D154)&amp;"_"&amp;TRIM(INDEX($R$1:$V$1, MATCH(MIN(R154:V154), R154:V154, 0))), 技能库!$A:$F, 5, 0),"建议查阅考纲")&amp;CHAR(10)&amp;"💡 提升建议: "&amp;IFERROR(VLOOKUP(TRIM(D154)&amp;"_"&amp;TRIM(INDEX($R$1:$V$1, MATCH(MIN(R154:V154), R154:V154, 0))), 技能库!$A:$F, 6, 0),"请针对该题型加强练习"))</f>
        <v/>
      </c>
    </row>
    <row r="155" spans="12:29" ht="16" hidden="1" x14ac:dyDescent="0.2">
      <c r="L155" t="str">
        <f t="shared" si="8"/>
        <v/>
      </c>
      <c r="M155" t="str">
        <f>IF(L155="","", IFERROR(VLOOKUP(L155, IF(D155="KET", 换算标准!$M:$N, IF(D155="PET", 换算标准!$S:$T, 换算标准!$AC:$AD)), 2, TRUE), 0))</f>
        <v/>
      </c>
      <c r="P155" t="str">
        <f t="shared" si="9"/>
        <v/>
      </c>
      <c r="Q155" t="str">
        <f>IF(P155="","", IFERROR(VLOOKUP(P155, IF(D155="KET", 换算标准!$O:$P, IF(D155="PET", 换算标准!$U:$V, 换算标准!$AG:$AH)), 2, TRUE), 0))</f>
        <v/>
      </c>
      <c r="W155" t="str">
        <f t="shared" si="10"/>
        <v/>
      </c>
      <c r="X155" t="str">
        <f>IF(W155="","", IFERROR(VLOOKUP(W155, IF(D155="KET", 换算标准!$Q:$R, IF(D155="PET", 换算标准!$W:$X, 换算标准!$AI:$AJ)), 2, TRUE), 0))</f>
        <v/>
      </c>
      <c r="Y155" t="str">
        <f t="shared" si="11"/>
        <v/>
      </c>
      <c r="Z155" t="str">
        <f>IF(Y155="","", IFERROR(VLOOKUP(Y155, 换算标准!$Z:$AA, 1, TRUE), ""))</f>
        <v/>
      </c>
      <c r="AA155" s="5" t="str">
        <f>IF(L155="","", "⚠️ 薄弱环节: "&amp;INDEX($E$1:$K$1, MATCH(MIN(E155:K155), E155:K155, 0))&amp;CHAR(10)&amp;"📉 考察能力: "&amp;IFERROR(VLOOKUP(TRIM(D155)&amp;"_"&amp;TRIM(INDEX($E$1:$K$1, MATCH(MIN(E155:K155), E155:K155, 0))), 技能库!$A:$F, 5, 0),"建议查阅考纲")&amp;CHAR(10)&amp;"💡 提升建议: "&amp;IFERROR(VLOOKUP(TRIM(D155)&amp;"_"&amp;TRIM(INDEX($E$1:$K$1, MATCH(MIN(E155:K155), E155:K155, 0))), 技能库!$A:$F, 6, 0),"请针对该题型加强练习"))</f>
        <v/>
      </c>
      <c r="AB155" s="5" t="str">
        <f>IF(P155="","", "⚠️ 薄弱环节: "&amp;INDEX($N$1:$O$1, MATCH(MIN(N155:O155), N155:O155, 0))&amp;CHAR(10)&amp;"📉 考察能力: "&amp;IFERROR(VLOOKUP(TRIM(D155)&amp;"_"&amp;TRIM(INDEX($N$1:$O$1, MATCH(MIN(N155:O155), N155:O155, 0))), 技能库!$A:$F, 5, 0),"建议查阅考纲")&amp;CHAR(10)&amp;"💡 提升建议: "&amp;IFERROR(VLOOKUP(TRIM(D155)&amp;"_"&amp;TRIM(INDEX($N$1:$O$1, MATCH(MIN(N155:O155), N155:O155, 0))), 技能库!$A:$F, 6, 0),"请针对该题型加强练习"))</f>
        <v/>
      </c>
      <c r="AC155" s="5" t="str">
        <f>IF(W155="","", "⚠️ 薄弱环节: "&amp;INDEX($R$1:$V$1, MATCH(MIN(R155:V155), R155:V155, 0))&amp;CHAR(10)&amp;"📉 考察能力: "&amp;IFERROR(VLOOKUP(TRIM(D155)&amp;"_"&amp;TRIM(INDEX($R$1:$V$1, MATCH(MIN(R155:V155), R155:V155, 0))), 技能库!$A:$F, 5, 0),"建议查阅考纲")&amp;CHAR(10)&amp;"💡 提升建议: "&amp;IFERROR(VLOOKUP(TRIM(D155)&amp;"_"&amp;TRIM(INDEX($R$1:$V$1, MATCH(MIN(R155:V155), R155:V155, 0))), 技能库!$A:$F, 6, 0),"请针对该题型加强练习"))</f>
        <v/>
      </c>
    </row>
    <row r="156" spans="12:29" ht="16" hidden="1" x14ac:dyDescent="0.2">
      <c r="L156" t="str">
        <f t="shared" si="8"/>
        <v/>
      </c>
      <c r="M156" t="str">
        <f>IF(L156="","", IFERROR(VLOOKUP(L156, IF(D156="KET", 换算标准!$M:$N, IF(D156="PET", 换算标准!$S:$T, 换算标准!$AC:$AD)), 2, TRUE), 0))</f>
        <v/>
      </c>
      <c r="P156" t="str">
        <f t="shared" si="9"/>
        <v/>
      </c>
      <c r="Q156" t="str">
        <f>IF(P156="","", IFERROR(VLOOKUP(P156, IF(D156="KET", 换算标准!$O:$P, IF(D156="PET", 换算标准!$U:$V, 换算标准!$AG:$AH)), 2, TRUE), 0))</f>
        <v/>
      </c>
      <c r="W156" t="str">
        <f t="shared" si="10"/>
        <v/>
      </c>
      <c r="X156" t="str">
        <f>IF(W156="","", IFERROR(VLOOKUP(W156, IF(D156="KET", 换算标准!$Q:$R, IF(D156="PET", 换算标准!$W:$X, 换算标准!$AI:$AJ)), 2, TRUE), 0))</f>
        <v/>
      </c>
      <c r="Y156" t="str">
        <f t="shared" si="11"/>
        <v/>
      </c>
      <c r="Z156" t="str">
        <f>IF(Y156="","", IFERROR(VLOOKUP(Y156, 换算标准!$Z:$AA, 1, TRUE), ""))</f>
        <v/>
      </c>
      <c r="AA156" s="5" t="str">
        <f>IF(L156="","", "⚠️ 薄弱环节: "&amp;INDEX($E$1:$K$1, MATCH(MIN(E156:K156), E156:K156, 0))&amp;CHAR(10)&amp;"📉 考察能力: "&amp;IFERROR(VLOOKUP(TRIM(D156)&amp;"_"&amp;TRIM(INDEX($E$1:$K$1, MATCH(MIN(E156:K156), E156:K156, 0))), 技能库!$A:$F, 5, 0),"建议查阅考纲")&amp;CHAR(10)&amp;"💡 提升建议: "&amp;IFERROR(VLOOKUP(TRIM(D156)&amp;"_"&amp;TRIM(INDEX($E$1:$K$1, MATCH(MIN(E156:K156), E156:K156, 0))), 技能库!$A:$F, 6, 0),"请针对该题型加强练习"))</f>
        <v/>
      </c>
      <c r="AB156" s="5" t="str">
        <f>IF(P156="","", "⚠️ 薄弱环节: "&amp;INDEX($N$1:$O$1, MATCH(MIN(N156:O156), N156:O156, 0))&amp;CHAR(10)&amp;"📉 考察能力: "&amp;IFERROR(VLOOKUP(TRIM(D156)&amp;"_"&amp;TRIM(INDEX($N$1:$O$1, MATCH(MIN(N156:O156), N156:O156, 0))), 技能库!$A:$F, 5, 0),"建议查阅考纲")&amp;CHAR(10)&amp;"💡 提升建议: "&amp;IFERROR(VLOOKUP(TRIM(D156)&amp;"_"&amp;TRIM(INDEX($N$1:$O$1, MATCH(MIN(N156:O156), N156:O156, 0))), 技能库!$A:$F, 6, 0),"请针对该题型加强练习"))</f>
        <v/>
      </c>
      <c r="AC156" s="5" t="str">
        <f>IF(W156="","", "⚠️ 薄弱环节: "&amp;INDEX($R$1:$V$1, MATCH(MIN(R156:V156), R156:V156, 0))&amp;CHAR(10)&amp;"📉 考察能力: "&amp;IFERROR(VLOOKUP(TRIM(D156)&amp;"_"&amp;TRIM(INDEX($R$1:$V$1, MATCH(MIN(R156:V156), R156:V156, 0))), 技能库!$A:$F, 5, 0),"建议查阅考纲")&amp;CHAR(10)&amp;"💡 提升建议: "&amp;IFERROR(VLOOKUP(TRIM(D156)&amp;"_"&amp;TRIM(INDEX($R$1:$V$1, MATCH(MIN(R156:V156), R156:V156, 0))), 技能库!$A:$F, 6, 0),"请针对该题型加强练习"))</f>
        <v/>
      </c>
    </row>
    <row r="157" spans="12:29" ht="16" hidden="1" x14ac:dyDescent="0.2">
      <c r="L157" t="str">
        <f t="shared" si="8"/>
        <v/>
      </c>
      <c r="M157" t="str">
        <f>IF(L157="","", IFERROR(VLOOKUP(L157, IF(D157="KET", 换算标准!$M:$N, IF(D157="PET", 换算标准!$S:$T, 换算标准!$AC:$AD)), 2, TRUE), 0))</f>
        <v/>
      </c>
      <c r="P157" t="str">
        <f t="shared" si="9"/>
        <v/>
      </c>
      <c r="Q157" t="str">
        <f>IF(P157="","", IFERROR(VLOOKUP(P157, IF(D157="KET", 换算标准!$O:$P, IF(D157="PET", 换算标准!$U:$V, 换算标准!$AG:$AH)), 2, TRUE), 0))</f>
        <v/>
      </c>
      <c r="W157" t="str">
        <f t="shared" si="10"/>
        <v/>
      </c>
      <c r="X157" t="str">
        <f>IF(W157="","", IFERROR(VLOOKUP(W157, IF(D157="KET", 换算标准!$Q:$R, IF(D157="PET", 换算标准!$W:$X, 换算标准!$AI:$AJ)), 2, TRUE), 0))</f>
        <v/>
      </c>
      <c r="Y157" t="str">
        <f t="shared" si="11"/>
        <v/>
      </c>
      <c r="Z157" t="str">
        <f>IF(Y157="","", IFERROR(VLOOKUP(Y157, 换算标准!$Z:$AA, 1, TRUE), ""))</f>
        <v/>
      </c>
      <c r="AA157" s="5" t="str">
        <f>IF(L157="","", "⚠️ 薄弱环节: "&amp;INDEX($E$1:$K$1, MATCH(MIN(E157:K157), E157:K157, 0))&amp;CHAR(10)&amp;"📉 考察能力: "&amp;IFERROR(VLOOKUP(TRIM(D157)&amp;"_"&amp;TRIM(INDEX($E$1:$K$1, MATCH(MIN(E157:K157), E157:K157, 0))), 技能库!$A:$F, 5, 0),"建议查阅考纲")&amp;CHAR(10)&amp;"💡 提升建议: "&amp;IFERROR(VLOOKUP(TRIM(D157)&amp;"_"&amp;TRIM(INDEX($E$1:$K$1, MATCH(MIN(E157:K157), E157:K157, 0))), 技能库!$A:$F, 6, 0),"请针对该题型加强练习"))</f>
        <v/>
      </c>
      <c r="AB157" s="5" t="str">
        <f>IF(P157="","", "⚠️ 薄弱环节: "&amp;INDEX($N$1:$O$1, MATCH(MIN(N157:O157), N157:O157, 0))&amp;CHAR(10)&amp;"📉 考察能力: "&amp;IFERROR(VLOOKUP(TRIM(D157)&amp;"_"&amp;TRIM(INDEX($N$1:$O$1, MATCH(MIN(N157:O157), N157:O157, 0))), 技能库!$A:$F, 5, 0),"建议查阅考纲")&amp;CHAR(10)&amp;"💡 提升建议: "&amp;IFERROR(VLOOKUP(TRIM(D157)&amp;"_"&amp;TRIM(INDEX($N$1:$O$1, MATCH(MIN(N157:O157), N157:O157, 0))), 技能库!$A:$F, 6, 0),"请针对该题型加强练习"))</f>
        <v/>
      </c>
      <c r="AC157" s="5" t="str">
        <f>IF(W157="","", "⚠️ 薄弱环节: "&amp;INDEX($R$1:$V$1, MATCH(MIN(R157:V157), R157:V157, 0))&amp;CHAR(10)&amp;"📉 考察能力: "&amp;IFERROR(VLOOKUP(TRIM(D157)&amp;"_"&amp;TRIM(INDEX($R$1:$V$1, MATCH(MIN(R157:V157), R157:V157, 0))), 技能库!$A:$F, 5, 0),"建议查阅考纲")&amp;CHAR(10)&amp;"💡 提升建议: "&amp;IFERROR(VLOOKUP(TRIM(D157)&amp;"_"&amp;TRIM(INDEX($R$1:$V$1, MATCH(MIN(R157:V157), R157:V157, 0))), 技能库!$A:$F, 6, 0),"请针对该题型加强练习"))</f>
        <v/>
      </c>
    </row>
    <row r="158" spans="12:29" ht="16" hidden="1" x14ac:dyDescent="0.2">
      <c r="L158" t="str">
        <f t="shared" si="8"/>
        <v/>
      </c>
      <c r="M158" t="str">
        <f>IF(L158="","", IFERROR(VLOOKUP(L158, IF(D158="KET", 换算标准!$M:$N, IF(D158="PET", 换算标准!$S:$T, 换算标准!$AC:$AD)), 2, TRUE), 0))</f>
        <v/>
      </c>
      <c r="P158" t="str">
        <f t="shared" si="9"/>
        <v/>
      </c>
      <c r="Q158" t="str">
        <f>IF(P158="","", IFERROR(VLOOKUP(P158, IF(D158="KET", 换算标准!$O:$P, IF(D158="PET", 换算标准!$U:$V, 换算标准!$AG:$AH)), 2, TRUE), 0))</f>
        <v/>
      </c>
      <c r="W158" t="str">
        <f t="shared" si="10"/>
        <v/>
      </c>
      <c r="X158" t="str">
        <f>IF(W158="","", IFERROR(VLOOKUP(W158, IF(D158="KET", 换算标准!$Q:$R, IF(D158="PET", 换算标准!$W:$X, 换算标准!$AI:$AJ)), 2, TRUE), 0))</f>
        <v/>
      </c>
      <c r="Y158" t="str">
        <f t="shared" si="11"/>
        <v/>
      </c>
      <c r="Z158" t="str">
        <f>IF(Y158="","", IFERROR(VLOOKUP(Y158, 换算标准!$Z:$AA, 1, TRUE), ""))</f>
        <v/>
      </c>
      <c r="AA158" s="5" t="str">
        <f>IF(L158="","", "⚠️ 薄弱环节: "&amp;INDEX($E$1:$K$1, MATCH(MIN(E158:K158), E158:K158, 0))&amp;CHAR(10)&amp;"📉 考察能力: "&amp;IFERROR(VLOOKUP(TRIM(D158)&amp;"_"&amp;TRIM(INDEX($E$1:$K$1, MATCH(MIN(E158:K158), E158:K158, 0))), 技能库!$A:$F, 5, 0),"建议查阅考纲")&amp;CHAR(10)&amp;"💡 提升建议: "&amp;IFERROR(VLOOKUP(TRIM(D158)&amp;"_"&amp;TRIM(INDEX($E$1:$K$1, MATCH(MIN(E158:K158), E158:K158, 0))), 技能库!$A:$F, 6, 0),"请针对该题型加强练习"))</f>
        <v/>
      </c>
      <c r="AB158" s="5" t="str">
        <f>IF(P158="","", "⚠️ 薄弱环节: "&amp;INDEX($N$1:$O$1, MATCH(MIN(N158:O158), N158:O158, 0))&amp;CHAR(10)&amp;"📉 考察能力: "&amp;IFERROR(VLOOKUP(TRIM(D158)&amp;"_"&amp;TRIM(INDEX($N$1:$O$1, MATCH(MIN(N158:O158), N158:O158, 0))), 技能库!$A:$F, 5, 0),"建议查阅考纲")&amp;CHAR(10)&amp;"💡 提升建议: "&amp;IFERROR(VLOOKUP(TRIM(D158)&amp;"_"&amp;TRIM(INDEX($N$1:$O$1, MATCH(MIN(N158:O158), N158:O158, 0))), 技能库!$A:$F, 6, 0),"请针对该题型加强练习"))</f>
        <v/>
      </c>
      <c r="AC158" s="5" t="str">
        <f>IF(W158="","", "⚠️ 薄弱环节: "&amp;INDEX($R$1:$V$1, MATCH(MIN(R158:V158), R158:V158, 0))&amp;CHAR(10)&amp;"📉 考察能力: "&amp;IFERROR(VLOOKUP(TRIM(D158)&amp;"_"&amp;TRIM(INDEX($R$1:$V$1, MATCH(MIN(R158:V158), R158:V158, 0))), 技能库!$A:$F, 5, 0),"建议查阅考纲")&amp;CHAR(10)&amp;"💡 提升建议: "&amp;IFERROR(VLOOKUP(TRIM(D158)&amp;"_"&amp;TRIM(INDEX($R$1:$V$1, MATCH(MIN(R158:V158), R158:V158, 0))), 技能库!$A:$F, 6, 0),"请针对该题型加强练习"))</f>
        <v/>
      </c>
    </row>
    <row r="159" spans="12:29" ht="16" hidden="1" x14ac:dyDescent="0.2">
      <c r="L159" t="str">
        <f t="shared" si="8"/>
        <v/>
      </c>
      <c r="M159" t="str">
        <f>IF(L159="","", IFERROR(VLOOKUP(L159, IF(D159="KET", 换算标准!$M:$N, IF(D159="PET", 换算标准!$S:$T, 换算标准!$AC:$AD)), 2, TRUE), 0))</f>
        <v/>
      </c>
      <c r="P159" t="str">
        <f t="shared" si="9"/>
        <v/>
      </c>
      <c r="Q159" t="str">
        <f>IF(P159="","", IFERROR(VLOOKUP(P159, IF(D159="KET", 换算标准!$O:$P, IF(D159="PET", 换算标准!$U:$V, 换算标准!$AG:$AH)), 2, TRUE), 0))</f>
        <v/>
      </c>
      <c r="W159" t="str">
        <f t="shared" si="10"/>
        <v/>
      </c>
      <c r="X159" t="str">
        <f>IF(W159="","", IFERROR(VLOOKUP(W159, IF(D159="KET", 换算标准!$Q:$R, IF(D159="PET", 换算标准!$W:$X, 换算标准!$AI:$AJ)), 2, TRUE), 0))</f>
        <v/>
      </c>
      <c r="Y159" t="str">
        <f t="shared" si="11"/>
        <v/>
      </c>
      <c r="Z159" t="str">
        <f>IF(Y159="","", IFERROR(VLOOKUP(Y159, 换算标准!$Z:$AA, 1, TRUE), ""))</f>
        <v/>
      </c>
      <c r="AA159" s="5" t="str">
        <f>IF(L159="","", "⚠️ 薄弱环节: "&amp;INDEX($E$1:$K$1, MATCH(MIN(E159:K159), E159:K159, 0))&amp;CHAR(10)&amp;"📉 考察能力: "&amp;IFERROR(VLOOKUP(TRIM(D159)&amp;"_"&amp;TRIM(INDEX($E$1:$K$1, MATCH(MIN(E159:K159), E159:K159, 0))), 技能库!$A:$F, 5, 0),"建议查阅考纲")&amp;CHAR(10)&amp;"💡 提升建议: "&amp;IFERROR(VLOOKUP(TRIM(D159)&amp;"_"&amp;TRIM(INDEX($E$1:$K$1, MATCH(MIN(E159:K159), E159:K159, 0))), 技能库!$A:$F, 6, 0),"请针对该题型加强练习"))</f>
        <v/>
      </c>
      <c r="AB159" s="5" t="str">
        <f>IF(P159="","", "⚠️ 薄弱环节: "&amp;INDEX($N$1:$O$1, MATCH(MIN(N159:O159), N159:O159, 0))&amp;CHAR(10)&amp;"📉 考察能力: "&amp;IFERROR(VLOOKUP(TRIM(D159)&amp;"_"&amp;TRIM(INDEX($N$1:$O$1, MATCH(MIN(N159:O159), N159:O159, 0))), 技能库!$A:$F, 5, 0),"建议查阅考纲")&amp;CHAR(10)&amp;"💡 提升建议: "&amp;IFERROR(VLOOKUP(TRIM(D159)&amp;"_"&amp;TRIM(INDEX($N$1:$O$1, MATCH(MIN(N159:O159), N159:O159, 0))), 技能库!$A:$F, 6, 0),"请针对该题型加强练习"))</f>
        <v/>
      </c>
      <c r="AC159" s="5" t="str">
        <f>IF(W159="","", "⚠️ 薄弱环节: "&amp;INDEX($R$1:$V$1, MATCH(MIN(R159:V159), R159:V159, 0))&amp;CHAR(10)&amp;"📉 考察能力: "&amp;IFERROR(VLOOKUP(TRIM(D159)&amp;"_"&amp;TRIM(INDEX($R$1:$V$1, MATCH(MIN(R159:V159), R159:V159, 0))), 技能库!$A:$F, 5, 0),"建议查阅考纲")&amp;CHAR(10)&amp;"💡 提升建议: "&amp;IFERROR(VLOOKUP(TRIM(D159)&amp;"_"&amp;TRIM(INDEX($R$1:$V$1, MATCH(MIN(R159:V159), R159:V159, 0))), 技能库!$A:$F, 6, 0),"请针对该题型加强练习"))</f>
        <v/>
      </c>
    </row>
    <row r="160" spans="12:29" ht="16" hidden="1" x14ac:dyDescent="0.2">
      <c r="L160" t="str">
        <f t="shared" si="8"/>
        <v/>
      </c>
      <c r="M160" t="str">
        <f>IF(L160="","", IFERROR(VLOOKUP(L160, IF(D160="KET", 换算标准!$M:$N, IF(D160="PET", 换算标准!$S:$T, 换算标准!$AC:$AD)), 2, TRUE), 0))</f>
        <v/>
      </c>
      <c r="P160" t="str">
        <f t="shared" si="9"/>
        <v/>
      </c>
      <c r="Q160" t="str">
        <f>IF(P160="","", IFERROR(VLOOKUP(P160, IF(D160="KET", 换算标准!$O:$P, IF(D160="PET", 换算标准!$U:$V, 换算标准!$AG:$AH)), 2, TRUE), 0))</f>
        <v/>
      </c>
      <c r="W160" t="str">
        <f t="shared" si="10"/>
        <v/>
      </c>
      <c r="X160" t="str">
        <f>IF(W160="","", IFERROR(VLOOKUP(W160, IF(D160="KET", 换算标准!$Q:$R, IF(D160="PET", 换算标准!$W:$X, 换算标准!$AI:$AJ)), 2, TRUE), 0))</f>
        <v/>
      </c>
      <c r="Y160" t="str">
        <f t="shared" si="11"/>
        <v/>
      </c>
      <c r="Z160" t="str">
        <f>IF(Y160="","", IFERROR(VLOOKUP(Y160, 换算标准!$Z:$AA, 1, TRUE), ""))</f>
        <v/>
      </c>
      <c r="AA160" s="5" t="str">
        <f>IF(L160="","", "⚠️ 薄弱环节: "&amp;INDEX($E$1:$K$1, MATCH(MIN(E160:K160), E160:K160, 0))&amp;CHAR(10)&amp;"📉 考察能力: "&amp;IFERROR(VLOOKUP(TRIM(D160)&amp;"_"&amp;TRIM(INDEX($E$1:$K$1, MATCH(MIN(E160:K160), E160:K160, 0))), 技能库!$A:$F, 5, 0),"建议查阅考纲")&amp;CHAR(10)&amp;"💡 提升建议: "&amp;IFERROR(VLOOKUP(TRIM(D160)&amp;"_"&amp;TRIM(INDEX($E$1:$K$1, MATCH(MIN(E160:K160), E160:K160, 0))), 技能库!$A:$F, 6, 0),"请针对该题型加强练习"))</f>
        <v/>
      </c>
      <c r="AB160" s="5" t="str">
        <f>IF(P160="","", "⚠️ 薄弱环节: "&amp;INDEX($N$1:$O$1, MATCH(MIN(N160:O160), N160:O160, 0))&amp;CHAR(10)&amp;"📉 考察能力: "&amp;IFERROR(VLOOKUP(TRIM(D160)&amp;"_"&amp;TRIM(INDEX($N$1:$O$1, MATCH(MIN(N160:O160), N160:O160, 0))), 技能库!$A:$F, 5, 0),"建议查阅考纲")&amp;CHAR(10)&amp;"💡 提升建议: "&amp;IFERROR(VLOOKUP(TRIM(D160)&amp;"_"&amp;TRIM(INDEX($N$1:$O$1, MATCH(MIN(N160:O160), N160:O160, 0))), 技能库!$A:$F, 6, 0),"请针对该题型加强练习"))</f>
        <v/>
      </c>
      <c r="AC160" s="5" t="str">
        <f>IF(W160="","", "⚠️ 薄弱环节: "&amp;INDEX($R$1:$V$1, MATCH(MIN(R160:V160), R160:V160, 0))&amp;CHAR(10)&amp;"📉 考察能力: "&amp;IFERROR(VLOOKUP(TRIM(D160)&amp;"_"&amp;TRIM(INDEX($R$1:$V$1, MATCH(MIN(R160:V160), R160:V160, 0))), 技能库!$A:$F, 5, 0),"建议查阅考纲")&amp;CHAR(10)&amp;"💡 提升建议: "&amp;IFERROR(VLOOKUP(TRIM(D160)&amp;"_"&amp;TRIM(INDEX($R$1:$V$1, MATCH(MIN(R160:V160), R160:V160, 0))), 技能库!$A:$F, 6, 0),"请针对该题型加强练习"))</f>
        <v/>
      </c>
    </row>
    <row r="161" spans="12:29" ht="16" hidden="1" x14ac:dyDescent="0.2">
      <c r="L161" t="str">
        <f t="shared" si="8"/>
        <v/>
      </c>
      <c r="M161" t="str">
        <f>IF(L161="","", IFERROR(VLOOKUP(L161, IF(D161="KET", 换算标准!$M:$N, IF(D161="PET", 换算标准!$S:$T, 换算标准!$AC:$AD)), 2, TRUE), 0))</f>
        <v/>
      </c>
      <c r="P161" t="str">
        <f t="shared" si="9"/>
        <v/>
      </c>
      <c r="Q161" t="str">
        <f>IF(P161="","", IFERROR(VLOOKUP(P161, IF(D161="KET", 换算标准!$O:$P, IF(D161="PET", 换算标准!$U:$V, 换算标准!$AG:$AH)), 2, TRUE), 0))</f>
        <v/>
      </c>
      <c r="W161" t="str">
        <f t="shared" si="10"/>
        <v/>
      </c>
      <c r="X161" t="str">
        <f>IF(W161="","", IFERROR(VLOOKUP(W161, IF(D161="KET", 换算标准!$Q:$R, IF(D161="PET", 换算标准!$W:$X, 换算标准!$AI:$AJ)), 2, TRUE), 0))</f>
        <v/>
      </c>
      <c r="Y161" t="str">
        <f t="shared" si="11"/>
        <v/>
      </c>
      <c r="Z161" t="str">
        <f>IF(Y161="","", IFERROR(VLOOKUP(Y161, 换算标准!$Z:$AA, 1, TRUE), ""))</f>
        <v/>
      </c>
      <c r="AA161" s="5" t="str">
        <f>IF(L161="","", "⚠️ 薄弱环节: "&amp;INDEX($E$1:$K$1, MATCH(MIN(E161:K161), E161:K161, 0))&amp;CHAR(10)&amp;"📉 考察能力: "&amp;IFERROR(VLOOKUP(TRIM(D161)&amp;"_"&amp;TRIM(INDEX($E$1:$K$1, MATCH(MIN(E161:K161), E161:K161, 0))), 技能库!$A:$F, 5, 0),"建议查阅考纲")&amp;CHAR(10)&amp;"💡 提升建议: "&amp;IFERROR(VLOOKUP(TRIM(D161)&amp;"_"&amp;TRIM(INDEX($E$1:$K$1, MATCH(MIN(E161:K161), E161:K161, 0))), 技能库!$A:$F, 6, 0),"请针对该题型加强练习"))</f>
        <v/>
      </c>
      <c r="AB161" s="5" t="str">
        <f>IF(P161="","", "⚠️ 薄弱环节: "&amp;INDEX($N$1:$O$1, MATCH(MIN(N161:O161), N161:O161, 0))&amp;CHAR(10)&amp;"📉 考察能力: "&amp;IFERROR(VLOOKUP(TRIM(D161)&amp;"_"&amp;TRIM(INDEX($N$1:$O$1, MATCH(MIN(N161:O161), N161:O161, 0))), 技能库!$A:$F, 5, 0),"建议查阅考纲")&amp;CHAR(10)&amp;"💡 提升建议: "&amp;IFERROR(VLOOKUP(TRIM(D161)&amp;"_"&amp;TRIM(INDEX($N$1:$O$1, MATCH(MIN(N161:O161), N161:O161, 0))), 技能库!$A:$F, 6, 0),"请针对该题型加强练习"))</f>
        <v/>
      </c>
      <c r="AC161" s="5" t="str">
        <f>IF(W161="","", "⚠️ 薄弱环节: "&amp;INDEX($R$1:$V$1, MATCH(MIN(R161:V161), R161:V161, 0))&amp;CHAR(10)&amp;"📉 考察能力: "&amp;IFERROR(VLOOKUP(TRIM(D161)&amp;"_"&amp;TRIM(INDEX($R$1:$V$1, MATCH(MIN(R161:V161), R161:V161, 0))), 技能库!$A:$F, 5, 0),"建议查阅考纲")&amp;CHAR(10)&amp;"💡 提升建议: "&amp;IFERROR(VLOOKUP(TRIM(D161)&amp;"_"&amp;TRIM(INDEX($R$1:$V$1, MATCH(MIN(R161:V161), R161:V161, 0))), 技能库!$A:$F, 6, 0),"请针对该题型加强练习"))</f>
        <v/>
      </c>
    </row>
    <row r="162" spans="12:29" ht="16" hidden="1" x14ac:dyDescent="0.2">
      <c r="L162" t="str">
        <f t="shared" si="8"/>
        <v/>
      </c>
      <c r="M162" t="str">
        <f>IF(L162="","", IFERROR(VLOOKUP(L162, IF(D162="KET", 换算标准!$M:$N, IF(D162="PET", 换算标准!$S:$T, 换算标准!$AC:$AD)), 2, TRUE), 0))</f>
        <v/>
      </c>
      <c r="P162" t="str">
        <f t="shared" si="9"/>
        <v/>
      </c>
      <c r="Q162" t="str">
        <f>IF(P162="","", IFERROR(VLOOKUP(P162, IF(D162="KET", 换算标准!$O:$P, IF(D162="PET", 换算标准!$U:$V, 换算标准!$AG:$AH)), 2, TRUE), 0))</f>
        <v/>
      </c>
      <c r="W162" t="str">
        <f t="shared" si="10"/>
        <v/>
      </c>
      <c r="X162" t="str">
        <f>IF(W162="","", IFERROR(VLOOKUP(W162, IF(D162="KET", 换算标准!$Q:$R, IF(D162="PET", 换算标准!$W:$X, 换算标准!$AI:$AJ)), 2, TRUE), 0))</f>
        <v/>
      </c>
      <c r="Y162" t="str">
        <f t="shared" si="11"/>
        <v/>
      </c>
      <c r="Z162" t="str">
        <f>IF(Y162="","", IFERROR(VLOOKUP(Y162, 换算标准!$Z:$AA, 1, TRUE), ""))</f>
        <v/>
      </c>
      <c r="AA162" s="5" t="str">
        <f>IF(L162="","", "⚠️ 薄弱环节: "&amp;INDEX($E$1:$K$1, MATCH(MIN(E162:K162), E162:K162, 0))&amp;CHAR(10)&amp;"📉 考察能力: "&amp;IFERROR(VLOOKUP(TRIM(D162)&amp;"_"&amp;TRIM(INDEX($E$1:$K$1, MATCH(MIN(E162:K162), E162:K162, 0))), 技能库!$A:$F, 5, 0),"建议查阅考纲")&amp;CHAR(10)&amp;"💡 提升建议: "&amp;IFERROR(VLOOKUP(TRIM(D162)&amp;"_"&amp;TRIM(INDEX($E$1:$K$1, MATCH(MIN(E162:K162), E162:K162, 0))), 技能库!$A:$F, 6, 0),"请针对该题型加强练习"))</f>
        <v/>
      </c>
      <c r="AB162" s="5" t="str">
        <f>IF(P162="","", "⚠️ 薄弱环节: "&amp;INDEX($N$1:$O$1, MATCH(MIN(N162:O162), N162:O162, 0))&amp;CHAR(10)&amp;"📉 考察能力: "&amp;IFERROR(VLOOKUP(TRIM(D162)&amp;"_"&amp;TRIM(INDEX($N$1:$O$1, MATCH(MIN(N162:O162), N162:O162, 0))), 技能库!$A:$F, 5, 0),"建议查阅考纲")&amp;CHAR(10)&amp;"💡 提升建议: "&amp;IFERROR(VLOOKUP(TRIM(D162)&amp;"_"&amp;TRIM(INDEX($N$1:$O$1, MATCH(MIN(N162:O162), N162:O162, 0))), 技能库!$A:$F, 6, 0),"请针对该题型加强练习"))</f>
        <v/>
      </c>
      <c r="AC162" s="5" t="str">
        <f>IF(W162="","", "⚠️ 薄弱环节: "&amp;INDEX($R$1:$V$1, MATCH(MIN(R162:V162), R162:V162, 0))&amp;CHAR(10)&amp;"📉 考察能力: "&amp;IFERROR(VLOOKUP(TRIM(D162)&amp;"_"&amp;TRIM(INDEX($R$1:$V$1, MATCH(MIN(R162:V162), R162:V162, 0))), 技能库!$A:$F, 5, 0),"建议查阅考纲")&amp;CHAR(10)&amp;"💡 提升建议: "&amp;IFERROR(VLOOKUP(TRIM(D162)&amp;"_"&amp;TRIM(INDEX($R$1:$V$1, MATCH(MIN(R162:V162), R162:V162, 0))), 技能库!$A:$F, 6, 0),"请针对该题型加强练习"))</f>
        <v/>
      </c>
    </row>
    <row r="163" spans="12:29" ht="16" hidden="1" x14ac:dyDescent="0.2">
      <c r="L163" t="str">
        <f t="shared" si="8"/>
        <v/>
      </c>
      <c r="M163" t="str">
        <f>IF(L163="","", IFERROR(VLOOKUP(L163, IF(D163="KET", 换算标准!$M:$N, IF(D163="PET", 换算标准!$S:$T, 换算标准!$AC:$AD)), 2, TRUE), 0))</f>
        <v/>
      </c>
      <c r="P163" t="str">
        <f t="shared" si="9"/>
        <v/>
      </c>
      <c r="Q163" t="str">
        <f>IF(P163="","", IFERROR(VLOOKUP(P163, IF(D163="KET", 换算标准!$O:$P, IF(D163="PET", 换算标准!$U:$V, 换算标准!$AG:$AH)), 2, TRUE), 0))</f>
        <v/>
      </c>
      <c r="W163" t="str">
        <f t="shared" si="10"/>
        <v/>
      </c>
      <c r="X163" t="str">
        <f>IF(W163="","", IFERROR(VLOOKUP(W163, IF(D163="KET", 换算标准!$Q:$R, IF(D163="PET", 换算标准!$W:$X, 换算标准!$AI:$AJ)), 2, TRUE), 0))</f>
        <v/>
      </c>
      <c r="Y163" t="str">
        <f t="shared" si="11"/>
        <v/>
      </c>
      <c r="Z163" t="str">
        <f>IF(Y163="","", IFERROR(VLOOKUP(Y163, 换算标准!$Z:$AA, 1, TRUE), ""))</f>
        <v/>
      </c>
      <c r="AA163" s="5" t="str">
        <f>IF(L163="","", "⚠️ 薄弱环节: "&amp;INDEX($E$1:$K$1, MATCH(MIN(E163:K163), E163:K163, 0))&amp;CHAR(10)&amp;"📉 考察能力: "&amp;IFERROR(VLOOKUP(TRIM(D163)&amp;"_"&amp;TRIM(INDEX($E$1:$K$1, MATCH(MIN(E163:K163), E163:K163, 0))), 技能库!$A:$F, 5, 0),"建议查阅考纲")&amp;CHAR(10)&amp;"💡 提升建议: "&amp;IFERROR(VLOOKUP(TRIM(D163)&amp;"_"&amp;TRIM(INDEX($E$1:$K$1, MATCH(MIN(E163:K163), E163:K163, 0))), 技能库!$A:$F, 6, 0),"请针对该题型加强练习"))</f>
        <v/>
      </c>
      <c r="AB163" s="5" t="str">
        <f>IF(P163="","", "⚠️ 薄弱环节: "&amp;INDEX($N$1:$O$1, MATCH(MIN(N163:O163), N163:O163, 0))&amp;CHAR(10)&amp;"📉 考察能力: "&amp;IFERROR(VLOOKUP(TRIM(D163)&amp;"_"&amp;TRIM(INDEX($N$1:$O$1, MATCH(MIN(N163:O163), N163:O163, 0))), 技能库!$A:$F, 5, 0),"建议查阅考纲")&amp;CHAR(10)&amp;"💡 提升建议: "&amp;IFERROR(VLOOKUP(TRIM(D163)&amp;"_"&amp;TRIM(INDEX($N$1:$O$1, MATCH(MIN(N163:O163), N163:O163, 0))), 技能库!$A:$F, 6, 0),"请针对该题型加强练习"))</f>
        <v/>
      </c>
      <c r="AC163" s="5" t="str">
        <f>IF(W163="","", "⚠️ 薄弱环节: "&amp;INDEX($R$1:$V$1, MATCH(MIN(R163:V163), R163:V163, 0))&amp;CHAR(10)&amp;"📉 考察能力: "&amp;IFERROR(VLOOKUP(TRIM(D163)&amp;"_"&amp;TRIM(INDEX($R$1:$V$1, MATCH(MIN(R163:V163), R163:V163, 0))), 技能库!$A:$F, 5, 0),"建议查阅考纲")&amp;CHAR(10)&amp;"💡 提升建议: "&amp;IFERROR(VLOOKUP(TRIM(D163)&amp;"_"&amp;TRIM(INDEX($R$1:$V$1, MATCH(MIN(R163:V163), R163:V163, 0))), 技能库!$A:$F, 6, 0),"请针对该题型加强练习"))</f>
        <v/>
      </c>
    </row>
    <row r="164" spans="12:29" ht="16" hidden="1" x14ac:dyDescent="0.2">
      <c r="L164" t="str">
        <f t="shared" si="8"/>
        <v/>
      </c>
      <c r="M164" t="str">
        <f>IF(L164="","", IFERROR(VLOOKUP(L164, IF(D164="KET", 换算标准!$M:$N, IF(D164="PET", 换算标准!$S:$T, 换算标准!$AC:$AD)), 2, TRUE), 0))</f>
        <v/>
      </c>
      <c r="P164" t="str">
        <f t="shared" si="9"/>
        <v/>
      </c>
      <c r="Q164" t="str">
        <f>IF(P164="","", IFERROR(VLOOKUP(P164, IF(D164="KET", 换算标准!$O:$P, IF(D164="PET", 换算标准!$U:$V, 换算标准!$AG:$AH)), 2, TRUE), 0))</f>
        <v/>
      </c>
      <c r="W164" t="str">
        <f t="shared" si="10"/>
        <v/>
      </c>
      <c r="X164" t="str">
        <f>IF(W164="","", IFERROR(VLOOKUP(W164, IF(D164="KET", 换算标准!$Q:$R, IF(D164="PET", 换算标准!$W:$X, 换算标准!$AI:$AJ)), 2, TRUE), 0))</f>
        <v/>
      </c>
      <c r="Y164" t="str">
        <f t="shared" si="11"/>
        <v/>
      </c>
      <c r="Z164" t="str">
        <f>IF(Y164="","", IFERROR(VLOOKUP(Y164, 换算标准!$Z:$AA, 1, TRUE), ""))</f>
        <v/>
      </c>
      <c r="AA164" s="5" t="str">
        <f>IF(L164="","", "⚠️ 薄弱环节: "&amp;INDEX($E$1:$K$1, MATCH(MIN(E164:K164), E164:K164, 0))&amp;CHAR(10)&amp;"📉 考察能力: "&amp;IFERROR(VLOOKUP(TRIM(D164)&amp;"_"&amp;TRIM(INDEX($E$1:$K$1, MATCH(MIN(E164:K164), E164:K164, 0))), 技能库!$A:$F, 5, 0),"建议查阅考纲")&amp;CHAR(10)&amp;"💡 提升建议: "&amp;IFERROR(VLOOKUP(TRIM(D164)&amp;"_"&amp;TRIM(INDEX($E$1:$K$1, MATCH(MIN(E164:K164), E164:K164, 0))), 技能库!$A:$F, 6, 0),"请针对该题型加强练习"))</f>
        <v/>
      </c>
      <c r="AB164" s="5" t="str">
        <f>IF(P164="","", "⚠️ 薄弱环节: "&amp;INDEX($N$1:$O$1, MATCH(MIN(N164:O164), N164:O164, 0))&amp;CHAR(10)&amp;"📉 考察能力: "&amp;IFERROR(VLOOKUP(TRIM(D164)&amp;"_"&amp;TRIM(INDEX($N$1:$O$1, MATCH(MIN(N164:O164), N164:O164, 0))), 技能库!$A:$F, 5, 0),"建议查阅考纲")&amp;CHAR(10)&amp;"💡 提升建议: "&amp;IFERROR(VLOOKUP(TRIM(D164)&amp;"_"&amp;TRIM(INDEX($N$1:$O$1, MATCH(MIN(N164:O164), N164:O164, 0))), 技能库!$A:$F, 6, 0),"请针对该题型加强练习"))</f>
        <v/>
      </c>
      <c r="AC164" s="5" t="str">
        <f>IF(W164="","", "⚠️ 薄弱环节: "&amp;INDEX($R$1:$V$1, MATCH(MIN(R164:V164), R164:V164, 0))&amp;CHAR(10)&amp;"📉 考察能力: "&amp;IFERROR(VLOOKUP(TRIM(D164)&amp;"_"&amp;TRIM(INDEX($R$1:$V$1, MATCH(MIN(R164:V164), R164:V164, 0))), 技能库!$A:$F, 5, 0),"建议查阅考纲")&amp;CHAR(10)&amp;"💡 提升建议: "&amp;IFERROR(VLOOKUP(TRIM(D164)&amp;"_"&amp;TRIM(INDEX($R$1:$V$1, MATCH(MIN(R164:V164), R164:V164, 0))), 技能库!$A:$F, 6, 0),"请针对该题型加强练习"))</f>
        <v/>
      </c>
    </row>
    <row r="165" spans="12:29" ht="16" hidden="1" x14ac:dyDescent="0.2">
      <c r="L165" t="str">
        <f t="shared" si="8"/>
        <v/>
      </c>
      <c r="M165" t="str">
        <f>IF(L165="","", IFERROR(VLOOKUP(L165, IF(D165="KET", 换算标准!$M:$N, IF(D165="PET", 换算标准!$S:$T, 换算标准!$AC:$AD)), 2, TRUE), 0))</f>
        <v/>
      </c>
      <c r="P165" t="str">
        <f t="shared" si="9"/>
        <v/>
      </c>
      <c r="Q165" t="str">
        <f>IF(P165="","", IFERROR(VLOOKUP(P165, IF(D165="KET", 换算标准!$O:$P, IF(D165="PET", 换算标准!$U:$V, 换算标准!$AG:$AH)), 2, TRUE), 0))</f>
        <v/>
      </c>
      <c r="W165" t="str">
        <f t="shared" si="10"/>
        <v/>
      </c>
      <c r="X165" t="str">
        <f>IF(W165="","", IFERROR(VLOOKUP(W165, IF(D165="KET", 换算标准!$Q:$R, IF(D165="PET", 换算标准!$W:$X, 换算标准!$AI:$AJ)), 2, TRUE), 0))</f>
        <v/>
      </c>
      <c r="Y165" t="str">
        <f t="shared" si="11"/>
        <v/>
      </c>
      <c r="Z165" t="str">
        <f>IF(Y165="","", IFERROR(VLOOKUP(Y165, 换算标准!$Z:$AA, 1, TRUE), ""))</f>
        <v/>
      </c>
      <c r="AA165" s="5" t="str">
        <f>IF(L165="","", "⚠️ 薄弱环节: "&amp;INDEX($E$1:$K$1, MATCH(MIN(E165:K165), E165:K165, 0))&amp;CHAR(10)&amp;"📉 考察能力: "&amp;IFERROR(VLOOKUP(TRIM(D165)&amp;"_"&amp;TRIM(INDEX($E$1:$K$1, MATCH(MIN(E165:K165), E165:K165, 0))), 技能库!$A:$F, 5, 0),"建议查阅考纲")&amp;CHAR(10)&amp;"💡 提升建议: "&amp;IFERROR(VLOOKUP(TRIM(D165)&amp;"_"&amp;TRIM(INDEX($E$1:$K$1, MATCH(MIN(E165:K165), E165:K165, 0))), 技能库!$A:$F, 6, 0),"请针对该题型加强练习"))</f>
        <v/>
      </c>
      <c r="AB165" s="5" t="str">
        <f>IF(P165="","", "⚠️ 薄弱环节: "&amp;INDEX($N$1:$O$1, MATCH(MIN(N165:O165), N165:O165, 0))&amp;CHAR(10)&amp;"📉 考察能力: "&amp;IFERROR(VLOOKUP(TRIM(D165)&amp;"_"&amp;TRIM(INDEX($N$1:$O$1, MATCH(MIN(N165:O165), N165:O165, 0))), 技能库!$A:$F, 5, 0),"建议查阅考纲")&amp;CHAR(10)&amp;"💡 提升建议: "&amp;IFERROR(VLOOKUP(TRIM(D165)&amp;"_"&amp;TRIM(INDEX($N$1:$O$1, MATCH(MIN(N165:O165), N165:O165, 0))), 技能库!$A:$F, 6, 0),"请针对该题型加强练习"))</f>
        <v/>
      </c>
      <c r="AC165" s="5" t="str">
        <f>IF(W165="","", "⚠️ 薄弱环节: "&amp;INDEX($R$1:$V$1, MATCH(MIN(R165:V165), R165:V165, 0))&amp;CHAR(10)&amp;"📉 考察能力: "&amp;IFERROR(VLOOKUP(TRIM(D165)&amp;"_"&amp;TRIM(INDEX($R$1:$V$1, MATCH(MIN(R165:V165), R165:V165, 0))), 技能库!$A:$F, 5, 0),"建议查阅考纲")&amp;CHAR(10)&amp;"💡 提升建议: "&amp;IFERROR(VLOOKUP(TRIM(D165)&amp;"_"&amp;TRIM(INDEX($R$1:$V$1, MATCH(MIN(R165:V165), R165:V165, 0))), 技能库!$A:$F, 6, 0),"请针对该题型加强练习"))</f>
        <v/>
      </c>
    </row>
    <row r="166" spans="12:29" ht="16" hidden="1" x14ac:dyDescent="0.2">
      <c r="L166" t="str">
        <f t="shared" si="8"/>
        <v/>
      </c>
      <c r="M166" t="str">
        <f>IF(L166="","", IFERROR(VLOOKUP(L166, IF(D166="KET", 换算标准!$M:$N, IF(D166="PET", 换算标准!$S:$T, 换算标准!$AC:$AD)), 2, TRUE), 0))</f>
        <v/>
      </c>
      <c r="P166" t="str">
        <f t="shared" si="9"/>
        <v/>
      </c>
      <c r="Q166" t="str">
        <f>IF(P166="","", IFERROR(VLOOKUP(P166, IF(D166="KET", 换算标准!$O:$P, IF(D166="PET", 换算标准!$U:$V, 换算标准!$AG:$AH)), 2, TRUE), 0))</f>
        <v/>
      </c>
      <c r="W166" t="str">
        <f t="shared" si="10"/>
        <v/>
      </c>
      <c r="X166" t="str">
        <f>IF(W166="","", IFERROR(VLOOKUP(W166, IF(D166="KET", 换算标准!$Q:$R, IF(D166="PET", 换算标准!$W:$X, 换算标准!$AI:$AJ)), 2, TRUE), 0))</f>
        <v/>
      </c>
      <c r="Y166" t="str">
        <f t="shared" si="11"/>
        <v/>
      </c>
      <c r="Z166" t="str">
        <f>IF(Y166="","", IFERROR(VLOOKUP(Y166, 换算标准!$Z:$AA, 1, TRUE), ""))</f>
        <v/>
      </c>
      <c r="AA166" s="5" t="str">
        <f>IF(L166="","", "⚠️ 薄弱环节: "&amp;INDEX($E$1:$K$1, MATCH(MIN(E166:K166), E166:K166, 0))&amp;CHAR(10)&amp;"📉 考察能力: "&amp;IFERROR(VLOOKUP(TRIM(D166)&amp;"_"&amp;TRIM(INDEX($E$1:$K$1, MATCH(MIN(E166:K166), E166:K166, 0))), 技能库!$A:$F, 5, 0),"建议查阅考纲")&amp;CHAR(10)&amp;"💡 提升建议: "&amp;IFERROR(VLOOKUP(TRIM(D166)&amp;"_"&amp;TRIM(INDEX($E$1:$K$1, MATCH(MIN(E166:K166), E166:K166, 0))), 技能库!$A:$F, 6, 0),"请针对该题型加强练习"))</f>
        <v/>
      </c>
      <c r="AB166" s="5" t="str">
        <f>IF(P166="","", "⚠️ 薄弱环节: "&amp;INDEX($N$1:$O$1, MATCH(MIN(N166:O166), N166:O166, 0))&amp;CHAR(10)&amp;"📉 考察能力: "&amp;IFERROR(VLOOKUP(TRIM(D166)&amp;"_"&amp;TRIM(INDEX($N$1:$O$1, MATCH(MIN(N166:O166), N166:O166, 0))), 技能库!$A:$F, 5, 0),"建议查阅考纲")&amp;CHAR(10)&amp;"💡 提升建议: "&amp;IFERROR(VLOOKUP(TRIM(D166)&amp;"_"&amp;TRIM(INDEX($N$1:$O$1, MATCH(MIN(N166:O166), N166:O166, 0))), 技能库!$A:$F, 6, 0),"请针对该题型加强练习"))</f>
        <v/>
      </c>
      <c r="AC166" s="5" t="str">
        <f>IF(W166="","", "⚠️ 薄弱环节: "&amp;INDEX($R$1:$V$1, MATCH(MIN(R166:V166), R166:V166, 0))&amp;CHAR(10)&amp;"📉 考察能力: "&amp;IFERROR(VLOOKUP(TRIM(D166)&amp;"_"&amp;TRIM(INDEX($R$1:$V$1, MATCH(MIN(R166:V166), R166:V166, 0))), 技能库!$A:$F, 5, 0),"建议查阅考纲")&amp;CHAR(10)&amp;"💡 提升建议: "&amp;IFERROR(VLOOKUP(TRIM(D166)&amp;"_"&amp;TRIM(INDEX($R$1:$V$1, MATCH(MIN(R166:V166), R166:V166, 0))), 技能库!$A:$F, 6, 0),"请针对该题型加强练习"))</f>
        <v/>
      </c>
    </row>
    <row r="167" spans="12:29" ht="16" hidden="1" x14ac:dyDescent="0.2">
      <c r="L167" t="str">
        <f t="shared" si="8"/>
        <v/>
      </c>
      <c r="M167" t="str">
        <f>IF(L167="","", IFERROR(VLOOKUP(L167, IF(D167="KET", 换算标准!$M:$N, IF(D167="PET", 换算标准!$S:$T, 换算标准!$AC:$AD)), 2, TRUE), 0))</f>
        <v/>
      </c>
      <c r="P167" t="str">
        <f t="shared" si="9"/>
        <v/>
      </c>
      <c r="Q167" t="str">
        <f>IF(P167="","", IFERROR(VLOOKUP(P167, IF(D167="KET", 换算标准!$O:$P, IF(D167="PET", 换算标准!$U:$V, 换算标准!$AG:$AH)), 2, TRUE), 0))</f>
        <v/>
      </c>
      <c r="W167" t="str">
        <f t="shared" si="10"/>
        <v/>
      </c>
      <c r="X167" t="str">
        <f>IF(W167="","", IFERROR(VLOOKUP(W167, IF(D167="KET", 换算标准!$Q:$R, IF(D167="PET", 换算标准!$W:$X, 换算标准!$AI:$AJ)), 2, TRUE), 0))</f>
        <v/>
      </c>
      <c r="Y167" t="str">
        <f t="shared" si="11"/>
        <v/>
      </c>
      <c r="Z167" t="str">
        <f>IF(Y167="","", IFERROR(VLOOKUP(Y167, 换算标准!$Z:$AA, 1, TRUE), ""))</f>
        <v/>
      </c>
      <c r="AA167" s="5" t="str">
        <f>IF(L167="","", "⚠️ 薄弱环节: "&amp;INDEX($E$1:$K$1, MATCH(MIN(E167:K167), E167:K167, 0))&amp;CHAR(10)&amp;"📉 考察能力: "&amp;IFERROR(VLOOKUP(TRIM(D167)&amp;"_"&amp;TRIM(INDEX($E$1:$K$1, MATCH(MIN(E167:K167), E167:K167, 0))), 技能库!$A:$F, 5, 0),"建议查阅考纲")&amp;CHAR(10)&amp;"💡 提升建议: "&amp;IFERROR(VLOOKUP(TRIM(D167)&amp;"_"&amp;TRIM(INDEX($E$1:$K$1, MATCH(MIN(E167:K167), E167:K167, 0))), 技能库!$A:$F, 6, 0),"请针对该题型加强练习"))</f>
        <v/>
      </c>
      <c r="AB167" s="5" t="str">
        <f>IF(P167="","", "⚠️ 薄弱环节: "&amp;INDEX($N$1:$O$1, MATCH(MIN(N167:O167), N167:O167, 0))&amp;CHAR(10)&amp;"📉 考察能力: "&amp;IFERROR(VLOOKUP(TRIM(D167)&amp;"_"&amp;TRIM(INDEX($N$1:$O$1, MATCH(MIN(N167:O167), N167:O167, 0))), 技能库!$A:$F, 5, 0),"建议查阅考纲")&amp;CHAR(10)&amp;"💡 提升建议: "&amp;IFERROR(VLOOKUP(TRIM(D167)&amp;"_"&amp;TRIM(INDEX($N$1:$O$1, MATCH(MIN(N167:O167), N167:O167, 0))), 技能库!$A:$F, 6, 0),"请针对该题型加强练习"))</f>
        <v/>
      </c>
      <c r="AC167" s="5" t="str">
        <f>IF(W167="","", "⚠️ 薄弱环节: "&amp;INDEX($R$1:$V$1, MATCH(MIN(R167:V167), R167:V167, 0))&amp;CHAR(10)&amp;"📉 考察能力: "&amp;IFERROR(VLOOKUP(TRIM(D167)&amp;"_"&amp;TRIM(INDEX($R$1:$V$1, MATCH(MIN(R167:V167), R167:V167, 0))), 技能库!$A:$F, 5, 0),"建议查阅考纲")&amp;CHAR(10)&amp;"💡 提升建议: "&amp;IFERROR(VLOOKUP(TRIM(D167)&amp;"_"&amp;TRIM(INDEX($R$1:$V$1, MATCH(MIN(R167:V167), R167:V167, 0))), 技能库!$A:$F, 6, 0),"请针对该题型加强练习"))</f>
        <v/>
      </c>
    </row>
    <row r="168" spans="12:29" ht="16" hidden="1" x14ac:dyDescent="0.2">
      <c r="L168" t="str">
        <f t="shared" si="8"/>
        <v/>
      </c>
      <c r="M168" t="str">
        <f>IF(L168="","", IFERROR(VLOOKUP(L168, IF(D168="KET", 换算标准!$M:$N, IF(D168="PET", 换算标准!$S:$T, 换算标准!$AC:$AD)), 2, TRUE), 0))</f>
        <v/>
      </c>
      <c r="P168" t="str">
        <f t="shared" si="9"/>
        <v/>
      </c>
      <c r="Q168" t="str">
        <f>IF(P168="","", IFERROR(VLOOKUP(P168, IF(D168="KET", 换算标准!$O:$P, IF(D168="PET", 换算标准!$U:$V, 换算标准!$AG:$AH)), 2, TRUE), 0))</f>
        <v/>
      </c>
      <c r="W168" t="str">
        <f t="shared" si="10"/>
        <v/>
      </c>
      <c r="X168" t="str">
        <f>IF(W168="","", IFERROR(VLOOKUP(W168, IF(D168="KET", 换算标准!$Q:$R, IF(D168="PET", 换算标准!$W:$X, 换算标准!$AI:$AJ)), 2, TRUE), 0))</f>
        <v/>
      </c>
      <c r="Y168" t="str">
        <f t="shared" si="11"/>
        <v/>
      </c>
      <c r="Z168" t="str">
        <f>IF(Y168="","", IFERROR(VLOOKUP(Y168, 换算标准!$Z:$AA, 1, TRUE), ""))</f>
        <v/>
      </c>
      <c r="AA168" s="5" t="str">
        <f>IF(L168="","", "⚠️ 薄弱环节: "&amp;INDEX($E$1:$K$1, MATCH(MIN(E168:K168), E168:K168, 0))&amp;CHAR(10)&amp;"📉 考察能力: "&amp;IFERROR(VLOOKUP(TRIM(D168)&amp;"_"&amp;TRIM(INDEX($E$1:$K$1, MATCH(MIN(E168:K168), E168:K168, 0))), 技能库!$A:$F, 5, 0),"建议查阅考纲")&amp;CHAR(10)&amp;"💡 提升建议: "&amp;IFERROR(VLOOKUP(TRIM(D168)&amp;"_"&amp;TRIM(INDEX($E$1:$K$1, MATCH(MIN(E168:K168), E168:K168, 0))), 技能库!$A:$F, 6, 0),"请针对该题型加强练习"))</f>
        <v/>
      </c>
      <c r="AB168" s="5" t="str">
        <f>IF(P168="","", "⚠️ 薄弱环节: "&amp;INDEX($N$1:$O$1, MATCH(MIN(N168:O168), N168:O168, 0))&amp;CHAR(10)&amp;"📉 考察能力: "&amp;IFERROR(VLOOKUP(TRIM(D168)&amp;"_"&amp;TRIM(INDEX($N$1:$O$1, MATCH(MIN(N168:O168), N168:O168, 0))), 技能库!$A:$F, 5, 0),"建议查阅考纲")&amp;CHAR(10)&amp;"💡 提升建议: "&amp;IFERROR(VLOOKUP(TRIM(D168)&amp;"_"&amp;TRIM(INDEX($N$1:$O$1, MATCH(MIN(N168:O168), N168:O168, 0))), 技能库!$A:$F, 6, 0),"请针对该题型加强练习"))</f>
        <v/>
      </c>
      <c r="AC168" s="5" t="str">
        <f>IF(W168="","", "⚠️ 薄弱环节: "&amp;INDEX($R$1:$V$1, MATCH(MIN(R168:V168), R168:V168, 0))&amp;CHAR(10)&amp;"📉 考察能力: "&amp;IFERROR(VLOOKUP(TRIM(D168)&amp;"_"&amp;TRIM(INDEX($R$1:$V$1, MATCH(MIN(R168:V168), R168:V168, 0))), 技能库!$A:$F, 5, 0),"建议查阅考纲")&amp;CHAR(10)&amp;"💡 提升建议: "&amp;IFERROR(VLOOKUP(TRIM(D168)&amp;"_"&amp;TRIM(INDEX($R$1:$V$1, MATCH(MIN(R168:V168), R168:V168, 0))), 技能库!$A:$F, 6, 0),"请针对该题型加强练习"))</f>
        <v/>
      </c>
    </row>
    <row r="169" spans="12:29" ht="16" hidden="1" x14ac:dyDescent="0.2">
      <c r="L169" t="str">
        <f t="shared" si="8"/>
        <v/>
      </c>
      <c r="M169" t="str">
        <f>IF(L169="","", IFERROR(VLOOKUP(L169, IF(D169="KET", 换算标准!$M:$N, IF(D169="PET", 换算标准!$S:$T, 换算标准!$AC:$AD)), 2, TRUE), 0))</f>
        <v/>
      </c>
      <c r="P169" t="str">
        <f t="shared" si="9"/>
        <v/>
      </c>
      <c r="Q169" t="str">
        <f>IF(P169="","", IFERROR(VLOOKUP(P169, IF(D169="KET", 换算标准!$O:$P, IF(D169="PET", 换算标准!$U:$V, 换算标准!$AG:$AH)), 2, TRUE), 0))</f>
        <v/>
      </c>
      <c r="W169" t="str">
        <f t="shared" si="10"/>
        <v/>
      </c>
      <c r="X169" t="str">
        <f>IF(W169="","", IFERROR(VLOOKUP(W169, IF(D169="KET", 换算标准!$Q:$R, IF(D169="PET", 换算标准!$W:$X, 换算标准!$AI:$AJ)), 2, TRUE), 0))</f>
        <v/>
      </c>
      <c r="Y169" t="str">
        <f t="shared" si="11"/>
        <v/>
      </c>
      <c r="Z169" t="str">
        <f>IF(Y169="","", IFERROR(VLOOKUP(Y169, 换算标准!$Z:$AA, 1, TRUE), ""))</f>
        <v/>
      </c>
      <c r="AA169" s="5" t="str">
        <f>IF(L169="","", "⚠️ 薄弱环节: "&amp;INDEX($E$1:$K$1, MATCH(MIN(E169:K169), E169:K169, 0))&amp;CHAR(10)&amp;"📉 考察能力: "&amp;IFERROR(VLOOKUP(TRIM(D169)&amp;"_"&amp;TRIM(INDEX($E$1:$K$1, MATCH(MIN(E169:K169), E169:K169, 0))), 技能库!$A:$F, 5, 0),"建议查阅考纲")&amp;CHAR(10)&amp;"💡 提升建议: "&amp;IFERROR(VLOOKUP(TRIM(D169)&amp;"_"&amp;TRIM(INDEX($E$1:$K$1, MATCH(MIN(E169:K169), E169:K169, 0))), 技能库!$A:$F, 6, 0),"请针对该题型加强练习"))</f>
        <v/>
      </c>
      <c r="AB169" s="5" t="str">
        <f>IF(P169="","", "⚠️ 薄弱环节: "&amp;INDEX($N$1:$O$1, MATCH(MIN(N169:O169), N169:O169, 0))&amp;CHAR(10)&amp;"📉 考察能力: "&amp;IFERROR(VLOOKUP(TRIM(D169)&amp;"_"&amp;TRIM(INDEX($N$1:$O$1, MATCH(MIN(N169:O169), N169:O169, 0))), 技能库!$A:$F, 5, 0),"建议查阅考纲")&amp;CHAR(10)&amp;"💡 提升建议: "&amp;IFERROR(VLOOKUP(TRIM(D169)&amp;"_"&amp;TRIM(INDEX($N$1:$O$1, MATCH(MIN(N169:O169), N169:O169, 0))), 技能库!$A:$F, 6, 0),"请针对该题型加强练习"))</f>
        <v/>
      </c>
      <c r="AC169" s="5" t="str">
        <f>IF(W169="","", "⚠️ 薄弱环节: "&amp;INDEX($R$1:$V$1, MATCH(MIN(R169:V169), R169:V169, 0))&amp;CHAR(10)&amp;"📉 考察能力: "&amp;IFERROR(VLOOKUP(TRIM(D169)&amp;"_"&amp;TRIM(INDEX($R$1:$V$1, MATCH(MIN(R169:V169), R169:V169, 0))), 技能库!$A:$F, 5, 0),"建议查阅考纲")&amp;CHAR(10)&amp;"💡 提升建议: "&amp;IFERROR(VLOOKUP(TRIM(D169)&amp;"_"&amp;TRIM(INDEX($R$1:$V$1, MATCH(MIN(R169:V169), R169:V169, 0))), 技能库!$A:$F, 6, 0),"请针对该题型加强练习"))</f>
        <v/>
      </c>
    </row>
    <row r="170" spans="12:29" ht="16" hidden="1" x14ac:dyDescent="0.2">
      <c r="L170" t="str">
        <f t="shared" si="8"/>
        <v/>
      </c>
      <c r="M170" t="str">
        <f>IF(L170="","", IFERROR(VLOOKUP(L170, IF(D170="KET", 换算标准!$M:$N, IF(D170="PET", 换算标准!$S:$T, 换算标准!$AC:$AD)), 2, TRUE), 0))</f>
        <v/>
      </c>
      <c r="P170" t="str">
        <f t="shared" si="9"/>
        <v/>
      </c>
      <c r="Q170" t="str">
        <f>IF(P170="","", IFERROR(VLOOKUP(P170, IF(D170="KET", 换算标准!$O:$P, IF(D170="PET", 换算标准!$U:$V, 换算标准!$AG:$AH)), 2, TRUE), 0))</f>
        <v/>
      </c>
      <c r="W170" t="str">
        <f t="shared" si="10"/>
        <v/>
      </c>
      <c r="X170" t="str">
        <f>IF(W170="","", IFERROR(VLOOKUP(W170, IF(D170="KET", 换算标准!$Q:$R, IF(D170="PET", 换算标准!$W:$X, 换算标准!$AI:$AJ)), 2, TRUE), 0))</f>
        <v/>
      </c>
      <c r="Y170" t="str">
        <f t="shared" si="11"/>
        <v/>
      </c>
      <c r="Z170" t="str">
        <f>IF(Y170="","", IFERROR(VLOOKUP(Y170, 换算标准!$Z:$AA, 1, TRUE), ""))</f>
        <v/>
      </c>
      <c r="AA170" s="5" t="str">
        <f>IF(L170="","", "⚠️ 薄弱环节: "&amp;INDEX($E$1:$K$1, MATCH(MIN(E170:K170), E170:K170, 0))&amp;CHAR(10)&amp;"📉 考察能力: "&amp;IFERROR(VLOOKUP(TRIM(D170)&amp;"_"&amp;TRIM(INDEX($E$1:$K$1, MATCH(MIN(E170:K170), E170:K170, 0))), 技能库!$A:$F, 5, 0),"建议查阅考纲")&amp;CHAR(10)&amp;"💡 提升建议: "&amp;IFERROR(VLOOKUP(TRIM(D170)&amp;"_"&amp;TRIM(INDEX($E$1:$K$1, MATCH(MIN(E170:K170), E170:K170, 0))), 技能库!$A:$F, 6, 0),"请针对该题型加强练习"))</f>
        <v/>
      </c>
      <c r="AB170" s="5" t="str">
        <f>IF(P170="","", "⚠️ 薄弱环节: "&amp;INDEX($N$1:$O$1, MATCH(MIN(N170:O170), N170:O170, 0))&amp;CHAR(10)&amp;"📉 考察能力: "&amp;IFERROR(VLOOKUP(TRIM(D170)&amp;"_"&amp;TRIM(INDEX($N$1:$O$1, MATCH(MIN(N170:O170), N170:O170, 0))), 技能库!$A:$F, 5, 0),"建议查阅考纲")&amp;CHAR(10)&amp;"💡 提升建议: "&amp;IFERROR(VLOOKUP(TRIM(D170)&amp;"_"&amp;TRIM(INDEX($N$1:$O$1, MATCH(MIN(N170:O170), N170:O170, 0))), 技能库!$A:$F, 6, 0),"请针对该题型加强练习"))</f>
        <v/>
      </c>
      <c r="AC170" s="5" t="str">
        <f>IF(W170="","", "⚠️ 薄弱环节: "&amp;INDEX($R$1:$V$1, MATCH(MIN(R170:V170), R170:V170, 0))&amp;CHAR(10)&amp;"📉 考察能力: "&amp;IFERROR(VLOOKUP(TRIM(D170)&amp;"_"&amp;TRIM(INDEX($R$1:$V$1, MATCH(MIN(R170:V170), R170:V170, 0))), 技能库!$A:$F, 5, 0),"建议查阅考纲")&amp;CHAR(10)&amp;"💡 提升建议: "&amp;IFERROR(VLOOKUP(TRIM(D170)&amp;"_"&amp;TRIM(INDEX($R$1:$V$1, MATCH(MIN(R170:V170), R170:V170, 0))), 技能库!$A:$F, 6, 0),"请针对该题型加强练习"))</f>
        <v/>
      </c>
    </row>
    <row r="171" spans="12:29" ht="16" hidden="1" x14ac:dyDescent="0.2">
      <c r="L171" t="str">
        <f t="shared" si="8"/>
        <v/>
      </c>
      <c r="M171" t="str">
        <f>IF(L171="","", IFERROR(VLOOKUP(L171, IF(D171="KET", 换算标准!$M:$N, IF(D171="PET", 换算标准!$S:$T, 换算标准!$AC:$AD)), 2, TRUE), 0))</f>
        <v/>
      </c>
      <c r="P171" t="str">
        <f t="shared" si="9"/>
        <v/>
      </c>
      <c r="Q171" t="str">
        <f>IF(P171="","", IFERROR(VLOOKUP(P171, IF(D171="KET", 换算标准!$O:$P, IF(D171="PET", 换算标准!$U:$V, 换算标准!$AG:$AH)), 2, TRUE), 0))</f>
        <v/>
      </c>
      <c r="W171" t="str">
        <f t="shared" si="10"/>
        <v/>
      </c>
      <c r="X171" t="str">
        <f>IF(W171="","", IFERROR(VLOOKUP(W171, IF(D171="KET", 换算标准!$Q:$R, IF(D171="PET", 换算标准!$W:$X, 换算标准!$AI:$AJ)), 2, TRUE), 0))</f>
        <v/>
      </c>
      <c r="Y171" t="str">
        <f t="shared" si="11"/>
        <v/>
      </c>
      <c r="Z171" t="str">
        <f>IF(Y171="","", IFERROR(VLOOKUP(Y171, 换算标准!$Z:$AA, 1, TRUE), ""))</f>
        <v/>
      </c>
      <c r="AA171" s="5" t="str">
        <f>IF(L171="","", "⚠️ 薄弱环节: "&amp;INDEX($E$1:$K$1, MATCH(MIN(E171:K171), E171:K171, 0))&amp;CHAR(10)&amp;"📉 考察能力: "&amp;IFERROR(VLOOKUP(TRIM(D171)&amp;"_"&amp;TRIM(INDEX($E$1:$K$1, MATCH(MIN(E171:K171), E171:K171, 0))), 技能库!$A:$F, 5, 0),"建议查阅考纲")&amp;CHAR(10)&amp;"💡 提升建议: "&amp;IFERROR(VLOOKUP(TRIM(D171)&amp;"_"&amp;TRIM(INDEX($E$1:$K$1, MATCH(MIN(E171:K171), E171:K171, 0))), 技能库!$A:$F, 6, 0),"请针对该题型加强练习"))</f>
        <v/>
      </c>
      <c r="AB171" s="5" t="str">
        <f>IF(P171="","", "⚠️ 薄弱环节: "&amp;INDEX($N$1:$O$1, MATCH(MIN(N171:O171), N171:O171, 0))&amp;CHAR(10)&amp;"📉 考察能力: "&amp;IFERROR(VLOOKUP(TRIM(D171)&amp;"_"&amp;TRIM(INDEX($N$1:$O$1, MATCH(MIN(N171:O171), N171:O171, 0))), 技能库!$A:$F, 5, 0),"建议查阅考纲")&amp;CHAR(10)&amp;"💡 提升建议: "&amp;IFERROR(VLOOKUP(TRIM(D171)&amp;"_"&amp;TRIM(INDEX($N$1:$O$1, MATCH(MIN(N171:O171), N171:O171, 0))), 技能库!$A:$F, 6, 0),"请针对该题型加强练习"))</f>
        <v/>
      </c>
      <c r="AC171" s="5" t="str">
        <f>IF(W171="","", "⚠️ 薄弱环节: "&amp;INDEX($R$1:$V$1, MATCH(MIN(R171:V171), R171:V171, 0))&amp;CHAR(10)&amp;"📉 考察能力: "&amp;IFERROR(VLOOKUP(TRIM(D171)&amp;"_"&amp;TRIM(INDEX($R$1:$V$1, MATCH(MIN(R171:V171), R171:V171, 0))), 技能库!$A:$F, 5, 0),"建议查阅考纲")&amp;CHAR(10)&amp;"💡 提升建议: "&amp;IFERROR(VLOOKUP(TRIM(D171)&amp;"_"&amp;TRIM(INDEX($R$1:$V$1, MATCH(MIN(R171:V171), R171:V171, 0))), 技能库!$A:$F, 6, 0),"请针对该题型加强练习"))</f>
        <v/>
      </c>
    </row>
    <row r="172" spans="12:29" ht="16" hidden="1" x14ac:dyDescent="0.2">
      <c r="L172" t="str">
        <f t="shared" si="8"/>
        <v/>
      </c>
      <c r="M172" t="str">
        <f>IF(L172="","", IFERROR(VLOOKUP(L172, IF(D172="KET", 换算标准!$M:$N, IF(D172="PET", 换算标准!$S:$T, 换算标准!$AC:$AD)), 2, TRUE), 0))</f>
        <v/>
      </c>
      <c r="P172" t="str">
        <f t="shared" si="9"/>
        <v/>
      </c>
      <c r="Q172" t="str">
        <f>IF(P172="","", IFERROR(VLOOKUP(P172, IF(D172="KET", 换算标准!$O:$P, IF(D172="PET", 换算标准!$U:$V, 换算标准!$AG:$AH)), 2, TRUE), 0))</f>
        <v/>
      </c>
      <c r="W172" t="str">
        <f t="shared" si="10"/>
        <v/>
      </c>
      <c r="X172" t="str">
        <f>IF(W172="","", IFERROR(VLOOKUP(W172, IF(D172="KET", 换算标准!$Q:$R, IF(D172="PET", 换算标准!$W:$X, 换算标准!$AI:$AJ)), 2, TRUE), 0))</f>
        <v/>
      </c>
      <c r="Y172" t="str">
        <f t="shared" si="11"/>
        <v/>
      </c>
      <c r="Z172" t="str">
        <f>IF(Y172="","", IFERROR(VLOOKUP(Y172, 换算标准!$Z:$AA, 1, TRUE), ""))</f>
        <v/>
      </c>
      <c r="AA172" s="5" t="str">
        <f>IF(L172="","", "⚠️ 薄弱环节: "&amp;INDEX($E$1:$K$1, MATCH(MIN(E172:K172), E172:K172, 0))&amp;CHAR(10)&amp;"📉 考察能力: "&amp;IFERROR(VLOOKUP(TRIM(D172)&amp;"_"&amp;TRIM(INDEX($E$1:$K$1, MATCH(MIN(E172:K172), E172:K172, 0))), 技能库!$A:$F, 5, 0),"建议查阅考纲")&amp;CHAR(10)&amp;"💡 提升建议: "&amp;IFERROR(VLOOKUP(TRIM(D172)&amp;"_"&amp;TRIM(INDEX($E$1:$K$1, MATCH(MIN(E172:K172), E172:K172, 0))), 技能库!$A:$F, 6, 0),"请针对该题型加强练习"))</f>
        <v/>
      </c>
      <c r="AB172" s="5" t="str">
        <f>IF(P172="","", "⚠️ 薄弱环节: "&amp;INDEX($N$1:$O$1, MATCH(MIN(N172:O172), N172:O172, 0))&amp;CHAR(10)&amp;"📉 考察能力: "&amp;IFERROR(VLOOKUP(TRIM(D172)&amp;"_"&amp;TRIM(INDEX($N$1:$O$1, MATCH(MIN(N172:O172), N172:O172, 0))), 技能库!$A:$F, 5, 0),"建议查阅考纲")&amp;CHAR(10)&amp;"💡 提升建议: "&amp;IFERROR(VLOOKUP(TRIM(D172)&amp;"_"&amp;TRIM(INDEX($N$1:$O$1, MATCH(MIN(N172:O172), N172:O172, 0))), 技能库!$A:$F, 6, 0),"请针对该题型加强练习"))</f>
        <v/>
      </c>
      <c r="AC172" s="5" t="str">
        <f>IF(W172="","", "⚠️ 薄弱环节: "&amp;INDEX($R$1:$V$1, MATCH(MIN(R172:V172), R172:V172, 0))&amp;CHAR(10)&amp;"📉 考察能力: "&amp;IFERROR(VLOOKUP(TRIM(D172)&amp;"_"&amp;TRIM(INDEX($R$1:$V$1, MATCH(MIN(R172:V172), R172:V172, 0))), 技能库!$A:$F, 5, 0),"建议查阅考纲")&amp;CHAR(10)&amp;"💡 提升建议: "&amp;IFERROR(VLOOKUP(TRIM(D172)&amp;"_"&amp;TRIM(INDEX($R$1:$V$1, MATCH(MIN(R172:V172), R172:V172, 0))), 技能库!$A:$F, 6, 0),"请针对该题型加强练习"))</f>
        <v/>
      </c>
    </row>
    <row r="173" spans="12:29" ht="16" hidden="1" x14ac:dyDescent="0.2">
      <c r="L173" t="str">
        <f t="shared" si="8"/>
        <v/>
      </c>
      <c r="M173" t="str">
        <f>IF(L173="","", IFERROR(VLOOKUP(L173, IF(D173="KET", 换算标准!$M:$N, IF(D173="PET", 换算标准!$S:$T, 换算标准!$AC:$AD)), 2, TRUE), 0))</f>
        <v/>
      </c>
      <c r="P173" t="str">
        <f t="shared" si="9"/>
        <v/>
      </c>
      <c r="Q173" t="str">
        <f>IF(P173="","", IFERROR(VLOOKUP(P173, IF(D173="KET", 换算标准!$O:$P, IF(D173="PET", 换算标准!$U:$V, 换算标准!$AG:$AH)), 2, TRUE), 0))</f>
        <v/>
      </c>
      <c r="W173" t="str">
        <f t="shared" si="10"/>
        <v/>
      </c>
      <c r="X173" t="str">
        <f>IF(W173="","", IFERROR(VLOOKUP(W173, IF(D173="KET", 换算标准!$Q:$R, IF(D173="PET", 换算标准!$W:$X, 换算标准!$AI:$AJ)), 2, TRUE), 0))</f>
        <v/>
      </c>
      <c r="Y173" t="str">
        <f t="shared" si="11"/>
        <v/>
      </c>
      <c r="Z173" t="str">
        <f>IF(Y173="","", IFERROR(VLOOKUP(Y173, 换算标准!$Z:$AA, 1, TRUE), ""))</f>
        <v/>
      </c>
      <c r="AA173" s="5" t="str">
        <f>IF(L173="","", "⚠️ 薄弱环节: "&amp;INDEX($E$1:$K$1, MATCH(MIN(E173:K173), E173:K173, 0))&amp;CHAR(10)&amp;"📉 考察能力: "&amp;IFERROR(VLOOKUP(TRIM(D173)&amp;"_"&amp;TRIM(INDEX($E$1:$K$1, MATCH(MIN(E173:K173), E173:K173, 0))), 技能库!$A:$F, 5, 0),"建议查阅考纲")&amp;CHAR(10)&amp;"💡 提升建议: "&amp;IFERROR(VLOOKUP(TRIM(D173)&amp;"_"&amp;TRIM(INDEX($E$1:$K$1, MATCH(MIN(E173:K173), E173:K173, 0))), 技能库!$A:$F, 6, 0),"请针对该题型加强练习"))</f>
        <v/>
      </c>
      <c r="AB173" s="5" t="str">
        <f>IF(P173="","", "⚠️ 薄弱环节: "&amp;INDEX($N$1:$O$1, MATCH(MIN(N173:O173), N173:O173, 0))&amp;CHAR(10)&amp;"📉 考察能力: "&amp;IFERROR(VLOOKUP(TRIM(D173)&amp;"_"&amp;TRIM(INDEX($N$1:$O$1, MATCH(MIN(N173:O173), N173:O173, 0))), 技能库!$A:$F, 5, 0),"建议查阅考纲")&amp;CHAR(10)&amp;"💡 提升建议: "&amp;IFERROR(VLOOKUP(TRIM(D173)&amp;"_"&amp;TRIM(INDEX($N$1:$O$1, MATCH(MIN(N173:O173), N173:O173, 0))), 技能库!$A:$F, 6, 0),"请针对该题型加强练习"))</f>
        <v/>
      </c>
      <c r="AC173" s="5" t="str">
        <f>IF(W173="","", "⚠️ 薄弱环节: "&amp;INDEX($R$1:$V$1, MATCH(MIN(R173:V173), R173:V173, 0))&amp;CHAR(10)&amp;"📉 考察能力: "&amp;IFERROR(VLOOKUP(TRIM(D173)&amp;"_"&amp;TRIM(INDEX($R$1:$V$1, MATCH(MIN(R173:V173), R173:V173, 0))), 技能库!$A:$F, 5, 0),"建议查阅考纲")&amp;CHAR(10)&amp;"💡 提升建议: "&amp;IFERROR(VLOOKUP(TRIM(D173)&amp;"_"&amp;TRIM(INDEX($R$1:$V$1, MATCH(MIN(R173:V173), R173:V173, 0))), 技能库!$A:$F, 6, 0),"请针对该题型加强练习"))</f>
        <v/>
      </c>
    </row>
    <row r="174" spans="12:29" ht="16" hidden="1" x14ac:dyDescent="0.2">
      <c r="L174" t="str">
        <f t="shared" si="8"/>
        <v/>
      </c>
      <c r="M174" t="str">
        <f>IF(L174="","", IFERROR(VLOOKUP(L174, IF(D174="KET", 换算标准!$M:$N, IF(D174="PET", 换算标准!$S:$T, 换算标准!$AC:$AD)), 2, TRUE), 0))</f>
        <v/>
      </c>
      <c r="P174" t="str">
        <f t="shared" si="9"/>
        <v/>
      </c>
      <c r="Q174" t="str">
        <f>IF(P174="","", IFERROR(VLOOKUP(P174, IF(D174="KET", 换算标准!$O:$P, IF(D174="PET", 换算标准!$U:$V, 换算标准!$AG:$AH)), 2, TRUE), 0))</f>
        <v/>
      </c>
      <c r="W174" t="str">
        <f t="shared" si="10"/>
        <v/>
      </c>
      <c r="X174" t="str">
        <f>IF(W174="","", IFERROR(VLOOKUP(W174, IF(D174="KET", 换算标准!$Q:$R, IF(D174="PET", 换算标准!$W:$X, 换算标准!$AI:$AJ)), 2, TRUE), 0))</f>
        <v/>
      </c>
      <c r="Y174" t="str">
        <f t="shared" si="11"/>
        <v/>
      </c>
      <c r="Z174" t="str">
        <f>IF(Y174="","", IFERROR(VLOOKUP(Y174, 换算标准!$Z:$AA, 1, TRUE), ""))</f>
        <v/>
      </c>
      <c r="AA174" s="5" t="str">
        <f>IF(L174="","", "⚠️ 薄弱环节: "&amp;INDEX($E$1:$K$1, MATCH(MIN(E174:K174), E174:K174, 0))&amp;CHAR(10)&amp;"📉 考察能力: "&amp;IFERROR(VLOOKUP(TRIM(D174)&amp;"_"&amp;TRIM(INDEX($E$1:$K$1, MATCH(MIN(E174:K174), E174:K174, 0))), 技能库!$A:$F, 5, 0),"建议查阅考纲")&amp;CHAR(10)&amp;"💡 提升建议: "&amp;IFERROR(VLOOKUP(TRIM(D174)&amp;"_"&amp;TRIM(INDEX($E$1:$K$1, MATCH(MIN(E174:K174), E174:K174, 0))), 技能库!$A:$F, 6, 0),"请针对该题型加强练习"))</f>
        <v/>
      </c>
      <c r="AB174" s="5" t="str">
        <f>IF(P174="","", "⚠️ 薄弱环节: "&amp;INDEX($N$1:$O$1, MATCH(MIN(N174:O174), N174:O174, 0))&amp;CHAR(10)&amp;"📉 考察能力: "&amp;IFERROR(VLOOKUP(TRIM(D174)&amp;"_"&amp;TRIM(INDEX($N$1:$O$1, MATCH(MIN(N174:O174), N174:O174, 0))), 技能库!$A:$F, 5, 0),"建议查阅考纲")&amp;CHAR(10)&amp;"💡 提升建议: "&amp;IFERROR(VLOOKUP(TRIM(D174)&amp;"_"&amp;TRIM(INDEX($N$1:$O$1, MATCH(MIN(N174:O174), N174:O174, 0))), 技能库!$A:$F, 6, 0),"请针对该题型加强练习"))</f>
        <v/>
      </c>
      <c r="AC174" s="5" t="str">
        <f>IF(W174="","", "⚠️ 薄弱环节: "&amp;INDEX($R$1:$V$1, MATCH(MIN(R174:V174), R174:V174, 0))&amp;CHAR(10)&amp;"📉 考察能力: "&amp;IFERROR(VLOOKUP(TRIM(D174)&amp;"_"&amp;TRIM(INDEX($R$1:$V$1, MATCH(MIN(R174:V174), R174:V174, 0))), 技能库!$A:$F, 5, 0),"建议查阅考纲")&amp;CHAR(10)&amp;"💡 提升建议: "&amp;IFERROR(VLOOKUP(TRIM(D174)&amp;"_"&amp;TRIM(INDEX($R$1:$V$1, MATCH(MIN(R174:V174), R174:V174, 0))), 技能库!$A:$F, 6, 0),"请针对该题型加强练习"))</f>
        <v/>
      </c>
    </row>
    <row r="175" spans="12:29" ht="16" hidden="1" x14ac:dyDescent="0.2">
      <c r="L175" t="str">
        <f t="shared" si="8"/>
        <v/>
      </c>
      <c r="M175" t="str">
        <f>IF(L175="","", IFERROR(VLOOKUP(L175, IF(D175="KET", 换算标准!$M:$N, IF(D175="PET", 换算标准!$S:$T, 换算标准!$AC:$AD)), 2, TRUE), 0))</f>
        <v/>
      </c>
      <c r="P175" t="str">
        <f t="shared" si="9"/>
        <v/>
      </c>
      <c r="Q175" t="str">
        <f>IF(P175="","", IFERROR(VLOOKUP(P175, IF(D175="KET", 换算标准!$O:$P, IF(D175="PET", 换算标准!$U:$V, 换算标准!$AG:$AH)), 2, TRUE), 0))</f>
        <v/>
      </c>
      <c r="W175" t="str">
        <f t="shared" si="10"/>
        <v/>
      </c>
      <c r="X175" t="str">
        <f>IF(W175="","", IFERROR(VLOOKUP(W175, IF(D175="KET", 换算标准!$Q:$R, IF(D175="PET", 换算标准!$W:$X, 换算标准!$AI:$AJ)), 2, TRUE), 0))</f>
        <v/>
      </c>
      <c r="Y175" t="str">
        <f t="shared" si="11"/>
        <v/>
      </c>
      <c r="Z175" t="str">
        <f>IF(Y175="","", IFERROR(VLOOKUP(Y175, 换算标准!$Z:$AA, 1, TRUE), ""))</f>
        <v/>
      </c>
      <c r="AA175" s="5" t="str">
        <f>IF(L175="","", "⚠️ 薄弱环节: "&amp;INDEX($E$1:$K$1, MATCH(MIN(E175:K175), E175:K175, 0))&amp;CHAR(10)&amp;"📉 考察能力: "&amp;IFERROR(VLOOKUP(TRIM(D175)&amp;"_"&amp;TRIM(INDEX($E$1:$K$1, MATCH(MIN(E175:K175), E175:K175, 0))), 技能库!$A:$F, 5, 0),"建议查阅考纲")&amp;CHAR(10)&amp;"💡 提升建议: "&amp;IFERROR(VLOOKUP(TRIM(D175)&amp;"_"&amp;TRIM(INDEX($E$1:$K$1, MATCH(MIN(E175:K175), E175:K175, 0))), 技能库!$A:$F, 6, 0),"请针对该题型加强练习"))</f>
        <v/>
      </c>
      <c r="AB175" s="5" t="str">
        <f>IF(P175="","", "⚠️ 薄弱环节: "&amp;INDEX($N$1:$O$1, MATCH(MIN(N175:O175), N175:O175, 0))&amp;CHAR(10)&amp;"📉 考察能力: "&amp;IFERROR(VLOOKUP(TRIM(D175)&amp;"_"&amp;TRIM(INDEX($N$1:$O$1, MATCH(MIN(N175:O175), N175:O175, 0))), 技能库!$A:$F, 5, 0),"建议查阅考纲")&amp;CHAR(10)&amp;"💡 提升建议: "&amp;IFERROR(VLOOKUP(TRIM(D175)&amp;"_"&amp;TRIM(INDEX($N$1:$O$1, MATCH(MIN(N175:O175), N175:O175, 0))), 技能库!$A:$F, 6, 0),"请针对该题型加强练习"))</f>
        <v/>
      </c>
      <c r="AC175" s="5" t="str">
        <f>IF(W175="","", "⚠️ 薄弱环节: "&amp;INDEX($R$1:$V$1, MATCH(MIN(R175:V175), R175:V175, 0))&amp;CHAR(10)&amp;"📉 考察能力: "&amp;IFERROR(VLOOKUP(TRIM(D175)&amp;"_"&amp;TRIM(INDEX($R$1:$V$1, MATCH(MIN(R175:V175), R175:V175, 0))), 技能库!$A:$F, 5, 0),"建议查阅考纲")&amp;CHAR(10)&amp;"💡 提升建议: "&amp;IFERROR(VLOOKUP(TRIM(D175)&amp;"_"&amp;TRIM(INDEX($R$1:$V$1, MATCH(MIN(R175:V175), R175:V175, 0))), 技能库!$A:$F, 6, 0),"请针对该题型加强练习"))</f>
        <v/>
      </c>
    </row>
    <row r="176" spans="12:29" ht="16" hidden="1" x14ac:dyDescent="0.2">
      <c r="L176" t="str">
        <f t="shared" si="8"/>
        <v/>
      </c>
      <c r="M176" t="str">
        <f>IF(L176="","", IFERROR(VLOOKUP(L176, IF(D176="KET", 换算标准!$M:$N, IF(D176="PET", 换算标准!$S:$T, 换算标准!$AC:$AD)), 2, TRUE), 0))</f>
        <v/>
      </c>
      <c r="P176" t="str">
        <f t="shared" si="9"/>
        <v/>
      </c>
      <c r="Q176" t="str">
        <f>IF(P176="","", IFERROR(VLOOKUP(P176, IF(D176="KET", 换算标准!$O:$P, IF(D176="PET", 换算标准!$U:$V, 换算标准!$AG:$AH)), 2, TRUE), 0))</f>
        <v/>
      </c>
      <c r="W176" t="str">
        <f t="shared" si="10"/>
        <v/>
      </c>
      <c r="X176" t="str">
        <f>IF(W176="","", IFERROR(VLOOKUP(W176, IF(D176="KET", 换算标准!$Q:$R, IF(D176="PET", 换算标准!$W:$X, 换算标准!$AI:$AJ)), 2, TRUE), 0))</f>
        <v/>
      </c>
      <c r="Y176" t="str">
        <f t="shared" si="11"/>
        <v/>
      </c>
      <c r="Z176" t="str">
        <f>IF(Y176="","", IFERROR(VLOOKUP(Y176, 换算标准!$Z:$AA, 1, TRUE), ""))</f>
        <v/>
      </c>
      <c r="AA176" s="5" t="str">
        <f>IF(L176="","", "⚠️ 薄弱环节: "&amp;INDEX($E$1:$K$1, MATCH(MIN(E176:K176), E176:K176, 0))&amp;CHAR(10)&amp;"📉 考察能力: "&amp;IFERROR(VLOOKUP(TRIM(D176)&amp;"_"&amp;TRIM(INDEX($E$1:$K$1, MATCH(MIN(E176:K176), E176:K176, 0))), 技能库!$A:$F, 5, 0),"建议查阅考纲")&amp;CHAR(10)&amp;"💡 提升建议: "&amp;IFERROR(VLOOKUP(TRIM(D176)&amp;"_"&amp;TRIM(INDEX($E$1:$K$1, MATCH(MIN(E176:K176), E176:K176, 0))), 技能库!$A:$F, 6, 0),"请针对该题型加强练习"))</f>
        <v/>
      </c>
      <c r="AB176" s="5" t="str">
        <f>IF(P176="","", "⚠️ 薄弱环节: "&amp;INDEX($N$1:$O$1, MATCH(MIN(N176:O176), N176:O176, 0))&amp;CHAR(10)&amp;"📉 考察能力: "&amp;IFERROR(VLOOKUP(TRIM(D176)&amp;"_"&amp;TRIM(INDEX($N$1:$O$1, MATCH(MIN(N176:O176), N176:O176, 0))), 技能库!$A:$F, 5, 0),"建议查阅考纲")&amp;CHAR(10)&amp;"💡 提升建议: "&amp;IFERROR(VLOOKUP(TRIM(D176)&amp;"_"&amp;TRIM(INDEX($N$1:$O$1, MATCH(MIN(N176:O176), N176:O176, 0))), 技能库!$A:$F, 6, 0),"请针对该题型加强练习"))</f>
        <v/>
      </c>
      <c r="AC176" s="5" t="str">
        <f>IF(W176="","", "⚠️ 薄弱环节: "&amp;INDEX($R$1:$V$1, MATCH(MIN(R176:V176), R176:V176, 0))&amp;CHAR(10)&amp;"📉 考察能力: "&amp;IFERROR(VLOOKUP(TRIM(D176)&amp;"_"&amp;TRIM(INDEX($R$1:$V$1, MATCH(MIN(R176:V176), R176:V176, 0))), 技能库!$A:$F, 5, 0),"建议查阅考纲")&amp;CHAR(10)&amp;"💡 提升建议: "&amp;IFERROR(VLOOKUP(TRIM(D176)&amp;"_"&amp;TRIM(INDEX($R$1:$V$1, MATCH(MIN(R176:V176), R176:V176, 0))), 技能库!$A:$F, 6, 0),"请针对该题型加强练习"))</f>
        <v/>
      </c>
    </row>
    <row r="177" spans="12:29" ht="16" hidden="1" x14ac:dyDescent="0.2">
      <c r="L177" t="str">
        <f t="shared" si="8"/>
        <v/>
      </c>
      <c r="M177" t="str">
        <f>IF(L177="","", IFERROR(VLOOKUP(L177, IF(D177="KET", 换算标准!$M:$N, IF(D177="PET", 换算标准!$S:$T, 换算标准!$AC:$AD)), 2, TRUE), 0))</f>
        <v/>
      </c>
      <c r="P177" t="str">
        <f t="shared" si="9"/>
        <v/>
      </c>
      <c r="Q177" t="str">
        <f>IF(P177="","", IFERROR(VLOOKUP(P177, IF(D177="KET", 换算标准!$O:$P, IF(D177="PET", 换算标准!$U:$V, 换算标准!$AG:$AH)), 2, TRUE), 0))</f>
        <v/>
      </c>
      <c r="W177" t="str">
        <f t="shared" si="10"/>
        <v/>
      </c>
      <c r="X177" t="str">
        <f>IF(W177="","", IFERROR(VLOOKUP(W177, IF(D177="KET", 换算标准!$Q:$R, IF(D177="PET", 换算标准!$W:$X, 换算标准!$AI:$AJ)), 2, TRUE), 0))</f>
        <v/>
      </c>
      <c r="Y177" t="str">
        <f t="shared" si="11"/>
        <v/>
      </c>
      <c r="Z177" t="str">
        <f>IF(Y177="","", IFERROR(VLOOKUP(Y177, 换算标准!$Z:$AA, 1, TRUE), ""))</f>
        <v/>
      </c>
      <c r="AA177" s="5" t="str">
        <f>IF(L177="","", "⚠️ 薄弱环节: "&amp;INDEX($E$1:$K$1, MATCH(MIN(E177:K177), E177:K177, 0))&amp;CHAR(10)&amp;"📉 考察能力: "&amp;IFERROR(VLOOKUP(TRIM(D177)&amp;"_"&amp;TRIM(INDEX($E$1:$K$1, MATCH(MIN(E177:K177), E177:K177, 0))), 技能库!$A:$F, 5, 0),"建议查阅考纲")&amp;CHAR(10)&amp;"💡 提升建议: "&amp;IFERROR(VLOOKUP(TRIM(D177)&amp;"_"&amp;TRIM(INDEX($E$1:$K$1, MATCH(MIN(E177:K177), E177:K177, 0))), 技能库!$A:$F, 6, 0),"请针对该题型加强练习"))</f>
        <v/>
      </c>
      <c r="AB177" s="5" t="str">
        <f>IF(P177="","", "⚠️ 薄弱环节: "&amp;INDEX($N$1:$O$1, MATCH(MIN(N177:O177), N177:O177, 0))&amp;CHAR(10)&amp;"📉 考察能力: "&amp;IFERROR(VLOOKUP(TRIM(D177)&amp;"_"&amp;TRIM(INDEX($N$1:$O$1, MATCH(MIN(N177:O177), N177:O177, 0))), 技能库!$A:$F, 5, 0),"建议查阅考纲")&amp;CHAR(10)&amp;"💡 提升建议: "&amp;IFERROR(VLOOKUP(TRIM(D177)&amp;"_"&amp;TRIM(INDEX($N$1:$O$1, MATCH(MIN(N177:O177), N177:O177, 0))), 技能库!$A:$F, 6, 0),"请针对该题型加强练习"))</f>
        <v/>
      </c>
      <c r="AC177" s="5" t="str">
        <f>IF(W177="","", "⚠️ 薄弱环节: "&amp;INDEX($R$1:$V$1, MATCH(MIN(R177:V177), R177:V177, 0))&amp;CHAR(10)&amp;"📉 考察能力: "&amp;IFERROR(VLOOKUP(TRIM(D177)&amp;"_"&amp;TRIM(INDEX($R$1:$V$1, MATCH(MIN(R177:V177), R177:V177, 0))), 技能库!$A:$F, 5, 0),"建议查阅考纲")&amp;CHAR(10)&amp;"💡 提升建议: "&amp;IFERROR(VLOOKUP(TRIM(D177)&amp;"_"&amp;TRIM(INDEX($R$1:$V$1, MATCH(MIN(R177:V177), R177:V177, 0))), 技能库!$A:$F, 6, 0),"请针对该题型加强练习"))</f>
        <v/>
      </c>
    </row>
    <row r="178" spans="12:29" ht="16" hidden="1" x14ac:dyDescent="0.2">
      <c r="L178" t="str">
        <f t="shared" si="8"/>
        <v/>
      </c>
      <c r="M178" t="str">
        <f>IF(L178="","", IFERROR(VLOOKUP(L178, IF(D178="KET", 换算标准!$M:$N, IF(D178="PET", 换算标准!$S:$T, 换算标准!$AC:$AD)), 2, TRUE), 0))</f>
        <v/>
      </c>
      <c r="P178" t="str">
        <f t="shared" si="9"/>
        <v/>
      </c>
      <c r="Q178" t="str">
        <f>IF(P178="","", IFERROR(VLOOKUP(P178, IF(D178="KET", 换算标准!$O:$P, IF(D178="PET", 换算标准!$U:$V, 换算标准!$AG:$AH)), 2, TRUE), 0))</f>
        <v/>
      </c>
      <c r="W178" t="str">
        <f t="shared" si="10"/>
        <v/>
      </c>
      <c r="X178" t="str">
        <f>IF(W178="","", IFERROR(VLOOKUP(W178, IF(D178="KET", 换算标准!$Q:$R, IF(D178="PET", 换算标准!$W:$X, 换算标准!$AI:$AJ)), 2, TRUE), 0))</f>
        <v/>
      </c>
      <c r="Y178" t="str">
        <f t="shared" si="11"/>
        <v/>
      </c>
      <c r="Z178" t="str">
        <f>IF(Y178="","", IFERROR(VLOOKUP(Y178, 换算标准!$Z:$AA, 1, TRUE), ""))</f>
        <v/>
      </c>
      <c r="AA178" s="5" t="str">
        <f>IF(L178="","", "⚠️ 薄弱环节: "&amp;INDEX($E$1:$K$1, MATCH(MIN(E178:K178), E178:K178, 0))&amp;CHAR(10)&amp;"📉 考察能力: "&amp;IFERROR(VLOOKUP(TRIM(D178)&amp;"_"&amp;TRIM(INDEX($E$1:$K$1, MATCH(MIN(E178:K178), E178:K178, 0))), 技能库!$A:$F, 5, 0),"建议查阅考纲")&amp;CHAR(10)&amp;"💡 提升建议: "&amp;IFERROR(VLOOKUP(TRIM(D178)&amp;"_"&amp;TRIM(INDEX($E$1:$K$1, MATCH(MIN(E178:K178), E178:K178, 0))), 技能库!$A:$F, 6, 0),"请针对该题型加强练习"))</f>
        <v/>
      </c>
      <c r="AB178" s="5" t="str">
        <f>IF(P178="","", "⚠️ 薄弱环节: "&amp;INDEX($N$1:$O$1, MATCH(MIN(N178:O178), N178:O178, 0))&amp;CHAR(10)&amp;"📉 考察能力: "&amp;IFERROR(VLOOKUP(TRIM(D178)&amp;"_"&amp;TRIM(INDEX($N$1:$O$1, MATCH(MIN(N178:O178), N178:O178, 0))), 技能库!$A:$F, 5, 0),"建议查阅考纲")&amp;CHAR(10)&amp;"💡 提升建议: "&amp;IFERROR(VLOOKUP(TRIM(D178)&amp;"_"&amp;TRIM(INDEX($N$1:$O$1, MATCH(MIN(N178:O178), N178:O178, 0))), 技能库!$A:$F, 6, 0),"请针对该题型加强练习"))</f>
        <v/>
      </c>
      <c r="AC178" s="5" t="str">
        <f>IF(W178="","", "⚠️ 薄弱环节: "&amp;INDEX($R$1:$V$1, MATCH(MIN(R178:V178), R178:V178, 0))&amp;CHAR(10)&amp;"📉 考察能力: "&amp;IFERROR(VLOOKUP(TRIM(D178)&amp;"_"&amp;TRIM(INDEX($R$1:$V$1, MATCH(MIN(R178:V178), R178:V178, 0))), 技能库!$A:$F, 5, 0),"建议查阅考纲")&amp;CHAR(10)&amp;"💡 提升建议: "&amp;IFERROR(VLOOKUP(TRIM(D178)&amp;"_"&amp;TRIM(INDEX($R$1:$V$1, MATCH(MIN(R178:V178), R178:V178, 0))), 技能库!$A:$F, 6, 0),"请针对该题型加强练习"))</f>
        <v/>
      </c>
    </row>
    <row r="179" spans="12:29" ht="16" hidden="1" x14ac:dyDescent="0.2">
      <c r="L179" t="str">
        <f t="shared" si="8"/>
        <v/>
      </c>
      <c r="M179" t="str">
        <f>IF(L179="","", IFERROR(VLOOKUP(L179, IF(D179="KET", 换算标准!$M:$N, IF(D179="PET", 换算标准!$S:$T, 换算标准!$AC:$AD)), 2, TRUE), 0))</f>
        <v/>
      </c>
      <c r="P179" t="str">
        <f t="shared" si="9"/>
        <v/>
      </c>
      <c r="Q179" t="str">
        <f>IF(P179="","", IFERROR(VLOOKUP(P179, IF(D179="KET", 换算标准!$O:$P, IF(D179="PET", 换算标准!$U:$V, 换算标准!$AG:$AH)), 2, TRUE), 0))</f>
        <v/>
      </c>
      <c r="W179" t="str">
        <f t="shared" si="10"/>
        <v/>
      </c>
      <c r="X179" t="str">
        <f>IF(W179="","", IFERROR(VLOOKUP(W179, IF(D179="KET", 换算标准!$Q:$R, IF(D179="PET", 换算标准!$W:$X, 换算标准!$AI:$AJ)), 2, TRUE), 0))</f>
        <v/>
      </c>
      <c r="Y179" t="str">
        <f t="shared" si="11"/>
        <v/>
      </c>
      <c r="Z179" t="str">
        <f>IF(Y179="","", IFERROR(VLOOKUP(Y179, 换算标准!$Z:$AA, 1, TRUE), ""))</f>
        <v/>
      </c>
      <c r="AA179" s="5" t="str">
        <f>IF(L179="","", "⚠️ 薄弱环节: "&amp;INDEX($E$1:$K$1, MATCH(MIN(E179:K179), E179:K179, 0))&amp;CHAR(10)&amp;"📉 考察能力: "&amp;IFERROR(VLOOKUP(TRIM(D179)&amp;"_"&amp;TRIM(INDEX($E$1:$K$1, MATCH(MIN(E179:K179), E179:K179, 0))), 技能库!$A:$F, 5, 0),"建议查阅考纲")&amp;CHAR(10)&amp;"💡 提升建议: "&amp;IFERROR(VLOOKUP(TRIM(D179)&amp;"_"&amp;TRIM(INDEX($E$1:$K$1, MATCH(MIN(E179:K179), E179:K179, 0))), 技能库!$A:$F, 6, 0),"请针对该题型加强练习"))</f>
        <v/>
      </c>
      <c r="AB179" s="5" t="str">
        <f>IF(P179="","", "⚠️ 薄弱环节: "&amp;INDEX($N$1:$O$1, MATCH(MIN(N179:O179), N179:O179, 0))&amp;CHAR(10)&amp;"📉 考察能力: "&amp;IFERROR(VLOOKUP(TRIM(D179)&amp;"_"&amp;TRIM(INDEX($N$1:$O$1, MATCH(MIN(N179:O179), N179:O179, 0))), 技能库!$A:$F, 5, 0),"建议查阅考纲")&amp;CHAR(10)&amp;"💡 提升建议: "&amp;IFERROR(VLOOKUP(TRIM(D179)&amp;"_"&amp;TRIM(INDEX($N$1:$O$1, MATCH(MIN(N179:O179), N179:O179, 0))), 技能库!$A:$F, 6, 0),"请针对该题型加强练习"))</f>
        <v/>
      </c>
      <c r="AC179" s="5" t="str">
        <f>IF(W179="","", "⚠️ 薄弱环节: "&amp;INDEX($R$1:$V$1, MATCH(MIN(R179:V179), R179:V179, 0))&amp;CHAR(10)&amp;"📉 考察能力: "&amp;IFERROR(VLOOKUP(TRIM(D179)&amp;"_"&amp;TRIM(INDEX($R$1:$V$1, MATCH(MIN(R179:V179), R179:V179, 0))), 技能库!$A:$F, 5, 0),"建议查阅考纲")&amp;CHAR(10)&amp;"💡 提升建议: "&amp;IFERROR(VLOOKUP(TRIM(D179)&amp;"_"&amp;TRIM(INDEX($R$1:$V$1, MATCH(MIN(R179:V179), R179:V179, 0))), 技能库!$A:$F, 6, 0),"请针对该题型加强练习"))</f>
        <v/>
      </c>
    </row>
    <row r="180" spans="12:29" ht="16" hidden="1" x14ac:dyDescent="0.2">
      <c r="L180" t="str">
        <f t="shared" si="8"/>
        <v/>
      </c>
      <c r="M180" t="str">
        <f>IF(L180="","", IFERROR(VLOOKUP(L180, IF(D180="KET", 换算标准!$M:$N, IF(D180="PET", 换算标准!$S:$T, 换算标准!$AC:$AD)), 2, TRUE), 0))</f>
        <v/>
      </c>
      <c r="P180" t="str">
        <f t="shared" si="9"/>
        <v/>
      </c>
      <c r="Q180" t="str">
        <f>IF(P180="","", IFERROR(VLOOKUP(P180, IF(D180="KET", 换算标准!$O:$P, IF(D180="PET", 换算标准!$U:$V, 换算标准!$AG:$AH)), 2, TRUE), 0))</f>
        <v/>
      </c>
      <c r="W180" t="str">
        <f t="shared" si="10"/>
        <v/>
      </c>
      <c r="X180" t="str">
        <f>IF(W180="","", IFERROR(VLOOKUP(W180, IF(D180="KET", 换算标准!$Q:$R, IF(D180="PET", 换算标准!$W:$X, 换算标准!$AI:$AJ)), 2, TRUE), 0))</f>
        <v/>
      </c>
      <c r="Y180" t="str">
        <f t="shared" si="11"/>
        <v/>
      </c>
      <c r="Z180" t="str">
        <f>IF(Y180="","", IFERROR(VLOOKUP(Y180, 换算标准!$Z:$AA, 1, TRUE), ""))</f>
        <v/>
      </c>
      <c r="AA180" s="5" t="str">
        <f>IF(L180="","", "⚠️ 薄弱环节: "&amp;INDEX($E$1:$K$1, MATCH(MIN(E180:K180), E180:K180, 0))&amp;CHAR(10)&amp;"📉 考察能力: "&amp;IFERROR(VLOOKUP(TRIM(D180)&amp;"_"&amp;TRIM(INDEX($E$1:$K$1, MATCH(MIN(E180:K180), E180:K180, 0))), 技能库!$A:$F, 5, 0),"建议查阅考纲")&amp;CHAR(10)&amp;"💡 提升建议: "&amp;IFERROR(VLOOKUP(TRIM(D180)&amp;"_"&amp;TRIM(INDEX($E$1:$K$1, MATCH(MIN(E180:K180), E180:K180, 0))), 技能库!$A:$F, 6, 0),"请针对该题型加强练习"))</f>
        <v/>
      </c>
      <c r="AB180" s="5" t="str">
        <f>IF(P180="","", "⚠️ 薄弱环节: "&amp;INDEX($N$1:$O$1, MATCH(MIN(N180:O180), N180:O180, 0))&amp;CHAR(10)&amp;"📉 考察能力: "&amp;IFERROR(VLOOKUP(TRIM(D180)&amp;"_"&amp;TRIM(INDEX($N$1:$O$1, MATCH(MIN(N180:O180), N180:O180, 0))), 技能库!$A:$F, 5, 0),"建议查阅考纲")&amp;CHAR(10)&amp;"💡 提升建议: "&amp;IFERROR(VLOOKUP(TRIM(D180)&amp;"_"&amp;TRIM(INDEX($N$1:$O$1, MATCH(MIN(N180:O180), N180:O180, 0))), 技能库!$A:$F, 6, 0),"请针对该题型加强练习"))</f>
        <v/>
      </c>
      <c r="AC180" s="5" t="str">
        <f>IF(W180="","", "⚠️ 薄弱环节: "&amp;INDEX($R$1:$V$1, MATCH(MIN(R180:V180), R180:V180, 0))&amp;CHAR(10)&amp;"📉 考察能力: "&amp;IFERROR(VLOOKUP(TRIM(D180)&amp;"_"&amp;TRIM(INDEX($R$1:$V$1, MATCH(MIN(R180:V180), R180:V180, 0))), 技能库!$A:$F, 5, 0),"建议查阅考纲")&amp;CHAR(10)&amp;"💡 提升建议: "&amp;IFERROR(VLOOKUP(TRIM(D180)&amp;"_"&amp;TRIM(INDEX($R$1:$V$1, MATCH(MIN(R180:V180), R180:V180, 0))), 技能库!$A:$F, 6, 0),"请针对该题型加强练习"))</f>
        <v/>
      </c>
    </row>
    <row r="181" spans="12:29" ht="16" hidden="1" x14ac:dyDescent="0.2">
      <c r="L181" t="str">
        <f t="shared" si="8"/>
        <v/>
      </c>
      <c r="M181" t="str">
        <f>IF(L181="","", IFERROR(VLOOKUP(L181, IF(D181="KET", 换算标准!$M:$N, IF(D181="PET", 换算标准!$S:$T, 换算标准!$AC:$AD)), 2, TRUE), 0))</f>
        <v/>
      </c>
      <c r="P181" t="str">
        <f t="shared" si="9"/>
        <v/>
      </c>
      <c r="Q181" t="str">
        <f>IF(P181="","", IFERROR(VLOOKUP(P181, IF(D181="KET", 换算标准!$O:$P, IF(D181="PET", 换算标准!$U:$V, 换算标准!$AG:$AH)), 2, TRUE), 0))</f>
        <v/>
      </c>
      <c r="W181" t="str">
        <f t="shared" si="10"/>
        <v/>
      </c>
      <c r="X181" t="str">
        <f>IF(W181="","", IFERROR(VLOOKUP(W181, IF(D181="KET", 换算标准!$Q:$R, IF(D181="PET", 换算标准!$W:$X, 换算标准!$AI:$AJ)), 2, TRUE), 0))</f>
        <v/>
      </c>
      <c r="Y181" t="str">
        <f t="shared" si="11"/>
        <v/>
      </c>
      <c r="Z181" t="str">
        <f>IF(Y181="","", IFERROR(VLOOKUP(Y181, 换算标准!$Z:$AA, 1, TRUE), ""))</f>
        <v/>
      </c>
      <c r="AA181" s="5" t="str">
        <f>IF(L181="","", "⚠️ 薄弱环节: "&amp;INDEX($E$1:$K$1, MATCH(MIN(E181:K181), E181:K181, 0))&amp;CHAR(10)&amp;"📉 考察能力: "&amp;IFERROR(VLOOKUP(TRIM(D181)&amp;"_"&amp;TRIM(INDEX($E$1:$K$1, MATCH(MIN(E181:K181), E181:K181, 0))), 技能库!$A:$F, 5, 0),"建议查阅考纲")&amp;CHAR(10)&amp;"💡 提升建议: "&amp;IFERROR(VLOOKUP(TRIM(D181)&amp;"_"&amp;TRIM(INDEX($E$1:$K$1, MATCH(MIN(E181:K181), E181:K181, 0))), 技能库!$A:$F, 6, 0),"请针对该题型加强练习"))</f>
        <v/>
      </c>
      <c r="AB181" s="5" t="str">
        <f>IF(P181="","", "⚠️ 薄弱环节: "&amp;INDEX($N$1:$O$1, MATCH(MIN(N181:O181), N181:O181, 0))&amp;CHAR(10)&amp;"📉 考察能力: "&amp;IFERROR(VLOOKUP(TRIM(D181)&amp;"_"&amp;TRIM(INDEX($N$1:$O$1, MATCH(MIN(N181:O181), N181:O181, 0))), 技能库!$A:$F, 5, 0),"建议查阅考纲")&amp;CHAR(10)&amp;"💡 提升建议: "&amp;IFERROR(VLOOKUP(TRIM(D181)&amp;"_"&amp;TRIM(INDEX($N$1:$O$1, MATCH(MIN(N181:O181), N181:O181, 0))), 技能库!$A:$F, 6, 0),"请针对该题型加强练习"))</f>
        <v/>
      </c>
      <c r="AC181" s="5" t="str">
        <f>IF(W181="","", "⚠️ 薄弱环节: "&amp;INDEX($R$1:$V$1, MATCH(MIN(R181:V181), R181:V181, 0))&amp;CHAR(10)&amp;"📉 考察能力: "&amp;IFERROR(VLOOKUP(TRIM(D181)&amp;"_"&amp;TRIM(INDEX($R$1:$V$1, MATCH(MIN(R181:V181), R181:V181, 0))), 技能库!$A:$F, 5, 0),"建议查阅考纲")&amp;CHAR(10)&amp;"💡 提升建议: "&amp;IFERROR(VLOOKUP(TRIM(D181)&amp;"_"&amp;TRIM(INDEX($R$1:$V$1, MATCH(MIN(R181:V181), R181:V181, 0))), 技能库!$A:$F, 6, 0),"请针对该题型加强练习"))</f>
        <v/>
      </c>
    </row>
    <row r="182" spans="12:29" ht="16" hidden="1" x14ac:dyDescent="0.2">
      <c r="L182" t="str">
        <f t="shared" si="8"/>
        <v/>
      </c>
      <c r="M182" t="str">
        <f>IF(L182="","", IFERROR(VLOOKUP(L182, IF(D182="KET", 换算标准!$M:$N, IF(D182="PET", 换算标准!$S:$T, 换算标准!$AC:$AD)), 2, TRUE), 0))</f>
        <v/>
      </c>
      <c r="P182" t="str">
        <f t="shared" si="9"/>
        <v/>
      </c>
      <c r="Q182" t="str">
        <f>IF(P182="","", IFERROR(VLOOKUP(P182, IF(D182="KET", 换算标准!$O:$P, IF(D182="PET", 换算标准!$U:$V, 换算标准!$AG:$AH)), 2, TRUE), 0))</f>
        <v/>
      </c>
      <c r="W182" t="str">
        <f t="shared" si="10"/>
        <v/>
      </c>
      <c r="X182" t="str">
        <f>IF(W182="","", IFERROR(VLOOKUP(W182, IF(D182="KET", 换算标准!$Q:$R, IF(D182="PET", 换算标准!$W:$X, 换算标准!$AI:$AJ)), 2, TRUE), 0))</f>
        <v/>
      </c>
      <c r="Y182" t="str">
        <f t="shared" si="11"/>
        <v/>
      </c>
      <c r="Z182" t="str">
        <f>IF(Y182="","", IFERROR(VLOOKUP(Y182, 换算标准!$Z:$AA, 1, TRUE), ""))</f>
        <v/>
      </c>
      <c r="AA182" s="5" t="str">
        <f>IF(L182="","", "⚠️ 薄弱环节: "&amp;INDEX($E$1:$K$1, MATCH(MIN(E182:K182), E182:K182, 0))&amp;CHAR(10)&amp;"📉 考察能力: "&amp;IFERROR(VLOOKUP(TRIM(D182)&amp;"_"&amp;TRIM(INDEX($E$1:$K$1, MATCH(MIN(E182:K182), E182:K182, 0))), 技能库!$A:$F, 5, 0),"建议查阅考纲")&amp;CHAR(10)&amp;"💡 提升建议: "&amp;IFERROR(VLOOKUP(TRIM(D182)&amp;"_"&amp;TRIM(INDEX($E$1:$K$1, MATCH(MIN(E182:K182), E182:K182, 0))), 技能库!$A:$F, 6, 0),"请针对该题型加强练习"))</f>
        <v/>
      </c>
      <c r="AB182" s="5" t="str">
        <f>IF(P182="","", "⚠️ 薄弱环节: "&amp;INDEX($N$1:$O$1, MATCH(MIN(N182:O182), N182:O182, 0))&amp;CHAR(10)&amp;"📉 考察能力: "&amp;IFERROR(VLOOKUP(TRIM(D182)&amp;"_"&amp;TRIM(INDEX($N$1:$O$1, MATCH(MIN(N182:O182), N182:O182, 0))), 技能库!$A:$F, 5, 0),"建议查阅考纲")&amp;CHAR(10)&amp;"💡 提升建议: "&amp;IFERROR(VLOOKUP(TRIM(D182)&amp;"_"&amp;TRIM(INDEX($N$1:$O$1, MATCH(MIN(N182:O182), N182:O182, 0))), 技能库!$A:$F, 6, 0),"请针对该题型加强练习"))</f>
        <v/>
      </c>
      <c r="AC182" s="5" t="str">
        <f>IF(W182="","", "⚠️ 薄弱环节: "&amp;INDEX($R$1:$V$1, MATCH(MIN(R182:V182), R182:V182, 0))&amp;CHAR(10)&amp;"📉 考察能力: "&amp;IFERROR(VLOOKUP(TRIM(D182)&amp;"_"&amp;TRIM(INDEX($R$1:$V$1, MATCH(MIN(R182:V182), R182:V182, 0))), 技能库!$A:$F, 5, 0),"建议查阅考纲")&amp;CHAR(10)&amp;"💡 提升建议: "&amp;IFERROR(VLOOKUP(TRIM(D182)&amp;"_"&amp;TRIM(INDEX($R$1:$V$1, MATCH(MIN(R182:V182), R182:V182, 0))), 技能库!$A:$F, 6, 0),"请针对该题型加强练习"))</f>
        <v/>
      </c>
    </row>
    <row r="183" spans="12:29" ht="16" hidden="1" x14ac:dyDescent="0.2">
      <c r="L183" t="str">
        <f t="shared" si="8"/>
        <v/>
      </c>
      <c r="M183" t="str">
        <f>IF(L183="","", IFERROR(VLOOKUP(L183, IF(D183="KET", 换算标准!$M:$N, IF(D183="PET", 换算标准!$S:$T, 换算标准!$AC:$AD)), 2, TRUE), 0))</f>
        <v/>
      </c>
      <c r="P183" t="str">
        <f t="shared" si="9"/>
        <v/>
      </c>
      <c r="Q183" t="str">
        <f>IF(P183="","", IFERROR(VLOOKUP(P183, IF(D183="KET", 换算标准!$O:$P, IF(D183="PET", 换算标准!$U:$V, 换算标准!$AG:$AH)), 2, TRUE), 0))</f>
        <v/>
      </c>
      <c r="W183" t="str">
        <f t="shared" si="10"/>
        <v/>
      </c>
      <c r="X183" t="str">
        <f>IF(W183="","", IFERROR(VLOOKUP(W183, IF(D183="KET", 换算标准!$Q:$R, IF(D183="PET", 换算标准!$W:$X, 换算标准!$AI:$AJ)), 2, TRUE), 0))</f>
        <v/>
      </c>
      <c r="Y183" t="str">
        <f t="shared" si="11"/>
        <v/>
      </c>
      <c r="Z183" t="str">
        <f>IF(Y183="","", IFERROR(VLOOKUP(Y183, 换算标准!$Z:$AA, 1, TRUE), ""))</f>
        <v/>
      </c>
      <c r="AA183" s="5" t="str">
        <f>IF(L183="","", "⚠️ 薄弱环节: "&amp;INDEX($E$1:$K$1, MATCH(MIN(E183:K183), E183:K183, 0))&amp;CHAR(10)&amp;"📉 考察能力: "&amp;IFERROR(VLOOKUP(TRIM(D183)&amp;"_"&amp;TRIM(INDEX($E$1:$K$1, MATCH(MIN(E183:K183), E183:K183, 0))), 技能库!$A:$F, 5, 0),"建议查阅考纲")&amp;CHAR(10)&amp;"💡 提升建议: "&amp;IFERROR(VLOOKUP(TRIM(D183)&amp;"_"&amp;TRIM(INDEX($E$1:$K$1, MATCH(MIN(E183:K183), E183:K183, 0))), 技能库!$A:$F, 6, 0),"请针对该题型加强练习"))</f>
        <v/>
      </c>
      <c r="AB183" s="5" t="str">
        <f>IF(P183="","", "⚠️ 薄弱环节: "&amp;INDEX($N$1:$O$1, MATCH(MIN(N183:O183), N183:O183, 0))&amp;CHAR(10)&amp;"📉 考察能力: "&amp;IFERROR(VLOOKUP(TRIM(D183)&amp;"_"&amp;TRIM(INDEX($N$1:$O$1, MATCH(MIN(N183:O183), N183:O183, 0))), 技能库!$A:$F, 5, 0),"建议查阅考纲")&amp;CHAR(10)&amp;"💡 提升建议: "&amp;IFERROR(VLOOKUP(TRIM(D183)&amp;"_"&amp;TRIM(INDEX($N$1:$O$1, MATCH(MIN(N183:O183), N183:O183, 0))), 技能库!$A:$F, 6, 0),"请针对该题型加强练习"))</f>
        <v/>
      </c>
      <c r="AC183" s="5" t="str">
        <f>IF(W183="","", "⚠️ 薄弱环节: "&amp;INDEX($R$1:$V$1, MATCH(MIN(R183:V183), R183:V183, 0))&amp;CHAR(10)&amp;"📉 考察能力: "&amp;IFERROR(VLOOKUP(TRIM(D183)&amp;"_"&amp;TRIM(INDEX($R$1:$V$1, MATCH(MIN(R183:V183), R183:V183, 0))), 技能库!$A:$F, 5, 0),"建议查阅考纲")&amp;CHAR(10)&amp;"💡 提升建议: "&amp;IFERROR(VLOOKUP(TRIM(D183)&amp;"_"&amp;TRIM(INDEX($R$1:$V$1, MATCH(MIN(R183:V183), R183:V183, 0))), 技能库!$A:$F, 6, 0),"请针对该题型加强练习"))</f>
        <v/>
      </c>
    </row>
    <row r="184" spans="12:29" ht="16" hidden="1" x14ac:dyDescent="0.2">
      <c r="L184" t="str">
        <f t="shared" si="8"/>
        <v/>
      </c>
      <c r="M184" t="str">
        <f>IF(L184="","", IFERROR(VLOOKUP(L184, IF(D184="KET", 换算标准!$M:$N, IF(D184="PET", 换算标准!$S:$T, 换算标准!$AC:$AD)), 2, TRUE), 0))</f>
        <v/>
      </c>
      <c r="P184" t="str">
        <f t="shared" si="9"/>
        <v/>
      </c>
      <c r="Q184" t="str">
        <f>IF(P184="","", IFERROR(VLOOKUP(P184, IF(D184="KET", 换算标准!$O:$P, IF(D184="PET", 换算标准!$U:$V, 换算标准!$AG:$AH)), 2, TRUE), 0))</f>
        <v/>
      </c>
      <c r="W184" t="str">
        <f t="shared" si="10"/>
        <v/>
      </c>
      <c r="X184" t="str">
        <f>IF(W184="","", IFERROR(VLOOKUP(W184, IF(D184="KET", 换算标准!$Q:$R, IF(D184="PET", 换算标准!$W:$X, 换算标准!$AI:$AJ)), 2, TRUE), 0))</f>
        <v/>
      </c>
      <c r="Y184" t="str">
        <f t="shared" si="11"/>
        <v/>
      </c>
      <c r="Z184" t="str">
        <f>IF(Y184="","", IFERROR(VLOOKUP(Y184, 换算标准!$Z:$AA, 1, TRUE), ""))</f>
        <v/>
      </c>
      <c r="AA184" s="5" t="str">
        <f>IF(L184="","", "⚠️ 薄弱环节: "&amp;INDEX($E$1:$K$1, MATCH(MIN(E184:K184), E184:K184, 0))&amp;CHAR(10)&amp;"📉 考察能力: "&amp;IFERROR(VLOOKUP(TRIM(D184)&amp;"_"&amp;TRIM(INDEX($E$1:$K$1, MATCH(MIN(E184:K184), E184:K184, 0))), 技能库!$A:$F, 5, 0),"建议查阅考纲")&amp;CHAR(10)&amp;"💡 提升建议: "&amp;IFERROR(VLOOKUP(TRIM(D184)&amp;"_"&amp;TRIM(INDEX($E$1:$K$1, MATCH(MIN(E184:K184), E184:K184, 0))), 技能库!$A:$F, 6, 0),"请针对该题型加强练习"))</f>
        <v/>
      </c>
      <c r="AB184" s="5" t="str">
        <f>IF(P184="","", "⚠️ 薄弱环节: "&amp;INDEX($N$1:$O$1, MATCH(MIN(N184:O184), N184:O184, 0))&amp;CHAR(10)&amp;"📉 考察能力: "&amp;IFERROR(VLOOKUP(TRIM(D184)&amp;"_"&amp;TRIM(INDEX($N$1:$O$1, MATCH(MIN(N184:O184), N184:O184, 0))), 技能库!$A:$F, 5, 0),"建议查阅考纲")&amp;CHAR(10)&amp;"💡 提升建议: "&amp;IFERROR(VLOOKUP(TRIM(D184)&amp;"_"&amp;TRIM(INDEX($N$1:$O$1, MATCH(MIN(N184:O184), N184:O184, 0))), 技能库!$A:$F, 6, 0),"请针对该题型加强练习"))</f>
        <v/>
      </c>
      <c r="AC184" s="5" t="str">
        <f>IF(W184="","", "⚠️ 薄弱环节: "&amp;INDEX($R$1:$V$1, MATCH(MIN(R184:V184), R184:V184, 0))&amp;CHAR(10)&amp;"📉 考察能力: "&amp;IFERROR(VLOOKUP(TRIM(D184)&amp;"_"&amp;TRIM(INDEX($R$1:$V$1, MATCH(MIN(R184:V184), R184:V184, 0))), 技能库!$A:$F, 5, 0),"建议查阅考纲")&amp;CHAR(10)&amp;"💡 提升建议: "&amp;IFERROR(VLOOKUP(TRIM(D184)&amp;"_"&amp;TRIM(INDEX($R$1:$V$1, MATCH(MIN(R184:V184), R184:V184, 0))), 技能库!$A:$F, 6, 0),"请针对该题型加强练习"))</f>
        <v/>
      </c>
    </row>
    <row r="185" spans="12:29" ht="16" hidden="1" x14ac:dyDescent="0.2">
      <c r="L185" t="str">
        <f t="shared" si="8"/>
        <v/>
      </c>
      <c r="M185" t="str">
        <f>IF(L185="","", IFERROR(VLOOKUP(L185, IF(D185="KET", 换算标准!$M:$N, IF(D185="PET", 换算标准!$S:$T, 换算标准!$AC:$AD)), 2, TRUE), 0))</f>
        <v/>
      </c>
      <c r="P185" t="str">
        <f t="shared" si="9"/>
        <v/>
      </c>
      <c r="Q185" t="str">
        <f>IF(P185="","", IFERROR(VLOOKUP(P185, IF(D185="KET", 换算标准!$O:$P, IF(D185="PET", 换算标准!$U:$V, 换算标准!$AG:$AH)), 2, TRUE), 0))</f>
        <v/>
      </c>
      <c r="W185" t="str">
        <f t="shared" si="10"/>
        <v/>
      </c>
      <c r="X185" t="str">
        <f>IF(W185="","", IFERROR(VLOOKUP(W185, IF(D185="KET", 换算标准!$Q:$R, IF(D185="PET", 换算标准!$W:$X, 换算标准!$AI:$AJ)), 2, TRUE), 0))</f>
        <v/>
      </c>
      <c r="Y185" t="str">
        <f t="shared" si="11"/>
        <v/>
      </c>
      <c r="Z185" t="str">
        <f>IF(Y185="","", IFERROR(VLOOKUP(Y185, 换算标准!$Z:$AA, 1, TRUE), ""))</f>
        <v/>
      </c>
      <c r="AA185" s="5" t="str">
        <f>IF(L185="","", "⚠️ 薄弱环节: "&amp;INDEX($E$1:$K$1, MATCH(MIN(E185:K185), E185:K185, 0))&amp;CHAR(10)&amp;"📉 考察能力: "&amp;IFERROR(VLOOKUP(TRIM(D185)&amp;"_"&amp;TRIM(INDEX($E$1:$K$1, MATCH(MIN(E185:K185), E185:K185, 0))), 技能库!$A:$F, 5, 0),"建议查阅考纲")&amp;CHAR(10)&amp;"💡 提升建议: "&amp;IFERROR(VLOOKUP(TRIM(D185)&amp;"_"&amp;TRIM(INDEX($E$1:$K$1, MATCH(MIN(E185:K185), E185:K185, 0))), 技能库!$A:$F, 6, 0),"请针对该题型加强练习"))</f>
        <v/>
      </c>
      <c r="AB185" s="5" t="str">
        <f>IF(P185="","", "⚠️ 薄弱环节: "&amp;INDEX($N$1:$O$1, MATCH(MIN(N185:O185), N185:O185, 0))&amp;CHAR(10)&amp;"📉 考察能力: "&amp;IFERROR(VLOOKUP(TRIM(D185)&amp;"_"&amp;TRIM(INDEX($N$1:$O$1, MATCH(MIN(N185:O185), N185:O185, 0))), 技能库!$A:$F, 5, 0),"建议查阅考纲")&amp;CHAR(10)&amp;"💡 提升建议: "&amp;IFERROR(VLOOKUP(TRIM(D185)&amp;"_"&amp;TRIM(INDEX($N$1:$O$1, MATCH(MIN(N185:O185), N185:O185, 0))), 技能库!$A:$F, 6, 0),"请针对该题型加强练习"))</f>
        <v/>
      </c>
      <c r="AC185" s="5" t="str">
        <f>IF(W185="","", "⚠️ 薄弱环节: "&amp;INDEX($R$1:$V$1, MATCH(MIN(R185:V185), R185:V185, 0))&amp;CHAR(10)&amp;"📉 考察能力: "&amp;IFERROR(VLOOKUP(TRIM(D185)&amp;"_"&amp;TRIM(INDEX($R$1:$V$1, MATCH(MIN(R185:V185), R185:V185, 0))), 技能库!$A:$F, 5, 0),"建议查阅考纲")&amp;CHAR(10)&amp;"💡 提升建议: "&amp;IFERROR(VLOOKUP(TRIM(D185)&amp;"_"&amp;TRIM(INDEX($R$1:$V$1, MATCH(MIN(R185:V185), R185:V185, 0))), 技能库!$A:$F, 6, 0),"请针对该题型加强练习"))</f>
        <v/>
      </c>
    </row>
    <row r="186" spans="12:29" ht="16" hidden="1" x14ac:dyDescent="0.2">
      <c r="L186" t="str">
        <f t="shared" si="8"/>
        <v/>
      </c>
      <c r="M186" t="str">
        <f>IF(L186="","", IFERROR(VLOOKUP(L186, IF(D186="KET", 换算标准!$M:$N, IF(D186="PET", 换算标准!$S:$T, 换算标准!$AC:$AD)), 2, TRUE), 0))</f>
        <v/>
      </c>
      <c r="P186" t="str">
        <f t="shared" si="9"/>
        <v/>
      </c>
      <c r="Q186" t="str">
        <f>IF(P186="","", IFERROR(VLOOKUP(P186, IF(D186="KET", 换算标准!$O:$P, IF(D186="PET", 换算标准!$U:$V, 换算标准!$AG:$AH)), 2, TRUE), 0))</f>
        <v/>
      </c>
      <c r="W186" t="str">
        <f t="shared" si="10"/>
        <v/>
      </c>
      <c r="X186" t="str">
        <f>IF(W186="","", IFERROR(VLOOKUP(W186, IF(D186="KET", 换算标准!$Q:$R, IF(D186="PET", 换算标准!$W:$X, 换算标准!$AI:$AJ)), 2, TRUE), 0))</f>
        <v/>
      </c>
      <c r="Y186" t="str">
        <f t="shared" si="11"/>
        <v/>
      </c>
      <c r="Z186" t="str">
        <f>IF(Y186="","", IFERROR(VLOOKUP(Y186, 换算标准!$Z:$AA, 1, TRUE), ""))</f>
        <v/>
      </c>
      <c r="AA186" s="5" t="str">
        <f>IF(L186="","", "⚠️ 薄弱环节: "&amp;INDEX($E$1:$K$1, MATCH(MIN(E186:K186), E186:K186, 0))&amp;CHAR(10)&amp;"📉 考察能力: "&amp;IFERROR(VLOOKUP(TRIM(D186)&amp;"_"&amp;TRIM(INDEX($E$1:$K$1, MATCH(MIN(E186:K186), E186:K186, 0))), 技能库!$A:$F, 5, 0),"建议查阅考纲")&amp;CHAR(10)&amp;"💡 提升建议: "&amp;IFERROR(VLOOKUP(TRIM(D186)&amp;"_"&amp;TRIM(INDEX($E$1:$K$1, MATCH(MIN(E186:K186), E186:K186, 0))), 技能库!$A:$F, 6, 0),"请针对该题型加强练习"))</f>
        <v/>
      </c>
      <c r="AB186" s="5" t="str">
        <f>IF(P186="","", "⚠️ 薄弱环节: "&amp;INDEX($N$1:$O$1, MATCH(MIN(N186:O186), N186:O186, 0))&amp;CHAR(10)&amp;"📉 考察能力: "&amp;IFERROR(VLOOKUP(TRIM(D186)&amp;"_"&amp;TRIM(INDEX($N$1:$O$1, MATCH(MIN(N186:O186), N186:O186, 0))), 技能库!$A:$F, 5, 0),"建议查阅考纲")&amp;CHAR(10)&amp;"💡 提升建议: "&amp;IFERROR(VLOOKUP(TRIM(D186)&amp;"_"&amp;TRIM(INDEX($N$1:$O$1, MATCH(MIN(N186:O186), N186:O186, 0))), 技能库!$A:$F, 6, 0),"请针对该题型加强练习"))</f>
        <v/>
      </c>
      <c r="AC186" s="5" t="str">
        <f>IF(W186="","", "⚠️ 薄弱环节: "&amp;INDEX($R$1:$V$1, MATCH(MIN(R186:V186), R186:V186, 0))&amp;CHAR(10)&amp;"📉 考察能力: "&amp;IFERROR(VLOOKUP(TRIM(D186)&amp;"_"&amp;TRIM(INDEX($R$1:$V$1, MATCH(MIN(R186:V186), R186:V186, 0))), 技能库!$A:$F, 5, 0),"建议查阅考纲")&amp;CHAR(10)&amp;"💡 提升建议: "&amp;IFERROR(VLOOKUP(TRIM(D186)&amp;"_"&amp;TRIM(INDEX($R$1:$V$1, MATCH(MIN(R186:V186), R186:V186, 0))), 技能库!$A:$F, 6, 0),"请针对该题型加强练习"))</f>
        <v/>
      </c>
    </row>
    <row r="187" spans="12:29" ht="16" hidden="1" x14ac:dyDescent="0.2">
      <c r="L187" t="str">
        <f t="shared" si="8"/>
        <v/>
      </c>
      <c r="M187" t="str">
        <f>IF(L187="","", IFERROR(VLOOKUP(L187, IF(D187="KET", 换算标准!$M:$N, IF(D187="PET", 换算标准!$S:$T, 换算标准!$AC:$AD)), 2, TRUE), 0))</f>
        <v/>
      </c>
      <c r="P187" t="str">
        <f t="shared" si="9"/>
        <v/>
      </c>
      <c r="Q187" t="str">
        <f>IF(P187="","", IFERROR(VLOOKUP(P187, IF(D187="KET", 换算标准!$O:$P, IF(D187="PET", 换算标准!$U:$V, 换算标准!$AG:$AH)), 2, TRUE), 0))</f>
        <v/>
      </c>
      <c r="W187" t="str">
        <f t="shared" si="10"/>
        <v/>
      </c>
      <c r="X187" t="str">
        <f>IF(W187="","", IFERROR(VLOOKUP(W187, IF(D187="KET", 换算标准!$Q:$R, IF(D187="PET", 换算标准!$W:$X, 换算标准!$AI:$AJ)), 2, TRUE), 0))</f>
        <v/>
      </c>
      <c r="Y187" t="str">
        <f t="shared" si="11"/>
        <v/>
      </c>
      <c r="Z187" t="str">
        <f>IF(Y187="","", IFERROR(VLOOKUP(Y187, 换算标准!$Z:$AA, 1, TRUE), ""))</f>
        <v/>
      </c>
      <c r="AA187" s="5" t="str">
        <f>IF(L187="","", "⚠️ 薄弱环节: "&amp;INDEX($E$1:$K$1, MATCH(MIN(E187:K187), E187:K187, 0))&amp;CHAR(10)&amp;"📉 考察能力: "&amp;IFERROR(VLOOKUP(TRIM(D187)&amp;"_"&amp;TRIM(INDEX($E$1:$K$1, MATCH(MIN(E187:K187), E187:K187, 0))), 技能库!$A:$F, 5, 0),"建议查阅考纲")&amp;CHAR(10)&amp;"💡 提升建议: "&amp;IFERROR(VLOOKUP(TRIM(D187)&amp;"_"&amp;TRIM(INDEX($E$1:$K$1, MATCH(MIN(E187:K187), E187:K187, 0))), 技能库!$A:$F, 6, 0),"请针对该题型加强练习"))</f>
        <v/>
      </c>
      <c r="AB187" s="5" t="str">
        <f>IF(P187="","", "⚠️ 薄弱环节: "&amp;INDEX($N$1:$O$1, MATCH(MIN(N187:O187), N187:O187, 0))&amp;CHAR(10)&amp;"📉 考察能力: "&amp;IFERROR(VLOOKUP(TRIM(D187)&amp;"_"&amp;TRIM(INDEX($N$1:$O$1, MATCH(MIN(N187:O187), N187:O187, 0))), 技能库!$A:$F, 5, 0),"建议查阅考纲")&amp;CHAR(10)&amp;"💡 提升建议: "&amp;IFERROR(VLOOKUP(TRIM(D187)&amp;"_"&amp;TRIM(INDEX($N$1:$O$1, MATCH(MIN(N187:O187), N187:O187, 0))), 技能库!$A:$F, 6, 0),"请针对该题型加强练习"))</f>
        <v/>
      </c>
      <c r="AC187" s="5" t="str">
        <f>IF(W187="","", "⚠️ 薄弱环节: "&amp;INDEX($R$1:$V$1, MATCH(MIN(R187:V187), R187:V187, 0))&amp;CHAR(10)&amp;"📉 考察能力: "&amp;IFERROR(VLOOKUP(TRIM(D187)&amp;"_"&amp;TRIM(INDEX($R$1:$V$1, MATCH(MIN(R187:V187), R187:V187, 0))), 技能库!$A:$F, 5, 0),"建议查阅考纲")&amp;CHAR(10)&amp;"💡 提升建议: "&amp;IFERROR(VLOOKUP(TRIM(D187)&amp;"_"&amp;TRIM(INDEX($R$1:$V$1, MATCH(MIN(R187:V187), R187:V187, 0))), 技能库!$A:$F, 6, 0),"请针对该题型加强练习"))</f>
        <v/>
      </c>
    </row>
    <row r="188" spans="12:29" ht="16" hidden="1" x14ac:dyDescent="0.2">
      <c r="L188" t="str">
        <f t="shared" si="8"/>
        <v/>
      </c>
      <c r="M188" t="str">
        <f>IF(L188="","", IFERROR(VLOOKUP(L188, IF(D188="KET", 换算标准!$M:$N, IF(D188="PET", 换算标准!$S:$T, 换算标准!$AC:$AD)), 2, TRUE), 0))</f>
        <v/>
      </c>
      <c r="P188" t="str">
        <f t="shared" si="9"/>
        <v/>
      </c>
      <c r="Q188" t="str">
        <f>IF(P188="","", IFERROR(VLOOKUP(P188, IF(D188="KET", 换算标准!$O:$P, IF(D188="PET", 换算标准!$U:$V, 换算标准!$AG:$AH)), 2, TRUE), 0))</f>
        <v/>
      </c>
      <c r="W188" t="str">
        <f t="shared" si="10"/>
        <v/>
      </c>
      <c r="X188" t="str">
        <f>IF(W188="","", IFERROR(VLOOKUP(W188, IF(D188="KET", 换算标准!$Q:$R, IF(D188="PET", 换算标准!$W:$X, 换算标准!$AI:$AJ)), 2, TRUE), 0))</f>
        <v/>
      </c>
      <c r="Y188" t="str">
        <f t="shared" si="11"/>
        <v/>
      </c>
      <c r="Z188" t="str">
        <f>IF(Y188="","", IFERROR(VLOOKUP(Y188, 换算标准!$Z:$AA, 1, TRUE), ""))</f>
        <v/>
      </c>
      <c r="AA188" s="5" t="str">
        <f>IF(L188="","", "⚠️ 薄弱环节: "&amp;INDEX($E$1:$K$1, MATCH(MIN(E188:K188), E188:K188, 0))&amp;CHAR(10)&amp;"📉 考察能力: "&amp;IFERROR(VLOOKUP(TRIM(D188)&amp;"_"&amp;TRIM(INDEX($E$1:$K$1, MATCH(MIN(E188:K188), E188:K188, 0))), 技能库!$A:$F, 5, 0),"建议查阅考纲")&amp;CHAR(10)&amp;"💡 提升建议: "&amp;IFERROR(VLOOKUP(TRIM(D188)&amp;"_"&amp;TRIM(INDEX($E$1:$K$1, MATCH(MIN(E188:K188), E188:K188, 0))), 技能库!$A:$F, 6, 0),"请针对该题型加强练习"))</f>
        <v/>
      </c>
      <c r="AB188" s="5" t="str">
        <f>IF(P188="","", "⚠️ 薄弱环节: "&amp;INDEX($N$1:$O$1, MATCH(MIN(N188:O188), N188:O188, 0))&amp;CHAR(10)&amp;"📉 考察能力: "&amp;IFERROR(VLOOKUP(TRIM(D188)&amp;"_"&amp;TRIM(INDEX($N$1:$O$1, MATCH(MIN(N188:O188), N188:O188, 0))), 技能库!$A:$F, 5, 0),"建议查阅考纲")&amp;CHAR(10)&amp;"💡 提升建议: "&amp;IFERROR(VLOOKUP(TRIM(D188)&amp;"_"&amp;TRIM(INDEX($N$1:$O$1, MATCH(MIN(N188:O188), N188:O188, 0))), 技能库!$A:$F, 6, 0),"请针对该题型加强练习"))</f>
        <v/>
      </c>
      <c r="AC188" s="5" t="str">
        <f>IF(W188="","", "⚠️ 薄弱环节: "&amp;INDEX($R$1:$V$1, MATCH(MIN(R188:V188), R188:V188, 0))&amp;CHAR(10)&amp;"📉 考察能力: "&amp;IFERROR(VLOOKUP(TRIM(D188)&amp;"_"&amp;TRIM(INDEX($R$1:$V$1, MATCH(MIN(R188:V188), R188:V188, 0))), 技能库!$A:$F, 5, 0),"建议查阅考纲")&amp;CHAR(10)&amp;"💡 提升建议: "&amp;IFERROR(VLOOKUP(TRIM(D188)&amp;"_"&amp;TRIM(INDEX($R$1:$V$1, MATCH(MIN(R188:V188), R188:V188, 0))), 技能库!$A:$F, 6, 0),"请针对该题型加强练习"))</f>
        <v/>
      </c>
    </row>
    <row r="189" spans="12:29" ht="16" hidden="1" x14ac:dyDescent="0.2">
      <c r="L189" t="str">
        <f t="shared" si="8"/>
        <v/>
      </c>
      <c r="M189" t="str">
        <f>IF(L189="","", IFERROR(VLOOKUP(L189, IF(D189="KET", 换算标准!$M:$N, IF(D189="PET", 换算标准!$S:$T, 换算标准!$AC:$AD)), 2, TRUE), 0))</f>
        <v/>
      </c>
      <c r="P189" t="str">
        <f t="shared" si="9"/>
        <v/>
      </c>
      <c r="Q189" t="str">
        <f>IF(P189="","", IFERROR(VLOOKUP(P189, IF(D189="KET", 换算标准!$O:$P, IF(D189="PET", 换算标准!$U:$V, 换算标准!$AG:$AH)), 2, TRUE), 0))</f>
        <v/>
      </c>
      <c r="W189" t="str">
        <f t="shared" si="10"/>
        <v/>
      </c>
      <c r="X189" t="str">
        <f>IF(W189="","", IFERROR(VLOOKUP(W189, IF(D189="KET", 换算标准!$Q:$R, IF(D189="PET", 换算标准!$W:$X, 换算标准!$AI:$AJ)), 2, TRUE), 0))</f>
        <v/>
      </c>
      <c r="Y189" t="str">
        <f t="shared" si="11"/>
        <v/>
      </c>
      <c r="Z189" t="str">
        <f>IF(Y189="","", IFERROR(VLOOKUP(Y189, 换算标准!$Z:$AA, 1, TRUE), ""))</f>
        <v/>
      </c>
      <c r="AA189" s="5" t="str">
        <f>IF(L189="","", "⚠️ 薄弱环节: "&amp;INDEX($E$1:$K$1, MATCH(MIN(E189:K189), E189:K189, 0))&amp;CHAR(10)&amp;"📉 考察能力: "&amp;IFERROR(VLOOKUP(TRIM(D189)&amp;"_"&amp;TRIM(INDEX($E$1:$K$1, MATCH(MIN(E189:K189), E189:K189, 0))), 技能库!$A:$F, 5, 0),"建议查阅考纲")&amp;CHAR(10)&amp;"💡 提升建议: "&amp;IFERROR(VLOOKUP(TRIM(D189)&amp;"_"&amp;TRIM(INDEX($E$1:$K$1, MATCH(MIN(E189:K189), E189:K189, 0))), 技能库!$A:$F, 6, 0),"请针对该题型加强练习"))</f>
        <v/>
      </c>
      <c r="AB189" s="5" t="str">
        <f>IF(P189="","", "⚠️ 薄弱环节: "&amp;INDEX($N$1:$O$1, MATCH(MIN(N189:O189), N189:O189, 0))&amp;CHAR(10)&amp;"📉 考察能力: "&amp;IFERROR(VLOOKUP(TRIM(D189)&amp;"_"&amp;TRIM(INDEX($N$1:$O$1, MATCH(MIN(N189:O189), N189:O189, 0))), 技能库!$A:$F, 5, 0),"建议查阅考纲")&amp;CHAR(10)&amp;"💡 提升建议: "&amp;IFERROR(VLOOKUP(TRIM(D189)&amp;"_"&amp;TRIM(INDEX($N$1:$O$1, MATCH(MIN(N189:O189), N189:O189, 0))), 技能库!$A:$F, 6, 0),"请针对该题型加强练习"))</f>
        <v/>
      </c>
      <c r="AC189" s="5" t="str">
        <f>IF(W189="","", "⚠️ 薄弱环节: "&amp;INDEX($R$1:$V$1, MATCH(MIN(R189:V189), R189:V189, 0))&amp;CHAR(10)&amp;"📉 考察能力: "&amp;IFERROR(VLOOKUP(TRIM(D189)&amp;"_"&amp;TRIM(INDEX($R$1:$V$1, MATCH(MIN(R189:V189), R189:V189, 0))), 技能库!$A:$F, 5, 0),"建议查阅考纲")&amp;CHAR(10)&amp;"💡 提升建议: "&amp;IFERROR(VLOOKUP(TRIM(D189)&amp;"_"&amp;TRIM(INDEX($R$1:$V$1, MATCH(MIN(R189:V189), R189:V189, 0))), 技能库!$A:$F, 6, 0),"请针对该题型加强练习"))</f>
        <v/>
      </c>
    </row>
    <row r="190" spans="12:29" ht="16" hidden="1" x14ac:dyDescent="0.2">
      <c r="L190" t="str">
        <f t="shared" si="8"/>
        <v/>
      </c>
      <c r="M190" t="str">
        <f>IF(L190="","", IFERROR(VLOOKUP(L190, IF(D190="KET", 换算标准!$M:$N, IF(D190="PET", 换算标准!$S:$T, 换算标准!$AC:$AD)), 2, TRUE), 0))</f>
        <v/>
      </c>
      <c r="P190" t="str">
        <f t="shared" si="9"/>
        <v/>
      </c>
      <c r="Q190" t="str">
        <f>IF(P190="","", IFERROR(VLOOKUP(P190, IF(D190="KET", 换算标准!$O:$P, IF(D190="PET", 换算标准!$U:$V, 换算标准!$AG:$AH)), 2, TRUE), 0))</f>
        <v/>
      </c>
      <c r="W190" t="str">
        <f t="shared" si="10"/>
        <v/>
      </c>
      <c r="X190" t="str">
        <f>IF(W190="","", IFERROR(VLOOKUP(W190, IF(D190="KET", 换算标准!$Q:$R, IF(D190="PET", 换算标准!$W:$X, 换算标准!$AI:$AJ)), 2, TRUE), 0))</f>
        <v/>
      </c>
      <c r="Y190" t="str">
        <f t="shared" si="11"/>
        <v/>
      </c>
      <c r="Z190" t="str">
        <f>IF(Y190="","", IFERROR(VLOOKUP(Y190, 换算标准!$Z:$AA, 1, TRUE), ""))</f>
        <v/>
      </c>
      <c r="AA190" s="5" t="str">
        <f>IF(L190="","", "⚠️ 薄弱环节: "&amp;INDEX($E$1:$K$1, MATCH(MIN(E190:K190), E190:K190, 0))&amp;CHAR(10)&amp;"📉 考察能力: "&amp;IFERROR(VLOOKUP(TRIM(D190)&amp;"_"&amp;TRIM(INDEX($E$1:$K$1, MATCH(MIN(E190:K190), E190:K190, 0))), 技能库!$A:$F, 5, 0),"建议查阅考纲")&amp;CHAR(10)&amp;"💡 提升建议: "&amp;IFERROR(VLOOKUP(TRIM(D190)&amp;"_"&amp;TRIM(INDEX($E$1:$K$1, MATCH(MIN(E190:K190), E190:K190, 0))), 技能库!$A:$F, 6, 0),"请针对该题型加强练习"))</f>
        <v/>
      </c>
      <c r="AB190" s="5" t="str">
        <f>IF(P190="","", "⚠️ 薄弱环节: "&amp;INDEX($N$1:$O$1, MATCH(MIN(N190:O190), N190:O190, 0))&amp;CHAR(10)&amp;"📉 考察能力: "&amp;IFERROR(VLOOKUP(TRIM(D190)&amp;"_"&amp;TRIM(INDEX($N$1:$O$1, MATCH(MIN(N190:O190), N190:O190, 0))), 技能库!$A:$F, 5, 0),"建议查阅考纲")&amp;CHAR(10)&amp;"💡 提升建议: "&amp;IFERROR(VLOOKUP(TRIM(D190)&amp;"_"&amp;TRIM(INDEX($N$1:$O$1, MATCH(MIN(N190:O190), N190:O190, 0))), 技能库!$A:$F, 6, 0),"请针对该题型加强练习"))</f>
        <v/>
      </c>
      <c r="AC190" s="5" t="str">
        <f>IF(W190="","", "⚠️ 薄弱环节: "&amp;INDEX($R$1:$V$1, MATCH(MIN(R190:V190), R190:V190, 0))&amp;CHAR(10)&amp;"📉 考察能力: "&amp;IFERROR(VLOOKUP(TRIM(D190)&amp;"_"&amp;TRIM(INDEX($R$1:$V$1, MATCH(MIN(R190:V190), R190:V190, 0))), 技能库!$A:$F, 5, 0),"建议查阅考纲")&amp;CHAR(10)&amp;"💡 提升建议: "&amp;IFERROR(VLOOKUP(TRIM(D190)&amp;"_"&amp;TRIM(INDEX($R$1:$V$1, MATCH(MIN(R190:V190), R190:V190, 0))), 技能库!$A:$F, 6, 0),"请针对该题型加强练习"))</f>
        <v/>
      </c>
    </row>
    <row r="191" spans="12:29" ht="16" hidden="1" x14ac:dyDescent="0.2">
      <c r="L191" t="str">
        <f t="shared" si="8"/>
        <v/>
      </c>
      <c r="M191" t="str">
        <f>IF(L191="","", IFERROR(VLOOKUP(L191, IF(D191="KET", 换算标准!$M:$N, IF(D191="PET", 换算标准!$S:$T, 换算标准!$AC:$AD)), 2, TRUE), 0))</f>
        <v/>
      </c>
      <c r="P191" t="str">
        <f t="shared" si="9"/>
        <v/>
      </c>
      <c r="Q191" t="str">
        <f>IF(P191="","", IFERROR(VLOOKUP(P191, IF(D191="KET", 换算标准!$O:$P, IF(D191="PET", 换算标准!$U:$V, 换算标准!$AG:$AH)), 2, TRUE), 0))</f>
        <v/>
      </c>
      <c r="W191" t="str">
        <f t="shared" si="10"/>
        <v/>
      </c>
      <c r="X191" t="str">
        <f>IF(W191="","", IFERROR(VLOOKUP(W191, IF(D191="KET", 换算标准!$Q:$R, IF(D191="PET", 换算标准!$W:$X, 换算标准!$AI:$AJ)), 2, TRUE), 0))</f>
        <v/>
      </c>
      <c r="Y191" t="str">
        <f t="shared" si="11"/>
        <v/>
      </c>
      <c r="Z191" t="str">
        <f>IF(Y191="","", IFERROR(VLOOKUP(Y191, 换算标准!$Z:$AA, 1, TRUE), ""))</f>
        <v/>
      </c>
      <c r="AA191" s="5" t="str">
        <f>IF(L191="","", "⚠️ 薄弱环节: "&amp;INDEX($E$1:$K$1, MATCH(MIN(E191:K191), E191:K191, 0))&amp;CHAR(10)&amp;"📉 考察能力: "&amp;IFERROR(VLOOKUP(TRIM(D191)&amp;"_"&amp;TRIM(INDEX($E$1:$K$1, MATCH(MIN(E191:K191), E191:K191, 0))), 技能库!$A:$F, 5, 0),"建议查阅考纲")&amp;CHAR(10)&amp;"💡 提升建议: "&amp;IFERROR(VLOOKUP(TRIM(D191)&amp;"_"&amp;TRIM(INDEX($E$1:$K$1, MATCH(MIN(E191:K191), E191:K191, 0))), 技能库!$A:$F, 6, 0),"请针对该题型加强练习"))</f>
        <v/>
      </c>
      <c r="AB191" s="5" t="str">
        <f>IF(P191="","", "⚠️ 薄弱环节: "&amp;INDEX($N$1:$O$1, MATCH(MIN(N191:O191), N191:O191, 0))&amp;CHAR(10)&amp;"📉 考察能力: "&amp;IFERROR(VLOOKUP(TRIM(D191)&amp;"_"&amp;TRIM(INDEX($N$1:$O$1, MATCH(MIN(N191:O191), N191:O191, 0))), 技能库!$A:$F, 5, 0),"建议查阅考纲")&amp;CHAR(10)&amp;"💡 提升建议: "&amp;IFERROR(VLOOKUP(TRIM(D191)&amp;"_"&amp;TRIM(INDEX($N$1:$O$1, MATCH(MIN(N191:O191), N191:O191, 0))), 技能库!$A:$F, 6, 0),"请针对该题型加强练习"))</f>
        <v/>
      </c>
      <c r="AC191" s="5" t="str">
        <f>IF(W191="","", "⚠️ 薄弱环节: "&amp;INDEX($R$1:$V$1, MATCH(MIN(R191:V191), R191:V191, 0))&amp;CHAR(10)&amp;"📉 考察能力: "&amp;IFERROR(VLOOKUP(TRIM(D191)&amp;"_"&amp;TRIM(INDEX($R$1:$V$1, MATCH(MIN(R191:V191), R191:V191, 0))), 技能库!$A:$F, 5, 0),"建议查阅考纲")&amp;CHAR(10)&amp;"💡 提升建议: "&amp;IFERROR(VLOOKUP(TRIM(D191)&amp;"_"&amp;TRIM(INDEX($R$1:$V$1, MATCH(MIN(R191:V191), R191:V191, 0))), 技能库!$A:$F, 6, 0),"请针对该题型加强练习"))</f>
        <v/>
      </c>
    </row>
    <row r="192" spans="12:29" ht="16" hidden="1" x14ac:dyDescent="0.2">
      <c r="L192" t="str">
        <f t="shared" si="8"/>
        <v/>
      </c>
      <c r="M192" t="str">
        <f>IF(L192="","", IFERROR(VLOOKUP(L192, IF(D192="KET", 换算标准!$M:$N, IF(D192="PET", 换算标准!$S:$T, 换算标准!$AC:$AD)), 2, TRUE), 0))</f>
        <v/>
      </c>
      <c r="P192" t="str">
        <f t="shared" si="9"/>
        <v/>
      </c>
      <c r="Q192" t="str">
        <f>IF(P192="","", IFERROR(VLOOKUP(P192, IF(D192="KET", 换算标准!$O:$P, IF(D192="PET", 换算标准!$U:$V, 换算标准!$AG:$AH)), 2, TRUE), 0))</f>
        <v/>
      </c>
      <c r="W192" t="str">
        <f t="shared" si="10"/>
        <v/>
      </c>
      <c r="X192" t="str">
        <f>IF(W192="","", IFERROR(VLOOKUP(W192, IF(D192="KET", 换算标准!$Q:$R, IF(D192="PET", 换算标准!$W:$X, 换算标准!$AI:$AJ)), 2, TRUE), 0))</f>
        <v/>
      </c>
      <c r="Y192" t="str">
        <f t="shared" si="11"/>
        <v/>
      </c>
      <c r="Z192" t="str">
        <f>IF(Y192="","", IFERROR(VLOOKUP(Y192, 换算标准!$Z:$AA, 1, TRUE), ""))</f>
        <v/>
      </c>
      <c r="AA192" s="5" t="str">
        <f>IF(L192="","", "⚠️ 薄弱环节: "&amp;INDEX($E$1:$K$1, MATCH(MIN(E192:K192), E192:K192, 0))&amp;CHAR(10)&amp;"📉 考察能力: "&amp;IFERROR(VLOOKUP(TRIM(D192)&amp;"_"&amp;TRIM(INDEX($E$1:$K$1, MATCH(MIN(E192:K192), E192:K192, 0))), 技能库!$A:$F, 5, 0),"建议查阅考纲")&amp;CHAR(10)&amp;"💡 提升建议: "&amp;IFERROR(VLOOKUP(TRIM(D192)&amp;"_"&amp;TRIM(INDEX($E$1:$K$1, MATCH(MIN(E192:K192), E192:K192, 0))), 技能库!$A:$F, 6, 0),"请针对该题型加强练习"))</f>
        <v/>
      </c>
      <c r="AB192" s="5" t="str">
        <f>IF(P192="","", "⚠️ 薄弱环节: "&amp;INDEX($N$1:$O$1, MATCH(MIN(N192:O192), N192:O192, 0))&amp;CHAR(10)&amp;"📉 考察能力: "&amp;IFERROR(VLOOKUP(TRIM(D192)&amp;"_"&amp;TRIM(INDEX($N$1:$O$1, MATCH(MIN(N192:O192), N192:O192, 0))), 技能库!$A:$F, 5, 0),"建议查阅考纲")&amp;CHAR(10)&amp;"💡 提升建议: "&amp;IFERROR(VLOOKUP(TRIM(D192)&amp;"_"&amp;TRIM(INDEX($N$1:$O$1, MATCH(MIN(N192:O192), N192:O192, 0))), 技能库!$A:$F, 6, 0),"请针对该题型加强练习"))</f>
        <v/>
      </c>
      <c r="AC192" s="5" t="str">
        <f>IF(W192="","", "⚠️ 薄弱环节: "&amp;INDEX($R$1:$V$1, MATCH(MIN(R192:V192), R192:V192, 0))&amp;CHAR(10)&amp;"📉 考察能力: "&amp;IFERROR(VLOOKUP(TRIM(D192)&amp;"_"&amp;TRIM(INDEX($R$1:$V$1, MATCH(MIN(R192:V192), R192:V192, 0))), 技能库!$A:$F, 5, 0),"建议查阅考纲")&amp;CHAR(10)&amp;"💡 提升建议: "&amp;IFERROR(VLOOKUP(TRIM(D192)&amp;"_"&amp;TRIM(INDEX($R$1:$V$1, MATCH(MIN(R192:V192), R192:V192, 0))), 技能库!$A:$F, 6, 0),"请针对该题型加强练习"))</f>
        <v/>
      </c>
    </row>
    <row r="193" spans="12:29" ht="16" hidden="1" x14ac:dyDescent="0.2">
      <c r="L193" t="str">
        <f t="shared" si="8"/>
        <v/>
      </c>
      <c r="M193" t="str">
        <f>IF(L193="","", IFERROR(VLOOKUP(L193, IF(D193="KET", 换算标准!$M:$N, IF(D193="PET", 换算标准!$S:$T, 换算标准!$AC:$AD)), 2, TRUE), 0))</f>
        <v/>
      </c>
      <c r="P193" t="str">
        <f t="shared" si="9"/>
        <v/>
      </c>
      <c r="Q193" t="str">
        <f>IF(P193="","", IFERROR(VLOOKUP(P193, IF(D193="KET", 换算标准!$O:$P, IF(D193="PET", 换算标准!$U:$V, 换算标准!$AG:$AH)), 2, TRUE), 0))</f>
        <v/>
      </c>
      <c r="W193" t="str">
        <f t="shared" si="10"/>
        <v/>
      </c>
      <c r="X193" t="str">
        <f>IF(W193="","", IFERROR(VLOOKUP(W193, IF(D193="KET", 换算标准!$Q:$R, IF(D193="PET", 换算标准!$W:$X, 换算标准!$AI:$AJ)), 2, TRUE), 0))</f>
        <v/>
      </c>
      <c r="Y193" t="str">
        <f t="shared" si="11"/>
        <v/>
      </c>
      <c r="Z193" t="str">
        <f>IF(Y193="","", IFERROR(VLOOKUP(Y193, 换算标准!$Z:$AA, 1, TRUE), ""))</f>
        <v/>
      </c>
      <c r="AA193" s="5" t="str">
        <f>IF(L193="","", "⚠️ 薄弱环节: "&amp;INDEX($E$1:$K$1, MATCH(MIN(E193:K193), E193:K193, 0))&amp;CHAR(10)&amp;"📉 考察能力: "&amp;IFERROR(VLOOKUP(TRIM(D193)&amp;"_"&amp;TRIM(INDEX($E$1:$K$1, MATCH(MIN(E193:K193), E193:K193, 0))), 技能库!$A:$F, 5, 0),"建议查阅考纲")&amp;CHAR(10)&amp;"💡 提升建议: "&amp;IFERROR(VLOOKUP(TRIM(D193)&amp;"_"&amp;TRIM(INDEX($E$1:$K$1, MATCH(MIN(E193:K193), E193:K193, 0))), 技能库!$A:$F, 6, 0),"请针对该题型加强练习"))</f>
        <v/>
      </c>
      <c r="AB193" s="5" t="str">
        <f>IF(P193="","", "⚠️ 薄弱环节: "&amp;INDEX($N$1:$O$1, MATCH(MIN(N193:O193), N193:O193, 0))&amp;CHAR(10)&amp;"📉 考察能力: "&amp;IFERROR(VLOOKUP(TRIM(D193)&amp;"_"&amp;TRIM(INDEX($N$1:$O$1, MATCH(MIN(N193:O193), N193:O193, 0))), 技能库!$A:$F, 5, 0),"建议查阅考纲")&amp;CHAR(10)&amp;"💡 提升建议: "&amp;IFERROR(VLOOKUP(TRIM(D193)&amp;"_"&amp;TRIM(INDEX($N$1:$O$1, MATCH(MIN(N193:O193), N193:O193, 0))), 技能库!$A:$F, 6, 0),"请针对该题型加强练习"))</f>
        <v/>
      </c>
      <c r="AC193" s="5" t="str">
        <f>IF(W193="","", "⚠️ 薄弱环节: "&amp;INDEX($R$1:$V$1, MATCH(MIN(R193:V193), R193:V193, 0))&amp;CHAR(10)&amp;"📉 考察能力: "&amp;IFERROR(VLOOKUP(TRIM(D193)&amp;"_"&amp;TRIM(INDEX($R$1:$V$1, MATCH(MIN(R193:V193), R193:V193, 0))), 技能库!$A:$F, 5, 0),"建议查阅考纲")&amp;CHAR(10)&amp;"💡 提升建议: "&amp;IFERROR(VLOOKUP(TRIM(D193)&amp;"_"&amp;TRIM(INDEX($R$1:$V$1, MATCH(MIN(R193:V193), R193:V193, 0))), 技能库!$A:$F, 6, 0),"请针对该题型加强练习"))</f>
        <v/>
      </c>
    </row>
    <row r="194" spans="12:29" ht="16" hidden="1" x14ac:dyDescent="0.2">
      <c r="L194" t="str">
        <f t="shared" ref="L194:L257" si="12">IF(COUNT(E194:K194)&gt;0, SUM(E194:K194), "")</f>
        <v/>
      </c>
      <c r="M194" t="str">
        <f>IF(L194="","", IFERROR(VLOOKUP(L194, IF(D194="KET", 换算标准!$M:$N, IF(D194="PET", 换算标准!$S:$T, 换算标准!$AC:$AD)), 2, TRUE), 0))</f>
        <v/>
      </c>
      <c r="P194" t="str">
        <f t="shared" ref="P194:P257" si="13">IF(COUNT(N194:O194)&gt;0, SUM(N194:O194), "")</f>
        <v/>
      </c>
      <c r="Q194" t="str">
        <f>IF(P194="","", IFERROR(VLOOKUP(P194, IF(D194="KET", 换算标准!$O:$P, IF(D194="PET", 换算标准!$U:$V, 换算标准!$AG:$AH)), 2, TRUE), 0))</f>
        <v/>
      </c>
      <c r="W194" t="str">
        <f t="shared" ref="W194:W257" si="14">IF(COUNT(R194:V194)&gt;0, SUM(R194:V194), "")</f>
        <v/>
      </c>
      <c r="X194" t="str">
        <f>IF(W194="","", IFERROR(VLOOKUP(W194, IF(D194="KET", 换算标准!$Q:$R, IF(D194="PET", 换算标准!$W:$X, 换算标准!$AI:$AJ)), 2, TRUE), 0))</f>
        <v/>
      </c>
      <c r="Y194" t="str">
        <f t="shared" ref="Y194:Y257" si="15">IF(COUNT(M194,Q194,X194)&gt;0, AVERAGE(M194,Q194,X194), "")</f>
        <v/>
      </c>
      <c r="Z194" t="str">
        <f>IF(Y194="","", IFERROR(VLOOKUP(Y194, 换算标准!$Z:$AA, 1, TRUE), ""))</f>
        <v/>
      </c>
      <c r="AA194" s="5" t="str">
        <f>IF(L194="","", "⚠️ 薄弱环节: "&amp;INDEX($E$1:$K$1, MATCH(MIN(E194:K194), E194:K194, 0))&amp;CHAR(10)&amp;"📉 考察能力: "&amp;IFERROR(VLOOKUP(TRIM(D194)&amp;"_"&amp;TRIM(INDEX($E$1:$K$1, MATCH(MIN(E194:K194), E194:K194, 0))), 技能库!$A:$F, 5, 0),"建议查阅考纲")&amp;CHAR(10)&amp;"💡 提升建议: "&amp;IFERROR(VLOOKUP(TRIM(D194)&amp;"_"&amp;TRIM(INDEX($E$1:$K$1, MATCH(MIN(E194:K194), E194:K194, 0))), 技能库!$A:$F, 6, 0),"请针对该题型加强练习"))</f>
        <v/>
      </c>
      <c r="AB194" s="5" t="str">
        <f>IF(P194="","", "⚠️ 薄弱环节: "&amp;INDEX($N$1:$O$1, MATCH(MIN(N194:O194), N194:O194, 0))&amp;CHAR(10)&amp;"📉 考察能力: "&amp;IFERROR(VLOOKUP(TRIM(D194)&amp;"_"&amp;TRIM(INDEX($N$1:$O$1, MATCH(MIN(N194:O194), N194:O194, 0))), 技能库!$A:$F, 5, 0),"建议查阅考纲")&amp;CHAR(10)&amp;"💡 提升建议: "&amp;IFERROR(VLOOKUP(TRIM(D194)&amp;"_"&amp;TRIM(INDEX($N$1:$O$1, MATCH(MIN(N194:O194), N194:O194, 0))), 技能库!$A:$F, 6, 0),"请针对该题型加强练习"))</f>
        <v/>
      </c>
      <c r="AC194" s="5" t="str">
        <f>IF(W194="","", "⚠️ 薄弱环节: "&amp;INDEX($R$1:$V$1, MATCH(MIN(R194:V194), R194:V194, 0))&amp;CHAR(10)&amp;"📉 考察能力: "&amp;IFERROR(VLOOKUP(TRIM(D194)&amp;"_"&amp;TRIM(INDEX($R$1:$V$1, MATCH(MIN(R194:V194), R194:V194, 0))), 技能库!$A:$F, 5, 0),"建议查阅考纲")&amp;CHAR(10)&amp;"💡 提升建议: "&amp;IFERROR(VLOOKUP(TRIM(D194)&amp;"_"&amp;TRIM(INDEX($R$1:$V$1, MATCH(MIN(R194:V194), R194:V194, 0))), 技能库!$A:$F, 6, 0),"请针对该题型加强练习"))</f>
        <v/>
      </c>
    </row>
    <row r="195" spans="12:29" ht="16" hidden="1" x14ac:dyDescent="0.2">
      <c r="L195" t="str">
        <f t="shared" si="12"/>
        <v/>
      </c>
      <c r="M195" t="str">
        <f>IF(L195="","", IFERROR(VLOOKUP(L195, IF(D195="KET", 换算标准!$M:$N, IF(D195="PET", 换算标准!$S:$T, 换算标准!$AC:$AD)), 2, TRUE), 0))</f>
        <v/>
      </c>
      <c r="P195" t="str">
        <f t="shared" si="13"/>
        <v/>
      </c>
      <c r="Q195" t="str">
        <f>IF(P195="","", IFERROR(VLOOKUP(P195, IF(D195="KET", 换算标准!$O:$P, IF(D195="PET", 换算标准!$U:$V, 换算标准!$AG:$AH)), 2, TRUE), 0))</f>
        <v/>
      </c>
      <c r="W195" t="str">
        <f t="shared" si="14"/>
        <v/>
      </c>
      <c r="X195" t="str">
        <f>IF(W195="","", IFERROR(VLOOKUP(W195, IF(D195="KET", 换算标准!$Q:$R, IF(D195="PET", 换算标准!$W:$X, 换算标准!$AI:$AJ)), 2, TRUE), 0))</f>
        <v/>
      </c>
      <c r="Y195" t="str">
        <f t="shared" si="15"/>
        <v/>
      </c>
      <c r="Z195" t="str">
        <f>IF(Y195="","", IFERROR(VLOOKUP(Y195, 换算标准!$Z:$AA, 1, TRUE), ""))</f>
        <v/>
      </c>
      <c r="AA195" s="5" t="str">
        <f>IF(L195="","", "⚠️ 薄弱环节: "&amp;INDEX($E$1:$K$1, MATCH(MIN(E195:K195), E195:K195, 0))&amp;CHAR(10)&amp;"📉 考察能力: "&amp;IFERROR(VLOOKUP(TRIM(D195)&amp;"_"&amp;TRIM(INDEX($E$1:$K$1, MATCH(MIN(E195:K195), E195:K195, 0))), 技能库!$A:$F, 5, 0),"建议查阅考纲")&amp;CHAR(10)&amp;"💡 提升建议: "&amp;IFERROR(VLOOKUP(TRIM(D195)&amp;"_"&amp;TRIM(INDEX($E$1:$K$1, MATCH(MIN(E195:K195), E195:K195, 0))), 技能库!$A:$F, 6, 0),"请针对该题型加强练习"))</f>
        <v/>
      </c>
      <c r="AB195" s="5" t="str">
        <f>IF(P195="","", "⚠️ 薄弱环节: "&amp;INDEX($N$1:$O$1, MATCH(MIN(N195:O195), N195:O195, 0))&amp;CHAR(10)&amp;"📉 考察能力: "&amp;IFERROR(VLOOKUP(TRIM(D195)&amp;"_"&amp;TRIM(INDEX($N$1:$O$1, MATCH(MIN(N195:O195), N195:O195, 0))), 技能库!$A:$F, 5, 0),"建议查阅考纲")&amp;CHAR(10)&amp;"💡 提升建议: "&amp;IFERROR(VLOOKUP(TRIM(D195)&amp;"_"&amp;TRIM(INDEX($N$1:$O$1, MATCH(MIN(N195:O195), N195:O195, 0))), 技能库!$A:$F, 6, 0),"请针对该题型加强练习"))</f>
        <v/>
      </c>
      <c r="AC195" s="5" t="str">
        <f>IF(W195="","", "⚠️ 薄弱环节: "&amp;INDEX($R$1:$V$1, MATCH(MIN(R195:V195), R195:V195, 0))&amp;CHAR(10)&amp;"📉 考察能力: "&amp;IFERROR(VLOOKUP(TRIM(D195)&amp;"_"&amp;TRIM(INDEX($R$1:$V$1, MATCH(MIN(R195:V195), R195:V195, 0))), 技能库!$A:$F, 5, 0),"建议查阅考纲")&amp;CHAR(10)&amp;"💡 提升建议: "&amp;IFERROR(VLOOKUP(TRIM(D195)&amp;"_"&amp;TRIM(INDEX($R$1:$V$1, MATCH(MIN(R195:V195), R195:V195, 0))), 技能库!$A:$F, 6, 0),"请针对该题型加强练习"))</f>
        <v/>
      </c>
    </row>
    <row r="196" spans="12:29" ht="16" hidden="1" x14ac:dyDescent="0.2">
      <c r="L196" t="str">
        <f t="shared" si="12"/>
        <v/>
      </c>
      <c r="M196" t="str">
        <f>IF(L196="","", IFERROR(VLOOKUP(L196, IF(D196="KET", 换算标准!$M:$N, IF(D196="PET", 换算标准!$S:$T, 换算标准!$AC:$AD)), 2, TRUE), 0))</f>
        <v/>
      </c>
      <c r="P196" t="str">
        <f t="shared" si="13"/>
        <v/>
      </c>
      <c r="Q196" t="str">
        <f>IF(P196="","", IFERROR(VLOOKUP(P196, IF(D196="KET", 换算标准!$O:$P, IF(D196="PET", 换算标准!$U:$V, 换算标准!$AG:$AH)), 2, TRUE), 0))</f>
        <v/>
      </c>
      <c r="W196" t="str">
        <f t="shared" si="14"/>
        <v/>
      </c>
      <c r="X196" t="str">
        <f>IF(W196="","", IFERROR(VLOOKUP(W196, IF(D196="KET", 换算标准!$Q:$R, IF(D196="PET", 换算标准!$W:$X, 换算标准!$AI:$AJ)), 2, TRUE), 0))</f>
        <v/>
      </c>
      <c r="Y196" t="str">
        <f t="shared" si="15"/>
        <v/>
      </c>
      <c r="Z196" t="str">
        <f>IF(Y196="","", IFERROR(VLOOKUP(Y196, 换算标准!$Z:$AA, 1, TRUE), ""))</f>
        <v/>
      </c>
      <c r="AA196" s="5" t="str">
        <f>IF(L196="","", "⚠️ 薄弱环节: "&amp;INDEX($E$1:$K$1, MATCH(MIN(E196:K196), E196:K196, 0))&amp;CHAR(10)&amp;"📉 考察能力: "&amp;IFERROR(VLOOKUP(TRIM(D196)&amp;"_"&amp;TRIM(INDEX($E$1:$K$1, MATCH(MIN(E196:K196), E196:K196, 0))), 技能库!$A:$F, 5, 0),"建议查阅考纲")&amp;CHAR(10)&amp;"💡 提升建议: "&amp;IFERROR(VLOOKUP(TRIM(D196)&amp;"_"&amp;TRIM(INDEX($E$1:$K$1, MATCH(MIN(E196:K196), E196:K196, 0))), 技能库!$A:$F, 6, 0),"请针对该题型加强练习"))</f>
        <v/>
      </c>
      <c r="AB196" s="5" t="str">
        <f>IF(P196="","", "⚠️ 薄弱环节: "&amp;INDEX($N$1:$O$1, MATCH(MIN(N196:O196), N196:O196, 0))&amp;CHAR(10)&amp;"📉 考察能力: "&amp;IFERROR(VLOOKUP(TRIM(D196)&amp;"_"&amp;TRIM(INDEX($N$1:$O$1, MATCH(MIN(N196:O196), N196:O196, 0))), 技能库!$A:$F, 5, 0),"建议查阅考纲")&amp;CHAR(10)&amp;"💡 提升建议: "&amp;IFERROR(VLOOKUP(TRIM(D196)&amp;"_"&amp;TRIM(INDEX($N$1:$O$1, MATCH(MIN(N196:O196), N196:O196, 0))), 技能库!$A:$F, 6, 0),"请针对该题型加强练习"))</f>
        <v/>
      </c>
      <c r="AC196" s="5" t="str">
        <f>IF(W196="","", "⚠️ 薄弱环节: "&amp;INDEX($R$1:$V$1, MATCH(MIN(R196:V196), R196:V196, 0))&amp;CHAR(10)&amp;"📉 考察能力: "&amp;IFERROR(VLOOKUP(TRIM(D196)&amp;"_"&amp;TRIM(INDEX($R$1:$V$1, MATCH(MIN(R196:V196), R196:V196, 0))), 技能库!$A:$F, 5, 0),"建议查阅考纲")&amp;CHAR(10)&amp;"💡 提升建议: "&amp;IFERROR(VLOOKUP(TRIM(D196)&amp;"_"&amp;TRIM(INDEX($R$1:$V$1, MATCH(MIN(R196:V196), R196:V196, 0))), 技能库!$A:$F, 6, 0),"请针对该题型加强练习"))</f>
        <v/>
      </c>
    </row>
    <row r="197" spans="12:29" ht="16" hidden="1" x14ac:dyDescent="0.2">
      <c r="L197" t="str">
        <f t="shared" si="12"/>
        <v/>
      </c>
      <c r="M197" t="str">
        <f>IF(L197="","", IFERROR(VLOOKUP(L197, IF(D197="KET", 换算标准!$M:$N, IF(D197="PET", 换算标准!$S:$T, 换算标准!$AC:$AD)), 2, TRUE), 0))</f>
        <v/>
      </c>
      <c r="P197" t="str">
        <f t="shared" si="13"/>
        <v/>
      </c>
      <c r="Q197" t="str">
        <f>IF(P197="","", IFERROR(VLOOKUP(P197, IF(D197="KET", 换算标准!$O:$P, IF(D197="PET", 换算标准!$U:$V, 换算标准!$AG:$AH)), 2, TRUE), 0))</f>
        <v/>
      </c>
      <c r="W197" t="str">
        <f t="shared" si="14"/>
        <v/>
      </c>
      <c r="X197" t="str">
        <f>IF(W197="","", IFERROR(VLOOKUP(W197, IF(D197="KET", 换算标准!$Q:$R, IF(D197="PET", 换算标准!$W:$X, 换算标准!$AI:$AJ)), 2, TRUE), 0))</f>
        <v/>
      </c>
      <c r="Y197" t="str">
        <f t="shared" si="15"/>
        <v/>
      </c>
      <c r="Z197" t="str">
        <f>IF(Y197="","", IFERROR(VLOOKUP(Y197, 换算标准!$Z:$AA, 1, TRUE), ""))</f>
        <v/>
      </c>
      <c r="AA197" s="5" t="str">
        <f>IF(L197="","", "⚠️ 薄弱环节: "&amp;INDEX($E$1:$K$1, MATCH(MIN(E197:K197), E197:K197, 0))&amp;CHAR(10)&amp;"📉 考察能力: "&amp;IFERROR(VLOOKUP(TRIM(D197)&amp;"_"&amp;TRIM(INDEX($E$1:$K$1, MATCH(MIN(E197:K197), E197:K197, 0))), 技能库!$A:$F, 5, 0),"建议查阅考纲")&amp;CHAR(10)&amp;"💡 提升建议: "&amp;IFERROR(VLOOKUP(TRIM(D197)&amp;"_"&amp;TRIM(INDEX($E$1:$K$1, MATCH(MIN(E197:K197), E197:K197, 0))), 技能库!$A:$F, 6, 0),"请针对该题型加强练习"))</f>
        <v/>
      </c>
      <c r="AB197" s="5" t="str">
        <f>IF(P197="","", "⚠️ 薄弱环节: "&amp;INDEX($N$1:$O$1, MATCH(MIN(N197:O197), N197:O197, 0))&amp;CHAR(10)&amp;"📉 考察能力: "&amp;IFERROR(VLOOKUP(TRIM(D197)&amp;"_"&amp;TRIM(INDEX($N$1:$O$1, MATCH(MIN(N197:O197), N197:O197, 0))), 技能库!$A:$F, 5, 0),"建议查阅考纲")&amp;CHAR(10)&amp;"💡 提升建议: "&amp;IFERROR(VLOOKUP(TRIM(D197)&amp;"_"&amp;TRIM(INDEX($N$1:$O$1, MATCH(MIN(N197:O197), N197:O197, 0))), 技能库!$A:$F, 6, 0),"请针对该题型加强练习"))</f>
        <v/>
      </c>
      <c r="AC197" s="5" t="str">
        <f>IF(W197="","", "⚠️ 薄弱环节: "&amp;INDEX($R$1:$V$1, MATCH(MIN(R197:V197), R197:V197, 0))&amp;CHAR(10)&amp;"📉 考察能力: "&amp;IFERROR(VLOOKUP(TRIM(D197)&amp;"_"&amp;TRIM(INDEX($R$1:$V$1, MATCH(MIN(R197:V197), R197:V197, 0))), 技能库!$A:$F, 5, 0),"建议查阅考纲")&amp;CHAR(10)&amp;"💡 提升建议: "&amp;IFERROR(VLOOKUP(TRIM(D197)&amp;"_"&amp;TRIM(INDEX($R$1:$V$1, MATCH(MIN(R197:V197), R197:V197, 0))), 技能库!$A:$F, 6, 0),"请针对该题型加强练习"))</f>
        <v/>
      </c>
    </row>
    <row r="198" spans="12:29" ht="16" hidden="1" x14ac:dyDescent="0.2">
      <c r="L198" t="str">
        <f t="shared" si="12"/>
        <v/>
      </c>
      <c r="M198" t="str">
        <f>IF(L198="","", IFERROR(VLOOKUP(L198, IF(D198="KET", 换算标准!$M:$N, IF(D198="PET", 换算标准!$S:$T, 换算标准!$AC:$AD)), 2, TRUE), 0))</f>
        <v/>
      </c>
      <c r="P198" t="str">
        <f t="shared" si="13"/>
        <v/>
      </c>
      <c r="Q198" t="str">
        <f>IF(P198="","", IFERROR(VLOOKUP(P198, IF(D198="KET", 换算标准!$O:$P, IF(D198="PET", 换算标准!$U:$V, 换算标准!$AG:$AH)), 2, TRUE), 0))</f>
        <v/>
      </c>
      <c r="W198" t="str">
        <f t="shared" si="14"/>
        <v/>
      </c>
      <c r="X198" t="str">
        <f>IF(W198="","", IFERROR(VLOOKUP(W198, IF(D198="KET", 换算标准!$Q:$R, IF(D198="PET", 换算标准!$W:$X, 换算标准!$AI:$AJ)), 2, TRUE), 0))</f>
        <v/>
      </c>
      <c r="Y198" t="str">
        <f t="shared" si="15"/>
        <v/>
      </c>
      <c r="Z198" t="str">
        <f>IF(Y198="","", IFERROR(VLOOKUP(Y198, 换算标准!$Z:$AA, 1, TRUE), ""))</f>
        <v/>
      </c>
      <c r="AA198" s="5" t="str">
        <f>IF(L198="","", "⚠️ 薄弱环节: "&amp;INDEX($E$1:$K$1, MATCH(MIN(E198:K198), E198:K198, 0))&amp;CHAR(10)&amp;"📉 考察能力: "&amp;IFERROR(VLOOKUP(TRIM(D198)&amp;"_"&amp;TRIM(INDEX($E$1:$K$1, MATCH(MIN(E198:K198), E198:K198, 0))), 技能库!$A:$F, 5, 0),"建议查阅考纲")&amp;CHAR(10)&amp;"💡 提升建议: "&amp;IFERROR(VLOOKUP(TRIM(D198)&amp;"_"&amp;TRIM(INDEX($E$1:$K$1, MATCH(MIN(E198:K198), E198:K198, 0))), 技能库!$A:$F, 6, 0),"请针对该题型加强练习"))</f>
        <v/>
      </c>
      <c r="AB198" s="5" t="str">
        <f>IF(P198="","", "⚠️ 薄弱环节: "&amp;INDEX($N$1:$O$1, MATCH(MIN(N198:O198), N198:O198, 0))&amp;CHAR(10)&amp;"📉 考察能力: "&amp;IFERROR(VLOOKUP(TRIM(D198)&amp;"_"&amp;TRIM(INDEX($N$1:$O$1, MATCH(MIN(N198:O198), N198:O198, 0))), 技能库!$A:$F, 5, 0),"建议查阅考纲")&amp;CHAR(10)&amp;"💡 提升建议: "&amp;IFERROR(VLOOKUP(TRIM(D198)&amp;"_"&amp;TRIM(INDEX($N$1:$O$1, MATCH(MIN(N198:O198), N198:O198, 0))), 技能库!$A:$F, 6, 0),"请针对该题型加强练习"))</f>
        <v/>
      </c>
      <c r="AC198" s="5" t="str">
        <f>IF(W198="","", "⚠️ 薄弱环节: "&amp;INDEX($R$1:$V$1, MATCH(MIN(R198:V198), R198:V198, 0))&amp;CHAR(10)&amp;"📉 考察能力: "&amp;IFERROR(VLOOKUP(TRIM(D198)&amp;"_"&amp;TRIM(INDEX($R$1:$V$1, MATCH(MIN(R198:V198), R198:V198, 0))), 技能库!$A:$F, 5, 0),"建议查阅考纲")&amp;CHAR(10)&amp;"💡 提升建议: "&amp;IFERROR(VLOOKUP(TRIM(D198)&amp;"_"&amp;TRIM(INDEX($R$1:$V$1, MATCH(MIN(R198:V198), R198:V198, 0))), 技能库!$A:$F, 6, 0),"请针对该题型加强练习"))</f>
        <v/>
      </c>
    </row>
    <row r="199" spans="12:29" ht="16" hidden="1" x14ac:dyDescent="0.2">
      <c r="L199" t="str">
        <f t="shared" si="12"/>
        <v/>
      </c>
      <c r="M199" t="str">
        <f>IF(L199="","", IFERROR(VLOOKUP(L199, IF(D199="KET", 换算标准!$M:$N, IF(D199="PET", 换算标准!$S:$T, 换算标准!$AC:$AD)), 2, TRUE), 0))</f>
        <v/>
      </c>
      <c r="P199" t="str">
        <f t="shared" si="13"/>
        <v/>
      </c>
      <c r="Q199" t="str">
        <f>IF(P199="","", IFERROR(VLOOKUP(P199, IF(D199="KET", 换算标准!$O:$P, IF(D199="PET", 换算标准!$U:$V, 换算标准!$AG:$AH)), 2, TRUE), 0))</f>
        <v/>
      </c>
      <c r="W199" t="str">
        <f t="shared" si="14"/>
        <v/>
      </c>
      <c r="X199" t="str">
        <f>IF(W199="","", IFERROR(VLOOKUP(W199, IF(D199="KET", 换算标准!$Q:$R, IF(D199="PET", 换算标准!$W:$X, 换算标准!$AI:$AJ)), 2, TRUE), 0))</f>
        <v/>
      </c>
      <c r="Y199" t="str">
        <f t="shared" si="15"/>
        <v/>
      </c>
      <c r="Z199" t="str">
        <f>IF(Y199="","", IFERROR(VLOOKUP(Y199, 换算标准!$Z:$AA, 1, TRUE), ""))</f>
        <v/>
      </c>
      <c r="AA199" s="5" t="str">
        <f>IF(L199="","", "⚠️ 薄弱环节: "&amp;INDEX($E$1:$K$1, MATCH(MIN(E199:K199), E199:K199, 0))&amp;CHAR(10)&amp;"📉 考察能力: "&amp;IFERROR(VLOOKUP(TRIM(D199)&amp;"_"&amp;TRIM(INDEX($E$1:$K$1, MATCH(MIN(E199:K199), E199:K199, 0))), 技能库!$A:$F, 5, 0),"建议查阅考纲")&amp;CHAR(10)&amp;"💡 提升建议: "&amp;IFERROR(VLOOKUP(TRIM(D199)&amp;"_"&amp;TRIM(INDEX($E$1:$K$1, MATCH(MIN(E199:K199), E199:K199, 0))), 技能库!$A:$F, 6, 0),"请针对该题型加强练习"))</f>
        <v/>
      </c>
      <c r="AB199" s="5" t="str">
        <f>IF(P199="","", "⚠️ 薄弱环节: "&amp;INDEX($N$1:$O$1, MATCH(MIN(N199:O199), N199:O199, 0))&amp;CHAR(10)&amp;"📉 考察能力: "&amp;IFERROR(VLOOKUP(TRIM(D199)&amp;"_"&amp;TRIM(INDEX($N$1:$O$1, MATCH(MIN(N199:O199), N199:O199, 0))), 技能库!$A:$F, 5, 0),"建议查阅考纲")&amp;CHAR(10)&amp;"💡 提升建议: "&amp;IFERROR(VLOOKUP(TRIM(D199)&amp;"_"&amp;TRIM(INDEX($N$1:$O$1, MATCH(MIN(N199:O199), N199:O199, 0))), 技能库!$A:$F, 6, 0),"请针对该题型加强练习"))</f>
        <v/>
      </c>
      <c r="AC199" s="5" t="str">
        <f>IF(W199="","", "⚠️ 薄弱环节: "&amp;INDEX($R$1:$V$1, MATCH(MIN(R199:V199), R199:V199, 0))&amp;CHAR(10)&amp;"📉 考察能力: "&amp;IFERROR(VLOOKUP(TRIM(D199)&amp;"_"&amp;TRIM(INDEX($R$1:$V$1, MATCH(MIN(R199:V199), R199:V199, 0))), 技能库!$A:$F, 5, 0),"建议查阅考纲")&amp;CHAR(10)&amp;"💡 提升建议: "&amp;IFERROR(VLOOKUP(TRIM(D199)&amp;"_"&amp;TRIM(INDEX($R$1:$V$1, MATCH(MIN(R199:V199), R199:V199, 0))), 技能库!$A:$F, 6, 0),"请针对该题型加强练习"))</f>
        <v/>
      </c>
    </row>
    <row r="200" spans="12:29" ht="16" hidden="1" x14ac:dyDescent="0.2">
      <c r="L200" t="str">
        <f t="shared" si="12"/>
        <v/>
      </c>
      <c r="M200" t="str">
        <f>IF(L200="","", IFERROR(VLOOKUP(L200, IF(D200="KET", 换算标准!$M:$N, IF(D200="PET", 换算标准!$S:$T, 换算标准!$AC:$AD)), 2, TRUE), 0))</f>
        <v/>
      </c>
      <c r="P200" t="str">
        <f t="shared" si="13"/>
        <v/>
      </c>
      <c r="Q200" t="str">
        <f>IF(P200="","", IFERROR(VLOOKUP(P200, IF(D200="KET", 换算标准!$O:$P, IF(D200="PET", 换算标准!$U:$V, 换算标准!$AG:$AH)), 2, TRUE), 0))</f>
        <v/>
      </c>
      <c r="W200" t="str">
        <f t="shared" si="14"/>
        <v/>
      </c>
      <c r="X200" t="str">
        <f>IF(W200="","", IFERROR(VLOOKUP(W200, IF(D200="KET", 换算标准!$Q:$R, IF(D200="PET", 换算标准!$W:$X, 换算标准!$AI:$AJ)), 2, TRUE), 0))</f>
        <v/>
      </c>
      <c r="Y200" t="str">
        <f t="shared" si="15"/>
        <v/>
      </c>
      <c r="Z200" t="str">
        <f>IF(Y200="","", IFERROR(VLOOKUP(Y200, 换算标准!$Z:$AA, 1, TRUE), ""))</f>
        <v/>
      </c>
      <c r="AA200" s="5" t="str">
        <f>IF(L200="","", "⚠️ 薄弱环节: "&amp;INDEX($E$1:$K$1, MATCH(MIN(E200:K200), E200:K200, 0))&amp;CHAR(10)&amp;"📉 考察能力: "&amp;IFERROR(VLOOKUP(TRIM(D200)&amp;"_"&amp;TRIM(INDEX($E$1:$K$1, MATCH(MIN(E200:K200), E200:K200, 0))), 技能库!$A:$F, 5, 0),"建议查阅考纲")&amp;CHAR(10)&amp;"💡 提升建议: "&amp;IFERROR(VLOOKUP(TRIM(D200)&amp;"_"&amp;TRIM(INDEX($E$1:$K$1, MATCH(MIN(E200:K200), E200:K200, 0))), 技能库!$A:$F, 6, 0),"请针对该题型加强练习"))</f>
        <v/>
      </c>
      <c r="AB200" s="5" t="str">
        <f>IF(P200="","", "⚠️ 薄弱环节: "&amp;INDEX($N$1:$O$1, MATCH(MIN(N200:O200), N200:O200, 0))&amp;CHAR(10)&amp;"📉 考察能力: "&amp;IFERROR(VLOOKUP(TRIM(D200)&amp;"_"&amp;TRIM(INDEX($N$1:$O$1, MATCH(MIN(N200:O200), N200:O200, 0))), 技能库!$A:$F, 5, 0),"建议查阅考纲")&amp;CHAR(10)&amp;"💡 提升建议: "&amp;IFERROR(VLOOKUP(TRIM(D200)&amp;"_"&amp;TRIM(INDEX($N$1:$O$1, MATCH(MIN(N200:O200), N200:O200, 0))), 技能库!$A:$F, 6, 0),"请针对该题型加强练习"))</f>
        <v/>
      </c>
      <c r="AC200" s="5" t="str">
        <f>IF(W200="","", "⚠️ 薄弱环节: "&amp;INDEX($R$1:$V$1, MATCH(MIN(R200:V200), R200:V200, 0))&amp;CHAR(10)&amp;"📉 考察能力: "&amp;IFERROR(VLOOKUP(TRIM(D200)&amp;"_"&amp;TRIM(INDEX($R$1:$V$1, MATCH(MIN(R200:V200), R200:V200, 0))), 技能库!$A:$F, 5, 0),"建议查阅考纲")&amp;CHAR(10)&amp;"💡 提升建议: "&amp;IFERROR(VLOOKUP(TRIM(D200)&amp;"_"&amp;TRIM(INDEX($R$1:$V$1, MATCH(MIN(R200:V200), R200:V200, 0))), 技能库!$A:$F, 6, 0),"请针对该题型加强练习"))</f>
        <v/>
      </c>
    </row>
    <row r="201" spans="12:29" ht="16" hidden="1" x14ac:dyDescent="0.2">
      <c r="L201" t="str">
        <f t="shared" si="12"/>
        <v/>
      </c>
      <c r="M201" t="str">
        <f>IF(L201="","", IFERROR(VLOOKUP(L201, IF(D201="KET", 换算标准!$M:$N, IF(D201="PET", 换算标准!$S:$T, 换算标准!$AC:$AD)), 2, TRUE), 0))</f>
        <v/>
      </c>
      <c r="P201" t="str">
        <f t="shared" si="13"/>
        <v/>
      </c>
      <c r="Q201" t="str">
        <f>IF(P201="","", IFERROR(VLOOKUP(P201, IF(D201="KET", 换算标准!$O:$P, IF(D201="PET", 换算标准!$U:$V, 换算标准!$AG:$AH)), 2, TRUE), 0))</f>
        <v/>
      </c>
      <c r="W201" t="str">
        <f t="shared" si="14"/>
        <v/>
      </c>
      <c r="X201" t="str">
        <f>IF(W201="","", IFERROR(VLOOKUP(W201, IF(D201="KET", 换算标准!$Q:$R, IF(D201="PET", 换算标准!$W:$X, 换算标准!$AI:$AJ)), 2, TRUE), 0))</f>
        <v/>
      </c>
      <c r="Y201" t="str">
        <f t="shared" si="15"/>
        <v/>
      </c>
      <c r="Z201" t="str">
        <f>IF(Y201="","", IFERROR(VLOOKUP(Y201, 换算标准!$Z:$AA, 1, TRUE), ""))</f>
        <v/>
      </c>
      <c r="AA201" s="5" t="str">
        <f>IF(L201="","", "⚠️ 薄弱环节: "&amp;INDEX($E$1:$K$1, MATCH(MIN(E201:K201), E201:K201, 0))&amp;CHAR(10)&amp;"📉 考察能力: "&amp;IFERROR(VLOOKUP(TRIM(D201)&amp;"_"&amp;TRIM(INDEX($E$1:$K$1, MATCH(MIN(E201:K201), E201:K201, 0))), 技能库!$A:$F, 5, 0),"建议查阅考纲")&amp;CHAR(10)&amp;"💡 提升建议: "&amp;IFERROR(VLOOKUP(TRIM(D201)&amp;"_"&amp;TRIM(INDEX($E$1:$K$1, MATCH(MIN(E201:K201), E201:K201, 0))), 技能库!$A:$F, 6, 0),"请针对该题型加强练习"))</f>
        <v/>
      </c>
      <c r="AB201" s="5" t="str">
        <f>IF(P201="","", "⚠️ 薄弱环节: "&amp;INDEX($N$1:$O$1, MATCH(MIN(N201:O201), N201:O201, 0))&amp;CHAR(10)&amp;"📉 考察能力: "&amp;IFERROR(VLOOKUP(TRIM(D201)&amp;"_"&amp;TRIM(INDEX($N$1:$O$1, MATCH(MIN(N201:O201), N201:O201, 0))), 技能库!$A:$F, 5, 0),"建议查阅考纲")&amp;CHAR(10)&amp;"💡 提升建议: "&amp;IFERROR(VLOOKUP(TRIM(D201)&amp;"_"&amp;TRIM(INDEX($N$1:$O$1, MATCH(MIN(N201:O201), N201:O201, 0))), 技能库!$A:$F, 6, 0),"请针对该题型加强练习"))</f>
        <v/>
      </c>
      <c r="AC201" s="5" t="str">
        <f>IF(W201="","", "⚠️ 薄弱环节: "&amp;INDEX($R$1:$V$1, MATCH(MIN(R201:V201), R201:V201, 0))&amp;CHAR(10)&amp;"📉 考察能力: "&amp;IFERROR(VLOOKUP(TRIM(D201)&amp;"_"&amp;TRIM(INDEX($R$1:$V$1, MATCH(MIN(R201:V201), R201:V201, 0))), 技能库!$A:$F, 5, 0),"建议查阅考纲")&amp;CHAR(10)&amp;"💡 提升建议: "&amp;IFERROR(VLOOKUP(TRIM(D201)&amp;"_"&amp;TRIM(INDEX($R$1:$V$1, MATCH(MIN(R201:V201), R201:V201, 0))), 技能库!$A:$F, 6, 0),"请针对该题型加强练习"))</f>
        <v/>
      </c>
    </row>
    <row r="202" spans="12:29" ht="16" hidden="1" x14ac:dyDescent="0.2">
      <c r="L202" t="str">
        <f t="shared" si="12"/>
        <v/>
      </c>
      <c r="M202" t="str">
        <f>IF(L202="","", IFERROR(VLOOKUP(L202, IF(D202="KET", 换算标准!$M:$N, IF(D202="PET", 换算标准!$S:$T, 换算标准!$AC:$AD)), 2, TRUE), 0))</f>
        <v/>
      </c>
      <c r="P202" t="str">
        <f t="shared" si="13"/>
        <v/>
      </c>
      <c r="Q202" t="str">
        <f>IF(P202="","", IFERROR(VLOOKUP(P202, IF(D202="KET", 换算标准!$O:$P, IF(D202="PET", 换算标准!$U:$V, 换算标准!$AG:$AH)), 2, TRUE), 0))</f>
        <v/>
      </c>
      <c r="W202" t="str">
        <f t="shared" si="14"/>
        <v/>
      </c>
      <c r="X202" t="str">
        <f>IF(W202="","", IFERROR(VLOOKUP(W202, IF(D202="KET", 换算标准!$Q:$R, IF(D202="PET", 换算标准!$W:$X, 换算标准!$AI:$AJ)), 2, TRUE), 0))</f>
        <v/>
      </c>
      <c r="Y202" t="str">
        <f t="shared" si="15"/>
        <v/>
      </c>
      <c r="Z202" t="str">
        <f>IF(Y202="","", IFERROR(VLOOKUP(Y202, 换算标准!$Z:$AA, 1, TRUE), ""))</f>
        <v/>
      </c>
      <c r="AA202" s="5" t="str">
        <f>IF(L202="","", "⚠️ 薄弱环节: "&amp;INDEX($E$1:$K$1, MATCH(MIN(E202:K202), E202:K202, 0))&amp;CHAR(10)&amp;"📉 考察能力: "&amp;IFERROR(VLOOKUP(TRIM(D202)&amp;"_"&amp;TRIM(INDEX($E$1:$K$1, MATCH(MIN(E202:K202), E202:K202, 0))), 技能库!$A:$F, 5, 0),"建议查阅考纲")&amp;CHAR(10)&amp;"💡 提升建议: "&amp;IFERROR(VLOOKUP(TRIM(D202)&amp;"_"&amp;TRIM(INDEX($E$1:$K$1, MATCH(MIN(E202:K202), E202:K202, 0))), 技能库!$A:$F, 6, 0),"请针对该题型加强练习"))</f>
        <v/>
      </c>
      <c r="AB202" s="5" t="str">
        <f>IF(P202="","", "⚠️ 薄弱环节: "&amp;INDEX($N$1:$O$1, MATCH(MIN(N202:O202), N202:O202, 0))&amp;CHAR(10)&amp;"📉 考察能力: "&amp;IFERROR(VLOOKUP(TRIM(D202)&amp;"_"&amp;TRIM(INDEX($N$1:$O$1, MATCH(MIN(N202:O202), N202:O202, 0))), 技能库!$A:$F, 5, 0),"建议查阅考纲")&amp;CHAR(10)&amp;"💡 提升建议: "&amp;IFERROR(VLOOKUP(TRIM(D202)&amp;"_"&amp;TRIM(INDEX($N$1:$O$1, MATCH(MIN(N202:O202), N202:O202, 0))), 技能库!$A:$F, 6, 0),"请针对该题型加强练习"))</f>
        <v/>
      </c>
      <c r="AC202" s="5" t="str">
        <f>IF(W202="","", "⚠️ 薄弱环节: "&amp;INDEX($R$1:$V$1, MATCH(MIN(R202:V202), R202:V202, 0))&amp;CHAR(10)&amp;"📉 考察能力: "&amp;IFERROR(VLOOKUP(TRIM(D202)&amp;"_"&amp;TRIM(INDEX($R$1:$V$1, MATCH(MIN(R202:V202), R202:V202, 0))), 技能库!$A:$F, 5, 0),"建议查阅考纲")&amp;CHAR(10)&amp;"💡 提升建议: "&amp;IFERROR(VLOOKUP(TRIM(D202)&amp;"_"&amp;TRIM(INDEX($R$1:$V$1, MATCH(MIN(R202:V202), R202:V202, 0))), 技能库!$A:$F, 6, 0),"请针对该题型加强练习"))</f>
        <v/>
      </c>
    </row>
    <row r="203" spans="12:29" ht="16" hidden="1" x14ac:dyDescent="0.2">
      <c r="L203" t="str">
        <f t="shared" si="12"/>
        <v/>
      </c>
      <c r="M203" t="str">
        <f>IF(L203="","", IFERROR(VLOOKUP(L203, IF(D203="KET", 换算标准!$M:$N, IF(D203="PET", 换算标准!$S:$T, 换算标准!$AC:$AD)), 2, TRUE), 0))</f>
        <v/>
      </c>
      <c r="P203" t="str">
        <f t="shared" si="13"/>
        <v/>
      </c>
      <c r="Q203" t="str">
        <f>IF(P203="","", IFERROR(VLOOKUP(P203, IF(D203="KET", 换算标准!$O:$P, IF(D203="PET", 换算标准!$U:$V, 换算标准!$AG:$AH)), 2, TRUE), 0))</f>
        <v/>
      </c>
      <c r="W203" t="str">
        <f t="shared" si="14"/>
        <v/>
      </c>
      <c r="X203" t="str">
        <f>IF(W203="","", IFERROR(VLOOKUP(W203, IF(D203="KET", 换算标准!$Q:$R, IF(D203="PET", 换算标准!$W:$X, 换算标准!$AI:$AJ)), 2, TRUE), 0))</f>
        <v/>
      </c>
      <c r="Y203" t="str">
        <f t="shared" si="15"/>
        <v/>
      </c>
      <c r="Z203" t="str">
        <f>IF(Y203="","", IFERROR(VLOOKUP(Y203, 换算标准!$Z:$AA, 1, TRUE), ""))</f>
        <v/>
      </c>
      <c r="AA203" s="5" t="str">
        <f>IF(L203="","", "⚠️ 薄弱环节: "&amp;INDEX($E$1:$K$1, MATCH(MIN(E203:K203), E203:K203, 0))&amp;CHAR(10)&amp;"📉 考察能力: "&amp;IFERROR(VLOOKUP(TRIM(D203)&amp;"_"&amp;TRIM(INDEX($E$1:$K$1, MATCH(MIN(E203:K203), E203:K203, 0))), 技能库!$A:$F, 5, 0),"建议查阅考纲")&amp;CHAR(10)&amp;"💡 提升建议: "&amp;IFERROR(VLOOKUP(TRIM(D203)&amp;"_"&amp;TRIM(INDEX($E$1:$K$1, MATCH(MIN(E203:K203), E203:K203, 0))), 技能库!$A:$F, 6, 0),"请针对该题型加强练习"))</f>
        <v/>
      </c>
      <c r="AB203" s="5" t="str">
        <f>IF(P203="","", "⚠️ 薄弱环节: "&amp;INDEX($N$1:$O$1, MATCH(MIN(N203:O203), N203:O203, 0))&amp;CHAR(10)&amp;"📉 考察能力: "&amp;IFERROR(VLOOKUP(TRIM(D203)&amp;"_"&amp;TRIM(INDEX($N$1:$O$1, MATCH(MIN(N203:O203), N203:O203, 0))), 技能库!$A:$F, 5, 0),"建议查阅考纲")&amp;CHAR(10)&amp;"💡 提升建议: "&amp;IFERROR(VLOOKUP(TRIM(D203)&amp;"_"&amp;TRIM(INDEX($N$1:$O$1, MATCH(MIN(N203:O203), N203:O203, 0))), 技能库!$A:$F, 6, 0),"请针对该题型加强练习"))</f>
        <v/>
      </c>
      <c r="AC203" s="5" t="str">
        <f>IF(W203="","", "⚠️ 薄弱环节: "&amp;INDEX($R$1:$V$1, MATCH(MIN(R203:V203), R203:V203, 0))&amp;CHAR(10)&amp;"📉 考察能力: "&amp;IFERROR(VLOOKUP(TRIM(D203)&amp;"_"&amp;TRIM(INDEX($R$1:$V$1, MATCH(MIN(R203:V203), R203:V203, 0))), 技能库!$A:$F, 5, 0),"建议查阅考纲")&amp;CHAR(10)&amp;"💡 提升建议: "&amp;IFERROR(VLOOKUP(TRIM(D203)&amp;"_"&amp;TRIM(INDEX($R$1:$V$1, MATCH(MIN(R203:V203), R203:V203, 0))), 技能库!$A:$F, 6, 0),"请针对该题型加强练习"))</f>
        <v/>
      </c>
    </row>
    <row r="204" spans="12:29" ht="16" hidden="1" x14ac:dyDescent="0.2">
      <c r="L204" t="str">
        <f t="shared" si="12"/>
        <v/>
      </c>
      <c r="M204" t="str">
        <f>IF(L204="","", IFERROR(VLOOKUP(L204, IF(D204="KET", 换算标准!$M:$N, IF(D204="PET", 换算标准!$S:$T, 换算标准!$AC:$AD)), 2, TRUE), 0))</f>
        <v/>
      </c>
      <c r="P204" t="str">
        <f t="shared" si="13"/>
        <v/>
      </c>
      <c r="Q204" t="str">
        <f>IF(P204="","", IFERROR(VLOOKUP(P204, IF(D204="KET", 换算标准!$O:$P, IF(D204="PET", 换算标准!$U:$V, 换算标准!$AG:$AH)), 2, TRUE), 0))</f>
        <v/>
      </c>
      <c r="W204" t="str">
        <f t="shared" si="14"/>
        <v/>
      </c>
      <c r="X204" t="str">
        <f>IF(W204="","", IFERROR(VLOOKUP(W204, IF(D204="KET", 换算标准!$Q:$R, IF(D204="PET", 换算标准!$W:$X, 换算标准!$AI:$AJ)), 2, TRUE), 0))</f>
        <v/>
      </c>
      <c r="Y204" t="str">
        <f t="shared" si="15"/>
        <v/>
      </c>
      <c r="Z204" t="str">
        <f>IF(Y204="","", IFERROR(VLOOKUP(Y204, 换算标准!$Z:$AA, 1, TRUE), ""))</f>
        <v/>
      </c>
      <c r="AA204" s="5" t="str">
        <f>IF(L204="","", "⚠️ 薄弱环节: "&amp;INDEX($E$1:$K$1, MATCH(MIN(E204:K204), E204:K204, 0))&amp;CHAR(10)&amp;"📉 考察能力: "&amp;IFERROR(VLOOKUP(TRIM(D204)&amp;"_"&amp;TRIM(INDEX($E$1:$K$1, MATCH(MIN(E204:K204), E204:K204, 0))), 技能库!$A:$F, 5, 0),"建议查阅考纲")&amp;CHAR(10)&amp;"💡 提升建议: "&amp;IFERROR(VLOOKUP(TRIM(D204)&amp;"_"&amp;TRIM(INDEX($E$1:$K$1, MATCH(MIN(E204:K204), E204:K204, 0))), 技能库!$A:$F, 6, 0),"请针对该题型加强练习"))</f>
        <v/>
      </c>
      <c r="AB204" s="5" t="str">
        <f>IF(P204="","", "⚠️ 薄弱环节: "&amp;INDEX($N$1:$O$1, MATCH(MIN(N204:O204), N204:O204, 0))&amp;CHAR(10)&amp;"📉 考察能力: "&amp;IFERROR(VLOOKUP(TRIM(D204)&amp;"_"&amp;TRIM(INDEX($N$1:$O$1, MATCH(MIN(N204:O204), N204:O204, 0))), 技能库!$A:$F, 5, 0),"建议查阅考纲")&amp;CHAR(10)&amp;"💡 提升建议: "&amp;IFERROR(VLOOKUP(TRIM(D204)&amp;"_"&amp;TRIM(INDEX($N$1:$O$1, MATCH(MIN(N204:O204), N204:O204, 0))), 技能库!$A:$F, 6, 0),"请针对该题型加强练习"))</f>
        <v/>
      </c>
      <c r="AC204" s="5" t="str">
        <f>IF(W204="","", "⚠️ 薄弱环节: "&amp;INDEX($R$1:$V$1, MATCH(MIN(R204:V204), R204:V204, 0))&amp;CHAR(10)&amp;"📉 考察能力: "&amp;IFERROR(VLOOKUP(TRIM(D204)&amp;"_"&amp;TRIM(INDEX($R$1:$V$1, MATCH(MIN(R204:V204), R204:V204, 0))), 技能库!$A:$F, 5, 0),"建议查阅考纲")&amp;CHAR(10)&amp;"💡 提升建议: "&amp;IFERROR(VLOOKUP(TRIM(D204)&amp;"_"&amp;TRIM(INDEX($R$1:$V$1, MATCH(MIN(R204:V204), R204:V204, 0))), 技能库!$A:$F, 6, 0),"请针对该题型加强练习"))</f>
        <v/>
      </c>
    </row>
    <row r="205" spans="12:29" ht="16" hidden="1" x14ac:dyDescent="0.2">
      <c r="L205" t="str">
        <f t="shared" si="12"/>
        <v/>
      </c>
      <c r="M205" t="str">
        <f>IF(L205="","", IFERROR(VLOOKUP(L205, IF(D205="KET", 换算标准!$M:$N, IF(D205="PET", 换算标准!$S:$T, 换算标准!$AC:$AD)), 2, TRUE), 0))</f>
        <v/>
      </c>
      <c r="P205" t="str">
        <f t="shared" si="13"/>
        <v/>
      </c>
      <c r="Q205" t="str">
        <f>IF(P205="","", IFERROR(VLOOKUP(P205, IF(D205="KET", 换算标准!$O:$P, IF(D205="PET", 换算标准!$U:$V, 换算标准!$AG:$AH)), 2, TRUE), 0))</f>
        <v/>
      </c>
      <c r="W205" t="str">
        <f t="shared" si="14"/>
        <v/>
      </c>
      <c r="X205" t="str">
        <f>IF(W205="","", IFERROR(VLOOKUP(W205, IF(D205="KET", 换算标准!$Q:$R, IF(D205="PET", 换算标准!$W:$X, 换算标准!$AI:$AJ)), 2, TRUE), 0))</f>
        <v/>
      </c>
      <c r="Y205" t="str">
        <f t="shared" si="15"/>
        <v/>
      </c>
      <c r="Z205" t="str">
        <f>IF(Y205="","", IFERROR(VLOOKUP(Y205, 换算标准!$Z:$AA, 1, TRUE), ""))</f>
        <v/>
      </c>
      <c r="AA205" s="5" t="str">
        <f>IF(L205="","", "⚠️ 薄弱环节: "&amp;INDEX($E$1:$K$1, MATCH(MIN(E205:K205), E205:K205, 0))&amp;CHAR(10)&amp;"📉 考察能力: "&amp;IFERROR(VLOOKUP(TRIM(D205)&amp;"_"&amp;TRIM(INDEX($E$1:$K$1, MATCH(MIN(E205:K205), E205:K205, 0))), 技能库!$A:$F, 5, 0),"建议查阅考纲")&amp;CHAR(10)&amp;"💡 提升建议: "&amp;IFERROR(VLOOKUP(TRIM(D205)&amp;"_"&amp;TRIM(INDEX($E$1:$K$1, MATCH(MIN(E205:K205), E205:K205, 0))), 技能库!$A:$F, 6, 0),"请针对该题型加强练习"))</f>
        <v/>
      </c>
      <c r="AB205" s="5" t="str">
        <f>IF(P205="","", "⚠️ 薄弱环节: "&amp;INDEX($N$1:$O$1, MATCH(MIN(N205:O205), N205:O205, 0))&amp;CHAR(10)&amp;"📉 考察能力: "&amp;IFERROR(VLOOKUP(TRIM(D205)&amp;"_"&amp;TRIM(INDEX($N$1:$O$1, MATCH(MIN(N205:O205), N205:O205, 0))), 技能库!$A:$F, 5, 0),"建议查阅考纲")&amp;CHAR(10)&amp;"💡 提升建议: "&amp;IFERROR(VLOOKUP(TRIM(D205)&amp;"_"&amp;TRIM(INDEX($N$1:$O$1, MATCH(MIN(N205:O205), N205:O205, 0))), 技能库!$A:$F, 6, 0),"请针对该题型加强练习"))</f>
        <v/>
      </c>
      <c r="AC205" s="5" t="str">
        <f>IF(W205="","", "⚠️ 薄弱环节: "&amp;INDEX($R$1:$V$1, MATCH(MIN(R205:V205), R205:V205, 0))&amp;CHAR(10)&amp;"📉 考察能力: "&amp;IFERROR(VLOOKUP(TRIM(D205)&amp;"_"&amp;TRIM(INDEX($R$1:$V$1, MATCH(MIN(R205:V205), R205:V205, 0))), 技能库!$A:$F, 5, 0),"建议查阅考纲")&amp;CHAR(10)&amp;"💡 提升建议: "&amp;IFERROR(VLOOKUP(TRIM(D205)&amp;"_"&amp;TRIM(INDEX($R$1:$V$1, MATCH(MIN(R205:V205), R205:V205, 0))), 技能库!$A:$F, 6, 0),"请针对该题型加强练习"))</f>
        <v/>
      </c>
    </row>
    <row r="206" spans="12:29" ht="16" hidden="1" x14ac:dyDescent="0.2">
      <c r="L206" t="str">
        <f t="shared" si="12"/>
        <v/>
      </c>
      <c r="M206" t="str">
        <f>IF(L206="","", IFERROR(VLOOKUP(L206, IF(D206="KET", 换算标准!$M:$N, IF(D206="PET", 换算标准!$S:$T, 换算标准!$AC:$AD)), 2, TRUE), 0))</f>
        <v/>
      </c>
      <c r="P206" t="str">
        <f t="shared" si="13"/>
        <v/>
      </c>
      <c r="Q206" t="str">
        <f>IF(P206="","", IFERROR(VLOOKUP(P206, IF(D206="KET", 换算标准!$O:$P, IF(D206="PET", 换算标准!$U:$V, 换算标准!$AG:$AH)), 2, TRUE), 0))</f>
        <v/>
      </c>
      <c r="W206" t="str">
        <f t="shared" si="14"/>
        <v/>
      </c>
      <c r="X206" t="str">
        <f>IF(W206="","", IFERROR(VLOOKUP(W206, IF(D206="KET", 换算标准!$Q:$R, IF(D206="PET", 换算标准!$W:$X, 换算标准!$AI:$AJ)), 2, TRUE), 0))</f>
        <v/>
      </c>
      <c r="Y206" t="str">
        <f t="shared" si="15"/>
        <v/>
      </c>
      <c r="Z206" t="str">
        <f>IF(Y206="","", IFERROR(VLOOKUP(Y206, 换算标准!$Z:$AA, 1, TRUE), ""))</f>
        <v/>
      </c>
      <c r="AA206" s="5" t="str">
        <f>IF(L206="","", "⚠️ 薄弱环节: "&amp;INDEX($E$1:$K$1, MATCH(MIN(E206:K206), E206:K206, 0))&amp;CHAR(10)&amp;"📉 考察能力: "&amp;IFERROR(VLOOKUP(TRIM(D206)&amp;"_"&amp;TRIM(INDEX($E$1:$K$1, MATCH(MIN(E206:K206), E206:K206, 0))), 技能库!$A:$F, 5, 0),"建议查阅考纲")&amp;CHAR(10)&amp;"💡 提升建议: "&amp;IFERROR(VLOOKUP(TRIM(D206)&amp;"_"&amp;TRIM(INDEX($E$1:$K$1, MATCH(MIN(E206:K206), E206:K206, 0))), 技能库!$A:$F, 6, 0),"请针对该题型加强练习"))</f>
        <v/>
      </c>
      <c r="AB206" s="5" t="str">
        <f>IF(P206="","", "⚠️ 薄弱环节: "&amp;INDEX($N$1:$O$1, MATCH(MIN(N206:O206), N206:O206, 0))&amp;CHAR(10)&amp;"📉 考察能力: "&amp;IFERROR(VLOOKUP(TRIM(D206)&amp;"_"&amp;TRIM(INDEX($N$1:$O$1, MATCH(MIN(N206:O206), N206:O206, 0))), 技能库!$A:$F, 5, 0),"建议查阅考纲")&amp;CHAR(10)&amp;"💡 提升建议: "&amp;IFERROR(VLOOKUP(TRIM(D206)&amp;"_"&amp;TRIM(INDEX($N$1:$O$1, MATCH(MIN(N206:O206), N206:O206, 0))), 技能库!$A:$F, 6, 0),"请针对该题型加强练习"))</f>
        <v/>
      </c>
      <c r="AC206" s="5" t="str">
        <f>IF(W206="","", "⚠️ 薄弱环节: "&amp;INDEX($R$1:$V$1, MATCH(MIN(R206:V206), R206:V206, 0))&amp;CHAR(10)&amp;"📉 考察能力: "&amp;IFERROR(VLOOKUP(TRIM(D206)&amp;"_"&amp;TRIM(INDEX($R$1:$V$1, MATCH(MIN(R206:V206), R206:V206, 0))), 技能库!$A:$F, 5, 0),"建议查阅考纲")&amp;CHAR(10)&amp;"💡 提升建议: "&amp;IFERROR(VLOOKUP(TRIM(D206)&amp;"_"&amp;TRIM(INDEX($R$1:$V$1, MATCH(MIN(R206:V206), R206:V206, 0))), 技能库!$A:$F, 6, 0),"请针对该题型加强练习"))</f>
        <v/>
      </c>
    </row>
    <row r="207" spans="12:29" ht="16" hidden="1" x14ac:dyDescent="0.2">
      <c r="L207" t="str">
        <f t="shared" si="12"/>
        <v/>
      </c>
      <c r="M207" t="str">
        <f>IF(L207="","", IFERROR(VLOOKUP(L207, IF(D207="KET", 换算标准!$M:$N, IF(D207="PET", 换算标准!$S:$T, 换算标准!$AC:$AD)), 2, TRUE), 0))</f>
        <v/>
      </c>
      <c r="P207" t="str">
        <f t="shared" si="13"/>
        <v/>
      </c>
      <c r="Q207" t="str">
        <f>IF(P207="","", IFERROR(VLOOKUP(P207, IF(D207="KET", 换算标准!$O:$P, IF(D207="PET", 换算标准!$U:$V, 换算标准!$AG:$AH)), 2, TRUE), 0))</f>
        <v/>
      </c>
      <c r="W207" t="str">
        <f t="shared" si="14"/>
        <v/>
      </c>
      <c r="X207" t="str">
        <f>IF(W207="","", IFERROR(VLOOKUP(W207, IF(D207="KET", 换算标准!$Q:$R, IF(D207="PET", 换算标准!$W:$X, 换算标准!$AI:$AJ)), 2, TRUE), 0))</f>
        <v/>
      </c>
      <c r="Y207" t="str">
        <f t="shared" si="15"/>
        <v/>
      </c>
      <c r="Z207" t="str">
        <f>IF(Y207="","", IFERROR(VLOOKUP(Y207, 换算标准!$Z:$AA, 1, TRUE), ""))</f>
        <v/>
      </c>
      <c r="AA207" s="5" t="str">
        <f>IF(L207="","", "⚠️ 薄弱环节: "&amp;INDEX($E$1:$K$1, MATCH(MIN(E207:K207), E207:K207, 0))&amp;CHAR(10)&amp;"📉 考察能力: "&amp;IFERROR(VLOOKUP(TRIM(D207)&amp;"_"&amp;TRIM(INDEX($E$1:$K$1, MATCH(MIN(E207:K207), E207:K207, 0))), 技能库!$A:$F, 5, 0),"建议查阅考纲")&amp;CHAR(10)&amp;"💡 提升建议: "&amp;IFERROR(VLOOKUP(TRIM(D207)&amp;"_"&amp;TRIM(INDEX($E$1:$K$1, MATCH(MIN(E207:K207), E207:K207, 0))), 技能库!$A:$F, 6, 0),"请针对该题型加强练习"))</f>
        <v/>
      </c>
      <c r="AB207" s="5" t="str">
        <f>IF(P207="","", "⚠️ 薄弱环节: "&amp;INDEX($N$1:$O$1, MATCH(MIN(N207:O207), N207:O207, 0))&amp;CHAR(10)&amp;"📉 考察能力: "&amp;IFERROR(VLOOKUP(TRIM(D207)&amp;"_"&amp;TRIM(INDEX($N$1:$O$1, MATCH(MIN(N207:O207), N207:O207, 0))), 技能库!$A:$F, 5, 0),"建议查阅考纲")&amp;CHAR(10)&amp;"💡 提升建议: "&amp;IFERROR(VLOOKUP(TRIM(D207)&amp;"_"&amp;TRIM(INDEX($N$1:$O$1, MATCH(MIN(N207:O207), N207:O207, 0))), 技能库!$A:$F, 6, 0),"请针对该题型加强练习"))</f>
        <v/>
      </c>
      <c r="AC207" s="5" t="str">
        <f>IF(W207="","", "⚠️ 薄弱环节: "&amp;INDEX($R$1:$V$1, MATCH(MIN(R207:V207), R207:V207, 0))&amp;CHAR(10)&amp;"📉 考察能力: "&amp;IFERROR(VLOOKUP(TRIM(D207)&amp;"_"&amp;TRIM(INDEX($R$1:$V$1, MATCH(MIN(R207:V207), R207:V207, 0))), 技能库!$A:$F, 5, 0),"建议查阅考纲")&amp;CHAR(10)&amp;"💡 提升建议: "&amp;IFERROR(VLOOKUP(TRIM(D207)&amp;"_"&amp;TRIM(INDEX($R$1:$V$1, MATCH(MIN(R207:V207), R207:V207, 0))), 技能库!$A:$F, 6, 0),"请针对该题型加强练习"))</f>
        <v/>
      </c>
    </row>
    <row r="208" spans="12:29" ht="16" hidden="1" x14ac:dyDescent="0.2">
      <c r="L208" t="str">
        <f t="shared" si="12"/>
        <v/>
      </c>
      <c r="M208" t="str">
        <f>IF(L208="","", IFERROR(VLOOKUP(L208, IF(D208="KET", 换算标准!$M:$N, IF(D208="PET", 换算标准!$S:$T, 换算标准!$AC:$AD)), 2, TRUE), 0))</f>
        <v/>
      </c>
      <c r="P208" t="str">
        <f t="shared" si="13"/>
        <v/>
      </c>
      <c r="Q208" t="str">
        <f>IF(P208="","", IFERROR(VLOOKUP(P208, IF(D208="KET", 换算标准!$O:$P, IF(D208="PET", 换算标准!$U:$V, 换算标准!$AG:$AH)), 2, TRUE), 0))</f>
        <v/>
      </c>
      <c r="W208" t="str">
        <f t="shared" si="14"/>
        <v/>
      </c>
      <c r="X208" t="str">
        <f>IF(W208="","", IFERROR(VLOOKUP(W208, IF(D208="KET", 换算标准!$Q:$R, IF(D208="PET", 换算标准!$W:$X, 换算标准!$AI:$AJ)), 2, TRUE), 0))</f>
        <v/>
      </c>
      <c r="Y208" t="str">
        <f t="shared" si="15"/>
        <v/>
      </c>
      <c r="Z208" t="str">
        <f>IF(Y208="","", IFERROR(VLOOKUP(Y208, 换算标准!$Z:$AA, 1, TRUE), ""))</f>
        <v/>
      </c>
      <c r="AA208" s="5" t="str">
        <f>IF(L208="","", "⚠️ 薄弱环节: "&amp;INDEX($E$1:$K$1, MATCH(MIN(E208:K208), E208:K208, 0))&amp;CHAR(10)&amp;"📉 考察能力: "&amp;IFERROR(VLOOKUP(TRIM(D208)&amp;"_"&amp;TRIM(INDEX($E$1:$K$1, MATCH(MIN(E208:K208), E208:K208, 0))), 技能库!$A:$F, 5, 0),"建议查阅考纲")&amp;CHAR(10)&amp;"💡 提升建议: "&amp;IFERROR(VLOOKUP(TRIM(D208)&amp;"_"&amp;TRIM(INDEX($E$1:$K$1, MATCH(MIN(E208:K208), E208:K208, 0))), 技能库!$A:$F, 6, 0),"请针对该题型加强练习"))</f>
        <v/>
      </c>
      <c r="AB208" s="5" t="str">
        <f>IF(P208="","", "⚠️ 薄弱环节: "&amp;INDEX($N$1:$O$1, MATCH(MIN(N208:O208), N208:O208, 0))&amp;CHAR(10)&amp;"📉 考察能力: "&amp;IFERROR(VLOOKUP(TRIM(D208)&amp;"_"&amp;TRIM(INDEX($N$1:$O$1, MATCH(MIN(N208:O208), N208:O208, 0))), 技能库!$A:$F, 5, 0),"建议查阅考纲")&amp;CHAR(10)&amp;"💡 提升建议: "&amp;IFERROR(VLOOKUP(TRIM(D208)&amp;"_"&amp;TRIM(INDEX($N$1:$O$1, MATCH(MIN(N208:O208), N208:O208, 0))), 技能库!$A:$F, 6, 0),"请针对该题型加强练习"))</f>
        <v/>
      </c>
      <c r="AC208" s="5" t="str">
        <f>IF(W208="","", "⚠️ 薄弱环节: "&amp;INDEX($R$1:$V$1, MATCH(MIN(R208:V208), R208:V208, 0))&amp;CHAR(10)&amp;"📉 考察能力: "&amp;IFERROR(VLOOKUP(TRIM(D208)&amp;"_"&amp;TRIM(INDEX($R$1:$V$1, MATCH(MIN(R208:V208), R208:V208, 0))), 技能库!$A:$F, 5, 0),"建议查阅考纲")&amp;CHAR(10)&amp;"💡 提升建议: "&amp;IFERROR(VLOOKUP(TRIM(D208)&amp;"_"&amp;TRIM(INDEX($R$1:$V$1, MATCH(MIN(R208:V208), R208:V208, 0))), 技能库!$A:$F, 6, 0),"请针对该题型加强练习"))</f>
        <v/>
      </c>
    </row>
    <row r="209" spans="12:29" ht="16" hidden="1" x14ac:dyDescent="0.2">
      <c r="L209" t="str">
        <f t="shared" si="12"/>
        <v/>
      </c>
      <c r="M209" t="str">
        <f>IF(L209="","", IFERROR(VLOOKUP(L209, IF(D209="KET", 换算标准!$M:$N, IF(D209="PET", 换算标准!$S:$T, 换算标准!$AC:$AD)), 2, TRUE), 0))</f>
        <v/>
      </c>
      <c r="P209" t="str">
        <f t="shared" si="13"/>
        <v/>
      </c>
      <c r="Q209" t="str">
        <f>IF(P209="","", IFERROR(VLOOKUP(P209, IF(D209="KET", 换算标准!$O:$P, IF(D209="PET", 换算标准!$U:$V, 换算标准!$AG:$AH)), 2, TRUE), 0))</f>
        <v/>
      </c>
      <c r="W209" t="str">
        <f t="shared" si="14"/>
        <v/>
      </c>
      <c r="X209" t="str">
        <f>IF(W209="","", IFERROR(VLOOKUP(W209, IF(D209="KET", 换算标准!$Q:$R, IF(D209="PET", 换算标准!$W:$X, 换算标准!$AI:$AJ)), 2, TRUE), 0))</f>
        <v/>
      </c>
      <c r="Y209" t="str">
        <f t="shared" si="15"/>
        <v/>
      </c>
      <c r="Z209" t="str">
        <f>IF(Y209="","", IFERROR(VLOOKUP(Y209, 换算标准!$Z:$AA, 1, TRUE), ""))</f>
        <v/>
      </c>
      <c r="AA209" s="5" t="str">
        <f>IF(L209="","", "⚠️ 薄弱环节: "&amp;INDEX($E$1:$K$1, MATCH(MIN(E209:K209), E209:K209, 0))&amp;CHAR(10)&amp;"📉 考察能力: "&amp;IFERROR(VLOOKUP(TRIM(D209)&amp;"_"&amp;TRIM(INDEX($E$1:$K$1, MATCH(MIN(E209:K209), E209:K209, 0))), 技能库!$A:$F, 5, 0),"建议查阅考纲")&amp;CHAR(10)&amp;"💡 提升建议: "&amp;IFERROR(VLOOKUP(TRIM(D209)&amp;"_"&amp;TRIM(INDEX($E$1:$K$1, MATCH(MIN(E209:K209), E209:K209, 0))), 技能库!$A:$F, 6, 0),"请针对该题型加强练习"))</f>
        <v/>
      </c>
      <c r="AB209" s="5" t="str">
        <f>IF(P209="","", "⚠️ 薄弱环节: "&amp;INDEX($N$1:$O$1, MATCH(MIN(N209:O209), N209:O209, 0))&amp;CHAR(10)&amp;"📉 考察能力: "&amp;IFERROR(VLOOKUP(TRIM(D209)&amp;"_"&amp;TRIM(INDEX($N$1:$O$1, MATCH(MIN(N209:O209), N209:O209, 0))), 技能库!$A:$F, 5, 0),"建议查阅考纲")&amp;CHAR(10)&amp;"💡 提升建议: "&amp;IFERROR(VLOOKUP(TRIM(D209)&amp;"_"&amp;TRIM(INDEX($N$1:$O$1, MATCH(MIN(N209:O209), N209:O209, 0))), 技能库!$A:$F, 6, 0),"请针对该题型加强练习"))</f>
        <v/>
      </c>
      <c r="AC209" s="5" t="str">
        <f>IF(W209="","", "⚠️ 薄弱环节: "&amp;INDEX($R$1:$V$1, MATCH(MIN(R209:V209), R209:V209, 0))&amp;CHAR(10)&amp;"📉 考察能力: "&amp;IFERROR(VLOOKUP(TRIM(D209)&amp;"_"&amp;TRIM(INDEX($R$1:$V$1, MATCH(MIN(R209:V209), R209:V209, 0))), 技能库!$A:$F, 5, 0),"建议查阅考纲")&amp;CHAR(10)&amp;"💡 提升建议: "&amp;IFERROR(VLOOKUP(TRIM(D209)&amp;"_"&amp;TRIM(INDEX($R$1:$V$1, MATCH(MIN(R209:V209), R209:V209, 0))), 技能库!$A:$F, 6, 0),"请针对该题型加强练习"))</f>
        <v/>
      </c>
    </row>
    <row r="210" spans="12:29" ht="16" hidden="1" x14ac:dyDescent="0.2">
      <c r="L210" t="str">
        <f t="shared" si="12"/>
        <v/>
      </c>
      <c r="M210" t="str">
        <f>IF(L210="","", IFERROR(VLOOKUP(L210, IF(D210="KET", 换算标准!$M:$N, IF(D210="PET", 换算标准!$S:$T, 换算标准!$AC:$AD)), 2, TRUE), 0))</f>
        <v/>
      </c>
      <c r="P210" t="str">
        <f t="shared" si="13"/>
        <v/>
      </c>
      <c r="Q210" t="str">
        <f>IF(P210="","", IFERROR(VLOOKUP(P210, IF(D210="KET", 换算标准!$O:$P, IF(D210="PET", 换算标准!$U:$V, 换算标准!$AG:$AH)), 2, TRUE), 0))</f>
        <v/>
      </c>
      <c r="W210" t="str">
        <f t="shared" si="14"/>
        <v/>
      </c>
      <c r="X210" t="str">
        <f>IF(W210="","", IFERROR(VLOOKUP(W210, IF(D210="KET", 换算标准!$Q:$R, IF(D210="PET", 换算标准!$W:$X, 换算标准!$AI:$AJ)), 2, TRUE), 0))</f>
        <v/>
      </c>
      <c r="Y210" t="str">
        <f t="shared" si="15"/>
        <v/>
      </c>
      <c r="Z210" t="str">
        <f>IF(Y210="","", IFERROR(VLOOKUP(Y210, 换算标准!$Z:$AA, 1, TRUE), ""))</f>
        <v/>
      </c>
      <c r="AA210" s="5" t="str">
        <f>IF(L210="","", "⚠️ 薄弱环节: "&amp;INDEX($E$1:$K$1, MATCH(MIN(E210:K210), E210:K210, 0))&amp;CHAR(10)&amp;"📉 考察能力: "&amp;IFERROR(VLOOKUP(TRIM(D210)&amp;"_"&amp;TRIM(INDEX($E$1:$K$1, MATCH(MIN(E210:K210), E210:K210, 0))), 技能库!$A:$F, 5, 0),"建议查阅考纲")&amp;CHAR(10)&amp;"💡 提升建议: "&amp;IFERROR(VLOOKUP(TRIM(D210)&amp;"_"&amp;TRIM(INDEX($E$1:$K$1, MATCH(MIN(E210:K210), E210:K210, 0))), 技能库!$A:$F, 6, 0),"请针对该题型加强练习"))</f>
        <v/>
      </c>
      <c r="AB210" s="5" t="str">
        <f>IF(P210="","", "⚠️ 薄弱环节: "&amp;INDEX($N$1:$O$1, MATCH(MIN(N210:O210), N210:O210, 0))&amp;CHAR(10)&amp;"📉 考察能力: "&amp;IFERROR(VLOOKUP(TRIM(D210)&amp;"_"&amp;TRIM(INDEX($N$1:$O$1, MATCH(MIN(N210:O210), N210:O210, 0))), 技能库!$A:$F, 5, 0),"建议查阅考纲")&amp;CHAR(10)&amp;"💡 提升建议: "&amp;IFERROR(VLOOKUP(TRIM(D210)&amp;"_"&amp;TRIM(INDEX($N$1:$O$1, MATCH(MIN(N210:O210), N210:O210, 0))), 技能库!$A:$F, 6, 0),"请针对该题型加强练习"))</f>
        <v/>
      </c>
      <c r="AC210" s="5" t="str">
        <f>IF(W210="","", "⚠️ 薄弱环节: "&amp;INDEX($R$1:$V$1, MATCH(MIN(R210:V210), R210:V210, 0))&amp;CHAR(10)&amp;"📉 考察能力: "&amp;IFERROR(VLOOKUP(TRIM(D210)&amp;"_"&amp;TRIM(INDEX($R$1:$V$1, MATCH(MIN(R210:V210), R210:V210, 0))), 技能库!$A:$F, 5, 0),"建议查阅考纲")&amp;CHAR(10)&amp;"💡 提升建议: "&amp;IFERROR(VLOOKUP(TRIM(D210)&amp;"_"&amp;TRIM(INDEX($R$1:$V$1, MATCH(MIN(R210:V210), R210:V210, 0))), 技能库!$A:$F, 6, 0),"请针对该题型加强练习"))</f>
        <v/>
      </c>
    </row>
    <row r="211" spans="12:29" ht="16" hidden="1" x14ac:dyDescent="0.2">
      <c r="L211" t="str">
        <f t="shared" si="12"/>
        <v/>
      </c>
      <c r="M211" t="str">
        <f>IF(L211="","", IFERROR(VLOOKUP(L211, IF(D211="KET", 换算标准!$M:$N, IF(D211="PET", 换算标准!$S:$T, 换算标准!$AC:$AD)), 2, TRUE), 0))</f>
        <v/>
      </c>
      <c r="P211" t="str">
        <f t="shared" si="13"/>
        <v/>
      </c>
      <c r="Q211" t="str">
        <f>IF(P211="","", IFERROR(VLOOKUP(P211, IF(D211="KET", 换算标准!$O:$P, IF(D211="PET", 换算标准!$U:$V, 换算标准!$AG:$AH)), 2, TRUE), 0))</f>
        <v/>
      </c>
      <c r="W211" t="str">
        <f t="shared" si="14"/>
        <v/>
      </c>
      <c r="X211" t="str">
        <f>IF(W211="","", IFERROR(VLOOKUP(W211, IF(D211="KET", 换算标准!$Q:$R, IF(D211="PET", 换算标准!$W:$X, 换算标准!$AI:$AJ)), 2, TRUE), 0))</f>
        <v/>
      </c>
      <c r="Y211" t="str">
        <f t="shared" si="15"/>
        <v/>
      </c>
      <c r="Z211" t="str">
        <f>IF(Y211="","", IFERROR(VLOOKUP(Y211, 换算标准!$Z:$AA, 1, TRUE), ""))</f>
        <v/>
      </c>
      <c r="AA211" s="5" t="str">
        <f>IF(L211="","", "⚠️ 薄弱环节: "&amp;INDEX($E$1:$K$1, MATCH(MIN(E211:K211), E211:K211, 0))&amp;CHAR(10)&amp;"📉 考察能力: "&amp;IFERROR(VLOOKUP(TRIM(D211)&amp;"_"&amp;TRIM(INDEX($E$1:$K$1, MATCH(MIN(E211:K211), E211:K211, 0))), 技能库!$A:$F, 5, 0),"建议查阅考纲")&amp;CHAR(10)&amp;"💡 提升建议: "&amp;IFERROR(VLOOKUP(TRIM(D211)&amp;"_"&amp;TRIM(INDEX($E$1:$K$1, MATCH(MIN(E211:K211), E211:K211, 0))), 技能库!$A:$F, 6, 0),"请针对该题型加强练习"))</f>
        <v/>
      </c>
      <c r="AB211" s="5" t="str">
        <f>IF(P211="","", "⚠️ 薄弱环节: "&amp;INDEX($N$1:$O$1, MATCH(MIN(N211:O211), N211:O211, 0))&amp;CHAR(10)&amp;"📉 考察能力: "&amp;IFERROR(VLOOKUP(TRIM(D211)&amp;"_"&amp;TRIM(INDEX($N$1:$O$1, MATCH(MIN(N211:O211), N211:O211, 0))), 技能库!$A:$F, 5, 0),"建议查阅考纲")&amp;CHAR(10)&amp;"💡 提升建议: "&amp;IFERROR(VLOOKUP(TRIM(D211)&amp;"_"&amp;TRIM(INDEX($N$1:$O$1, MATCH(MIN(N211:O211), N211:O211, 0))), 技能库!$A:$F, 6, 0),"请针对该题型加强练习"))</f>
        <v/>
      </c>
      <c r="AC211" s="5" t="str">
        <f>IF(W211="","", "⚠️ 薄弱环节: "&amp;INDEX($R$1:$V$1, MATCH(MIN(R211:V211), R211:V211, 0))&amp;CHAR(10)&amp;"📉 考察能力: "&amp;IFERROR(VLOOKUP(TRIM(D211)&amp;"_"&amp;TRIM(INDEX($R$1:$V$1, MATCH(MIN(R211:V211), R211:V211, 0))), 技能库!$A:$F, 5, 0),"建议查阅考纲")&amp;CHAR(10)&amp;"💡 提升建议: "&amp;IFERROR(VLOOKUP(TRIM(D211)&amp;"_"&amp;TRIM(INDEX($R$1:$V$1, MATCH(MIN(R211:V211), R211:V211, 0))), 技能库!$A:$F, 6, 0),"请针对该题型加强练习"))</f>
        <v/>
      </c>
    </row>
    <row r="212" spans="12:29" ht="16" hidden="1" x14ac:dyDescent="0.2">
      <c r="L212" t="str">
        <f t="shared" si="12"/>
        <v/>
      </c>
      <c r="M212" t="str">
        <f>IF(L212="","", IFERROR(VLOOKUP(L212, IF(D212="KET", 换算标准!$M:$N, IF(D212="PET", 换算标准!$S:$T, 换算标准!$AC:$AD)), 2, TRUE), 0))</f>
        <v/>
      </c>
      <c r="P212" t="str">
        <f t="shared" si="13"/>
        <v/>
      </c>
      <c r="Q212" t="str">
        <f>IF(P212="","", IFERROR(VLOOKUP(P212, IF(D212="KET", 换算标准!$O:$P, IF(D212="PET", 换算标准!$U:$V, 换算标准!$AG:$AH)), 2, TRUE), 0))</f>
        <v/>
      </c>
      <c r="W212" t="str">
        <f t="shared" si="14"/>
        <v/>
      </c>
      <c r="X212" t="str">
        <f>IF(W212="","", IFERROR(VLOOKUP(W212, IF(D212="KET", 换算标准!$Q:$R, IF(D212="PET", 换算标准!$W:$X, 换算标准!$AI:$AJ)), 2, TRUE), 0))</f>
        <v/>
      </c>
      <c r="Y212" t="str">
        <f t="shared" si="15"/>
        <v/>
      </c>
      <c r="Z212" t="str">
        <f>IF(Y212="","", IFERROR(VLOOKUP(Y212, 换算标准!$Z:$AA, 1, TRUE), ""))</f>
        <v/>
      </c>
      <c r="AA212" s="5" t="str">
        <f>IF(L212="","", "⚠️ 薄弱环节: "&amp;INDEX($E$1:$K$1, MATCH(MIN(E212:K212), E212:K212, 0))&amp;CHAR(10)&amp;"📉 考察能力: "&amp;IFERROR(VLOOKUP(TRIM(D212)&amp;"_"&amp;TRIM(INDEX($E$1:$K$1, MATCH(MIN(E212:K212), E212:K212, 0))), 技能库!$A:$F, 5, 0),"建议查阅考纲")&amp;CHAR(10)&amp;"💡 提升建议: "&amp;IFERROR(VLOOKUP(TRIM(D212)&amp;"_"&amp;TRIM(INDEX($E$1:$K$1, MATCH(MIN(E212:K212), E212:K212, 0))), 技能库!$A:$F, 6, 0),"请针对该题型加强练习"))</f>
        <v/>
      </c>
      <c r="AB212" s="5" t="str">
        <f>IF(P212="","", "⚠️ 薄弱环节: "&amp;INDEX($N$1:$O$1, MATCH(MIN(N212:O212), N212:O212, 0))&amp;CHAR(10)&amp;"📉 考察能力: "&amp;IFERROR(VLOOKUP(TRIM(D212)&amp;"_"&amp;TRIM(INDEX($N$1:$O$1, MATCH(MIN(N212:O212), N212:O212, 0))), 技能库!$A:$F, 5, 0),"建议查阅考纲")&amp;CHAR(10)&amp;"💡 提升建议: "&amp;IFERROR(VLOOKUP(TRIM(D212)&amp;"_"&amp;TRIM(INDEX($N$1:$O$1, MATCH(MIN(N212:O212), N212:O212, 0))), 技能库!$A:$F, 6, 0),"请针对该题型加强练习"))</f>
        <v/>
      </c>
      <c r="AC212" s="5" t="str">
        <f>IF(W212="","", "⚠️ 薄弱环节: "&amp;INDEX($R$1:$V$1, MATCH(MIN(R212:V212), R212:V212, 0))&amp;CHAR(10)&amp;"📉 考察能力: "&amp;IFERROR(VLOOKUP(TRIM(D212)&amp;"_"&amp;TRIM(INDEX($R$1:$V$1, MATCH(MIN(R212:V212), R212:V212, 0))), 技能库!$A:$F, 5, 0),"建议查阅考纲")&amp;CHAR(10)&amp;"💡 提升建议: "&amp;IFERROR(VLOOKUP(TRIM(D212)&amp;"_"&amp;TRIM(INDEX($R$1:$V$1, MATCH(MIN(R212:V212), R212:V212, 0))), 技能库!$A:$F, 6, 0),"请针对该题型加强练习"))</f>
        <v/>
      </c>
    </row>
    <row r="213" spans="12:29" ht="16" hidden="1" x14ac:dyDescent="0.2">
      <c r="L213" t="str">
        <f t="shared" si="12"/>
        <v/>
      </c>
      <c r="M213" t="str">
        <f>IF(L213="","", IFERROR(VLOOKUP(L213, IF(D213="KET", 换算标准!$M:$N, IF(D213="PET", 换算标准!$S:$T, 换算标准!$AC:$AD)), 2, TRUE), 0))</f>
        <v/>
      </c>
      <c r="P213" t="str">
        <f t="shared" si="13"/>
        <v/>
      </c>
      <c r="Q213" t="str">
        <f>IF(P213="","", IFERROR(VLOOKUP(P213, IF(D213="KET", 换算标准!$O:$P, IF(D213="PET", 换算标准!$U:$V, 换算标准!$AG:$AH)), 2, TRUE), 0))</f>
        <v/>
      </c>
      <c r="W213" t="str">
        <f t="shared" si="14"/>
        <v/>
      </c>
      <c r="X213" t="str">
        <f>IF(W213="","", IFERROR(VLOOKUP(W213, IF(D213="KET", 换算标准!$Q:$R, IF(D213="PET", 换算标准!$W:$X, 换算标准!$AI:$AJ)), 2, TRUE), 0))</f>
        <v/>
      </c>
      <c r="Y213" t="str">
        <f t="shared" si="15"/>
        <v/>
      </c>
      <c r="Z213" t="str">
        <f>IF(Y213="","", IFERROR(VLOOKUP(Y213, 换算标准!$Z:$AA, 1, TRUE), ""))</f>
        <v/>
      </c>
      <c r="AA213" s="5" t="str">
        <f>IF(L213="","", "⚠️ 薄弱环节: "&amp;INDEX($E$1:$K$1, MATCH(MIN(E213:K213), E213:K213, 0))&amp;CHAR(10)&amp;"📉 考察能力: "&amp;IFERROR(VLOOKUP(TRIM(D213)&amp;"_"&amp;TRIM(INDEX($E$1:$K$1, MATCH(MIN(E213:K213), E213:K213, 0))), 技能库!$A:$F, 5, 0),"建议查阅考纲")&amp;CHAR(10)&amp;"💡 提升建议: "&amp;IFERROR(VLOOKUP(TRIM(D213)&amp;"_"&amp;TRIM(INDEX($E$1:$K$1, MATCH(MIN(E213:K213), E213:K213, 0))), 技能库!$A:$F, 6, 0),"请针对该题型加强练习"))</f>
        <v/>
      </c>
      <c r="AB213" s="5" t="str">
        <f>IF(P213="","", "⚠️ 薄弱环节: "&amp;INDEX($N$1:$O$1, MATCH(MIN(N213:O213), N213:O213, 0))&amp;CHAR(10)&amp;"📉 考察能力: "&amp;IFERROR(VLOOKUP(TRIM(D213)&amp;"_"&amp;TRIM(INDEX($N$1:$O$1, MATCH(MIN(N213:O213), N213:O213, 0))), 技能库!$A:$F, 5, 0),"建议查阅考纲")&amp;CHAR(10)&amp;"💡 提升建议: "&amp;IFERROR(VLOOKUP(TRIM(D213)&amp;"_"&amp;TRIM(INDEX($N$1:$O$1, MATCH(MIN(N213:O213), N213:O213, 0))), 技能库!$A:$F, 6, 0),"请针对该题型加强练习"))</f>
        <v/>
      </c>
      <c r="AC213" s="5" t="str">
        <f>IF(W213="","", "⚠️ 薄弱环节: "&amp;INDEX($R$1:$V$1, MATCH(MIN(R213:V213), R213:V213, 0))&amp;CHAR(10)&amp;"📉 考察能力: "&amp;IFERROR(VLOOKUP(TRIM(D213)&amp;"_"&amp;TRIM(INDEX($R$1:$V$1, MATCH(MIN(R213:V213), R213:V213, 0))), 技能库!$A:$F, 5, 0),"建议查阅考纲")&amp;CHAR(10)&amp;"💡 提升建议: "&amp;IFERROR(VLOOKUP(TRIM(D213)&amp;"_"&amp;TRIM(INDEX($R$1:$V$1, MATCH(MIN(R213:V213), R213:V213, 0))), 技能库!$A:$F, 6, 0),"请针对该题型加强练习"))</f>
        <v/>
      </c>
    </row>
    <row r="214" spans="12:29" ht="16" hidden="1" x14ac:dyDescent="0.2">
      <c r="L214" t="str">
        <f t="shared" si="12"/>
        <v/>
      </c>
      <c r="M214" t="str">
        <f>IF(L214="","", IFERROR(VLOOKUP(L214, IF(D214="KET", 换算标准!$M:$N, IF(D214="PET", 换算标准!$S:$T, 换算标准!$AC:$AD)), 2, TRUE), 0))</f>
        <v/>
      </c>
      <c r="P214" t="str">
        <f t="shared" si="13"/>
        <v/>
      </c>
      <c r="Q214" t="str">
        <f>IF(P214="","", IFERROR(VLOOKUP(P214, IF(D214="KET", 换算标准!$O:$P, IF(D214="PET", 换算标准!$U:$V, 换算标准!$AG:$AH)), 2, TRUE), 0))</f>
        <v/>
      </c>
      <c r="W214" t="str">
        <f t="shared" si="14"/>
        <v/>
      </c>
      <c r="X214" t="str">
        <f>IF(W214="","", IFERROR(VLOOKUP(W214, IF(D214="KET", 换算标准!$Q:$R, IF(D214="PET", 换算标准!$W:$X, 换算标准!$AI:$AJ)), 2, TRUE), 0))</f>
        <v/>
      </c>
      <c r="Y214" t="str">
        <f t="shared" si="15"/>
        <v/>
      </c>
      <c r="Z214" t="str">
        <f>IF(Y214="","", IFERROR(VLOOKUP(Y214, 换算标准!$Z:$AA, 1, TRUE), ""))</f>
        <v/>
      </c>
      <c r="AA214" s="5" t="str">
        <f>IF(L214="","", "⚠️ 薄弱环节: "&amp;INDEX($E$1:$K$1, MATCH(MIN(E214:K214), E214:K214, 0))&amp;CHAR(10)&amp;"📉 考察能力: "&amp;IFERROR(VLOOKUP(TRIM(D214)&amp;"_"&amp;TRIM(INDEX($E$1:$K$1, MATCH(MIN(E214:K214), E214:K214, 0))), 技能库!$A:$F, 5, 0),"建议查阅考纲")&amp;CHAR(10)&amp;"💡 提升建议: "&amp;IFERROR(VLOOKUP(TRIM(D214)&amp;"_"&amp;TRIM(INDEX($E$1:$K$1, MATCH(MIN(E214:K214), E214:K214, 0))), 技能库!$A:$F, 6, 0),"请针对该题型加强练习"))</f>
        <v/>
      </c>
      <c r="AB214" s="5" t="str">
        <f>IF(P214="","", "⚠️ 薄弱环节: "&amp;INDEX($N$1:$O$1, MATCH(MIN(N214:O214), N214:O214, 0))&amp;CHAR(10)&amp;"📉 考察能力: "&amp;IFERROR(VLOOKUP(TRIM(D214)&amp;"_"&amp;TRIM(INDEX($N$1:$O$1, MATCH(MIN(N214:O214), N214:O214, 0))), 技能库!$A:$F, 5, 0),"建议查阅考纲")&amp;CHAR(10)&amp;"💡 提升建议: "&amp;IFERROR(VLOOKUP(TRIM(D214)&amp;"_"&amp;TRIM(INDEX($N$1:$O$1, MATCH(MIN(N214:O214), N214:O214, 0))), 技能库!$A:$F, 6, 0),"请针对该题型加强练习"))</f>
        <v/>
      </c>
      <c r="AC214" s="5" t="str">
        <f>IF(W214="","", "⚠️ 薄弱环节: "&amp;INDEX($R$1:$V$1, MATCH(MIN(R214:V214), R214:V214, 0))&amp;CHAR(10)&amp;"📉 考察能力: "&amp;IFERROR(VLOOKUP(TRIM(D214)&amp;"_"&amp;TRIM(INDEX($R$1:$V$1, MATCH(MIN(R214:V214), R214:V214, 0))), 技能库!$A:$F, 5, 0),"建议查阅考纲")&amp;CHAR(10)&amp;"💡 提升建议: "&amp;IFERROR(VLOOKUP(TRIM(D214)&amp;"_"&amp;TRIM(INDEX($R$1:$V$1, MATCH(MIN(R214:V214), R214:V214, 0))), 技能库!$A:$F, 6, 0),"请针对该题型加强练习"))</f>
        <v/>
      </c>
    </row>
    <row r="215" spans="12:29" ht="16" hidden="1" x14ac:dyDescent="0.2">
      <c r="L215" t="str">
        <f t="shared" si="12"/>
        <v/>
      </c>
      <c r="M215" t="str">
        <f>IF(L215="","", IFERROR(VLOOKUP(L215, IF(D215="KET", 换算标准!$M:$N, IF(D215="PET", 换算标准!$S:$T, 换算标准!$AC:$AD)), 2, TRUE), 0))</f>
        <v/>
      </c>
      <c r="P215" t="str">
        <f t="shared" si="13"/>
        <v/>
      </c>
      <c r="Q215" t="str">
        <f>IF(P215="","", IFERROR(VLOOKUP(P215, IF(D215="KET", 换算标准!$O:$P, IF(D215="PET", 换算标准!$U:$V, 换算标准!$AG:$AH)), 2, TRUE), 0))</f>
        <v/>
      </c>
      <c r="W215" t="str">
        <f t="shared" si="14"/>
        <v/>
      </c>
      <c r="X215" t="str">
        <f>IF(W215="","", IFERROR(VLOOKUP(W215, IF(D215="KET", 换算标准!$Q:$R, IF(D215="PET", 换算标准!$W:$X, 换算标准!$AI:$AJ)), 2, TRUE), 0))</f>
        <v/>
      </c>
      <c r="Y215" t="str">
        <f t="shared" si="15"/>
        <v/>
      </c>
      <c r="Z215" t="str">
        <f>IF(Y215="","", IFERROR(VLOOKUP(Y215, 换算标准!$Z:$AA, 1, TRUE), ""))</f>
        <v/>
      </c>
      <c r="AA215" s="5" t="str">
        <f>IF(L215="","", "⚠️ 薄弱环节: "&amp;INDEX($E$1:$K$1, MATCH(MIN(E215:K215), E215:K215, 0))&amp;CHAR(10)&amp;"📉 考察能力: "&amp;IFERROR(VLOOKUP(TRIM(D215)&amp;"_"&amp;TRIM(INDEX($E$1:$K$1, MATCH(MIN(E215:K215), E215:K215, 0))), 技能库!$A:$F, 5, 0),"建议查阅考纲")&amp;CHAR(10)&amp;"💡 提升建议: "&amp;IFERROR(VLOOKUP(TRIM(D215)&amp;"_"&amp;TRIM(INDEX($E$1:$K$1, MATCH(MIN(E215:K215), E215:K215, 0))), 技能库!$A:$F, 6, 0),"请针对该题型加强练习"))</f>
        <v/>
      </c>
      <c r="AB215" s="5" t="str">
        <f>IF(P215="","", "⚠️ 薄弱环节: "&amp;INDEX($N$1:$O$1, MATCH(MIN(N215:O215), N215:O215, 0))&amp;CHAR(10)&amp;"📉 考察能力: "&amp;IFERROR(VLOOKUP(TRIM(D215)&amp;"_"&amp;TRIM(INDEX($N$1:$O$1, MATCH(MIN(N215:O215), N215:O215, 0))), 技能库!$A:$F, 5, 0),"建议查阅考纲")&amp;CHAR(10)&amp;"💡 提升建议: "&amp;IFERROR(VLOOKUP(TRIM(D215)&amp;"_"&amp;TRIM(INDEX($N$1:$O$1, MATCH(MIN(N215:O215), N215:O215, 0))), 技能库!$A:$F, 6, 0),"请针对该题型加强练习"))</f>
        <v/>
      </c>
      <c r="AC215" s="5" t="str">
        <f>IF(W215="","", "⚠️ 薄弱环节: "&amp;INDEX($R$1:$V$1, MATCH(MIN(R215:V215), R215:V215, 0))&amp;CHAR(10)&amp;"📉 考察能力: "&amp;IFERROR(VLOOKUP(TRIM(D215)&amp;"_"&amp;TRIM(INDEX($R$1:$V$1, MATCH(MIN(R215:V215), R215:V215, 0))), 技能库!$A:$F, 5, 0),"建议查阅考纲")&amp;CHAR(10)&amp;"💡 提升建议: "&amp;IFERROR(VLOOKUP(TRIM(D215)&amp;"_"&amp;TRIM(INDEX($R$1:$V$1, MATCH(MIN(R215:V215), R215:V215, 0))), 技能库!$A:$F, 6, 0),"请针对该题型加强练习"))</f>
        <v/>
      </c>
    </row>
    <row r="216" spans="12:29" ht="16" hidden="1" x14ac:dyDescent="0.2">
      <c r="L216" t="str">
        <f t="shared" si="12"/>
        <v/>
      </c>
      <c r="M216" t="str">
        <f>IF(L216="","", IFERROR(VLOOKUP(L216, IF(D216="KET", 换算标准!$M:$N, IF(D216="PET", 换算标准!$S:$T, 换算标准!$AC:$AD)), 2, TRUE), 0))</f>
        <v/>
      </c>
      <c r="P216" t="str">
        <f t="shared" si="13"/>
        <v/>
      </c>
      <c r="Q216" t="str">
        <f>IF(P216="","", IFERROR(VLOOKUP(P216, IF(D216="KET", 换算标准!$O:$P, IF(D216="PET", 换算标准!$U:$V, 换算标准!$AG:$AH)), 2, TRUE), 0))</f>
        <v/>
      </c>
      <c r="W216" t="str">
        <f t="shared" si="14"/>
        <v/>
      </c>
      <c r="X216" t="str">
        <f>IF(W216="","", IFERROR(VLOOKUP(W216, IF(D216="KET", 换算标准!$Q:$R, IF(D216="PET", 换算标准!$W:$X, 换算标准!$AI:$AJ)), 2, TRUE), 0))</f>
        <v/>
      </c>
      <c r="Y216" t="str">
        <f t="shared" si="15"/>
        <v/>
      </c>
      <c r="Z216" t="str">
        <f>IF(Y216="","", IFERROR(VLOOKUP(Y216, 换算标准!$Z:$AA, 1, TRUE), ""))</f>
        <v/>
      </c>
      <c r="AA216" s="5" t="str">
        <f>IF(L216="","", "⚠️ 薄弱环节: "&amp;INDEX($E$1:$K$1, MATCH(MIN(E216:K216), E216:K216, 0))&amp;CHAR(10)&amp;"📉 考察能力: "&amp;IFERROR(VLOOKUP(TRIM(D216)&amp;"_"&amp;TRIM(INDEX($E$1:$K$1, MATCH(MIN(E216:K216), E216:K216, 0))), 技能库!$A:$F, 5, 0),"建议查阅考纲")&amp;CHAR(10)&amp;"💡 提升建议: "&amp;IFERROR(VLOOKUP(TRIM(D216)&amp;"_"&amp;TRIM(INDEX($E$1:$K$1, MATCH(MIN(E216:K216), E216:K216, 0))), 技能库!$A:$F, 6, 0),"请针对该题型加强练习"))</f>
        <v/>
      </c>
      <c r="AB216" s="5" t="str">
        <f>IF(P216="","", "⚠️ 薄弱环节: "&amp;INDEX($N$1:$O$1, MATCH(MIN(N216:O216), N216:O216, 0))&amp;CHAR(10)&amp;"📉 考察能力: "&amp;IFERROR(VLOOKUP(TRIM(D216)&amp;"_"&amp;TRIM(INDEX($N$1:$O$1, MATCH(MIN(N216:O216), N216:O216, 0))), 技能库!$A:$F, 5, 0),"建议查阅考纲")&amp;CHAR(10)&amp;"💡 提升建议: "&amp;IFERROR(VLOOKUP(TRIM(D216)&amp;"_"&amp;TRIM(INDEX($N$1:$O$1, MATCH(MIN(N216:O216), N216:O216, 0))), 技能库!$A:$F, 6, 0),"请针对该题型加强练习"))</f>
        <v/>
      </c>
      <c r="AC216" s="5" t="str">
        <f>IF(W216="","", "⚠️ 薄弱环节: "&amp;INDEX($R$1:$V$1, MATCH(MIN(R216:V216), R216:V216, 0))&amp;CHAR(10)&amp;"📉 考察能力: "&amp;IFERROR(VLOOKUP(TRIM(D216)&amp;"_"&amp;TRIM(INDEX($R$1:$V$1, MATCH(MIN(R216:V216), R216:V216, 0))), 技能库!$A:$F, 5, 0),"建议查阅考纲")&amp;CHAR(10)&amp;"💡 提升建议: "&amp;IFERROR(VLOOKUP(TRIM(D216)&amp;"_"&amp;TRIM(INDEX($R$1:$V$1, MATCH(MIN(R216:V216), R216:V216, 0))), 技能库!$A:$F, 6, 0),"请针对该题型加强练习"))</f>
        <v/>
      </c>
    </row>
    <row r="217" spans="12:29" ht="16" hidden="1" x14ac:dyDescent="0.2">
      <c r="L217" t="str">
        <f t="shared" si="12"/>
        <v/>
      </c>
      <c r="M217" t="str">
        <f>IF(L217="","", IFERROR(VLOOKUP(L217, IF(D217="KET", 换算标准!$M:$N, IF(D217="PET", 换算标准!$S:$T, 换算标准!$AC:$AD)), 2, TRUE), 0))</f>
        <v/>
      </c>
      <c r="P217" t="str">
        <f t="shared" si="13"/>
        <v/>
      </c>
      <c r="Q217" t="str">
        <f>IF(P217="","", IFERROR(VLOOKUP(P217, IF(D217="KET", 换算标准!$O:$P, IF(D217="PET", 换算标准!$U:$V, 换算标准!$AG:$AH)), 2, TRUE), 0))</f>
        <v/>
      </c>
      <c r="W217" t="str">
        <f t="shared" si="14"/>
        <v/>
      </c>
      <c r="X217" t="str">
        <f>IF(W217="","", IFERROR(VLOOKUP(W217, IF(D217="KET", 换算标准!$Q:$R, IF(D217="PET", 换算标准!$W:$X, 换算标准!$AI:$AJ)), 2, TRUE), 0))</f>
        <v/>
      </c>
      <c r="Y217" t="str">
        <f t="shared" si="15"/>
        <v/>
      </c>
      <c r="Z217" t="str">
        <f>IF(Y217="","", IFERROR(VLOOKUP(Y217, 换算标准!$Z:$AA, 1, TRUE), ""))</f>
        <v/>
      </c>
      <c r="AA217" s="5" t="str">
        <f>IF(L217="","", "⚠️ 薄弱环节: "&amp;INDEX($E$1:$K$1, MATCH(MIN(E217:K217), E217:K217, 0))&amp;CHAR(10)&amp;"📉 考察能力: "&amp;IFERROR(VLOOKUP(TRIM(D217)&amp;"_"&amp;TRIM(INDEX($E$1:$K$1, MATCH(MIN(E217:K217), E217:K217, 0))), 技能库!$A:$F, 5, 0),"建议查阅考纲")&amp;CHAR(10)&amp;"💡 提升建议: "&amp;IFERROR(VLOOKUP(TRIM(D217)&amp;"_"&amp;TRIM(INDEX($E$1:$K$1, MATCH(MIN(E217:K217), E217:K217, 0))), 技能库!$A:$F, 6, 0),"请针对该题型加强练习"))</f>
        <v/>
      </c>
      <c r="AB217" s="5" t="str">
        <f>IF(P217="","", "⚠️ 薄弱环节: "&amp;INDEX($N$1:$O$1, MATCH(MIN(N217:O217), N217:O217, 0))&amp;CHAR(10)&amp;"📉 考察能力: "&amp;IFERROR(VLOOKUP(TRIM(D217)&amp;"_"&amp;TRIM(INDEX($N$1:$O$1, MATCH(MIN(N217:O217), N217:O217, 0))), 技能库!$A:$F, 5, 0),"建议查阅考纲")&amp;CHAR(10)&amp;"💡 提升建议: "&amp;IFERROR(VLOOKUP(TRIM(D217)&amp;"_"&amp;TRIM(INDEX($N$1:$O$1, MATCH(MIN(N217:O217), N217:O217, 0))), 技能库!$A:$F, 6, 0),"请针对该题型加强练习"))</f>
        <v/>
      </c>
      <c r="AC217" s="5" t="str">
        <f>IF(W217="","", "⚠️ 薄弱环节: "&amp;INDEX($R$1:$V$1, MATCH(MIN(R217:V217), R217:V217, 0))&amp;CHAR(10)&amp;"📉 考察能力: "&amp;IFERROR(VLOOKUP(TRIM(D217)&amp;"_"&amp;TRIM(INDEX($R$1:$V$1, MATCH(MIN(R217:V217), R217:V217, 0))), 技能库!$A:$F, 5, 0),"建议查阅考纲")&amp;CHAR(10)&amp;"💡 提升建议: "&amp;IFERROR(VLOOKUP(TRIM(D217)&amp;"_"&amp;TRIM(INDEX($R$1:$V$1, MATCH(MIN(R217:V217), R217:V217, 0))), 技能库!$A:$F, 6, 0),"请针对该题型加强练习"))</f>
        <v/>
      </c>
    </row>
    <row r="218" spans="12:29" ht="16" hidden="1" x14ac:dyDescent="0.2">
      <c r="L218" t="str">
        <f t="shared" si="12"/>
        <v/>
      </c>
      <c r="M218" t="str">
        <f>IF(L218="","", IFERROR(VLOOKUP(L218, IF(D218="KET", 换算标准!$M:$N, IF(D218="PET", 换算标准!$S:$T, 换算标准!$AC:$AD)), 2, TRUE), 0))</f>
        <v/>
      </c>
      <c r="P218" t="str">
        <f t="shared" si="13"/>
        <v/>
      </c>
      <c r="Q218" t="str">
        <f>IF(P218="","", IFERROR(VLOOKUP(P218, IF(D218="KET", 换算标准!$O:$P, IF(D218="PET", 换算标准!$U:$V, 换算标准!$AG:$AH)), 2, TRUE), 0))</f>
        <v/>
      </c>
      <c r="W218" t="str">
        <f t="shared" si="14"/>
        <v/>
      </c>
      <c r="X218" t="str">
        <f>IF(W218="","", IFERROR(VLOOKUP(W218, IF(D218="KET", 换算标准!$Q:$R, IF(D218="PET", 换算标准!$W:$X, 换算标准!$AI:$AJ)), 2, TRUE), 0))</f>
        <v/>
      </c>
      <c r="Y218" t="str">
        <f t="shared" si="15"/>
        <v/>
      </c>
      <c r="Z218" t="str">
        <f>IF(Y218="","", IFERROR(VLOOKUP(Y218, 换算标准!$Z:$AA, 1, TRUE), ""))</f>
        <v/>
      </c>
      <c r="AA218" s="5" t="str">
        <f>IF(L218="","", "⚠️ 薄弱环节: "&amp;INDEX($E$1:$K$1, MATCH(MIN(E218:K218), E218:K218, 0))&amp;CHAR(10)&amp;"📉 考察能力: "&amp;IFERROR(VLOOKUP(TRIM(D218)&amp;"_"&amp;TRIM(INDEX($E$1:$K$1, MATCH(MIN(E218:K218), E218:K218, 0))), 技能库!$A:$F, 5, 0),"建议查阅考纲")&amp;CHAR(10)&amp;"💡 提升建议: "&amp;IFERROR(VLOOKUP(TRIM(D218)&amp;"_"&amp;TRIM(INDEX($E$1:$K$1, MATCH(MIN(E218:K218), E218:K218, 0))), 技能库!$A:$F, 6, 0),"请针对该题型加强练习"))</f>
        <v/>
      </c>
      <c r="AB218" s="5" t="str">
        <f>IF(P218="","", "⚠️ 薄弱环节: "&amp;INDEX($N$1:$O$1, MATCH(MIN(N218:O218), N218:O218, 0))&amp;CHAR(10)&amp;"📉 考察能力: "&amp;IFERROR(VLOOKUP(TRIM(D218)&amp;"_"&amp;TRIM(INDEX($N$1:$O$1, MATCH(MIN(N218:O218), N218:O218, 0))), 技能库!$A:$F, 5, 0),"建议查阅考纲")&amp;CHAR(10)&amp;"💡 提升建议: "&amp;IFERROR(VLOOKUP(TRIM(D218)&amp;"_"&amp;TRIM(INDEX($N$1:$O$1, MATCH(MIN(N218:O218), N218:O218, 0))), 技能库!$A:$F, 6, 0),"请针对该题型加强练习"))</f>
        <v/>
      </c>
      <c r="AC218" s="5" t="str">
        <f>IF(W218="","", "⚠️ 薄弱环节: "&amp;INDEX($R$1:$V$1, MATCH(MIN(R218:V218), R218:V218, 0))&amp;CHAR(10)&amp;"📉 考察能力: "&amp;IFERROR(VLOOKUP(TRIM(D218)&amp;"_"&amp;TRIM(INDEX($R$1:$V$1, MATCH(MIN(R218:V218), R218:V218, 0))), 技能库!$A:$F, 5, 0),"建议查阅考纲")&amp;CHAR(10)&amp;"💡 提升建议: "&amp;IFERROR(VLOOKUP(TRIM(D218)&amp;"_"&amp;TRIM(INDEX($R$1:$V$1, MATCH(MIN(R218:V218), R218:V218, 0))), 技能库!$A:$F, 6, 0),"请针对该题型加强练习"))</f>
        <v/>
      </c>
    </row>
    <row r="219" spans="12:29" ht="16" hidden="1" x14ac:dyDescent="0.2">
      <c r="L219" t="str">
        <f t="shared" si="12"/>
        <v/>
      </c>
      <c r="M219" t="str">
        <f>IF(L219="","", IFERROR(VLOOKUP(L219, IF(D219="KET", 换算标准!$M:$N, IF(D219="PET", 换算标准!$S:$T, 换算标准!$AC:$AD)), 2, TRUE), 0))</f>
        <v/>
      </c>
      <c r="P219" t="str">
        <f t="shared" si="13"/>
        <v/>
      </c>
      <c r="Q219" t="str">
        <f>IF(P219="","", IFERROR(VLOOKUP(P219, IF(D219="KET", 换算标准!$O:$P, IF(D219="PET", 换算标准!$U:$V, 换算标准!$AG:$AH)), 2, TRUE), 0))</f>
        <v/>
      </c>
      <c r="W219" t="str">
        <f t="shared" si="14"/>
        <v/>
      </c>
      <c r="X219" t="str">
        <f>IF(W219="","", IFERROR(VLOOKUP(W219, IF(D219="KET", 换算标准!$Q:$R, IF(D219="PET", 换算标准!$W:$X, 换算标准!$AI:$AJ)), 2, TRUE), 0))</f>
        <v/>
      </c>
      <c r="Y219" t="str">
        <f t="shared" si="15"/>
        <v/>
      </c>
      <c r="Z219" t="str">
        <f>IF(Y219="","", IFERROR(VLOOKUP(Y219, 换算标准!$Z:$AA, 1, TRUE), ""))</f>
        <v/>
      </c>
      <c r="AA219" s="5" t="str">
        <f>IF(L219="","", "⚠️ 薄弱环节: "&amp;INDEX($E$1:$K$1, MATCH(MIN(E219:K219), E219:K219, 0))&amp;CHAR(10)&amp;"📉 考察能力: "&amp;IFERROR(VLOOKUP(TRIM(D219)&amp;"_"&amp;TRIM(INDEX($E$1:$K$1, MATCH(MIN(E219:K219), E219:K219, 0))), 技能库!$A:$F, 5, 0),"建议查阅考纲")&amp;CHAR(10)&amp;"💡 提升建议: "&amp;IFERROR(VLOOKUP(TRIM(D219)&amp;"_"&amp;TRIM(INDEX($E$1:$K$1, MATCH(MIN(E219:K219), E219:K219, 0))), 技能库!$A:$F, 6, 0),"请针对该题型加强练习"))</f>
        <v/>
      </c>
      <c r="AB219" s="5" t="str">
        <f>IF(P219="","", "⚠️ 薄弱环节: "&amp;INDEX($N$1:$O$1, MATCH(MIN(N219:O219), N219:O219, 0))&amp;CHAR(10)&amp;"📉 考察能力: "&amp;IFERROR(VLOOKUP(TRIM(D219)&amp;"_"&amp;TRIM(INDEX($N$1:$O$1, MATCH(MIN(N219:O219), N219:O219, 0))), 技能库!$A:$F, 5, 0),"建议查阅考纲")&amp;CHAR(10)&amp;"💡 提升建议: "&amp;IFERROR(VLOOKUP(TRIM(D219)&amp;"_"&amp;TRIM(INDEX($N$1:$O$1, MATCH(MIN(N219:O219), N219:O219, 0))), 技能库!$A:$F, 6, 0),"请针对该题型加强练习"))</f>
        <v/>
      </c>
      <c r="AC219" s="5" t="str">
        <f>IF(W219="","", "⚠️ 薄弱环节: "&amp;INDEX($R$1:$V$1, MATCH(MIN(R219:V219), R219:V219, 0))&amp;CHAR(10)&amp;"📉 考察能力: "&amp;IFERROR(VLOOKUP(TRIM(D219)&amp;"_"&amp;TRIM(INDEX($R$1:$V$1, MATCH(MIN(R219:V219), R219:V219, 0))), 技能库!$A:$F, 5, 0),"建议查阅考纲")&amp;CHAR(10)&amp;"💡 提升建议: "&amp;IFERROR(VLOOKUP(TRIM(D219)&amp;"_"&amp;TRIM(INDEX($R$1:$V$1, MATCH(MIN(R219:V219), R219:V219, 0))), 技能库!$A:$F, 6, 0),"请针对该题型加强练习"))</f>
        <v/>
      </c>
    </row>
    <row r="220" spans="12:29" ht="16" hidden="1" x14ac:dyDescent="0.2">
      <c r="L220" t="str">
        <f t="shared" si="12"/>
        <v/>
      </c>
      <c r="M220" t="str">
        <f>IF(L220="","", IFERROR(VLOOKUP(L220, IF(D220="KET", 换算标准!$M:$N, IF(D220="PET", 换算标准!$S:$T, 换算标准!$AC:$AD)), 2, TRUE), 0))</f>
        <v/>
      </c>
      <c r="P220" t="str">
        <f t="shared" si="13"/>
        <v/>
      </c>
      <c r="Q220" t="str">
        <f>IF(P220="","", IFERROR(VLOOKUP(P220, IF(D220="KET", 换算标准!$O:$P, IF(D220="PET", 换算标准!$U:$V, 换算标准!$AG:$AH)), 2, TRUE), 0))</f>
        <v/>
      </c>
      <c r="W220" t="str">
        <f t="shared" si="14"/>
        <v/>
      </c>
      <c r="X220" t="str">
        <f>IF(W220="","", IFERROR(VLOOKUP(W220, IF(D220="KET", 换算标准!$Q:$R, IF(D220="PET", 换算标准!$W:$X, 换算标准!$AI:$AJ)), 2, TRUE), 0))</f>
        <v/>
      </c>
      <c r="Y220" t="str">
        <f t="shared" si="15"/>
        <v/>
      </c>
      <c r="Z220" t="str">
        <f>IF(Y220="","", IFERROR(VLOOKUP(Y220, 换算标准!$Z:$AA, 1, TRUE), ""))</f>
        <v/>
      </c>
      <c r="AA220" s="5" t="str">
        <f>IF(L220="","", "⚠️ 薄弱环节: "&amp;INDEX($E$1:$K$1, MATCH(MIN(E220:K220), E220:K220, 0))&amp;CHAR(10)&amp;"📉 考察能力: "&amp;IFERROR(VLOOKUP(TRIM(D220)&amp;"_"&amp;TRIM(INDEX($E$1:$K$1, MATCH(MIN(E220:K220), E220:K220, 0))), 技能库!$A:$F, 5, 0),"建议查阅考纲")&amp;CHAR(10)&amp;"💡 提升建议: "&amp;IFERROR(VLOOKUP(TRIM(D220)&amp;"_"&amp;TRIM(INDEX($E$1:$K$1, MATCH(MIN(E220:K220), E220:K220, 0))), 技能库!$A:$F, 6, 0),"请针对该题型加强练习"))</f>
        <v/>
      </c>
      <c r="AB220" s="5" t="str">
        <f>IF(P220="","", "⚠️ 薄弱环节: "&amp;INDEX($N$1:$O$1, MATCH(MIN(N220:O220), N220:O220, 0))&amp;CHAR(10)&amp;"📉 考察能力: "&amp;IFERROR(VLOOKUP(TRIM(D220)&amp;"_"&amp;TRIM(INDEX($N$1:$O$1, MATCH(MIN(N220:O220), N220:O220, 0))), 技能库!$A:$F, 5, 0),"建议查阅考纲")&amp;CHAR(10)&amp;"💡 提升建议: "&amp;IFERROR(VLOOKUP(TRIM(D220)&amp;"_"&amp;TRIM(INDEX($N$1:$O$1, MATCH(MIN(N220:O220), N220:O220, 0))), 技能库!$A:$F, 6, 0),"请针对该题型加强练习"))</f>
        <v/>
      </c>
      <c r="AC220" s="5" t="str">
        <f>IF(W220="","", "⚠️ 薄弱环节: "&amp;INDEX($R$1:$V$1, MATCH(MIN(R220:V220), R220:V220, 0))&amp;CHAR(10)&amp;"📉 考察能力: "&amp;IFERROR(VLOOKUP(TRIM(D220)&amp;"_"&amp;TRIM(INDEX($R$1:$V$1, MATCH(MIN(R220:V220), R220:V220, 0))), 技能库!$A:$F, 5, 0),"建议查阅考纲")&amp;CHAR(10)&amp;"💡 提升建议: "&amp;IFERROR(VLOOKUP(TRIM(D220)&amp;"_"&amp;TRIM(INDEX($R$1:$V$1, MATCH(MIN(R220:V220), R220:V220, 0))), 技能库!$A:$F, 6, 0),"请针对该题型加强练习"))</f>
        <v/>
      </c>
    </row>
    <row r="221" spans="12:29" ht="16" hidden="1" x14ac:dyDescent="0.2">
      <c r="L221" t="str">
        <f t="shared" si="12"/>
        <v/>
      </c>
      <c r="M221" t="str">
        <f>IF(L221="","", IFERROR(VLOOKUP(L221, IF(D221="KET", 换算标准!$M:$N, IF(D221="PET", 换算标准!$S:$T, 换算标准!$AC:$AD)), 2, TRUE), 0))</f>
        <v/>
      </c>
      <c r="P221" t="str">
        <f t="shared" si="13"/>
        <v/>
      </c>
      <c r="Q221" t="str">
        <f>IF(P221="","", IFERROR(VLOOKUP(P221, IF(D221="KET", 换算标准!$O:$P, IF(D221="PET", 换算标准!$U:$V, 换算标准!$AG:$AH)), 2, TRUE), 0))</f>
        <v/>
      </c>
      <c r="W221" t="str">
        <f t="shared" si="14"/>
        <v/>
      </c>
      <c r="X221" t="str">
        <f>IF(W221="","", IFERROR(VLOOKUP(W221, IF(D221="KET", 换算标准!$Q:$R, IF(D221="PET", 换算标准!$W:$X, 换算标准!$AI:$AJ)), 2, TRUE), 0))</f>
        <v/>
      </c>
      <c r="Y221" t="str">
        <f t="shared" si="15"/>
        <v/>
      </c>
      <c r="Z221" t="str">
        <f>IF(Y221="","", IFERROR(VLOOKUP(Y221, 换算标准!$Z:$AA, 1, TRUE), ""))</f>
        <v/>
      </c>
      <c r="AA221" s="5" t="str">
        <f>IF(L221="","", "⚠️ 薄弱环节: "&amp;INDEX($E$1:$K$1, MATCH(MIN(E221:K221), E221:K221, 0))&amp;CHAR(10)&amp;"📉 考察能力: "&amp;IFERROR(VLOOKUP(TRIM(D221)&amp;"_"&amp;TRIM(INDEX($E$1:$K$1, MATCH(MIN(E221:K221), E221:K221, 0))), 技能库!$A:$F, 5, 0),"建议查阅考纲")&amp;CHAR(10)&amp;"💡 提升建议: "&amp;IFERROR(VLOOKUP(TRIM(D221)&amp;"_"&amp;TRIM(INDEX($E$1:$K$1, MATCH(MIN(E221:K221), E221:K221, 0))), 技能库!$A:$F, 6, 0),"请针对该题型加强练习"))</f>
        <v/>
      </c>
      <c r="AB221" s="5" t="str">
        <f>IF(P221="","", "⚠️ 薄弱环节: "&amp;INDEX($N$1:$O$1, MATCH(MIN(N221:O221), N221:O221, 0))&amp;CHAR(10)&amp;"📉 考察能力: "&amp;IFERROR(VLOOKUP(TRIM(D221)&amp;"_"&amp;TRIM(INDEX($N$1:$O$1, MATCH(MIN(N221:O221), N221:O221, 0))), 技能库!$A:$F, 5, 0),"建议查阅考纲")&amp;CHAR(10)&amp;"💡 提升建议: "&amp;IFERROR(VLOOKUP(TRIM(D221)&amp;"_"&amp;TRIM(INDEX($N$1:$O$1, MATCH(MIN(N221:O221), N221:O221, 0))), 技能库!$A:$F, 6, 0),"请针对该题型加强练习"))</f>
        <v/>
      </c>
      <c r="AC221" s="5" t="str">
        <f>IF(W221="","", "⚠️ 薄弱环节: "&amp;INDEX($R$1:$V$1, MATCH(MIN(R221:V221), R221:V221, 0))&amp;CHAR(10)&amp;"📉 考察能力: "&amp;IFERROR(VLOOKUP(TRIM(D221)&amp;"_"&amp;TRIM(INDEX($R$1:$V$1, MATCH(MIN(R221:V221), R221:V221, 0))), 技能库!$A:$F, 5, 0),"建议查阅考纲")&amp;CHAR(10)&amp;"💡 提升建议: "&amp;IFERROR(VLOOKUP(TRIM(D221)&amp;"_"&amp;TRIM(INDEX($R$1:$V$1, MATCH(MIN(R221:V221), R221:V221, 0))), 技能库!$A:$F, 6, 0),"请针对该题型加强练习"))</f>
        <v/>
      </c>
    </row>
    <row r="222" spans="12:29" ht="16" hidden="1" x14ac:dyDescent="0.2">
      <c r="L222" t="str">
        <f t="shared" si="12"/>
        <v/>
      </c>
      <c r="M222" t="str">
        <f>IF(L222="","", IFERROR(VLOOKUP(L222, IF(D222="KET", 换算标准!$M:$N, IF(D222="PET", 换算标准!$S:$T, 换算标准!$AC:$AD)), 2, TRUE), 0))</f>
        <v/>
      </c>
      <c r="P222" t="str">
        <f t="shared" si="13"/>
        <v/>
      </c>
      <c r="Q222" t="str">
        <f>IF(P222="","", IFERROR(VLOOKUP(P222, IF(D222="KET", 换算标准!$O:$P, IF(D222="PET", 换算标准!$U:$V, 换算标准!$AG:$AH)), 2, TRUE), 0))</f>
        <v/>
      </c>
      <c r="W222" t="str">
        <f t="shared" si="14"/>
        <v/>
      </c>
      <c r="X222" t="str">
        <f>IF(W222="","", IFERROR(VLOOKUP(W222, IF(D222="KET", 换算标准!$Q:$R, IF(D222="PET", 换算标准!$W:$X, 换算标准!$AI:$AJ)), 2, TRUE), 0))</f>
        <v/>
      </c>
      <c r="Y222" t="str">
        <f t="shared" si="15"/>
        <v/>
      </c>
      <c r="Z222" t="str">
        <f>IF(Y222="","", IFERROR(VLOOKUP(Y222, 换算标准!$Z:$AA, 1, TRUE), ""))</f>
        <v/>
      </c>
      <c r="AA222" s="5" t="str">
        <f>IF(L222="","", "⚠️ 薄弱环节: "&amp;INDEX($E$1:$K$1, MATCH(MIN(E222:K222), E222:K222, 0))&amp;CHAR(10)&amp;"📉 考察能力: "&amp;IFERROR(VLOOKUP(TRIM(D222)&amp;"_"&amp;TRIM(INDEX($E$1:$K$1, MATCH(MIN(E222:K222), E222:K222, 0))), 技能库!$A:$F, 5, 0),"建议查阅考纲")&amp;CHAR(10)&amp;"💡 提升建议: "&amp;IFERROR(VLOOKUP(TRIM(D222)&amp;"_"&amp;TRIM(INDEX($E$1:$K$1, MATCH(MIN(E222:K222), E222:K222, 0))), 技能库!$A:$F, 6, 0),"请针对该题型加强练习"))</f>
        <v/>
      </c>
      <c r="AB222" s="5" t="str">
        <f>IF(P222="","", "⚠️ 薄弱环节: "&amp;INDEX($N$1:$O$1, MATCH(MIN(N222:O222), N222:O222, 0))&amp;CHAR(10)&amp;"📉 考察能力: "&amp;IFERROR(VLOOKUP(TRIM(D222)&amp;"_"&amp;TRIM(INDEX($N$1:$O$1, MATCH(MIN(N222:O222), N222:O222, 0))), 技能库!$A:$F, 5, 0),"建议查阅考纲")&amp;CHAR(10)&amp;"💡 提升建议: "&amp;IFERROR(VLOOKUP(TRIM(D222)&amp;"_"&amp;TRIM(INDEX($N$1:$O$1, MATCH(MIN(N222:O222), N222:O222, 0))), 技能库!$A:$F, 6, 0),"请针对该题型加强练习"))</f>
        <v/>
      </c>
      <c r="AC222" s="5" t="str">
        <f>IF(W222="","", "⚠️ 薄弱环节: "&amp;INDEX($R$1:$V$1, MATCH(MIN(R222:V222), R222:V222, 0))&amp;CHAR(10)&amp;"📉 考察能力: "&amp;IFERROR(VLOOKUP(TRIM(D222)&amp;"_"&amp;TRIM(INDEX($R$1:$V$1, MATCH(MIN(R222:V222), R222:V222, 0))), 技能库!$A:$F, 5, 0),"建议查阅考纲")&amp;CHAR(10)&amp;"💡 提升建议: "&amp;IFERROR(VLOOKUP(TRIM(D222)&amp;"_"&amp;TRIM(INDEX($R$1:$V$1, MATCH(MIN(R222:V222), R222:V222, 0))), 技能库!$A:$F, 6, 0),"请针对该题型加强练习"))</f>
        <v/>
      </c>
    </row>
    <row r="223" spans="12:29" ht="16" hidden="1" x14ac:dyDescent="0.2">
      <c r="L223" t="str">
        <f t="shared" si="12"/>
        <v/>
      </c>
      <c r="M223" t="str">
        <f>IF(L223="","", IFERROR(VLOOKUP(L223, IF(D223="KET", 换算标准!$M:$N, IF(D223="PET", 换算标准!$S:$T, 换算标准!$AC:$AD)), 2, TRUE), 0))</f>
        <v/>
      </c>
      <c r="P223" t="str">
        <f t="shared" si="13"/>
        <v/>
      </c>
      <c r="Q223" t="str">
        <f>IF(P223="","", IFERROR(VLOOKUP(P223, IF(D223="KET", 换算标准!$O:$P, IF(D223="PET", 换算标准!$U:$V, 换算标准!$AG:$AH)), 2, TRUE), 0))</f>
        <v/>
      </c>
      <c r="W223" t="str">
        <f t="shared" si="14"/>
        <v/>
      </c>
      <c r="X223" t="str">
        <f>IF(W223="","", IFERROR(VLOOKUP(W223, IF(D223="KET", 换算标准!$Q:$R, IF(D223="PET", 换算标准!$W:$X, 换算标准!$AI:$AJ)), 2, TRUE), 0))</f>
        <v/>
      </c>
      <c r="Y223" t="str">
        <f t="shared" si="15"/>
        <v/>
      </c>
      <c r="Z223" t="str">
        <f>IF(Y223="","", IFERROR(VLOOKUP(Y223, 换算标准!$Z:$AA, 1, TRUE), ""))</f>
        <v/>
      </c>
      <c r="AA223" s="5" t="str">
        <f>IF(L223="","", "⚠️ 薄弱环节: "&amp;INDEX($E$1:$K$1, MATCH(MIN(E223:K223), E223:K223, 0))&amp;CHAR(10)&amp;"📉 考察能力: "&amp;IFERROR(VLOOKUP(TRIM(D223)&amp;"_"&amp;TRIM(INDEX($E$1:$K$1, MATCH(MIN(E223:K223), E223:K223, 0))), 技能库!$A:$F, 5, 0),"建议查阅考纲")&amp;CHAR(10)&amp;"💡 提升建议: "&amp;IFERROR(VLOOKUP(TRIM(D223)&amp;"_"&amp;TRIM(INDEX($E$1:$K$1, MATCH(MIN(E223:K223), E223:K223, 0))), 技能库!$A:$F, 6, 0),"请针对该题型加强练习"))</f>
        <v/>
      </c>
      <c r="AB223" s="5" t="str">
        <f>IF(P223="","", "⚠️ 薄弱环节: "&amp;INDEX($N$1:$O$1, MATCH(MIN(N223:O223), N223:O223, 0))&amp;CHAR(10)&amp;"📉 考察能力: "&amp;IFERROR(VLOOKUP(TRIM(D223)&amp;"_"&amp;TRIM(INDEX($N$1:$O$1, MATCH(MIN(N223:O223), N223:O223, 0))), 技能库!$A:$F, 5, 0),"建议查阅考纲")&amp;CHAR(10)&amp;"💡 提升建议: "&amp;IFERROR(VLOOKUP(TRIM(D223)&amp;"_"&amp;TRIM(INDEX($N$1:$O$1, MATCH(MIN(N223:O223), N223:O223, 0))), 技能库!$A:$F, 6, 0),"请针对该题型加强练习"))</f>
        <v/>
      </c>
      <c r="AC223" s="5" t="str">
        <f>IF(W223="","", "⚠️ 薄弱环节: "&amp;INDEX($R$1:$V$1, MATCH(MIN(R223:V223), R223:V223, 0))&amp;CHAR(10)&amp;"📉 考察能力: "&amp;IFERROR(VLOOKUP(TRIM(D223)&amp;"_"&amp;TRIM(INDEX($R$1:$V$1, MATCH(MIN(R223:V223), R223:V223, 0))), 技能库!$A:$F, 5, 0),"建议查阅考纲")&amp;CHAR(10)&amp;"💡 提升建议: "&amp;IFERROR(VLOOKUP(TRIM(D223)&amp;"_"&amp;TRIM(INDEX($R$1:$V$1, MATCH(MIN(R223:V223), R223:V223, 0))), 技能库!$A:$F, 6, 0),"请针对该题型加强练习"))</f>
        <v/>
      </c>
    </row>
    <row r="224" spans="12:29" ht="16" hidden="1" x14ac:dyDescent="0.2">
      <c r="L224" t="str">
        <f t="shared" si="12"/>
        <v/>
      </c>
      <c r="M224" t="str">
        <f>IF(L224="","", IFERROR(VLOOKUP(L224, IF(D224="KET", 换算标准!$M:$N, IF(D224="PET", 换算标准!$S:$T, 换算标准!$AC:$AD)), 2, TRUE), 0))</f>
        <v/>
      </c>
      <c r="P224" t="str">
        <f t="shared" si="13"/>
        <v/>
      </c>
      <c r="Q224" t="str">
        <f>IF(P224="","", IFERROR(VLOOKUP(P224, IF(D224="KET", 换算标准!$O:$P, IF(D224="PET", 换算标准!$U:$V, 换算标准!$AG:$AH)), 2, TRUE), 0))</f>
        <v/>
      </c>
      <c r="W224" t="str">
        <f t="shared" si="14"/>
        <v/>
      </c>
      <c r="X224" t="str">
        <f>IF(W224="","", IFERROR(VLOOKUP(W224, IF(D224="KET", 换算标准!$Q:$R, IF(D224="PET", 换算标准!$W:$X, 换算标准!$AI:$AJ)), 2, TRUE), 0))</f>
        <v/>
      </c>
      <c r="Y224" t="str">
        <f t="shared" si="15"/>
        <v/>
      </c>
      <c r="Z224" t="str">
        <f>IF(Y224="","", IFERROR(VLOOKUP(Y224, 换算标准!$Z:$AA, 1, TRUE), ""))</f>
        <v/>
      </c>
      <c r="AA224" s="5" t="str">
        <f>IF(L224="","", "⚠️ 薄弱环节: "&amp;INDEX($E$1:$K$1, MATCH(MIN(E224:K224), E224:K224, 0))&amp;CHAR(10)&amp;"📉 考察能力: "&amp;IFERROR(VLOOKUP(TRIM(D224)&amp;"_"&amp;TRIM(INDEX($E$1:$K$1, MATCH(MIN(E224:K224), E224:K224, 0))), 技能库!$A:$F, 5, 0),"建议查阅考纲")&amp;CHAR(10)&amp;"💡 提升建议: "&amp;IFERROR(VLOOKUP(TRIM(D224)&amp;"_"&amp;TRIM(INDEX($E$1:$K$1, MATCH(MIN(E224:K224), E224:K224, 0))), 技能库!$A:$F, 6, 0),"请针对该题型加强练习"))</f>
        <v/>
      </c>
      <c r="AB224" s="5" t="str">
        <f>IF(P224="","", "⚠️ 薄弱环节: "&amp;INDEX($N$1:$O$1, MATCH(MIN(N224:O224), N224:O224, 0))&amp;CHAR(10)&amp;"📉 考察能力: "&amp;IFERROR(VLOOKUP(TRIM(D224)&amp;"_"&amp;TRIM(INDEX($N$1:$O$1, MATCH(MIN(N224:O224), N224:O224, 0))), 技能库!$A:$F, 5, 0),"建议查阅考纲")&amp;CHAR(10)&amp;"💡 提升建议: "&amp;IFERROR(VLOOKUP(TRIM(D224)&amp;"_"&amp;TRIM(INDEX($N$1:$O$1, MATCH(MIN(N224:O224), N224:O224, 0))), 技能库!$A:$F, 6, 0),"请针对该题型加强练习"))</f>
        <v/>
      </c>
      <c r="AC224" s="5" t="str">
        <f>IF(W224="","", "⚠️ 薄弱环节: "&amp;INDEX($R$1:$V$1, MATCH(MIN(R224:V224), R224:V224, 0))&amp;CHAR(10)&amp;"📉 考察能力: "&amp;IFERROR(VLOOKUP(TRIM(D224)&amp;"_"&amp;TRIM(INDEX($R$1:$V$1, MATCH(MIN(R224:V224), R224:V224, 0))), 技能库!$A:$F, 5, 0),"建议查阅考纲")&amp;CHAR(10)&amp;"💡 提升建议: "&amp;IFERROR(VLOOKUP(TRIM(D224)&amp;"_"&amp;TRIM(INDEX($R$1:$V$1, MATCH(MIN(R224:V224), R224:V224, 0))), 技能库!$A:$F, 6, 0),"请针对该题型加强练习"))</f>
        <v/>
      </c>
    </row>
    <row r="225" spans="12:29" ht="16" hidden="1" x14ac:dyDescent="0.2">
      <c r="L225" t="str">
        <f t="shared" si="12"/>
        <v/>
      </c>
      <c r="M225" t="str">
        <f>IF(L225="","", IFERROR(VLOOKUP(L225, IF(D225="KET", 换算标准!$M:$N, IF(D225="PET", 换算标准!$S:$T, 换算标准!$AC:$AD)), 2, TRUE), 0))</f>
        <v/>
      </c>
      <c r="P225" t="str">
        <f t="shared" si="13"/>
        <v/>
      </c>
      <c r="Q225" t="str">
        <f>IF(P225="","", IFERROR(VLOOKUP(P225, IF(D225="KET", 换算标准!$O:$P, IF(D225="PET", 换算标准!$U:$V, 换算标准!$AG:$AH)), 2, TRUE), 0))</f>
        <v/>
      </c>
      <c r="W225" t="str">
        <f t="shared" si="14"/>
        <v/>
      </c>
      <c r="X225" t="str">
        <f>IF(W225="","", IFERROR(VLOOKUP(W225, IF(D225="KET", 换算标准!$Q:$R, IF(D225="PET", 换算标准!$W:$X, 换算标准!$AI:$AJ)), 2, TRUE), 0))</f>
        <v/>
      </c>
      <c r="Y225" t="str">
        <f t="shared" si="15"/>
        <v/>
      </c>
      <c r="Z225" t="str">
        <f>IF(Y225="","", IFERROR(VLOOKUP(Y225, 换算标准!$Z:$AA, 1, TRUE), ""))</f>
        <v/>
      </c>
      <c r="AA225" s="5" t="str">
        <f>IF(L225="","", "⚠️ 薄弱环节: "&amp;INDEX($E$1:$K$1, MATCH(MIN(E225:K225), E225:K225, 0))&amp;CHAR(10)&amp;"📉 考察能力: "&amp;IFERROR(VLOOKUP(TRIM(D225)&amp;"_"&amp;TRIM(INDEX($E$1:$K$1, MATCH(MIN(E225:K225), E225:K225, 0))), 技能库!$A:$F, 5, 0),"建议查阅考纲")&amp;CHAR(10)&amp;"💡 提升建议: "&amp;IFERROR(VLOOKUP(TRIM(D225)&amp;"_"&amp;TRIM(INDEX($E$1:$K$1, MATCH(MIN(E225:K225), E225:K225, 0))), 技能库!$A:$F, 6, 0),"请针对该题型加强练习"))</f>
        <v/>
      </c>
      <c r="AB225" s="5" t="str">
        <f>IF(P225="","", "⚠️ 薄弱环节: "&amp;INDEX($N$1:$O$1, MATCH(MIN(N225:O225), N225:O225, 0))&amp;CHAR(10)&amp;"📉 考察能力: "&amp;IFERROR(VLOOKUP(TRIM(D225)&amp;"_"&amp;TRIM(INDEX($N$1:$O$1, MATCH(MIN(N225:O225), N225:O225, 0))), 技能库!$A:$F, 5, 0),"建议查阅考纲")&amp;CHAR(10)&amp;"💡 提升建议: "&amp;IFERROR(VLOOKUP(TRIM(D225)&amp;"_"&amp;TRIM(INDEX($N$1:$O$1, MATCH(MIN(N225:O225), N225:O225, 0))), 技能库!$A:$F, 6, 0),"请针对该题型加强练习"))</f>
        <v/>
      </c>
      <c r="AC225" s="5" t="str">
        <f>IF(W225="","", "⚠️ 薄弱环节: "&amp;INDEX($R$1:$V$1, MATCH(MIN(R225:V225), R225:V225, 0))&amp;CHAR(10)&amp;"📉 考察能力: "&amp;IFERROR(VLOOKUP(TRIM(D225)&amp;"_"&amp;TRIM(INDEX($R$1:$V$1, MATCH(MIN(R225:V225), R225:V225, 0))), 技能库!$A:$F, 5, 0),"建议查阅考纲")&amp;CHAR(10)&amp;"💡 提升建议: "&amp;IFERROR(VLOOKUP(TRIM(D225)&amp;"_"&amp;TRIM(INDEX($R$1:$V$1, MATCH(MIN(R225:V225), R225:V225, 0))), 技能库!$A:$F, 6, 0),"请针对该题型加强练习"))</f>
        <v/>
      </c>
    </row>
    <row r="226" spans="12:29" ht="16" hidden="1" x14ac:dyDescent="0.2">
      <c r="L226" t="str">
        <f t="shared" si="12"/>
        <v/>
      </c>
      <c r="M226" t="str">
        <f>IF(L226="","", IFERROR(VLOOKUP(L226, IF(D226="KET", 换算标准!$M:$N, IF(D226="PET", 换算标准!$S:$T, 换算标准!$AC:$AD)), 2, TRUE), 0))</f>
        <v/>
      </c>
      <c r="P226" t="str">
        <f t="shared" si="13"/>
        <v/>
      </c>
      <c r="Q226" t="str">
        <f>IF(P226="","", IFERROR(VLOOKUP(P226, IF(D226="KET", 换算标准!$O:$P, IF(D226="PET", 换算标准!$U:$V, 换算标准!$AG:$AH)), 2, TRUE), 0))</f>
        <v/>
      </c>
      <c r="W226" t="str">
        <f t="shared" si="14"/>
        <v/>
      </c>
      <c r="X226" t="str">
        <f>IF(W226="","", IFERROR(VLOOKUP(W226, IF(D226="KET", 换算标准!$Q:$R, IF(D226="PET", 换算标准!$W:$X, 换算标准!$AI:$AJ)), 2, TRUE), 0))</f>
        <v/>
      </c>
      <c r="Y226" t="str">
        <f t="shared" si="15"/>
        <v/>
      </c>
      <c r="Z226" t="str">
        <f>IF(Y226="","", IFERROR(VLOOKUP(Y226, 换算标准!$Z:$AA, 1, TRUE), ""))</f>
        <v/>
      </c>
      <c r="AA226" s="5" t="str">
        <f>IF(L226="","", "⚠️ 薄弱环节: "&amp;INDEX($E$1:$K$1, MATCH(MIN(E226:K226), E226:K226, 0))&amp;CHAR(10)&amp;"📉 考察能力: "&amp;IFERROR(VLOOKUP(TRIM(D226)&amp;"_"&amp;TRIM(INDEX($E$1:$K$1, MATCH(MIN(E226:K226), E226:K226, 0))), 技能库!$A:$F, 5, 0),"建议查阅考纲")&amp;CHAR(10)&amp;"💡 提升建议: "&amp;IFERROR(VLOOKUP(TRIM(D226)&amp;"_"&amp;TRIM(INDEX($E$1:$K$1, MATCH(MIN(E226:K226), E226:K226, 0))), 技能库!$A:$F, 6, 0),"请针对该题型加强练习"))</f>
        <v/>
      </c>
      <c r="AB226" s="5" t="str">
        <f>IF(P226="","", "⚠️ 薄弱环节: "&amp;INDEX($N$1:$O$1, MATCH(MIN(N226:O226), N226:O226, 0))&amp;CHAR(10)&amp;"📉 考察能力: "&amp;IFERROR(VLOOKUP(TRIM(D226)&amp;"_"&amp;TRIM(INDEX($N$1:$O$1, MATCH(MIN(N226:O226), N226:O226, 0))), 技能库!$A:$F, 5, 0),"建议查阅考纲")&amp;CHAR(10)&amp;"💡 提升建议: "&amp;IFERROR(VLOOKUP(TRIM(D226)&amp;"_"&amp;TRIM(INDEX($N$1:$O$1, MATCH(MIN(N226:O226), N226:O226, 0))), 技能库!$A:$F, 6, 0),"请针对该题型加强练习"))</f>
        <v/>
      </c>
      <c r="AC226" s="5" t="str">
        <f>IF(W226="","", "⚠️ 薄弱环节: "&amp;INDEX($R$1:$V$1, MATCH(MIN(R226:V226), R226:V226, 0))&amp;CHAR(10)&amp;"📉 考察能力: "&amp;IFERROR(VLOOKUP(TRIM(D226)&amp;"_"&amp;TRIM(INDEX($R$1:$V$1, MATCH(MIN(R226:V226), R226:V226, 0))), 技能库!$A:$F, 5, 0),"建议查阅考纲")&amp;CHAR(10)&amp;"💡 提升建议: "&amp;IFERROR(VLOOKUP(TRIM(D226)&amp;"_"&amp;TRIM(INDEX($R$1:$V$1, MATCH(MIN(R226:V226), R226:V226, 0))), 技能库!$A:$F, 6, 0),"请针对该题型加强练习"))</f>
        <v/>
      </c>
    </row>
    <row r="227" spans="12:29" ht="16" hidden="1" x14ac:dyDescent="0.2">
      <c r="L227" t="str">
        <f t="shared" si="12"/>
        <v/>
      </c>
      <c r="M227" t="str">
        <f>IF(L227="","", IFERROR(VLOOKUP(L227, IF(D227="KET", 换算标准!$M:$N, IF(D227="PET", 换算标准!$S:$T, 换算标准!$AC:$AD)), 2, TRUE), 0))</f>
        <v/>
      </c>
      <c r="P227" t="str">
        <f t="shared" si="13"/>
        <v/>
      </c>
      <c r="Q227" t="str">
        <f>IF(P227="","", IFERROR(VLOOKUP(P227, IF(D227="KET", 换算标准!$O:$P, IF(D227="PET", 换算标准!$U:$V, 换算标准!$AG:$AH)), 2, TRUE), 0))</f>
        <v/>
      </c>
      <c r="W227" t="str">
        <f t="shared" si="14"/>
        <v/>
      </c>
      <c r="X227" t="str">
        <f>IF(W227="","", IFERROR(VLOOKUP(W227, IF(D227="KET", 换算标准!$Q:$R, IF(D227="PET", 换算标准!$W:$X, 换算标准!$AI:$AJ)), 2, TRUE), 0))</f>
        <v/>
      </c>
      <c r="Y227" t="str">
        <f t="shared" si="15"/>
        <v/>
      </c>
      <c r="Z227" t="str">
        <f>IF(Y227="","", IFERROR(VLOOKUP(Y227, 换算标准!$Z:$AA, 1, TRUE), ""))</f>
        <v/>
      </c>
      <c r="AA227" s="5" t="str">
        <f>IF(L227="","", "⚠️ 薄弱环节: "&amp;INDEX($E$1:$K$1, MATCH(MIN(E227:K227), E227:K227, 0))&amp;CHAR(10)&amp;"📉 考察能力: "&amp;IFERROR(VLOOKUP(TRIM(D227)&amp;"_"&amp;TRIM(INDEX($E$1:$K$1, MATCH(MIN(E227:K227), E227:K227, 0))), 技能库!$A:$F, 5, 0),"建议查阅考纲")&amp;CHAR(10)&amp;"💡 提升建议: "&amp;IFERROR(VLOOKUP(TRIM(D227)&amp;"_"&amp;TRIM(INDEX($E$1:$K$1, MATCH(MIN(E227:K227), E227:K227, 0))), 技能库!$A:$F, 6, 0),"请针对该题型加强练习"))</f>
        <v/>
      </c>
      <c r="AB227" s="5" t="str">
        <f>IF(P227="","", "⚠️ 薄弱环节: "&amp;INDEX($N$1:$O$1, MATCH(MIN(N227:O227), N227:O227, 0))&amp;CHAR(10)&amp;"📉 考察能力: "&amp;IFERROR(VLOOKUP(TRIM(D227)&amp;"_"&amp;TRIM(INDEX($N$1:$O$1, MATCH(MIN(N227:O227), N227:O227, 0))), 技能库!$A:$F, 5, 0),"建议查阅考纲")&amp;CHAR(10)&amp;"💡 提升建议: "&amp;IFERROR(VLOOKUP(TRIM(D227)&amp;"_"&amp;TRIM(INDEX($N$1:$O$1, MATCH(MIN(N227:O227), N227:O227, 0))), 技能库!$A:$F, 6, 0),"请针对该题型加强练习"))</f>
        <v/>
      </c>
      <c r="AC227" s="5" t="str">
        <f>IF(W227="","", "⚠️ 薄弱环节: "&amp;INDEX($R$1:$V$1, MATCH(MIN(R227:V227), R227:V227, 0))&amp;CHAR(10)&amp;"📉 考察能力: "&amp;IFERROR(VLOOKUP(TRIM(D227)&amp;"_"&amp;TRIM(INDEX($R$1:$V$1, MATCH(MIN(R227:V227), R227:V227, 0))), 技能库!$A:$F, 5, 0),"建议查阅考纲")&amp;CHAR(10)&amp;"💡 提升建议: "&amp;IFERROR(VLOOKUP(TRIM(D227)&amp;"_"&amp;TRIM(INDEX($R$1:$V$1, MATCH(MIN(R227:V227), R227:V227, 0))), 技能库!$A:$F, 6, 0),"请针对该题型加强练习"))</f>
        <v/>
      </c>
    </row>
    <row r="228" spans="12:29" ht="16" hidden="1" x14ac:dyDescent="0.2">
      <c r="L228" t="str">
        <f t="shared" si="12"/>
        <v/>
      </c>
      <c r="M228" t="str">
        <f>IF(L228="","", IFERROR(VLOOKUP(L228, IF(D228="KET", 换算标准!$M:$N, IF(D228="PET", 换算标准!$S:$T, 换算标准!$AC:$AD)), 2, TRUE), 0))</f>
        <v/>
      </c>
      <c r="P228" t="str">
        <f t="shared" si="13"/>
        <v/>
      </c>
      <c r="Q228" t="str">
        <f>IF(P228="","", IFERROR(VLOOKUP(P228, IF(D228="KET", 换算标准!$O:$P, IF(D228="PET", 换算标准!$U:$V, 换算标准!$AG:$AH)), 2, TRUE), 0))</f>
        <v/>
      </c>
      <c r="W228" t="str">
        <f t="shared" si="14"/>
        <v/>
      </c>
      <c r="X228" t="str">
        <f>IF(W228="","", IFERROR(VLOOKUP(W228, IF(D228="KET", 换算标准!$Q:$R, IF(D228="PET", 换算标准!$W:$X, 换算标准!$AI:$AJ)), 2, TRUE), 0))</f>
        <v/>
      </c>
      <c r="Y228" t="str">
        <f t="shared" si="15"/>
        <v/>
      </c>
      <c r="Z228" t="str">
        <f>IF(Y228="","", IFERROR(VLOOKUP(Y228, 换算标准!$Z:$AA, 1, TRUE), ""))</f>
        <v/>
      </c>
      <c r="AA228" s="5" t="str">
        <f>IF(L228="","", "⚠️ 薄弱环节: "&amp;INDEX($E$1:$K$1, MATCH(MIN(E228:K228), E228:K228, 0))&amp;CHAR(10)&amp;"📉 考察能力: "&amp;IFERROR(VLOOKUP(TRIM(D228)&amp;"_"&amp;TRIM(INDEX($E$1:$K$1, MATCH(MIN(E228:K228), E228:K228, 0))), 技能库!$A:$F, 5, 0),"建议查阅考纲")&amp;CHAR(10)&amp;"💡 提升建议: "&amp;IFERROR(VLOOKUP(TRIM(D228)&amp;"_"&amp;TRIM(INDEX($E$1:$K$1, MATCH(MIN(E228:K228), E228:K228, 0))), 技能库!$A:$F, 6, 0),"请针对该题型加强练习"))</f>
        <v/>
      </c>
      <c r="AB228" s="5" t="str">
        <f>IF(P228="","", "⚠️ 薄弱环节: "&amp;INDEX($N$1:$O$1, MATCH(MIN(N228:O228), N228:O228, 0))&amp;CHAR(10)&amp;"📉 考察能力: "&amp;IFERROR(VLOOKUP(TRIM(D228)&amp;"_"&amp;TRIM(INDEX($N$1:$O$1, MATCH(MIN(N228:O228), N228:O228, 0))), 技能库!$A:$F, 5, 0),"建议查阅考纲")&amp;CHAR(10)&amp;"💡 提升建议: "&amp;IFERROR(VLOOKUP(TRIM(D228)&amp;"_"&amp;TRIM(INDEX($N$1:$O$1, MATCH(MIN(N228:O228), N228:O228, 0))), 技能库!$A:$F, 6, 0),"请针对该题型加强练习"))</f>
        <v/>
      </c>
      <c r="AC228" s="5" t="str">
        <f>IF(W228="","", "⚠️ 薄弱环节: "&amp;INDEX($R$1:$V$1, MATCH(MIN(R228:V228), R228:V228, 0))&amp;CHAR(10)&amp;"📉 考察能力: "&amp;IFERROR(VLOOKUP(TRIM(D228)&amp;"_"&amp;TRIM(INDEX($R$1:$V$1, MATCH(MIN(R228:V228), R228:V228, 0))), 技能库!$A:$F, 5, 0),"建议查阅考纲")&amp;CHAR(10)&amp;"💡 提升建议: "&amp;IFERROR(VLOOKUP(TRIM(D228)&amp;"_"&amp;TRIM(INDEX($R$1:$V$1, MATCH(MIN(R228:V228), R228:V228, 0))), 技能库!$A:$F, 6, 0),"请针对该题型加强练习"))</f>
        <v/>
      </c>
    </row>
    <row r="229" spans="12:29" ht="16" hidden="1" x14ac:dyDescent="0.2">
      <c r="L229" t="str">
        <f t="shared" si="12"/>
        <v/>
      </c>
      <c r="M229" t="str">
        <f>IF(L229="","", IFERROR(VLOOKUP(L229, IF(D229="KET", 换算标准!$M:$N, IF(D229="PET", 换算标准!$S:$T, 换算标准!$AC:$AD)), 2, TRUE), 0))</f>
        <v/>
      </c>
      <c r="P229" t="str">
        <f t="shared" si="13"/>
        <v/>
      </c>
      <c r="Q229" t="str">
        <f>IF(P229="","", IFERROR(VLOOKUP(P229, IF(D229="KET", 换算标准!$O:$P, IF(D229="PET", 换算标准!$U:$V, 换算标准!$AG:$AH)), 2, TRUE), 0))</f>
        <v/>
      </c>
      <c r="W229" t="str">
        <f t="shared" si="14"/>
        <v/>
      </c>
      <c r="X229" t="str">
        <f>IF(W229="","", IFERROR(VLOOKUP(W229, IF(D229="KET", 换算标准!$Q:$R, IF(D229="PET", 换算标准!$W:$X, 换算标准!$AI:$AJ)), 2, TRUE), 0))</f>
        <v/>
      </c>
      <c r="Y229" t="str">
        <f t="shared" si="15"/>
        <v/>
      </c>
      <c r="Z229" t="str">
        <f>IF(Y229="","", IFERROR(VLOOKUP(Y229, 换算标准!$Z:$AA, 1, TRUE), ""))</f>
        <v/>
      </c>
      <c r="AA229" s="5" t="str">
        <f>IF(L229="","", "⚠️ 薄弱环节: "&amp;INDEX($E$1:$K$1, MATCH(MIN(E229:K229), E229:K229, 0))&amp;CHAR(10)&amp;"📉 考察能力: "&amp;IFERROR(VLOOKUP(TRIM(D229)&amp;"_"&amp;TRIM(INDEX($E$1:$K$1, MATCH(MIN(E229:K229), E229:K229, 0))), 技能库!$A:$F, 5, 0),"建议查阅考纲")&amp;CHAR(10)&amp;"💡 提升建议: "&amp;IFERROR(VLOOKUP(TRIM(D229)&amp;"_"&amp;TRIM(INDEX($E$1:$K$1, MATCH(MIN(E229:K229), E229:K229, 0))), 技能库!$A:$F, 6, 0),"请针对该题型加强练习"))</f>
        <v/>
      </c>
      <c r="AB229" s="5" t="str">
        <f>IF(P229="","", "⚠️ 薄弱环节: "&amp;INDEX($N$1:$O$1, MATCH(MIN(N229:O229), N229:O229, 0))&amp;CHAR(10)&amp;"📉 考察能力: "&amp;IFERROR(VLOOKUP(TRIM(D229)&amp;"_"&amp;TRIM(INDEX($N$1:$O$1, MATCH(MIN(N229:O229), N229:O229, 0))), 技能库!$A:$F, 5, 0),"建议查阅考纲")&amp;CHAR(10)&amp;"💡 提升建议: "&amp;IFERROR(VLOOKUP(TRIM(D229)&amp;"_"&amp;TRIM(INDEX($N$1:$O$1, MATCH(MIN(N229:O229), N229:O229, 0))), 技能库!$A:$F, 6, 0),"请针对该题型加强练习"))</f>
        <v/>
      </c>
      <c r="AC229" s="5" t="str">
        <f>IF(W229="","", "⚠️ 薄弱环节: "&amp;INDEX($R$1:$V$1, MATCH(MIN(R229:V229), R229:V229, 0))&amp;CHAR(10)&amp;"📉 考察能力: "&amp;IFERROR(VLOOKUP(TRIM(D229)&amp;"_"&amp;TRIM(INDEX($R$1:$V$1, MATCH(MIN(R229:V229), R229:V229, 0))), 技能库!$A:$F, 5, 0),"建议查阅考纲")&amp;CHAR(10)&amp;"💡 提升建议: "&amp;IFERROR(VLOOKUP(TRIM(D229)&amp;"_"&amp;TRIM(INDEX($R$1:$V$1, MATCH(MIN(R229:V229), R229:V229, 0))), 技能库!$A:$F, 6, 0),"请针对该题型加强练习"))</f>
        <v/>
      </c>
    </row>
    <row r="230" spans="12:29" ht="16" hidden="1" x14ac:dyDescent="0.2">
      <c r="L230" t="str">
        <f t="shared" si="12"/>
        <v/>
      </c>
      <c r="M230" t="str">
        <f>IF(L230="","", IFERROR(VLOOKUP(L230, IF(D230="KET", 换算标准!$M:$N, IF(D230="PET", 换算标准!$S:$T, 换算标准!$AC:$AD)), 2, TRUE), 0))</f>
        <v/>
      </c>
      <c r="P230" t="str">
        <f t="shared" si="13"/>
        <v/>
      </c>
      <c r="Q230" t="str">
        <f>IF(P230="","", IFERROR(VLOOKUP(P230, IF(D230="KET", 换算标准!$O:$P, IF(D230="PET", 换算标准!$U:$V, 换算标准!$AG:$AH)), 2, TRUE), 0))</f>
        <v/>
      </c>
      <c r="W230" t="str">
        <f t="shared" si="14"/>
        <v/>
      </c>
      <c r="X230" t="str">
        <f>IF(W230="","", IFERROR(VLOOKUP(W230, IF(D230="KET", 换算标准!$Q:$R, IF(D230="PET", 换算标准!$W:$X, 换算标准!$AI:$AJ)), 2, TRUE), 0))</f>
        <v/>
      </c>
      <c r="Y230" t="str">
        <f t="shared" si="15"/>
        <v/>
      </c>
      <c r="Z230" t="str">
        <f>IF(Y230="","", IFERROR(VLOOKUP(Y230, 换算标准!$Z:$AA, 1, TRUE), ""))</f>
        <v/>
      </c>
      <c r="AA230" s="5" t="str">
        <f>IF(L230="","", "⚠️ 薄弱环节: "&amp;INDEX($E$1:$K$1, MATCH(MIN(E230:K230), E230:K230, 0))&amp;CHAR(10)&amp;"📉 考察能力: "&amp;IFERROR(VLOOKUP(TRIM(D230)&amp;"_"&amp;TRIM(INDEX($E$1:$K$1, MATCH(MIN(E230:K230), E230:K230, 0))), 技能库!$A:$F, 5, 0),"建议查阅考纲")&amp;CHAR(10)&amp;"💡 提升建议: "&amp;IFERROR(VLOOKUP(TRIM(D230)&amp;"_"&amp;TRIM(INDEX($E$1:$K$1, MATCH(MIN(E230:K230), E230:K230, 0))), 技能库!$A:$F, 6, 0),"请针对该题型加强练习"))</f>
        <v/>
      </c>
      <c r="AB230" s="5" t="str">
        <f>IF(P230="","", "⚠️ 薄弱环节: "&amp;INDEX($N$1:$O$1, MATCH(MIN(N230:O230), N230:O230, 0))&amp;CHAR(10)&amp;"📉 考察能力: "&amp;IFERROR(VLOOKUP(TRIM(D230)&amp;"_"&amp;TRIM(INDEX($N$1:$O$1, MATCH(MIN(N230:O230), N230:O230, 0))), 技能库!$A:$F, 5, 0),"建议查阅考纲")&amp;CHAR(10)&amp;"💡 提升建议: "&amp;IFERROR(VLOOKUP(TRIM(D230)&amp;"_"&amp;TRIM(INDEX($N$1:$O$1, MATCH(MIN(N230:O230), N230:O230, 0))), 技能库!$A:$F, 6, 0),"请针对该题型加强练习"))</f>
        <v/>
      </c>
      <c r="AC230" s="5" t="str">
        <f>IF(W230="","", "⚠️ 薄弱环节: "&amp;INDEX($R$1:$V$1, MATCH(MIN(R230:V230), R230:V230, 0))&amp;CHAR(10)&amp;"📉 考察能力: "&amp;IFERROR(VLOOKUP(TRIM(D230)&amp;"_"&amp;TRIM(INDEX($R$1:$V$1, MATCH(MIN(R230:V230), R230:V230, 0))), 技能库!$A:$F, 5, 0),"建议查阅考纲")&amp;CHAR(10)&amp;"💡 提升建议: "&amp;IFERROR(VLOOKUP(TRIM(D230)&amp;"_"&amp;TRIM(INDEX($R$1:$V$1, MATCH(MIN(R230:V230), R230:V230, 0))), 技能库!$A:$F, 6, 0),"请针对该题型加强练习"))</f>
        <v/>
      </c>
    </row>
    <row r="231" spans="12:29" ht="16" hidden="1" x14ac:dyDescent="0.2">
      <c r="L231" t="str">
        <f t="shared" si="12"/>
        <v/>
      </c>
      <c r="M231" t="str">
        <f>IF(L231="","", IFERROR(VLOOKUP(L231, IF(D231="KET", 换算标准!$M:$N, IF(D231="PET", 换算标准!$S:$T, 换算标准!$AC:$AD)), 2, TRUE), 0))</f>
        <v/>
      </c>
      <c r="P231" t="str">
        <f t="shared" si="13"/>
        <v/>
      </c>
      <c r="Q231" t="str">
        <f>IF(P231="","", IFERROR(VLOOKUP(P231, IF(D231="KET", 换算标准!$O:$P, IF(D231="PET", 换算标准!$U:$V, 换算标准!$AG:$AH)), 2, TRUE), 0))</f>
        <v/>
      </c>
      <c r="W231" t="str">
        <f t="shared" si="14"/>
        <v/>
      </c>
      <c r="X231" t="str">
        <f>IF(W231="","", IFERROR(VLOOKUP(W231, IF(D231="KET", 换算标准!$Q:$R, IF(D231="PET", 换算标准!$W:$X, 换算标准!$AI:$AJ)), 2, TRUE), 0))</f>
        <v/>
      </c>
      <c r="Y231" t="str">
        <f t="shared" si="15"/>
        <v/>
      </c>
      <c r="Z231" t="str">
        <f>IF(Y231="","", IFERROR(VLOOKUP(Y231, 换算标准!$Z:$AA, 1, TRUE), ""))</f>
        <v/>
      </c>
      <c r="AA231" s="5" t="str">
        <f>IF(L231="","", "⚠️ 薄弱环节: "&amp;INDEX($E$1:$K$1, MATCH(MIN(E231:K231), E231:K231, 0))&amp;CHAR(10)&amp;"📉 考察能力: "&amp;IFERROR(VLOOKUP(TRIM(D231)&amp;"_"&amp;TRIM(INDEX($E$1:$K$1, MATCH(MIN(E231:K231), E231:K231, 0))), 技能库!$A:$F, 5, 0),"建议查阅考纲")&amp;CHAR(10)&amp;"💡 提升建议: "&amp;IFERROR(VLOOKUP(TRIM(D231)&amp;"_"&amp;TRIM(INDEX($E$1:$K$1, MATCH(MIN(E231:K231), E231:K231, 0))), 技能库!$A:$F, 6, 0),"请针对该题型加强练习"))</f>
        <v/>
      </c>
      <c r="AB231" s="5" t="str">
        <f>IF(P231="","", "⚠️ 薄弱环节: "&amp;INDEX($N$1:$O$1, MATCH(MIN(N231:O231), N231:O231, 0))&amp;CHAR(10)&amp;"📉 考察能力: "&amp;IFERROR(VLOOKUP(TRIM(D231)&amp;"_"&amp;TRIM(INDEX($N$1:$O$1, MATCH(MIN(N231:O231), N231:O231, 0))), 技能库!$A:$F, 5, 0),"建议查阅考纲")&amp;CHAR(10)&amp;"💡 提升建议: "&amp;IFERROR(VLOOKUP(TRIM(D231)&amp;"_"&amp;TRIM(INDEX($N$1:$O$1, MATCH(MIN(N231:O231), N231:O231, 0))), 技能库!$A:$F, 6, 0),"请针对该题型加强练习"))</f>
        <v/>
      </c>
      <c r="AC231" s="5" t="str">
        <f>IF(W231="","", "⚠️ 薄弱环节: "&amp;INDEX($R$1:$V$1, MATCH(MIN(R231:V231), R231:V231, 0))&amp;CHAR(10)&amp;"📉 考察能力: "&amp;IFERROR(VLOOKUP(TRIM(D231)&amp;"_"&amp;TRIM(INDEX($R$1:$V$1, MATCH(MIN(R231:V231), R231:V231, 0))), 技能库!$A:$F, 5, 0),"建议查阅考纲")&amp;CHAR(10)&amp;"💡 提升建议: "&amp;IFERROR(VLOOKUP(TRIM(D231)&amp;"_"&amp;TRIM(INDEX($R$1:$V$1, MATCH(MIN(R231:V231), R231:V231, 0))), 技能库!$A:$F, 6, 0),"请针对该题型加强练习"))</f>
        <v/>
      </c>
    </row>
    <row r="232" spans="12:29" ht="16" hidden="1" x14ac:dyDescent="0.2">
      <c r="L232" t="str">
        <f t="shared" si="12"/>
        <v/>
      </c>
      <c r="M232" t="str">
        <f>IF(L232="","", IFERROR(VLOOKUP(L232, IF(D232="KET", 换算标准!$M:$N, IF(D232="PET", 换算标准!$S:$T, 换算标准!$AC:$AD)), 2, TRUE), 0))</f>
        <v/>
      </c>
      <c r="P232" t="str">
        <f t="shared" si="13"/>
        <v/>
      </c>
      <c r="Q232" t="str">
        <f>IF(P232="","", IFERROR(VLOOKUP(P232, IF(D232="KET", 换算标准!$O:$P, IF(D232="PET", 换算标准!$U:$V, 换算标准!$AG:$AH)), 2, TRUE), 0))</f>
        <v/>
      </c>
      <c r="W232" t="str">
        <f t="shared" si="14"/>
        <v/>
      </c>
      <c r="X232" t="str">
        <f>IF(W232="","", IFERROR(VLOOKUP(W232, IF(D232="KET", 换算标准!$Q:$R, IF(D232="PET", 换算标准!$W:$X, 换算标准!$AI:$AJ)), 2, TRUE), 0))</f>
        <v/>
      </c>
      <c r="Y232" t="str">
        <f t="shared" si="15"/>
        <v/>
      </c>
      <c r="Z232" t="str">
        <f>IF(Y232="","", IFERROR(VLOOKUP(Y232, 换算标准!$Z:$AA, 1, TRUE), ""))</f>
        <v/>
      </c>
      <c r="AA232" s="5" t="str">
        <f>IF(L232="","", "⚠️ 薄弱环节: "&amp;INDEX($E$1:$K$1, MATCH(MIN(E232:K232), E232:K232, 0))&amp;CHAR(10)&amp;"📉 考察能力: "&amp;IFERROR(VLOOKUP(TRIM(D232)&amp;"_"&amp;TRIM(INDEX($E$1:$K$1, MATCH(MIN(E232:K232), E232:K232, 0))), 技能库!$A:$F, 5, 0),"建议查阅考纲")&amp;CHAR(10)&amp;"💡 提升建议: "&amp;IFERROR(VLOOKUP(TRIM(D232)&amp;"_"&amp;TRIM(INDEX($E$1:$K$1, MATCH(MIN(E232:K232), E232:K232, 0))), 技能库!$A:$F, 6, 0),"请针对该题型加强练习"))</f>
        <v/>
      </c>
      <c r="AB232" s="5" t="str">
        <f>IF(P232="","", "⚠️ 薄弱环节: "&amp;INDEX($N$1:$O$1, MATCH(MIN(N232:O232), N232:O232, 0))&amp;CHAR(10)&amp;"📉 考察能力: "&amp;IFERROR(VLOOKUP(TRIM(D232)&amp;"_"&amp;TRIM(INDEX($N$1:$O$1, MATCH(MIN(N232:O232), N232:O232, 0))), 技能库!$A:$F, 5, 0),"建议查阅考纲")&amp;CHAR(10)&amp;"💡 提升建议: "&amp;IFERROR(VLOOKUP(TRIM(D232)&amp;"_"&amp;TRIM(INDEX($N$1:$O$1, MATCH(MIN(N232:O232), N232:O232, 0))), 技能库!$A:$F, 6, 0),"请针对该题型加强练习"))</f>
        <v/>
      </c>
      <c r="AC232" s="5" t="str">
        <f>IF(W232="","", "⚠️ 薄弱环节: "&amp;INDEX($R$1:$V$1, MATCH(MIN(R232:V232), R232:V232, 0))&amp;CHAR(10)&amp;"📉 考察能力: "&amp;IFERROR(VLOOKUP(TRIM(D232)&amp;"_"&amp;TRIM(INDEX($R$1:$V$1, MATCH(MIN(R232:V232), R232:V232, 0))), 技能库!$A:$F, 5, 0),"建议查阅考纲")&amp;CHAR(10)&amp;"💡 提升建议: "&amp;IFERROR(VLOOKUP(TRIM(D232)&amp;"_"&amp;TRIM(INDEX($R$1:$V$1, MATCH(MIN(R232:V232), R232:V232, 0))), 技能库!$A:$F, 6, 0),"请针对该题型加强练习"))</f>
        <v/>
      </c>
    </row>
    <row r="233" spans="12:29" ht="16" hidden="1" x14ac:dyDescent="0.2">
      <c r="L233" t="str">
        <f t="shared" si="12"/>
        <v/>
      </c>
      <c r="M233" t="str">
        <f>IF(L233="","", IFERROR(VLOOKUP(L233, IF(D233="KET", 换算标准!$M:$N, IF(D233="PET", 换算标准!$S:$T, 换算标准!$AC:$AD)), 2, TRUE), 0))</f>
        <v/>
      </c>
      <c r="P233" t="str">
        <f t="shared" si="13"/>
        <v/>
      </c>
      <c r="Q233" t="str">
        <f>IF(P233="","", IFERROR(VLOOKUP(P233, IF(D233="KET", 换算标准!$O:$P, IF(D233="PET", 换算标准!$U:$V, 换算标准!$AG:$AH)), 2, TRUE), 0))</f>
        <v/>
      </c>
      <c r="W233" t="str">
        <f t="shared" si="14"/>
        <v/>
      </c>
      <c r="X233" t="str">
        <f>IF(W233="","", IFERROR(VLOOKUP(W233, IF(D233="KET", 换算标准!$Q:$R, IF(D233="PET", 换算标准!$W:$X, 换算标准!$AI:$AJ)), 2, TRUE), 0))</f>
        <v/>
      </c>
      <c r="Y233" t="str">
        <f t="shared" si="15"/>
        <v/>
      </c>
      <c r="Z233" t="str">
        <f>IF(Y233="","", IFERROR(VLOOKUP(Y233, 换算标准!$Z:$AA, 1, TRUE), ""))</f>
        <v/>
      </c>
      <c r="AA233" s="5" t="str">
        <f>IF(L233="","", "⚠️ 薄弱环节: "&amp;INDEX($E$1:$K$1, MATCH(MIN(E233:K233), E233:K233, 0))&amp;CHAR(10)&amp;"📉 考察能力: "&amp;IFERROR(VLOOKUP(TRIM(D233)&amp;"_"&amp;TRIM(INDEX($E$1:$K$1, MATCH(MIN(E233:K233), E233:K233, 0))), 技能库!$A:$F, 5, 0),"建议查阅考纲")&amp;CHAR(10)&amp;"💡 提升建议: "&amp;IFERROR(VLOOKUP(TRIM(D233)&amp;"_"&amp;TRIM(INDEX($E$1:$K$1, MATCH(MIN(E233:K233), E233:K233, 0))), 技能库!$A:$F, 6, 0),"请针对该题型加强练习"))</f>
        <v/>
      </c>
      <c r="AB233" s="5" t="str">
        <f>IF(P233="","", "⚠️ 薄弱环节: "&amp;INDEX($N$1:$O$1, MATCH(MIN(N233:O233), N233:O233, 0))&amp;CHAR(10)&amp;"📉 考察能力: "&amp;IFERROR(VLOOKUP(TRIM(D233)&amp;"_"&amp;TRIM(INDEX($N$1:$O$1, MATCH(MIN(N233:O233), N233:O233, 0))), 技能库!$A:$F, 5, 0),"建议查阅考纲")&amp;CHAR(10)&amp;"💡 提升建议: "&amp;IFERROR(VLOOKUP(TRIM(D233)&amp;"_"&amp;TRIM(INDEX($N$1:$O$1, MATCH(MIN(N233:O233), N233:O233, 0))), 技能库!$A:$F, 6, 0),"请针对该题型加强练习"))</f>
        <v/>
      </c>
      <c r="AC233" s="5" t="str">
        <f>IF(W233="","", "⚠️ 薄弱环节: "&amp;INDEX($R$1:$V$1, MATCH(MIN(R233:V233), R233:V233, 0))&amp;CHAR(10)&amp;"📉 考察能力: "&amp;IFERROR(VLOOKUP(TRIM(D233)&amp;"_"&amp;TRIM(INDEX($R$1:$V$1, MATCH(MIN(R233:V233), R233:V233, 0))), 技能库!$A:$F, 5, 0),"建议查阅考纲")&amp;CHAR(10)&amp;"💡 提升建议: "&amp;IFERROR(VLOOKUP(TRIM(D233)&amp;"_"&amp;TRIM(INDEX($R$1:$V$1, MATCH(MIN(R233:V233), R233:V233, 0))), 技能库!$A:$F, 6, 0),"请针对该题型加强练习"))</f>
        <v/>
      </c>
    </row>
    <row r="234" spans="12:29" ht="16" hidden="1" x14ac:dyDescent="0.2">
      <c r="L234" t="str">
        <f t="shared" si="12"/>
        <v/>
      </c>
      <c r="M234" t="str">
        <f>IF(L234="","", IFERROR(VLOOKUP(L234, IF(D234="KET", 换算标准!$M:$N, IF(D234="PET", 换算标准!$S:$T, 换算标准!$AC:$AD)), 2, TRUE), 0))</f>
        <v/>
      </c>
      <c r="P234" t="str">
        <f t="shared" si="13"/>
        <v/>
      </c>
      <c r="Q234" t="str">
        <f>IF(P234="","", IFERROR(VLOOKUP(P234, IF(D234="KET", 换算标准!$O:$P, IF(D234="PET", 换算标准!$U:$V, 换算标准!$AG:$AH)), 2, TRUE), 0))</f>
        <v/>
      </c>
      <c r="W234" t="str">
        <f t="shared" si="14"/>
        <v/>
      </c>
      <c r="X234" t="str">
        <f>IF(W234="","", IFERROR(VLOOKUP(W234, IF(D234="KET", 换算标准!$Q:$R, IF(D234="PET", 换算标准!$W:$X, 换算标准!$AI:$AJ)), 2, TRUE), 0))</f>
        <v/>
      </c>
      <c r="Y234" t="str">
        <f t="shared" si="15"/>
        <v/>
      </c>
      <c r="Z234" t="str">
        <f>IF(Y234="","", IFERROR(VLOOKUP(Y234, 换算标准!$Z:$AA, 1, TRUE), ""))</f>
        <v/>
      </c>
      <c r="AA234" s="5" t="str">
        <f>IF(L234="","", "⚠️ 薄弱环节: "&amp;INDEX($E$1:$K$1, MATCH(MIN(E234:K234), E234:K234, 0))&amp;CHAR(10)&amp;"📉 考察能力: "&amp;IFERROR(VLOOKUP(TRIM(D234)&amp;"_"&amp;TRIM(INDEX($E$1:$K$1, MATCH(MIN(E234:K234), E234:K234, 0))), 技能库!$A:$F, 5, 0),"建议查阅考纲")&amp;CHAR(10)&amp;"💡 提升建议: "&amp;IFERROR(VLOOKUP(TRIM(D234)&amp;"_"&amp;TRIM(INDEX($E$1:$K$1, MATCH(MIN(E234:K234), E234:K234, 0))), 技能库!$A:$F, 6, 0),"请针对该题型加强练习"))</f>
        <v/>
      </c>
      <c r="AB234" s="5" t="str">
        <f>IF(P234="","", "⚠️ 薄弱环节: "&amp;INDEX($N$1:$O$1, MATCH(MIN(N234:O234), N234:O234, 0))&amp;CHAR(10)&amp;"📉 考察能力: "&amp;IFERROR(VLOOKUP(TRIM(D234)&amp;"_"&amp;TRIM(INDEX($N$1:$O$1, MATCH(MIN(N234:O234), N234:O234, 0))), 技能库!$A:$F, 5, 0),"建议查阅考纲")&amp;CHAR(10)&amp;"💡 提升建议: "&amp;IFERROR(VLOOKUP(TRIM(D234)&amp;"_"&amp;TRIM(INDEX($N$1:$O$1, MATCH(MIN(N234:O234), N234:O234, 0))), 技能库!$A:$F, 6, 0),"请针对该题型加强练习"))</f>
        <v/>
      </c>
      <c r="AC234" s="5" t="str">
        <f>IF(W234="","", "⚠️ 薄弱环节: "&amp;INDEX($R$1:$V$1, MATCH(MIN(R234:V234), R234:V234, 0))&amp;CHAR(10)&amp;"📉 考察能力: "&amp;IFERROR(VLOOKUP(TRIM(D234)&amp;"_"&amp;TRIM(INDEX($R$1:$V$1, MATCH(MIN(R234:V234), R234:V234, 0))), 技能库!$A:$F, 5, 0),"建议查阅考纲")&amp;CHAR(10)&amp;"💡 提升建议: "&amp;IFERROR(VLOOKUP(TRIM(D234)&amp;"_"&amp;TRIM(INDEX($R$1:$V$1, MATCH(MIN(R234:V234), R234:V234, 0))), 技能库!$A:$F, 6, 0),"请针对该题型加强练习"))</f>
        <v/>
      </c>
    </row>
    <row r="235" spans="12:29" ht="16" hidden="1" x14ac:dyDescent="0.2">
      <c r="L235" t="str">
        <f t="shared" si="12"/>
        <v/>
      </c>
      <c r="M235" t="str">
        <f>IF(L235="","", IFERROR(VLOOKUP(L235, IF(D235="KET", 换算标准!$M:$N, IF(D235="PET", 换算标准!$S:$T, 换算标准!$AC:$AD)), 2, TRUE), 0))</f>
        <v/>
      </c>
      <c r="P235" t="str">
        <f t="shared" si="13"/>
        <v/>
      </c>
      <c r="Q235" t="str">
        <f>IF(P235="","", IFERROR(VLOOKUP(P235, IF(D235="KET", 换算标准!$O:$P, IF(D235="PET", 换算标准!$U:$V, 换算标准!$AG:$AH)), 2, TRUE), 0))</f>
        <v/>
      </c>
      <c r="W235" t="str">
        <f t="shared" si="14"/>
        <v/>
      </c>
      <c r="X235" t="str">
        <f>IF(W235="","", IFERROR(VLOOKUP(W235, IF(D235="KET", 换算标准!$Q:$R, IF(D235="PET", 换算标准!$W:$X, 换算标准!$AI:$AJ)), 2, TRUE), 0))</f>
        <v/>
      </c>
      <c r="Y235" t="str">
        <f t="shared" si="15"/>
        <v/>
      </c>
      <c r="Z235" t="str">
        <f>IF(Y235="","", IFERROR(VLOOKUP(Y235, 换算标准!$Z:$AA, 1, TRUE), ""))</f>
        <v/>
      </c>
      <c r="AA235" s="5" t="str">
        <f>IF(L235="","", "⚠️ 薄弱环节: "&amp;INDEX($E$1:$K$1, MATCH(MIN(E235:K235), E235:K235, 0))&amp;CHAR(10)&amp;"📉 考察能力: "&amp;IFERROR(VLOOKUP(TRIM(D235)&amp;"_"&amp;TRIM(INDEX($E$1:$K$1, MATCH(MIN(E235:K235), E235:K235, 0))), 技能库!$A:$F, 5, 0),"建议查阅考纲")&amp;CHAR(10)&amp;"💡 提升建议: "&amp;IFERROR(VLOOKUP(TRIM(D235)&amp;"_"&amp;TRIM(INDEX($E$1:$K$1, MATCH(MIN(E235:K235), E235:K235, 0))), 技能库!$A:$F, 6, 0),"请针对该题型加强练习"))</f>
        <v/>
      </c>
      <c r="AB235" s="5" t="str">
        <f>IF(P235="","", "⚠️ 薄弱环节: "&amp;INDEX($N$1:$O$1, MATCH(MIN(N235:O235), N235:O235, 0))&amp;CHAR(10)&amp;"📉 考察能力: "&amp;IFERROR(VLOOKUP(TRIM(D235)&amp;"_"&amp;TRIM(INDEX($N$1:$O$1, MATCH(MIN(N235:O235), N235:O235, 0))), 技能库!$A:$F, 5, 0),"建议查阅考纲")&amp;CHAR(10)&amp;"💡 提升建议: "&amp;IFERROR(VLOOKUP(TRIM(D235)&amp;"_"&amp;TRIM(INDEX($N$1:$O$1, MATCH(MIN(N235:O235), N235:O235, 0))), 技能库!$A:$F, 6, 0),"请针对该题型加强练习"))</f>
        <v/>
      </c>
      <c r="AC235" s="5" t="str">
        <f>IF(W235="","", "⚠️ 薄弱环节: "&amp;INDEX($R$1:$V$1, MATCH(MIN(R235:V235), R235:V235, 0))&amp;CHAR(10)&amp;"📉 考察能力: "&amp;IFERROR(VLOOKUP(TRIM(D235)&amp;"_"&amp;TRIM(INDEX($R$1:$V$1, MATCH(MIN(R235:V235), R235:V235, 0))), 技能库!$A:$F, 5, 0),"建议查阅考纲")&amp;CHAR(10)&amp;"💡 提升建议: "&amp;IFERROR(VLOOKUP(TRIM(D235)&amp;"_"&amp;TRIM(INDEX($R$1:$V$1, MATCH(MIN(R235:V235), R235:V235, 0))), 技能库!$A:$F, 6, 0),"请针对该题型加强练习"))</f>
        <v/>
      </c>
    </row>
    <row r="236" spans="12:29" ht="16" hidden="1" x14ac:dyDescent="0.2">
      <c r="L236" t="str">
        <f t="shared" si="12"/>
        <v/>
      </c>
      <c r="M236" t="str">
        <f>IF(L236="","", IFERROR(VLOOKUP(L236, IF(D236="KET", 换算标准!$M:$N, IF(D236="PET", 换算标准!$S:$T, 换算标准!$AC:$AD)), 2, TRUE), 0))</f>
        <v/>
      </c>
      <c r="P236" t="str">
        <f t="shared" si="13"/>
        <v/>
      </c>
      <c r="Q236" t="str">
        <f>IF(P236="","", IFERROR(VLOOKUP(P236, IF(D236="KET", 换算标准!$O:$P, IF(D236="PET", 换算标准!$U:$V, 换算标准!$AG:$AH)), 2, TRUE), 0))</f>
        <v/>
      </c>
      <c r="W236" t="str">
        <f t="shared" si="14"/>
        <v/>
      </c>
      <c r="X236" t="str">
        <f>IF(W236="","", IFERROR(VLOOKUP(W236, IF(D236="KET", 换算标准!$Q:$R, IF(D236="PET", 换算标准!$W:$X, 换算标准!$AI:$AJ)), 2, TRUE), 0))</f>
        <v/>
      </c>
      <c r="Y236" t="str">
        <f t="shared" si="15"/>
        <v/>
      </c>
      <c r="Z236" t="str">
        <f>IF(Y236="","", IFERROR(VLOOKUP(Y236, 换算标准!$Z:$AA, 1, TRUE), ""))</f>
        <v/>
      </c>
      <c r="AA236" s="5" t="str">
        <f>IF(L236="","", "⚠️ 薄弱环节: "&amp;INDEX($E$1:$K$1, MATCH(MIN(E236:K236), E236:K236, 0))&amp;CHAR(10)&amp;"📉 考察能力: "&amp;IFERROR(VLOOKUP(TRIM(D236)&amp;"_"&amp;TRIM(INDEX($E$1:$K$1, MATCH(MIN(E236:K236), E236:K236, 0))), 技能库!$A:$F, 5, 0),"建议查阅考纲")&amp;CHAR(10)&amp;"💡 提升建议: "&amp;IFERROR(VLOOKUP(TRIM(D236)&amp;"_"&amp;TRIM(INDEX($E$1:$K$1, MATCH(MIN(E236:K236), E236:K236, 0))), 技能库!$A:$F, 6, 0),"请针对该题型加强练习"))</f>
        <v/>
      </c>
      <c r="AB236" s="5" t="str">
        <f>IF(P236="","", "⚠️ 薄弱环节: "&amp;INDEX($N$1:$O$1, MATCH(MIN(N236:O236), N236:O236, 0))&amp;CHAR(10)&amp;"📉 考察能力: "&amp;IFERROR(VLOOKUP(TRIM(D236)&amp;"_"&amp;TRIM(INDEX($N$1:$O$1, MATCH(MIN(N236:O236), N236:O236, 0))), 技能库!$A:$F, 5, 0),"建议查阅考纲")&amp;CHAR(10)&amp;"💡 提升建议: "&amp;IFERROR(VLOOKUP(TRIM(D236)&amp;"_"&amp;TRIM(INDEX($N$1:$O$1, MATCH(MIN(N236:O236), N236:O236, 0))), 技能库!$A:$F, 6, 0),"请针对该题型加强练习"))</f>
        <v/>
      </c>
      <c r="AC236" s="5" t="str">
        <f>IF(W236="","", "⚠️ 薄弱环节: "&amp;INDEX($R$1:$V$1, MATCH(MIN(R236:V236), R236:V236, 0))&amp;CHAR(10)&amp;"📉 考察能力: "&amp;IFERROR(VLOOKUP(TRIM(D236)&amp;"_"&amp;TRIM(INDEX($R$1:$V$1, MATCH(MIN(R236:V236), R236:V236, 0))), 技能库!$A:$F, 5, 0),"建议查阅考纲")&amp;CHAR(10)&amp;"💡 提升建议: "&amp;IFERROR(VLOOKUP(TRIM(D236)&amp;"_"&amp;TRIM(INDEX($R$1:$V$1, MATCH(MIN(R236:V236), R236:V236, 0))), 技能库!$A:$F, 6, 0),"请针对该题型加强练习"))</f>
        <v/>
      </c>
    </row>
    <row r="237" spans="12:29" ht="16" hidden="1" x14ac:dyDescent="0.2">
      <c r="L237" t="str">
        <f t="shared" si="12"/>
        <v/>
      </c>
      <c r="M237" t="str">
        <f>IF(L237="","", IFERROR(VLOOKUP(L237, IF(D237="KET", 换算标准!$M:$N, IF(D237="PET", 换算标准!$S:$T, 换算标准!$AC:$AD)), 2, TRUE), 0))</f>
        <v/>
      </c>
      <c r="P237" t="str">
        <f t="shared" si="13"/>
        <v/>
      </c>
      <c r="Q237" t="str">
        <f>IF(P237="","", IFERROR(VLOOKUP(P237, IF(D237="KET", 换算标准!$O:$P, IF(D237="PET", 换算标准!$U:$V, 换算标准!$AG:$AH)), 2, TRUE), 0))</f>
        <v/>
      </c>
      <c r="W237" t="str">
        <f t="shared" si="14"/>
        <v/>
      </c>
      <c r="X237" t="str">
        <f>IF(W237="","", IFERROR(VLOOKUP(W237, IF(D237="KET", 换算标准!$Q:$R, IF(D237="PET", 换算标准!$W:$X, 换算标准!$AI:$AJ)), 2, TRUE), 0))</f>
        <v/>
      </c>
      <c r="Y237" t="str">
        <f t="shared" si="15"/>
        <v/>
      </c>
      <c r="Z237" t="str">
        <f>IF(Y237="","", IFERROR(VLOOKUP(Y237, 换算标准!$Z:$AA, 1, TRUE), ""))</f>
        <v/>
      </c>
      <c r="AA237" s="5" t="str">
        <f>IF(L237="","", "⚠️ 薄弱环节: "&amp;INDEX($E$1:$K$1, MATCH(MIN(E237:K237), E237:K237, 0))&amp;CHAR(10)&amp;"📉 考察能力: "&amp;IFERROR(VLOOKUP(TRIM(D237)&amp;"_"&amp;TRIM(INDEX($E$1:$K$1, MATCH(MIN(E237:K237), E237:K237, 0))), 技能库!$A:$F, 5, 0),"建议查阅考纲")&amp;CHAR(10)&amp;"💡 提升建议: "&amp;IFERROR(VLOOKUP(TRIM(D237)&amp;"_"&amp;TRIM(INDEX($E$1:$K$1, MATCH(MIN(E237:K237), E237:K237, 0))), 技能库!$A:$F, 6, 0),"请针对该题型加强练习"))</f>
        <v/>
      </c>
      <c r="AB237" s="5" t="str">
        <f>IF(P237="","", "⚠️ 薄弱环节: "&amp;INDEX($N$1:$O$1, MATCH(MIN(N237:O237), N237:O237, 0))&amp;CHAR(10)&amp;"📉 考察能力: "&amp;IFERROR(VLOOKUP(TRIM(D237)&amp;"_"&amp;TRIM(INDEX($N$1:$O$1, MATCH(MIN(N237:O237), N237:O237, 0))), 技能库!$A:$F, 5, 0),"建议查阅考纲")&amp;CHAR(10)&amp;"💡 提升建议: "&amp;IFERROR(VLOOKUP(TRIM(D237)&amp;"_"&amp;TRIM(INDEX($N$1:$O$1, MATCH(MIN(N237:O237), N237:O237, 0))), 技能库!$A:$F, 6, 0),"请针对该题型加强练习"))</f>
        <v/>
      </c>
      <c r="AC237" s="5" t="str">
        <f>IF(W237="","", "⚠️ 薄弱环节: "&amp;INDEX($R$1:$V$1, MATCH(MIN(R237:V237), R237:V237, 0))&amp;CHAR(10)&amp;"📉 考察能力: "&amp;IFERROR(VLOOKUP(TRIM(D237)&amp;"_"&amp;TRIM(INDEX($R$1:$V$1, MATCH(MIN(R237:V237), R237:V237, 0))), 技能库!$A:$F, 5, 0),"建议查阅考纲")&amp;CHAR(10)&amp;"💡 提升建议: "&amp;IFERROR(VLOOKUP(TRIM(D237)&amp;"_"&amp;TRIM(INDEX($R$1:$V$1, MATCH(MIN(R237:V237), R237:V237, 0))), 技能库!$A:$F, 6, 0),"请针对该题型加强练习"))</f>
        <v/>
      </c>
    </row>
    <row r="238" spans="12:29" ht="16" hidden="1" x14ac:dyDescent="0.2">
      <c r="L238" t="str">
        <f t="shared" si="12"/>
        <v/>
      </c>
      <c r="M238" t="str">
        <f>IF(L238="","", IFERROR(VLOOKUP(L238, IF(D238="KET", 换算标准!$M:$N, IF(D238="PET", 换算标准!$S:$T, 换算标准!$AC:$AD)), 2, TRUE), 0))</f>
        <v/>
      </c>
      <c r="P238" t="str">
        <f t="shared" si="13"/>
        <v/>
      </c>
      <c r="Q238" t="str">
        <f>IF(P238="","", IFERROR(VLOOKUP(P238, IF(D238="KET", 换算标准!$O:$P, IF(D238="PET", 换算标准!$U:$V, 换算标准!$AG:$AH)), 2, TRUE), 0))</f>
        <v/>
      </c>
      <c r="W238" t="str">
        <f t="shared" si="14"/>
        <v/>
      </c>
      <c r="X238" t="str">
        <f>IF(W238="","", IFERROR(VLOOKUP(W238, IF(D238="KET", 换算标准!$Q:$R, IF(D238="PET", 换算标准!$W:$X, 换算标准!$AI:$AJ)), 2, TRUE), 0))</f>
        <v/>
      </c>
      <c r="Y238" t="str">
        <f t="shared" si="15"/>
        <v/>
      </c>
      <c r="Z238" t="str">
        <f>IF(Y238="","", IFERROR(VLOOKUP(Y238, 换算标准!$Z:$AA, 1, TRUE), ""))</f>
        <v/>
      </c>
      <c r="AA238" s="5" t="str">
        <f>IF(L238="","", "⚠️ 薄弱环节: "&amp;INDEX($E$1:$K$1, MATCH(MIN(E238:K238), E238:K238, 0))&amp;CHAR(10)&amp;"📉 考察能力: "&amp;IFERROR(VLOOKUP(TRIM(D238)&amp;"_"&amp;TRIM(INDEX($E$1:$K$1, MATCH(MIN(E238:K238), E238:K238, 0))), 技能库!$A:$F, 5, 0),"建议查阅考纲")&amp;CHAR(10)&amp;"💡 提升建议: "&amp;IFERROR(VLOOKUP(TRIM(D238)&amp;"_"&amp;TRIM(INDEX($E$1:$K$1, MATCH(MIN(E238:K238), E238:K238, 0))), 技能库!$A:$F, 6, 0),"请针对该题型加强练习"))</f>
        <v/>
      </c>
      <c r="AB238" s="5" t="str">
        <f>IF(P238="","", "⚠️ 薄弱环节: "&amp;INDEX($N$1:$O$1, MATCH(MIN(N238:O238), N238:O238, 0))&amp;CHAR(10)&amp;"📉 考察能力: "&amp;IFERROR(VLOOKUP(TRIM(D238)&amp;"_"&amp;TRIM(INDEX($N$1:$O$1, MATCH(MIN(N238:O238), N238:O238, 0))), 技能库!$A:$F, 5, 0),"建议查阅考纲")&amp;CHAR(10)&amp;"💡 提升建议: "&amp;IFERROR(VLOOKUP(TRIM(D238)&amp;"_"&amp;TRIM(INDEX($N$1:$O$1, MATCH(MIN(N238:O238), N238:O238, 0))), 技能库!$A:$F, 6, 0),"请针对该题型加强练习"))</f>
        <v/>
      </c>
      <c r="AC238" s="5" t="str">
        <f>IF(W238="","", "⚠️ 薄弱环节: "&amp;INDEX($R$1:$V$1, MATCH(MIN(R238:V238), R238:V238, 0))&amp;CHAR(10)&amp;"📉 考察能力: "&amp;IFERROR(VLOOKUP(TRIM(D238)&amp;"_"&amp;TRIM(INDEX($R$1:$V$1, MATCH(MIN(R238:V238), R238:V238, 0))), 技能库!$A:$F, 5, 0),"建议查阅考纲")&amp;CHAR(10)&amp;"💡 提升建议: "&amp;IFERROR(VLOOKUP(TRIM(D238)&amp;"_"&amp;TRIM(INDEX($R$1:$V$1, MATCH(MIN(R238:V238), R238:V238, 0))), 技能库!$A:$F, 6, 0),"请针对该题型加强练习"))</f>
        <v/>
      </c>
    </row>
    <row r="239" spans="12:29" ht="16" hidden="1" x14ac:dyDescent="0.2">
      <c r="L239" t="str">
        <f t="shared" si="12"/>
        <v/>
      </c>
      <c r="M239" t="str">
        <f>IF(L239="","", IFERROR(VLOOKUP(L239, IF(D239="KET", 换算标准!$M:$N, IF(D239="PET", 换算标准!$S:$T, 换算标准!$AC:$AD)), 2, TRUE), 0))</f>
        <v/>
      </c>
      <c r="P239" t="str">
        <f t="shared" si="13"/>
        <v/>
      </c>
      <c r="Q239" t="str">
        <f>IF(P239="","", IFERROR(VLOOKUP(P239, IF(D239="KET", 换算标准!$O:$P, IF(D239="PET", 换算标准!$U:$V, 换算标准!$AG:$AH)), 2, TRUE), 0))</f>
        <v/>
      </c>
      <c r="W239" t="str">
        <f t="shared" si="14"/>
        <v/>
      </c>
      <c r="X239" t="str">
        <f>IF(W239="","", IFERROR(VLOOKUP(W239, IF(D239="KET", 换算标准!$Q:$R, IF(D239="PET", 换算标准!$W:$X, 换算标准!$AI:$AJ)), 2, TRUE), 0))</f>
        <v/>
      </c>
      <c r="Y239" t="str">
        <f t="shared" si="15"/>
        <v/>
      </c>
      <c r="Z239" t="str">
        <f>IF(Y239="","", IFERROR(VLOOKUP(Y239, 换算标准!$Z:$AA, 1, TRUE), ""))</f>
        <v/>
      </c>
      <c r="AA239" s="5" t="str">
        <f>IF(L239="","", "⚠️ 薄弱环节: "&amp;INDEX($E$1:$K$1, MATCH(MIN(E239:K239), E239:K239, 0))&amp;CHAR(10)&amp;"📉 考察能力: "&amp;IFERROR(VLOOKUP(TRIM(D239)&amp;"_"&amp;TRIM(INDEX($E$1:$K$1, MATCH(MIN(E239:K239), E239:K239, 0))), 技能库!$A:$F, 5, 0),"建议查阅考纲")&amp;CHAR(10)&amp;"💡 提升建议: "&amp;IFERROR(VLOOKUP(TRIM(D239)&amp;"_"&amp;TRIM(INDEX($E$1:$K$1, MATCH(MIN(E239:K239), E239:K239, 0))), 技能库!$A:$F, 6, 0),"请针对该题型加强练习"))</f>
        <v/>
      </c>
      <c r="AB239" s="5" t="str">
        <f>IF(P239="","", "⚠️ 薄弱环节: "&amp;INDEX($N$1:$O$1, MATCH(MIN(N239:O239), N239:O239, 0))&amp;CHAR(10)&amp;"📉 考察能力: "&amp;IFERROR(VLOOKUP(TRIM(D239)&amp;"_"&amp;TRIM(INDEX($N$1:$O$1, MATCH(MIN(N239:O239), N239:O239, 0))), 技能库!$A:$F, 5, 0),"建议查阅考纲")&amp;CHAR(10)&amp;"💡 提升建议: "&amp;IFERROR(VLOOKUP(TRIM(D239)&amp;"_"&amp;TRIM(INDEX($N$1:$O$1, MATCH(MIN(N239:O239), N239:O239, 0))), 技能库!$A:$F, 6, 0),"请针对该题型加强练习"))</f>
        <v/>
      </c>
      <c r="AC239" s="5" t="str">
        <f>IF(W239="","", "⚠️ 薄弱环节: "&amp;INDEX($R$1:$V$1, MATCH(MIN(R239:V239), R239:V239, 0))&amp;CHAR(10)&amp;"📉 考察能力: "&amp;IFERROR(VLOOKUP(TRIM(D239)&amp;"_"&amp;TRIM(INDEX($R$1:$V$1, MATCH(MIN(R239:V239), R239:V239, 0))), 技能库!$A:$F, 5, 0),"建议查阅考纲")&amp;CHAR(10)&amp;"💡 提升建议: "&amp;IFERROR(VLOOKUP(TRIM(D239)&amp;"_"&amp;TRIM(INDEX($R$1:$V$1, MATCH(MIN(R239:V239), R239:V239, 0))), 技能库!$A:$F, 6, 0),"请针对该题型加强练习"))</f>
        <v/>
      </c>
    </row>
    <row r="240" spans="12:29" ht="16" hidden="1" x14ac:dyDescent="0.2">
      <c r="L240" t="str">
        <f t="shared" si="12"/>
        <v/>
      </c>
      <c r="M240" t="str">
        <f>IF(L240="","", IFERROR(VLOOKUP(L240, IF(D240="KET", 换算标准!$M:$N, IF(D240="PET", 换算标准!$S:$T, 换算标准!$AC:$AD)), 2, TRUE), 0))</f>
        <v/>
      </c>
      <c r="P240" t="str">
        <f t="shared" si="13"/>
        <v/>
      </c>
      <c r="Q240" t="str">
        <f>IF(P240="","", IFERROR(VLOOKUP(P240, IF(D240="KET", 换算标准!$O:$P, IF(D240="PET", 换算标准!$U:$V, 换算标准!$AG:$AH)), 2, TRUE), 0))</f>
        <v/>
      </c>
      <c r="W240" t="str">
        <f t="shared" si="14"/>
        <v/>
      </c>
      <c r="X240" t="str">
        <f>IF(W240="","", IFERROR(VLOOKUP(W240, IF(D240="KET", 换算标准!$Q:$R, IF(D240="PET", 换算标准!$W:$X, 换算标准!$AI:$AJ)), 2, TRUE), 0))</f>
        <v/>
      </c>
      <c r="Y240" t="str">
        <f t="shared" si="15"/>
        <v/>
      </c>
      <c r="Z240" t="str">
        <f>IF(Y240="","", IFERROR(VLOOKUP(Y240, 换算标准!$Z:$AA, 1, TRUE), ""))</f>
        <v/>
      </c>
      <c r="AA240" s="5" t="str">
        <f>IF(L240="","", "⚠️ 薄弱环节: "&amp;INDEX($E$1:$K$1, MATCH(MIN(E240:K240), E240:K240, 0))&amp;CHAR(10)&amp;"📉 考察能力: "&amp;IFERROR(VLOOKUP(TRIM(D240)&amp;"_"&amp;TRIM(INDEX($E$1:$K$1, MATCH(MIN(E240:K240), E240:K240, 0))), 技能库!$A:$F, 5, 0),"建议查阅考纲")&amp;CHAR(10)&amp;"💡 提升建议: "&amp;IFERROR(VLOOKUP(TRIM(D240)&amp;"_"&amp;TRIM(INDEX($E$1:$K$1, MATCH(MIN(E240:K240), E240:K240, 0))), 技能库!$A:$F, 6, 0),"请针对该题型加强练习"))</f>
        <v/>
      </c>
      <c r="AB240" s="5" t="str">
        <f>IF(P240="","", "⚠️ 薄弱环节: "&amp;INDEX($N$1:$O$1, MATCH(MIN(N240:O240), N240:O240, 0))&amp;CHAR(10)&amp;"📉 考察能力: "&amp;IFERROR(VLOOKUP(TRIM(D240)&amp;"_"&amp;TRIM(INDEX($N$1:$O$1, MATCH(MIN(N240:O240), N240:O240, 0))), 技能库!$A:$F, 5, 0),"建议查阅考纲")&amp;CHAR(10)&amp;"💡 提升建议: "&amp;IFERROR(VLOOKUP(TRIM(D240)&amp;"_"&amp;TRIM(INDEX($N$1:$O$1, MATCH(MIN(N240:O240), N240:O240, 0))), 技能库!$A:$F, 6, 0),"请针对该题型加强练习"))</f>
        <v/>
      </c>
      <c r="AC240" s="5" t="str">
        <f>IF(W240="","", "⚠️ 薄弱环节: "&amp;INDEX($R$1:$V$1, MATCH(MIN(R240:V240), R240:V240, 0))&amp;CHAR(10)&amp;"📉 考察能力: "&amp;IFERROR(VLOOKUP(TRIM(D240)&amp;"_"&amp;TRIM(INDEX($R$1:$V$1, MATCH(MIN(R240:V240), R240:V240, 0))), 技能库!$A:$F, 5, 0),"建议查阅考纲")&amp;CHAR(10)&amp;"💡 提升建议: "&amp;IFERROR(VLOOKUP(TRIM(D240)&amp;"_"&amp;TRIM(INDEX($R$1:$V$1, MATCH(MIN(R240:V240), R240:V240, 0))), 技能库!$A:$F, 6, 0),"请针对该题型加强练习"))</f>
        <v/>
      </c>
    </row>
    <row r="241" spans="12:29" ht="16" hidden="1" x14ac:dyDescent="0.2">
      <c r="L241" t="str">
        <f t="shared" si="12"/>
        <v/>
      </c>
      <c r="M241" t="str">
        <f>IF(L241="","", IFERROR(VLOOKUP(L241, IF(D241="KET", 换算标准!$M:$N, IF(D241="PET", 换算标准!$S:$T, 换算标准!$AC:$AD)), 2, TRUE), 0))</f>
        <v/>
      </c>
      <c r="P241" t="str">
        <f t="shared" si="13"/>
        <v/>
      </c>
      <c r="Q241" t="str">
        <f>IF(P241="","", IFERROR(VLOOKUP(P241, IF(D241="KET", 换算标准!$O:$P, IF(D241="PET", 换算标准!$U:$V, 换算标准!$AG:$AH)), 2, TRUE), 0))</f>
        <v/>
      </c>
      <c r="W241" t="str">
        <f t="shared" si="14"/>
        <v/>
      </c>
      <c r="X241" t="str">
        <f>IF(W241="","", IFERROR(VLOOKUP(W241, IF(D241="KET", 换算标准!$Q:$R, IF(D241="PET", 换算标准!$W:$X, 换算标准!$AI:$AJ)), 2, TRUE), 0))</f>
        <v/>
      </c>
      <c r="Y241" t="str">
        <f t="shared" si="15"/>
        <v/>
      </c>
      <c r="Z241" t="str">
        <f>IF(Y241="","", IFERROR(VLOOKUP(Y241, 换算标准!$Z:$AA, 1, TRUE), ""))</f>
        <v/>
      </c>
      <c r="AA241" s="5" t="str">
        <f>IF(L241="","", "⚠️ 薄弱环节: "&amp;INDEX($E$1:$K$1, MATCH(MIN(E241:K241), E241:K241, 0))&amp;CHAR(10)&amp;"📉 考察能力: "&amp;IFERROR(VLOOKUP(TRIM(D241)&amp;"_"&amp;TRIM(INDEX($E$1:$K$1, MATCH(MIN(E241:K241), E241:K241, 0))), 技能库!$A:$F, 5, 0),"建议查阅考纲")&amp;CHAR(10)&amp;"💡 提升建议: "&amp;IFERROR(VLOOKUP(TRIM(D241)&amp;"_"&amp;TRIM(INDEX($E$1:$K$1, MATCH(MIN(E241:K241), E241:K241, 0))), 技能库!$A:$F, 6, 0),"请针对该题型加强练习"))</f>
        <v/>
      </c>
      <c r="AB241" s="5" t="str">
        <f>IF(P241="","", "⚠️ 薄弱环节: "&amp;INDEX($N$1:$O$1, MATCH(MIN(N241:O241), N241:O241, 0))&amp;CHAR(10)&amp;"📉 考察能力: "&amp;IFERROR(VLOOKUP(TRIM(D241)&amp;"_"&amp;TRIM(INDEX($N$1:$O$1, MATCH(MIN(N241:O241), N241:O241, 0))), 技能库!$A:$F, 5, 0),"建议查阅考纲")&amp;CHAR(10)&amp;"💡 提升建议: "&amp;IFERROR(VLOOKUP(TRIM(D241)&amp;"_"&amp;TRIM(INDEX($N$1:$O$1, MATCH(MIN(N241:O241), N241:O241, 0))), 技能库!$A:$F, 6, 0),"请针对该题型加强练习"))</f>
        <v/>
      </c>
      <c r="AC241" s="5" t="str">
        <f>IF(W241="","", "⚠️ 薄弱环节: "&amp;INDEX($R$1:$V$1, MATCH(MIN(R241:V241), R241:V241, 0))&amp;CHAR(10)&amp;"📉 考察能力: "&amp;IFERROR(VLOOKUP(TRIM(D241)&amp;"_"&amp;TRIM(INDEX($R$1:$V$1, MATCH(MIN(R241:V241), R241:V241, 0))), 技能库!$A:$F, 5, 0),"建议查阅考纲")&amp;CHAR(10)&amp;"💡 提升建议: "&amp;IFERROR(VLOOKUP(TRIM(D241)&amp;"_"&amp;TRIM(INDEX($R$1:$V$1, MATCH(MIN(R241:V241), R241:V241, 0))), 技能库!$A:$F, 6, 0),"请针对该题型加强练习"))</f>
        <v/>
      </c>
    </row>
    <row r="242" spans="12:29" ht="16" hidden="1" x14ac:dyDescent="0.2">
      <c r="L242" t="str">
        <f t="shared" si="12"/>
        <v/>
      </c>
      <c r="M242" t="str">
        <f>IF(L242="","", IFERROR(VLOOKUP(L242, IF(D242="KET", 换算标准!$M:$N, IF(D242="PET", 换算标准!$S:$T, 换算标准!$AC:$AD)), 2, TRUE), 0))</f>
        <v/>
      </c>
      <c r="P242" t="str">
        <f t="shared" si="13"/>
        <v/>
      </c>
      <c r="Q242" t="str">
        <f>IF(P242="","", IFERROR(VLOOKUP(P242, IF(D242="KET", 换算标准!$O:$P, IF(D242="PET", 换算标准!$U:$V, 换算标准!$AG:$AH)), 2, TRUE), 0))</f>
        <v/>
      </c>
      <c r="W242" t="str">
        <f t="shared" si="14"/>
        <v/>
      </c>
      <c r="X242" t="str">
        <f>IF(W242="","", IFERROR(VLOOKUP(W242, IF(D242="KET", 换算标准!$Q:$R, IF(D242="PET", 换算标准!$W:$X, 换算标准!$AI:$AJ)), 2, TRUE), 0))</f>
        <v/>
      </c>
      <c r="Y242" t="str">
        <f t="shared" si="15"/>
        <v/>
      </c>
      <c r="Z242" t="str">
        <f>IF(Y242="","", IFERROR(VLOOKUP(Y242, 换算标准!$Z:$AA, 1, TRUE), ""))</f>
        <v/>
      </c>
      <c r="AA242" s="5" t="str">
        <f>IF(L242="","", "⚠️ 薄弱环节: "&amp;INDEX($E$1:$K$1, MATCH(MIN(E242:K242), E242:K242, 0))&amp;CHAR(10)&amp;"📉 考察能力: "&amp;IFERROR(VLOOKUP(TRIM(D242)&amp;"_"&amp;TRIM(INDEX($E$1:$K$1, MATCH(MIN(E242:K242), E242:K242, 0))), 技能库!$A:$F, 5, 0),"建议查阅考纲")&amp;CHAR(10)&amp;"💡 提升建议: "&amp;IFERROR(VLOOKUP(TRIM(D242)&amp;"_"&amp;TRIM(INDEX($E$1:$K$1, MATCH(MIN(E242:K242), E242:K242, 0))), 技能库!$A:$F, 6, 0),"请针对该题型加强练习"))</f>
        <v/>
      </c>
      <c r="AB242" s="5" t="str">
        <f>IF(P242="","", "⚠️ 薄弱环节: "&amp;INDEX($N$1:$O$1, MATCH(MIN(N242:O242), N242:O242, 0))&amp;CHAR(10)&amp;"📉 考察能力: "&amp;IFERROR(VLOOKUP(TRIM(D242)&amp;"_"&amp;TRIM(INDEX($N$1:$O$1, MATCH(MIN(N242:O242), N242:O242, 0))), 技能库!$A:$F, 5, 0),"建议查阅考纲")&amp;CHAR(10)&amp;"💡 提升建议: "&amp;IFERROR(VLOOKUP(TRIM(D242)&amp;"_"&amp;TRIM(INDEX($N$1:$O$1, MATCH(MIN(N242:O242), N242:O242, 0))), 技能库!$A:$F, 6, 0),"请针对该题型加强练习"))</f>
        <v/>
      </c>
      <c r="AC242" s="5" t="str">
        <f>IF(W242="","", "⚠️ 薄弱环节: "&amp;INDEX($R$1:$V$1, MATCH(MIN(R242:V242), R242:V242, 0))&amp;CHAR(10)&amp;"📉 考察能力: "&amp;IFERROR(VLOOKUP(TRIM(D242)&amp;"_"&amp;TRIM(INDEX($R$1:$V$1, MATCH(MIN(R242:V242), R242:V242, 0))), 技能库!$A:$F, 5, 0),"建议查阅考纲")&amp;CHAR(10)&amp;"💡 提升建议: "&amp;IFERROR(VLOOKUP(TRIM(D242)&amp;"_"&amp;TRIM(INDEX($R$1:$V$1, MATCH(MIN(R242:V242), R242:V242, 0))), 技能库!$A:$F, 6, 0),"请针对该题型加强练习"))</f>
        <v/>
      </c>
    </row>
    <row r="243" spans="12:29" ht="16" hidden="1" x14ac:dyDescent="0.2">
      <c r="L243" t="str">
        <f t="shared" si="12"/>
        <v/>
      </c>
      <c r="M243" t="str">
        <f>IF(L243="","", IFERROR(VLOOKUP(L243, IF(D243="KET", 换算标准!$M:$N, IF(D243="PET", 换算标准!$S:$T, 换算标准!$AC:$AD)), 2, TRUE), 0))</f>
        <v/>
      </c>
      <c r="P243" t="str">
        <f t="shared" si="13"/>
        <v/>
      </c>
      <c r="Q243" t="str">
        <f>IF(P243="","", IFERROR(VLOOKUP(P243, IF(D243="KET", 换算标准!$O:$P, IF(D243="PET", 换算标准!$U:$V, 换算标准!$AG:$AH)), 2, TRUE), 0))</f>
        <v/>
      </c>
      <c r="W243" t="str">
        <f t="shared" si="14"/>
        <v/>
      </c>
      <c r="X243" t="str">
        <f>IF(W243="","", IFERROR(VLOOKUP(W243, IF(D243="KET", 换算标准!$Q:$R, IF(D243="PET", 换算标准!$W:$X, 换算标准!$AI:$AJ)), 2, TRUE), 0))</f>
        <v/>
      </c>
      <c r="Y243" t="str">
        <f t="shared" si="15"/>
        <v/>
      </c>
      <c r="Z243" t="str">
        <f>IF(Y243="","", IFERROR(VLOOKUP(Y243, 换算标准!$Z:$AA, 1, TRUE), ""))</f>
        <v/>
      </c>
      <c r="AA243" s="5" t="str">
        <f>IF(L243="","", "⚠️ 薄弱环节: "&amp;INDEX($E$1:$K$1, MATCH(MIN(E243:K243), E243:K243, 0))&amp;CHAR(10)&amp;"📉 考察能力: "&amp;IFERROR(VLOOKUP(TRIM(D243)&amp;"_"&amp;TRIM(INDEX($E$1:$K$1, MATCH(MIN(E243:K243), E243:K243, 0))), 技能库!$A:$F, 5, 0),"建议查阅考纲")&amp;CHAR(10)&amp;"💡 提升建议: "&amp;IFERROR(VLOOKUP(TRIM(D243)&amp;"_"&amp;TRIM(INDEX($E$1:$K$1, MATCH(MIN(E243:K243), E243:K243, 0))), 技能库!$A:$F, 6, 0),"请针对该题型加强练习"))</f>
        <v/>
      </c>
      <c r="AB243" s="5" t="str">
        <f>IF(P243="","", "⚠️ 薄弱环节: "&amp;INDEX($N$1:$O$1, MATCH(MIN(N243:O243), N243:O243, 0))&amp;CHAR(10)&amp;"📉 考察能力: "&amp;IFERROR(VLOOKUP(TRIM(D243)&amp;"_"&amp;TRIM(INDEX($N$1:$O$1, MATCH(MIN(N243:O243), N243:O243, 0))), 技能库!$A:$F, 5, 0),"建议查阅考纲")&amp;CHAR(10)&amp;"💡 提升建议: "&amp;IFERROR(VLOOKUP(TRIM(D243)&amp;"_"&amp;TRIM(INDEX($N$1:$O$1, MATCH(MIN(N243:O243), N243:O243, 0))), 技能库!$A:$F, 6, 0),"请针对该题型加强练习"))</f>
        <v/>
      </c>
      <c r="AC243" s="5" t="str">
        <f>IF(W243="","", "⚠️ 薄弱环节: "&amp;INDEX($R$1:$V$1, MATCH(MIN(R243:V243), R243:V243, 0))&amp;CHAR(10)&amp;"📉 考察能力: "&amp;IFERROR(VLOOKUP(TRIM(D243)&amp;"_"&amp;TRIM(INDEX($R$1:$V$1, MATCH(MIN(R243:V243), R243:V243, 0))), 技能库!$A:$F, 5, 0),"建议查阅考纲")&amp;CHAR(10)&amp;"💡 提升建议: "&amp;IFERROR(VLOOKUP(TRIM(D243)&amp;"_"&amp;TRIM(INDEX($R$1:$V$1, MATCH(MIN(R243:V243), R243:V243, 0))), 技能库!$A:$F, 6, 0),"请针对该题型加强练习"))</f>
        <v/>
      </c>
    </row>
    <row r="244" spans="12:29" ht="16" hidden="1" x14ac:dyDescent="0.2">
      <c r="L244" t="str">
        <f t="shared" si="12"/>
        <v/>
      </c>
      <c r="M244" t="str">
        <f>IF(L244="","", IFERROR(VLOOKUP(L244, IF(D244="KET", 换算标准!$M:$N, IF(D244="PET", 换算标准!$S:$T, 换算标准!$AC:$AD)), 2, TRUE), 0))</f>
        <v/>
      </c>
      <c r="P244" t="str">
        <f t="shared" si="13"/>
        <v/>
      </c>
      <c r="Q244" t="str">
        <f>IF(P244="","", IFERROR(VLOOKUP(P244, IF(D244="KET", 换算标准!$O:$P, IF(D244="PET", 换算标准!$U:$V, 换算标准!$AG:$AH)), 2, TRUE), 0))</f>
        <v/>
      </c>
      <c r="W244" t="str">
        <f t="shared" si="14"/>
        <v/>
      </c>
      <c r="X244" t="str">
        <f>IF(W244="","", IFERROR(VLOOKUP(W244, IF(D244="KET", 换算标准!$Q:$R, IF(D244="PET", 换算标准!$W:$X, 换算标准!$AI:$AJ)), 2, TRUE), 0))</f>
        <v/>
      </c>
      <c r="Y244" t="str">
        <f t="shared" si="15"/>
        <v/>
      </c>
      <c r="Z244" t="str">
        <f>IF(Y244="","", IFERROR(VLOOKUP(Y244, 换算标准!$Z:$AA, 1, TRUE), ""))</f>
        <v/>
      </c>
      <c r="AA244" s="5" t="str">
        <f>IF(L244="","", "⚠️ 薄弱环节: "&amp;INDEX($E$1:$K$1, MATCH(MIN(E244:K244), E244:K244, 0))&amp;CHAR(10)&amp;"📉 考察能力: "&amp;IFERROR(VLOOKUP(TRIM(D244)&amp;"_"&amp;TRIM(INDEX($E$1:$K$1, MATCH(MIN(E244:K244), E244:K244, 0))), 技能库!$A:$F, 5, 0),"建议查阅考纲")&amp;CHAR(10)&amp;"💡 提升建议: "&amp;IFERROR(VLOOKUP(TRIM(D244)&amp;"_"&amp;TRIM(INDEX($E$1:$K$1, MATCH(MIN(E244:K244), E244:K244, 0))), 技能库!$A:$F, 6, 0),"请针对该题型加强练习"))</f>
        <v/>
      </c>
      <c r="AB244" s="5" t="str">
        <f>IF(P244="","", "⚠️ 薄弱环节: "&amp;INDEX($N$1:$O$1, MATCH(MIN(N244:O244), N244:O244, 0))&amp;CHAR(10)&amp;"📉 考察能力: "&amp;IFERROR(VLOOKUP(TRIM(D244)&amp;"_"&amp;TRIM(INDEX($N$1:$O$1, MATCH(MIN(N244:O244), N244:O244, 0))), 技能库!$A:$F, 5, 0),"建议查阅考纲")&amp;CHAR(10)&amp;"💡 提升建议: "&amp;IFERROR(VLOOKUP(TRIM(D244)&amp;"_"&amp;TRIM(INDEX($N$1:$O$1, MATCH(MIN(N244:O244), N244:O244, 0))), 技能库!$A:$F, 6, 0),"请针对该题型加强练习"))</f>
        <v/>
      </c>
      <c r="AC244" s="5" t="str">
        <f>IF(W244="","", "⚠️ 薄弱环节: "&amp;INDEX($R$1:$V$1, MATCH(MIN(R244:V244), R244:V244, 0))&amp;CHAR(10)&amp;"📉 考察能力: "&amp;IFERROR(VLOOKUP(TRIM(D244)&amp;"_"&amp;TRIM(INDEX($R$1:$V$1, MATCH(MIN(R244:V244), R244:V244, 0))), 技能库!$A:$F, 5, 0),"建议查阅考纲")&amp;CHAR(10)&amp;"💡 提升建议: "&amp;IFERROR(VLOOKUP(TRIM(D244)&amp;"_"&amp;TRIM(INDEX($R$1:$V$1, MATCH(MIN(R244:V244), R244:V244, 0))), 技能库!$A:$F, 6, 0),"请针对该题型加强练习"))</f>
        <v/>
      </c>
    </row>
    <row r="245" spans="12:29" ht="16" hidden="1" x14ac:dyDescent="0.2">
      <c r="L245" t="str">
        <f t="shared" si="12"/>
        <v/>
      </c>
      <c r="M245" t="str">
        <f>IF(L245="","", IFERROR(VLOOKUP(L245, IF(D245="KET", 换算标准!$M:$N, IF(D245="PET", 换算标准!$S:$T, 换算标准!$AC:$AD)), 2, TRUE), 0))</f>
        <v/>
      </c>
      <c r="P245" t="str">
        <f t="shared" si="13"/>
        <v/>
      </c>
      <c r="Q245" t="str">
        <f>IF(P245="","", IFERROR(VLOOKUP(P245, IF(D245="KET", 换算标准!$O:$P, IF(D245="PET", 换算标准!$U:$V, 换算标准!$AG:$AH)), 2, TRUE), 0))</f>
        <v/>
      </c>
      <c r="W245" t="str">
        <f t="shared" si="14"/>
        <v/>
      </c>
      <c r="X245" t="str">
        <f>IF(W245="","", IFERROR(VLOOKUP(W245, IF(D245="KET", 换算标准!$Q:$R, IF(D245="PET", 换算标准!$W:$X, 换算标准!$AI:$AJ)), 2, TRUE), 0))</f>
        <v/>
      </c>
      <c r="Y245" t="str">
        <f t="shared" si="15"/>
        <v/>
      </c>
      <c r="Z245" t="str">
        <f>IF(Y245="","", IFERROR(VLOOKUP(Y245, 换算标准!$Z:$AA, 1, TRUE), ""))</f>
        <v/>
      </c>
      <c r="AA245" s="5" t="str">
        <f>IF(L245="","", "⚠️ 薄弱环节: "&amp;INDEX($E$1:$K$1, MATCH(MIN(E245:K245), E245:K245, 0))&amp;CHAR(10)&amp;"📉 考察能力: "&amp;IFERROR(VLOOKUP(TRIM(D245)&amp;"_"&amp;TRIM(INDEX($E$1:$K$1, MATCH(MIN(E245:K245), E245:K245, 0))), 技能库!$A:$F, 5, 0),"建议查阅考纲")&amp;CHAR(10)&amp;"💡 提升建议: "&amp;IFERROR(VLOOKUP(TRIM(D245)&amp;"_"&amp;TRIM(INDEX($E$1:$K$1, MATCH(MIN(E245:K245), E245:K245, 0))), 技能库!$A:$F, 6, 0),"请针对该题型加强练习"))</f>
        <v/>
      </c>
      <c r="AB245" s="5" t="str">
        <f>IF(P245="","", "⚠️ 薄弱环节: "&amp;INDEX($N$1:$O$1, MATCH(MIN(N245:O245), N245:O245, 0))&amp;CHAR(10)&amp;"📉 考察能力: "&amp;IFERROR(VLOOKUP(TRIM(D245)&amp;"_"&amp;TRIM(INDEX($N$1:$O$1, MATCH(MIN(N245:O245), N245:O245, 0))), 技能库!$A:$F, 5, 0),"建议查阅考纲")&amp;CHAR(10)&amp;"💡 提升建议: "&amp;IFERROR(VLOOKUP(TRIM(D245)&amp;"_"&amp;TRIM(INDEX($N$1:$O$1, MATCH(MIN(N245:O245), N245:O245, 0))), 技能库!$A:$F, 6, 0),"请针对该题型加强练习"))</f>
        <v/>
      </c>
      <c r="AC245" s="5" t="str">
        <f>IF(W245="","", "⚠️ 薄弱环节: "&amp;INDEX($R$1:$V$1, MATCH(MIN(R245:V245), R245:V245, 0))&amp;CHAR(10)&amp;"📉 考察能力: "&amp;IFERROR(VLOOKUP(TRIM(D245)&amp;"_"&amp;TRIM(INDEX($R$1:$V$1, MATCH(MIN(R245:V245), R245:V245, 0))), 技能库!$A:$F, 5, 0),"建议查阅考纲")&amp;CHAR(10)&amp;"💡 提升建议: "&amp;IFERROR(VLOOKUP(TRIM(D245)&amp;"_"&amp;TRIM(INDEX($R$1:$V$1, MATCH(MIN(R245:V245), R245:V245, 0))), 技能库!$A:$F, 6, 0),"请针对该题型加强练习"))</f>
        <v/>
      </c>
    </row>
    <row r="246" spans="12:29" ht="16" hidden="1" x14ac:dyDescent="0.2">
      <c r="L246" t="str">
        <f t="shared" si="12"/>
        <v/>
      </c>
      <c r="M246" t="str">
        <f>IF(L246="","", IFERROR(VLOOKUP(L246, IF(D246="KET", 换算标准!$M:$N, IF(D246="PET", 换算标准!$S:$T, 换算标准!$AC:$AD)), 2, TRUE), 0))</f>
        <v/>
      </c>
      <c r="P246" t="str">
        <f t="shared" si="13"/>
        <v/>
      </c>
      <c r="Q246" t="str">
        <f>IF(P246="","", IFERROR(VLOOKUP(P246, IF(D246="KET", 换算标准!$O:$P, IF(D246="PET", 换算标准!$U:$V, 换算标准!$AG:$AH)), 2, TRUE), 0))</f>
        <v/>
      </c>
      <c r="W246" t="str">
        <f t="shared" si="14"/>
        <v/>
      </c>
      <c r="X246" t="str">
        <f>IF(W246="","", IFERROR(VLOOKUP(W246, IF(D246="KET", 换算标准!$Q:$R, IF(D246="PET", 换算标准!$W:$X, 换算标准!$AI:$AJ)), 2, TRUE), 0))</f>
        <v/>
      </c>
      <c r="Y246" t="str">
        <f t="shared" si="15"/>
        <v/>
      </c>
      <c r="Z246" t="str">
        <f>IF(Y246="","", IFERROR(VLOOKUP(Y246, 换算标准!$Z:$AA, 1, TRUE), ""))</f>
        <v/>
      </c>
      <c r="AA246" s="5" t="str">
        <f>IF(L246="","", "⚠️ 薄弱环节: "&amp;INDEX($E$1:$K$1, MATCH(MIN(E246:K246), E246:K246, 0))&amp;CHAR(10)&amp;"📉 考察能力: "&amp;IFERROR(VLOOKUP(TRIM(D246)&amp;"_"&amp;TRIM(INDEX($E$1:$K$1, MATCH(MIN(E246:K246), E246:K246, 0))), 技能库!$A:$F, 5, 0),"建议查阅考纲")&amp;CHAR(10)&amp;"💡 提升建议: "&amp;IFERROR(VLOOKUP(TRIM(D246)&amp;"_"&amp;TRIM(INDEX($E$1:$K$1, MATCH(MIN(E246:K246), E246:K246, 0))), 技能库!$A:$F, 6, 0),"请针对该题型加强练习"))</f>
        <v/>
      </c>
      <c r="AB246" s="5" t="str">
        <f>IF(P246="","", "⚠️ 薄弱环节: "&amp;INDEX($N$1:$O$1, MATCH(MIN(N246:O246), N246:O246, 0))&amp;CHAR(10)&amp;"📉 考察能力: "&amp;IFERROR(VLOOKUP(TRIM(D246)&amp;"_"&amp;TRIM(INDEX($N$1:$O$1, MATCH(MIN(N246:O246), N246:O246, 0))), 技能库!$A:$F, 5, 0),"建议查阅考纲")&amp;CHAR(10)&amp;"💡 提升建议: "&amp;IFERROR(VLOOKUP(TRIM(D246)&amp;"_"&amp;TRIM(INDEX($N$1:$O$1, MATCH(MIN(N246:O246), N246:O246, 0))), 技能库!$A:$F, 6, 0),"请针对该题型加强练习"))</f>
        <v/>
      </c>
      <c r="AC246" s="5" t="str">
        <f>IF(W246="","", "⚠️ 薄弱环节: "&amp;INDEX($R$1:$V$1, MATCH(MIN(R246:V246), R246:V246, 0))&amp;CHAR(10)&amp;"📉 考察能力: "&amp;IFERROR(VLOOKUP(TRIM(D246)&amp;"_"&amp;TRIM(INDEX($R$1:$V$1, MATCH(MIN(R246:V246), R246:V246, 0))), 技能库!$A:$F, 5, 0),"建议查阅考纲")&amp;CHAR(10)&amp;"💡 提升建议: "&amp;IFERROR(VLOOKUP(TRIM(D246)&amp;"_"&amp;TRIM(INDEX($R$1:$V$1, MATCH(MIN(R246:V246), R246:V246, 0))), 技能库!$A:$F, 6, 0),"请针对该题型加强练习"))</f>
        <v/>
      </c>
    </row>
    <row r="247" spans="12:29" ht="16" hidden="1" x14ac:dyDescent="0.2">
      <c r="L247" t="str">
        <f t="shared" si="12"/>
        <v/>
      </c>
      <c r="M247" t="str">
        <f>IF(L247="","", IFERROR(VLOOKUP(L247, IF(D247="KET", 换算标准!$M:$N, IF(D247="PET", 换算标准!$S:$T, 换算标准!$AC:$AD)), 2, TRUE), 0))</f>
        <v/>
      </c>
      <c r="P247" t="str">
        <f t="shared" si="13"/>
        <v/>
      </c>
      <c r="Q247" t="str">
        <f>IF(P247="","", IFERROR(VLOOKUP(P247, IF(D247="KET", 换算标准!$O:$P, IF(D247="PET", 换算标准!$U:$V, 换算标准!$AG:$AH)), 2, TRUE), 0))</f>
        <v/>
      </c>
      <c r="W247" t="str">
        <f t="shared" si="14"/>
        <v/>
      </c>
      <c r="X247" t="str">
        <f>IF(W247="","", IFERROR(VLOOKUP(W247, IF(D247="KET", 换算标准!$Q:$R, IF(D247="PET", 换算标准!$W:$X, 换算标准!$AI:$AJ)), 2, TRUE), 0))</f>
        <v/>
      </c>
      <c r="Y247" t="str">
        <f t="shared" si="15"/>
        <v/>
      </c>
      <c r="Z247" t="str">
        <f>IF(Y247="","", IFERROR(VLOOKUP(Y247, 换算标准!$Z:$AA, 1, TRUE), ""))</f>
        <v/>
      </c>
      <c r="AA247" s="5" t="str">
        <f>IF(L247="","", "⚠️ 薄弱环节: "&amp;INDEX($E$1:$K$1, MATCH(MIN(E247:K247), E247:K247, 0))&amp;CHAR(10)&amp;"📉 考察能力: "&amp;IFERROR(VLOOKUP(TRIM(D247)&amp;"_"&amp;TRIM(INDEX($E$1:$K$1, MATCH(MIN(E247:K247), E247:K247, 0))), 技能库!$A:$F, 5, 0),"建议查阅考纲")&amp;CHAR(10)&amp;"💡 提升建议: "&amp;IFERROR(VLOOKUP(TRIM(D247)&amp;"_"&amp;TRIM(INDEX($E$1:$K$1, MATCH(MIN(E247:K247), E247:K247, 0))), 技能库!$A:$F, 6, 0),"请针对该题型加强练习"))</f>
        <v/>
      </c>
      <c r="AB247" s="5" t="str">
        <f>IF(P247="","", "⚠️ 薄弱环节: "&amp;INDEX($N$1:$O$1, MATCH(MIN(N247:O247), N247:O247, 0))&amp;CHAR(10)&amp;"📉 考察能力: "&amp;IFERROR(VLOOKUP(TRIM(D247)&amp;"_"&amp;TRIM(INDEX($N$1:$O$1, MATCH(MIN(N247:O247), N247:O247, 0))), 技能库!$A:$F, 5, 0),"建议查阅考纲")&amp;CHAR(10)&amp;"💡 提升建议: "&amp;IFERROR(VLOOKUP(TRIM(D247)&amp;"_"&amp;TRIM(INDEX($N$1:$O$1, MATCH(MIN(N247:O247), N247:O247, 0))), 技能库!$A:$F, 6, 0),"请针对该题型加强练习"))</f>
        <v/>
      </c>
      <c r="AC247" s="5" t="str">
        <f>IF(W247="","", "⚠️ 薄弱环节: "&amp;INDEX($R$1:$V$1, MATCH(MIN(R247:V247), R247:V247, 0))&amp;CHAR(10)&amp;"📉 考察能力: "&amp;IFERROR(VLOOKUP(TRIM(D247)&amp;"_"&amp;TRIM(INDEX($R$1:$V$1, MATCH(MIN(R247:V247), R247:V247, 0))), 技能库!$A:$F, 5, 0),"建议查阅考纲")&amp;CHAR(10)&amp;"💡 提升建议: "&amp;IFERROR(VLOOKUP(TRIM(D247)&amp;"_"&amp;TRIM(INDEX($R$1:$V$1, MATCH(MIN(R247:V247), R247:V247, 0))), 技能库!$A:$F, 6, 0),"请针对该题型加强练习"))</f>
        <v/>
      </c>
    </row>
    <row r="248" spans="12:29" ht="16" hidden="1" x14ac:dyDescent="0.2">
      <c r="L248" t="str">
        <f t="shared" si="12"/>
        <v/>
      </c>
      <c r="M248" t="str">
        <f>IF(L248="","", IFERROR(VLOOKUP(L248, IF(D248="KET", 换算标准!$M:$N, IF(D248="PET", 换算标准!$S:$T, 换算标准!$AC:$AD)), 2, TRUE), 0))</f>
        <v/>
      </c>
      <c r="P248" t="str">
        <f t="shared" si="13"/>
        <v/>
      </c>
      <c r="Q248" t="str">
        <f>IF(P248="","", IFERROR(VLOOKUP(P248, IF(D248="KET", 换算标准!$O:$P, IF(D248="PET", 换算标准!$U:$V, 换算标准!$AG:$AH)), 2, TRUE), 0))</f>
        <v/>
      </c>
      <c r="W248" t="str">
        <f t="shared" si="14"/>
        <v/>
      </c>
      <c r="X248" t="str">
        <f>IF(W248="","", IFERROR(VLOOKUP(W248, IF(D248="KET", 换算标准!$Q:$R, IF(D248="PET", 换算标准!$W:$X, 换算标准!$AI:$AJ)), 2, TRUE), 0))</f>
        <v/>
      </c>
      <c r="Y248" t="str">
        <f t="shared" si="15"/>
        <v/>
      </c>
      <c r="Z248" t="str">
        <f>IF(Y248="","", IFERROR(VLOOKUP(Y248, 换算标准!$Z:$AA, 1, TRUE), ""))</f>
        <v/>
      </c>
      <c r="AA248" s="5" t="str">
        <f>IF(L248="","", "⚠️ 薄弱环节: "&amp;INDEX($E$1:$K$1, MATCH(MIN(E248:K248), E248:K248, 0))&amp;CHAR(10)&amp;"📉 考察能力: "&amp;IFERROR(VLOOKUP(TRIM(D248)&amp;"_"&amp;TRIM(INDEX($E$1:$K$1, MATCH(MIN(E248:K248), E248:K248, 0))), 技能库!$A:$F, 5, 0),"建议查阅考纲")&amp;CHAR(10)&amp;"💡 提升建议: "&amp;IFERROR(VLOOKUP(TRIM(D248)&amp;"_"&amp;TRIM(INDEX($E$1:$K$1, MATCH(MIN(E248:K248), E248:K248, 0))), 技能库!$A:$F, 6, 0),"请针对该题型加强练习"))</f>
        <v/>
      </c>
      <c r="AB248" s="5" t="str">
        <f>IF(P248="","", "⚠️ 薄弱环节: "&amp;INDEX($N$1:$O$1, MATCH(MIN(N248:O248), N248:O248, 0))&amp;CHAR(10)&amp;"📉 考察能力: "&amp;IFERROR(VLOOKUP(TRIM(D248)&amp;"_"&amp;TRIM(INDEX($N$1:$O$1, MATCH(MIN(N248:O248), N248:O248, 0))), 技能库!$A:$F, 5, 0),"建议查阅考纲")&amp;CHAR(10)&amp;"💡 提升建议: "&amp;IFERROR(VLOOKUP(TRIM(D248)&amp;"_"&amp;TRIM(INDEX($N$1:$O$1, MATCH(MIN(N248:O248), N248:O248, 0))), 技能库!$A:$F, 6, 0),"请针对该题型加强练习"))</f>
        <v/>
      </c>
      <c r="AC248" s="5" t="str">
        <f>IF(W248="","", "⚠️ 薄弱环节: "&amp;INDEX($R$1:$V$1, MATCH(MIN(R248:V248), R248:V248, 0))&amp;CHAR(10)&amp;"📉 考察能力: "&amp;IFERROR(VLOOKUP(TRIM(D248)&amp;"_"&amp;TRIM(INDEX($R$1:$V$1, MATCH(MIN(R248:V248), R248:V248, 0))), 技能库!$A:$F, 5, 0),"建议查阅考纲")&amp;CHAR(10)&amp;"💡 提升建议: "&amp;IFERROR(VLOOKUP(TRIM(D248)&amp;"_"&amp;TRIM(INDEX($R$1:$V$1, MATCH(MIN(R248:V248), R248:V248, 0))), 技能库!$A:$F, 6, 0),"请针对该题型加强练习"))</f>
        <v/>
      </c>
    </row>
    <row r="249" spans="12:29" ht="16" hidden="1" x14ac:dyDescent="0.2">
      <c r="L249" t="str">
        <f t="shared" si="12"/>
        <v/>
      </c>
      <c r="M249" t="str">
        <f>IF(L249="","", IFERROR(VLOOKUP(L249, IF(D249="KET", 换算标准!$M:$N, IF(D249="PET", 换算标准!$S:$T, 换算标准!$AC:$AD)), 2, TRUE), 0))</f>
        <v/>
      </c>
      <c r="P249" t="str">
        <f t="shared" si="13"/>
        <v/>
      </c>
      <c r="Q249" t="str">
        <f>IF(P249="","", IFERROR(VLOOKUP(P249, IF(D249="KET", 换算标准!$O:$P, IF(D249="PET", 换算标准!$U:$V, 换算标准!$AG:$AH)), 2, TRUE), 0))</f>
        <v/>
      </c>
      <c r="W249" t="str">
        <f t="shared" si="14"/>
        <v/>
      </c>
      <c r="X249" t="str">
        <f>IF(W249="","", IFERROR(VLOOKUP(W249, IF(D249="KET", 换算标准!$Q:$R, IF(D249="PET", 换算标准!$W:$X, 换算标准!$AI:$AJ)), 2, TRUE), 0))</f>
        <v/>
      </c>
      <c r="Y249" t="str">
        <f t="shared" si="15"/>
        <v/>
      </c>
      <c r="Z249" t="str">
        <f>IF(Y249="","", IFERROR(VLOOKUP(Y249, 换算标准!$Z:$AA, 1, TRUE), ""))</f>
        <v/>
      </c>
      <c r="AA249" s="5" t="str">
        <f>IF(L249="","", "⚠️ 薄弱环节: "&amp;INDEX($E$1:$K$1, MATCH(MIN(E249:K249), E249:K249, 0))&amp;CHAR(10)&amp;"📉 考察能力: "&amp;IFERROR(VLOOKUP(TRIM(D249)&amp;"_"&amp;TRIM(INDEX($E$1:$K$1, MATCH(MIN(E249:K249), E249:K249, 0))), 技能库!$A:$F, 5, 0),"建议查阅考纲")&amp;CHAR(10)&amp;"💡 提升建议: "&amp;IFERROR(VLOOKUP(TRIM(D249)&amp;"_"&amp;TRIM(INDEX($E$1:$K$1, MATCH(MIN(E249:K249), E249:K249, 0))), 技能库!$A:$F, 6, 0),"请针对该题型加强练习"))</f>
        <v/>
      </c>
      <c r="AB249" s="5" t="str">
        <f>IF(P249="","", "⚠️ 薄弱环节: "&amp;INDEX($N$1:$O$1, MATCH(MIN(N249:O249), N249:O249, 0))&amp;CHAR(10)&amp;"📉 考察能力: "&amp;IFERROR(VLOOKUP(TRIM(D249)&amp;"_"&amp;TRIM(INDEX($N$1:$O$1, MATCH(MIN(N249:O249), N249:O249, 0))), 技能库!$A:$F, 5, 0),"建议查阅考纲")&amp;CHAR(10)&amp;"💡 提升建议: "&amp;IFERROR(VLOOKUP(TRIM(D249)&amp;"_"&amp;TRIM(INDEX($N$1:$O$1, MATCH(MIN(N249:O249), N249:O249, 0))), 技能库!$A:$F, 6, 0),"请针对该题型加强练习"))</f>
        <v/>
      </c>
      <c r="AC249" s="5" t="str">
        <f>IF(W249="","", "⚠️ 薄弱环节: "&amp;INDEX($R$1:$V$1, MATCH(MIN(R249:V249), R249:V249, 0))&amp;CHAR(10)&amp;"📉 考察能力: "&amp;IFERROR(VLOOKUP(TRIM(D249)&amp;"_"&amp;TRIM(INDEX($R$1:$V$1, MATCH(MIN(R249:V249), R249:V249, 0))), 技能库!$A:$F, 5, 0),"建议查阅考纲")&amp;CHAR(10)&amp;"💡 提升建议: "&amp;IFERROR(VLOOKUP(TRIM(D249)&amp;"_"&amp;TRIM(INDEX($R$1:$V$1, MATCH(MIN(R249:V249), R249:V249, 0))), 技能库!$A:$F, 6, 0),"请针对该题型加强练习"))</f>
        <v/>
      </c>
    </row>
    <row r="250" spans="12:29" ht="16" hidden="1" x14ac:dyDescent="0.2">
      <c r="L250" t="str">
        <f t="shared" si="12"/>
        <v/>
      </c>
      <c r="M250" t="str">
        <f>IF(L250="","", IFERROR(VLOOKUP(L250, IF(D250="KET", 换算标准!$M:$N, IF(D250="PET", 换算标准!$S:$T, 换算标准!$AC:$AD)), 2, TRUE), 0))</f>
        <v/>
      </c>
      <c r="P250" t="str">
        <f t="shared" si="13"/>
        <v/>
      </c>
      <c r="Q250" t="str">
        <f>IF(P250="","", IFERROR(VLOOKUP(P250, IF(D250="KET", 换算标准!$O:$P, IF(D250="PET", 换算标准!$U:$V, 换算标准!$AG:$AH)), 2, TRUE), 0))</f>
        <v/>
      </c>
      <c r="W250" t="str">
        <f t="shared" si="14"/>
        <v/>
      </c>
      <c r="X250" t="str">
        <f>IF(W250="","", IFERROR(VLOOKUP(W250, IF(D250="KET", 换算标准!$Q:$R, IF(D250="PET", 换算标准!$W:$X, 换算标准!$AI:$AJ)), 2, TRUE), 0))</f>
        <v/>
      </c>
      <c r="Y250" t="str">
        <f t="shared" si="15"/>
        <v/>
      </c>
      <c r="Z250" t="str">
        <f>IF(Y250="","", IFERROR(VLOOKUP(Y250, 换算标准!$Z:$AA, 1, TRUE), ""))</f>
        <v/>
      </c>
      <c r="AA250" s="5" t="str">
        <f>IF(L250="","", "⚠️ 薄弱环节: "&amp;INDEX($E$1:$K$1, MATCH(MIN(E250:K250), E250:K250, 0))&amp;CHAR(10)&amp;"📉 考察能力: "&amp;IFERROR(VLOOKUP(TRIM(D250)&amp;"_"&amp;TRIM(INDEX($E$1:$K$1, MATCH(MIN(E250:K250), E250:K250, 0))), 技能库!$A:$F, 5, 0),"建议查阅考纲")&amp;CHAR(10)&amp;"💡 提升建议: "&amp;IFERROR(VLOOKUP(TRIM(D250)&amp;"_"&amp;TRIM(INDEX($E$1:$K$1, MATCH(MIN(E250:K250), E250:K250, 0))), 技能库!$A:$F, 6, 0),"请针对该题型加强练习"))</f>
        <v/>
      </c>
      <c r="AB250" s="5" t="str">
        <f>IF(P250="","", "⚠️ 薄弱环节: "&amp;INDEX($N$1:$O$1, MATCH(MIN(N250:O250), N250:O250, 0))&amp;CHAR(10)&amp;"📉 考察能力: "&amp;IFERROR(VLOOKUP(TRIM(D250)&amp;"_"&amp;TRIM(INDEX($N$1:$O$1, MATCH(MIN(N250:O250), N250:O250, 0))), 技能库!$A:$F, 5, 0),"建议查阅考纲")&amp;CHAR(10)&amp;"💡 提升建议: "&amp;IFERROR(VLOOKUP(TRIM(D250)&amp;"_"&amp;TRIM(INDEX($N$1:$O$1, MATCH(MIN(N250:O250), N250:O250, 0))), 技能库!$A:$F, 6, 0),"请针对该题型加强练习"))</f>
        <v/>
      </c>
      <c r="AC250" s="5" t="str">
        <f>IF(W250="","", "⚠️ 薄弱环节: "&amp;INDEX($R$1:$V$1, MATCH(MIN(R250:V250), R250:V250, 0))&amp;CHAR(10)&amp;"📉 考察能力: "&amp;IFERROR(VLOOKUP(TRIM(D250)&amp;"_"&amp;TRIM(INDEX($R$1:$V$1, MATCH(MIN(R250:V250), R250:V250, 0))), 技能库!$A:$F, 5, 0),"建议查阅考纲")&amp;CHAR(10)&amp;"💡 提升建议: "&amp;IFERROR(VLOOKUP(TRIM(D250)&amp;"_"&amp;TRIM(INDEX($R$1:$V$1, MATCH(MIN(R250:V250), R250:V250, 0))), 技能库!$A:$F, 6, 0),"请针对该题型加强练习"))</f>
        <v/>
      </c>
    </row>
    <row r="251" spans="12:29" ht="16" hidden="1" x14ac:dyDescent="0.2">
      <c r="L251" t="str">
        <f t="shared" si="12"/>
        <v/>
      </c>
      <c r="M251" t="str">
        <f>IF(L251="","", IFERROR(VLOOKUP(L251, IF(D251="KET", 换算标准!$M:$N, IF(D251="PET", 换算标准!$S:$T, 换算标准!$AC:$AD)), 2, TRUE), 0))</f>
        <v/>
      </c>
      <c r="P251" t="str">
        <f t="shared" si="13"/>
        <v/>
      </c>
      <c r="Q251" t="str">
        <f>IF(P251="","", IFERROR(VLOOKUP(P251, IF(D251="KET", 换算标准!$O:$P, IF(D251="PET", 换算标准!$U:$V, 换算标准!$AG:$AH)), 2, TRUE), 0))</f>
        <v/>
      </c>
      <c r="W251" t="str">
        <f t="shared" si="14"/>
        <v/>
      </c>
      <c r="X251" t="str">
        <f>IF(W251="","", IFERROR(VLOOKUP(W251, IF(D251="KET", 换算标准!$Q:$R, IF(D251="PET", 换算标准!$W:$X, 换算标准!$AI:$AJ)), 2, TRUE), 0))</f>
        <v/>
      </c>
      <c r="Y251" t="str">
        <f t="shared" si="15"/>
        <v/>
      </c>
      <c r="Z251" t="str">
        <f>IF(Y251="","", IFERROR(VLOOKUP(Y251, 换算标准!$Z:$AA, 1, TRUE), ""))</f>
        <v/>
      </c>
      <c r="AA251" s="5" t="str">
        <f>IF(L251="","", "⚠️ 薄弱环节: "&amp;INDEX($E$1:$K$1, MATCH(MIN(E251:K251), E251:K251, 0))&amp;CHAR(10)&amp;"📉 考察能力: "&amp;IFERROR(VLOOKUP(TRIM(D251)&amp;"_"&amp;TRIM(INDEX($E$1:$K$1, MATCH(MIN(E251:K251), E251:K251, 0))), 技能库!$A:$F, 5, 0),"建议查阅考纲")&amp;CHAR(10)&amp;"💡 提升建议: "&amp;IFERROR(VLOOKUP(TRIM(D251)&amp;"_"&amp;TRIM(INDEX($E$1:$K$1, MATCH(MIN(E251:K251), E251:K251, 0))), 技能库!$A:$F, 6, 0),"请针对该题型加强练习"))</f>
        <v/>
      </c>
      <c r="AB251" s="5" t="str">
        <f>IF(P251="","", "⚠️ 薄弱环节: "&amp;INDEX($N$1:$O$1, MATCH(MIN(N251:O251), N251:O251, 0))&amp;CHAR(10)&amp;"📉 考察能力: "&amp;IFERROR(VLOOKUP(TRIM(D251)&amp;"_"&amp;TRIM(INDEX($N$1:$O$1, MATCH(MIN(N251:O251), N251:O251, 0))), 技能库!$A:$F, 5, 0),"建议查阅考纲")&amp;CHAR(10)&amp;"💡 提升建议: "&amp;IFERROR(VLOOKUP(TRIM(D251)&amp;"_"&amp;TRIM(INDEX($N$1:$O$1, MATCH(MIN(N251:O251), N251:O251, 0))), 技能库!$A:$F, 6, 0),"请针对该题型加强练习"))</f>
        <v/>
      </c>
      <c r="AC251" s="5" t="str">
        <f>IF(W251="","", "⚠️ 薄弱环节: "&amp;INDEX($R$1:$V$1, MATCH(MIN(R251:V251), R251:V251, 0))&amp;CHAR(10)&amp;"📉 考察能力: "&amp;IFERROR(VLOOKUP(TRIM(D251)&amp;"_"&amp;TRIM(INDEX($R$1:$V$1, MATCH(MIN(R251:V251), R251:V251, 0))), 技能库!$A:$F, 5, 0),"建议查阅考纲")&amp;CHAR(10)&amp;"💡 提升建议: "&amp;IFERROR(VLOOKUP(TRIM(D251)&amp;"_"&amp;TRIM(INDEX($R$1:$V$1, MATCH(MIN(R251:V251), R251:V251, 0))), 技能库!$A:$F, 6, 0),"请针对该题型加强练习"))</f>
        <v/>
      </c>
    </row>
    <row r="252" spans="12:29" ht="16" hidden="1" x14ac:dyDescent="0.2">
      <c r="L252" t="str">
        <f t="shared" si="12"/>
        <v/>
      </c>
      <c r="M252" t="str">
        <f>IF(L252="","", IFERROR(VLOOKUP(L252, IF(D252="KET", 换算标准!$M:$N, IF(D252="PET", 换算标准!$S:$T, 换算标准!$AC:$AD)), 2, TRUE), 0))</f>
        <v/>
      </c>
      <c r="P252" t="str">
        <f t="shared" si="13"/>
        <v/>
      </c>
      <c r="Q252" t="str">
        <f>IF(P252="","", IFERROR(VLOOKUP(P252, IF(D252="KET", 换算标准!$O:$P, IF(D252="PET", 换算标准!$U:$V, 换算标准!$AG:$AH)), 2, TRUE), 0))</f>
        <v/>
      </c>
      <c r="W252" t="str">
        <f t="shared" si="14"/>
        <v/>
      </c>
      <c r="X252" t="str">
        <f>IF(W252="","", IFERROR(VLOOKUP(W252, IF(D252="KET", 换算标准!$Q:$R, IF(D252="PET", 换算标准!$W:$X, 换算标准!$AI:$AJ)), 2, TRUE), 0))</f>
        <v/>
      </c>
      <c r="Y252" t="str">
        <f t="shared" si="15"/>
        <v/>
      </c>
      <c r="Z252" t="str">
        <f>IF(Y252="","", IFERROR(VLOOKUP(Y252, 换算标准!$Z:$AA, 1, TRUE), ""))</f>
        <v/>
      </c>
      <c r="AA252" s="5" t="str">
        <f>IF(L252="","", "⚠️ 薄弱环节: "&amp;INDEX($E$1:$K$1, MATCH(MIN(E252:K252), E252:K252, 0))&amp;CHAR(10)&amp;"📉 考察能力: "&amp;IFERROR(VLOOKUP(TRIM(D252)&amp;"_"&amp;TRIM(INDEX($E$1:$K$1, MATCH(MIN(E252:K252), E252:K252, 0))), 技能库!$A:$F, 5, 0),"建议查阅考纲")&amp;CHAR(10)&amp;"💡 提升建议: "&amp;IFERROR(VLOOKUP(TRIM(D252)&amp;"_"&amp;TRIM(INDEX($E$1:$K$1, MATCH(MIN(E252:K252), E252:K252, 0))), 技能库!$A:$F, 6, 0),"请针对该题型加强练习"))</f>
        <v/>
      </c>
      <c r="AB252" s="5" t="str">
        <f>IF(P252="","", "⚠️ 薄弱环节: "&amp;INDEX($N$1:$O$1, MATCH(MIN(N252:O252), N252:O252, 0))&amp;CHAR(10)&amp;"📉 考察能力: "&amp;IFERROR(VLOOKUP(TRIM(D252)&amp;"_"&amp;TRIM(INDEX($N$1:$O$1, MATCH(MIN(N252:O252), N252:O252, 0))), 技能库!$A:$F, 5, 0),"建议查阅考纲")&amp;CHAR(10)&amp;"💡 提升建议: "&amp;IFERROR(VLOOKUP(TRIM(D252)&amp;"_"&amp;TRIM(INDEX($N$1:$O$1, MATCH(MIN(N252:O252), N252:O252, 0))), 技能库!$A:$F, 6, 0),"请针对该题型加强练习"))</f>
        <v/>
      </c>
      <c r="AC252" s="5" t="str">
        <f>IF(W252="","", "⚠️ 薄弱环节: "&amp;INDEX($R$1:$V$1, MATCH(MIN(R252:V252), R252:V252, 0))&amp;CHAR(10)&amp;"📉 考察能力: "&amp;IFERROR(VLOOKUP(TRIM(D252)&amp;"_"&amp;TRIM(INDEX($R$1:$V$1, MATCH(MIN(R252:V252), R252:V252, 0))), 技能库!$A:$F, 5, 0),"建议查阅考纲")&amp;CHAR(10)&amp;"💡 提升建议: "&amp;IFERROR(VLOOKUP(TRIM(D252)&amp;"_"&amp;TRIM(INDEX($R$1:$V$1, MATCH(MIN(R252:V252), R252:V252, 0))), 技能库!$A:$F, 6, 0),"请针对该题型加强练习"))</f>
        <v/>
      </c>
    </row>
    <row r="253" spans="12:29" ht="16" hidden="1" x14ac:dyDescent="0.2">
      <c r="L253" t="str">
        <f t="shared" si="12"/>
        <v/>
      </c>
      <c r="M253" t="str">
        <f>IF(L253="","", IFERROR(VLOOKUP(L253, IF(D253="KET", 换算标准!$M:$N, IF(D253="PET", 换算标准!$S:$T, 换算标准!$AC:$AD)), 2, TRUE), 0))</f>
        <v/>
      </c>
      <c r="P253" t="str">
        <f t="shared" si="13"/>
        <v/>
      </c>
      <c r="Q253" t="str">
        <f>IF(P253="","", IFERROR(VLOOKUP(P253, IF(D253="KET", 换算标准!$O:$P, IF(D253="PET", 换算标准!$U:$V, 换算标准!$AG:$AH)), 2, TRUE), 0))</f>
        <v/>
      </c>
      <c r="W253" t="str">
        <f t="shared" si="14"/>
        <v/>
      </c>
      <c r="X253" t="str">
        <f>IF(W253="","", IFERROR(VLOOKUP(W253, IF(D253="KET", 换算标准!$Q:$R, IF(D253="PET", 换算标准!$W:$X, 换算标准!$AI:$AJ)), 2, TRUE), 0))</f>
        <v/>
      </c>
      <c r="Y253" t="str">
        <f t="shared" si="15"/>
        <v/>
      </c>
      <c r="Z253" t="str">
        <f>IF(Y253="","", IFERROR(VLOOKUP(Y253, 换算标准!$Z:$AA, 1, TRUE), ""))</f>
        <v/>
      </c>
      <c r="AA253" s="5" t="str">
        <f>IF(L253="","", "⚠️ 薄弱环节: "&amp;INDEX($E$1:$K$1, MATCH(MIN(E253:K253), E253:K253, 0))&amp;CHAR(10)&amp;"📉 考察能力: "&amp;IFERROR(VLOOKUP(TRIM(D253)&amp;"_"&amp;TRIM(INDEX($E$1:$K$1, MATCH(MIN(E253:K253), E253:K253, 0))), 技能库!$A:$F, 5, 0),"建议查阅考纲")&amp;CHAR(10)&amp;"💡 提升建议: "&amp;IFERROR(VLOOKUP(TRIM(D253)&amp;"_"&amp;TRIM(INDEX($E$1:$K$1, MATCH(MIN(E253:K253), E253:K253, 0))), 技能库!$A:$F, 6, 0),"请针对该题型加强练习"))</f>
        <v/>
      </c>
      <c r="AB253" s="5" t="str">
        <f>IF(P253="","", "⚠️ 薄弱环节: "&amp;INDEX($N$1:$O$1, MATCH(MIN(N253:O253), N253:O253, 0))&amp;CHAR(10)&amp;"📉 考察能力: "&amp;IFERROR(VLOOKUP(TRIM(D253)&amp;"_"&amp;TRIM(INDEX($N$1:$O$1, MATCH(MIN(N253:O253), N253:O253, 0))), 技能库!$A:$F, 5, 0),"建议查阅考纲")&amp;CHAR(10)&amp;"💡 提升建议: "&amp;IFERROR(VLOOKUP(TRIM(D253)&amp;"_"&amp;TRIM(INDEX($N$1:$O$1, MATCH(MIN(N253:O253), N253:O253, 0))), 技能库!$A:$F, 6, 0),"请针对该题型加强练习"))</f>
        <v/>
      </c>
      <c r="AC253" s="5" t="str">
        <f>IF(W253="","", "⚠️ 薄弱环节: "&amp;INDEX($R$1:$V$1, MATCH(MIN(R253:V253), R253:V253, 0))&amp;CHAR(10)&amp;"📉 考察能力: "&amp;IFERROR(VLOOKUP(TRIM(D253)&amp;"_"&amp;TRIM(INDEX($R$1:$V$1, MATCH(MIN(R253:V253), R253:V253, 0))), 技能库!$A:$F, 5, 0),"建议查阅考纲")&amp;CHAR(10)&amp;"💡 提升建议: "&amp;IFERROR(VLOOKUP(TRIM(D253)&amp;"_"&amp;TRIM(INDEX($R$1:$V$1, MATCH(MIN(R253:V253), R253:V253, 0))), 技能库!$A:$F, 6, 0),"请针对该题型加强练习"))</f>
        <v/>
      </c>
    </row>
    <row r="254" spans="12:29" ht="16" hidden="1" x14ac:dyDescent="0.2">
      <c r="L254" t="str">
        <f t="shared" si="12"/>
        <v/>
      </c>
      <c r="M254" t="str">
        <f>IF(L254="","", IFERROR(VLOOKUP(L254, IF(D254="KET", 换算标准!$M:$N, IF(D254="PET", 换算标准!$S:$T, 换算标准!$AC:$AD)), 2, TRUE), 0))</f>
        <v/>
      </c>
      <c r="P254" t="str">
        <f t="shared" si="13"/>
        <v/>
      </c>
      <c r="Q254" t="str">
        <f>IF(P254="","", IFERROR(VLOOKUP(P254, IF(D254="KET", 换算标准!$O:$P, IF(D254="PET", 换算标准!$U:$V, 换算标准!$AG:$AH)), 2, TRUE), 0))</f>
        <v/>
      </c>
      <c r="W254" t="str">
        <f t="shared" si="14"/>
        <v/>
      </c>
      <c r="X254" t="str">
        <f>IF(W254="","", IFERROR(VLOOKUP(W254, IF(D254="KET", 换算标准!$Q:$R, IF(D254="PET", 换算标准!$W:$X, 换算标准!$AI:$AJ)), 2, TRUE), 0))</f>
        <v/>
      </c>
      <c r="Y254" t="str">
        <f t="shared" si="15"/>
        <v/>
      </c>
      <c r="Z254" t="str">
        <f>IF(Y254="","", IFERROR(VLOOKUP(Y254, 换算标准!$Z:$AA, 1, TRUE), ""))</f>
        <v/>
      </c>
      <c r="AA254" s="5" t="str">
        <f>IF(L254="","", "⚠️ 薄弱环节: "&amp;INDEX($E$1:$K$1, MATCH(MIN(E254:K254), E254:K254, 0))&amp;CHAR(10)&amp;"📉 考察能力: "&amp;IFERROR(VLOOKUP(TRIM(D254)&amp;"_"&amp;TRIM(INDEX($E$1:$K$1, MATCH(MIN(E254:K254), E254:K254, 0))), 技能库!$A:$F, 5, 0),"建议查阅考纲")&amp;CHAR(10)&amp;"💡 提升建议: "&amp;IFERROR(VLOOKUP(TRIM(D254)&amp;"_"&amp;TRIM(INDEX($E$1:$K$1, MATCH(MIN(E254:K254), E254:K254, 0))), 技能库!$A:$F, 6, 0),"请针对该题型加强练习"))</f>
        <v/>
      </c>
      <c r="AB254" s="5" t="str">
        <f>IF(P254="","", "⚠️ 薄弱环节: "&amp;INDEX($N$1:$O$1, MATCH(MIN(N254:O254), N254:O254, 0))&amp;CHAR(10)&amp;"📉 考察能力: "&amp;IFERROR(VLOOKUP(TRIM(D254)&amp;"_"&amp;TRIM(INDEX($N$1:$O$1, MATCH(MIN(N254:O254), N254:O254, 0))), 技能库!$A:$F, 5, 0),"建议查阅考纲")&amp;CHAR(10)&amp;"💡 提升建议: "&amp;IFERROR(VLOOKUP(TRIM(D254)&amp;"_"&amp;TRIM(INDEX($N$1:$O$1, MATCH(MIN(N254:O254), N254:O254, 0))), 技能库!$A:$F, 6, 0),"请针对该题型加强练习"))</f>
        <v/>
      </c>
      <c r="AC254" s="5" t="str">
        <f>IF(W254="","", "⚠️ 薄弱环节: "&amp;INDEX($R$1:$V$1, MATCH(MIN(R254:V254), R254:V254, 0))&amp;CHAR(10)&amp;"📉 考察能力: "&amp;IFERROR(VLOOKUP(TRIM(D254)&amp;"_"&amp;TRIM(INDEX($R$1:$V$1, MATCH(MIN(R254:V254), R254:V254, 0))), 技能库!$A:$F, 5, 0),"建议查阅考纲")&amp;CHAR(10)&amp;"💡 提升建议: "&amp;IFERROR(VLOOKUP(TRIM(D254)&amp;"_"&amp;TRIM(INDEX($R$1:$V$1, MATCH(MIN(R254:V254), R254:V254, 0))), 技能库!$A:$F, 6, 0),"请针对该题型加强练习"))</f>
        <v/>
      </c>
    </row>
    <row r="255" spans="12:29" ht="16" hidden="1" x14ac:dyDescent="0.2">
      <c r="L255" t="str">
        <f t="shared" si="12"/>
        <v/>
      </c>
      <c r="M255" t="str">
        <f>IF(L255="","", IFERROR(VLOOKUP(L255, IF(D255="KET", 换算标准!$M:$N, IF(D255="PET", 换算标准!$S:$T, 换算标准!$AC:$AD)), 2, TRUE), 0))</f>
        <v/>
      </c>
      <c r="P255" t="str">
        <f t="shared" si="13"/>
        <v/>
      </c>
      <c r="Q255" t="str">
        <f>IF(P255="","", IFERROR(VLOOKUP(P255, IF(D255="KET", 换算标准!$O:$P, IF(D255="PET", 换算标准!$U:$V, 换算标准!$AG:$AH)), 2, TRUE), 0))</f>
        <v/>
      </c>
      <c r="W255" t="str">
        <f t="shared" si="14"/>
        <v/>
      </c>
      <c r="X255" t="str">
        <f>IF(W255="","", IFERROR(VLOOKUP(W255, IF(D255="KET", 换算标准!$Q:$R, IF(D255="PET", 换算标准!$W:$X, 换算标准!$AI:$AJ)), 2, TRUE), 0))</f>
        <v/>
      </c>
      <c r="Y255" t="str">
        <f t="shared" si="15"/>
        <v/>
      </c>
      <c r="Z255" t="str">
        <f>IF(Y255="","", IFERROR(VLOOKUP(Y255, 换算标准!$Z:$AA, 1, TRUE), ""))</f>
        <v/>
      </c>
      <c r="AA255" s="5" t="str">
        <f>IF(L255="","", "⚠️ 薄弱环节: "&amp;INDEX($E$1:$K$1, MATCH(MIN(E255:K255), E255:K255, 0))&amp;CHAR(10)&amp;"📉 考察能力: "&amp;IFERROR(VLOOKUP(TRIM(D255)&amp;"_"&amp;TRIM(INDEX($E$1:$K$1, MATCH(MIN(E255:K255), E255:K255, 0))), 技能库!$A:$F, 5, 0),"建议查阅考纲")&amp;CHAR(10)&amp;"💡 提升建议: "&amp;IFERROR(VLOOKUP(TRIM(D255)&amp;"_"&amp;TRIM(INDEX($E$1:$K$1, MATCH(MIN(E255:K255), E255:K255, 0))), 技能库!$A:$F, 6, 0),"请针对该题型加强练习"))</f>
        <v/>
      </c>
      <c r="AB255" s="5" t="str">
        <f>IF(P255="","", "⚠️ 薄弱环节: "&amp;INDEX($N$1:$O$1, MATCH(MIN(N255:O255), N255:O255, 0))&amp;CHAR(10)&amp;"📉 考察能力: "&amp;IFERROR(VLOOKUP(TRIM(D255)&amp;"_"&amp;TRIM(INDEX($N$1:$O$1, MATCH(MIN(N255:O255), N255:O255, 0))), 技能库!$A:$F, 5, 0),"建议查阅考纲")&amp;CHAR(10)&amp;"💡 提升建议: "&amp;IFERROR(VLOOKUP(TRIM(D255)&amp;"_"&amp;TRIM(INDEX($N$1:$O$1, MATCH(MIN(N255:O255), N255:O255, 0))), 技能库!$A:$F, 6, 0),"请针对该题型加强练习"))</f>
        <v/>
      </c>
      <c r="AC255" s="5" t="str">
        <f>IF(W255="","", "⚠️ 薄弱环节: "&amp;INDEX($R$1:$V$1, MATCH(MIN(R255:V255), R255:V255, 0))&amp;CHAR(10)&amp;"📉 考察能力: "&amp;IFERROR(VLOOKUP(TRIM(D255)&amp;"_"&amp;TRIM(INDEX($R$1:$V$1, MATCH(MIN(R255:V255), R255:V255, 0))), 技能库!$A:$F, 5, 0),"建议查阅考纲")&amp;CHAR(10)&amp;"💡 提升建议: "&amp;IFERROR(VLOOKUP(TRIM(D255)&amp;"_"&amp;TRIM(INDEX($R$1:$V$1, MATCH(MIN(R255:V255), R255:V255, 0))), 技能库!$A:$F, 6, 0),"请针对该题型加强练习"))</f>
        <v/>
      </c>
    </row>
    <row r="256" spans="12:29" ht="16" hidden="1" x14ac:dyDescent="0.2">
      <c r="L256" t="str">
        <f t="shared" si="12"/>
        <v/>
      </c>
      <c r="M256" t="str">
        <f>IF(L256="","", IFERROR(VLOOKUP(L256, IF(D256="KET", 换算标准!$M:$N, IF(D256="PET", 换算标准!$S:$T, 换算标准!$AC:$AD)), 2, TRUE), 0))</f>
        <v/>
      </c>
      <c r="P256" t="str">
        <f t="shared" si="13"/>
        <v/>
      </c>
      <c r="Q256" t="str">
        <f>IF(P256="","", IFERROR(VLOOKUP(P256, IF(D256="KET", 换算标准!$O:$P, IF(D256="PET", 换算标准!$U:$V, 换算标准!$AG:$AH)), 2, TRUE), 0))</f>
        <v/>
      </c>
      <c r="W256" t="str">
        <f t="shared" si="14"/>
        <v/>
      </c>
      <c r="X256" t="str">
        <f>IF(W256="","", IFERROR(VLOOKUP(W256, IF(D256="KET", 换算标准!$Q:$R, IF(D256="PET", 换算标准!$W:$X, 换算标准!$AI:$AJ)), 2, TRUE), 0))</f>
        <v/>
      </c>
      <c r="Y256" t="str">
        <f t="shared" si="15"/>
        <v/>
      </c>
      <c r="Z256" t="str">
        <f>IF(Y256="","", IFERROR(VLOOKUP(Y256, 换算标准!$Z:$AA, 1, TRUE), ""))</f>
        <v/>
      </c>
      <c r="AA256" s="5" t="str">
        <f>IF(L256="","", "⚠️ 薄弱环节: "&amp;INDEX($E$1:$K$1, MATCH(MIN(E256:K256), E256:K256, 0))&amp;CHAR(10)&amp;"📉 考察能力: "&amp;IFERROR(VLOOKUP(TRIM(D256)&amp;"_"&amp;TRIM(INDEX($E$1:$K$1, MATCH(MIN(E256:K256), E256:K256, 0))), 技能库!$A:$F, 5, 0),"建议查阅考纲")&amp;CHAR(10)&amp;"💡 提升建议: "&amp;IFERROR(VLOOKUP(TRIM(D256)&amp;"_"&amp;TRIM(INDEX($E$1:$K$1, MATCH(MIN(E256:K256), E256:K256, 0))), 技能库!$A:$F, 6, 0),"请针对该题型加强练习"))</f>
        <v/>
      </c>
      <c r="AB256" s="5" t="str">
        <f>IF(P256="","", "⚠️ 薄弱环节: "&amp;INDEX($N$1:$O$1, MATCH(MIN(N256:O256), N256:O256, 0))&amp;CHAR(10)&amp;"📉 考察能力: "&amp;IFERROR(VLOOKUP(TRIM(D256)&amp;"_"&amp;TRIM(INDEX($N$1:$O$1, MATCH(MIN(N256:O256), N256:O256, 0))), 技能库!$A:$F, 5, 0),"建议查阅考纲")&amp;CHAR(10)&amp;"💡 提升建议: "&amp;IFERROR(VLOOKUP(TRIM(D256)&amp;"_"&amp;TRIM(INDEX($N$1:$O$1, MATCH(MIN(N256:O256), N256:O256, 0))), 技能库!$A:$F, 6, 0),"请针对该题型加强练习"))</f>
        <v/>
      </c>
      <c r="AC256" s="5" t="str">
        <f>IF(W256="","", "⚠️ 薄弱环节: "&amp;INDEX($R$1:$V$1, MATCH(MIN(R256:V256), R256:V256, 0))&amp;CHAR(10)&amp;"📉 考察能力: "&amp;IFERROR(VLOOKUP(TRIM(D256)&amp;"_"&amp;TRIM(INDEX($R$1:$V$1, MATCH(MIN(R256:V256), R256:V256, 0))), 技能库!$A:$F, 5, 0),"建议查阅考纲")&amp;CHAR(10)&amp;"💡 提升建议: "&amp;IFERROR(VLOOKUP(TRIM(D256)&amp;"_"&amp;TRIM(INDEX($R$1:$V$1, MATCH(MIN(R256:V256), R256:V256, 0))), 技能库!$A:$F, 6, 0),"请针对该题型加强练习"))</f>
        <v/>
      </c>
    </row>
    <row r="257" spans="12:29" ht="16" hidden="1" x14ac:dyDescent="0.2">
      <c r="L257" t="str">
        <f t="shared" si="12"/>
        <v/>
      </c>
      <c r="M257" t="str">
        <f>IF(L257="","", IFERROR(VLOOKUP(L257, IF(D257="KET", 换算标准!$M:$N, IF(D257="PET", 换算标准!$S:$T, 换算标准!$AC:$AD)), 2, TRUE), 0))</f>
        <v/>
      </c>
      <c r="P257" t="str">
        <f t="shared" si="13"/>
        <v/>
      </c>
      <c r="Q257" t="str">
        <f>IF(P257="","", IFERROR(VLOOKUP(P257, IF(D257="KET", 换算标准!$O:$P, IF(D257="PET", 换算标准!$U:$V, 换算标准!$AG:$AH)), 2, TRUE), 0))</f>
        <v/>
      </c>
      <c r="W257" t="str">
        <f t="shared" si="14"/>
        <v/>
      </c>
      <c r="X257" t="str">
        <f>IF(W257="","", IFERROR(VLOOKUP(W257, IF(D257="KET", 换算标准!$Q:$R, IF(D257="PET", 换算标准!$W:$X, 换算标准!$AI:$AJ)), 2, TRUE), 0))</f>
        <v/>
      </c>
      <c r="Y257" t="str">
        <f t="shared" si="15"/>
        <v/>
      </c>
      <c r="Z257" t="str">
        <f>IF(Y257="","", IFERROR(VLOOKUP(Y257, 换算标准!$Z:$AA, 1, TRUE), ""))</f>
        <v/>
      </c>
      <c r="AA257" s="5" t="str">
        <f>IF(L257="","", "⚠️ 薄弱环节: "&amp;INDEX($E$1:$K$1, MATCH(MIN(E257:K257), E257:K257, 0))&amp;CHAR(10)&amp;"📉 考察能力: "&amp;IFERROR(VLOOKUP(TRIM(D257)&amp;"_"&amp;TRIM(INDEX($E$1:$K$1, MATCH(MIN(E257:K257), E257:K257, 0))), 技能库!$A:$F, 5, 0),"建议查阅考纲")&amp;CHAR(10)&amp;"💡 提升建议: "&amp;IFERROR(VLOOKUP(TRIM(D257)&amp;"_"&amp;TRIM(INDEX($E$1:$K$1, MATCH(MIN(E257:K257), E257:K257, 0))), 技能库!$A:$F, 6, 0),"请针对该题型加强练习"))</f>
        <v/>
      </c>
      <c r="AB257" s="5" t="str">
        <f>IF(P257="","", "⚠️ 薄弱环节: "&amp;INDEX($N$1:$O$1, MATCH(MIN(N257:O257), N257:O257, 0))&amp;CHAR(10)&amp;"📉 考察能力: "&amp;IFERROR(VLOOKUP(TRIM(D257)&amp;"_"&amp;TRIM(INDEX($N$1:$O$1, MATCH(MIN(N257:O257), N257:O257, 0))), 技能库!$A:$F, 5, 0),"建议查阅考纲")&amp;CHAR(10)&amp;"💡 提升建议: "&amp;IFERROR(VLOOKUP(TRIM(D257)&amp;"_"&amp;TRIM(INDEX($N$1:$O$1, MATCH(MIN(N257:O257), N257:O257, 0))), 技能库!$A:$F, 6, 0),"请针对该题型加强练习"))</f>
        <v/>
      </c>
      <c r="AC257" s="5" t="str">
        <f>IF(W257="","", "⚠️ 薄弱环节: "&amp;INDEX($R$1:$V$1, MATCH(MIN(R257:V257), R257:V257, 0))&amp;CHAR(10)&amp;"📉 考察能力: "&amp;IFERROR(VLOOKUP(TRIM(D257)&amp;"_"&amp;TRIM(INDEX($R$1:$V$1, MATCH(MIN(R257:V257), R257:V257, 0))), 技能库!$A:$F, 5, 0),"建议查阅考纲")&amp;CHAR(10)&amp;"💡 提升建议: "&amp;IFERROR(VLOOKUP(TRIM(D257)&amp;"_"&amp;TRIM(INDEX($R$1:$V$1, MATCH(MIN(R257:V257), R257:V257, 0))), 技能库!$A:$F, 6, 0),"请针对该题型加强练习"))</f>
        <v/>
      </c>
    </row>
    <row r="258" spans="12:29" ht="16" hidden="1" x14ac:dyDescent="0.2">
      <c r="L258" t="str">
        <f t="shared" ref="L258:L321" si="16">IF(COUNT(E258:K258)&gt;0, SUM(E258:K258), "")</f>
        <v/>
      </c>
      <c r="M258" t="str">
        <f>IF(L258="","", IFERROR(VLOOKUP(L258, IF(D258="KET", 换算标准!$M:$N, IF(D258="PET", 换算标准!$S:$T, 换算标准!$AC:$AD)), 2, TRUE), 0))</f>
        <v/>
      </c>
      <c r="P258" t="str">
        <f t="shared" ref="P258:P321" si="17">IF(COUNT(N258:O258)&gt;0, SUM(N258:O258), "")</f>
        <v/>
      </c>
      <c r="Q258" t="str">
        <f>IF(P258="","", IFERROR(VLOOKUP(P258, IF(D258="KET", 换算标准!$O:$P, IF(D258="PET", 换算标准!$U:$V, 换算标准!$AG:$AH)), 2, TRUE), 0))</f>
        <v/>
      </c>
      <c r="W258" t="str">
        <f t="shared" ref="W258:W321" si="18">IF(COUNT(R258:V258)&gt;0, SUM(R258:V258), "")</f>
        <v/>
      </c>
      <c r="X258" t="str">
        <f>IF(W258="","", IFERROR(VLOOKUP(W258, IF(D258="KET", 换算标准!$Q:$R, IF(D258="PET", 换算标准!$W:$X, 换算标准!$AI:$AJ)), 2, TRUE), 0))</f>
        <v/>
      </c>
      <c r="Y258" t="str">
        <f t="shared" ref="Y258:Y321" si="19">IF(COUNT(M258,Q258,X258)&gt;0, AVERAGE(M258,Q258,X258), "")</f>
        <v/>
      </c>
      <c r="Z258" t="str">
        <f>IF(Y258="","", IFERROR(VLOOKUP(Y258, 换算标准!$Z:$AA, 1, TRUE), ""))</f>
        <v/>
      </c>
      <c r="AA258" s="5" t="str">
        <f>IF(L258="","", "⚠️ 薄弱环节: "&amp;INDEX($E$1:$K$1, MATCH(MIN(E258:K258), E258:K258, 0))&amp;CHAR(10)&amp;"📉 考察能力: "&amp;IFERROR(VLOOKUP(TRIM(D258)&amp;"_"&amp;TRIM(INDEX($E$1:$K$1, MATCH(MIN(E258:K258), E258:K258, 0))), 技能库!$A:$F, 5, 0),"建议查阅考纲")&amp;CHAR(10)&amp;"💡 提升建议: "&amp;IFERROR(VLOOKUP(TRIM(D258)&amp;"_"&amp;TRIM(INDEX($E$1:$K$1, MATCH(MIN(E258:K258), E258:K258, 0))), 技能库!$A:$F, 6, 0),"请针对该题型加强练习"))</f>
        <v/>
      </c>
      <c r="AB258" s="5" t="str">
        <f>IF(P258="","", "⚠️ 薄弱环节: "&amp;INDEX($N$1:$O$1, MATCH(MIN(N258:O258), N258:O258, 0))&amp;CHAR(10)&amp;"📉 考察能力: "&amp;IFERROR(VLOOKUP(TRIM(D258)&amp;"_"&amp;TRIM(INDEX($N$1:$O$1, MATCH(MIN(N258:O258), N258:O258, 0))), 技能库!$A:$F, 5, 0),"建议查阅考纲")&amp;CHAR(10)&amp;"💡 提升建议: "&amp;IFERROR(VLOOKUP(TRIM(D258)&amp;"_"&amp;TRIM(INDEX($N$1:$O$1, MATCH(MIN(N258:O258), N258:O258, 0))), 技能库!$A:$F, 6, 0),"请针对该题型加强练习"))</f>
        <v/>
      </c>
      <c r="AC258" s="5" t="str">
        <f>IF(W258="","", "⚠️ 薄弱环节: "&amp;INDEX($R$1:$V$1, MATCH(MIN(R258:V258), R258:V258, 0))&amp;CHAR(10)&amp;"📉 考察能力: "&amp;IFERROR(VLOOKUP(TRIM(D258)&amp;"_"&amp;TRIM(INDEX($R$1:$V$1, MATCH(MIN(R258:V258), R258:V258, 0))), 技能库!$A:$F, 5, 0),"建议查阅考纲")&amp;CHAR(10)&amp;"💡 提升建议: "&amp;IFERROR(VLOOKUP(TRIM(D258)&amp;"_"&amp;TRIM(INDEX($R$1:$V$1, MATCH(MIN(R258:V258), R258:V258, 0))), 技能库!$A:$F, 6, 0),"请针对该题型加强练习"))</f>
        <v/>
      </c>
    </row>
    <row r="259" spans="12:29" ht="16" hidden="1" x14ac:dyDescent="0.2">
      <c r="L259" t="str">
        <f t="shared" si="16"/>
        <v/>
      </c>
      <c r="M259" t="str">
        <f>IF(L259="","", IFERROR(VLOOKUP(L259, IF(D259="KET", 换算标准!$M:$N, IF(D259="PET", 换算标准!$S:$T, 换算标准!$AC:$AD)), 2, TRUE), 0))</f>
        <v/>
      </c>
      <c r="P259" t="str">
        <f t="shared" si="17"/>
        <v/>
      </c>
      <c r="Q259" t="str">
        <f>IF(P259="","", IFERROR(VLOOKUP(P259, IF(D259="KET", 换算标准!$O:$P, IF(D259="PET", 换算标准!$U:$V, 换算标准!$AG:$AH)), 2, TRUE), 0))</f>
        <v/>
      </c>
      <c r="W259" t="str">
        <f t="shared" si="18"/>
        <v/>
      </c>
      <c r="X259" t="str">
        <f>IF(W259="","", IFERROR(VLOOKUP(W259, IF(D259="KET", 换算标准!$Q:$R, IF(D259="PET", 换算标准!$W:$X, 换算标准!$AI:$AJ)), 2, TRUE), 0))</f>
        <v/>
      </c>
      <c r="Y259" t="str">
        <f t="shared" si="19"/>
        <v/>
      </c>
      <c r="Z259" t="str">
        <f>IF(Y259="","", IFERROR(VLOOKUP(Y259, 换算标准!$Z:$AA, 1, TRUE), ""))</f>
        <v/>
      </c>
      <c r="AA259" s="5" t="str">
        <f>IF(L259="","", "⚠️ 薄弱环节: "&amp;INDEX($E$1:$K$1, MATCH(MIN(E259:K259), E259:K259, 0))&amp;CHAR(10)&amp;"📉 考察能力: "&amp;IFERROR(VLOOKUP(TRIM(D259)&amp;"_"&amp;TRIM(INDEX($E$1:$K$1, MATCH(MIN(E259:K259), E259:K259, 0))), 技能库!$A:$F, 5, 0),"建议查阅考纲")&amp;CHAR(10)&amp;"💡 提升建议: "&amp;IFERROR(VLOOKUP(TRIM(D259)&amp;"_"&amp;TRIM(INDEX($E$1:$K$1, MATCH(MIN(E259:K259), E259:K259, 0))), 技能库!$A:$F, 6, 0),"请针对该题型加强练习"))</f>
        <v/>
      </c>
      <c r="AB259" s="5" t="str">
        <f>IF(P259="","", "⚠️ 薄弱环节: "&amp;INDEX($N$1:$O$1, MATCH(MIN(N259:O259), N259:O259, 0))&amp;CHAR(10)&amp;"📉 考察能力: "&amp;IFERROR(VLOOKUP(TRIM(D259)&amp;"_"&amp;TRIM(INDEX($N$1:$O$1, MATCH(MIN(N259:O259), N259:O259, 0))), 技能库!$A:$F, 5, 0),"建议查阅考纲")&amp;CHAR(10)&amp;"💡 提升建议: "&amp;IFERROR(VLOOKUP(TRIM(D259)&amp;"_"&amp;TRIM(INDEX($N$1:$O$1, MATCH(MIN(N259:O259), N259:O259, 0))), 技能库!$A:$F, 6, 0),"请针对该题型加强练习"))</f>
        <v/>
      </c>
      <c r="AC259" s="5" t="str">
        <f>IF(W259="","", "⚠️ 薄弱环节: "&amp;INDEX($R$1:$V$1, MATCH(MIN(R259:V259), R259:V259, 0))&amp;CHAR(10)&amp;"📉 考察能力: "&amp;IFERROR(VLOOKUP(TRIM(D259)&amp;"_"&amp;TRIM(INDEX($R$1:$V$1, MATCH(MIN(R259:V259), R259:V259, 0))), 技能库!$A:$F, 5, 0),"建议查阅考纲")&amp;CHAR(10)&amp;"💡 提升建议: "&amp;IFERROR(VLOOKUP(TRIM(D259)&amp;"_"&amp;TRIM(INDEX($R$1:$V$1, MATCH(MIN(R259:V259), R259:V259, 0))), 技能库!$A:$F, 6, 0),"请针对该题型加强练习"))</f>
        <v/>
      </c>
    </row>
    <row r="260" spans="12:29" ht="16" hidden="1" x14ac:dyDescent="0.2">
      <c r="L260" t="str">
        <f t="shared" si="16"/>
        <v/>
      </c>
      <c r="M260" t="str">
        <f>IF(L260="","", IFERROR(VLOOKUP(L260, IF(D260="KET", 换算标准!$M:$N, IF(D260="PET", 换算标准!$S:$T, 换算标准!$AC:$AD)), 2, TRUE), 0))</f>
        <v/>
      </c>
      <c r="P260" t="str">
        <f t="shared" si="17"/>
        <v/>
      </c>
      <c r="Q260" t="str">
        <f>IF(P260="","", IFERROR(VLOOKUP(P260, IF(D260="KET", 换算标准!$O:$P, IF(D260="PET", 换算标准!$U:$V, 换算标准!$AG:$AH)), 2, TRUE), 0))</f>
        <v/>
      </c>
      <c r="W260" t="str">
        <f t="shared" si="18"/>
        <v/>
      </c>
      <c r="X260" t="str">
        <f>IF(W260="","", IFERROR(VLOOKUP(W260, IF(D260="KET", 换算标准!$Q:$R, IF(D260="PET", 换算标准!$W:$X, 换算标准!$AI:$AJ)), 2, TRUE), 0))</f>
        <v/>
      </c>
      <c r="Y260" t="str">
        <f t="shared" si="19"/>
        <v/>
      </c>
      <c r="Z260" t="str">
        <f>IF(Y260="","", IFERROR(VLOOKUP(Y260, 换算标准!$Z:$AA, 1, TRUE), ""))</f>
        <v/>
      </c>
      <c r="AA260" s="5" t="str">
        <f>IF(L260="","", "⚠️ 薄弱环节: "&amp;INDEX($E$1:$K$1, MATCH(MIN(E260:K260), E260:K260, 0))&amp;CHAR(10)&amp;"📉 考察能力: "&amp;IFERROR(VLOOKUP(TRIM(D260)&amp;"_"&amp;TRIM(INDEX($E$1:$K$1, MATCH(MIN(E260:K260), E260:K260, 0))), 技能库!$A:$F, 5, 0),"建议查阅考纲")&amp;CHAR(10)&amp;"💡 提升建议: "&amp;IFERROR(VLOOKUP(TRIM(D260)&amp;"_"&amp;TRIM(INDEX($E$1:$K$1, MATCH(MIN(E260:K260), E260:K260, 0))), 技能库!$A:$F, 6, 0),"请针对该题型加强练习"))</f>
        <v/>
      </c>
      <c r="AB260" s="5" t="str">
        <f>IF(P260="","", "⚠️ 薄弱环节: "&amp;INDEX($N$1:$O$1, MATCH(MIN(N260:O260), N260:O260, 0))&amp;CHAR(10)&amp;"📉 考察能力: "&amp;IFERROR(VLOOKUP(TRIM(D260)&amp;"_"&amp;TRIM(INDEX($N$1:$O$1, MATCH(MIN(N260:O260), N260:O260, 0))), 技能库!$A:$F, 5, 0),"建议查阅考纲")&amp;CHAR(10)&amp;"💡 提升建议: "&amp;IFERROR(VLOOKUP(TRIM(D260)&amp;"_"&amp;TRIM(INDEX($N$1:$O$1, MATCH(MIN(N260:O260), N260:O260, 0))), 技能库!$A:$F, 6, 0),"请针对该题型加强练习"))</f>
        <v/>
      </c>
      <c r="AC260" s="5" t="str">
        <f>IF(W260="","", "⚠️ 薄弱环节: "&amp;INDEX($R$1:$V$1, MATCH(MIN(R260:V260), R260:V260, 0))&amp;CHAR(10)&amp;"📉 考察能力: "&amp;IFERROR(VLOOKUP(TRIM(D260)&amp;"_"&amp;TRIM(INDEX($R$1:$V$1, MATCH(MIN(R260:V260), R260:V260, 0))), 技能库!$A:$F, 5, 0),"建议查阅考纲")&amp;CHAR(10)&amp;"💡 提升建议: "&amp;IFERROR(VLOOKUP(TRIM(D260)&amp;"_"&amp;TRIM(INDEX($R$1:$V$1, MATCH(MIN(R260:V260), R260:V260, 0))), 技能库!$A:$F, 6, 0),"请针对该题型加强练习"))</f>
        <v/>
      </c>
    </row>
    <row r="261" spans="12:29" ht="16" hidden="1" x14ac:dyDescent="0.2">
      <c r="L261" t="str">
        <f t="shared" si="16"/>
        <v/>
      </c>
      <c r="M261" t="str">
        <f>IF(L261="","", IFERROR(VLOOKUP(L261, IF(D261="KET", 换算标准!$M:$N, IF(D261="PET", 换算标准!$S:$T, 换算标准!$AC:$AD)), 2, TRUE), 0))</f>
        <v/>
      </c>
      <c r="P261" t="str">
        <f t="shared" si="17"/>
        <v/>
      </c>
      <c r="Q261" t="str">
        <f>IF(P261="","", IFERROR(VLOOKUP(P261, IF(D261="KET", 换算标准!$O:$P, IF(D261="PET", 换算标准!$U:$V, 换算标准!$AG:$AH)), 2, TRUE), 0))</f>
        <v/>
      </c>
      <c r="W261" t="str">
        <f t="shared" si="18"/>
        <v/>
      </c>
      <c r="X261" t="str">
        <f>IF(W261="","", IFERROR(VLOOKUP(W261, IF(D261="KET", 换算标准!$Q:$R, IF(D261="PET", 换算标准!$W:$X, 换算标准!$AI:$AJ)), 2, TRUE), 0))</f>
        <v/>
      </c>
      <c r="Y261" t="str">
        <f t="shared" si="19"/>
        <v/>
      </c>
      <c r="Z261" t="str">
        <f>IF(Y261="","", IFERROR(VLOOKUP(Y261, 换算标准!$Z:$AA, 1, TRUE), ""))</f>
        <v/>
      </c>
      <c r="AA261" s="5" t="str">
        <f>IF(L261="","", "⚠️ 薄弱环节: "&amp;INDEX($E$1:$K$1, MATCH(MIN(E261:K261), E261:K261, 0))&amp;CHAR(10)&amp;"📉 考察能力: "&amp;IFERROR(VLOOKUP(TRIM(D261)&amp;"_"&amp;TRIM(INDEX($E$1:$K$1, MATCH(MIN(E261:K261), E261:K261, 0))), 技能库!$A:$F, 5, 0),"建议查阅考纲")&amp;CHAR(10)&amp;"💡 提升建议: "&amp;IFERROR(VLOOKUP(TRIM(D261)&amp;"_"&amp;TRIM(INDEX($E$1:$K$1, MATCH(MIN(E261:K261), E261:K261, 0))), 技能库!$A:$F, 6, 0),"请针对该题型加强练习"))</f>
        <v/>
      </c>
      <c r="AB261" s="5" t="str">
        <f>IF(P261="","", "⚠️ 薄弱环节: "&amp;INDEX($N$1:$O$1, MATCH(MIN(N261:O261), N261:O261, 0))&amp;CHAR(10)&amp;"📉 考察能力: "&amp;IFERROR(VLOOKUP(TRIM(D261)&amp;"_"&amp;TRIM(INDEX($N$1:$O$1, MATCH(MIN(N261:O261), N261:O261, 0))), 技能库!$A:$F, 5, 0),"建议查阅考纲")&amp;CHAR(10)&amp;"💡 提升建议: "&amp;IFERROR(VLOOKUP(TRIM(D261)&amp;"_"&amp;TRIM(INDEX($N$1:$O$1, MATCH(MIN(N261:O261), N261:O261, 0))), 技能库!$A:$F, 6, 0),"请针对该题型加强练习"))</f>
        <v/>
      </c>
      <c r="AC261" s="5" t="str">
        <f>IF(W261="","", "⚠️ 薄弱环节: "&amp;INDEX($R$1:$V$1, MATCH(MIN(R261:V261), R261:V261, 0))&amp;CHAR(10)&amp;"📉 考察能力: "&amp;IFERROR(VLOOKUP(TRIM(D261)&amp;"_"&amp;TRIM(INDEX($R$1:$V$1, MATCH(MIN(R261:V261), R261:V261, 0))), 技能库!$A:$F, 5, 0),"建议查阅考纲")&amp;CHAR(10)&amp;"💡 提升建议: "&amp;IFERROR(VLOOKUP(TRIM(D261)&amp;"_"&amp;TRIM(INDEX($R$1:$V$1, MATCH(MIN(R261:V261), R261:V261, 0))), 技能库!$A:$F, 6, 0),"请针对该题型加强练习"))</f>
        <v/>
      </c>
    </row>
    <row r="262" spans="12:29" ht="16" hidden="1" x14ac:dyDescent="0.2">
      <c r="L262" t="str">
        <f t="shared" si="16"/>
        <v/>
      </c>
      <c r="M262" t="str">
        <f>IF(L262="","", IFERROR(VLOOKUP(L262, IF(D262="KET", 换算标准!$M:$N, IF(D262="PET", 换算标准!$S:$T, 换算标准!$AC:$AD)), 2, TRUE), 0))</f>
        <v/>
      </c>
      <c r="P262" t="str">
        <f t="shared" si="17"/>
        <v/>
      </c>
      <c r="Q262" t="str">
        <f>IF(P262="","", IFERROR(VLOOKUP(P262, IF(D262="KET", 换算标准!$O:$P, IF(D262="PET", 换算标准!$U:$V, 换算标准!$AG:$AH)), 2, TRUE), 0))</f>
        <v/>
      </c>
      <c r="W262" t="str">
        <f t="shared" si="18"/>
        <v/>
      </c>
      <c r="X262" t="str">
        <f>IF(W262="","", IFERROR(VLOOKUP(W262, IF(D262="KET", 换算标准!$Q:$R, IF(D262="PET", 换算标准!$W:$X, 换算标准!$AI:$AJ)), 2, TRUE), 0))</f>
        <v/>
      </c>
      <c r="Y262" t="str">
        <f t="shared" si="19"/>
        <v/>
      </c>
      <c r="Z262" t="str">
        <f>IF(Y262="","", IFERROR(VLOOKUP(Y262, 换算标准!$Z:$AA, 1, TRUE), ""))</f>
        <v/>
      </c>
      <c r="AA262" s="5" t="str">
        <f>IF(L262="","", "⚠️ 薄弱环节: "&amp;INDEX($E$1:$K$1, MATCH(MIN(E262:K262), E262:K262, 0))&amp;CHAR(10)&amp;"📉 考察能力: "&amp;IFERROR(VLOOKUP(TRIM(D262)&amp;"_"&amp;TRIM(INDEX($E$1:$K$1, MATCH(MIN(E262:K262), E262:K262, 0))), 技能库!$A:$F, 5, 0),"建议查阅考纲")&amp;CHAR(10)&amp;"💡 提升建议: "&amp;IFERROR(VLOOKUP(TRIM(D262)&amp;"_"&amp;TRIM(INDEX($E$1:$K$1, MATCH(MIN(E262:K262), E262:K262, 0))), 技能库!$A:$F, 6, 0),"请针对该题型加强练习"))</f>
        <v/>
      </c>
      <c r="AB262" s="5" t="str">
        <f>IF(P262="","", "⚠️ 薄弱环节: "&amp;INDEX($N$1:$O$1, MATCH(MIN(N262:O262), N262:O262, 0))&amp;CHAR(10)&amp;"📉 考察能力: "&amp;IFERROR(VLOOKUP(TRIM(D262)&amp;"_"&amp;TRIM(INDEX($N$1:$O$1, MATCH(MIN(N262:O262), N262:O262, 0))), 技能库!$A:$F, 5, 0),"建议查阅考纲")&amp;CHAR(10)&amp;"💡 提升建议: "&amp;IFERROR(VLOOKUP(TRIM(D262)&amp;"_"&amp;TRIM(INDEX($N$1:$O$1, MATCH(MIN(N262:O262), N262:O262, 0))), 技能库!$A:$F, 6, 0),"请针对该题型加强练习"))</f>
        <v/>
      </c>
      <c r="AC262" s="5" t="str">
        <f>IF(W262="","", "⚠️ 薄弱环节: "&amp;INDEX($R$1:$V$1, MATCH(MIN(R262:V262), R262:V262, 0))&amp;CHAR(10)&amp;"📉 考察能力: "&amp;IFERROR(VLOOKUP(TRIM(D262)&amp;"_"&amp;TRIM(INDEX($R$1:$V$1, MATCH(MIN(R262:V262), R262:V262, 0))), 技能库!$A:$F, 5, 0),"建议查阅考纲")&amp;CHAR(10)&amp;"💡 提升建议: "&amp;IFERROR(VLOOKUP(TRIM(D262)&amp;"_"&amp;TRIM(INDEX($R$1:$V$1, MATCH(MIN(R262:V262), R262:V262, 0))), 技能库!$A:$F, 6, 0),"请针对该题型加强练习"))</f>
        <v/>
      </c>
    </row>
    <row r="263" spans="12:29" ht="16" hidden="1" x14ac:dyDescent="0.2">
      <c r="L263" t="str">
        <f t="shared" si="16"/>
        <v/>
      </c>
      <c r="M263" t="str">
        <f>IF(L263="","", IFERROR(VLOOKUP(L263, IF(D263="KET", 换算标准!$M:$N, IF(D263="PET", 换算标准!$S:$T, 换算标准!$AC:$AD)), 2, TRUE), 0))</f>
        <v/>
      </c>
      <c r="P263" t="str">
        <f t="shared" si="17"/>
        <v/>
      </c>
      <c r="Q263" t="str">
        <f>IF(P263="","", IFERROR(VLOOKUP(P263, IF(D263="KET", 换算标准!$O:$P, IF(D263="PET", 换算标准!$U:$V, 换算标准!$AG:$AH)), 2, TRUE), 0))</f>
        <v/>
      </c>
      <c r="W263" t="str">
        <f t="shared" si="18"/>
        <v/>
      </c>
      <c r="X263" t="str">
        <f>IF(W263="","", IFERROR(VLOOKUP(W263, IF(D263="KET", 换算标准!$Q:$R, IF(D263="PET", 换算标准!$W:$X, 换算标准!$AI:$AJ)), 2, TRUE), 0))</f>
        <v/>
      </c>
      <c r="Y263" t="str">
        <f t="shared" si="19"/>
        <v/>
      </c>
      <c r="Z263" t="str">
        <f>IF(Y263="","", IFERROR(VLOOKUP(Y263, 换算标准!$Z:$AA, 1, TRUE), ""))</f>
        <v/>
      </c>
      <c r="AA263" s="5" t="str">
        <f>IF(L263="","", "⚠️ 薄弱环节: "&amp;INDEX($E$1:$K$1, MATCH(MIN(E263:K263), E263:K263, 0))&amp;CHAR(10)&amp;"📉 考察能力: "&amp;IFERROR(VLOOKUP(TRIM(D263)&amp;"_"&amp;TRIM(INDEX($E$1:$K$1, MATCH(MIN(E263:K263), E263:K263, 0))), 技能库!$A:$F, 5, 0),"建议查阅考纲")&amp;CHAR(10)&amp;"💡 提升建议: "&amp;IFERROR(VLOOKUP(TRIM(D263)&amp;"_"&amp;TRIM(INDEX($E$1:$K$1, MATCH(MIN(E263:K263), E263:K263, 0))), 技能库!$A:$F, 6, 0),"请针对该题型加强练习"))</f>
        <v/>
      </c>
      <c r="AB263" s="5" t="str">
        <f>IF(P263="","", "⚠️ 薄弱环节: "&amp;INDEX($N$1:$O$1, MATCH(MIN(N263:O263), N263:O263, 0))&amp;CHAR(10)&amp;"📉 考察能力: "&amp;IFERROR(VLOOKUP(TRIM(D263)&amp;"_"&amp;TRIM(INDEX($N$1:$O$1, MATCH(MIN(N263:O263), N263:O263, 0))), 技能库!$A:$F, 5, 0),"建议查阅考纲")&amp;CHAR(10)&amp;"💡 提升建议: "&amp;IFERROR(VLOOKUP(TRIM(D263)&amp;"_"&amp;TRIM(INDEX($N$1:$O$1, MATCH(MIN(N263:O263), N263:O263, 0))), 技能库!$A:$F, 6, 0),"请针对该题型加强练习"))</f>
        <v/>
      </c>
      <c r="AC263" s="5" t="str">
        <f>IF(W263="","", "⚠️ 薄弱环节: "&amp;INDEX($R$1:$V$1, MATCH(MIN(R263:V263), R263:V263, 0))&amp;CHAR(10)&amp;"📉 考察能力: "&amp;IFERROR(VLOOKUP(TRIM(D263)&amp;"_"&amp;TRIM(INDEX($R$1:$V$1, MATCH(MIN(R263:V263), R263:V263, 0))), 技能库!$A:$F, 5, 0),"建议查阅考纲")&amp;CHAR(10)&amp;"💡 提升建议: "&amp;IFERROR(VLOOKUP(TRIM(D263)&amp;"_"&amp;TRIM(INDEX($R$1:$V$1, MATCH(MIN(R263:V263), R263:V263, 0))), 技能库!$A:$F, 6, 0),"请针对该题型加强练习"))</f>
        <v/>
      </c>
    </row>
    <row r="264" spans="12:29" ht="16" hidden="1" x14ac:dyDescent="0.2">
      <c r="L264" t="str">
        <f t="shared" si="16"/>
        <v/>
      </c>
      <c r="M264" t="str">
        <f>IF(L264="","", IFERROR(VLOOKUP(L264, IF(D264="KET", 换算标准!$M:$N, IF(D264="PET", 换算标准!$S:$T, 换算标准!$AC:$AD)), 2, TRUE), 0))</f>
        <v/>
      </c>
      <c r="P264" t="str">
        <f t="shared" si="17"/>
        <v/>
      </c>
      <c r="Q264" t="str">
        <f>IF(P264="","", IFERROR(VLOOKUP(P264, IF(D264="KET", 换算标准!$O:$P, IF(D264="PET", 换算标准!$U:$V, 换算标准!$AG:$AH)), 2, TRUE), 0))</f>
        <v/>
      </c>
      <c r="W264" t="str">
        <f t="shared" si="18"/>
        <v/>
      </c>
      <c r="X264" t="str">
        <f>IF(W264="","", IFERROR(VLOOKUP(W264, IF(D264="KET", 换算标准!$Q:$R, IF(D264="PET", 换算标准!$W:$X, 换算标准!$AI:$AJ)), 2, TRUE), 0))</f>
        <v/>
      </c>
      <c r="Y264" t="str">
        <f t="shared" si="19"/>
        <v/>
      </c>
      <c r="Z264" t="str">
        <f>IF(Y264="","", IFERROR(VLOOKUP(Y264, 换算标准!$Z:$AA, 1, TRUE), ""))</f>
        <v/>
      </c>
      <c r="AA264" s="5" t="str">
        <f>IF(L264="","", "⚠️ 薄弱环节: "&amp;INDEX($E$1:$K$1, MATCH(MIN(E264:K264), E264:K264, 0))&amp;CHAR(10)&amp;"📉 考察能力: "&amp;IFERROR(VLOOKUP(TRIM(D264)&amp;"_"&amp;TRIM(INDEX($E$1:$K$1, MATCH(MIN(E264:K264), E264:K264, 0))), 技能库!$A:$F, 5, 0),"建议查阅考纲")&amp;CHAR(10)&amp;"💡 提升建议: "&amp;IFERROR(VLOOKUP(TRIM(D264)&amp;"_"&amp;TRIM(INDEX($E$1:$K$1, MATCH(MIN(E264:K264), E264:K264, 0))), 技能库!$A:$F, 6, 0),"请针对该题型加强练习"))</f>
        <v/>
      </c>
      <c r="AB264" s="5" t="str">
        <f>IF(P264="","", "⚠️ 薄弱环节: "&amp;INDEX($N$1:$O$1, MATCH(MIN(N264:O264), N264:O264, 0))&amp;CHAR(10)&amp;"📉 考察能力: "&amp;IFERROR(VLOOKUP(TRIM(D264)&amp;"_"&amp;TRIM(INDEX($N$1:$O$1, MATCH(MIN(N264:O264), N264:O264, 0))), 技能库!$A:$F, 5, 0),"建议查阅考纲")&amp;CHAR(10)&amp;"💡 提升建议: "&amp;IFERROR(VLOOKUP(TRIM(D264)&amp;"_"&amp;TRIM(INDEX($N$1:$O$1, MATCH(MIN(N264:O264), N264:O264, 0))), 技能库!$A:$F, 6, 0),"请针对该题型加强练习"))</f>
        <v/>
      </c>
      <c r="AC264" s="5" t="str">
        <f>IF(W264="","", "⚠️ 薄弱环节: "&amp;INDEX($R$1:$V$1, MATCH(MIN(R264:V264), R264:V264, 0))&amp;CHAR(10)&amp;"📉 考察能力: "&amp;IFERROR(VLOOKUP(TRIM(D264)&amp;"_"&amp;TRIM(INDEX($R$1:$V$1, MATCH(MIN(R264:V264), R264:V264, 0))), 技能库!$A:$F, 5, 0),"建议查阅考纲")&amp;CHAR(10)&amp;"💡 提升建议: "&amp;IFERROR(VLOOKUP(TRIM(D264)&amp;"_"&amp;TRIM(INDEX($R$1:$V$1, MATCH(MIN(R264:V264), R264:V264, 0))), 技能库!$A:$F, 6, 0),"请针对该题型加强练习"))</f>
        <v/>
      </c>
    </row>
    <row r="265" spans="12:29" ht="16" hidden="1" x14ac:dyDescent="0.2">
      <c r="L265" t="str">
        <f t="shared" si="16"/>
        <v/>
      </c>
      <c r="M265" t="str">
        <f>IF(L265="","", IFERROR(VLOOKUP(L265, IF(D265="KET", 换算标准!$M:$N, IF(D265="PET", 换算标准!$S:$T, 换算标准!$AC:$AD)), 2, TRUE), 0))</f>
        <v/>
      </c>
      <c r="P265" t="str">
        <f t="shared" si="17"/>
        <v/>
      </c>
      <c r="Q265" t="str">
        <f>IF(P265="","", IFERROR(VLOOKUP(P265, IF(D265="KET", 换算标准!$O:$P, IF(D265="PET", 换算标准!$U:$V, 换算标准!$AG:$AH)), 2, TRUE), 0))</f>
        <v/>
      </c>
      <c r="W265" t="str">
        <f t="shared" si="18"/>
        <v/>
      </c>
      <c r="X265" t="str">
        <f>IF(W265="","", IFERROR(VLOOKUP(W265, IF(D265="KET", 换算标准!$Q:$R, IF(D265="PET", 换算标准!$W:$X, 换算标准!$AI:$AJ)), 2, TRUE), 0))</f>
        <v/>
      </c>
      <c r="Y265" t="str">
        <f t="shared" si="19"/>
        <v/>
      </c>
      <c r="Z265" t="str">
        <f>IF(Y265="","", IFERROR(VLOOKUP(Y265, 换算标准!$Z:$AA, 1, TRUE), ""))</f>
        <v/>
      </c>
      <c r="AA265" s="5" t="str">
        <f>IF(L265="","", "⚠️ 薄弱环节: "&amp;INDEX($E$1:$K$1, MATCH(MIN(E265:K265), E265:K265, 0))&amp;CHAR(10)&amp;"📉 考察能力: "&amp;IFERROR(VLOOKUP(TRIM(D265)&amp;"_"&amp;TRIM(INDEX($E$1:$K$1, MATCH(MIN(E265:K265), E265:K265, 0))), 技能库!$A:$F, 5, 0),"建议查阅考纲")&amp;CHAR(10)&amp;"💡 提升建议: "&amp;IFERROR(VLOOKUP(TRIM(D265)&amp;"_"&amp;TRIM(INDEX($E$1:$K$1, MATCH(MIN(E265:K265), E265:K265, 0))), 技能库!$A:$F, 6, 0),"请针对该题型加强练习"))</f>
        <v/>
      </c>
      <c r="AB265" s="5" t="str">
        <f>IF(P265="","", "⚠️ 薄弱环节: "&amp;INDEX($N$1:$O$1, MATCH(MIN(N265:O265), N265:O265, 0))&amp;CHAR(10)&amp;"📉 考察能力: "&amp;IFERROR(VLOOKUP(TRIM(D265)&amp;"_"&amp;TRIM(INDEX($N$1:$O$1, MATCH(MIN(N265:O265), N265:O265, 0))), 技能库!$A:$F, 5, 0),"建议查阅考纲")&amp;CHAR(10)&amp;"💡 提升建议: "&amp;IFERROR(VLOOKUP(TRIM(D265)&amp;"_"&amp;TRIM(INDEX($N$1:$O$1, MATCH(MIN(N265:O265), N265:O265, 0))), 技能库!$A:$F, 6, 0),"请针对该题型加强练习"))</f>
        <v/>
      </c>
      <c r="AC265" s="5" t="str">
        <f>IF(W265="","", "⚠️ 薄弱环节: "&amp;INDEX($R$1:$V$1, MATCH(MIN(R265:V265), R265:V265, 0))&amp;CHAR(10)&amp;"📉 考察能力: "&amp;IFERROR(VLOOKUP(TRIM(D265)&amp;"_"&amp;TRIM(INDEX($R$1:$V$1, MATCH(MIN(R265:V265), R265:V265, 0))), 技能库!$A:$F, 5, 0),"建议查阅考纲")&amp;CHAR(10)&amp;"💡 提升建议: "&amp;IFERROR(VLOOKUP(TRIM(D265)&amp;"_"&amp;TRIM(INDEX($R$1:$V$1, MATCH(MIN(R265:V265), R265:V265, 0))), 技能库!$A:$F, 6, 0),"请针对该题型加强练习"))</f>
        <v/>
      </c>
    </row>
    <row r="266" spans="12:29" ht="16" hidden="1" x14ac:dyDescent="0.2">
      <c r="L266" t="str">
        <f t="shared" si="16"/>
        <v/>
      </c>
      <c r="M266" t="str">
        <f>IF(L266="","", IFERROR(VLOOKUP(L266, IF(D266="KET", 换算标准!$M:$N, IF(D266="PET", 换算标准!$S:$T, 换算标准!$AC:$AD)), 2, TRUE), 0))</f>
        <v/>
      </c>
      <c r="P266" t="str">
        <f t="shared" si="17"/>
        <v/>
      </c>
      <c r="Q266" t="str">
        <f>IF(P266="","", IFERROR(VLOOKUP(P266, IF(D266="KET", 换算标准!$O:$P, IF(D266="PET", 换算标准!$U:$V, 换算标准!$AG:$AH)), 2, TRUE), 0))</f>
        <v/>
      </c>
      <c r="W266" t="str">
        <f t="shared" si="18"/>
        <v/>
      </c>
      <c r="X266" t="str">
        <f>IF(W266="","", IFERROR(VLOOKUP(W266, IF(D266="KET", 换算标准!$Q:$R, IF(D266="PET", 换算标准!$W:$X, 换算标准!$AI:$AJ)), 2, TRUE), 0))</f>
        <v/>
      </c>
      <c r="Y266" t="str">
        <f t="shared" si="19"/>
        <v/>
      </c>
      <c r="Z266" t="str">
        <f>IF(Y266="","", IFERROR(VLOOKUP(Y266, 换算标准!$Z:$AA, 1, TRUE), ""))</f>
        <v/>
      </c>
      <c r="AA266" s="5" t="str">
        <f>IF(L266="","", "⚠️ 薄弱环节: "&amp;INDEX($E$1:$K$1, MATCH(MIN(E266:K266), E266:K266, 0))&amp;CHAR(10)&amp;"📉 考察能力: "&amp;IFERROR(VLOOKUP(TRIM(D266)&amp;"_"&amp;TRIM(INDEX($E$1:$K$1, MATCH(MIN(E266:K266), E266:K266, 0))), 技能库!$A:$F, 5, 0),"建议查阅考纲")&amp;CHAR(10)&amp;"💡 提升建议: "&amp;IFERROR(VLOOKUP(TRIM(D266)&amp;"_"&amp;TRIM(INDEX($E$1:$K$1, MATCH(MIN(E266:K266), E266:K266, 0))), 技能库!$A:$F, 6, 0),"请针对该题型加强练习"))</f>
        <v/>
      </c>
      <c r="AB266" s="5" t="str">
        <f>IF(P266="","", "⚠️ 薄弱环节: "&amp;INDEX($N$1:$O$1, MATCH(MIN(N266:O266), N266:O266, 0))&amp;CHAR(10)&amp;"📉 考察能力: "&amp;IFERROR(VLOOKUP(TRIM(D266)&amp;"_"&amp;TRIM(INDEX($N$1:$O$1, MATCH(MIN(N266:O266), N266:O266, 0))), 技能库!$A:$F, 5, 0),"建议查阅考纲")&amp;CHAR(10)&amp;"💡 提升建议: "&amp;IFERROR(VLOOKUP(TRIM(D266)&amp;"_"&amp;TRIM(INDEX($N$1:$O$1, MATCH(MIN(N266:O266), N266:O266, 0))), 技能库!$A:$F, 6, 0),"请针对该题型加强练习"))</f>
        <v/>
      </c>
      <c r="AC266" s="5" t="str">
        <f>IF(W266="","", "⚠️ 薄弱环节: "&amp;INDEX($R$1:$V$1, MATCH(MIN(R266:V266), R266:V266, 0))&amp;CHAR(10)&amp;"📉 考察能力: "&amp;IFERROR(VLOOKUP(TRIM(D266)&amp;"_"&amp;TRIM(INDEX($R$1:$V$1, MATCH(MIN(R266:V266), R266:V266, 0))), 技能库!$A:$F, 5, 0),"建议查阅考纲")&amp;CHAR(10)&amp;"💡 提升建议: "&amp;IFERROR(VLOOKUP(TRIM(D266)&amp;"_"&amp;TRIM(INDEX($R$1:$V$1, MATCH(MIN(R266:V266), R266:V266, 0))), 技能库!$A:$F, 6, 0),"请针对该题型加强练习"))</f>
        <v/>
      </c>
    </row>
    <row r="267" spans="12:29" ht="16" hidden="1" x14ac:dyDescent="0.2">
      <c r="L267" t="str">
        <f t="shared" si="16"/>
        <v/>
      </c>
      <c r="M267" t="str">
        <f>IF(L267="","", IFERROR(VLOOKUP(L267, IF(D267="KET", 换算标准!$M:$N, IF(D267="PET", 换算标准!$S:$T, 换算标准!$AC:$AD)), 2, TRUE), 0))</f>
        <v/>
      </c>
      <c r="P267" t="str">
        <f t="shared" si="17"/>
        <v/>
      </c>
      <c r="Q267" t="str">
        <f>IF(P267="","", IFERROR(VLOOKUP(P267, IF(D267="KET", 换算标准!$O:$P, IF(D267="PET", 换算标准!$U:$V, 换算标准!$AG:$AH)), 2, TRUE), 0))</f>
        <v/>
      </c>
      <c r="W267" t="str">
        <f t="shared" si="18"/>
        <v/>
      </c>
      <c r="X267" t="str">
        <f>IF(W267="","", IFERROR(VLOOKUP(W267, IF(D267="KET", 换算标准!$Q:$R, IF(D267="PET", 换算标准!$W:$X, 换算标准!$AI:$AJ)), 2, TRUE), 0))</f>
        <v/>
      </c>
      <c r="Y267" t="str">
        <f t="shared" si="19"/>
        <v/>
      </c>
      <c r="Z267" t="str">
        <f>IF(Y267="","", IFERROR(VLOOKUP(Y267, 换算标准!$Z:$AA, 1, TRUE), ""))</f>
        <v/>
      </c>
      <c r="AA267" s="5" t="str">
        <f>IF(L267="","", "⚠️ 薄弱环节: "&amp;INDEX($E$1:$K$1, MATCH(MIN(E267:K267), E267:K267, 0))&amp;CHAR(10)&amp;"📉 考察能力: "&amp;IFERROR(VLOOKUP(TRIM(D267)&amp;"_"&amp;TRIM(INDEX($E$1:$K$1, MATCH(MIN(E267:K267), E267:K267, 0))), 技能库!$A:$F, 5, 0),"建议查阅考纲")&amp;CHAR(10)&amp;"💡 提升建议: "&amp;IFERROR(VLOOKUP(TRIM(D267)&amp;"_"&amp;TRIM(INDEX($E$1:$K$1, MATCH(MIN(E267:K267), E267:K267, 0))), 技能库!$A:$F, 6, 0),"请针对该题型加强练习"))</f>
        <v/>
      </c>
      <c r="AB267" s="5" t="str">
        <f>IF(P267="","", "⚠️ 薄弱环节: "&amp;INDEX($N$1:$O$1, MATCH(MIN(N267:O267), N267:O267, 0))&amp;CHAR(10)&amp;"📉 考察能力: "&amp;IFERROR(VLOOKUP(TRIM(D267)&amp;"_"&amp;TRIM(INDEX($N$1:$O$1, MATCH(MIN(N267:O267), N267:O267, 0))), 技能库!$A:$F, 5, 0),"建议查阅考纲")&amp;CHAR(10)&amp;"💡 提升建议: "&amp;IFERROR(VLOOKUP(TRIM(D267)&amp;"_"&amp;TRIM(INDEX($N$1:$O$1, MATCH(MIN(N267:O267), N267:O267, 0))), 技能库!$A:$F, 6, 0),"请针对该题型加强练习"))</f>
        <v/>
      </c>
      <c r="AC267" s="5" t="str">
        <f>IF(W267="","", "⚠️ 薄弱环节: "&amp;INDEX($R$1:$V$1, MATCH(MIN(R267:V267), R267:V267, 0))&amp;CHAR(10)&amp;"📉 考察能力: "&amp;IFERROR(VLOOKUP(TRIM(D267)&amp;"_"&amp;TRIM(INDEX($R$1:$V$1, MATCH(MIN(R267:V267), R267:V267, 0))), 技能库!$A:$F, 5, 0),"建议查阅考纲")&amp;CHAR(10)&amp;"💡 提升建议: "&amp;IFERROR(VLOOKUP(TRIM(D267)&amp;"_"&amp;TRIM(INDEX($R$1:$V$1, MATCH(MIN(R267:V267), R267:V267, 0))), 技能库!$A:$F, 6, 0),"请针对该题型加强练习"))</f>
        <v/>
      </c>
    </row>
    <row r="268" spans="12:29" ht="16" hidden="1" x14ac:dyDescent="0.2">
      <c r="L268" t="str">
        <f t="shared" si="16"/>
        <v/>
      </c>
      <c r="M268" t="str">
        <f>IF(L268="","", IFERROR(VLOOKUP(L268, IF(D268="KET", 换算标准!$M:$N, IF(D268="PET", 换算标准!$S:$T, 换算标准!$AC:$AD)), 2, TRUE), 0))</f>
        <v/>
      </c>
      <c r="P268" t="str">
        <f t="shared" si="17"/>
        <v/>
      </c>
      <c r="Q268" t="str">
        <f>IF(P268="","", IFERROR(VLOOKUP(P268, IF(D268="KET", 换算标准!$O:$P, IF(D268="PET", 换算标准!$U:$V, 换算标准!$AG:$AH)), 2, TRUE), 0))</f>
        <v/>
      </c>
      <c r="W268" t="str">
        <f t="shared" si="18"/>
        <v/>
      </c>
      <c r="X268" t="str">
        <f>IF(W268="","", IFERROR(VLOOKUP(W268, IF(D268="KET", 换算标准!$Q:$R, IF(D268="PET", 换算标准!$W:$X, 换算标准!$AI:$AJ)), 2, TRUE), 0))</f>
        <v/>
      </c>
      <c r="Y268" t="str">
        <f t="shared" si="19"/>
        <v/>
      </c>
      <c r="Z268" t="str">
        <f>IF(Y268="","", IFERROR(VLOOKUP(Y268, 换算标准!$Z:$AA, 1, TRUE), ""))</f>
        <v/>
      </c>
      <c r="AA268" s="5" t="str">
        <f>IF(L268="","", "⚠️ 薄弱环节: "&amp;INDEX($E$1:$K$1, MATCH(MIN(E268:K268), E268:K268, 0))&amp;CHAR(10)&amp;"📉 考察能力: "&amp;IFERROR(VLOOKUP(TRIM(D268)&amp;"_"&amp;TRIM(INDEX($E$1:$K$1, MATCH(MIN(E268:K268), E268:K268, 0))), 技能库!$A:$F, 5, 0),"建议查阅考纲")&amp;CHAR(10)&amp;"💡 提升建议: "&amp;IFERROR(VLOOKUP(TRIM(D268)&amp;"_"&amp;TRIM(INDEX($E$1:$K$1, MATCH(MIN(E268:K268), E268:K268, 0))), 技能库!$A:$F, 6, 0),"请针对该题型加强练习"))</f>
        <v/>
      </c>
      <c r="AB268" s="5" t="str">
        <f>IF(P268="","", "⚠️ 薄弱环节: "&amp;INDEX($N$1:$O$1, MATCH(MIN(N268:O268), N268:O268, 0))&amp;CHAR(10)&amp;"📉 考察能力: "&amp;IFERROR(VLOOKUP(TRIM(D268)&amp;"_"&amp;TRIM(INDEX($N$1:$O$1, MATCH(MIN(N268:O268), N268:O268, 0))), 技能库!$A:$F, 5, 0),"建议查阅考纲")&amp;CHAR(10)&amp;"💡 提升建议: "&amp;IFERROR(VLOOKUP(TRIM(D268)&amp;"_"&amp;TRIM(INDEX($N$1:$O$1, MATCH(MIN(N268:O268), N268:O268, 0))), 技能库!$A:$F, 6, 0),"请针对该题型加强练习"))</f>
        <v/>
      </c>
      <c r="AC268" s="5" t="str">
        <f>IF(W268="","", "⚠️ 薄弱环节: "&amp;INDEX($R$1:$V$1, MATCH(MIN(R268:V268), R268:V268, 0))&amp;CHAR(10)&amp;"📉 考察能力: "&amp;IFERROR(VLOOKUP(TRIM(D268)&amp;"_"&amp;TRIM(INDEX($R$1:$V$1, MATCH(MIN(R268:V268), R268:V268, 0))), 技能库!$A:$F, 5, 0),"建议查阅考纲")&amp;CHAR(10)&amp;"💡 提升建议: "&amp;IFERROR(VLOOKUP(TRIM(D268)&amp;"_"&amp;TRIM(INDEX($R$1:$V$1, MATCH(MIN(R268:V268), R268:V268, 0))), 技能库!$A:$F, 6, 0),"请针对该题型加强练习"))</f>
        <v/>
      </c>
    </row>
    <row r="269" spans="12:29" ht="16" hidden="1" x14ac:dyDescent="0.2">
      <c r="L269" t="str">
        <f t="shared" si="16"/>
        <v/>
      </c>
      <c r="M269" t="str">
        <f>IF(L269="","", IFERROR(VLOOKUP(L269, IF(D269="KET", 换算标准!$M:$N, IF(D269="PET", 换算标准!$S:$T, 换算标准!$AC:$AD)), 2, TRUE), 0))</f>
        <v/>
      </c>
      <c r="P269" t="str">
        <f t="shared" si="17"/>
        <v/>
      </c>
      <c r="Q269" t="str">
        <f>IF(P269="","", IFERROR(VLOOKUP(P269, IF(D269="KET", 换算标准!$O:$P, IF(D269="PET", 换算标准!$U:$V, 换算标准!$AG:$AH)), 2, TRUE), 0))</f>
        <v/>
      </c>
      <c r="W269" t="str">
        <f t="shared" si="18"/>
        <v/>
      </c>
      <c r="X269" t="str">
        <f>IF(W269="","", IFERROR(VLOOKUP(W269, IF(D269="KET", 换算标准!$Q:$R, IF(D269="PET", 换算标准!$W:$X, 换算标准!$AI:$AJ)), 2, TRUE), 0))</f>
        <v/>
      </c>
      <c r="Y269" t="str">
        <f t="shared" si="19"/>
        <v/>
      </c>
      <c r="Z269" t="str">
        <f>IF(Y269="","", IFERROR(VLOOKUP(Y269, 换算标准!$Z:$AA, 1, TRUE), ""))</f>
        <v/>
      </c>
      <c r="AA269" s="5" t="str">
        <f>IF(L269="","", "⚠️ 薄弱环节: "&amp;INDEX($E$1:$K$1, MATCH(MIN(E269:K269), E269:K269, 0))&amp;CHAR(10)&amp;"📉 考察能力: "&amp;IFERROR(VLOOKUP(TRIM(D269)&amp;"_"&amp;TRIM(INDEX($E$1:$K$1, MATCH(MIN(E269:K269), E269:K269, 0))), 技能库!$A:$F, 5, 0),"建议查阅考纲")&amp;CHAR(10)&amp;"💡 提升建议: "&amp;IFERROR(VLOOKUP(TRIM(D269)&amp;"_"&amp;TRIM(INDEX($E$1:$K$1, MATCH(MIN(E269:K269), E269:K269, 0))), 技能库!$A:$F, 6, 0),"请针对该题型加强练习"))</f>
        <v/>
      </c>
      <c r="AB269" s="5" t="str">
        <f>IF(P269="","", "⚠️ 薄弱环节: "&amp;INDEX($N$1:$O$1, MATCH(MIN(N269:O269), N269:O269, 0))&amp;CHAR(10)&amp;"📉 考察能力: "&amp;IFERROR(VLOOKUP(TRIM(D269)&amp;"_"&amp;TRIM(INDEX($N$1:$O$1, MATCH(MIN(N269:O269), N269:O269, 0))), 技能库!$A:$F, 5, 0),"建议查阅考纲")&amp;CHAR(10)&amp;"💡 提升建议: "&amp;IFERROR(VLOOKUP(TRIM(D269)&amp;"_"&amp;TRIM(INDEX($N$1:$O$1, MATCH(MIN(N269:O269), N269:O269, 0))), 技能库!$A:$F, 6, 0),"请针对该题型加强练习"))</f>
        <v/>
      </c>
      <c r="AC269" s="5" t="str">
        <f>IF(W269="","", "⚠️ 薄弱环节: "&amp;INDEX($R$1:$V$1, MATCH(MIN(R269:V269), R269:V269, 0))&amp;CHAR(10)&amp;"📉 考察能力: "&amp;IFERROR(VLOOKUP(TRIM(D269)&amp;"_"&amp;TRIM(INDEX($R$1:$V$1, MATCH(MIN(R269:V269), R269:V269, 0))), 技能库!$A:$F, 5, 0),"建议查阅考纲")&amp;CHAR(10)&amp;"💡 提升建议: "&amp;IFERROR(VLOOKUP(TRIM(D269)&amp;"_"&amp;TRIM(INDEX($R$1:$V$1, MATCH(MIN(R269:V269), R269:V269, 0))), 技能库!$A:$F, 6, 0),"请针对该题型加强练习"))</f>
        <v/>
      </c>
    </row>
    <row r="270" spans="12:29" ht="16" hidden="1" x14ac:dyDescent="0.2">
      <c r="L270" t="str">
        <f t="shared" si="16"/>
        <v/>
      </c>
      <c r="M270" t="str">
        <f>IF(L270="","", IFERROR(VLOOKUP(L270, IF(D270="KET", 换算标准!$M:$N, IF(D270="PET", 换算标准!$S:$T, 换算标准!$AC:$AD)), 2, TRUE), 0))</f>
        <v/>
      </c>
      <c r="P270" t="str">
        <f t="shared" si="17"/>
        <v/>
      </c>
      <c r="Q270" t="str">
        <f>IF(P270="","", IFERROR(VLOOKUP(P270, IF(D270="KET", 换算标准!$O:$P, IF(D270="PET", 换算标准!$U:$V, 换算标准!$AG:$AH)), 2, TRUE), 0))</f>
        <v/>
      </c>
      <c r="W270" t="str">
        <f t="shared" si="18"/>
        <v/>
      </c>
      <c r="X270" t="str">
        <f>IF(W270="","", IFERROR(VLOOKUP(W270, IF(D270="KET", 换算标准!$Q:$R, IF(D270="PET", 换算标准!$W:$X, 换算标准!$AI:$AJ)), 2, TRUE), 0))</f>
        <v/>
      </c>
      <c r="Y270" t="str">
        <f t="shared" si="19"/>
        <v/>
      </c>
      <c r="Z270" t="str">
        <f>IF(Y270="","", IFERROR(VLOOKUP(Y270, 换算标准!$Z:$AA, 1, TRUE), ""))</f>
        <v/>
      </c>
      <c r="AA270" s="5" t="str">
        <f>IF(L270="","", "⚠️ 薄弱环节: "&amp;INDEX($E$1:$K$1, MATCH(MIN(E270:K270), E270:K270, 0))&amp;CHAR(10)&amp;"📉 考察能力: "&amp;IFERROR(VLOOKUP(TRIM(D270)&amp;"_"&amp;TRIM(INDEX($E$1:$K$1, MATCH(MIN(E270:K270), E270:K270, 0))), 技能库!$A:$F, 5, 0),"建议查阅考纲")&amp;CHAR(10)&amp;"💡 提升建议: "&amp;IFERROR(VLOOKUP(TRIM(D270)&amp;"_"&amp;TRIM(INDEX($E$1:$K$1, MATCH(MIN(E270:K270), E270:K270, 0))), 技能库!$A:$F, 6, 0),"请针对该题型加强练习"))</f>
        <v/>
      </c>
      <c r="AB270" s="5" t="str">
        <f>IF(P270="","", "⚠️ 薄弱环节: "&amp;INDEX($N$1:$O$1, MATCH(MIN(N270:O270), N270:O270, 0))&amp;CHAR(10)&amp;"📉 考察能力: "&amp;IFERROR(VLOOKUP(TRIM(D270)&amp;"_"&amp;TRIM(INDEX($N$1:$O$1, MATCH(MIN(N270:O270), N270:O270, 0))), 技能库!$A:$F, 5, 0),"建议查阅考纲")&amp;CHAR(10)&amp;"💡 提升建议: "&amp;IFERROR(VLOOKUP(TRIM(D270)&amp;"_"&amp;TRIM(INDEX($N$1:$O$1, MATCH(MIN(N270:O270), N270:O270, 0))), 技能库!$A:$F, 6, 0),"请针对该题型加强练习"))</f>
        <v/>
      </c>
      <c r="AC270" s="5" t="str">
        <f>IF(W270="","", "⚠️ 薄弱环节: "&amp;INDEX($R$1:$V$1, MATCH(MIN(R270:V270), R270:V270, 0))&amp;CHAR(10)&amp;"📉 考察能力: "&amp;IFERROR(VLOOKUP(TRIM(D270)&amp;"_"&amp;TRIM(INDEX($R$1:$V$1, MATCH(MIN(R270:V270), R270:V270, 0))), 技能库!$A:$F, 5, 0),"建议查阅考纲")&amp;CHAR(10)&amp;"💡 提升建议: "&amp;IFERROR(VLOOKUP(TRIM(D270)&amp;"_"&amp;TRIM(INDEX($R$1:$V$1, MATCH(MIN(R270:V270), R270:V270, 0))), 技能库!$A:$F, 6, 0),"请针对该题型加强练习"))</f>
        <v/>
      </c>
    </row>
    <row r="271" spans="12:29" ht="16" hidden="1" x14ac:dyDescent="0.2">
      <c r="L271" t="str">
        <f t="shared" si="16"/>
        <v/>
      </c>
      <c r="M271" t="str">
        <f>IF(L271="","", IFERROR(VLOOKUP(L271, IF(D271="KET", 换算标准!$M:$N, IF(D271="PET", 换算标准!$S:$T, 换算标准!$AC:$AD)), 2, TRUE), 0))</f>
        <v/>
      </c>
      <c r="P271" t="str">
        <f t="shared" si="17"/>
        <v/>
      </c>
      <c r="Q271" t="str">
        <f>IF(P271="","", IFERROR(VLOOKUP(P271, IF(D271="KET", 换算标准!$O:$P, IF(D271="PET", 换算标准!$U:$V, 换算标准!$AG:$AH)), 2, TRUE), 0))</f>
        <v/>
      </c>
      <c r="W271" t="str">
        <f t="shared" si="18"/>
        <v/>
      </c>
      <c r="X271" t="str">
        <f>IF(W271="","", IFERROR(VLOOKUP(W271, IF(D271="KET", 换算标准!$Q:$R, IF(D271="PET", 换算标准!$W:$X, 换算标准!$AI:$AJ)), 2, TRUE), 0))</f>
        <v/>
      </c>
      <c r="Y271" t="str">
        <f t="shared" si="19"/>
        <v/>
      </c>
      <c r="Z271" t="str">
        <f>IF(Y271="","", IFERROR(VLOOKUP(Y271, 换算标准!$Z:$AA, 1, TRUE), ""))</f>
        <v/>
      </c>
      <c r="AA271" s="5" t="str">
        <f>IF(L271="","", "⚠️ 薄弱环节: "&amp;INDEX($E$1:$K$1, MATCH(MIN(E271:K271), E271:K271, 0))&amp;CHAR(10)&amp;"📉 考察能力: "&amp;IFERROR(VLOOKUP(TRIM(D271)&amp;"_"&amp;TRIM(INDEX($E$1:$K$1, MATCH(MIN(E271:K271), E271:K271, 0))), 技能库!$A:$F, 5, 0),"建议查阅考纲")&amp;CHAR(10)&amp;"💡 提升建议: "&amp;IFERROR(VLOOKUP(TRIM(D271)&amp;"_"&amp;TRIM(INDEX($E$1:$K$1, MATCH(MIN(E271:K271), E271:K271, 0))), 技能库!$A:$F, 6, 0),"请针对该题型加强练习"))</f>
        <v/>
      </c>
      <c r="AB271" s="5" t="str">
        <f>IF(P271="","", "⚠️ 薄弱环节: "&amp;INDEX($N$1:$O$1, MATCH(MIN(N271:O271), N271:O271, 0))&amp;CHAR(10)&amp;"📉 考察能力: "&amp;IFERROR(VLOOKUP(TRIM(D271)&amp;"_"&amp;TRIM(INDEX($N$1:$O$1, MATCH(MIN(N271:O271), N271:O271, 0))), 技能库!$A:$F, 5, 0),"建议查阅考纲")&amp;CHAR(10)&amp;"💡 提升建议: "&amp;IFERROR(VLOOKUP(TRIM(D271)&amp;"_"&amp;TRIM(INDEX($N$1:$O$1, MATCH(MIN(N271:O271), N271:O271, 0))), 技能库!$A:$F, 6, 0),"请针对该题型加强练习"))</f>
        <v/>
      </c>
      <c r="AC271" s="5" t="str">
        <f>IF(W271="","", "⚠️ 薄弱环节: "&amp;INDEX($R$1:$V$1, MATCH(MIN(R271:V271), R271:V271, 0))&amp;CHAR(10)&amp;"📉 考察能力: "&amp;IFERROR(VLOOKUP(TRIM(D271)&amp;"_"&amp;TRIM(INDEX($R$1:$V$1, MATCH(MIN(R271:V271), R271:V271, 0))), 技能库!$A:$F, 5, 0),"建议查阅考纲")&amp;CHAR(10)&amp;"💡 提升建议: "&amp;IFERROR(VLOOKUP(TRIM(D271)&amp;"_"&amp;TRIM(INDEX($R$1:$V$1, MATCH(MIN(R271:V271), R271:V271, 0))), 技能库!$A:$F, 6, 0),"请针对该题型加强练习"))</f>
        <v/>
      </c>
    </row>
    <row r="272" spans="12:29" ht="16" hidden="1" x14ac:dyDescent="0.2">
      <c r="L272" t="str">
        <f t="shared" si="16"/>
        <v/>
      </c>
      <c r="M272" t="str">
        <f>IF(L272="","", IFERROR(VLOOKUP(L272, IF(D272="KET", 换算标准!$M:$N, IF(D272="PET", 换算标准!$S:$T, 换算标准!$AC:$AD)), 2, TRUE), 0))</f>
        <v/>
      </c>
      <c r="P272" t="str">
        <f t="shared" si="17"/>
        <v/>
      </c>
      <c r="Q272" t="str">
        <f>IF(P272="","", IFERROR(VLOOKUP(P272, IF(D272="KET", 换算标准!$O:$P, IF(D272="PET", 换算标准!$U:$V, 换算标准!$AG:$AH)), 2, TRUE), 0))</f>
        <v/>
      </c>
      <c r="W272" t="str">
        <f t="shared" si="18"/>
        <v/>
      </c>
      <c r="X272" t="str">
        <f>IF(W272="","", IFERROR(VLOOKUP(W272, IF(D272="KET", 换算标准!$Q:$R, IF(D272="PET", 换算标准!$W:$X, 换算标准!$AI:$AJ)), 2, TRUE), 0))</f>
        <v/>
      </c>
      <c r="Y272" t="str">
        <f t="shared" si="19"/>
        <v/>
      </c>
      <c r="Z272" t="str">
        <f>IF(Y272="","", IFERROR(VLOOKUP(Y272, 换算标准!$Z:$AA, 1, TRUE), ""))</f>
        <v/>
      </c>
      <c r="AA272" s="5" t="str">
        <f>IF(L272="","", "⚠️ 薄弱环节: "&amp;INDEX($E$1:$K$1, MATCH(MIN(E272:K272), E272:K272, 0))&amp;CHAR(10)&amp;"📉 考察能力: "&amp;IFERROR(VLOOKUP(TRIM(D272)&amp;"_"&amp;TRIM(INDEX($E$1:$K$1, MATCH(MIN(E272:K272), E272:K272, 0))), 技能库!$A:$F, 5, 0),"建议查阅考纲")&amp;CHAR(10)&amp;"💡 提升建议: "&amp;IFERROR(VLOOKUP(TRIM(D272)&amp;"_"&amp;TRIM(INDEX($E$1:$K$1, MATCH(MIN(E272:K272), E272:K272, 0))), 技能库!$A:$F, 6, 0),"请针对该题型加强练习"))</f>
        <v/>
      </c>
      <c r="AB272" s="5" t="str">
        <f>IF(P272="","", "⚠️ 薄弱环节: "&amp;INDEX($N$1:$O$1, MATCH(MIN(N272:O272), N272:O272, 0))&amp;CHAR(10)&amp;"📉 考察能力: "&amp;IFERROR(VLOOKUP(TRIM(D272)&amp;"_"&amp;TRIM(INDEX($N$1:$O$1, MATCH(MIN(N272:O272), N272:O272, 0))), 技能库!$A:$F, 5, 0),"建议查阅考纲")&amp;CHAR(10)&amp;"💡 提升建议: "&amp;IFERROR(VLOOKUP(TRIM(D272)&amp;"_"&amp;TRIM(INDEX($N$1:$O$1, MATCH(MIN(N272:O272), N272:O272, 0))), 技能库!$A:$F, 6, 0),"请针对该题型加强练习"))</f>
        <v/>
      </c>
      <c r="AC272" s="5" t="str">
        <f>IF(W272="","", "⚠️ 薄弱环节: "&amp;INDEX($R$1:$V$1, MATCH(MIN(R272:V272), R272:V272, 0))&amp;CHAR(10)&amp;"📉 考察能力: "&amp;IFERROR(VLOOKUP(TRIM(D272)&amp;"_"&amp;TRIM(INDEX($R$1:$V$1, MATCH(MIN(R272:V272), R272:V272, 0))), 技能库!$A:$F, 5, 0),"建议查阅考纲")&amp;CHAR(10)&amp;"💡 提升建议: "&amp;IFERROR(VLOOKUP(TRIM(D272)&amp;"_"&amp;TRIM(INDEX($R$1:$V$1, MATCH(MIN(R272:V272), R272:V272, 0))), 技能库!$A:$F, 6, 0),"请针对该题型加强练习"))</f>
        <v/>
      </c>
    </row>
    <row r="273" spans="12:29" ht="16" hidden="1" x14ac:dyDescent="0.2">
      <c r="L273" t="str">
        <f t="shared" si="16"/>
        <v/>
      </c>
      <c r="M273" t="str">
        <f>IF(L273="","", IFERROR(VLOOKUP(L273, IF(D273="KET", 换算标准!$M:$N, IF(D273="PET", 换算标准!$S:$T, 换算标准!$AC:$AD)), 2, TRUE), 0))</f>
        <v/>
      </c>
      <c r="P273" t="str">
        <f t="shared" si="17"/>
        <v/>
      </c>
      <c r="Q273" t="str">
        <f>IF(P273="","", IFERROR(VLOOKUP(P273, IF(D273="KET", 换算标准!$O:$P, IF(D273="PET", 换算标准!$U:$V, 换算标准!$AG:$AH)), 2, TRUE), 0))</f>
        <v/>
      </c>
      <c r="W273" t="str">
        <f t="shared" si="18"/>
        <v/>
      </c>
      <c r="X273" t="str">
        <f>IF(W273="","", IFERROR(VLOOKUP(W273, IF(D273="KET", 换算标准!$Q:$R, IF(D273="PET", 换算标准!$W:$X, 换算标准!$AI:$AJ)), 2, TRUE), 0))</f>
        <v/>
      </c>
      <c r="Y273" t="str">
        <f t="shared" si="19"/>
        <v/>
      </c>
      <c r="Z273" t="str">
        <f>IF(Y273="","", IFERROR(VLOOKUP(Y273, 换算标准!$Z:$AA, 1, TRUE), ""))</f>
        <v/>
      </c>
      <c r="AA273" s="5" t="str">
        <f>IF(L273="","", "⚠️ 薄弱环节: "&amp;INDEX($E$1:$K$1, MATCH(MIN(E273:K273), E273:K273, 0))&amp;CHAR(10)&amp;"📉 考察能力: "&amp;IFERROR(VLOOKUP(TRIM(D273)&amp;"_"&amp;TRIM(INDEX($E$1:$K$1, MATCH(MIN(E273:K273), E273:K273, 0))), 技能库!$A:$F, 5, 0),"建议查阅考纲")&amp;CHAR(10)&amp;"💡 提升建议: "&amp;IFERROR(VLOOKUP(TRIM(D273)&amp;"_"&amp;TRIM(INDEX($E$1:$K$1, MATCH(MIN(E273:K273), E273:K273, 0))), 技能库!$A:$F, 6, 0),"请针对该题型加强练习"))</f>
        <v/>
      </c>
      <c r="AB273" s="5" t="str">
        <f>IF(P273="","", "⚠️ 薄弱环节: "&amp;INDEX($N$1:$O$1, MATCH(MIN(N273:O273), N273:O273, 0))&amp;CHAR(10)&amp;"📉 考察能力: "&amp;IFERROR(VLOOKUP(TRIM(D273)&amp;"_"&amp;TRIM(INDEX($N$1:$O$1, MATCH(MIN(N273:O273), N273:O273, 0))), 技能库!$A:$F, 5, 0),"建议查阅考纲")&amp;CHAR(10)&amp;"💡 提升建议: "&amp;IFERROR(VLOOKUP(TRIM(D273)&amp;"_"&amp;TRIM(INDEX($N$1:$O$1, MATCH(MIN(N273:O273), N273:O273, 0))), 技能库!$A:$F, 6, 0),"请针对该题型加强练习"))</f>
        <v/>
      </c>
      <c r="AC273" s="5" t="str">
        <f>IF(W273="","", "⚠️ 薄弱环节: "&amp;INDEX($R$1:$V$1, MATCH(MIN(R273:V273), R273:V273, 0))&amp;CHAR(10)&amp;"📉 考察能力: "&amp;IFERROR(VLOOKUP(TRIM(D273)&amp;"_"&amp;TRIM(INDEX($R$1:$V$1, MATCH(MIN(R273:V273), R273:V273, 0))), 技能库!$A:$F, 5, 0),"建议查阅考纲")&amp;CHAR(10)&amp;"💡 提升建议: "&amp;IFERROR(VLOOKUP(TRIM(D273)&amp;"_"&amp;TRIM(INDEX($R$1:$V$1, MATCH(MIN(R273:V273), R273:V273, 0))), 技能库!$A:$F, 6, 0),"请针对该题型加强练习"))</f>
        <v/>
      </c>
    </row>
    <row r="274" spans="12:29" ht="16" hidden="1" x14ac:dyDescent="0.2">
      <c r="L274" t="str">
        <f t="shared" si="16"/>
        <v/>
      </c>
      <c r="M274" t="str">
        <f>IF(L274="","", IFERROR(VLOOKUP(L274, IF(D274="KET", 换算标准!$M:$N, IF(D274="PET", 换算标准!$S:$T, 换算标准!$AC:$AD)), 2, TRUE), 0))</f>
        <v/>
      </c>
      <c r="P274" t="str">
        <f t="shared" si="17"/>
        <v/>
      </c>
      <c r="Q274" t="str">
        <f>IF(P274="","", IFERROR(VLOOKUP(P274, IF(D274="KET", 换算标准!$O:$P, IF(D274="PET", 换算标准!$U:$V, 换算标准!$AG:$AH)), 2, TRUE), 0))</f>
        <v/>
      </c>
      <c r="W274" t="str">
        <f t="shared" si="18"/>
        <v/>
      </c>
      <c r="X274" t="str">
        <f>IF(W274="","", IFERROR(VLOOKUP(W274, IF(D274="KET", 换算标准!$Q:$R, IF(D274="PET", 换算标准!$W:$X, 换算标准!$AI:$AJ)), 2, TRUE), 0))</f>
        <v/>
      </c>
      <c r="Y274" t="str">
        <f t="shared" si="19"/>
        <v/>
      </c>
      <c r="Z274" t="str">
        <f>IF(Y274="","", IFERROR(VLOOKUP(Y274, 换算标准!$Z:$AA, 1, TRUE), ""))</f>
        <v/>
      </c>
      <c r="AA274" s="5" t="str">
        <f>IF(L274="","", "⚠️ 薄弱环节: "&amp;INDEX($E$1:$K$1, MATCH(MIN(E274:K274), E274:K274, 0))&amp;CHAR(10)&amp;"📉 考察能力: "&amp;IFERROR(VLOOKUP(TRIM(D274)&amp;"_"&amp;TRIM(INDEX($E$1:$K$1, MATCH(MIN(E274:K274), E274:K274, 0))), 技能库!$A:$F, 5, 0),"建议查阅考纲")&amp;CHAR(10)&amp;"💡 提升建议: "&amp;IFERROR(VLOOKUP(TRIM(D274)&amp;"_"&amp;TRIM(INDEX($E$1:$K$1, MATCH(MIN(E274:K274), E274:K274, 0))), 技能库!$A:$F, 6, 0),"请针对该题型加强练习"))</f>
        <v/>
      </c>
      <c r="AB274" s="5" t="str">
        <f>IF(P274="","", "⚠️ 薄弱环节: "&amp;INDEX($N$1:$O$1, MATCH(MIN(N274:O274), N274:O274, 0))&amp;CHAR(10)&amp;"📉 考察能力: "&amp;IFERROR(VLOOKUP(TRIM(D274)&amp;"_"&amp;TRIM(INDEX($N$1:$O$1, MATCH(MIN(N274:O274), N274:O274, 0))), 技能库!$A:$F, 5, 0),"建议查阅考纲")&amp;CHAR(10)&amp;"💡 提升建议: "&amp;IFERROR(VLOOKUP(TRIM(D274)&amp;"_"&amp;TRIM(INDEX($N$1:$O$1, MATCH(MIN(N274:O274), N274:O274, 0))), 技能库!$A:$F, 6, 0),"请针对该题型加强练习"))</f>
        <v/>
      </c>
      <c r="AC274" s="5" t="str">
        <f>IF(W274="","", "⚠️ 薄弱环节: "&amp;INDEX($R$1:$V$1, MATCH(MIN(R274:V274), R274:V274, 0))&amp;CHAR(10)&amp;"📉 考察能力: "&amp;IFERROR(VLOOKUP(TRIM(D274)&amp;"_"&amp;TRIM(INDEX($R$1:$V$1, MATCH(MIN(R274:V274), R274:V274, 0))), 技能库!$A:$F, 5, 0),"建议查阅考纲")&amp;CHAR(10)&amp;"💡 提升建议: "&amp;IFERROR(VLOOKUP(TRIM(D274)&amp;"_"&amp;TRIM(INDEX($R$1:$V$1, MATCH(MIN(R274:V274), R274:V274, 0))), 技能库!$A:$F, 6, 0),"请针对该题型加强练习"))</f>
        <v/>
      </c>
    </row>
    <row r="275" spans="12:29" ht="16" hidden="1" x14ac:dyDescent="0.2">
      <c r="L275" t="str">
        <f t="shared" si="16"/>
        <v/>
      </c>
      <c r="M275" t="str">
        <f>IF(L275="","", IFERROR(VLOOKUP(L275, IF(D275="KET", 换算标准!$M:$N, IF(D275="PET", 换算标准!$S:$T, 换算标准!$AC:$AD)), 2, TRUE), 0))</f>
        <v/>
      </c>
      <c r="P275" t="str">
        <f t="shared" si="17"/>
        <v/>
      </c>
      <c r="Q275" t="str">
        <f>IF(P275="","", IFERROR(VLOOKUP(P275, IF(D275="KET", 换算标准!$O:$P, IF(D275="PET", 换算标准!$U:$V, 换算标准!$AG:$AH)), 2, TRUE), 0))</f>
        <v/>
      </c>
      <c r="W275" t="str">
        <f t="shared" si="18"/>
        <v/>
      </c>
      <c r="X275" t="str">
        <f>IF(W275="","", IFERROR(VLOOKUP(W275, IF(D275="KET", 换算标准!$Q:$R, IF(D275="PET", 换算标准!$W:$X, 换算标准!$AI:$AJ)), 2, TRUE), 0))</f>
        <v/>
      </c>
      <c r="Y275" t="str">
        <f t="shared" si="19"/>
        <v/>
      </c>
      <c r="Z275" t="str">
        <f>IF(Y275="","", IFERROR(VLOOKUP(Y275, 换算标准!$Z:$AA, 1, TRUE), ""))</f>
        <v/>
      </c>
      <c r="AA275" s="5" t="str">
        <f>IF(L275="","", "⚠️ 薄弱环节: "&amp;INDEX($E$1:$K$1, MATCH(MIN(E275:K275), E275:K275, 0))&amp;CHAR(10)&amp;"📉 考察能力: "&amp;IFERROR(VLOOKUP(TRIM(D275)&amp;"_"&amp;TRIM(INDEX($E$1:$K$1, MATCH(MIN(E275:K275), E275:K275, 0))), 技能库!$A:$F, 5, 0),"建议查阅考纲")&amp;CHAR(10)&amp;"💡 提升建议: "&amp;IFERROR(VLOOKUP(TRIM(D275)&amp;"_"&amp;TRIM(INDEX($E$1:$K$1, MATCH(MIN(E275:K275), E275:K275, 0))), 技能库!$A:$F, 6, 0),"请针对该题型加强练习"))</f>
        <v/>
      </c>
      <c r="AB275" s="5" t="str">
        <f>IF(P275="","", "⚠️ 薄弱环节: "&amp;INDEX($N$1:$O$1, MATCH(MIN(N275:O275), N275:O275, 0))&amp;CHAR(10)&amp;"📉 考察能力: "&amp;IFERROR(VLOOKUP(TRIM(D275)&amp;"_"&amp;TRIM(INDEX($N$1:$O$1, MATCH(MIN(N275:O275), N275:O275, 0))), 技能库!$A:$F, 5, 0),"建议查阅考纲")&amp;CHAR(10)&amp;"💡 提升建议: "&amp;IFERROR(VLOOKUP(TRIM(D275)&amp;"_"&amp;TRIM(INDEX($N$1:$O$1, MATCH(MIN(N275:O275), N275:O275, 0))), 技能库!$A:$F, 6, 0),"请针对该题型加强练习"))</f>
        <v/>
      </c>
      <c r="AC275" s="5" t="str">
        <f>IF(W275="","", "⚠️ 薄弱环节: "&amp;INDEX($R$1:$V$1, MATCH(MIN(R275:V275), R275:V275, 0))&amp;CHAR(10)&amp;"📉 考察能力: "&amp;IFERROR(VLOOKUP(TRIM(D275)&amp;"_"&amp;TRIM(INDEX($R$1:$V$1, MATCH(MIN(R275:V275), R275:V275, 0))), 技能库!$A:$F, 5, 0),"建议查阅考纲")&amp;CHAR(10)&amp;"💡 提升建议: "&amp;IFERROR(VLOOKUP(TRIM(D275)&amp;"_"&amp;TRIM(INDEX($R$1:$V$1, MATCH(MIN(R275:V275), R275:V275, 0))), 技能库!$A:$F, 6, 0),"请针对该题型加强练习"))</f>
        <v/>
      </c>
    </row>
    <row r="276" spans="12:29" ht="16" hidden="1" x14ac:dyDescent="0.2">
      <c r="L276" t="str">
        <f t="shared" si="16"/>
        <v/>
      </c>
      <c r="M276" t="str">
        <f>IF(L276="","", IFERROR(VLOOKUP(L276, IF(D276="KET", 换算标准!$M:$N, IF(D276="PET", 换算标准!$S:$T, 换算标准!$AC:$AD)), 2, TRUE), 0))</f>
        <v/>
      </c>
      <c r="P276" t="str">
        <f t="shared" si="17"/>
        <v/>
      </c>
      <c r="Q276" t="str">
        <f>IF(P276="","", IFERROR(VLOOKUP(P276, IF(D276="KET", 换算标准!$O:$P, IF(D276="PET", 换算标准!$U:$V, 换算标准!$AG:$AH)), 2, TRUE), 0))</f>
        <v/>
      </c>
      <c r="W276" t="str">
        <f t="shared" si="18"/>
        <v/>
      </c>
      <c r="X276" t="str">
        <f>IF(W276="","", IFERROR(VLOOKUP(W276, IF(D276="KET", 换算标准!$Q:$R, IF(D276="PET", 换算标准!$W:$X, 换算标准!$AI:$AJ)), 2, TRUE), 0))</f>
        <v/>
      </c>
      <c r="Y276" t="str">
        <f t="shared" si="19"/>
        <v/>
      </c>
      <c r="Z276" t="str">
        <f>IF(Y276="","", IFERROR(VLOOKUP(Y276, 换算标准!$Z:$AA, 1, TRUE), ""))</f>
        <v/>
      </c>
      <c r="AA276" s="5" t="str">
        <f>IF(L276="","", "⚠️ 薄弱环节: "&amp;INDEX($E$1:$K$1, MATCH(MIN(E276:K276), E276:K276, 0))&amp;CHAR(10)&amp;"📉 考察能力: "&amp;IFERROR(VLOOKUP(TRIM(D276)&amp;"_"&amp;TRIM(INDEX($E$1:$K$1, MATCH(MIN(E276:K276), E276:K276, 0))), 技能库!$A:$F, 5, 0),"建议查阅考纲")&amp;CHAR(10)&amp;"💡 提升建议: "&amp;IFERROR(VLOOKUP(TRIM(D276)&amp;"_"&amp;TRIM(INDEX($E$1:$K$1, MATCH(MIN(E276:K276), E276:K276, 0))), 技能库!$A:$F, 6, 0),"请针对该题型加强练习"))</f>
        <v/>
      </c>
      <c r="AB276" s="5" t="str">
        <f>IF(P276="","", "⚠️ 薄弱环节: "&amp;INDEX($N$1:$O$1, MATCH(MIN(N276:O276), N276:O276, 0))&amp;CHAR(10)&amp;"📉 考察能力: "&amp;IFERROR(VLOOKUP(TRIM(D276)&amp;"_"&amp;TRIM(INDEX($N$1:$O$1, MATCH(MIN(N276:O276), N276:O276, 0))), 技能库!$A:$F, 5, 0),"建议查阅考纲")&amp;CHAR(10)&amp;"💡 提升建议: "&amp;IFERROR(VLOOKUP(TRIM(D276)&amp;"_"&amp;TRIM(INDEX($N$1:$O$1, MATCH(MIN(N276:O276), N276:O276, 0))), 技能库!$A:$F, 6, 0),"请针对该题型加强练习"))</f>
        <v/>
      </c>
      <c r="AC276" s="5" t="str">
        <f>IF(W276="","", "⚠️ 薄弱环节: "&amp;INDEX($R$1:$V$1, MATCH(MIN(R276:V276), R276:V276, 0))&amp;CHAR(10)&amp;"📉 考察能力: "&amp;IFERROR(VLOOKUP(TRIM(D276)&amp;"_"&amp;TRIM(INDEX($R$1:$V$1, MATCH(MIN(R276:V276), R276:V276, 0))), 技能库!$A:$F, 5, 0),"建议查阅考纲")&amp;CHAR(10)&amp;"💡 提升建议: "&amp;IFERROR(VLOOKUP(TRIM(D276)&amp;"_"&amp;TRIM(INDEX($R$1:$V$1, MATCH(MIN(R276:V276), R276:V276, 0))), 技能库!$A:$F, 6, 0),"请针对该题型加强练习"))</f>
        <v/>
      </c>
    </row>
    <row r="277" spans="12:29" ht="16" hidden="1" x14ac:dyDescent="0.2">
      <c r="L277" t="str">
        <f t="shared" si="16"/>
        <v/>
      </c>
      <c r="M277" t="str">
        <f>IF(L277="","", IFERROR(VLOOKUP(L277, IF(D277="KET", 换算标准!$M:$N, IF(D277="PET", 换算标准!$S:$T, 换算标准!$AC:$AD)), 2, TRUE), 0))</f>
        <v/>
      </c>
      <c r="P277" t="str">
        <f t="shared" si="17"/>
        <v/>
      </c>
      <c r="Q277" t="str">
        <f>IF(P277="","", IFERROR(VLOOKUP(P277, IF(D277="KET", 换算标准!$O:$P, IF(D277="PET", 换算标准!$U:$V, 换算标准!$AG:$AH)), 2, TRUE), 0))</f>
        <v/>
      </c>
      <c r="W277" t="str">
        <f t="shared" si="18"/>
        <v/>
      </c>
      <c r="X277" t="str">
        <f>IF(W277="","", IFERROR(VLOOKUP(W277, IF(D277="KET", 换算标准!$Q:$R, IF(D277="PET", 换算标准!$W:$X, 换算标准!$AI:$AJ)), 2, TRUE), 0))</f>
        <v/>
      </c>
      <c r="Y277" t="str">
        <f t="shared" si="19"/>
        <v/>
      </c>
      <c r="Z277" t="str">
        <f>IF(Y277="","", IFERROR(VLOOKUP(Y277, 换算标准!$Z:$AA, 1, TRUE), ""))</f>
        <v/>
      </c>
      <c r="AA277" s="5" t="str">
        <f>IF(L277="","", "⚠️ 薄弱环节: "&amp;INDEX($E$1:$K$1, MATCH(MIN(E277:K277), E277:K277, 0))&amp;CHAR(10)&amp;"📉 考察能力: "&amp;IFERROR(VLOOKUP(TRIM(D277)&amp;"_"&amp;TRIM(INDEX($E$1:$K$1, MATCH(MIN(E277:K277), E277:K277, 0))), 技能库!$A:$F, 5, 0),"建议查阅考纲")&amp;CHAR(10)&amp;"💡 提升建议: "&amp;IFERROR(VLOOKUP(TRIM(D277)&amp;"_"&amp;TRIM(INDEX($E$1:$K$1, MATCH(MIN(E277:K277), E277:K277, 0))), 技能库!$A:$F, 6, 0),"请针对该题型加强练习"))</f>
        <v/>
      </c>
      <c r="AB277" s="5" t="str">
        <f>IF(P277="","", "⚠️ 薄弱环节: "&amp;INDEX($N$1:$O$1, MATCH(MIN(N277:O277), N277:O277, 0))&amp;CHAR(10)&amp;"📉 考察能力: "&amp;IFERROR(VLOOKUP(TRIM(D277)&amp;"_"&amp;TRIM(INDEX($N$1:$O$1, MATCH(MIN(N277:O277), N277:O277, 0))), 技能库!$A:$F, 5, 0),"建议查阅考纲")&amp;CHAR(10)&amp;"💡 提升建议: "&amp;IFERROR(VLOOKUP(TRIM(D277)&amp;"_"&amp;TRIM(INDEX($N$1:$O$1, MATCH(MIN(N277:O277), N277:O277, 0))), 技能库!$A:$F, 6, 0),"请针对该题型加强练习"))</f>
        <v/>
      </c>
      <c r="AC277" s="5" t="str">
        <f>IF(W277="","", "⚠️ 薄弱环节: "&amp;INDEX($R$1:$V$1, MATCH(MIN(R277:V277), R277:V277, 0))&amp;CHAR(10)&amp;"📉 考察能力: "&amp;IFERROR(VLOOKUP(TRIM(D277)&amp;"_"&amp;TRIM(INDEX($R$1:$V$1, MATCH(MIN(R277:V277), R277:V277, 0))), 技能库!$A:$F, 5, 0),"建议查阅考纲")&amp;CHAR(10)&amp;"💡 提升建议: "&amp;IFERROR(VLOOKUP(TRIM(D277)&amp;"_"&amp;TRIM(INDEX($R$1:$V$1, MATCH(MIN(R277:V277), R277:V277, 0))), 技能库!$A:$F, 6, 0),"请针对该题型加强练习"))</f>
        <v/>
      </c>
    </row>
    <row r="278" spans="12:29" ht="16" hidden="1" x14ac:dyDescent="0.2">
      <c r="L278" t="str">
        <f t="shared" si="16"/>
        <v/>
      </c>
      <c r="M278" t="str">
        <f>IF(L278="","", IFERROR(VLOOKUP(L278, IF(D278="KET", 换算标准!$M:$N, IF(D278="PET", 换算标准!$S:$T, 换算标准!$AC:$AD)), 2, TRUE), 0))</f>
        <v/>
      </c>
      <c r="P278" t="str">
        <f t="shared" si="17"/>
        <v/>
      </c>
      <c r="Q278" t="str">
        <f>IF(P278="","", IFERROR(VLOOKUP(P278, IF(D278="KET", 换算标准!$O:$P, IF(D278="PET", 换算标准!$U:$V, 换算标准!$AG:$AH)), 2, TRUE), 0))</f>
        <v/>
      </c>
      <c r="W278" t="str">
        <f t="shared" si="18"/>
        <v/>
      </c>
      <c r="X278" t="str">
        <f>IF(W278="","", IFERROR(VLOOKUP(W278, IF(D278="KET", 换算标准!$Q:$R, IF(D278="PET", 换算标准!$W:$X, 换算标准!$AI:$AJ)), 2, TRUE), 0))</f>
        <v/>
      </c>
      <c r="Y278" t="str">
        <f t="shared" si="19"/>
        <v/>
      </c>
      <c r="Z278" t="str">
        <f>IF(Y278="","", IFERROR(VLOOKUP(Y278, 换算标准!$Z:$AA, 1, TRUE), ""))</f>
        <v/>
      </c>
      <c r="AA278" s="5" t="str">
        <f>IF(L278="","", "⚠️ 薄弱环节: "&amp;INDEX($E$1:$K$1, MATCH(MIN(E278:K278), E278:K278, 0))&amp;CHAR(10)&amp;"📉 考察能力: "&amp;IFERROR(VLOOKUP(TRIM(D278)&amp;"_"&amp;TRIM(INDEX($E$1:$K$1, MATCH(MIN(E278:K278), E278:K278, 0))), 技能库!$A:$F, 5, 0),"建议查阅考纲")&amp;CHAR(10)&amp;"💡 提升建议: "&amp;IFERROR(VLOOKUP(TRIM(D278)&amp;"_"&amp;TRIM(INDEX($E$1:$K$1, MATCH(MIN(E278:K278), E278:K278, 0))), 技能库!$A:$F, 6, 0),"请针对该题型加强练习"))</f>
        <v/>
      </c>
      <c r="AB278" s="5" t="str">
        <f>IF(P278="","", "⚠️ 薄弱环节: "&amp;INDEX($N$1:$O$1, MATCH(MIN(N278:O278), N278:O278, 0))&amp;CHAR(10)&amp;"📉 考察能力: "&amp;IFERROR(VLOOKUP(TRIM(D278)&amp;"_"&amp;TRIM(INDEX($N$1:$O$1, MATCH(MIN(N278:O278), N278:O278, 0))), 技能库!$A:$F, 5, 0),"建议查阅考纲")&amp;CHAR(10)&amp;"💡 提升建议: "&amp;IFERROR(VLOOKUP(TRIM(D278)&amp;"_"&amp;TRIM(INDEX($N$1:$O$1, MATCH(MIN(N278:O278), N278:O278, 0))), 技能库!$A:$F, 6, 0),"请针对该题型加强练习"))</f>
        <v/>
      </c>
      <c r="AC278" s="5" t="str">
        <f>IF(W278="","", "⚠️ 薄弱环节: "&amp;INDEX($R$1:$V$1, MATCH(MIN(R278:V278), R278:V278, 0))&amp;CHAR(10)&amp;"📉 考察能力: "&amp;IFERROR(VLOOKUP(TRIM(D278)&amp;"_"&amp;TRIM(INDEX($R$1:$V$1, MATCH(MIN(R278:V278), R278:V278, 0))), 技能库!$A:$F, 5, 0),"建议查阅考纲")&amp;CHAR(10)&amp;"💡 提升建议: "&amp;IFERROR(VLOOKUP(TRIM(D278)&amp;"_"&amp;TRIM(INDEX($R$1:$V$1, MATCH(MIN(R278:V278), R278:V278, 0))), 技能库!$A:$F, 6, 0),"请针对该题型加强练习"))</f>
        <v/>
      </c>
    </row>
    <row r="279" spans="12:29" ht="16" hidden="1" x14ac:dyDescent="0.2">
      <c r="L279" t="str">
        <f t="shared" si="16"/>
        <v/>
      </c>
      <c r="M279" t="str">
        <f>IF(L279="","", IFERROR(VLOOKUP(L279, IF(D279="KET", 换算标准!$M:$N, IF(D279="PET", 换算标准!$S:$T, 换算标准!$AC:$AD)), 2, TRUE), 0))</f>
        <v/>
      </c>
      <c r="P279" t="str">
        <f t="shared" si="17"/>
        <v/>
      </c>
      <c r="Q279" t="str">
        <f>IF(P279="","", IFERROR(VLOOKUP(P279, IF(D279="KET", 换算标准!$O:$P, IF(D279="PET", 换算标准!$U:$V, 换算标准!$AG:$AH)), 2, TRUE), 0))</f>
        <v/>
      </c>
      <c r="W279" t="str">
        <f t="shared" si="18"/>
        <v/>
      </c>
      <c r="X279" t="str">
        <f>IF(W279="","", IFERROR(VLOOKUP(W279, IF(D279="KET", 换算标准!$Q:$R, IF(D279="PET", 换算标准!$W:$X, 换算标准!$AI:$AJ)), 2, TRUE), 0))</f>
        <v/>
      </c>
      <c r="Y279" t="str">
        <f t="shared" si="19"/>
        <v/>
      </c>
      <c r="Z279" t="str">
        <f>IF(Y279="","", IFERROR(VLOOKUP(Y279, 换算标准!$Z:$AA, 1, TRUE), ""))</f>
        <v/>
      </c>
      <c r="AA279" s="5" t="str">
        <f>IF(L279="","", "⚠️ 薄弱环节: "&amp;INDEX($E$1:$K$1, MATCH(MIN(E279:K279), E279:K279, 0))&amp;CHAR(10)&amp;"📉 考察能力: "&amp;IFERROR(VLOOKUP(TRIM(D279)&amp;"_"&amp;TRIM(INDEX($E$1:$K$1, MATCH(MIN(E279:K279), E279:K279, 0))), 技能库!$A:$F, 5, 0),"建议查阅考纲")&amp;CHAR(10)&amp;"💡 提升建议: "&amp;IFERROR(VLOOKUP(TRIM(D279)&amp;"_"&amp;TRIM(INDEX($E$1:$K$1, MATCH(MIN(E279:K279), E279:K279, 0))), 技能库!$A:$F, 6, 0),"请针对该题型加强练习"))</f>
        <v/>
      </c>
      <c r="AB279" s="5" t="str">
        <f>IF(P279="","", "⚠️ 薄弱环节: "&amp;INDEX($N$1:$O$1, MATCH(MIN(N279:O279), N279:O279, 0))&amp;CHAR(10)&amp;"📉 考察能力: "&amp;IFERROR(VLOOKUP(TRIM(D279)&amp;"_"&amp;TRIM(INDEX($N$1:$O$1, MATCH(MIN(N279:O279), N279:O279, 0))), 技能库!$A:$F, 5, 0),"建议查阅考纲")&amp;CHAR(10)&amp;"💡 提升建议: "&amp;IFERROR(VLOOKUP(TRIM(D279)&amp;"_"&amp;TRIM(INDEX($N$1:$O$1, MATCH(MIN(N279:O279), N279:O279, 0))), 技能库!$A:$F, 6, 0),"请针对该题型加强练习"))</f>
        <v/>
      </c>
      <c r="AC279" s="5" t="str">
        <f>IF(W279="","", "⚠️ 薄弱环节: "&amp;INDEX($R$1:$V$1, MATCH(MIN(R279:V279), R279:V279, 0))&amp;CHAR(10)&amp;"📉 考察能力: "&amp;IFERROR(VLOOKUP(TRIM(D279)&amp;"_"&amp;TRIM(INDEX($R$1:$V$1, MATCH(MIN(R279:V279), R279:V279, 0))), 技能库!$A:$F, 5, 0),"建议查阅考纲")&amp;CHAR(10)&amp;"💡 提升建议: "&amp;IFERROR(VLOOKUP(TRIM(D279)&amp;"_"&amp;TRIM(INDEX($R$1:$V$1, MATCH(MIN(R279:V279), R279:V279, 0))), 技能库!$A:$F, 6, 0),"请针对该题型加强练习"))</f>
        <v/>
      </c>
    </row>
    <row r="280" spans="12:29" ht="16" hidden="1" x14ac:dyDescent="0.2">
      <c r="L280" t="str">
        <f t="shared" si="16"/>
        <v/>
      </c>
      <c r="M280" t="str">
        <f>IF(L280="","", IFERROR(VLOOKUP(L280, IF(D280="KET", 换算标准!$M:$N, IF(D280="PET", 换算标准!$S:$T, 换算标准!$AC:$AD)), 2, TRUE), 0))</f>
        <v/>
      </c>
      <c r="P280" t="str">
        <f t="shared" si="17"/>
        <v/>
      </c>
      <c r="Q280" t="str">
        <f>IF(P280="","", IFERROR(VLOOKUP(P280, IF(D280="KET", 换算标准!$O:$P, IF(D280="PET", 换算标准!$U:$V, 换算标准!$AG:$AH)), 2, TRUE), 0))</f>
        <v/>
      </c>
      <c r="W280" t="str">
        <f t="shared" si="18"/>
        <v/>
      </c>
      <c r="X280" t="str">
        <f>IF(W280="","", IFERROR(VLOOKUP(W280, IF(D280="KET", 换算标准!$Q:$R, IF(D280="PET", 换算标准!$W:$X, 换算标准!$AI:$AJ)), 2, TRUE), 0))</f>
        <v/>
      </c>
      <c r="Y280" t="str">
        <f t="shared" si="19"/>
        <v/>
      </c>
      <c r="Z280" t="str">
        <f>IF(Y280="","", IFERROR(VLOOKUP(Y280, 换算标准!$Z:$AA, 1, TRUE), ""))</f>
        <v/>
      </c>
      <c r="AA280" s="5" t="str">
        <f>IF(L280="","", "⚠️ 薄弱环节: "&amp;INDEX($E$1:$K$1, MATCH(MIN(E280:K280), E280:K280, 0))&amp;CHAR(10)&amp;"📉 考察能力: "&amp;IFERROR(VLOOKUP(TRIM(D280)&amp;"_"&amp;TRIM(INDEX($E$1:$K$1, MATCH(MIN(E280:K280), E280:K280, 0))), 技能库!$A:$F, 5, 0),"建议查阅考纲")&amp;CHAR(10)&amp;"💡 提升建议: "&amp;IFERROR(VLOOKUP(TRIM(D280)&amp;"_"&amp;TRIM(INDEX($E$1:$K$1, MATCH(MIN(E280:K280), E280:K280, 0))), 技能库!$A:$F, 6, 0),"请针对该题型加强练习"))</f>
        <v/>
      </c>
      <c r="AB280" s="5" t="str">
        <f>IF(P280="","", "⚠️ 薄弱环节: "&amp;INDEX($N$1:$O$1, MATCH(MIN(N280:O280), N280:O280, 0))&amp;CHAR(10)&amp;"📉 考察能力: "&amp;IFERROR(VLOOKUP(TRIM(D280)&amp;"_"&amp;TRIM(INDEX($N$1:$O$1, MATCH(MIN(N280:O280), N280:O280, 0))), 技能库!$A:$F, 5, 0),"建议查阅考纲")&amp;CHAR(10)&amp;"💡 提升建议: "&amp;IFERROR(VLOOKUP(TRIM(D280)&amp;"_"&amp;TRIM(INDEX($N$1:$O$1, MATCH(MIN(N280:O280), N280:O280, 0))), 技能库!$A:$F, 6, 0),"请针对该题型加强练习"))</f>
        <v/>
      </c>
      <c r="AC280" s="5" t="str">
        <f>IF(W280="","", "⚠️ 薄弱环节: "&amp;INDEX($R$1:$V$1, MATCH(MIN(R280:V280), R280:V280, 0))&amp;CHAR(10)&amp;"📉 考察能力: "&amp;IFERROR(VLOOKUP(TRIM(D280)&amp;"_"&amp;TRIM(INDEX($R$1:$V$1, MATCH(MIN(R280:V280), R280:V280, 0))), 技能库!$A:$F, 5, 0),"建议查阅考纲")&amp;CHAR(10)&amp;"💡 提升建议: "&amp;IFERROR(VLOOKUP(TRIM(D280)&amp;"_"&amp;TRIM(INDEX($R$1:$V$1, MATCH(MIN(R280:V280), R280:V280, 0))), 技能库!$A:$F, 6, 0),"请针对该题型加强练习"))</f>
        <v/>
      </c>
    </row>
    <row r="281" spans="12:29" ht="16" hidden="1" x14ac:dyDescent="0.2">
      <c r="L281" t="str">
        <f t="shared" si="16"/>
        <v/>
      </c>
      <c r="M281" t="str">
        <f>IF(L281="","", IFERROR(VLOOKUP(L281, IF(D281="KET", 换算标准!$M:$N, IF(D281="PET", 换算标准!$S:$T, 换算标准!$AC:$AD)), 2, TRUE), 0))</f>
        <v/>
      </c>
      <c r="P281" t="str">
        <f t="shared" si="17"/>
        <v/>
      </c>
      <c r="Q281" t="str">
        <f>IF(P281="","", IFERROR(VLOOKUP(P281, IF(D281="KET", 换算标准!$O:$P, IF(D281="PET", 换算标准!$U:$V, 换算标准!$AG:$AH)), 2, TRUE), 0))</f>
        <v/>
      </c>
      <c r="W281" t="str">
        <f t="shared" si="18"/>
        <v/>
      </c>
      <c r="X281" t="str">
        <f>IF(W281="","", IFERROR(VLOOKUP(W281, IF(D281="KET", 换算标准!$Q:$R, IF(D281="PET", 换算标准!$W:$X, 换算标准!$AI:$AJ)), 2, TRUE), 0))</f>
        <v/>
      </c>
      <c r="Y281" t="str">
        <f t="shared" si="19"/>
        <v/>
      </c>
      <c r="Z281" t="str">
        <f>IF(Y281="","", IFERROR(VLOOKUP(Y281, 换算标准!$Z:$AA, 1, TRUE), ""))</f>
        <v/>
      </c>
      <c r="AA281" s="5" t="str">
        <f>IF(L281="","", "⚠️ 薄弱环节: "&amp;INDEX($E$1:$K$1, MATCH(MIN(E281:K281), E281:K281, 0))&amp;CHAR(10)&amp;"📉 考察能力: "&amp;IFERROR(VLOOKUP(TRIM(D281)&amp;"_"&amp;TRIM(INDEX($E$1:$K$1, MATCH(MIN(E281:K281), E281:K281, 0))), 技能库!$A:$F, 5, 0),"建议查阅考纲")&amp;CHAR(10)&amp;"💡 提升建议: "&amp;IFERROR(VLOOKUP(TRIM(D281)&amp;"_"&amp;TRIM(INDEX($E$1:$K$1, MATCH(MIN(E281:K281), E281:K281, 0))), 技能库!$A:$F, 6, 0),"请针对该题型加强练习"))</f>
        <v/>
      </c>
      <c r="AB281" s="5" t="str">
        <f>IF(P281="","", "⚠️ 薄弱环节: "&amp;INDEX($N$1:$O$1, MATCH(MIN(N281:O281), N281:O281, 0))&amp;CHAR(10)&amp;"📉 考察能力: "&amp;IFERROR(VLOOKUP(TRIM(D281)&amp;"_"&amp;TRIM(INDEX($N$1:$O$1, MATCH(MIN(N281:O281), N281:O281, 0))), 技能库!$A:$F, 5, 0),"建议查阅考纲")&amp;CHAR(10)&amp;"💡 提升建议: "&amp;IFERROR(VLOOKUP(TRIM(D281)&amp;"_"&amp;TRIM(INDEX($N$1:$O$1, MATCH(MIN(N281:O281), N281:O281, 0))), 技能库!$A:$F, 6, 0),"请针对该题型加强练习"))</f>
        <v/>
      </c>
      <c r="AC281" s="5" t="str">
        <f>IF(W281="","", "⚠️ 薄弱环节: "&amp;INDEX($R$1:$V$1, MATCH(MIN(R281:V281), R281:V281, 0))&amp;CHAR(10)&amp;"📉 考察能力: "&amp;IFERROR(VLOOKUP(TRIM(D281)&amp;"_"&amp;TRIM(INDEX($R$1:$V$1, MATCH(MIN(R281:V281), R281:V281, 0))), 技能库!$A:$F, 5, 0),"建议查阅考纲")&amp;CHAR(10)&amp;"💡 提升建议: "&amp;IFERROR(VLOOKUP(TRIM(D281)&amp;"_"&amp;TRIM(INDEX($R$1:$V$1, MATCH(MIN(R281:V281), R281:V281, 0))), 技能库!$A:$F, 6, 0),"请针对该题型加强练习"))</f>
        <v/>
      </c>
    </row>
    <row r="282" spans="12:29" ht="16" hidden="1" x14ac:dyDescent="0.2">
      <c r="L282" t="str">
        <f t="shared" si="16"/>
        <v/>
      </c>
      <c r="M282" t="str">
        <f>IF(L282="","", IFERROR(VLOOKUP(L282, IF(D282="KET", 换算标准!$M:$N, IF(D282="PET", 换算标准!$S:$T, 换算标准!$AC:$AD)), 2, TRUE), 0))</f>
        <v/>
      </c>
      <c r="P282" t="str">
        <f t="shared" si="17"/>
        <v/>
      </c>
      <c r="Q282" t="str">
        <f>IF(P282="","", IFERROR(VLOOKUP(P282, IF(D282="KET", 换算标准!$O:$P, IF(D282="PET", 换算标准!$U:$V, 换算标准!$AG:$AH)), 2, TRUE), 0))</f>
        <v/>
      </c>
      <c r="W282" t="str">
        <f t="shared" si="18"/>
        <v/>
      </c>
      <c r="X282" t="str">
        <f>IF(W282="","", IFERROR(VLOOKUP(W282, IF(D282="KET", 换算标准!$Q:$R, IF(D282="PET", 换算标准!$W:$X, 换算标准!$AI:$AJ)), 2, TRUE), 0))</f>
        <v/>
      </c>
      <c r="Y282" t="str">
        <f t="shared" si="19"/>
        <v/>
      </c>
      <c r="Z282" t="str">
        <f>IF(Y282="","", IFERROR(VLOOKUP(Y282, 换算标准!$Z:$AA, 1, TRUE), ""))</f>
        <v/>
      </c>
      <c r="AA282" s="5" t="str">
        <f>IF(L282="","", "⚠️ 薄弱环节: "&amp;INDEX($E$1:$K$1, MATCH(MIN(E282:K282), E282:K282, 0))&amp;CHAR(10)&amp;"📉 考察能力: "&amp;IFERROR(VLOOKUP(TRIM(D282)&amp;"_"&amp;TRIM(INDEX($E$1:$K$1, MATCH(MIN(E282:K282), E282:K282, 0))), 技能库!$A:$F, 5, 0),"建议查阅考纲")&amp;CHAR(10)&amp;"💡 提升建议: "&amp;IFERROR(VLOOKUP(TRIM(D282)&amp;"_"&amp;TRIM(INDEX($E$1:$K$1, MATCH(MIN(E282:K282), E282:K282, 0))), 技能库!$A:$F, 6, 0),"请针对该题型加强练习"))</f>
        <v/>
      </c>
      <c r="AB282" s="5" t="str">
        <f>IF(P282="","", "⚠️ 薄弱环节: "&amp;INDEX($N$1:$O$1, MATCH(MIN(N282:O282), N282:O282, 0))&amp;CHAR(10)&amp;"📉 考察能力: "&amp;IFERROR(VLOOKUP(TRIM(D282)&amp;"_"&amp;TRIM(INDEX($N$1:$O$1, MATCH(MIN(N282:O282), N282:O282, 0))), 技能库!$A:$F, 5, 0),"建议查阅考纲")&amp;CHAR(10)&amp;"💡 提升建议: "&amp;IFERROR(VLOOKUP(TRIM(D282)&amp;"_"&amp;TRIM(INDEX($N$1:$O$1, MATCH(MIN(N282:O282), N282:O282, 0))), 技能库!$A:$F, 6, 0),"请针对该题型加强练习"))</f>
        <v/>
      </c>
      <c r="AC282" s="5" t="str">
        <f>IF(W282="","", "⚠️ 薄弱环节: "&amp;INDEX($R$1:$V$1, MATCH(MIN(R282:V282), R282:V282, 0))&amp;CHAR(10)&amp;"📉 考察能力: "&amp;IFERROR(VLOOKUP(TRIM(D282)&amp;"_"&amp;TRIM(INDEX($R$1:$V$1, MATCH(MIN(R282:V282), R282:V282, 0))), 技能库!$A:$F, 5, 0),"建议查阅考纲")&amp;CHAR(10)&amp;"💡 提升建议: "&amp;IFERROR(VLOOKUP(TRIM(D282)&amp;"_"&amp;TRIM(INDEX($R$1:$V$1, MATCH(MIN(R282:V282), R282:V282, 0))), 技能库!$A:$F, 6, 0),"请针对该题型加强练习"))</f>
        <v/>
      </c>
    </row>
    <row r="283" spans="12:29" ht="16" hidden="1" x14ac:dyDescent="0.2">
      <c r="L283" t="str">
        <f t="shared" si="16"/>
        <v/>
      </c>
      <c r="M283" t="str">
        <f>IF(L283="","", IFERROR(VLOOKUP(L283, IF(D283="KET", 换算标准!$M:$N, IF(D283="PET", 换算标准!$S:$T, 换算标准!$AC:$AD)), 2, TRUE), 0))</f>
        <v/>
      </c>
      <c r="P283" t="str">
        <f t="shared" si="17"/>
        <v/>
      </c>
      <c r="Q283" t="str">
        <f>IF(P283="","", IFERROR(VLOOKUP(P283, IF(D283="KET", 换算标准!$O:$P, IF(D283="PET", 换算标准!$U:$V, 换算标准!$AG:$AH)), 2, TRUE), 0))</f>
        <v/>
      </c>
      <c r="W283" t="str">
        <f t="shared" si="18"/>
        <v/>
      </c>
      <c r="X283" t="str">
        <f>IF(W283="","", IFERROR(VLOOKUP(W283, IF(D283="KET", 换算标准!$Q:$R, IF(D283="PET", 换算标准!$W:$X, 换算标准!$AI:$AJ)), 2, TRUE), 0))</f>
        <v/>
      </c>
      <c r="Y283" t="str">
        <f t="shared" si="19"/>
        <v/>
      </c>
      <c r="Z283" t="str">
        <f>IF(Y283="","", IFERROR(VLOOKUP(Y283, 换算标准!$Z:$AA, 1, TRUE), ""))</f>
        <v/>
      </c>
      <c r="AA283" s="5" t="str">
        <f>IF(L283="","", "⚠️ 薄弱环节: "&amp;INDEX($E$1:$K$1, MATCH(MIN(E283:K283), E283:K283, 0))&amp;CHAR(10)&amp;"📉 考察能力: "&amp;IFERROR(VLOOKUP(TRIM(D283)&amp;"_"&amp;TRIM(INDEX($E$1:$K$1, MATCH(MIN(E283:K283), E283:K283, 0))), 技能库!$A:$F, 5, 0),"建议查阅考纲")&amp;CHAR(10)&amp;"💡 提升建议: "&amp;IFERROR(VLOOKUP(TRIM(D283)&amp;"_"&amp;TRIM(INDEX($E$1:$K$1, MATCH(MIN(E283:K283), E283:K283, 0))), 技能库!$A:$F, 6, 0),"请针对该题型加强练习"))</f>
        <v/>
      </c>
      <c r="AB283" s="5" t="str">
        <f>IF(P283="","", "⚠️ 薄弱环节: "&amp;INDEX($N$1:$O$1, MATCH(MIN(N283:O283), N283:O283, 0))&amp;CHAR(10)&amp;"📉 考察能力: "&amp;IFERROR(VLOOKUP(TRIM(D283)&amp;"_"&amp;TRIM(INDEX($N$1:$O$1, MATCH(MIN(N283:O283), N283:O283, 0))), 技能库!$A:$F, 5, 0),"建议查阅考纲")&amp;CHAR(10)&amp;"💡 提升建议: "&amp;IFERROR(VLOOKUP(TRIM(D283)&amp;"_"&amp;TRIM(INDEX($N$1:$O$1, MATCH(MIN(N283:O283), N283:O283, 0))), 技能库!$A:$F, 6, 0),"请针对该题型加强练习"))</f>
        <v/>
      </c>
      <c r="AC283" s="5" t="str">
        <f>IF(W283="","", "⚠️ 薄弱环节: "&amp;INDEX($R$1:$V$1, MATCH(MIN(R283:V283), R283:V283, 0))&amp;CHAR(10)&amp;"📉 考察能力: "&amp;IFERROR(VLOOKUP(TRIM(D283)&amp;"_"&amp;TRIM(INDEX($R$1:$V$1, MATCH(MIN(R283:V283), R283:V283, 0))), 技能库!$A:$F, 5, 0),"建议查阅考纲")&amp;CHAR(10)&amp;"💡 提升建议: "&amp;IFERROR(VLOOKUP(TRIM(D283)&amp;"_"&amp;TRIM(INDEX($R$1:$V$1, MATCH(MIN(R283:V283), R283:V283, 0))), 技能库!$A:$F, 6, 0),"请针对该题型加强练习"))</f>
        <v/>
      </c>
    </row>
    <row r="284" spans="12:29" ht="16" hidden="1" x14ac:dyDescent="0.2">
      <c r="L284" t="str">
        <f t="shared" si="16"/>
        <v/>
      </c>
      <c r="M284" t="str">
        <f>IF(L284="","", IFERROR(VLOOKUP(L284, IF(D284="KET", 换算标准!$M:$N, IF(D284="PET", 换算标准!$S:$T, 换算标准!$AC:$AD)), 2, TRUE), 0))</f>
        <v/>
      </c>
      <c r="P284" t="str">
        <f t="shared" si="17"/>
        <v/>
      </c>
      <c r="Q284" t="str">
        <f>IF(P284="","", IFERROR(VLOOKUP(P284, IF(D284="KET", 换算标准!$O:$P, IF(D284="PET", 换算标准!$U:$V, 换算标准!$AG:$AH)), 2, TRUE), 0))</f>
        <v/>
      </c>
      <c r="W284" t="str">
        <f t="shared" si="18"/>
        <v/>
      </c>
      <c r="X284" t="str">
        <f>IF(W284="","", IFERROR(VLOOKUP(W284, IF(D284="KET", 换算标准!$Q:$R, IF(D284="PET", 换算标准!$W:$X, 换算标准!$AI:$AJ)), 2, TRUE), 0))</f>
        <v/>
      </c>
      <c r="Y284" t="str">
        <f t="shared" si="19"/>
        <v/>
      </c>
      <c r="Z284" t="str">
        <f>IF(Y284="","", IFERROR(VLOOKUP(Y284, 换算标准!$Z:$AA, 1, TRUE), ""))</f>
        <v/>
      </c>
      <c r="AA284" s="5" t="str">
        <f>IF(L284="","", "⚠️ 薄弱环节: "&amp;INDEX($E$1:$K$1, MATCH(MIN(E284:K284), E284:K284, 0))&amp;CHAR(10)&amp;"📉 考察能力: "&amp;IFERROR(VLOOKUP(TRIM(D284)&amp;"_"&amp;TRIM(INDEX($E$1:$K$1, MATCH(MIN(E284:K284), E284:K284, 0))), 技能库!$A:$F, 5, 0),"建议查阅考纲")&amp;CHAR(10)&amp;"💡 提升建议: "&amp;IFERROR(VLOOKUP(TRIM(D284)&amp;"_"&amp;TRIM(INDEX($E$1:$K$1, MATCH(MIN(E284:K284), E284:K284, 0))), 技能库!$A:$F, 6, 0),"请针对该题型加强练习"))</f>
        <v/>
      </c>
      <c r="AB284" s="5" t="str">
        <f>IF(P284="","", "⚠️ 薄弱环节: "&amp;INDEX($N$1:$O$1, MATCH(MIN(N284:O284), N284:O284, 0))&amp;CHAR(10)&amp;"📉 考察能力: "&amp;IFERROR(VLOOKUP(TRIM(D284)&amp;"_"&amp;TRIM(INDEX($N$1:$O$1, MATCH(MIN(N284:O284), N284:O284, 0))), 技能库!$A:$F, 5, 0),"建议查阅考纲")&amp;CHAR(10)&amp;"💡 提升建议: "&amp;IFERROR(VLOOKUP(TRIM(D284)&amp;"_"&amp;TRIM(INDEX($N$1:$O$1, MATCH(MIN(N284:O284), N284:O284, 0))), 技能库!$A:$F, 6, 0),"请针对该题型加强练习"))</f>
        <v/>
      </c>
      <c r="AC284" s="5" t="str">
        <f>IF(W284="","", "⚠️ 薄弱环节: "&amp;INDEX($R$1:$V$1, MATCH(MIN(R284:V284), R284:V284, 0))&amp;CHAR(10)&amp;"📉 考察能力: "&amp;IFERROR(VLOOKUP(TRIM(D284)&amp;"_"&amp;TRIM(INDEX($R$1:$V$1, MATCH(MIN(R284:V284), R284:V284, 0))), 技能库!$A:$F, 5, 0),"建议查阅考纲")&amp;CHAR(10)&amp;"💡 提升建议: "&amp;IFERROR(VLOOKUP(TRIM(D284)&amp;"_"&amp;TRIM(INDEX($R$1:$V$1, MATCH(MIN(R284:V284), R284:V284, 0))), 技能库!$A:$F, 6, 0),"请针对该题型加强练习"))</f>
        <v/>
      </c>
    </row>
    <row r="285" spans="12:29" ht="16" hidden="1" x14ac:dyDescent="0.2">
      <c r="L285" t="str">
        <f t="shared" si="16"/>
        <v/>
      </c>
      <c r="M285" t="str">
        <f>IF(L285="","", IFERROR(VLOOKUP(L285, IF(D285="KET", 换算标准!$M:$N, IF(D285="PET", 换算标准!$S:$T, 换算标准!$AC:$AD)), 2, TRUE), 0))</f>
        <v/>
      </c>
      <c r="P285" t="str">
        <f t="shared" si="17"/>
        <v/>
      </c>
      <c r="Q285" t="str">
        <f>IF(P285="","", IFERROR(VLOOKUP(P285, IF(D285="KET", 换算标准!$O:$P, IF(D285="PET", 换算标准!$U:$V, 换算标准!$AG:$AH)), 2, TRUE), 0))</f>
        <v/>
      </c>
      <c r="W285" t="str">
        <f t="shared" si="18"/>
        <v/>
      </c>
      <c r="X285" t="str">
        <f>IF(W285="","", IFERROR(VLOOKUP(W285, IF(D285="KET", 换算标准!$Q:$R, IF(D285="PET", 换算标准!$W:$X, 换算标准!$AI:$AJ)), 2, TRUE), 0))</f>
        <v/>
      </c>
      <c r="Y285" t="str">
        <f t="shared" si="19"/>
        <v/>
      </c>
      <c r="Z285" t="str">
        <f>IF(Y285="","", IFERROR(VLOOKUP(Y285, 换算标准!$Z:$AA, 1, TRUE), ""))</f>
        <v/>
      </c>
      <c r="AA285" s="5" t="str">
        <f>IF(L285="","", "⚠️ 薄弱环节: "&amp;INDEX($E$1:$K$1, MATCH(MIN(E285:K285), E285:K285, 0))&amp;CHAR(10)&amp;"📉 考察能力: "&amp;IFERROR(VLOOKUP(TRIM(D285)&amp;"_"&amp;TRIM(INDEX($E$1:$K$1, MATCH(MIN(E285:K285), E285:K285, 0))), 技能库!$A:$F, 5, 0),"建议查阅考纲")&amp;CHAR(10)&amp;"💡 提升建议: "&amp;IFERROR(VLOOKUP(TRIM(D285)&amp;"_"&amp;TRIM(INDEX($E$1:$K$1, MATCH(MIN(E285:K285), E285:K285, 0))), 技能库!$A:$F, 6, 0),"请针对该题型加强练习"))</f>
        <v/>
      </c>
      <c r="AB285" s="5" t="str">
        <f>IF(P285="","", "⚠️ 薄弱环节: "&amp;INDEX($N$1:$O$1, MATCH(MIN(N285:O285), N285:O285, 0))&amp;CHAR(10)&amp;"📉 考察能力: "&amp;IFERROR(VLOOKUP(TRIM(D285)&amp;"_"&amp;TRIM(INDEX($N$1:$O$1, MATCH(MIN(N285:O285), N285:O285, 0))), 技能库!$A:$F, 5, 0),"建议查阅考纲")&amp;CHAR(10)&amp;"💡 提升建议: "&amp;IFERROR(VLOOKUP(TRIM(D285)&amp;"_"&amp;TRIM(INDEX($N$1:$O$1, MATCH(MIN(N285:O285), N285:O285, 0))), 技能库!$A:$F, 6, 0),"请针对该题型加强练习"))</f>
        <v/>
      </c>
      <c r="AC285" s="5" t="str">
        <f>IF(W285="","", "⚠️ 薄弱环节: "&amp;INDEX($R$1:$V$1, MATCH(MIN(R285:V285), R285:V285, 0))&amp;CHAR(10)&amp;"📉 考察能力: "&amp;IFERROR(VLOOKUP(TRIM(D285)&amp;"_"&amp;TRIM(INDEX($R$1:$V$1, MATCH(MIN(R285:V285), R285:V285, 0))), 技能库!$A:$F, 5, 0),"建议查阅考纲")&amp;CHAR(10)&amp;"💡 提升建议: "&amp;IFERROR(VLOOKUP(TRIM(D285)&amp;"_"&amp;TRIM(INDEX($R$1:$V$1, MATCH(MIN(R285:V285), R285:V285, 0))), 技能库!$A:$F, 6, 0),"请针对该题型加强练习"))</f>
        <v/>
      </c>
    </row>
    <row r="286" spans="12:29" ht="16" hidden="1" x14ac:dyDescent="0.2">
      <c r="L286" t="str">
        <f t="shared" si="16"/>
        <v/>
      </c>
      <c r="M286" t="str">
        <f>IF(L286="","", IFERROR(VLOOKUP(L286, IF(D286="KET", 换算标准!$M:$N, IF(D286="PET", 换算标准!$S:$T, 换算标准!$AC:$AD)), 2, TRUE), 0))</f>
        <v/>
      </c>
      <c r="P286" t="str">
        <f t="shared" si="17"/>
        <v/>
      </c>
      <c r="Q286" t="str">
        <f>IF(P286="","", IFERROR(VLOOKUP(P286, IF(D286="KET", 换算标准!$O:$P, IF(D286="PET", 换算标准!$U:$V, 换算标准!$AG:$AH)), 2, TRUE), 0))</f>
        <v/>
      </c>
      <c r="W286" t="str">
        <f t="shared" si="18"/>
        <v/>
      </c>
      <c r="X286" t="str">
        <f>IF(W286="","", IFERROR(VLOOKUP(W286, IF(D286="KET", 换算标准!$Q:$R, IF(D286="PET", 换算标准!$W:$X, 换算标准!$AI:$AJ)), 2, TRUE), 0))</f>
        <v/>
      </c>
      <c r="Y286" t="str">
        <f t="shared" si="19"/>
        <v/>
      </c>
      <c r="Z286" t="str">
        <f>IF(Y286="","", IFERROR(VLOOKUP(Y286, 换算标准!$Z:$AA, 1, TRUE), ""))</f>
        <v/>
      </c>
      <c r="AA286" s="5" t="str">
        <f>IF(L286="","", "⚠️ 薄弱环节: "&amp;INDEX($E$1:$K$1, MATCH(MIN(E286:K286), E286:K286, 0))&amp;CHAR(10)&amp;"📉 考察能力: "&amp;IFERROR(VLOOKUP(TRIM(D286)&amp;"_"&amp;TRIM(INDEX($E$1:$K$1, MATCH(MIN(E286:K286), E286:K286, 0))), 技能库!$A:$F, 5, 0),"建议查阅考纲")&amp;CHAR(10)&amp;"💡 提升建议: "&amp;IFERROR(VLOOKUP(TRIM(D286)&amp;"_"&amp;TRIM(INDEX($E$1:$K$1, MATCH(MIN(E286:K286), E286:K286, 0))), 技能库!$A:$F, 6, 0),"请针对该题型加强练习"))</f>
        <v/>
      </c>
      <c r="AB286" s="5" t="str">
        <f>IF(P286="","", "⚠️ 薄弱环节: "&amp;INDEX($N$1:$O$1, MATCH(MIN(N286:O286), N286:O286, 0))&amp;CHAR(10)&amp;"📉 考察能力: "&amp;IFERROR(VLOOKUP(TRIM(D286)&amp;"_"&amp;TRIM(INDEX($N$1:$O$1, MATCH(MIN(N286:O286), N286:O286, 0))), 技能库!$A:$F, 5, 0),"建议查阅考纲")&amp;CHAR(10)&amp;"💡 提升建议: "&amp;IFERROR(VLOOKUP(TRIM(D286)&amp;"_"&amp;TRIM(INDEX($N$1:$O$1, MATCH(MIN(N286:O286), N286:O286, 0))), 技能库!$A:$F, 6, 0),"请针对该题型加强练习"))</f>
        <v/>
      </c>
      <c r="AC286" s="5" t="str">
        <f>IF(W286="","", "⚠️ 薄弱环节: "&amp;INDEX($R$1:$V$1, MATCH(MIN(R286:V286), R286:V286, 0))&amp;CHAR(10)&amp;"📉 考察能力: "&amp;IFERROR(VLOOKUP(TRIM(D286)&amp;"_"&amp;TRIM(INDEX($R$1:$V$1, MATCH(MIN(R286:V286), R286:V286, 0))), 技能库!$A:$F, 5, 0),"建议查阅考纲")&amp;CHAR(10)&amp;"💡 提升建议: "&amp;IFERROR(VLOOKUP(TRIM(D286)&amp;"_"&amp;TRIM(INDEX($R$1:$V$1, MATCH(MIN(R286:V286), R286:V286, 0))), 技能库!$A:$F, 6, 0),"请针对该题型加强练习"))</f>
        <v/>
      </c>
    </row>
    <row r="287" spans="12:29" ht="16" hidden="1" x14ac:dyDescent="0.2">
      <c r="L287" t="str">
        <f t="shared" si="16"/>
        <v/>
      </c>
      <c r="M287" t="str">
        <f>IF(L287="","", IFERROR(VLOOKUP(L287, IF(D287="KET", 换算标准!$M:$N, IF(D287="PET", 换算标准!$S:$T, 换算标准!$AC:$AD)), 2, TRUE), 0))</f>
        <v/>
      </c>
      <c r="P287" t="str">
        <f t="shared" si="17"/>
        <v/>
      </c>
      <c r="Q287" t="str">
        <f>IF(P287="","", IFERROR(VLOOKUP(P287, IF(D287="KET", 换算标准!$O:$P, IF(D287="PET", 换算标准!$U:$V, 换算标准!$AG:$AH)), 2, TRUE), 0))</f>
        <v/>
      </c>
      <c r="W287" t="str">
        <f t="shared" si="18"/>
        <v/>
      </c>
      <c r="X287" t="str">
        <f>IF(W287="","", IFERROR(VLOOKUP(W287, IF(D287="KET", 换算标准!$Q:$R, IF(D287="PET", 换算标准!$W:$X, 换算标准!$AI:$AJ)), 2, TRUE), 0))</f>
        <v/>
      </c>
      <c r="Y287" t="str">
        <f t="shared" si="19"/>
        <v/>
      </c>
      <c r="Z287" t="str">
        <f>IF(Y287="","", IFERROR(VLOOKUP(Y287, 换算标准!$Z:$AA, 1, TRUE), ""))</f>
        <v/>
      </c>
      <c r="AA287" s="5" t="str">
        <f>IF(L287="","", "⚠️ 薄弱环节: "&amp;INDEX($E$1:$K$1, MATCH(MIN(E287:K287), E287:K287, 0))&amp;CHAR(10)&amp;"📉 考察能力: "&amp;IFERROR(VLOOKUP(TRIM(D287)&amp;"_"&amp;TRIM(INDEX($E$1:$K$1, MATCH(MIN(E287:K287), E287:K287, 0))), 技能库!$A:$F, 5, 0),"建议查阅考纲")&amp;CHAR(10)&amp;"💡 提升建议: "&amp;IFERROR(VLOOKUP(TRIM(D287)&amp;"_"&amp;TRIM(INDEX($E$1:$K$1, MATCH(MIN(E287:K287), E287:K287, 0))), 技能库!$A:$F, 6, 0),"请针对该题型加强练习"))</f>
        <v/>
      </c>
      <c r="AB287" s="5" t="str">
        <f>IF(P287="","", "⚠️ 薄弱环节: "&amp;INDEX($N$1:$O$1, MATCH(MIN(N287:O287), N287:O287, 0))&amp;CHAR(10)&amp;"📉 考察能力: "&amp;IFERROR(VLOOKUP(TRIM(D287)&amp;"_"&amp;TRIM(INDEX($N$1:$O$1, MATCH(MIN(N287:O287), N287:O287, 0))), 技能库!$A:$F, 5, 0),"建议查阅考纲")&amp;CHAR(10)&amp;"💡 提升建议: "&amp;IFERROR(VLOOKUP(TRIM(D287)&amp;"_"&amp;TRIM(INDEX($N$1:$O$1, MATCH(MIN(N287:O287), N287:O287, 0))), 技能库!$A:$F, 6, 0),"请针对该题型加强练习"))</f>
        <v/>
      </c>
      <c r="AC287" s="5" t="str">
        <f>IF(W287="","", "⚠️ 薄弱环节: "&amp;INDEX($R$1:$V$1, MATCH(MIN(R287:V287), R287:V287, 0))&amp;CHAR(10)&amp;"📉 考察能力: "&amp;IFERROR(VLOOKUP(TRIM(D287)&amp;"_"&amp;TRIM(INDEX($R$1:$V$1, MATCH(MIN(R287:V287), R287:V287, 0))), 技能库!$A:$F, 5, 0),"建议查阅考纲")&amp;CHAR(10)&amp;"💡 提升建议: "&amp;IFERROR(VLOOKUP(TRIM(D287)&amp;"_"&amp;TRIM(INDEX($R$1:$V$1, MATCH(MIN(R287:V287), R287:V287, 0))), 技能库!$A:$F, 6, 0),"请针对该题型加强练习"))</f>
        <v/>
      </c>
    </row>
    <row r="288" spans="12:29" ht="16" hidden="1" x14ac:dyDescent="0.2">
      <c r="L288" t="str">
        <f t="shared" si="16"/>
        <v/>
      </c>
      <c r="M288" t="str">
        <f>IF(L288="","", IFERROR(VLOOKUP(L288, IF(D288="KET", 换算标准!$M:$N, IF(D288="PET", 换算标准!$S:$T, 换算标准!$AC:$AD)), 2, TRUE), 0))</f>
        <v/>
      </c>
      <c r="P288" t="str">
        <f t="shared" si="17"/>
        <v/>
      </c>
      <c r="Q288" t="str">
        <f>IF(P288="","", IFERROR(VLOOKUP(P288, IF(D288="KET", 换算标准!$O:$P, IF(D288="PET", 换算标准!$U:$V, 换算标准!$AG:$AH)), 2, TRUE), 0))</f>
        <v/>
      </c>
      <c r="W288" t="str">
        <f t="shared" si="18"/>
        <v/>
      </c>
      <c r="X288" t="str">
        <f>IF(W288="","", IFERROR(VLOOKUP(W288, IF(D288="KET", 换算标准!$Q:$R, IF(D288="PET", 换算标准!$W:$X, 换算标准!$AI:$AJ)), 2, TRUE), 0))</f>
        <v/>
      </c>
      <c r="Y288" t="str">
        <f t="shared" si="19"/>
        <v/>
      </c>
      <c r="Z288" t="str">
        <f>IF(Y288="","", IFERROR(VLOOKUP(Y288, 换算标准!$Z:$AA, 1, TRUE), ""))</f>
        <v/>
      </c>
      <c r="AA288" s="5" t="str">
        <f>IF(L288="","", "⚠️ 薄弱环节: "&amp;INDEX($E$1:$K$1, MATCH(MIN(E288:K288), E288:K288, 0))&amp;CHAR(10)&amp;"📉 考察能力: "&amp;IFERROR(VLOOKUP(TRIM(D288)&amp;"_"&amp;TRIM(INDEX($E$1:$K$1, MATCH(MIN(E288:K288), E288:K288, 0))), 技能库!$A:$F, 5, 0),"建议查阅考纲")&amp;CHAR(10)&amp;"💡 提升建议: "&amp;IFERROR(VLOOKUP(TRIM(D288)&amp;"_"&amp;TRIM(INDEX($E$1:$K$1, MATCH(MIN(E288:K288), E288:K288, 0))), 技能库!$A:$F, 6, 0),"请针对该题型加强练习"))</f>
        <v/>
      </c>
      <c r="AB288" s="5" t="str">
        <f>IF(P288="","", "⚠️ 薄弱环节: "&amp;INDEX($N$1:$O$1, MATCH(MIN(N288:O288), N288:O288, 0))&amp;CHAR(10)&amp;"📉 考察能力: "&amp;IFERROR(VLOOKUP(TRIM(D288)&amp;"_"&amp;TRIM(INDEX($N$1:$O$1, MATCH(MIN(N288:O288), N288:O288, 0))), 技能库!$A:$F, 5, 0),"建议查阅考纲")&amp;CHAR(10)&amp;"💡 提升建议: "&amp;IFERROR(VLOOKUP(TRIM(D288)&amp;"_"&amp;TRIM(INDEX($N$1:$O$1, MATCH(MIN(N288:O288), N288:O288, 0))), 技能库!$A:$F, 6, 0),"请针对该题型加强练习"))</f>
        <v/>
      </c>
      <c r="AC288" s="5" t="str">
        <f>IF(W288="","", "⚠️ 薄弱环节: "&amp;INDEX($R$1:$V$1, MATCH(MIN(R288:V288), R288:V288, 0))&amp;CHAR(10)&amp;"📉 考察能力: "&amp;IFERROR(VLOOKUP(TRIM(D288)&amp;"_"&amp;TRIM(INDEX($R$1:$V$1, MATCH(MIN(R288:V288), R288:V288, 0))), 技能库!$A:$F, 5, 0),"建议查阅考纲")&amp;CHAR(10)&amp;"💡 提升建议: "&amp;IFERROR(VLOOKUP(TRIM(D288)&amp;"_"&amp;TRIM(INDEX($R$1:$V$1, MATCH(MIN(R288:V288), R288:V288, 0))), 技能库!$A:$F, 6, 0),"请针对该题型加强练习"))</f>
        <v/>
      </c>
    </row>
    <row r="289" spans="12:29" ht="16" hidden="1" x14ac:dyDescent="0.2">
      <c r="L289" t="str">
        <f t="shared" si="16"/>
        <v/>
      </c>
      <c r="M289" t="str">
        <f>IF(L289="","", IFERROR(VLOOKUP(L289, IF(D289="KET", 换算标准!$M:$N, IF(D289="PET", 换算标准!$S:$T, 换算标准!$AC:$AD)), 2, TRUE), 0))</f>
        <v/>
      </c>
      <c r="P289" t="str">
        <f t="shared" si="17"/>
        <v/>
      </c>
      <c r="Q289" t="str">
        <f>IF(P289="","", IFERROR(VLOOKUP(P289, IF(D289="KET", 换算标准!$O:$P, IF(D289="PET", 换算标准!$U:$V, 换算标准!$AG:$AH)), 2, TRUE), 0))</f>
        <v/>
      </c>
      <c r="W289" t="str">
        <f t="shared" si="18"/>
        <v/>
      </c>
      <c r="X289" t="str">
        <f>IF(W289="","", IFERROR(VLOOKUP(W289, IF(D289="KET", 换算标准!$Q:$R, IF(D289="PET", 换算标准!$W:$X, 换算标准!$AI:$AJ)), 2, TRUE), 0))</f>
        <v/>
      </c>
      <c r="Y289" t="str">
        <f t="shared" si="19"/>
        <v/>
      </c>
      <c r="Z289" t="str">
        <f>IF(Y289="","", IFERROR(VLOOKUP(Y289, 换算标准!$Z:$AA, 1, TRUE), ""))</f>
        <v/>
      </c>
      <c r="AA289" s="5" t="str">
        <f>IF(L289="","", "⚠️ 薄弱环节: "&amp;INDEX($E$1:$K$1, MATCH(MIN(E289:K289), E289:K289, 0))&amp;CHAR(10)&amp;"📉 考察能力: "&amp;IFERROR(VLOOKUP(TRIM(D289)&amp;"_"&amp;TRIM(INDEX($E$1:$K$1, MATCH(MIN(E289:K289), E289:K289, 0))), 技能库!$A:$F, 5, 0),"建议查阅考纲")&amp;CHAR(10)&amp;"💡 提升建议: "&amp;IFERROR(VLOOKUP(TRIM(D289)&amp;"_"&amp;TRIM(INDEX($E$1:$K$1, MATCH(MIN(E289:K289), E289:K289, 0))), 技能库!$A:$F, 6, 0),"请针对该题型加强练习"))</f>
        <v/>
      </c>
      <c r="AB289" s="5" t="str">
        <f>IF(P289="","", "⚠️ 薄弱环节: "&amp;INDEX($N$1:$O$1, MATCH(MIN(N289:O289), N289:O289, 0))&amp;CHAR(10)&amp;"📉 考察能力: "&amp;IFERROR(VLOOKUP(TRIM(D289)&amp;"_"&amp;TRIM(INDEX($N$1:$O$1, MATCH(MIN(N289:O289), N289:O289, 0))), 技能库!$A:$F, 5, 0),"建议查阅考纲")&amp;CHAR(10)&amp;"💡 提升建议: "&amp;IFERROR(VLOOKUP(TRIM(D289)&amp;"_"&amp;TRIM(INDEX($N$1:$O$1, MATCH(MIN(N289:O289), N289:O289, 0))), 技能库!$A:$F, 6, 0),"请针对该题型加强练习"))</f>
        <v/>
      </c>
      <c r="AC289" s="5" t="str">
        <f>IF(W289="","", "⚠️ 薄弱环节: "&amp;INDEX($R$1:$V$1, MATCH(MIN(R289:V289), R289:V289, 0))&amp;CHAR(10)&amp;"📉 考察能力: "&amp;IFERROR(VLOOKUP(TRIM(D289)&amp;"_"&amp;TRIM(INDEX($R$1:$V$1, MATCH(MIN(R289:V289), R289:V289, 0))), 技能库!$A:$F, 5, 0),"建议查阅考纲")&amp;CHAR(10)&amp;"💡 提升建议: "&amp;IFERROR(VLOOKUP(TRIM(D289)&amp;"_"&amp;TRIM(INDEX($R$1:$V$1, MATCH(MIN(R289:V289), R289:V289, 0))), 技能库!$A:$F, 6, 0),"请针对该题型加强练习"))</f>
        <v/>
      </c>
    </row>
    <row r="290" spans="12:29" ht="16" hidden="1" x14ac:dyDescent="0.2">
      <c r="L290" t="str">
        <f t="shared" si="16"/>
        <v/>
      </c>
      <c r="M290" t="str">
        <f>IF(L290="","", IFERROR(VLOOKUP(L290, IF(D290="KET", 换算标准!$M:$N, IF(D290="PET", 换算标准!$S:$T, 换算标准!$AC:$AD)), 2, TRUE), 0))</f>
        <v/>
      </c>
      <c r="P290" t="str">
        <f t="shared" si="17"/>
        <v/>
      </c>
      <c r="Q290" t="str">
        <f>IF(P290="","", IFERROR(VLOOKUP(P290, IF(D290="KET", 换算标准!$O:$P, IF(D290="PET", 换算标准!$U:$V, 换算标准!$AG:$AH)), 2, TRUE), 0))</f>
        <v/>
      </c>
      <c r="W290" t="str">
        <f t="shared" si="18"/>
        <v/>
      </c>
      <c r="X290" t="str">
        <f>IF(W290="","", IFERROR(VLOOKUP(W290, IF(D290="KET", 换算标准!$Q:$R, IF(D290="PET", 换算标准!$W:$X, 换算标准!$AI:$AJ)), 2, TRUE), 0))</f>
        <v/>
      </c>
      <c r="Y290" t="str">
        <f t="shared" si="19"/>
        <v/>
      </c>
      <c r="Z290" t="str">
        <f>IF(Y290="","", IFERROR(VLOOKUP(Y290, 换算标准!$Z:$AA, 1, TRUE), ""))</f>
        <v/>
      </c>
      <c r="AA290" s="5" t="str">
        <f>IF(L290="","", "⚠️ 薄弱环节: "&amp;INDEX($E$1:$K$1, MATCH(MIN(E290:K290), E290:K290, 0))&amp;CHAR(10)&amp;"📉 考察能力: "&amp;IFERROR(VLOOKUP(TRIM(D290)&amp;"_"&amp;TRIM(INDEX($E$1:$K$1, MATCH(MIN(E290:K290), E290:K290, 0))), 技能库!$A:$F, 5, 0),"建议查阅考纲")&amp;CHAR(10)&amp;"💡 提升建议: "&amp;IFERROR(VLOOKUP(TRIM(D290)&amp;"_"&amp;TRIM(INDEX($E$1:$K$1, MATCH(MIN(E290:K290), E290:K290, 0))), 技能库!$A:$F, 6, 0),"请针对该题型加强练习"))</f>
        <v/>
      </c>
      <c r="AB290" s="5" t="str">
        <f>IF(P290="","", "⚠️ 薄弱环节: "&amp;INDEX($N$1:$O$1, MATCH(MIN(N290:O290), N290:O290, 0))&amp;CHAR(10)&amp;"📉 考察能力: "&amp;IFERROR(VLOOKUP(TRIM(D290)&amp;"_"&amp;TRIM(INDEX($N$1:$O$1, MATCH(MIN(N290:O290), N290:O290, 0))), 技能库!$A:$F, 5, 0),"建议查阅考纲")&amp;CHAR(10)&amp;"💡 提升建议: "&amp;IFERROR(VLOOKUP(TRIM(D290)&amp;"_"&amp;TRIM(INDEX($N$1:$O$1, MATCH(MIN(N290:O290), N290:O290, 0))), 技能库!$A:$F, 6, 0),"请针对该题型加强练习"))</f>
        <v/>
      </c>
      <c r="AC290" s="5" t="str">
        <f>IF(W290="","", "⚠️ 薄弱环节: "&amp;INDEX($R$1:$V$1, MATCH(MIN(R290:V290), R290:V290, 0))&amp;CHAR(10)&amp;"📉 考察能力: "&amp;IFERROR(VLOOKUP(TRIM(D290)&amp;"_"&amp;TRIM(INDEX($R$1:$V$1, MATCH(MIN(R290:V290), R290:V290, 0))), 技能库!$A:$F, 5, 0),"建议查阅考纲")&amp;CHAR(10)&amp;"💡 提升建议: "&amp;IFERROR(VLOOKUP(TRIM(D290)&amp;"_"&amp;TRIM(INDEX($R$1:$V$1, MATCH(MIN(R290:V290), R290:V290, 0))), 技能库!$A:$F, 6, 0),"请针对该题型加强练习"))</f>
        <v/>
      </c>
    </row>
    <row r="291" spans="12:29" ht="16" hidden="1" x14ac:dyDescent="0.2">
      <c r="L291" t="str">
        <f t="shared" si="16"/>
        <v/>
      </c>
      <c r="M291" t="str">
        <f>IF(L291="","", IFERROR(VLOOKUP(L291, IF(D291="KET", 换算标准!$M:$N, IF(D291="PET", 换算标准!$S:$T, 换算标准!$AC:$AD)), 2, TRUE), 0))</f>
        <v/>
      </c>
      <c r="P291" t="str">
        <f t="shared" si="17"/>
        <v/>
      </c>
      <c r="Q291" t="str">
        <f>IF(P291="","", IFERROR(VLOOKUP(P291, IF(D291="KET", 换算标准!$O:$P, IF(D291="PET", 换算标准!$U:$V, 换算标准!$AG:$AH)), 2, TRUE), 0))</f>
        <v/>
      </c>
      <c r="W291" t="str">
        <f t="shared" si="18"/>
        <v/>
      </c>
      <c r="X291" t="str">
        <f>IF(W291="","", IFERROR(VLOOKUP(W291, IF(D291="KET", 换算标准!$Q:$R, IF(D291="PET", 换算标准!$W:$X, 换算标准!$AI:$AJ)), 2, TRUE), 0))</f>
        <v/>
      </c>
      <c r="Y291" t="str">
        <f t="shared" si="19"/>
        <v/>
      </c>
      <c r="Z291" t="str">
        <f>IF(Y291="","", IFERROR(VLOOKUP(Y291, 换算标准!$Z:$AA, 1, TRUE), ""))</f>
        <v/>
      </c>
      <c r="AA291" s="5" t="str">
        <f>IF(L291="","", "⚠️ 薄弱环节: "&amp;INDEX($E$1:$K$1, MATCH(MIN(E291:K291), E291:K291, 0))&amp;CHAR(10)&amp;"📉 考察能力: "&amp;IFERROR(VLOOKUP(TRIM(D291)&amp;"_"&amp;TRIM(INDEX($E$1:$K$1, MATCH(MIN(E291:K291), E291:K291, 0))), 技能库!$A:$F, 5, 0),"建议查阅考纲")&amp;CHAR(10)&amp;"💡 提升建议: "&amp;IFERROR(VLOOKUP(TRIM(D291)&amp;"_"&amp;TRIM(INDEX($E$1:$K$1, MATCH(MIN(E291:K291), E291:K291, 0))), 技能库!$A:$F, 6, 0),"请针对该题型加强练习"))</f>
        <v/>
      </c>
      <c r="AB291" s="5" t="str">
        <f>IF(P291="","", "⚠️ 薄弱环节: "&amp;INDEX($N$1:$O$1, MATCH(MIN(N291:O291), N291:O291, 0))&amp;CHAR(10)&amp;"📉 考察能力: "&amp;IFERROR(VLOOKUP(TRIM(D291)&amp;"_"&amp;TRIM(INDEX($N$1:$O$1, MATCH(MIN(N291:O291), N291:O291, 0))), 技能库!$A:$F, 5, 0),"建议查阅考纲")&amp;CHAR(10)&amp;"💡 提升建议: "&amp;IFERROR(VLOOKUP(TRIM(D291)&amp;"_"&amp;TRIM(INDEX($N$1:$O$1, MATCH(MIN(N291:O291), N291:O291, 0))), 技能库!$A:$F, 6, 0),"请针对该题型加强练习"))</f>
        <v/>
      </c>
      <c r="AC291" s="5" t="str">
        <f>IF(W291="","", "⚠️ 薄弱环节: "&amp;INDEX($R$1:$V$1, MATCH(MIN(R291:V291), R291:V291, 0))&amp;CHAR(10)&amp;"📉 考察能力: "&amp;IFERROR(VLOOKUP(TRIM(D291)&amp;"_"&amp;TRIM(INDEX($R$1:$V$1, MATCH(MIN(R291:V291), R291:V291, 0))), 技能库!$A:$F, 5, 0),"建议查阅考纲")&amp;CHAR(10)&amp;"💡 提升建议: "&amp;IFERROR(VLOOKUP(TRIM(D291)&amp;"_"&amp;TRIM(INDEX($R$1:$V$1, MATCH(MIN(R291:V291), R291:V291, 0))), 技能库!$A:$F, 6, 0),"请针对该题型加强练习"))</f>
        <v/>
      </c>
    </row>
    <row r="292" spans="12:29" ht="16" hidden="1" x14ac:dyDescent="0.2">
      <c r="L292" t="str">
        <f t="shared" si="16"/>
        <v/>
      </c>
      <c r="M292" t="str">
        <f>IF(L292="","", IFERROR(VLOOKUP(L292, IF(D292="KET", 换算标准!$M:$N, IF(D292="PET", 换算标准!$S:$T, 换算标准!$AC:$AD)), 2, TRUE), 0))</f>
        <v/>
      </c>
      <c r="P292" t="str">
        <f t="shared" si="17"/>
        <v/>
      </c>
      <c r="Q292" t="str">
        <f>IF(P292="","", IFERROR(VLOOKUP(P292, IF(D292="KET", 换算标准!$O:$P, IF(D292="PET", 换算标准!$U:$V, 换算标准!$AG:$AH)), 2, TRUE), 0))</f>
        <v/>
      </c>
      <c r="W292" t="str">
        <f t="shared" si="18"/>
        <v/>
      </c>
      <c r="X292" t="str">
        <f>IF(W292="","", IFERROR(VLOOKUP(W292, IF(D292="KET", 换算标准!$Q:$R, IF(D292="PET", 换算标准!$W:$X, 换算标准!$AI:$AJ)), 2, TRUE), 0))</f>
        <v/>
      </c>
      <c r="Y292" t="str">
        <f t="shared" si="19"/>
        <v/>
      </c>
      <c r="Z292" t="str">
        <f>IF(Y292="","", IFERROR(VLOOKUP(Y292, 换算标准!$Z:$AA, 1, TRUE), ""))</f>
        <v/>
      </c>
      <c r="AA292" s="5" t="str">
        <f>IF(L292="","", "⚠️ 薄弱环节: "&amp;INDEX($E$1:$K$1, MATCH(MIN(E292:K292), E292:K292, 0))&amp;CHAR(10)&amp;"📉 考察能力: "&amp;IFERROR(VLOOKUP(TRIM(D292)&amp;"_"&amp;TRIM(INDEX($E$1:$K$1, MATCH(MIN(E292:K292), E292:K292, 0))), 技能库!$A:$F, 5, 0),"建议查阅考纲")&amp;CHAR(10)&amp;"💡 提升建议: "&amp;IFERROR(VLOOKUP(TRIM(D292)&amp;"_"&amp;TRIM(INDEX($E$1:$K$1, MATCH(MIN(E292:K292), E292:K292, 0))), 技能库!$A:$F, 6, 0),"请针对该题型加强练习"))</f>
        <v/>
      </c>
      <c r="AB292" s="5" t="str">
        <f>IF(P292="","", "⚠️ 薄弱环节: "&amp;INDEX($N$1:$O$1, MATCH(MIN(N292:O292), N292:O292, 0))&amp;CHAR(10)&amp;"📉 考察能力: "&amp;IFERROR(VLOOKUP(TRIM(D292)&amp;"_"&amp;TRIM(INDEX($N$1:$O$1, MATCH(MIN(N292:O292), N292:O292, 0))), 技能库!$A:$F, 5, 0),"建议查阅考纲")&amp;CHAR(10)&amp;"💡 提升建议: "&amp;IFERROR(VLOOKUP(TRIM(D292)&amp;"_"&amp;TRIM(INDEX($N$1:$O$1, MATCH(MIN(N292:O292), N292:O292, 0))), 技能库!$A:$F, 6, 0),"请针对该题型加强练习"))</f>
        <v/>
      </c>
      <c r="AC292" s="5" t="str">
        <f>IF(W292="","", "⚠️ 薄弱环节: "&amp;INDEX($R$1:$V$1, MATCH(MIN(R292:V292), R292:V292, 0))&amp;CHAR(10)&amp;"📉 考察能力: "&amp;IFERROR(VLOOKUP(TRIM(D292)&amp;"_"&amp;TRIM(INDEX($R$1:$V$1, MATCH(MIN(R292:V292), R292:V292, 0))), 技能库!$A:$F, 5, 0),"建议查阅考纲")&amp;CHAR(10)&amp;"💡 提升建议: "&amp;IFERROR(VLOOKUP(TRIM(D292)&amp;"_"&amp;TRIM(INDEX($R$1:$V$1, MATCH(MIN(R292:V292), R292:V292, 0))), 技能库!$A:$F, 6, 0),"请针对该题型加强练习"))</f>
        <v/>
      </c>
    </row>
    <row r="293" spans="12:29" ht="16" hidden="1" x14ac:dyDescent="0.2">
      <c r="L293" t="str">
        <f t="shared" si="16"/>
        <v/>
      </c>
      <c r="M293" t="str">
        <f>IF(L293="","", IFERROR(VLOOKUP(L293, IF(D293="KET", 换算标准!$M:$N, IF(D293="PET", 换算标准!$S:$T, 换算标准!$AC:$AD)), 2, TRUE), 0))</f>
        <v/>
      </c>
      <c r="P293" t="str">
        <f t="shared" si="17"/>
        <v/>
      </c>
      <c r="Q293" t="str">
        <f>IF(P293="","", IFERROR(VLOOKUP(P293, IF(D293="KET", 换算标准!$O:$P, IF(D293="PET", 换算标准!$U:$V, 换算标准!$AG:$AH)), 2, TRUE), 0))</f>
        <v/>
      </c>
      <c r="W293" t="str">
        <f t="shared" si="18"/>
        <v/>
      </c>
      <c r="X293" t="str">
        <f>IF(W293="","", IFERROR(VLOOKUP(W293, IF(D293="KET", 换算标准!$Q:$R, IF(D293="PET", 换算标准!$W:$X, 换算标准!$AI:$AJ)), 2, TRUE), 0))</f>
        <v/>
      </c>
      <c r="Y293" t="str">
        <f t="shared" si="19"/>
        <v/>
      </c>
      <c r="Z293" t="str">
        <f>IF(Y293="","", IFERROR(VLOOKUP(Y293, 换算标准!$Z:$AA, 1, TRUE), ""))</f>
        <v/>
      </c>
      <c r="AA293" s="5" t="str">
        <f>IF(L293="","", "⚠️ 薄弱环节: "&amp;INDEX($E$1:$K$1, MATCH(MIN(E293:K293), E293:K293, 0))&amp;CHAR(10)&amp;"📉 考察能力: "&amp;IFERROR(VLOOKUP(TRIM(D293)&amp;"_"&amp;TRIM(INDEX($E$1:$K$1, MATCH(MIN(E293:K293), E293:K293, 0))), 技能库!$A:$F, 5, 0),"建议查阅考纲")&amp;CHAR(10)&amp;"💡 提升建议: "&amp;IFERROR(VLOOKUP(TRIM(D293)&amp;"_"&amp;TRIM(INDEX($E$1:$K$1, MATCH(MIN(E293:K293), E293:K293, 0))), 技能库!$A:$F, 6, 0),"请针对该题型加强练习"))</f>
        <v/>
      </c>
      <c r="AB293" s="5" t="str">
        <f>IF(P293="","", "⚠️ 薄弱环节: "&amp;INDEX($N$1:$O$1, MATCH(MIN(N293:O293), N293:O293, 0))&amp;CHAR(10)&amp;"📉 考察能力: "&amp;IFERROR(VLOOKUP(TRIM(D293)&amp;"_"&amp;TRIM(INDEX($N$1:$O$1, MATCH(MIN(N293:O293), N293:O293, 0))), 技能库!$A:$F, 5, 0),"建议查阅考纲")&amp;CHAR(10)&amp;"💡 提升建议: "&amp;IFERROR(VLOOKUP(TRIM(D293)&amp;"_"&amp;TRIM(INDEX($N$1:$O$1, MATCH(MIN(N293:O293), N293:O293, 0))), 技能库!$A:$F, 6, 0),"请针对该题型加强练习"))</f>
        <v/>
      </c>
      <c r="AC293" s="5" t="str">
        <f>IF(W293="","", "⚠️ 薄弱环节: "&amp;INDEX($R$1:$V$1, MATCH(MIN(R293:V293), R293:V293, 0))&amp;CHAR(10)&amp;"📉 考察能力: "&amp;IFERROR(VLOOKUP(TRIM(D293)&amp;"_"&amp;TRIM(INDEX($R$1:$V$1, MATCH(MIN(R293:V293), R293:V293, 0))), 技能库!$A:$F, 5, 0),"建议查阅考纲")&amp;CHAR(10)&amp;"💡 提升建议: "&amp;IFERROR(VLOOKUP(TRIM(D293)&amp;"_"&amp;TRIM(INDEX($R$1:$V$1, MATCH(MIN(R293:V293), R293:V293, 0))), 技能库!$A:$F, 6, 0),"请针对该题型加强练习"))</f>
        <v/>
      </c>
    </row>
    <row r="294" spans="12:29" ht="16" hidden="1" x14ac:dyDescent="0.2">
      <c r="L294" t="str">
        <f t="shared" si="16"/>
        <v/>
      </c>
      <c r="M294" t="str">
        <f>IF(L294="","", IFERROR(VLOOKUP(L294, IF(D294="KET", 换算标准!$M:$N, IF(D294="PET", 换算标准!$S:$T, 换算标准!$AC:$AD)), 2, TRUE), 0))</f>
        <v/>
      </c>
      <c r="P294" t="str">
        <f t="shared" si="17"/>
        <v/>
      </c>
      <c r="Q294" t="str">
        <f>IF(P294="","", IFERROR(VLOOKUP(P294, IF(D294="KET", 换算标准!$O:$P, IF(D294="PET", 换算标准!$U:$V, 换算标准!$AG:$AH)), 2, TRUE), 0))</f>
        <v/>
      </c>
      <c r="W294" t="str">
        <f t="shared" si="18"/>
        <v/>
      </c>
      <c r="X294" t="str">
        <f>IF(W294="","", IFERROR(VLOOKUP(W294, IF(D294="KET", 换算标准!$Q:$R, IF(D294="PET", 换算标准!$W:$X, 换算标准!$AI:$AJ)), 2, TRUE), 0))</f>
        <v/>
      </c>
      <c r="Y294" t="str">
        <f t="shared" si="19"/>
        <v/>
      </c>
      <c r="Z294" t="str">
        <f>IF(Y294="","", IFERROR(VLOOKUP(Y294, 换算标准!$Z:$AA, 1, TRUE), ""))</f>
        <v/>
      </c>
      <c r="AA294" s="5" t="str">
        <f>IF(L294="","", "⚠️ 薄弱环节: "&amp;INDEX($E$1:$K$1, MATCH(MIN(E294:K294), E294:K294, 0))&amp;CHAR(10)&amp;"📉 考察能力: "&amp;IFERROR(VLOOKUP(TRIM(D294)&amp;"_"&amp;TRIM(INDEX($E$1:$K$1, MATCH(MIN(E294:K294), E294:K294, 0))), 技能库!$A:$F, 5, 0),"建议查阅考纲")&amp;CHAR(10)&amp;"💡 提升建议: "&amp;IFERROR(VLOOKUP(TRIM(D294)&amp;"_"&amp;TRIM(INDEX($E$1:$K$1, MATCH(MIN(E294:K294), E294:K294, 0))), 技能库!$A:$F, 6, 0),"请针对该题型加强练习"))</f>
        <v/>
      </c>
      <c r="AB294" s="5" t="str">
        <f>IF(P294="","", "⚠️ 薄弱环节: "&amp;INDEX($N$1:$O$1, MATCH(MIN(N294:O294), N294:O294, 0))&amp;CHAR(10)&amp;"📉 考察能力: "&amp;IFERROR(VLOOKUP(TRIM(D294)&amp;"_"&amp;TRIM(INDEX($N$1:$O$1, MATCH(MIN(N294:O294), N294:O294, 0))), 技能库!$A:$F, 5, 0),"建议查阅考纲")&amp;CHAR(10)&amp;"💡 提升建议: "&amp;IFERROR(VLOOKUP(TRIM(D294)&amp;"_"&amp;TRIM(INDEX($N$1:$O$1, MATCH(MIN(N294:O294), N294:O294, 0))), 技能库!$A:$F, 6, 0),"请针对该题型加强练习"))</f>
        <v/>
      </c>
      <c r="AC294" s="5" t="str">
        <f>IF(W294="","", "⚠️ 薄弱环节: "&amp;INDEX($R$1:$V$1, MATCH(MIN(R294:V294), R294:V294, 0))&amp;CHAR(10)&amp;"📉 考察能力: "&amp;IFERROR(VLOOKUP(TRIM(D294)&amp;"_"&amp;TRIM(INDEX($R$1:$V$1, MATCH(MIN(R294:V294), R294:V294, 0))), 技能库!$A:$F, 5, 0),"建议查阅考纲")&amp;CHAR(10)&amp;"💡 提升建议: "&amp;IFERROR(VLOOKUP(TRIM(D294)&amp;"_"&amp;TRIM(INDEX($R$1:$V$1, MATCH(MIN(R294:V294), R294:V294, 0))), 技能库!$A:$F, 6, 0),"请针对该题型加强练习"))</f>
        <v/>
      </c>
    </row>
    <row r="295" spans="12:29" ht="16" hidden="1" x14ac:dyDescent="0.2">
      <c r="L295" t="str">
        <f t="shared" si="16"/>
        <v/>
      </c>
      <c r="M295" t="str">
        <f>IF(L295="","", IFERROR(VLOOKUP(L295, IF(D295="KET", 换算标准!$M:$N, IF(D295="PET", 换算标准!$S:$T, 换算标准!$AC:$AD)), 2, TRUE), 0))</f>
        <v/>
      </c>
      <c r="P295" t="str">
        <f t="shared" si="17"/>
        <v/>
      </c>
      <c r="Q295" t="str">
        <f>IF(P295="","", IFERROR(VLOOKUP(P295, IF(D295="KET", 换算标准!$O:$P, IF(D295="PET", 换算标准!$U:$V, 换算标准!$AG:$AH)), 2, TRUE), 0))</f>
        <v/>
      </c>
      <c r="W295" t="str">
        <f t="shared" si="18"/>
        <v/>
      </c>
      <c r="X295" t="str">
        <f>IF(W295="","", IFERROR(VLOOKUP(W295, IF(D295="KET", 换算标准!$Q:$R, IF(D295="PET", 换算标准!$W:$X, 换算标准!$AI:$AJ)), 2, TRUE), 0))</f>
        <v/>
      </c>
      <c r="Y295" t="str">
        <f t="shared" si="19"/>
        <v/>
      </c>
      <c r="Z295" t="str">
        <f>IF(Y295="","", IFERROR(VLOOKUP(Y295, 换算标准!$Z:$AA, 1, TRUE), ""))</f>
        <v/>
      </c>
      <c r="AA295" s="5" t="str">
        <f>IF(L295="","", "⚠️ 薄弱环节: "&amp;INDEX($E$1:$K$1, MATCH(MIN(E295:K295), E295:K295, 0))&amp;CHAR(10)&amp;"📉 考察能力: "&amp;IFERROR(VLOOKUP(TRIM(D295)&amp;"_"&amp;TRIM(INDEX($E$1:$K$1, MATCH(MIN(E295:K295), E295:K295, 0))), 技能库!$A:$F, 5, 0),"建议查阅考纲")&amp;CHAR(10)&amp;"💡 提升建议: "&amp;IFERROR(VLOOKUP(TRIM(D295)&amp;"_"&amp;TRIM(INDEX($E$1:$K$1, MATCH(MIN(E295:K295), E295:K295, 0))), 技能库!$A:$F, 6, 0),"请针对该题型加强练习"))</f>
        <v/>
      </c>
      <c r="AB295" s="5" t="str">
        <f>IF(P295="","", "⚠️ 薄弱环节: "&amp;INDEX($N$1:$O$1, MATCH(MIN(N295:O295), N295:O295, 0))&amp;CHAR(10)&amp;"📉 考察能力: "&amp;IFERROR(VLOOKUP(TRIM(D295)&amp;"_"&amp;TRIM(INDEX($N$1:$O$1, MATCH(MIN(N295:O295), N295:O295, 0))), 技能库!$A:$F, 5, 0),"建议查阅考纲")&amp;CHAR(10)&amp;"💡 提升建议: "&amp;IFERROR(VLOOKUP(TRIM(D295)&amp;"_"&amp;TRIM(INDEX($N$1:$O$1, MATCH(MIN(N295:O295), N295:O295, 0))), 技能库!$A:$F, 6, 0),"请针对该题型加强练习"))</f>
        <v/>
      </c>
      <c r="AC295" s="5" t="str">
        <f>IF(W295="","", "⚠️ 薄弱环节: "&amp;INDEX($R$1:$V$1, MATCH(MIN(R295:V295), R295:V295, 0))&amp;CHAR(10)&amp;"📉 考察能力: "&amp;IFERROR(VLOOKUP(TRIM(D295)&amp;"_"&amp;TRIM(INDEX($R$1:$V$1, MATCH(MIN(R295:V295), R295:V295, 0))), 技能库!$A:$F, 5, 0),"建议查阅考纲")&amp;CHAR(10)&amp;"💡 提升建议: "&amp;IFERROR(VLOOKUP(TRIM(D295)&amp;"_"&amp;TRIM(INDEX($R$1:$V$1, MATCH(MIN(R295:V295), R295:V295, 0))), 技能库!$A:$F, 6, 0),"请针对该题型加强练习"))</f>
        <v/>
      </c>
    </row>
    <row r="296" spans="12:29" ht="16" hidden="1" x14ac:dyDescent="0.2">
      <c r="L296" t="str">
        <f t="shared" si="16"/>
        <v/>
      </c>
      <c r="M296" t="str">
        <f>IF(L296="","", IFERROR(VLOOKUP(L296, IF(D296="KET", 换算标准!$M:$N, IF(D296="PET", 换算标准!$S:$T, 换算标准!$AC:$AD)), 2, TRUE), 0))</f>
        <v/>
      </c>
      <c r="P296" t="str">
        <f t="shared" si="17"/>
        <v/>
      </c>
      <c r="Q296" t="str">
        <f>IF(P296="","", IFERROR(VLOOKUP(P296, IF(D296="KET", 换算标准!$O:$P, IF(D296="PET", 换算标准!$U:$V, 换算标准!$AG:$AH)), 2, TRUE), 0))</f>
        <v/>
      </c>
      <c r="W296" t="str">
        <f t="shared" si="18"/>
        <v/>
      </c>
      <c r="X296" t="str">
        <f>IF(W296="","", IFERROR(VLOOKUP(W296, IF(D296="KET", 换算标准!$Q:$R, IF(D296="PET", 换算标准!$W:$X, 换算标准!$AI:$AJ)), 2, TRUE), 0))</f>
        <v/>
      </c>
      <c r="Y296" t="str">
        <f t="shared" si="19"/>
        <v/>
      </c>
      <c r="Z296" t="str">
        <f>IF(Y296="","", IFERROR(VLOOKUP(Y296, 换算标准!$Z:$AA, 1, TRUE), ""))</f>
        <v/>
      </c>
      <c r="AA296" s="5" t="str">
        <f>IF(L296="","", "⚠️ 薄弱环节: "&amp;INDEX($E$1:$K$1, MATCH(MIN(E296:K296), E296:K296, 0))&amp;CHAR(10)&amp;"📉 考察能力: "&amp;IFERROR(VLOOKUP(TRIM(D296)&amp;"_"&amp;TRIM(INDEX($E$1:$K$1, MATCH(MIN(E296:K296), E296:K296, 0))), 技能库!$A:$F, 5, 0),"建议查阅考纲")&amp;CHAR(10)&amp;"💡 提升建议: "&amp;IFERROR(VLOOKUP(TRIM(D296)&amp;"_"&amp;TRIM(INDEX($E$1:$K$1, MATCH(MIN(E296:K296), E296:K296, 0))), 技能库!$A:$F, 6, 0),"请针对该题型加强练习"))</f>
        <v/>
      </c>
      <c r="AB296" s="5" t="str">
        <f>IF(P296="","", "⚠️ 薄弱环节: "&amp;INDEX($N$1:$O$1, MATCH(MIN(N296:O296), N296:O296, 0))&amp;CHAR(10)&amp;"📉 考察能力: "&amp;IFERROR(VLOOKUP(TRIM(D296)&amp;"_"&amp;TRIM(INDEX($N$1:$O$1, MATCH(MIN(N296:O296), N296:O296, 0))), 技能库!$A:$F, 5, 0),"建议查阅考纲")&amp;CHAR(10)&amp;"💡 提升建议: "&amp;IFERROR(VLOOKUP(TRIM(D296)&amp;"_"&amp;TRIM(INDEX($N$1:$O$1, MATCH(MIN(N296:O296), N296:O296, 0))), 技能库!$A:$F, 6, 0),"请针对该题型加强练习"))</f>
        <v/>
      </c>
      <c r="AC296" s="5" t="str">
        <f>IF(W296="","", "⚠️ 薄弱环节: "&amp;INDEX($R$1:$V$1, MATCH(MIN(R296:V296), R296:V296, 0))&amp;CHAR(10)&amp;"📉 考察能力: "&amp;IFERROR(VLOOKUP(TRIM(D296)&amp;"_"&amp;TRIM(INDEX($R$1:$V$1, MATCH(MIN(R296:V296), R296:V296, 0))), 技能库!$A:$F, 5, 0),"建议查阅考纲")&amp;CHAR(10)&amp;"💡 提升建议: "&amp;IFERROR(VLOOKUP(TRIM(D296)&amp;"_"&amp;TRIM(INDEX($R$1:$V$1, MATCH(MIN(R296:V296), R296:V296, 0))), 技能库!$A:$F, 6, 0),"请针对该题型加强练习"))</f>
        <v/>
      </c>
    </row>
    <row r="297" spans="12:29" ht="16" hidden="1" x14ac:dyDescent="0.2">
      <c r="L297" t="str">
        <f t="shared" si="16"/>
        <v/>
      </c>
      <c r="M297" t="str">
        <f>IF(L297="","", IFERROR(VLOOKUP(L297, IF(D297="KET", 换算标准!$M:$N, IF(D297="PET", 换算标准!$S:$T, 换算标准!$AC:$AD)), 2, TRUE), 0))</f>
        <v/>
      </c>
      <c r="P297" t="str">
        <f t="shared" si="17"/>
        <v/>
      </c>
      <c r="Q297" t="str">
        <f>IF(P297="","", IFERROR(VLOOKUP(P297, IF(D297="KET", 换算标准!$O:$P, IF(D297="PET", 换算标准!$U:$V, 换算标准!$AG:$AH)), 2, TRUE), 0))</f>
        <v/>
      </c>
      <c r="W297" t="str">
        <f t="shared" si="18"/>
        <v/>
      </c>
      <c r="X297" t="str">
        <f>IF(W297="","", IFERROR(VLOOKUP(W297, IF(D297="KET", 换算标准!$Q:$R, IF(D297="PET", 换算标准!$W:$X, 换算标准!$AI:$AJ)), 2, TRUE), 0))</f>
        <v/>
      </c>
      <c r="Y297" t="str">
        <f t="shared" si="19"/>
        <v/>
      </c>
      <c r="Z297" t="str">
        <f>IF(Y297="","", IFERROR(VLOOKUP(Y297, 换算标准!$Z:$AA, 1, TRUE), ""))</f>
        <v/>
      </c>
      <c r="AA297" s="5" t="str">
        <f>IF(L297="","", "⚠️ 薄弱环节: "&amp;INDEX($E$1:$K$1, MATCH(MIN(E297:K297), E297:K297, 0))&amp;CHAR(10)&amp;"📉 考察能力: "&amp;IFERROR(VLOOKUP(TRIM(D297)&amp;"_"&amp;TRIM(INDEX($E$1:$K$1, MATCH(MIN(E297:K297), E297:K297, 0))), 技能库!$A:$F, 5, 0),"建议查阅考纲")&amp;CHAR(10)&amp;"💡 提升建议: "&amp;IFERROR(VLOOKUP(TRIM(D297)&amp;"_"&amp;TRIM(INDEX($E$1:$K$1, MATCH(MIN(E297:K297), E297:K297, 0))), 技能库!$A:$F, 6, 0),"请针对该题型加强练习"))</f>
        <v/>
      </c>
      <c r="AB297" s="5" t="str">
        <f>IF(P297="","", "⚠️ 薄弱环节: "&amp;INDEX($N$1:$O$1, MATCH(MIN(N297:O297), N297:O297, 0))&amp;CHAR(10)&amp;"📉 考察能力: "&amp;IFERROR(VLOOKUP(TRIM(D297)&amp;"_"&amp;TRIM(INDEX($N$1:$O$1, MATCH(MIN(N297:O297), N297:O297, 0))), 技能库!$A:$F, 5, 0),"建议查阅考纲")&amp;CHAR(10)&amp;"💡 提升建议: "&amp;IFERROR(VLOOKUP(TRIM(D297)&amp;"_"&amp;TRIM(INDEX($N$1:$O$1, MATCH(MIN(N297:O297), N297:O297, 0))), 技能库!$A:$F, 6, 0),"请针对该题型加强练习"))</f>
        <v/>
      </c>
      <c r="AC297" s="5" t="str">
        <f>IF(W297="","", "⚠️ 薄弱环节: "&amp;INDEX($R$1:$V$1, MATCH(MIN(R297:V297), R297:V297, 0))&amp;CHAR(10)&amp;"📉 考察能力: "&amp;IFERROR(VLOOKUP(TRIM(D297)&amp;"_"&amp;TRIM(INDEX($R$1:$V$1, MATCH(MIN(R297:V297), R297:V297, 0))), 技能库!$A:$F, 5, 0),"建议查阅考纲")&amp;CHAR(10)&amp;"💡 提升建议: "&amp;IFERROR(VLOOKUP(TRIM(D297)&amp;"_"&amp;TRIM(INDEX($R$1:$V$1, MATCH(MIN(R297:V297), R297:V297, 0))), 技能库!$A:$F, 6, 0),"请针对该题型加强练习"))</f>
        <v/>
      </c>
    </row>
    <row r="298" spans="12:29" ht="16" hidden="1" x14ac:dyDescent="0.2">
      <c r="L298" t="str">
        <f t="shared" si="16"/>
        <v/>
      </c>
      <c r="M298" t="str">
        <f>IF(L298="","", IFERROR(VLOOKUP(L298, IF(D298="KET", 换算标准!$M:$N, IF(D298="PET", 换算标准!$S:$T, 换算标准!$AC:$AD)), 2, TRUE), 0))</f>
        <v/>
      </c>
      <c r="P298" t="str">
        <f t="shared" si="17"/>
        <v/>
      </c>
      <c r="Q298" t="str">
        <f>IF(P298="","", IFERROR(VLOOKUP(P298, IF(D298="KET", 换算标准!$O:$P, IF(D298="PET", 换算标准!$U:$V, 换算标准!$AG:$AH)), 2, TRUE), 0))</f>
        <v/>
      </c>
      <c r="W298" t="str">
        <f t="shared" si="18"/>
        <v/>
      </c>
      <c r="X298" t="str">
        <f>IF(W298="","", IFERROR(VLOOKUP(W298, IF(D298="KET", 换算标准!$Q:$R, IF(D298="PET", 换算标准!$W:$X, 换算标准!$AI:$AJ)), 2, TRUE), 0))</f>
        <v/>
      </c>
      <c r="Y298" t="str">
        <f t="shared" si="19"/>
        <v/>
      </c>
      <c r="Z298" t="str">
        <f>IF(Y298="","", IFERROR(VLOOKUP(Y298, 换算标准!$Z:$AA, 1, TRUE), ""))</f>
        <v/>
      </c>
      <c r="AA298" s="5" t="str">
        <f>IF(L298="","", "⚠️ 薄弱环节: "&amp;INDEX($E$1:$K$1, MATCH(MIN(E298:K298), E298:K298, 0))&amp;CHAR(10)&amp;"📉 考察能力: "&amp;IFERROR(VLOOKUP(TRIM(D298)&amp;"_"&amp;TRIM(INDEX($E$1:$K$1, MATCH(MIN(E298:K298), E298:K298, 0))), 技能库!$A:$F, 5, 0),"建议查阅考纲")&amp;CHAR(10)&amp;"💡 提升建议: "&amp;IFERROR(VLOOKUP(TRIM(D298)&amp;"_"&amp;TRIM(INDEX($E$1:$K$1, MATCH(MIN(E298:K298), E298:K298, 0))), 技能库!$A:$F, 6, 0),"请针对该题型加强练习"))</f>
        <v/>
      </c>
      <c r="AB298" s="5" t="str">
        <f>IF(P298="","", "⚠️ 薄弱环节: "&amp;INDEX($N$1:$O$1, MATCH(MIN(N298:O298), N298:O298, 0))&amp;CHAR(10)&amp;"📉 考察能力: "&amp;IFERROR(VLOOKUP(TRIM(D298)&amp;"_"&amp;TRIM(INDEX($N$1:$O$1, MATCH(MIN(N298:O298), N298:O298, 0))), 技能库!$A:$F, 5, 0),"建议查阅考纲")&amp;CHAR(10)&amp;"💡 提升建议: "&amp;IFERROR(VLOOKUP(TRIM(D298)&amp;"_"&amp;TRIM(INDEX($N$1:$O$1, MATCH(MIN(N298:O298), N298:O298, 0))), 技能库!$A:$F, 6, 0),"请针对该题型加强练习"))</f>
        <v/>
      </c>
      <c r="AC298" s="5" t="str">
        <f>IF(W298="","", "⚠️ 薄弱环节: "&amp;INDEX($R$1:$V$1, MATCH(MIN(R298:V298), R298:V298, 0))&amp;CHAR(10)&amp;"📉 考察能力: "&amp;IFERROR(VLOOKUP(TRIM(D298)&amp;"_"&amp;TRIM(INDEX($R$1:$V$1, MATCH(MIN(R298:V298), R298:V298, 0))), 技能库!$A:$F, 5, 0),"建议查阅考纲")&amp;CHAR(10)&amp;"💡 提升建议: "&amp;IFERROR(VLOOKUP(TRIM(D298)&amp;"_"&amp;TRIM(INDEX($R$1:$V$1, MATCH(MIN(R298:V298), R298:V298, 0))), 技能库!$A:$F, 6, 0),"请针对该题型加强练习"))</f>
        <v/>
      </c>
    </row>
    <row r="299" spans="12:29" ht="16" hidden="1" x14ac:dyDescent="0.2">
      <c r="L299" t="str">
        <f t="shared" si="16"/>
        <v/>
      </c>
      <c r="M299" t="str">
        <f>IF(L299="","", IFERROR(VLOOKUP(L299, IF(D299="KET", 换算标准!$M:$N, IF(D299="PET", 换算标准!$S:$T, 换算标准!$AC:$AD)), 2, TRUE), 0))</f>
        <v/>
      </c>
      <c r="P299" t="str">
        <f t="shared" si="17"/>
        <v/>
      </c>
      <c r="Q299" t="str">
        <f>IF(P299="","", IFERROR(VLOOKUP(P299, IF(D299="KET", 换算标准!$O:$P, IF(D299="PET", 换算标准!$U:$V, 换算标准!$AG:$AH)), 2, TRUE), 0))</f>
        <v/>
      </c>
      <c r="W299" t="str">
        <f t="shared" si="18"/>
        <v/>
      </c>
      <c r="X299" t="str">
        <f>IF(W299="","", IFERROR(VLOOKUP(W299, IF(D299="KET", 换算标准!$Q:$R, IF(D299="PET", 换算标准!$W:$X, 换算标准!$AI:$AJ)), 2, TRUE), 0))</f>
        <v/>
      </c>
      <c r="Y299" t="str">
        <f t="shared" si="19"/>
        <v/>
      </c>
      <c r="Z299" t="str">
        <f>IF(Y299="","", IFERROR(VLOOKUP(Y299, 换算标准!$Z:$AA, 1, TRUE), ""))</f>
        <v/>
      </c>
      <c r="AA299" s="5" t="str">
        <f>IF(L299="","", "⚠️ 薄弱环节: "&amp;INDEX($E$1:$K$1, MATCH(MIN(E299:K299), E299:K299, 0))&amp;CHAR(10)&amp;"📉 考察能力: "&amp;IFERROR(VLOOKUP(TRIM(D299)&amp;"_"&amp;TRIM(INDEX($E$1:$K$1, MATCH(MIN(E299:K299), E299:K299, 0))), 技能库!$A:$F, 5, 0),"建议查阅考纲")&amp;CHAR(10)&amp;"💡 提升建议: "&amp;IFERROR(VLOOKUP(TRIM(D299)&amp;"_"&amp;TRIM(INDEX($E$1:$K$1, MATCH(MIN(E299:K299), E299:K299, 0))), 技能库!$A:$F, 6, 0),"请针对该题型加强练习"))</f>
        <v/>
      </c>
      <c r="AB299" s="5" t="str">
        <f>IF(P299="","", "⚠️ 薄弱环节: "&amp;INDEX($N$1:$O$1, MATCH(MIN(N299:O299), N299:O299, 0))&amp;CHAR(10)&amp;"📉 考察能力: "&amp;IFERROR(VLOOKUP(TRIM(D299)&amp;"_"&amp;TRIM(INDEX($N$1:$O$1, MATCH(MIN(N299:O299), N299:O299, 0))), 技能库!$A:$F, 5, 0),"建议查阅考纲")&amp;CHAR(10)&amp;"💡 提升建议: "&amp;IFERROR(VLOOKUP(TRIM(D299)&amp;"_"&amp;TRIM(INDEX($N$1:$O$1, MATCH(MIN(N299:O299), N299:O299, 0))), 技能库!$A:$F, 6, 0),"请针对该题型加强练习"))</f>
        <v/>
      </c>
      <c r="AC299" s="5" t="str">
        <f>IF(W299="","", "⚠️ 薄弱环节: "&amp;INDEX($R$1:$V$1, MATCH(MIN(R299:V299), R299:V299, 0))&amp;CHAR(10)&amp;"📉 考察能力: "&amp;IFERROR(VLOOKUP(TRIM(D299)&amp;"_"&amp;TRIM(INDEX($R$1:$V$1, MATCH(MIN(R299:V299), R299:V299, 0))), 技能库!$A:$F, 5, 0),"建议查阅考纲")&amp;CHAR(10)&amp;"💡 提升建议: "&amp;IFERROR(VLOOKUP(TRIM(D299)&amp;"_"&amp;TRIM(INDEX($R$1:$V$1, MATCH(MIN(R299:V299), R299:V299, 0))), 技能库!$A:$F, 6, 0),"请针对该题型加强练习"))</f>
        <v/>
      </c>
    </row>
    <row r="300" spans="12:29" ht="16" hidden="1" x14ac:dyDescent="0.2">
      <c r="L300" t="str">
        <f t="shared" si="16"/>
        <v/>
      </c>
      <c r="M300" t="str">
        <f>IF(L300="","", IFERROR(VLOOKUP(L300, IF(D300="KET", 换算标准!$M:$N, IF(D300="PET", 换算标准!$S:$T, 换算标准!$AC:$AD)), 2, TRUE), 0))</f>
        <v/>
      </c>
      <c r="P300" t="str">
        <f t="shared" si="17"/>
        <v/>
      </c>
      <c r="Q300" t="str">
        <f>IF(P300="","", IFERROR(VLOOKUP(P300, IF(D300="KET", 换算标准!$O:$P, IF(D300="PET", 换算标准!$U:$V, 换算标准!$AG:$AH)), 2, TRUE), 0))</f>
        <v/>
      </c>
      <c r="W300" t="str">
        <f t="shared" si="18"/>
        <v/>
      </c>
      <c r="X300" t="str">
        <f>IF(W300="","", IFERROR(VLOOKUP(W300, IF(D300="KET", 换算标准!$Q:$R, IF(D300="PET", 换算标准!$W:$X, 换算标准!$AI:$AJ)), 2, TRUE), 0))</f>
        <v/>
      </c>
      <c r="Y300" t="str">
        <f t="shared" si="19"/>
        <v/>
      </c>
      <c r="Z300" t="str">
        <f>IF(Y300="","", IFERROR(VLOOKUP(Y300, 换算标准!$Z:$AA, 1, TRUE), ""))</f>
        <v/>
      </c>
      <c r="AA300" s="5" t="str">
        <f>IF(L300="","", "⚠️ 薄弱环节: "&amp;INDEX($E$1:$K$1, MATCH(MIN(E300:K300), E300:K300, 0))&amp;CHAR(10)&amp;"📉 考察能力: "&amp;IFERROR(VLOOKUP(TRIM(D300)&amp;"_"&amp;TRIM(INDEX($E$1:$K$1, MATCH(MIN(E300:K300), E300:K300, 0))), 技能库!$A:$F, 5, 0),"建议查阅考纲")&amp;CHAR(10)&amp;"💡 提升建议: "&amp;IFERROR(VLOOKUP(TRIM(D300)&amp;"_"&amp;TRIM(INDEX($E$1:$K$1, MATCH(MIN(E300:K300), E300:K300, 0))), 技能库!$A:$F, 6, 0),"请针对该题型加强练习"))</f>
        <v/>
      </c>
      <c r="AB300" s="5" t="str">
        <f>IF(P300="","", "⚠️ 薄弱环节: "&amp;INDEX($N$1:$O$1, MATCH(MIN(N300:O300), N300:O300, 0))&amp;CHAR(10)&amp;"📉 考察能力: "&amp;IFERROR(VLOOKUP(TRIM(D300)&amp;"_"&amp;TRIM(INDEX($N$1:$O$1, MATCH(MIN(N300:O300), N300:O300, 0))), 技能库!$A:$F, 5, 0),"建议查阅考纲")&amp;CHAR(10)&amp;"💡 提升建议: "&amp;IFERROR(VLOOKUP(TRIM(D300)&amp;"_"&amp;TRIM(INDEX($N$1:$O$1, MATCH(MIN(N300:O300), N300:O300, 0))), 技能库!$A:$F, 6, 0),"请针对该题型加强练习"))</f>
        <v/>
      </c>
      <c r="AC300" s="5" t="str">
        <f>IF(W300="","", "⚠️ 薄弱环节: "&amp;INDEX($R$1:$V$1, MATCH(MIN(R300:V300), R300:V300, 0))&amp;CHAR(10)&amp;"📉 考察能力: "&amp;IFERROR(VLOOKUP(TRIM(D300)&amp;"_"&amp;TRIM(INDEX($R$1:$V$1, MATCH(MIN(R300:V300), R300:V300, 0))), 技能库!$A:$F, 5, 0),"建议查阅考纲")&amp;CHAR(10)&amp;"💡 提升建议: "&amp;IFERROR(VLOOKUP(TRIM(D300)&amp;"_"&amp;TRIM(INDEX($R$1:$V$1, MATCH(MIN(R300:V300), R300:V300, 0))), 技能库!$A:$F, 6, 0),"请针对该题型加强练习"))</f>
        <v/>
      </c>
    </row>
    <row r="301" spans="12:29" ht="16" hidden="1" x14ac:dyDescent="0.2">
      <c r="L301" t="str">
        <f t="shared" si="16"/>
        <v/>
      </c>
      <c r="M301" t="str">
        <f>IF(L301="","", IFERROR(VLOOKUP(L301, IF(D301="KET", 换算标准!$M:$N, IF(D301="PET", 换算标准!$S:$T, 换算标准!$AC:$AD)), 2, TRUE), 0))</f>
        <v/>
      </c>
      <c r="P301" t="str">
        <f t="shared" si="17"/>
        <v/>
      </c>
      <c r="Q301" t="str">
        <f>IF(P301="","", IFERROR(VLOOKUP(P301, IF(D301="KET", 换算标准!$O:$P, IF(D301="PET", 换算标准!$U:$V, 换算标准!$AG:$AH)), 2, TRUE), 0))</f>
        <v/>
      </c>
      <c r="W301" t="str">
        <f t="shared" si="18"/>
        <v/>
      </c>
      <c r="X301" t="str">
        <f>IF(W301="","", IFERROR(VLOOKUP(W301, IF(D301="KET", 换算标准!$Q:$R, IF(D301="PET", 换算标准!$W:$X, 换算标准!$AI:$AJ)), 2, TRUE), 0))</f>
        <v/>
      </c>
      <c r="Y301" t="str">
        <f t="shared" si="19"/>
        <v/>
      </c>
      <c r="Z301" t="str">
        <f>IF(Y301="","", IFERROR(VLOOKUP(Y301, 换算标准!$Z:$AA, 1, TRUE), ""))</f>
        <v/>
      </c>
      <c r="AA301" s="5" t="str">
        <f>IF(L301="","", "⚠️ 薄弱环节: "&amp;INDEX($E$1:$K$1, MATCH(MIN(E301:K301), E301:K301, 0))&amp;CHAR(10)&amp;"📉 考察能力: "&amp;IFERROR(VLOOKUP(TRIM(D301)&amp;"_"&amp;TRIM(INDEX($E$1:$K$1, MATCH(MIN(E301:K301), E301:K301, 0))), 技能库!$A:$F, 5, 0),"建议查阅考纲")&amp;CHAR(10)&amp;"💡 提升建议: "&amp;IFERROR(VLOOKUP(TRIM(D301)&amp;"_"&amp;TRIM(INDEX($E$1:$K$1, MATCH(MIN(E301:K301), E301:K301, 0))), 技能库!$A:$F, 6, 0),"请针对该题型加强练习"))</f>
        <v/>
      </c>
      <c r="AB301" s="5" t="str">
        <f>IF(P301="","", "⚠️ 薄弱环节: "&amp;INDEX($N$1:$O$1, MATCH(MIN(N301:O301), N301:O301, 0))&amp;CHAR(10)&amp;"📉 考察能力: "&amp;IFERROR(VLOOKUP(TRIM(D301)&amp;"_"&amp;TRIM(INDEX($N$1:$O$1, MATCH(MIN(N301:O301), N301:O301, 0))), 技能库!$A:$F, 5, 0),"建议查阅考纲")&amp;CHAR(10)&amp;"💡 提升建议: "&amp;IFERROR(VLOOKUP(TRIM(D301)&amp;"_"&amp;TRIM(INDEX($N$1:$O$1, MATCH(MIN(N301:O301), N301:O301, 0))), 技能库!$A:$F, 6, 0),"请针对该题型加强练习"))</f>
        <v/>
      </c>
      <c r="AC301" s="5" t="str">
        <f>IF(W301="","", "⚠️ 薄弱环节: "&amp;INDEX($R$1:$V$1, MATCH(MIN(R301:V301), R301:V301, 0))&amp;CHAR(10)&amp;"📉 考察能力: "&amp;IFERROR(VLOOKUP(TRIM(D301)&amp;"_"&amp;TRIM(INDEX($R$1:$V$1, MATCH(MIN(R301:V301), R301:V301, 0))), 技能库!$A:$F, 5, 0),"建议查阅考纲")&amp;CHAR(10)&amp;"💡 提升建议: "&amp;IFERROR(VLOOKUP(TRIM(D301)&amp;"_"&amp;TRIM(INDEX($R$1:$V$1, MATCH(MIN(R301:V301), R301:V301, 0))), 技能库!$A:$F, 6, 0),"请针对该题型加强练习"))</f>
        <v/>
      </c>
    </row>
    <row r="302" spans="12:29" ht="16" hidden="1" x14ac:dyDescent="0.2">
      <c r="L302" t="str">
        <f t="shared" si="16"/>
        <v/>
      </c>
      <c r="M302" t="str">
        <f>IF(L302="","", IFERROR(VLOOKUP(L302, IF(D302="KET", 换算标准!$M:$N, IF(D302="PET", 换算标准!$S:$T, 换算标准!$AC:$AD)), 2, TRUE), 0))</f>
        <v/>
      </c>
      <c r="P302" t="str">
        <f t="shared" si="17"/>
        <v/>
      </c>
      <c r="Q302" t="str">
        <f>IF(P302="","", IFERROR(VLOOKUP(P302, IF(D302="KET", 换算标准!$O:$P, IF(D302="PET", 换算标准!$U:$V, 换算标准!$AG:$AH)), 2, TRUE), 0))</f>
        <v/>
      </c>
      <c r="W302" t="str">
        <f t="shared" si="18"/>
        <v/>
      </c>
      <c r="X302" t="str">
        <f>IF(W302="","", IFERROR(VLOOKUP(W302, IF(D302="KET", 换算标准!$Q:$R, IF(D302="PET", 换算标准!$W:$X, 换算标准!$AI:$AJ)), 2, TRUE), 0))</f>
        <v/>
      </c>
      <c r="Y302" t="str">
        <f t="shared" si="19"/>
        <v/>
      </c>
      <c r="Z302" t="str">
        <f>IF(Y302="","", IFERROR(VLOOKUP(Y302, 换算标准!$Z:$AA, 1, TRUE), ""))</f>
        <v/>
      </c>
      <c r="AA302" s="5" t="str">
        <f>IF(L302="","", "⚠️ 薄弱环节: "&amp;INDEX($E$1:$K$1, MATCH(MIN(E302:K302), E302:K302, 0))&amp;CHAR(10)&amp;"📉 考察能力: "&amp;IFERROR(VLOOKUP(TRIM(D302)&amp;"_"&amp;TRIM(INDEX($E$1:$K$1, MATCH(MIN(E302:K302), E302:K302, 0))), 技能库!$A:$F, 5, 0),"建议查阅考纲")&amp;CHAR(10)&amp;"💡 提升建议: "&amp;IFERROR(VLOOKUP(TRIM(D302)&amp;"_"&amp;TRIM(INDEX($E$1:$K$1, MATCH(MIN(E302:K302), E302:K302, 0))), 技能库!$A:$F, 6, 0),"请针对该题型加强练习"))</f>
        <v/>
      </c>
      <c r="AB302" s="5" t="str">
        <f>IF(P302="","", "⚠️ 薄弱环节: "&amp;INDEX($N$1:$O$1, MATCH(MIN(N302:O302), N302:O302, 0))&amp;CHAR(10)&amp;"📉 考察能力: "&amp;IFERROR(VLOOKUP(TRIM(D302)&amp;"_"&amp;TRIM(INDEX($N$1:$O$1, MATCH(MIN(N302:O302), N302:O302, 0))), 技能库!$A:$F, 5, 0),"建议查阅考纲")&amp;CHAR(10)&amp;"💡 提升建议: "&amp;IFERROR(VLOOKUP(TRIM(D302)&amp;"_"&amp;TRIM(INDEX($N$1:$O$1, MATCH(MIN(N302:O302), N302:O302, 0))), 技能库!$A:$F, 6, 0),"请针对该题型加强练习"))</f>
        <v/>
      </c>
      <c r="AC302" s="5" t="str">
        <f>IF(W302="","", "⚠️ 薄弱环节: "&amp;INDEX($R$1:$V$1, MATCH(MIN(R302:V302), R302:V302, 0))&amp;CHAR(10)&amp;"📉 考察能力: "&amp;IFERROR(VLOOKUP(TRIM(D302)&amp;"_"&amp;TRIM(INDEX($R$1:$V$1, MATCH(MIN(R302:V302), R302:V302, 0))), 技能库!$A:$F, 5, 0),"建议查阅考纲")&amp;CHAR(10)&amp;"💡 提升建议: "&amp;IFERROR(VLOOKUP(TRIM(D302)&amp;"_"&amp;TRIM(INDEX($R$1:$V$1, MATCH(MIN(R302:V302), R302:V302, 0))), 技能库!$A:$F, 6, 0),"请针对该题型加强练习"))</f>
        <v/>
      </c>
    </row>
    <row r="303" spans="12:29" ht="16" hidden="1" x14ac:dyDescent="0.2">
      <c r="L303" t="str">
        <f t="shared" si="16"/>
        <v/>
      </c>
      <c r="M303" t="str">
        <f>IF(L303="","", IFERROR(VLOOKUP(L303, IF(D303="KET", 换算标准!$M:$N, IF(D303="PET", 换算标准!$S:$T, 换算标准!$AC:$AD)), 2, TRUE), 0))</f>
        <v/>
      </c>
      <c r="P303" t="str">
        <f t="shared" si="17"/>
        <v/>
      </c>
      <c r="Q303" t="str">
        <f>IF(P303="","", IFERROR(VLOOKUP(P303, IF(D303="KET", 换算标准!$O:$P, IF(D303="PET", 换算标准!$U:$V, 换算标准!$AG:$AH)), 2, TRUE), 0))</f>
        <v/>
      </c>
      <c r="W303" t="str">
        <f t="shared" si="18"/>
        <v/>
      </c>
      <c r="X303" t="str">
        <f>IF(W303="","", IFERROR(VLOOKUP(W303, IF(D303="KET", 换算标准!$Q:$R, IF(D303="PET", 换算标准!$W:$X, 换算标准!$AI:$AJ)), 2, TRUE), 0))</f>
        <v/>
      </c>
      <c r="Y303" t="str">
        <f t="shared" si="19"/>
        <v/>
      </c>
      <c r="Z303" t="str">
        <f>IF(Y303="","", IFERROR(VLOOKUP(Y303, 换算标准!$Z:$AA, 1, TRUE), ""))</f>
        <v/>
      </c>
      <c r="AA303" s="5" t="str">
        <f>IF(L303="","", "⚠️ 薄弱环节: "&amp;INDEX($E$1:$K$1, MATCH(MIN(E303:K303), E303:K303, 0))&amp;CHAR(10)&amp;"📉 考察能力: "&amp;IFERROR(VLOOKUP(TRIM(D303)&amp;"_"&amp;TRIM(INDEX($E$1:$K$1, MATCH(MIN(E303:K303), E303:K303, 0))), 技能库!$A:$F, 5, 0),"建议查阅考纲")&amp;CHAR(10)&amp;"💡 提升建议: "&amp;IFERROR(VLOOKUP(TRIM(D303)&amp;"_"&amp;TRIM(INDEX($E$1:$K$1, MATCH(MIN(E303:K303), E303:K303, 0))), 技能库!$A:$F, 6, 0),"请针对该题型加强练习"))</f>
        <v/>
      </c>
      <c r="AB303" s="5" t="str">
        <f>IF(P303="","", "⚠️ 薄弱环节: "&amp;INDEX($N$1:$O$1, MATCH(MIN(N303:O303), N303:O303, 0))&amp;CHAR(10)&amp;"📉 考察能力: "&amp;IFERROR(VLOOKUP(TRIM(D303)&amp;"_"&amp;TRIM(INDEX($N$1:$O$1, MATCH(MIN(N303:O303), N303:O303, 0))), 技能库!$A:$F, 5, 0),"建议查阅考纲")&amp;CHAR(10)&amp;"💡 提升建议: "&amp;IFERROR(VLOOKUP(TRIM(D303)&amp;"_"&amp;TRIM(INDEX($N$1:$O$1, MATCH(MIN(N303:O303), N303:O303, 0))), 技能库!$A:$F, 6, 0),"请针对该题型加强练习"))</f>
        <v/>
      </c>
      <c r="AC303" s="5" t="str">
        <f>IF(W303="","", "⚠️ 薄弱环节: "&amp;INDEX($R$1:$V$1, MATCH(MIN(R303:V303), R303:V303, 0))&amp;CHAR(10)&amp;"📉 考察能力: "&amp;IFERROR(VLOOKUP(TRIM(D303)&amp;"_"&amp;TRIM(INDEX($R$1:$V$1, MATCH(MIN(R303:V303), R303:V303, 0))), 技能库!$A:$F, 5, 0),"建议查阅考纲")&amp;CHAR(10)&amp;"💡 提升建议: "&amp;IFERROR(VLOOKUP(TRIM(D303)&amp;"_"&amp;TRIM(INDEX($R$1:$V$1, MATCH(MIN(R303:V303), R303:V303, 0))), 技能库!$A:$F, 6, 0),"请针对该题型加强练习"))</f>
        <v/>
      </c>
    </row>
    <row r="304" spans="12:29" ht="16" hidden="1" x14ac:dyDescent="0.2">
      <c r="L304" t="str">
        <f t="shared" si="16"/>
        <v/>
      </c>
      <c r="M304" t="str">
        <f>IF(L304="","", IFERROR(VLOOKUP(L304, IF(D304="KET", 换算标准!$M:$N, IF(D304="PET", 换算标准!$S:$T, 换算标准!$AC:$AD)), 2, TRUE), 0))</f>
        <v/>
      </c>
      <c r="P304" t="str">
        <f t="shared" si="17"/>
        <v/>
      </c>
      <c r="Q304" t="str">
        <f>IF(P304="","", IFERROR(VLOOKUP(P304, IF(D304="KET", 换算标准!$O:$P, IF(D304="PET", 换算标准!$U:$V, 换算标准!$AG:$AH)), 2, TRUE), 0))</f>
        <v/>
      </c>
      <c r="W304" t="str">
        <f t="shared" si="18"/>
        <v/>
      </c>
      <c r="X304" t="str">
        <f>IF(W304="","", IFERROR(VLOOKUP(W304, IF(D304="KET", 换算标准!$Q:$R, IF(D304="PET", 换算标准!$W:$X, 换算标准!$AI:$AJ)), 2, TRUE), 0))</f>
        <v/>
      </c>
      <c r="Y304" t="str">
        <f t="shared" si="19"/>
        <v/>
      </c>
      <c r="Z304" t="str">
        <f>IF(Y304="","", IFERROR(VLOOKUP(Y304, 换算标准!$Z:$AA, 1, TRUE), ""))</f>
        <v/>
      </c>
      <c r="AA304" s="5" t="str">
        <f>IF(L304="","", "⚠️ 薄弱环节: "&amp;INDEX($E$1:$K$1, MATCH(MIN(E304:K304), E304:K304, 0))&amp;CHAR(10)&amp;"📉 考察能力: "&amp;IFERROR(VLOOKUP(TRIM(D304)&amp;"_"&amp;TRIM(INDEX($E$1:$K$1, MATCH(MIN(E304:K304), E304:K304, 0))), 技能库!$A:$F, 5, 0),"建议查阅考纲")&amp;CHAR(10)&amp;"💡 提升建议: "&amp;IFERROR(VLOOKUP(TRIM(D304)&amp;"_"&amp;TRIM(INDEX($E$1:$K$1, MATCH(MIN(E304:K304), E304:K304, 0))), 技能库!$A:$F, 6, 0),"请针对该题型加强练习"))</f>
        <v/>
      </c>
      <c r="AB304" s="5" t="str">
        <f>IF(P304="","", "⚠️ 薄弱环节: "&amp;INDEX($N$1:$O$1, MATCH(MIN(N304:O304), N304:O304, 0))&amp;CHAR(10)&amp;"📉 考察能力: "&amp;IFERROR(VLOOKUP(TRIM(D304)&amp;"_"&amp;TRIM(INDEX($N$1:$O$1, MATCH(MIN(N304:O304), N304:O304, 0))), 技能库!$A:$F, 5, 0),"建议查阅考纲")&amp;CHAR(10)&amp;"💡 提升建议: "&amp;IFERROR(VLOOKUP(TRIM(D304)&amp;"_"&amp;TRIM(INDEX($N$1:$O$1, MATCH(MIN(N304:O304), N304:O304, 0))), 技能库!$A:$F, 6, 0),"请针对该题型加强练习"))</f>
        <v/>
      </c>
      <c r="AC304" s="5" t="str">
        <f>IF(W304="","", "⚠️ 薄弱环节: "&amp;INDEX($R$1:$V$1, MATCH(MIN(R304:V304), R304:V304, 0))&amp;CHAR(10)&amp;"📉 考察能力: "&amp;IFERROR(VLOOKUP(TRIM(D304)&amp;"_"&amp;TRIM(INDEX($R$1:$V$1, MATCH(MIN(R304:V304), R304:V304, 0))), 技能库!$A:$F, 5, 0),"建议查阅考纲")&amp;CHAR(10)&amp;"💡 提升建议: "&amp;IFERROR(VLOOKUP(TRIM(D304)&amp;"_"&amp;TRIM(INDEX($R$1:$V$1, MATCH(MIN(R304:V304), R304:V304, 0))), 技能库!$A:$F, 6, 0),"请针对该题型加强练习"))</f>
        <v/>
      </c>
    </row>
    <row r="305" spans="12:29" ht="16" hidden="1" x14ac:dyDescent="0.2">
      <c r="L305" t="str">
        <f t="shared" si="16"/>
        <v/>
      </c>
      <c r="M305" t="str">
        <f>IF(L305="","", IFERROR(VLOOKUP(L305, IF(D305="KET", 换算标准!$M:$N, IF(D305="PET", 换算标准!$S:$T, 换算标准!$AC:$AD)), 2, TRUE), 0))</f>
        <v/>
      </c>
      <c r="P305" t="str">
        <f t="shared" si="17"/>
        <v/>
      </c>
      <c r="Q305" t="str">
        <f>IF(P305="","", IFERROR(VLOOKUP(P305, IF(D305="KET", 换算标准!$O:$P, IF(D305="PET", 换算标准!$U:$V, 换算标准!$AG:$AH)), 2, TRUE), 0))</f>
        <v/>
      </c>
      <c r="W305" t="str">
        <f t="shared" si="18"/>
        <v/>
      </c>
      <c r="X305" t="str">
        <f>IF(W305="","", IFERROR(VLOOKUP(W305, IF(D305="KET", 换算标准!$Q:$R, IF(D305="PET", 换算标准!$W:$X, 换算标准!$AI:$AJ)), 2, TRUE), 0))</f>
        <v/>
      </c>
      <c r="Y305" t="str">
        <f t="shared" si="19"/>
        <v/>
      </c>
      <c r="Z305" t="str">
        <f>IF(Y305="","", IFERROR(VLOOKUP(Y305, 换算标准!$Z:$AA, 1, TRUE), ""))</f>
        <v/>
      </c>
      <c r="AA305" s="5" t="str">
        <f>IF(L305="","", "⚠️ 薄弱环节: "&amp;INDEX($E$1:$K$1, MATCH(MIN(E305:K305), E305:K305, 0))&amp;CHAR(10)&amp;"📉 考察能力: "&amp;IFERROR(VLOOKUP(TRIM(D305)&amp;"_"&amp;TRIM(INDEX($E$1:$K$1, MATCH(MIN(E305:K305), E305:K305, 0))), 技能库!$A:$F, 5, 0),"建议查阅考纲")&amp;CHAR(10)&amp;"💡 提升建议: "&amp;IFERROR(VLOOKUP(TRIM(D305)&amp;"_"&amp;TRIM(INDEX($E$1:$K$1, MATCH(MIN(E305:K305), E305:K305, 0))), 技能库!$A:$F, 6, 0),"请针对该题型加强练习"))</f>
        <v/>
      </c>
      <c r="AB305" s="5" t="str">
        <f>IF(P305="","", "⚠️ 薄弱环节: "&amp;INDEX($N$1:$O$1, MATCH(MIN(N305:O305), N305:O305, 0))&amp;CHAR(10)&amp;"📉 考察能力: "&amp;IFERROR(VLOOKUP(TRIM(D305)&amp;"_"&amp;TRIM(INDEX($N$1:$O$1, MATCH(MIN(N305:O305), N305:O305, 0))), 技能库!$A:$F, 5, 0),"建议查阅考纲")&amp;CHAR(10)&amp;"💡 提升建议: "&amp;IFERROR(VLOOKUP(TRIM(D305)&amp;"_"&amp;TRIM(INDEX($N$1:$O$1, MATCH(MIN(N305:O305), N305:O305, 0))), 技能库!$A:$F, 6, 0),"请针对该题型加强练习"))</f>
        <v/>
      </c>
      <c r="AC305" s="5" t="str">
        <f>IF(W305="","", "⚠️ 薄弱环节: "&amp;INDEX($R$1:$V$1, MATCH(MIN(R305:V305), R305:V305, 0))&amp;CHAR(10)&amp;"📉 考察能力: "&amp;IFERROR(VLOOKUP(TRIM(D305)&amp;"_"&amp;TRIM(INDEX($R$1:$V$1, MATCH(MIN(R305:V305), R305:V305, 0))), 技能库!$A:$F, 5, 0),"建议查阅考纲")&amp;CHAR(10)&amp;"💡 提升建议: "&amp;IFERROR(VLOOKUP(TRIM(D305)&amp;"_"&amp;TRIM(INDEX($R$1:$V$1, MATCH(MIN(R305:V305), R305:V305, 0))), 技能库!$A:$F, 6, 0),"请针对该题型加强练习"))</f>
        <v/>
      </c>
    </row>
    <row r="306" spans="12:29" ht="16" hidden="1" x14ac:dyDescent="0.2">
      <c r="L306" t="str">
        <f t="shared" si="16"/>
        <v/>
      </c>
      <c r="M306" t="str">
        <f>IF(L306="","", IFERROR(VLOOKUP(L306, IF(D306="KET", 换算标准!$M:$N, IF(D306="PET", 换算标准!$S:$T, 换算标准!$AC:$AD)), 2, TRUE), 0))</f>
        <v/>
      </c>
      <c r="P306" t="str">
        <f t="shared" si="17"/>
        <v/>
      </c>
      <c r="Q306" t="str">
        <f>IF(P306="","", IFERROR(VLOOKUP(P306, IF(D306="KET", 换算标准!$O:$P, IF(D306="PET", 换算标准!$U:$V, 换算标准!$AG:$AH)), 2, TRUE), 0))</f>
        <v/>
      </c>
      <c r="W306" t="str">
        <f t="shared" si="18"/>
        <v/>
      </c>
      <c r="X306" t="str">
        <f>IF(W306="","", IFERROR(VLOOKUP(W306, IF(D306="KET", 换算标准!$Q:$R, IF(D306="PET", 换算标准!$W:$X, 换算标准!$AI:$AJ)), 2, TRUE), 0))</f>
        <v/>
      </c>
      <c r="Y306" t="str">
        <f t="shared" si="19"/>
        <v/>
      </c>
      <c r="Z306" t="str">
        <f>IF(Y306="","", IFERROR(VLOOKUP(Y306, 换算标准!$Z:$AA, 1, TRUE), ""))</f>
        <v/>
      </c>
      <c r="AA306" s="5" t="str">
        <f>IF(L306="","", "⚠️ 薄弱环节: "&amp;INDEX($E$1:$K$1, MATCH(MIN(E306:K306), E306:K306, 0))&amp;CHAR(10)&amp;"📉 考察能力: "&amp;IFERROR(VLOOKUP(TRIM(D306)&amp;"_"&amp;TRIM(INDEX($E$1:$K$1, MATCH(MIN(E306:K306), E306:K306, 0))), 技能库!$A:$F, 5, 0),"建议查阅考纲")&amp;CHAR(10)&amp;"💡 提升建议: "&amp;IFERROR(VLOOKUP(TRIM(D306)&amp;"_"&amp;TRIM(INDEX($E$1:$K$1, MATCH(MIN(E306:K306), E306:K306, 0))), 技能库!$A:$F, 6, 0),"请针对该题型加强练习"))</f>
        <v/>
      </c>
      <c r="AB306" s="5" t="str">
        <f>IF(P306="","", "⚠️ 薄弱环节: "&amp;INDEX($N$1:$O$1, MATCH(MIN(N306:O306), N306:O306, 0))&amp;CHAR(10)&amp;"📉 考察能力: "&amp;IFERROR(VLOOKUP(TRIM(D306)&amp;"_"&amp;TRIM(INDEX($N$1:$O$1, MATCH(MIN(N306:O306), N306:O306, 0))), 技能库!$A:$F, 5, 0),"建议查阅考纲")&amp;CHAR(10)&amp;"💡 提升建议: "&amp;IFERROR(VLOOKUP(TRIM(D306)&amp;"_"&amp;TRIM(INDEX($N$1:$O$1, MATCH(MIN(N306:O306), N306:O306, 0))), 技能库!$A:$F, 6, 0),"请针对该题型加强练习"))</f>
        <v/>
      </c>
      <c r="AC306" s="5" t="str">
        <f>IF(W306="","", "⚠️ 薄弱环节: "&amp;INDEX($R$1:$V$1, MATCH(MIN(R306:V306), R306:V306, 0))&amp;CHAR(10)&amp;"📉 考察能力: "&amp;IFERROR(VLOOKUP(TRIM(D306)&amp;"_"&amp;TRIM(INDEX($R$1:$V$1, MATCH(MIN(R306:V306), R306:V306, 0))), 技能库!$A:$F, 5, 0),"建议查阅考纲")&amp;CHAR(10)&amp;"💡 提升建议: "&amp;IFERROR(VLOOKUP(TRIM(D306)&amp;"_"&amp;TRIM(INDEX($R$1:$V$1, MATCH(MIN(R306:V306), R306:V306, 0))), 技能库!$A:$F, 6, 0),"请针对该题型加强练习"))</f>
        <v/>
      </c>
    </row>
    <row r="307" spans="12:29" ht="16" hidden="1" x14ac:dyDescent="0.2">
      <c r="L307" t="str">
        <f t="shared" si="16"/>
        <v/>
      </c>
      <c r="M307" t="str">
        <f>IF(L307="","", IFERROR(VLOOKUP(L307, IF(D307="KET", 换算标准!$M:$N, IF(D307="PET", 换算标准!$S:$T, 换算标准!$AC:$AD)), 2, TRUE), 0))</f>
        <v/>
      </c>
      <c r="P307" t="str">
        <f t="shared" si="17"/>
        <v/>
      </c>
      <c r="Q307" t="str">
        <f>IF(P307="","", IFERROR(VLOOKUP(P307, IF(D307="KET", 换算标准!$O:$P, IF(D307="PET", 换算标准!$U:$V, 换算标准!$AG:$AH)), 2, TRUE), 0))</f>
        <v/>
      </c>
      <c r="W307" t="str">
        <f t="shared" si="18"/>
        <v/>
      </c>
      <c r="X307" t="str">
        <f>IF(W307="","", IFERROR(VLOOKUP(W307, IF(D307="KET", 换算标准!$Q:$R, IF(D307="PET", 换算标准!$W:$X, 换算标准!$AI:$AJ)), 2, TRUE), 0))</f>
        <v/>
      </c>
      <c r="Y307" t="str">
        <f t="shared" si="19"/>
        <v/>
      </c>
      <c r="Z307" t="str">
        <f>IF(Y307="","", IFERROR(VLOOKUP(Y307, 换算标准!$Z:$AA, 1, TRUE), ""))</f>
        <v/>
      </c>
      <c r="AA307" s="5" t="str">
        <f>IF(L307="","", "⚠️ 薄弱环节: "&amp;INDEX($E$1:$K$1, MATCH(MIN(E307:K307), E307:K307, 0))&amp;CHAR(10)&amp;"📉 考察能力: "&amp;IFERROR(VLOOKUP(TRIM(D307)&amp;"_"&amp;TRIM(INDEX($E$1:$K$1, MATCH(MIN(E307:K307), E307:K307, 0))), 技能库!$A:$F, 5, 0),"建议查阅考纲")&amp;CHAR(10)&amp;"💡 提升建议: "&amp;IFERROR(VLOOKUP(TRIM(D307)&amp;"_"&amp;TRIM(INDEX($E$1:$K$1, MATCH(MIN(E307:K307), E307:K307, 0))), 技能库!$A:$F, 6, 0),"请针对该题型加强练习"))</f>
        <v/>
      </c>
      <c r="AB307" s="5" t="str">
        <f>IF(P307="","", "⚠️ 薄弱环节: "&amp;INDEX($N$1:$O$1, MATCH(MIN(N307:O307), N307:O307, 0))&amp;CHAR(10)&amp;"📉 考察能力: "&amp;IFERROR(VLOOKUP(TRIM(D307)&amp;"_"&amp;TRIM(INDEX($N$1:$O$1, MATCH(MIN(N307:O307), N307:O307, 0))), 技能库!$A:$F, 5, 0),"建议查阅考纲")&amp;CHAR(10)&amp;"💡 提升建议: "&amp;IFERROR(VLOOKUP(TRIM(D307)&amp;"_"&amp;TRIM(INDEX($N$1:$O$1, MATCH(MIN(N307:O307), N307:O307, 0))), 技能库!$A:$F, 6, 0),"请针对该题型加强练习"))</f>
        <v/>
      </c>
      <c r="AC307" s="5" t="str">
        <f>IF(W307="","", "⚠️ 薄弱环节: "&amp;INDEX($R$1:$V$1, MATCH(MIN(R307:V307), R307:V307, 0))&amp;CHAR(10)&amp;"📉 考察能力: "&amp;IFERROR(VLOOKUP(TRIM(D307)&amp;"_"&amp;TRIM(INDEX($R$1:$V$1, MATCH(MIN(R307:V307), R307:V307, 0))), 技能库!$A:$F, 5, 0),"建议查阅考纲")&amp;CHAR(10)&amp;"💡 提升建议: "&amp;IFERROR(VLOOKUP(TRIM(D307)&amp;"_"&amp;TRIM(INDEX($R$1:$V$1, MATCH(MIN(R307:V307), R307:V307, 0))), 技能库!$A:$F, 6, 0),"请针对该题型加强练习"))</f>
        <v/>
      </c>
    </row>
    <row r="308" spans="12:29" ht="16" hidden="1" x14ac:dyDescent="0.2">
      <c r="L308" t="str">
        <f t="shared" si="16"/>
        <v/>
      </c>
      <c r="M308" t="str">
        <f>IF(L308="","", IFERROR(VLOOKUP(L308, IF(D308="KET", 换算标准!$M:$N, IF(D308="PET", 换算标准!$S:$T, 换算标准!$AC:$AD)), 2, TRUE), 0))</f>
        <v/>
      </c>
      <c r="P308" t="str">
        <f t="shared" si="17"/>
        <v/>
      </c>
      <c r="Q308" t="str">
        <f>IF(P308="","", IFERROR(VLOOKUP(P308, IF(D308="KET", 换算标准!$O:$P, IF(D308="PET", 换算标准!$U:$V, 换算标准!$AG:$AH)), 2, TRUE), 0))</f>
        <v/>
      </c>
      <c r="W308" t="str">
        <f t="shared" si="18"/>
        <v/>
      </c>
      <c r="X308" t="str">
        <f>IF(W308="","", IFERROR(VLOOKUP(W308, IF(D308="KET", 换算标准!$Q:$R, IF(D308="PET", 换算标准!$W:$X, 换算标准!$AI:$AJ)), 2, TRUE), 0))</f>
        <v/>
      </c>
      <c r="Y308" t="str">
        <f t="shared" si="19"/>
        <v/>
      </c>
      <c r="Z308" t="str">
        <f>IF(Y308="","", IFERROR(VLOOKUP(Y308, 换算标准!$Z:$AA, 1, TRUE), ""))</f>
        <v/>
      </c>
      <c r="AA308" s="5" t="str">
        <f>IF(L308="","", "⚠️ 薄弱环节: "&amp;INDEX($E$1:$K$1, MATCH(MIN(E308:K308), E308:K308, 0))&amp;CHAR(10)&amp;"📉 考察能力: "&amp;IFERROR(VLOOKUP(TRIM(D308)&amp;"_"&amp;TRIM(INDEX($E$1:$K$1, MATCH(MIN(E308:K308), E308:K308, 0))), 技能库!$A:$F, 5, 0),"建议查阅考纲")&amp;CHAR(10)&amp;"💡 提升建议: "&amp;IFERROR(VLOOKUP(TRIM(D308)&amp;"_"&amp;TRIM(INDEX($E$1:$K$1, MATCH(MIN(E308:K308), E308:K308, 0))), 技能库!$A:$F, 6, 0),"请针对该题型加强练习"))</f>
        <v/>
      </c>
      <c r="AB308" s="5" t="str">
        <f>IF(P308="","", "⚠️ 薄弱环节: "&amp;INDEX($N$1:$O$1, MATCH(MIN(N308:O308), N308:O308, 0))&amp;CHAR(10)&amp;"📉 考察能力: "&amp;IFERROR(VLOOKUP(TRIM(D308)&amp;"_"&amp;TRIM(INDEX($N$1:$O$1, MATCH(MIN(N308:O308), N308:O308, 0))), 技能库!$A:$F, 5, 0),"建议查阅考纲")&amp;CHAR(10)&amp;"💡 提升建议: "&amp;IFERROR(VLOOKUP(TRIM(D308)&amp;"_"&amp;TRIM(INDEX($N$1:$O$1, MATCH(MIN(N308:O308), N308:O308, 0))), 技能库!$A:$F, 6, 0),"请针对该题型加强练习"))</f>
        <v/>
      </c>
      <c r="AC308" s="5" t="str">
        <f>IF(W308="","", "⚠️ 薄弱环节: "&amp;INDEX($R$1:$V$1, MATCH(MIN(R308:V308), R308:V308, 0))&amp;CHAR(10)&amp;"📉 考察能力: "&amp;IFERROR(VLOOKUP(TRIM(D308)&amp;"_"&amp;TRIM(INDEX($R$1:$V$1, MATCH(MIN(R308:V308), R308:V308, 0))), 技能库!$A:$F, 5, 0),"建议查阅考纲")&amp;CHAR(10)&amp;"💡 提升建议: "&amp;IFERROR(VLOOKUP(TRIM(D308)&amp;"_"&amp;TRIM(INDEX($R$1:$V$1, MATCH(MIN(R308:V308), R308:V308, 0))), 技能库!$A:$F, 6, 0),"请针对该题型加强练习"))</f>
        <v/>
      </c>
    </row>
    <row r="309" spans="12:29" ht="16" hidden="1" x14ac:dyDescent="0.2">
      <c r="L309" t="str">
        <f t="shared" si="16"/>
        <v/>
      </c>
      <c r="M309" t="str">
        <f>IF(L309="","", IFERROR(VLOOKUP(L309, IF(D309="KET", 换算标准!$M:$N, IF(D309="PET", 换算标准!$S:$T, 换算标准!$AC:$AD)), 2, TRUE), 0))</f>
        <v/>
      </c>
      <c r="P309" t="str">
        <f t="shared" si="17"/>
        <v/>
      </c>
      <c r="Q309" t="str">
        <f>IF(P309="","", IFERROR(VLOOKUP(P309, IF(D309="KET", 换算标准!$O:$P, IF(D309="PET", 换算标准!$U:$V, 换算标准!$AG:$AH)), 2, TRUE), 0))</f>
        <v/>
      </c>
      <c r="W309" t="str">
        <f t="shared" si="18"/>
        <v/>
      </c>
      <c r="X309" t="str">
        <f>IF(W309="","", IFERROR(VLOOKUP(W309, IF(D309="KET", 换算标准!$Q:$R, IF(D309="PET", 换算标准!$W:$X, 换算标准!$AI:$AJ)), 2, TRUE), 0))</f>
        <v/>
      </c>
      <c r="Y309" t="str">
        <f t="shared" si="19"/>
        <v/>
      </c>
      <c r="Z309" t="str">
        <f>IF(Y309="","", IFERROR(VLOOKUP(Y309, 换算标准!$Z:$AA, 1, TRUE), ""))</f>
        <v/>
      </c>
      <c r="AA309" s="5" t="str">
        <f>IF(L309="","", "⚠️ 薄弱环节: "&amp;INDEX($E$1:$K$1, MATCH(MIN(E309:K309), E309:K309, 0))&amp;CHAR(10)&amp;"📉 考察能力: "&amp;IFERROR(VLOOKUP(TRIM(D309)&amp;"_"&amp;TRIM(INDEX($E$1:$K$1, MATCH(MIN(E309:K309), E309:K309, 0))), 技能库!$A:$F, 5, 0),"建议查阅考纲")&amp;CHAR(10)&amp;"💡 提升建议: "&amp;IFERROR(VLOOKUP(TRIM(D309)&amp;"_"&amp;TRIM(INDEX($E$1:$K$1, MATCH(MIN(E309:K309), E309:K309, 0))), 技能库!$A:$F, 6, 0),"请针对该题型加强练习"))</f>
        <v/>
      </c>
      <c r="AB309" s="5" t="str">
        <f>IF(P309="","", "⚠️ 薄弱环节: "&amp;INDEX($N$1:$O$1, MATCH(MIN(N309:O309), N309:O309, 0))&amp;CHAR(10)&amp;"📉 考察能力: "&amp;IFERROR(VLOOKUP(TRIM(D309)&amp;"_"&amp;TRIM(INDEX($N$1:$O$1, MATCH(MIN(N309:O309), N309:O309, 0))), 技能库!$A:$F, 5, 0),"建议查阅考纲")&amp;CHAR(10)&amp;"💡 提升建议: "&amp;IFERROR(VLOOKUP(TRIM(D309)&amp;"_"&amp;TRIM(INDEX($N$1:$O$1, MATCH(MIN(N309:O309), N309:O309, 0))), 技能库!$A:$F, 6, 0),"请针对该题型加强练习"))</f>
        <v/>
      </c>
      <c r="AC309" s="5" t="str">
        <f>IF(W309="","", "⚠️ 薄弱环节: "&amp;INDEX($R$1:$V$1, MATCH(MIN(R309:V309), R309:V309, 0))&amp;CHAR(10)&amp;"📉 考察能力: "&amp;IFERROR(VLOOKUP(TRIM(D309)&amp;"_"&amp;TRIM(INDEX($R$1:$V$1, MATCH(MIN(R309:V309), R309:V309, 0))), 技能库!$A:$F, 5, 0),"建议查阅考纲")&amp;CHAR(10)&amp;"💡 提升建议: "&amp;IFERROR(VLOOKUP(TRIM(D309)&amp;"_"&amp;TRIM(INDEX($R$1:$V$1, MATCH(MIN(R309:V309), R309:V309, 0))), 技能库!$A:$F, 6, 0),"请针对该题型加强练习"))</f>
        <v/>
      </c>
    </row>
    <row r="310" spans="12:29" ht="16" hidden="1" x14ac:dyDescent="0.2">
      <c r="L310" t="str">
        <f t="shared" si="16"/>
        <v/>
      </c>
      <c r="M310" t="str">
        <f>IF(L310="","", IFERROR(VLOOKUP(L310, IF(D310="KET", 换算标准!$M:$N, IF(D310="PET", 换算标准!$S:$T, 换算标准!$AC:$AD)), 2, TRUE), 0))</f>
        <v/>
      </c>
      <c r="P310" t="str">
        <f t="shared" si="17"/>
        <v/>
      </c>
      <c r="Q310" t="str">
        <f>IF(P310="","", IFERROR(VLOOKUP(P310, IF(D310="KET", 换算标准!$O:$P, IF(D310="PET", 换算标准!$U:$V, 换算标准!$AG:$AH)), 2, TRUE), 0))</f>
        <v/>
      </c>
      <c r="W310" t="str">
        <f t="shared" si="18"/>
        <v/>
      </c>
      <c r="X310" t="str">
        <f>IF(W310="","", IFERROR(VLOOKUP(W310, IF(D310="KET", 换算标准!$Q:$R, IF(D310="PET", 换算标准!$W:$X, 换算标准!$AI:$AJ)), 2, TRUE), 0))</f>
        <v/>
      </c>
      <c r="Y310" t="str">
        <f t="shared" si="19"/>
        <v/>
      </c>
      <c r="Z310" t="str">
        <f>IF(Y310="","", IFERROR(VLOOKUP(Y310, 换算标准!$Z:$AA, 1, TRUE), ""))</f>
        <v/>
      </c>
      <c r="AA310" s="5" t="str">
        <f>IF(L310="","", "⚠️ 薄弱环节: "&amp;INDEX($E$1:$K$1, MATCH(MIN(E310:K310), E310:K310, 0))&amp;CHAR(10)&amp;"📉 考察能力: "&amp;IFERROR(VLOOKUP(TRIM(D310)&amp;"_"&amp;TRIM(INDEX($E$1:$K$1, MATCH(MIN(E310:K310), E310:K310, 0))), 技能库!$A:$F, 5, 0),"建议查阅考纲")&amp;CHAR(10)&amp;"💡 提升建议: "&amp;IFERROR(VLOOKUP(TRIM(D310)&amp;"_"&amp;TRIM(INDEX($E$1:$K$1, MATCH(MIN(E310:K310), E310:K310, 0))), 技能库!$A:$F, 6, 0),"请针对该题型加强练习"))</f>
        <v/>
      </c>
      <c r="AB310" s="5" t="str">
        <f>IF(P310="","", "⚠️ 薄弱环节: "&amp;INDEX($N$1:$O$1, MATCH(MIN(N310:O310), N310:O310, 0))&amp;CHAR(10)&amp;"📉 考察能力: "&amp;IFERROR(VLOOKUP(TRIM(D310)&amp;"_"&amp;TRIM(INDEX($N$1:$O$1, MATCH(MIN(N310:O310), N310:O310, 0))), 技能库!$A:$F, 5, 0),"建议查阅考纲")&amp;CHAR(10)&amp;"💡 提升建议: "&amp;IFERROR(VLOOKUP(TRIM(D310)&amp;"_"&amp;TRIM(INDEX($N$1:$O$1, MATCH(MIN(N310:O310), N310:O310, 0))), 技能库!$A:$F, 6, 0),"请针对该题型加强练习"))</f>
        <v/>
      </c>
      <c r="AC310" s="5" t="str">
        <f>IF(W310="","", "⚠️ 薄弱环节: "&amp;INDEX($R$1:$V$1, MATCH(MIN(R310:V310), R310:V310, 0))&amp;CHAR(10)&amp;"📉 考察能力: "&amp;IFERROR(VLOOKUP(TRIM(D310)&amp;"_"&amp;TRIM(INDEX($R$1:$V$1, MATCH(MIN(R310:V310), R310:V310, 0))), 技能库!$A:$F, 5, 0),"建议查阅考纲")&amp;CHAR(10)&amp;"💡 提升建议: "&amp;IFERROR(VLOOKUP(TRIM(D310)&amp;"_"&amp;TRIM(INDEX($R$1:$V$1, MATCH(MIN(R310:V310), R310:V310, 0))), 技能库!$A:$F, 6, 0),"请针对该题型加强练习"))</f>
        <v/>
      </c>
    </row>
    <row r="311" spans="12:29" ht="16" hidden="1" x14ac:dyDescent="0.2">
      <c r="L311" t="str">
        <f t="shared" si="16"/>
        <v/>
      </c>
      <c r="M311" t="str">
        <f>IF(L311="","", IFERROR(VLOOKUP(L311, IF(D311="KET", 换算标准!$M:$N, IF(D311="PET", 换算标准!$S:$T, 换算标准!$AC:$AD)), 2, TRUE), 0))</f>
        <v/>
      </c>
      <c r="P311" t="str">
        <f t="shared" si="17"/>
        <v/>
      </c>
      <c r="Q311" t="str">
        <f>IF(P311="","", IFERROR(VLOOKUP(P311, IF(D311="KET", 换算标准!$O:$P, IF(D311="PET", 换算标准!$U:$V, 换算标准!$AG:$AH)), 2, TRUE), 0))</f>
        <v/>
      </c>
      <c r="W311" t="str">
        <f t="shared" si="18"/>
        <v/>
      </c>
      <c r="X311" t="str">
        <f>IF(W311="","", IFERROR(VLOOKUP(W311, IF(D311="KET", 换算标准!$Q:$R, IF(D311="PET", 换算标准!$W:$X, 换算标准!$AI:$AJ)), 2, TRUE), 0))</f>
        <v/>
      </c>
      <c r="Y311" t="str">
        <f t="shared" si="19"/>
        <v/>
      </c>
      <c r="Z311" t="str">
        <f>IF(Y311="","", IFERROR(VLOOKUP(Y311, 换算标准!$Z:$AA, 1, TRUE), ""))</f>
        <v/>
      </c>
      <c r="AA311" s="5" t="str">
        <f>IF(L311="","", "⚠️ 薄弱环节: "&amp;INDEX($E$1:$K$1, MATCH(MIN(E311:K311), E311:K311, 0))&amp;CHAR(10)&amp;"📉 考察能力: "&amp;IFERROR(VLOOKUP(TRIM(D311)&amp;"_"&amp;TRIM(INDEX($E$1:$K$1, MATCH(MIN(E311:K311), E311:K311, 0))), 技能库!$A:$F, 5, 0),"建议查阅考纲")&amp;CHAR(10)&amp;"💡 提升建议: "&amp;IFERROR(VLOOKUP(TRIM(D311)&amp;"_"&amp;TRIM(INDEX($E$1:$K$1, MATCH(MIN(E311:K311), E311:K311, 0))), 技能库!$A:$F, 6, 0),"请针对该题型加强练习"))</f>
        <v/>
      </c>
      <c r="AB311" s="5" t="str">
        <f>IF(P311="","", "⚠️ 薄弱环节: "&amp;INDEX($N$1:$O$1, MATCH(MIN(N311:O311), N311:O311, 0))&amp;CHAR(10)&amp;"📉 考察能力: "&amp;IFERROR(VLOOKUP(TRIM(D311)&amp;"_"&amp;TRIM(INDEX($N$1:$O$1, MATCH(MIN(N311:O311), N311:O311, 0))), 技能库!$A:$F, 5, 0),"建议查阅考纲")&amp;CHAR(10)&amp;"💡 提升建议: "&amp;IFERROR(VLOOKUP(TRIM(D311)&amp;"_"&amp;TRIM(INDEX($N$1:$O$1, MATCH(MIN(N311:O311), N311:O311, 0))), 技能库!$A:$F, 6, 0),"请针对该题型加强练习"))</f>
        <v/>
      </c>
      <c r="AC311" s="5" t="str">
        <f>IF(W311="","", "⚠️ 薄弱环节: "&amp;INDEX($R$1:$V$1, MATCH(MIN(R311:V311), R311:V311, 0))&amp;CHAR(10)&amp;"📉 考察能力: "&amp;IFERROR(VLOOKUP(TRIM(D311)&amp;"_"&amp;TRIM(INDEX($R$1:$V$1, MATCH(MIN(R311:V311), R311:V311, 0))), 技能库!$A:$F, 5, 0),"建议查阅考纲")&amp;CHAR(10)&amp;"💡 提升建议: "&amp;IFERROR(VLOOKUP(TRIM(D311)&amp;"_"&amp;TRIM(INDEX($R$1:$V$1, MATCH(MIN(R311:V311), R311:V311, 0))), 技能库!$A:$F, 6, 0),"请针对该题型加强练习"))</f>
        <v/>
      </c>
    </row>
    <row r="312" spans="12:29" ht="16" hidden="1" x14ac:dyDescent="0.2">
      <c r="L312" t="str">
        <f t="shared" si="16"/>
        <v/>
      </c>
      <c r="M312" t="str">
        <f>IF(L312="","", IFERROR(VLOOKUP(L312, IF(D312="KET", 换算标准!$M:$N, IF(D312="PET", 换算标准!$S:$T, 换算标准!$AC:$AD)), 2, TRUE), 0))</f>
        <v/>
      </c>
      <c r="P312" t="str">
        <f t="shared" si="17"/>
        <v/>
      </c>
      <c r="Q312" t="str">
        <f>IF(P312="","", IFERROR(VLOOKUP(P312, IF(D312="KET", 换算标准!$O:$P, IF(D312="PET", 换算标准!$U:$V, 换算标准!$AG:$AH)), 2, TRUE), 0))</f>
        <v/>
      </c>
      <c r="W312" t="str">
        <f t="shared" si="18"/>
        <v/>
      </c>
      <c r="X312" t="str">
        <f>IF(W312="","", IFERROR(VLOOKUP(W312, IF(D312="KET", 换算标准!$Q:$R, IF(D312="PET", 换算标准!$W:$X, 换算标准!$AI:$AJ)), 2, TRUE), 0))</f>
        <v/>
      </c>
      <c r="Y312" t="str">
        <f t="shared" si="19"/>
        <v/>
      </c>
      <c r="Z312" t="str">
        <f>IF(Y312="","", IFERROR(VLOOKUP(Y312, 换算标准!$Z:$AA, 1, TRUE), ""))</f>
        <v/>
      </c>
      <c r="AA312" s="5" t="str">
        <f>IF(L312="","", "⚠️ 薄弱环节: "&amp;INDEX($E$1:$K$1, MATCH(MIN(E312:K312), E312:K312, 0))&amp;CHAR(10)&amp;"📉 考察能力: "&amp;IFERROR(VLOOKUP(TRIM(D312)&amp;"_"&amp;TRIM(INDEX($E$1:$K$1, MATCH(MIN(E312:K312), E312:K312, 0))), 技能库!$A:$F, 5, 0),"建议查阅考纲")&amp;CHAR(10)&amp;"💡 提升建议: "&amp;IFERROR(VLOOKUP(TRIM(D312)&amp;"_"&amp;TRIM(INDEX($E$1:$K$1, MATCH(MIN(E312:K312), E312:K312, 0))), 技能库!$A:$F, 6, 0),"请针对该题型加强练习"))</f>
        <v/>
      </c>
      <c r="AB312" s="5" t="str">
        <f>IF(P312="","", "⚠️ 薄弱环节: "&amp;INDEX($N$1:$O$1, MATCH(MIN(N312:O312), N312:O312, 0))&amp;CHAR(10)&amp;"📉 考察能力: "&amp;IFERROR(VLOOKUP(TRIM(D312)&amp;"_"&amp;TRIM(INDEX($N$1:$O$1, MATCH(MIN(N312:O312), N312:O312, 0))), 技能库!$A:$F, 5, 0),"建议查阅考纲")&amp;CHAR(10)&amp;"💡 提升建议: "&amp;IFERROR(VLOOKUP(TRIM(D312)&amp;"_"&amp;TRIM(INDEX($N$1:$O$1, MATCH(MIN(N312:O312), N312:O312, 0))), 技能库!$A:$F, 6, 0),"请针对该题型加强练习"))</f>
        <v/>
      </c>
      <c r="AC312" s="5" t="str">
        <f>IF(W312="","", "⚠️ 薄弱环节: "&amp;INDEX($R$1:$V$1, MATCH(MIN(R312:V312), R312:V312, 0))&amp;CHAR(10)&amp;"📉 考察能力: "&amp;IFERROR(VLOOKUP(TRIM(D312)&amp;"_"&amp;TRIM(INDEX($R$1:$V$1, MATCH(MIN(R312:V312), R312:V312, 0))), 技能库!$A:$F, 5, 0),"建议查阅考纲")&amp;CHAR(10)&amp;"💡 提升建议: "&amp;IFERROR(VLOOKUP(TRIM(D312)&amp;"_"&amp;TRIM(INDEX($R$1:$V$1, MATCH(MIN(R312:V312), R312:V312, 0))), 技能库!$A:$F, 6, 0),"请针对该题型加强练习"))</f>
        <v/>
      </c>
    </row>
    <row r="313" spans="12:29" ht="16" hidden="1" x14ac:dyDescent="0.2">
      <c r="L313" t="str">
        <f t="shared" si="16"/>
        <v/>
      </c>
      <c r="M313" t="str">
        <f>IF(L313="","", IFERROR(VLOOKUP(L313, IF(D313="KET", 换算标准!$M:$N, IF(D313="PET", 换算标准!$S:$T, 换算标准!$AC:$AD)), 2, TRUE), 0))</f>
        <v/>
      </c>
      <c r="P313" t="str">
        <f t="shared" si="17"/>
        <v/>
      </c>
      <c r="Q313" t="str">
        <f>IF(P313="","", IFERROR(VLOOKUP(P313, IF(D313="KET", 换算标准!$O:$P, IF(D313="PET", 换算标准!$U:$V, 换算标准!$AG:$AH)), 2, TRUE), 0))</f>
        <v/>
      </c>
      <c r="W313" t="str">
        <f t="shared" si="18"/>
        <v/>
      </c>
      <c r="X313" t="str">
        <f>IF(W313="","", IFERROR(VLOOKUP(W313, IF(D313="KET", 换算标准!$Q:$R, IF(D313="PET", 换算标准!$W:$X, 换算标准!$AI:$AJ)), 2, TRUE), 0))</f>
        <v/>
      </c>
      <c r="Y313" t="str">
        <f t="shared" si="19"/>
        <v/>
      </c>
      <c r="Z313" t="str">
        <f>IF(Y313="","", IFERROR(VLOOKUP(Y313, 换算标准!$Z:$AA, 1, TRUE), ""))</f>
        <v/>
      </c>
      <c r="AA313" s="5" t="str">
        <f>IF(L313="","", "⚠️ 薄弱环节: "&amp;INDEX($E$1:$K$1, MATCH(MIN(E313:K313), E313:K313, 0))&amp;CHAR(10)&amp;"📉 考察能力: "&amp;IFERROR(VLOOKUP(TRIM(D313)&amp;"_"&amp;TRIM(INDEX($E$1:$K$1, MATCH(MIN(E313:K313), E313:K313, 0))), 技能库!$A:$F, 5, 0),"建议查阅考纲")&amp;CHAR(10)&amp;"💡 提升建议: "&amp;IFERROR(VLOOKUP(TRIM(D313)&amp;"_"&amp;TRIM(INDEX($E$1:$K$1, MATCH(MIN(E313:K313), E313:K313, 0))), 技能库!$A:$F, 6, 0),"请针对该题型加强练习"))</f>
        <v/>
      </c>
      <c r="AB313" s="5" t="str">
        <f>IF(P313="","", "⚠️ 薄弱环节: "&amp;INDEX($N$1:$O$1, MATCH(MIN(N313:O313), N313:O313, 0))&amp;CHAR(10)&amp;"📉 考察能力: "&amp;IFERROR(VLOOKUP(TRIM(D313)&amp;"_"&amp;TRIM(INDEX($N$1:$O$1, MATCH(MIN(N313:O313), N313:O313, 0))), 技能库!$A:$F, 5, 0),"建议查阅考纲")&amp;CHAR(10)&amp;"💡 提升建议: "&amp;IFERROR(VLOOKUP(TRIM(D313)&amp;"_"&amp;TRIM(INDEX($N$1:$O$1, MATCH(MIN(N313:O313), N313:O313, 0))), 技能库!$A:$F, 6, 0),"请针对该题型加强练习"))</f>
        <v/>
      </c>
      <c r="AC313" s="5" t="str">
        <f>IF(W313="","", "⚠️ 薄弱环节: "&amp;INDEX($R$1:$V$1, MATCH(MIN(R313:V313), R313:V313, 0))&amp;CHAR(10)&amp;"📉 考察能力: "&amp;IFERROR(VLOOKUP(TRIM(D313)&amp;"_"&amp;TRIM(INDEX($R$1:$V$1, MATCH(MIN(R313:V313), R313:V313, 0))), 技能库!$A:$F, 5, 0),"建议查阅考纲")&amp;CHAR(10)&amp;"💡 提升建议: "&amp;IFERROR(VLOOKUP(TRIM(D313)&amp;"_"&amp;TRIM(INDEX($R$1:$V$1, MATCH(MIN(R313:V313), R313:V313, 0))), 技能库!$A:$F, 6, 0),"请针对该题型加强练习"))</f>
        <v/>
      </c>
    </row>
    <row r="314" spans="12:29" ht="16" hidden="1" x14ac:dyDescent="0.2">
      <c r="L314" t="str">
        <f t="shared" si="16"/>
        <v/>
      </c>
      <c r="M314" t="str">
        <f>IF(L314="","", IFERROR(VLOOKUP(L314, IF(D314="KET", 换算标准!$M:$N, IF(D314="PET", 换算标准!$S:$T, 换算标准!$AC:$AD)), 2, TRUE), 0))</f>
        <v/>
      </c>
      <c r="P314" t="str">
        <f t="shared" si="17"/>
        <v/>
      </c>
      <c r="Q314" t="str">
        <f>IF(P314="","", IFERROR(VLOOKUP(P314, IF(D314="KET", 换算标准!$O:$P, IF(D314="PET", 换算标准!$U:$V, 换算标准!$AG:$AH)), 2, TRUE), 0))</f>
        <v/>
      </c>
      <c r="W314" t="str">
        <f t="shared" si="18"/>
        <v/>
      </c>
      <c r="X314" t="str">
        <f>IF(W314="","", IFERROR(VLOOKUP(W314, IF(D314="KET", 换算标准!$Q:$R, IF(D314="PET", 换算标准!$W:$X, 换算标准!$AI:$AJ)), 2, TRUE), 0))</f>
        <v/>
      </c>
      <c r="Y314" t="str">
        <f t="shared" si="19"/>
        <v/>
      </c>
      <c r="Z314" t="str">
        <f>IF(Y314="","", IFERROR(VLOOKUP(Y314, 换算标准!$Z:$AA, 1, TRUE), ""))</f>
        <v/>
      </c>
      <c r="AA314" s="5" t="str">
        <f>IF(L314="","", "⚠️ 薄弱环节: "&amp;INDEX($E$1:$K$1, MATCH(MIN(E314:K314), E314:K314, 0))&amp;CHAR(10)&amp;"📉 考察能力: "&amp;IFERROR(VLOOKUP(TRIM(D314)&amp;"_"&amp;TRIM(INDEX($E$1:$K$1, MATCH(MIN(E314:K314), E314:K314, 0))), 技能库!$A:$F, 5, 0),"建议查阅考纲")&amp;CHAR(10)&amp;"💡 提升建议: "&amp;IFERROR(VLOOKUP(TRIM(D314)&amp;"_"&amp;TRIM(INDEX($E$1:$K$1, MATCH(MIN(E314:K314), E314:K314, 0))), 技能库!$A:$F, 6, 0),"请针对该题型加强练习"))</f>
        <v/>
      </c>
      <c r="AB314" s="5" t="str">
        <f>IF(P314="","", "⚠️ 薄弱环节: "&amp;INDEX($N$1:$O$1, MATCH(MIN(N314:O314), N314:O314, 0))&amp;CHAR(10)&amp;"📉 考察能力: "&amp;IFERROR(VLOOKUP(TRIM(D314)&amp;"_"&amp;TRIM(INDEX($N$1:$O$1, MATCH(MIN(N314:O314), N314:O314, 0))), 技能库!$A:$F, 5, 0),"建议查阅考纲")&amp;CHAR(10)&amp;"💡 提升建议: "&amp;IFERROR(VLOOKUP(TRIM(D314)&amp;"_"&amp;TRIM(INDEX($N$1:$O$1, MATCH(MIN(N314:O314), N314:O314, 0))), 技能库!$A:$F, 6, 0),"请针对该题型加强练习"))</f>
        <v/>
      </c>
      <c r="AC314" s="5" t="str">
        <f>IF(W314="","", "⚠️ 薄弱环节: "&amp;INDEX($R$1:$V$1, MATCH(MIN(R314:V314), R314:V314, 0))&amp;CHAR(10)&amp;"📉 考察能力: "&amp;IFERROR(VLOOKUP(TRIM(D314)&amp;"_"&amp;TRIM(INDEX($R$1:$V$1, MATCH(MIN(R314:V314), R314:V314, 0))), 技能库!$A:$F, 5, 0),"建议查阅考纲")&amp;CHAR(10)&amp;"💡 提升建议: "&amp;IFERROR(VLOOKUP(TRIM(D314)&amp;"_"&amp;TRIM(INDEX($R$1:$V$1, MATCH(MIN(R314:V314), R314:V314, 0))), 技能库!$A:$F, 6, 0),"请针对该题型加强练习"))</f>
        <v/>
      </c>
    </row>
    <row r="315" spans="12:29" ht="16" hidden="1" x14ac:dyDescent="0.2">
      <c r="L315" t="str">
        <f t="shared" si="16"/>
        <v/>
      </c>
      <c r="M315" t="str">
        <f>IF(L315="","", IFERROR(VLOOKUP(L315, IF(D315="KET", 换算标准!$M:$N, IF(D315="PET", 换算标准!$S:$T, 换算标准!$AC:$AD)), 2, TRUE), 0))</f>
        <v/>
      </c>
      <c r="P315" t="str">
        <f t="shared" si="17"/>
        <v/>
      </c>
      <c r="Q315" t="str">
        <f>IF(P315="","", IFERROR(VLOOKUP(P315, IF(D315="KET", 换算标准!$O:$P, IF(D315="PET", 换算标准!$U:$V, 换算标准!$AG:$AH)), 2, TRUE), 0))</f>
        <v/>
      </c>
      <c r="W315" t="str">
        <f t="shared" si="18"/>
        <v/>
      </c>
      <c r="X315" t="str">
        <f>IF(W315="","", IFERROR(VLOOKUP(W315, IF(D315="KET", 换算标准!$Q:$R, IF(D315="PET", 换算标准!$W:$X, 换算标准!$AI:$AJ)), 2, TRUE), 0))</f>
        <v/>
      </c>
      <c r="Y315" t="str">
        <f t="shared" si="19"/>
        <v/>
      </c>
      <c r="Z315" t="str">
        <f>IF(Y315="","", IFERROR(VLOOKUP(Y315, 换算标准!$Z:$AA, 1, TRUE), ""))</f>
        <v/>
      </c>
      <c r="AA315" s="5" t="str">
        <f>IF(L315="","", "⚠️ 薄弱环节: "&amp;INDEX($E$1:$K$1, MATCH(MIN(E315:K315), E315:K315, 0))&amp;CHAR(10)&amp;"📉 考察能力: "&amp;IFERROR(VLOOKUP(TRIM(D315)&amp;"_"&amp;TRIM(INDEX($E$1:$K$1, MATCH(MIN(E315:K315), E315:K315, 0))), 技能库!$A:$F, 5, 0),"建议查阅考纲")&amp;CHAR(10)&amp;"💡 提升建议: "&amp;IFERROR(VLOOKUP(TRIM(D315)&amp;"_"&amp;TRIM(INDEX($E$1:$K$1, MATCH(MIN(E315:K315), E315:K315, 0))), 技能库!$A:$F, 6, 0),"请针对该题型加强练习"))</f>
        <v/>
      </c>
      <c r="AB315" s="5" t="str">
        <f>IF(P315="","", "⚠️ 薄弱环节: "&amp;INDEX($N$1:$O$1, MATCH(MIN(N315:O315), N315:O315, 0))&amp;CHAR(10)&amp;"📉 考察能力: "&amp;IFERROR(VLOOKUP(TRIM(D315)&amp;"_"&amp;TRIM(INDEX($N$1:$O$1, MATCH(MIN(N315:O315), N315:O315, 0))), 技能库!$A:$F, 5, 0),"建议查阅考纲")&amp;CHAR(10)&amp;"💡 提升建议: "&amp;IFERROR(VLOOKUP(TRIM(D315)&amp;"_"&amp;TRIM(INDEX($N$1:$O$1, MATCH(MIN(N315:O315), N315:O315, 0))), 技能库!$A:$F, 6, 0),"请针对该题型加强练习"))</f>
        <v/>
      </c>
      <c r="AC315" s="5" t="str">
        <f>IF(W315="","", "⚠️ 薄弱环节: "&amp;INDEX($R$1:$V$1, MATCH(MIN(R315:V315), R315:V315, 0))&amp;CHAR(10)&amp;"📉 考察能力: "&amp;IFERROR(VLOOKUP(TRIM(D315)&amp;"_"&amp;TRIM(INDEX($R$1:$V$1, MATCH(MIN(R315:V315), R315:V315, 0))), 技能库!$A:$F, 5, 0),"建议查阅考纲")&amp;CHAR(10)&amp;"💡 提升建议: "&amp;IFERROR(VLOOKUP(TRIM(D315)&amp;"_"&amp;TRIM(INDEX($R$1:$V$1, MATCH(MIN(R315:V315), R315:V315, 0))), 技能库!$A:$F, 6, 0),"请针对该题型加强练习"))</f>
        <v/>
      </c>
    </row>
    <row r="316" spans="12:29" ht="16" hidden="1" x14ac:dyDescent="0.2">
      <c r="L316" t="str">
        <f t="shared" si="16"/>
        <v/>
      </c>
      <c r="M316" t="str">
        <f>IF(L316="","", IFERROR(VLOOKUP(L316, IF(D316="KET", 换算标准!$M:$N, IF(D316="PET", 换算标准!$S:$T, 换算标准!$AC:$AD)), 2, TRUE), 0))</f>
        <v/>
      </c>
      <c r="P316" t="str">
        <f t="shared" si="17"/>
        <v/>
      </c>
      <c r="Q316" t="str">
        <f>IF(P316="","", IFERROR(VLOOKUP(P316, IF(D316="KET", 换算标准!$O:$P, IF(D316="PET", 换算标准!$U:$V, 换算标准!$AG:$AH)), 2, TRUE), 0))</f>
        <v/>
      </c>
      <c r="W316" t="str">
        <f t="shared" si="18"/>
        <v/>
      </c>
      <c r="X316" t="str">
        <f>IF(W316="","", IFERROR(VLOOKUP(W316, IF(D316="KET", 换算标准!$Q:$R, IF(D316="PET", 换算标准!$W:$X, 换算标准!$AI:$AJ)), 2, TRUE), 0))</f>
        <v/>
      </c>
      <c r="Y316" t="str">
        <f t="shared" si="19"/>
        <v/>
      </c>
      <c r="Z316" t="str">
        <f>IF(Y316="","", IFERROR(VLOOKUP(Y316, 换算标准!$Z:$AA, 1, TRUE), ""))</f>
        <v/>
      </c>
      <c r="AA316" s="5" t="str">
        <f>IF(L316="","", "⚠️ 薄弱环节: "&amp;INDEX($E$1:$K$1, MATCH(MIN(E316:K316), E316:K316, 0))&amp;CHAR(10)&amp;"📉 考察能力: "&amp;IFERROR(VLOOKUP(TRIM(D316)&amp;"_"&amp;TRIM(INDEX($E$1:$K$1, MATCH(MIN(E316:K316), E316:K316, 0))), 技能库!$A:$F, 5, 0),"建议查阅考纲")&amp;CHAR(10)&amp;"💡 提升建议: "&amp;IFERROR(VLOOKUP(TRIM(D316)&amp;"_"&amp;TRIM(INDEX($E$1:$K$1, MATCH(MIN(E316:K316), E316:K316, 0))), 技能库!$A:$F, 6, 0),"请针对该题型加强练习"))</f>
        <v/>
      </c>
      <c r="AB316" s="5" t="str">
        <f>IF(P316="","", "⚠️ 薄弱环节: "&amp;INDEX($N$1:$O$1, MATCH(MIN(N316:O316), N316:O316, 0))&amp;CHAR(10)&amp;"📉 考察能力: "&amp;IFERROR(VLOOKUP(TRIM(D316)&amp;"_"&amp;TRIM(INDEX($N$1:$O$1, MATCH(MIN(N316:O316), N316:O316, 0))), 技能库!$A:$F, 5, 0),"建议查阅考纲")&amp;CHAR(10)&amp;"💡 提升建议: "&amp;IFERROR(VLOOKUP(TRIM(D316)&amp;"_"&amp;TRIM(INDEX($N$1:$O$1, MATCH(MIN(N316:O316), N316:O316, 0))), 技能库!$A:$F, 6, 0),"请针对该题型加强练习"))</f>
        <v/>
      </c>
      <c r="AC316" s="5" t="str">
        <f>IF(W316="","", "⚠️ 薄弱环节: "&amp;INDEX($R$1:$V$1, MATCH(MIN(R316:V316), R316:V316, 0))&amp;CHAR(10)&amp;"📉 考察能力: "&amp;IFERROR(VLOOKUP(TRIM(D316)&amp;"_"&amp;TRIM(INDEX($R$1:$V$1, MATCH(MIN(R316:V316), R316:V316, 0))), 技能库!$A:$F, 5, 0),"建议查阅考纲")&amp;CHAR(10)&amp;"💡 提升建议: "&amp;IFERROR(VLOOKUP(TRIM(D316)&amp;"_"&amp;TRIM(INDEX($R$1:$V$1, MATCH(MIN(R316:V316), R316:V316, 0))), 技能库!$A:$F, 6, 0),"请针对该题型加强练习"))</f>
        <v/>
      </c>
    </row>
    <row r="317" spans="12:29" ht="16" hidden="1" x14ac:dyDescent="0.2">
      <c r="L317" t="str">
        <f t="shared" si="16"/>
        <v/>
      </c>
      <c r="M317" t="str">
        <f>IF(L317="","", IFERROR(VLOOKUP(L317, IF(D317="KET", 换算标准!$M:$N, IF(D317="PET", 换算标准!$S:$T, 换算标准!$AC:$AD)), 2, TRUE), 0))</f>
        <v/>
      </c>
      <c r="P317" t="str">
        <f t="shared" si="17"/>
        <v/>
      </c>
      <c r="Q317" t="str">
        <f>IF(P317="","", IFERROR(VLOOKUP(P317, IF(D317="KET", 换算标准!$O:$P, IF(D317="PET", 换算标准!$U:$V, 换算标准!$AG:$AH)), 2, TRUE), 0))</f>
        <v/>
      </c>
      <c r="W317" t="str">
        <f t="shared" si="18"/>
        <v/>
      </c>
      <c r="X317" t="str">
        <f>IF(W317="","", IFERROR(VLOOKUP(W317, IF(D317="KET", 换算标准!$Q:$R, IF(D317="PET", 换算标准!$W:$X, 换算标准!$AI:$AJ)), 2, TRUE), 0))</f>
        <v/>
      </c>
      <c r="Y317" t="str">
        <f t="shared" si="19"/>
        <v/>
      </c>
      <c r="Z317" t="str">
        <f>IF(Y317="","", IFERROR(VLOOKUP(Y317, 换算标准!$Z:$AA, 1, TRUE), ""))</f>
        <v/>
      </c>
      <c r="AA317" s="5" t="str">
        <f>IF(L317="","", "⚠️ 薄弱环节: "&amp;INDEX($E$1:$K$1, MATCH(MIN(E317:K317), E317:K317, 0))&amp;CHAR(10)&amp;"📉 考察能力: "&amp;IFERROR(VLOOKUP(TRIM(D317)&amp;"_"&amp;TRIM(INDEX($E$1:$K$1, MATCH(MIN(E317:K317), E317:K317, 0))), 技能库!$A:$F, 5, 0),"建议查阅考纲")&amp;CHAR(10)&amp;"💡 提升建议: "&amp;IFERROR(VLOOKUP(TRIM(D317)&amp;"_"&amp;TRIM(INDEX($E$1:$K$1, MATCH(MIN(E317:K317), E317:K317, 0))), 技能库!$A:$F, 6, 0),"请针对该题型加强练习"))</f>
        <v/>
      </c>
      <c r="AB317" s="5" t="str">
        <f>IF(P317="","", "⚠️ 薄弱环节: "&amp;INDEX($N$1:$O$1, MATCH(MIN(N317:O317), N317:O317, 0))&amp;CHAR(10)&amp;"📉 考察能力: "&amp;IFERROR(VLOOKUP(TRIM(D317)&amp;"_"&amp;TRIM(INDEX($N$1:$O$1, MATCH(MIN(N317:O317), N317:O317, 0))), 技能库!$A:$F, 5, 0),"建议查阅考纲")&amp;CHAR(10)&amp;"💡 提升建议: "&amp;IFERROR(VLOOKUP(TRIM(D317)&amp;"_"&amp;TRIM(INDEX($N$1:$O$1, MATCH(MIN(N317:O317), N317:O317, 0))), 技能库!$A:$F, 6, 0),"请针对该题型加强练习"))</f>
        <v/>
      </c>
      <c r="AC317" s="5" t="str">
        <f>IF(W317="","", "⚠️ 薄弱环节: "&amp;INDEX($R$1:$V$1, MATCH(MIN(R317:V317), R317:V317, 0))&amp;CHAR(10)&amp;"📉 考察能力: "&amp;IFERROR(VLOOKUP(TRIM(D317)&amp;"_"&amp;TRIM(INDEX($R$1:$V$1, MATCH(MIN(R317:V317), R317:V317, 0))), 技能库!$A:$F, 5, 0),"建议查阅考纲")&amp;CHAR(10)&amp;"💡 提升建议: "&amp;IFERROR(VLOOKUP(TRIM(D317)&amp;"_"&amp;TRIM(INDEX($R$1:$V$1, MATCH(MIN(R317:V317), R317:V317, 0))), 技能库!$A:$F, 6, 0),"请针对该题型加强练习"))</f>
        <v/>
      </c>
    </row>
    <row r="318" spans="12:29" ht="16" hidden="1" x14ac:dyDescent="0.2">
      <c r="L318" t="str">
        <f t="shared" si="16"/>
        <v/>
      </c>
      <c r="M318" t="str">
        <f>IF(L318="","", IFERROR(VLOOKUP(L318, IF(D318="KET", 换算标准!$M:$N, IF(D318="PET", 换算标准!$S:$T, 换算标准!$AC:$AD)), 2, TRUE), 0))</f>
        <v/>
      </c>
      <c r="P318" t="str">
        <f t="shared" si="17"/>
        <v/>
      </c>
      <c r="Q318" t="str">
        <f>IF(P318="","", IFERROR(VLOOKUP(P318, IF(D318="KET", 换算标准!$O:$P, IF(D318="PET", 换算标准!$U:$V, 换算标准!$AG:$AH)), 2, TRUE), 0))</f>
        <v/>
      </c>
      <c r="W318" t="str">
        <f t="shared" si="18"/>
        <v/>
      </c>
      <c r="X318" t="str">
        <f>IF(W318="","", IFERROR(VLOOKUP(W318, IF(D318="KET", 换算标准!$Q:$R, IF(D318="PET", 换算标准!$W:$X, 换算标准!$AI:$AJ)), 2, TRUE), 0))</f>
        <v/>
      </c>
      <c r="Y318" t="str">
        <f t="shared" si="19"/>
        <v/>
      </c>
      <c r="Z318" t="str">
        <f>IF(Y318="","", IFERROR(VLOOKUP(Y318, 换算标准!$Z:$AA, 1, TRUE), ""))</f>
        <v/>
      </c>
      <c r="AA318" s="5" t="str">
        <f>IF(L318="","", "⚠️ 薄弱环节: "&amp;INDEX($E$1:$K$1, MATCH(MIN(E318:K318), E318:K318, 0))&amp;CHAR(10)&amp;"📉 考察能力: "&amp;IFERROR(VLOOKUP(TRIM(D318)&amp;"_"&amp;TRIM(INDEX($E$1:$K$1, MATCH(MIN(E318:K318), E318:K318, 0))), 技能库!$A:$F, 5, 0),"建议查阅考纲")&amp;CHAR(10)&amp;"💡 提升建议: "&amp;IFERROR(VLOOKUP(TRIM(D318)&amp;"_"&amp;TRIM(INDEX($E$1:$K$1, MATCH(MIN(E318:K318), E318:K318, 0))), 技能库!$A:$F, 6, 0),"请针对该题型加强练习"))</f>
        <v/>
      </c>
      <c r="AB318" s="5" t="str">
        <f>IF(P318="","", "⚠️ 薄弱环节: "&amp;INDEX($N$1:$O$1, MATCH(MIN(N318:O318), N318:O318, 0))&amp;CHAR(10)&amp;"📉 考察能力: "&amp;IFERROR(VLOOKUP(TRIM(D318)&amp;"_"&amp;TRIM(INDEX($N$1:$O$1, MATCH(MIN(N318:O318), N318:O318, 0))), 技能库!$A:$F, 5, 0),"建议查阅考纲")&amp;CHAR(10)&amp;"💡 提升建议: "&amp;IFERROR(VLOOKUP(TRIM(D318)&amp;"_"&amp;TRIM(INDEX($N$1:$O$1, MATCH(MIN(N318:O318), N318:O318, 0))), 技能库!$A:$F, 6, 0),"请针对该题型加强练习"))</f>
        <v/>
      </c>
      <c r="AC318" s="5" t="str">
        <f>IF(W318="","", "⚠️ 薄弱环节: "&amp;INDEX($R$1:$V$1, MATCH(MIN(R318:V318), R318:V318, 0))&amp;CHAR(10)&amp;"📉 考察能力: "&amp;IFERROR(VLOOKUP(TRIM(D318)&amp;"_"&amp;TRIM(INDEX($R$1:$V$1, MATCH(MIN(R318:V318), R318:V318, 0))), 技能库!$A:$F, 5, 0),"建议查阅考纲")&amp;CHAR(10)&amp;"💡 提升建议: "&amp;IFERROR(VLOOKUP(TRIM(D318)&amp;"_"&amp;TRIM(INDEX($R$1:$V$1, MATCH(MIN(R318:V318), R318:V318, 0))), 技能库!$A:$F, 6, 0),"请针对该题型加强练习"))</f>
        <v/>
      </c>
    </row>
    <row r="319" spans="12:29" ht="16" hidden="1" x14ac:dyDescent="0.2">
      <c r="L319" t="str">
        <f t="shared" si="16"/>
        <v/>
      </c>
      <c r="M319" t="str">
        <f>IF(L319="","", IFERROR(VLOOKUP(L319, IF(D319="KET", 换算标准!$M:$N, IF(D319="PET", 换算标准!$S:$T, 换算标准!$AC:$AD)), 2, TRUE), 0))</f>
        <v/>
      </c>
      <c r="P319" t="str">
        <f t="shared" si="17"/>
        <v/>
      </c>
      <c r="Q319" t="str">
        <f>IF(P319="","", IFERROR(VLOOKUP(P319, IF(D319="KET", 换算标准!$O:$P, IF(D319="PET", 换算标准!$U:$V, 换算标准!$AG:$AH)), 2, TRUE), 0))</f>
        <v/>
      </c>
      <c r="W319" t="str">
        <f t="shared" si="18"/>
        <v/>
      </c>
      <c r="X319" t="str">
        <f>IF(W319="","", IFERROR(VLOOKUP(W319, IF(D319="KET", 换算标准!$Q:$R, IF(D319="PET", 换算标准!$W:$X, 换算标准!$AI:$AJ)), 2, TRUE), 0))</f>
        <v/>
      </c>
      <c r="Y319" t="str">
        <f t="shared" si="19"/>
        <v/>
      </c>
      <c r="Z319" t="str">
        <f>IF(Y319="","", IFERROR(VLOOKUP(Y319, 换算标准!$Z:$AA, 1, TRUE), ""))</f>
        <v/>
      </c>
      <c r="AA319" s="5" t="str">
        <f>IF(L319="","", "⚠️ 薄弱环节: "&amp;INDEX($E$1:$K$1, MATCH(MIN(E319:K319), E319:K319, 0))&amp;CHAR(10)&amp;"📉 考察能力: "&amp;IFERROR(VLOOKUP(TRIM(D319)&amp;"_"&amp;TRIM(INDEX($E$1:$K$1, MATCH(MIN(E319:K319), E319:K319, 0))), 技能库!$A:$F, 5, 0),"建议查阅考纲")&amp;CHAR(10)&amp;"💡 提升建议: "&amp;IFERROR(VLOOKUP(TRIM(D319)&amp;"_"&amp;TRIM(INDEX($E$1:$K$1, MATCH(MIN(E319:K319), E319:K319, 0))), 技能库!$A:$F, 6, 0),"请针对该题型加强练习"))</f>
        <v/>
      </c>
      <c r="AB319" s="5" t="str">
        <f>IF(P319="","", "⚠️ 薄弱环节: "&amp;INDEX($N$1:$O$1, MATCH(MIN(N319:O319), N319:O319, 0))&amp;CHAR(10)&amp;"📉 考察能力: "&amp;IFERROR(VLOOKUP(TRIM(D319)&amp;"_"&amp;TRIM(INDEX($N$1:$O$1, MATCH(MIN(N319:O319), N319:O319, 0))), 技能库!$A:$F, 5, 0),"建议查阅考纲")&amp;CHAR(10)&amp;"💡 提升建议: "&amp;IFERROR(VLOOKUP(TRIM(D319)&amp;"_"&amp;TRIM(INDEX($N$1:$O$1, MATCH(MIN(N319:O319), N319:O319, 0))), 技能库!$A:$F, 6, 0),"请针对该题型加强练习"))</f>
        <v/>
      </c>
      <c r="AC319" s="5" t="str">
        <f>IF(W319="","", "⚠️ 薄弱环节: "&amp;INDEX($R$1:$V$1, MATCH(MIN(R319:V319), R319:V319, 0))&amp;CHAR(10)&amp;"📉 考察能力: "&amp;IFERROR(VLOOKUP(TRIM(D319)&amp;"_"&amp;TRIM(INDEX($R$1:$V$1, MATCH(MIN(R319:V319), R319:V319, 0))), 技能库!$A:$F, 5, 0),"建议查阅考纲")&amp;CHAR(10)&amp;"💡 提升建议: "&amp;IFERROR(VLOOKUP(TRIM(D319)&amp;"_"&amp;TRIM(INDEX($R$1:$V$1, MATCH(MIN(R319:V319), R319:V319, 0))), 技能库!$A:$F, 6, 0),"请针对该题型加强练习"))</f>
        <v/>
      </c>
    </row>
    <row r="320" spans="12:29" ht="16" hidden="1" x14ac:dyDescent="0.2">
      <c r="L320" t="str">
        <f t="shared" si="16"/>
        <v/>
      </c>
      <c r="M320" t="str">
        <f>IF(L320="","", IFERROR(VLOOKUP(L320, IF(D320="KET", 换算标准!$M:$N, IF(D320="PET", 换算标准!$S:$T, 换算标准!$AC:$AD)), 2, TRUE), 0))</f>
        <v/>
      </c>
      <c r="P320" t="str">
        <f t="shared" si="17"/>
        <v/>
      </c>
      <c r="Q320" t="str">
        <f>IF(P320="","", IFERROR(VLOOKUP(P320, IF(D320="KET", 换算标准!$O:$P, IF(D320="PET", 换算标准!$U:$V, 换算标准!$AG:$AH)), 2, TRUE), 0))</f>
        <v/>
      </c>
      <c r="W320" t="str">
        <f t="shared" si="18"/>
        <v/>
      </c>
      <c r="X320" t="str">
        <f>IF(W320="","", IFERROR(VLOOKUP(W320, IF(D320="KET", 换算标准!$Q:$R, IF(D320="PET", 换算标准!$W:$X, 换算标准!$AI:$AJ)), 2, TRUE), 0))</f>
        <v/>
      </c>
      <c r="Y320" t="str">
        <f t="shared" si="19"/>
        <v/>
      </c>
      <c r="Z320" t="str">
        <f>IF(Y320="","", IFERROR(VLOOKUP(Y320, 换算标准!$Z:$AA, 1, TRUE), ""))</f>
        <v/>
      </c>
      <c r="AA320" s="5" t="str">
        <f>IF(L320="","", "⚠️ 薄弱环节: "&amp;INDEX($E$1:$K$1, MATCH(MIN(E320:K320), E320:K320, 0))&amp;CHAR(10)&amp;"📉 考察能力: "&amp;IFERROR(VLOOKUP(TRIM(D320)&amp;"_"&amp;TRIM(INDEX($E$1:$K$1, MATCH(MIN(E320:K320), E320:K320, 0))), 技能库!$A:$F, 5, 0),"建议查阅考纲")&amp;CHAR(10)&amp;"💡 提升建议: "&amp;IFERROR(VLOOKUP(TRIM(D320)&amp;"_"&amp;TRIM(INDEX($E$1:$K$1, MATCH(MIN(E320:K320), E320:K320, 0))), 技能库!$A:$F, 6, 0),"请针对该题型加强练习"))</f>
        <v/>
      </c>
      <c r="AB320" s="5" t="str">
        <f>IF(P320="","", "⚠️ 薄弱环节: "&amp;INDEX($N$1:$O$1, MATCH(MIN(N320:O320), N320:O320, 0))&amp;CHAR(10)&amp;"📉 考察能力: "&amp;IFERROR(VLOOKUP(TRIM(D320)&amp;"_"&amp;TRIM(INDEX($N$1:$O$1, MATCH(MIN(N320:O320), N320:O320, 0))), 技能库!$A:$F, 5, 0),"建议查阅考纲")&amp;CHAR(10)&amp;"💡 提升建议: "&amp;IFERROR(VLOOKUP(TRIM(D320)&amp;"_"&amp;TRIM(INDEX($N$1:$O$1, MATCH(MIN(N320:O320), N320:O320, 0))), 技能库!$A:$F, 6, 0),"请针对该题型加强练习"))</f>
        <v/>
      </c>
      <c r="AC320" s="5" t="str">
        <f>IF(W320="","", "⚠️ 薄弱环节: "&amp;INDEX($R$1:$V$1, MATCH(MIN(R320:V320), R320:V320, 0))&amp;CHAR(10)&amp;"📉 考察能力: "&amp;IFERROR(VLOOKUP(TRIM(D320)&amp;"_"&amp;TRIM(INDEX($R$1:$V$1, MATCH(MIN(R320:V320), R320:V320, 0))), 技能库!$A:$F, 5, 0),"建议查阅考纲")&amp;CHAR(10)&amp;"💡 提升建议: "&amp;IFERROR(VLOOKUP(TRIM(D320)&amp;"_"&amp;TRIM(INDEX($R$1:$V$1, MATCH(MIN(R320:V320), R320:V320, 0))), 技能库!$A:$F, 6, 0),"请针对该题型加强练习"))</f>
        <v/>
      </c>
    </row>
    <row r="321" spans="12:29" ht="16" hidden="1" x14ac:dyDescent="0.2">
      <c r="L321" t="str">
        <f t="shared" si="16"/>
        <v/>
      </c>
      <c r="M321" t="str">
        <f>IF(L321="","", IFERROR(VLOOKUP(L321, IF(D321="KET", 换算标准!$M:$N, IF(D321="PET", 换算标准!$S:$T, 换算标准!$AC:$AD)), 2, TRUE), 0))</f>
        <v/>
      </c>
      <c r="P321" t="str">
        <f t="shared" si="17"/>
        <v/>
      </c>
      <c r="Q321" t="str">
        <f>IF(P321="","", IFERROR(VLOOKUP(P321, IF(D321="KET", 换算标准!$O:$P, IF(D321="PET", 换算标准!$U:$V, 换算标准!$AG:$AH)), 2, TRUE), 0))</f>
        <v/>
      </c>
      <c r="W321" t="str">
        <f t="shared" si="18"/>
        <v/>
      </c>
      <c r="X321" t="str">
        <f>IF(W321="","", IFERROR(VLOOKUP(W321, IF(D321="KET", 换算标准!$Q:$R, IF(D321="PET", 换算标准!$W:$X, 换算标准!$AI:$AJ)), 2, TRUE), 0))</f>
        <v/>
      </c>
      <c r="Y321" t="str">
        <f t="shared" si="19"/>
        <v/>
      </c>
      <c r="Z321" t="str">
        <f>IF(Y321="","", IFERROR(VLOOKUP(Y321, 换算标准!$Z:$AA, 1, TRUE), ""))</f>
        <v/>
      </c>
      <c r="AA321" s="5" t="str">
        <f>IF(L321="","", "⚠️ 薄弱环节: "&amp;INDEX($E$1:$K$1, MATCH(MIN(E321:K321), E321:K321, 0))&amp;CHAR(10)&amp;"📉 考察能力: "&amp;IFERROR(VLOOKUP(TRIM(D321)&amp;"_"&amp;TRIM(INDEX($E$1:$K$1, MATCH(MIN(E321:K321), E321:K321, 0))), 技能库!$A:$F, 5, 0),"建议查阅考纲")&amp;CHAR(10)&amp;"💡 提升建议: "&amp;IFERROR(VLOOKUP(TRIM(D321)&amp;"_"&amp;TRIM(INDEX($E$1:$K$1, MATCH(MIN(E321:K321), E321:K321, 0))), 技能库!$A:$F, 6, 0),"请针对该题型加强练习"))</f>
        <v/>
      </c>
      <c r="AB321" s="5" t="str">
        <f>IF(P321="","", "⚠️ 薄弱环节: "&amp;INDEX($N$1:$O$1, MATCH(MIN(N321:O321), N321:O321, 0))&amp;CHAR(10)&amp;"📉 考察能力: "&amp;IFERROR(VLOOKUP(TRIM(D321)&amp;"_"&amp;TRIM(INDEX($N$1:$O$1, MATCH(MIN(N321:O321), N321:O321, 0))), 技能库!$A:$F, 5, 0),"建议查阅考纲")&amp;CHAR(10)&amp;"💡 提升建议: "&amp;IFERROR(VLOOKUP(TRIM(D321)&amp;"_"&amp;TRIM(INDEX($N$1:$O$1, MATCH(MIN(N321:O321), N321:O321, 0))), 技能库!$A:$F, 6, 0),"请针对该题型加强练习"))</f>
        <v/>
      </c>
      <c r="AC321" s="5" t="str">
        <f>IF(W321="","", "⚠️ 薄弱环节: "&amp;INDEX($R$1:$V$1, MATCH(MIN(R321:V321), R321:V321, 0))&amp;CHAR(10)&amp;"📉 考察能力: "&amp;IFERROR(VLOOKUP(TRIM(D321)&amp;"_"&amp;TRIM(INDEX($R$1:$V$1, MATCH(MIN(R321:V321), R321:V321, 0))), 技能库!$A:$F, 5, 0),"建议查阅考纲")&amp;CHAR(10)&amp;"💡 提升建议: "&amp;IFERROR(VLOOKUP(TRIM(D321)&amp;"_"&amp;TRIM(INDEX($R$1:$V$1, MATCH(MIN(R321:V321), R321:V321, 0))), 技能库!$A:$F, 6, 0),"请针对该题型加强练习"))</f>
        <v/>
      </c>
    </row>
    <row r="322" spans="12:29" ht="16" hidden="1" x14ac:dyDescent="0.2">
      <c r="L322" t="str">
        <f t="shared" ref="L322:L385" si="20">IF(COUNT(E322:K322)&gt;0, SUM(E322:K322), "")</f>
        <v/>
      </c>
      <c r="M322" t="str">
        <f>IF(L322="","", IFERROR(VLOOKUP(L322, IF(D322="KET", 换算标准!$M:$N, IF(D322="PET", 换算标准!$S:$T, 换算标准!$AC:$AD)), 2, TRUE), 0))</f>
        <v/>
      </c>
      <c r="P322" t="str">
        <f t="shared" ref="P322:P385" si="21">IF(COUNT(N322:O322)&gt;0, SUM(N322:O322), "")</f>
        <v/>
      </c>
      <c r="Q322" t="str">
        <f>IF(P322="","", IFERROR(VLOOKUP(P322, IF(D322="KET", 换算标准!$O:$P, IF(D322="PET", 换算标准!$U:$V, 换算标准!$AG:$AH)), 2, TRUE), 0))</f>
        <v/>
      </c>
      <c r="W322" t="str">
        <f t="shared" ref="W322:W385" si="22">IF(COUNT(R322:V322)&gt;0, SUM(R322:V322), "")</f>
        <v/>
      </c>
      <c r="X322" t="str">
        <f>IF(W322="","", IFERROR(VLOOKUP(W322, IF(D322="KET", 换算标准!$Q:$R, IF(D322="PET", 换算标准!$W:$X, 换算标准!$AI:$AJ)), 2, TRUE), 0))</f>
        <v/>
      </c>
      <c r="Y322" t="str">
        <f t="shared" ref="Y322:Y385" si="23">IF(COUNT(M322,Q322,X322)&gt;0, AVERAGE(M322,Q322,X322), "")</f>
        <v/>
      </c>
      <c r="Z322" t="str">
        <f>IF(Y322="","", IFERROR(VLOOKUP(Y322, 换算标准!$Z:$AA, 1, TRUE), ""))</f>
        <v/>
      </c>
      <c r="AA322" s="5" t="str">
        <f>IF(L322="","", "⚠️ 薄弱环节: "&amp;INDEX($E$1:$K$1, MATCH(MIN(E322:K322), E322:K322, 0))&amp;CHAR(10)&amp;"📉 考察能力: "&amp;IFERROR(VLOOKUP(TRIM(D322)&amp;"_"&amp;TRIM(INDEX($E$1:$K$1, MATCH(MIN(E322:K322), E322:K322, 0))), 技能库!$A:$F, 5, 0),"建议查阅考纲")&amp;CHAR(10)&amp;"💡 提升建议: "&amp;IFERROR(VLOOKUP(TRIM(D322)&amp;"_"&amp;TRIM(INDEX($E$1:$K$1, MATCH(MIN(E322:K322), E322:K322, 0))), 技能库!$A:$F, 6, 0),"请针对该题型加强练习"))</f>
        <v/>
      </c>
      <c r="AB322" s="5" t="str">
        <f>IF(P322="","", "⚠️ 薄弱环节: "&amp;INDEX($N$1:$O$1, MATCH(MIN(N322:O322), N322:O322, 0))&amp;CHAR(10)&amp;"📉 考察能力: "&amp;IFERROR(VLOOKUP(TRIM(D322)&amp;"_"&amp;TRIM(INDEX($N$1:$O$1, MATCH(MIN(N322:O322), N322:O322, 0))), 技能库!$A:$F, 5, 0),"建议查阅考纲")&amp;CHAR(10)&amp;"💡 提升建议: "&amp;IFERROR(VLOOKUP(TRIM(D322)&amp;"_"&amp;TRIM(INDEX($N$1:$O$1, MATCH(MIN(N322:O322), N322:O322, 0))), 技能库!$A:$F, 6, 0),"请针对该题型加强练习"))</f>
        <v/>
      </c>
      <c r="AC322" s="5" t="str">
        <f>IF(W322="","", "⚠️ 薄弱环节: "&amp;INDEX($R$1:$V$1, MATCH(MIN(R322:V322), R322:V322, 0))&amp;CHAR(10)&amp;"📉 考察能力: "&amp;IFERROR(VLOOKUP(TRIM(D322)&amp;"_"&amp;TRIM(INDEX($R$1:$V$1, MATCH(MIN(R322:V322), R322:V322, 0))), 技能库!$A:$F, 5, 0),"建议查阅考纲")&amp;CHAR(10)&amp;"💡 提升建议: "&amp;IFERROR(VLOOKUP(TRIM(D322)&amp;"_"&amp;TRIM(INDEX($R$1:$V$1, MATCH(MIN(R322:V322), R322:V322, 0))), 技能库!$A:$F, 6, 0),"请针对该题型加强练习"))</f>
        <v/>
      </c>
    </row>
    <row r="323" spans="12:29" ht="16" hidden="1" x14ac:dyDescent="0.2">
      <c r="L323" t="str">
        <f t="shared" si="20"/>
        <v/>
      </c>
      <c r="M323" t="str">
        <f>IF(L323="","", IFERROR(VLOOKUP(L323, IF(D323="KET", 换算标准!$M:$N, IF(D323="PET", 换算标准!$S:$T, 换算标准!$AC:$AD)), 2, TRUE), 0))</f>
        <v/>
      </c>
      <c r="P323" t="str">
        <f t="shared" si="21"/>
        <v/>
      </c>
      <c r="Q323" t="str">
        <f>IF(P323="","", IFERROR(VLOOKUP(P323, IF(D323="KET", 换算标准!$O:$P, IF(D323="PET", 换算标准!$U:$V, 换算标准!$AG:$AH)), 2, TRUE), 0))</f>
        <v/>
      </c>
      <c r="W323" t="str">
        <f t="shared" si="22"/>
        <v/>
      </c>
      <c r="X323" t="str">
        <f>IF(W323="","", IFERROR(VLOOKUP(W323, IF(D323="KET", 换算标准!$Q:$R, IF(D323="PET", 换算标准!$W:$X, 换算标准!$AI:$AJ)), 2, TRUE), 0))</f>
        <v/>
      </c>
      <c r="Y323" t="str">
        <f t="shared" si="23"/>
        <v/>
      </c>
      <c r="Z323" t="str">
        <f>IF(Y323="","", IFERROR(VLOOKUP(Y323, 换算标准!$Z:$AA, 1, TRUE), ""))</f>
        <v/>
      </c>
      <c r="AA323" s="5" t="str">
        <f>IF(L323="","", "⚠️ 薄弱环节: "&amp;INDEX($E$1:$K$1, MATCH(MIN(E323:K323), E323:K323, 0))&amp;CHAR(10)&amp;"📉 考察能力: "&amp;IFERROR(VLOOKUP(TRIM(D323)&amp;"_"&amp;TRIM(INDEX($E$1:$K$1, MATCH(MIN(E323:K323), E323:K323, 0))), 技能库!$A:$F, 5, 0),"建议查阅考纲")&amp;CHAR(10)&amp;"💡 提升建议: "&amp;IFERROR(VLOOKUP(TRIM(D323)&amp;"_"&amp;TRIM(INDEX($E$1:$K$1, MATCH(MIN(E323:K323), E323:K323, 0))), 技能库!$A:$F, 6, 0),"请针对该题型加强练习"))</f>
        <v/>
      </c>
      <c r="AB323" s="5" t="str">
        <f>IF(P323="","", "⚠️ 薄弱环节: "&amp;INDEX($N$1:$O$1, MATCH(MIN(N323:O323), N323:O323, 0))&amp;CHAR(10)&amp;"📉 考察能力: "&amp;IFERROR(VLOOKUP(TRIM(D323)&amp;"_"&amp;TRIM(INDEX($N$1:$O$1, MATCH(MIN(N323:O323), N323:O323, 0))), 技能库!$A:$F, 5, 0),"建议查阅考纲")&amp;CHAR(10)&amp;"💡 提升建议: "&amp;IFERROR(VLOOKUP(TRIM(D323)&amp;"_"&amp;TRIM(INDEX($N$1:$O$1, MATCH(MIN(N323:O323), N323:O323, 0))), 技能库!$A:$F, 6, 0),"请针对该题型加强练习"))</f>
        <v/>
      </c>
      <c r="AC323" s="5" t="str">
        <f>IF(W323="","", "⚠️ 薄弱环节: "&amp;INDEX($R$1:$V$1, MATCH(MIN(R323:V323), R323:V323, 0))&amp;CHAR(10)&amp;"📉 考察能力: "&amp;IFERROR(VLOOKUP(TRIM(D323)&amp;"_"&amp;TRIM(INDEX($R$1:$V$1, MATCH(MIN(R323:V323), R323:V323, 0))), 技能库!$A:$F, 5, 0),"建议查阅考纲")&amp;CHAR(10)&amp;"💡 提升建议: "&amp;IFERROR(VLOOKUP(TRIM(D323)&amp;"_"&amp;TRIM(INDEX($R$1:$V$1, MATCH(MIN(R323:V323), R323:V323, 0))), 技能库!$A:$F, 6, 0),"请针对该题型加强练习"))</f>
        <v/>
      </c>
    </row>
    <row r="324" spans="12:29" ht="16" hidden="1" x14ac:dyDescent="0.2">
      <c r="L324" t="str">
        <f t="shared" si="20"/>
        <v/>
      </c>
      <c r="M324" t="str">
        <f>IF(L324="","", IFERROR(VLOOKUP(L324, IF(D324="KET", 换算标准!$M:$N, IF(D324="PET", 换算标准!$S:$T, 换算标准!$AC:$AD)), 2, TRUE), 0))</f>
        <v/>
      </c>
      <c r="P324" t="str">
        <f t="shared" si="21"/>
        <v/>
      </c>
      <c r="Q324" t="str">
        <f>IF(P324="","", IFERROR(VLOOKUP(P324, IF(D324="KET", 换算标准!$O:$P, IF(D324="PET", 换算标准!$U:$V, 换算标准!$AG:$AH)), 2, TRUE), 0))</f>
        <v/>
      </c>
      <c r="W324" t="str">
        <f t="shared" si="22"/>
        <v/>
      </c>
      <c r="X324" t="str">
        <f>IF(W324="","", IFERROR(VLOOKUP(W324, IF(D324="KET", 换算标准!$Q:$R, IF(D324="PET", 换算标准!$W:$X, 换算标准!$AI:$AJ)), 2, TRUE), 0))</f>
        <v/>
      </c>
      <c r="Y324" t="str">
        <f t="shared" si="23"/>
        <v/>
      </c>
      <c r="Z324" t="str">
        <f>IF(Y324="","", IFERROR(VLOOKUP(Y324, 换算标准!$Z:$AA, 1, TRUE), ""))</f>
        <v/>
      </c>
      <c r="AA324" s="5" t="str">
        <f>IF(L324="","", "⚠️ 薄弱环节: "&amp;INDEX($E$1:$K$1, MATCH(MIN(E324:K324), E324:K324, 0))&amp;CHAR(10)&amp;"📉 考察能力: "&amp;IFERROR(VLOOKUP(TRIM(D324)&amp;"_"&amp;TRIM(INDEX($E$1:$K$1, MATCH(MIN(E324:K324), E324:K324, 0))), 技能库!$A:$F, 5, 0),"建议查阅考纲")&amp;CHAR(10)&amp;"💡 提升建议: "&amp;IFERROR(VLOOKUP(TRIM(D324)&amp;"_"&amp;TRIM(INDEX($E$1:$K$1, MATCH(MIN(E324:K324), E324:K324, 0))), 技能库!$A:$F, 6, 0),"请针对该题型加强练习"))</f>
        <v/>
      </c>
      <c r="AB324" s="5" t="str">
        <f>IF(P324="","", "⚠️ 薄弱环节: "&amp;INDEX($N$1:$O$1, MATCH(MIN(N324:O324), N324:O324, 0))&amp;CHAR(10)&amp;"📉 考察能力: "&amp;IFERROR(VLOOKUP(TRIM(D324)&amp;"_"&amp;TRIM(INDEX($N$1:$O$1, MATCH(MIN(N324:O324), N324:O324, 0))), 技能库!$A:$F, 5, 0),"建议查阅考纲")&amp;CHAR(10)&amp;"💡 提升建议: "&amp;IFERROR(VLOOKUP(TRIM(D324)&amp;"_"&amp;TRIM(INDEX($N$1:$O$1, MATCH(MIN(N324:O324), N324:O324, 0))), 技能库!$A:$F, 6, 0),"请针对该题型加强练习"))</f>
        <v/>
      </c>
      <c r="AC324" s="5" t="str">
        <f>IF(W324="","", "⚠️ 薄弱环节: "&amp;INDEX($R$1:$V$1, MATCH(MIN(R324:V324), R324:V324, 0))&amp;CHAR(10)&amp;"📉 考察能力: "&amp;IFERROR(VLOOKUP(TRIM(D324)&amp;"_"&amp;TRIM(INDEX($R$1:$V$1, MATCH(MIN(R324:V324), R324:V324, 0))), 技能库!$A:$F, 5, 0),"建议查阅考纲")&amp;CHAR(10)&amp;"💡 提升建议: "&amp;IFERROR(VLOOKUP(TRIM(D324)&amp;"_"&amp;TRIM(INDEX($R$1:$V$1, MATCH(MIN(R324:V324), R324:V324, 0))), 技能库!$A:$F, 6, 0),"请针对该题型加强练习"))</f>
        <v/>
      </c>
    </row>
    <row r="325" spans="12:29" ht="16" hidden="1" x14ac:dyDescent="0.2">
      <c r="L325" t="str">
        <f t="shared" si="20"/>
        <v/>
      </c>
      <c r="M325" t="str">
        <f>IF(L325="","", IFERROR(VLOOKUP(L325, IF(D325="KET", 换算标准!$M:$N, IF(D325="PET", 换算标准!$S:$T, 换算标准!$AC:$AD)), 2, TRUE), 0))</f>
        <v/>
      </c>
      <c r="P325" t="str">
        <f t="shared" si="21"/>
        <v/>
      </c>
      <c r="Q325" t="str">
        <f>IF(P325="","", IFERROR(VLOOKUP(P325, IF(D325="KET", 换算标准!$O:$P, IF(D325="PET", 换算标准!$U:$V, 换算标准!$AG:$AH)), 2, TRUE), 0))</f>
        <v/>
      </c>
      <c r="W325" t="str">
        <f t="shared" si="22"/>
        <v/>
      </c>
      <c r="X325" t="str">
        <f>IF(W325="","", IFERROR(VLOOKUP(W325, IF(D325="KET", 换算标准!$Q:$R, IF(D325="PET", 换算标准!$W:$X, 换算标准!$AI:$AJ)), 2, TRUE), 0))</f>
        <v/>
      </c>
      <c r="Y325" t="str">
        <f t="shared" si="23"/>
        <v/>
      </c>
      <c r="Z325" t="str">
        <f>IF(Y325="","", IFERROR(VLOOKUP(Y325, 换算标准!$Z:$AA, 1, TRUE), ""))</f>
        <v/>
      </c>
      <c r="AA325" s="5" t="str">
        <f>IF(L325="","", "⚠️ 薄弱环节: "&amp;INDEX($E$1:$K$1, MATCH(MIN(E325:K325), E325:K325, 0))&amp;CHAR(10)&amp;"📉 考察能力: "&amp;IFERROR(VLOOKUP(TRIM(D325)&amp;"_"&amp;TRIM(INDEX($E$1:$K$1, MATCH(MIN(E325:K325), E325:K325, 0))), 技能库!$A:$F, 5, 0),"建议查阅考纲")&amp;CHAR(10)&amp;"💡 提升建议: "&amp;IFERROR(VLOOKUP(TRIM(D325)&amp;"_"&amp;TRIM(INDEX($E$1:$K$1, MATCH(MIN(E325:K325), E325:K325, 0))), 技能库!$A:$F, 6, 0),"请针对该题型加强练习"))</f>
        <v/>
      </c>
      <c r="AB325" s="5" t="str">
        <f>IF(P325="","", "⚠️ 薄弱环节: "&amp;INDEX($N$1:$O$1, MATCH(MIN(N325:O325), N325:O325, 0))&amp;CHAR(10)&amp;"📉 考察能力: "&amp;IFERROR(VLOOKUP(TRIM(D325)&amp;"_"&amp;TRIM(INDEX($N$1:$O$1, MATCH(MIN(N325:O325), N325:O325, 0))), 技能库!$A:$F, 5, 0),"建议查阅考纲")&amp;CHAR(10)&amp;"💡 提升建议: "&amp;IFERROR(VLOOKUP(TRIM(D325)&amp;"_"&amp;TRIM(INDEX($N$1:$O$1, MATCH(MIN(N325:O325), N325:O325, 0))), 技能库!$A:$F, 6, 0),"请针对该题型加强练习"))</f>
        <v/>
      </c>
      <c r="AC325" s="5" t="str">
        <f>IF(W325="","", "⚠️ 薄弱环节: "&amp;INDEX($R$1:$V$1, MATCH(MIN(R325:V325), R325:V325, 0))&amp;CHAR(10)&amp;"📉 考察能力: "&amp;IFERROR(VLOOKUP(TRIM(D325)&amp;"_"&amp;TRIM(INDEX($R$1:$V$1, MATCH(MIN(R325:V325), R325:V325, 0))), 技能库!$A:$F, 5, 0),"建议查阅考纲")&amp;CHAR(10)&amp;"💡 提升建议: "&amp;IFERROR(VLOOKUP(TRIM(D325)&amp;"_"&amp;TRIM(INDEX($R$1:$V$1, MATCH(MIN(R325:V325), R325:V325, 0))), 技能库!$A:$F, 6, 0),"请针对该题型加强练习"))</f>
        <v/>
      </c>
    </row>
    <row r="326" spans="12:29" ht="16" hidden="1" x14ac:dyDescent="0.2">
      <c r="L326" t="str">
        <f t="shared" si="20"/>
        <v/>
      </c>
      <c r="M326" t="str">
        <f>IF(L326="","", IFERROR(VLOOKUP(L326, IF(D326="KET", 换算标准!$M:$N, IF(D326="PET", 换算标准!$S:$T, 换算标准!$AC:$AD)), 2, TRUE), 0))</f>
        <v/>
      </c>
      <c r="P326" t="str">
        <f t="shared" si="21"/>
        <v/>
      </c>
      <c r="Q326" t="str">
        <f>IF(P326="","", IFERROR(VLOOKUP(P326, IF(D326="KET", 换算标准!$O:$P, IF(D326="PET", 换算标准!$U:$V, 换算标准!$AG:$AH)), 2, TRUE), 0))</f>
        <v/>
      </c>
      <c r="W326" t="str">
        <f t="shared" si="22"/>
        <v/>
      </c>
      <c r="X326" t="str">
        <f>IF(W326="","", IFERROR(VLOOKUP(W326, IF(D326="KET", 换算标准!$Q:$R, IF(D326="PET", 换算标准!$W:$X, 换算标准!$AI:$AJ)), 2, TRUE), 0))</f>
        <v/>
      </c>
      <c r="Y326" t="str">
        <f t="shared" si="23"/>
        <v/>
      </c>
      <c r="Z326" t="str">
        <f>IF(Y326="","", IFERROR(VLOOKUP(Y326, 换算标准!$Z:$AA, 1, TRUE), ""))</f>
        <v/>
      </c>
      <c r="AA326" s="5" t="str">
        <f>IF(L326="","", "⚠️ 薄弱环节: "&amp;INDEX($E$1:$K$1, MATCH(MIN(E326:K326), E326:K326, 0))&amp;CHAR(10)&amp;"📉 考察能力: "&amp;IFERROR(VLOOKUP(TRIM(D326)&amp;"_"&amp;TRIM(INDEX($E$1:$K$1, MATCH(MIN(E326:K326), E326:K326, 0))), 技能库!$A:$F, 5, 0),"建议查阅考纲")&amp;CHAR(10)&amp;"💡 提升建议: "&amp;IFERROR(VLOOKUP(TRIM(D326)&amp;"_"&amp;TRIM(INDEX($E$1:$K$1, MATCH(MIN(E326:K326), E326:K326, 0))), 技能库!$A:$F, 6, 0),"请针对该题型加强练习"))</f>
        <v/>
      </c>
      <c r="AB326" s="5" t="str">
        <f>IF(P326="","", "⚠️ 薄弱环节: "&amp;INDEX($N$1:$O$1, MATCH(MIN(N326:O326), N326:O326, 0))&amp;CHAR(10)&amp;"📉 考察能力: "&amp;IFERROR(VLOOKUP(TRIM(D326)&amp;"_"&amp;TRIM(INDEX($N$1:$O$1, MATCH(MIN(N326:O326), N326:O326, 0))), 技能库!$A:$F, 5, 0),"建议查阅考纲")&amp;CHAR(10)&amp;"💡 提升建议: "&amp;IFERROR(VLOOKUP(TRIM(D326)&amp;"_"&amp;TRIM(INDEX($N$1:$O$1, MATCH(MIN(N326:O326), N326:O326, 0))), 技能库!$A:$F, 6, 0),"请针对该题型加强练习"))</f>
        <v/>
      </c>
      <c r="AC326" s="5" t="str">
        <f>IF(W326="","", "⚠️ 薄弱环节: "&amp;INDEX($R$1:$V$1, MATCH(MIN(R326:V326), R326:V326, 0))&amp;CHAR(10)&amp;"📉 考察能力: "&amp;IFERROR(VLOOKUP(TRIM(D326)&amp;"_"&amp;TRIM(INDEX($R$1:$V$1, MATCH(MIN(R326:V326), R326:V326, 0))), 技能库!$A:$F, 5, 0),"建议查阅考纲")&amp;CHAR(10)&amp;"💡 提升建议: "&amp;IFERROR(VLOOKUP(TRIM(D326)&amp;"_"&amp;TRIM(INDEX($R$1:$V$1, MATCH(MIN(R326:V326), R326:V326, 0))), 技能库!$A:$F, 6, 0),"请针对该题型加强练习"))</f>
        <v/>
      </c>
    </row>
    <row r="327" spans="12:29" ht="16" hidden="1" x14ac:dyDescent="0.2">
      <c r="L327" t="str">
        <f t="shared" si="20"/>
        <v/>
      </c>
      <c r="M327" t="str">
        <f>IF(L327="","", IFERROR(VLOOKUP(L327, IF(D327="KET", 换算标准!$M:$N, IF(D327="PET", 换算标准!$S:$T, 换算标准!$AC:$AD)), 2, TRUE), 0))</f>
        <v/>
      </c>
      <c r="P327" t="str">
        <f t="shared" si="21"/>
        <v/>
      </c>
      <c r="Q327" t="str">
        <f>IF(P327="","", IFERROR(VLOOKUP(P327, IF(D327="KET", 换算标准!$O:$P, IF(D327="PET", 换算标准!$U:$V, 换算标准!$AG:$AH)), 2, TRUE), 0))</f>
        <v/>
      </c>
      <c r="W327" t="str">
        <f t="shared" si="22"/>
        <v/>
      </c>
      <c r="X327" t="str">
        <f>IF(W327="","", IFERROR(VLOOKUP(W327, IF(D327="KET", 换算标准!$Q:$R, IF(D327="PET", 换算标准!$W:$X, 换算标准!$AI:$AJ)), 2, TRUE), 0))</f>
        <v/>
      </c>
      <c r="Y327" t="str">
        <f t="shared" si="23"/>
        <v/>
      </c>
      <c r="Z327" t="str">
        <f>IF(Y327="","", IFERROR(VLOOKUP(Y327, 换算标准!$Z:$AA, 1, TRUE), ""))</f>
        <v/>
      </c>
      <c r="AA327" s="5" t="str">
        <f>IF(L327="","", "⚠️ 薄弱环节: "&amp;INDEX($E$1:$K$1, MATCH(MIN(E327:K327), E327:K327, 0))&amp;CHAR(10)&amp;"📉 考察能力: "&amp;IFERROR(VLOOKUP(TRIM(D327)&amp;"_"&amp;TRIM(INDEX($E$1:$K$1, MATCH(MIN(E327:K327), E327:K327, 0))), 技能库!$A:$F, 5, 0),"建议查阅考纲")&amp;CHAR(10)&amp;"💡 提升建议: "&amp;IFERROR(VLOOKUP(TRIM(D327)&amp;"_"&amp;TRIM(INDEX($E$1:$K$1, MATCH(MIN(E327:K327), E327:K327, 0))), 技能库!$A:$F, 6, 0),"请针对该题型加强练习"))</f>
        <v/>
      </c>
      <c r="AB327" s="5" t="str">
        <f>IF(P327="","", "⚠️ 薄弱环节: "&amp;INDEX($N$1:$O$1, MATCH(MIN(N327:O327), N327:O327, 0))&amp;CHAR(10)&amp;"📉 考察能力: "&amp;IFERROR(VLOOKUP(TRIM(D327)&amp;"_"&amp;TRIM(INDEX($N$1:$O$1, MATCH(MIN(N327:O327), N327:O327, 0))), 技能库!$A:$F, 5, 0),"建议查阅考纲")&amp;CHAR(10)&amp;"💡 提升建议: "&amp;IFERROR(VLOOKUP(TRIM(D327)&amp;"_"&amp;TRIM(INDEX($N$1:$O$1, MATCH(MIN(N327:O327), N327:O327, 0))), 技能库!$A:$F, 6, 0),"请针对该题型加强练习"))</f>
        <v/>
      </c>
      <c r="AC327" s="5" t="str">
        <f>IF(W327="","", "⚠️ 薄弱环节: "&amp;INDEX($R$1:$V$1, MATCH(MIN(R327:V327), R327:V327, 0))&amp;CHAR(10)&amp;"📉 考察能力: "&amp;IFERROR(VLOOKUP(TRIM(D327)&amp;"_"&amp;TRIM(INDEX($R$1:$V$1, MATCH(MIN(R327:V327), R327:V327, 0))), 技能库!$A:$F, 5, 0),"建议查阅考纲")&amp;CHAR(10)&amp;"💡 提升建议: "&amp;IFERROR(VLOOKUP(TRIM(D327)&amp;"_"&amp;TRIM(INDEX($R$1:$V$1, MATCH(MIN(R327:V327), R327:V327, 0))), 技能库!$A:$F, 6, 0),"请针对该题型加强练习"))</f>
        <v/>
      </c>
    </row>
    <row r="328" spans="12:29" ht="16" hidden="1" x14ac:dyDescent="0.2">
      <c r="L328" t="str">
        <f t="shared" si="20"/>
        <v/>
      </c>
      <c r="M328" t="str">
        <f>IF(L328="","", IFERROR(VLOOKUP(L328, IF(D328="KET", 换算标准!$M:$N, IF(D328="PET", 换算标准!$S:$T, 换算标准!$AC:$AD)), 2, TRUE), 0))</f>
        <v/>
      </c>
      <c r="P328" t="str">
        <f t="shared" si="21"/>
        <v/>
      </c>
      <c r="Q328" t="str">
        <f>IF(P328="","", IFERROR(VLOOKUP(P328, IF(D328="KET", 换算标准!$O:$P, IF(D328="PET", 换算标准!$U:$V, 换算标准!$AG:$AH)), 2, TRUE), 0))</f>
        <v/>
      </c>
      <c r="W328" t="str">
        <f t="shared" si="22"/>
        <v/>
      </c>
      <c r="X328" t="str">
        <f>IF(W328="","", IFERROR(VLOOKUP(W328, IF(D328="KET", 换算标准!$Q:$R, IF(D328="PET", 换算标准!$W:$X, 换算标准!$AI:$AJ)), 2, TRUE), 0))</f>
        <v/>
      </c>
      <c r="Y328" t="str">
        <f t="shared" si="23"/>
        <v/>
      </c>
      <c r="Z328" t="str">
        <f>IF(Y328="","", IFERROR(VLOOKUP(Y328, 换算标准!$Z:$AA, 1, TRUE), ""))</f>
        <v/>
      </c>
      <c r="AA328" s="5" t="str">
        <f>IF(L328="","", "⚠️ 薄弱环节: "&amp;INDEX($E$1:$K$1, MATCH(MIN(E328:K328), E328:K328, 0))&amp;CHAR(10)&amp;"📉 考察能力: "&amp;IFERROR(VLOOKUP(TRIM(D328)&amp;"_"&amp;TRIM(INDEX($E$1:$K$1, MATCH(MIN(E328:K328), E328:K328, 0))), 技能库!$A:$F, 5, 0),"建议查阅考纲")&amp;CHAR(10)&amp;"💡 提升建议: "&amp;IFERROR(VLOOKUP(TRIM(D328)&amp;"_"&amp;TRIM(INDEX($E$1:$K$1, MATCH(MIN(E328:K328), E328:K328, 0))), 技能库!$A:$F, 6, 0),"请针对该题型加强练习"))</f>
        <v/>
      </c>
      <c r="AB328" s="5" t="str">
        <f>IF(P328="","", "⚠️ 薄弱环节: "&amp;INDEX($N$1:$O$1, MATCH(MIN(N328:O328), N328:O328, 0))&amp;CHAR(10)&amp;"📉 考察能力: "&amp;IFERROR(VLOOKUP(TRIM(D328)&amp;"_"&amp;TRIM(INDEX($N$1:$O$1, MATCH(MIN(N328:O328), N328:O328, 0))), 技能库!$A:$F, 5, 0),"建议查阅考纲")&amp;CHAR(10)&amp;"💡 提升建议: "&amp;IFERROR(VLOOKUP(TRIM(D328)&amp;"_"&amp;TRIM(INDEX($N$1:$O$1, MATCH(MIN(N328:O328), N328:O328, 0))), 技能库!$A:$F, 6, 0),"请针对该题型加强练习"))</f>
        <v/>
      </c>
      <c r="AC328" s="5" t="str">
        <f>IF(W328="","", "⚠️ 薄弱环节: "&amp;INDEX($R$1:$V$1, MATCH(MIN(R328:V328), R328:V328, 0))&amp;CHAR(10)&amp;"📉 考察能力: "&amp;IFERROR(VLOOKUP(TRIM(D328)&amp;"_"&amp;TRIM(INDEX($R$1:$V$1, MATCH(MIN(R328:V328), R328:V328, 0))), 技能库!$A:$F, 5, 0),"建议查阅考纲")&amp;CHAR(10)&amp;"💡 提升建议: "&amp;IFERROR(VLOOKUP(TRIM(D328)&amp;"_"&amp;TRIM(INDEX($R$1:$V$1, MATCH(MIN(R328:V328), R328:V328, 0))), 技能库!$A:$F, 6, 0),"请针对该题型加强练习"))</f>
        <v/>
      </c>
    </row>
    <row r="329" spans="12:29" ht="16" hidden="1" x14ac:dyDescent="0.2">
      <c r="L329" t="str">
        <f t="shared" si="20"/>
        <v/>
      </c>
      <c r="M329" t="str">
        <f>IF(L329="","", IFERROR(VLOOKUP(L329, IF(D329="KET", 换算标准!$M:$N, IF(D329="PET", 换算标准!$S:$T, 换算标准!$AC:$AD)), 2, TRUE), 0))</f>
        <v/>
      </c>
      <c r="P329" t="str">
        <f t="shared" si="21"/>
        <v/>
      </c>
      <c r="Q329" t="str">
        <f>IF(P329="","", IFERROR(VLOOKUP(P329, IF(D329="KET", 换算标准!$O:$P, IF(D329="PET", 换算标准!$U:$V, 换算标准!$AG:$AH)), 2, TRUE), 0))</f>
        <v/>
      </c>
      <c r="W329" t="str">
        <f t="shared" si="22"/>
        <v/>
      </c>
      <c r="X329" t="str">
        <f>IF(W329="","", IFERROR(VLOOKUP(W329, IF(D329="KET", 换算标准!$Q:$R, IF(D329="PET", 换算标准!$W:$X, 换算标准!$AI:$AJ)), 2, TRUE), 0))</f>
        <v/>
      </c>
      <c r="Y329" t="str">
        <f t="shared" si="23"/>
        <v/>
      </c>
      <c r="Z329" t="str">
        <f>IF(Y329="","", IFERROR(VLOOKUP(Y329, 换算标准!$Z:$AA, 1, TRUE), ""))</f>
        <v/>
      </c>
      <c r="AA329" s="5" t="str">
        <f>IF(L329="","", "⚠️ 薄弱环节: "&amp;INDEX($E$1:$K$1, MATCH(MIN(E329:K329), E329:K329, 0))&amp;CHAR(10)&amp;"📉 考察能力: "&amp;IFERROR(VLOOKUP(TRIM(D329)&amp;"_"&amp;TRIM(INDEX($E$1:$K$1, MATCH(MIN(E329:K329), E329:K329, 0))), 技能库!$A:$F, 5, 0),"建议查阅考纲")&amp;CHAR(10)&amp;"💡 提升建议: "&amp;IFERROR(VLOOKUP(TRIM(D329)&amp;"_"&amp;TRIM(INDEX($E$1:$K$1, MATCH(MIN(E329:K329), E329:K329, 0))), 技能库!$A:$F, 6, 0),"请针对该题型加强练习"))</f>
        <v/>
      </c>
      <c r="AB329" s="5" t="str">
        <f>IF(P329="","", "⚠️ 薄弱环节: "&amp;INDEX($N$1:$O$1, MATCH(MIN(N329:O329), N329:O329, 0))&amp;CHAR(10)&amp;"📉 考察能力: "&amp;IFERROR(VLOOKUP(TRIM(D329)&amp;"_"&amp;TRIM(INDEX($N$1:$O$1, MATCH(MIN(N329:O329), N329:O329, 0))), 技能库!$A:$F, 5, 0),"建议查阅考纲")&amp;CHAR(10)&amp;"💡 提升建议: "&amp;IFERROR(VLOOKUP(TRIM(D329)&amp;"_"&amp;TRIM(INDEX($N$1:$O$1, MATCH(MIN(N329:O329), N329:O329, 0))), 技能库!$A:$F, 6, 0),"请针对该题型加强练习"))</f>
        <v/>
      </c>
      <c r="AC329" s="5" t="str">
        <f>IF(W329="","", "⚠️ 薄弱环节: "&amp;INDEX($R$1:$V$1, MATCH(MIN(R329:V329), R329:V329, 0))&amp;CHAR(10)&amp;"📉 考察能力: "&amp;IFERROR(VLOOKUP(TRIM(D329)&amp;"_"&amp;TRIM(INDEX($R$1:$V$1, MATCH(MIN(R329:V329), R329:V329, 0))), 技能库!$A:$F, 5, 0),"建议查阅考纲")&amp;CHAR(10)&amp;"💡 提升建议: "&amp;IFERROR(VLOOKUP(TRIM(D329)&amp;"_"&amp;TRIM(INDEX($R$1:$V$1, MATCH(MIN(R329:V329), R329:V329, 0))), 技能库!$A:$F, 6, 0),"请针对该题型加强练习"))</f>
        <v/>
      </c>
    </row>
    <row r="330" spans="12:29" ht="16" hidden="1" x14ac:dyDescent="0.2">
      <c r="L330" t="str">
        <f t="shared" si="20"/>
        <v/>
      </c>
      <c r="M330" t="str">
        <f>IF(L330="","", IFERROR(VLOOKUP(L330, IF(D330="KET", 换算标准!$M:$N, IF(D330="PET", 换算标准!$S:$T, 换算标准!$AC:$AD)), 2, TRUE), 0))</f>
        <v/>
      </c>
      <c r="P330" t="str">
        <f t="shared" si="21"/>
        <v/>
      </c>
      <c r="Q330" t="str">
        <f>IF(P330="","", IFERROR(VLOOKUP(P330, IF(D330="KET", 换算标准!$O:$P, IF(D330="PET", 换算标准!$U:$V, 换算标准!$AG:$AH)), 2, TRUE), 0))</f>
        <v/>
      </c>
      <c r="W330" t="str">
        <f t="shared" si="22"/>
        <v/>
      </c>
      <c r="X330" t="str">
        <f>IF(W330="","", IFERROR(VLOOKUP(W330, IF(D330="KET", 换算标准!$Q:$R, IF(D330="PET", 换算标准!$W:$X, 换算标准!$AI:$AJ)), 2, TRUE), 0))</f>
        <v/>
      </c>
      <c r="Y330" t="str">
        <f t="shared" si="23"/>
        <v/>
      </c>
      <c r="Z330" t="str">
        <f>IF(Y330="","", IFERROR(VLOOKUP(Y330, 换算标准!$Z:$AA, 1, TRUE), ""))</f>
        <v/>
      </c>
      <c r="AA330" s="5" t="str">
        <f>IF(L330="","", "⚠️ 薄弱环节: "&amp;INDEX($E$1:$K$1, MATCH(MIN(E330:K330), E330:K330, 0))&amp;CHAR(10)&amp;"📉 考察能力: "&amp;IFERROR(VLOOKUP(TRIM(D330)&amp;"_"&amp;TRIM(INDEX($E$1:$K$1, MATCH(MIN(E330:K330), E330:K330, 0))), 技能库!$A:$F, 5, 0),"建议查阅考纲")&amp;CHAR(10)&amp;"💡 提升建议: "&amp;IFERROR(VLOOKUP(TRIM(D330)&amp;"_"&amp;TRIM(INDEX($E$1:$K$1, MATCH(MIN(E330:K330), E330:K330, 0))), 技能库!$A:$F, 6, 0),"请针对该题型加强练习"))</f>
        <v/>
      </c>
      <c r="AB330" s="5" t="str">
        <f>IF(P330="","", "⚠️ 薄弱环节: "&amp;INDEX($N$1:$O$1, MATCH(MIN(N330:O330), N330:O330, 0))&amp;CHAR(10)&amp;"📉 考察能力: "&amp;IFERROR(VLOOKUP(TRIM(D330)&amp;"_"&amp;TRIM(INDEX($N$1:$O$1, MATCH(MIN(N330:O330), N330:O330, 0))), 技能库!$A:$F, 5, 0),"建议查阅考纲")&amp;CHAR(10)&amp;"💡 提升建议: "&amp;IFERROR(VLOOKUP(TRIM(D330)&amp;"_"&amp;TRIM(INDEX($N$1:$O$1, MATCH(MIN(N330:O330), N330:O330, 0))), 技能库!$A:$F, 6, 0),"请针对该题型加强练习"))</f>
        <v/>
      </c>
      <c r="AC330" s="5" t="str">
        <f>IF(W330="","", "⚠️ 薄弱环节: "&amp;INDEX($R$1:$V$1, MATCH(MIN(R330:V330), R330:V330, 0))&amp;CHAR(10)&amp;"📉 考察能力: "&amp;IFERROR(VLOOKUP(TRIM(D330)&amp;"_"&amp;TRIM(INDEX($R$1:$V$1, MATCH(MIN(R330:V330), R330:V330, 0))), 技能库!$A:$F, 5, 0),"建议查阅考纲")&amp;CHAR(10)&amp;"💡 提升建议: "&amp;IFERROR(VLOOKUP(TRIM(D330)&amp;"_"&amp;TRIM(INDEX($R$1:$V$1, MATCH(MIN(R330:V330), R330:V330, 0))), 技能库!$A:$F, 6, 0),"请针对该题型加强练习"))</f>
        <v/>
      </c>
    </row>
    <row r="331" spans="12:29" ht="16" hidden="1" x14ac:dyDescent="0.2">
      <c r="L331" t="str">
        <f t="shared" si="20"/>
        <v/>
      </c>
      <c r="M331" t="str">
        <f>IF(L331="","", IFERROR(VLOOKUP(L331, IF(D331="KET", 换算标准!$M:$N, IF(D331="PET", 换算标准!$S:$T, 换算标准!$AC:$AD)), 2, TRUE), 0))</f>
        <v/>
      </c>
      <c r="P331" t="str">
        <f t="shared" si="21"/>
        <v/>
      </c>
      <c r="Q331" t="str">
        <f>IF(P331="","", IFERROR(VLOOKUP(P331, IF(D331="KET", 换算标准!$O:$P, IF(D331="PET", 换算标准!$U:$V, 换算标准!$AG:$AH)), 2, TRUE), 0))</f>
        <v/>
      </c>
      <c r="W331" t="str">
        <f t="shared" si="22"/>
        <v/>
      </c>
      <c r="X331" t="str">
        <f>IF(W331="","", IFERROR(VLOOKUP(W331, IF(D331="KET", 换算标准!$Q:$R, IF(D331="PET", 换算标准!$W:$X, 换算标准!$AI:$AJ)), 2, TRUE), 0))</f>
        <v/>
      </c>
      <c r="Y331" t="str">
        <f t="shared" si="23"/>
        <v/>
      </c>
      <c r="Z331" t="str">
        <f>IF(Y331="","", IFERROR(VLOOKUP(Y331, 换算标准!$Z:$AA, 1, TRUE), ""))</f>
        <v/>
      </c>
      <c r="AA331" s="5" t="str">
        <f>IF(L331="","", "⚠️ 薄弱环节: "&amp;INDEX($E$1:$K$1, MATCH(MIN(E331:K331), E331:K331, 0))&amp;CHAR(10)&amp;"📉 考察能力: "&amp;IFERROR(VLOOKUP(TRIM(D331)&amp;"_"&amp;TRIM(INDEX($E$1:$K$1, MATCH(MIN(E331:K331), E331:K331, 0))), 技能库!$A:$F, 5, 0),"建议查阅考纲")&amp;CHAR(10)&amp;"💡 提升建议: "&amp;IFERROR(VLOOKUP(TRIM(D331)&amp;"_"&amp;TRIM(INDEX($E$1:$K$1, MATCH(MIN(E331:K331), E331:K331, 0))), 技能库!$A:$F, 6, 0),"请针对该题型加强练习"))</f>
        <v/>
      </c>
      <c r="AB331" s="5" t="str">
        <f>IF(P331="","", "⚠️ 薄弱环节: "&amp;INDEX($N$1:$O$1, MATCH(MIN(N331:O331), N331:O331, 0))&amp;CHAR(10)&amp;"📉 考察能力: "&amp;IFERROR(VLOOKUP(TRIM(D331)&amp;"_"&amp;TRIM(INDEX($N$1:$O$1, MATCH(MIN(N331:O331), N331:O331, 0))), 技能库!$A:$F, 5, 0),"建议查阅考纲")&amp;CHAR(10)&amp;"💡 提升建议: "&amp;IFERROR(VLOOKUP(TRIM(D331)&amp;"_"&amp;TRIM(INDEX($N$1:$O$1, MATCH(MIN(N331:O331), N331:O331, 0))), 技能库!$A:$F, 6, 0),"请针对该题型加强练习"))</f>
        <v/>
      </c>
      <c r="AC331" s="5" t="str">
        <f>IF(W331="","", "⚠️ 薄弱环节: "&amp;INDEX($R$1:$V$1, MATCH(MIN(R331:V331), R331:V331, 0))&amp;CHAR(10)&amp;"📉 考察能力: "&amp;IFERROR(VLOOKUP(TRIM(D331)&amp;"_"&amp;TRIM(INDEX($R$1:$V$1, MATCH(MIN(R331:V331), R331:V331, 0))), 技能库!$A:$F, 5, 0),"建议查阅考纲")&amp;CHAR(10)&amp;"💡 提升建议: "&amp;IFERROR(VLOOKUP(TRIM(D331)&amp;"_"&amp;TRIM(INDEX($R$1:$V$1, MATCH(MIN(R331:V331), R331:V331, 0))), 技能库!$A:$F, 6, 0),"请针对该题型加强练习"))</f>
        <v/>
      </c>
    </row>
    <row r="332" spans="12:29" ht="16" hidden="1" x14ac:dyDescent="0.2">
      <c r="L332" t="str">
        <f t="shared" si="20"/>
        <v/>
      </c>
      <c r="M332" t="str">
        <f>IF(L332="","", IFERROR(VLOOKUP(L332, IF(D332="KET", 换算标准!$M:$N, IF(D332="PET", 换算标准!$S:$T, 换算标准!$AC:$AD)), 2, TRUE), 0))</f>
        <v/>
      </c>
      <c r="P332" t="str">
        <f t="shared" si="21"/>
        <v/>
      </c>
      <c r="Q332" t="str">
        <f>IF(P332="","", IFERROR(VLOOKUP(P332, IF(D332="KET", 换算标准!$O:$P, IF(D332="PET", 换算标准!$U:$V, 换算标准!$AG:$AH)), 2, TRUE), 0))</f>
        <v/>
      </c>
      <c r="W332" t="str">
        <f t="shared" si="22"/>
        <v/>
      </c>
      <c r="X332" t="str">
        <f>IF(W332="","", IFERROR(VLOOKUP(W332, IF(D332="KET", 换算标准!$Q:$R, IF(D332="PET", 换算标准!$W:$X, 换算标准!$AI:$AJ)), 2, TRUE), 0))</f>
        <v/>
      </c>
      <c r="Y332" t="str">
        <f t="shared" si="23"/>
        <v/>
      </c>
      <c r="Z332" t="str">
        <f>IF(Y332="","", IFERROR(VLOOKUP(Y332, 换算标准!$Z:$AA, 1, TRUE), ""))</f>
        <v/>
      </c>
      <c r="AA332" s="5" t="str">
        <f>IF(L332="","", "⚠️ 薄弱环节: "&amp;INDEX($E$1:$K$1, MATCH(MIN(E332:K332), E332:K332, 0))&amp;CHAR(10)&amp;"📉 考察能力: "&amp;IFERROR(VLOOKUP(TRIM(D332)&amp;"_"&amp;TRIM(INDEX($E$1:$K$1, MATCH(MIN(E332:K332), E332:K332, 0))), 技能库!$A:$F, 5, 0),"建议查阅考纲")&amp;CHAR(10)&amp;"💡 提升建议: "&amp;IFERROR(VLOOKUP(TRIM(D332)&amp;"_"&amp;TRIM(INDEX($E$1:$K$1, MATCH(MIN(E332:K332), E332:K332, 0))), 技能库!$A:$F, 6, 0),"请针对该题型加强练习"))</f>
        <v/>
      </c>
      <c r="AB332" s="5" t="str">
        <f>IF(P332="","", "⚠️ 薄弱环节: "&amp;INDEX($N$1:$O$1, MATCH(MIN(N332:O332), N332:O332, 0))&amp;CHAR(10)&amp;"📉 考察能力: "&amp;IFERROR(VLOOKUP(TRIM(D332)&amp;"_"&amp;TRIM(INDEX($N$1:$O$1, MATCH(MIN(N332:O332), N332:O332, 0))), 技能库!$A:$F, 5, 0),"建议查阅考纲")&amp;CHAR(10)&amp;"💡 提升建议: "&amp;IFERROR(VLOOKUP(TRIM(D332)&amp;"_"&amp;TRIM(INDEX($N$1:$O$1, MATCH(MIN(N332:O332), N332:O332, 0))), 技能库!$A:$F, 6, 0),"请针对该题型加强练习"))</f>
        <v/>
      </c>
      <c r="AC332" s="5" t="str">
        <f>IF(W332="","", "⚠️ 薄弱环节: "&amp;INDEX($R$1:$V$1, MATCH(MIN(R332:V332), R332:V332, 0))&amp;CHAR(10)&amp;"📉 考察能力: "&amp;IFERROR(VLOOKUP(TRIM(D332)&amp;"_"&amp;TRIM(INDEX($R$1:$V$1, MATCH(MIN(R332:V332), R332:V332, 0))), 技能库!$A:$F, 5, 0),"建议查阅考纲")&amp;CHAR(10)&amp;"💡 提升建议: "&amp;IFERROR(VLOOKUP(TRIM(D332)&amp;"_"&amp;TRIM(INDEX($R$1:$V$1, MATCH(MIN(R332:V332), R332:V332, 0))), 技能库!$A:$F, 6, 0),"请针对该题型加强练习"))</f>
        <v/>
      </c>
    </row>
    <row r="333" spans="12:29" ht="16" hidden="1" x14ac:dyDescent="0.2">
      <c r="L333" t="str">
        <f t="shared" si="20"/>
        <v/>
      </c>
      <c r="M333" t="str">
        <f>IF(L333="","", IFERROR(VLOOKUP(L333, IF(D333="KET", 换算标准!$M:$N, IF(D333="PET", 换算标准!$S:$T, 换算标准!$AC:$AD)), 2, TRUE), 0))</f>
        <v/>
      </c>
      <c r="P333" t="str">
        <f t="shared" si="21"/>
        <v/>
      </c>
      <c r="Q333" t="str">
        <f>IF(P333="","", IFERROR(VLOOKUP(P333, IF(D333="KET", 换算标准!$O:$P, IF(D333="PET", 换算标准!$U:$V, 换算标准!$AG:$AH)), 2, TRUE), 0))</f>
        <v/>
      </c>
      <c r="W333" t="str">
        <f t="shared" si="22"/>
        <v/>
      </c>
      <c r="X333" t="str">
        <f>IF(W333="","", IFERROR(VLOOKUP(W333, IF(D333="KET", 换算标准!$Q:$R, IF(D333="PET", 换算标准!$W:$X, 换算标准!$AI:$AJ)), 2, TRUE), 0))</f>
        <v/>
      </c>
      <c r="Y333" t="str">
        <f t="shared" si="23"/>
        <v/>
      </c>
      <c r="Z333" t="str">
        <f>IF(Y333="","", IFERROR(VLOOKUP(Y333, 换算标准!$Z:$AA, 1, TRUE), ""))</f>
        <v/>
      </c>
      <c r="AA333" s="5" t="str">
        <f>IF(L333="","", "⚠️ 薄弱环节: "&amp;INDEX($E$1:$K$1, MATCH(MIN(E333:K333), E333:K333, 0))&amp;CHAR(10)&amp;"📉 考察能力: "&amp;IFERROR(VLOOKUP(TRIM(D333)&amp;"_"&amp;TRIM(INDEX($E$1:$K$1, MATCH(MIN(E333:K333), E333:K333, 0))), 技能库!$A:$F, 5, 0),"建议查阅考纲")&amp;CHAR(10)&amp;"💡 提升建议: "&amp;IFERROR(VLOOKUP(TRIM(D333)&amp;"_"&amp;TRIM(INDEX($E$1:$K$1, MATCH(MIN(E333:K333), E333:K333, 0))), 技能库!$A:$F, 6, 0),"请针对该题型加强练习"))</f>
        <v/>
      </c>
      <c r="AB333" s="5" t="str">
        <f>IF(P333="","", "⚠️ 薄弱环节: "&amp;INDEX($N$1:$O$1, MATCH(MIN(N333:O333), N333:O333, 0))&amp;CHAR(10)&amp;"📉 考察能力: "&amp;IFERROR(VLOOKUP(TRIM(D333)&amp;"_"&amp;TRIM(INDEX($N$1:$O$1, MATCH(MIN(N333:O333), N333:O333, 0))), 技能库!$A:$F, 5, 0),"建议查阅考纲")&amp;CHAR(10)&amp;"💡 提升建议: "&amp;IFERROR(VLOOKUP(TRIM(D333)&amp;"_"&amp;TRIM(INDEX($N$1:$O$1, MATCH(MIN(N333:O333), N333:O333, 0))), 技能库!$A:$F, 6, 0),"请针对该题型加强练习"))</f>
        <v/>
      </c>
      <c r="AC333" s="5" t="str">
        <f>IF(W333="","", "⚠️ 薄弱环节: "&amp;INDEX($R$1:$V$1, MATCH(MIN(R333:V333), R333:V333, 0))&amp;CHAR(10)&amp;"📉 考察能力: "&amp;IFERROR(VLOOKUP(TRIM(D333)&amp;"_"&amp;TRIM(INDEX($R$1:$V$1, MATCH(MIN(R333:V333), R333:V333, 0))), 技能库!$A:$F, 5, 0),"建议查阅考纲")&amp;CHAR(10)&amp;"💡 提升建议: "&amp;IFERROR(VLOOKUP(TRIM(D333)&amp;"_"&amp;TRIM(INDEX($R$1:$V$1, MATCH(MIN(R333:V333), R333:V333, 0))), 技能库!$A:$F, 6, 0),"请针对该题型加强练习"))</f>
        <v/>
      </c>
    </row>
    <row r="334" spans="12:29" ht="16" hidden="1" x14ac:dyDescent="0.2">
      <c r="L334" t="str">
        <f t="shared" si="20"/>
        <v/>
      </c>
      <c r="M334" t="str">
        <f>IF(L334="","", IFERROR(VLOOKUP(L334, IF(D334="KET", 换算标准!$M:$N, IF(D334="PET", 换算标准!$S:$T, 换算标准!$AC:$AD)), 2, TRUE), 0))</f>
        <v/>
      </c>
      <c r="P334" t="str">
        <f t="shared" si="21"/>
        <v/>
      </c>
      <c r="Q334" t="str">
        <f>IF(P334="","", IFERROR(VLOOKUP(P334, IF(D334="KET", 换算标准!$O:$P, IF(D334="PET", 换算标准!$U:$V, 换算标准!$AG:$AH)), 2, TRUE), 0))</f>
        <v/>
      </c>
      <c r="W334" t="str">
        <f t="shared" si="22"/>
        <v/>
      </c>
      <c r="X334" t="str">
        <f>IF(W334="","", IFERROR(VLOOKUP(W334, IF(D334="KET", 换算标准!$Q:$R, IF(D334="PET", 换算标准!$W:$X, 换算标准!$AI:$AJ)), 2, TRUE), 0))</f>
        <v/>
      </c>
      <c r="Y334" t="str">
        <f t="shared" si="23"/>
        <v/>
      </c>
      <c r="Z334" t="str">
        <f>IF(Y334="","", IFERROR(VLOOKUP(Y334, 换算标准!$Z:$AA, 1, TRUE), ""))</f>
        <v/>
      </c>
      <c r="AA334" s="5" t="str">
        <f>IF(L334="","", "⚠️ 薄弱环节: "&amp;INDEX($E$1:$K$1, MATCH(MIN(E334:K334), E334:K334, 0))&amp;CHAR(10)&amp;"📉 考察能力: "&amp;IFERROR(VLOOKUP(TRIM(D334)&amp;"_"&amp;TRIM(INDEX($E$1:$K$1, MATCH(MIN(E334:K334), E334:K334, 0))), 技能库!$A:$F, 5, 0),"建议查阅考纲")&amp;CHAR(10)&amp;"💡 提升建议: "&amp;IFERROR(VLOOKUP(TRIM(D334)&amp;"_"&amp;TRIM(INDEX($E$1:$K$1, MATCH(MIN(E334:K334), E334:K334, 0))), 技能库!$A:$F, 6, 0),"请针对该题型加强练习"))</f>
        <v/>
      </c>
      <c r="AB334" s="5" t="str">
        <f>IF(P334="","", "⚠️ 薄弱环节: "&amp;INDEX($N$1:$O$1, MATCH(MIN(N334:O334), N334:O334, 0))&amp;CHAR(10)&amp;"📉 考察能力: "&amp;IFERROR(VLOOKUP(TRIM(D334)&amp;"_"&amp;TRIM(INDEX($N$1:$O$1, MATCH(MIN(N334:O334), N334:O334, 0))), 技能库!$A:$F, 5, 0),"建议查阅考纲")&amp;CHAR(10)&amp;"💡 提升建议: "&amp;IFERROR(VLOOKUP(TRIM(D334)&amp;"_"&amp;TRIM(INDEX($N$1:$O$1, MATCH(MIN(N334:O334), N334:O334, 0))), 技能库!$A:$F, 6, 0),"请针对该题型加强练习"))</f>
        <v/>
      </c>
      <c r="AC334" s="5" t="str">
        <f>IF(W334="","", "⚠️ 薄弱环节: "&amp;INDEX($R$1:$V$1, MATCH(MIN(R334:V334), R334:V334, 0))&amp;CHAR(10)&amp;"📉 考察能力: "&amp;IFERROR(VLOOKUP(TRIM(D334)&amp;"_"&amp;TRIM(INDEX($R$1:$V$1, MATCH(MIN(R334:V334), R334:V334, 0))), 技能库!$A:$F, 5, 0),"建议查阅考纲")&amp;CHAR(10)&amp;"💡 提升建议: "&amp;IFERROR(VLOOKUP(TRIM(D334)&amp;"_"&amp;TRIM(INDEX($R$1:$V$1, MATCH(MIN(R334:V334), R334:V334, 0))), 技能库!$A:$F, 6, 0),"请针对该题型加强练习"))</f>
        <v/>
      </c>
    </row>
    <row r="335" spans="12:29" ht="16" hidden="1" x14ac:dyDescent="0.2">
      <c r="L335" t="str">
        <f t="shared" si="20"/>
        <v/>
      </c>
      <c r="M335" t="str">
        <f>IF(L335="","", IFERROR(VLOOKUP(L335, IF(D335="KET", 换算标准!$M:$N, IF(D335="PET", 换算标准!$S:$T, 换算标准!$AC:$AD)), 2, TRUE), 0))</f>
        <v/>
      </c>
      <c r="P335" t="str">
        <f t="shared" si="21"/>
        <v/>
      </c>
      <c r="Q335" t="str">
        <f>IF(P335="","", IFERROR(VLOOKUP(P335, IF(D335="KET", 换算标准!$O:$P, IF(D335="PET", 换算标准!$U:$V, 换算标准!$AG:$AH)), 2, TRUE), 0))</f>
        <v/>
      </c>
      <c r="W335" t="str">
        <f t="shared" si="22"/>
        <v/>
      </c>
      <c r="X335" t="str">
        <f>IF(W335="","", IFERROR(VLOOKUP(W335, IF(D335="KET", 换算标准!$Q:$R, IF(D335="PET", 换算标准!$W:$X, 换算标准!$AI:$AJ)), 2, TRUE), 0))</f>
        <v/>
      </c>
      <c r="Y335" t="str">
        <f t="shared" si="23"/>
        <v/>
      </c>
      <c r="Z335" t="str">
        <f>IF(Y335="","", IFERROR(VLOOKUP(Y335, 换算标准!$Z:$AA, 1, TRUE), ""))</f>
        <v/>
      </c>
      <c r="AA335" s="5" t="str">
        <f>IF(L335="","", "⚠️ 薄弱环节: "&amp;INDEX($E$1:$K$1, MATCH(MIN(E335:K335), E335:K335, 0))&amp;CHAR(10)&amp;"📉 考察能力: "&amp;IFERROR(VLOOKUP(TRIM(D335)&amp;"_"&amp;TRIM(INDEX($E$1:$K$1, MATCH(MIN(E335:K335), E335:K335, 0))), 技能库!$A:$F, 5, 0),"建议查阅考纲")&amp;CHAR(10)&amp;"💡 提升建议: "&amp;IFERROR(VLOOKUP(TRIM(D335)&amp;"_"&amp;TRIM(INDEX($E$1:$K$1, MATCH(MIN(E335:K335), E335:K335, 0))), 技能库!$A:$F, 6, 0),"请针对该题型加强练习"))</f>
        <v/>
      </c>
      <c r="AB335" s="5" t="str">
        <f>IF(P335="","", "⚠️ 薄弱环节: "&amp;INDEX($N$1:$O$1, MATCH(MIN(N335:O335), N335:O335, 0))&amp;CHAR(10)&amp;"📉 考察能力: "&amp;IFERROR(VLOOKUP(TRIM(D335)&amp;"_"&amp;TRIM(INDEX($N$1:$O$1, MATCH(MIN(N335:O335), N335:O335, 0))), 技能库!$A:$F, 5, 0),"建议查阅考纲")&amp;CHAR(10)&amp;"💡 提升建议: "&amp;IFERROR(VLOOKUP(TRIM(D335)&amp;"_"&amp;TRIM(INDEX($N$1:$O$1, MATCH(MIN(N335:O335), N335:O335, 0))), 技能库!$A:$F, 6, 0),"请针对该题型加强练习"))</f>
        <v/>
      </c>
      <c r="AC335" s="5" t="str">
        <f>IF(W335="","", "⚠️ 薄弱环节: "&amp;INDEX($R$1:$V$1, MATCH(MIN(R335:V335), R335:V335, 0))&amp;CHAR(10)&amp;"📉 考察能力: "&amp;IFERROR(VLOOKUP(TRIM(D335)&amp;"_"&amp;TRIM(INDEX($R$1:$V$1, MATCH(MIN(R335:V335), R335:V335, 0))), 技能库!$A:$F, 5, 0),"建议查阅考纲")&amp;CHAR(10)&amp;"💡 提升建议: "&amp;IFERROR(VLOOKUP(TRIM(D335)&amp;"_"&amp;TRIM(INDEX($R$1:$V$1, MATCH(MIN(R335:V335), R335:V335, 0))), 技能库!$A:$F, 6, 0),"请针对该题型加强练习"))</f>
        <v/>
      </c>
    </row>
    <row r="336" spans="12:29" ht="16" hidden="1" x14ac:dyDescent="0.2">
      <c r="L336" t="str">
        <f t="shared" si="20"/>
        <v/>
      </c>
      <c r="M336" t="str">
        <f>IF(L336="","", IFERROR(VLOOKUP(L336, IF(D336="KET", 换算标准!$M:$N, IF(D336="PET", 换算标准!$S:$T, 换算标准!$AC:$AD)), 2, TRUE), 0))</f>
        <v/>
      </c>
      <c r="P336" t="str">
        <f t="shared" si="21"/>
        <v/>
      </c>
      <c r="Q336" t="str">
        <f>IF(P336="","", IFERROR(VLOOKUP(P336, IF(D336="KET", 换算标准!$O:$P, IF(D336="PET", 换算标准!$U:$V, 换算标准!$AG:$AH)), 2, TRUE), 0))</f>
        <v/>
      </c>
      <c r="W336" t="str">
        <f t="shared" si="22"/>
        <v/>
      </c>
      <c r="X336" t="str">
        <f>IF(W336="","", IFERROR(VLOOKUP(W336, IF(D336="KET", 换算标准!$Q:$R, IF(D336="PET", 换算标准!$W:$X, 换算标准!$AI:$AJ)), 2, TRUE), 0))</f>
        <v/>
      </c>
      <c r="Y336" t="str">
        <f t="shared" si="23"/>
        <v/>
      </c>
      <c r="Z336" t="str">
        <f>IF(Y336="","", IFERROR(VLOOKUP(Y336, 换算标准!$Z:$AA, 1, TRUE), ""))</f>
        <v/>
      </c>
      <c r="AA336" s="5" t="str">
        <f>IF(L336="","", "⚠️ 薄弱环节: "&amp;INDEX($E$1:$K$1, MATCH(MIN(E336:K336), E336:K336, 0))&amp;CHAR(10)&amp;"📉 考察能力: "&amp;IFERROR(VLOOKUP(TRIM(D336)&amp;"_"&amp;TRIM(INDEX($E$1:$K$1, MATCH(MIN(E336:K336), E336:K336, 0))), 技能库!$A:$F, 5, 0),"建议查阅考纲")&amp;CHAR(10)&amp;"💡 提升建议: "&amp;IFERROR(VLOOKUP(TRIM(D336)&amp;"_"&amp;TRIM(INDEX($E$1:$K$1, MATCH(MIN(E336:K336), E336:K336, 0))), 技能库!$A:$F, 6, 0),"请针对该题型加强练习"))</f>
        <v/>
      </c>
      <c r="AB336" s="5" t="str">
        <f>IF(P336="","", "⚠️ 薄弱环节: "&amp;INDEX($N$1:$O$1, MATCH(MIN(N336:O336), N336:O336, 0))&amp;CHAR(10)&amp;"📉 考察能力: "&amp;IFERROR(VLOOKUP(TRIM(D336)&amp;"_"&amp;TRIM(INDEX($N$1:$O$1, MATCH(MIN(N336:O336), N336:O336, 0))), 技能库!$A:$F, 5, 0),"建议查阅考纲")&amp;CHAR(10)&amp;"💡 提升建议: "&amp;IFERROR(VLOOKUP(TRIM(D336)&amp;"_"&amp;TRIM(INDEX($N$1:$O$1, MATCH(MIN(N336:O336), N336:O336, 0))), 技能库!$A:$F, 6, 0),"请针对该题型加强练习"))</f>
        <v/>
      </c>
      <c r="AC336" s="5" t="str">
        <f>IF(W336="","", "⚠️ 薄弱环节: "&amp;INDEX($R$1:$V$1, MATCH(MIN(R336:V336), R336:V336, 0))&amp;CHAR(10)&amp;"📉 考察能力: "&amp;IFERROR(VLOOKUP(TRIM(D336)&amp;"_"&amp;TRIM(INDEX($R$1:$V$1, MATCH(MIN(R336:V336), R336:V336, 0))), 技能库!$A:$F, 5, 0),"建议查阅考纲")&amp;CHAR(10)&amp;"💡 提升建议: "&amp;IFERROR(VLOOKUP(TRIM(D336)&amp;"_"&amp;TRIM(INDEX($R$1:$V$1, MATCH(MIN(R336:V336), R336:V336, 0))), 技能库!$A:$F, 6, 0),"请针对该题型加强练习"))</f>
        <v/>
      </c>
    </row>
    <row r="337" spans="12:29" ht="16" hidden="1" x14ac:dyDescent="0.2">
      <c r="L337" t="str">
        <f t="shared" si="20"/>
        <v/>
      </c>
      <c r="M337" t="str">
        <f>IF(L337="","", IFERROR(VLOOKUP(L337, IF(D337="KET", 换算标准!$M:$N, IF(D337="PET", 换算标准!$S:$T, 换算标准!$AC:$AD)), 2, TRUE), 0))</f>
        <v/>
      </c>
      <c r="P337" t="str">
        <f t="shared" si="21"/>
        <v/>
      </c>
      <c r="Q337" t="str">
        <f>IF(P337="","", IFERROR(VLOOKUP(P337, IF(D337="KET", 换算标准!$O:$P, IF(D337="PET", 换算标准!$U:$V, 换算标准!$AG:$AH)), 2, TRUE), 0))</f>
        <v/>
      </c>
      <c r="W337" t="str">
        <f t="shared" si="22"/>
        <v/>
      </c>
      <c r="X337" t="str">
        <f>IF(W337="","", IFERROR(VLOOKUP(W337, IF(D337="KET", 换算标准!$Q:$R, IF(D337="PET", 换算标准!$W:$X, 换算标准!$AI:$AJ)), 2, TRUE), 0))</f>
        <v/>
      </c>
      <c r="Y337" t="str">
        <f t="shared" si="23"/>
        <v/>
      </c>
      <c r="Z337" t="str">
        <f>IF(Y337="","", IFERROR(VLOOKUP(Y337, 换算标准!$Z:$AA, 1, TRUE), ""))</f>
        <v/>
      </c>
      <c r="AA337" s="5" t="str">
        <f>IF(L337="","", "⚠️ 薄弱环节: "&amp;INDEX($E$1:$K$1, MATCH(MIN(E337:K337), E337:K337, 0))&amp;CHAR(10)&amp;"📉 考察能力: "&amp;IFERROR(VLOOKUP(TRIM(D337)&amp;"_"&amp;TRIM(INDEX($E$1:$K$1, MATCH(MIN(E337:K337), E337:K337, 0))), 技能库!$A:$F, 5, 0),"建议查阅考纲")&amp;CHAR(10)&amp;"💡 提升建议: "&amp;IFERROR(VLOOKUP(TRIM(D337)&amp;"_"&amp;TRIM(INDEX($E$1:$K$1, MATCH(MIN(E337:K337), E337:K337, 0))), 技能库!$A:$F, 6, 0),"请针对该题型加强练习"))</f>
        <v/>
      </c>
      <c r="AB337" s="5" t="str">
        <f>IF(P337="","", "⚠️ 薄弱环节: "&amp;INDEX($N$1:$O$1, MATCH(MIN(N337:O337), N337:O337, 0))&amp;CHAR(10)&amp;"📉 考察能力: "&amp;IFERROR(VLOOKUP(TRIM(D337)&amp;"_"&amp;TRIM(INDEX($N$1:$O$1, MATCH(MIN(N337:O337), N337:O337, 0))), 技能库!$A:$F, 5, 0),"建议查阅考纲")&amp;CHAR(10)&amp;"💡 提升建议: "&amp;IFERROR(VLOOKUP(TRIM(D337)&amp;"_"&amp;TRIM(INDEX($N$1:$O$1, MATCH(MIN(N337:O337), N337:O337, 0))), 技能库!$A:$F, 6, 0),"请针对该题型加强练习"))</f>
        <v/>
      </c>
      <c r="AC337" s="5" t="str">
        <f>IF(W337="","", "⚠️ 薄弱环节: "&amp;INDEX($R$1:$V$1, MATCH(MIN(R337:V337), R337:V337, 0))&amp;CHAR(10)&amp;"📉 考察能力: "&amp;IFERROR(VLOOKUP(TRIM(D337)&amp;"_"&amp;TRIM(INDEX($R$1:$V$1, MATCH(MIN(R337:V337), R337:V337, 0))), 技能库!$A:$F, 5, 0),"建议查阅考纲")&amp;CHAR(10)&amp;"💡 提升建议: "&amp;IFERROR(VLOOKUP(TRIM(D337)&amp;"_"&amp;TRIM(INDEX($R$1:$V$1, MATCH(MIN(R337:V337), R337:V337, 0))), 技能库!$A:$F, 6, 0),"请针对该题型加强练习"))</f>
        <v/>
      </c>
    </row>
    <row r="338" spans="12:29" ht="16" hidden="1" x14ac:dyDescent="0.2">
      <c r="L338" t="str">
        <f t="shared" si="20"/>
        <v/>
      </c>
      <c r="M338" t="str">
        <f>IF(L338="","", IFERROR(VLOOKUP(L338, IF(D338="KET", 换算标准!$M:$N, IF(D338="PET", 换算标准!$S:$T, 换算标准!$AC:$AD)), 2, TRUE), 0))</f>
        <v/>
      </c>
      <c r="P338" t="str">
        <f t="shared" si="21"/>
        <v/>
      </c>
      <c r="Q338" t="str">
        <f>IF(P338="","", IFERROR(VLOOKUP(P338, IF(D338="KET", 换算标准!$O:$P, IF(D338="PET", 换算标准!$U:$V, 换算标准!$AG:$AH)), 2, TRUE), 0))</f>
        <v/>
      </c>
      <c r="W338" t="str">
        <f t="shared" si="22"/>
        <v/>
      </c>
      <c r="X338" t="str">
        <f>IF(W338="","", IFERROR(VLOOKUP(W338, IF(D338="KET", 换算标准!$Q:$R, IF(D338="PET", 换算标准!$W:$X, 换算标准!$AI:$AJ)), 2, TRUE), 0))</f>
        <v/>
      </c>
      <c r="Y338" t="str">
        <f t="shared" si="23"/>
        <v/>
      </c>
      <c r="Z338" t="str">
        <f>IF(Y338="","", IFERROR(VLOOKUP(Y338, 换算标准!$Z:$AA, 1, TRUE), ""))</f>
        <v/>
      </c>
      <c r="AA338" s="5" t="str">
        <f>IF(L338="","", "⚠️ 薄弱环节: "&amp;INDEX($E$1:$K$1, MATCH(MIN(E338:K338), E338:K338, 0))&amp;CHAR(10)&amp;"📉 考察能力: "&amp;IFERROR(VLOOKUP(TRIM(D338)&amp;"_"&amp;TRIM(INDEX($E$1:$K$1, MATCH(MIN(E338:K338), E338:K338, 0))), 技能库!$A:$F, 5, 0),"建议查阅考纲")&amp;CHAR(10)&amp;"💡 提升建议: "&amp;IFERROR(VLOOKUP(TRIM(D338)&amp;"_"&amp;TRIM(INDEX($E$1:$K$1, MATCH(MIN(E338:K338), E338:K338, 0))), 技能库!$A:$F, 6, 0),"请针对该题型加强练习"))</f>
        <v/>
      </c>
      <c r="AB338" s="5" t="str">
        <f>IF(P338="","", "⚠️ 薄弱环节: "&amp;INDEX($N$1:$O$1, MATCH(MIN(N338:O338), N338:O338, 0))&amp;CHAR(10)&amp;"📉 考察能力: "&amp;IFERROR(VLOOKUP(TRIM(D338)&amp;"_"&amp;TRIM(INDEX($N$1:$O$1, MATCH(MIN(N338:O338), N338:O338, 0))), 技能库!$A:$F, 5, 0),"建议查阅考纲")&amp;CHAR(10)&amp;"💡 提升建议: "&amp;IFERROR(VLOOKUP(TRIM(D338)&amp;"_"&amp;TRIM(INDEX($N$1:$O$1, MATCH(MIN(N338:O338), N338:O338, 0))), 技能库!$A:$F, 6, 0),"请针对该题型加强练习"))</f>
        <v/>
      </c>
      <c r="AC338" s="5" t="str">
        <f>IF(W338="","", "⚠️ 薄弱环节: "&amp;INDEX($R$1:$V$1, MATCH(MIN(R338:V338), R338:V338, 0))&amp;CHAR(10)&amp;"📉 考察能力: "&amp;IFERROR(VLOOKUP(TRIM(D338)&amp;"_"&amp;TRIM(INDEX($R$1:$V$1, MATCH(MIN(R338:V338), R338:V338, 0))), 技能库!$A:$F, 5, 0),"建议查阅考纲")&amp;CHAR(10)&amp;"💡 提升建议: "&amp;IFERROR(VLOOKUP(TRIM(D338)&amp;"_"&amp;TRIM(INDEX($R$1:$V$1, MATCH(MIN(R338:V338), R338:V338, 0))), 技能库!$A:$F, 6, 0),"请针对该题型加强练习"))</f>
        <v/>
      </c>
    </row>
    <row r="339" spans="12:29" ht="16" hidden="1" x14ac:dyDescent="0.2">
      <c r="L339" t="str">
        <f t="shared" si="20"/>
        <v/>
      </c>
      <c r="M339" t="str">
        <f>IF(L339="","", IFERROR(VLOOKUP(L339, IF(D339="KET", 换算标准!$M:$N, IF(D339="PET", 换算标准!$S:$T, 换算标准!$AC:$AD)), 2, TRUE), 0))</f>
        <v/>
      </c>
      <c r="P339" t="str">
        <f t="shared" si="21"/>
        <v/>
      </c>
      <c r="Q339" t="str">
        <f>IF(P339="","", IFERROR(VLOOKUP(P339, IF(D339="KET", 换算标准!$O:$P, IF(D339="PET", 换算标准!$U:$V, 换算标准!$AG:$AH)), 2, TRUE), 0))</f>
        <v/>
      </c>
      <c r="W339" t="str">
        <f t="shared" si="22"/>
        <v/>
      </c>
      <c r="X339" t="str">
        <f>IF(W339="","", IFERROR(VLOOKUP(W339, IF(D339="KET", 换算标准!$Q:$R, IF(D339="PET", 换算标准!$W:$X, 换算标准!$AI:$AJ)), 2, TRUE), 0))</f>
        <v/>
      </c>
      <c r="Y339" t="str">
        <f t="shared" si="23"/>
        <v/>
      </c>
      <c r="Z339" t="str">
        <f>IF(Y339="","", IFERROR(VLOOKUP(Y339, 换算标准!$Z:$AA, 1, TRUE), ""))</f>
        <v/>
      </c>
      <c r="AA339" s="5" t="str">
        <f>IF(L339="","", "⚠️ 薄弱环节: "&amp;INDEX($E$1:$K$1, MATCH(MIN(E339:K339), E339:K339, 0))&amp;CHAR(10)&amp;"📉 考察能力: "&amp;IFERROR(VLOOKUP(TRIM(D339)&amp;"_"&amp;TRIM(INDEX($E$1:$K$1, MATCH(MIN(E339:K339), E339:K339, 0))), 技能库!$A:$F, 5, 0),"建议查阅考纲")&amp;CHAR(10)&amp;"💡 提升建议: "&amp;IFERROR(VLOOKUP(TRIM(D339)&amp;"_"&amp;TRIM(INDEX($E$1:$K$1, MATCH(MIN(E339:K339), E339:K339, 0))), 技能库!$A:$F, 6, 0),"请针对该题型加强练习"))</f>
        <v/>
      </c>
      <c r="AB339" s="5" t="str">
        <f>IF(P339="","", "⚠️ 薄弱环节: "&amp;INDEX($N$1:$O$1, MATCH(MIN(N339:O339), N339:O339, 0))&amp;CHAR(10)&amp;"📉 考察能力: "&amp;IFERROR(VLOOKUP(TRIM(D339)&amp;"_"&amp;TRIM(INDEX($N$1:$O$1, MATCH(MIN(N339:O339), N339:O339, 0))), 技能库!$A:$F, 5, 0),"建议查阅考纲")&amp;CHAR(10)&amp;"💡 提升建议: "&amp;IFERROR(VLOOKUP(TRIM(D339)&amp;"_"&amp;TRIM(INDEX($N$1:$O$1, MATCH(MIN(N339:O339), N339:O339, 0))), 技能库!$A:$F, 6, 0),"请针对该题型加强练习"))</f>
        <v/>
      </c>
      <c r="AC339" s="5" t="str">
        <f>IF(W339="","", "⚠️ 薄弱环节: "&amp;INDEX($R$1:$V$1, MATCH(MIN(R339:V339), R339:V339, 0))&amp;CHAR(10)&amp;"📉 考察能力: "&amp;IFERROR(VLOOKUP(TRIM(D339)&amp;"_"&amp;TRIM(INDEX($R$1:$V$1, MATCH(MIN(R339:V339), R339:V339, 0))), 技能库!$A:$F, 5, 0),"建议查阅考纲")&amp;CHAR(10)&amp;"💡 提升建议: "&amp;IFERROR(VLOOKUP(TRIM(D339)&amp;"_"&amp;TRIM(INDEX($R$1:$V$1, MATCH(MIN(R339:V339), R339:V339, 0))), 技能库!$A:$F, 6, 0),"请针对该题型加强练习"))</f>
        <v/>
      </c>
    </row>
    <row r="340" spans="12:29" ht="16" hidden="1" x14ac:dyDescent="0.2">
      <c r="L340" t="str">
        <f t="shared" si="20"/>
        <v/>
      </c>
      <c r="M340" t="str">
        <f>IF(L340="","", IFERROR(VLOOKUP(L340, IF(D340="KET", 换算标准!$M:$N, IF(D340="PET", 换算标准!$S:$T, 换算标准!$AC:$AD)), 2, TRUE), 0))</f>
        <v/>
      </c>
      <c r="P340" t="str">
        <f t="shared" si="21"/>
        <v/>
      </c>
      <c r="Q340" t="str">
        <f>IF(P340="","", IFERROR(VLOOKUP(P340, IF(D340="KET", 换算标准!$O:$P, IF(D340="PET", 换算标准!$U:$V, 换算标准!$AG:$AH)), 2, TRUE), 0))</f>
        <v/>
      </c>
      <c r="W340" t="str">
        <f t="shared" si="22"/>
        <v/>
      </c>
      <c r="X340" t="str">
        <f>IF(W340="","", IFERROR(VLOOKUP(W340, IF(D340="KET", 换算标准!$Q:$R, IF(D340="PET", 换算标准!$W:$X, 换算标准!$AI:$AJ)), 2, TRUE), 0))</f>
        <v/>
      </c>
      <c r="Y340" t="str">
        <f t="shared" si="23"/>
        <v/>
      </c>
      <c r="Z340" t="str">
        <f>IF(Y340="","", IFERROR(VLOOKUP(Y340, 换算标准!$Z:$AA, 1, TRUE), ""))</f>
        <v/>
      </c>
      <c r="AA340" s="5" t="str">
        <f>IF(L340="","", "⚠️ 薄弱环节: "&amp;INDEX($E$1:$K$1, MATCH(MIN(E340:K340), E340:K340, 0))&amp;CHAR(10)&amp;"📉 考察能力: "&amp;IFERROR(VLOOKUP(TRIM(D340)&amp;"_"&amp;TRIM(INDEX($E$1:$K$1, MATCH(MIN(E340:K340), E340:K340, 0))), 技能库!$A:$F, 5, 0),"建议查阅考纲")&amp;CHAR(10)&amp;"💡 提升建议: "&amp;IFERROR(VLOOKUP(TRIM(D340)&amp;"_"&amp;TRIM(INDEX($E$1:$K$1, MATCH(MIN(E340:K340), E340:K340, 0))), 技能库!$A:$F, 6, 0),"请针对该题型加强练习"))</f>
        <v/>
      </c>
      <c r="AB340" s="5" t="str">
        <f>IF(P340="","", "⚠️ 薄弱环节: "&amp;INDEX($N$1:$O$1, MATCH(MIN(N340:O340), N340:O340, 0))&amp;CHAR(10)&amp;"📉 考察能力: "&amp;IFERROR(VLOOKUP(TRIM(D340)&amp;"_"&amp;TRIM(INDEX($N$1:$O$1, MATCH(MIN(N340:O340), N340:O340, 0))), 技能库!$A:$F, 5, 0),"建议查阅考纲")&amp;CHAR(10)&amp;"💡 提升建议: "&amp;IFERROR(VLOOKUP(TRIM(D340)&amp;"_"&amp;TRIM(INDEX($N$1:$O$1, MATCH(MIN(N340:O340), N340:O340, 0))), 技能库!$A:$F, 6, 0),"请针对该题型加强练习"))</f>
        <v/>
      </c>
      <c r="AC340" s="5" t="str">
        <f>IF(W340="","", "⚠️ 薄弱环节: "&amp;INDEX($R$1:$V$1, MATCH(MIN(R340:V340), R340:V340, 0))&amp;CHAR(10)&amp;"📉 考察能力: "&amp;IFERROR(VLOOKUP(TRIM(D340)&amp;"_"&amp;TRIM(INDEX($R$1:$V$1, MATCH(MIN(R340:V340), R340:V340, 0))), 技能库!$A:$F, 5, 0),"建议查阅考纲")&amp;CHAR(10)&amp;"💡 提升建议: "&amp;IFERROR(VLOOKUP(TRIM(D340)&amp;"_"&amp;TRIM(INDEX($R$1:$V$1, MATCH(MIN(R340:V340), R340:V340, 0))), 技能库!$A:$F, 6, 0),"请针对该题型加强练习"))</f>
        <v/>
      </c>
    </row>
    <row r="341" spans="12:29" ht="16" hidden="1" x14ac:dyDescent="0.2">
      <c r="L341" t="str">
        <f t="shared" si="20"/>
        <v/>
      </c>
      <c r="M341" t="str">
        <f>IF(L341="","", IFERROR(VLOOKUP(L341, IF(D341="KET", 换算标准!$M:$N, IF(D341="PET", 换算标准!$S:$T, 换算标准!$AC:$AD)), 2, TRUE), 0))</f>
        <v/>
      </c>
      <c r="P341" t="str">
        <f t="shared" si="21"/>
        <v/>
      </c>
      <c r="Q341" t="str">
        <f>IF(P341="","", IFERROR(VLOOKUP(P341, IF(D341="KET", 换算标准!$O:$P, IF(D341="PET", 换算标准!$U:$V, 换算标准!$AG:$AH)), 2, TRUE), 0))</f>
        <v/>
      </c>
      <c r="W341" t="str">
        <f t="shared" si="22"/>
        <v/>
      </c>
      <c r="X341" t="str">
        <f>IF(W341="","", IFERROR(VLOOKUP(W341, IF(D341="KET", 换算标准!$Q:$R, IF(D341="PET", 换算标准!$W:$X, 换算标准!$AI:$AJ)), 2, TRUE), 0))</f>
        <v/>
      </c>
      <c r="Y341" t="str">
        <f t="shared" si="23"/>
        <v/>
      </c>
      <c r="Z341" t="str">
        <f>IF(Y341="","", IFERROR(VLOOKUP(Y341, 换算标准!$Z:$AA, 1, TRUE), ""))</f>
        <v/>
      </c>
      <c r="AA341" s="5" t="str">
        <f>IF(L341="","", "⚠️ 薄弱环节: "&amp;INDEX($E$1:$K$1, MATCH(MIN(E341:K341), E341:K341, 0))&amp;CHAR(10)&amp;"📉 考察能力: "&amp;IFERROR(VLOOKUP(TRIM(D341)&amp;"_"&amp;TRIM(INDEX($E$1:$K$1, MATCH(MIN(E341:K341), E341:K341, 0))), 技能库!$A:$F, 5, 0),"建议查阅考纲")&amp;CHAR(10)&amp;"💡 提升建议: "&amp;IFERROR(VLOOKUP(TRIM(D341)&amp;"_"&amp;TRIM(INDEX($E$1:$K$1, MATCH(MIN(E341:K341), E341:K341, 0))), 技能库!$A:$F, 6, 0),"请针对该题型加强练习"))</f>
        <v/>
      </c>
      <c r="AB341" s="5" t="str">
        <f>IF(P341="","", "⚠️ 薄弱环节: "&amp;INDEX($N$1:$O$1, MATCH(MIN(N341:O341), N341:O341, 0))&amp;CHAR(10)&amp;"📉 考察能力: "&amp;IFERROR(VLOOKUP(TRIM(D341)&amp;"_"&amp;TRIM(INDEX($N$1:$O$1, MATCH(MIN(N341:O341), N341:O341, 0))), 技能库!$A:$F, 5, 0),"建议查阅考纲")&amp;CHAR(10)&amp;"💡 提升建议: "&amp;IFERROR(VLOOKUP(TRIM(D341)&amp;"_"&amp;TRIM(INDEX($N$1:$O$1, MATCH(MIN(N341:O341), N341:O341, 0))), 技能库!$A:$F, 6, 0),"请针对该题型加强练习"))</f>
        <v/>
      </c>
      <c r="AC341" s="5" t="str">
        <f>IF(W341="","", "⚠️ 薄弱环节: "&amp;INDEX($R$1:$V$1, MATCH(MIN(R341:V341), R341:V341, 0))&amp;CHAR(10)&amp;"📉 考察能力: "&amp;IFERROR(VLOOKUP(TRIM(D341)&amp;"_"&amp;TRIM(INDEX($R$1:$V$1, MATCH(MIN(R341:V341), R341:V341, 0))), 技能库!$A:$F, 5, 0),"建议查阅考纲")&amp;CHAR(10)&amp;"💡 提升建议: "&amp;IFERROR(VLOOKUP(TRIM(D341)&amp;"_"&amp;TRIM(INDEX($R$1:$V$1, MATCH(MIN(R341:V341), R341:V341, 0))), 技能库!$A:$F, 6, 0),"请针对该题型加强练习"))</f>
        <v/>
      </c>
    </row>
    <row r="342" spans="12:29" ht="16" hidden="1" x14ac:dyDescent="0.2">
      <c r="L342" t="str">
        <f t="shared" si="20"/>
        <v/>
      </c>
      <c r="M342" t="str">
        <f>IF(L342="","", IFERROR(VLOOKUP(L342, IF(D342="KET", 换算标准!$M:$N, IF(D342="PET", 换算标准!$S:$T, 换算标准!$AC:$AD)), 2, TRUE), 0))</f>
        <v/>
      </c>
      <c r="P342" t="str">
        <f t="shared" si="21"/>
        <v/>
      </c>
      <c r="Q342" t="str">
        <f>IF(P342="","", IFERROR(VLOOKUP(P342, IF(D342="KET", 换算标准!$O:$P, IF(D342="PET", 换算标准!$U:$V, 换算标准!$AG:$AH)), 2, TRUE), 0))</f>
        <v/>
      </c>
      <c r="W342" t="str">
        <f t="shared" si="22"/>
        <v/>
      </c>
      <c r="X342" t="str">
        <f>IF(W342="","", IFERROR(VLOOKUP(W342, IF(D342="KET", 换算标准!$Q:$R, IF(D342="PET", 换算标准!$W:$X, 换算标准!$AI:$AJ)), 2, TRUE), 0))</f>
        <v/>
      </c>
      <c r="Y342" t="str">
        <f t="shared" si="23"/>
        <v/>
      </c>
      <c r="Z342" t="str">
        <f>IF(Y342="","", IFERROR(VLOOKUP(Y342, 换算标准!$Z:$AA, 1, TRUE), ""))</f>
        <v/>
      </c>
      <c r="AA342" s="5" t="str">
        <f>IF(L342="","", "⚠️ 薄弱环节: "&amp;INDEX($E$1:$K$1, MATCH(MIN(E342:K342), E342:K342, 0))&amp;CHAR(10)&amp;"📉 考察能力: "&amp;IFERROR(VLOOKUP(TRIM(D342)&amp;"_"&amp;TRIM(INDEX($E$1:$K$1, MATCH(MIN(E342:K342), E342:K342, 0))), 技能库!$A:$F, 5, 0),"建议查阅考纲")&amp;CHAR(10)&amp;"💡 提升建议: "&amp;IFERROR(VLOOKUP(TRIM(D342)&amp;"_"&amp;TRIM(INDEX($E$1:$K$1, MATCH(MIN(E342:K342), E342:K342, 0))), 技能库!$A:$F, 6, 0),"请针对该题型加强练习"))</f>
        <v/>
      </c>
      <c r="AB342" s="5" t="str">
        <f>IF(P342="","", "⚠️ 薄弱环节: "&amp;INDEX($N$1:$O$1, MATCH(MIN(N342:O342), N342:O342, 0))&amp;CHAR(10)&amp;"📉 考察能力: "&amp;IFERROR(VLOOKUP(TRIM(D342)&amp;"_"&amp;TRIM(INDEX($N$1:$O$1, MATCH(MIN(N342:O342), N342:O342, 0))), 技能库!$A:$F, 5, 0),"建议查阅考纲")&amp;CHAR(10)&amp;"💡 提升建议: "&amp;IFERROR(VLOOKUP(TRIM(D342)&amp;"_"&amp;TRIM(INDEX($N$1:$O$1, MATCH(MIN(N342:O342), N342:O342, 0))), 技能库!$A:$F, 6, 0),"请针对该题型加强练习"))</f>
        <v/>
      </c>
      <c r="AC342" s="5" t="str">
        <f>IF(W342="","", "⚠️ 薄弱环节: "&amp;INDEX($R$1:$V$1, MATCH(MIN(R342:V342), R342:V342, 0))&amp;CHAR(10)&amp;"📉 考察能力: "&amp;IFERROR(VLOOKUP(TRIM(D342)&amp;"_"&amp;TRIM(INDEX($R$1:$V$1, MATCH(MIN(R342:V342), R342:V342, 0))), 技能库!$A:$F, 5, 0),"建议查阅考纲")&amp;CHAR(10)&amp;"💡 提升建议: "&amp;IFERROR(VLOOKUP(TRIM(D342)&amp;"_"&amp;TRIM(INDEX($R$1:$V$1, MATCH(MIN(R342:V342), R342:V342, 0))), 技能库!$A:$F, 6, 0),"请针对该题型加强练习"))</f>
        <v/>
      </c>
    </row>
    <row r="343" spans="12:29" ht="16" hidden="1" x14ac:dyDescent="0.2">
      <c r="L343" t="str">
        <f t="shared" si="20"/>
        <v/>
      </c>
      <c r="M343" t="str">
        <f>IF(L343="","", IFERROR(VLOOKUP(L343, IF(D343="KET", 换算标准!$M:$N, IF(D343="PET", 换算标准!$S:$T, 换算标准!$AC:$AD)), 2, TRUE), 0))</f>
        <v/>
      </c>
      <c r="P343" t="str">
        <f t="shared" si="21"/>
        <v/>
      </c>
      <c r="Q343" t="str">
        <f>IF(P343="","", IFERROR(VLOOKUP(P343, IF(D343="KET", 换算标准!$O:$P, IF(D343="PET", 换算标准!$U:$V, 换算标准!$AG:$AH)), 2, TRUE), 0))</f>
        <v/>
      </c>
      <c r="W343" t="str">
        <f t="shared" si="22"/>
        <v/>
      </c>
      <c r="X343" t="str">
        <f>IF(W343="","", IFERROR(VLOOKUP(W343, IF(D343="KET", 换算标准!$Q:$R, IF(D343="PET", 换算标准!$W:$X, 换算标准!$AI:$AJ)), 2, TRUE), 0))</f>
        <v/>
      </c>
      <c r="Y343" t="str">
        <f t="shared" si="23"/>
        <v/>
      </c>
      <c r="Z343" t="str">
        <f>IF(Y343="","", IFERROR(VLOOKUP(Y343, 换算标准!$Z:$AA, 1, TRUE), ""))</f>
        <v/>
      </c>
      <c r="AA343" s="5" t="str">
        <f>IF(L343="","", "⚠️ 薄弱环节: "&amp;INDEX($E$1:$K$1, MATCH(MIN(E343:K343), E343:K343, 0))&amp;CHAR(10)&amp;"📉 考察能力: "&amp;IFERROR(VLOOKUP(TRIM(D343)&amp;"_"&amp;TRIM(INDEX($E$1:$K$1, MATCH(MIN(E343:K343), E343:K343, 0))), 技能库!$A:$F, 5, 0),"建议查阅考纲")&amp;CHAR(10)&amp;"💡 提升建议: "&amp;IFERROR(VLOOKUP(TRIM(D343)&amp;"_"&amp;TRIM(INDEX($E$1:$K$1, MATCH(MIN(E343:K343), E343:K343, 0))), 技能库!$A:$F, 6, 0),"请针对该题型加强练习"))</f>
        <v/>
      </c>
      <c r="AB343" s="5" t="str">
        <f>IF(P343="","", "⚠️ 薄弱环节: "&amp;INDEX($N$1:$O$1, MATCH(MIN(N343:O343), N343:O343, 0))&amp;CHAR(10)&amp;"📉 考察能力: "&amp;IFERROR(VLOOKUP(TRIM(D343)&amp;"_"&amp;TRIM(INDEX($N$1:$O$1, MATCH(MIN(N343:O343), N343:O343, 0))), 技能库!$A:$F, 5, 0),"建议查阅考纲")&amp;CHAR(10)&amp;"💡 提升建议: "&amp;IFERROR(VLOOKUP(TRIM(D343)&amp;"_"&amp;TRIM(INDEX($N$1:$O$1, MATCH(MIN(N343:O343), N343:O343, 0))), 技能库!$A:$F, 6, 0),"请针对该题型加强练习"))</f>
        <v/>
      </c>
      <c r="AC343" s="5" t="str">
        <f>IF(W343="","", "⚠️ 薄弱环节: "&amp;INDEX($R$1:$V$1, MATCH(MIN(R343:V343), R343:V343, 0))&amp;CHAR(10)&amp;"📉 考察能力: "&amp;IFERROR(VLOOKUP(TRIM(D343)&amp;"_"&amp;TRIM(INDEX($R$1:$V$1, MATCH(MIN(R343:V343), R343:V343, 0))), 技能库!$A:$F, 5, 0),"建议查阅考纲")&amp;CHAR(10)&amp;"💡 提升建议: "&amp;IFERROR(VLOOKUP(TRIM(D343)&amp;"_"&amp;TRIM(INDEX($R$1:$V$1, MATCH(MIN(R343:V343), R343:V343, 0))), 技能库!$A:$F, 6, 0),"请针对该题型加强练习"))</f>
        <v/>
      </c>
    </row>
    <row r="344" spans="12:29" ht="16" hidden="1" x14ac:dyDescent="0.2">
      <c r="L344" t="str">
        <f t="shared" si="20"/>
        <v/>
      </c>
      <c r="M344" t="str">
        <f>IF(L344="","", IFERROR(VLOOKUP(L344, IF(D344="KET", 换算标准!$M:$N, IF(D344="PET", 换算标准!$S:$T, 换算标准!$AC:$AD)), 2, TRUE), 0))</f>
        <v/>
      </c>
      <c r="P344" t="str">
        <f t="shared" si="21"/>
        <v/>
      </c>
      <c r="Q344" t="str">
        <f>IF(P344="","", IFERROR(VLOOKUP(P344, IF(D344="KET", 换算标准!$O:$P, IF(D344="PET", 换算标准!$U:$V, 换算标准!$AG:$AH)), 2, TRUE), 0))</f>
        <v/>
      </c>
      <c r="W344" t="str">
        <f t="shared" si="22"/>
        <v/>
      </c>
      <c r="X344" t="str">
        <f>IF(W344="","", IFERROR(VLOOKUP(W344, IF(D344="KET", 换算标准!$Q:$R, IF(D344="PET", 换算标准!$W:$X, 换算标准!$AI:$AJ)), 2, TRUE), 0))</f>
        <v/>
      </c>
      <c r="Y344" t="str">
        <f t="shared" si="23"/>
        <v/>
      </c>
      <c r="Z344" t="str">
        <f>IF(Y344="","", IFERROR(VLOOKUP(Y344, 换算标准!$Z:$AA, 1, TRUE), ""))</f>
        <v/>
      </c>
      <c r="AA344" s="5" t="str">
        <f>IF(L344="","", "⚠️ 薄弱环节: "&amp;INDEX($E$1:$K$1, MATCH(MIN(E344:K344), E344:K344, 0))&amp;CHAR(10)&amp;"📉 考察能力: "&amp;IFERROR(VLOOKUP(TRIM(D344)&amp;"_"&amp;TRIM(INDEX($E$1:$K$1, MATCH(MIN(E344:K344), E344:K344, 0))), 技能库!$A:$F, 5, 0),"建议查阅考纲")&amp;CHAR(10)&amp;"💡 提升建议: "&amp;IFERROR(VLOOKUP(TRIM(D344)&amp;"_"&amp;TRIM(INDEX($E$1:$K$1, MATCH(MIN(E344:K344), E344:K344, 0))), 技能库!$A:$F, 6, 0),"请针对该题型加强练习"))</f>
        <v/>
      </c>
      <c r="AB344" s="5" t="str">
        <f>IF(P344="","", "⚠️ 薄弱环节: "&amp;INDEX($N$1:$O$1, MATCH(MIN(N344:O344), N344:O344, 0))&amp;CHAR(10)&amp;"📉 考察能力: "&amp;IFERROR(VLOOKUP(TRIM(D344)&amp;"_"&amp;TRIM(INDEX($N$1:$O$1, MATCH(MIN(N344:O344), N344:O344, 0))), 技能库!$A:$F, 5, 0),"建议查阅考纲")&amp;CHAR(10)&amp;"💡 提升建议: "&amp;IFERROR(VLOOKUP(TRIM(D344)&amp;"_"&amp;TRIM(INDEX($N$1:$O$1, MATCH(MIN(N344:O344), N344:O344, 0))), 技能库!$A:$F, 6, 0),"请针对该题型加强练习"))</f>
        <v/>
      </c>
      <c r="AC344" s="5" t="str">
        <f>IF(W344="","", "⚠️ 薄弱环节: "&amp;INDEX($R$1:$V$1, MATCH(MIN(R344:V344), R344:V344, 0))&amp;CHAR(10)&amp;"📉 考察能力: "&amp;IFERROR(VLOOKUP(TRIM(D344)&amp;"_"&amp;TRIM(INDEX($R$1:$V$1, MATCH(MIN(R344:V344), R344:V344, 0))), 技能库!$A:$F, 5, 0),"建议查阅考纲")&amp;CHAR(10)&amp;"💡 提升建议: "&amp;IFERROR(VLOOKUP(TRIM(D344)&amp;"_"&amp;TRIM(INDEX($R$1:$V$1, MATCH(MIN(R344:V344), R344:V344, 0))), 技能库!$A:$F, 6, 0),"请针对该题型加强练习"))</f>
        <v/>
      </c>
    </row>
    <row r="345" spans="12:29" ht="16" hidden="1" x14ac:dyDescent="0.2">
      <c r="L345" t="str">
        <f t="shared" si="20"/>
        <v/>
      </c>
      <c r="M345" t="str">
        <f>IF(L345="","", IFERROR(VLOOKUP(L345, IF(D345="KET", 换算标准!$M:$N, IF(D345="PET", 换算标准!$S:$T, 换算标准!$AC:$AD)), 2, TRUE), 0))</f>
        <v/>
      </c>
      <c r="P345" t="str">
        <f t="shared" si="21"/>
        <v/>
      </c>
      <c r="Q345" t="str">
        <f>IF(P345="","", IFERROR(VLOOKUP(P345, IF(D345="KET", 换算标准!$O:$P, IF(D345="PET", 换算标准!$U:$V, 换算标准!$AG:$AH)), 2, TRUE), 0))</f>
        <v/>
      </c>
      <c r="W345" t="str">
        <f t="shared" si="22"/>
        <v/>
      </c>
      <c r="X345" t="str">
        <f>IF(W345="","", IFERROR(VLOOKUP(W345, IF(D345="KET", 换算标准!$Q:$R, IF(D345="PET", 换算标准!$W:$X, 换算标准!$AI:$AJ)), 2, TRUE), 0))</f>
        <v/>
      </c>
      <c r="Y345" t="str">
        <f t="shared" si="23"/>
        <v/>
      </c>
      <c r="Z345" t="str">
        <f>IF(Y345="","", IFERROR(VLOOKUP(Y345, 换算标准!$Z:$AA, 1, TRUE), ""))</f>
        <v/>
      </c>
      <c r="AA345" s="5" t="str">
        <f>IF(L345="","", "⚠️ 薄弱环节: "&amp;INDEX($E$1:$K$1, MATCH(MIN(E345:K345), E345:K345, 0))&amp;CHAR(10)&amp;"📉 考察能力: "&amp;IFERROR(VLOOKUP(TRIM(D345)&amp;"_"&amp;TRIM(INDEX($E$1:$K$1, MATCH(MIN(E345:K345), E345:K345, 0))), 技能库!$A:$F, 5, 0),"建议查阅考纲")&amp;CHAR(10)&amp;"💡 提升建议: "&amp;IFERROR(VLOOKUP(TRIM(D345)&amp;"_"&amp;TRIM(INDEX($E$1:$K$1, MATCH(MIN(E345:K345), E345:K345, 0))), 技能库!$A:$F, 6, 0),"请针对该题型加强练习"))</f>
        <v/>
      </c>
      <c r="AB345" s="5" t="str">
        <f>IF(P345="","", "⚠️ 薄弱环节: "&amp;INDEX($N$1:$O$1, MATCH(MIN(N345:O345), N345:O345, 0))&amp;CHAR(10)&amp;"📉 考察能力: "&amp;IFERROR(VLOOKUP(TRIM(D345)&amp;"_"&amp;TRIM(INDEX($N$1:$O$1, MATCH(MIN(N345:O345), N345:O345, 0))), 技能库!$A:$F, 5, 0),"建议查阅考纲")&amp;CHAR(10)&amp;"💡 提升建议: "&amp;IFERROR(VLOOKUP(TRIM(D345)&amp;"_"&amp;TRIM(INDEX($N$1:$O$1, MATCH(MIN(N345:O345), N345:O345, 0))), 技能库!$A:$F, 6, 0),"请针对该题型加强练习"))</f>
        <v/>
      </c>
      <c r="AC345" s="5" t="str">
        <f>IF(W345="","", "⚠️ 薄弱环节: "&amp;INDEX($R$1:$V$1, MATCH(MIN(R345:V345), R345:V345, 0))&amp;CHAR(10)&amp;"📉 考察能力: "&amp;IFERROR(VLOOKUP(TRIM(D345)&amp;"_"&amp;TRIM(INDEX($R$1:$V$1, MATCH(MIN(R345:V345), R345:V345, 0))), 技能库!$A:$F, 5, 0),"建议查阅考纲")&amp;CHAR(10)&amp;"💡 提升建议: "&amp;IFERROR(VLOOKUP(TRIM(D345)&amp;"_"&amp;TRIM(INDEX($R$1:$V$1, MATCH(MIN(R345:V345), R345:V345, 0))), 技能库!$A:$F, 6, 0),"请针对该题型加强练习"))</f>
        <v/>
      </c>
    </row>
    <row r="346" spans="12:29" ht="16" hidden="1" x14ac:dyDescent="0.2">
      <c r="L346" t="str">
        <f t="shared" si="20"/>
        <v/>
      </c>
      <c r="M346" t="str">
        <f>IF(L346="","", IFERROR(VLOOKUP(L346, IF(D346="KET", 换算标准!$M:$N, IF(D346="PET", 换算标准!$S:$T, 换算标准!$AC:$AD)), 2, TRUE), 0))</f>
        <v/>
      </c>
      <c r="P346" t="str">
        <f t="shared" si="21"/>
        <v/>
      </c>
      <c r="Q346" t="str">
        <f>IF(P346="","", IFERROR(VLOOKUP(P346, IF(D346="KET", 换算标准!$O:$P, IF(D346="PET", 换算标准!$U:$V, 换算标准!$AG:$AH)), 2, TRUE), 0))</f>
        <v/>
      </c>
      <c r="W346" t="str">
        <f t="shared" si="22"/>
        <v/>
      </c>
      <c r="X346" t="str">
        <f>IF(W346="","", IFERROR(VLOOKUP(W346, IF(D346="KET", 换算标准!$Q:$R, IF(D346="PET", 换算标准!$W:$X, 换算标准!$AI:$AJ)), 2, TRUE), 0))</f>
        <v/>
      </c>
      <c r="Y346" t="str">
        <f t="shared" si="23"/>
        <v/>
      </c>
      <c r="Z346" t="str">
        <f>IF(Y346="","", IFERROR(VLOOKUP(Y346, 换算标准!$Z:$AA, 1, TRUE), ""))</f>
        <v/>
      </c>
      <c r="AA346" s="5" t="str">
        <f>IF(L346="","", "⚠️ 薄弱环节: "&amp;INDEX($E$1:$K$1, MATCH(MIN(E346:K346), E346:K346, 0))&amp;CHAR(10)&amp;"📉 考察能力: "&amp;IFERROR(VLOOKUP(TRIM(D346)&amp;"_"&amp;TRIM(INDEX($E$1:$K$1, MATCH(MIN(E346:K346), E346:K346, 0))), 技能库!$A:$F, 5, 0),"建议查阅考纲")&amp;CHAR(10)&amp;"💡 提升建议: "&amp;IFERROR(VLOOKUP(TRIM(D346)&amp;"_"&amp;TRIM(INDEX($E$1:$K$1, MATCH(MIN(E346:K346), E346:K346, 0))), 技能库!$A:$F, 6, 0),"请针对该题型加强练习"))</f>
        <v/>
      </c>
      <c r="AB346" s="5" t="str">
        <f>IF(P346="","", "⚠️ 薄弱环节: "&amp;INDEX($N$1:$O$1, MATCH(MIN(N346:O346), N346:O346, 0))&amp;CHAR(10)&amp;"📉 考察能力: "&amp;IFERROR(VLOOKUP(TRIM(D346)&amp;"_"&amp;TRIM(INDEX($N$1:$O$1, MATCH(MIN(N346:O346), N346:O346, 0))), 技能库!$A:$F, 5, 0),"建议查阅考纲")&amp;CHAR(10)&amp;"💡 提升建议: "&amp;IFERROR(VLOOKUP(TRIM(D346)&amp;"_"&amp;TRIM(INDEX($N$1:$O$1, MATCH(MIN(N346:O346), N346:O346, 0))), 技能库!$A:$F, 6, 0),"请针对该题型加强练习"))</f>
        <v/>
      </c>
      <c r="AC346" s="5" t="str">
        <f>IF(W346="","", "⚠️ 薄弱环节: "&amp;INDEX($R$1:$V$1, MATCH(MIN(R346:V346), R346:V346, 0))&amp;CHAR(10)&amp;"📉 考察能力: "&amp;IFERROR(VLOOKUP(TRIM(D346)&amp;"_"&amp;TRIM(INDEX($R$1:$V$1, MATCH(MIN(R346:V346), R346:V346, 0))), 技能库!$A:$F, 5, 0),"建议查阅考纲")&amp;CHAR(10)&amp;"💡 提升建议: "&amp;IFERROR(VLOOKUP(TRIM(D346)&amp;"_"&amp;TRIM(INDEX($R$1:$V$1, MATCH(MIN(R346:V346), R346:V346, 0))), 技能库!$A:$F, 6, 0),"请针对该题型加强练习"))</f>
        <v/>
      </c>
    </row>
    <row r="347" spans="12:29" ht="16" hidden="1" x14ac:dyDescent="0.2">
      <c r="L347" t="str">
        <f t="shared" si="20"/>
        <v/>
      </c>
      <c r="M347" t="str">
        <f>IF(L347="","", IFERROR(VLOOKUP(L347, IF(D347="KET", 换算标准!$M:$N, IF(D347="PET", 换算标准!$S:$T, 换算标准!$AC:$AD)), 2, TRUE), 0))</f>
        <v/>
      </c>
      <c r="P347" t="str">
        <f t="shared" si="21"/>
        <v/>
      </c>
      <c r="Q347" t="str">
        <f>IF(P347="","", IFERROR(VLOOKUP(P347, IF(D347="KET", 换算标准!$O:$P, IF(D347="PET", 换算标准!$U:$V, 换算标准!$AG:$AH)), 2, TRUE), 0))</f>
        <v/>
      </c>
      <c r="W347" t="str">
        <f t="shared" si="22"/>
        <v/>
      </c>
      <c r="X347" t="str">
        <f>IF(W347="","", IFERROR(VLOOKUP(W347, IF(D347="KET", 换算标准!$Q:$R, IF(D347="PET", 换算标准!$W:$X, 换算标准!$AI:$AJ)), 2, TRUE), 0))</f>
        <v/>
      </c>
      <c r="Y347" t="str">
        <f t="shared" si="23"/>
        <v/>
      </c>
      <c r="Z347" t="str">
        <f>IF(Y347="","", IFERROR(VLOOKUP(Y347, 换算标准!$Z:$AA, 1, TRUE), ""))</f>
        <v/>
      </c>
      <c r="AA347" s="5" t="str">
        <f>IF(L347="","", "⚠️ 薄弱环节: "&amp;INDEX($E$1:$K$1, MATCH(MIN(E347:K347), E347:K347, 0))&amp;CHAR(10)&amp;"📉 考察能力: "&amp;IFERROR(VLOOKUP(TRIM(D347)&amp;"_"&amp;TRIM(INDEX($E$1:$K$1, MATCH(MIN(E347:K347), E347:K347, 0))), 技能库!$A:$F, 5, 0),"建议查阅考纲")&amp;CHAR(10)&amp;"💡 提升建议: "&amp;IFERROR(VLOOKUP(TRIM(D347)&amp;"_"&amp;TRIM(INDEX($E$1:$K$1, MATCH(MIN(E347:K347), E347:K347, 0))), 技能库!$A:$F, 6, 0),"请针对该题型加强练习"))</f>
        <v/>
      </c>
      <c r="AB347" s="5" t="str">
        <f>IF(P347="","", "⚠️ 薄弱环节: "&amp;INDEX($N$1:$O$1, MATCH(MIN(N347:O347), N347:O347, 0))&amp;CHAR(10)&amp;"📉 考察能力: "&amp;IFERROR(VLOOKUP(TRIM(D347)&amp;"_"&amp;TRIM(INDEX($N$1:$O$1, MATCH(MIN(N347:O347), N347:O347, 0))), 技能库!$A:$F, 5, 0),"建议查阅考纲")&amp;CHAR(10)&amp;"💡 提升建议: "&amp;IFERROR(VLOOKUP(TRIM(D347)&amp;"_"&amp;TRIM(INDEX($N$1:$O$1, MATCH(MIN(N347:O347), N347:O347, 0))), 技能库!$A:$F, 6, 0),"请针对该题型加强练习"))</f>
        <v/>
      </c>
      <c r="AC347" s="5" t="str">
        <f>IF(W347="","", "⚠️ 薄弱环节: "&amp;INDEX($R$1:$V$1, MATCH(MIN(R347:V347), R347:V347, 0))&amp;CHAR(10)&amp;"📉 考察能力: "&amp;IFERROR(VLOOKUP(TRIM(D347)&amp;"_"&amp;TRIM(INDEX($R$1:$V$1, MATCH(MIN(R347:V347), R347:V347, 0))), 技能库!$A:$F, 5, 0),"建议查阅考纲")&amp;CHAR(10)&amp;"💡 提升建议: "&amp;IFERROR(VLOOKUP(TRIM(D347)&amp;"_"&amp;TRIM(INDEX($R$1:$V$1, MATCH(MIN(R347:V347), R347:V347, 0))), 技能库!$A:$F, 6, 0),"请针对该题型加强练习"))</f>
        <v/>
      </c>
    </row>
    <row r="348" spans="12:29" ht="16" hidden="1" x14ac:dyDescent="0.2">
      <c r="L348" t="str">
        <f t="shared" si="20"/>
        <v/>
      </c>
      <c r="M348" t="str">
        <f>IF(L348="","", IFERROR(VLOOKUP(L348, IF(D348="KET", 换算标准!$M:$N, IF(D348="PET", 换算标准!$S:$T, 换算标准!$AC:$AD)), 2, TRUE), 0))</f>
        <v/>
      </c>
      <c r="P348" t="str">
        <f t="shared" si="21"/>
        <v/>
      </c>
      <c r="Q348" t="str">
        <f>IF(P348="","", IFERROR(VLOOKUP(P348, IF(D348="KET", 换算标准!$O:$P, IF(D348="PET", 换算标准!$U:$V, 换算标准!$AG:$AH)), 2, TRUE), 0))</f>
        <v/>
      </c>
      <c r="W348" t="str">
        <f t="shared" si="22"/>
        <v/>
      </c>
      <c r="X348" t="str">
        <f>IF(W348="","", IFERROR(VLOOKUP(W348, IF(D348="KET", 换算标准!$Q:$R, IF(D348="PET", 换算标准!$W:$X, 换算标准!$AI:$AJ)), 2, TRUE), 0))</f>
        <v/>
      </c>
      <c r="Y348" t="str">
        <f t="shared" si="23"/>
        <v/>
      </c>
      <c r="Z348" t="str">
        <f>IF(Y348="","", IFERROR(VLOOKUP(Y348, 换算标准!$Z:$AA, 1, TRUE), ""))</f>
        <v/>
      </c>
      <c r="AA348" s="5" t="str">
        <f>IF(L348="","", "⚠️ 薄弱环节: "&amp;INDEX($E$1:$K$1, MATCH(MIN(E348:K348), E348:K348, 0))&amp;CHAR(10)&amp;"📉 考察能力: "&amp;IFERROR(VLOOKUP(TRIM(D348)&amp;"_"&amp;TRIM(INDEX($E$1:$K$1, MATCH(MIN(E348:K348), E348:K348, 0))), 技能库!$A:$F, 5, 0),"建议查阅考纲")&amp;CHAR(10)&amp;"💡 提升建议: "&amp;IFERROR(VLOOKUP(TRIM(D348)&amp;"_"&amp;TRIM(INDEX($E$1:$K$1, MATCH(MIN(E348:K348), E348:K348, 0))), 技能库!$A:$F, 6, 0),"请针对该题型加强练习"))</f>
        <v/>
      </c>
      <c r="AB348" s="5" t="str">
        <f>IF(P348="","", "⚠️ 薄弱环节: "&amp;INDEX($N$1:$O$1, MATCH(MIN(N348:O348), N348:O348, 0))&amp;CHAR(10)&amp;"📉 考察能力: "&amp;IFERROR(VLOOKUP(TRIM(D348)&amp;"_"&amp;TRIM(INDEX($N$1:$O$1, MATCH(MIN(N348:O348), N348:O348, 0))), 技能库!$A:$F, 5, 0),"建议查阅考纲")&amp;CHAR(10)&amp;"💡 提升建议: "&amp;IFERROR(VLOOKUP(TRIM(D348)&amp;"_"&amp;TRIM(INDEX($N$1:$O$1, MATCH(MIN(N348:O348), N348:O348, 0))), 技能库!$A:$F, 6, 0),"请针对该题型加强练习"))</f>
        <v/>
      </c>
      <c r="AC348" s="5" t="str">
        <f>IF(W348="","", "⚠️ 薄弱环节: "&amp;INDEX($R$1:$V$1, MATCH(MIN(R348:V348), R348:V348, 0))&amp;CHAR(10)&amp;"📉 考察能力: "&amp;IFERROR(VLOOKUP(TRIM(D348)&amp;"_"&amp;TRIM(INDEX($R$1:$V$1, MATCH(MIN(R348:V348), R348:V348, 0))), 技能库!$A:$F, 5, 0),"建议查阅考纲")&amp;CHAR(10)&amp;"💡 提升建议: "&amp;IFERROR(VLOOKUP(TRIM(D348)&amp;"_"&amp;TRIM(INDEX($R$1:$V$1, MATCH(MIN(R348:V348), R348:V348, 0))), 技能库!$A:$F, 6, 0),"请针对该题型加强练习"))</f>
        <v/>
      </c>
    </row>
    <row r="349" spans="12:29" ht="16" hidden="1" x14ac:dyDescent="0.2">
      <c r="L349" t="str">
        <f t="shared" si="20"/>
        <v/>
      </c>
      <c r="M349" t="str">
        <f>IF(L349="","", IFERROR(VLOOKUP(L349, IF(D349="KET", 换算标准!$M:$N, IF(D349="PET", 换算标准!$S:$T, 换算标准!$AC:$AD)), 2, TRUE), 0))</f>
        <v/>
      </c>
      <c r="P349" t="str">
        <f t="shared" si="21"/>
        <v/>
      </c>
      <c r="Q349" t="str">
        <f>IF(P349="","", IFERROR(VLOOKUP(P349, IF(D349="KET", 换算标准!$O:$P, IF(D349="PET", 换算标准!$U:$V, 换算标准!$AG:$AH)), 2, TRUE), 0))</f>
        <v/>
      </c>
      <c r="W349" t="str">
        <f t="shared" si="22"/>
        <v/>
      </c>
      <c r="X349" t="str">
        <f>IF(W349="","", IFERROR(VLOOKUP(W349, IF(D349="KET", 换算标准!$Q:$R, IF(D349="PET", 换算标准!$W:$X, 换算标准!$AI:$AJ)), 2, TRUE), 0))</f>
        <v/>
      </c>
      <c r="Y349" t="str">
        <f t="shared" si="23"/>
        <v/>
      </c>
      <c r="Z349" t="str">
        <f>IF(Y349="","", IFERROR(VLOOKUP(Y349, 换算标准!$Z:$AA, 1, TRUE), ""))</f>
        <v/>
      </c>
      <c r="AA349" s="5" t="str">
        <f>IF(L349="","", "⚠️ 薄弱环节: "&amp;INDEX($E$1:$K$1, MATCH(MIN(E349:K349), E349:K349, 0))&amp;CHAR(10)&amp;"📉 考察能力: "&amp;IFERROR(VLOOKUP(TRIM(D349)&amp;"_"&amp;TRIM(INDEX($E$1:$K$1, MATCH(MIN(E349:K349), E349:K349, 0))), 技能库!$A:$F, 5, 0),"建议查阅考纲")&amp;CHAR(10)&amp;"💡 提升建议: "&amp;IFERROR(VLOOKUP(TRIM(D349)&amp;"_"&amp;TRIM(INDEX($E$1:$K$1, MATCH(MIN(E349:K349), E349:K349, 0))), 技能库!$A:$F, 6, 0),"请针对该题型加强练习"))</f>
        <v/>
      </c>
      <c r="AB349" s="5" t="str">
        <f>IF(P349="","", "⚠️ 薄弱环节: "&amp;INDEX($N$1:$O$1, MATCH(MIN(N349:O349), N349:O349, 0))&amp;CHAR(10)&amp;"📉 考察能力: "&amp;IFERROR(VLOOKUP(TRIM(D349)&amp;"_"&amp;TRIM(INDEX($N$1:$O$1, MATCH(MIN(N349:O349), N349:O349, 0))), 技能库!$A:$F, 5, 0),"建议查阅考纲")&amp;CHAR(10)&amp;"💡 提升建议: "&amp;IFERROR(VLOOKUP(TRIM(D349)&amp;"_"&amp;TRIM(INDEX($N$1:$O$1, MATCH(MIN(N349:O349), N349:O349, 0))), 技能库!$A:$F, 6, 0),"请针对该题型加强练习"))</f>
        <v/>
      </c>
      <c r="AC349" s="5" t="str">
        <f>IF(W349="","", "⚠️ 薄弱环节: "&amp;INDEX($R$1:$V$1, MATCH(MIN(R349:V349), R349:V349, 0))&amp;CHAR(10)&amp;"📉 考察能力: "&amp;IFERROR(VLOOKUP(TRIM(D349)&amp;"_"&amp;TRIM(INDEX($R$1:$V$1, MATCH(MIN(R349:V349), R349:V349, 0))), 技能库!$A:$F, 5, 0),"建议查阅考纲")&amp;CHAR(10)&amp;"💡 提升建议: "&amp;IFERROR(VLOOKUP(TRIM(D349)&amp;"_"&amp;TRIM(INDEX($R$1:$V$1, MATCH(MIN(R349:V349), R349:V349, 0))), 技能库!$A:$F, 6, 0),"请针对该题型加强练习"))</f>
        <v/>
      </c>
    </row>
    <row r="350" spans="12:29" ht="16" hidden="1" x14ac:dyDescent="0.2">
      <c r="L350" t="str">
        <f t="shared" si="20"/>
        <v/>
      </c>
      <c r="M350" t="str">
        <f>IF(L350="","", IFERROR(VLOOKUP(L350, IF(D350="KET", 换算标准!$M:$N, IF(D350="PET", 换算标准!$S:$T, 换算标准!$AC:$AD)), 2, TRUE), 0))</f>
        <v/>
      </c>
      <c r="P350" t="str">
        <f t="shared" si="21"/>
        <v/>
      </c>
      <c r="Q350" t="str">
        <f>IF(P350="","", IFERROR(VLOOKUP(P350, IF(D350="KET", 换算标准!$O:$P, IF(D350="PET", 换算标准!$U:$V, 换算标准!$AG:$AH)), 2, TRUE), 0))</f>
        <v/>
      </c>
      <c r="W350" t="str">
        <f t="shared" si="22"/>
        <v/>
      </c>
      <c r="X350" t="str">
        <f>IF(W350="","", IFERROR(VLOOKUP(W350, IF(D350="KET", 换算标准!$Q:$R, IF(D350="PET", 换算标准!$W:$X, 换算标准!$AI:$AJ)), 2, TRUE), 0))</f>
        <v/>
      </c>
      <c r="Y350" t="str">
        <f t="shared" si="23"/>
        <v/>
      </c>
      <c r="Z350" t="str">
        <f>IF(Y350="","", IFERROR(VLOOKUP(Y350, 换算标准!$Z:$AA, 1, TRUE), ""))</f>
        <v/>
      </c>
      <c r="AA350" s="5" t="str">
        <f>IF(L350="","", "⚠️ 薄弱环节: "&amp;INDEX($E$1:$K$1, MATCH(MIN(E350:K350), E350:K350, 0))&amp;CHAR(10)&amp;"📉 考察能力: "&amp;IFERROR(VLOOKUP(TRIM(D350)&amp;"_"&amp;TRIM(INDEX($E$1:$K$1, MATCH(MIN(E350:K350), E350:K350, 0))), 技能库!$A:$F, 5, 0),"建议查阅考纲")&amp;CHAR(10)&amp;"💡 提升建议: "&amp;IFERROR(VLOOKUP(TRIM(D350)&amp;"_"&amp;TRIM(INDEX($E$1:$K$1, MATCH(MIN(E350:K350), E350:K350, 0))), 技能库!$A:$F, 6, 0),"请针对该题型加强练习"))</f>
        <v/>
      </c>
      <c r="AB350" s="5" t="str">
        <f>IF(P350="","", "⚠️ 薄弱环节: "&amp;INDEX($N$1:$O$1, MATCH(MIN(N350:O350), N350:O350, 0))&amp;CHAR(10)&amp;"📉 考察能力: "&amp;IFERROR(VLOOKUP(TRIM(D350)&amp;"_"&amp;TRIM(INDEX($N$1:$O$1, MATCH(MIN(N350:O350), N350:O350, 0))), 技能库!$A:$F, 5, 0),"建议查阅考纲")&amp;CHAR(10)&amp;"💡 提升建议: "&amp;IFERROR(VLOOKUP(TRIM(D350)&amp;"_"&amp;TRIM(INDEX($N$1:$O$1, MATCH(MIN(N350:O350), N350:O350, 0))), 技能库!$A:$F, 6, 0),"请针对该题型加强练习"))</f>
        <v/>
      </c>
      <c r="AC350" s="5" t="str">
        <f>IF(W350="","", "⚠️ 薄弱环节: "&amp;INDEX($R$1:$V$1, MATCH(MIN(R350:V350), R350:V350, 0))&amp;CHAR(10)&amp;"📉 考察能力: "&amp;IFERROR(VLOOKUP(TRIM(D350)&amp;"_"&amp;TRIM(INDEX($R$1:$V$1, MATCH(MIN(R350:V350), R350:V350, 0))), 技能库!$A:$F, 5, 0),"建议查阅考纲")&amp;CHAR(10)&amp;"💡 提升建议: "&amp;IFERROR(VLOOKUP(TRIM(D350)&amp;"_"&amp;TRIM(INDEX($R$1:$V$1, MATCH(MIN(R350:V350), R350:V350, 0))), 技能库!$A:$F, 6, 0),"请针对该题型加强练习"))</f>
        <v/>
      </c>
    </row>
    <row r="351" spans="12:29" ht="16" hidden="1" x14ac:dyDescent="0.2">
      <c r="L351" t="str">
        <f t="shared" si="20"/>
        <v/>
      </c>
      <c r="M351" t="str">
        <f>IF(L351="","", IFERROR(VLOOKUP(L351, IF(D351="KET", 换算标准!$M:$N, IF(D351="PET", 换算标准!$S:$T, 换算标准!$AC:$AD)), 2, TRUE), 0))</f>
        <v/>
      </c>
      <c r="P351" t="str">
        <f t="shared" si="21"/>
        <v/>
      </c>
      <c r="Q351" t="str">
        <f>IF(P351="","", IFERROR(VLOOKUP(P351, IF(D351="KET", 换算标准!$O:$P, IF(D351="PET", 换算标准!$U:$V, 换算标准!$AG:$AH)), 2, TRUE), 0))</f>
        <v/>
      </c>
      <c r="W351" t="str">
        <f t="shared" si="22"/>
        <v/>
      </c>
      <c r="X351" t="str">
        <f>IF(W351="","", IFERROR(VLOOKUP(W351, IF(D351="KET", 换算标准!$Q:$R, IF(D351="PET", 换算标准!$W:$X, 换算标准!$AI:$AJ)), 2, TRUE), 0))</f>
        <v/>
      </c>
      <c r="Y351" t="str">
        <f t="shared" si="23"/>
        <v/>
      </c>
      <c r="Z351" t="str">
        <f>IF(Y351="","", IFERROR(VLOOKUP(Y351, 换算标准!$Z:$AA, 1, TRUE), ""))</f>
        <v/>
      </c>
      <c r="AA351" s="5" t="str">
        <f>IF(L351="","", "⚠️ 薄弱环节: "&amp;INDEX($E$1:$K$1, MATCH(MIN(E351:K351), E351:K351, 0))&amp;CHAR(10)&amp;"📉 考察能力: "&amp;IFERROR(VLOOKUP(TRIM(D351)&amp;"_"&amp;TRIM(INDEX($E$1:$K$1, MATCH(MIN(E351:K351), E351:K351, 0))), 技能库!$A:$F, 5, 0),"建议查阅考纲")&amp;CHAR(10)&amp;"💡 提升建议: "&amp;IFERROR(VLOOKUP(TRIM(D351)&amp;"_"&amp;TRIM(INDEX($E$1:$K$1, MATCH(MIN(E351:K351), E351:K351, 0))), 技能库!$A:$F, 6, 0),"请针对该题型加强练习"))</f>
        <v/>
      </c>
      <c r="AB351" s="5" t="str">
        <f>IF(P351="","", "⚠️ 薄弱环节: "&amp;INDEX($N$1:$O$1, MATCH(MIN(N351:O351), N351:O351, 0))&amp;CHAR(10)&amp;"📉 考察能力: "&amp;IFERROR(VLOOKUP(TRIM(D351)&amp;"_"&amp;TRIM(INDEX($N$1:$O$1, MATCH(MIN(N351:O351), N351:O351, 0))), 技能库!$A:$F, 5, 0),"建议查阅考纲")&amp;CHAR(10)&amp;"💡 提升建议: "&amp;IFERROR(VLOOKUP(TRIM(D351)&amp;"_"&amp;TRIM(INDEX($N$1:$O$1, MATCH(MIN(N351:O351), N351:O351, 0))), 技能库!$A:$F, 6, 0),"请针对该题型加强练习"))</f>
        <v/>
      </c>
      <c r="AC351" s="5" t="str">
        <f>IF(W351="","", "⚠️ 薄弱环节: "&amp;INDEX($R$1:$V$1, MATCH(MIN(R351:V351), R351:V351, 0))&amp;CHAR(10)&amp;"📉 考察能力: "&amp;IFERROR(VLOOKUP(TRIM(D351)&amp;"_"&amp;TRIM(INDEX($R$1:$V$1, MATCH(MIN(R351:V351), R351:V351, 0))), 技能库!$A:$F, 5, 0),"建议查阅考纲")&amp;CHAR(10)&amp;"💡 提升建议: "&amp;IFERROR(VLOOKUP(TRIM(D351)&amp;"_"&amp;TRIM(INDEX($R$1:$V$1, MATCH(MIN(R351:V351), R351:V351, 0))), 技能库!$A:$F, 6, 0),"请针对该题型加强练习"))</f>
        <v/>
      </c>
    </row>
    <row r="352" spans="12:29" ht="16" hidden="1" x14ac:dyDescent="0.2">
      <c r="L352" t="str">
        <f t="shared" si="20"/>
        <v/>
      </c>
      <c r="M352" t="str">
        <f>IF(L352="","", IFERROR(VLOOKUP(L352, IF(D352="KET", 换算标准!$M:$N, IF(D352="PET", 换算标准!$S:$T, 换算标准!$AC:$AD)), 2, TRUE), 0))</f>
        <v/>
      </c>
      <c r="P352" t="str">
        <f t="shared" si="21"/>
        <v/>
      </c>
      <c r="Q352" t="str">
        <f>IF(P352="","", IFERROR(VLOOKUP(P352, IF(D352="KET", 换算标准!$O:$P, IF(D352="PET", 换算标准!$U:$V, 换算标准!$AG:$AH)), 2, TRUE), 0))</f>
        <v/>
      </c>
      <c r="W352" t="str">
        <f t="shared" si="22"/>
        <v/>
      </c>
      <c r="X352" t="str">
        <f>IF(W352="","", IFERROR(VLOOKUP(W352, IF(D352="KET", 换算标准!$Q:$R, IF(D352="PET", 换算标准!$W:$X, 换算标准!$AI:$AJ)), 2, TRUE), 0))</f>
        <v/>
      </c>
      <c r="Y352" t="str">
        <f t="shared" si="23"/>
        <v/>
      </c>
      <c r="Z352" t="str">
        <f>IF(Y352="","", IFERROR(VLOOKUP(Y352, 换算标准!$Z:$AA, 1, TRUE), ""))</f>
        <v/>
      </c>
      <c r="AA352" s="5" t="str">
        <f>IF(L352="","", "⚠️ 薄弱环节: "&amp;INDEX($E$1:$K$1, MATCH(MIN(E352:K352), E352:K352, 0))&amp;CHAR(10)&amp;"📉 考察能力: "&amp;IFERROR(VLOOKUP(TRIM(D352)&amp;"_"&amp;TRIM(INDEX($E$1:$K$1, MATCH(MIN(E352:K352), E352:K352, 0))), 技能库!$A:$F, 5, 0),"建议查阅考纲")&amp;CHAR(10)&amp;"💡 提升建议: "&amp;IFERROR(VLOOKUP(TRIM(D352)&amp;"_"&amp;TRIM(INDEX($E$1:$K$1, MATCH(MIN(E352:K352), E352:K352, 0))), 技能库!$A:$F, 6, 0),"请针对该题型加强练习"))</f>
        <v/>
      </c>
      <c r="AB352" s="5" t="str">
        <f>IF(P352="","", "⚠️ 薄弱环节: "&amp;INDEX($N$1:$O$1, MATCH(MIN(N352:O352), N352:O352, 0))&amp;CHAR(10)&amp;"📉 考察能力: "&amp;IFERROR(VLOOKUP(TRIM(D352)&amp;"_"&amp;TRIM(INDEX($N$1:$O$1, MATCH(MIN(N352:O352), N352:O352, 0))), 技能库!$A:$F, 5, 0),"建议查阅考纲")&amp;CHAR(10)&amp;"💡 提升建议: "&amp;IFERROR(VLOOKUP(TRIM(D352)&amp;"_"&amp;TRIM(INDEX($N$1:$O$1, MATCH(MIN(N352:O352), N352:O352, 0))), 技能库!$A:$F, 6, 0),"请针对该题型加强练习"))</f>
        <v/>
      </c>
      <c r="AC352" s="5" t="str">
        <f>IF(W352="","", "⚠️ 薄弱环节: "&amp;INDEX($R$1:$V$1, MATCH(MIN(R352:V352), R352:V352, 0))&amp;CHAR(10)&amp;"📉 考察能力: "&amp;IFERROR(VLOOKUP(TRIM(D352)&amp;"_"&amp;TRIM(INDEX($R$1:$V$1, MATCH(MIN(R352:V352), R352:V352, 0))), 技能库!$A:$F, 5, 0),"建议查阅考纲")&amp;CHAR(10)&amp;"💡 提升建议: "&amp;IFERROR(VLOOKUP(TRIM(D352)&amp;"_"&amp;TRIM(INDEX($R$1:$V$1, MATCH(MIN(R352:V352), R352:V352, 0))), 技能库!$A:$F, 6, 0),"请针对该题型加强练习"))</f>
        <v/>
      </c>
    </row>
    <row r="353" spans="12:29" ht="16" hidden="1" x14ac:dyDescent="0.2">
      <c r="L353" t="str">
        <f t="shared" si="20"/>
        <v/>
      </c>
      <c r="M353" t="str">
        <f>IF(L353="","", IFERROR(VLOOKUP(L353, IF(D353="KET", 换算标准!$M:$N, IF(D353="PET", 换算标准!$S:$T, 换算标准!$AC:$AD)), 2, TRUE), 0))</f>
        <v/>
      </c>
      <c r="P353" t="str">
        <f t="shared" si="21"/>
        <v/>
      </c>
      <c r="Q353" t="str">
        <f>IF(P353="","", IFERROR(VLOOKUP(P353, IF(D353="KET", 换算标准!$O:$P, IF(D353="PET", 换算标准!$U:$V, 换算标准!$AG:$AH)), 2, TRUE), 0))</f>
        <v/>
      </c>
      <c r="W353" t="str">
        <f t="shared" si="22"/>
        <v/>
      </c>
      <c r="X353" t="str">
        <f>IF(W353="","", IFERROR(VLOOKUP(W353, IF(D353="KET", 换算标准!$Q:$R, IF(D353="PET", 换算标准!$W:$X, 换算标准!$AI:$AJ)), 2, TRUE), 0))</f>
        <v/>
      </c>
      <c r="Y353" t="str">
        <f t="shared" si="23"/>
        <v/>
      </c>
      <c r="Z353" t="str">
        <f>IF(Y353="","", IFERROR(VLOOKUP(Y353, 换算标准!$Z:$AA, 1, TRUE), ""))</f>
        <v/>
      </c>
      <c r="AA353" s="5" t="str">
        <f>IF(L353="","", "⚠️ 薄弱环节: "&amp;INDEX($E$1:$K$1, MATCH(MIN(E353:K353), E353:K353, 0))&amp;CHAR(10)&amp;"📉 考察能力: "&amp;IFERROR(VLOOKUP(TRIM(D353)&amp;"_"&amp;TRIM(INDEX($E$1:$K$1, MATCH(MIN(E353:K353), E353:K353, 0))), 技能库!$A:$F, 5, 0),"建议查阅考纲")&amp;CHAR(10)&amp;"💡 提升建议: "&amp;IFERROR(VLOOKUP(TRIM(D353)&amp;"_"&amp;TRIM(INDEX($E$1:$K$1, MATCH(MIN(E353:K353), E353:K353, 0))), 技能库!$A:$F, 6, 0),"请针对该题型加强练习"))</f>
        <v/>
      </c>
      <c r="AB353" s="5" t="str">
        <f>IF(P353="","", "⚠️ 薄弱环节: "&amp;INDEX($N$1:$O$1, MATCH(MIN(N353:O353), N353:O353, 0))&amp;CHAR(10)&amp;"📉 考察能力: "&amp;IFERROR(VLOOKUP(TRIM(D353)&amp;"_"&amp;TRIM(INDEX($N$1:$O$1, MATCH(MIN(N353:O353), N353:O353, 0))), 技能库!$A:$F, 5, 0),"建议查阅考纲")&amp;CHAR(10)&amp;"💡 提升建议: "&amp;IFERROR(VLOOKUP(TRIM(D353)&amp;"_"&amp;TRIM(INDEX($N$1:$O$1, MATCH(MIN(N353:O353), N353:O353, 0))), 技能库!$A:$F, 6, 0),"请针对该题型加强练习"))</f>
        <v/>
      </c>
      <c r="AC353" s="5" t="str">
        <f>IF(W353="","", "⚠️ 薄弱环节: "&amp;INDEX($R$1:$V$1, MATCH(MIN(R353:V353), R353:V353, 0))&amp;CHAR(10)&amp;"📉 考察能力: "&amp;IFERROR(VLOOKUP(TRIM(D353)&amp;"_"&amp;TRIM(INDEX($R$1:$V$1, MATCH(MIN(R353:V353), R353:V353, 0))), 技能库!$A:$F, 5, 0),"建议查阅考纲")&amp;CHAR(10)&amp;"💡 提升建议: "&amp;IFERROR(VLOOKUP(TRIM(D353)&amp;"_"&amp;TRIM(INDEX($R$1:$V$1, MATCH(MIN(R353:V353), R353:V353, 0))), 技能库!$A:$F, 6, 0),"请针对该题型加强练习"))</f>
        <v/>
      </c>
    </row>
    <row r="354" spans="12:29" ht="16" hidden="1" x14ac:dyDescent="0.2">
      <c r="L354" t="str">
        <f t="shared" si="20"/>
        <v/>
      </c>
      <c r="M354" t="str">
        <f>IF(L354="","", IFERROR(VLOOKUP(L354, IF(D354="KET", 换算标准!$M:$N, IF(D354="PET", 换算标准!$S:$T, 换算标准!$AC:$AD)), 2, TRUE), 0))</f>
        <v/>
      </c>
      <c r="P354" t="str">
        <f t="shared" si="21"/>
        <v/>
      </c>
      <c r="Q354" t="str">
        <f>IF(P354="","", IFERROR(VLOOKUP(P354, IF(D354="KET", 换算标准!$O:$P, IF(D354="PET", 换算标准!$U:$V, 换算标准!$AG:$AH)), 2, TRUE), 0))</f>
        <v/>
      </c>
      <c r="W354" t="str">
        <f t="shared" si="22"/>
        <v/>
      </c>
      <c r="X354" t="str">
        <f>IF(W354="","", IFERROR(VLOOKUP(W354, IF(D354="KET", 换算标准!$Q:$R, IF(D354="PET", 换算标准!$W:$X, 换算标准!$AI:$AJ)), 2, TRUE), 0))</f>
        <v/>
      </c>
      <c r="Y354" t="str">
        <f t="shared" si="23"/>
        <v/>
      </c>
      <c r="Z354" t="str">
        <f>IF(Y354="","", IFERROR(VLOOKUP(Y354, 换算标准!$Z:$AA, 1, TRUE), ""))</f>
        <v/>
      </c>
      <c r="AA354" s="5" t="str">
        <f>IF(L354="","", "⚠️ 薄弱环节: "&amp;INDEX($E$1:$K$1, MATCH(MIN(E354:K354), E354:K354, 0))&amp;CHAR(10)&amp;"📉 考察能力: "&amp;IFERROR(VLOOKUP(TRIM(D354)&amp;"_"&amp;TRIM(INDEX($E$1:$K$1, MATCH(MIN(E354:K354), E354:K354, 0))), 技能库!$A:$F, 5, 0),"建议查阅考纲")&amp;CHAR(10)&amp;"💡 提升建议: "&amp;IFERROR(VLOOKUP(TRIM(D354)&amp;"_"&amp;TRIM(INDEX($E$1:$K$1, MATCH(MIN(E354:K354), E354:K354, 0))), 技能库!$A:$F, 6, 0),"请针对该题型加强练习"))</f>
        <v/>
      </c>
      <c r="AB354" s="5" t="str">
        <f>IF(P354="","", "⚠️ 薄弱环节: "&amp;INDEX($N$1:$O$1, MATCH(MIN(N354:O354), N354:O354, 0))&amp;CHAR(10)&amp;"📉 考察能力: "&amp;IFERROR(VLOOKUP(TRIM(D354)&amp;"_"&amp;TRIM(INDEX($N$1:$O$1, MATCH(MIN(N354:O354), N354:O354, 0))), 技能库!$A:$F, 5, 0),"建议查阅考纲")&amp;CHAR(10)&amp;"💡 提升建议: "&amp;IFERROR(VLOOKUP(TRIM(D354)&amp;"_"&amp;TRIM(INDEX($N$1:$O$1, MATCH(MIN(N354:O354), N354:O354, 0))), 技能库!$A:$F, 6, 0),"请针对该题型加强练习"))</f>
        <v/>
      </c>
      <c r="AC354" s="5" t="str">
        <f>IF(W354="","", "⚠️ 薄弱环节: "&amp;INDEX($R$1:$V$1, MATCH(MIN(R354:V354), R354:V354, 0))&amp;CHAR(10)&amp;"📉 考察能力: "&amp;IFERROR(VLOOKUP(TRIM(D354)&amp;"_"&amp;TRIM(INDEX($R$1:$V$1, MATCH(MIN(R354:V354), R354:V354, 0))), 技能库!$A:$F, 5, 0),"建议查阅考纲")&amp;CHAR(10)&amp;"💡 提升建议: "&amp;IFERROR(VLOOKUP(TRIM(D354)&amp;"_"&amp;TRIM(INDEX($R$1:$V$1, MATCH(MIN(R354:V354), R354:V354, 0))), 技能库!$A:$F, 6, 0),"请针对该题型加强练习"))</f>
        <v/>
      </c>
    </row>
    <row r="355" spans="12:29" ht="16" hidden="1" x14ac:dyDescent="0.2">
      <c r="L355" t="str">
        <f t="shared" si="20"/>
        <v/>
      </c>
      <c r="M355" t="str">
        <f>IF(L355="","", IFERROR(VLOOKUP(L355, IF(D355="KET", 换算标准!$M:$N, IF(D355="PET", 换算标准!$S:$T, 换算标准!$AC:$AD)), 2, TRUE), 0))</f>
        <v/>
      </c>
      <c r="P355" t="str">
        <f t="shared" si="21"/>
        <v/>
      </c>
      <c r="Q355" t="str">
        <f>IF(P355="","", IFERROR(VLOOKUP(P355, IF(D355="KET", 换算标准!$O:$P, IF(D355="PET", 换算标准!$U:$V, 换算标准!$AG:$AH)), 2, TRUE), 0))</f>
        <v/>
      </c>
      <c r="W355" t="str">
        <f t="shared" si="22"/>
        <v/>
      </c>
      <c r="X355" t="str">
        <f>IF(W355="","", IFERROR(VLOOKUP(W355, IF(D355="KET", 换算标准!$Q:$R, IF(D355="PET", 换算标准!$W:$X, 换算标准!$AI:$AJ)), 2, TRUE), 0))</f>
        <v/>
      </c>
      <c r="Y355" t="str">
        <f t="shared" si="23"/>
        <v/>
      </c>
      <c r="Z355" t="str">
        <f>IF(Y355="","", IFERROR(VLOOKUP(Y355, 换算标准!$Z:$AA, 1, TRUE), ""))</f>
        <v/>
      </c>
      <c r="AA355" s="5" t="str">
        <f>IF(L355="","", "⚠️ 薄弱环节: "&amp;INDEX($E$1:$K$1, MATCH(MIN(E355:K355), E355:K355, 0))&amp;CHAR(10)&amp;"📉 考察能力: "&amp;IFERROR(VLOOKUP(TRIM(D355)&amp;"_"&amp;TRIM(INDEX($E$1:$K$1, MATCH(MIN(E355:K355), E355:K355, 0))), 技能库!$A:$F, 5, 0),"建议查阅考纲")&amp;CHAR(10)&amp;"💡 提升建议: "&amp;IFERROR(VLOOKUP(TRIM(D355)&amp;"_"&amp;TRIM(INDEX($E$1:$K$1, MATCH(MIN(E355:K355), E355:K355, 0))), 技能库!$A:$F, 6, 0),"请针对该题型加强练习"))</f>
        <v/>
      </c>
      <c r="AB355" s="5" t="str">
        <f>IF(P355="","", "⚠️ 薄弱环节: "&amp;INDEX($N$1:$O$1, MATCH(MIN(N355:O355), N355:O355, 0))&amp;CHAR(10)&amp;"📉 考察能力: "&amp;IFERROR(VLOOKUP(TRIM(D355)&amp;"_"&amp;TRIM(INDEX($N$1:$O$1, MATCH(MIN(N355:O355), N355:O355, 0))), 技能库!$A:$F, 5, 0),"建议查阅考纲")&amp;CHAR(10)&amp;"💡 提升建议: "&amp;IFERROR(VLOOKUP(TRIM(D355)&amp;"_"&amp;TRIM(INDEX($N$1:$O$1, MATCH(MIN(N355:O355), N355:O355, 0))), 技能库!$A:$F, 6, 0),"请针对该题型加强练习"))</f>
        <v/>
      </c>
      <c r="AC355" s="5" t="str">
        <f>IF(W355="","", "⚠️ 薄弱环节: "&amp;INDEX($R$1:$V$1, MATCH(MIN(R355:V355), R355:V355, 0))&amp;CHAR(10)&amp;"📉 考察能力: "&amp;IFERROR(VLOOKUP(TRIM(D355)&amp;"_"&amp;TRIM(INDEX($R$1:$V$1, MATCH(MIN(R355:V355), R355:V355, 0))), 技能库!$A:$F, 5, 0),"建议查阅考纲")&amp;CHAR(10)&amp;"💡 提升建议: "&amp;IFERROR(VLOOKUP(TRIM(D355)&amp;"_"&amp;TRIM(INDEX($R$1:$V$1, MATCH(MIN(R355:V355), R355:V355, 0))), 技能库!$A:$F, 6, 0),"请针对该题型加强练习"))</f>
        <v/>
      </c>
    </row>
    <row r="356" spans="12:29" ht="16" hidden="1" x14ac:dyDescent="0.2">
      <c r="L356" t="str">
        <f t="shared" si="20"/>
        <v/>
      </c>
      <c r="M356" t="str">
        <f>IF(L356="","", IFERROR(VLOOKUP(L356, IF(D356="KET", 换算标准!$M:$N, IF(D356="PET", 换算标准!$S:$T, 换算标准!$AC:$AD)), 2, TRUE), 0))</f>
        <v/>
      </c>
      <c r="P356" t="str">
        <f t="shared" si="21"/>
        <v/>
      </c>
      <c r="Q356" t="str">
        <f>IF(P356="","", IFERROR(VLOOKUP(P356, IF(D356="KET", 换算标准!$O:$P, IF(D356="PET", 换算标准!$U:$V, 换算标准!$AG:$AH)), 2, TRUE), 0))</f>
        <v/>
      </c>
      <c r="W356" t="str">
        <f t="shared" si="22"/>
        <v/>
      </c>
      <c r="X356" t="str">
        <f>IF(W356="","", IFERROR(VLOOKUP(W356, IF(D356="KET", 换算标准!$Q:$R, IF(D356="PET", 换算标准!$W:$X, 换算标准!$AI:$AJ)), 2, TRUE), 0))</f>
        <v/>
      </c>
      <c r="Y356" t="str">
        <f t="shared" si="23"/>
        <v/>
      </c>
      <c r="Z356" t="str">
        <f>IF(Y356="","", IFERROR(VLOOKUP(Y356, 换算标准!$Z:$AA, 1, TRUE), ""))</f>
        <v/>
      </c>
      <c r="AA356" s="5" t="str">
        <f>IF(L356="","", "⚠️ 薄弱环节: "&amp;INDEX($E$1:$K$1, MATCH(MIN(E356:K356), E356:K356, 0))&amp;CHAR(10)&amp;"📉 考察能力: "&amp;IFERROR(VLOOKUP(TRIM(D356)&amp;"_"&amp;TRIM(INDEX($E$1:$K$1, MATCH(MIN(E356:K356), E356:K356, 0))), 技能库!$A:$F, 5, 0),"建议查阅考纲")&amp;CHAR(10)&amp;"💡 提升建议: "&amp;IFERROR(VLOOKUP(TRIM(D356)&amp;"_"&amp;TRIM(INDEX($E$1:$K$1, MATCH(MIN(E356:K356), E356:K356, 0))), 技能库!$A:$F, 6, 0),"请针对该题型加强练习"))</f>
        <v/>
      </c>
      <c r="AB356" s="5" t="str">
        <f>IF(P356="","", "⚠️ 薄弱环节: "&amp;INDEX($N$1:$O$1, MATCH(MIN(N356:O356), N356:O356, 0))&amp;CHAR(10)&amp;"📉 考察能力: "&amp;IFERROR(VLOOKUP(TRIM(D356)&amp;"_"&amp;TRIM(INDEX($N$1:$O$1, MATCH(MIN(N356:O356), N356:O356, 0))), 技能库!$A:$F, 5, 0),"建议查阅考纲")&amp;CHAR(10)&amp;"💡 提升建议: "&amp;IFERROR(VLOOKUP(TRIM(D356)&amp;"_"&amp;TRIM(INDEX($N$1:$O$1, MATCH(MIN(N356:O356), N356:O356, 0))), 技能库!$A:$F, 6, 0),"请针对该题型加强练习"))</f>
        <v/>
      </c>
      <c r="AC356" s="5" t="str">
        <f>IF(W356="","", "⚠️ 薄弱环节: "&amp;INDEX($R$1:$V$1, MATCH(MIN(R356:V356), R356:V356, 0))&amp;CHAR(10)&amp;"📉 考察能力: "&amp;IFERROR(VLOOKUP(TRIM(D356)&amp;"_"&amp;TRIM(INDEX($R$1:$V$1, MATCH(MIN(R356:V356), R356:V356, 0))), 技能库!$A:$F, 5, 0),"建议查阅考纲")&amp;CHAR(10)&amp;"💡 提升建议: "&amp;IFERROR(VLOOKUP(TRIM(D356)&amp;"_"&amp;TRIM(INDEX($R$1:$V$1, MATCH(MIN(R356:V356), R356:V356, 0))), 技能库!$A:$F, 6, 0),"请针对该题型加强练习"))</f>
        <v/>
      </c>
    </row>
    <row r="357" spans="12:29" ht="16" hidden="1" x14ac:dyDescent="0.2">
      <c r="L357" t="str">
        <f t="shared" si="20"/>
        <v/>
      </c>
      <c r="M357" t="str">
        <f>IF(L357="","", IFERROR(VLOOKUP(L357, IF(D357="KET", 换算标准!$M:$N, IF(D357="PET", 换算标准!$S:$T, 换算标准!$AC:$AD)), 2, TRUE), 0))</f>
        <v/>
      </c>
      <c r="P357" t="str">
        <f t="shared" si="21"/>
        <v/>
      </c>
      <c r="Q357" t="str">
        <f>IF(P357="","", IFERROR(VLOOKUP(P357, IF(D357="KET", 换算标准!$O:$P, IF(D357="PET", 换算标准!$U:$V, 换算标准!$AG:$AH)), 2, TRUE), 0))</f>
        <v/>
      </c>
      <c r="W357" t="str">
        <f t="shared" si="22"/>
        <v/>
      </c>
      <c r="X357" t="str">
        <f>IF(W357="","", IFERROR(VLOOKUP(W357, IF(D357="KET", 换算标准!$Q:$R, IF(D357="PET", 换算标准!$W:$X, 换算标准!$AI:$AJ)), 2, TRUE), 0))</f>
        <v/>
      </c>
      <c r="Y357" t="str">
        <f t="shared" si="23"/>
        <v/>
      </c>
      <c r="Z357" t="str">
        <f>IF(Y357="","", IFERROR(VLOOKUP(Y357, 换算标准!$Z:$AA, 1, TRUE), ""))</f>
        <v/>
      </c>
      <c r="AA357" s="5" t="str">
        <f>IF(L357="","", "⚠️ 薄弱环节: "&amp;INDEX($E$1:$K$1, MATCH(MIN(E357:K357), E357:K357, 0))&amp;CHAR(10)&amp;"📉 考察能力: "&amp;IFERROR(VLOOKUP(TRIM(D357)&amp;"_"&amp;TRIM(INDEX($E$1:$K$1, MATCH(MIN(E357:K357), E357:K357, 0))), 技能库!$A:$F, 5, 0),"建议查阅考纲")&amp;CHAR(10)&amp;"💡 提升建议: "&amp;IFERROR(VLOOKUP(TRIM(D357)&amp;"_"&amp;TRIM(INDEX($E$1:$K$1, MATCH(MIN(E357:K357), E357:K357, 0))), 技能库!$A:$F, 6, 0),"请针对该题型加强练习"))</f>
        <v/>
      </c>
      <c r="AB357" s="5" t="str">
        <f>IF(P357="","", "⚠️ 薄弱环节: "&amp;INDEX($N$1:$O$1, MATCH(MIN(N357:O357), N357:O357, 0))&amp;CHAR(10)&amp;"📉 考察能力: "&amp;IFERROR(VLOOKUP(TRIM(D357)&amp;"_"&amp;TRIM(INDEX($N$1:$O$1, MATCH(MIN(N357:O357), N357:O357, 0))), 技能库!$A:$F, 5, 0),"建议查阅考纲")&amp;CHAR(10)&amp;"💡 提升建议: "&amp;IFERROR(VLOOKUP(TRIM(D357)&amp;"_"&amp;TRIM(INDEX($N$1:$O$1, MATCH(MIN(N357:O357), N357:O357, 0))), 技能库!$A:$F, 6, 0),"请针对该题型加强练习"))</f>
        <v/>
      </c>
      <c r="AC357" s="5" t="str">
        <f>IF(W357="","", "⚠️ 薄弱环节: "&amp;INDEX($R$1:$V$1, MATCH(MIN(R357:V357), R357:V357, 0))&amp;CHAR(10)&amp;"📉 考察能力: "&amp;IFERROR(VLOOKUP(TRIM(D357)&amp;"_"&amp;TRIM(INDEX($R$1:$V$1, MATCH(MIN(R357:V357), R357:V357, 0))), 技能库!$A:$F, 5, 0),"建议查阅考纲")&amp;CHAR(10)&amp;"💡 提升建议: "&amp;IFERROR(VLOOKUP(TRIM(D357)&amp;"_"&amp;TRIM(INDEX($R$1:$V$1, MATCH(MIN(R357:V357), R357:V357, 0))), 技能库!$A:$F, 6, 0),"请针对该题型加强练习"))</f>
        <v/>
      </c>
    </row>
    <row r="358" spans="12:29" ht="16" hidden="1" x14ac:dyDescent="0.2">
      <c r="L358" t="str">
        <f t="shared" si="20"/>
        <v/>
      </c>
      <c r="M358" t="str">
        <f>IF(L358="","", IFERROR(VLOOKUP(L358, IF(D358="KET", 换算标准!$M:$N, IF(D358="PET", 换算标准!$S:$T, 换算标准!$AC:$AD)), 2, TRUE), 0))</f>
        <v/>
      </c>
      <c r="P358" t="str">
        <f t="shared" si="21"/>
        <v/>
      </c>
      <c r="Q358" t="str">
        <f>IF(P358="","", IFERROR(VLOOKUP(P358, IF(D358="KET", 换算标准!$O:$P, IF(D358="PET", 换算标准!$U:$V, 换算标准!$AG:$AH)), 2, TRUE), 0))</f>
        <v/>
      </c>
      <c r="W358" t="str">
        <f t="shared" si="22"/>
        <v/>
      </c>
      <c r="X358" t="str">
        <f>IF(W358="","", IFERROR(VLOOKUP(W358, IF(D358="KET", 换算标准!$Q:$R, IF(D358="PET", 换算标准!$W:$X, 换算标准!$AI:$AJ)), 2, TRUE), 0))</f>
        <v/>
      </c>
      <c r="Y358" t="str">
        <f t="shared" si="23"/>
        <v/>
      </c>
      <c r="Z358" t="str">
        <f>IF(Y358="","", IFERROR(VLOOKUP(Y358, 换算标准!$Z:$AA, 1, TRUE), ""))</f>
        <v/>
      </c>
      <c r="AA358" s="5" t="str">
        <f>IF(L358="","", "⚠️ 薄弱环节: "&amp;INDEX($E$1:$K$1, MATCH(MIN(E358:K358), E358:K358, 0))&amp;CHAR(10)&amp;"📉 考察能力: "&amp;IFERROR(VLOOKUP(TRIM(D358)&amp;"_"&amp;TRIM(INDEX($E$1:$K$1, MATCH(MIN(E358:K358), E358:K358, 0))), 技能库!$A:$F, 5, 0),"建议查阅考纲")&amp;CHAR(10)&amp;"💡 提升建议: "&amp;IFERROR(VLOOKUP(TRIM(D358)&amp;"_"&amp;TRIM(INDEX($E$1:$K$1, MATCH(MIN(E358:K358), E358:K358, 0))), 技能库!$A:$F, 6, 0),"请针对该题型加强练习"))</f>
        <v/>
      </c>
      <c r="AB358" s="5" t="str">
        <f>IF(P358="","", "⚠️ 薄弱环节: "&amp;INDEX($N$1:$O$1, MATCH(MIN(N358:O358), N358:O358, 0))&amp;CHAR(10)&amp;"📉 考察能力: "&amp;IFERROR(VLOOKUP(TRIM(D358)&amp;"_"&amp;TRIM(INDEX($N$1:$O$1, MATCH(MIN(N358:O358), N358:O358, 0))), 技能库!$A:$F, 5, 0),"建议查阅考纲")&amp;CHAR(10)&amp;"💡 提升建议: "&amp;IFERROR(VLOOKUP(TRIM(D358)&amp;"_"&amp;TRIM(INDEX($N$1:$O$1, MATCH(MIN(N358:O358), N358:O358, 0))), 技能库!$A:$F, 6, 0),"请针对该题型加强练习"))</f>
        <v/>
      </c>
      <c r="AC358" s="5" t="str">
        <f>IF(W358="","", "⚠️ 薄弱环节: "&amp;INDEX($R$1:$V$1, MATCH(MIN(R358:V358), R358:V358, 0))&amp;CHAR(10)&amp;"📉 考察能力: "&amp;IFERROR(VLOOKUP(TRIM(D358)&amp;"_"&amp;TRIM(INDEX($R$1:$V$1, MATCH(MIN(R358:V358), R358:V358, 0))), 技能库!$A:$F, 5, 0),"建议查阅考纲")&amp;CHAR(10)&amp;"💡 提升建议: "&amp;IFERROR(VLOOKUP(TRIM(D358)&amp;"_"&amp;TRIM(INDEX($R$1:$V$1, MATCH(MIN(R358:V358), R358:V358, 0))), 技能库!$A:$F, 6, 0),"请针对该题型加强练习"))</f>
        <v/>
      </c>
    </row>
    <row r="359" spans="12:29" ht="16" hidden="1" x14ac:dyDescent="0.2">
      <c r="L359" t="str">
        <f t="shared" si="20"/>
        <v/>
      </c>
      <c r="M359" t="str">
        <f>IF(L359="","", IFERROR(VLOOKUP(L359, IF(D359="KET", 换算标准!$M:$N, IF(D359="PET", 换算标准!$S:$T, 换算标准!$AC:$AD)), 2, TRUE), 0))</f>
        <v/>
      </c>
      <c r="P359" t="str">
        <f t="shared" si="21"/>
        <v/>
      </c>
      <c r="Q359" t="str">
        <f>IF(P359="","", IFERROR(VLOOKUP(P359, IF(D359="KET", 换算标准!$O:$P, IF(D359="PET", 换算标准!$U:$V, 换算标准!$AG:$AH)), 2, TRUE), 0))</f>
        <v/>
      </c>
      <c r="W359" t="str">
        <f t="shared" si="22"/>
        <v/>
      </c>
      <c r="X359" t="str">
        <f>IF(W359="","", IFERROR(VLOOKUP(W359, IF(D359="KET", 换算标准!$Q:$R, IF(D359="PET", 换算标准!$W:$X, 换算标准!$AI:$AJ)), 2, TRUE), 0))</f>
        <v/>
      </c>
      <c r="Y359" t="str">
        <f t="shared" si="23"/>
        <v/>
      </c>
      <c r="Z359" t="str">
        <f>IF(Y359="","", IFERROR(VLOOKUP(Y359, 换算标准!$Z:$AA, 1, TRUE), ""))</f>
        <v/>
      </c>
      <c r="AA359" s="5" t="str">
        <f>IF(L359="","", "⚠️ 薄弱环节: "&amp;INDEX($E$1:$K$1, MATCH(MIN(E359:K359), E359:K359, 0))&amp;CHAR(10)&amp;"📉 考察能力: "&amp;IFERROR(VLOOKUP(TRIM(D359)&amp;"_"&amp;TRIM(INDEX($E$1:$K$1, MATCH(MIN(E359:K359), E359:K359, 0))), 技能库!$A:$F, 5, 0),"建议查阅考纲")&amp;CHAR(10)&amp;"💡 提升建议: "&amp;IFERROR(VLOOKUP(TRIM(D359)&amp;"_"&amp;TRIM(INDEX($E$1:$K$1, MATCH(MIN(E359:K359), E359:K359, 0))), 技能库!$A:$F, 6, 0),"请针对该题型加强练习"))</f>
        <v/>
      </c>
      <c r="AB359" s="5" t="str">
        <f>IF(P359="","", "⚠️ 薄弱环节: "&amp;INDEX($N$1:$O$1, MATCH(MIN(N359:O359), N359:O359, 0))&amp;CHAR(10)&amp;"📉 考察能力: "&amp;IFERROR(VLOOKUP(TRIM(D359)&amp;"_"&amp;TRIM(INDEX($N$1:$O$1, MATCH(MIN(N359:O359), N359:O359, 0))), 技能库!$A:$F, 5, 0),"建议查阅考纲")&amp;CHAR(10)&amp;"💡 提升建议: "&amp;IFERROR(VLOOKUP(TRIM(D359)&amp;"_"&amp;TRIM(INDEX($N$1:$O$1, MATCH(MIN(N359:O359), N359:O359, 0))), 技能库!$A:$F, 6, 0),"请针对该题型加强练习"))</f>
        <v/>
      </c>
      <c r="AC359" s="5" t="str">
        <f>IF(W359="","", "⚠️ 薄弱环节: "&amp;INDEX($R$1:$V$1, MATCH(MIN(R359:V359), R359:V359, 0))&amp;CHAR(10)&amp;"📉 考察能力: "&amp;IFERROR(VLOOKUP(TRIM(D359)&amp;"_"&amp;TRIM(INDEX($R$1:$V$1, MATCH(MIN(R359:V359), R359:V359, 0))), 技能库!$A:$F, 5, 0),"建议查阅考纲")&amp;CHAR(10)&amp;"💡 提升建议: "&amp;IFERROR(VLOOKUP(TRIM(D359)&amp;"_"&amp;TRIM(INDEX($R$1:$V$1, MATCH(MIN(R359:V359), R359:V359, 0))), 技能库!$A:$F, 6, 0),"请针对该题型加强练习"))</f>
        <v/>
      </c>
    </row>
    <row r="360" spans="12:29" ht="16" hidden="1" x14ac:dyDescent="0.2">
      <c r="L360" t="str">
        <f t="shared" si="20"/>
        <v/>
      </c>
      <c r="M360" t="str">
        <f>IF(L360="","", IFERROR(VLOOKUP(L360, IF(D360="KET", 换算标准!$M:$N, IF(D360="PET", 换算标准!$S:$T, 换算标准!$AC:$AD)), 2, TRUE), 0))</f>
        <v/>
      </c>
      <c r="P360" t="str">
        <f t="shared" si="21"/>
        <v/>
      </c>
      <c r="Q360" t="str">
        <f>IF(P360="","", IFERROR(VLOOKUP(P360, IF(D360="KET", 换算标准!$O:$P, IF(D360="PET", 换算标准!$U:$V, 换算标准!$AG:$AH)), 2, TRUE), 0))</f>
        <v/>
      </c>
      <c r="W360" t="str">
        <f t="shared" si="22"/>
        <v/>
      </c>
      <c r="X360" t="str">
        <f>IF(W360="","", IFERROR(VLOOKUP(W360, IF(D360="KET", 换算标准!$Q:$R, IF(D360="PET", 换算标准!$W:$X, 换算标准!$AI:$AJ)), 2, TRUE), 0))</f>
        <v/>
      </c>
      <c r="Y360" t="str">
        <f t="shared" si="23"/>
        <v/>
      </c>
      <c r="Z360" t="str">
        <f>IF(Y360="","", IFERROR(VLOOKUP(Y360, 换算标准!$Z:$AA, 1, TRUE), ""))</f>
        <v/>
      </c>
      <c r="AA360" s="5" t="str">
        <f>IF(L360="","", "⚠️ 薄弱环节: "&amp;INDEX($E$1:$K$1, MATCH(MIN(E360:K360), E360:K360, 0))&amp;CHAR(10)&amp;"📉 考察能力: "&amp;IFERROR(VLOOKUP(TRIM(D360)&amp;"_"&amp;TRIM(INDEX($E$1:$K$1, MATCH(MIN(E360:K360), E360:K360, 0))), 技能库!$A:$F, 5, 0),"建议查阅考纲")&amp;CHAR(10)&amp;"💡 提升建议: "&amp;IFERROR(VLOOKUP(TRIM(D360)&amp;"_"&amp;TRIM(INDEX($E$1:$K$1, MATCH(MIN(E360:K360), E360:K360, 0))), 技能库!$A:$F, 6, 0),"请针对该题型加强练习"))</f>
        <v/>
      </c>
      <c r="AB360" s="5" t="str">
        <f>IF(P360="","", "⚠️ 薄弱环节: "&amp;INDEX($N$1:$O$1, MATCH(MIN(N360:O360), N360:O360, 0))&amp;CHAR(10)&amp;"📉 考察能力: "&amp;IFERROR(VLOOKUP(TRIM(D360)&amp;"_"&amp;TRIM(INDEX($N$1:$O$1, MATCH(MIN(N360:O360), N360:O360, 0))), 技能库!$A:$F, 5, 0),"建议查阅考纲")&amp;CHAR(10)&amp;"💡 提升建议: "&amp;IFERROR(VLOOKUP(TRIM(D360)&amp;"_"&amp;TRIM(INDEX($N$1:$O$1, MATCH(MIN(N360:O360), N360:O360, 0))), 技能库!$A:$F, 6, 0),"请针对该题型加强练习"))</f>
        <v/>
      </c>
      <c r="AC360" s="5" t="str">
        <f>IF(W360="","", "⚠️ 薄弱环节: "&amp;INDEX($R$1:$V$1, MATCH(MIN(R360:V360), R360:V360, 0))&amp;CHAR(10)&amp;"📉 考察能力: "&amp;IFERROR(VLOOKUP(TRIM(D360)&amp;"_"&amp;TRIM(INDEX($R$1:$V$1, MATCH(MIN(R360:V360), R360:V360, 0))), 技能库!$A:$F, 5, 0),"建议查阅考纲")&amp;CHAR(10)&amp;"💡 提升建议: "&amp;IFERROR(VLOOKUP(TRIM(D360)&amp;"_"&amp;TRIM(INDEX($R$1:$V$1, MATCH(MIN(R360:V360), R360:V360, 0))), 技能库!$A:$F, 6, 0),"请针对该题型加强练习"))</f>
        <v/>
      </c>
    </row>
    <row r="361" spans="12:29" ht="16" hidden="1" x14ac:dyDescent="0.2">
      <c r="L361" t="str">
        <f t="shared" si="20"/>
        <v/>
      </c>
      <c r="M361" t="str">
        <f>IF(L361="","", IFERROR(VLOOKUP(L361, IF(D361="KET", 换算标准!$M:$N, IF(D361="PET", 换算标准!$S:$T, 换算标准!$AC:$AD)), 2, TRUE), 0))</f>
        <v/>
      </c>
      <c r="P361" t="str">
        <f t="shared" si="21"/>
        <v/>
      </c>
      <c r="Q361" t="str">
        <f>IF(P361="","", IFERROR(VLOOKUP(P361, IF(D361="KET", 换算标准!$O:$P, IF(D361="PET", 换算标准!$U:$V, 换算标准!$AG:$AH)), 2, TRUE), 0))</f>
        <v/>
      </c>
      <c r="W361" t="str">
        <f t="shared" si="22"/>
        <v/>
      </c>
      <c r="X361" t="str">
        <f>IF(W361="","", IFERROR(VLOOKUP(W361, IF(D361="KET", 换算标准!$Q:$R, IF(D361="PET", 换算标准!$W:$X, 换算标准!$AI:$AJ)), 2, TRUE), 0))</f>
        <v/>
      </c>
      <c r="Y361" t="str">
        <f t="shared" si="23"/>
        <v/>
      </c>
      <c r="Z361" t="str">
        <f>IF(Y361="","", IFERROR(VLOOKUP(Y361, 换算标准!$Z:$AA, 1, TRUE), ""))</f>
        <v/>
      </c>
      <c r="AA361" s="5" t="str">
        <f>IF(L361="","", "⚠️ 薄弱环节: "&amp;INDEX($E$1:$K$1, MATCH(MIN(E361:K361), E361:K361, 0))&amp;CHAR(10)&amp;"📉 考察能力: "&amp;IFERROR(VLOOKUP(TRIM(D361)&amp;"_"&amp;TRIM(INDEX($E$1:$K$1, MATCH(MIN(E361:K361), E361:K361, 0))), 技能库!$A:$F, 5, 0),"建议查阅考纲")&amp;CHAR(10)&amp;"💡 提升建议: "&amp;IFERROR(VLOOKUP(TRIM(D361)&amp;"_"&amp;TRIM(INDEX($E$1:$K$1, MATCH(MIN(E361:K361), E361:K361, 0))), 技能库!$A:$F, 6, 0),"请针对该题型加强练习"))</f>
        <v/>
      </c>
      <c r="AB361" s="5" t="str">
        <f>IF(P361="","", "⚠️ 薄弱环节: "&amp;INDEX($N$1:$O$1, MATCH(MIN(N361:O361), N361:O361, 0))&amp;CHAR(10)&amp;"📉 考察能力: "&amp;IFERROR(VLOOKUP(TRIM(D361)&amp;"_"&amp;TRIM(INDEX($N$1:$O$1, MATCH(MIN(N361:O361), N361:O361, 0))), 技能库!$A:$F, 5, 0),"建议查阅考纲")&amp;CHAR(10)&amp;"💡 提升建议: "&amp;IFERROR(VLOOKUP(TRIM(D361)&amp;"_"&amp;TRIM(INDEX($N$1:$O$1, MATCH(MIN(N361:O361), N361:O361, 0))), 技能库!$A:$F, 6, 0),"请针对该题型加强练习"))</f>
        <v/>
      </c>
      <c r="AC361" s="5" t="str">
        <f>IF(W361="","", "⚠️ 薄弱环节: "&amp;INDEX($R$1:$V$1, MATCH(MIN(R361:V361), R361:V361, 0))&amp;CHAR(10)&amp;"📉 考察能力: "&amp;IFERROR(VLOOKUP(TRIM(D361)&amp;"_"&amp;TRIM(INDEX($R$1:$V$1, MATCH(MIN(R361:V361), R361:V361, 0))), 技能库!$A:$F, 5, 0),"建议查阅考纲")&amp;CHAR(10)&amp;"💡 提升建议: "&amp;IFERROR(VLOOKUP(TRIM(D361)&amp;"_"&amp;TRIM(INDEX($R$1:$V$1, MATCH(MIN(R361:V361), R361:V361, 0))), 技能库!$A:$F, 6, 0),"请针对该题型加强练习"))</f>
        <v/>
      </c>
    </row>
    <row r="362" spans="12:29" ht="16" hidden="1" x14ac:dyDescent="0.2">
      <c r="L362" t="str">
        <f t="shared" si="20"/>
        <v/>
      </c>
      <c r="M362" t="str">
        <f>IF(L362="","", IFERROR(VLOOKUP(L362, IF(D362="KET", 换算标准!$M:$N, IF(D362="PET", 换算标准!$S:$T, 换算标准!$AC:$AD)), 2, TRUE), 0))</f>
        <v/>
      </c>
      <c r="P362" t="str">
        <f t="shared" si="21"/>
        <v/>
      </c>
      <c r="Q362" t="str">
        <f>IF(P362="","", IFERROR(VLOOKUP(P362, IF(D362="KET", 换算标准!$O:$P, IF(D362="PET", 换算标准!$U:$V, 换算标准!$AG:$AH)), 2, TRUE), 0))</f>
        <v/>
      </c>
      <c r="W362" t="str">
        <f t="shared" si="22"/>
        <v/>
      </c>
      <c r="X362" t="str">
        <f>IF(W362="","", IFERROR(VLOOKUP(W362, IF(D362="KET", 换算标准!$Q:$R, IF(D362="PET", 换算标准!$W:$X, 换算标准!$AI:$AJ)), 2, TRUE), 0))</f>
        <v/>
      </c>
      <c r="Y362" t="str">
        <f t="shared" si="23"/>
        <v/>
      </c>
      <c r="Z362" t="str">
        <f>IF(Y362="","", IFERROR(VLOOKUP(Y362, 换算标准!$Z:$AA, 1, TRUE), ""))</f>
        <v/>
      </c>
      <c r="AA362" s="5" t="str">
        <f>IF(L362="","", "⚠️ 薄弱环节: "&amp;INDEX($E$1:$K$1, MATCH(MIN(E362:K362), E362:K362, 0))&amp;CHAR(10)&amp;"📉 考察能力: "&amp;IFERROR(VLOOKUP(TRIM(D362)&amp;"_"&amp;TRIM(INDEX($E$1:$K$1, MATCH(MIN(E362:K362), E362:K362, 0))), 技能库!$A:$F, 5, 0),"建议查阅考纲")&amp;CHAR(10)&amp;"💡 提升建议: "&amp;IFERROR(VLOOKUP(TRIM(D362)&amp;"_"&amp;TRIM(INDEX($E$1:$K$1, MATCH(MIN(E362:K362), E362:K362, 0))), 技能库!$A:$F, 6, 0),"请针对该题型加强练习"))</f>
        <v/>
      </c>
      <c r="AB362" s="5" t="str">
        <f>IF(P362="","", "⚠️ 薄弱环节: "&amp;INDEX($N$1:$O$1, MATCH(MIN(N362:O362), N362:O362, 0))&amp;CHAR(10)&amp;"📉 考察能力: "&amp;IFERROR(VLOOKUP(TRIM(D362)&amp;"_"&amp;TRIM(INDEX($N$1:$O$1, MATCH(MIN(N362:O362), N362:O362, 0))), 技能库!$A:$F, 5, 0),"建议查阅考纲")&amp;CHAR(10)&amp;"💡 提升建议: "&amp;IFERROR(VLOOKUP(TRIM(D362)&amp;"_"&amp;TRIM(INDEX($N$1:$O$1, MATCH(MIN(N362:O362), N362:O362, 0))), 技能库!$A:$F, 6, 0),"请针对该题型加强练习"))</f>
        <v/>
      </c>
      <c r="AC362" s="5" t="str">
        <f>IF(W362="","", "⚠️ 薄弱环节: "&amp;INDEX($R$1:$V$1, MATCH(MIN(R362:V362), R362:V362, 0))&amp;CHAR(10)&amp;"📉 考察能力: "&amp;IFERROR(VLOOKUP(TRIM(D362)&amp;"_"&amp;TRIM(INDEX($R$1:$V$1, MATCH(MIN(R362:V362), R362:V362, 0))), 技能库!$A:$F, 5, 0),"建议查阅考纲")&amp;CHAR(10)&amp;"💡 提升建议: "&amp;IFERROR(VLOOKUP(TRIM(D362)&amp;"_"&amp;TRIM(INDEX($R$1:$V$1, MATCH(MIN(R362:V362), R362:V362, 0))), 技能库!$A:$F, 6, 0),"请针对该题型加强练习"))</f>
        <v/>
      </c>
    </row>
    <row r="363" spans="12:29" ht="16" hidden="1" x14ac:dyDescent="0.2">
      <c r="L363" t="str">
        <f t="shared" si="20"/>
        <v/>
      </c>
      <c r="M363" t="str">
        <f>IF(L363="","", IFERROR(VLOOKUP(L363, IF(D363="KET", 换算标准!$M:$N, IF(D363="PET", 换算标准!$S:$T, 换算标准!$AC:$AD)), 2, TRUE), 0))</f>
        <v/>
      </c>
      <c r="P363" t="str">
        <f t="shared" si="21"/>
        <v/>
      </c>
      <c r="Q363" t="str">
        <f>IF(P363="","", IFERROR(VLOOKUP(P363, IF(D363="KET", 换算标准!$O:$P, IF(D363="PET", 换算标准!$U:$V, 换算标准!$AG:$AH)), 2, TRUE), 0))</f>
        <v/>
      </c>
      <c r="W363" t="str">
        <f t="shared" si="22"/>
        <v/>
      </c>
      <c r="X363" t="str">
        <f>IF(W363="","", IFERROR(VLOOKUP(W363, IF(D363="KET", 换算标准!$Q:$R, IF(D363="PET", 换算标准!$W:$X, 换算标准!$AI:$AJ)), 2, TRUE), 0))</f>
        <v/>
      </c>
      <c r="Y363" t="str">
        <f t="shared" si="23"/>
        <v/>
      </c>
      <c r="Z363" t="str">
        <f>IF(Y363="","", IFERROR(VLOOKUP(Y363, 换算标准!$Z:$AA, 1, TRUE), ""))</f>
        <v/>
      </c>
      <c r="AA363" s="5" t="str">
        <f>IF(L363="","", "⚠️ 薄弱环节: "&amp;INDEX($E$1:$K$1, MATCH(MIN(E363:K363), E363:K363, 0))&amp;CHAR(10)&amp;"📉 考察能力: "&amp;IFERROR(VLOOKUP(TRIM(D363)&amp;"_"&amp;TRIM(INDEX($E$1:$K$1, MATCH(MIN(E363:K363), E363:K363, 0))), 技能库!$A:$F, 5, 0),"建议查阅考纲")&amp;CHAR(10)&amp;"💡 提升建议: "&amp;IFERROR(VLOOKUP(TRIM(D363)&amp;"_"&amp;TRIM(INDEX($E$1:$K$1, MATCH(MIN(E363:K363), E363:K363, 0))), 技能库!$A:$F, 6, 0),"请针对该题型加强练习"))</f>
        <v/>
      </c>
      <c r="AB363" s="5" t="str">
        <f>IF(P363="","", "⚠️ 薄弱环节: "&amp;INDEX($N$1:$O$1, MATCH(MIN(N363:O363), N363:O363, 0))&amp;CHAR(10)&amp;"📉 考察能力: "&amp;IFERROR(VLOOKUP(TRIM(D363)&amp;"_"&amp;TRIM(INDEX($N$1:$O$1, MATCH(MIN(N363:O363), N363:O363, 0))), 技能库!$A:$F, 5, 0),"建议查阅考纲")&amp;CHAR(10)&amp;"💡 提升建议: "&amp;IFERROR(VLOOKUP(TRIM(D363)&amp;"_"&amp;TRIM(INDEX($N$1:$O$1, MATCH(MIN(N363:O363), N363:O363, 0))), 技能库!$A:$F, 6, 0),"请针对该题型加强练习"))</f>
        <v/>
      </c>
      <c r="AC363" s="5" t="str">
        <f>IF(W363="","", "⚠️ 薄弱环节: "&amp;INDEX($R$1:$V$1, MATCH(MIN(R363:V363), R363:V363, 0))&amp;CHAR(10)&amp;"📉 考察能力: "&amp;IFERROR(VLOOKUP(TRIM(D363)&amp;"_"&amp;TRIM(INDEX($R$1:$V$1, MATCH(MIN(R363:V363), R363:V363, 0))), 技能库!$A:$F, 5, 0),"建议查阅考纲")&amp;CHAR(10)&amp;"💡 提升建议: "&amp;IFERROR(VLOOKUP(TRIM(D363)&amp;"_"&amp;TRIM(INDEX($R$1:$V$1, MATCH(MIN(R363:V363), R363:V363, 0))), 技能库!$A:$F, 6, 0),"请针对该题型加强练习"))</f>
        <v/>
      </c>
    </row>
    <row r="364" spans="12:29" ht="16" hidden="1" x14ac:dyDescent="0.2">
      <c r="L364" t="str">
        <f t="shared" si="20"/>
        <v/>
      </c>
      <c r="M364" t="str">
        <f>IF(L364="","", IFERROR(VLOOKUP(L364, IF(D364="KET", 换算标准!$M:$N, IF(D364="PET", 换算标准!$S:$T, 换算标准!$AC:$AD)), 2, TRUE), 0))</f>
        <v/>
      </c>
      <c r="P364" t="str">
        <f t="shared" si="21"/>
        <v/>
      </c>
      <c r="Q364" t="str">
        <f>IF(P364="","", IFERROR(VLOOKUP(P364, IF(D364="KET", 换算标准!$O:$P, IF(D364="PET", 换算标准!$U:$V, 换算标准!$AG:$AH)), 2, TRUE), 0))</f>
        <v/>
      </c>
      <c r="W364" t="str">
        <f t="shared" si="22"/>
        <v/>
      </c>
      <c r="X364" t="str">
        <f>IF(W364="","", IFERROR(VLOOKUP(W364, IF(D364="KET", 换算标准!$Q:$R, IF(D364="PET", 换算标准!$W:$X, 换算标准!$AI:$AJ)), 2, TRUE), 0))</f>
        <v/>
      </c>
      <c r="Y364" t="str">
        <f t="shared" si="23"/>
        <v/>
      </c>
      <c r="Z364" t="str">
        <f>IF(Y364="","", IFERROR(VLOOKUP(Y364, 换算标准!$Z:$AA, 1, TRUE), ""))</f>
        <v/>
      </c>
      <c r="AA364" s="5" t="str">
        <f>IF(L364="","", "⚠️ 薄弱环节: "&amp;INDEX($E$1:$K$1, MATCH(MIN(E364:K364), E364:K364, 0))&amp;CHAR(10)&amp;"📉 考察能力: "&amp;IFERROR(VLOOKUP(TRIM(D364)&amp;"_"&amp;TRIM(INDEX($E$1:$K$1, MATCH(MIN(E364:K364), E364:K364, 0))), 技能库!$A:$F, 5, 0),"建议查阅考纲")&amp;CHAR(10)&amp;"💡 提升建议: "&amp;IFERROR(VLOOKUP(TRIM(D364)&amp;"_"&amp;TRIM(INDEX($E$1:$K$1, MATCH(MIN(E364:K364), E364:K364, 0))), 技能库!$A:$F, 6, 0),"请针对该题型加强练习"))</f>
        <v/>
      </c>
      <c r="AB364" s="5" t="str">
        <f>IF(P364="","", "⚠️ 薄弱环节: "&amp;INDEX($N$1:$O$1, MATCH(MIN(N364:O364), N364:O364, 0))&amp;CHAR(10)&amp;"📉 考察能力: "&amp;IFERROR(VLOOKUP(TRIM(D364)&amp;"_"&amp;TRIM(INDEX($N$1:$O$1, MATCH(MIN(N364:O364), N364:O364, 0))), 技能库!$A:$F, 5, 0),"建议查阅考纲")&amp;CHAR(10)&amp;"💡 提升建议: "&amp;IFERROR(VLOOKUP(TRIM(D364)&amp;"_"&amp;TRIM(INDEX($N$1:$O$1, MATCH(MIN(N364:O364), N364:O364, 0))), 技能库!$A:$F, 6, 0),"请针对该题型加强练习"))</f>
        <v/>
      </c>
      <c r="AC364" s="5" t="str">
        <f>IF(W364="","", "⚠️ 薄弱环节: "&amp;INDEX($R$1:$V$1, MATCH(MIN(R364:V364), R364:V364, 0))&amp;CHAR(10)&amp;"📉 考察能力: "&amp;IFERROR(VLOOKUP(TRIM(D364)&amp;"_"&amp;TRIM(INDEX($R$1:$V$1, MATCH(MIN(R364:V364), R364:V364, 0))), 技能库!$A:$F, 5, 0),"建议查阅考纲")&amp;CHAR(10)&amp;"💡 提升建议: "&amp;IFERROR(VLOOKUP(TRIM(D364)&amp;"_"&amp;TRIM(INDEX($R$1:$V$1, MATCH(MIN(R364:V364), R364:V364, 0))), 技能库!$A:$F, 6, 0),"请针对该题型加强练习"))</f>
        <v/>
      </c>
    </row>
    <row r="365" spans="12:29" ht="16" hidden="1" x14ac:dyDescent="0.2">
      <c r="L365" t="str">
        <f t="shared" si="20"/>
        <v/>
      </c>
      <c r="M365" t="str">
        <f>IF(L365="","", IFERROR(VLOOKUP(L365, IF(D365="KET", 换算标准!$M:$N, IF(D365="PET", 换算标准!$S:$T, 换算标准!$AC:$AD)), 2, TRUE), 0))</f>
        <v/>
      </c>
      <c r="P365" t="str">
        <f t="shared" si="21"/>
        <v/>
      </c>
      <c r="Q365" t="str">
        <f>IF(P365="","", IFERROR(VLOOKUP(P365, IF(D365="KET", 换算标准!$O:$P, IF(D365="PET", 换算标准!$U:$V, 换算标准!$AG:$AH)), 2, TRUE), 0))</f>
        <v/>
      </c>
      <c r="W365" t="str">
        <f t="shared" si="22"/>
        <v/>
      </c>
      <c r="X365" t="str">
        <f>IF(W365="","", IFERROR(VLOOKUP(W365, IF(D365="KET", 换算标准!$Q:$R, IF(D365="PET", 换算标准!$W:$X, 换算标准!$AI:$AJ)), 2, TRUE), 0))</f>
        <v/>
      </c>
      <c r="Y365" t="str">
        <f t="shared" si="23"/>
        <v/>
      </c>
      <c r="Z365" t="str">
        <f>IF(Y365="","", IFERROR(VLOOKUP(Y365, 换算标准!$Z:$AA, 1, TRUE), ""))</f>
        <v/>
      </c>
      <c r="AA365" s="5" t="str">
        <f>IF(L365="","", "⚠️ 薄弱环节: "&amp;INDEX($E$1:$K$1, MATCH(MIN(E365:K365), E365:K365, 0))&amp;CHAR(10)&amp;"📉 考察能力: "&amp;IFERROR(VLOOKUP(TRIM(D365)&amp;"_"&amp;TRIM(INDEX($E$1:$K$1, MATCH(MIN(E365:K365), E365:K365, 0))), 技能库!$A:$F, 5, 0),"建议查阅考纲")&amp;CHAR(10)&amp;"💡 提升建议: "&amp;IFERROR(VLOOKUP(TRIM(D365)&amp;"_"&amp;TRIM(INDEX($E$1:$K$1, MATCH(MIN(E365:K365), E365:K365, 0))), 技能库!$A:$F, 6, 0),"请针对该题型加强练习"))</f>
        <v/>
      </c>
      <c r="AB365" s="5" t="str">
        <f>IF(P365="","", "⚠️ 薄弱环节: "&amp;INDEX($N$1:$O$1, MATCH(MIN(N365:O365), N365:O365, 0))&amp;CHAR(10)&amp;"📉 考察能力: "&amp;IFERROR(VLOOKUP(TRIM(D365)&amp;"_"&amp;TRIM(INDEX($N$1:$O$1, MATCH(MIN(N365:O365), N365:O365, 0))), 技能库!$A:$F, 5, 0),"建议查阅考纲")&amp;CHAR(10)&amp;"💡 提升建议: "&amp;IFERROR(VLOOKUP(TRIM(D365)&amp;"_"&amp;TRIM(INDEX($N$1:$O$1, MATCH(MIN(N365:O365), N365:O365, 0))), 技能库!$A:$F, 6, 0),"请针对该题型加强练习"))</f>
        <v/>
      </c>
      <c r="AC365" s="5" t="str">
        <f>IF(W365="","", "⚠️ 薄弱环节: "&amp;INDEX($R$1:$V$1, MATCH(MIN(R365:V365), R365:V365, 0))&amp;CHAR(10)&amp;"📉 考察能力: "&amp;IFERROR(VLOOKUP(TRIM(D365)&amp;"_"&amp;TRIM(INDEX($R$1:$V$1, MATCH(MIN(R365:V365), R365:V365, 0))), 技能库!$A:$F, 5, 0),"建议查阅考纲")&amp;CHAR(10)&amp;"💡 提升建议: "&amp;IFERROR(VLOOKUP(TRIM(D365)&amp;"_"&amp;TRIM(INDEX($R$1:$V$1, MATCH(MIN(R365:V365), R365:V365, 0))), 技能库!$A:$F, 6, 0),"请针对该题型加强练习"))</f>
        <v/>
      </c>
    </row>
    <row r="366" spans="12:29" ht="16" hidden="1" x14ac:dyDescent="0.2">
      <c r="L366" t="str">
        <f t="shared" si="20"/>
        <v/>
      </c>
      <c r="M366" t="str">
        <f>IF(L366="","", IFERROR(VLOOKUP(L366, IF(D366="KET", 换算标准!$M:$N, IF(D366="PET", 换算标准!$S:$T, 换算标准!$AC:$AD)), 2, TRUE), 0))</f>
        <v/>
      </c>
      <c r="P366" t="str">
        <f t="shared" si="21"/>
        <v/>
      </c>
      <c r="Q366" t="str">
        <f>IF(P366="","", IFERROR(VLOOKUP(P366, IF(D366="KET", 换算标准!$O:$P, IF(D366="PET", 换算标准!$U:$V, 换算标准!$AG:$AH)), 2, TRUE), 0))</f>
        <v/>
      </c>
      <c r="W366" t="str">
        <f t="shared" si="22"/>
        <v/>
      </c>
      <c r="X366" t="str">
        <f>IF(W366="","", IFERROR(VLOOKUP(W366, IF(D366="KET", 换算标准!$Q:$R, IF(D366="PET", 换算标准!$W:$X, 换算标准!$AI:$AJ)), 2, TRUE), 0))</f>
        <v/>
      </c>
      <c r="Y366" t="str">
        <f t="shared" si="23"/>
        <v/>
      </c>
      <c r="Z366" t="str">
        <f>IF(Y366="","", IFERROR(VLOOKUP(Y366, 换算标准!$Z:$AA, 1, TRUE), ""))</f>
        <v/>
      </c>
      <c r="AA366" s="5" t="str">
        <f>IF(L366="","", "⚠️ 薄弱环节: "&amp;INDEX($E$1:$K$1, MATCH(MIN(E366:K366), E366:K366, 0))&amp;CHAR(10)&amp;"📉 考察能力: "&amp;IFERROR(VLOOKUP(TRIM(D366)&amp;"_"&amp;TRIM(INDEX($E$1:$K$1, MATCH(MIN(E366:K366), E366:K366, 0))), 技能库!$A:$F, 5, 0),"建议查阅考纲")&amp;CHAR(10)&amp;"💡 提升建议: "&amp;IFERROR(VLOOKUP(TRIM(D366)&amp;"_"&amp;TRIM(INDEX($E$1:$K$1, MATCH(MIN(E366:K366), E366:K366, 0))), 技能库!$A:$F, 6, 0),"请针对该题型加强练习"))</f>
        <v/>
      </c>
      <c r="AB366" s="5" t="str">
        <f>IF(P366="","", "⚠️ 薄弱环节: "&amp;INDEX($N$1:$O$1, MATCH(MIN(N366:O366), N366:O366, 0))&amp;CHAR(10)&amp;"📉 考察能力: "&amp;IFERROR(VLOOKUP(TRIM(D366)&amp;"_"&amp;TRIM(INDEX($N$1:$O$1, MATCH(MIN(N366:O366), N366:O366, 0))), 技能库!$A:$F, 5, 0),"建议查阅考纲")&amp;CHAR(10)&amp;"💡 提升建议: "&amp;IFERROR(VLOOKUP(TRIM(D366)&amp;"_"&amp;TRIM(INDEX($N$1:$O$1, MATCH(MIN(N366:O366), N366:O366, 0))), 技能库!$A:$F, 6, 0),"请针对该题型加强练习"))</f>
        <v/>
      </c>
      <c r="AC366" s="5" t="str">
        <f>IF(W366="","", "⚠️ 薄弱环节: "&amp;INDEX($R$1:$V$1, MATCH(MIN(R366:V366), R366:V366, 0))&amp;CHAR(10)&amp;"📉 考察能力: "&amp;IFERROR(VLOOKUP(TRIM(D366)&amp;"_"&amp;TRIM(INDEX($R$1:$V$1, MATCH(MIN(R366:V366), R366:V366, 0))), 技能库!$A:$F, 5, 0),"建议查阅考纲")&amp;CHAR(10)&amp;"💡 提升建议: "&amp;IFERROR(VLOOKUP(TRIM(D366)&amp;"_"&amp;TRIM(INDEX($R$1:$V$1, MATCH(MIN(R366:V366), R366:V366, 0))), 技能库!$A:$F, 6, 0),"请针对该题型加强练习"))</f>
        <v/>
      </c>
    </row>
    <row r="367" spans="12:29" ht="16" hidden="1" x14ac:dyDescent="0.2">
      <c r="L367" t="str">
        <f t="shared" si="20"/>
        <v/>
      </c>
      <c r="M367" t="str">
        <f>IF(L367="","", IFERROR(VLOOKUP(L367, IF(D367="KET", 换算标准!$M:$N, IF(D367="PET", 换算标准!$S:$T, 换算标准!$AC:$AD)), 2, TRUE), 0))</f>
        <v/>
      </c>
      <c r="P367" t="str">
        <f t="shared" si="21"/>
        <v/>
      </c>
      <c r="Q367" t="str">
        <f>IF(P367="","", IFERROR(VLOOKUP(P367, IF(D367="KET", 换算标准!$O:$P, IF(D367="PET", 换算标准!$U:$V, 换算标准!$AG:$AH)), 2, TRUE), 0))</f>
        <v/>
      </c>
      <c r="W367" t="str">
        <f t="shared" si="22"/>
        <v/>
      </c>
      <c r="X367" t="str">
        <f>IF(W367="","", IFERROR(VLOOKUP(W367, IF(D367="KET", 换算标准!$Q:$R, IF(D367="PET", 换算标准!$W:$X, 换算标准!$AI:$AJ)), 2, TRUE), 0))</f>
        <v/>
      </c>
      <c r="Y367" t="str">
        <f t="shared" si="23"/>
        <v/>
      </c>
      <c r="Z367" t="str">
        <f>IF(Y367="","", IFERROR(VLOOKUP(Y367, 换算标准!$Z:$AA, 1, TRUE), ""))</f>
        <v/>
      </c>
      <c r="AA367" s="5" t="str">
        <f>IF(L367="","", "⚠️ 薄弱环节: "&amp;INDEX($E$1:$K$1, MATCH(MIN(E367:K367), E367:K367, 0))&amp;CHAR(10)&amp;"📉 考察能力: "&amp;IFERROR(VLOOKUP(TRIM(D367)&amp;"_"&amp;TRIM(INDEX($E$1:$K$1, MATCH(MIN(E367:K367), E367:K367, 0))), 技能库!$A:$F, 5, 0),"建议查阅考纲")&amp;CHAR(10)&amp;"💡 提升建议: "&amp;IFERROR(VLOOKUP(TRIM(D367)&amp;"_"&amp;TRIM(INDEX($E$1:$K$1, MATCH(MIN(E367:K367), E367:K367, 0))), 技能库!$A:$F, 6, 0),"请针对该题型加强练习"))</f>
        <v/>
      </c>
      <c r="AB367" s="5" t="str">
        <f>IF(P367="","", "⚠️ 薄弱环节: "&amp;INDEX($N$1:$O$1, MATCH(MIN(N367:O367), N367:O367, 0))&amp;CHAR(10)&amp;"📉 考察能力: "&amp;IFERROR(VLOOKUP(TRIM(D367)&amp;"_"&amp;TRIM(INDEX($N$1:$O$1, MATCH(MIN(N367:O367), N367:O367, 0))), 技能库!$A:$F, 5, 0),"建议查阅考纲")&amp;CHAR(10)&amp;"💡 提升建议: "&amp;IFERROR(VLOOKUP(TRIM(D367)&amp;"_"&amp;TRIM(INDEX($N$1:$O$1, MATCH(MIN(N367:O367), N367:O367, 0))), 技能库!$A:$F, 6, 0),"请针对该题型加强练习"))</f>
        <v/>
      </c>
      <c r="AC367" s="5" t="str">
        <f>IF(W367="","", "⚠️ 薄弱环节: "&amp;INDEX($R$1:$V$1, MATCH(MIN(R367:V367), R367:V367, 0))&amp;CHAR(10)&amp;"📉 考察能力: "&amp;IFERROR(VLOOKUP(TRIM(D367)&amp;"_"&amp;TRIM(INDEX($R$1:$V$1, MATCH(MIN(R367:V367), R367:V367, 0))), 技能库!$A:$F, 5, 0),"建议查阅考纲")&amp;CHAR(10)&amp;"💡 提升建议: "&amp;IFERROR(VLOOKUP(TRIM(D367)&amp;"_"&amp;TRIM(INDEX($R$1:$V$1, MATCH(MIN(R367:V367), R367:V367, 0))), 技能库!$A:$F, 6, 0),"请针对该题型加强练习"))</f>
        <v/>
      </c>
    </row>
    <row r="368" spans="12:29" ht="16" hidden="1" x14ac:dyDescent="0.2">
      <c r="L368" t="str">
        <f t="shared" si="20"/>
        <v/>
      </c>
      <c r="M368" t="str">
        <f>IF(L368="","", IFERROR(VLOOKUP(L368, IF(D368="KET", 换算标准!$M:$N, IF(D368="PET", 换算标准!$S:$T, 换算标准!$AC:$AD)), 2, TRUE), 0))</f>
        <v/>
      </c>
      <c r="P368" t="str">
        <f t="shared" si="21"/>
        <v/>
      </c>
      <c r="Q368" t="str">
        <f>IF(P368="","", IFERROR(VLOOKUP(P368, IF(D368="KET", 换算标准!$O:$P, IF(D368="PET", 换算标准!$U:$V, 换算标准!$AG:$AH)), 2, TRUE), 0))</f>
        <v/>
      </c>
      <c r="W368" t="str">
        <f t="shared" si="22"/>
        <v/>
      </c>
      <c r="X368" t="str">
        <f>IF(W368="","", IFERROR(VLOOKUP(W368, IF(D368="KET", 换算标准!$Q:$R, IF(D368="PET", 换算标准!$W:$X, 换算标准!$AI:$AJ)), 2, TRUE), 0))</f>
        <v/>
      </c>
      <c r="Y368" t="str">
        <f t="shared" si="23"/>
        <v/>
      </c>
      <c r="Z368" t="str">
        <f>IF(Y368="","", IFERROR(VLOOKUP(Y368, 换算标准!$Z:$AA, 1, TRUE), ""))</f>
        <v/>
      </c>
      <c r="AA368" s="5" t="str">
        <f>IF(L368="","", "⚠️ 薄弱环节: "&amp;INDEX($E$1:$K$1, MATCH(MIN(E368:K368), E368:K368, 0))&amp;CHAR(10)&amp;"📉 考察能力: "&amp;IFERROR(VLOOKUP(TRIM(D368)&amp;"_"&amp;TRIM(INDEX($E$1:$K$1, MATCH(MIN(E368:K368), E368:K368, 0))), 技能库!$A:$F, 5, 0),"建议查阅考纲")&amp;CHAR(10)&amp;"💡 提升建议: "&amp;IFERROR(VLOOKUP(TRIM(D368)&amp;"_"&amp;TRIM(INDEX($E$1:$K$1, MATCH(MIN(E368:K368), E368:K368, 0))), 技能库!$A:$F, 6, 0),"请针对该题型加强练习"))</f>
        <v/>
      </c>
      <c r="AB368" s="5" t="str">
        <f>IF(P368="","", "⚠️ 薄弱环节: "&amp;INDEX($N$1:$O$1, MATCH(MIN(N368:O368), N368:O368, 0))&amp;CHAR(10)&amp;"📉 考察能力: "&amp;IFERROR(VLOOKUP(TRIM(D368)&amp;"_"&amp;TRIM(INDEX($N$1:$O$1, MATCH(MIN(N368:O368), N368:O368, 0))), 技能库!$A:$F, 5, 0),"建议查阅考纲")&amp;CHAR(10)&amp;"💡 提升建议: "&amp;IFERROR(VLOOKUP(TRIM(D368)&amp;"_"&amp;TRIM(INDEX($N$1:$O$1, MATCH(MIN(N368:O368), N368:O368, 0))), 技能库!$A:$F, 6, 0),"请针对该题型加强练习"))</f>
        <v/>
      </c>
      <c r="AC368" s="5" t="str">
        <f>IF(W368="","", "⚠️ 薄弱环节: "&amp;INDEX($R$1:$V$1, MATCH(MIN(R368:V368), R368:V368, 0))&amp;CHAR(10)&amp;"📉 考察能力: "&amp;IFERROR(VLOOKUP(TRIM(D368)&amp;"_"&amp;TRIM(INDEX($R$1:$V$1, MATCH(MIN(R368:V368), R368:V368, 0))), 技能库!$A:$F, 5, 0),"建议查阅考纲")&amp;CHAR(10)&amp;"💡 提升建议: "&amp;IFERROR(VLOOKUP(TRIM(D368)&amp;"_"&amp;TRIM(INDEX($R$1:$V$1, MATCH(MIN(R368:V368), R368:V368, 0))), 技能库!$A:$F, 6, 0),"请针对该题型加强练习"))</f>
        <v/>
      </c>
    </row>
    <row r="369" spans="12:29" ht="16" hidden="1" x14ac:dyDescent="0.2">
      <c r="L369" t="str">
        <f t="shared" si="20"/>
        <v/>
      </c>
      <c r="M369" t="str">
        <f>IF(L369="","", IFERROR(VLOOKUP(L369, IF(D369="KET", 换算标准!$M:$N, IF(D369="PET", 换算标准!$S:$T, 换算标准!$AC:$AD)), 2, TRUE), 0))</f>
        <v/>
      </c>
      <c r="P369" t="str">
        <f t="shared" si="21"/>
        <v/>
      </c>
      <c r="Q369" t="str">
        <f>IF(P369="","", IFERROR(VLOOKUP(P369, IF(D369="KET", 换算标准!$O:$P, IF(D369="PET", 换算标准!$U:$V, 换算标准!$AG:$AH)), 2, TRUE), 0))</f>
        <v/>
      </c>
      <c r="W369" t="str">
        <f t="shared" si="22"/>
        <v/>
      </c>
      <c r="X369" t="str">
        <f>IF(W369="","", IFERROR(VLOOKUP(W369, IF(D369="KET", 换算标准!$Q:$R, IF(D369="PET", 换算标准!$W:$X, 换算标准!$AI:$AJ)), 2, TRUE), 0))</f>
        <v/>
      </c>
      <c r="Y369" t="str">
        <f t="shared" si="23"/>
        <v/>
      </c>
      <c r="Z369" t="str">
        <f>IF(Y369="","", IFERROR(VLOOKUP(Y369, 换算标准!$Z:$AA, 1, TRUE), ""))</f>
        <v/>
      </c>
      <c r="AA369" s="5" t="str">
        <f>IF(L369="","", "⚠️ 薄弱环节: "&amp;INDEX($E$1:$K$1, MATCH(MIN(E369:K369), E369:K369, 0))&amp;CHAR(10)&amp;"📉 考察能力: "&amp;IFERROR(VLOOKUP(TRIM(D369)&amp;"_"&amp;TRIM(INDEX($E$1:$K$1, MATCH(MIN(E369:K369), E369:K369, 0))), 技能库!$A:$F, 5, 0),"建议查阅考纲")&amp;CHAR(10)&amp;"💡 提升建议: "&amp;IFERROR(VLOOKUP(TRIM(D369)&amp;"_"&amp;TRIM(INDEX($E$1:$K$1, MATCH(MIN(E369:K369), E369:K369, 0))), 技能库!$A:$F, 6, 0),"请针对该题型加强练习"))</f>
        <v/>
      </c>
      <c r="AB369" s="5" t="str">
        <f>IF(P369="","", "⚠️ 薄弱环节: "&amp;INDEX($N$1:$O$1, MATCH(MIN(N369:O369), N369:O369, 0))&amp;CHAR(10)&amp;"📉 考察能力: "&amp;IFERROR(VLOOKUP(TRIM(D369)&amp;"_"&amp;TRIM(INDEX($N$1:$O$1, MATCH(MIN(N369:O369), N369:O369, 0))), 技能库!$A:$F, 5, 0),"建议查阅考纲")&amp;CHAR(10)&amp;"💡 提升建议: "&amp;IFERROR(VLOOKUP(TRIM(D369)&amp;"_"&amp;TRIM(INDEX($N$1:$O$1, MATCH(MIN(N369:O369), N369:O369, 0))), 技能库!$A:$F, 6, 0),"请针对该题型加强练习"))</f>
        <v/>
      </c>
      <c r="AC369" s="5" t="str">
        <f>IF(W369="","", "⚠️ 薄弱环节: "&amp;INDEX($R$1:$V$1, MATCH(MIN(R369:V369), R369:V369, 0))&amp;CHAR(10)&amp;"📉 考察能力: "&amp;IFERROR(VLOOKUP(TRIM(D369)&amp;"_"&amp;TRIM(INDEX($R$1:$V$1, MATCH(MIN(R369:V369), R369:V369, 0))), 技能库!$A:$F, 5, 0),"建议查阅考纲")&amp;CHAR(10)&amp;"💡 提升建议: "&amp;IFERROR(VLOOKUP(TRIM(D369)&amp;"_"&amp;TRIM(INDEX($R$1:$V$1, MATCH(MIN(R369:V369), R369:V369, 0))), 技能库!$A:$F, 6, 0),"请针对该题型加强练习"))</f>
        <v/>
      </c>
    </row>
    <row r="370" spans="12:29" ht="16" hidden="1" x14ac:dyDescent="0.2">
      <c r="L370" t="str">
        <f t="shared" si="20"/>
        <v/>
      </c>
      <c r="M370" t="str">
        <f>IF(L370="","", IFERROR(VLOOKUP(L370, IF(D370="KET", 换算标准!$M:$N, IF(D370="PET", 换算标准!$S:$T, 换算标准!$AC:$AD)), 2, TRUE), 0))</f>
        <v/>
      </c>
      <c r="P370" t="str">
        <f t="shared" si="21"/>
        <v/>
      </c>
      <c r="Q370" t="str">
        <f>IF(P370="","", IFERROR(VLOOKUP(P370, IF(D370="KET", 换算标准!$O:$P, IF(D370="PET", 换算标准!$U:$V, 换算标准!$AG:$AH)), 2, TRUE), 0))</f>
        <v/>
      </c>
      <c r="W370" t="str">
        <f t="shared" si="22"/>
        <v/>
      </c>
      <c r="X370" t="str">
        <f>IF(W370="","", IFERROR(VLOOKUP(W370, IF(D370="KET", 换算标准!$Q:$R, IF(D370="PET", 换算标准!$W:$X, 换算标准!$AI:$AJ)), 2, TRUE), 0))</f>
        <v/>
      </c>
      <c r="Y370" t="str">
        <f t="shared" si="23"/>
        <v/>
      </c>
      <c r="Z370" t="str">
        <f>IF(Y370="","", IFERROR(VLOOKUP(Y370, 换算标准!$Z:$AA, 1, TRUE), ""))</f>
        <v/>
      </c>
      <c r="AA370" s="5" t="str">
        <f>IF(L370="","", "⚠️ 薄弱环节: "&amp;INDEX($E$1:$K$1, MATCH(MIN(E370:K370), E370:K370, 0))&amp;CHAR(10)&amp;"📉 考察能力: "&amp;IFERROR(VLOOKUP(TRIM(D370)&amp;"_"&amp;TRIM(INDEX($E$1:$K$1, MATCH(MIN(E370:K370), E370:K370, 0))), 技能库!$A:$F, 5, 0),"建议查阅考纲")&amp;CHAR(10)&amp;"💡 提升建议: "&amp;IFERROR(VLOOKUP(TRIM(D370)&amp;"_"&amp;TRIM(INDEX($E$1:$K$1, MATCH(MIN(E370:K370), E370:K370, 0))), 技能库!$A:$F, 6, 0),"请针对该题型加强练习"))</f>
        <v/>
      </c>
      <c r="AB370" s="5" t="str">
        <f>IF(P370="","", "⚠️ 薄弱环节: "&amp;INDEX($N$1:$O$1, MATCH(MIN(N370:O370), N370:O370, 0))&amp;CHAR(10)&amp;"📉 考察能力: "&amp;IFERROR(VLOOKUP(TRIM(D370)&amp;"_"&amp;TRIM(INDEX($N$1:$O$1, MATCH(MIN(N370:O370), N370:O370, 0))), 技能库!$A:$F, 5, 0),"建议查阅考纲")&amp;CHAR(10)&amp;"💡 提升建议: "&amp;IFERROR(VLOOKUP(TRIM(D370)&amp;"_"&amp;TRIM(INDEX($N$1:$O$1, MATCH(MIN(N370:O370), N370:O370, 0))), 技能库!$A:$F, 6, 0),"请针对该题型加强练习"))</f>
        <v/>
      </c>
      <c r="AC370" s="5" t="str">
        <f>IF(W370="","", "⚠️ 薄弱环节: "&amp;INDEX($R$1:$V$1, MATCH(MIN(R370:V370), R370:V370, 0))&amp;CHAR(10)&amp;"📉 考察能力: "&amp;IFERROR(VLOOKUP(TRIM(D370)&amp;"_"&amp;TRIM(INDEX($R$1:$V$1, MATCH(MIN(R370:V370), R370:V370, 0))), 技能库!$A:$F, 5, 0),"建议查阅考纲")&amp;CHAR(10)&amp;"💡 提升建议: "&amp;IFERROR(VLOOKUP(TRIM(D370)&amp;"_"&amp;TRIM(INDEX($R$1:$V$1, MATCH(MIN(R370:V370), R370:V370, 0))), 技能库!$A:$F, 6, 0),"请针对该题型加强练习"))</f>
        <v/>
      </c>
    </row>
    <row r="371" spans="12:29" ht="16" hidden="1" x14ac:dyDescent="0.2">
      <c r="L371" t="str">
        <f t="shared" si="20"/>
        <v/>
      </c>
      <c r="M371" t="str">
        <f>IF(L371="","", IFERROR(VLOOKUP(L371, IF(D371="KET", 换算标准!$M:$N, IF(D371="PET", 换算标准!$S:$T, 换算标准!$AC:$AD)), 2, TRUE), 0))</f>
        <v/>
      </c>
      <c r="P371" t="str">
        <f t="shared" si="21"/>
        <v/>
      </c>
      <c r="Q371" t="str">
        <f>IF(P371="","", IFERROR(VLOOKUP(P371, IF(D371="KET", 换算标准!$O:$P, IF(D371="PET", 换算标准!$U:$V, 换算标准!$AG:$AH)), 2, TRUE), 0))</f>
        <v/>
      </c>
      <c r="W371" t="str">
        <f t="shared" si="22"/>
        <v/>
      </c>
      <c r="X371" t="str">
        <f>IF(W371="","", IFERROR(VLOOKUP(W371, IF(D371="KET", 换算标准!$Q:$R, IF(D371="PET", 换算标准!$W:$X, 换算标准!$AI:$AJ)), 2, TRUE), 0))</f>
        <v/>
      </c>
      <c r="Y371" t="str">
        <f t="shared" si="23"/>
        <v/>
      </c>
      <c r="Z371" t="str">
        <f>IF(Y371="","", IFERROR(VLOOKUP(Y371, 换算标准!$Z:$AA, 1, TRUE), ""))</f>
        <v/>
      </c>
      <c r="AA371" s="5" t="str">
        <f>IF(L371="","", "⚠️ 薄弱环节: "&amp;INDEX($E$1:$K$1, MATCH(MIN(E371:K371), E371:K371, 0))&amp;CHAR(10)&amp;"📉 考察能力: "&amp;IFERROR(VLOOKUP(TRIM(D371)&amp;"_"&amp;TRIM(INDEX($E$1:$K$1, MATCH(MIN(E371:K371), E371:K371, 0))), 技能库!$A:$F, 5, 0),"建议查阅考纲")&amp;CHAR(10)&amp;"💡 提升建议: "&amp;IFERROR(VLOOKUP(TRIM(D371)&amp;"_"&amp;TRIM(INDEX($E$1:$K$1, MATCH(MIN(E371:K371), E371:K371, 0))), 技能库!$A:$F, 6, 0),"请针对该题型加强练习"))</f>
        <v/>
      </c>
      <c r="AB371" s="5" t="str">
        <f>IF(P371="","", "⚠️ 薄弱环节: "&amp;INDEX($N$1:$O$1, MATCH(MIN(N371:O371), N371:O371, 0))&amp;CHAR(10)&amp;"📉 考察能力: "&amp;IFERROR(VLOOKUP(TRIM(D371)&amp;"_"&amp;TRIM(INDEX($N$1:$O$1, MATCH(MIN(N371:O371), N371:O371, 0))), 技能库!$A:$F, 5, 0),"建议查阅考纲")&amp;CHAR(10)&amp;"💡 提升建议: "&amp;IFERROR(VLOOKUP(TRIM(D371)&amp;"_"&amp;TRIM(INDEX($N$1:$O$1, MATCH(MIN(N371:O371), N371:O371, 0))), 技能库!$A:$F, 6, 0),"请针对该题型加强练习"))</f>
        <v/>
      </c>
      <c r="AC371" s="5" t="str">
        <f>IF(W371="","", "⚠️ 薄弱环节: "&amp;INDEX($R$1:$V$1, MATCH(MIN(R371:V371), R371:V371, 0))&amp;CHAR(10)&amp;"📉 考察能力: "&amp;IFERROR(VLOOKUP(TRIM(D371)&amp;"_"&amp;TRIM(INDEX($R$1:$V$1, MATCH(MIN(R371:V371), R371:V371, 0))), 技能库!$A:$F, 5, 0),"建议查阅考纲")&amp;CHAR(10)&amp;"💡 提升建议: "&amp;IFERROR(VLOOKUP(TRIM(D371)&amp;"_"&amp;TRIM(INDEX($R$1:$V$1, MATCH(MIN(R371:V371), R371:V371, 0))), 技能库!$A:$F, 6, 0),"请针对该题型加强练习"))</f>
        <v/>
      </c>
    </row>
    <row r="372" spans="12:29" ht="16" hidden="1" x14ac:dyDescent="0.2">
      <c r="L372" t="str">
        <f t="shared" si="20"/>
        <v/>
      </c>
      <c r="M372" t="str">
        <f>IF(L372="","", IFERROR(VLOOKUP(L372, IF(D372="KET", 换算标准!$M:$N, IF(D372="PET", 换算标准!$S:$T, 换算标准!$AC:$AD)), 2, TRUE), 0))</f>
        <v/>
      </c>
      <c r="P372" t="str">
        <f t="shared" si="21"/>
        <v/>
      </c>
      <c r="Q372" t="str">
        <f>IF(P372="","", IFERROR(VLOOKUP(P372, IF(D372="KET", 换算标准!$O:$P, IF(D372="PET", 换算标准!$U:$V, 换算标准!$AG:$AH)), 2, TRUE), 0))</f>
        <v/>
      </c>
      <c r="W372" t="str">
        <f t="shared" si="22"/>
        <v/>
      </c>
      <c r="X372" t="str">
        <f>IF(W372="","", IFERROR(VLOOKUP(W372, IF(D372="KET", 换算标准!$Q:$R, IF(D372="PET", 换算标准!$W:$X, 换算标准!$AI:$AJ)), 2, TRUE), 0))</f>
        <v/>
      </c>
      <c r="Y372" t="str">
        <f t="shared" si="23"/>
        <v/>
      </c>
      <c r="Z372" t="str">
        <f>IF(Y372="","", IFERROR(VLOOKUP(Y372, 换算标准!$Z:$AA, 1, TRUE), ""))</f>
        <v/>
      </c>
      <c r="AA372" s="5" t="str">
        <f>IF(L372="","", "⚠️ 薄弱环节: "&amp;INDEX($E$1:$K$1, MATCH(MIN(E372:K372), E372:K372, 0))&amp;CHAR(10)&amp;"📉 考察能力: "&amp;IFERROR(VLOOKUP(TRIM(D372)&amp;"_"&amp;TRIM(INDEX($E$1:$K$1, MATCH(MIN(E372:K372), E372:K372, 0))), 技能库!$A:$F, 5, 0),"建议查阅考纲")&amp;CHAR(10)&amp;"💡 提升建议: "&amp;IFERROR(VLOOKUP(TRIM(D372)&amp;"_"&amp;TRIM(INDEX($E$1:$K$1, MATCH(MIN(E372:K372), E372:K372, 0))), 技能库!$A:$F, 6, 0),"请针对该题型加强练习"))</f>
        <v/>
      </c>
      <c r="AB372" s="5" t="str">
        <f>IF(P372="","", "⚠️ 薄弱环节: "&amp;INDEX($N$1:$O$1, MATCH(MIN(N372:O372), N372:O372, 0))&amp;CHAR(10)&amp;"📉 考察能力: "&amp;IFERROR(VLOOKUP(TRIM(D372)&amp;"_"&amp;TRIM(INDEX($N$1:$O$1, MATCH(MIN(N372:O372), N372:O372, 0))), 技能库!$A:$F, 5, 0),"建议查阅考纲")&amp;CHAR(10)&amp;"💡 提升建议: "&amp;IFERROR(VLOOKUP(TRIM(D372)&amp;"_"&amp;TRIM(INDEX($N$1:$O$1, MATCH(MIN(N372:O372), N372:O372, 0))), 技能库!$A:$F, 6, 0),"请针对该题型加强练习"))</f>
        <v/>
      </c>
      <c r="AC372" s="5" t="str">
        <f>IF(W372="","", "⚠️ 薄弱环节: "&amp;INDEX($R$1:$V$1, MATCH(MIN(R372:V372), R372:V372, 0))&amp;CHAR(10)&amp;"📉 考察能力: "&amp;IFERROR(VLOOKUP(TRIM(D372)&amp;"_"&amp;TRIM(INDEX($R$1:$V$1, MATCH(MIN(R372:V372), R372:V372, 0))), 技能库!$A:$F, 5, 0),"建议查阅考纲")&amp;CHAR(10)&amp;"💡 提升建议: "&amp;IFERROR(VLOOKUP(TRIM(D372)&amp;"_"&amp;TRIM(INDEX($R$1:$V$1, MATCH(MIN(R372:V372), R372:V372, 0))), 技能库!$A:$F, 6, 0),"请针对该题型加强练习"))</f>
        <v/>
      </c>
    </row>
    <row r="373" spans="12:29" ht="16" hidden="1" x14ac:dyDescent="0.2">
      <c r="L373" t="str">
        <f t="shared" si="20"/>
        <v/>
      </c>
      <c r="M373" t="str">
        <f>IF(L373="","", IFERROR(VLOOKUP(L373, IF(D373="KET", 换算标准!$M:$N, IF(D373="PET", 换算标准!$S:$T, 换算标准!$AC:$AD)), 2, TRUE), 0))</f>
        <v/>
      </c>
      <c r="P373" t="str">
        <f t="shared" si="21"/>
        <v/>
      </c>
      <c r="Q373" t="str">
        <f>IF(P373="","", IFERROR(VLOOKUP(P373, IF(D373="KET", 换算标准!$O:$P, IF(D373="PET", 换算标准!$U:$V, 换算标准!$AG:$AH)), 2, TRUE), 0))</f>
        <v/>
      </c>
      <c r="W373" t="str">
        <f t="shared" si="22"/>
        <v/>
      </c>
      <c r="X373" t="str">
        <f>IF(W373="","", IFERROR(VLOOKUP(W373, IF(D373="KET", 换算标准!$Q:$R, IF(D373="PET", 换算标准!$W:$X, 换算标准!$AI:$AJ)), 2, TRUE), 0))</f>
        <v/>
      </c>
      <c r="Y373" t="str">
        <f t="shared" si="23"/>
        <v/>
      </c>
      <c r="Z373" t="str">
        <f>IF(Y373="","", IFERROR(VLOOKUP(Y373, 换算标准!$Z:$AA, 1, TRUE), ""))</f>
        <v/>
      </c>
      <c r="AA373" s="5" t="str">
        <f>IF(L373="","", "⚠️ 薄弱环节: "&amp;INDEX($E$1:$K$1, MATCH(MIN(E373:K373), E373:K373, 0))&amp;CHAR(10)&amp;"📉 考察能力: "&amp;IFERROR(VLOOKUP(TRIM(D373)&amp;"_"&amp;TRIM(INDEX($E$1:$K$1, MATCH(MIN(E373:K373), E373:K373, 0))), 技能库!$A:$F, 5, 0),"建议查阅考纲")&amp;CHAR(10)&amp;"💡 提升建议: "&amp;IFERROR(VLOOKUP(TRIM(D373)&amp;"_"&amp;TRIM(INDEX($E$1:$K$1, MATCH(MIN(E373:K373), E373:K373, 0))), 技能库!$A:$F, 6, 0),"请针对该题型加强练习"))</f>
        <v/>
      </c>
      <c r="AB373" s="5" t="str">
        <f>IF(P373="","", "⚠️ 薄弱环节: "&amp;INDEX($N$1:$O$1, MATCH(MIN(N373:O373), N373:O373, 0))&amp;CHAR(10)&amp;"📉 考察能力: "&amp;IFERROR(VLOOKUP(TRIM(D373)&amp;"_"&amp;TRIM(INDEX($N$1:$O$1, MATCH(MIN(N373:O373), N373:O373, 0))), 技能库!$A:$F, 5, 0),"建议查阅考纲")&amp;CHAR(10)&amp;"💡 提升建议: "&amp;IFERROR(VLOOKUP(TRIM(D373)&amp;"_"&amp;TRIM(INDEX($N$1:$O$1, MATCH(MIN(N373:O373), N373:O373, 0))), 技能库!$A:$F, 6, 0),"请针对该题型加强练习"))</f>
        <v/>
      </c>
      <c r="AC373" s="5" t="str">
        <f>IF(W373="","", "⚠️ 薄弱环节: "&amp;INDEX($R$1:$V$1, MATCH(MIN(R373:V373), R373:V373, 0))&amp;CHAR(10)&amp;"📉 考察能力: "&amp;IFERROR(VLOOKUP(TRIM(D373)&amp;"_"&amp;TRIM(INDEX($R$1:$V$1, MATCH(MIN(R373:V373), R373:V373, 0))), 技能库!$A:$F, 5, 0),"建议查阅考纲")&amp;CHAR(10)&amp;"💡 提升建议: "&amp;IFERROR(VLOOKUP(TRIM(D373)&amp;"_"&amp;TRIM(INDEX($R$1:$V$1, MATCH(MIN(R373:V373), R373:V373, 0))), 技能库!$A:$F, 6, 0),"请针对该题型加强练习"))</f>
        <v/>
      </c>
    </row>
    <row r="374" spans="12:29" ht="16" hidden="1" x14ac:dyDescent="0.2">
      <c r="L374" t="str">
        <f t="shared" si="20"/>
        <v/>
      </c>
      <c r="M374" t="str">
        <f>IF(L374="","", IFERROR(VLOOKUP(L374, IF(D374="KET", 换算标准!$M:$N, IF(D374="PET", 换算标准!$S:$T, 换算标准!$AC:$AD)), 2, TRUE), 0))</f>
        <v/>
      </c>
      <c r="P374" t="str">
        <f t="shared" si="21"/>
        <v/>
      </c>
      <c r="Q374" t="str">
        <f>IF(P374="","", IFERROR(VLOOKUP(P374, IF(D374="KET", 换算标准!$O:$P, IF(D374="PET", 换算标准!$U:$V, 换算标准!$AG:$AH)), 2, TRUE), 0))</f>
        <v/>
      </c>
      <c r="W374" t="str">
        <f t="shared" si="22"/>
        <v/>
      </c>
      <c r="X374" t="str">
        <f>IF(W374="","", IFERROR(VLOOKUP(W374, IF(D374="KET", 换算标准!$Q:$R, IF(D374="PET", 换算标准!$W:$X, 换算标准!$AI:$AJ)), 2, TRUE), 0))</f>
        <v/>
      </c>
      <c r="Y374" t="str">
        <f t="shared" si="23"/>
        <v/>
      </c>
      <c r="Z374" t="str">
        <f>IF(Y374="","", IFERROR(VLOOKUP(Y374, 换算标准!$Z:$AA, 1, TRUE), ""))</f>
        <v/>
      </c>
      <c r="AA374" s="5" t="str">
        <f>IF(L374="","", "⚠️ 薄弱环节: "&amp;INDEX($E$1:$K$1, MATCH(MIN(E374:K374), E374:K374, 0))&amp;CHAR(10)&amp;"📉 考察能力: "&amp;IFERROR(VLOOKUP(TRIM(D374)&amp;"_"&amp;TRIM(INDEX($E$1:$K$1, MATCH(MIN(E374:K374), E374:K374, 0))), 技能库!$A:$F, 5, 0),"建议查阅考纲")&amp;CHAR(10)&amp;"💡 提升建议: "&amp;IFERROR(VLOOKUP(TRIM(D374)&amp;"_"&amp;TRIM(INDEX($E$1:$K$1, MATCH(MIN(E374:K374), E374:K374, 0))), 技能库!$A:$F, 6, 0),"请针对该题型加强练习"))</f>
        <v/>
      </c>
      <c r="AB374" s="5" t="str">
        <f>IF(P374="","", "⚠️ 薄弱环节: "&amp;INDEX($N$1:$O$1, MATCH(MIN(N374:O374), N374:O374, 0))&amp;CHAR(10)&amp;"📉 考察能力: "&amp;IFERROR(VLOOKUP(TRIM(D374)&amp;"_"&amp;TRIM(INDEX($N$1:$O$1, MATCH(MIN(N374:O374), N374:O374, 0))), 技能库!$A:$F, 5, 0),"建议查阅考纲")&amp;CHAR(10)&amp;"💡 提升建议: "&amp;IFERROR(VLOOKUP(TRIM(D374)&amp;"_"&amp;TRIM(INDEX($N$1:$O$1, MATCH(MIN(N374:O374), N374:O374, 0))), 技能库!$A:$F, 6, 0),"请针对该题型加强练习"))</f>
        <v/>
      </c>
      <c r="AC374" s="5" t="str">
        <f>IF(W374="","", "⚠️ 薄弱环节: "&amp;INDEX($R$1:$V$1, MATCH(MIN(R374:V374), R374:V374, 0))&amp;CHAR(10)&amp;"📉 考察能力: "&amp;IFERROR(VLOOKUP(TRIM(D374)&amp;"_"&amp;TRIM(INDEX($R$1:$V$1, MATCH(MIN(R374:V374), R374:V374, 0))), 技能库!$A:$F, 5, 0),"建议查阅考纲")&amp;CHAR(10)&amp;"💡 提升建议: "&amp;IFERROR(VLOOKUP(TRIM(D374)&amp;"_"&amp;TRIM(INDEX($R$1:$V$1, MATCH(MIN(R374:V374), R374:V374, 0))), 技能库!$A:$F, 6, 0),"请针对该题型加强练习"))</f>
        <v/>
      </c>
    </row>
    <row r="375" spans="12:29" ht="16" hidden="1" x14ac:dyDescent="0.2">
      <c r="L375" t="str">
        <f t="shared" si="20"/>
        <v/>
      </c>
      <c r="M375" t="str">
        <f>IF(L375="","", IFERROR(VLOOKUP(L375, IF(D375="KET", 换算标准!$M:$N, IF(D375="PET", 换算标准!$S:$T, 换算标准!$AC:$AD)), 2, TRUE), 0))</f>
        <v/>
      </c>
      <c r="P375" t="str">
        <f t="shared" si="21"/>
        <v/>
      </c>
      <c r="Q375" t="str">
        <f>IF(P375="","", IFERROR(VLOOKUP(P375, IF(D375="KET", 换算标准!$O:$P, IF(D375="PET", 换算标准!$U:$V, 换算标准!$AG:$AH)), 2, TRUE), 0))</f>
        <v/>
      </c>
      <c r="W375" t="str">
        <f t="shared" si="22"/>
        <v/>
      </c>
      <c r="X375" t="str">
        <f>IF(W375="","", IFERROR(VLOOKUP(W375, IF(D375="KET", 换算标准!$Q:$R, IF(D375="PET", 换算标准!$W:$X, 换算标准!$AI:$AJ)), 2, TRUE), 0))</f>
        <v/>
      </c>
      <c r="Y375" t="str">
        <f t="shared" si="23"/>
        <v/>
      </c>
      <c r="Z375" t="str">
        <f>IF(Y375="","", IFERROR(VLOOKUP(Y375, 换算标准!$Z:$AA, 1, TRUE), ""))</f>
        <v/>
      </c>
      <c r="AA375" s="5" t="str">
        <f>IF(L375="","", "⚠️ 薄弱环节: "&amp;INDEX($E$1:$K$1, MATCH(MIN(E375:K375), E375:K375, 0))&amp;CHAR(10)&amp;"📉 考察能力: "&amp;IFERROR(VLOOKUP(TRIM(D375)&amp;"_"&amp;TRIM(INDEX($E$1:$K$1, MATCH(MIN(E375:K375), E375:K375, 0))), 技能库!$A:$F, 5, 0),"建议查阅考纲")&amp;CHAR(10)&amp;"💡 提升建议: "&amp;IFERROR(VLOOKUP(TRIM(D375)&amp;"_"&amp;TRIM(INDEX($E$1:$K$1, MATCH(MIN(E375:K375), E375:K375, 0))), 技能库!$A:$F, 6, 0),"请针对该题型加强练习"))</f>
        <v/>
      </c>
      <c r="AB375" s="5" t="str">
        <f>IF(P375="","", "⚠️ 薄弱环节: "&amp;INDEX($N$1:$O$1, MATCH(MIN(N375:O375), N375:O375, 0))&amp;CHAR(10)&amp;"📉 考察能力: "&amp;IFERROR(VLOOKUP(TRIM(D375)&amp;"_"&amp;TRIM(INDEX($N$1:$O$1, MATCH(MIN(N375:O375), N375:O375, 0))), 技能库!$A:$F, 5, 0),"建议查阅考纲")&amp;CHAR(10)&amp;"💡 提升建议: "&amp;IFERROR(VLOOKUP(TRIM(D375)&amp;"_"&amp;TRIM(INDEX($N$1:$O$1, MATCH(MIN(N375:O375), N375:O375, 0))), 技能库!$A:$F, 6, 0),"请针对该题型加强练习"))</f>
        <v/>
      </c>
      <c r="AC375" s="5" t="str">
        <f>IF(W375="","", "⚠️ 薄弱环节: "&amp;INDEX($R$1:$V$1, MATCH(MIN(R375:V375), R375:V375, 0))&amp;CHAR(10)&amp;"📉 考察能力: "&amp;IFERROR(VLOOKUP(TRIM(D375)&amp;"_"&amp;TRIM(INDEX($R$1:$V$1, MATCH(MIN(R375:V375), R375:V375, 0))), 技能库!$A:$F, 5, 0),"建议查阅考纲")&amp;CHAR(10)&amp;"💡 提升建议: "&amp;IFERROR(VLOOKUP(TRIM(D375)&amp;"_"&amp;TRIM(INDEX($R$1:$V$1, MATCH(MIN(R375:V375), R375:V375, 0))), 技能库!$A:$F, 6, 0),"请针对该题型加强练习"))</f>
        <v/>
      </c>
    </row>
    <row r="376" spans="12:29" ht="16" hidden="1" x14ac:dyDescent="0.2">
      <c r="L376" t="str">
        <f t="shared" si="20"/>
        <v/>
      </c>
      <c r="M376" t="str">
        <f>IF(L376="","", IFERROR(VLOOKUP(L376, IF(D376="KET", 换算标准!$M:$N, IF(D376="PET", 换算标准!$S:$T, 换算标准!$AC:$AD)), 2, TRUE), 0))</f>
        <v/>
      </c>
      <c r="P376" t="str">
        <f t="shared" si="21"/>
        <v/>
      </c>
      <c r="Q376" t="str">
        <f>IF(P376="","", IFERROR(VLOOKUP(P376, IF(D376="KET", 换算标准!$O:$P, IF(D376="PET", 换算标准!$U:$V, 换算标准!$AG:$AH)), 2, TRUE), 0))</f>
        <v/>
      </c>
      <c r="W376" t="str">
        <f t="shared" si="22"/>
        <v/>
      </c>
      <c r="X376" t="str">
        <f>IF(W376="","", IFERROR(VLOOKUP(W376, IF(D376="KET", 换算标准!$Q:$R, IF(D376="PET", 换算标准!$W:$X, 换算标准!$AI:$AJ)), 2, TRUE), 0))</f>
        <v/>
      </c>
      <c r="Y376" t="str">
        <f t="shared" si="23"/>
        <v/>
      </c>
      <c r="Z376" t="str">
        <f>IF(Y376="","", IFERROR(VLOOKUP(Y376, 换算标准!$Z:$AA, 1, TRUE), ""))</f>
        <v/>
      </c>
      <c r="AA376" s="5" t="str">
        <f>IF(L376="","", "⚠️ 薄弱环节: "&amp;INDEX($E$1:$K$1, MATCH(MIN(E376:K376), E376:K376, 0))&amp;CHAR(10)&amp;"📉 考察能力: "&amp;IFERROR(VLOOKUP(TRIM(D376)&amp;"_"&amp;TRIM(INDEX($E$1:$K$1, MATCH(MIN(E376:K376), E376:K376, 0))), 技能库!$A:$F, 5, 0),"建议查阅考纲")&amp;CHAR(10)&amp;"💡 提升建议: "&amp;IFERROR(VLOOKUP(TRIM(D376)&amp;"_"&amp;TRIM(INDEX($E$1:$K$1, MATCH(MIN(E376:K376), E376:K376, 0))), 技能库!$A:$F, 6, 0),"请针对该题型加强练习"))</f>
        <v/>
      </c>
      <c r="AB376" s="5" t="str">
        <f>IF(P376="","", "⚠️ 薄弱环节: "&amp;INDEX($N$1:$O$1, MATCH(MIN(N376:O376), N376:O376, 0))&amp;CHAR(10)&amp;"📉 考察能力: "&amp;IFERROR(VLOOKUP(TRIM(D376)&amp;"_"&amp;TRIM(INDEX($N$1:$O$1, MATCH(MIN(N376:O376), N376:O376, 0))), 技能库!$A:$F, 5, 0),"建议查阅考纲")&amp;CHAR(10)&amp;"💡 提升建议: "&amp;IFERROR(VLOOKUP(TRIM(D376)&amp;"_"&amp;TRIM(INDEX($N$1:$O$1, MATCH(MIN(N376:O376), N376:O376, 0))), 技能库!$A:$F, 6, 0),"请针对该题型加强练习"))</f>
        <v/>
      </c>
      <c r="AC376" s="5" t="str">
        <f>IF(W376="","", "⚠️ 薄弱环节: "&amp;INDEX($R$1:$V$1, MATCH(MIN(R376:V376), R376:V376, 0))&amp;CHAR(10)&amp;"📉 考察能力: "&amp;IFERROR(VLOOKUP(TRIM(D376)&amp;"_"&amp;TRIM(INDEX($R$1:$V$1, MATCH(MIN(R376:V376), R376:V376, 0))), 技能库!$A:$F, 5, 0),"建议查阅考纲")&amp;CHAR(10)&amp;"💡 提升建议: "&amp;IFERROR(VLOOKUP(TRIM(D376)&amp;"_"&amp;TRIM(INDEX($R$1:$V$1, MATCH(MIN(R376:V376), R376:V376, 0))), 技能库!$A:$F, 6, 0),"请针对该题型加强练习"))</f>
        <v/>
      </c>
    </row>
    <row r="377" spans="12:29" ht="16" hidden="1" x14ac:dyDescent="0.2">
      <c r="L377" t="str">
        <f t="shared" si="20"/>
        <v/>
      </c>
      <c r="M377" t="str">
        <f>IF(L377="","", IFERROR(VLOOKUP(L377, IF(D377="KET", 换算标准!$M:$N, IF(D377="PET", 换算标准!$S:$T, 换算标准!$AC:$AD)), 2, TRUE), 0))</f>
        <v/>
      </c>
      <c r="P377" t="str">
        <f t="shared" si="21"/>
        <v/>
      </c>
      <c r="Q377" t="str">
        <f>IF(P377="","", IFERROR(VLOOKUP(P377, IF(D377="KET", 换算标准!$O:$P, IF(D377="PET", 换算标准!$U:$V, 换算标准!$AG:$AH)), 2, TRUE), 0))</f>
        <v/>
      </c>
      <c r="W377" t="str">
        <f t="shared" si="22"/>
        <v/>
      </c>
      <c r="X377" t="str">
        <f>IF(W377="","", IFERROR(VLOOKUP(W377, IF(D377="KET", 换算标准!$Q:$R, IF(D377="PET", 换算标准!$W:$X, 换算标准!$AI:$AJ)), 2, TRUE), 0))</f>
        <v/>
      </c>
      <c r="Y377" t="str">
        <f t="shared" si="23"/>
        <v/>
      </c>
      <c r="Z377" t="str">
        <f>IF(Y377="","", IFERROR(VLOOKUP(Y377, 换算标准!$Z:$AA, 1, TRUE), ""))</f>
        <v/>
      </c>
      <c r="AA377" s="5" t="str">
        <f>IF(L377="","", "⚠️ 薄弱环节: "&amp;INDEX($E$1:$K$1, MATCH(MIN(E377:K377), E377:K377, 0))&amp;CHAR(10)&amp;"📉 考察能力: "&amp;IFERROR(VLOOKUP(TRIM(D377)&amp;"_"&amp;TRIM(INDEX($E$1:$K$1, MATCH(MIN(E377:K377), E377:K377, 0))), 技能库!$A:$F, 5, 0),"建议查阅考纲")&amp;CHAR(10)&amp;"💡 提升建议: "&amp;IFERROR(VLOOKUP(TRIM(D377)&amp;"_"&amp;TRIM(INDEX($E$1:$K$1, MATCH(MIN(E377:K377), E377:K377, 0))), 技能库!$A:$F, 6, 0),"请针对该题型加强练习"))</f>
        <v/>
      </c>
      <c r="AB377" s="5" t="str">
        <f>IF(P377="","", "⚠️ 薄弱环节: "&amp;INDEX($N$1:$O$1, MATCH(MIN(N377:O377), N377:O377, 0))&amp;CHAR(10)&amp;"📉 考察能力: "&amp;IFERROR(VLOOKUP(TRIM(D377)&amp;"_"&amp;TRIM(INDEX($N$1:$O$1, MATCH(MIN(N377:O377), N377:O377, 0))), 技能库!$A:$F, 5, 0),"建议查阅考纲")&amp;CHAR(10)&amp;"💡 提升建议: "&amp;IFERROR(VLOOKUP(TRIM(D377)&amp;"_"&amp;TRIM(INDEX($N$1:$O$1, MATCH(MIN(N377:O377), N377:O377, 0))), 技能库!$A:$F, 6, 0),"请针对该题型加强练习"))</f>
        <v/>
      </c>
      <c r="AC377" s="5" t="str">
        <f>IF(W377="","", "⚠️ 薄弱环节: "&amp;INDEX($R$1:$V$1, MATCH(MIN(R377:V377), R377:V377, 0))&amp;CHAR(10)&amp;"📉 考察能力: "&amp;IFERROR(VLOOKUP(TRIM(D377)&amp;"_"&amp;TRIM(INDEX($R$1:$V$1, MATCH(MIN(R377:V377), R377:V377, 0))), 技能库!$A:$F, 5, 0),"建议查阅考纲")&amp;CHAR(10)&amp;"💡 提升建议: "&amp;IFERROR(VLOOKUP(TRIM(D377)&amp;"_"&amp;TRIM(INDEX($R$1:$V$1, MATCH(MIN(R377:V377), R377:V377, 0))), 技能库!$A:$F, 6, 0),"请针对该题型加强练习"))</f>
        <v/>
      </c>
    </row>
    <row r="378" spans="12:29" ht="16" hidden="1" x14ac:dyDescent="0.2">
      <c r="L378" t="str">
        <f t="shared" si="20"/>
        <v/>
      </c>
      <c r="M378" t="str">
        <f>IF(L378="","", IFERROR(VLOOKUP(L378, IF(D378="KET", 换算标准!$M:$N, IF(D378="PET", 换算标准!$S:$T, 换算标准!$AC:$AD)), 2, TRUE), 0))</f>
        <v/>
      </c>
      <c r="P378" t="str">
        <f t="shared" si="21"/>
        <v/>
      </c>
      <c r="Q378" t="str">
        <f>IF(P378="","", IFERROR(VLOOKUP(P378, IF(D378="KET", 换算标准!$O:$P, IF(D378="PET", 换算标准!$U:$V, 换算标准!$AG:$AH)), 2, TRUE), 0))</f>
        <v/>
      </c>
      <c r="W378" t="str">
        <f t="shared" si="22"/>
        <v/>
      </c>
      <c r="X378" t="str">
        <f>IF(W378="","", IFERROR(VLOOKUP(W378, IF(D378="KET", 换算标准!$Q:$R, IF(D378="PET", 换算标准!$W:$X, 换算标准!$AI:$AJ)), 2, TRUE), 0))</f>
        <v/>
      </c>
      <c r="Y378" t="str">
        <f t="shared" si="23"/>
        <v/>
      </c>
      <c r="Z378" t="str">
        <f>IF(Y378="","", IFERROR(VLOOKUP(Y378, 换算标准!$Z:$AA, 1, TRUE), ""))</f>
        <v/>
      </c>
      <c r="AA378" s="5" t="str">
        <f>IF(L378="","", "⚠️ 薄弱环节: "&amp;INDEX($E$1:$K$1, MATCH(MIN(E378:K378), E378:K378, 0))&amp;CHAR(10)&amp;"📉 考察能力: "&amp;IFERROR(VLOOKUP(TRIM(D378)&amp;"_"&amp;TRIM(INDEX($E$1:$K$1, MATCH(MIN(E378:K378), E378:K378, 0))), 技能库!$A:$F, 5, 0),"建议查阅考纲")&amp;CHAR(10)&amp;"💡 提升建议: "&amp;IFERROR(VLOOKUP(TRIM(D378)&amp;"_"&amp;TRIM(INDEX($E$1:$K$1, MATCH(MIN(E378:K378), E378:K378, 0))), 技能库!$A:$F, 6, 0),"请针对该题型加强练习"))</f>
        <v/>
      </c>
      <c r="AB378" s="5" t="str">
        <f>IF(P378="","", "⚠️ 薄弱环节: "&amp;INDEX($N$1:$O$1, MATCH(MIN(N378:O378), N378:O378, 0))&amp;CHAR(10)&amp;"📉 考察能力: "&amp;IFERROR(VLOOKUP(TRIM(D378)&amp;"_"&amp;TRIM(INDEX($N$1:$O$1, MATCH(MIN(N378:O378), N378:O378, 0))), 技能库!$A:$F, 5, 0),"建议查阅考纲")&amp;CHAR(10)&amp;"💡 提升建议: "&amp;IFERROR(VLOOKUP(TRIM(D378)&amp;"_"&amp;TRIM(INDEX($N$1:$O$1, MATCH(MIN(N378:O378), N378:O378, 0))), 技能库!$A:$F, 6, 0),"请针对该题型加强练习"))</f>
        <v/>
      </c>
      <c r="AC378" s="5" t="str">
        <f>IF(W378="","", "⚠️ 薄弱环节: "&amp;INDEX($R$1:$V$1, MATCH(MIN(R378:V378), R378:V378, 0))&amp;CHAR(10)&amp;"📉 考察能力: "&amp;IFERROR(VLOOKUP(TRIM(D378)&amp;"_"&amp;TRIM(INDEX($R$1:$V$1, MATCH(MIN(R378:V378), R378:V378, 0))), 技能库!$A:$F, 5, 0),"建议查阅考纲")&amp;CHAR(10)&amp;"💡 提升建议: "&amp;IFERROR(VLOOKUP(TRIM(D378)&amp;"_"&amp;TRIM(INDEX($R$1:$V$1, MATCH(MIN(R378:V378), R378:V378, 0))), 技能库!$A:$F, 6, 0),"请针对该题型加强练习"))</f>
        <v/>
      </c>
    </row>
    <row r="379" spans="12:29" ht="16" hidden="1" x14ac:dyDescent="0.2">
      <c r="L379" t="str">
        <f t="shared" si="20"/>
        <v/>
      </c>
      <c r="M379" t="str">
        <f>IF(L379="","", IFERROR(VLOOKUP(L379, IF(D379="KET", 换算标准!$M:$N, IF(D379="PET", 换算标准!$S:$T, 换算标准!$AC:$AD)), 2, TRUE), 0))</f>
        <v/>
      </c>
      <c r="P379" t="str">
        <f t="shared" si="21"/>
        <v/>
      </c>
      <c r="Q379" t="str">
        <f>IF(P379="","", IFERROR(VLOOKUP(P379, IF(D379="KET", 换算标准!$O:$P, IF(D379="PET", 换算标准!$U:$V, 换算标准!$AG:$AH)), 2, TRUE), 0))</f>
        <v/>
      </c>
      <c r="W379" t="str">
        <f t="shared" si="22"/>
        <v/>
      </c>
      <c r="X379" t="str">
        <f>IF(W379="","", IFERROR(VLOOKUP(W379, IF(D379="KET", 换算标准!$Q:$R, IF(D379="PET", 换算标准!$W:$X, 换算标准!$AI:$AJ)), 2, TRUE), 0))</f>
        <v/>
      </c>
      <c r="Y379" t="str">
        <f t="shared" si="23"/>
        <v/>
      </c>
      <c r="Z379" t="str">
        <f>IF(Y379="","", IFERROR(VLOOKUP(Y379, 换算标准!$Z:$AA, 1, TRUE), ""))</f>
        <v/>
      </c>
      <c r="AA379" s="5" t="str">
        <f>IF(L379="","", "⚠️ 薄弱环节: "&amp;INDEX($E$1:$K$1, MATCH(MIN(E379:K379), E379:K379, 0))&amp;CHAR(10)&amp;"📉 考察能力: "&amp;IFERROR(VLOOKUP(TRIM(D379)&amp;"_"&amp;TRIM(INDEX($E$1:$K$1, MATCH(MIN(E379:K379), E379:K379, 0))), 技能库!$A:$F, 5, 0),"建议查阅考纲")&amp;CHAR(10)&amp;"💡 提升建议: "&amp;IFERROR(VLOOKUP(TRIM(D379)&amp;"_"&amp;TRIM(INDEX($E$1:$K$1, MATCH(MIN(E379:K379), E379:K379, 0))), 技能库!$A:$F, 6, 0),"请针对该题型加强练习"))</f>
        <v/>
      </c>
      <c r="AB379" s="5" t="str">
        <f>IF(P379="","", "⚠️ 薄弱环节: "&amp;INDEX($N$1:$O$1, MATCH(MIN(N379:O379), N379:O379, 0))&amp;CHAR(10)&amp;"📉 考察能力: "&amp;IFERROR(VLOOKUP(TRIM(D379)&amp;"_"&amp;TRIM(INDEX($N$1:$O$1, MATCH(MIN(N379:O379), N379:O379, 0))), 技能库!$A:$F, 5, 0),"建议查阅考纲")&amp;CHAR(10)&amp;"💡 提升建议: "&amp;IFERROR(VLOOKUP(TRIM(D379)&amp;"_"&amp;TRIM(INDEX($N$1:$O$1, MATCH(MIN(N379:O379), N379:O379, 0))), 技能库!$A:$F, 6, 0),"请针对该题型加强练习"))</f>
        <v/>
      </c>
      <c r="AC379" s="5" t="str">
        <f>IF(W379="","", "⚠️ 薄弱环节: "&amp;INDEX($R$1:$V$1, MATCH(MIN(R379:V379), R379:V379, 0))&amp;CHAR(10)&amp;"📉 考察能力: "&amp;IFERROR(VLOOKUP(TRIM(D379)&amp;"_"&amp;TRIM(INDEX($R$1:$V$1, MATCH(MIN(R379:V379), R379:V379, 0))), 技能库!$A:$F, 5, 0),"建议查阅考纲")&amp;CHAR(10)&amp;"💡 提升建议: "&amp;IFERROR(VLOOKUP(TRIM(D379)&amp;"_"&amp;TRIM(INDEX($R$1:$V$1, MATCH(MIN(R379:V379), R379:V379, 0))), 技能库!$A:$F, 6, 0),"请针对该题型加强练习"))</f>
        <v/>
      </c>
    </row>
    <row r="380" spans="12:29" ht="16" hidden="1" x14ac:dyDescent="0.2">
      <c r="L380" t="str">
        <f t="shared" si="20"/>
        <v/>
      </c>
      <c r="M380" t="str">
        <f>IF(L380="","", IFERROR(VLOOKUP(L380, IF(D380="KET", 换算标准!$M:$N, IF(D380="PET", 换算标准!$S:$T, 换算标准!$AC:$AD)), 2, TRUE), 0))</f>
        <v/>
      </c>
      <c r="P380" t="str">
        <f t="shared" si="21"/>
        <v/>
      </c>
      <c r="Q380" t="str">
        <f>IF(P380="","", IFERROR(VLOOKUP(P380, IF(D380="KET", 换算标准!$O:$P, IF(D380="PET", 换算标准!$U:$V, 换算标准!$AG:$AH)), 2, TRUE), 0))</f>
        <v/>
      </c>
      <c r="W380" t="str">
        <f t="shared" si="22"/>
        <v/>
      </c>
      <c r="X380" t="str">
        <f>IF(W380="","", IFERROR(VLOOKUP(W380, IF(D380="KET", 换算标准!$Q:$R, IF(D380="PET", 换算标准!$W:$X, 换算标准!$AI:$AJ)), 2, TRUE), 0))</f>
        <v/>
      </c>
      <c r="Y380" t="str">
        <f t="shared" si="23"/>
        <v/>
      </c>
      <c r="Z380" t="str">
        <f>IF(Y380="","", IFERROR(VLOOKUP(Y380, 换算标准!$Z:$AA, 1, TRUE), ""))</f>
        <v/>
      </c>
      <c r="AA380" s="5" t="str">
        <f>IF(L380="","", "⚠️ 薄弱环节: "&amp;INDEX($E$1:$K$1, MATCH(MIN(E380:K380), E380:K380, 0))&amp;CHAR(10)&amp;"📉 考察能力: "&amp;IFERROR(VLOOKUP(TRIM(D380)&amp;"_"&amp;TRIM(INDEX($E$1:$K$1, MATCH(MIN(E380:K380), E380:K380, 0))), 技能库!$A:$F, 5, 0),"建议查阅考纲")&amp;CHAR(10)&amp;"💡 提升建议: "&amp;IFERROR(VLOOKUP(TRIM(D380)&amp;"_"&amp;TRIM(INDEX($E$1:$K$1, MATCH(MIN(E380:K380), E380:K380, 0))), 技能库!$A:$F, 6, 0),"请针对该题型加强练习"))</f>
        <v/>
      </c>
      <c r="AB380" s="5" t="str">
        <f>IF(P380="","", "⚠️ 薄弱环节: "&amp;INDEX($N$1:$O$1, MATCH(MIN(N380:O380), N380:O380, 0))&amp;CHAR(10)&amp;"📉 考察能力: "&amp;IFERROR(VLOOKUP(TRIM(D380)&amp;"_"&amp;TRIM(INDEX($N$1:$O$1, MATCH(MIN(N380:O380), N380:O380, 0))), 技能库!$A:$F, 5, 0),"建议查阅考纲")&amp;CHAR(10)&amp;"💡 提升建议: "&amp;IFERROR(VLOOKUP(TRIM(D380)&amp;"_"&amp;TRIM(INDEX($N$1:$O$1, MATCH(MIN(N380:O380), N380:O380, 0))), 技能库!$A:$F, 6, 0),"请针对该题型加强练习"))</f>
        <v/>
      </c>
      <c r="AC380" s="5" t="str">
        <f>IF(W380="","", "⚠️ 薄弱环节: "&amp;INDEX($R$1:$V$1, MATCH(MIN(R380:V380), R380:V380, 0))&amp;CHAR(10)&amp;"📉 考察能力: "&amp;IFERROR(VLOOKUP(TRIM(D380)&amp;"_"&amp;TRIM(INDEX($R$1:$V$1, MATCH(MIN(R380:V380), R380:V380, 0))), 技能库!$A:$F, 5, 0),"建议查阅考纲")&amp;CHAR(10)&amp;"💡 提升建议: "&amp;IFERROR(VLOOKUP(TRIM(D380)&amp;"_"&amp;TRIM(INDEX($R$1:$V$1, MATCH(MIN(R380:V380), R380:V380, 0))), 技能库!$A:$F, 6, 0),"请针对该题型加强练习"))</f>
        <v/>
      </c>
    </row>
    <row r="381" spans="12:29" ht="16" hidden="1" x14ac:dyDescent="0.2">
      <c r="L381" t="str">
        <f t="shared" si="20"/>
        <v/>
      </c>
      <c r="M381" t="str">
        <f>IF(L381="","", IFERROR(VLOOKUP(L381, IF(D381="KET", 换算标准!$M:$N, IF(D381="PET", 换算标准!$S:$T, 换算标准!$AC:$AD)), 2, TRUE), 0))</f>
        <v/>
      </c>
      <c r="P381" t="str">
        <f t="shared" si="21"/>
        <v/>
      </c>
      <c r="Q381" t="str">
        <f>IF(P381="","", IFERROR(VLOOKUP(P381, IF(D381="KET", 换算标准!$O:$P, IF(D381="PET", 换算标准!$U:$V, 换算标准!$AG:$AH)), 2, TRUE), 0))</f>
        <v/>
      </c>
      <c r="W381" t="str">
        <f t="shared" si="22"/>
        <v/>
      </c>
      <c r="X381" t="str">
        <f>IF(W381="","", IFERROR(VLOOKUP(W381, IF(D381="KET", 换算标准!$Q:$R, IF(D381="PET", 换算标准!$W:$X, 换算标准!$AI:$AJ)), 2, TRUE), 0))</f>
        <v/>
      </c>
      <c r="Y381" t="str">
        <f t="shared" si="23"/>
        <v/>
      </c>
      <c r="Z381" t="str">
        <f>IF(Y381="","", IFERROR(VLOOKUP(Y381, 换算标准!$Z:$AA, 1, TRUE), ""))</f>
        <v/>
      </c>
      <c r="AA381" s="5" t="str">
        <f>IF(L381="","", "⚠️ 薄弱环节: "&amp;INDEX($E$1:$K$1, MATCH(MIN(E381:K381), E381:K381, 0))&amp;CHAR(10)&amp;"📉 考察能力: "&amp;IFERROR(VLOOKUP(TRIM(D381)&amp;"_"&amp;TRIM(INDEX($E$1:$K$1, MATCH(MIN(E381:K381), E381:K381, 0))), 技能库!$A:$F, 5, 0),"建议查阅考纲")&amp;CHAR(10)&amp;"💡 提升建议: "&amp;IFERROR(VLOOKUP(TRIM(D381)&amp;"_"&amp;TRIM(INDEX($E$1:$K$1, MATCH(MIN(E381:K381), E381:K381, 0))), 技能库!$A:$F, 6, 0),"请针对该题型加强练习"))</f>
        <v/>
      </c>
      <c r="AB381" s="5" t="str">
        <f>IF(P381="","", "⚠️ 薄弱环节: "&amp;INDEX($N$1:$O$1, MATCH(MIN(N381:O381), N381:O381, 0))&amp;CHAR(10)&amp;"📉 考察能力: "&amp;IFERROR(VLOOKUP(TRIM(D381)&amp;"_"&amp;TRIM(INDEX($N$1:$O$1, MATCH(MIN(N381:O381), N381:O381, 0))), 技能库!$A:$F, 5, 0),"建议查阅考纲")&amp;CHAR(10)&amp;"💡 提升建议: "&amp;IFERROR(VLOOKUP(TRIM(D381)&amp;"_"&amp;TRIM(INDEX($N$1:$O$1, MATCH(MIN(N381:O381), N381:O381, 0))), 技能库!$A:$F, 6, 0),"请针对该题型加强练习"))</f>
        <v/>
      </c>
      <c r="AC381" s="5" t="str">
        <f>IF(W381="","", "⚠️ 薄弱环节: "&amp;INDEX($R$1:$V$1, MATCH(MIN(R381:V381), R381:V381, 0))&amp;CHAR(10)&amp;"📉 考察能力: "&amp;IFERROR(VLOOKUP(TRIM(D381)&amp;"_"&amp;TRIM(INDEX($R$1:$V$1, MATCH(MIN(R381:V381), R381:V381, 0))), 技能库!$A:$F, 5, 0),"建议查阅考纲")&amp;CHAR(10)&amp;"💡 提升建议: "&amp;IFERROR(VLOOKUP(TRIM(D381)&amp;"_"&amp;TRIM(INDEX($R$1:$V$1, MATCH(MIN(R381:V381), R381:V381, 0))), 技能库!$A:$F, 6, 0),"请针对该题型加强练习"))</f>
        <v/>
      </c>
    </row>
    <row r="382" spans="12:29" ht="16" hidden="1" x14ac:dyDescent="0.2">
      <c r="L382" t="str">
        <f t="shared" si="20"/>
        <v/>
      </c>
      <c r="M382" t="str">
        <f>IF(L382="","", IFERROR(VLOOKUP(L382, IF(D382="KET", 换算标准!$M:$N, IF(D382="PET", 换算标准!$S:$T, 换算标准!$AC:$AD)), 2, TRUE), 0))</f>
        <v/>
      </c>
      <c r="P382" t="str">
        <f t="shared" si="21"/>
        <v/>
      </c>
      <c r="Q382" t="str">
        <f>IF(P382="","", IFERROR(VLOOKUP(P382, IF(D382="KET", 换算标准!$O:$P, IF(D382="PET", 换算标准!$U:$V, 换算标准!$AG:$AH)), 2, TRUE), 0))</f>
        <v/>
      </c>
      <c r="W382" t="str">
        <f t="shared" si="22"/>
        <v/>
      </c>
      <c r="X382" t="str">
        <f>IF(W382="","", IFERROR(VLOOKUP(W382, IF(D382="KET", 换算标准!$Q:$R, IF(D382="PET", 换算标准!$W:$X, 换算标准!$AI:$AJ)), 2, TRUE), 0))</f>
        <v/>
      </c>
      <c r="Y382" t="str">
        <f t="shared" si="23"/>
        <v/>
      </c>
      <c r="Z382" t="str">
        <f>IF(Y382="","", IFERROR(VLOOKUP(Y382, 换算标准!$Z:$AA, 1, TRUE), ""))</f>
        <v/>
      </c>
      <c r="AA382" s="5" t="str">
        <f>IF(L382="","", "⚠️ 薄弱环节: "&amp;INDEX($E$1:$K$1, MATCH(MIN(E382:K382), E382:K382, 0))&amp;CHAR(10)&amp;"📉 考察能力: "&amp;IFERROR(VLOOKUP(TRIM(D382)&amp;"_"&amp;TRIM(INDEX($E$1:$K$1, MATCH(MIN(E382:K382), E382:K382, 0))), 技能库!$A:$F, 5, 0),"建议查阅考纲")&amp;CHAR(10)&amp;"💡 提升建议: "&amp;IFERROR(VLOOKUP(TRIM(D382)&amp;"_"&amp;TRIM(INDEX($E$1:$K$1, MATCH(MIN(E382:K382), E382:K382, 0))), 技能库!$A:$F, 6, 0),"请针对该题型加强练习"))</f>
        <v/>
      </c>
      <c r="AB382" s="5" t="str">
        <f>IF(P382="","", "⚠️ 薄弱环节: "&amp;INDEX($N$1:$O$1, MATCH(MIN(N382:O382), N382:O382, 0))&amp;CHAR(10)&amp;"📉 考察能力: "&amp;IFERROR(VLOOKUP(TRIM(D382)&amp;"_"&amp;TRIM(INDEX($N$1:$O$1, MATCH(MIN(N382:O382), N382:O382, 0))), 技能库!$A:$F, 5, 0),"建议查阅考纲")&amp;CHAR(10)&amp;"💡 提升建议: "&amp;IFERROR(VLOOKUP(TRIM(D382)&amp;"_"&amp;TRIM(INDEX($N$1:$O$1, MATCH(MIN(N382:O382), N382:O382, 0))), 技能库!$A:$F, 6, 0),"请针对该题型加强练习"))</f>
        <v/>
      </c>
      <c r="AC382" s="5" t="str">
        <f>IF(W382="","", "⚠️ 薄弱环节: "&amp;INDEX($R$1:$V$1, MATCH(MIN(R382:V382), R382:V382, 0))&amp;CHAR(10)&amp;"📉 考察能力: "&amp;IFERROR(VLOOKUP(TRIM(D382)&amp;"_"&amp;TRIM(INDEX($R$1:$V$1, MATCH(MIN(R382:V382), R382:V382, 0))), 技能库!$A:$F, 5, 0),"建议查阅考纲")&amp;CHAR(10)&amp;"💡 提升建议: "&amp;IFERROR(VLOOKUP(TRIM(D382)&amp;"_"&amp;TRIM(INDEX($R$1:$V$1, MATCH(MIN(R382:V382), R382:V382, 0))), 技能库!$A:$F, 6, 0),"请针对该题型加强练习"))</f>
        <v/>
      </c>
    </row>
    <row r="383" spans="12:29" ht="16" hidden="1" x14ac:dyDescent="0.2">
      <c r="L383" t="str">
        <f t="shared" si="20"/>
        <v/>
      </c>
      <c r="M383" t="str">
        <f>IF(L383="","", IFERROR(VLOOKUP(L383, IF(D383="KET", 换算标准!$M:$N, IF(D383="PET", 换算标准!$S:$T, 换算标准!$AC:$AD)), 2, TRUE), 0))</f>
        <v/>
      </c>
      <c r="P383" t="str">
        <f t="shared" si="21"/>
        <v/>
      </c>
      <c r="Q383" t="str">
        <f>IF(P383="","", IFERROR(VLOOKUP(P383, IF(D383="KET", 换算标准!$O:$P, IF(D383="PET", 换算标准!$U:$V, 换算标准!$AG:$AH)), 2, TRUE), 0))</f>
        <v/>
      </c>
      <c r="W383" t="str">
        <f t="shared" si="22"/>
        <v/>
      </c>
      <c r="X383" t="str">
        <f>IF(W383="","", IFERROR(VLOOKUP(W383, IF(D383="KET", 换算标准!$Q:$R, IF(D383="PET", 换算标准!$W:$X, 换算标准!$AI:$AJ)), 2, TRUE), 0))</f>
        <v/>
      </c>
      <c r="Y383" t="str">
        <f t="shared" si="23"/>
        <v/>
      </c>
      <c r="Z383" t="str">
        <f>IF(Y383="","", IFERROR(VLOOKUP(Y383, 换算标准!$Z:$AA, 1, TRUE), ""))</f>
        <v/>
      </c>
      <c r="AA383" s="5" t="str">
        <f>IF(L383="","", "⚠️ 薄弱环节: "&amp;INDEX($E$1:$K$1, MATCH(MIN(E383:K383), E383:K383, 0))&amp;CHAR(10)&amp;"📉 考察能力: "&amp;IFERROR(VLOOKUP(TRIM(D383)&amp;"_"&amp;TRIM(INDEX($E$1:$K$1, MATCH(MIN(E383:K383), E383:K383, 0))), 技能库!$A:$F, 5, 0),"建议查阅考纲")&amp;CHAR(10)&amp;"💡 提升建议: "&amp;IFERROR(VLOOKUP(TRIM(D383)&amp;"_"&amp;TRIM(INDEX($E$1:$K$1, MATCH(MIN(E383:K383), E383:K383, 0))), 技能库!$A:$F, 6, 0),"请针对该题型加强练习"))</f>
        <v/>
      </c>
      <c r="AB383" s="5" t="str">
        <f>IF(P383="","", "⚠️ 薄弱环节: "&amp;INDEX($N$1:$O$1, MATCH(MIN(N383:O383), N383:O383, 0))&amp;CHAR(10)&amp;"📉 考察能力: "&amp;IFERROR(VLOOKUP(TRIM(D383)&amp;"_"&amp;TRIM(INDEX($N$1:$O$1, MATCH(MIN(N383:O383), N383:O383, 0))), 技能库!$A:$F, 5, 0),"建议查阅考纲")&amp;CHAR(10)&amp;"💡 提升建议: "&amp;IFERROR(VLOOKUP(TRIM(D383)&amp;"_"&amp;TRIM(INDEX($N$1:$O$1, MATCH(MIN(N383:O383), N383:O383, 0))), 技能库!$A:$F, 6, 0),"请针对该题型加强练习"))</f>
        <v/>
      </c>
      <c r="AC383" s="5" t="str">
        <f>IF(W383="","", "⚠️ 薄弱环节: "&amp;INDEX($R$1:$V$1, MATCH(MIN(R383:V383), R383:V383, 0))&amp;CHAR(10)&amp;"📉 考察能力: "&amp;IFERROR(VLOOKUP(TRIM(D383)&amp;"_"&amp;TRIM(INDEX($R$1:$V$1, MATCH(MIN(R383:V383), R383:V383, 0))), 技能库!$A:$F, 5, 0),"建议查阅考纲")&amp;CHAR(10)&amp;"💡 提升建议: "&amp;IFERROR(VLOOKUP(TRIM(D383)&amp;"_"&amp;TRIM(INDEX($R$1:$V$1, MATCH(MIN(R383:V383), R383:V383, 0))), 技能库!$A:$F, 6, 0),"请针对该题型加强练习"))</f>
        <v/>
      </c>
    </row>
    <row r="384" spans="12:29" ht="16" hidden="1" x14ac:dyDescent="0.2">
      <c r="L384" t="str">
        <f t="shared" si="20"/>
        <v/>
      </c>
      <c r="M384" t="str">
        <f>IF(L384="","", IFERROR(VLOOKUP(L384, IF(D384="KET", 换算标准!$M:$N, IF(D384="PET", 换算标准!$S:$T, 换算标准!$AC:$AD)), 2, TRUE), 0))</f>
        <v/>
      </c>
      <c r="P384" t="str">
        <f t="shared" si="21"/>
        <v/>
      </c>
      <c r="Q384" t="str">
        <f>IF(P384="","", IFERROR(VLOOKUP(P384, IF(D384="KET", 换算标准!$O:$P, IF(D384="PET", 换算标准!$U:$V, 换算标准!$AG:$AH)), 2, TRUE), 0))</f>
        <v/>
      </c>
      <c r="W384" t="str">
        <f t="shared" si="22"/>
        <v/>
      </c>
      <c r="X384" t="str">
        <f>IF(W384="","", IFERROR(VLOOKUP(W384, IF(D384="KET", 换算标准!$Q:$R, IF(D384="PET", 换算标准!$W:$X, 换算标准!$AI:$AJ)), 2, TRUE), 0))</f>
        <v/>
      </c>
      <c r="Y384" t="str">
        <f t="shared" si="23"/>
        <v/>
      </c>
      <c r="Z384" t="str">
        <f>IF(Y384="","", IFERROR(VLOOKUP(Y384, 换算标准!$Z:$AA, 1, TRUE), ""))</f>
        <v/>
      </c>
      <c r="AA384" s="5" t="str">
        <f>IF(L384="","", "⚠️ 薄弱环节: "&amp;INDEX($E$1:$K$1, MATCH(MIN(E384:K384), E384:K384, 0))&amp;CHAR(10)&amp;"📉 考察能力: "&amp;IFERROR(VLOOKUP(TRIM(D384)&amp;"_"&amp;TRIM(INDEX($E$1:$K$1, MATCH(MIN(E384:K384), E384:K384, 0))), 技能库!$A:$F, 5, 0),"建议查阅考纲")&amp;CHAR(10)&amp;"💡 提升建议: "&amp;IFERROR(VLOOKUP(TRIM(D384)&amp;"_"&amp;TRIM(INDEX($E$1:$K$1, MATCH(MIN(E384:K384), E384:K384, 0))), 技能库!$A:$F, 6, 0),"请针对该题型加强练习"))</f>
        <v/>
      </c>
      <c r="AB384" s="5" t="str">
        <f>IF(P384="","", "⚠️ 薄弱环节: "&amp;INDEX($N$1:$O$1, MATCH(MIN(N384:O384), N384:O384, 0))&amp;CHAR(10)&amp;"📉 考察能力: "&amp;IFERROR(VLOOKUP(TRIM(D384)&amp;"_"&amp;TRIM(INDEX($N$1:$O$1, MATCH(MIN(N384:O384), N384:O384, 0))), 技能库!$A:$F, 5, 0),"建议查阅考纲")&amp;CHAR(10)&amp;"💡 提升建议: "&amp;IFERROR(VLOOKUP(TRIM(D384)&amp;"_"&amp;TRIM(INDEX($N$1:$O$1, MATCH(MIN(N384:O384), N384:O384, 0))), 技能库!$A:$F, 6, 0),"请针对该题型加强练习"))</f>
        <v/>
      </c>
      <c r="AC384" s="5" t="str">
        <f>IF(W384="","", "⚠️ 薄弱环节: "&amp;INDEX($R$1:$V$1, MATCH(MIN(R384:V384), R384:V384, 0))&amp;CHAR(10)&amp;"📉 考察能力: "&amp;IFERROR(VLOOKUP(TRIM(D384)&amp;"_"&amp;TRIM(INDEX($R$1:$V$1, MATCH(MIN(R384:V384), R384:V384, 0))), 技能库!$A:$F, 5, 0),"建议查阅考纲")&amp;CHAR(10)&amp;"💡 提升建议: "&amp;IFERROR(VLOOKUP(TRIM(D384)&amp;"_"&amp;TRIM(INDEX($R$1:$V$1, MATCH(MIN(R384:V384), R384:V384, 0))), 技能库!$A:$F, 6, 0),"请针对该题型加强练习"))</f>
        <v/>
      </c>
    </row>
    <row r="385" spans="12:29" ht="16" hidden="1" x14ac:dyDescent="0.2">
      <c r="L385" t="str">
        <f t="shared" si="20"/>
        <v/>
      </c>
      <c r="M385" t="str">
        <f>IF(L385="","", IFERROR(VLOOKUP(L385, IF(D385="KET", 换算标准!$M:$N, IF(D385="PET", 换算标准!$S:$T, 换算标准!$AC:$AD)), 2, TRUE), 0))</f>
        <v/>
      </c>
      <c r="P385" t="str">
        <f t="shared" si="21"/>
        <v/>
      </c>
      <c r="Q385" t="str">
        <f>IF(P385="","", IFERROR(VLOOKUP(P385, IF(D385="KET", 换算标准!$O:$P, IF(D385="PET", 换算标准!$U:$V, 换算标准!$AG:$AH)), 2, TRUE), 0))</f>
        <v/>
      </c>
      <c r="W385" t="str">
        <f t="shared" si="22"/>
        <v/>
      </c>
      <c r="X385" t="str">
        <f>IF(W385="","", IFERROR(VLOOKUP(W385, IF(D385="KET", 换算标准!$Q:$R, IF(D385="PET", 换算标准!$W:$X, 换算标准!$AI:$AJ)), 2, TRUE), 0))</f>
        <v/>
      </c>
      <c r="Y385" t="str">
        <f t="shared" si="23"/>
        <v/>
      </c>
      <c r="Z385" t="str">
        <f>IF(Y385="","", IFERROR(VLOOKUP(Y385, 换算标准!$Z:$AA, 1, TRUE), ""))</f>
        <v/>
      </c>
      <c r="AA385" s="5" t="str">
        <f>IF(L385="","", "⚠️ 薄弱环节: "&amp;INDEX($E$1:$K$1, MATCH(MIN(E385:K385), E385:K385, 0))&amp;CHAR(10)&amp;"📉 考察能力: "&amp;IFERROR(VLOOKUP(TRIM(D385)&amp;"_"&amp;TRIM(INDEX($E$1:$K$1, MATCH(MIN(E385:K385), E385:K385, 0))), 技能库!$A:$F, 5, 0),"建议查阅考纲")&amp;CHAR(10)&amp;"💡 提升建议: "&amp;IFERROR(VLOOKUP(TRIM(D385)&amp;"_"&amp;TRIM(INDEX($E$1:$K$1, MATCH(MIN(E385:K385), E385:K385, 0))), 技能库!$A:$F, 6, 0),"请针对该题型加强练习"))</f>
        <v/>
      </c>
      <c r="AB385" s="5" t="str">
        <f>IF(P385="","", "⚠️ 薄弱环节: "&amp;INDEX($N$1:$O$1, MATCH(MIN(N385:O385), N385:O385, 0))&amp;CHAR(10)&amp;"📉 考察能力: "&amp;IFERROR(VLOOKUP(TRIM(D385)&amp;"_"&amp;TRIM(INDEX($N$1:$O$1, MATCH(MIN(N385:O385), N385:O385, 0))), 技能库!$A:$F, 5, 0),"建议查阅考纲")&amp;CHAR(10)&amp;"💡 提升建议: "&amp;IFERROR(VLOOKUP(TRIM(D385)&amp;"_"&amp;TRIM(INDEX($N$1:$O$1, MATCH(MIN(N385:O385), N385:O385, 0))), 技能库!$A:$F, 6, 0),"请针对该题型加强练习"))</f>
        <v/>
      </c>
      <c r="AC385" s="5" t="str">
        <f>IF(W385="","", "⚠️ 薄弱环节: "&amp;INDEX($R$1:$V$1, MATCH(MIN(R385:V385), R385:V385, 0))&amp;CHAR(10)&amp;"📉 考察能力: "&amp;IFERROR(VLOOKUP(TRIM(D385)&amp;"_"&amp;TRIM(INDEX($R$1:$V$1, MATCH(MIN(R385:V385), R385:V385, 0))), 技能库!$A:$F, 5, 0),"建议查阅考纲")&amp;CHAR(10)&amp;"💡 提升建议: "&amp;IFERROR(VLOOKUP(TRIM(D385)&amp;"_"&amp;TRIM(INDEX($R$1:$V$1, MATCH(MIN(R385:V385), R385:V385, 0))), 技能库!$A:$F, 6, 0),"请针对该题型加强练习"))</f>
        <v/>
      </c>
    </row>
    <row r="386" spans="12:29" ht="16" hidden="1" x14ac:dyDescent="0.2">
      <c r="L386" t="str">
        <f t="shared" ref="L386:L449" si="24">IF(COUNT(E386:K386)&gt;0, SUM(E386:K386), "")</f>
        <v/>
      </c>
      <c r="M386" t="str">
        <f>IF(L386="","", IFERROR(VLOOKUP(L386, IF(D386="KET", 换算标准!$M:$N, IF(D386="PET", 换算标准!$S:$T, 换算标准!$AC:$AD)), 2, TRUE), 0))</f>
        <v/>
      </c>
      <c r="P386" t="str">
        <f t="shared" ref="P386:P449" si="25">IF(COUNT(N386:O386)&gt;0, SUM(N386:O386), "")</f>
        <v/>
      </c>
      <c r="Q386" t="str">
        <f>IF(P386="","", IFERROR(VLOOKUP(P386, IF(D386="KET", 换算标准!$O:$P, IF(D386="PET", 换算标准!$U:$V, 换算标准!$AG:$AH)), 2, TRUE), 0))</f>
        <v/>
      </c>
      <c r="W386" t="str">
        <f t="shared" ref="W386:W449" si="26">IF(COUNT(R386:V386)&gt;0, SUM(R386:V386), "")</f>
        <v/>
      </c>
      <c r="X386" t="str">
        <f>IF(W386="","", IFERROR(VLOOKUP(W386, IF(D386="KET", 换算标准!$Q:$R, IF(D386="PET", 换算标准!$W:$X, 换算标准!$AI:$AJ)), 2, TRUE), 0))</f>
        <v/>
      </c>
      <c r="Y386" t="str">
        <f t="shared" ref="Y386:Y449" si="27">IF(COUNT(M386,Q386,X386)&gt;0, AVERAGE(M386,Q386,X386), "")</f>
        <v/>
      </c>
      <c r="Z386" t="str">
        <f>IF(Y386="","", IFERROR(VLOOKUP(Y386, 换算标准!$Z:$AA, 1, TRUE), ""))</f>
        <v/>
      </c>
      <c r="AA386" s="5" t="str">
        <f>IF(L386="","", "⚠️ 薄弱环节: "&amp;INDEX($E$1:$K$1, MATCH(MIN(E386:K386), E386:K386, 0))&amp;CHAR(10)&amp;"📉 考察能力: "&amp;IFERROR(VLOOKUP(TRIM(D386)&amp;"_"&amp;TRIM(INDEX($E$1:$K$1, MATCH(MIN(E386:K386), E386:K386, 0))), 技能库!$A:$F, 5, 0),"建议查阅考纲")&amp;CHAR(10)&amp;"💡 提升建议: "&amp;IFERROR(VLOOKUP(TRIM(D386)&amp;"_"&amp;TRIM(INDEX($E$1:$K$1, MATCH(MIN(E386:K386), E386:K386, 0))), 技能库!$A:$F, 6, 0),"请针对该题型加强练习"))</f>
        <v/>
      </c>
      <c r="AB386" s="5" t="str">
        <f>IF(P386="","", "⚠️ 薄弱环节: "&amp;INDEX($N$1:$O$1, MATCH(MIN(N386:O386), N386:O386, 0))&amp;CHAR(10)&amp;"📉 考察能力: "&amp;IFERROR(VLOOKUP(TRIM(D386)&amp;"_"&amp;TRIM(INDEX($N$1:$O$1, MATCH(MIN(N386:O386), N386:O386, 0))), 技能库!$A:$F, 5, 0),"建议查阅考纲")&amp;CHAR(10)&amp;"💡 提升建议: "&amp;IFERROR(VLOOKUP(TRIM(D386)&amp;"_"&amp;TRIM(INDEX($N$1:$O$1, MATCH(MIN(N386:O386), N386:O386, 0))), 技能库!$A:$F, 6, 0),"请针对该题型加强练习"))</f>
        <v/>
      </c>
      <c r="AC386" s="5" t="str">
        <f>IF(W386="","", "⚠️ 薄弱环节: "&amp;INDEX($R$1:$V$1, MATCH(MIN(R386:V386), R386:V386, 0))&amp;CHAR(10)&amp;"📉 考察能力: "&amp;IFERROR(VLOOKUP(TRIM(D386)&amp;"_"&amp;TRIM(INDEX($R$1:$V$1, MATCH(MIN(R386:V386), R386:V386, 0))), 技能库!$A:$F, 5, 0),"建议查阅考纲")&amp;CHAR(10)&amp;"💡 提升建议: "&amp;IFERROR(VLOOKUP(TRIM(D386)&amp;"_"&amp;TRIM(INDEX($R$1:$V$1, MATCH(MIN(R386:V386), R386:V386, 0))), 技能库!$A:$F, 6, 0),"请针对该题型加强练习"))</f>
        <v/>
      </c>
    </row>
    <row r="387" spans="12:29" ht="16" hidden="1" x14ac:dyDescent="0.2">
      <c r="L387" t="str">
        <f t="shared" si="24"/>
        <v/>
      </c>
      <c r="M387" t="str">
        <f>IF(L387="","", IFERROR(VLOOKUP(L387, IF(D387="KET", 换算标准!$M:$N, IF(D387="PET", 换算标准!$S:$T, 换算标准!$AC:$AD)), 2, TRUE), 0))</f>
        <v/>
      </c>
      <c r="P387" t="str">
        <f t="shared" si="25"/>
        <v/>
      </c>
      <c r="Q387" t="str">
        <f>IF(P387="","", IFERROR(VLOOKUP(P387, IF(D387="KET", 换算标准!$O:$P, IF(D387="PET", 换算标准!$U:$V, 换算标准!$AG:$AH)), 2, TRUE), 0))</f>
        <v/>
      </c>
      <c r="W387" t="str">
        <f t="shared" si="26"/>
        <v/>
      </c>
      <c r="X387" t="str">
        <f>IF(W387="","", IFERROR(VLOOKUP(W387, IF(D387="KET", 换算标准!$Q:$R, IF(D387="PET", 换算标准!$W:$X, 换算标准!$AI:$AJ)), 2, TRUE), 0))</f>
        <v/>
      </c>
      <c r="Y387" t="str">
        <f t="shared" si="27"/>
        <v/>
      </c>
      <c r="Z387" t="str">
        <f>IF(Y387="","", IFERROR(VLOOKUP(Y387, 换算标准!$Z:$AA, 1, TRUE), ""))</f>
        <v/>
      </c>
      <c r="AA387" s="5" t="str">
        <f>IF(L387="","", "⚠️ 薄弱环节: "&amp;INDEX($E$1:$K$1, MATCH(MIN(E387:K387), E387:K387, 0))&amp;CHAR(10)&amp;"📉 考察能力: "&amp;IFERROR(VLOOKUP(TRIM(D387)&amp;"_"&amp;TRIM(INDEX($E$1:$K$1, MATCH(MIN(E387:K387), E387:K387, 0))), 技能库!$A:$F, 5, 0),"建议查阅考纲")&amp;CHAR(10)&amp;"💡 提升建议: "&amp;IFERROR(VLOOKUP(TRIM(D387)&amp;"_"&amp;TRIM(INDEX($E$1:$K$1, MATCH(MIN(E387:K387), E387:K387, 0))), 技能库!$A:$F, 6, 0),"请针对该题型加强练习"))</f>
        <v/>
      </c>
      <c r="AB387" s="5" t="str">
        <f>IF(P387="","", "⚠️ 薄弱环节: "&amp;INDEX($N$1:$O$1, MATCH(MIN(N387:O387), N387:O387, 0))&amp;CHAR(10)&amp;"📉 考察能力: "&amp;IFERROR(VLOOKUP(TRIM(D387)&amp;"_"&amp;TRIM(INDEX($N$1:$O$1, MATCH(MIN(N387:O387), N387:O387, 0))), 技能库!$A:$F, 5, 0),"建议查阅考纲")&amp;CHAR(10)&amp;"💡 提升建议: "&amp;IFERROR(VLOOKUP(TRIM(D387)&amp;"_"&amp;TRIM(INDEX($N$1:$O$1, MATCH(MIN(N387:O387), N387:O387, 0))), 技能库!$A:$F, 6, 0),"请针对该题型加强练习"))</f>
        <v/>
      </c>
      <c r="AC387" s="5" t="str">
        <f>IF(W387="","", "⚠️ 薄弱环节: "&amp;INDEX($R$1:$V$1, MATCH(MIN(R387:V387), R387:V387, 0))&amp;CHAR(10)&amp;"📉 考察能力: "&amp;IFERROR(VLOOKUP(TRIM(D387)&amp;"_"&amp;TRIM(INDEX($R$1:$V$1, MATCH(MIN(R387:V387), R387:V387, 0))), 技能库!$A:$F, 5, 0),"建议查阅考纲")&amp;CHAR(10)&amp;"💡 提升建议: "&amp;IFERROR(VLOOKUP(TRIM(D387)&amp;"_"&amp;TRIM(INDEX($R$1:$V$1, MATCH(MIN(R387:V387), R387:V387, 0))), 技能库!$A:$F, 6, 0),"请针对该题型加强练习"))</f>
        <v/>
      </c>
    </row>
    <row r="388" spans="12:29" ht="16" hidden="1" x14ac:dyDescent="0.2">
      <c r="L388" t="str">
        <f t="shared" si="24"/>
        <v/>
      </c>
      <c r="M388" t="str">
        <f>IF(L388="","", IFERROR(VLOOKUP(L388, IF(D388="KET", 换算标准!$M:$N, IF(D388="PET", 换算标准!$S:$T, 换算标准!$AC:$AD)), 2, TRUE), 0))</f>
        <v/>
      </c>
      <c r="P388" t="str">
        <f t="shared" si="25"/>
        <v/>
      </c>
      <c r="Q388" t="str">
        <f>IF(P388="","", IFERROR(VLOOKUP(P388, IF(D388="KET", 换算标准!$O:$P, IF(D388="PET", 换算标准!$U:$V, 换算标准!$AG:$AH)), 2, TRUE), 0))</f>
        <v/>
      </c>
      <c r="W388" t="str">
        <f t="shared" si="26"/>
        <v/>
      </c>
      <c r="X388" t="str">
        <f>IF(W388="","", IFERROR(VLOOKUP(W388, IF(D388="KET", 换算标准!$Q:$R, IF(D388="PET", 换算标准!$W:$X, 换算标准!$AI:$AJ)), 2, TRUE), 0))</f>
        <v/>
      </c>
      <c r="Y388" t="str">
        <f t="shared" si="27"/>
        <v/>
      </c>
      <c r="Z388" t="str">
        <f>IF(Y388="","", IFERROR(VLOOKUP(Y388, 换算标准!$Z:$AA, 1, TRUE), ""))</f>
        <v/>
      </c>
      <c r="AA388" s="5" t="str">
        <f>IF(L388="","", "⚠️ 薄弱环节: "&amp;INDEX($E$1:$K$1, MATCH(MIN(E388:K388), E388:K388, 0))&amp;CHAR(10)&amp;"📉 考察能力: "&amp;IFERROR(VLOOKUP(TRIM(D388)&amp;"_"&amp;TRIM(INDEX($E$1:$K$1, MATCH(MIN(E388:K388), E388:K388, 0))), 技能库!$A:$F, 5, 0),"建议查阅考纲")&amp;CHAR(10)&amp;"💡 提升建议: "&amp;IFERROR(VLOOKUP(TRIM(D388)&amp;"_"&amp;TRIM(INDEX($E$1:$K$1, MATCH(MIN(E388:K388), E388:K388, 0))), 技能库!$A:$F, 6, 0),"请针对该题型加强练习"))</f>
        <v/>
      </c>
      <c r="AB388" s="5" t="str">
        <f>IF(P388="","", "⚠️ 薄弱环节: "&amp;INDEX($N$1:$O$1, MATCH(MIN(N388:O388), N388:O388, 0))&amp;CHAR(10)&amp;"📉 考察能力: "&amp;IFERROR(VLOOKUP(TRIM(D388)&amp;"_"&amp;TRIM(INDEX($N$1:$O$1, MATCH(MIN(N388:O388), N388:O388, 0))), 技能库!$A:$F, 5, 0),"建议查阅考纲")&amp;CHAR(10)&amp;"💡 提升建议: "&amp;IFERROR(VLOOKUP(TRIM(D388)&amp;"_"&amp;TRIM(INDEX($N$1:$O$1, MATCH(MIN(N388:O388), N388:O388, 0))), 技能库!$A:$F, 6, 0),"请针对该题型加强练习"))</f>
        <v/>
      </c>
      <c r="AC388" s="5" t="str">
        <f>IF(W388="","", "⚠️ 薄弱环节: "&amp;INDEX($R$1:$V$1, MATCH(MIN(R388:V388), R388:V388, 0))&amp;CHAR(10)&amp;"📉 考察能力: "&amp;IFERROR(VLOOKUP(TRIM(D388)&amp;"_"&amp;TRIM(INDEX($R$1:$V$1, MATCH(MIN(R388:V388), R388:V388, 0))), 技能库!$A:$F, 5, 0),"建议查阅考纲")&amp;CHAR(10)&amp;"💡 提升建议: "&amp;IFERROR(VLOOKUP(TRIM(D388)&amp;"_"&amp;TRIM(INDEX($R$1:$V$1, MATCH(MIN(R388:V388), R388:V388, 0))), 技能库!$A:$F, 6, 0),"请针对该题型加强练习"))</f>
        <v/>
      </c>
    </row>
    <row r="389" spans="12:29" ht="16" hidden="1" x14ac:dyDescent="0.2">
      <c r="L389" t="str">
        <f t="shared" si="24"/>
        <v/>
      </c>
      <c r="M389" t="str">
        <f>IF(L389="","", IFERROR(VLOOKUP(L389, IF(D389="KET", 换算标准!$M:$N, IF(D389="PET", 换算标准!$S:$T, 换算标准!$AC:$AD)), 2, TRUE), 0))</f>
        <v/>
      </c>
      <c r="P389" t="str">
        <f t="shared" si="25"/>
        <v/>
      </c>
      <c r="Q389" t="str">
        <f>IF(P389="","", IFERROR(VLOOKUP(P389, IF(D389="KET", 换算标准!$O:$P, IF(D389="PET", 换算标准!$U:$V, 换算标准!$AG:$AH)), 2, TRUE), 0))</f>
        <v/>
      </c>
      <c r="W389" t="str">
        <f t="shared" si="26"/>
        <v/>
      </c>
      <c r="X389" t="str">
        <f>IF(W389="","", IFERROR(VLOOKUP(W389, IF(D389="KET", 换算标准!$Q:$R, IF(D389="PET", 换算标准!$W:$X, 换算标准!$AI:$AJ)), 2, TRUE), 0))</f>
        <v/>
      </c>
      <c r="Y389" t="str">
        <f t="shared" si="27"/>
        <v/>
      </c>
      <c r="Z389" t="str">
        <f>IF(Y389="","", IFERROR(VLOOKUP(Y389, 换算标准!$Z:$AA, 1, TRUE), ""))</f>
        <v/>
      </c>
      <c r="AA389" s="5" t="str">
        <f>IF(L389="","", "⚠️ 薄弱环节: "&amp;INDEX($E$1:$K$1, MATCH(MIN(E389:K389), E389:K389, 0))&amp;CHAR(10)&amp;"📉 考察能力: "&amp;IFERROR(VLOOKUP(TRIM(D389)&amp;"_"&amp;TRIM(INDEX($E$1:$K$1, MATCH(MIN(E389:K389), E389:K389, 0))), 技能库!$A:$F, 5, 0),"建议查阅考纲")&amp;CHAR(10)&amp;"💡 提升建议: "&amp;IFERROR(VLOOKUP(TRIM(D389)&amp;"_"&amp;TRIM(INDEX($E$1:$K$1, MATCH(MIN(E389:K389), E389:K389, 0))), 技能库!$A:$F, 6, 0),"请针对该题型加强练习"))</f>
        <v/>
      </c>
      <c r="AB389" s="5" t="str">
        <f>IF(P389="","", "⚠️ 薄弱环节: "&amp;INDEX($N$1:$O$1, MATCH(MIN(N389:O389), N389:O389, 0))&amp;CHAR(10)&amp;"📉 考察能力: "&amp;IFERROR(VLOOKUP(TRIM(D389)&amp;"_"&amp;TRIM(INDEX($N$1:$O$1, MATCH(MIN(N389:O389), N389:O389, 0))), 技能库!$A:$F, 5, 0),"建议查阅考纲")&amp;CHAR(10)&amp;"💡 提升建议: "&amp;IFERROR(VLOOKUP(TRIM(D389)&amp;"_"&amp;TRIM(INDEX($N$1:$O$1, MATCH(MIN(N389:O389), N389:O389, 0))), 技能库!$A:$F, 6, 0),"请针对该题型加强练习"))</f>
        <v/>
      </c>
      <c r="AC389" s="5" t="str">
        <f>IF(W389="","", "⚠️ 薄弱环节: "&amp;INDEX($R$1:$V$1, MATCH(MIN(R389:V389), R389:V389, 0))&amp;CHAR(10)&amp;"📉 考察能力: "&amp;IFERROR(VLOOKUP(TRIM(D389)&amp;"_"&amp;TRIM(INDEX($R$1:$V$1, MATCH(MIN(R389:V389), R389:V389, 0))), 技能库!$A:$F, 5, 0),"建议查阅考纲")&amp;CHAR(10)&amp;"💡 提升建议: "&amp;IFERROR(VLOOKUP(TRIM(D389)&amp;"_"&amp;TRIM(INDEX($R$1:$V$1, MATCH(MIN(R389:V389), R389:V389, 0))), 技能库!$A:$F, 6, 0),"请针对该题型加强练习"))</f>
        <v/>
      </c>
    </row>
    <row r="390" spans="12:29" ht="16" hidden="1" x14ac:dyDescent="0.2">
      <c r="L390" t="str">
        <f t="shared" si="24"/>
        <v/>
      </c>
      <c r="M390" t="str">
        <f>IF(L390="","", IFERROR(VLOOKUP(L390, IF(D390="KET", 换算标准!$M:$N, IF(D390="PET", 换算标准!$S:$T, 换算标准!$AC:$AD)), 2, TRUE), 0))</f>
        <v/>
      </c>
      <c r="P390" t="str">
        <f t="shared" si="25"/>
        <v/>
      </c>
      <c r="Q390" t="str">
        <f>IF(P390="","", IFERROR(VLOOKUP(P390, IF(D390="KET", 换算标准!$O:$P, IF(D390="PET", 换算标准!$U:$V, 换算标准!$AG:$AH)), 2, TRUE), 0))</f>
        <v/>
      </c>
      <c r="W390" t="str">
        <f t="shared" si="26"/>
        <v/>
      </c>
      <c r="X390" t="str">
        <f>IF(W390="","", IFERROR(VLOOKUP(W390, IF(D390="KET", 换算标准!$Q:$R, IF(D390="PET", 换算标准!$W:$X, 换算标准!$AI:$AJ)), 2, TRUE), 0))</f>
        <v/>
      </c>
      <c r="Y390" t="str">
        <f t="shared" si="27"/>
        <v/>
      </c>
      <c r="Z390" t="str">
        <f>IF(Y390="","", IFERROR(VLOOKUP(Y390, 换算标准!$Z:$AA, 1, TRUE), ""))</f>
        <v/>
      </c>
      <c r="AA390" s="5" t="str">
        <f>IF(L390="","", "⚠️ 薄弱环节: "&amp;INDEX($E$1:$K$1, MATCH(MIN(E390:K390), E390:K390, 0))&amp;CHAR(10)&amp;"📉 考察能力: "&amp;IFERROR(VLOOKUP(TRIM(D390)&amp;"_"&amp;TRIM(INDEX($E$1:$K$1, MATCH(MIN(E390:K390), E390:K390, 0))), 技能库!$A:$F, 5, 0),"建议查阅考纲")&amp;CHAR(10)&amp;"💡 提升建议: "&amp;IFERROR(VLOOKUP(TRIM(D390)&amp;"_"&amp;TRIM(INDEX($E$1:$K$1, MATCH(MIN(E390:K390), E390:K390, 0))), 技能库!$A:$F, 6, 0),"请针对该题型加强练习"))</f>
        <v/>
      </c>
      <c r="AB390" s="5" t="str">
        <f>IF(P390="","", "⚠️ 薄弱环节: "&amp;INDEX($N$1:$O$1, MATCH(MIN(N390:O390), N390:O390, 0))&amp;CHAR(10)&amp;"📉 考察能力: "&amp;IFERROR(VLOOKUP(TRIM(D390)&amp;"_"&amp;TRIM(INDEX($N$1:$O$1, MATCH(MIN(N390:O390), N390:O390, 0))), 技能库!$A:$F, 5, 0),"建议查阅考纲")&amp;CHAR(10)&amp;"💡 提升建议: "&amp;IFERROR(VLOOKUP(TRIM(D390)&amp;"_"&amp;TRIM(INDEX($N$1:$O$1, MATCH(MIN(N390:O390), N390:O390, 0))), 技能库!$A:$F, 6, 0),"请针对该题型加强练习"))</f>
        <v/>
      </c>
      <c r="AC390" s="5" t="str">
        <f>IF(W390="","", "⚠️ 薄弱环节: "&amp;INDEX($R$1:$V$1, MATCH(MIN(R390:V390), R390:V390, 0))&amp;CHAR(10)&amp;"📉 考察能力: "&amp;IFERROR(VLOOKUP(TRIM(D390)&amp;"_"&amp;TRIM(INDEX($R$1:$V$1, MATCH(MIN(R390:V390), R390:V390, 0))), 技能库!$A:$F, 5, 0),"建议查阅考纲")&amp;CHAR(10)&amp;"💡 提升建议: "&amp;IFERROR(VLOOKUP(TRIM(D390)&amp;"_"&amp;TRIM(INDEX($R$1:$V$1, MATCH(MIN(R390:V390), R390:V390, 0))), 技能库!$A:$F, 6, 0),"请针对该题型加强练习"))</f>
        <v/>
      </c>
    </row>
    <row r="391" spans="12:29" ht="16" hidden="1" x14ac:dyDescent="0.2">
      <c r="L391" t="str">
        <f t="shared" si="24"/>
        <v/>
      </c>
      <c r="M391" t="str">
        <f>IF(L391="","", IFERROR(VLOOKUP(L391, IF(D391="KET", 换算标准!$M:$N, IF(D391="PET", 换算标准!$S:$T, 换算标准!$AC:$AD)), 2, TRUE), 0))</f>
        <v/>
      </c>
      <c r="P391" t="str">
        <f t="shared" si="25"/>
        <v/>
      </c>
      <c r="Q391" t="str">
        <f>IF(P391="","", IFERROR(VLOOKUP(P391, IF(D391="KET", 换算标准!$O:$P, IF(D391="PET", 换算标准!$U:$V, 换算标准!$AG:$AH)), 2, TRUE), 0))</f>
        <v/>
      </c>
      <c r="W391" t="str">
        <f t="shared" si="26"/>
        <v/>
      </c>
      <c r="X391" t="str">
        <f>IF(W391="","", IFERROR(VLOOKUP(W391, IF(D391="KET", 换算标准!$Q:$R, IF(D391="PET", 换算标准!$W:$X, 换算标准!$AI:$AJ)), 2, TRUE), 0))</f>
        <v/>
      </c>
      <c r="Y391" t="str">
        <f t="shared" si="27"/>
        <v/>
      </c>
      <c r="Z391" t="str">
        <f>IF(Y391="","", IFERROR(VLOOKUP(Y391, 换算标准!$Z:$AA, 1, TRUE), ""))</f>
        <v/>
      </c>
      <c r="AA391" s="5" t="str">
        <f>IF(L391="","", "⚠️ 薄弱环节: "&amp;INDEX($E$1:$K$1, MATCH(MIN(E391:K391), E391:K391, 0))&amp;CHAR(10)&amp;"📉 考察能力: "&amp;IFERROR(VLOOKUP(TRIM(D391)&amp;"_"&amp;TRIM(INDEX($E$1:$K$1, MATCH(MIN(E391:K391), E391:K391, 0))), 技能库!$A:$F, 5, 0),"建议查阅考纲")&amp;CHAR(10)&amp;"💡 提升建议: "&amp;IFERROR(VLOOKUP(TRIM(D391)&amp;"_"&amp;TRIM(INDEX($E$1:$K$1, MATCH(MIN(E391:K391), E391:K391, 0))), 技能库!$A:$F, 6, 0),"请针对该题型加强练习"))</f>
        <v/>
      </c>
      <c r="AB391" s="5" t="str">
        <f>IF(P391="","", "⚠️ 薄弱环节: "&amp;INDEX($N$1:$O$1, MATCH(MIN(N391:O391), N391:O391, 0))&amp;CHAR(10)&amp;"📉 考察能力: "&amp;IFERROR(VLOOKUP(TRIM(D391)&amp;"_"&amp;TRIM(INDEX($N$1:$O$1, MATCH(MIN(N391:O391), N391:O391, 0))), 技能库!$A:$F, 5, 0),"建议查阅考纲")&amp;CHAR(10)&amp;"💡 提升建议: "&amp;IFERROR(VLOOKUP(TRIM(D391)&amp;"_"&amp;TRIM(INDEX($N$1:$O$1, MATCH(MIN(N391:O391), N391:O391, 0))), 技能库!$A:$F, 6, 0),"请针对该题型加强练习"))</f>
        <v/>
      </c>
      <c r="AC391" s="5" t="str">
        <f>IF(W391="","", "⚠️ 薄弱环节: "&amp;INDEX($R$1:$V$1, MATCH(MIN(R391:V391), R391:V391, 0))&amp;CHAR(10)&amp;"📉 考察能力: "&amp;IFERROR(VLOOKUP(TRIM(D391)&amp;"_"&amp;TRIM(INDEX($R$1:$V$1, MATCH(MIN(R391:V391), R391:V391, 0))), 技能库!$A:$F, 5, 0),"建议查阅考纲")&amp;CHAR(10)&amp;"💡 提升建议: "&amp;IFERROR(VLOOKUP(TRIM(D391)&amp;"_"&amp;TRIM(INDEX($R$1:$V$1, MATCH(MIN(R391:V391), R391:V391, 0))), 技能库!$A:$F, 6, 0),"请针对该题型加强练习"))</f>
        <v/>
      </c>
    </row>
    <row r="392" spans="12:29" ht="16" hidden="1" x14ac:dyDescent="0.2">
      <c r="L392" t="str">
        <f t="shared" si="24"/>
        <v/>
      </c>
      <c r="M392" t="str">
        <f>IF(L392="","", IFERROR(VLOOKUP(L392, IF(D392="KET", 换算标准!$M:$N, IF(D392="PET", 换算标准!$S:$T, 换算标准!$AC:$AD)), 2, TRUE), 0))</f>
        <v/>
      </c>
      <c r="P392" t="str">
        <f t="shared" si="25"/>
        <v/>
      </c>
      <c r="Q392" t="str">
        <f>IF(P392="","", IFERROR(VLOOKUP(P392, IF(D392="KET", 换算标准!$O:$P, IF(D392="PET", 换算标准!$U:$V, 换算标准!$AG:$AH)), 2, TRUE), 0))</f>
        <v/>
      </c>
      <c r="W392" t="str">
        <f t="shared" si="26"/>
        <v/>
      </c>
      <c r="X392" t="str">
        <f>IF(W392="","", IFERROR(VLOOKUP(W392, IF(D392="KET", 换算标准!$Q:$R, IF(D392="PET", 换算标准!$W:$X, 换算标准!$AI:$AJ)), 2, TRUE), 0))</f>
        <v/>
      </c>
      <c r="Y392" t="str">
        <f t="shared" si="27"/>
        <v/>
      </c>
      <c r="Z392" t="str">
        <f>IF(Y392="","", IFERROR(VLOOKUP(Y392, 换算标准!$Z:$AA, 1, TRUE), ""))</f>
        <v/>
      </c>
      <c r="AA392" s="5" t="str">
        <f>IF(L392="","", "⚠️ 薄弱环节: "&amp;INDEX($E$1:$K$1, MATCH(MIN(E392:K392), E392:K392, 0))&amp;CHAR(10)&amp;"📉 考察能力: "&amp;IFERROR(VLOOKUP(TRIM(D392)&amp;"_"&amp;TRIM(INDEX($E$1:$K$1, MATCH(MIN(E392:K392), E392:K392, 0))), 技能库!$A:$F, 5, 0),"建议查阅考纲")&amp;CHAR(10)&amp;"💡 提升建议: "&amp;IFERROR(VLOOKUP(TRIM(D392)&amp;"_"&amp;TRIM(INDEX($E$1:$K$1, MATCH(MIN(E392:K392), E392:K392, 0))), 技能库!$A:$F, 6, 0),"请针对该题型加强练习"))</f>
        <v/>
      </c>
      <c r="AB392" s="5" t="str">
        <f>IF(P392="","", "⚠️ 薄弱环节: "&amp;INDEX($N$1:$O$1, MATCH(MIN(N392:O392), N392:O392, 0))&amp;CHAR(10)&amp;"📉 考察能力: "&amp;IFERROR(VLOOKUP(TRIM(D392)&amp;"_"&amp;TRIM(INDEX($N$1:$O$1, MATCH(MIN(N392:O392), N392:O392, 0))), 技能库!$A:$F, 5, 0),"建议查阅考纲")&amp;CHAR(10)&amp;"💡 提升建议: "&amp;IFERROR(VLOOKUP(TRIM(D392)&amp;"_"&amp;TRIM(INDEX($N$1:$O$1, MATCH(MIN(N392:O392), N392:O392, 0))), 技能库!$A:$F, 6, 0),"请针对该题型加强练习"))</f>
        <v/>
      </c>
      <c r="AC392" s="5" t="str">
        <f>IF(W392="","", "⚠️ 薄弱环节: "&amp;INDEX($R$1:$V$1, MATCH(MIN(R392:V392), R392:V392, 0))&amp;CHAR(10)&amp;"📉 考察能力: "&amp;IFERROR(VLOOKUP(TRIM(D392)&amp;"_"&amp;TRIM(INDEX($R$1:$V$1, MATCH(MIN(R392:V392), R392:V392, 0))), 技能库!$A:$F, 5, 0),"建议查阅考纲")&amp;CHAR(10)&amp;"💡 提升建议: "&amp;IFERROR(VLOOKUP(TRIM(D392)&amp;"_"&amp;TRIM(INDEX($R$1:$V$1, MATCH(MIN(R392:V392), R392:V392, 0))), 技能库!$A:$F, 6, 0),"请针对该题型加强练习"))</f>
        <v/>
      </c>
    </row>
    <row r="393" spans="12:29" ht="16" hidden="1" x14ac:dyDescent="0.2">
      <c r="L393" t="str">
        <f t="shared" si="24"/>
        <v/>
      </c>
      <c r="M393" t="str">
        <f>IF(L393="","", IFERROR(VLOOKUP(L393, IF(D393="KET", 换算标准!$M:$N, IF(D393="PET", 换算标准!$S:$T, 换算标准!$AC:$AD)), 2, TRUE), 0))</f>
        <v/>
      </c>
      <c r="P393" t="str">
        <f t="shared" si="25"/>
        <v/>
      </c>
      <c r="Q393" t="str">
        <f>IF(P393="","", IFERROR(VLOOKUP(P393, IF(D393="KET", 换算标准!$O:$P, IF(D393="PET", 换算标准!$U:$V, 换算标准!$AG:$AH)), 2, TRUE), 0))</f>
        <v/>
      </c>
      <c r="W393" t="str">
        <f t="shared" si="26"/>
        <v/>
      </c>
      <c r="X393" t="str">
        <f>IF(W393="","", IFERROR(VLOOKUP(W393, IF(D393="KET", 换算标准!$Q:$R, IF(D393="PET", 换算标准!$W:$X, 换算标准!$AI:$AJ)), 2, TRUE), 0))</f>
        <v/>
      </c>
      <c r="Y393" t="str">
        <f t="shared" si="27"/>
        <v/>
      </c>
      <c r="Z393" t="str">
        <f>IF(Y393="","", IFERROR(VLOOKUP(Y393, 换算标准!$Z:$AA, 1, TRUE), ""))</f>
        <v/>
      </c>
      <c r="AA393" s="5" t="str">
        <f>IF(L393="","", "⚠️ 薄弱环节: "&amp;INDEX($E$1:$K$1, MATCH(MIN(E393:K393), E393:K393, 0))&amp;CHAR(10)&amp;"📉 考察能力: "&amp;IFERROR(VLOOKUP(TRIM(D393)&amp;"_"&amp;TRIM(INDEX($E$1:$K$1, MATCH(MIN(E393:K393), E393:K393, 0))), 技能库!$A:$F, 5, 0),"建议查阅考纲")&amp;CHAR(10)&amp;"💡 提升建议: "&amp;IFERROR(VLOOKUP(TRIM(D393)&amp;"_"&amp;TRIM(INDEX($E$1:$K$1, MATCH(MIN(E393:K393), E393:K393, 0))), 技能库!$A:$F, 6, 0),"请针对该题型加强练习"))</f>
        <v/>
      </c>
      <c r="AB393" s="5" t="str">
        <f>IF(P393="","", "⚠️ 薄弱环节: "&amp;INDEX($N$1:$O$1, MATCH(MIN(N393:O393), N393:O393, 0))&amp;CHAR(10)&amp;"📉 考察能力: "&amp;IFERROR(VLOOKUP(TRIM(D393)&amp;"_"&amp;TRIM(INDEX($N$1:$O$1, MATCH(MIN(N393:O393), N393:O393, 0))), 技能库!$A:$F, 5, 0),"建议查阅考纲")&amp;CHAR(10)&amp;"💡 提升建议: "&amp;IFERROR(VLOOKUP(TRIM(D393)&amp;"_"&amp;TRIM(INDEX($N$1:$O$1, MATCH(MIN(N393:O393), N393:O393, 0))), 技能库!$A:$F, 6, 0),"请针对该题型加强练习"))</f>
        <v/>
      </c>
      <c r="AC393" s="5" t="str">
        <f>IF(W393="","", "⚠️ 薄弱环节: "&amp;INDEX($R$1:$V$1, MATCH(MIN(R393:V393), R393:V393, 0))&amp;CHAR(10)&amp;"📉 考察能力: "&amp;IFERROR(VLOOKUP(TRIM(D393)&amp;"_"&amp;TRIM(INDEX($R$1:$V$1, MATCH(MIN(R393:V393), R393:V393, 0))), 技能库!$A:$F, 5, 0),"建议查阅考纲")&amp;CHAR(10)&amp;"💡 提升建议: "&amp;IFERROR(VLOOKUP(TRIM(D393)&amp;"_"&amp;TRIM(INDEX($R$1:$V$1, MATCH(MIN(R393:V393), R393:V393, 0))), 技能库!$A:$F, 6, 0),"请针对该题型加强练习"))</f>
        <v/>
      </c>
    </row>
    <row r="394" spans="12:29" ht="16" hidden="1" x14ac:dyDescent="0.2">
      <c r="L394" t="str">
        <f t="shared" si="24"/>
        <v/>
      </c>
      <c r="M394" t="str">
        <f>IF(L394="","", IFERROR(VLOOKUP(L394, IF(D394="KET", 换算标准!$M:$N, IF(D394="PET", 换算标准!$S:$T, 换算标准!$AC:$AD)), 2, TRUE), 0))</f>
        <v/>
      </c>
      <c r="P394" t="str">
        <f t="shared" si="25"/>
        <v/>
      </c>
      <c r="Q394" t="str">
        <f>IF(P394="","", IFERROR(VLOOKUP(P394, IF(D394="KET", 换算标准!$O:$P, IF(D394="PET", 换算标准!$U:$V, 换算标准!$AG:$AH)), 2, TRUE), 0))</f>
        <v/>
      </c>
      <c r="W394" t="str">
        <f t="shared" si="26"/>
        <v/>
      </c>
      <c r="X394" t="str">
        <f>IF(W394="","", IFERROR(VLOOKUP(W394, IF(D394="KET", 换算标准!$Q:$R, IF(D394="PET", 换算标准!$W:$X, 换算标准!$AI:$AJ)), 2, TRUE), 0))</f>
        <v/>
      </c>
      <c r="Y394" t="str">
        <f t="shared" si="27"/>
        <v/>
      </c>
      <c r="Z394" t="str">
        <f>IF(Y394="","", IFERROR(VLOOKUP(Y394, 换算标准!$Z:$AA, 1, TRUE), ""))</f>
        <v/>
      </c>
      <c r="AA394" s="5" t="str">
        <f>IF(L394="","", "⚠️ 薄弱环节: "&amp;INDEX($E$1:$K$1, MATCH(MIN(E394:K394), E394:K394, 0))&amp;CHAR(10)&amp;"📉 考察能力: "&amp;IFERROR(VLOOKUP(TRIM(D394)&amp;"_"&amp;TRIM(INDEX($E$1:$K$1, MATCH(MIN(E394:K394), E394:K394, 0))), 技能库!$A:$F, 5, 0),"建议查阅考纲")&amp;CHAR(10)&amp;"💡 提升建议: "&amp;IFERROR(VLOOKUP(TRIM(D394)&amp;"_"&amp;TRIM(INDEX($E$1:$K$1, MATCH(MIN(E394:K394), E394:K394, 0))), 技能库!$A:$F, 6, 0),"请针对该题型加强练习"))</f>
        <v/>
      </c>
      <c r="AB394" s="5" t="str">
        <f>IF(P394="","", "⚠️ 薄弱环节: "&amp;INDEX($N$1:$O$1, MATCH(MIN(N394:O394), N394:O394, 0))&amp;CHAR(10)&amp;"📉 考察能力: "&amp;IFERROR(VLOOKUP(TRIM(D394)&amp;"_"&amp;TRIM(INDEX($N$1:$O$1, MATCH(MIN(N394:O394), N394:O394, 0))), 技能库!$A:$F, 5, 0),"建议查阅考纲")&amp;CHAR(10)&amp;"💡 提升建议: "&amp;IFERROR(VLOOKUP(TRIM(D394)&amp;"_"&amp;TRIM(INDEX($N$1:$O$1, MATCH(MIN(N394:O394), N394:O394, 0))), 技能库!$A:$F, 6, 0),"请针对该题型加强练习"))</f>
        <v/>
      </c>
      <c r="AC394" s="5" t="str">
        <f>IF(W394="","", "⚠️ 薄弱环节: "&amp;INDEX($R$1:$V$1, MATCH(MIN(R394:V394), R394:V394, 0))&amp;CHAR(10)&amp;"📉 考察能力: "&amp;IFERROR(VLOOKUP(TRIM(D394)&amp;"_"&amp;TRIM(INDEX($R$1:$V$1, MATCH(MIN(R394:V394), R394:V394, 0))), 技能库!$A:$F, 5, 0),"建议查阅考纲")&amp;CHAR(10)&amp;"💡 提升建议: "&amp;IFERROR(VLOOKUP(TRIM(D394)&amp;"_"&amp;TRIM(INDEX($R$1:$V$1, MATCH(MIN(R394:V394), R394:V394, 0))), 技能库!$A:$F, 6, 0),"请针对该题型加强练习"))</f>
        <v/>
      </c>
    </row>
    <row r="395" spans="12:29" ht="16" hidden="1" x14ac:dyDescent="0.2">
      <c r="L395" t="str">
        <f t="shared" si="24"/>
        <v/>
      </c>
      <c r="M395" t="str">
        <f>IF(L395="","", IFERROR(VLOOKUP(L395, IF(D395="KET", 换算标准!$M:$N, IF(D395="PET", 换算标准!$S:$T, 换算标准!$AC:$AD)), 2, TRUE), 0))</f>
        <v/>
      </c>
      <c r="P395" t="str">
        <f t="shared" si="25"/>
        <v/>
      </c>
      <c r="Q395" t="str">
        <f>IF(P395="","", IFERROR(VLOOKUP(P395, IF(D395="KET", 换算标准!$O:$P, IF(D395="PET", 换算标准!$U:$V, 换算标准!$AG:$AH)), 2, TRUE), 0))</f>
        <v/>
      </c>
      <c r="W395" t="str">
        <f t="shared" si="26"/>
        <v/>
      </c>
      <c r="X395" t="str">
        <f>IF(W395="","", IFERROR(VLOOKUP(W395, IF(D395="KET", 换算标准!$Q:$R, IF(D395="PET", 换算标准!$W:$X, 换算标准!$AI:$AJ)), 2, TRUE), 0))</f>
        <v/>
      </c>
      <c r="Y395" t="str">
        <f t="shared" si="27"/>
        <v/>
      </c>
      <c r="Z395" t="str">
        <f>IF(Y395="","", IFERROR(VLOOKUP(Y395, 换算标准!$Z:$AA, 1, TRUE), ""))</f>
        <v/>
      </c>
      <c r="AA395" s="5" t="str">
        <f>IF(L395="","", "⚠️ 薄弱环节: "&amp;INDEX($E$1:$K$1, MATCH(MIN(E395:K395), E395:K395, 0))&amp;CHAR(10)&amp;"📉 考察能力: "&amp;IFERROR(VLOOKUP(TRIM(D395)&amp;"_"&amp;TRIM(INDEX($E$1:$K$1, MATCH(MIN(E395:K395), E395:K395, 0))), 技能库!$A:$F, 5, 0),"建议查阅考纲")&amp;CHAR(10)&amp;"💡 提升建议: "&amp;IFERROR(VLOOKUP(TRIM(D395)&amp;"_"&amp;TRIM(INDEX($E$1:$K$1, MATCH(MIN(E395:K395), E395:K395, 0))), 技能库!$A:$F, 6, 0),"请针对该题型加强练习"))</f>
        <v/>
      </c>
      <c r="AB395" s="5" t="str">
        <f>IF(P395="","", "⚠️ 薄弱环节: "&amp;INDEX($N$1:$O$1, MATCH(MIN(N395:O395), N395:O395, 0))&amp;CHAR(10)&amp;"📉 考察能力: "&amp;IFERROR(VLOOKUP(TRIM(D395)&amp;"_"&amp;TRIM(INDEX($N$1:$O$1, MATCH(MIN(N395:O395), N395:O395, 0))), 技能库!$A:$F, 5, 0),"建议查阅考纲")&amp;CHAR(10)&amp;"💡 提升建议: "&amp;IFERROR(VLOOKUP(TRIM(D395)&amp;"_"&amp;TRIM(INDEX($N$1:$O$1, MATCH(MIN(N395:O395), N395:O395, 0))), 技能库!$A:$F, 6, 0),"请针对该题型加强练习"))</f>
        <v/>
      </c>
      <c r="AC395" s="5" t="str">
        <f>IF(W395="","", "⚠️ 薄弱环节: "&amp;INDEX($R$1:$V$1, MATCH(MIN(R395:V395), R395:V395, 0))&amp;CHAR(10)&amp;"📉 考察能力: "&amp;IFERROR(VLOOKUP(TRIM(D395)&amp;"_"&amp;TRIM(INDEX($R$1:$V$1, MATCH(MIN(R395:V395), R395:V395, 0))), 技能库!$A:$F, 5, 0),"建议查阅考纲")&amp;CHAR(10)&amp;"💡 提升建议: "&amp;IFERROR(VLOOKUP(TRIM(D395)&amp;"_"&amp;TRIM(INDEX($R$1:$V$1, MATCH(MIN(R395:V395), R395:V395, 0))), 技能库!$A:$F, 6, 0),"请针对该题型加强练习"))</f>
        <v/>
      </c>
    </row>
    <row r="396" spans="12:29" ht="16" hidden="1" x14ac:dyDescent="0.2">
      <c r="L396" t="str">
        <f t="shared" si="24"/>
        <v/>
      </c>
      <c r="M396" t="str">
        <f>IF(L396="","", IFERROR(VLOOKUP(L396, IF(D396="KET", 换算标准!$M:$N, IF(D396="PET", 换算标准!$S:$T, 换算标准!$AC:$AD)), 2, TRUE), 0))</f>
        <v/>
      </c>
      <c r="P396" t="str">
        <f t="shared" si="25"/>
        <v/>
      </c>
      <c r="Q396" t="str">
        <f>IF(P396="","", IFERROR(VLOOKUP(P396, IF(D396="KET", 换算标准!$O:$P, IF(D396="PET", 换算标准!$U:$V, 换算标准!$AG:$AH)), 2, TRUE), 0))</f>
        <v/>
      </c>
      <c r="W396" t="str">
        <f t="shared" si="26"/>
        <v/>
      </c>
      <c r="X396" t="str">
        <f>IF(W396="","", IFERROR(VLOOKUP(W396, IF(D396="KET", 换算标准!$Q:$R, IF(D396="PET", 换算标准!$W:$X, 换算标准!$AI:$AJ)), 2, TRUE), 0))</f>
        <v/>
      </c>
      <c r="Y396" t="str">
        <f t="shared" si="27"/>
        <v/>
      </c>
      <c r="Z396" t="str">
        <f>IF(Y396="","", IFERROR(VLOOKUP(Y396, 换算标准!$Z:$AA, 1, TRUE), ""))</f>
        <v/>
      </c>
      <c r="AA396" s="5" t="str">
        <f>IF(L396="","", "⚠️ 薄弱环节: "&amp;INDEX($E$1:$K$1, MATCH(MIN(E396:K396), E396:K396, 0))&amp;CHAR(10)&amp;"📉 考察能力: "&amp;IFERROR(VLOOKUP(TRIM(D396)&amp;"_"&amp;TRIM(INDEX($E$1:$K$1, MATCH(MIN(E396:K396), E396:K396, 0))), 技能库!$A:$F, 5, 0),"建议查阅考纲")&amp;CHAR(10)&amp;"💡 提升建议: "&amp;IFERROR(VLOOKUP(TRIM(D396)&amp;"_"&amp;TRIM(INDEX($E$1:$K$1, MATCH(MIN(E396:K396), E396:K396, 0))), 技能库!$A:$F, 6, 0),"请针对该题型加强练习"))</f>
        <v/>
      </c>
      <c r="AB396" s="5" t="str">
        <f>IF(P396="","", "⚠️ 薄弱环节: "&amp;INDEX($N$1:$O$1, MATCH(MIN(N396:O396), N396:O396, 0))&amp;CHAR(10)&amp;"📉 考察能力: "&amp;IFERROR(VLOOKUP(TRIM(D396)&amp;"_"&amp;TRIM(INDEX($N$1:$O$1, MATCH(MIN(N396:O396), N396:O396, 0))), 技能库!$A:$F, 5, 0),"建议查阅考纲")&amp;CHAR(10)&amp;"💡 提升建议: "&amp;IFERROR(VLOOKUP(TRIM(D396)&amp;"_"&amp;TRIM(INDEX($N$1:$O$1, MATCH(MIN(N396:O396), N396:O396, 0))), 技能库!$A:$F, 6, 0),"请针对该题型加强练习"))</f>
        <v/>
      </c>
      <c r="AC396" s="5" t="str">
        <f>IF(W396="","", "⚠️ 薄弱环节: "&amp;INDEX($R$1:$V$1, MATCH(MIN(R396:V396), R396:V396, 0))&amp;CHAR(10)&amp;"📉 考察能力: "&amp;IFERROR(VLOOKUP(TRIM(D396)&amp;"_"&amp;TRIM(INDEX($R$1:$V$1, MATCH(MIN(R396:V396), R396:V396, 0))), 技能库!$A:$F, 5, 0),"建议查阅考纲")&amp;CHAR(10)&amp;"💡 提升建议: "&amp;IFERROR(VLOOKUP(TRIM(D396)&amp;"_"&amp;TRIM(INDEX($R$1:$V$1, MATCH(MIN(R396:V396), R396:V396, 0))), 技能库!$A:$F, 6, 0),"请针对该题型加强练习"))</f>
        <v/>
      </c>
    </row>
    <row r="397" spans="12:29" ht="16" hidden="1" x14ac:dyDescent="0.2">
      <c r="L397" t="str">
        <f t="shared" si="24"/>
        <v/>
      </c>
      <c r="M397" t="str">
        <f>IF(L397="","", IFERROR(VLOOKUP(L397, IF(D397="KET", 换算标准!$M:$N, IF(D397="PET", 换算标准!$S:$T, 换算标准!$AC:$AD)), 2, TRUE), 0))</f>
        <v/>
      </c>
      <c r="P397" t="str">
        <f t="shared" si="25"/>
        <v/>
      </c>
      <c r="Q397" t="str">
        <f>IF(P397="","", IFERROR(VLOOKUP(P397, IF(D397="KET", 换算标准!$O:$P, IF(D397="PET", 换算标准!$U:$V, 换算标准!$AG:$AH)), 2, TRUE), 0))</f>
        <v/>
      </c>
      <c r="W397" t="str">
        <f t="shared" si="26"/>
        <v/>
      </c>
      <c r="X397" t="str">
        <f>IF(W397="","", IFERROR(VLOOKUP(W397, IF(D397="KET", 换算标准!$Q:$R, IF(D397="PET", 换算标准!$W:$X, 换算标准!$AI:$AJ)), 2, TRUE), 0))</f>
        <v/>
      </c>
      <c r="Y397" t="str">
        <f t="shared" si="27"/>
        <v/>
      </c>
      <c r="Z397" t="str">
        <f>IF(Y397="","", IFERROR(VLOOKUP(Y397, 换算标准!$Z:$AA, 1, TRUE), ""))</f>
        <v/>
      </c>
      <c r="AA397" s="5" t="str">
        <f>IF(L397="","", "⚠️ 薄弱环节: "&amp;INDEX($E$1:$K$1, MATCH(MIN(E397:K397), E397:K397, 0))&amp;CHAR(10)&amp;"📉 考察能力: "&amp;IFERROR(VLOOKUP(TRIM(D397)&amp;"_"&amp;TRIM(INDEX($E$1:$K$1, MATCH(MIN(E397:K397), E397:K397, 0))), 技能库!$A:$F, 5, 0),"建议查阅考纲")&amp;CHAR(10)&amp;"💡 提升建议: "&amp;IFERROR(VLOOKUP(TRIM(D397)&amp;"_"&amp;TRIM(INDEX($E$1:$K$1, MATCH(MIN(E397:K397), E397:K397, 0))), 技能库!$A:$F, 6, 0),"请针对该题型加强练习"))</f>
        <v/>
      </c>
      <c r="AB397" s="5" t="str">
        <f>IF(P397="","", "⚠️ 薄弱环节: "&amp;INDEX($N$1:$O$1, MATCH(MIN(N397:O397), N397:O397, 0))&amp;CHAR(10)&amp;"📉 考察能力: "&amp;IFERROR(VLOOKUP(TRIM(D397)&amp;"_"&amp;TRIM(INDEX($N$1:$O$1, MATCH(MIN(N397:O397), N397:O397, 0))), 技能库!$A:$F, 5, 0),"建议查阅考纲")&amp;CHAR(10)&amp;"💡 提升建议: "&amp;IFERROR(VLOOKUP(TRIM(D397)&amp;"_"&amp;TRIM(INDEX($N$1:$O$1, MATCH(MIN(N397:O397), N397:O397, 0))), 技能库!$A:$F, 6, 0),"请针对该题型加强练习"))</f>
        <v/>
      </c>
      <c r="AC397" s="5" t="str">
        <f>IF(W397="","", "⚠️ 薄弱环节: "&amp;INDEX($R$1:$V$1, MATCH(MIN(R397:V397), R397:V397, 0))&amp;CHAR(10)&amp;"📉 考察能力: "&amp;IFERROR(VLOOKUP(TRIM(D397)&amp;"_"&amp;TRIM(INDEX($R$1:$V$1, MATCH(MIN(R397:V397), R397:V397, 0))), 技能库!$A:$F, 5, 0),"建议查阅考纲")&amp;CHAR(10)&amp;"💡 提升建议: "&amp;IFERROR(VLOOKUP(TRIM(D397)&amp;"_"&amp;TRIM(INDEX($R$1:$V$1, MATCH(MIN(R397:V397), R397:V397, 0))), 技能库!$A:$F, 6, 0),"请针对该题型加强练习"))</f>
        <v/>
      </c>
    </row>
    <row r="398" spans="12:29" ht="16" hidden="1" x14ac:dyDescent="0.2">
      <c r="L398" t="str">
        <f t="shared" si="24"/>
        <v/>
      </c>
      <c r="M398" t="str">
        <f>IF(L398="","", IFERROR(VLOOKUP(L398, IF(D398="KET", 换算标准!$M:$N, IF(D398="PET", 换算标准!$S:$T, 换算标准!$AC:$AD)), 2, TRUE), 0))</f>
        <v/>
      </c>
      <c r="P398" t="str">
        <f t="shared" si="25"/>
        <v/>
      </c>
      <c r="Q398" t="str">
        <f>IF(P398="","", IFERROR(VLOOKUP(P398, IF(D398="KET", 换算标准!$O:$P, IF(D398="PET", 换算标准!$U:$V, 换算标准!$AG:$AH)), 2, TRUE), 0))</f>
        <v/>
      </c>
      <c r="W398" t="str">
        <f t="shared" si="26"/>
        <v/>
      </c>
      <c r="X398" t="str">
        <f>IF(W398="","", IFERROR(VLOOKUP(W398, IF(D398="KET", 换算标准!$Q:$R, IF(D398="PET", 换算标准!$W:$X, 换算标准!$AI:$AJ)), 2, TRUE), 0))</f>
        <v/>
      </c>
      <c r="Y398" t="str">
        <f t="shared" si="27"/>
        <v/>
      </c>
      <c r="Z398" t="str">
        <f>IF(Y398="","", IFERROR(VLOOKUP(Y398, 换算标准!$Z:$AA, 1, TRUE), ""))</f>
        <v/>
      </c>
      <c r="AA398" s="5" t="str">
        <f>IF(L398="","", "⚠️ 薄弱环节: "&amp;INDEX($E$1:$K$1, MATCH(MIN(E398:K398), E398:K398, 0))&amp;CHAR(10)&amp;"📉 考察能力: "&amp;IFERROR(VLOOKUP(TRIM(D398)&amp;"_"&amp;TRIM(INDEX($E$1:$K$1, MATCH(MIN(E398:K398), E398:K398, 0))), 技能库!$A:$F, 5, 0),"建议查阅考纲")&amp;CHAR(10)&amp;"💡 提升建议: "&amp;IFERROR(VLOOKUP(TRIM(D398)&amp;"_"&amp;TRIM(INDEX($E$1:$K$1, MATCH(MIN(E398:K398), E398:K398, 0))), 技能库!$A:$F, 6, 0),"请针对该题型加强练习"))</f>
        <v/>
      </c>
      <c r="AB398" s="5" t="str">
        <f>IF(P398="","", "⚠️ 薄弱环节: "&amp;INDEX($N$1:$O$1, MATCH(MIN(N398:O398), N398:O398, 0))&amp;CHAR(10)&amp;"📉 考察能力: "&amp;IFERROR(VLOOKUP(TRIM(D398)&amp;"_"&amp;TRIM(INDEX($N$1:$O$1, MATCH(MIN(N398:O398), N398:O398, 0))), 技能库!$A:$F, 5, 0),"建议查阅考纲")&amp;CHAR(10)&amp;"💡 提升建议: "&amp;IFERROR(VLOOKUP(TRIM(D398)&amp;"_"&amp;TRIM(INDEX($N$1:$O$1, MATCH(MIN(N398:O398), N398:O398, 0))), 技能库!$A:$F, 6, 0),"请针对该题型加强练习"))</f>
        <v/>
      </c>
      <c r="AC398" s="5" t="str">
        <f>IF(W398="","", "⚠️ 薄弱环节: "&amp;INDEX($R$1:$V$1, MATCH(MIN(R398:V398), R398:V398, 0))&amp;CHAR(10)&amp;"📉 考察能力: "&amp;IFERROR(VLOOKUP(TRIM(D398)&amp;"_"&amp;TRIM(INDEX($R$1:$V$1, MATCH(MIN(R398:V398), R398:V398, 0))), 技能库!$A:$F, 5, 0),"建议查阅考纲")&amp;CHAR(10)&amp;"💡 提升建议: "&amp;IFERROR(VLOOKUP(TRIM(D398)&amp;"_"&amp;TRIM(INDEX($R$1:$V$1, MATCH(MIN(R398:V398), R398:V398, 0))), 技能库!$A:$F, 6, 0),"请针对该题型加强练习"))</f>
        <v/>
      </c>
    </row>
    <row r="399" spans="12:29" ht="16" hidden="1" x14ac:dyDescent="0.2">
      <c r="L399" t="str">
        <f t="shared" si="24"/>
        <v/>
      </c>
      <c r="M399" t="str">
        <f>IF(L399="","", IFERROR(VLOOKUP(L399, IF(D399="KET", 换算标准!$M:$N, IF(D399="PET", 换算标准!$S:$T, 换算标准!$AC:$AD)), 2, TRUE), 0))</f>
        <v/>
      </c>
      <c r="P399" t="str">
        <f t="shared" si="25"/>
        <v/>
      </c>
      <c r="Q399" t="str">
        <f>IF(P399="","", IFERROR(VLOOKUP(P399, IF(D399="KET", 换算标准!$O:$P, IF(D399="PET", 换算标准!$U:$V, 换算标准!$AG:$AH)), 2, TRUE), 0))</f>
        <v/>
      </c>
      <c r="W399" t="str">
        <f t="shared" si="26"/>
        <v/>
      </c>
      <c r="X399" t="str">
        <f>IF(W399="","", IFERROR(VLOOKUP(W399, IF(D399="KET", 换算标准!$Q:$R, IF(D399="PET", 换算标准!$W:$X, 换算标准!$AI:$AJ)), 2, TRUE), 0))</f>
        <v/>
      </c>
      <c r="Y399" t="str">
        <f t="shared" si="27"/>
        <v/>
      </c>
      <c r="Z399" t="str">
        <f>IF(Y399="","", IFERROR(VLOOKUP(Y399, 换算标准!$Z:$AA, 1, TRUE), ""))</f>
        <v/>
      </c>
      <c r="AA399" s="5" t="str">
        <f>IF(L399="","", "⚠️ 薄弱环节: "&amp;INDEX($E$1:$K$1, MATCH(MIN(E399:K399), E399:K399, 0))&amp;CHAR(10)&amp;"📉 考察能力: "&amp;IFERROR(VLOOKUP(TRIM(D399)&amp;"_"&amp;TRIM(INDEX($E$1:$K$1, MATCH(MIN(E399:K399), E399:K399, 0))), 技能库!$A:$F, 5, 0),"建议查阅考纲")&amp;CHAR(10)&amp;"💡 提升建议: "&amp;IFERROR(VLOOKUP(TRIM(D399)&amp;"_"&amp;TRIM(INDEX($E$1:$K$1, MATCH(MIN(E399:K399), E399:K399, 0))), 技能库!$A:$F, 6, 0),"请针对该题型加强练习"))</f>
        <v/>
      </c>
      <c r="AB399" s="5" t="str">
        <f>IF(P399="","", "⚠️ 薄弱环节: "&amp;INDEX($N$1:$O$1, MATCH(MIN(N399:O399), N399:O399, 0))&amp;CHAR(10)&amp;"📉 考察能力: "&amp;IFERROR(VLOOKUP(TRIM(D399)&amp;"_"&amp;TRIM(INDEX($N$1:$O$1, MATCH(MIN(N399:O399), N399:O399, 0))), 技能库!$A:$F, 5, 0),"建议查阅考纲")&amp;CHAR(10)&amp;"💡 提升建议: "&amp;IFERROR(VLOOKUP(TRIM(D399)&amp;"_"&amp;TRIM(INDEX($N$1:$O$1, MATCH(MIN(N399:O399), N399:O399, 0))), 技能库!$A:$F, 6, 0),"请针对该题型加强练习"))</f>
        <v/>
      </c>
      <c r="AC399" s="5" t="str">
        <f>IF(W399="","", "⚠️ 薄弱环节: "&amp;INDEX($R$1:$V$1, MATCH(MIN(R399:V399), R399:V399, 0))&amp;CHAR(10)&amp;"📉 考察能力: "&amp;IFERROR(VLOOKUP(TRIM(D399)&amp;"_"&amp;TRIM(INDEX($R$1:$V$1, MATCH(MIN(R399:V399), R399:V399, 0))), 技能库!$A:$F, 5, 0),"建议查阅考纲")&amp;CHAR(10)&amp;"💡 提升建议: "&amp;IFERROR(VLOOKUP(TRIM(D399)&amp;"_"&amp;TRIM(INDEX($R$1:$V$1, MATCH(MIN(R399:V399), R399:V399, 0))), 技能库!$A:$F, 6, 0),"请针对该题型加强练习"))</f>
        <v/>
      </c>
    </row>
    <row r="400" spans="12:29" ht="16" hidden="1" x14ac:dyDescent="0.2">
      <c r="L400" t="str">
        <f t="shared" si="24"/>
        <v/>
      </c>
      <c r="M400" t="str">
        <f>IF(L400="","", IFERROR(VLOOKUP(L400, IF(D400="KET", 换算标准!$M:$N, IF(D400="PET", 换算标准!$S:$T, 换算标准!$AC:$AD)), 2, TRUE), 0))</f>
        <v/>
      </c>
      <c r="P400" t="str">
        <f t="shared" si="25"/>
        <v/>
      </c>
      <c r="Q400" t="str">
        <f>IF(P400="","", IFERROR(VLOOKUP(P400, IF(D400="KET", 换算标准!$O:$P, IF(D400="PET", 换算标准!$U:$V, 换算标准!$AG:$AH)), 2, TRUE), 0))</f>
        <v/>
      </c>
      <c r="W400" t="str">
        <f t="shared" si="26"/>
        <v/>
      </c>
      <c r="X400" t="str">
        <f>IF(W400="","", IFERROR(VLOOKUP(W400, IF(D400="KET", 换算标准!$Q:$R, IF(D400="PET", 换算标准!$W:$X, 换算标准!$AI:$AJ)), 2, TRUE), 0))</f>
        <v/>
      </c>
      <c r="Y400" t="str">
        <f t="shared" si="27"/>
        <v/>
      </c>
      <c r="Z400" t="str">
        <f>IF(Y400="","", IFERROR(VLOOKUP(Y400, 换算标准!$Z:$AA, 1, TRUE), ""))</f>
        <v/>
      </c>
      <c r="AA400" s="5" t="str">
        <f>IF(L400="","", "⚠️ 薄弱环节: "&amp;INDEX($E$1:$K$1, MATCH(MIN(E400:K400), E400:K400, 0))&amp;CHAR(10)&amp;"📉 考察能力: "&amp;IFERROR(VLOOKUP(TRIM(D400)&amp;"_"&amp;TRIM(INDEX($E$1:$K$1, MATCH(MIN(E400:K400), E400:K400, 0))), 技能库!$A:$F, 5, 0),"建议查阅考纲")&amp;CHAR(10)&amp;"💡 提升建议: "&amp;IFERROR(VLOOKUP(TRIM(D400)&amp;"_"&amp;TRIM(INDEX($E$1:$K$1, MATCH(MIN(E400:K400), E400:K400, 0))), 技能库!$A:$F, 6, 0),"请针对该题型加强练习"))</f>
        <v/>
      </c>
      <c r="AB400" s="5" t="str">
        <f>IF(P400="","", "⚠️ 薄弱环节: "&amp;INDEX($N$1:$O$1, MATCH(MIN(N400:O400), N400:O400, 0))&amp;CHAR(10)&amp;"📉 考察能力: "&amp;IFERROR(VLOOKUP(TRIM(D400)&amp;"_"&amp;TRIM(INDEX($N$1:$O$1, MATCH(MIN(N400:O400), N400:O400, 0))), 技能库!$A:$F, 5, 0),"建议查阅考纲")&amp;CHAR(10)&amp;"💡 提升建议: "&amp;IFERROR(VLOOKUP(TRIM(D400)&amp;"_"&amp;TRIM(INDEX($N$1:$O$1, MATCH(MIN(N400:O400), N400:O400, 0))), 技能库!$A:$F, 6, 0),"请针对该题型加强练习"))</f>
        <v/>
      </c>
      <c r="AC400" s="5" t="str">
        <f>IF(W400="","", "⚠️ 薄弱环节: "&amp;INDEX($R$1:$V$1, MATCH(MIN(R400:V400), R400:V400, 0))&amp;CHAR(10)&amp;"📉 考察能力: "&amp;IFERROR(VLOOKUP(TRIM(D400)&amp;"_"&amp;TRIM(INDEX($R$1:$V$1, MATCH(MIN(R400:V400), R400:V400, 0))), 技能库!$A:$F, 5, 0),"建议查阅考纲")&amp;CHAR(10)&amp;"💡 提升建议: "&amp;IFERROR(VLOOKUP(TRIM(D400)&amp;"_"&amp;TRIM(INDEX($R$1:$V$1, MATCH(MIN(R400:V400), R400:V400, 0))), 技能库!$A:$F, 6, 0),"请针对该题型加强练习"))</f>
        <v/>
      </c>
    </row>
    <row r="401" spans="12:29" ht="16" hidden="1" x14ac:dyDescent="0.2">
      <c r="L401" t="str">
        <f t="shared" si="24"/>
        <v/>
      </c>
      <c r="M401" t="str">
        <f>IF(L401="","", IFERROR(VLOOKUP(L401, IF(D401="KET", 换算标准!$M:$N, IF(D401="PET", 换算标准!$S:$T, 换算标准!$AC:$AD)), 2, TRUE), 0))</f>
        <v/>
      </c>
      <c r="P401" t="str">
        <f t="shared" si="25"/>
        <v/>
      </c>
      <c r="Q401" t="str">
        <f>IF(P401="","", IFERROR(VLOOKUP(P401, IF(D401="KET", 换算标准!$O:$P, IF(D401="PET", 换算标准!$U:$V, 换算标准!$AG:$AH)), 2, TRUE), 0))</f>
        <v/>
      </c>
      <c r="W401" t="str">
        <f t="shared" si="26"/>
        <v/>
      </c>
      <c r="X401" t="str">
        <f>IF(W401="","", IFERROR(VLOOKUP(W401, IF(D401="KET", 换算标准!$Q:$R, IF(D401="PET", 换算标准!$W:$X, 换算标准!$AI:$AJ)), 2, TRUE), 0))</f>
        <v/>
      </c>
      <c r="Y401" t="str">
        <f t="shared" si="27"/>
        <v/>
      </c>
      <c r="Z401" t="str">
        <f>IF(Y401="","", IFERROR(VLOOKUP(Y401, 换算标准!$Z:$AA, 1, TRUE), ""))</f>
        <v/>
      </c>
      <c r="AA401" s="5" t="str">
        <f>IF(L401="","", "⚠️ 薄弱环节: "&amp;INDEX($E$1:$K$1, MATCH(MIN(E401:K401), E401:K401, 0))&amp;CHAR(10)&amp;"📉 考察能力: "&amp;IFERROR(VLOOKUP(TRIM(D401)&amp;"_"&amp;TRIM(INDEX($E$1:$K$1, MATCH(MIN(E401:K401), E401:K401, 0))), 技能库!$A:$F, 5, 0),"建议查阅考纲")&amp;CHAR(10)&amp;"💡 提升建议: "&amp;IFERROR(VLOOKUP(TRIM(D401)&amp;"_"&amp;TRIM(INDEX($E$1:$K$1, MATCH(MIN(E401:K401), E401:K401, 0))), 技能库!$A:$F, 6, 0),"请针对该题型加强练习"))</f>
        <v/>
      </c>
      <c r="AB401" s="5" t="str">
        <f>IF(P401="","", "⚠️ 薄弱环节: "&amp;INDEX($N$1:$O$1, MATCH(MIN(N401:O401), N401:O401, 0))&amp;CHAR(10)&amp;"📉 考察能力: "&amp;IFERROR(VLOOKUP(TRIM(D401)&amp;"_"&amp;TRIM(INDEX($N$1:$O$1, MATCH(MIN(N401:O401), N401:O401, 0))), 技能库!$A:$F, 5, 0),"建议查阅考纲")&amp;CHAR(10)&amp;"💡 提升建议: "&amp;IFERROR(VLOOKUP(TRIM(D401)&amp;"_"&amp;TRIM(INDEX($N$1:$O$1, MATCH(MIN(N401:O401), N401:O401, 0))), 技能库!$A:$F, 6, 0),"请针对该题型加强练习"))</f>
        <v/>
      </c>
      <c r="AC401" s="5" t="str">
        <f>IF(W401="","", "⚠️ 薄弱环节: "&amp;INDEX($R$1:$V$1, MATCH(MIN(R401:V401), R401:V401, 0))&amp;CHAR(10)&amp;"📉 考察能力: "&amp;IFERROR(VLOOKUP(TRIM(D401)&amp;"_"&amp;TRIM(INDEX($R$1:$V$1, MATCH(MIN(R401:V401), R401:V401, 0))), 技能库!$A:$F, 5, 0),"建议查阅考纲")&amp;CHAR(10)&amp;"💡 提升建议: "&amp;IFERROR(VLOOKUP(TRIM(D401)&amp;"_"&amp;TRIM(INDEX($R$1:$V$1, MATCH(MIN(R401:V401), R401:V401, 0))), 技能库!$A:$F, 6, 0),"请针对该题型加强练习"))</f>
        <v/>
      </c>
    </row>
    <row r="402" spans="12:29" ht="16" hidden="1" x14ac:dyDescent="0.2">
      <c r="L402" t="str">
        <f t="shared" si="24"/>
        <v/>
      </c>
      <c r="M402" t="str">
        <f>IF(L402="","", IFERROR(VLOOKUP(L402, IF(D402="KET", 换算标准!$M:$N, IF(D402="PET", 换算标准!$S:$T, 换算标准!$AC:$AD)), 2, TRUE), 0))</f>
        <v/>
      </c>
      <c r="P402" t="str">
        <f t="shared" si="25"/>
        <v/>
      </c>
      <c r="Q402" t="str">
        <f>IF(P402="","", IFERROR(VLOOKUP(P402, IF(D402="KET", 换算标准!$O:$P, IF(D402="PET", 换算标准!$U:$V, 换算标准!$AG:$AH)), 2, TRUE), 0))</f>
        <v/>
      </c>
      <c r="W402" t="str">
        <f t="shared" si="26"/>
        <v/>
      </c>
      <c r="X402" t="str">
        <f>IF(W402="","", IFERROR(VLOOKUP(W402, IF(D402="KET", 换算标准!$Q:$R, IF(D402="PET", 换算标准!$W:$X, 换算标准!$AI:$AJ)), 2, TRUE), 0))</f>
        <v/>
      </c>
      <c r="Y402" t="str">
        <f t="shared" si="27"/>
        <v/>
      </c>
      <c r="Z402" t="str">
        <f>IF(Y402="","", IFERROR(VLOOKUP(Y402, 换算标准!$Z:$AA, 1, TRUE), ""))</f>
        <v/>
      </c>
      <c r="AA402" s="5" t="str">
        <f>IF(L402="","", "⚠️ 薄弱环节: "&amp;INDEX($E$1:$K$1, MATCH(MIN(E402:K402), E402:K402, 0))&amp;CHAR(10)&amp;"📉 考察能力: "&amp;IFERROR(VLOOKUP(TRIM(D402)&amp;"_"&amp;TRIM(INDEX($E$1:$K$1, MATCH(MIN(E402:K402), E402:K402, 0))), 技能库!$A:$F, 5, 0),"建议查阅考纲")&amp;CHAR(10)&amp;"💡 提升建议: "&amp;IFERROR(VLOOKUP(TRIM(D402)&amp;"_"&amp;TRIM(INDEX($E$1:$K$1, MATCH(MIN(E402:K402), E402:K402, 0))), 技能库!$A:$F, 6, 0),"请针对该题型加强练习"))</f>
        <v/>
      </c>
      <c r="AB402" s="5" t="str">
        <f>IF(P402="","", "⚠️ 薄弱环节: "&amp;INDEX($N$1:$O$1, MATCH(MIN(N402:O402), N402:O402, 0))&amp;CHAR(10)&amp;"📉 考察能力: "&amp;IFERROR(VLOOKUP(TRIM(D402)&amp;"_"&amp;TRIM(INDEX($N$1:$O$1, MATCH(MIN(N402:O402), N402:O402, 0))), 技能库!$A:$F, 5, 0),"建议查阅考纲")&amp;CHAR(10)&amp;"💡 提升建议: "&amp;IFERROR(VLOOKUP(TRIM(D402)&amp;"_"&amp;TRIM(INDEX($N$1:$O$1, MATCH(MIN(N402:O402), N402:O402, 0))), 技能库!$A:$F, 6, 0),"请针对该题型加强练习"))</f>
        <v/>
      </c>
      <c r="AC402" s="5" t="str">
        <f>IF(W402="","", "⚠️ 薄弱环节: "&amp;INDEX($R$1:$V$1, MATCH(MIN(R402:V402), R402:V402, 0))&amp;CHAR(10)&amp;"📉 考察能力: "&amp;IFERROR(VLOOKUP(TRIM(D402)&amp;"_"&amp;TRIM(INDEX($R$1:$V$1, MATCH(MIN(R402:V402), R402:V402, 0))), 技能库!$A:$F, 5, 0),"建议查阅考纲")&amp;CHAR(10)&amp;"💡 提升建议: "&amp;IFERROR(VLOOKUP(TRIM(D402)&amp;"_"&amp;TRIM(INDEX($R$1:$V$1, MATCH(MIN(R402:V402), R402:V402, 0))), 技能库!$A:$F, 6, 0),"请针对该题型加强练习"))</f>
        <v/>
      </c>
    </row>
    <row r="403" spans="12:29" ht="16" hidden="1" x14ac:dyDescent="0.2">
      <c r="L403" t="str">
        <f t="shared" si="24"/>
        <v/>
      </c>
      <c r="M403" t="str">
        <f>IF(L403="","", IFERROR(VLOOKUP(L403, IF(D403="KET", 换算标准!$M:$N, IF(D403="PET", 换算标准!$S:$T, 换算标准!$AC:$AD)), 2, TRUE), 0))</f>
        <v/>
      </c>
      <c r="P403" t="str">
        <f t="shared" si="25"/>
        <v/>
      </c>
      <c r="Q403" t="str">
        <f>IF(P403="","", IFERROR(VLOOKUP(P403, IF(D403="KET", 换算标准!$O:$P, IF(D403="PET", 换算标准!$U:$V, 换算标准!$AG:$AH)), 2, TRUE), 0))</f>
        <v/>
      </c>
      <c r="W403" t="str">
        <f t="shared" si="26"/>
        <v/>
      </c>
      <c r="X403" t="str">
        <f>IF(W403="","", IFERROR(VLOOKUP(W403, IF(D403="KET", 换算标准!$Q:$R, IF(D403="PET", 换算标准!$W:$X, 换算标准!$AI:$AJ)), 2, TRUE), 0))</f>
        <v/>
      </c>
      <c r="Y403" t="str">
        <f t="shared" si="27"/>
        <v/>
      </c>
      <c r="Z403" t="str">
        <f>IF(Y403="","", IFERROR(VLOOKUP(Y403, 换算标准!$Z:$AA, 1, TRUE), ""))</f>
        <v/>
      </c>
      <c r="AA403" s="5" t="str">
        <f>IF(L403="","", "⚠️ 薄弱环节: "&amp;INDEX($E$1:$K$1, MATCH(MIN(E403:K403), E403:K403, 0))&amp;CHAR(10)&amp;"📉 考察能力: "&amp;IFERROR(VLOOKUP(TRIM(D403)&amp;"_"&amp;TRIM(INDEX($E$1:$K$1, MATCH(MIN(E403:K403), E403:K403, 0))), 技能库!$A:$F, 5, 0),"建议查阅考纲")&amp;CHAR(10)&amp;"💡 提升建议: "&amp;IFERROR(VLOOKUP(TRIM(D403)&amp;"_"&amp;TRIM(INDEX($E$1:$K$1, MATCH(MIN(E403:K403), E403:K403, 0))), 技能库!$A:$F, 6, 0),"请针对该题型加强练习"))</f>
        <v/>
      </c>
      <c r="AB403" s="5" t="str">
        <f>IF(P403="","", "⚠️ 薄弱环节: "&amp;INDEX($N$1:$O$1, MATCH(MIN(N403:O403), N403:O403, 0))&amp;CHAR(10)&amp;"📉 考察能力: "&amp;IFERROR(VLOOKUP(TRIM(D403)&amp;"_"&amp;TRIM(INDEX($N$1:$O$1, MATCH(MIN(N403:O403), N403:O403, 0))), 技能库!$A:$F, 5, 0),"建议查阅考纲")&amp;CHAR(10)&amp;"💡 提升建议: "&amp;IFERROR(VLOOKUP(TRIM(D403)&amp;"_"&amp;TRIM(INDEX($N$1:$O$1, MATCH(MIN(N403:O403), N403:O403, 0))), 技能库!$A:$F, 6, 0),"请针对该题型加强练习"))</f>
        <v/>
      </c>
      <c r="AC403" s="5" t="str">
        <f>IF(W403="","", "⚠️ 薄弱环节: "&amp;INDEX($R$1:$V$1, MATCH(MIN(R403:V403), R403:V403, 0))&amp;CHAR(10)&amp;"📉 考察能力: "&amp;IFERROR(VLOOKUP(TRIM(D403)&amp;"_"&amp;TRIM(INDEX($R$1:$V$1, MATCH(MIN(R403:V403), R403:V403, 0))), 技能库!$A:$F, 5, 0),"建议查阅考纲")&amp;CHAR(10)&amp;"💡 提升建议: "&amp;IFERROR(VLOOKUP(TRIM(D403)&amp;"_"&amp;TRIM(INDEX($R$1:$V$1, MATCH(MIN(R403:V403), R403:V403, 0))), 技能库!$A:$F, 6, 0),"请针对该题型加强练习"))</f>
        <v/>
      </c>
    </row>
    <row r="404" spans="12:29" ht="16" hidden="1" x14ac:dyDescent="0.2">
      <c r="L404" t="str">
        <f t="shared" si="24"/>
        <v/>
      </c>
      <c r="M404" t="str">
        <f>IF(L404="","", IFERROR(VLOOKUP(L404, IF(D404="KET", 换算标准!$M:$N, IF(D404="PET", 换算标准!$S:$T, 换算标准!$AC:$AD)), 2, TRUE), 0))</f>
        <v/>
      </c>
      <c r="P404" t="str">
        <f t="shared" si="25"/>
        <v/>
      </c>
      <c r="Q404" t="str">
        <f>IF(P404="","", IFERROR(VLOOKUP(P404, IF(D404="KET", 换算标准!$O:$P, IF(D404="PET", 换算标准!$U:$V, 换算标准!$AG:$AH)), 2, TRUE), 0))</f>
        <v/>
      </c>
      <c r="W404" t="str">
        <f t="shared" si="26"/>
        <v/>
      </c>
      <c r="X404" t="str">
        <f>IF(W404="","", IFERROR(VLOOKUP(W404, IF(D404="KET", 换算标准!$Q:$R, IF(D404="PET", 换算标准!$W:$X, 换算标准!$AI:$AJ)), 2, TRUE), 0))</f>
        <v/>
      </c>
      <c r="Y404" t="str">
        <f t="shared" si="27"/>
        <v/>
      </c>
      <c r="Z404" t="str">
        <f>IF(Y404="","", IFERROR(VLOOKUP(Y404, 换算标准!$Z:$AA, 1, TRUE), ""))</f>
        <v/>
      </c>
      <c r="AA404" s="5" t="str">
        <f>IF(L404="","", "⚠️ 薄弱环节: "&amp;INDEX($E$1:$K$1, MATCH(MIN(E404:K404), E404:K404, 0))&amp;CHAR(10)&amp;"📉 考察能力: "&amp;IFERROR(VLOOKUP(TRIM(D404)&amp;"_"&amp;TRIM(INDEX($E$1:$K$1, MATCH(MIN(E404:K404), E404:K404, 0))), 技能库!$A:$F, 5, 0),"建议查阅考纲")&amp;CHAR(10)&amp;"💡 提升建议: "&amp;IFERROR(VLOOKUP(TRIM(D404)&amp;"_"&amp;TRIM(INDEX($E$1:$K$1, MATCH(MIN(E404:K404), E404:K404, 0))), 技能库!$A:$F, 6, 0),"请针对该题型加强练习"))</f>
        <v/>
      </c>
      <c r="AB404" s="5" t="str">
        <f>IF(P404="","", "⚠️ 薄弱环节: "&amp;INDEX($N$1:$O$1, MATCH(MIN(N404:O404), N404:O404, 0))&amp;CHAR(10)&amp;"📉 考察能力: "&amp;IFERROR(VLOOKUP(TRIM(D404)&amp;"_"&amp;TRIM(INDEX($N$1:$O$1, MATCH(MIN(N404:O404), N404:O404, 0))), 技能库!$A:$F, 5, 0),"建议查阅考纲")&amp;CHAR(10)&amp;"💡 提升建议: "&amp;IFERROR(VLOOKUP(TRIM(D404)&amp;"_"&amp;TRIM(INDEX($N$1:$O$1, MATCH(MIN(N404:O404), N404:O404, 0))), 技能库!$A:$F, 6, 0),"请针对该题型加强练习"))</f>
        <v/>
      </c>
      <c r="AC404" s="5" t="str">
        <f>IF(W404="","", "⚠️ 薄弱环节: "&amp;INDEX($R$1:$V$1, MATCH(MIN(R404:V404), R404:V404, 0))&amp;CHAR(10)&amp;"📉 考察能力: "&amp;IFERROR(VLOOKUP(TRIM(D404)&amp;"_"&amp;TRIM(INDEX($R$1:$V$1, MATCH(MIN(R404:V404), R404:V404, 0))), 技能库!$A:$F, 5, 0),"建议查阅考纲")&amp;CHAR(10)&amp;"💡 提升建议: "&amp;IFERROR(VLOOKUP(TRIM(D404)&amp;"_"&amp;TRIM(INDEX($R$1:$V$1, MATCH(MIN(R404:V404), R404:V404, 0))), 技能库!$A:$F, 6, 0),"请针对该题型加强练习"))</f>
        <v/>
      </c>
    </row>
    <row r="405" spans="12:29" ht="16" hidden="1" x14ac:dyDescent="0.2">
      <c r="L405" t="str">
        <f t="shared" si="24"/>
        <v/>
      </c>
      <c r="M405" t="str">
        <f>IF(L405="","", IFERROR(VLOOKUP(L405, IF(D405="KET", 换算标准!$M:$N, IF(D405="PET", 换算标准!$S:$T, 换算标准!$AC:$AD)), 2, TRUE), 0))</f>
        <v/>
      </c>
      <c r="P405" t="str">
        <f t="shared" si="25"/>
        <v/>
      </c>
      <c r="Q405" t="str">
        <f>IF(P405="","", IFERROR(VLOOKUP(P405, IF(D405="KET", 换算标准!$O:$P, IF(D405="PET", 换算标准!$U:$V, 换算标准!$AG:$AH)), 2, TRUE), 0))</f>
        <v/>
      </c>
      <c r="W405" t="str">
        <f t="shared" si="26"/>
        <v/>
      </c>
      <c r="X405" t="str">
        <f>IF(W405="","", IFERROR(VLOOKUP(W405, IF(D405="KET", 换算标准!$Q:$R, IF(D405="PET", 换算标准!$W:$X, 换算标准!$AI:$AJ)), 2, TRUE), 0))</f>
        <v/>
      </c>
      <c r="Y405" t="str">
        <f t="shared" si="27"/>
        <v/>
      </c>
      <c r="Z405" t="str">
        <f>IF(Y405="","", IFERROR(VLOOKUP(Y405, 换算标准!$Z:$AA, 1, TRUE), ""))</f>
        <v/>
      </c>
      <c r="AA405" s="5" t="str">
        <f>IF(L405="","", "⚠️ 薄弱环节: "&amp;INDEX($E$1:$K$1, MATCH(MIN(E405:K405), E405:K405, 0))&amp;CHAR(10)&amp;"📉 考察能力: "&amp;IFERROR(VLOOKUP(TRIM(D405)&amp;"_"&amp;TRIM(INDEX($E$1:$K$1, MATCH(MIN(E405:K405), E405:K405, 0))), 技能库!$A:$F, 5, 0),"建议查阅考纲")&amp;CHAR(10)&amp;"💡 提升建议: "&amp;IFERROR(VLOOKUP(TRIM(D405)&amp;"_"&amp;TRIM(INDEX($E$1:$K$1, MATCH(MIN(E405:K405), E405:K405, 0))), 技能库!$A:$F, 6, 0),"请针对该题型加强练习"))</f>
        <v/>
      </c>
      <c r="AB405" s="5" t="str">
        <f>IF(P405="","", "⚠️ 薄弱环节: "&amp;INDEX($N$1:$O$1, MATCH(MIN(N405:O405), N405:O405, 0))&amp;CHAR(10)&amp;"📉 考察能力: "&amp;IFERROR(VLOOKUP(TRIM(D405)&amp;"_"&amp;TRIM(INDEX($N$1:$O$1, MATCH(MIN(N405:O405), N405:O405, 0))), 技能库!$A:$F, 5, 0),"建议查阅考纲")&amp;CHAR(10)&amp;"💡 提升建议: "&amp;IFERROR(VLOOKUP(TRIM(D405)&amp;"_"&amp;TRIM(INDEX($N$1:$O$1, MATCH(MIN(N405:O405), N405:O405, 0))), 技能库!$A:$F, 6, 0),"请针对该题型加强练习"))</f>
        <v/>
      </c>
      <c r="AC405" s="5" t="str">
        <f>IF(W405="","", "⚠️ 薄弱环节: "&amp;INDEX($R$1:$V$1, MATCH(MIN(R405:V405), R405:V405, 0))&amp;CHAR(10)&amp;"📉 考察能力: "&amp;IFERROR(VLOOKUP(TRIM(D405)&amp;"_"&amp;TRIM(INDEX($R$1:$V$1, MATCH(MIN(R405:V405), R405:V405, 0))), 技能库!$A:$F, 5, 0),"建议查阅考纲")&amp;CHAR(10)&amp;"💡 提升建议: "&amp;IFERROR(VLOOKUP(TRIM(D405)&amp;"_"&amp;TRIM(INDEX($R$1:$V$1, MATCH(MIN(R405:V405), R405:V405, 0))), 技能库!$A:$F, 6, 0),"请针对该题型加强练习"))</f>
        <v/>
      </c>
    </row>
    <row r="406" spans="12:29" ht="16" hidden="1" x14ac:dyDescent="0.2">
      <c r="L406" t="str">
        <f t="shared" si="24"/>
        <v/>
      </c>
      <c r="M406" t="str">
        <f>IF(L406="","", IFERROR(VLOOKUP(L406, IF(D406="KET", 换算标准!$M:$N, IF(D406="PET", 换算标准!$S:$T, 换算标准!$AC:$AD)), 2, TRUE), 0))</f>
        <v/>
      </c>
      <c r="P406" t="str">
        <f t="shared" si="25"/>
        <v/>
      </c>
      <c r="Q406" t="str">
        <f>IF(P406="","", IFERROR(VLOOKUP(P406, IF(D406="KET", 换算标准!$O:$P, IF(D406="PET", 换算标准!$U:$V, 换算标准!$AG:$AH)), 2, TRUE), 0))</f>
        <v/>
      </c>
      <c r="W406" t="str">
        <f t="shared" si="26"/>
        <v/>
      </c>
      <c r="X406" t="str">
        <f>IF(W406="","", IFERROR(VLOOKUP(W406, IF(D406="KET", 换算标准!$Q:$R, IF(D406="PET", 换算标准!$W:$X, 换算标准!$AI:$AJ)), 2, TRUE), 0))</f>
        <v/>
      </c>
      <c r="Y406" t="str">
        <f t="shared" si="27"/>
        <v/>
      </c>
      <c r="Z406" t="str">
        <f>IF(Y406="","", IFERROR(VLOOKUP(Y406, 换算标准!$Z:$AA, 1, TRUE), ""))</f>
        <v/>
      </c>
      <c r="AA406" s="5" t="str">
        <f>IF(L406="","", "⚠️ 薄弱环节: "&amp;INDEX($E$1:$K$1, MATCH(MIN(E406:K406), E406:K406, 0))&amp;CHAR(10)&amp;"📉 考察能力: "&amp;IFERROR(VLOOKUP(TRIM(D406)&amp;"_"&amp;TRIM(INDEX($E$1:$K$1, MATCH(MIN(E406:K406), E406:K406, 0))), 技能库!$A:$F, 5, 0),"建议查阅考纲")&amp;CHAR(10)&amp;"💡 提升建议: "&amp;IFERROR(VLOOKUP(TRIM(D406)&amp;"_"&amp;TRIM(INDEX($E$1:$K$1, MATCH(MIN(E406:K406), E406:K406, 0))), 技能库!$A:$F, 6, 0),"请针对该题型加强练习"))</f>
        <v/>
      </c>
      <c r="AB406" s="5" t="str">
        <f>IF(P406="","", "⚠️ 薄弱环节: "&amp;INDEX($N$1:$O$1, MATCH(MIN(N406:O406), N406:O406, 0))&amp;CHAR(10)&amp;"📉 考察能力: "&amp;IFERROR(VLOOKUP(TRIM(D406)&amp;"_"&amp;TRIM(INDEX($N$1:$O$1, MATCH(MIN(N406:O406), N406:O406, 0))), 技能库!$A:$F, 5, 0),"建议查阅考纲")&amp;CHAR(10)&amp;"💡 提升建议: "&amp;IFERROR(VLOOKUP(TRIM(D406)&amp;"_"&amp;TRIM(INDEX($N$1:$O$1, MATCH(MIN(N406:O406), N406:O406, 0))), 技能库!$A:$F, 6, 0),"请针对该题型加强练习"))</f>
        <v/>
      </c>
      <c r="AC406" s="5" t="str">
        <f>IF(W406="","", "⚠️ 薄弱环节: "&amp;INDEX($R$1:$V$1, MATCH(MIN(R406:V406), R406:V406, 0))&amp;CHAR(10)&amp;"📉 考察能力: "&amp;IFERROR(VLOOKUP(TRIM(D406)&amp;"_"&amp;TRIM(INDEX($R$1:$V$1, MATCH(MIN(R406:V406), R406:V406, 0))), 技能库!$A:$F, 5, 0),"建议查阅考纲")&amp;CHAR(10)&amp;"💡 提升建议: "&amp;IFERROR(VLOOKUP(TRIM(D406)&amp;"_"&amp;TRIM(INDEX($R$1:$V$1, MATCH(MIN(R406:V406), R406:V406, 0))), 技能库!$A:$F, 6, 0),"请针对该题型加强练习"))</f>
        <v/>
      </c>
    </row>
    <row r="407" spans="12:29" ht="16" hidden="1" x14ac:dyDescent="0.2">
      <c r="L407" t="str">
        <f t="shared" si="24"/>
        <v/>
      </c>
      <c r="M407" t="str">
        <f>IF(L407="","", IFERROR(VLOOKUP(L407, IF(D407="KET", 换算标准!$M:$N, IF(D407="PET", 换算标准!$S:$T, 换算标准!$AC:$AD)), 2, TRUE), 0))</f>
        <v/>
      </c>
      <c r="P407" t="str">
        <f t="shared" si="25"/>
        <v/>
      </c>
      <c r="Q407" t="str">
        <f>IF(P407="","", IFERROR(VLOOKUP(P407, IF(D407="KET", 换算标准!$O:$P, IF(D407="PET", 换算标准!$U:$V, 换算标准!$AG:$AH)), 2, TRUE), 0))</f>
        <v/>
      </c>
      <c r="W407" t="str">
        <f t="shared" si="26"/>
        <v/>
      </c>
      <c r="X407" t="str">
        <f>IF(W407="","", IFERROR(VLOOKUP(W407, IF(D407="KET", 换算标准!$Q:$R, IF(D407="PET", 换算标准!$W:$X, 换算标准!$AI:$AJ)), 2, TRUE), 0))</f>
        <v/>
      </c>
      <c r="Y407" t="str">
        <f t="shared" si="27"/>
        <v/>
      </c>
      <c r="Z407" t="str">
        <f>IF(Y407="","", IFERROR(VLOOKUP(Y407, 换算标准!$Z:$AA, 1, TRUE), ""))</f>
        <v/>
      </c>
      <c r="AA407" s="5" t="str">
        <f>IF(L407="","", "⚠️ 薄弱环节: "&amp;INDEX($E$1:$K$1, MATCH(MIN(E407:K407), E407:K407, 0))&amp;CHAR(10)&amp;"📉 考察能力: "&amp;IFERROR(VLOOKUP(TRIM(D407)&amp;"_"&amp;TRIM(INDEX($E$1:$K$1, MATCH(MIN(E407:K407), E407:K407, 0))), 技能库!$A:$F, 5, 0),"建议查阅考纲")&amp;CHAR(10)&amp;"💡 提升建议: "&amp;IFERROR(VLOOKUP(TRIM(D407)&amp;"_"&amp;TRIM(INDEX($E$1:$K$1, MATCH(MIN(E407:K407), E407:K407, 0))), 技能库!$A:$F, 6, 0),"请针对该题型加强练习"))</f>
        <v/>
      </c>
      <c r="AB407" s="5" t="str">
        <f>IF(P407="","", "⚠️ 薄弱环节: "&amp;INDEX($N$1:$O$1, MATCH(MIN(N407:O407), N407:O407, 0))&amp;CHAR(10)&amp;"📉 考察能力: "&amp;IFERROR(VLOOKUP(TRIM(D407)&amp;"_"&amp;TRIM(INDEX($N$1:$O$1, MATCH(MIN(N407:O407), N407:O407, 0))), 技能库!$A:$F, 5, 0),"建议查阅考纲")&amp;CHAR(10)&amp;"💡 提升建议: "&amp;IFERROR(VLOOKUP(TRIM(D407)&amp;"_"&amp;TRIM(INDEX($N$1:$O$1, MATCH(MIN(N407:O407), N407:O407, 0))), 技能库!$A:$F, 6, 0),"请针对该题型加强练习"))</f>
        <v/>
      </c>
      <c r="AC407" s="5" t="str">
        <f>IF(W407="","", "⚠️ 薄弱环节: "&amp;INDEX($R$1:$V$1, MATCH(MIN(R407:V407), R407:V407, 0))&amp;CHAR(10)&amp;"📉 考察能力: "&amp;IFERROR(VLOOKUP(TRIM(D407)&amp;"_"&amp;TRIM(INDEX($R$1:$V$1, MATCH(MIN(R407:V407), R407:V407, 0))), 技能库!$A:$F, 5, 0),"建议查阅考纲")&amp;CHAR(10)&amp;"💡 提升建议: "&amp;IFERROR(VLOOKUP(TRIM(D407)&amp;"_"&amp;TRIM(INDEX($R$1:$V$1, MATCH(MIN(R407:V407), R407:V407, 0))), 技能库!$A:$F, 6, 0),"请针对该题型加强练习"))</f>
        <v/>
      </c>
    </row>
    <row r="408" spans="12:29" ht="16" hidden="1" x14ac:dyDescent="0.2">
      <c r="L408" t="str">
        <f t="shared" si="24"/>
        <v/>
      </c>
      <c r="M408" t="str">
        <f>IF(L408="","", IFERROR(VLOOKUP(L408, IF(D408="KET", 换算标准!$M:$N, IF(D408="PET", 换算标准!$S:$T, 换算标准!$AC:$AD)), 2, TRUE), 0))</f>
        <v/>
      </c>
      <c r="P408" t="str">
        <f t="shared" si="25"/>
        <v/>
      </c>
      <c r="Q408" t="str">
        <f>IF(P408="","", IFERROR(VLOOKUP(P408, IF(D408="KET", 换算标准!$O:$P, IF(D408="PET", 换算标准!$U:$V, 换算标准!$AG:$AH)), 2, TRUE), 0))</f>
        <v/>
      </c>
      <c r="W408" t="str">
        <f t="shared" si="26"/>
        <v/>
      </c>
      <c r="X408" t="str">
        <f>IF(W408="","", IFERROR(VLOOKUP(W408, IF(D408="KET", 换算标准!$Q:$R, IF(D408="PET", 换算标准!$W:$X, 换算标准!$AI:$AJ)), 2, TRUE), 0))</f>
        <v/>
      </c>
      <c r="Y408" t="str">
        <f t="shared" si="27"/>
        <v/>
      </c>
      <c r="Z408" t="str">
        <f>IF(Y408="","", IFERROR(VLOOKUP(Y408, 换算标准!$Z:$AA, 1, TRUE), ""))</f>
        <v/>
      </c>
      <c r="AA408" s="5" t="str">
        <f>IF(L408="","", "⚠️ 薄弱环节: "&amp;INDEX($E$1:$K$1, MATCH(MIN(E408:K408), E408:K408, 0))&amp;CHAR(10)&amp;"📉 考察能力: "&amp;IFERROR(VLOOKUP(TRIM(D408)&amp;"_"&amp;TRIM(INDEX($E$1:$K$1, MATCH(MIN(E408:K408), E408:K408, 0))), 技能库!$A:$F, 5, 0),"建议查阅考纲")&amp;CHAR(10)&amp;"💡 提升建议: "&amp;IFERROR(VLOOKUP(TRIM(D408)&amp;"_"&amp;TRIM(INDEX($E$1:$K$1, MATCH(MIN(E408:K408), E408:K408, 0))), 技能库!$A:$F, 6, 0),"请针对该题型加强练习"))</f>
        <v/>
      </c>
      <c r="AB408" s="5" t="str">
        <f>IF(P408="","", "⚠️ 薄弱环节: "&amp;INDEX($N$1:$O$1, MATCH(MIN(N408:O408), N408:O408, 0))&amp;CHAR(10)&amp;"📉 考察能力: "&amp;IFERROR(VLOOKUP(TRIM(D408)&amp;"_"&amp;TRIM(INDEX($N$1:$O$1, MATCH(MIN(N408:O408), N408:O408, 0))), 技能库!$A:$F, 5, 0),"建议查阅考纲")&amp;CHAR(10)&amp;"💡 提升建议: "&amp;IFERROR(VLOOKUP(TRIM(D408)&amp;"_"&amp;TRIM(INDEX($N$1:$O$1, MATCH(MIN(N408:O408), N408:O408, 0))), 技能库!$A:$F, 6, 0),"请针对该题型加强练习"))</f>
        <v/>
      </c>
      <c r="AC408" s="5" t="str">
        <f>IF(W408="","", "⚠️ 薄弱环节: "&amp;INDEX($R$1:$V$1, MATCH(MIN(R408:V408), R408:V408, 0))&amp;CHAR(10)&amp;"📉 考察能力: "&amp;IFERROR(VLOOKUP(TRIM(D408)&amp;"_"&amp;TRIM(INDEX($R$1:$V$1, MATCH(MIN(R408:V408), R408:V408, 0))), 技能库!$A:$F, 5, 0),"建议查阅考纲")&amp;CHAR(10)&amp;"💡 提升建议: "&amp;IFERROR(VLOOKUP(TRIM(D408)&amp;"_"&amp;TRIM(INDEX($R$1:$V$1, MATCH(MIN(R408:V408), R408:V408, 0))), 技能库!$A:$F, 6, 0),"请针对该题型加强练习"))</f>
        <v/>
      </c>
    </row>
    <row r="409" spans="12:29" ht="16" hidden="1" x14ac:dyDescent="0.2">
      <c r="L409" t="str">
        <f t="shared" si="24"/>
        <v/>
      </c>
      <c r="M409" t="str">
        <f>IF(L409="","", IFERROR(VLOOKUP(L409, IF(D409="KET", 换算标准!$M:$N, IF(D409="PET", 换算标准!$S:$T, 换算标准!$AC:$AD)), 2, TRUE), 0))</f>
        <v/>
      </c>
      <c r="P409" t="str">
        <f t="shared" si="25"/>
        <v/>
      </c>
      <c r="Q409" t="str">
        <f>IF(P409="","", IFERROR(VLOOKUP(P409, IF(D409="KET", 换算标准!$O:$P, IF(D409="PET", 换算标准!$U:$V, 换算标准!$AG:$AH)), 2, TRUE), 0))</f>
        <v/>
      </c>
      <c r="W409" t="str">
        <f t="shared" si="26"/>
        <v/>
      </c>
      <c r="X409" t="str">
        <f>IF(W409="","", IFERROR(VLOOKUP(W409, IF(D409="KET", 换算标准!$Q:$R, IF(D409="PET", 换算标准!$W:$X, 换算标准!$AI:$AJ)), 2, TRUE), 0))</f>
        <v/>
      </c>
      <c r="Y409" t="str">
        <f t="shared" si="27"/>
        <v/>
      </c>
      <c r="Z409" t="str">
        <f>IF(Y409="","", IFERROR(VLOOKUP(Y409, 换算标准!$Z:$AA, 1, TRUE), ""))</f>
        <v/>
      </c>
      <c r="AA409" s="5" t="str">
        <f>IF(L409="","", "⚠️ 薄弱环节: "&amp;INDEX($E$1:$K$1, MATCH(MIN(E409:K409), E409:K409, 0))&amp;CHAR(10)&amp;"📉 考察能力: "&amp;IFERROR(VLOOKUP(TRIM(D409)&amp;"_"&amp;TRIM(INDEX($E$1:$K$1, MATCH(MIN(E409:K409), E409:K409, 0))), 技能库!$A:$F, 5, 0),"建议查阅考纲")&amp;CHAR(10)&amp;"💡 提升建议: "&amp;IFERROR(VLOOKUP(TRIM(D409)&amp;"_"&amp;TRIM(INDEX($E$1:$K$1, MATCH(MIN(E409:K409), E409:K409, 0))), 技能库!$A:$F, 6, 0),"请针对该题型加强练习"))</f>
        <v/>
      </c>
      <c r="AB409" s="5" t="str">
        <f>IF(P409="","", "⚠️ 薄弱环节: "&amp;INDEX($N$1:$O$1, MATCH(MIN(N409:O409), N409:O409, 0))&amp;CHAR(10)&amp;"📉 考察能力: "&amp;IFERROR(VLOOKUP(TRIM(D409)&amp;"_"&amp;TRIM(INDEX($N$1:$O$1, MATCH(MIN(N409:O409), N409:O409, 0))), 技能库!$A:$F, 5, 0),"建议查阅考纲")&amp;CHAR(10)&amp;"💡 提升建议: "&amp;IFERROR(VLOOKUP(TRIM(D409)&amp;"_"&amp;TRIM(INDEX($N$1:$O$1, MATCH(MIN(N409:O409), N409:O409, 0))), 技能库!$A:$F, 6, 0),"请针对该题型加强练习"))</f>
        <v/>
      </c>
      <c r="AC409" s="5" t="str">
        <f>IF(W409="","", "⚠️ 薄弱环节: "&amp;INDEX($R$1:$V$1, MATCH(MIN(R409:V409), R409:V409, 0))&amp;CHAR(10)&amp;"📉 考察能力: "&amp;IFERROR(VLOOKUP(TRIM(D409)&amp;"_"&amp;TRIM(INDEX($R$1:$V$1, MATCH(MIN(R409:V409), R409:V409, 0))), 技能库!$A:$F, 5, 0),"建议查阅考纲")&amp;CHAR(10)&amp;"💡 提升建议: "&amp;IFERROR(VLOOKUP(TRIM(D409)&amp;"_"&amp;TRIM(INDEX($R$1:$V$1, MATCH(MIN(R409:V409), R409:V409, 0))), 技能库!$A:$F, 6, 0),"请针对该题型加强练习"))</f>
        <v/>
      </c>
    </row>
    <row r="410" spans="12:29" ht="16" hidden="1" x14ac:dyDescent="0.2">
      <c r="L410" t="str">
        <f t="shared" si="24"/>
        <v/>
      </c>
      <c r="M410" t="str">
        <f>IF(L410="","", IFERROR(VLOOKUP(L410, IF(D410="KET", 换算标准!$M:$N, IF(D410="PET", 换算标准!$S:$T, 换算标准!$AC:$AD)), 2, TRUE), 0))</f>
        <v/>
      </c>
      <c r="P410" t="str">
        <f t="shared" si="25"/>
        <v/>
      </c>
      <c r="Q410" t="str">
        <f>IF(P410="","", IFERROR(VLOOKUP(P410, IF(D410="KET", 换算标准!$O:$P, IF(D410="PET", 换算标准!$U:$V, 换算标准!$AG:$AH)), 2, TRUE), 0))</f>
        <v/>
      </c>
      <c r="W410" t="str">
        <f t="shared" si="26"/>
        <v/>
      </c>
      <c r="X410" t="str">
        <f>IF(W410="","", IFERROR(VLOOKUP(W410, IF(D410="KET", 换算标准!$Q:$R, IF(D410="PET", 换算标准!$W:$X, 换算标准!$AI:$AJ)), 2, TRUE), 0))</f>
        <v/>
      </c>
      <c r="Y410" t="str">
        <f t="shared" si="27"/>
        <v/>
      </c>
      <c r="Z410" t="str">
        <f>IF(Y410="","", IFERROR(VLOOKUP(Y410, 换算标准!$Z:$AA, 1, TRUE), ""))</f>
        <v/>
      </c>
      <c r="AA410" s="5" t="str">
        <f>IF(L410="","", "⚠️ 薄弱环节: "&amp;INDEX($E$1:$K$1, MATCH(MIN(E410:K410), E410:K410, 0))&amp;CHAR(10)&amp;"📉 考察能力: "&amp;IFERROR(VLOOKUP(TRIM(D410)&amp;"_"&amp;TRIM(INDEX($E$1:$K$1, MATCH(MIN(E410:K410), E410:K410, 0))), 技能库!$A:$F, 5, 0),"建议查阅考纲")&amp;CHAR(10)&amp;"💡 提升建议: "&amp;IFERROR(VLOOKUP(TRIM(D410)&amp;"_"&amp;TRIM(INDEX($E$1:$K$1, MATCH(MIN(E410:K410), E410:K410, 0))), 技能库!$A:$F, 6, 0),"请针对该题型加强练习"))</f>
        <v/>
      </c>
      <c r="AB410" s="5" t="str">
        <f>IF(P410="","", "⚠️ 薄弱环节: "&amp;INDEX($N$1:$O$1, MATCH(MIN(N410:O410), N410:O410, 0))&amp;CHAR(10)&amp;"📉 考察能力: "&amp;IFERROR(VLOOKUP(TRIM(D410)&amp;"_"&amp;TRIM(INDEX($N$1:$O$1, MATCH(MIN(N410:O410), N410:O410, 0))), 技能库!$A:$F, 5, 0),"建议查阅考纲")&amp;CHAR(10)&amp;"💡 提升建议: "&amp;IFERROR(VLOOKUP(TRIM(D410)&amp;"_"&amp;TRIM(INDEX($N$1:$O$1, MATCH(MIN(N410:O410), N410:O410, 0))), 技能库!$A:$F, 6, 0),"请针对该题型加强练习"))</f>
        <v/>
      </c>
      <c r="AC410" s="5" t="str">
        <f>IF(W410="","", "⚠️ 薄弱环节: "&amp;INDEX($R$1:$V$1, MATCH(MIN(R410:V410), R410:V410, 0))&amp;CHAR(10)&amp;"📉 考察能力: "&amp;IFERROR(VLOOKUP(TRIM(D410)&amp;"_"&amp;TRIM(INDEX($R$1:$V$1, MATCH(MIN(R410:V410), R410:V410, 0))), 技能库!$A:$F, 5, 0),"建议查阅考纲")&amp;CHAR(10)&amp;"💡 提升建议: "&amp;IFERROR(VLOOKUP(TRIM(D410)&amp;"_"&amp;TRIM(INDEX($R$1:$V$1, MATCH(MIN(R410:V410), R410:V410, 0))), 技能库!$A:$F, 6, 0),"请针对该题型加强练习"))</f>
        <v/>
      </c>
    </row>
    <row r="411" spans="12:29" ht="16" hidden="1" x14ac:dyDescent="0.2">
      <c r="L411" t="str">
        <f t="shared" si="24"/>
        <v/>
      </c>
      <c r="M411" t="str">
        <f>IF(L411="","", IFERROR(VLOOKUP(L411, IF(D411="KET", 换算标准!$M:$N, IF(D411="PET", 换算标准!$S:$T, 换算标准!$AC:$AD)), 2, TRUE), 0))</f>
        <v/>
      </c>
      <c r="P411" t="str">
        <f t="shared" si="25"/>
        <v/>
      </c>
      <c r="Q411" t="str">
        <f>IF(P411="","", IFERROR(VLOOKUP(P411, IF(D411="KET", 换算标准!$O:$P, IF(D411="PET", 换算标准!$U:$V, 换算标准!$AG:$AH)), 2, TRUE), 0))</f>
        <v/>
      </c>
      <c r="W411" t="str">
        <f t="shared" si="26"/>
        <v/>
      </c>
      <c r="X411" t="str">
        <f>IF(W411="","", IFERROR(VLOOKUP(W411, IF(D411="KET", 换算标准!$Q:$R, IF(D411="PET", 换算标准!$W:$X, 换算标准!$AI:$AJ)), 2, TRUE), 0))</f>
        <v/>
      </c>
      <c r="Y411" t="str">
        <f t="shared" si="27"/>
        <v/>
      </c>
      <c r="Z411" t="str">
        <f>IF(Y411="","", IFERROR(VLOOKUP(Y411, 换算标准!$Z:$AA, 1, TRUE), ""))</f>
        <v/>
      </c>
      <c r="AA411" s="5" t="str">
        <f>IF(L411="","", "⚠️ 薄弱环节: "&amp;INDEX($E$1:$K$1, MATCH(MIN(E411:K411), E411:K411, 0))&amp;CHAR(10)&amp;"📉 考察能力: "&amp;IFERROR(VLOOKUP(TRIM(D411)&amp;"_"&amp;TRIM(INDEX($E$1:$K$1, MATCH(MIN(E411:K411), E411:K411, 0))), 技能库!$A:$F, 5, 0),"建议查阅考纲")&amp;CHAR(10)&amp;"💡 提升建议: "&amp;IFERROR(VLOOKUP(TRIM(D411)&amp;"_"&amp;TRIM(INDEX($E$1:$K$1, MATCH(MIN(E411:K411), E411:K411, 0))), 技能库!$A:$F, 6, 0),"请针对该题型加强练习"))</f>
        <v/>
      </c>
      <c r="AB411" s="5" t="str">
        <f>IF(P411="","", "⚠️ 薄弱环节: "&amp;INDEX($N$1:$O$1, MATCH(MIN(N411:O411), N411:O411, 0))&amp;CHAR(10)&amp;"📉 考察能力: "&amp;IFERROR(VLOOKUP(TRIM(D411)&amp;"_"&amp;TRIM(INDEX($N$1:$O$1, MATCH(MIN(N411:O411), N411:O411, 0))), 技能库!$A:$F, 5, 0),"建议查阅考纲")&amp;CHAR(10)&amp;"💡 提升建议: "&amp;IFERROR(VLOOKUP(TRIM(D411)&amp;"_"&amp;TRIM(INDEX($N$1:$O$1, MATCH(MIN(N411:O411), N411:O411, 0))), 技能库!$A:$F, 6, 0),"请针对该题型加强练习"))</f>
        <v/>
      </c>
      <c r="AC411" s="5" t="str">
        <f>IF(W411="","", "⚠️ 薄弱环节: "&amp;INDEX($R$1:$V$1, MATCH(MIN(R411:V411), R411:V411, 0))&amp;CHAR(10)&amp;"📉 考察能力: "&amp;IFERROR(VLOOKUP(TRIM(D411)&amp;"_"&amp;TRIM(INDEX($R$1:$V$1, MATCH(MIN(R411:V411), R411:V411, 0))), 技能库!$A:$F, 5, 0),"建议查阅考纲")&amp;CHAR(10)&amp;"💡 提升建议: "&amp;IFERROR(VLOOKUP(TRIM(D411)&amp;"_"&amp;TRIM(INDEX($R$1:$V$1, MATCH(MIN(R411:V411), R411:V411, 0))), 技能库!$A:$F, 6, 0),"请针对该题型加强练习"))</f>
        <v/>
      </c>
    </row>
    <row r="412" spans="12:29" ht="16" hidden="1" x14ac:dyDescent="0.2">
      <c r="L412" t="str">
        <f t="shared" si="24"/>
        <v/>
      </c>
      <c r="M412" t="str">
        <f>IF(L412="","", IFERROR(VLOOKUP(L412, IF(D412="KET", 换算标准!$M:$N, IF(D412="PET", 换算标准!$S:$T, 换算标准!$AC:$AD)), 2, TRUE), 0))</f>
        <v/>
      </c>
      <c r="P412" t="str">
        <f t="shared" si="25"/>
        <v/>
      </c>
      <c r="Q412" t="str">
        <f>IF(P412="","", IFERROR(VLOOKUP(P412, IF(D412="KET", 换算标准!$O:$P, IF(D412="PET", 换算标准!$U:$V, 换算标准!$AG:$AH)), 2, TRUE), 0))</f>
        <v/>
      </c>
      <c r="W412" t="str">
        <f t="shared" si="26"/>
        <v/>
      </c>
      <c r="X412" t="str">
        <f>IF(W412="","", IFERROR(VLOOKUP(W412, IF(D412="KET", 换算标准!$Q:$R, IF(D412="PET", 换算标准!$W:$X, 换算标准!$AI:$AJ)), 2, TRUE), 0))</f>
        <v/>
      </c>
      <c r="Y412" t="str">
        <f t="shared" si="27"/>
        <v/>
      </c>
      <c r="Z412" t="str">
        <f>IF(Y412="","", IFERROR(VLOOKUP(Y412, 换算标准!$Z:$AA, 1, TRUE), ""))</f>
        <v/>
      </c>
      <c r="AA412" s="5" t="str">
        <f>IF(L412="","", "⚠️ 薄弱环节: "&amp;INDEX($E$1:$K$1, MATCH(MIN(E412:K412), E412:K412, 0))&amp;CHAR(10)&amp;"📉 考察能力: "&amp;IFERROR(VLOOKUP(TRIM(D412)&amp;"_"&amp;TRIM(INDEX($E$1:$K$1, MATCH(MIN(E412:K412), E412:K412, 0))), 技能库!$A:$F, 5, 0),"建议查阅考纲")&amp;CHAR(10)&amp;"💡 提升建议: "&amp;IFERROR(VLOOKUP(TRIM(D412)&amp;"_"&amp;TRIM(INDEX($E$1:$K$1, MATCH(MIN(E412:K412), E412:K412, 0))), 技能库!$A:$F, 6, 0),"请针对该题型加强练习"))</f>
        <v/>
      </c>
      <c r="AB412" s="5" t="str">
        <f>IF(P412="","", "⚠️ 薄弱环节: "&amp;INDEX($N$1:$O$1, MATCH(MIN(N412:O412), N412:O412, 0))&amp;CHAR(10)&amp;"📉 考察能力: "&amp;IFERROR(VLOOKUP(TRIM(D412)&amp;"_"&amp;TRIM(INDEX($N$1:$O$1, MATCH(MIN(N412:O412), N412:O412, 0))), 技能库!$A:$F, 5, 0),"建议查阅考纲")&amp;CHAR(10)&amp;"💡 提升建议: "&amp;IFERROR(VLOOKUP(TRIM(D412)&amp;"_"&amp;TRIM(INDEX($N$1:$O$1, MATCH(MIN(N412:O412), N412:O412, 0))), 技能库!$A:$F, 6, 0),"请针对该题型加强练习"))</f>
        <v/>
      </c>
      <c r="AC412" s="5" t="str">
        <f>IF(W412="","", "⚠️ 薄弱环节: "&amp;INDEX($R$1:$V$1, MATCH(MIN(R412:V412), R412:V412, 0))&amp;CHAR(10)&amp;"📉 考察能力: "&amp;IFERROR(VLOOKUP(TRIM(D412)&amp;"_"&amp;TRIM(INDEX($R$1:$V$1, MATCH(MIN(R412:V412), R412:V412, 0))), 技能库!$A:$F, 5, 0),"建议查阅考纲")&amp;CHAR(10)&amp;"💡 提升建议: "&amp;IFERROR(VLOOKUP(TRIM(D412)&amp;"_"&amp;TRIM(INDEX($R$1:$V$1, MATCH(MIN(R412:V412), R412:V412, 0))), 技能库!$A:$F, 6, 0),"请针对该题型加强练习"))</f>
        <v/>
      </c>
    </row>
    <row r="413" spans="12:29" ht="16" hidden="1" x14ac:dyDescent="0.2">
      <c r="L413" t="str">
        <f t="shared" si="24"/>
        <v/>
      </c>
      <c r="M413" t="str">
        <f>IF(L413="","", IFERROR(VLOOKUP(L413, IF(D413="KET", 换算标准!$M:$N, IF(D413="PET", 换算标准!$S:$T, 换算标准!$AC:$AD)), 2, TRUE), 0))</f>
        <v/>
      </c>
      <c r="P413" t="str">
        <f t="shared" si="25"/>
        <v/>
      </c>
      <c r="Q413" t="str">
        <f>IF(P413="","", IFERROR(VLOOKUP(P413, IF(D413="KET", 换算标准!$O:$P, IF(D413="PET", 换算标准!$U:$V, 换算标准!$AG:$AH)), 2, TRUE), 0))</f>
        <v/>
      </c>
      <c r="W413" t="str">
        <f t="shared" si="26"/>
        <v/>
      </c>
      <c r="X413" t="str">
        <f>IF(W413="","", IFERROR(VLOOKUP(W413, IF(D413="KET", 换算标准!$Q:$R, IF(D413="PET", 换算标准!$W:$X, 换算标准!$AI:$AJ)), 2, TRUE), 0))</f>
        <v/>
      </c>
      <c r="Y413" t="str">
        <f t="shared" si="27"/>
        <v/>
      </c>
      <c r="Z413" t="str">
        <f>IF(Y413="","", IFERROR(VLOOKUP(Y413, 换算标准!$Z:$AA, 1, TRUE), ""))</f>
        <v/>
      </c>
      <c r="AA413" s="5" t="str">
        <f>IF(L413="","", "⚠️ 薄弱环节: "&amp;INDEX($E$1:$K$1, MATCH(MIN(E413:K413), E413:K413, 0))&amp;CHAR(10)&amp;"📉 考察能力: "&amp;IFERROR(VLOOKUP(TRIM(D413)&amp;"_"&amp;TRIM(INDEX($E$1:$K$1, MATCH(MIN(E413:K413), E413:K413, 0))), 技能库!$A:$F, 5, 0),"建议查阅考纲")&amp;CHAR(10)&amp;"💡 提升建议: "&amp;IFERROR(VLOOKUP(TRIM(D413)&amp;"_"&amp;TRIM(INDEX($E$1:$K$1, MATCH(MIN(E413:K413), E413:K413, 0))), 技能库!$A:$F, 6, 0),"请针对该题型加强练习"))</f>
        <v/>
      </c>
      <c r="AB413" s="5" t="str">
        <f>IF(P413="","", "⚠️ 薄弱环节: "&amp;INDEX($N$1:$O$1, MATCH(MIN(N413:O413), N413:O413, 0))&amp;CHAR(10)&amp;"📉 考察能力: "&amp;IFERROR(VLOOKUP(TRIM(D413)&amp;"_"&amp;TRIM(INDEX($N$1:$O$1, MATCH(MIN(N413:O413), N413:O413, 0))), 技能库!$A:$F, 5, 0),"建议查阅考纲")&amp;CHAR(10)&amp;"💡 提升建议: "&amp;IFERROR(VLOOKUP(TRIM(D413)&amp;"_"&amp;TRIM(INDEX($N$1:$O$1, MATCH(MIN(N413:O413), N413:O413, 0))), 技能库!$A:$F, 6, 0),"请针对该题型加强练习"))</f>
        <v/>
      </c>
      <c r="AC413" s="5" t="str">
        <f>IF(W413="","", "⚠️ 薄弱环节: "&amp;INDEX($R$1:$V$1, MATCH(MIN(R413:V413), R413:V413, 0))&amp;CHAR(10)&amp;"📉 考察能力: "&amp;IFERROR(VLOOKUP(TRIM(D413)&amp;"_"&amp;TRIM(INDEX($R$1:$V$1, MATCH(MIN(R413:V413), R413:V413, 0))), 技能库!$A:$F, 5, 0),"建议查阅考纲")&amp;CHAR(10)&amp;"💡 提升建议: "&amp;IFERROR(VLOOKUP(TRIM(D413)&amp;"_"&amp;TRIM(INDEX($R$1:$V$1, MATCH(MIN(R413:V413), R413:V413, 0))), 技能库!$A:$F, 6, 0),"请针对该题型加强练习"))</f>
        <v/>
      </c>
    </row>
    <row r="414" spans="12:29" ht="16" hidden="1" x14ac:dyDescent="0.2">
      <c r="L414" t="str">
        <f t="shared" si="24"/>
        <v/>
      </c>
      <c r="M414" t="str">
        <f>IF(L414="","", IFERROR(VLOOKUP(L414, IF(D414="KET", 换算标准!$M:$N, IF(D414="PET", 换算标准!$S:$T, 换算标准!$AC:$AD)), 2, TRUE), 0))</f>
        <v/>
      </c>
      <c r="P414" t="str">
        <f t="shared" si="25"/>
        <v/>
      </c>
      <c r="Q414" t="str">
        <f>IF(P414="","", IFERROR(VLOOKUP(P414, IF(D414="KET", 换算标准!$O:$P, IF(D414="PET", 换算标准!$U:$V, 换算标准!$AG:$AH)), 2, TRUE), 0))</f>
        <v/>
      </c>
      <c r="W414" t="str">
        <f t="shared" si="26"/>
        <v/>
      </c>
      <c r="X414" t="str">
        <f>IF(W414="","", IFERROR(VLOOKUP(W414, IF(D414="KET", 换算标准!$Q:$R, IF(D414="PET", 换算标准!$W:$X, 换算标准!$AI:$AJ)), 2, TRUE), 0))</f>
        <v/>
      </c>
      <c r="Y414" t="str">
        <f t="shared" si="27"/>
        <v/>
      </c>
      <c r="Z414" t="str">
        <f>IF(Y414="","", IFERROR(VLOOKUP(Y414, 换算标准!$Z:$AA, 1, TRUE), ""))</f>
        <v/>
      </c>
      <c r="AA414" s="5" t="str">
        <f>IF(L414="","", "⚠️ 薄弱环节: "&amp;INDEX($E$1:$K$1, MATCH(MIN(E414:K414), E414:K414, 0))&amp;CHAR(10)&amp;"📉 考察能力: "&amp;IFERROR(VLOOKUP(TRIM(D414)&amp;"_"&amp;TRIM(INDEX($E$1:$K$1, MATCH(MIN(E414:K414), E414:K414, 0))), 技能库!$A:$F, 5, 0),"建议查阅考纲")&amp;CHAR(10)&amp;"💡 提升建议: "&amp;IFERROR(VLOOKUP(TRIM(D414)&amp;"_"&amp;TRIM(INDEX($E$1:$K$1, MATCH(MIN(E414:K414), E414:K414, 0))), 技能库!$A:$F, 6, 0),"请针对该题型加强练习"))</f>
        <v/>
      </c>
      <c r="AB414" s="5" t="str">
        <f>IF(P414="","", "⚠️ 薄弱环节: "&amp;INDEX($N$1:$O$1, MATCH(MIN(N414:O414), N414:O414, 0))&amp;CHAR(10)&amp;"📉 考察能力: "&amp;IFERROR(VLOOKUP(TRIM(D414)&amp;"_"&amp;TRIM(INDEX($N$1:$O$1, MATCH(MIN(N414:O414), N414:O414, 0))), 技能库!$A:$F, 5, 0),"建议查阅考纲")&amp;CHAR(10)&amp;"💡 提升建议: "&amp;IFERROR(VLOOKUP(TRIM(D414)&amp;"_"&amp;TRIM(INDEX($N$1:$O$1, MATCH(MIN(N414:O414), N414:O414, 0))), 技能库!$A:$F, 6, 0),"请针对该题型加强练习"))</f>
        <v/>
      </c>
      <c r="AC414" s="5" t="str">
        <f>IF(W414="","", "⚠️ 薄弱环节: "&amp;INDEX($R$1:$V$1, MATCH(MIN(R414:V414), R414:V414, 0))&amp;CHAR(10)&amp;"📉 考察能力: "&amp;IFERROR(VLOOKUP(TRIM(D414)&amp;"_"&amp;TRIM(INDEX($R$1:$V$1, MATCH(MIN(R414:V414), R414:V414, 0))), 技能库!$A:$F, 5, 0),"建议查阅考纲")&amp;CHAR(10)&amp;"💡 提升建议: "&amp;IFERROR(VLOOKUP(TRIM(D414)&amp;"_"&amp;TRIM(INDEX($R$1:$V$1, MATCH(MIN(R414:V414), R414:V414, 0))), 技能库!$A:$F, 6, 0),"请针对该题型加强练习"))</f>
        <v/>
      </c>
    </row>
    <row r="415" spans="12:29" ht="16" hidden="1" x14ac:dyDescent="0.2">
      <c r="L415" t="str">
        <f t="shared" si="24"/>
        <v/>
      </c>
      <c r="M415" t="str">
        <f>IF(L415="","", IFERROR(VLOOKUP(L415, IF(D415="KET", 换算标准!$M:$N, IF(D415="PET", 换算标准!$S:$T, 换算标准!$AC:$AD)), 2, TRUE), 0))</f>
        <v/>
      </c>
      <c r="P415" t="str">
        <f t="shared" si="25"/>
        <v/>
      </c>
      <c r="Q415" t="str">
        <f>IF(P415="","", IFERROR(VLOOKUP(P415, IF(D415="KET", 换算标准!$O:$P, IF(D415="PET", 换算标准!$U:$V, 换算标准!$AG:$AH)), 2, TRUE), 0))</f>
        <v/>
      </c>
      <c r="W415" t="str">
        <f t="shared" si="26"/>
        <v/>
      </c>
      <c r="X415" t="str">
        <f>IF(W415="","", IFERROR(VLOOKUP(W415, IF(D415="KET", 换算标准!$Q:$R, IF(D415="PET", 换算标准!$W:$X, 换算标准!$AI:$AJ)), 2, TRUE), 0))</f>
        <v/>
      </c>
      <c r="Y415" t="str">
        <f t="shared" si="27"/>
        <v/>
      </c>
      <c r="Z415" t="str">
        <f>IF(Y415="","", IFERROR(VLOOKUP(Y415, 换算标准!$Z:$AA, 1, TRUE), ""))</f>
        <v/>
      </c>
      <c r="AA415" s="5" t="str">
        <f>IF(L415="","", "⚠️ 薄弱环节: "&amp;INDEX($E$1:$K$1, MATCH(MIN(E415:K415), E415:K415, 0))&amp;CHAR(10)&amp;"📉 考察能力: "&amp;IFERROR(VLOOKUP(TRIM(D415)&amp;"_"&amp;TRIM(INDEX($E$1:$K$1, MATCH(MIN(E415:K415), E415:K415, 0))), 技能库!$A:$F, 5, 0),"建议查阅考纲")&amp;CHAR(10)&amp;"💡 提升建议: "&amp;IFERROR(VLOOKUP(TRIM(D415)&amp;"_"&amp;TRIM(INDEX($E$1:$K$1, MATCH(MIN(E415:K415), E415:K415, 0))), 技能库!$A:$F, 6, 0),"请针对该题型加强练习"))</f>
        <v/>
      </c>
      <c r="AB415" s="5" t="str">
        <f>IF(P415="","", "⚠️ 薄弱环节: "&amp;INDEX($N$1:$O$1, MATCH(MIN(N415:O415), N415:O415, 0))&amp;CHAR(10)&amp;"📉 考察能力: "&amp;IFERROR(VLOOKUP(TRIM(D415)&amp;"_"&amp;TRIM(INDEX($N$1:$O$1, MATCH(MIN(N415:O415), N415:O415, 0))), 技能库!$A:$F, 5, 0),"建议查阅考纲")&amp;CHAR(10)&amp;"💡 提升建议: "&amp;IFERROR(VLOOKUP(TRIM(D415)&amp;"_"&amp;TRIM(INDEX($N$1:$O$1, MATCH(MIN(N415:O415), N415:O415, 0))), 技能库!$A:$F, 6, 0),"请针对该题型加强练习"))</f>
        <v/>
      </c>
      <c r="AC415" s="5" t="str">
        <f>IF(W415="","", "⚠️ 薄弱环节: "&amp;INDEX($R$1:$V$1, MATCH(MIN(R415:V415), R415:V415, 0))&amp;CHAR(10)&amp;"📉 考察能力: "&amp;IFERROR(VLOOKUP(TRIM(D415)&amp;"_"&amp;TRIM(INDEX($R$1:$V$1, MATCH(MIN(R415:V415), R415:V415, 0))), 技能库!$A:$F, 5, 0),"建议查阅考纲")&amp;CHAR(10)&amp;"💡 提升建议: "&amp;IFERROR(VLOOKUP(TRIM(D415)&amp;"_"&amp;TRIM(INDEX($R$1:$V$1, MATCH(MIN(R415:V415), R415:V415, 0))), 技能库!$A:$F, 6, 0),"请针对该题型加强练习"))</f>
        <v/>
      </c>
    </row>
    <row r="416" spans="12:29" ht="16" hidden="1" x14ac:dyDescent="0.2">
      <c r="L416" t="str">
        <f t="shared" si="24"/>
        <v/>
      </c>
      <c r="M416" t="str">
        <f>IF(L416="","", IFERROR(VLOOKUP(L416, IF(D416="KET", 换算标准!$M:$N, IF(D416="PET", 换算标准!$S:$T, 换算标准!$AC:$AD)), 2, TRUE), 0))</f>
        <v/>
      </c>
      <c r="P416" t="str">
        <f t="shared" si="25"/>
        <v/>
      </c>
      <c r="Q416" t="str">
        <f>IF(P416="","", IFERROR(VLOOKUP(P416, IF(D416="KET", 换算标准!$O:$P, IF(D416="PET", 换算标准!$U:$V, 换算标准!$AG:$AH)), 2, TRUE), 0))</f>
        <v/>
      </c>
      <c r="W416" t="str">
        <f t="shared" si="26"/>
        <v/>
      </c>
      <c r="X416" t="str">
        <f>IF(W416="","", IFERROR(VLOOKUP(W416, IF(D416="KET", 换算标准!$Q:$R, IF(D416="PET", 换算标准!$W:$X, 换算标准!$AI:$AJ)), 2, TRUE), 0))</f>
        <v/>
      </c>
      <c r="Y416" t="str">
        <f t="shared" si="27"/>
        <v/>
      </c>
      <c r="Z416" t="str">
        <f>IF(Y416="","", IFERROR(VLOOKUP(Y416, 换算标准!$Z:$AA, 1, TRUE), ""))</f>
        <v/>
      </c>
      <c r="AA416" s="5" t="str">
        <f>IF(L416="","", "⚠️ 薄弱环节: "&amp;INDEX($E$1:$K$1, MATCH(MIN(E416:K416), E416:K416, 0))&amp;CHAR(10)&amp;"📉 考察能力: "&amp;IFERROR(VLOOKUP(TRIM(D416)&amp;"_"&amp;TRIM(INDEX($E$1:$K$1, MATCH(MIN(E416:K416), E416:K416, 0))), 技能库!$A:$F, 5, 0),"建议查阅考纲")&amp;CHAR(10)&amp;"💡 提升建议: "&amp;IFERROR(VLOOKUP(TRIM(D416)&amp;"_"&amp;TRIM(INDEX($E$1:$K$1, MATCH(MIN(E416:K416), E416:K416, 0))), 技能库!$A:$F, 6, 0),"请针对该题型加强练习"))</f>
        <v/>
      </c>
      <c r="AB416" s="5" t="str">
        <f>IF(P416="","", "⚠️ 薄弱环节: "&amp;INDEX($N$1:$O$1, MATCH(MIN(N416:O416), N416:O416, 0))&amp;CHAR(10)&amp;"📉 考察能力: "&amp;IFERROR(VLOOKUP(TRIM(D416)&amp;"_"&amp;TRIM(INDEX($N$1:$O$1, MATCH(MIN(N416:O416), N416:O416, 0))), 技能库!$A:$F, 5, 0),"建议查阅考纲")&amp;CHAR(10)&amp;"💡 提升建议: "&amp;IFERROR(VLOOKUP(TRIM(D416)&amp;"_"&amp;TRIM(INDEX($N$1:$O$1, MATCH(MIN(N416:O416), N416:O416, 0))), 技能库!$A:$F, 6, 0),"请针对该题型加强练习"))</f>
        <v/>
      </c>
      <c r="AC416" s="5" t="str">
        <f>IF(W416="","", "⚠️ 薄弱环节: "&amp;INDEX($R$1:$V$1, MATCH(MIN(R416:V416), R416:V416, 0))&amp;CHAR(10)&amp;"📉 考察能力: "&amp;IFERROR(VLOOKUP(TRIM(D416)&amp;"_"&amp;TRIM(INDEX($R$1:$V$1, MATCH(MIN(R416:V416), R416:V416, 0))), 技能库!$A:$F, 5, 0),"建议查阅考纲")&amp;CHAR(10)&amp;"💡 提升建议: "&amp;IFERROR(VLOOKUP(TRIM(D416)&amp;"_"&amp;TRIM(INDEX($R$1:$V$1, MATCH(MIN(R416:V416), R416:V416, 0))), 技能库!$A:$F, 6, 0),"请针对该题型加强练习"))</f>
        <v/>
      </c>
    </row>
    <row r="417" spans="12:29" ht="16" hidden="1" x14ac:dyDescent="0.2">
      <c r="L417" t="str">
        <f t="shared" si="24"/>
        <v/>
      </c>
      <c r="M417" t="str">
        <f>IF(L417="","", IFERROR(VLOOKUP(L417, IF(D417="KET", 换算标准!$M:$N, IF(D417="PET", 换算标准!$S:$T, 换算标准!$AC:$AD)), 2, TRUE), 0))</f>
        <v/>
      </c>
      <c r="P417" t="str">
        <f t="shared" si="25"/>
        <v/>
      </c>
      <c r="Q417" t="str">
        <f>IF(P417="","", IFERROR(VLOOKUP(P417, IF(D417="KET", 换算标准!$O:$P, IF(D417="PET", 换算标准!$U:$V, 换算标准!$AG:$AH)), 2, TRUE), 0))</f>
        <v/>
      </c>
      <c r="W417" t="str">
        <f t="shared" si="26"/>
        <v/>
      </c>
      <c r="X417" t="str">
        <f>IF(W417="","", IFERROR(VLOOKUP(W417, IF(D417="KET", 换算标准!$Q:$R, IF(D417="PET", 换算标准!$W:$X, 换算标准!$AI:$AJ)), 2, TRUE), 0))</f>
        <v/>
      </c>
      <c r="Y417" t="str">
        <f t="shared" si="27"/>
        <v/>
      </c>
      <c r="Z417" t="str">
        <f>IF(Y417="","", IFERROR(VLOOKUP(Y417, 换算标准!$Z:$AA, 1, TRUE), ""))</f>
        <v/>
      </c>
      <c r="AA417" s="5" t="str">
        <f>IF(L417="","", "⚠️ 薄弱环节: "&amp;INDEX($E$1:$K$1, MATCH(MIN(E417:K417), E417:K417, 0))&amp;CHAR(10)&amp;"📉 考察能力: "&amp;IFERROR(VLOOKUP(TRIM(D417)&amp;"_"&amp;TRIM(INDEX($E$1:$K$1, MATCH(MIN(E417:K417), E417:K417, 0))), 技能库!$A:$F, 5, 0),"建议查阅考纲")&amp;CHAR(10)&amp;"💡 提升建议: "&amp;IFERROR(VLOOKUP(TRIM(D417)&amp;"_"&amp;TRIM(INDEX($E$1:$K$1, MATCH(MIN(E417:K417), E417:K417, 0))), 技能库!$A:$F, 6, 0),"请针对该题型加强练习"))</f>
        <v/>
      </c>
      <c r="AB417" s="5" t="str">
        <f>IF(P417="","", "⚠️ 薄弱环节: "&amp;INDEX($N$1:$O$1, MATCH(MIN(N417:O417), N417:O417, 0))&amp;CHAR(10)&amp;"📉 考察能力: "&amp;IFERROR(VLOOKUP(TRIM(D417)&amp;"_"&amp;TRIM(INDEX($N$1:$O$1, MATCH(MIN(N417:O417), N417:O417, 0))), 技能库!$A:$F, 5, 0),"建议查阅考纲")&amp;CHAR(10)&amp;"💡 提升建议: "&amp;IFERROR(VLOOKUP(TRIM(D417)&amp;"_"&amp;TRIM(INDEX($N$1:$O$1, MATCH(MIN(N417:O417), N417:O417, 0))), 技能库!$A:$F, 6, 0),"请针对该题型加强练习"))</f>
        <v/>
      </c>
      <c r="AC417" s="5" t="str">
        <f>IF(W417="","", "⚠️ 薄弱环节: "&amp;INDEX($R$1:$V$1, MATCH(MIN(R417:V417), R417:V417, 0))&amp;CHAR(10)&amp;"📉 考察能力: "&amp;IFERROR(VLOOKUP(TRIM(D417)&amp;"_"&amp;TRIM(INDEX($R$1:$V$1, MATCH(MIN(R417:V417), R417:V417, 0))), 技能库!$A:$F, 5, 0),"建议查阅考纲")&amp;CHAR(10)&amp;"💡 提升建议: "&amp;IFERROR(VLOOKUP(TRIM(D417)&amp;"_"&amp;TRIM(INDEX($R$1:$V$1, MATCH(MIN(R417:V417), R417:V417, 0))), 技能库!$A:$F, 6, 0),"请针对该题型加强练习"))</f>
        <v/>
      </c>
    </row>
    <row r="418" spans="12:29" ht="16" hidden="1" x14ac:dyDescent="0.2">
      <c r="L418" t="str">
        <f t="shared" si="24"/>
        <v/>
      </c>
      <c r="M418" t="str">
        <f>IF(L418="","", IFERROR(VLOOKUP(L418, IF(D418="KET", 换算标准!$M:$N, IF(D418="PET", 换算标准!$S:$T, 换算标准!$AC:$AD)), 2, TRUE), 0))</f>
        <v/>
      </c>
      <c r="P418" t="str">
        <f t="shared" si="25"/>
        <v/>
      </c>
      <c r="Q418" t="str">
        <f>IF(P418="","", IFERROR(VLOOKUP(P418, IF(D418="KET", 换算标准!$O:$P, IF(D418="PET", 换算标准!$U:$V, 换算标准!$AG:$AH)), 2, TRUE), 0))</f>
        <v/>
      </c>
      <c r="W418" t="str">
        <f t="shared" si="26"/>
        <v/>
      </c>
      <c r="X418" t="str">
        <f>IF(W418="","", IFERROR(VLOOKUP(W418, IF(D418="KET", 换算标准!$Q:$R, IF(D418="PET", 换算标准!$W:$X, 换算标准!$AI:$AJ)), 2, TRUE), 0))</f>
        <v/>
      </c>
      <c r="Y418" t="str">
        <f t="shared" si="27"/>
        <v/>
      </c>
      <c r="Z418" t="str">
        <f>IF(Y418="","", IFERROR(VLOOKUP(Y418, 换算标准!$Z:$AA, 1, TRUE), ""))</f>
        <v/>
      </c>
      <c r="AA418" s="5" t="str">
        <f>IF(L418="","", "⚠️ 薄弱环节: "&amp;INDEX($E$1:$K$1, MATCH(MIN(E418:K418), E418:K418, 0))&amp;CHAR(10)&amp;"📉 考察能力: "&amp;IFERROR(VLOOKUP(TRIM(D418)&amp;"_"&amp;TRIM(INDEX($E$1:$K$1, MATCH(MIN(E418:K418), E418:K418, 0))), 技能库!$A:$F, 5, 0),"建议查阅考纲")&amp;CHAR(10)&amp;"💡 提升建议: "&amp;IFERROR(VLOOKUP(TRIM(D418)&amp;"_"&amp;TRIM(INDEX($E$1:$K$1, MATCH(MIN(E418:K418), E418:K418, 0))), 技能库!$A:$F, 6, 0),"请针对该题型加强练习"))</f>
        <v/>
      </c>
      <c r="AB418" s="5" t="str">
        <f>IF(P418="","", "⚠️ 薄弱环节: "&amp;INDEX($N$1:$O$1, MATCH(MIN(N418:O418), N418:O418, 0))&amp;CHAR(10)&amp;"📉 考察能力: "&amp;IFERROR(VLOOKUP(TRIM(D418)&amp;"_"&amp;TRIM(INDEX($N$1:$O$1, MATCH(MIN(N418:O418), N418:O418, 0))), 技能库!$A:$F, 5, 0),"建议查阅考纲")&amp;CHAR(10)&amp;"💡 提升建议: "&amp;IFERROR(VLOOKUP(TRIM(D418)&amp;"_"&amp;TRIM(INDEX($N$1:$O$1, MATCH(MIN(N418:O418), N418:O418, 0))), 技能库!$A:$F, 6, 0),"请针对该题型加强练习"))</f>
        <v/>
      </c>
      <c r="AC418" s="5" t="str">
        <f>IF(W418="","", "⚠️ 薄弱环节: "&amp;INDEX($R$1:$V$1, MATCH(MIN(R418:V418), R418:V418, 0))&amp;CHAR(10)&amp;"📉 考察能力: "&amp;IFERROR(VLOOKUP(TRIM(D418)&amp;"_"&amp;TRIM(INDEX($R$1:$V$1, MATCH(MIN(R418:V418), R418:V418, 0))), 技能库!$A:$F, 5, 0),"建议查阅考纲")&amp;CHAR(10)&amp;"💡 提升建议: "&amp;IFERROR(VLOOKUP(TRIM(D418)&amp;"_"&amp;TRIM(INDEX($R$1:$V$1, MATCH(MIN(R418:V418), R418:V418, 0))), 技能库!$A:$F, 6, 0),"请针对该题型加强练习"))</f>
        <v/>
      </c>
    </row>
    <row r="419" spans="12:29" ht="16" hidden="1" x14ac:dyDescent="0.2">
      <c r="L419" t="str">
        <f t="shared" si="24"/>
        <v/>
      </c>
      <c r="M419" t="str">
        <f>IF(L419="","", IFERROR(VLOOKUP(L419, IF(D419="KET", 换算标准!$M:$N, IF(D419="PET", 换算标准!$S:$T, 换算标准!$AC:$AD)), 2, TRUE), 0))</f>
        <v/>
      </c>
      <c r="P419" t="str">
        <f t="shared" si="25"/>
        <v/>
      </c>
      <c r="Q419" t="str">
        <f>IF(P419="","", IFERROR(VLOOKUP(P419, IF(D419="KET", 换算标准!$O:$P, IF(D419="PET", 换算标准!$U:$V, 换算标准!$AG:$AH)), 2, TRUE), 0))</f>
        <v/>
      </c>
      <c r="W419" t="str">
        <f t="shared" si="26"/>
        <v/>
      </c>
      <c r="X419" t="str">
        <f>IF(W419="","", IFERROR(VLOOKUP(W419, IF(D419="KET", 换算标准!$Q:$R, IF(D419="PET", 换算标准!$W:$X, 换算标准!$AI:$AJ)), 2, TRUE), 0))</f>
        <v/>
      </c>
      <c r="Y419" t="str">
        <f t="shared" si="27"/>
        <v/>
      </c>
      <c r="Z419" t="str">
        <f>IF(Y419="","", IFERROR(VLOOKUP(Y419, 换算标准!$Z:$AA, 1, TRUE), ""))</f>
        <v/>
      </c>
      <c r="AA419" s="5" t="str">
        <f>IF(L419="","", "⚠️ 薄弱环节: "&amp;INDEX($E$1:$K$1, MATCH(MIN(E419:K419), E419:K419, 0))&amp;CHAR(10)&amp;"📉 考察能力: "&amp;IFERROR(VLOOKUP(TRIM(D419)&amp;"_"&amp;TRIM(INDEX($E$1:$K$1, MATCH(MIN(E419:K419), E419:K419, 0))), 技能库!$A:$F, 5, 0),"建议查阅考纲")&amp;CHAR(10)&amp;"💡 提升建议: "&amp;IFERROR(VLOOKUP(TRIM(D419)&amp;"_"&amp;TRIM(INDEX($E$1:$K$1, MATCH(MIN(E419:K419), E419:K419, 0))), 技能库!$A:$F, 6, 0),"请针对该题型加强练习"))</f>
        <v/>
      </c>
      <c r="AB419" s="5" t="str">
        <f>IF(P419="","", "⚠️ 薄弱环节: "&amp;INDEX($N$1:$O$1, MATCH(MIN(N419:O419), N419:O419, 0))&amp;CHAR(10)&amp;"📉 考察能力: "&amp;IFERROR(VLOOKUP(TRIM(D419)&amp;"_"&amp;TRIM(INDEX($N$1:$O$1, MATCH(MIN(N419:O419), N419:O419, 0))), 技能库!$A:$F, 5, 0),"建议查阅考纲")&amp;CHAR(10)&amp;"💡 提升建议: "&amp;IFERROR(VLOOKUP(TRIM(D419)&amp;"_"&amp;TRIM(INDEX($N$1:$O$1, MATCH(MIN(N419:O419), N419:O419, 0))), 技能库!$A:$F, 6, 0),"请针对该题型加强练习"))</f>
        <v/>
      </c>
      <c r="AC419" s="5" t="str">
        <f>IF(W419="","", "⚠️ 薄弱环节: "&amp;INDEX($R$1:$V$1, MATCH(MIN(R419:V419), R419:V419, 0))&amp;CHAR(10)&amp;"📉 考察能力: "&amp;IFERROR(VLOOKUP(TRIM(D419)&amp;"_"&amp;TRIM(INDEX($R$1:$V$1, MATCH(MIN(R419:V419), R419:V419, 0))), 技能库!$A:$F, 5, 0),"建议查阅考纲")&amp;CHAR(10)&amp;"💡 提升建议: "&amp;IFERROR(VLOOKUP(TRIM(D419)&amp;"_"&amp;TRIM(INDEX($R$1:$V$1, MATCH(MIN(R419:V419), R419:V419, 0))), 技能库!$A:$F, 6, 0),"请针对该题型加强练习"))</f>
        <v/>
      </c>
    </row>
    <row r="420" spans="12:29" ht="16" hidden="1" x14ac:dyDescent="0.2">
      <c r="L420" t="str">
        <f t="shared" si="24"/>
        <v/>
      </c>
      <c r="M420" t="str">
        <f>IF(L420="","", IFERROR(VLOOKUP(L420, IF(D420="KET", 换算标准!$M:$N, IF(D420="PET", 换算标准!$S:$T, 换算标准!$AC:$AD)), 2, TRUE), 0))</f>
        <v/>
      </c>
      <c r="P420" t="str">
        <f t="shared" si="25"/>
        <v/>
      </c>
      <c r="Q420" t="str">
        <f>IF(P420="","", IFERROR(VLOOKUP(P420, IF(D420="KET", 换算标准!$O:$P, IF(D420="PET", 换算标准!$U:$V, 换算标准!$AG:$AH)), 2, TRUE), 0))</f>
        <v/>
      </c>
      <c r="W420" t="str">
        <f t="shared" si="26"/>
        <v/>
      </c>
      <c r="X420" t="str">
        <f>IF(W420="","", IFERROR(VLOOKUP(W420, IF(D420="KET", 换算标准!$Q:$R, IF(D420="PET", 换算标准!$W:$X, 换算标准!$AI:$AJ)), 2, TRUE), 0))</f>
        <v/>
      </c>
      <c r="Y420" t="str">
        <f t="shared" si="27"/>
        <v/>
      </c>
      <c r="Z420" t="str">
        <f>IF(Y420="","", IFERROR(VLOOKUP(Y420, 换算标准!$Z:$AA, 1, TRUE), ""))</f>
        <v/>
      </c>
      <c r="AA420" s="5" t="str">
        <f>IF(L420="","", "⚠️ 薄弱环节: "&amp;INDEX($E$1:$K$1, MATCH(MIN(E420:K420), E420:K420, 0))&amp;CHAR(10)&amp;"📉 考察能力: "&amp;IFERROR(VLOOKUP(TRIM(D420)&amp;"_"&amp;TRIM(INDEX($E$1:$K$1, MATCH(MIN(E420:K420), E420:K420, 0))), 技能库!$A:$F, 5, 0),"建议查阅考纲")&amp;CHAR(10)&amp;"💡 提升建议: "&amp;IFERROR(VLOOKUP(TRIM(D420)&amp;"_"&amp;TRIM(INDEX($E$1:$K$1, MATCH(MIN(E420:K420), E420:K420, 0))), 技能库!$A:$F, 6, 0),"请针对该题型加强练习"))</f>
        <v/>
      </c>
      <c r="AB420" s="5" t="str">
        <f>IF(P420="","", "⚠️ 薄弱环节: "&amp;INDEX($N$1:$O$1, MATCH(MIN(N420:O420), N420:O420, 0))&amp;CHAR(10)&amp;"📉 考察能力: "&amp;IFERROR(VLOOKUP(TRIM(D420)&amp;"_"&amp;TRIM(INDEX($N$1:$O$1, MATCH(MIN(N420:O420), N420:O420, 0))), 技能库!$A:$F, 5, 0),"建议查阅考纲")&amp;CHAR(10)&amp;"💡 提升建议: "&amp;IFERROR(VLOOKUP(TRIM(D420)&amp;"_"&amp;TRIM(INDEX($N$1:$O$1, MATCH(MIN(N420:O420), N420:O420, 0))), 技能库!$A:$F, 6, 0),"请针对该题型加强练习"))</f>
        <v/>
      </c>
      <c r="AC420" s="5" t="str">
        <f>IF(W420="","", "⚠️ 薄弱环节: "&amp;INDEX($R$1:$V$1, MATCH(MIN(R420:V420), R420:V420, 0))&amp;CHAR(10)&amp;"📉 考察能力: "&amp;IFERROR(VLOOKUP(TRIM(D420)&amp;"_"&amp;TRIM(INDEX($R$1:$V$1, MATCH(MIN(R420:V420), R420:V420, 0))), 技能库!$A:$F, 5, 0),"建议查阅考纲")&amp;CHAR(10)&amp;"💡 提升建议: "&amp;IFERROR(VLOOKUP(TRIM(D420)&amp;"_"&amp;TRIM(INDEX($R$1:$V$1, MATCH(MIN(R420:V420), R420:V420, 0))), 技能库!$A:$F, 6, 0),"请针对该题型加强练习"))</f>
        <v/>
      </c>
    </row>
    <row r="421" spans="12:29" ht="16" hidden="1" x14ac:dyDescent="0.2">
      <c r="L421" t="str">
        <f t="shared" si="24"/>
        <v/>
      </c>
      <c r="M421" t="str">
        <f>IF(L421="","", IFERROR(VLOOKUP(L421, IF(D421="KET", 换算标准!$M:$N, IF(D421="PET", 换算标准!$S:$T, 换算标准!$AC:$AD)), 2, TRUE), 0))</f>
        <v/>
      </c>
      <c r="P421" t="str">
        <f t="shared" si="25"/>
        <v/>
      </c>
      <c r="Q421" t="str">
        <f>IF(P421="","", IFERROR(VLOOKUP(P421, IF(D421="KET", 换算标准!$O:$P, IF(D421="PET", 换算标准!$U:$V, 换算标准!$AG:$AH)), 2, TRUE), 0))</f>
        <v/>
      </c>
      <c r="W421" t="str">
        <f t="shared" si="26"/>
        <v/>
      </c>
      <c r="X421" t="str">
        <f>IF(W421="","", IFERROR(VLOOKUP(W421, IF(D421="KET", 换算标准!$Q:$R, IF(D421="PET", 换算标准!$W:$X, 换算标准!$AI:$AJ)), 2, TRUE), 0))</f>
        <v/>
      </c>
      <c r="Y421" t="str">
        <f t="shared" si="27"/>
        <v/>
      </c>
      <c r="Z421" t="str">
        <f>IF(Y421="","", IFERROR(VLOOKUP(Y421, 换算标准!$Z:$AA, 1, TRUE), ""))</f>
        <v/>
      </c>
      <c r="AA421" s="5" t="str">
        <f>IF(L421="","", "⚠️ 薄弱环节: "&amp;INDEX($E$1:$K$1, MATCH(MIN(E421:K421), E421:K421, 0))&amp;CHAR(10)&amp;"📉 考察能力: "&amp;IFERROR(VLOOKUP(TRIM(D421)&amp;"_"&amp;TRIM(INDEX($E$1:$K$1, MATCH(MIN(E421:K421), E421:K421, 0))), 技能库!$A:$F, 5, 0),"建议查阅考纲")&amp;CHAR(10)&amp;"💡 提升建议: "&amp;IFERROR(VLOOKUP(TRIM(D421)&amp;"_"&amp;TRIM(INDEX($E$1:$K$1, MATCH(MIN(E421:K421), E421:K421, 0))), 技能库!$A:$F, 6, 0),"请针对该题型加强练习"))</f>
        <v/>
      </c>
      <c r="AB421" s="5" t="str">
        <f>IF(P421="","", "⚠️ 薄弱环节: "&amp;INDEX($N$1:$O$1, MATCH(MIN(N421:O421), N421:O421, 0))&amp;CHAR(10)&amp;"📉 考察能力: "&amp;IFERROR(VLOOKUP(TRIM(D421)&amp;"_"&amp;TRIM(INDEX($N$1:$O$1, MATCH(MIN(N421:O421), N421:O421, 0))), 技能库!$A:$F, 5, 0),"建议查阅考纲")&amp;CHAR(10)&amp;"💡 提升建议: "&amp;IFERROR(VLOOKUP(TRIM(D421)&amp;"_"&amp;TRIM(INDEX($N$1:$O$1, MATCH(MIN(N421:O421), N421:O421, 0))), 技能库!$A:$F, 6, 0),"请针对该题型加强练习"))</f>
        <v/>
      </c>
      <c r="AC421" s="5" t="str">
        <f>IF(W421="","", "⚠️ 薄弱环节: "&amp;INDEX($R$1:$V$1, MATCH(MIN(R421:V421), R421:V421, 0))&amp;CHAR(10)&amp;"📉 考察能力: "&amp;IFERROR(VLOOKUP(TRIM(D421)&amp;"_"&amp;TRIM(INDEX($R$1:$V$1, MATCH(MIN(R421:V421), R421:V421, 0))), 技能库!$A:$F, 5, 0),"建议查阅考纲")&amp;CHAR(10)&amp;"💡 提升建议: "&amp;IFERROR(VLOOKUP(TRIM(D421)&amp;"_"&amp;TRIM(INDEX($R$1:$V$1, MATCH(MIN(R421:V421), R421:V421, 0))), 技能库!$A:$F, 6, 0),"请针对该题型加强练习"))</f>
        <v/>
      </c>
    </row>
    <row r="422" spans="12:29" ht="16" hidden="1" x14ac:dyDescent="0.2">
      <c r="L422" t="str">
        <f t="shared" si="24"/>
        <v/>
      </c>
      <c r="M422" t="str">
        <f>IF(L422="","", IFERROR(VLOOKUP(L422, IF(D422="KET", 换算标准!$M:$N, IF(D422="PET", 换算标准!$S:$T, 换算标准!$AC:$AD)), 2, TRUE), 0))</f>
        <v/>
      </c>
      <c r="P422" t="str">
        <f t="shared" si="25"/>
        <v/>
      </c>
      <c r="Q422" t="str">
        <f>IF(P422="","", IFERROR(VLOOKUP(P422, IF(D422="KET", 换算标准!$O:$P, IF(D422="PET", 换算标准!$U:$V, 换算标准!$AG:$AH)), 2, TRUE), 0))</f>
        <v/>
      </c>
      <c r="W422" t="str">
        <f t="shared" si="26"/>
        <v/>
      </c>
      <c r="X422" t="str">
        <f>IF(W422="","", IFERROR(VLOOKUP(W422, IF(D422="KET", 换算标准!$Q:$R, IF(D422="PET", 换算标准!$W:$X, 换算标准!$AI:$AJ)), 2, TRUE), 0))</f>
        <v/>
      </c>
      <c r="Y422" t="str">
        <f t="shared" si="27"/>
        <v/>
      </c>
      <c r="Z422" t="str">
        <f>IF(Y422="","", IFERROR(VLOOKUP(Y422, 换算标准!$Z:$AA, 1, TRUE), ""))</f>
        <v/>
      </c>
      <c r="AA422" s="5" t="str">
        <f>IF(L422="","", "⚠️ 薄弱环节: "&amp;INDEX($E$1:$K$1, MATCH(MIN(E422:K422), E422:K422, 0))&amp;CHAR(10)&amp;"📉 考察能力: "&amp;IFERROR(VLOOKUP(TRIM(D422)&amp;"_"&amp;TRIM(INDEX($E$1:$K$1, MATCH(MIN(E422:K422), E422:K422, 0))), 技能库!$A:$F, 5, 0),"建议查阅考纲")&amp;CHAR(10)&amp;"💡 提升建议: "&amp;IFERROR(VLOOKUP(TRIM(D422)&amp;"_"&amp;TRIM(INDEX($E$1:$K$1, MATCH(MIN(E422:K422), E422:K422, 0))), 技能库!$A:$F, 6, 0),"请针对该题型加强练习"))</f>
        <v/>
      </c>
      <c r="AB422" s="5" t="str">
        <f>IF(P422="","", "⚠️ 薄弱环节: "&amp;INDEX($N$1:$O$1, MATCH(MIN(N422:O422), N422:O422, 0))&amp;CHAR(10)&amp;"📉 考察能力: "&amp;IFERROR(VLOOKUP(TRIM(D422)&amp;"_"&amp;TRIM(INDEX($N$1:$O$1, MATCH(MIN(N422:O422), N422:O422, 0))), 技能库!$A:$F, 5, 0),"建议查阅考纲")&amp;CHAR(10)&amp;"💡 提升建议: "&amp;IFERROR(VLOOKUP(TRIM(D422)&amp;"_"&amp;TRIM(INDEX($N$1:$O$1, MATCH(MIN(N422:O422), N422:O422, 0))), 技能库!$A:$F, 6, 0),"请针对该题型加强练习"))</f>
        <v/>
      </c>
      <c r="AC422" s="5" t="str">
        <f>IF(W422="","", "⚠️ 薄弱环节: "&amp;INDEX($R$1:$V$1, MATCH(MIN(R422:V422), R422:V422, 0))&amp;CHAR(10)&amp;"📉 考察能力: "&amp;IFERROR(VLOOKUP(TRIM(D422)&amp;"_"&amp;TRIM(INDEX($R$1:$V$1, MATCH(MIN(R422:V422), R422:V422, 0))), 技能库!$A:$F, 5, 0),"建议查阅考纲")&amp;CHAR(10)&amp;"💡 提升建议: "&amp;IFERROR(VLOOKUP(TRIM(D422)&amp;"_"&amp;TRIM(INDEX($R$1:$V$1, MATCH(MIN(R422:V422), R422:V422, 0))), 技能库!$A:$F, 6, 0),"请针对该题型加强练习"))</f>
        <v/>
      </c>
    </row>
    <row r="423" spans="12:29" ht="16" hidden="1" x14ac:dyDescent="0.2">
      <c r="L423" t="str">
        <f t="shared" si="24"/>
        <v/>
      </c>
      <c r="M423" t="str">
        <f>IF(L423="","", IFERROR(VLOOKUP(L423, IF(D423="KET", 换算标准!$M:$N, IF(D423="PET", 换算标准!$S:$T, 换算标准!$AC:$AD)), 2, TRUE), 0))</f>
        <v/>
      </c>
      <c r="P423" t="str">
        <f t="shared" si="25"/>
        <v/>
      </c>
      <c r="Q423" t="str">
        <f>IF(P423="","", IFERROR(VLOOKUP(P423, IF(D423="KET", 换算标准!$O:$P, IF(D423="PET", 换算标准!$U:$V, 换算标准!$AG:$AH)), 2, TRUE), 0))</f>
        <v/>
      </c>
      <c r="W423" t="str">
        <f t="shared" si="26"/>
        <v/>
      </c>
      <c r="X423" t="str">
        <f>IF(W423="","", IFERROR(VLOOKUP(W423, IF(D423="KET", 换算标准!$Q:$R, IF(D423="PET", 换算标准!$W:$X, 换算标准!$AI:$AJ)), 2, TRUE), 0))</f>
        <v/>
      </c>
      <c r="Y423" t="str">
        <f t="shared" si="27"/>
        <v/>
      </c>
      <c r="Z423" t="str">
        <f>IF(Y423="","", IFERROR(VLOOKUP(Y423, 换算标准!$Z:$AA, 1, TRUE), ""))</f>
        <v/>
      </c>
      <c r="AA423" s="5" t="str">
        <f>IF(L423="","", "⚠️ 薄弱环节: "&amp;INDEX($E$1:$K$1, MATCH(MIN(E423:K423), E423:K423, 0))&amp;CHAR(10)&amp;"📉 考察能力: "&amp;IFERROR(VLOOKUP(TRIM(D423)&amp;"_"&amp;TRIM(INDEX($E$1:$K$1, MATCH(MIN(E423:K423), E423:K423, 0))), 技能库!$A:$F, 5, 0),"建议查阅考纲")&amp;CHAR(10)&amp;"💡 提升建议: "&amp;IFERROR(VLOOKUP(TRIM(D423)&amp;"_"&amp;TRIM(INDEX($E$1:$K$1, MATCH(MIN(E423:K423), E423:K423, 0))), 技能库!$A:$F, 6, 0),"请针对该题型加强练习"))</f>
        <v/>
      </c>
      <c r="AB423" s="5" t="str">
        <f>IF(P423="","", "⚠️ 薄弱环节: "&amp;INDEX($N$1:$O$1, MATCH(MIN(N423:O423), N423:O423, 0))&amp;CHAR(10)&amp;"📉 考察能力: "&amp;IFERROR(VLOOKUP(TRIM(D423)&amp;"_"&amp;TRIM(INDEX($N$1:$O$1, MATCH(MIN(N423:O423), N423:O423, 0))), 技能库!$A:$F, 5, 0),"建议查阅考纲")&amp;CHAR(10)&amp;"💡 提升建议: "&amp;IFERROR(VLOOKUP(TRIM(D423)&amp;"_"&amp;TRIM(INDEX($N$1:$O$1, MATCH(MIN(N423:O423), N423:O423, 0))), 技能库!$A:$F, 6, 0),"请针对该题型加强练习"))</f>
        <v/>
      </c>
      <c r="AC423" s="5" t="str">
        <f>IF(W423="","", "⚠️ 薄弱环节: "&amp;INDEX($R$1:$V$1, MATCH(MIN(R423:V423), R423:V423, 0))&amp;CHAR(10)&amp;"📉 考察能力: "&amp;IFERROR(VLOOKUP(TRIM(D423)&amp;"_"&amp;TRIM(INDEX($R$1:$V$1, MATCH(MIN(R423:V423), R423:V423, 0))), 技能库!$A:$F, 5, 0),"建议查阅考纲")&amp;CHAR(10)&amp;"💡 提升建议: "&amp;IFERROR(VLOOKUP(TRIM(D423)&amp;"_"&amp;TRIM(INDEX($R$1:$V$1, MATCH(MIN(R423:V423), R423:V423, 0))), 技能库!$A:$F, 6, 0),"请针对该题型加强练习"))</f>
        <v/>
      </c>
    </row>
    <row r="424" spans="12:29" ht="16" hidden="1" x14ac:dyDescent="0.2">
      <c r="L424" t="str">
        <f t="shared" si="24"/>
        <v/>
      </c>
      <c r="M424" t="str">
        <f>IF(L424="","", IFERROR(VLOOKUP(L424, IF(D424="KET", 换算标准!$M:$N, IF(D424="PET", 换算标准!$S:$T, 换算标准!$AC:$AD)), 2, TRUE), 0))</f>
        <v/>
      </c>
      <c r="P424" t="str">
        <f t="shared" si="25"/>
        <v/>
      </c>
      <c r="Q424" t="str">
        <f>IF(P424="","", IFERROR(VLOOKUP(P424, IF(D424="KET", 换算标准!$O:$P, IF(D424="PET", 换算标准!$U:$V, 换算标准!$AG:$AH)), 2, TRUE), 0))</f>
        <v/>
      </c>
      <c r="W424" t="str">
        <f t="shared" si="26"/>
        <v/>
      </c>
      <c r="X424" t="str">
        <f>IF(W424="","", IFERROR(VLOOKUP(W424, IF(D424="KET", 换算标准!$Q:$R, IF(D424="PET", 换算标准!$W:$X, 换算标准!$AI:$AJ)), 2, TRUE), 0))</f>
        <v/>
      </c>
      <c r="Y424" t="str">
        <f t="shared" si="27"/>
        <v/>
      </c>
      <c r="Z424" t="str">
        <f>IF(Y424="","", IFERROR(VLOOKUP(Y424, 换算标准!$Z:$AA, 1, TRUE), ""))</f>
        <v/>
      </c>
      <c r="AA424" s="5" t="str">
        <f>IF(L424="","", "⚠️ 薄弱环节: "&amp;INDEX($E$1:$K$1, MATCH(MIN(E424:K424), E424:K424, 0))&amp;CHAR(10)&amp;"📉 考察能力: "&amp;IFERROR(VLOOKUP(TRIM(D424)&amp;"_"&amp;TRIM(INDEX($E$1:$K$1, MATCH(MIN(E424:K424), E424:K424, 0))), 技能库!$A:$F, 5, 0),"建议查阅考纲")&amp;CHAR(10)&amp;"💡 提升建议: "&amp;IFERROR(VLOOKUP(TRIM(D424)&amp;"_"&amp;TRIM(INDEX($E$1:$K$1, MATCH(MIN(E424:K424), E424:K424, 0))), 技能库!$A:$F, 6, 0),"请针对该题型加强练习"))</f>
        <v/>
      </c>
      <c r="AB424" s="5" t="str">
        <f>IF(P424="","", "⚠️ 薄弱环节: "&amp;INDEX($N$1:$O$1, MATCH(MIN(N424:O424), N424:O424, 0))&amp;CHAR(10)&amp;"📉 考察能力: "&amp;IFERROR(VLOOKUP(TRIM(D424)&amp;"_"&amp;TRIM(INDEX($N$1:$O$1, MATCH(MIN(N424:O424), N424:O424, 0))), 技能库!$A:$F, 5, 0),"建议查阅考纲")&amp;CHAR(10)&amp;"💡 提升建议: "&amp;IFERROR(VLOOKUP(TRIM(D424)&amp;"_"&amp;TRIM(INDEX($N$1:$O$1, MATCH(MIN(N424:O424), N424:O424, 0))), 技能库!$A:$F, 6, 0),"请针对该题型加强练习"))</f>
        <v/>
      </c>
      <c r="AC424" s="5" t="str">
        <f>IF(W424="","", "⚠️ 薄弱环节: "&amp;INDEX($R$1:$V$1, MATCH(MIN(R424:V424), R424:V424, 0))&amp;CHAR(10)&amp;"📉 考察能力: "&amp;IFERROR(VLOOKUP(TRIM(D424)&amp;"_"&amp;TRIM(INDEX($R$1:$V$1, MATCH(MIN(R424:V424), R424:V424, 0))), 技能库!$A:$F, 5, 0),"建议查阅考纲")&amp;CHAR(10)&amp;"💡 提升建议: "&amp;IFERROR(VLOOKUP(TRIM(D424)&amp;"_"&amp;TRIM(INDEX($R$1:$V$1, MATCH(MIN(R424:V424), R424:V424, 0))), 技能库!$A:$F, 6, 0),"请针对该题型加强练习"))</f>
        <v/>
      </c>
    </row>
    <row r="425" spans="12:29" ht="16" hidden="1" x14ac:dyDescent="0.2">
      <c r="L425" t="str">
        <f t="shared" si="24"/>
        <v/>
      </c>
      <c r="M425" t="str">
        <f>IF(L425="","", IFERROR(VLOOKUP(L425, IF(D425="KET", 换算标准!$M:$N, IF(D425="PET", 换算标准!$S:$T, 换算标准!$AC:$AD)), 2, TRUE), 0))</f>
        <v/>
      </c>
      <c r="P425" t="str">
        <f t="shared" si="25"/>
        <v/>
      </c>
      <c r="Q425" t="str">
        <f>IF(P425="","", IFERROR(VLOOKUP(P425, IF(D425="KET", 换算标准!$O:$P, IF(D425="PET", 换算标准!$U:$V, 换算标准!$AG:$AH)), 2, TRUE), 0))</f>
        <v/>
      </c>
      <c r="W425" t="str">
        <f t="shared" si="26"/>
        <v/>
      </c>
      <c r="X425" t="str">
        <f>IF(W425="","", IFERROR(VLOOKUP(W425, IF(D425="KET", 换算标准!$Q:$R, IF(D425="PET", 换算标准!$W:$X, 换算标准!$AI:$AJ)), 2, TRUE), 0))</f>
        <v/>
      </c>
      <c r="Y425" t="str">
        <f t="shared" si="27"/>
        <v/>
      </c>
      <c r="Z425" t="str">
        <f>IF(Y425="","", IFERROR(VLOOKUP(Y425, 换算标准!$Z:$AA, 1, TRUE), ""))</f>
        <v/>
      </c>
      <c r="AA425" s="5" t="str">
        <f>IF(L425="","", "⚠️ 薄弱环节: "&amp;INDEX($E$1:$K$1, MATCH(MIN(E425:K425), E425:K425, 0))&amp;CHAR(10)&amp;"📉 考察能力: "&amp;IFERROR(VLOOKUP(TRIM(D425)&amp;"_"&amp;TRIM(INDEX($E$1:$K$1, MATCH(MIN(E425:K425), E425:K425, 0))), 技能库!$A:$F, 5, 0),"建议查阅考纲")&amp;CHAR(10)&amp;"💡 提升建议: "&amp;IFERROR(VLOOKUP(TRIM(D425)&amp;"_"&amp;TRIM(INDEX($E$1:$K$1, MATCH(MIN(E425:K425), E425:K425, 0))), 技能库!$A:$F, 6, 0),"请针对该题型加强练习"))</f>
        <v/>
      </c>
      <c r="AB425" s="5" t="str">
        <f>IF(P425="","", "⚠️ 薄弱环节: "&amp;INDEX($N$1:$O$1, MATCH(MIN(N425:O425), N425:O425, 0))&amp;CHAR(10)&amp;"📉 考察能力: "&amp;IFERROR(VLOOKUP(TRIM(D425)&amp;"_"&amp;TRIM(INDEX($N$1:$O$1, MATCH(MIN(N425:O425), N425:O425, 0))), 技能库!$A:$F, 5, 0),"建议查阅考纲")&amp;CHAR(10)&amp;"💡 提升建议: "&amp;IFERROR(VLOOKUP(TRIM(D425)&amp;"_"&amp;TRIM(INDEX($N$1:$O$1, MATCH(MIN(N425:O425), N425:O425, 0))), 技能库!$A:$F, 6, 0),"请针对该题型加强练习"))</f>
        <v/>
      </c>
      <c r="AC425" s="5" t="str">
        <f>IF(W425="","", "⚠️ 薄弱环节: "&amp;INDEX($R$1:$V$1, MATCH(MIN(R425:V425), R425:V425, 0))&amp;CHAR(10)&amp;"📉 考察能力: "&amp;IFERROR(VLOOKUP(TRIM(D425)&amp;"_"&amp;TRIM(INDEX($R$1:$V$1, MATCH(MIN(R425:V425), R425:V425, 0))), 技能库!$A:$F, 5, 0),"建议查阅考纲")&amp;CHAR(10)&amp;"💡 提升建议: "&amp;IFERROR(VLOOKUP(TRIM(D425)&amp;"_"&amp;TRIM(INDEX($R$1:$V$1, MATCH(MIN(R425:V425), R425:V425, 0))), 技能库!$A:$F, 6, 0),"请针对该题型加强练习"))</f>
        <v/>
      </c>
    </row>
    <row r="426" spans="12:29" ht="16" hidden="1" x14ac:dyDescent="0.2">
      <c r="L426" t="str">
        <f t="shared" si="24"/>
        <v/>
      </c>
      <c r="M426" t="str">
        <f>IF(L426="","", IFERROR(VLOOKUP(L426, IF(D426="KET", 换算标准!$M:$N, IF(D426="PET", 换算标准!$S:$T, 换算标准!$AC:$AD)), 2, TRUE), 0))</f>
        <v/>
      </c>
      <c r="P426" t="str">
        <f t="shared" si="25"/>
        <v/>
      </c>
      <c r="Q426" t="str">
        <f>IF(P426="","", IFERROR(VLOOKUP(P426, IF(D426="KET", 换算标准!$O:$P, IF(D426="PET", 换算标准!$U:$V, 换算标准!$AG:$AH)), 2, TRUE), 0))</f>
        <v/>
      </c>
      <c r="W426" t="str">
        <f t="shared" si="26"/>
        <v/>
      </c>
      <c r="X426" t="str">
        <f>IF(W426="","", IFERROR(VLOOKUP(W426, IF(D426="KET", 换算标准!$Q:$R, IF(D426="PET", 换算标准!$W:$X, 换算标准!$AI:$AJ)), 2, TRUE), 0))</f>
        <v/>
      </c>
      <c r="Y426" t="str">
        <f t="shared" si="27"/>
        <v/>
      </c>
      <c r="Z426" t="str">
        <f>IF(Y426="","", IFERROR(VLOOKUP(Y426, 换算标准!$Z:$AA, 1, TRUE), ""))</f>
        <v/>
      </c>
      <c r="AA426" s="5" t="str">
        <f>IF(L426="","", "⚠️ 薄弱环节: "&amp;INDEX($E$1:$K$1, MATCH(MIN(E426:K426), E426:K426, 0))&amp;CHAR(10)&amp;"📉 考察能力: "&amp;IFERROR(VLOOKUP(TRIM(D426)&amp;"_"&amp;TRIM(INDEX($E$1:$K$1, MATCH(MIN(E426:K426), E426:K426, 0))), 技能库!$A:$F, 5, 0),"建议查阅考纲")&amp;CHAR(10)&amp;"💡 提升建议: "&amp;IFERROR(VLOOKUP(TRIM(D426)&amp;"_"&amp;TRIM(INDEX($E$1:$K$1, MATCH(MIN(E426:K426), E426:K426, 0))), 技能库!$A:$F, 6, 0),"请针对该题型加强练习"))</f>
        <v/>
      </c>
      <c r="AB426" s="5" t="str">
        <f>IF(P426="","", "⚠️ 薄弱环节: "&amp;INDEX($N$1:$O$1, MATCH(MIN(N426:O426), N426:O426, 0))&amp;CHAR(10)&amp;"📉 考察能力: "&amp;IFERROR(VLOOKUP(TRIM(D426)&amp;"_"&amp;TRIM(INDEX($N$1:$O$1, MATCH(MIN(N426:O426), N426:O426, 0))), 技能库!$A:$F, 5, 0),"建议查阅考纲")&amp;CHAR(10)&amp;"💡 提升建议: "&amp;IFERROR(VLOOKUP(TRIM(D426)&amp;"_"&amp;TRIM(INDEX($N$1:$O$1, MATCH(MIN(N426:O426), N426:O426, 0))), 技能库!$A:$F, 6, 0),"请针对该题型加强练习"))</f>
        <v/>
      </c>
      <c r="AC426" s="5" t="str">
        <f>IF(W426="","", "⚠️ 薄弱环节: "&amp;INDEX($R$1:$V$1, MATCH(MIN(R426:V426), R426:V426, 0))&amp;CHAR(10)&amp;"📉 考察能力: "&amp;IFERROR(VLOOKUP(TRIM(D426)&amp;"_"&amp;TRIM(INDEX($R$1:$V$1, MATCH(MIN(R426:V426), R426:V426, 0))), 技能库!$A:$F, 5, 0),"建议查阅考纲")&amp;CHAR(10)&amp;"💡 提升建议: "&amp;IFERROR(VLOOKUP(TRIM(D426)&amp;"_"&amp;TRIM(INDEX($R$1:$V$1, MATCH(MIN(R426:V426), R426:V426, 0))), 技能库!$A:$F, 6, 0),"请针对该题型加强练习"))</f>
        <v/>
      </c>
    </row>
    <row r="427" spans="12:29" ht="16" hidden="1" x14ac:dyDescent="0.2">
      <c r="L427" t="str">
        <f t="shared" si="24"/>
        <v/>
      </c>
      <c r="M427" t="str">
        <f>IF(L427="","", IFERROR(VLOOKUP(L427, IF(D427="KET", 换算标准!$M:$N, IF(D427="PET", 换算标准!$S:$T, 换算标准!$AC:$AD)), 2, TRUE), 0))</f>
        <v/>
      </c>
      <c r="P427" t="str">
        <f t="shared" si="25"/>
        <v/>
      </c>
      <c r="Q427" t="str">
        <f>IF(P427="","", IFERROR(VLOOKUP(P427, IF(D427="KET", 换算标准!$O:$P, IF(D427="PET", 换算标准!$U:$V, 换算标准!$AG:$AH)), 2, TRUE), 0))</f>
        <v/>
      </c>
      <c r="W427" t="str">
        <f t="shared" si="26"/>
        <v/>
      </c>
      <c r="X427" t="str">
        <f>IF(W427="","", IFERROR(VLOOKUP(W427, IF(D427="KET", 换算标准!$Q:$R, IF(D427="PET", 换算标准!$W:$X, 换算标准!$AI:$AJ)), 2, TRUE), 0))</f>
        <v/>
      </c>
      <c r="Y427" t="str">
        <f t="shared" si="27"/>
        <v/>
      </c>
      <c r="Z427" t="str">
        <f>IF(Y427="","", IFERROR(VLOOKUP(Y427, 换算标准!$Z:$AA, 1, TRUE), ""))</f>
        <v/>
      </c>
      <c r="AA427" s="5" t="str">
        <f>IF(L427="","", "⚠️ 薄弱环节: "&amp;INDEX($E$1:$K$1, MATCH(MIN(E427:K427), E427:K427, 0))&amp;CHAR(10)&amp;"📉 考察能力: "&amp;IFERROR(VLOOKUP(TRIM(D427)&amp;"_"&amp;TRIM(INDEX($E$1:$K$1, MATCH(MIN(E427:K427), E427:K427, 0))), 技能库!$A:$F, 5, 0),"建议查阅考纲")&amp;CHAR(10)&amp;"💡 提升建议: "&amp;IFERROR(VLOOKUP(TRIM(D427)&amp;"_"&amp;TRIM(INDEX($E$1:$K$1, MATCH(MIN(E427:K427), E427:K427, 0))), 技能库!$A:$F, 6, 0),"请针对该题型加强练习"))</f>
        <v/>
      </c>
      <c r="AB427" s="5" t="str">
        <f>IF(P427="","", "⚠️ 薄弱环节: "&amp;INDEX($N$1:$O$1, MATCH(MIN(N427:O427), N427:O427, 0))&amp;CHAR(10)&amp;"📉 考察能力: "&amp;IFERROR(VLOOKUP(TRIM(D427)&amp;"_"&amp;TRIM(INDEX($N$1:$O$1, MATCH(MIN(N427:O427), N427:O427, 0))), 技能库!$A:$F, 5, 0),"建议查阅考纲")&amp;CHAR(10)&amp;"💡 提升建议: "&amp;IFERROR(VLOOKUP(TRIM(D427)&amp;"_"&amp;TRIM(INDEX($N$1:$O$1, MATCH(MIN(N427:O427), N427:O427, 0))), 技能库!$A:$F, 6, 0),"请针对该题型加强练习"))</f>
        <v/>
      </c>
      <c r="AC427" s="5" t="str">
        <f>IF(W427="","", "⚠️ 薄弱环节: "&amp;INDEX($R$1:$V$1, MATCH(MIN(R427:V427), R427:V427, 0))&amp;CHAR(10)&amp;"📉 考察能力: "&amp;IFERROR(VLOOKUP(TRIM(D427)&amp;"_"&amp;TRIM(INDEX($R$1:$V$1, MATCH(MIN(R427:V427), R427:V427, 0))), 技能库!$A:$F, 5, 0),"建议查阅考纲")&amp;CHAR(10)&amp;"💡 提升建议: "&amp;IFERROR(VLOOKUP(TRIM(D427)&amp;"_"&amp;TRIM(INDEX($R$1:$V$1, MATCH(MIN(R427:V427), R427:V427, 0))), 技能库!$A:$F, 6, 0),"请针对该题型加强练习"))</f>
        <v/>
      </c>
    </row>
    <row r="428" spans="12:29" ht="16" hidden="1" x14ac:dyDescent="0.2">
      <c r="L428" t="str">
        <f t="shared" si="24"/>
        <v/>
      </c>
      <c r="M428" t="str">
        <f>IF(L428="","", IFERROR(VLOOKUP(L428, IF(D428="KET", 换算标准!$M:$N, IF(D428="PET", 换算标准!$S:$T, 换算标准!$AC:$AD)), 2, TRUE), 0))</f>
        <v/>
      </c>
      <c r="P428" t="str">
        <f t="shared" si="25"/>
        <v/>
      </c>
      <c r="Q428" t="str">
        <f>IF(P428="","", IFERROR(VLOOKUP(P428, IF(D428="KET", 换算标准!$O:$P, IF(D428="PET", 换算标准!$U:$V, 换算标准!$AG:$AH)), 2, TRUE), 0))</f>
        <v/>
      </c>
      <c r="W428" t="str">
        <f t="shared" si="26"/>
        <v/>
      </c>
      <c r="X428" t="str">
        <f>IF(W428="","", IFERROR(VLOOKUP(W428, IF(D428="KET", 换算标准!$Q:$R, IF(D428="PET", 换算标准!$W:$X, 换算标准!$AI:$AJ)), 2, TRUE), 0))</f>
        <v/>
      </c>
      <c r="Y428" t="str">
        <f t="shared" si="27"/>
        <v/>
      </c>
      <c r="Z428" t="str">
        <f>IF(Y428="","", IFERROR(VLOOKUP(Y428, 换算标准!$Z:$AA, 1, TRUE), ""))</f>
        <v/>
      </c>
      <c r="AA428" s="5" t="str">
        <f>IF(L428="","", "⚠️ 薄弱环节: "&amp;INDEX($E$1:$K$1, MATCH(MIN(E428:K428), E428:K428, 0))&amp;CHAR(10)&amp;"📉 考察能力: "&amp;IFERROR(VLOOKUP(TRIM(D428)&amp;"_"&amp;TRIM(INDEX($E$1:$K$1, MATCH(MIN(E428:K428), E428:K428, 0))), 技能库!$A:$F, 5, 0),"建议查阅考纲")&amp;CHAR(10)&amp;"💡 提升建议: "&amp;IFERROR(VLOOKUP(TRIM(D428)&amp;"_"&amp;TRIM(INDEX($E$1:$K$1, MATCH(MIN(E428:K428), E428:K428, 0))), 技能库!$A:$F, 6, 0),"请针对该题型加强练习"))</f>
        <v/>
      </c>
      <c r="AB428" s="5" t="str">
        <f>IF(P428="","", "⚠️ 薄弱环节: "&amp;INDEX($N$1:$O$1, MATCH(MIN(N428:O428), N428:O428, 0))&amp;CHAR(10)&amp;"📉 考察能力: "&amp;IFERROR(VLOOKUP(TRIM(D428)&amp;"_"&amp;TRIM(INDEX($N$1:$O$1, MATCH(MIN(N428:O428), N428:O428, 0))), 技能库!$A:$F, 5, 0),"建议查阅考纲")&amp;CHAR(10)&amp;"💡 提升建议: "&amp;IFERROR(VLOOKUP(TRIM(D428)&amp;"_"&amp;TRIM(INDEX($N$1:$O$1, MATCH(MIN(N428:O428), N428:O428, 0))), 技能库!$A:$F, 6, 0),"请针对该题型加强练习"))</f>
        <v/>
      </c>
      <c r="AC428" s="5" t="str">
        <f>IF(W428="","", "⚠️ 薄弱环节: "&amp;INDEX($R$1:$V$1, MATCH(MIN(R428:V428), R428:V428, 0))&amp;CHAR(10)&amp;"📉 考察能力: "&amp;IFERROR(VLOOKUP(TRIM(D428)&amp;"_"&amp;TRIM(INDEX($R$1:$V$1, MATCH(MIN(R428:V428), R428:V428, 0))), 技能库!$A:$F, 5, 0),"建议查阅考纲")&amp;CHAR(10)&amp;"💡 提升建议: "&amp;IFERROR(VLOOKUP(TRIM(D428)&amp;"_"&amp;TRIM(INDEX($R$1:$V$1, MATCH(MIN(R428:V428), R428:V428, 0))), 技能库!$A:$F, 6, 0),"请针对该题型加强练习"))</f>
        <v/>
      </c>
    </row>
    <row r="429" spans="12:29" ht="16" hidden="1" x14ac:dyDescent="0.2">
      <c r="L429" t="str">
        <f t="shared" si="24"/>
        <v/>
      </c>
      <c r="M429" t="str">
        <f>IF(L429="","", IFERROR(VLOOKUP(L429, IF(D429="KET", 换算标准!$M:$N, IF(D429="PET", 换算标准!$S:$T, 换算标准!$AC:$AD)), 2, TRUE), 0))</f>
        <v/>
      </c>
      <c r="P429" t="str">
        <f t="shared" si="25"/>
        <v/>
      </c>
      <c r="Q429" t="str">
        <f>IF(P429="","", IFERROR(VLOOKUP(P429, IF(D429="KET", 换算标准!$O:$P, IF(D429="PET", 换算标准!$U:$V, 换算标准!$AG:$AH)), 2, TRUE), 0))</f>
        <v/>
      </c>
      <c r="W429" t="str">
        <f t="shared" si="26"/>
        <v/>
      </c>
      <c r="X429" t="str">
        <f>IF(W429="","", IFERROR(VLOOKUP(W429, IF(D429="KET", 换算标准!$Q:$R, IF(D429="PET", 换算标准!$W:$X, 换算标准!$AI:$AJ)), 2, TRUE), 0))</f>
        <v/>
      </c>
      <c r="Y429" t="str">
        <f t="shared" si="27"/>
        <v/>
      </c>
      <c r="Z429" t="str">
        <f>IF(Y429="","", IFERROR(VLOOKUP(Y429, 换算标准!$Z:$AA, 1, TRUE), ""))</f>
        <v/>
      </c>
      <c r="AA429" s="5" t="str">
        <f>IF(L429="","", "⚠️ 薄弱环节: "&amp;INDEX($E$1:$K$1, MATCH(MIN(E429:K429), E429:K429, 0))&amp;CHAR(10)&amp;"📉 考察能力: "&amp;IFERROR(VLOOKUP(TRIM(D429)&amp;"_"&amp;TRIM(INDEX($E$1:$K$1, MATCH(MIN(E429:K429), E429:K429, 0))), 技能库!$A:$F, 5, 0),"建议查阅考纲")&amp;CHAR(10)&amp;"💡 提升建议: "&amp;IFERROR(VLOOKUP(TRIM(D429)&amp;"_"&amp;TRIM(INDEX($E$1:$K$1, MATCH(MIN(E429:K429), E429:K429, 0))), 技能库!$A:$F, 6, 0),"请针对该题型加强练习"))</f>
        <v/>
      </c>
      <c r="AB429" s="5" t="str">
        <f>IF(P429="","", "⚠️ 薄弱环节: "&amp;INDEX($N$1:$O$1, MATCH(MIN(N429:O429), N429:O429, 0))&amp;CHAR(10)&amp;"📉 考察能力: "&amp;IFERROR(VLOOKUP(TRIM(D429)&amp;"_"&amp;TRIM(INDEX($N$1:$O$1, MATCH(MIN(N429:O429), N429:O429, 0))), 技能库!$A:$F, 5, 0),"建议查阅考纲")&amp;CHAR(10)&amp;"💡 提升建议: "&amp;IFERROR(VLOOKUP(TRIM(D429)&amp;"_"&amp;TRIM(INDEX($N$1:$O$1, MATCH(MIN(N429:O429), N429:O429, 0))), 技能库!$A:$F, 6, 0),"请针对该题型加强练习"))</f>
        <v/>
      </c>
      <c r="AC429" s="5" t="str">
        <f>IF(W429="","", "⚠️ 薄弱环节: "&amp;INDEX($R$1:$V$1, MATCH(MIN(R429:V429), R429:V429, 0))&amp;CHAR(10)&amp;"📉 考察能力: "&amp;IFERROR(VLOOKUP(TRIM(D429)&amp;"_"&amp;TRIM(INDEX($R$1:$V$1, MATCH(MIN(R429:V429), R429:V429, 0))), 技能库!$A:$F, 5, 0),"建议查阅考纲")&amp;CHAR(10)&amp;"💡 提升建议: "&amp;IFERROR(VLOOKUP(TRIM(D429)&amp;"_"&amp;TRIM(INDEX($R$1:$V$1, MATCH(MIN(R429:V429), R429:V429, 0))), 技能库!$A:$F, 6, 0),"请针对该题型加强练习"))</f>
        <v/>
      </c>
    </row>
    <row r="430" spans="12:29" ht="16" hidden="1" x14ac:dyDescent="0.2">
      <c r="L430" t="str">
        <f t="shared" si="24"/>
        <v/>
      </c>
      <c r="M430" t="str">
        <f>IF(L430="","", IFERROR(VLOOKUP(L430, IF(D430="KET", 换算标准!$M:$N, IF(D430="PET", 换算标准!$S:$T, 换算标准!$AC:$AD)), 2, TRUE), 0))</f>
        <v/>
      </c>
      <c r="P430" t="str">
        <f t="shared" si="25"/>
        <v/>
      </c>
      <c r="Q430" t="str">
        <f>IF(P430="","", IFERROR(VLOOKUP(P430, IF(D430="KET", 换算标准!$O:$P, IF(D430="PET", 换算标准!$U:$V, 换算标准!$AG:$AH)), 2, TRUE), 0))</f>
        <v/>
      </c>
      <c r="W430" t="str">
        <f t="shared" si="26"/>
        <v/>
      </c>
      <c r="X430" t="str">
        <f>IF(W430="","", IFERROR(VLOOKUP(W430, IF(D430="KET", 换算标准!$Q:$R, IF(D430="PET", 换算标准!$W:$X, 换算标准!$AI:$AJ)), 2, TRUE), 0))</f>
        <v/>
      </c>
      <c r="Y430" t="str">
        <f t="shared" si="27"/>
        <v/>
      </c>
      <c r="Z430" t="str">
        <f>IF(Y430="","", IFERROR(VLOOKUP(Y430, 换算标准!$Z:$AA, 1, TRUE), ""))</f>
        <v/>
      </c>
      <c r="AA430" s="5" t="str">
        <f>IF(L430="","", "⚠️ 薄弱环节: "&amp;INDEX($E$1:$K$1, MATCH(MIN(E430:K430), E430:K430, 0))&amp;CHAR(10)&amp;"📉 考察能力: "&amp;IFERROR(VLOOKUP(TRIM(D430)&amp;"_"&amp;TRIM(INDEX($E$1:$K$1, MATCH(MIN(E430:K430), E430:K430, 0))), 技能库!$A:$F, 5, 0),"建议查阅考纲")&amp;CHAR(10)&amp;"💡 提升建议: "&amp;IFERROR(VLOOKUP(TRIM(D430)&amp;"_"&amp;TRIM(INDEX($E$1:$K$1, MATCH(MIN(E430:K430), E430:K430, 0))), 技能库!$A:$F, 6, 0),"请针对该题型加强练习"))</f>
        <v/>
      </c>
      <c r="AB430" s="5" t="str">
        <f>IF(P430="","", "⚠️ 薄弱环节: "&amp;INDEX($N$1:$O$1, MATCH(MIN(N430:O430), N430:O430, 0))&amp;CHAR(10)&amp;"📉 考察能力: "&amp;IFERROR(VLOOKUP(TRIM(D430)&amp;"_"&amp;TRIM(INDEX($N$1:$O$1, MATCH(MIN(N430:O430), N430:O430, 0))), 技能库!$A:$F, 5, 0),"建议查阅考纲")&amp;CHAR(10)&amp;"💡 提升建议: "&amp;IFERROR(VLOOKUP(TRIM(D430)&amp;"_"&amp;TRIM(INDEX($N$1:$O$1, MATCH(MIN(N430:O430), N430:O430, 0))), 技能库!$A:$F, 6, 0),"请针对该题型加强练习"))</f>
        <v/>
      </c>
      <c r="AC430" s="5" t="str">
        <f>IF(W430="","", "⚠️ 薄弱环节: "&amp;INDEX($R$1:$V$1, MATCH(MIN(R430:V430), R430:V430, 0))&amp;CHAR(10)&amp;"📉 考察能力: "&amp;IFERROR(VLOOKUP(TRIM(D430)&amp;"_"&amp;TRIM(INDEX($R$1:$V$1, MATCH(MIN(R430:V430), R430:V430, 0))), 技能库!$A:$F, 5, 0),"建议查阅考纲")&amp;CHAR(10)&amp;"💡 提升建议: "&amp;IFERROR(VLOOKUP(TRIM(D430)&amp;"_"&amp;TRIM(INDEX($R$1:$V$1, MATCH(MIN(R430:V430), R430:V430, 0))), 技能库!$A:$F, 6, 0),"请针对该题型加强练习"))</f>
        <v/>
      </c>
    </row>
    <row r="431" spans="12:29" ht="16" hidden="1" x14ac:dyDescent="0.2">
      <c r="L431" t="str">
        <f t="shared" si="24"/>
        <v/>
      </c>
      <c r="M431" t="str">
        <f>IF(L431="","", IFERROR(VLOOKUP(L431, IF(D431="KET", 换算标准!$M:$N, IF(D431="PET", 换算标准!$S:$T, 换算标准!$AC:$AD)), 2, TRUE), 0))</f>
        <v/>
      </c>
      <c r="P431" t="str">
        <f t="shared" si="25"/>
        <v/>
      </c>
      <c r="Q431" t="str">
        <f>IF(P431="","", IFERROR(VLOOKUP(P431, IF(D431="KET", 换算标准!$O:$P, IF(D431="PET", 换算标准!$U:$V, 换算标准!$AG:$AH)), 2, TRUE), 0))</f>
        <v/>
      </c>
      <c r="W431" t="str">
        <f t="shared" si="26"/>
        <v/>
      </c>
      <c r="X431" t="str">
        <f>IF(W431="","", IFERROR(VLOOKUP(W431, IF(D431="KET", 换算标准!$Q:$R, IF(D431="PET", 换算标准!$W:$X, 换算标准!$AI:$AJ)), 2, TRUE), 0))</f>
        <v/>
      </c>
      <c r="Y431" t="str">
        <f t="shared" si="27"/>
        <v/>
      </c>
      <c r="Z431" t="str">
        <f>IF(Y431="","", IFERROR(VLOOKUP(Y431, 换算标准!$Z:$AA, 1, TRUE), ""))</f>
        <v/>
      </c>
      <c r="AA431" s="5" t="str">
        <f>IF(L431="","", "⚠️ 薄弱环节: "&amp;INDEX($E$1:$K$1, MATCH(MIN(E431:K431), E431:K431, 0))&amp;CHAR(10)&amp;"📉 考察能力: "&amp;IFERROR(VLOOKUP(TRIM(D431)&amp;"_"&amp;TRIM(INDEX($E$1:$K$1, MATCH(MIN(E431:K431), E431:K431, 0))), 技能库!$A:$F, 5, 0),"建议查阅考纲")&amp;CHAR(10)&amp;"💡 提升建议: "&amp;IFERROR(VLOOKUP(TRIM(D431)&amp;"_"&amp;TRIM(INDEX($E$1:$K$1, MATCH(MIN(E431:K431), E431:K431, 0))), 技能库!$A:$F, 6, 0),"请针对该题型加强练习"))</f>
        <v/>
      </c>
      <c r="AB431" s="5" t="str">
        <f>IF(P431="","", "⚠️ 薄弱环节: "&amp;INDEX($N$1:$O$1, MATCH(MIN(N431:O431), N431:O431, 0))&amp;CHAR(10)&amp;"📉 考察能力: "&amp;IFERROR(VLOOKUP(TRIM(D431)&amp;"_"&amp;TRIM(INDEX($N$1:$O$1, MATCH(MIN(N431:O431), N431:O431, 0))), 技能库!$A:$F, 5, 0),"建议查阅考纲")&amp;CHAR(10)&amp;"💡 提升建议: "&amp;IFERROR(VLOOKUP(TRIM(D431)&amp;"_"&amp;TRIM(INDEX($N$1:$O$1, MATCH(MIN(N431:O431), N431:O431, 0))), 技能库!$A:$F, 6, 0),"请针对该题型加强练习"))</f>
        <v/>
      </c>
      <c r="AC431" s="5" t="str">
        <f>IF(W431="","", "⚠️ 薄弱环节: "&amp;INDEX($R$1:$V$1, MATCH(MIN(R431:V431), R431:V431, 0))&amp;CHAR(10)&amp;"📉 考察能力: "&amp;IFERROR(VLOOKUP(TRIM(D431)&amp;"_"&amp;TRIM(INDEX($R$1:$V$1, MATCH(MIN(R431:V431), R431:V431, 0))), 技能库!$A:$F, 5, 0),"建议查阅考纲")&amp;CHAR(10)&amp;"💡 提升建议: "&amp;IFERROR(VLOOKUP(TRIM(D431)&amp;"_"&amp;TRIM(INDEX($R$1:$V$1, MATCH(MIN(R431:V431), R431:V431, 0))), 技能库!$A:$F, 6, 0),"请针对该题型加强练习"))</f>
        <v/>
      </c>
    </row>
    <row r="432" spans="12:29" ht="16" hidden="1" x14ac:dyDescent="0.2">
      <c r="L432" t="str">
        <f t="shared" si="24"/>
        <v/>
      </c>
      <c r="M432" t="str">
        <f>IF(L432="","", IFERROR(VLOOKUP(L432, IF(D432="KET", 换算标准!$M:$N, IF(D432="PET", 换算标准!$S:$T, 换算标准!$AC:$AD)), 2, TRUE), 0))</f>
        <v/>
      </c>
      <c r="P432" t="str">
        <f t="shared" si="25"/>
        <v/>
      </c>
      <c r="Q432" t="str">
        <f>IF(P432="","", IFERROR(VLOOKUP(P432, IF(D432="KET", 换算标准!$O:$P, IF(D432="PET", 换算标准!$U:$V, 换算标准!$AG:$AH)), 2, TRUE), 0))</f>
        <v/>
      </c>
      <c r="W432" t="str">
        <f t="shared" si="26"/>
        <v/>
      </c>
      <c r="X432" t="str">
        <f>IF(W432="","", IFERROR(VLOOKUP(W432, IF(D432="KET", 换算标准!$Q:$R, IF(D432="PET", 换算标准!$W:$X, 换算标准!$AI:$AJ)), 2, TRUE), 0))</f>
        <v/>
      </c>
      <c r="Y432" t="str">
        <f t="shared" si="27"/>
        <v/>
      </c>
      <c r="Z432" t="str">
        <f>IF(Y432="","", IFERROR(VLOOKUP(Y432, 换算标准!$Z:$AA, 1, TRUE), ""))</f>
        <v/>
      </c>
      <c r="AA432" s="5" t="str">
        <f>IF(L432="","", "⚠️ 薄弱环节: "&amp;INDEX($E$1:$K$1, MATCH(MIN(E432:K432), E432:K432, 0))&amp;CHAR(10)&amp;"📉 考察能力: "&amp;IFERROR(VLOOKUP(TRIM(D432)&amp;"_"&amp;TRIM(INDEX($E$1:$K$1, MATCH(MIN(E432:K432), E432:K432, 0))), 技能库!$A:$F, 5, 0),"建议查阅考纲")&amp;CHAR(10)&amp;"💡 提升建议: "&amp;IFERROR(VLOOKUP(TRIM(D432)&amp;"_"&amp;TRIM(INDEX($E$1:$K$1, MATCH(MIN(E432:K432), E432:K432, 0))), 技能库!$A:$F, 6, 0),"请针对该题型加强练习"))</f>
        <v/>
      </c>
      <c r="AB432" s="5" t="str">
        <f>IF(P432="","", "⚠️ 薄弱环节: "&amp;INDEX($N$1:$O$1, MATCH(MIN(N432:O432), N432:O432, 0))&amp;CHAR(10)&amp;"📉 考察能力: "&amp;IFERROR(VLOOKUP(TRIM(D432)&amp;"_"&amp;TRIM(INDEX($N$1:$O$1, MATCH(MIN(N432:O432), N432:O432, 0))), 技能库!$A:$F, 5, 0),"建议查阅考纲")&amp;CHAR(10)&amp;"💡 提升建议: "&amp;IFERROR(VLOOKUP(TRIM(D432)&amp;"_"&amp;TRIM(INDEX($N$1:$O$1, MATCH(MIN(N432:O432), N432:O432, 0))), 技能库!$A:$F, 6, 0),"请针对该题型加强练习"))</f>
        <v/>
      </c>
      <c r="AC432" s="5" t="str">
        <f>IF(W432="","", "⚠️ 薄弱环节: "&amp;INDEX($R$1:$V$1, MATCH(MIN(R432:V432), R432:V432, 0))&amp;CHAR(10)&amp;"📉 考察能力: "&amp;IFERROR(VLOOKUP(TRIM(D432)&amp;"_"&amp;TRIM(INDEX($R$1:$V$1, MATCH(MIN(R432:V432), R432:V432, 0))), 技能库!$A:$F, 5, 0),"建议查阅考纲")&amp;CHAR(10)&amp;"💡 提升建议: "&amp;IFERROR(VLOOKUP(TRIM(D432)&amp;"_"&amp;TRIM(INDEX($R$1:$V$1, MATCH(MIN(R432:V432), R432:V432, 0))), 技能库!$A:$F, 6, 0),"请针对该题型加强练习"))</f>
        <v/>
      </c>
    </row>
    <row r="433" spans="12:29" ht="16" hidden="1" x14ac:dyDescent="0.2">
      <c r="L433" t="str">
        <f t="shared" si="24"/>
        <v/>
      </c>
      <c r="M433" t="str">
        <f>IF(L433="","", IFERROR(VLOOKUP(L433, IF(D433="KET", 换算标准!$M:$N, IF(D433="PET", 换算标准!$S:$T, 换算标准!$AC:$AD)), 2, TRUE), 0))</f>
        <v/>
      </c>
      <c r="P433" t="str">
        <f t="shared" si="25"/>
        <v/>
      </c>
      <c r="Q433" t="str">
        <f>IF(P433="","", IFERROR(VLOOKUP(P433, IF(D433="KET", 换算标准!$O:$P, IF(D433="PET", 换算标准!$U:$V, 换算标准!$AG:$AH)), 2, TRUE), 0))</f>
        <v/>
      </c>
      <c r="W433" t="str">
        <f t="shared" si="26"/>
        <v/>
      </c>
      <c r="X433" t="str">
        <f>IF(W433="","", IFERROR(VLOOKUP(W433, IF(D433="KET", 换算标准!$Q:$R, IF(D433="PET", 换算标准!$W:$X, 换算标准!$AI:$AJ)), 2, TRUE), 0))</f>
        <v/>
      </c>
      <c r="Y433" t="str">
        <f t="shared" si="27"/>
        <v/>
      </c>
      <c r="Z433" t="str">
        <f>IF(Y433="","", IFERROR(VLOOKUP(Y433, 换算标准!$Z:$AA, 1, TRUE), ""))</f>
        <v/>
      </c>
      <c r="AA433" s="5" t="str">
        <f>IF(L433="","", "⚠️ 薄弱环节: "&amp;INDEX($E$1:$K$1, MATCH(MIN(E433:K433), E433:K433, 0))&amp;CHAR(10)&amp;"📉 考察能力: "&amp;IFERROR(VLOOKUP(TRIM(D433)&amp;"_"&amp;TRIM(INDEX($E$1:$K$1, MATCH(MIN(E433:K433), E433:K433, 0))), 技能库!$A:$F, 5, 0),"建议查阅考纲")&amp;CHAR(10)&amp;"💡 提升建议: "&amp;IFERROR(VLOOKUP(TRIM(D433)&amp;"_"&amp;TRIM(INDEX($E$1:$K$1, MATCH(MIN(E433:K433), E433:K433, 0))), 技能库!$A:$F, 6, 0),"请针对该题型加强练习"))</f>
        <v/>
      </c>
      <c r="AB433" s="5" t="str">
        <f>IF(P433="","", "⚠️ 薄弱环节: "&amp;INDEX($N$1:$O$1, MATCH(MIN(N433:O433), N433:O433, 0))&amp;CHAR(10)&amp;"📉 考察能力: "&amp;IFERROR(VLOOKUP(TRIM(D433)&amp;"_"&amp;TRIM(INDEX($N$1:$O$1, MATCH(MIN(N433:O433), N433:O433, 0))), 技能库!$A:$F, 5, 0),"建议查阅考纲")&amp;CHAR(10)&amp;"💡 提升建议: "&amp;IFERROR(VLOOKUP(TRIM(D433)&amp;"_"&amp;TRIM(INDEX($N$1:$O$1, MATCH(MIN(N433:O433), N433:O433, 0))), 技能库!$A:$F, 6, 0),"请针对该题型加强练习"))</f>
        <v/>
      </c>
      <c r="AC433" s="5" t="str">
        <f>IF(W433="","", "⚠️ 薄弱环节: "&amp;INDEX($R$1:$V$1, MATCH(MIN(R433:V433), R433:V433, 0))&amp;CHAR(10)&amp;"📉 考察能力: "&amp;IFERROR(VLOOKUP(TRIM(D433)&amp;"_"&amp;TRIM(INDEX($R$1:$V$1, MATCH(MIN(R433:V433), R433:V433, 0))), 技能库!$A:$F, 5, 0),"建议查阅考纲")&amp;CHAR(10)&amp;"💡 提升建议: "&amp;IFERROR(VLOOKUP(TRIM(D433)&amp;"_"&amp;TRIM(INDEX($R$1:$V$1, MATCH(MIN(R433:V433), R433:V433, 0))), 技能库!$A:$F, 6, 0),"请针对该题型加强练习"))</f>
        <v/>
      </c>
    </row>
    <row r="434" spans="12:29" ht="16" hidden="1" x14ac:dyDescent="0.2">
      <c r="L434" t="str">
        <f t="shared" si="24"/>
        <v/>
      </c>
      <c r="M434" t="str">
        <f>IF(L434="","", IFERROR(VLOOKUP(L434, IF(D434="KET", 换算标准!$M:$N, IF(D434="PET", 换算标准!$S:$T, 换算标准!$AC:$AD)), 2, TRUE), 0))</f>
        <v/>
      </c>
      <c r="P434" t="str">
        <f t="shared" si="25"/>
        <v/>
      </c>
      <c r="Q434" t="str">
        <f>IF(P434="","", IFERROR(VLOOKUP(P434, IF(D434="KET", 换算标准!$O:$P, IF(D434="PET", 换算标准!$U:$V, 换算标准!$AG:$AH)), 2, TRUE), 0))</f>
        <v/>
      </c>
      <c r="W434" t="str">
        <f t="shared" si="26"/>
        <v/>
      </c>
      <c r="X434" t="str">
        <f>IF(W434="","", IFERROR(VLOOKUP(W434, IF(D434="KET", 换算标准!$Q:$R, IF(D434="PET", 换算标准!$W:$X, 换算标准!$AI:$AJ)), 2, TRUE), 0))</f>
        <v/>
      </c>
      <c r="Y434" t="str">
        <f t="shared" si="27"/>
        <v/>
      </c>
      <c r="Z434" t="str">
        <f>IF(Y434="","", IFERROR(VLOOKUP(Y434, 换算标准!$Z:$AA, 1, TRUE), ""))</f>
        <v/>
      </c>
      <c r="AA434" s="5" t="str">
        <f>IF(L434="","", "⚠️ 薄弱环节: "&amp;INDEX($E$1:$K$1, MATCH(MIN(E434:K434), E434:K434, 0))&amp;CHAR(10)&amp;"📉 考察能力: "&amp;IFERROR(VLOOKUP(TRIM(D434)&amp;"_"&amp;TRIM(INDEX($E$1:$K$1, MATCH(MIN(E434:K434), E434:K434, 0))), 技能库!$A:$F, 5, 0),"建议查阅考纲")&amp;CHAR(10)&amp;"💡 提升建议: "&amp;IFERROR(VLOOKUP(TRIM(D434)&amp;"_"&amp;TRIM(INDEX($E$1:$K$1, MATCH(MIN(E434:K434), E434:K434, 0))), 技能库!$A:$F, 6, 0),"请针对该题型加强练习"))</f>
        <v/>
      </c>
      <c r="AB434" s="5" t="str">
        <f>IF(P434="","", "⚠️ 薄弱环节: "&amp;INDEX($N$1:$O$1, MATCH(MIN(N434:O434), N434:O434, 0))&amp;CHAR(10)&amp;"📉 考察能力: "&amp;IFERROR(VLOOKUP(TRIM(D434)&amp;"_"&amp;TRIM(INDEX($N$1:$O$1, MATCH(MIN(N434:O434), N434:O434, 0))), 技能库!$A:$F, 5, 0),"建议查阅考纲")&amp;CHAR(10)&amp;"💡 提升建议: "&amp;IFERROR(VLOOKUP(TRIM(D434)&amp;"_"&amp;TRIM(INDEX($N$1:$O$1, MATCH(MIN(N434:O434), N434:O434, 0))), 技能库!$A:$F, 6, 0),"请针对该题型加强练习"))</f>
        <v/>
      </c>
      <c r="AC434" s="5" t="str">
        <f>IF(W434="","", "⚠️ 薄弱环节: "&amp;INDEX($R$1:$V$1, MATCH(MIN(R434:V434), R434:V434, 0))&amp;CHAR(10)&amp;"📉 考察能力: "&amp;IFERROR(VLOOKUP(TRIM(D434)&amp;"_"&amp;TRIM(INDEX($R$1:$V$1, MATCH(MIN(R434:V434), R434:V434, 0))), 技能库!$A:$F, 5, 0),"建议查阅考纲")&amp;CHAR(10)&amp;"💡 提升建议: "&amp;IFERROR(VLOOKUP(TRIM(D434)&amp;"_"&amp;TRIM(INDEX($R$1:$V$1, MATCH(MIN(R434:V434), R434:V434, 0))), 技能库!$A:$F, 6, 0),"请针对该题型加强练习"))</f>
        <v/>
      </c>
    </row>
    <row r="435" spans="12:29" ht="16" hidden="1" x14ac:dyDescent="0.2">
      <c r="L435" t="str">
        <f t="shared" si="24"/>
        <v/>
      </c>
      <c r="M435" t="str">
        <f>IF(L435="","", IFERROR(VLOOKUP(L435, IF(D435="KET", 换算标准!$M:$N, IF(D435="PET", 换算标准!$S:$T, 换算标准!$AC:$AD)), 2, TRUE), 0))</f>
        <v/>
      </c>
      <c r="P435" t="str">
        <f t="shared" si="25"/>
        <v/>
      </c>
      <c r="Q435" t="str">
        <f>IF(P435="","", IFERROR(VLOOKUP(P435, IF(D435="KET", 换算标准!$O:$P, IF(D435="PET", 换算标准!$U:$V, 换算标准!$AG:$AH)), 2, TRUE), 0))</f>
        <v/>
      </c>
      <c r="W435" t="str">
        <f t="shared" si="26"/>
        <v/>
      </c>
      <c r="X435" t="str">
        <f>IF(W435="","", IFERROR(VLOOKUP(W435, IF(D435="KET", 换算标准!$Q:$R, IF(D435="PET", 换算标准!$W:$X, 换算标准!$AI:$AJ)), 2, TRUE), 0))</f>
        <v/>
      </c>
      <c r="Y435" t="str">
        <f t="shared" si="27"/>
        <v/>
      </c>
      <c r="Z435" t="str">
        <f>IF(Y435="","", IFERROR(VLOOKUP(Y435, 换算标准!$Z:$AA, 1, TRUE), ""))</f>
        <v/>
      </c>
      <c r="AA435" s="5" t="str">
        <f>IF(L435="","", "⚠️ 薄弱环节: "&amp;INDEX($E$1:$K$1, MATCH(MIN(E435:K435), E435:K435, 0))&amp;CHAR(10)&amp;"📉 考察能力: "&amp;IFERROR(VLOOKUP(TRIM(D435)&amp;"_"&amp;TRIM(INDEX($E$1:$K$1, MATCH(MIN(E435:K435), E435:K435, 0))), 技能库!$A:$F, 5, 0),"建议查阅考纲")&amp;CHAR(10)&amp;"💡 提升建议: "&amp;IFERROR(VLOOKUP(TRIM(D435)&amp;"_"&amp;TRIM(INDEX($E$1:$K$1, MATCH(MIN(E435:K435), E435:K435, 0))), 技能库!$A:$F, 6, 0),"请针对该题型加强练习"))</f>
        <v/>
      </c>
      <c r="AB435" s="5" t="str">
        <f>IF(P435="","", "⚠️ 薄弱环节: "&amp;INDEX($N$1:$O$1, MATCH(MIN(N435:O435), N435:O435, 0))&amp;CHAR(10)&amp;"📉 考察能力: "&amp;IFERROR(VLOOKUP(TRIM(D435)&amp;"_"&amp;TRIM(INDEX($N$1:$O$1, MATCH(MIN(N435:O435), N435:O435, 0))), 技能库!$A:$F, 5, 0),"建议查阅考纲")&amp;CHAR(10)&amp;"💡 提升建议: "&amp;IFERROR(VLOOKUP(TRIM(D435)&amp;"_"&amp;TRIM(INDEX($N$1:$O$1, MATCH(MIN(N435:O435), N435:O435, 0))), 技能库!$A:$F, 6, 0),"请针对该题型加强练习"))</f>
        <v/>
      </c>
      <c r="AC435" s="5" t="str">
        <f>IF(W435="","", "⚠️ 薄弱环节: "&amp;INDEX($R$1:$V$1, MATCH(MIN(R435:V435), R435:V435, 0))&amp;CHAR(10)&amp;"📉 考察能力: "&amp;IFERROR(VLOOKUP(TRIM(D435)&amp;"_"&amp;TRIM(INDEX($R$1:$V$1, MATCH(MIN(R435:V435), R435:V435, 0))), 技能库!$A:$F, 5, 0),"建议查阅考纲")&amp;CHAR(10)&amp;"💡 提升建议: "&amp;IFERROR(VLOOKUP(TRIM(D435)&amp;"_"&amp;TRIM(INDEX($R$1:$V$1, MATCH(MIN(R435:V435), R435:V435, 0))), 技能库!$A:$F, 6, 0),"请针对该题型加强练习"))</f>
        <v/>
      </c>
    </row>
    <row r="436" spans="12:29" ht="16" hidden="1" x14ac:dyDescent="0.2">
      <c r="L436" t="str">
        <f t="shared" si="24"/>
        <v/>
      </c>
      <c r="M436" t="str">
        <f>IF(L436="","", IFERROR(VLOOKUP(L436, IF(D436="KET", 换算标准!$M:$N, IF(D436="PET", 换算标准!$S:$T, 换算标准!$AC:$AD)), 2, TRUE), 0))</f>
        <v/>
      </c>
      <c r="P436" t="str">
        <f t="shared" si="25"/>
        <v/>
      </c>
      <c r="Q436" t="str">
        <f>IF(P436="","", IFERROR(VLOOKUP(P436, IF(D436="KET", 换算标准!$O:$P, IF(D436="PET", 换算标准!$U:$V, 换算标准!$AG:$AH)), 2, TRUE), 0))</f>
        <v/>
      </c>
      <c r="W436" t="str">
        <f t="shared" si="26"/>
        <v/>
      </c>
      <c r="X436" t="str">
        <f>IF(W436="","", IFERROR(VLOOKUP(W436, IF(D436="KET", 换算标准!$Q:$R, IF(D436="PET", 换算标准!$W:$X, 换算标准!$AI:$AJ)), 2, TRUE), 0))</f>
        <v/>
      </c>
      <c r="Y436" t="str">
        <f t="shared" si="27"/>
        <v/>
      </c>
      <c r="Z436" t="str">
        <f>IF(Y436="","", IFERROR(VLOOKUP(Y436, 换算标准!$Z:$AA, 1, TRUE), ""))</f>
        <v/>
      </c>
      <c r="AA436" s="5" t="str">
        <f>IF(L436="","", "⚠️ 薄弱环节: "&amp;INDEX($E$1:$K$1, MATCH(MIN(E436:K436), E436:K436, 0))&amp;CHAR(10)&amp;"📉 考察能力: "&amp;IFERROR(VLOOKUP(TRIM(D436)&amp;"_"&amp;TRIM(INDEX($E$1:$K$1, MATCH(MIN(E436:K436), E436:K436, 0))), 技能库!$A:$F, 5, 0),"建议查阅考纲")&amp;CHAR(10)&amp;"💡 提升建议: "&amp;IFERROR(VLOOKUP(TRIM(D436)&amp;"_"&amp;TRIM(INDEX($E$1:$K$1, MATCH(MIN(E436:K436), E436:K436, 0))), 技能库!$A:$F, 6, 0),"请针对该题型加强练习"))</f>
        <v/>
      </c>
      <c r="AB436" s="5" t="str">
        <f>IF(P436="","", "⚠️ 薄弱环节: "&amp;INDEX($N$1:$O$1, MATCH(MIN(N436:O436), N436:O436, 0))&amp;CHAR(10)&amp;"📉 考察能力: "&amp;IFERROR(VLOOKUP(TRIM(D436)&amp;"_"&amp;TRIM(INDEX($N$1:$O$1, MATCH(MIN(N436:O436), N436:O436, 0))), 技能库!$A:$F, 5, 0),"建议查阅考纲")&amp;CHAR(10)&amp;"💡 提升建议: "&amp;IFERROR(VLOOKUP(TRIM(D436)&amp;"_"&amp;TRIM(INDEX($N$1:$O$1, MATCH(MIN(N436:O436), N436:O436, 0))), 技能库!$A:$F, 6, 0),"请针对该题型加强练习"))</f>
        <v/>
      </c>
      <c r="AC436" s="5" t="str">
        <f>IF(W436="","", "⚠️ 薄弱环节: "&amp;INDEX($R$1:$V$1, MATCH(MIN(R436:V436), R436:V436, 0))&amp;CHAR(10)&amp;"📉 考察能力: "&amp;IFERROR(VLOOKUP(TRIM(D436)&amp;"_"&amp;TRIM(INDEX($R$1:$V$1, MATCH(MIN(R436:V436), R436:V436, 0))), 技能库!$A:$F, 5, 0),"建议查阅考纲")&amp;CHAR(10)&amp;"💡 提升建议: "&amp;IFERROR(VLOOKUP(TRIM(D436)&amp;"_"&amp;TRIM(INDEX($R$1:$V$1, MATCH(MIN(R436:V436), R436:V436, 0))), 技能库!$A:$F, 6, 0),"请针对该题型加强练习"))</f>
        <v/>
      </c>
    </row>
    <row r="437" spans="12:29" ht="16" hidden="1" x14ac:dyDescent="0.2">
      <c r="L437" t="str">
        <f t="shared" si="24"/>
        <v/>
      </c>
      <c r="M437" t="str">
        <f>IF(L437="","", IFERROR(VLOOKUP(L437, IF(D437="KET", 换算标准!$M:$N, IF(D437="PET", 换算标准!$S:$T, 换算标准!$AC:$AD)), 2, TRUE), 0))</f>
        <v/>
      </c>
      <c r="P437" t="str">
        <f t="shared" si="25"/>
        <v/>
      </c>
      <c r="Q437" t="str">
        <f>IF(P437="","", IFERROR(VLOOKUP(P437, IF(D437="KET", 换算标准!$O:$P, IF(D437="PET", 换算标准!$U:$V, 换算标准!$AG:$AH)), 2, TRUE), 0))</f>
        <v/>
      </c>
      <c r="W437" t="str">
        <f t="shared" si="26"/>
        <v/>
      </c>
      <c r="X437" t="str">
        <f>IF(W437="","", IFERROR(VLOOKUP(W437, IF(D437="KET", 换算标准!$Q:$R, IF(D437="PET", 换算标准!$W:$X, 换算标准!$AI:$AJ)), 2, TRUE), 0))</f>
        <v/>
      </c>
      <c r="Y437" t="str">
        <f t="shared" si="27"/>
        <v/>
      </c>
      <c r="Z437" t="str">
        <f>IF(Y437="","", IFERROR(VLOOKUP(Y437, 换算标准!$Z:$AA, 1, TRUE), ""))</f>
        <v/>
      </c>
      <c r="AA437" s="5" t="str">
        <f>IF(L437="","", "⚠️ 薄弱环节: "&amp;INDEX($E$1:$K$1, MATCH(MIN(E437:K437), E437:K437, 0))&amp;CHAR(10)&amp;"📉 考察能力: "&amp;IFERROR(VLOOKUP(TRIM(D437)&amp;"_"&amp;TRIM(INDEX($E$1:$K$1, MATCH(MIN(E437:K437), E437:K437, 0))), 技能库!$A:$F, 5, 0),"建议查阅考纲")&amp;CHAR(10)&amp;"💡 提升建议: "&amp;IFERROR(VLOOKUP(TRIM(D437)&amp;"_"&amp;TRIM(INDEX($E$1:$K$1, MATCH(MIN(E437:K437), E437:K437, 0))), 技能库!$A:$F, 6, 0),"请针对该题型加强练习"))</f>
        <v/>
      </c>
      <c r="AB437" s="5" t="str">
        <f>IF(P437="","", "⚠️ 薄弱环节: "&amp;INDEX($N$1:$O$1, MATCH(MIN(N437:O437), N437:O437, 0))&amp;CHAR(10)&amp;"📉 考察能力: "&amp;IFERROR(VLOOKUP(TRIM(D437)&amp;"_"&amp;TRIM(INDEX($N$1:$O$1, MATCH(MIN(N437:O437), N437:O437, 0))), 技能库!$A:$F, 5, 0),"建议查阅考纲")&amp;CHAR(10)&amp;"💡 提升建议: "&amp;IFERROR(VLOOKUP(TRIM(D437)&amp;"_"&amp;TRIM(INDEX($N$1:$O$1, MATCH(MIN(N437:O437), N437:O437, 0))), 技能库!$A:$F, 6, 0),"请针对该题型加强练习"))</f>
        <v/>
      </c>
      <c r="AC437" s="5" t="str">
        <f>IF(W437="","", "⚠️ 薄弱环节: "&amp;INDEX($R$1:$V$1, MATCH(MIN(R437:V437), R437:V437, 0))&amp;CHAR(10)&amp;"📉 考察能力: "&amp;IFERROR(VLOOKUP(TRIM(D437)&amp;"_"&amp;TRIM(INDEX($R$1:$V$1, MATCH(MIN(R437:V437), R437:V437, 0))), 技能库!$A:$F, 5, 0),"建议查阅考纲")&amp;CHAR(10)&amp;"💡 提升建议: "&amp;IFERROR(VLOOKUP(TRIM(D437)&amp;"_"&amp;TRIM(INDEX($R$1:$V$1, MATCH(MIN(R437:V437), R437:V437, 0))), 技能库!$A:$F, 6, 0),"请针对该题型加强练习"))</f>
        <v/>
      </c>
    </row>
    <row r="438" spans="12:29" ht="16" hidden="1" x14ac:dyDescent="0.2">
      <c r="L438" t="str">
        <f t="shared" si="24"/>
        <v/>
      </c>
      <c r="M438" t="str">
        <f>IF(L438="","", IFERROR(VLOOKUP(L438, IF(D438="KET", 换算标准!$M:$N, IF(D438="PET", 换算标准!$S:$T, 换算标准!$AC:$AD)), 2, TRUE), 0))</f>
        <v/>
      </c>
      <c r="P438" t="str">
        <f t="shared" si="25"/>
        <v/>
      </c>
      <c r="Q438" t="str">
        <f>IF(P438="","", IFERROR(VLOOKUP(P438, IF(D438="KET", 换算标准!$O:$P, IF(D438="PET", 换算标准!$U:$V, 换算标准!$AG:$AH)), 2, TRUE), 0))</f>
        <v/>
      </c>
      <c r="W438" t="str">
        <f t="shared" si="26"/>
        <v/>
      </c>
      <c r="X438" t="str">
        <f>IF(W438="","", IFERROR(VLOOKUP(W438, IF(D438="KET", 换算标准!$Q:$R, IF(D438="PET", 换算标准!$W:$X, 换算标准!$AI:$AJ)), 2, TRUE), 0))</f>
        <v/>
      </c>
      <c r="Y438" t="str">
        <f t="shared" si="27"/>
        <v/>
      </c>
      <c r="Z438" t="str">
        <f>IF(Y438="","", IFERROR(VLOOKUP(Y438, 换算标准!$Z:$AA, 1, TRUE), ""))</f>
        <v/>
      </c>
      <c r="AA438" s="5" t="str">
        <f>IF(L438="","", "⚠️ 薄弱环节: "&amp;INDEX($E$1:$K$1, MATCH(MIN(E438:K438), E438:K438, 0))&amp;CHAR(10)&amp;"📉 考察能力: "&amp;IFERROR(VLOOKUP(TRIM(D438)&amp;"_"&amp;TRIM(INDEX($E$1:$K$1, MATCH(MIN(E438:K438), E438:K438, 0))), 技能库!$A:$F, 5, 0),"建议查阅考纲")&amp;CHAR(10)&amp;"💡 提升建议: "&amp;IFERROR(VLOOKUP(TRIM(D438)&amp;"_"&amp;TRIM(INDEX($E$1:$K$1, MATCH(MIN(E438:K438), E438:K438, 0))), 技能库!$A:$F, 6, 0),"请针对该题型加强练习"))</f>
        <v/>
      </c>
      <c r="AB438" s="5" t="str">
        <f>IF(P438="","", "⚠️ 薄弱环节: "&amp;INDEX($N$1:$O$1, MATCH(MIN(N438:O438), N438:O438, 0))&amp;CHAR(10)&amp;"📉 考察能力: "&amp;IFERROR(VLOOKUP(TRIM(D438)&amp;"_"&amp;TRIM(INDEX($N$1:$O$1, MATCH(MIN(N438:O438), N438:O438, 0))), 技能库!$A:$F, 5, 0),"建议查阅考纲")&amp;CHAR(10)&amp;"💡 提升建议: "&amp;IFERROR(VLOOKUP(TRIM(D438)&amp;"_"&amp;TRIM(INDEX($N$1:$O$1, MATCH(MIN(N438:O438), N438:O438, 0))), 技能库!$A:$F, 6, 0),"请针对该题型加强练习"))</f>
        <v/>
      </c>
      <c r="AC438" s="5" t="str">
        <f>IF(W438="","", "⚠️ 薄弱环节: "&amp;INDEX($R$1:$V$1, MATCH(MIN(R438:V438), R438:V438, 0))&amp;CHAR(10)&amp;"📉 考察能力: "&amp;IFERROR(VLOOKUP(TRIM(D438)&amp;"_"&amp;TRIM(INDEX($R$1:$V$1, MATCH(MIN(R438:V438), R438:V438, 0))), 技能库!$A:$F, 5, 0),"建议查阅考纲")&amp;CHAR(10)&amp;"💡 提升建议: "&amp;IFERROR(VLOOKUP(TRIM(D438)&amp;"_"&amp;TRIM(INDEX($R$1:$V$1, MATCH(MIN(R438:V438), R438:V438, 0))), 技能库!$A:$F, 6, 0),"请针对该题型加强练习"))</f>
        <v/>
      </c>
    </row>
    <row r="439" spans="12:29" ht="16" hidden="1" x14ac:dyDescent="0.2">
      <c r="L439" t="str">
        <f t="shared" si="24"/>
        <v/>
      </c>
      <c r="M439" t="str">
        <f>IF(L439="","", IFERROR(VLOOKUP(L439, IF(D439="KET", 换算标准!$M:$N, IF(D439="PET", 换算标准!$S:$T, 换算标准!$AC:$AD)), 2, TRUE), 0))</f>
        <v/>
      </c>
      <c r="P439" t="str">
        <f t="shared" si="25"/>
        <v/>
      </c>
      <c r="Q439" t="str">
        <f>IF(P439="","", IFERROR(VLOOKUP(P439, IF(D439="KET", 换算标准!$O:$P, IF(D439="PET", 换算标准!$U:$V, 换算标准!$AG:$AH)), 2, TRUE), 0))</f>
        <v/>
      </c>
      <c r="W439" t="str">
        <f t="shared" si="26"/>
        <v/>
      </c>
      <c r="X439" t="str">
        <f>IF(W439="","", IFERROR(VLOOKUP(W439, IF(D439="KET", 换算标准!$Q:$R, IF(D439="PET", 换算标准!$W:$X, 换算标准!$AI:$AJ)), 2, TRUE), 0))</f>
        <v/>
      </c>
      <c r="Y439" t="str">
        <f t="shared" si="27"/>
        <v/>
      </c>
      <c r="Z439" t="str">
        <f>IF(Y439="","", IFERROR(VLOOKUP(Y439, 换算标准!$Z:$AA, 1, TRUE), ""))</f>
        <v/>
      </c>
      <c r="AA439" s="5" t="str">
        <f>IF(L439="","", "⚠️ 薄弱环节: "&amp;INDEX($E$1:$K$1, MATCH(MIN(E439:K439), E439:K439, 0))&amp;CHAR(10)&amp;"📉 考察能力: "&amp;IFERROR(VLOOKUP(TRIM(D439)&amp;"_"&amp;TRIM(INDEX($E$1:$K$1, MATCH(MIN(E439:K439), E439:K439, 0))), 技能库!$A:$F, 5, 0),"建议查阅考纲")&amp;CHAR(10)&amp;"💡 提升建议: "&amp;IFERROR(VLOOKUP(TRIM(D439)&amp;"_"&amp;TRIM(INDEX($E$1:$K$1, MATCH(MIN(E439:K439), E439:K439, 0))), 技能库!$A:$F, 6, 0),"请针对该题型加强练习"))</f>
        <v/>
      </c>
      <c r="AB439" s="5" t="str">
        <f>IF(P439="","", "⚠️ 薄弱环节: "&amp;INDEX($N$1:$O$1, MATCH(MIN(N439:O439), N439:O439, 0))&amp;CHAR(10)&amp;"📉 考察能力: "&amp;IFERROR(VLOOKUP(TRIM(D439)&amp;"_"&amp;TRIM(INDEX($N$1:$O$1, MATCH(MIN(N439:O439), N439:O439, 0))), 技能库!$A:$F, 5, 0),"建议查阅考纲")&amp;CHAR(10)&amp;"💡 提升建议: "&amp;IFERROR(VLOOKUP(TRIM(D439)&amp;"_"&amp;TRIM(INDEX($N$1:$O$1, MATCH(MIN(N439:O439), N439:O439, 0))), 技能库!$A:$F, 6, 0),"请针对该题型加强练习"))</f>
        <v/>
      </c>
      <c r="AC439" s="5" t="str">
        <f>IF(W439="","", "⚠️ 薄弱环节: "&amp;INDEX($R$1:$V$1, MATCH(MIN(R439:V439), R439:V439, 0))&amp;CHAR(10)&amp;"📉 考察能力: "&amp;IFERROR(VLOOKUP(TRIM(D439)&amp;"_"&amp;TRIM(INDEX($R$1:$V$1, MATCH(MIN(R439:V439), R439:V439, 0))), 技能库!$A:$F, 5, 0),"建议查阅考纲")&amp;CHAR(10)&amp;"💡 提升建议: "&amp;IFERROR(VLOOKUP(TRIM(D439)&amp;"_"&amp;TRIM(INDEX($R$1:$V$1, MATCH(MIN(R439:V439), R439:V439, 0))), 技能库!$A:$F, 6, 0),"请针对该题型加强练习"))</f>
        <v/>
      </c>
    </row>
    <row r="440" spans="12:29" ht="16" hidden="1" x14ac:dyDescent="0.2">
      <c r="L440" t="str">
        <f t="shared" si="24"/>
        <v/>
      </c>
      <c r="M440" t="str">
        <f>IF(L440="","", IFERROR(VLOOKUP(L440, IF(D440="KET", 换算标准!$M:$N, IF(D440="PET", 换算标准!$S:$T, 换算标准!$AC:$AD)), 2, TRUE), 0))</f>
        <v/>
      </c>
      <c r="P440" t="str">
        <f t="shared" si="25"/>
        <v/>
      </c>
      <c r="Q440" t="str">
        <f>IF(P440="","", IFERROR(VLOOKUP(P440, IF(D440="KET", 换算标准!$O:$P, IF(D440="PET", 换算标准!$U:$V, 换算标准!$AG:$AH)), 2, TRUE), 0))</f>
        <v/>
      </c>
      <c r="W440" t="str">
        <f t="shared" si="26"/>
        <v/>
      </c>
      <c r="X440" t="str">
        <f>IF(W440="","", IFERROR(VLOOKUP(W440, IF(D440="KET", 换算标准!$Q:$R, IF(D440="PET", 换算标准!$W:$X, 换算标准!$AI:$AJ)), 2, TRUE), 0))</f>
        <v/>
      </c>
      <c r="Y440" t="str">
        <f t="shared" si="27"/>
        <v/>
      </c>
      <c r="Z440" t="str">
        <f>IF(Y440="","", IFERROR(VLOOKUP(Y440, 换算标准!$Z:$AA, 1, TRUE), ""))</f>
        <v/>
      </c>
      <c r="AA440" s="5" t="str">
        <f>IF(L440="","", "⚠️ 薄弱环节: "&amp;INDEX($E$1:$K$1, MATCH(MIN(E440:K440), E440:K440, 0))&amp;CHAR(10)&amp;"📉 考察能力: "&amp;IFERROR(VLOOKUP(TRIM(D440)&amp;"_"&amp;TRIM(INDEX($E$1:$K$1, MATCH(MIN(E440:K440), E440:K440, 0))), 技能库!$A:$F, 5, 0),"建议查阅考纲")&amp;CHAR(10)&amp;"💡 提升建议: "&amp;IFERROR(VLOOKUP(TRIM(D440)&amp;"_"&amp;TRIM(INDEX($E$1:$K$1, MATCH(MIN(E440:K440), E440:K440, 0))), 技能库!$A:$F, 6, 0),"请针对该题型加强练习"))</f>
        <v/>
      </c>
      <c r="AB440" s="5" t="str">
        <f>IF(P440="","", "⚠️ 薄弱环节: "&amp;INDEX($N$1:$O$1, MATCH(MIN(N440:O440), N440:O440, 0))&amp;CHAR(10)&amp;"📉 考察能力: "&amp;IFERROR(VLOOKUP(TRIM(D440)&amp;"_"&amp;TRIM(INDEX($N$1:$O$1, MATCH(MIN(N440:O440), N440:O440, 0))), 技能库!$A:$F, 5, 0),"建议查阅考纲")&amp;CHAR(10)&amp;"💡 提升建议: "&amp;IFERROR(VLOOKUP(TRIM(D440)&amp;"_"&amp;TRIM(INDEX($N$1:$O$1, MATCH(MIN(N440:O440), N440:O440, 0))), 技能库!$A:$F, 6, 0),"请针对该题型加强练习"))</f>
        <v/>
      </c>
      <c r="AC440" s="5" t="str">
        <f>IF(W440="","", "⚠️ 薄弱环节: "&amp;INDEX($R$1:$V$1, MATCH(MIN(R440:V440), R440:V440, 0))&amp;CHAR(10)&amp;"📉 考察能力: "&amp;IFERROR(VLOOKUP(TRIM(D440)&amp;"_"&amp;TRIM(INDEX($R$1:$V$1, MATCH(MIN(R440:V440), R440:V440, 0))), 技能库!$A:$F, 5, 0),"建议查阅考纲")&amp;CHAR(10)&amp;"💡 提升建议: "&amp;IFERROR(VLOOKUP(TRIM(D440)&amp;"_"&amp;TRIM(INDEX($R$1:$V$1, MATCH(MIN(R440:V440), R440:V440, 0))), 技能库!$A:$F, 6, 0),"请针对该题型加强练习"))</f>
        <v/>
      </c>
    </row>
    <row r="441" spans="12:29" ht="16" hidden="1" x14ac:dyDescent="0.2">
      <c r="L441" t="str">
        <f t="shared" si="24"/>
        <v/>
      </c>
      <c r="M441" t="str">
        <f>IF(L441="","", IFERROR(VLOOKUP(L441, IF(D441="KET", 换算标准!$M:$N, IF(D441="PET", 换算标准!$S:$T, 换算标准!$AC:$AD)), 2, TRUE), 0))</f>
        <v/>
      </c>
      <c r="P441" t="str">
        <f t="shared" si="25"/>
        <v/>
      </c>
      <c r="Q441" t="str">
        <f>IF(P441="","", IFERROR(VLOOKUP(P441, IF(D441="KET", 换算标准!$O:$P, IF(D441="PET", 换算标准!$U:$V, 换算标准!$AG:$AH)), 2, TRUE), 0))</f>
        <v/>
      </c>
      <c r="W441" t="str">
        <f t="shared" si="26"/>
        <v/>
      </c>
      <c r="X441" t="str">
        <f>IF(W441="","", IFERROR(VLOOKUP(W441, IF(D441="KET", 换算标准!$Q:$R, IF(D441="PET", 换算标准!$W:$X, 换算标准!$AI:$AJ)), 2, TRUE), 0))</f>
        <v/>
      </c>
      <c r="Y441" t="str">
        <f t="shared" si="27"/>
        <v/>
      </c>
      <c r="Z441" t="str">
        <f>IF(Y441="","", IFERROR(VLOOKUP(Y441, 换算标准!$Z:$AA, 1, TRUE), ""))</f>
        <v/>
      </c>
      <c r="AA441" s="5" t="str">
        <f>IF(L441="","", "⚠️ 薄弱环节: "&amp;INDEX($E$1:$K$1, MATCH(MIN(E441:K441), E441:K441, 0))&amp;CHAR(10)&amp;"📉 考察能力: "&amp;IFERROR(VLOOKUP(TRIM(D441)&amp;"_"&amp;TRIM(INDEX($E$1:$K$1, MATCH(MIN(E441:K441), E441:K441, 0))), 技能库!$A:$F, 5, 0),"建议查阅考纲")&amp;CHAR(10)&amp;"💡 提升建议: "&amp;IFERROR(VLOOKUP(TRIM(D441)&amp;"_"&amp;TRIM(INDEX($E$1:$K$1, MATCH(MIN(E441:K441), E441:K441, 0))), 技能库!$A:$F, 6, 0),"请针对该题型加强练习"))</f>
        <v/>
      </c>
      <c r="AB441" s="5" t="str">
        <f>IF(P441="","", "⚠️ 薄弱环节: "&amp;INDEX($N$1:$O$1, MATCH(MIN(N441:O441), N441:O441, 0))&amp;CHAR(10)&amp;"📉 考察能力: "&amp;IFERROR(VLOOKUP(TRIM(D441)&amp;"_"&amp;TRIM(INDEX($N$1:$O$1, MATCH(MIN(N441:O441), N441:O441, 0))), 技能库!$A:$F, 5, 0),"建议查阅考纲")&amp;CHAR(10)&amp;"💡 提升建议: "&amp;IFERROR(VLOOKUP(TRIM(D441)&amp;"_"&amp;TRIM(INDEX($N$1:$O$1, MATCH(MIN(N441:O441), N441:O441, 0))), 技能库!$A:$F, 6, 0),"请针对该题型加强练习"))</f>
        <v/>
      </c>
      <c r="AC441" s="5" t="str">
        <f>IF(W441="","", "⚠️ 薄弱环节: "&amp;INDEX($R$1:$V$1, MATCH(MIN(R441:V441), R441:V441, 0))&amp;CHAR(10)&amp;"📉 考察能力: "&amp;IFERROR(VLOOKUP(TRIM(D441)&amp;"_"&amp;TRIM(INDEX($R$1:$V$1, MATCH(MIN(R441:V441), R441:V441, 0))), 技能库!$A:$F, 5, 0),"建议查阅考纲")&amp;CHAR(10)&amp;"💡 提升建议: "&amp;IFERROR(VLOOKUP(TRIM(D441)&amp;"_"&amp;TRIM(INDEX($R$1:$V$1, MATCH(MIN(R441:V441), R441:V441, 0))), 技能库!$A:$F, 6, 0),"请针对该题型加强练习"))</f>
        <v/>
      </c>
    </row>
    <row r="442" spans="12:29" ht="16" hidden="1" x14ac:dyDescent="0.2">
      <c r="L442" t="str">
        <f t="shared" si="24"/>
        <v/>
      </c>
      <c r="M442" t="str">
        <f>IF(L442="","", IFERROR(VLOOKUP(L442, IF(D442="KET", 换算标准!$M:$N, IF(D442="PET", 换算标准!$S:$T, 换算标准!$AC:$AD)), 2, TRUE), 0))</f>
        <v/>
      </c>
      <c r="P442" t="str">
        <f t="shared" si="25"/>
        <v/>
      </c>
      <c r="Q442" t="str">
        <f>IF(P442="","", IFERROR(VLOOKUP(P442, IF(D442="KET", 换算标准!$O:$P, IF(D442="PET", 换算标准!$U:$V, 换算标准!$AG:$AH)), 2, TRUE), 0))</f>
        <v/>
      </c>
      <c r="W442" t="str">
        <f t="shared" si="26"/>
        <v/>
      </c>
      <c r="X442" t="str">
        <f>IF(W442="","", IFERROR(VLOOKUP(W442, IF(D442="KET", 换算标准!$Q:$R, IF(D442="PET", 换算标准!$W:$X, 换算标准!$AI:$AJ)), 2, TRUE), 0))</f>
        <v/>
      </c>
      <c r="Y442" t="str">
        <f t="shared" si="27"/>
        <v/>
      </c>
      <c r="Z442" t="str">
        <f>IF(Y442="","", IFERROR(VLOOKUP(Y442, 换算标准!$Z:$AA, 1, TRUE), ""))</f>
        <v/>
      </c>
      <c r="AA442" s="5" t="str">
        <f>IF(L442="","", "⚠️ 薄弱环节: "&amp;INDEX($E$1:$K$1, MATCH(MIN(E442:K442), E442:K442, 0))&amp;CHAR(10)&amp;"📉 考察能力: "&amp;IFERROR(VLOOKUP(TRIM(D442)&amp;"_"&amp;TRIM(INDEX($E$1:$K$1, MATCH(MIN(E442:K442), E442:K442, 0))), 技能库!$A:$F, 5, 0),"建议查阅考纲")&amp;CHAR(10)&amp;"💡 提升建议: "&amp;IFERROR(VLOOKUP(TRIM(D442)&amp;"_"&amp;TRIM(INDEX($E$1:$K$1, MATCH(MIN(E442:K442), E442:K442, 0))), 技能库!$A:$F, 6, 0),"请针对该题型加强练习"))</f>
        <v/>
      </c>
      <c r="AB442" s="5" t="str">
        <f>IF(P442="","", "⚠️ 薄弱环节: "&amp;INDEX($N$1:$O$1, MATCH(MIN(N442:O442), N442:O442, 0))&amp;CHAR(10)&amp;"📉 考察能力: "&amp;IFERROR(VLOOKUP(TRIM(D442)&amp;"_"&amp;TRIM(INDEX($N$1:$O$1, MATCH(MIN(N442:O442), N442:O442, 0))), 技能库!$A:$F, 5, 0),"建议查阅考纲")&amp;CHAR(10)&amp;"💡 提升建议: "&amp;IFERROR(VLOOKUP(TRIM(D442)&amp;"_"&amp;TRIM(INDEX($N$1:$O$1, MATCH(MIN(N442:O442), N442:O442, 0))), 技能库!$A:$F, 6, 0),"请针对该题型加强练习"))</f>
        <v/>
      </c>
      <c r="AC442" s="5" t="str">
        <f>IF(W442="","", "⚠️ 薄弱环节: "&amp;INDEX($R$1:$V$1, MATCH(MIN(R442:V442), R442:V442, 0))&amp;CHAR(10)&amp;"📉 考察能力: "&amp;IFERROR(VLOOKUP(TRIM(D442)&amp;"_"&amp;TRIM(INDEX($R$1:$V$1, MATCH(MIN(R442:V442), R442:V442, 0))), 技能库!$A:$F, 5, 0),"建议查阅考纲")&amp;CHAR(10)&amp;"💡 提升建议: "&amp;IFERROR(VLOOKUP(TRIM(D442)&amp;"_"&amp;TRIM(INDEX($R$1:$V$1, MATCH(MIN(R442:V442), R442:V442, 0))), 技能库!$A:$F, 6, 0),"请针对该题型加强练习"))</f>
        <v/>
      </c>
    </row>
    <row r="443" spans="12:29" ht="16" hidden="1" x14ac:dyDescent="0.2">
      <c r="L443" t="str">
        <f t="shared" si="24"/>
        <v/>
      </c>
      <c r="M443" t="str">
        <f>IF(L443="","", IFERROR(VLOOKUP(L443, IF(D443="KET", 换算标准!$M:$N, IF(D443="PET", 换算标准!$S:$T, 换算标准!$AC:$AD)), 2, TRUE), 0))</f>
        <v/>
      </c>
      <c r="P443" t="str">
        <f t="shared" si="25"/>
        <v/>
      </c>
      <c r="Q443" t="str">
        <f>IF(P443="","", IFERROR(VLOOKUP(P443, IF(D443="KET", 换算标准!$O:$P, IF(D443="PET", 换算标准!$U:$V, 换算标准!$AG:$AH)), 2, TRUE), 0))</f>
        <v/>
      </c>
      <c r="W443" t="str">
        <f t="shared" si="26"/>
        <v/>
      </c>
      <c r="X443" t="str">
        <f>IF(W443="","", IFERROR(VLOOKUP(W443, IF(D443="KET", 换算标准!$Q:$R, IF(D443="PET", 换算标准!$W:$X, 换算标准!$AI:$AJ)), 2, TRUE), 0))</f>
        <v/>
      </c>
      <c r="Y443" t="str">
        <f t="shared" si="27"/>
        <v/>
      </c>
      <c r="Z443" t="str">
        <f>IF(Y443="","", IFERROR(VLOOKUP(Y443, 换算标准!$Z:$AA, 1, TRUE), ""))</f>
        <v/>
      </c>
      <c r="AA443" s="5" t="str">
        <f>IF(L443="","", "⚠️ 薄弱环节: "&amp;INDEX($E$1:$K$1, MATCH(MIN(E443:K443), E443:K443, 0))&amp;CHAR(10)&amp;"📉 考察能力: "&amp;IFERROR(VLOOKUP(TRIM(D443)&amp;"_"&amp;TRIM(INDEX($E$1:$K$1, MATCH(MIN(E443:K443), E443:K443, 0))), 技能库!$A:$F, 5, 0),"建议查阅考纲")&amp;CHAR(10)&amp;"💡 提升建议: "&amp;IFERROR(VLOOKUP(TRIM(D443)&amp;"_"&amp;TRIM(INDEX($E$1:$K$1, MATCH(MIN(E443:K443), E443:K443, 0))), 技能库!$A:$F, 6, 0),"请针对该题型加强练习"))</f>
        <v/>
      </c>
      <c r="AB443" s="5" t="str">
        <f>IF(P443="","", "⚠️ 薄弱环节: "&amp;INDEX($N$1:$O$1, MATCH(MIN(N443:O443), N443:O443, 0))&amp;CHAR(10)&amp;"📉 考察能力: "&amp;IFERROR(VLOOKUP(TRIM(D443)&amp;"_"&amp;TRIM(INDEX($N$1:$O$1, MATCH(MIN(N443:O443), N443:O443, 0))), 技能库!$A:$F, 5, 0),"建议查阅考纲")&amp;CHAR(10)&amp;"💡 提升建议: "&amp;IFERROR(VLOOKUP(TRIM(D443)&amp;"_"&amp;TRIM(INDEX($N$1:$O$1, MATCH(MIN(N443:O443), N443:O443, 0))), 技能库!$A:$F, 6, 0),"请针对该题型加强练习"))</f>
        <v/>
      </c>
      <c r="AC443" s="5" t="str">
        <f>IF(W443="","", "⚠️ 薄弱环节: "&amp;INDEX($R$1:$V$1, MATCH(MIN(R443:V443), R443:V443, 0))&amp;CHAR(10)&amp;"📉 考察能力: "&amp;IFERROR(VLOOKUP(TRIM(D443)&amp;"_"&amp;TRIM(INDEX($R$1:$V$1, MATCH(MIN(R443:V443), R443:V443, 0))), 技能库!$A:$F, 5, 0),"建议查阅考纲")&amp;CHAR(10)&amp;"💡 提升建议: "&amp;IFERROR(VLOOKUP(TRIM(D443)&amp;"_"&amp;TRIM(INDEX($R$1:$V$1, MATCH(MIN(R443:V443), R443:V443, 0))), 技能库!$A:$F, 6, 0),"请针对该题型加强练习"))</f>
        <v/>
      </c>
    </row>
    <row r="444" spans="12:29" ht="16" hidden="1" x14ac:dyDescent="0.2">
      <c r="L444" t="str">
        <f t="shared" si="24"/>
        <v/>
      </c>
      <c r="M444" t="str">
        <f>IF(L444="","", IFERROR(VLOOKUP(L444, IF(D444="KET", 换算标准!$M:$N, IF(D444="PET", 换算标准!$S:$T, 换算标准!$AC:$AD)), 2, TRUE), 0))</f>
        <v/>
      </c>
      <c r="P444" t="str">
        <f t="shared" si="25"/>
        <v/>
      </c>
      <c r="Q444" t="str">
        <f>IF(P444="","", IFERROR(VLOOKUP(P444, IF(D444="KET", 换算标准!$O:$P, IF(D444="PET", 换算标准!$U:$V, 换算标准!$AG:$AH)), 2, TRUE), 0))</f>
        <v/>
      </c>
      <c r="W444" t="str">
        <f t="shared" si="26"/>
        <v/>
      </c>
      <c r="X444" t="str">
        <f>IF(W444="","", IFERROR(VLOOKUP(W444, IF(D444="KET", 换算标准!$Q:$R, IF(D444="PET", 换算标准!$W:$X, 换算标准!$AI:$AJ)), 2, TRUE), 0))</f>
        <v/>
      </c>
      <c r="Y444" t="str">
        <f t="shared" si="27"/>
        <v/>
      </c>
      <c r="Z444" t="str">
        <f>IF(Y444="","", IFERROR(VLOOKUP(Y444, 换算标准!$Z:$AA, 1, TRUE), ""))</f>
        <v/>
      </c>
      <c r="AA444" s="5" t="str">
        <f>IF(L444="","", "⚠️ 薄弱环节: "&amp;INDEX($E$1:$K$1, MATCH(MIN(E444:K444), E444:K444, 0))&amp;CHAR(10)&amp;"📉 考察能力: "&amp;IFERROR(VLOOKUP(TRIM(D444)&amp;"_"&amp;TRIM(INDEX($E$1:$K$1, MATCH(MIN(E444:K444), E444:K444, 0))), 技能库!$A:$F, 5, 0),"建议查阅考纲")&amp;CHAR(10)&amp;"💡 提升建议: "&amp;IFERROR(VLOOKUP(TRIM(D444)&amp;"_"&amp;TRIM(INDEX($E$1:$K$1, MATCH(MIN(E444:K444), E444:K444, 0))), 技能库!$A:$F, 6, 0),"请针对该题型加强练习"))</f>
        <v/>
      </c>
      <c r="AB444" s="5" t="str">
        <f>IF(P444="","", "⚠️ 薄弱环节: "&amp;INDEX($N$1:$O$1, MATCH(MIN(N444:O444), N444:O444, 0))&amp;CHAR(10)&amp;"📉 考察能力: "&amp;IFERROR(VLOOKUP(TRIM(D444)&amp;"_"&amp;TRIM(INDEX($N$1:$O$1, MATCH(MIN(N444:O444), N444:O444, 0))), 技能库!$A:$F, 5, 0),"建议查阅考纲")&amp;CHAR(10)&amp;"💡 提升建议: "&amp;IFERROR(VLOOKUP(TRIM(D444)&amp;"_"&amp;TRIM(INDEX($N$1:$O$1, MATCH(MIN(N444:O444), N444:O444, 0))), 技能库!$A:$F, 6, 0),"请针对该题型加强练习"))</f>
        <v/>
      </c>
      <c r="AC444" s="5" t="str">
        <f>IF(W444="","", "⚠️ 薄弱环节: "&amp;INDEX($R$1:$V$1, MATCH(MIN(R444:V444), R444:V444, 0))&amp;CHAR(10)&amp;"📉 考察能力: "&amp;IFERROR(VLOOKUP(TRIM(D444)&amp;"_"&amp;TRIM(INDEX($R$1:$V$1, MATCH(MIN(R444:V444), R444:V444, 0))), 技能库!$A:$F, 5, 0),"建议查阅考纲")&amp;CHAR(10)&amp;"💡 提升建议: "&amp;IFERROR(VLOOKUP(TRIM(D444)&amp;"_"&amp;TRIM(INDEX($R$1:$V$1, MATCH(MIN(R444:V444), R444:V444, 0))), 技能库!$A:$F, 6, 0),"请针对该题型加强练习"))</f>
        <v/>
      </c>
    </row>
    <row r="445" spans="12:29" ht="16" hidden="1" x14ac:dyDescent="0.2">
      <c r="L445" t="str">
        <f t="shared" si="24"/>
        <v/>
      </c>
      <c r="M445" t="str">
        <f>IF(L445="","", IFERROR(VLOOKUP(L445, IF(D445="KET", 换算标准!$M:$N, IF(D445="PET", 换算标准!$S:$T, 换算标准!$AC:$AD)), 2, TRUE), 0))</f>
        <v/>
      </c>
      <c r="P445" t="str">
        <f t="shared" si="25"/>
        <v/>
      </c>
      <c r="Q445" t="str">
        <f>IF(P445="","", IFERROR(VLOOKUP(P445, IF(D445="KET", 换算标准!$O:$P, IF(D445="PET", 换算标准!$U:$V, 换算标准!$AG:$AH)), 2, TRUE), 0))</f>
        <v/>
      </c>
      <c r="W445" t="str">
        <f t="shared" si="26"/>
        <v/>
      </c>
      <c r="X445" t="str">
        <f>IF(W445="","", IFERROR(VLOOKUP(W445, IF(D445="KET", 换算标准!$Q:$R, IF(D445="PET", 换算标准!$W:$X, 换算标准!$AI:$AJ)), 2, TRUE), 0))</f>
        <v/>
      </c>
      <c r="Y445" t="str">
        <f t="shared" si="27"/>
        <v/>
      </c>
      <c r="Z445" t="str">
        <f>IF(Y445="","", IFERROR(VLOOKUP(Y445, 换算标准!$Z:$AA, 1, TRUE), ""))</f>
        <v/>
      </c>
      <c r="AA445" s="5" t="str">
        <f>IF(L445="","", "⚠️ 薄弱环节: "&amp;INDEX($E$1:$K$1, MATCH(MIN(E445:K445), E445:K445, 0))&amp;CHAR(10)&amp;"📉 考察能力: "&amp;IFERROR(VLOOKUP(TRIM(D445)&amp;"_"&amp;TRIM(INDEX($E$1:$K$1, MATCH(MIN(E445:K445), E445:K445, 0))), 技能库!$A:$F, 5, 0),"建议查阅考纲")&amp;CHAR(10)&amp;"💡 提升建议: "&amp;IFERROR(VLOOKUP(TRIM(D445)&amp;"_"&amp;TRIM(INDEX($E$1:$K$1, MATCH(MIN(E445:K445), E445:K445, 0))), 技能库!$A:$F, 6, 0),"请针对该题型加强练习"))</f>
        <v/>
      </c>
      <c r="AB445" s="5" t="str">
        <f>IF(P445="","", "⚠️ 薄弱环节: "&amp;INDEX($N$1:$O$1, MATCH(MIN(N445:O445), N445:O445, 0))&amp;CHAR(10)&amp;"📉 考察能力: "&amp;IFERROR(VLOOKUP(TRIM(D445)&amp;"_"&amp;TRIM(INDEX($N$1:$O$1, MATCH(MIN(N445:O445), N445:O445, 0))), 技能库!$A:$F, 5, 0),"建议查阅考纲")&amp;CHAR(10)&amp;"💡 提升建议: "&amp;IFERROR(VLOOKUP(TRIM(D445)&amp;"_"&amp;TRIM(INDEX($N$1:$O$1, MATCH(MIN(N445:O445), N445:O445, 0))), 技能库!$A:$F, 6, 0),"请针对该题型加强练习"))</f>
        <v/>
      </c>
      <c r="AC445" s="5" t="str">
        <f>IF(W445="","", "⚠️ 薄弱环节: "&amp;INDEX($R$1:$V$1, MATCH(MIN(R445:V445), R445:V445, 0))&amp;CHAR(10)&amp;"📉 考察能力: "&amp;IFERROR(VLOOKUP(TRIM(D445)&amp;"_"&amp;TRIM(INDEX($R$1:$V$1, MATCH(MIN(R445:V445), R445:V445, 0))), 技能库!$A:$F, 5, 0),"建议查阅考纲")&amp;CHAR(10)&amp;"💡 提升建议: "&amp;IFERROR(VLOOKUP(TRIM(D445)&amp;"_"&amp;TRIM(INDEX($R$1:$V$1, MATCH(MIN(R445:V445), R445:V445, 0))), 技能库!$A:$F, 6, 0),"请针对该题型加强练习"))</f>
        <v/>
      </c>
    </row>
    <row r="446" spans="12:29" ht="16" hidden="1" x14ac:dyDescent="0.2">
      <c r="L446" t="str">
        <f t="shared" si="24"/>
        <v/>
      </c>
      <c r="M446" t="str">
        <f>IF(L446="","", IFERROR(VLOOKUP(L446, IF(D446="KET", 换算标准!$M:$N, IF(D446="PET", 换算标准!$S:$T, 换算标准!$AC:$AD)), 2, TRUE), 0))</f>
        <v/>
      </c>
      <c r="P446" t="str">
        <f t="shared" si="25"/>
        <v/>
      </c>
      <c r="Q446" t="str">
        <f>IF(P446="","", IFERROR(VLOOKUP(P446, IF(D446="KET", 换算标准!$O:$P, IF(D446="PET", 换算标准!$U:$V, 换算标准!$AG:$AH)), 2, TRUE), 0))</f>
        <v/>
      </c>
      <c r="W446" t="str">
        <f t="shared" si="26"/>
        <v/>
      </c>
      <c r="X446" t="str">
        <f>IF(W446="","", IFERROR(VLOOKUP(W446, IF(D446="KET", 换算标准!$Q:$R, IF(D446="PET", 换算标准!$W:$X, 换算标准!$AI:$AJ)), 2, TRUE), 0))</f>
        <v/>
      </c>
      <c r="Y446" t="str">
        <f t="shared" si="27"/>
        <v/>
      </c>
      <c r="Z446" t="str">
        <f>IF(Y446="","", IFERROR(VLOOKUP(Y446, 换算标准!$Z:$AA, 1, TRUE), ""))</f>
        <v/>
      </c>
      <c r="AA446" s="5" t="str">
        <f>IF(L446="","", "⚠️ 薄弱环节: "&amp;INDEX($E$1:$K$1, MATCH(MIN(E446:K446), E446:K446, 0))&amp;CHAR(10)&amp;"📉 考察能力: "&amp;IFERROR(VLOOKUP(TRIM(D446)&amp;"_"&amp;TRIM(INDEX($E$1:$K$1, MATCH(MIN(E446:K446), E446:K446, 0))), 技能库!$A:$F, 5, 0),"建议查阅考纲")&amp;CHAR(10)&amp;"💡 提升建议: "&amp;IFERROR(VLOOKUP(TRIM(D446)&amp;"_"&amp;TRIM(INDEX($E$1:$K$1, MATCH(MIN(E446:K446), E446:K446, 0))), 技能库!$A:$F, 6, 0),"请针对该题型加强练习"))</f>
        <v/>
      </c>
      <c r="AB446" s="5" t="str">
        <f>IF(P446="","", "⚠️ 薄弱环节: "&amp;INDEX($N$1:$O$1, MATCH(MIN(N446:O446), N446:O446, 0))&amp;CHAR(10)&amp;"📉 考察能力: "&amp;IFERROR(VLOOKUP(TRIM(D446)&amp;"_"&amp;TRIM(INDEX($N$1:$O$1, MATCH(MIN(N446:O446), N446:O446, 0))), 技能库!$A:$F, 5, 0),"建议查阅考纲")&amp;CHAR(10)&amp;"💡 提升建议: "&amp;IFERROR(VLOOKUP(TRIM(D446)&amp;"_"&amp;TRIM(INDEX($N$1:$O$1, MATCH(MIN(N446:O446), N446:O446, 0))), 技能库!$A:$F, 6, 0),"请针对该题型加强练习"))</f>
        <v/>
      </c>
      <c r="AC446" s="5" t="str">
        <f>IF(W446="","", "⚠️ 薄弱环节: "&amp;INDEX($R$1:$V$1, MATCH(MIN(R446:V446), R446:V446, 0))&amp;CHAR(10)&amp;"📉 考察能力: "&amp;IFERROR(VLOOKUP(TRIM(D446)&amp;"_"&amp;TRIM(INDEX($R$1:$V$1, MATCH(MIN(R446:V446), R446:V446, 0))), 技能库!$A:$F, 5, 0),"建议查阅考纲")&amp;CHAR(10)&amp;"💡 提升建议: "&amp;IFERROR(VLOOKUP(TRIM(D446)&amp;"_"&amp;TRIM(INDEX($R$1:$V$1, MATCH(MIN(R446:V446), R446:V446, 0))), 技能库!$A:$F, 6, 0),"请针对该题型加强练习"))</f>
        <v/>
      </c>
    </row>
    <row r="447" spans="12:29" ht="16" hidden="1" x14ac:dyDescent="0.2">
      <c r="L447" t="str">
        <f t="shared" si="24"/>
        <v/>
      </c>
      <c r="M447" t="str">
        <f>IF(L447="","", IFERROR(VLOOKUP(L447, IF(D447="KET", 换算标准!$M:$N, IF(D447="PET", 换算标准!$S:$T, 换算标准!$AC:$AD)), 2, TRUE), 0))</f>
        <v/>
      </c>
      <c r="P447" t="str">
        <f t="shared" si="25"/>
        <v/>
      </c>
      <c r="Q447" t="str">
        <f>IF(P447="","", IFERROR(VLOOKUP(P447, IF(D447="KET", 换算标准!$O:$P, IF(D447="PET", 换算标准!$U:$V, 换算标准!$AG:$AH)), 2, TRUE), 0))</f>
        <v/>
      </c>
      <c r="W447" t="str">
        <f t="shared" si="26"/>
        <v/>
      </c>
      <c r="X447" t="str">
        <f>IF(W447="","", IFERROR(VLOOKUP(W447, IF(D447="KET", 换算标准!$Q:$R, IF(D447="PET", 换算标准!$W:$X, 换算标准!$AI:$AJ)), 2, TRUE), 0))</f>
        <v/>
      </c>
      <c r="Y447" t="str">
        <f t="shared" si="27"/>
        <v/>
      </c>
      <c r="Z447" t="str">
        <f>IF(Y447="","", IFERROR(VLOOKUP(Y447, 换算标准!$Z:$AA, 1, TRUE), ""))</f>
        <v/>
      </c>
      <c r="AA447" s="5" t="str">
        <f>IF(L447="","", "⚠️ 薄弱环节: "&amp;INDEX($E$1:$K$1, MATCH(MIN(E447:K447), E447:K447, 0))&amp;CHAR(10)&amp;"📉 考察能力: "&amp;IFERROR(VLOOKUP(TRIM(D447)&amp;"_"&amp;TRIM(INDEX($E$1:$K$1, MATCH(MIN(E447:K447), E447:K447, 0))), 技能库!$A:$F, 5, 0),"建议查阅考纲")&amp;CHAR(10)&amp;"💡 提升建议: "&amp;IFERROR(VLOOKUP(TRIM(D447)&amp;"_"&amp;TRIM(INDEX($E$1:$K$1, MATCH(MIN(E447:K447), E447:K447, 0))), 技能库!$A:$F, 6, 0),"请针对该题型加强练习"))</f>
        <v/>
      </c>
      <c r="AB447" s="5" t="str">
        <f>IF(P447="","", "⚠️ 薄弱环节: "&amp;INDEX($N$1:$O$1, MATCH(MIN(N447:O447), N447:O447, 0))&amp;CHAR(10)&amp;"📉 考察能力: "&amp;IFERROR(VLOOKUP(TRIM(D447)&amp;"_"&amp;TRIM(INDEX($N$1:$O$1, MATCH(MIN(N447:O447), N447:O447, 0))), 技能库!$A:$F, 5, 0),"建议查阅考纲")&amp;CHAR(10)&amp;"💡 提升建议: "&amp;IFERROR(VLOOKUP(TRIM(D447)&amp;"_"&amp;TRIM(INDEX($N$1:$O$1, MATCH(MIN(N447:O447), N447:O447, 0))), 技能库!$A:$F, 6, 0),"请针对该题型加强练习"))</f>
        <v/>
      </c>
      <c r="AC447" s="5" t="str">
        <f>IF(W447="","", "⚠️ 薄弱环节: "&amp;INDEX($R$1:$V$1, MATCH(MIN(R447:V447), R447:V447, 0))&amp;CHAR(10)&amp;"📉 考察能力: "&amp;IFERROR(VLOOKUP(TRIM(D447)&amp;"_"&amp;TRIM(INDEX($R$1:$V$1, MATCH(MIN(R447:V447), R447:V447, 0))), 技能库!$A:$F, 5, 0),"建议查阅考纲")&amp;CHAR(10)&amp;"💡 提升建议: "&amp;IFERROR(VLOOKUP(TRIM(D447)&amp;"_"&amp;TRIM(INDEX($R$1:$V$1, MATCH(MIN(R447:V447), R447:V447, 0))), 技能库!$A:$F, 6, 0),"请针对该题型加强练习"))</f>
        <v/>
      </c>
    </row>
    <row r="448" spans="12:29" ht="16" hidden="1" x14ac:dyDescent="0.2">
      <c r="L448" t="str">
        <f t="shared" si="24"/>
        <v/>
      </c>
      <c r="M448" t="str">
        <f>IF(L448="","", IFERROR(VLOOKUP(L448, IF(D448="KET", 换算标准!$M:$N, IF(D448="PET", 换算标准!$S:$T, 换算标准!$AC:$AD)), 2, TRUE), 0))</f>
        <v/>
      </c>
      <c r="P448" t="str">
        <f t="shared" si="25"/>
        <v/>
      </c>
      <c r="Q448" t="str">
        <f>IF(P448="","", IFERROR(VLOOKUP(P448, IF(D448="KET", 换算标准!$O:$P, IF(D448="PET", 换算标准!$U:$V, 换算标准!$AG:$AH)), 2, TRUE), 0))</f>
        <v/>
      </c>
      <c r="W448" t="str">
        <f t="shared" si="26"/>
        <v/>
      </c>
      <c r="X448" t="str">
        <f>IF(W448="","", IFERROR(VLOOKUP(W448, IF(D448="KET", 换算标准!$Q:$R, IF(D448="PET", 换算标准!$W:$X, 换算标准!$AI:$AJ)), 2, TRUE), 0))</f>
        <v/>
      </c>
      <c r="Y448" t="str">
        <f t="shared" si="27"/>
        <v/>
      </c>
      <c r="Z448" t="str">
        <f>IF(Y448="","", IFERROR(VLOOKUP(Y448, 换算标准!$Z:$AA, 1, TRUE), ""))</f>
        <v/>
      </c>
      <c r="AA448" s="5" t="str">
        <f>IF(L448="","", "⚠️ 薄弱环节: "&amp;INDEX($E$1:$K$1, MATCH(MIN(E448:K448), E448:K448, 0))&amp;CHAR(10)&amp;"📉 考察能力: "&amp;IFERROR(VLOOKUP(TRIM(D448)&amp;"_"&amp;TRIM(INDEX($E$1:$K$1, MATCH(MIN(E448:K448), E448:K448, 0))), 技能库!$A:$F, 5, 0),"建议查阅考纲")&amp;CHAR(10)&amp;"💡 提升建议: "&amp;IFERROR(VLOOKUP(TRIM(D448)&amp;"_"&amp;TRIM(INDEX($E$1:$K$1, MATCH(MIN(E448:K448), E448:K448, 0))), 技能库!$A:$F, 6, 0),"请针对该题型加强练习"))</f>
        <v/>
      </c>
      <c r="AB448" s="5" t="str">
        <f>IF(P448="","", "⚠️ 薄弱环节: "&amp;INDEX($N$1:$O$1, MATCH(MIN(N448:O448), N448:O448, 0))&amp;CHAR(10)&amp;"📉 考察能力: "&amp;IFERROR(VLOOKUP(TRIM(D448)&amp;"_"&amp;TRIM(INDEX($N$1:$O$1, MATCH(MIN(N448:O448), N448:O448, 0))), 技能库!$A:$F, 5, 0),"建议查阅考纲")&amp;CHAR(10)&amp;"💡 提升建议: "&amp;IFERROR(VLOOKUP(TRIM(D448)&amp;"_"&amp;TRIM(INDEX($N$1:$O$1, MATCH(MIN(N448:O448), N448:O448, 0))), 技能库!$A:$F, 6, 0),"请针对该题型加强练习"))</f>
        <v/>
      </c>
      <c r="AC448" s="5" t="str">
        <f>IF(W448="","", "⚠️ 薄弱环节: "&amp;INDEX($R$1:$V$1, MATCH(MIN(R448:V448), R448:V448, 0))&amp;CHAR(10)&amp;"📉 考察能力: "&amp;IFERROR(VLOOKUP(TRIM(D448)&amp;"_"&amp;TRIM(INDEX($R$1:$V$1, MATCH(MIN(R448:V448), R448:V448, 0))), 技能库!$A:$F, 5, 0),"建议查阅考纲")&amp;CHAR(10)&amp;"💡 提升建议: "&amp;IFERROR(VLOOKUP(TRIM(D448)&amp;"_"&amp;TRIM(INDEX($R$1:$V$1, MATCH(MIN(R448:V448), R448:V448, 0))), 技能库!$A:$F, 6, 0),"请针对该题型加强练习"))</f>
        <v/>
      </c>
    </row>
    <row r="449" spans="12:29" ht="16" hidden="1" x14ac:dyDescent="0.2">
      <c r="L449" t="str">
        <f t="shared" si="24"/>
        <v/>
      </c>
      <c r="M449" t="str">
        <f>IF(L449="","", IFERROR(VLOOKUP(L449, IF(D449="KET", 换算标准!$M:$N, IF(D449="PET", 换算标准!$S:$T, 换算标准!$AC:$AD)), 2, TRUE), 0))</f>
        <v/>
      </c>
      <c r="P449" t="str">
        <f t="shared" si="25"/>
        <v/>
      </c>
      <c r="Q449" t="str">
        <f>IF(P449="","", IFERROR(VLOOKUP(P449, IF(D449="KET", 换算标准!$O:$P, IF(D449="PET", 换算标准!$U:$V, 换算标准!$AG:$AH)), 2, TRUE), 0))</f>
        <v/>
      </c>
      <c r="W449" t="str">
        <f t="shared" si="26"/>
        <v/>
      </c>
      <c r="X449" t="str">
        <f>IF(W449="","", IFERROR(VLOOKUP(W449, IF(D449="KET", 换算标准!$Q:$R, IF(D449="PET", 换算标准!$W:$X, 换算标准!$AI:$AJ)), 2, TRUE), 0))</f>
        <v/>
      </c>
      <c r="Y449" t="str">
        <f t="shared" si="27"/>
        <v/>
      </c>
      <c r="Z449" t="str">
        <f>IF(Y449="","", IFERROR(VLOOKUP(Y449, 换算标准!$Z:$AA, 1, TRUE), ""))</f>
        <v/>
      </c>
      <c r="AA449" s="5" t="str">
        <f>IF(L449="","", "⚠️ 薄弱环节: "&amp;INDEX($E$1:$K$1, MATCH(MIN(E449:K449), E449:K449, 0))&amp;CHAR(10)&amp;"📉 考察能力: "&amp;IFERROR(VLOOKUP(TRIM(D449)&amp;"_"&amp;TRIM(INDEX($E$1:$K$1, MATCH(MIN(E449:K449), E449:K449, 0))), 技能库!$A:$F, 5, 0),"建议查阅考纲")&amp;CHAR(10)&amp;"💡 提升建议: "&amp;IFERROR(VLOOKUP(TRIM(D449)&amp;"_"&amp;TRIM(INDEX($E$1:$K$1, MATCH(MIN(E449:K449), E449:K449, 0))), 技能库!$A:$F, 6, 0),"请针对该题型加强练习"))</f>
        <v/>
      </c>
      <c r="AB449" s="5" t="str">
        <f>IF(P449="","", "⚠️ 薄弱环节: "&amp;INDEX($N$1:$O$1, MATCH(MIN(N449:O449), N449:O449, 0))&amp;CHAR(10)&amp;"📉 考察能力: "&amp;IFERROR(VLOOKUP(TRIM(D449)&amp;"_"&amp;TRIM(INDEX($N$1:$O$1, MATCH(MIN(N449:O449), N449:O449, 0))), 技能库!$A:$F, 5, 0),"建议查阅考纲")&amp;CHAR(10)&amp;"💡 提升建议: "&amp;IFERROR(VLOOKUP(TRIM(D449)&amp;"_"&amp;TRIM(INDEX($N$1:$O$1, MATCH(MIN(N449:O449), N449:O449, 0))), 技能库!$A:$F, 6, 0),"请针对该题型加强练习"))</f>
        <v/>
      </c>
      <c r="AC449" s="5" t="str">
        <f>IF(W449="","", "⚠️ 薄弱环节: "&amp;INDEX($R$1:$V$1, MATCH(MIN(R449:V449), R449:V449, 0))&amp;CHAR(10)&amp;"📉 考察能力: "&amp;IFERROR(VLOOKUP(TRIM(D449)&amp;"_"&amp;TRIM(INDEX($R$1:$V$1, MATCH(MIN(R449:V449), R449:V449, 0))), 技能库!$A:$F, 5, 0),"建议查阅考纲")&amp;CHAR(10)&amp;"💡 提升建议: "&amp;IFERROR(VLOOKUP(TRIM(D449)&amp;"_"&amp;TRIM(INDEX($R$1:$V$1, MATCH(MIN(R449:V449), R449:V449, 0))), 技能库!$A:$F, 6, 0),"请针对该题型加强练习"))</f>
        <v/>
      </c>
    </row>
    <row r="450" spans="12:29" ht="16" hidden="1" x14ac:dyDescent="0.2">
      <c r="L450" t="str">
        <f t="shared" ref="L450:L513" si="28">IF(COUNT(E450:K450)&gt;0, SUM(E450:K450), "")</f>
        <v/>
      </c>
      <c r="M450" t="str">
        <f>IF(L450="","", IFERROR(VLOOKUP(L450, IF(D450="KET", 换算标准!$M:$N, IF(D450="PET", 换算标准!$S:$T, 换算标准!$AC:$AD)), 2, TRUE), 0))</f>
        <v/>
      </c>
      <c r="P450" t="str">
        <f t="shared" ref="P450:P513" si="29">IF(COUNT(N450:O450)&gt;0, SUM(N450:O450), "")</f>
        <v/>
      </c>
      <c r="Q450" t="str">
        <f>IF(P450="","", IFERROR(VLOOKUP(P450, IF(D450="KET", 换算标准!$O:$P, IF(D450="PET", 换算标准!$U:$V, 换算标准!$AG:$AH)), 2, TRUE), 0))</f>
        <v/>
      </c>
      <c r="W450" t="str">
        <f t="shared" ref="W450:W513" si="30">IF(COUNT(R450:V450)&gt;0, SUM(R450:V450), "")</f>
        <v/>
      </c>
      <c r="X450" t="str">
        <f>IF(W450="","", IFERROR(VLOOKUP(W450, IF(D450="KET", 换算标准!$Q:$R, IF(D450="PET", 换算标准!$W:$X, 换算标准!$AI:$AJ)), 2, TRUE), 0))</f>
        <v/>
      </c>
      <c r="Y450" t="str">
        <f t="shared" ref="Y450:Y513" si="31">IF(COUNT(M450,Q450,X450)&gt;0, AVERAGE(M450,Q450,X450), "")</f>
        <v/>
      </c>
      <c r="Z450" t="str">
        <f>IF(Y450="","", IFERROR(VLOOKUP(Y450, 换算标准!$Z:$AA, 1, TRUE), ""))</f>
        <v/>
      </c>
      <c r="AA450" s="5" t="str">
        <f>IF(L450="","", "⚠️ 薄弱环节: "&amp;INDEX($E$1:$K$1, MATCH(MIN(E450:K450), E450:K450, 0))&amp;CHAR(10)&amp;"📉 考察能力: "&amp;IFERROR(VLOOKUP(TRIM(D450)&amp;"_"&amp;TRIM(INDEX($E$1:$K$1, MATCH(MIN(E450:K450), E450:K450, 0))), 技能库!$A:$F, 5, 0),"建议查阅考纲")&amp;CHAR(10)&amp;"💡 提升建议: "&amp;IFERROR(VLOOKUP(TRIM(D450)&amp;"_"&amp;TRIM(INDEX($E$1:$K$1, MATCH(MIN(E450:K450), E450:K450, 0))), 技能库!$A:$F, 6, 0),"请针对该题型加强练习"))</f>
        <v/>
      </c>
      <c r="AB450" s="5" t="str">
        <f>IF(P450="","", "⚠️ 薄弱环节: "&amp;INDEX($N$1:$O$1, MATCH(MIN(N450:O450), N450:O450, 0))&amp;CHAR(10)&amp;"📉 考察能力: "&amp;IFERROR(VLOOKUP(TRIM(D450)&amp;"_"&amp;TRIM(INDEX($N$1:$O$1, MATCH(MIN(N450:O450), N450:O450, 0))), 技能库!$A:$F, 5, 0),"建议查阅考纲")&amp;CHAR(10)&amp;"💡 提升建议: "&amp;IFERROR(VLOOKUP(TRIM(D450)&amp;"_"&amp;TRIM(INDEX($N$1:$O$1, MATCH(MIN(N450:O450), N450:O450, 0))), 技能库!$A:$F, 6, 0),"请针对该题型加强练习"))</f>
        <v/>
      </c>
      <c r="AC450" s="5" t="str">
        <f>IF(W450="","", "⚠️ 薄弱环节: "&amp;INDEX($R$1:$V$1, MATCH(MIN(R450:V450), R450:V450, 0))&amp;CHAR(10)&amp;"📉 考察能力: "&amp;IFERROR(VLOOKUP(TRIM(D450)&amp;"_"&amp;TRIM(INDEX($R$1:$V$1, MATCH(MIN(R450:V450), R450:V450, 0))), 技能库!$A:$F, 5, 0),"建议查阅考纲")&amp;CHAR(10)&amp;"💡 提升建议: "&amp;IFERROR(VLOOKUP(TRIM(D450)&amp;"_"&amp;TRIM(INDEX($R$1:$V$1, MATCH(MIN(R450:V450), R450:V450, 0))), 技能库!$A:$F, 6, 0),"请针对该题型加强练习"))</f>
        <v/>
      </c>
    </row>
    <row r="451" spans="12:29" ht="16" hidden="1" x14ac:dyDescent="0.2">
      <c r="L451" t="str">
        <f t="shared" si="28"/>
        <v/>
      </c>
      <c r="M451" t="str">
        <f>IF(L451="","", IFERROR(VLOOKUP(L451, IF(D451="KET", 换算标准!$M:$N, IF(D451="PET", 换算标准!$S:$T, 换算标准!$AC:$AD)), 2, TRUE), 0))</f>
        <v/>
      </c>
      <c r="P451" t="str">
        <f t="shared" si="29"/>
        <v/>
      </c>
      <c r="Q451" t="str">
        <f>IF(P451="","", IFERROR(VLOOKUP(P451, IF(D451="KET", 换算标准!$O:$P, IF(D451="PET", 换算标准!$U:$V, 换算标准!$AG:$AH)), 2, TRUE), 0))</f>
        <v/>
      </c>
      <c r="W451" t="str">
        <f t="shared" si="30"/>
        <v/>
      </c>
      <c r="X451" t="str">
        <f>IF(W451="","", IFERROR(VLOOKUP(W451, IF(D451="KET", 换算标准!$Q:$R, IF(D451="PET", 换算标准!$W:$X, 换算标准!$AI:$AJ)), 2, TRUE), 0))</f>
        <v/>
      </c>
      <c r="Y451" t="str">
        <f t="shared" si="31"/>
        <v/>
      </c>
      <c r="Z451" t="str">
        <f>IF(Y451="","", IFERROR(VLOOKUP(Y451, 换算标准!$Z:$AA, 1, TRUE), ""))</f>
        <v/>
      </c>
      <c r="AA451" s="5" t="str">
        <f>IF(L451="","", "⚠️ 薄弱环节: "&amp;INDEX($E$1:$K$1, MATCH(MIN(E451:K451), E451:K451, 0))&amp;CHAR(10)&amp;"📉 考察能力: "&amp;IFERROR(VLOOKUP(TRIM(D451)&amp;"_"&amp;TRIM(INDEX($E$1:$K$1, MATCH(MIN(E451:K451), E451:K451, 0))), 技能库!$A:$F, 5, 0),"建议查阅考纲")&amp;CHAR(10)&amp;"💡 提升建议: "&amp;IFERROR(VLOOKUP(TRIM(D451)&amp;"_"&amp;TRIM(INDEX($E$1:$K$1, MATCH(MIN(E451:K451), E451:K451, 0))), 技能库!$A:$F, 6, 0),"请针对该题型加强练习"))</f>
        <v/>
      </c>
      <c r="AB451" s="5" t="str">
        <f>IF(P451="","", "⚠️ 薄弱环节: "&amp;INDEX($N$1:$O$1, MATCH(MIN(N451:O451), N451:O451, 0))&amp;CHAR(10)&amp;"📉 考察能力: "&amp;IFERROR(VLOOKUP(TRIM(D451)&amp;"_"&amp;TRIM(INDEX($N$1:$O$1, MATCH(MIN(N451:O451), N451:O451, 0))), 技能库!$A:$F, 5, 0),"建议查阅考纲")&amp;CHAR(10)&amp;"💡 提升建议: "&amp;IFERROR(VLOOKUP(TRIM(D451)&amp;"_"&amp;TRIM(INDEX($N$1:$O$1, MATCH(MIN(N451:O451), N451:O451, 0))), 技能库!$A:$F, 6, 0),"请针对该题型加强练习"))</f>
        <v/>
      </c>
      <c r="AC451" s="5" t="str">
        <f>IF(W451="","", "⚠️ 薄弱环节: "&amp;INDEX($R$1:$V$1, MATCH(MIN(R451:V451), R451:V451, 0))&amp;CHAR(10)&amp;"📉 考察能力: "&amp;IFERROR(VLOOKUP(TRIM(D451)&amp;"_"&amp;TRIM(INDEX($R$1:$V$1, MATCH(MIN(R451:V451), R451:V451, 0))), 技能库!$A:$F, 5, 0),"建议查阅考纲")&amp;CHAR(10)&amp;"💡 提升建议: "&amp;IFERROR(VLOOKUP(TRIM(D451)&amp;"_"&amp;TRIM(INDEX($R$1:$V$1, MATCH(MIN(R451:V451), R451:V451, 0))), 技能库!$A:$F, 6, 0),"请针对该题型加强练习"))</f>
        <v/>
      </c>
    </row>
    <row r="452" spans="12:29" ht="16" hidden="1" x14ac:dyDescent="0.2">
      <c r="L452" t="str">
        <f t="shared" si="28"/>
        <v/>
      </c>
      <c r="M452" t="str">
        <f>IF(L452="","", IFERROR(VLOOKUP(L452, IF(D452="KET", 换算标准!$M:$N, IF(D452="PET", 换算标准!$S:$T, 换算标准!$AC:$AD)), 2, TRUE), 0))</f>
        <v/>
      </c>
      <c r="P452" t="str">
        <f t="shared" si="29"/>
        <v/>
      </c>
      <c r="Q452" t="str">
        <f>IF(P452="","", IFERROR(VLOOKUP(P452, IF(D452="KET", 换算标准!$O:$P, IF(D452="PET", 换算标准!$U:$V, 换算标准!$AG:$AH)), 2, TRUE), 0))</f>
        <v/>
      </c>
      <c r="W452" t="str">
        <f t="shared" si="30"/>
        <v/>
      </c>
      <c r="X452" t="str">
        <f>IF(W452="","", IFERROR(VLOOKUP(W452, IF(D452="KET", 换算标准!$Q:$R, IF(D452="PET", 换算标准!$W:$X, 换算标准!$AI:$AJ)), 2, TRUE), 0))</f>
        <v/>
      </c>
      <c r="Y452" t="str">
        <f t="shared" si="31"/>
        <v/>
      </c>
      <c r="Z452" t="str">
        <f>IF(Y452="","", IFERROR(VLOOKUP(Y452, 换算标准!$Z:$AA, 1, TRUE), ""))</f>
        <v/>
      </c>
      <c r="AA452" s="5" t="str">
        <f>IF(L452="","", "⚠️ 薄弱环节: "&amp;INDEX($E$1:$K$1, MATCH(MIN(E452:K452), E452:K452, 0))&amp;CHAR(10)&amp;"📉 考察能力: "&amp;IFERROR(VLOOKUP(TRIM(D452)&amp;"_"&amp;TRIM(INDEX($E$1:$K$1, MATCH(MIN(E452:K452), E452:K452, 0))), 技能库!$A:$F, 5, 0),"建议查阅考纲")&amp;CHAR(10)&amp;"💡 提升建议: "&amp;IFERROR(VLOOKUP(TRIM(D452)&amp;"_"&amp;TRIM(INDEX($E$1:$K$1, MATCH(MIN(E452:K452), E452:K452, 0))), 技能库!$A:$F, 6, 0),"请针对该题型加强练习"))</f>
        <v/>
      </c>
      <c r="AB452" s="5" t="str">
        <f>IF(P452="","", "⚠️ 薄弱环节: "&amp;INDEX($N$1:$O$1, MATCH(MIN(N452:O452), N452:O452, 0))&amp;CHAR(10)&amp;"📉 考察能力: "&amp;IFERROR(VLOOKUP(TRIM(D452)&amp;"_"&amp;TRIM(INDEX($N$1:$O$1, MATCH(MIN(N452:O452), N452:O452, 0))), 技能库!$A:$F, 5, 0),"建议查阅考纲")&amp;CHAR(10)&amp;"💡 提升建议: "&amp;IFERROR(VLOOKUP(TRIM(D452)&amp;"_"&amp;TRIM(INDEX($N$1:$O$1, MATCH(MIN(N452:O452), N452:O452, 0))), 技能库!$A:$F, 6, 0),"请针对该题型加强练习"))</f>
        <v/>
      </c>
      <c r="AC452" s="5" t="str">
        <f>IF(W452="","", "⚠️ 薄弱环节: "&amp;INDEX($R$1:$V$1, MATCH(MIN(R452:V452), R452:V452, 0))&amp;CHAR(10)&amp;"📉 考察能力: "&amp;IFERROR(VLOOKUP(TRIM(D452)&amp;"_"&amp;TRIM(INDEX($R$1:$V$1, MATCH(MIN(R452:V452), R452:V452, 0))), 技能库!$A:$F, 5, 0),"建议查阅考纲")&amp;CHAR(10)&amp;"💡 提升建议: "&amp;IFERROR(VLOOKUP(TRIM(D452)&amp;"_"&amp;TRIM(INDEX($R$1:$V$1, MATCH(MIN(R452:V452), R452:V452, 0))), 技能库!$A:$F, 6, 0),"请针对该题型加强练习"))</f>
        <v/>
      </c>
    </row>
    <row r="453" spans="12:29" ht="16" hidden="1" x14ac:dyDescent="0.2">
      <c r="L453" t="str">
        <f t="shared" si="28"/>
        <v/>
      </c>
      <c r="M453" t="str">
        <f>IF(L453="","", IFERROR(VLOOKUP(L453, IF(D453="KET", 换算标准!$M:$N, IF(D453="PET", 换算标准!$S:$T, 换算标准!$AC:$AD)), 2, TRUE), 0))</f>
        <v/>
      </c>
      <c r="P453" t="str">
        <f t="shared" si="29"/>
        <v/>
      </c>
      <c r="Q453" t="str">
        <f>IF(P453="","", IFERROR(VLOOKUP(P453, IF(D453="KET", 换算标准!$O:$P, IF(D453="PET", 换算标准!$U:$V, 换算标准!$AG:$AH)), 2, TRUE), 0))</f>
        <v/>
      </c>
      <c r="W453" t="str">
        <f t="shared" si="30"/>
        <v/>
      </c>
      <c r="X453" t="str">
        <f>IF(W453="","", IFERROR(VLOOKUP(W453, IF(D453="KET", 换算标准!$Q:$R, IF(D453="PET", 换算标准!$W:$X, 换算标准!$AI:$AJ)), 2, TRUE), 0))</f>
        <v/>
      </c>
      <c r="Y453" t="str">
        <f t="shared" si="31"/>
        <v/>
      </c>
      <c r="Z453" t="str">
        <f>IF(Y453="","", IFERROR(VLOOKUP(Y453, 换算标准!$Z:$AA, 1, TRUE), ""))</f>
        <v/>
      </c>
      <c r="AA453" s="5" t="str">
        <f>IF(L453="","", "⚠️ 薄弱环节: "&amp;INDEX($E$1:$K$1, MATCH(MIN(E453:K453), E453:K453, 0))&amp;CHAR(10)&amp;"📉 考察能力: "&amp;IFERROR(VLOOKUP(TRIM(D453)&amp;"_"&amp;TRIM(INDEX($E$1:$K$1, MATCH(MIN(E453:K453), E453:K453, 0))), 技能库!$A:$F, 5, 0),"建议查阅考纲")&amp;CHAR(10)&amp;"💡 提升建议: "&amp;IFERROR(VLOOKUP(TRIM(D453)&amp;"_"&amp;TRIM(INDEX($E$1:$K$1, MATCH(MIN(E453:K453), E453:K453, 0))), 技能库!$A:$F, 6, 0),"请针对该题型加强练习"))</f>
        <v/>
      </c>
      <c r="AB453" s="5" t="str">
        <f>IF(P453="","", "⚠️ 薄弱环节: "&amp;INDEX($N$1:$O$1, MATCH(MIN(N453:O453), N453:O453, 0))&amp;CHAR(10)&amp;"📉 考察能力: "&amp;IFERROR(VLOOKUP(TRIM(D453)&amp;"_"&amp;TRIM(INDEX($N$1:$O$1, MATCH(MIN(N453:O453), N453:O453, 0))), 技能库!$A:$F, 5, 0),"建议查阅考纲")&amp;CHAR(10)&amp;"💡 提升建议: "&amp;IFERROR(VLOOKUP(TRIM(D453)&amp;"_"&amp;TRIM(INDEX($N$1:$O$1, MATCH(MIN(N453:O453), N453:O453, 0))), 技能库!$A:$F, 6, 0),"请针对该题型加强练习"))</f>
        <v/>
      </c>
      <c r="AC453" s="5" t="str">
        <f>IF(W453="","", "⚠️ 薄弱环节: "&amp;INDEX($R$1:$V$1, MATCH(MIN(R453:V453), R453:V453, 0))&amp;CHAR(10)&amp;"📉 考察能力: "&amp;IFERROR(VLOOKUP(TRIM(D453)&amp;"_"&amp;TRIM(INDEX($R$1:$V$1, MATCH(MIN(R453:V453), R453:V453, 0))), 技能库!$A:$F, 5, 0),"建议查阅考纲")&amp;CHAR(10)&amp;"💡 提升建议: "&amp;IFERROR(VLOOKUP(TRIM(D453)&amp;"_"&amp;TRIM(INDEX($R$1:$V$1, MATCH(MIN(R453:V453), R453:V453, 0))), 技能库!$A:$F, 6, 0),"请针对该题型加强练习"))</f>
        <v/>
      </c>
    </row>
    <row r="454" spans="12:29" ht="16" hidden="1" x14ac:dyDescent="0.2">
      <c r="L454" t="str">
        <f t="shared" si="28"/>
        <v/>
      </c>
      <c r="M454" t="str">
        <f>IF(L454="","", IFERROR(VLOOKUP(L454, IF(D454="KET", 换算标准!$M:$N, IF(D454="PET", 换算标准!$S:$T, 换算标准!$AC:$AD)), 2, TRUE), 0))</f>
        <v/>
      </c>
      <c r="P454" t="str">
        <f t="shared" si="29"/>
        <v/>
      </c>
      <c r="Q454" t="str">
        <f>IF(P454="","", IFERROR(VLOOKUP(P454, IF(D454="KET", 换算标准!$O:$P, IF(D454="PET", 换算标准!$U:$V, 换算标准!$AG:$AH)), 2, TRUE), 0))</f>
        <v/>
      </c>
      <c r="W454" t="str">
        <f t="shared" si="30"/>
        <v/>
      </c>
      <c r="X454" t="str">
        <f>IF(W454="","", IFERROR(VLOOKUP(W454, IF(D454="KET", 换算标准!$Q:$R, IF(D454="PET", 换算标准!$W:$X, 换算标准!$AI:$AJ)), 2, TRUE), 0))</f>
        <v/>
      </c>
      <c r="Y454" t="str">
        <f t="shared" si="31"/>
        <v/>
      </c>
      <c r="Z454" t="str">
        <f>IF(Y454="","", IFERROR(VLOOKUP(Y454, 换算标准!$Z:$AA, 1, TRUE), ""))</f>
        <v/>
      </c>
      <c r="AA454" s="5" t="str">
        <f>IF(L454="","", "⚠️ 薄弱环节: "&amp;INDEX($E$1:$K$1, MATCH(MIN(E454:K454), E454:K454, 0))&amp;CHAR(10)&amp;"📉 考察能力: "&amp;IFERROR(VLOOKUP(TRIM(D454)&amp;"_"&amp;TRIM(INDEX($E$1:$K$1, MATCH(MIN(E454:K454), E454:K454, 0))), 技能库!$A:$F, 5, 0),"建议查阅考纲")&amp;CHAR(10)&amp;"💡 提升建议: "&amp;IFERROR(VLOOKUP(TRIM(D454)&amp;"_"&amp;TRIM(INDEX($E$1:$K$1, MATCH(MIN(E454:K454), E454:K454, 0))), 技能库!$A:$F, 6, 0),"请针对该题型加强练习"))</f>
        <v/>
      </c>
      <c r="AB454" s="5" t="str">
        <f>IF(P454="","", "⚠️ 薄弱环节: "&amp;INDEX($N$1:$O$1, MATCH(MIN(N454:O454), N454:O454, 0))&amp;CHAR(10)&amp;"📉 考察能力: "&amp;IFERROR(VLOOKUP(TRIM(D454)&amp;"_"&amp;TRIM(INDEX($N$1:$O$1, MATCH(MIN(N454:O454), N454:O454, 0))), 技能库!$A:$F, 5, 0),"建议查阅考纲")&amp;CHAR(10)&amp;"💡 提升建议: "&amp;IFERROR(VLOOKUP(TRIM(D454)&amp;"_"&amp;TRIM(INDEX($N$1:$O$1, MATCH(MIN(N454:O454), N454:O454, 0))), 技能库!$A:$F, 6, 0),"请针对该题型加强练习"))</f>
        <v/>
      </c>
      <c r="AC454" s="5" t="str">
        <f>IF(W454="","", "⚠️ 薄弱环节: "&amp;INDEX($R$1:$V$1, MATCH(MIN(R454:V454), R454:V454, 0))&amp;CHAR(10)&amp;"📉 考察能力: "&amp;IFERROR(VLOOKUP(TRIM(D454)&amp;"_"&amp;TRIM(INDEX($R$1:$V$1, MATCH(MIN(R454:V454), R454:V454, 0))), 技能库!$A:$F, 5, 0),"建议查阅考纲")&amp;CHAR(10)&amp;"💡 提升建议: "&amp;IFERROR(VLOOKUP(TRIM(D454)&amp;"_"&amp;TRIM(INDEX($R$1:$V$1, MATCH(MIN(R454:V454), R454:V454, 0))), 技能库!$A:$F, 6, 0),"请针对该题型加强练习"))</f>
        <v/>
      </c>
    </row>
    <row r="455" spans="12:29" ht="16" hidden="1" x14ac:dyDescent="0.2">
      <c r="L455" t="str">
        <f t="shared" si="28"/>
        <v/>
      </c>
      <c r="M455" t="str">
        <f>IF(L455="","", IFERROR(VLOOKUP(L455, IF(D455="KET", 换算标准!$M:$N, IF(D455="PET", 换算标准!$S:$T, 换算标准!$AC:$AD)), 2, TRUE), 0))</f>
        <v/>
      </c>
      <c r="P455" t="str">
        <f t="shared" si="29"/>
        <v/>
      </c>
      <c r="Q455" t="str">
        <f>IF(P455="","", IFERROR(VLOOKUP(P455, IF(D455="KET", 换算标准!$O:$P, IF(D455="PET", 换算标准!$U:$V, 换算标准!$AG:$AH)), 2, TRUE), 0))</f>
        <v/>
      </c>
      <c r="W455" t="str">
        <f t="shared" si="30"/>
        <v/>
      </c>
      <c r="X455" t="str">
        <f>IF(W455="","", IFERROR(VLOOKUP(W455, IF(D455="KET", 换算标准!$Q:$R, IF(D455="PET", 换算标准!$W:$X, 换算标准!$AI:$AJ)), 2, TRUE), 0))</f>
        <v/>
      </c>
      <c r="Y455" t="str">
        <f t="shared" si="31"/>
        <v/>
      </c>
      <c r="Z455" t="str">
        <f>IF(Y455="","", IFERROR(VLOOKUP(Y455, 换算标准!$Z:$AA, 1, TRUE), ""))</f>
        <v/>
      </c>
      <c r="AA455" s="5" t="str">
        <f>IF(L455="","", "⚠️ 薄弱环节: "&amp;INDEX($E$1:$K$1, MATCH(MIN(E455:K455), E455:K455, 0))&amp;CHAR(10)&amp;"📉 考察能力: "&amp;IFERROR(VLOOKUP(TRIM(D455)&amp;"_"&amp;TRIM(INDEX($E$1:$K$1, MATCH(MIN(E455:K455), E455:K455, 0))), 技能库!$A:$F, 5, 0),"建议查阅考纲")&amp;CHAR(10)&amp;"💡 提升建议: "&amp;IFERROR(VLOOKUP(TRIM(D455)&amp;"_"&amp;TRIM(INDEX($E$1:$K$1, MATCH(MIN(E455:K455), E455:K455, 0))), 技能库!$A:$F, 6, 0),"请针对该题型加强练习"))</f>
        <v/>
      </c>
      <c r="AB455" s="5" t="str">
        <f>IF(P455="","", "⚠️ 薄弱环节: "&amp;INDEX($N$1:$O$1, MATCH(MIN(N455:O455), N455:O455, 0))&amp;CHAR(10)&amp;"📉 考察能力: "&amp;IFERROR(VLOOKUP(TRIM(D455)&amp;"_"&amp;TRIM(INDEX($N$1:$O$1, MATCH(MIN(N455:O455), N455:O455, 0))), 技能库!$A:$F, 5, 0),"建议查阅考纲")&amp;CHAR(10)&amp;"💡 提升建议: "&amp;IFERROR(VLOOKUP(TRIM(D455)&amp;"_"&amp;TRIM(INDEX($N$1:$O$1, MATCH(MIN(N455:O455), N455:O455, 0))), 技能库!$A:$F, 6, 0),"请针对该题型加强练习"))</f>
        <v/>
      </c>
      <c r="AC455" s="5" t="str">
        <f>IF(W455="","", "⚠️ 薄弱环节: "&amp;INDEX($R$1:$V$1, MATCH(MIN(R455:V455), R455:V455, 0))&amp;CHAR(10)&amp;"📉 考察能力: "&amp;IFERROR(VLOOKUP(TRIM(D455)&amp;"_"&amp;TRIM(INDEX($R$1:$V$1, MATCH(MIN(R455:V455), R455:V455, 0))), 技能库!$A:$F, 5, 0),"建议查阅考纲")&amp;CHAR(10)&amp;"💡 提升建议: "&amp;IFERROR(VLOOKUP(TRIM(D455)&amp;"_"&amp;TRIM(INDEX($R$1:$V$1, MATCH(MIN(R455:V455), R455:V455, 0))), 技能库!$A:$F, 6, 0),"请针对该题型加强练习"))</f>
        <v/>
      </c>
    </row>
    <row r="456" spans="12:29" ht="16" hidden="1" x14ac:dyDescent="0.2">
      <c r="L456" t="str">
        <f t="shared" si="28"/>
        <v/>
      </c>
      <c r="M456" t="str">
        <f>IF(L456="","", IFERROR(VLOOKUP(L456, IF(D456="KET", 换算标准!$M:$N, IF(D456="PET", 换算标准!$S:$T, 换算标准!$AC:$AD)), 2, TRUE), 0))</f>
        <v/>
      </c>
      <c r="P456" t="str">
        <f t="shared" si="29"/>
        <v/>
      </c>
      <c r="Q456" t="str">
        <f>IF(P456="","", IFERROR(VLOOKUP(P456, IF(D456="KET", 换算标准!$O:$P, IF(D456="PET", 换算标准!$U:$V, 换算标准!$AG:$AH)), 2, TRUE), 0))</f>
        <v/>
      </c>
      <c r="W456" t="str">
        <f t="shared" si="30"/>
        <v/>
      </c>
      <c r="X456" t="str">
        <f>IF(W456="","", IFERROR(VLOOKUP(W456, IF(D456="KET", 换算标准!$Q:$R, IF(D456="PET", 换算标准!$W:$X, 换算标准!$AI:$AJ)), 2, TRUE), 0))</f>
        <v/>
      </c>
      <c r="Y456" t="str">
        <f t="shared" si="31"/>
        <v/>
      </c>
      <c r="Z456" t="str">
        <f>IF(Y456="","", IFERROR(VLOOKUP(Y456, 换算标准!$Z:$AA, 1, TRUE), ""))</f>
        <v/>
      </c>
      <c r="AA456" s="5" t="str">
        <f>IF(L456="","", "⚠️ 薄弱环节: "&amp;INDEX($E$1:$K$1, MATCH(MIN(E456:K456), E456:K456, 0))&amp;CHAR(10)&amp;"📉 考察能力: "&amp;IFERROR(VLOOKUP(TRIM(D456)&amp;"_"&amp;TRIM(INDEX($E$1:$K$1, MATCH(MIN(E456:K456), E456:K456, 0))), 技能库!$A:$F, 5, 0),"建议查阅考纲")&amp;CHAR(10)&amp;"💡 提升建议: "&amp;IFERROR(VLOOKUP(TRIM(D456)&amp;"_"&amp;TRIM(INDEX($E$1:$K$1, MATCH(MIN(E456:K456), E456:K456, 0))), 技能库!$A:$F, 6, 0),"请针对该题型加强练习"))</f>
        <v/>
      </c>
      <c r="AB456" s="5" t="str">
        <f>IF(P456="","", "⚠️ 薄弱环节: "&amp;INDEX($N$1:$O$1, MATCH(MIN(N456:O456), N456:O456, 0))&amp;CHAR(10)&amp;"📉 考察能力: "&amp;IFERROR(VLOOKUP(TRIM(D456)&amp;"_"&amp;TRIM(INDEX($N$1:$O$1, MATCH(MIN(N456:O456), N456:O456, 0))), 技能库!$A:$F, 5, 0),"建议查阅考纲")&amp;CHAR(10)&amp;"💡 提升建议: "&amp;IFERROR(VLOOKUP(TRIM(D456)&amp;"_"&amp;TRIM(INDEX($N$1:$O$1, MATCH(MIN(N456:O456), N456:O456, 0))), 技能库!$A:$F, 6, 0),"请针对该题型加强练习"))</f>
        <v/>
      </c>
      <c r="AC456" s="5" t="str">
        <f>IF(W456="","", "⚠️ 薄弱环节: "&amp;INDEX($R$1:$V$1, MATCH(MIN(R456:V456), R456:V456, 0))&amp;CHAR(10)&amp;"📉 考察能力: "&amp;IFERROR(VLOOKUP(TRIM(D456)&amp;"_"&amp;TRIM(INDEX($R$1:$V$1, MATCH(MIN(R456:V456), R456:V456, 0))), 技能库!$A:$F, 5, 0),"建议查阅考纲")&amp;CHAR(10)&amp;"💡 提升建议: "&amp;IFERROR(VLOOKUP(TRIM(D456)&amp;"_"&amp;TRIM(INDEX($R$1:$V$1, MATCH(MIN(R456:V456), R456:V456, 0))), 技能库!$A:$F, 6, 0),"请针对该题型加强练习"))</f>
        <v/>
      </c>
    </row>
    <row r="457" spans="12:29" ht="16" hidden="1" x14ac:dyDescent="0.2">
      <c r="L457" t="str">
        <f t="shared" si="28"/>
        <v/>
      </c>
      <c r="M457" t="str">
        <f>IF(L457="","", IFERROR(VLOOKUP(L457, IF(D457="KET", 换算标准!$M:$N, IF(D457="PET", 换算标准!$S:$T, 换算标准!$AC:$AD)), 2, TRUE), 0))</f>
        <v/>
      </c>
      <c r="P457" t="str">
        <f t="shared" si="29"/>
        <v/>
      </c>
      <c r="Q457" t="str">
        <f>IF(P457="","", IFERROR(VLOOKUP(P457, IF(D457="KET", 换算标准!$O:$P, IF(D457="PET", 换算标准!$U:$V, 换算标准!$AG:$AH)), 2, TRUE), 0))</f>
        <v/>
      </c>
      <c r="W457" t="str">
        <f t="shared" si="30"/>
        <v/>
      </c>
      <c r="X457" t="str">
        <f>IF(W457="","", IFERROR(VLOOKUP(W457, IF(D457="KET", 换算标准!$Q:$R, IF(D457="PET", 换算标准!$W:$X, 换算标准!$AI:$AJ)), 2, TRUE), 0))</f>
        <v/>
      </c>
      <c r="Y457" t="str">
        <f t="shared" si="31"/>
        <v/>
      </c>
      <c r="Z457" t="str">
        <f>IF(Y457="","", IFERROR(VLOOKUP(Y457, 换算标准!$Z:$AA, 1, TRUE), ""))</f>
        <v/>
      </c>
      <c r="AA457" s="5" t="str">
        <f>IF(L457="","", "⚠️ 薄弱环节: "&amp;INDEX($E$1:$K$1, MATCH(MIN(E457:K457), E457:K457, 0))&amp;CHAR(10)&amp;"📉 考察能力: "&amp;IFERROR(VLOOKUP(TRIM(D457)&amp;"_"&amp;TRIM(INDEX($E$1:$K$1, MATCH(MIN(E457:K457), E457:K457, 0))), 技能库!$A:$F, 5, 0),"建议查阅考纲")&amp;CHAR(10)&amp;"💡 提升建议: "&amp;IFERROR(VLOOKUP(TRIM(D457)&amp;"_"&amp;TRIM(INDEX($E$1:$K$1, MATCH(MIN(E457:K457), E457:K457, 0))), 技能库!$A:$F, 6, 0),"请针对该题型加强练习"))</f>
        <v/>
      </c>
      <c r="AB457" s="5" t="str">
        <f>IF(P457="","", "⚠️ 薄弱环节: "&amp;INDEX($N$1:$O$1, MATCH(MIN(N457:O457), N457:O457, 0))&amp;CHAR(10)&amp;"📉 考察能力: "&amp;IFERROR(VLOOKUP(TRIM(D457)&amp;"_"&amp;TRIM(INDEX($N$1:$O$1, MATCH(MIN(N457:O457), N457:O457, 0))), 技能库!$A:$F, 5, 0),"建议查阅考纲")&amp;CHAR(10)&amp;"💡 提升建议: "&amp;IFERROR(VLOOKUP(TRIM(D457)&amp;"_"&amp;TRIM(INDEX($N$1:$O$1, MATCH(MIN(N457:O457), N457:O457, 0))), 技能库!$A:$F, 6, 0),"请针对该题型加强练习"))</f>
        <v/>
      </c>
      <c r="AC457" s="5" t="str">
        <f>IF(W457="","", "⚠️ 薄弱环节: "&amp;INDEX($R$1:$V$1, MATCH(MIN(R457:V457), R457:V457, 0))&amp;CHAR(10)&amp;"📉 考察能力: "&amp;IFERROR(VLOOKUP(TRIM(D457)&amp;"_"&amp;TRIM(INDEX($R$1:$V$1, MATCH(MIN(R457:V457), R457:V457, 0))), 技能库!$A:$F, 5, 0),"建议查阅考纲")&amp;CHAR(10)&amp;"💡 提升建议: "&amp;IFERROR(VLOOKUP(TRIM(D457)&amp;"_"&amp;TRIM(INDEX($R$1:$V$1, MATCH(MIN(R457:V457), R457:V457, 0))), 技能库!$A:$F, 6, 0),"请针对该题型加强练习"))</f>
        <v/>
      </c>
    </row>
    <row r="458" spans="12:29" ht="16" hidden="1" x14ac:dyDescent="0.2">
      <c r="L458" t="str">
        <f t="shared" si="28"/>
        <v/>
      </c>
      <c r="M458" t="str">
        <f>IF(L458="","", IFERROR(VLOOKUP(L458, IF(D458="KET", 换算标准!$M:$N, IF(D458="PET", 换算标准!$S:$T, 换算标准!$AC:$AD)), 2, TRUE), 0))</f>
        <v/>
      </c>
      <c r="P458" t="str">
        <f t="shared" si="29"/>
        <v/>
      </c>
      <c r="Q458" t="str">
        <f>IF(P458="","", IFERROR(VLOOKUP(P458, IF(D458="KET", 换算标准!$O:$P, IF(D458="PET", 换算标准!$U:$V, 换算标准!$AG:$AH)), 2, TRUE), 0))</f>
        <v/>
      </c>
      <c r="W458" t="str">
        <f t="shared" si="30"/>
        <v/>
      </c>
      <c r="X458" t="str">
        <f>IF(W458="","", IFERROR(VLOOKUP(W458, IF(D458="KET", 换算标准!$Q:$R, IF(D458="PET", 换算标准!$W:$X, 换算标准!$AI:$AJ)), 2, TRUE), 0))</f>
        <v/>
      </c>
      <c r="Y458" t="str">
        <f t="shared" si="31"/>
        <v/>
      </c>
      <c r="Z458" t="str">
        <f>IF(Y458="","", IFERROR(VLOOKUP(Y458, 换算标准!$Z:$AA, 1, TRUE), ""))</f>
        <v/>
      </c>
      <c r="AA458" s="5" t="str">
        <f>IF(L458="","", "⚠️ 薄弱环节: "&amp;INDEX($E$1:$K$1, MATCH(MIN(E458:K458), E458:K458, 0))&amp;CHAR(10)&amp;"📉 考察能力: "&amp;IFERROR(VLOOKUP(TRIM(D458)&amp;"_"&amp;TRIM(INDEX($E$1:$K$1, MATCH(MIN(E458:K458), E458:K458, 0))), 技能库!$A:$F, 5, 0),"建议查阅考纲")&amp;CHAR(10)&amp;"💡 提升建议: "&amp;IFERROR(VLOOKUP(TRIM(D458)&amp;"_"&amp;TRIM(INDEX($E$1:$K$1, MATCH(MIN(E458:K458), E458:K458, 0))), 技能库!$A:$F, 6, 0),"请针对该题型加强练习"))</f>
        <v/>
      </c>
      <c r="AB458" s="5" t="str">
        <f>IF(P458="","", "⚠️ 薄弱环节: "&amp;INDEX($N$1:$O$1, MATCH(MIN(N458:O458), N458:O458, 0))&amp;CHAR(10)&amp;"📉 考察能力: "&amp;IFERROR(VLOOKUP(TRIM(D458)&amp;"_"&amp;TRIM(INDEX($N$1:$O$1, MATCH(MIN(N458:O458), N458:O458, 0))), 技能库!$A:$F, 5, 0),"建议查阅考纲")&amp;CHAR(10)&amp;"💡 提升建议: "&amp;IFERROR(VLOOKUP(TRIM(D458)&amp;"_"&amp;TRIM(INDEX($N$1:$O$1, MATCH(MIN(N458:O458), N458:O458, 0))), 技能库!$A:$F, 6, 0),"请针对该题型加强练习"))</f>
        <v/>
      </c>
      <c r="AC458" s="5" t="str">
        <f>IF(W458="","", "⚠️ 薄弱环节: "&amp;INDEX($R$1:$V$1, MATCH(MIN(R458:V458), R458:V458, 0))&amp;CHAR(10)&amp;"📉 考察能力: "&amp;IFERROR(VLOOKUP(TRIM(D458)&amp;"_"&amp;TRIM(INDEX($R$1:$V$1, MATCH(MIN(R458:V458), R458:V458, 0))), 技能库!$A:$F, 5, 0),"建议查阅考纲")&amp;CHAR(10)&amp;"💡 提升建议: "&amp;IFERROR(VLOOKUP(TRIM(D458)&amp;"_"&amp;TRIM(INDEX($R$1:$V$1, MATCH(MIN(R458:V458), R458:V458, 0))), 技能库!$A:$F, 6, 0),"请针对该题型加强练习"))</f>
        <v/>
      </c>
    </row>
    <row r="459" spans="12:29" ht="16" hidden="1" x14ac:dyDescent="0.2">
      <c r="L459" t="str">
        <f t="shared" si="28"/>
        <v/>
      </c>
      <c r="M459" t="str">
        <f>IF(L459="","", IFERROR(VLOOKUP(L459, IF(D459="KET", 换算标准!$M:$N, IF(D459="PET", 换算标准!$S:$T, 换算标准!$AC:$AD)), 2, TRUE), 0))</f>
        <v/>
      </c>
      <c r="P459" t="str">
        <f t="shared" si="29"/>
        <v/>
      </c>
      <c r="Q459" t="str">
        <f>IF(P459="","", IFERROR(VLOOKUP(P459, IF(D459="KET", 换算标准!$O:$P, IF(D459="PET", 换算标准!$U:$V, 换算标准!$AG:$AH)), 2, TRUE), 0))</f>
        <v/>
      </c>
      <c r="W459" t="str">
        <f t="shared" si="30"/>
        <v/>
      </c>
      <c r="X459" t="str">
        <f>IF(W459="","", IFERROR(VLOOKUP(W459, IF(D459="KET", 换算标准!$Q:$R, IF(D459="PET", 换算标准!$W:$X, 换算标准!$AI:$AJ)), 2, TRUE), 0))</f>
        <v/>
      </c>
      <c r="Y459" t="str">
        <f t="shared" si="31"/>
        <v/>
      </c>
      <c r="Z459" t="str">
        <f>IF(Y459="","", IFERROR(VLOOKUP(Y459, 换算标准!$Z:$AA, 1, TRUE), ""))</f>
        <v/>
      </c>
      <c r="AA459" s="5" t="str">
        <f>IF(L459="","", "⚠️ 薄弱环节: "&amp;INDEX($E$1:$K$1, MATCH(MIN(E459:K459), E459:K459, 0))&amp;CHAR(10)&amp;"📉 考察能力: "&amp;IFERROR(VLOOKUP(TRIM(D459)&amp;"_"&amp;TRIM(INDEX($E$1:$K$1, MATCH(MIN(E459:K459), E459:K459, 0))), 技能库!$A:$F, 5, 0),"建议查阅考纲")&amp;CHAR(10)&amp;"💡 提升建议: "&amp;IFERROR(VLOOKUP(TRIM(D459)&amp;"_"&amp;TRIM(INDEX($E$1:$K$1, MATCH(MIN(E459:K459), E459:K459, 0))), 技能库!$A:$F, 6, 0),"请针对该题型加强练习"))</f>
        <v/>
      </c>
      <c r="AB459" s="5" t="str">
        <f>IF(P459="","", "⚠️ 薄弱环节: "&amp;INDEX($N$1:$O$1, MATCH(MIN(N459:O459), N459:O459, 0))&amp;CHAR(10)&amp;"📉 考察能力: "&amp;IFERROR(VLOOKUP(TRIM(D459)&amp;"_"&amp;TRIM(INDEX($N$1:$O$1, MATCH(MIN(N459:O459), N459:O459, 0))), 技能库!$A:$F, 5, 0),"建议查阅考纲")&amp;CHAR(10)&amp;"💡 提升建议: "&amp;IFERROR(VLOOKUP(TRIM(D459)&amp;"_"&amp;TRIM(INDEX($N$1:$O$1, MATCH(MIN(N459:O459), N459:O459, 0))), 技能库!$A:$F, 6, 0),"请针对该题型加强练习"))</f>
        <v/>
      </c>
      <c r="AC459" s="5" t="str">
        <f>IF(W459="","", "⚠️ 薄弱环节: "&amp;INDEX($R$1:$V$1, MATCH(MIN(R459:V459), R459:V459, 0))&amp;CHAR(10)&amp;"📉 考察能力: "&amp;IFERROR(VLOOKUP(TRIM(D459)&amp;"_"&amp;TRIM(INDEX($R$1:$V$1, MATCH(MIN(R459:V459), R459:V459, 0))), 技能库!$A:$F, 5, 0),"建议查阅考纲")&amp;CHAR(10)&amp;"💡 提升建议: "&amp;IFERROR(VLOOKUP(TRIM(D459)&amp;"_"&amp;TRIM(INDEX($R$1:$V$1, MATCH(MIN(R459:V459), R459:V459, 0))), 技能库!$A:$F, 6, 0),"请针对该题型加强练习"))</f>
        <v/>
      </c>
    </row>
    <row r="460" spans="12:29" ht="16" hidden="1" x14ac:dyDescent="0.2">
      <c r="L460" t="str">
        <f t="shared" si="28"/>
        <v/>
      </c>
      <c r="M460" t="str">
        <f>IF(L460="","", IFERROR(VLOOKUP(L460, IF(D460="KET", 换算标准!$M:$N, IF(D460="PET", 换算标准!$S:$T, 换算标准!$AC:$AD)), 2, TRUE), 0))</f>
        <v/>
      </c>
      <c r="P460" t="str">
        <f t="shared" si="29"/>
        <v/>
      </c>
      <c r="Q460" t="str">
        <f>IF(P460="","", IFERROR(VLOOKUP(P460, IF(D460="KET", 换算标准!$O:$P, IF(D460="PET", 换算标准!$U:$V, 换算标准!$AG:$AH)), 2, TRUE), 0))</f>
        <v/>
      </c>
      <c r="W460" t="str">
        <f t="shared" si="30"/>
        <v/>
      </c>
      <c r="X460" t="str">
        <f>IF(W460="","", IFERROR(VLOOKUP(W460, IF(D460="KET", 换算标准!$Q:$R, IF(D460="PET", 换算标准!$W:$X, 换算标准!$AI:$AJ)), 2, TRUE), 0))</f>
        <v/>
      </c>
      <c r="Y460" t="str">
        <f t="shared" si="31"/>
        <v/>
      </c>
      <c r="Z460" t="str">
        <f>IF(Y460="","", IFERROR(VLOOKUP(Y460, 换算标准!$Z:$AA, 1, TRUE), ""))</f>
        <v/>
      </c>
      <c r="AA460" s="5" t="str">
        <f>IF(L460="","", "⚠️ 薄弱环节: "&amp;INDEX($E$1:$K$1, MATCH(MIN(E460:K460), E460:K460, 0))&amp;CHAR(10)&amp;"📉 考察能力: "&amp;IFERROR(VLOOKUP(TRIM(D460)&amp;"_"&amp;TRIM(INDEX($E$1:$K$1, MATCH(MIN(E460:K460), E460:K460, 0))), 技能库!$A:$F, 5, 0),"建议查阅考纲")&amp;CHAR(10)&amp;"💡 提升建议: "&amp;IFERROR(VLOOKUP(TRIM(D460)&amp;"_"&amp;TRIM(INDEX($E$1:$K$1, MATCH(MIN(E460:K460), E460:K460, 0))), 技能库!$A:$F, 6, 0),"请针对该题型加强练习"))</f>
        <v/>
      </c>
      <c r="AB460" s="5" t="str">
        <f>IF(P460="","", "⚠️ 薄弱环节: "&amp;INDEX($N$1:$O$1, MATCH(MIN(N460:O460), N460:O460, 0))&amp;CHAR(10)&amp;"📉 考察能力: "&amp;IFERROR(VLOOKUP(TRIM(D460)&amp;"_"&amp;TRIM(INDEX($N$1:$O$1, MATCH(MIN(N460:O460), N460:O460, 0))), 技能库!$A:$F, 5, 0),"建议查阅考纲")&amp;CHAR(10)&amp;"💡 提升建议: "&amp;IFERROR(VLOOKUP(TRIM(D460)&amp;"_"&amp;TRIM(INDEX($N$1:$O$1, MATCH(MIN(N460:O460), N460:O460, 0))), 技能库!$A:$F, 6, 0),"请针对该题型加强练习"))</f>
        <v/>
      </c>
      <c r="AC460" s="5" t="str">
        <f>IF(W460="","", "⚠️ 薄弱环节: "&amp;INDEX($R$1:$V$1, MATCH(MIN(R460:V460), R460:V460, 0))&amp;CHAR(10)&amp;"📉 考察能力: "&amp;IFERROR(VLOOKUP(TRIM(D460)&amp;"_"&amp;TRIM(INDEX($R$1:$V$1, MATCH(MIN(R460:V460), R460:V460, 0))), 技能库!$A:$F, 5, 0),"建议查阅考纲")&amp;CHAR(10)&amp;"💡 提升建议: "&amp;IFERROR(VLOOKUP(TRIM(D460)&amp;"_"&amp;TRIM(INDEX($R$1:$V$1, MATCH(MIN(R460:V460), R460:V460, 0))), 技能库!$A:$F, 6, 0),"请针对该题型加强练习"))</f>
        <v/>
      </c>
    </row>
    <row r="461" spans="12:29" ht="16" hidden="1" x14ac:dyDescent="0.2">
      <c r="L461" t="str">
        <f t="shared" si="28"/>
        <v/>
      </c>
      <c r="M461" t="str">
        <f>IF(L461="","", IFERROR(VLOOKUP(L461, IF(D461="KET", 换算标准!$M:$N, IF(D461="PET", 换算标准!$S:$T, 换算标准!$AC:$AD)), 2, TRUE), 0))</f>
        <v/>
      </c>
      <c r="P461" t="str">
        <f t="shared" si="29"/>
        <v/>
      </c>
      <c r="Q461" t="str">
        <f>IF(P461="","", IFERROR(VLOOKUP(P461, IF(D461="KET", 换算标准!$O:$P, IF(D461="PET", 换算标准!$U:$V, 换算标准!$AG:$AH)), 2, TRUE), 0))</f>
        <v/>
      </c>
      <c r="W461" t="str">
        <f t="shared" si="30"/>
        <v/>
      </c>
      <c r="X461" t="str">
        <f>IF(W461="","", IFERROR(VLOOKUP(W461, IF(D461="KET", 换算标准!$Q:$R, IF(D461="PET", 换算标准!$W:$X, 换算标准!$AI:$AJ)), 2, TRUE), 0))</f>
        <v/>
      </c>
      <c r="Y461" t="str">
        <f t="shared" si="31"/>
        <v/>
      </c>
      <c r="Z461" t="str">
        <f>IF(Y461="","", IFERROR(VLOOKUP(Y461, 换算标准!$Z:$AA, 1, TRUE), ""))</f>
        <v/>
      </c>
      <c r="AA461" s="5" t="str">
        <f>IF(L461="","", "⚠️ 薄弱环节: "&amp;INDEX($E$1:$K$1, MATCH(MIN(E461:K461), E461:K461, 0))&amp;CHAR(10)&amp;"📉 考察能力: "&amp;IFERROR(VLOOKUP(TRIM(D461)&amp;"_"&amp;TRIM(INDEX($E$1:$K$1, MATCH(MIN(E461:K461), E461:K461, 0))), 技能库!$A:$F, 5, 0),"建议查阅考纲")&amp;CHAR(10)&amp;"💡 提升建议: "&amp;IFERROR(VLOOKUP(TRIM(D461)&amp;"_"&amp;TRIM(INDEX($E$1:$K$1, MATCH(MIN(E461:K461), E461:K461, 0))), 技能库!$A:$F, 6, 0),"请针对该题型加强练习"))</f>
        <v/>
      </c>
      <c r="AB461" s="5" t="str">
        <f>IF(P461="","", "⚠️ 薄弱环节: "&amp;INDEX($N$1:$O$1, MATCH(MIN(N461:O461), N461:O461, 0))&amp;CHAR(10)&amp;"📉 考察能力: "&amp;IFERROR(VLOOKUP(TRIM(D461)&amp;"_"&amp;TRIM(INDEX($N$1:$O$1, MATCH(MIN(N461:O461), N461:O461, 0))), 技能库!$A:$F, 5, 0),"建议查阅考纲")&amp;CHAR(10)&amp;"💡 提升建议: "&amp;IFERROR(VLOOKUP(TRIM(D461)&amp;"_"&amp;TRIM(INDEX($N$1:$O$1, MATCH(MIN(N461:O461), N461:O461, 0))), 技能库!$A:$F, 6, 0),"请针对该题型加强练习"))</f>
        <v/>
      </c>
      <c r="AC461" s="5" t="str">
        <f>IF(W461="","", "⚠️ 薄弱环节: "&amp;INDEX($R$1:$V$1, MATCH(MIN(R461:V461), R461:V461, 0))&amp;CHAR(10)&amp;"📉 考察能力: "&amp;IFERROR(VLOOKUP(TRIM(D461)&amp;"_"&amp;TRIM(INDEX($R$1:$V$1, MATCH(MIN(R461:V461), R461:V461, 0))), 技能库!$A:$F, 5, 0),"建议查阅考纲")&amp;CHAR(10)&amp;"💡 提升建议: "&amp;IFERROR(VLOOKUP(TRIM(D461)&amp;"_"&amp;TRIM(INDEX($R$1:$V$1, MATCH(MIN(R461:V461), R461:V461, 0))), 技能库!$A:$F, 6, 0),"请针对该题型加强练习"))</f>
        <v/>
      </c>
    </row>
    <row r="462" spans="12:29" ht="16" hidden="1" x14ac:dyDescent="0.2">
      <c r="L462" t="str">
        <f t="shared" si="28"/>
        <v/>
      </c>
      <c r="M462" t="str">
        <f>IF(L462="","", IFERROR(VLOOKUP(L462, IF(D462="KET", 换算标准!$M:$N, IF(D462="PET", 换算标准!$S:$T, 换算标准!$AC:$AD)), 2, TRUE), 0))</f>
        <v/>
      </c>
      <c r="P462" t="str">
        <f t="shared" si="29"/>
        <v/>
      </c>
      <c r="Q462" t="str">
        <f>IF(P462="","", IFERROR(VLOOKUP(P462, IF(D462="KET", 换算标准!$O:$P, IF(D462="PET", 换算标准!$U:$V, 换算标准!$AG:$AH)), 2, TRUE), 0))</f>
        <v/>
      </c>
      <c r="W462" t="str">
        <f t="shared" si="30"/>
        <v/>
      </c>
      <c r="X462" t="str">
        <f>IF(W462="","", IFERROR(VLOOKUP(W462, IF(D462="KET", 换算标准!$Q:$R, IF(D462="PET", 换算标准!$W:$X, 换算标准!$AI:$AJ)), 2, TRUE), 0))</f>
        <v/>
      </c>
      <c r="Y462" t="str">
        <f t="shared" si="31"/>
        <v/>
      </c>
      <c r="Z462" t="str">
        <f>IF(Y462="","", IFERROR(VLOOKUP(Y462, 换算标准!$Z:$AA, 1, TRUE), ""))</f>
        <v/>
      </c>
      <c r="AA462" s="5" t="str">
        <f>IF(L462="","", "⚠️ 薄弱环节: "&amp;INDEX($E$1:$K$1, MATCH(MIN(E462:K462), E462:K462, 0))&amp;CHAR(10)&amp;"📉 考察能力: "&amp;IFERROR(VLOOKUP(TRIM(D462)&amp;"_"&amp;TRIM(INDEX($E$1:$K$1, MATCH(MIN(E462:K462), E462:K462, 0))), 技能库!$A:$F, 5, 0),"建议查阅考纲")&amp;CHAR(10)&amp;"💡 提升建议: "&amp;IFERROR(VLOOKUP(TRIM(D462)&amp;"_"&amp;TRIM(INDEX($E$1:$K$1, MATCH(MIN(E462:K462), E462:K462, 0))), 技能库!$A:$F, 6, 0),"请针对该题型加强练习"))</f>
        <v/>
      </c>
      <c r="AB462" s="5" t="str">
        <f>IF(P462="","", "⚠️ 薄弱环节: "&amp;INDEX($N$1:$O$1, MATCH(MIN(N462:O462), N462:O462, 0))&amp;CHAR(10)&amp;"📉 考察能力: "&amp;IFERROR(VLOOKUP(TRIM(D462)&amp;"_"&amp;TRIM(INDEX($N$1:$O$1, MATCH(MIN(N462:O462), N462:O462, 0))), 技能库!$A:$F, 5, 0),"建议查阅考纲")&amp;CHAR(10)&amp;"💡 提升建议: "&amp;IFERROR(VLOOKUP(TRIM(D462)&amp;"_"&amp;TRIM(INDEX($N$1:$O$1, MATCH(MIN(N462:O462), N462:O462, 0))), 技能库!$A:$F, 6, 0),"请针对该题型加强练习"))</f>
        <v/>
      </c>
      <c r="AC462" s="5" t="str">
        <f>IF(W462="","", "⚠️ 薄弱环节: "&amp;INDEX($R$1:$V$1, MATCH(MIN(R462:V462), R462:V462, 0))&amp;CHAR(10)&amp;"📉 考察能力: "&amp;IFERROR(VLOOKUP(TRIM(D462)&amp;"_"&amp;TRIM(INDEX($R$1:$V$1, MATCH(MIN(R462:V462), R462:V462, 0))), 技能库!$A:$F, 5, 0),"建议查阅考纲")&amp;CHAR(10)&amp;"💡 提升建议: "&amp;IFERROR(VLOOKUP(TRIM(D462)&amp;"_"&amp;TRIM(INDEX($R$1:$V$1, MATCH(MIN(R462:V462), R462:V462, 0))), 技能库!$A:$F, 6, 0),"请针对该题型加强练习"))</f>
        <v/>
      </c>
    </row>
    <row r="463" spans="12:29" ht="16" hidden="1" x14ac:dyDescent="0.2">
      <c r="L463" t="str">
        <f t="shared" si="28"/>
        <v/>
      </c>
      <c r="M463" t="str">
        <f>IF(L463="","", IFERROR(VLOOKUP(L463, IF(D463="KET", 换算标准!$M:$N, IF(D463="PET", 换算标准!$S:$T, 换算标准!$AC:$AD)), 2, TRUE), 0))</f>
        <v/>
      </c>
      <c r="P463" t="str">
        <f t="shared" si="29"/>
        <v/>
      </c>
      <c r="Q463" t="str">
        <f>IF(P463="","", IFERROR(VLOOKUP(P463, IF(D463="KET", 换算标准!$O:$P, IF(D463="PET", 换算标准!$U:$V, 换算标准!$AG:$AH)), 2, TRUE), 0))</f>
        <v/>
      </c>
      <c r="W463" t="str">
        <f t="shared" si="30"/>
        <v/>
      </c>
      <c r="X463" t="str">
        <f>IF(W463="","", IFERROR(VLOOKUP(W463, IF(D463="KET", 换算标准!$Q:$R, IF(D463="PET", 换算标准!$W:$X, 换算标准!$AI:$AJ)), 2, TRUE), 0))</f>
        <v/>
      </c>
      <c r="Y463" t="str">
        <f t="shared" si="31"/>
        <v/>
      </c>
      <c r="Z463" t="str">
        <f>IF(Y463="","", IFERROR(VLOOKUP(Y463, 换算标准!$Z:$AA, 1, TRUE), ""))</f>
        <v/>
      </c>
      <c r="AA463" s="5" t="str">
        <f>IF(L463="","", "⚠️ 薄弱环节: "&amp;INDEX($E$1:$K$1, MATCH(MIN(E463:K463), E463:K463, 0))&amp;CHAR(10)&amp;"📉 考察能力: "&amp;IFERROR(VLOOKUP(TRIM(D463)&amp;"_"&amp;TRIM(INDEX($E$1:$K$1, MATCH(MIN(E463:K463), E463:K463, 0))), 技能库!$A:$F, 5, 0),"建议查阅考纲")&amp;CHAR(10)&amp;"💡 提升建议: "&amp;IFERROR(VLOOKUP(TRIM(D463)&amp;"_"&amp;TRIM(INDEX($E$1:$K$1, MATCH(MIN(E463:K463), E463:K463, 0))), 技能库!$A:$F, 6, 0),"请针对该题型加强练习"))</f>
        <v/>
      </c>
      <c r="AB463" s="5" t="str">
        <f>IF(P463="","", "⚠️ 薄弱环节: "&amp;INDEX($N$1:$O$1, MATCH(MIN(N463:O463), N463:O463, 0))&amp;CHAR(10)&amp;"📉 考察能力: "&amp;IFERROR(VLOOKUP(TRIM(D463)&amp;"_"&amp;TRIM(INDEX($N$1:$O$1, MATCH(MIN(N463:O463), N463:O463, 0))), 技能库!$A:$F, 5, 0),"建议查阅考纲")&amp;CHAR(10)&amp;"💡 提升建议: "&amp;IFERROR(VLOOKUP(TRIM(D463)&amp;"_"&amp;TRIM(INDEX($N$1:$O$1, MATCH(MIN(N463:O463), N463:O463, 0))), 技能库!$A:$F, 6, 0),"请针对该题型加强练习"))</f>
        <v/>
      </c>
      <c r="AC463" s="5" t="str">
        <f>IF(W463="","", "⚠️ 薄弱环节: "&amp;INDEX($R$1:$V$1, MATCH(MIN(R463:V463), R463:V463, 0))&amp;CHAR(10)&amp;"📉 考察能力: "&amp;IFERROR(VLOOKUP(TRIM(D463)&amp;"_"&amp;TRIM(INDEX($R$1:$V$1, MATCH(MIN(R463:V463), R463:V463, 0))), 技能库!$A:$F, 5, 0),"建议查阅考纲")&amp;CHAR(10)&amp;"💡 提升建议: "&amp;IFERROR(VLOOKUP(TRIM(D463)&amp;"_"&amp;TRIM(INDEX($R$1:$V$1, MATCH(MIN(R463:V463), R463:V463, 0))), 技能库!$A:$F, 6, 0),"请针对该题型加强练习"))</f>
        <v/>
      </c>
    </row>
    <row r="464" spans="12:29" ht="16" hidden="1" x14ac:dyDescent="0.2">
      <c r="L464" t="str">
        <f t="shared" si="28"/>
        <v/>
      </c>
      <c r="M464" t="str">
        <f>IF(L464="","", IFERROR(VLOOKUP(L464, IF(D464="KET", 换算标准!$M:$N, IF(D464="PET", 换算标准!$S:$T, 换算标准!$AC:$AD)), 2, TRUE), 0))</f>
        <v/>
      </c>
      <c r="P464" t="str">
        <f t="shared" si="29"/>
        <v/>
      </c>
      <c r="Q464" t="str">
        <f>IF(P464="","", IFERROR(VLOOKUP(P464, IF(D464="KET", 换算标准!$O:$P, IF(D464="PET", 换算标准!$U:$V, 换算标准!$AG:$AH)), 2, TRUE), 0))</f>
        <v/>
      </c>
      <c r="W464" t="str">
        <f t="shared" si="30"/>
        <v/>
      </c>
      <c r="X464" t="str">
        <f>IF(W464="","", IFERROR(VLOOKUP(W464, IF(D464="KET", 换算标准!$Q:$R, IF(D464="PET", 换算标准!$W:$X, 换算标准!$AI:$AJ)), 2, TRUE), 0))</f>
        <v/>
      </c>
      <c r="Y464" t="str">
        <f t="shared" si="31"/>
        <v/>
      </c>
      <c r="Z464" t="str">
        <f>IF(Y464="","", IFERROR(VLOOKUP(Y464, 换算标准!$Z:$AA, 1, TRUE), ""))</f>
        <v/>
      </c>
      <c r="AA464" s="5" t="str">
        <f>IF(L464="","", "⚠️ 薄弱环节: "&amp;INDEX($E$1:$K$1, MATCH(MIN(E464:K464), E464:K464, 0))&amp;CHAR(10)&amp;"📉 考察能力: "&amp;IFERROR(VLOOKUP(TRIM(D464)&amp;"_"&amp;TRIM(INDEX($E$1:$K$1, MATCH(MIN(E464:K464), E464:K464, 0))), 技能库!$A:$F, 5, 0),"建议查阅考纲")&amp;CHAR(10)&amp;"💡 提升建议: "&amp;IFERROR(VLOOKUP(TRIM(D464)&amp;"_"&amp;TRIM(INDEX($E$1:$K$1, MATCH(MIN(E464:K464), E464:K464, 0))), 技能库!$A:$F, 6, 0),"请针对该题型加强练习"))</f>
        <v/>
      </c>
      <c r="AB464" s="5" t="str">
        <f>IF(P464="","", "⚠️ 薄弱环节: "&amp;INDEX($N$1:$O$1, MATCH(MIN(N464:O464), N464:O464, 0))&amp;CHAR(10)&amp;"📉 考察能力: "&amp;IFERROR(VLOOKUP(TRIM(D464)&amp;"_"&amp;TRIM(INDEX($N$1:$O$1, MATCH(MIN(N464:O464), N464:O464, 0))), 技能库!$A:$F, 5, 0),"建议查阅考纲")&amp;CHAR(10)&amp;"💡 提升建议: "&amp;IFERROR(VLOOKUP(TRIM(D464)&amp;"_"&amp;TRIM(INDEX($N$1:$O$1, MATCH(MIN(N464:O464), N464:O464, 0))), 技能库!$A:$F, 6, 0),"请针对该题型加强练习"))</f>
        <v/>
      </c>
      <c r="AC464" s="5" t="str">
        <f>IF(W464="","", "⚠️ 薄弱环节: "&amp;INDEX($R$1:$V$1, MATCH(MIN(R464:V464), R464:V464, 0))&amp;CHAR(10)&amp;"📉 考察能力: "&amp;IFERROR(VLOOKUP(TRIM(D464)&amp;"_"&amp;TRIM(INDEX($R$1:$V$1, MATCH(MIN(R464:V464), R464:V464, 0))), 技能库!$A:$F, 5, 0),"建议查阅考纲")&amp;CHAR(10)&amp;"💡 提升建议: "&amp;IFERROR(VLOOKUP(TRIM(D464)&amp;"_"&amp;TRIM(INDEX($R$1:$V$1, MATCH(MIN(R464:V464), R464:V464, 0))), 技能库!$A:$F, 6, 0),"请针对该题型加强练习"))</f>
        <v/>
      </c>
    </row>
    <row r="465" spans="12:29" ht="16" hidden="1" x14ac:dyDescent="0.2">
      <c r="L465" t="str">
        <f t="shared" si="28"/>
        <v/>
      </c>
      <c r="M465" t="str">
        <f>IF(L465="","", IFERROR(VLOOKUP(L465, IF(D465="KET", 换算标准!$M:$N, IF(D465="PET", 换算标准!$S:$T, 换算标准!$AC:$AD)), 2, TRUE), 0))</f>
        <v/>
      </c>
      <c r="P465" t="str">
        <f t="shared" si="29"/>
        <v/>
      </c>
      <c r="Q465" t="str">
        <f>IF(P465="","", IFERROR(VLOOKUP(P465, IF(D465="KET", 换算标准!$O:$P, IF(D465="PET", 换算标准!$U:$V, 换算标准!$AG:$AH)), 2, TRUE), 0))</f>
        <v/>
      </c>
      <c r="W465" t="str">
        <f t="shared" si="30"/>
        <v/>
      </c>
      <c r="X465" t="str">
        <f>IF(W465="","", IFERROR(VLOOKUP(W465, IF(D465="KET", 换算标准!$Q:$R, IF(D465="PET", 换算标准!$W:$X, 换算标准!$AI:$AJ)), 2, TRUE), 0))</f>
        <v/>
      </c>
      <c r="Y465" t="str">
        <f t="shared" si="31"/>
        <v/>
      </c>
      <c r="Z465" t="str">
        <f>IF(Y465="","", IFERROR(VLOOKUP(Y465, 换算标准!$Z:$AA, 1, TRUE), ""))</f>
        <v/>
      </c>
      <c r="AA465" s="5" t="str">
        <f>IF(L465="","", "⚠️ 薄弱环节: "&amp;INDEX($E$1:$K$1, MATCH(MIN(E465:K465), E465:K465, 0))&amp;CHAR(10)&amp;"📉 考察能力: "&amp;IFERROR(VLOOKUP(TRIM(D465)&amp;"_"&amp;TRIM(INDEX($E$1:$K$1, MATCH(MIN(E465:K465), E465:K465, 0))), 技能库!$A:$F, 5, 0),"建议查阅考纲")&amp;CHAR(10)&amp;"💡 提升建议: "&amp;IFERROR(VLOOKUP(TRIM(D465)&amp;"_"&amp;TRIM(INDEX($E$1:$K$1, MATCH(MIN(E465:K465), E465:K465, 0))), 技能库!$A:$F, 6, 0),"请针对该题型加强练习"))</f>
        <v/>
      </c>
      <c r="AB465" s="5" t="str">
        <f>IF(P465="","", "⚠️ 薄弱环节: "&amp;INDEX($N$1:$O$1, MATCH(MIN(N465:O465), N465:O465, 0))&amp;CHAR(10)&amp;"📉 考察能力: "&amp;IFERROR(VLOOKUP(TRIM(D465)&amp;"_"&amp;TRIM(INDEX($N$1:$O$1, MATCH(MIN(N465:O465), N465:O465, 0))), 技能库!$A:$F, 5, 0),"建议查阅考纲")&amp;CHAR(10)&amp;"💡 提升建议: "&amp;IFERROR(VLOOKUP(TRIM(D465)&amp;"_"&amp;TRIM(INDEX($N$1:$O$1, MATCH(MIN(N465:O465), N465:O465, 0))), 技能库!$A:$F, 6, 0),"请针对该题型加强练习"))</f>
        <v/>
      </c>
      <c r="AC465" s="5" t="str">
        <f>IF(W465="","", "⚠️ 薄弱环节: "&amp;INDEX($R$1:$V$1, MATCH(MIN(R465:V465), R465:V465, 0))&amp;CHAR(10)&amp;"📉 考察能力: "&amp;IFERROR(VLOOKUP(TRIM(D465)&amp;"_"&amp;TRIM(INDEX($R$1:$V$1, MATCH(MIN(R465:V465), R465:V465, 0))), 技能库!$A:$F, 5, 0),"建议查阅考纲")&amp;CHAR(10)&amp;"💡 提升建议: "&amp;IFERROR(VLOOKUP(TRIM(D465)&amp;"_"&amp;TRIM(INDEX($R$1:$V$1, MATCH(MIN(R465:V465), R465:V465, 0))), 技能库!$A:$F, 6, 0),"请针对该题型加强练习"))</f>
        <v/>
      </c>
    </row>
    <row r="466" spans="12:29" ht="16" hidden="1" x14ac:dyDescent="0.2">
      <c r="L466" t="str">
        <f t="shared" si="28"/>
        <v/>
      </c>
      <c r="M466" t="str">
        <f>IF(L466="","", IFERROR(VLOOKUP(L466, IF(D466="KET", 换算标准!$M:$N, IF(D466="PET", 换算标准!$S:$T, 换算标准!$AC:$AD)), 2, TRUE), 0))</f>
        <v/>
      </c>
      <c r="P466" t="str">
        <f t="shared" si="29"/>
        <v/>
      </c>
      <c r="Q466" t="str">
        <f>IF(P466="","", IFERROR(VLOOKUP(P466, IF(D466="KET", 换算标准!$O:$P, IF(D466="PET", 换算标准!$U:$V, 换算标准!$AG:$AH)), 2, TRUE), 0))</f>
        <v/>
      </c>
      <c r="W466" t="str">
        <f t="shared" si="30"/>
        <v/>
      </c>
      <c r="X466" t="str">
        <f>IF(W466="","", IFERROR(VLOOKUP(W466, IF(D466="KET", 换算标准!$Q:$R, IF(D466="PET", 换算标准!$W:$X, 换算标准!$AI:$AJ)), 2, TRUE), 0))</f>
        <v/>
      </c>
      <c r="Y466" t="str">
        <f t="shared" si="31"/>
        <v/>
      </c>
      <c r="Z466" t="str">
        <f>IF(Y466="","", IFERROR(VLOOKUP(Y466, 换算标准!$Z:$AA, 1, TRUE), ""))</f>
        <v/>
      </c>
      <c r="AA466" s="5" t="str">
        <f>IF(L466="","", "⚠️ 薄弱环节: "&amp;INDEX($E$1:$K$1, MATCH(MIN(E466:K466), E466:K466, 0))&amp;CHAR(10)&amp;"📉 考察能力: "&amp;IFERROR(VLOOKUP(TRIM(D466)&amp;"_"&amp;TRIM(INDEX($E$1:$K$1, MATCH(MIN(E466:K466), E466:K466, 0))), 技能库!$A:$F, 5, 0),"建议查阅考纲")&amp;CHAR(10)&amp;"💡 提升建议: "&amp;IFERROR(VLOOKUP(TRIM(D466)&amp;"_"&amp;TRIM(INDEX($E$1:$K$1, MATCH(MIN(E466:K466), E466:K466, 0))), 技能库!$A:$F, 6, 0),"请针对该题型加强练习"))</f>
        <v/>
      </c>
      <c r="AB466" s="5" t="str">
        <f>IF(P466="","", "⚠️ 薄弱环节: "&amp;INDEX($N$1:$O$1, MATCH(MIN(N466:O466), N466:O466, 0))&amp;CHAR(10)&amp;"📉 考察能力: "&amp;IFERROR(VLOOKUP(TRIM(D466)&amp;"_"&amp;TRIM(INDEX($N$1:$O$1, MATCH(MIN(N466:O466), N466:O466, 0))), 技能库!$A:$F, 5, 0),"建议查阅考纲")&amp;CHAR(10)&amp;"💡 提升建议: "&amp;IFERROR(VLOOKUP(TRIM(D466)&amp;"_"&amp;TRIM(INDEX($N$1:$O$1, MATCH(MIN(N466:O466), N466:O466, 0))), 技能库!$A:$F, 6, 0),"请针对该题型加强练习"))</f>
        <v/>
      </c>
      <c r="AC466" s="5" t="str">
        <f>IF(W466="","", "⚠️ 薄弱环节: "&amp;INDEX($R$1:$V$1, MATCH(MIN(R466:V466), R466:V466, 0))&amp;CHAR(10)&amp;"📉 考察能力: "&amp;IFERROR(VLOOKUP(TRIM(D466)&amp;"_"&amp;TRIM(INDEX($R$1:$V$1, MATCH(MIN(R466:V466), R466:V466, 0))), 技能库!$A:$F, 5, 0),"建议查阅考纲")&amp;CHAR(10)&amp;"💡 提升建议: "&amp;IFERROR(VLOOKUP(TRIM(D466)&amp;"_"&amp;TRIM(INDEX($R$1:$V$1, MATCH(MIN(R466:V466), R466:V466, 0))), 技能库!$A:$F, 6, 0),"请针对该题型加强练习"))</f>
        <v/>
      </c>
    </row>
    <row r="467" spans="12:29" ht="16" hidden="1" x14ac:dyDescent="0.2">
      <c r="L467" t="str">
        <f t="shared" si="28"/>
        <v/>
      </c>
      <c r="M467" t="str">
        <f>IF(L467="","", IFERROR(VLOOKUP(L467, IF(D467="KET", 换算标准!$M:$N, IF(D467="PET", 换算标准!$S:$T, 换算标准!$AC:$AD)), 2, TRUE), 0))</f>
        <v/>
      </c>
      <c r="P467" t="str">
        <f t="shared" si="29"/>
        <v/>
      </c>
      <c r="Q467" t="str">
        <f>IF(P467="","", IFERROR(VLOOKUP(P467, IF(D467="KET", 换算标准!$O:$P, IF(D467="PET", 换算标准!$U:$V, 换算标准!$AG:$AH)), 2, TRUE), 0))</f>
        <v/>
      </c>
      <c r="W467" t="str">
        <f t="shared" si="30"/>
        <v/>
      </c>
      <c r="X467" t="str">
        <f>IF(W467="","", IFERROR(VLOOKUP(W467, IF(D467="KET", 换算标准!$Q:$R, IF(D467="PET", 换算标准!$W:$X, 换算标准!$AI:$AJ)), 2, TRUE), 0))</f>
        <v/>
      </c>
      <c r="Y467" t="str">
        <f t="shared" si="31"/>
        <v/>
      </c>
      <c r="Z467" t="str">
        <f>IF(Y467="","", IFERROR(VLOOKUP(Y467, 换算标准!$Z:$AA, 1, TRUE), ""))</f>
        <v/>
      </c>
      <c r="AA467" s="5" t="str">
        <f>IF(L467="","", "⚠️ 薄弱环节: "&amp;INDEX($E$1:$K$1, MATCH(MIN(E467:K467), E467:K467, 0))&amp;CHAR(10)&amp;"📉 考察能力: "&amp;IFERROR(VLOOKUP(TRIM(D467)&amp;"_"&amp;TRIM(INDEX($E$1:$K$1, MATCH(MIN(E467:K467), E467:K467, 0))), 技能库!$A:$F, 5, 0),"建议查阅考纲")&amp;CHAR(10)&amp;"💡 提升建议: "&amp;IFERROR(VLOOKUP(TRIM(D467)&amp;"_"&amp;TRIM(INDEX($E$1:$K$1, MATCH(MIN(E467:K467), E467:K467, 0))), 技能库!$A:$F, 6, 0),"请针对该题型加强练习"))</f>
        <v/>
      </c>
      <c r="AB467" s="5" t="str">
        <f>IF(P467="","", "⚠️ 薄弱环节: "&amp;INDEX($N$1:$O$1, MATCH(MIN(N467:O467), N467:O467, 0))&amp;CHAR(10)&amp;"📉 考察能力: "&amp;IFERROR(VLOOKUP(TRIM(D467)&amp;"_"&amp;TRIM(INDEX($N$1:$O$1, MATCH(MIN(N467:O467), N467:O467, 0))), 技能库!$A:$F, 5, 0),"建议查阅考纲")&amp;CHAR(10)&amp;"💡 提升建议: "&amp;IFERROR(VLOOKUP(TRIM(D467)&amp;"_"&amp;TRIM(INDEX($N$1:$O$1, MATCH(MIN(N467:O467), N467:O467, 0))), 技能库!$A:$F, 6, 0),"请针对该题型加强练习"))</f>
        <v/>
      </c>
      <c r="AC467" s="5" t="str">
        <f>IF(W467="","", "⚠️ 薄弱环节: "&amp;INDEX($R$1:$V$1, MATCH(MIN(R467:V467), R467:V467, 0))&amp;CHAR(10)&amp;"📉 考察能力: "&amp;IFERROR(VLOOKUP(TRIM(D467)&amp;"_"&amp;TRIM(INDEX($R$1:$V$1, MATCH(MIN(R467:V467), R467:V467, 0))), 技能库!$A:$F, 5, 0),"建议查阅考纲")&amp;CHAR(10)&amp;"💡 提升建议: "&amp;IFERROR(VLOOKUP(TRIM(D467)&amp;"_"&amp;TRIM(INDEX($R$1:$V$1, MATCH(MIN(R467:V467), R467:V467, 0))), 技能库!$A:$F, 6, 0),"请针对该题型加强练习"))</f>
        <v/>
      </c>
    </row>
    <row r="468" spans="12:29" ht="16" hidden="1" x14ac:dyDescent="0.2">
      <c r="L468" t="str">
        <f t="shared" si="28"/>
        <v/>
      </c>
      <c r="M468" t="str">
        <f>IF(L468="","", IFERROR(VLOOKUP(L468, IF(D468="KET", 换算标准!$M:$N, IF(D468="PET", 换算标准!$S:$T, 换算标准!$AC:$AD)), 2, TRUE), 0))</f>
        <v/>
      </c>
      <c r="P468" t="str">
        <f t="shared" si="29"/>
        <v/>
      </c>
      <c r="Q468" t="str">
        <f>IF(P468="","", IFERROR(VLOOKUP(P468, IF(D468="KET", 换算标准!$O:$P, IF(D468="PET", 换算标准!$U:$V, 换算标准!$AG:$AH)), 2, TRUE), 0))</f>
        <v/>
      </c>
      <c r="W468" t="str">
        <f t="shared" si="30"/>
        <v/>
      </c>
      <c r="X468" t="str">
        <f>IF(W468="","", IFERROR(VLOOKUP(W468, IF(D468="KET", 换算标准!$Q:$R, IF(D468="PET", 换算标准!$W:$X, 换算标准!$AI:$AJ)), 2, TRUE), 0))</f>
        <v/>
      </c>
      <c r="Y468" t="str">
        <f t="shared" si="31"/>
        <v/>
      </c>
      <c r="Z468" t="str">
        <f>IF(Y468="","", IFERROR(VLOOKUP(Y468, 换算标准!$Z:$AA, 1, TRUE), ""))</f>
        <v/>
      </c>
      <c r="AA468" s="5" t="str">
        <f>IF(L468="","", "⚠️ 薄弱环节: "&amp;INDEX($E$1:$K$1, MATCH(MIN(E468:K468), E468:K468, 0))&amp;CHAR(10)&amp;"📉 考察能力: "&amp;IFERROR(VLOOKUP(TRIM(D468)&amp;"_"&amp;TRIM(INDEX($E$1:$K$1, MATCH(MIN(E468:K468), E468:K468, 0))), 技能库!$A:$F, 5, 0),"建议查阅考纲")&amp;CHAR(10)&amp;"💡 提升建议: "&amp;IFERROR(VLOOKUP(TRIM(D468)&amp;"_"&amp;TRIM(INDEX($E$1:$K$1, MATCH(MIN(E468:K468), E468:K468, 0))), 技能库!$A:$F, 6, 0),"请针对该题型加强练习"))</f>
        <v/>
      </c>
      <c r="AB468" s="5" t="str">
        <f>IF(P468="","", "⚠️ 薄弱环节: "&amp;INDEX($N$1:$O$1, MATCH(MIN(N468:O468), N468:O468, 0))&amp;CHAR(10)&amp;"📉 考察能力: "&amp;IFERROR(VLOOKUP(TRIM(D468)&amp;"_"&amp;TRIM(INDEX($N$1:$O$1, MATCH(MIN(N468:O468), N468:O468, 0))), 技能库!$A:$F, 5, 0),"建议查阅考纲")&amp;CHAR(10)&amp;"💡 提升建议: "&amp;IFERROR(VLOOKUP(TRIM(D468)&amp;"_"&amp;TRIM(INDEX($N$1:$O$1, MATCH(MIN(N468:O468), N468:O468, 0))), 技能库!$A:$F, 6, 0),"请针对该题型加强练习"))</f>
        <v/>
      </c>
      <c r="AC468" s="5" t="str">
        <f>IF(W468="","", "⚠️ 薄弱环节: "&amp;INDEX($R$1:$V$1, MATCH(MIN(R468:V468), R468:V468, 0))&amp;CHAR(10)&amp;"📉 考察能力: "&amp;IFERROR(VLOOKUP(TRIM(D468)&amp;"_"&amp;TRIM(INDEX($R$1:$V$1, MATCH(MIN(R468:V468), R468:V468, 0))), 技能库!$A:$F, 5, 0),"建议查阅考纲")&amp;CHAR(10)&amp;"💡 提升建议: "&amp;IFERROR(VLOOKUP(TRIM(D468)&amp;"_"&amp;TRIM(INDEX($R$1:$V$1, MATCH(MIN(R468:V468), R468:V468, 0))), 技能库!$A:$F, 6, 0),"请针对该题型加强练习"))</f>
        <v/>
      </c>
    </row>
    <row r="469" spans="12:29" ht="16" hidden="1" x14ac:dyDescent="0.2">
      <c r="L469" t="str">
        <f t="shared" si="28"/>
        <v/>
      </c>
      <c r="M469" t="str">
        <f>IF(L469="","", IFERROR(VLOOKUP(L469, IF(D469="KET", 换算标准!$M:$N, IF(D469="PET", 换算标准!$S:$T, 换算标准!$AC:$AD)), 2, TRUE), 0))</f>
        <v/>
      </c>
      <c r="P469" t="str">
        <f t="shared" si="29"/>
        <v/>
      </c>
      <c r="Q469" t="str">
        <f>IF(P469="","", IFERROR(VLOOKUP(P469, IF(D469="KET", 换算标准!$O:$P, IF(D469="PET", 换算标准!$U:$V, 换算标准!$AG:$AH)), 2, TRUE), 0))</f>
        <v/>
      </c>
      <c r="W469" t="str">
        <f t="shared" si="30"/>
        <v/>
      </c>
      <c r="X469" t="str">
        <f>IF(W469="","", IFERROR(VLOOKUP(W469, IF(D469="KET", 换算标准!$Q:$R, IF(D469="PET", 换算标准!$W:$X, 换算标准!$AI:$AJ)), 2, TRUE), 0))</f>
        <v/>
      </c>
      <c r="Y469" t="str">
        <f t="shared" si="31"/>
        <v/>
      </c>
      <c r="Z469" t="str">
        <f>IF(Y469="","", IFERROR(VLOOKUP(Y469, 换算标准!$Z:$AA, 1, TRUE), ""))</f>
        <v/>
      </c>
      <c r="AA469" s="5" t="str">
        <f>IF(L469="","", "⚠️ 薄弱环节: "&amp;INDEX($E$1:$K$1, MATCH(MIN(E469:K469), E469:K469, 0))&amp;CHAR(10)&amp;"📉 考察能力: "&amp;IFERROR(VLOOKUP(TRIM(D469)&amp;"_"&amp;TRIM(INDEX($E$1:$K$1, MATCH(MIN(E469:K469), E469:K469, 0))), 技能库!$A:$F, 5, 0),"建议查阅考纲")&amp;CHAR(10)&amp;"💡 提升建议: "&amp;IFERROR(VLOOKUP(TRIM(D469)&amp;"_"&amp;TRIM(INDEX($E$1:$K$1, MATCH(MIN(E469:K469), E469:K469, 0))), 技能库!$A:$F, 6, 0),"请针对该题型加强练习"))</f>
        <v/>
      </c>
      <c r="AB469" s="5" t="str">
        <f>IF(P469="","", "⚠️ 薄弱环节: "&amp;INDEX($N$1:$O$1, MATCH(MIN(N469:O469), N469:O469, 0))&amp;CHAR(10)&amp;"📉 考察能力: "&amp;IFERROR(VLOOKUP(TRIM(D469)&amp;"_"&amp;TRIM(INDEX($N$1:$O$1, MATCH(MIN(N469:O469), N469:O469, 0))), 技能库!$A:$F, 5, 0),"建议查阅考纲")&amp;CHAR(10)&amp;"💡 提升建议: "&amp;IFERROR(VLOOKUP(TRIM(D469)&amp;"_"&amp;TRIM(INDEX($N$1:$O$1, MATCH(MIN(N469:O469), N469:O469, 0))), 技能库!$A:$F, 6, 0),"请针对该题型加强练习"))</f>
        <v/>
      </c>
      <c r="AC469" s="5" t="str">
        <f>IF(W469="","", "⚠️ 薄弱环节: "&amp;INDEX($R$1:$V$1, MATCH(MIN(R469:V469), R469:V469, 0))&amp;CHAR(10)&amp;"📉 考察能力: "&amp;IFERROR(VLOOKUP(TRIM(D469)&amp;"_"&amp;TRIM(INDEX($R$1:$V$1, MATCH(MIN(R469:V469), R469:V469, 0))), 技能库!$A:$F, 5, 0),"建议查阅考纲")&amp;CHAR(10)&amp;"💡 提升建议: "&amp;IFERROR(VLOOKUP(TRIM(D469)&amp;"_"&amp;TRIM(INDEX($R$1:$V$1, MATCH(MIN(R469:V469), R469:V469, 0))), 技能库!$A:$F, 6, 0),"请针对该题型加强练习"))</f>
        <v/>
      </c>
    </row>
    <row r="470" spans="12:29" ht="16" hidden="1" x14ac:dyDescent="0.2">
      <c r="L470" t="str">
        <f t="shared" si="28"/>
        <v/>
      </c>
      <c r="M470" t="str">
        <f>IF(L470="","", IFERROR(VLOOKUP(L470, IF(D470="KET", 换算标准!$M:$N, IF(D470="PET", 换算标准!$S:$T, 换算标准!$AC:$AD)), 2, TRUE), 0))</f>
        <v/>
      </c>
      <c r="P470" t="str">
        <f t="shared" si="29"/>
        <v/>
      </c>
      <c r="Q470" t="str">
        <f>IF(P470="","", IFERROR(VLOOKUP(P470, IF(D470="KET", 换算标准!$O:$P, IF(D470="PET", 换算标准!$U:$V, 换算标准!$AG:$AH)), 2, TRUE), 0))</f>
        <v/>
      </c>
      <c r="W470" t="str">
        <f t="shared" si="30"/>
        <v/>
      </c>
      <c r="X470" t="str">
        <f>IF(W470="","", IFERROR(VLOOKUP(W470, IF(D470="KET", 换算标准!$Q:$R, IF(D470="PET", 换算标准!$W:$X, 换算标准!$AI:$AJ)), 2, TRUE), 0))</f>
        <v/>
      </c>
      <c r="Y470" t="str">
        <f t="shared" si="31"/>
        <v/>
      </c>
      <c r="Z470" t="str">
        <f>IF(Y470="","", IFERROR(VLOOKUP(Y470, 换算标准!$Z:$AA, 1, TRUE), ""))</f>
        <v/>
      </c>
      <c r="AA470" s="5" t="str">
        <f>IF(L470="","", "⚠️ 薄弱环节: "&amp;INDEX($E$1:$K$1, MATCH(MIN(E470:K470), E470:K470, 0))&amp;CHAR(10)&amp;"📉 考察能力: "&amp;IFERROR(VLOOKUP(TRIM(D470)&amp;"_"&amp;TRIM(INDEX($E$1:$K$1, MATCH(MIN(E470:K470), E470:K470, 0))), 技能库!$A:$F, 5, 0),"建议查阅考纲")&amp;CHAR(10)&amp;"💡 提升建议: "&amp;IFERROR(VLOOKUP(TRIM(D470)&amp;"_"&amp;TRIM(INDEX($E$1:$K$1, MATCH(MIN(E470:K470), E470:K470, 0))), 技能库!$A:$F, 6, 0),"请针对该题型加强练习"))</f>
        <v/>
      </c>
      <c r="AB470" s="5" t="str">
        <f>IF(P470="","", "⚠️ 薄弱环节: "&amp;INDEX($N$1:$O$1, MATCH(MIN(N470:O470), N470:O470, 0))&amp;CHAR(10)&amp;"📉 考察能力: "&amp;IFERROR(VLOOKUP(TRIM(D470)&amp;"_"&amp;TRIM(INDEX($N$1:$O$1, MATCH(MIN(N470:O470), N470:O470, 0))), 技能库!$A:$F, 5, 0),"建议查阅考纲")&amp;CHAR(10)&amp;"💡 提升建议: "&amp;IFERROR(VLOOKUP(TRIM(D470)&amp;"_"&amp;TRIM(INDEX($N$1:$O$1, MATCH(MIN(N470:O470), N470:O470, 0))), 技能库!$A:$F, 6, 0),"请针对该题型加强练习"))</f>
        <v/>
      </c>
      <c r="AC470" s="5" t="str">
        <f>IF(W470="","", "⚠️ 薄弱环节: "&amp;INDEX($R$1:$V$1, MATCH(MIN(R470:V470), R470:V470, 0))&amp;CHAR(10)&amp;"📉 考察能力: "&amp;IFERROR(VLOOKUP(TRIM(D470)&amp;"_"&amp;TRIM(INDEX($R$1:$V$1, MATCH(MIN(R470:V470), R470:V470, 0))), 技能库!$A:$F, 5, 0),"建议查阅考纲")&amp;CHAR(10)&amp;"💡 提升建议: "&amp;IFERROR(VLOOKUP(TRIM(D470)&amp;"_"&amp;TRIM(INDEX($R$1:$V$1, MATCH(MIN(R470:V470), R470:V470, 0))), 技能库!$A:$F, 6, 0),"请针对该题型加强练习"))</f>
        <v/>
      </c>
    </row>
    <row r="471" spans="12:29" ht="16" hidden="1" x14ac:dyDescent="0.2">
      <c r="L471" t="str">
        <f t="shared" si="28"/>
        <v/>
      </c>
      <c r="M471" t="str">
        <f>IF(L471="","", IFERROR(VLOOKUP(L471, IF(D471="KET", 换算标准!$M:$N, IF(D471="PET", 换算标准!$S:$T, 换算标准!$AC:$AD)), 2, TRUE), 0))</f>
        <v/>
      </c>
      <c r="P471" t="str">
        <f t="shared" si="29"/>
        <v/>
      </c>
      <c r="Q471" t="str">
        <f>IF(P471="","", IFERROR(VLOOKUP(P471, IF(D471="KET", 换算标准!$O:$P, IF(D471="PET", 换算标准!$U:$V, 换算标准!$AG:$AH)), 2, TRUE), 0))</f>
        <v/>
      </c>
      <c r="W471" t="str">
        <f t="shared" si="30"/>
        <v/>
      </c>
      <c r="X471" t="str">
        <f>IF(W471="","", IFERROR(VLOOKUP(W471, IF(D471="KET", 换算标准!$Q:$R, IF(D471="PET", 换算标准!$W:$X, 换算标准!$AI:$AJ)), 2, TRUE), 0))</f>
        <v/>
      </c>
      <c r="Y471" t="str">
        <f t="shared" si="31"/>
        <v/>
      </c>
      <c r="Z471" t="str">
        <f>IF(Y471="","", IFERROR(VLOOKUP(Y471, 换算标准!$Z:$AA, 1, TRUE), ""))</f>
        <v/>
      </c>
      <c r="AA471" s="5" t="str">
        <f>IF(L471="","", "⚠️ 薄弱环节: "&amp;INDEX($E$1:$K$1, MATCH(MIN(E471:K471), E471:K471, 0))&amp;CHAR(10)&amp;"📉 考察能力: "&amp;IFERROR(VLOOKUP(TRIM(D471)&amp;"_"&amp;TRIM(INDEX($E$1:$K$1, MATCH(MIN(E471:K471), E471:K471, 0))), 技能库!$A:$F, 5, 0),"建议查阅考纲")&amp;CHAR(10)&amp;"💡 提升建议: "&amp;IFERROR(VLOOKUP(TRIM(D471)&amp;"_"&amp;TRIM(INDEX($E$1:$K$1, MATCH(MIN(E471:K471), E471:K471, 0))), 技能库!$A:$F, 6, 0),"请针对该题型加强练习"))</f>
        <v/>
      </c>
      <c r="AB471" s="5" t="str">
        <f>IF(P471="","", "⚠️ 薄弱环节: "&amp;INDEX($N$1:$O$1, MATCH(MIN(N471:O471), N471:O471, 0))&amp;CHAR(10)&amp;"📉 考察能力: "&amp;IFERROR(VLOOKUP(TRIM(D471)&amp;"_"&amp;TRIM(INDEX($N$1:$O$1, MATCH(MIN(N471:O471), N471:O471, 0))), 技能库!$A:$F, 5, 0),"建议查阅考纲")&amp;CHAR(10)&amp;"💡 提升建议: "&amp;IFERROR(VLOOKUP(TRIM(D471)&amp;"_"&amp;TRIM(INDEX($N$1:$O$1, MATCH(MIN(N471:O471), N471:O471, 0))), 技能库!$A:$F, 6, 0),"请针对该题型加强练习"))</f>
        <v/>
      </c>
      <c r="AC471" s="5" t="str">
        <f>IF(W471="","", "⚠️ 薄弱环节: "&amp;INDEX($R$1:$V$1, MATCH(MIN(R471:V471), R471:V471, 0))&amp;CHAR(10)&amp;"📉 考察能力: "&amp;IFERROR(VLOOKUP(TRIM(D471)&amp;"_"&amp;TRIM(INDEX($R$1:$V$1, MATCH(MIN(R471:V471), R471:V471, 0))), 技能库!$A:$F, 5, 0),"建议查阅考纲")&amp;CHAR(10)&amp;"💡 提升建议: "&amp;IFERROR(VLOOKUP(TRIM(D471)&amp;"_"&amp;TRIM(INDEX($R$1:$V$1, MATCH(MIN(R471:V471), R471:V471, 0))), 技能库!$A:$F, 6, 0),"请针对该题型加强练习"))</f>
        <v/>
      </c>
    </row>
    <row r="472" spans="12:29" ht="16" hidden="1" x14ac:dyDescent="0.2">
      <c r="L472" t="str">
        <f t="shared" si="28"/>
        <v/>
      </c>
      <c r="M472" t="str">
        <f>IF(L472="","", IFERROR(VLOOKUP(L472, IF(D472="KET", 换算标准!$M:$N, IF(D472="PET", 换算标准!$S:$T, 换算标准!$AC:$AD)), 2, TRUE), 0))</f>
        <v/>
      </c>
      <c r="P472" t="str">
        <f t="shared" si="29"/>
        <v/>
      </c>
      <c r="Q472" t="str">
        <f>IF(P472="","", IFERROR(VLOOKUP(P472, IF(D472="KET", 换算标准!$O:$P, IF(D472="PET", 换算标准!$U:$V, 换算标准!$AG:$AH)), 2, TRUE), 0))</f>
        <v/>
      </c>
      <c r="W472" t="str">
        <f t="shared" si="30"/>
        <v/>
      </c>
      <c r="X472" t="str">
        <f>IF(W472="","", IFERROR(VLOOKUP(W472, IF(D472="KET", 换算标准!$Q:$R, IF(D472="PET", 换算标准!$W:$X, 换算标准!$AI:$AJ)), 2, TRUE), 0))</f>
        <v/>
      </c>
      <c r="Y472" t="str">
        <f t="shared" si="31"/>
        <v/>
      </c>
      <c r="Z472" t="str">
        <f>IF(Y472="","", IFERROR(VLOOKUP(Y472, 换算标准!$Z:$AA, 1, TRUE), ""))</f>
        <v/>
      </c>
      <c r="AA472" s="5" t="str">
        <f>IF(L472="","", "⚠️ 薄弱环节: "&amp;INDEX($E$1:$K$1, MATCH(MIN(E472:K472), E472:K472, 0))&amp;CHAR(10)&amp;"📉 考察能力: "&amp;IFERROR(VLOOKUP(TRIM(D472)&amp;"_"&amp;TRIM(INDEX($E$1:$K$1, MATCH(MIN(E472:K472), E472:K472, 0))), 技能库!$A:$F, 5, 0),"建议查阅考纲")&amp;CHAR(10)&amp;"💡 提升建议: "&amp;IFERROR(VLOOKUP(TRIM(D472)&amp;"_"&amp;TRIM(INDEX($E$1:$K$1, MATCH(MIN(E472:K472), E472:K472, 0))), 技能库!$A:$F, 6, 0),"请针对该题型加强练习"))</f>
        <v/>
      </c>
      <c r="AB472" s="5" t="str">
        <f>IF(P472="","", "⚠️ 薄弱环节: "&amp;INDEX($N$1:$O$1, MATCH(MIN(N472:O472), N472:O472, 0))&amp;CHAR(10)&amp;"📉 考察能力: "&amp;IFERROR(VLOOKUP(TRIM(D472)&amp;"_"&amp;TRIM(INDEX($N$1:$O$1, MATCH(MIN(N472:O472), N472:O472, 0))), 技能库!$A:$F, 5, 0),"建议查阅考纲")&amp;CHAR(10)&amp;"💡 提升建议: "&amp;IFERROR(VLOOKUP(TRIM(D472)&amp;"_"&amp;TRIM(INDEX($N$1:$O$1, MATCH(MIN(N472:O472), N472:O472, 0))), 技能库!$A:$F, 6, 0),"请针对该题型加强练习"))</f>
        <v/>
      </c>
      <c r="AC472" s="5" t="str">
        <f>IF(W472="","", "⚠️ 薄弱环节: "&amp;INDEX($R$1:$V$1, MATCH(MIN(R472:V472), R472:V472, 0))&amp;CHAR(10)&amp;"📉 考察能力: "&amp;IFERROR(VLOOKUP(TRIM(D472)&amp;"_"&amp;TRIM(INDEX($R$1:$V$1, MATCH(MIN(R472:V472), R472:V472, 0))), 技能库!$A:$F, 5, 0),"建议查阅考纲")&amp;CHAR(10)&amp;"💡 提升建议: "&amp;IFERROR(VLOOKUP(TRIM(D472)&amp;"_"&amp;TRIM(INDEX($R$1:$V$1, MATCH(MIN(R472:V472), R472:V472, 0))), 技能库!$A:$F, 6, 0),"请针对该题型加强练习"))</f>
        <v/>
      </c>
    </row>
    <row r="473" spans="12:29" ht="16" hidden="1" x14ac:dyDescent="0.2">
      <c r="L473" t="str">
        <f t="shared" si="28"/>
        <v/>
      </c>
      <c r="M473" t="str">
        <f>IF(L473="","", IFERROR(VLOOKUP(L473, IF(D473="KET", 换算标准!$M:$N, IF(D473="PET", 换算标准!$S:$T, 换算标准!$AC:$AD)), 2, TRUE), 0))</f>
        <v/>
      </c>
      <c r="P473" t="str">
        <f t="shared" si="29"/>
        <v/>
      </c>
      <c r="Q473" t="str">
        <f>IF(P473="","", IFERROR(VLOOKUP(P473, IF(D473="KET", 换算标准!$O:$P, IF(D473="PET", 换算标准!$U:$V, 换算标准!$AG:$AH)), 2, TRUE), 0))</f>
        <v/>
      </c>
      <c r="W473" t="str">
        <f t="shared" si="30"/>
        <v/>
      </c>
      <c r="X473" t="str">
        <f>IF(W473="","", IFERROR(VLOOKUP(W473, IF(D473="KET", 换算标准!$Q:$R, IF(D473="PET", 换算标准!$W:$X, 换算标准!$AI:$AJ)), 2, TRUE), 0))</f>
        <v/>
      </c>
      <c r="Y473" t="str">
        <f t="shared" si="31"/>
        <v/>
      </c>
      <c r="Z473" t="str">
        <f>IF(Y473="","", IFERROR(VLOOKUP(Y473, 换算标准!$Z:$AA, 1, TRUE), ""))</f>
        <v/>
      </c>
      <c r="AA473" s="5" t="str">
        <f>IF(L473="","", "⚠️ 薄弱环节: "&amp;INDEX($E$1:$K$1, MATCH(MIN(E473:K473), E473:K473, 0))&amp;CHAR(10)&amp;"📉 考察能力: "&amp;IFERROR(VLOOKUP(TRIM(D473)&amp;"_"&amp;TRIM(INDEX($E$1:$K$1, MATCH(MIN(E473:K473), E473:K473, 0))), 技能库!$A:$F, 5, 0),"建议查阅考纲")&amp;CHAR(10)&amp;"💡 提升建议: "&amp;IFERROR(VLOOKUP(TRIM(D473)&amp;"_"&amp;TRIM(INDEX($E$1:$K$1, MATCH(MIN(E473:K473), E473:K473, 0))), 技能库!$A:$F, 6, 0),"请针对该题型加强练习"))</f>
        <v/>
      </c>
      <c r="AB473" s="5" t="str">
        <f>IF(P473="","", "⚠️ 薄弱环节: "&amp;INDEX($N$1:$O$1, MATCH(MIN(N473:O473), N473:O473, 0))&amp;CHAR(10)&amp;"📉 考察能力: "&amp;IFERROR(VLOOKUP(TRIM(D473)&amp;"_"&amp;TRIM(INDEX($N$1:$O$1, MATCH(MIN(N473:O473), N473:O473, 0))), 技能库!$A:$F, 5, 0),"建议查阅考纲")&amp;CHAR(10)&amp;"💡 提升建议: "&amp;IFERROR(VLOOKUP(TRIM(D473)&amp;"_"&amp;TRIM(INDEX($N$1:$O$1, MATCH(MIN(N473:O473), N473:O473, 0))), 技能库!$A:$F, 6, 0),"请针对该题型加强练习"))</f>
        <v/>
      </c>
      <c r="AC473" s="5" t="str">
        <f>IF(W473="","", "⚠️ 薄弱环节: "&amp;INDEX($R$1:$V$1, MATCH(MIN(R473:V473), R473:V473, 0))&amp;CHAR(10)&amp;"📉 考察能力: "&amp;IFERROR(VLOOKUP(TRIM(D473)&amp;"_"&amp;TRIM(INDEX($R$1:$V$1, MATCH(MIN(R473:V473), R473:V473, 0))), 技能库!$A:$F, 5, 0),"建议查阅考纲")&amp;CHAR(10)&amp;"💡 提升建议: "&amp;IFERROR(VLOOKUP(TRIM(D473)&amp;"_"&amp;TRIM(INDEX($R$1:$V$1, MATCH(MIN(R473:V473), R473:V473, 0))), 技能库!$A:$F, 6, 0),"请针对该题型加强练习"))</f>
        <v/>
      </c>
    </row>
    <row r="474" spans="12:29" ht="16" hidden="1" x14ac:dyDescent="0.2">
      <c r="L474" t="str">
        <f t="shared" si="28"/>
        <v/>
      </c>
      <c r="M474" t="str">
        <f>IF(L474="","", IFERROR(VLOOKUP(L474, IF(D474="KET", 换算标准!$M:$N, IF(D474="PET", 换算标准!$S:$T, 换算标准!$AC:$AD)), 2, TRUE), 0))</f>
        <v/>
      </c>
      <c r="P474" t="str">
        <f t="shared" si="29"/>
        <v/>
      </c>
      <c r="Q474" t="str">
        <f>IF(P474="","", IFERROR(VLOOKUP(P474, IF(D474="KET", 换算标准!$O:$P, IF(D474="PET", 换算标准!$U:$V, 换算标准!$AG:$AH)), 2, TRUE), 0))</f>
        <v/>
      </c>
      <c r="W474" t="str">
        <f t="shared" si="30"/>
        <v/>
      </c>
      <c r="X474" t="str">
        <f>IF(W474="","", IFERROR(VLOOKUP(W474, IF(D474="KET", 换算标准!$Q:$R, IF(D474="PET", 换算标准!$W:$X, 换算标准!$AI:$AJ)), 2, TRUE), 0))</f>
        <v/>
      </c>
      <c r="Y474" t="str">
        <f t="shared" si="31"/>
        <v/>
      </c>
      <c r="Z474" t="str">
        <f>IF(Y474="","", IFERROR(VLOOKUP(Y474, 换算标准!$Z:$AA, 1, TRUE), ""))</f>
        <v/>
      </c>
      <c r="AA474" s="5" t="str">
        <f>IF(L474="","", "⚠️ 薄弱环节: "&amp;INDEX($E$1:$K$1, MATCH(MIN(E474:K474), E474:K474, 0))&amp;CHAR(10)&amp;"📉 考察能力: "&amp;IFERROR(VLOOKUP(TRIM(D474)&amp;"_"&amp;TRIM(INDEX($E$1:$K$1, MATCH(MIN(E474:K474), E474:K474, 0))), 技能库!$A:$F, 5, 0),"建议查阅考纲")&amp;CHAR(10)&amp;"💡 提升建议: "&amp;IFERROR(VLOOKUP(TRIM(D474)&amp;"_"&amp;TRIM(INDEX($E$1:$K$1, MATCH(MIN(E474:K474), E474:K474, 0))), 技能库!$A:$F, 6, 0),"请针对该题型加强练习"))</f>
        <v/>
      </c>
      <c r="AB474" s="5" t="str">
        <f>IF(P474="","", "⚠️ 薄弱环节: "&amp;INDEX($N$1:$O$1, MATCH(MIN(N474:O474), N474:O474, 0))&amp;CHAR(10)&amp;"📉 考察能力: "&amp;IFERROR(VLOOKUP(TRIM(D474)&amp;"_"&amp;TRIM(INDEX($N$1:$O$1, MATCH(MIN(N474:O474), N474:O474, 0))), 技能库!$A:$F, 5, 0),"建议查阅考纲")&amp;CHAR(10)&amp;"💡 提升建议: "&amp;IFERROR(VLOOKUP(TRIM(D474)&amp;"_"&amp;TRIM(INDEX($N$1:$O$1, MATCH(MIN(N474:O474), N474:O474, 0))), 技能库!$A:$F, 6, 0),"请针对该题型加强练习"))</f>
        <v/>
      </c>
      <c r="AC474" s="5" t="str">
        <f>IF(W474="","", "⚠️ 薄弱环节: "&amp;INDEX($R$1:$V$1, MATCH(MIN(R474:V474), R474:V474, 0))&amp;CHAR(10)&amp;"📉 考察能力: "&amp;IFERROR(VLOOKUP(TRIM(D474)&amp;"_"&amp;TRIM(INDEX($R$1:$V$1, MATCH(MIN(R474:V474), R474:V474, 0))), 技能库!$A:$F, 5, 0),"建议查阅考纲")&amp;CHAR(10)&amp;"💡 提升建议: "&amp;IFERROR(VLOOKUP(TRIM(D474)&amp;"_"&amp;TRIM(INDEX($R$1:$V$1, MATCH(MIN(R474:V474), R474:V474, 0))), 技能库!$A:$F, 6, 0),"请针对该题型加强练习"))</f>
        <v/>
      </c>
    </row>
    <row r="475" spans="12:29" ht="16" hidden="1" x14ac:dyDescent="0.2">
      <c r="L475" t="str">
        <f t="shared" si="28"/>
        <v/>
      </c>
      <c r="M475" t="str">
        <f>IF(L475="","", IFERROR(VLOOKUP(L475, IF(D475="KET", 换算标准!$M:$N, IF(D475="PET", 换算标准!$S:$T, 换算标准!$AC:$AD)), 2, TRUE), 0))</f>
        <v/>
      </c>
      <c r="P475" t="str">
        <f t="shared" si="29"/>
        <v/>
      </c>
      <c r="Q475" t="str">
        <f>IF(P475="","", IFERROR(VLOOKUP(P475, IF(D475="KET", 换算标准!$O:$P, IF(D475="PET", 换算标准!$U:$V, 换算标准!$AG:$AH)), 2, TRUE), 0))</f>
        <v/>
      </c>
      <c r="W475" t="str">
        <f t="shared" si="30"/>
        <v/>
      </c>
      <c r="X475" t="str">
        <f>IF(W475="","", IFERROR(VLOOKUP(W475, IF(D475="KET", 换算标准!$Q:$R, IF(D475="PET", 换算标准!$W:$X, 换算标准!$AI:$AJ)), 2, TRUE), 0))</f>
        <v/>
      </c>
      <c r="Y475" t="str">
        <f t="shared" si="31"/>
        <v/>
      </c>
      <c r="Z475" t="str">
        <f>IF(Y475="","", IFERROR(VLOOKUP(Y475, 换算标准!$Z:$AA, 1, TRUE), ""))</f>
        <v/>
      </c>
      <c r="AA475" s="5" t="str">
        <f>IF(L475="","", "⚠️ 薄弱环节: "&amp;INDEX($E$1:$K$1, MATCH(MIN(E475:K475), E475:K475, 0))&amp;CHAR(10)&amp;"📉 考察能力: "&amp;IFERROR(VLOOKUP(TRIM(D475)&amp;"_"&amp;TRIM(INDEX($E$1:$K$1, MATCH(MIN(E475:K475), E475:K475, 0))), 技能库!$A:$F, 5, 0),"建议查阅考纲")&amp;CHAR(10)&amp;"💡 提升建议: "&amp;IFERROR(VLOOKUP(TRIM(D475)&amp;"_"&amp;TRIM(INDEX($E$1:$K$1, MATCH(MIN(E475:K475), E475:K475, 0))), 技能库!$A:$F, 6, 0),"请针对该题型加强练习"))</f>
        <v/>
      </c>
      <c r="AB475" s="5" t="str">
        <f>IF(P475="","", "⚠️ 薄弱环节: "&amp;INDEX($N$1:$O$1, MATCH(MIN(N475:O475), N475:O475, 0))&amp;CHAR(10)&amp;"📉 考察能力: "&amp;IFERROR(VLOOKUP(TRIM(D475)&amp;"_"&amp;TRIM(INDEX($N$1:$O$1, MATCH(MIN(N475:O475), N475:O475, 0))), 技能库!$A:$F, 5, 0),"建议查阅考纲")&amp;CHAR(10)&amp;"💡 提升建议: "&amp;IFERROR(VLOOKUP(TRIM(D475)&amp;"_"&amp;TRIM(INDEX($N$1:$O$1, MATCH(MIN(N475:O475), N475:O475, 0))), 技能库!$A:$F, 6, 0),"请针对该题型加强练习"))</f>
        <v/>
      </c>
      <c r="AC475" s="5" t="str">
        <f>IF(W475="","", "⚠️ 薄弱环节: "&amp;INDEX($R$1:$V$1, MATCH(MIN(R475:V475), R475:V475, 0))&amp;CHAR(10)&amp;"📉 考察能力: "&amp;IFERROR(VLOOKUP(TRIM(D475)&amp;"_"&amp;TRIM(INDEX($R$1:$V$1, MATCH(MIN(R475:V475), R475:V475, 0))), 技能库!$A:$F, 5, 0),"建议查阅考纲")&amp;CHAR(10)&amp;"💡 提升建议: "&amp;IFERROR(VLOOKUP(TRIM(D475)&amp;"_"&amp;TRIM(INDEX($R$1:$V$1, MATCH(MIN(R475:V475), R475:V475, 0))), 技能库!$A:$F, 6, 0),"请针对该题型加强练习"))</f>
        <v/>
      </c>
    </row>
    <row r="476" spans="12:29" ht="16" hidden="1" x14ac:dyDescent="0.2">
      <c r="L476" t="str">
        <f t="shared" si="28"/>
        <v/>
      </c>
      <c r="M476" t="str">
        <f>IF(L476="","", IFERROR(VLOOKUP(L476, IF(D476="KET", 换算标准!$M:$N, IF(D476="PET", 换算标准!$S:$T, 换算标准!$AC:$AD)), 2, TRUE), 0))</f>
        <v/>
      </c>
      <c r="P476" t="str">
        <f t="shared" si="29"/>
        <v/>
      </c>
      <c r="Q476" t="str">
        <f>IF(P476="","", IFERROR(VLOOKUP(P476, IF(D476="KET", 换算标准!$O:$P, IF(D476="PET", 换算标准!$U:$V, 换算标准!$AG:$AH)), 2, TRUE), 0))</f>
        <v/>
      </c>
      <c r="W476" t="str">
        <f t="shared" si="30"/>
        <v/>
      </c>
      <c r="X476" t="str">
        <f>IF(W476="","", IFERROR(VLOOKUP(W476, IF(D476="KET", 换算标准!$Q:$R, IF(D476="PET", 换算标准!$W:$X, 换算标准!$AI:$AJ)), 2, TRUE), 0))</f>
        <v/>
      </c>
      <c r="Y476" t="str">
        <f t="shared" si="31"/>
        <v/>
      </c>
      <c r="Z476" t="str">
        <f>IF(Y476="","", IFERROR(VLOOKUP(Y476, 换算标准!$Z:$AA, 1, TRUE), ""))</f>
        <v/>
      </c>
      <c r="AA476" s="5" t="str">
        <f>IF(L476="","", "⚠️ 薄弱环节: "&amp;INDEX($E$1:$K$1, MATCH(MIN(E476:K476), E476:K476, 0))&amp;CHAR(10)&amp;"📉 考察能力: "&amp;IFERROR(VLOOKUP(TRIM(D476)&amp;"_"&amp;TRIM(INDEX($E$1:$K$1, MATCH(MIN(E476:K476), E476:K476, 0))), 技能库!$A:$F, 5, 0),"建议查阅考纲")&amp;CHAR(10)&amp;"💡 提升建议: "&amp;IFERROR(VLOOKUP(TRIM(D476)&amp;"_"&amp;TRIM(INDEX($E$1:$K$1, MATCH(MIN(E476:K476), E476:K476, 0))), 技能库!$A:$F, 6, 0),"请针对该题型加强练习"))</f>
        <v/>
      </c>
      <c r="AB476" s="5" t="str">
        <f>IF(P476="","", "⚠️ 薄弱环节: "&amp;INDEX($N$1:$O$1, MATCH(MIN(N476:O476), N476:O476, 0))&amp;CHAR(10)&amp;"📉 考察能力: "&amp;IFERROR(VLOOKUP(TRIM(D476)&amp;"_"&amp;TRIM(INDEX($N$1:$O$1, MATCH(MIN(N476:O476), N476:O476, 0))), 技能库!$A:$F, 5, 0),"建议查阅考纲")&amp;CHAR(10)&amp;"💡 提升建议: "&amp;IFERROR(VLOOKUP(TRIM(D476)&amp;"_"&amp;TRIM(INDEX($N$1:$O$1, MATCH(MIN(N476:O476), N476:O476, 0))), 技能库!$A:$F, 6, 0),"请针对该题型加强练习"))</f>
        <v/>
      </c>
      <c r="AC476" s="5" t="str">
        <f>IF(W476="","", "⚠️ 薄弱环节: "&amp;INDEX($R$1:$V$1, MATCH(MIN(R476:V476), R476:V476, 0))&amp;CHAR(10)&amp;"📉 考察能力: "&amp;IFERROR(VLOOKUP(TRIM(D476)&amp;"_"&amp;TRIM(INDEX($R$1:$V$1, MATCH(MIN(R476:V476), R476:V476, 0))), 技能库!$A:$F, 5, 0),"建议查阅考纲")&amp;CHAR(10)&amp;"💡 提升建议: "&amp;IFERROR(VLOOKUP(TRIM(D476)&amp;"_"&amp;TRIM(INDEX($R$1:$V$1, MATCH(MIN(R476:V476), R476:V476, 0))), 技能库!$A:$F, 6, 0),"请针对该题型加强练习"))</f>
        <v/>
      </c>
    </row>
    <row r="477" spans="12:29" ht="16" hidden="1" x14ac:dyDescent="0.2">
      <c r="L477" t="str">
        <f t="shared" si="28"/>
        <v/>
      </c>
      <c r="M477" t="str">
        <f>IF(L477="","", IFERROR(VLOOKUP(L477, IF(D477="KET", 换算标准!$M:$N, IF(D477="PET", 换算标准!$S:$T, 换算标准!$AC:$AD)), 2, TRUE), 0))</f>
        <v/>
      </c>
      <c r="P477" t="str">
        <f t="shared" si="29"/>
        <v/>
      </c>
      <c r="Q477" t="str">
        <f>IF(P477="","", IFERROR(VLOOKUP(P477, IF(D477="KET", 换算标准!$O:$P, IF(D477="PET", 换算标准!$U:$V, 换算标准!$AG:$AH)), 2, TRUE), 0))</f>
        <v/>
      </c>
      <c r="W477" t="str">
        <f t="shared" si="30"/>
        <v/>
      </c>
      <c r="X477" t="str">
        <f>IF(W477="","", IFERROR(VLOOKUP(W477, IF(D477="KET", 换算标准!$Q:$R, IF(D477="PET", 换算标准!$W:$X, 换算标准!$AI:$AJ)), 2, TRUE), 0))</f>
        <v/>
      </c>
      <c r="Y477" t="str">
        <f t="shared" si="31"/>
        <v/>
      </c>
      <c r="Z477" t="str">
        <f>IF(Y477="","", IFERROR(VLOOKUP(Y477, 换算标准!$Z:$AA, 1, TRUE), ""))</f>
        <v/>
      </c>
      <c r="AA477" s="5" t="str">
        <f>IF(L477="","", "⚠️ 薄弱环节: "&amp;INDEX($E$1:$K$1, MATCH(MIN(E477:K477), E477:K477, 0))&amp;CHAR(10)&amp;"📉 考察能力: "&amp;IFERROR(VLOOKUP(TRIM(D477)&amp;"_"&amp;TRIM(INDEX($E$1:$K$1, MATCH(MIN(E477:K477), E477:K477, 0))), 技能库!$A:$F, 5, 0),"建议查阅考纲")&amp;CHAR(10)&amp;"💡 提升建议: "&amp;IFERROR(VLOOKUP(TRIM(D477)&amp;"_"&amp;TRIM(INDEX($E$1:$K$1, MATCH(MIN(E477:K477), E477:K477, 0))), 技能库!$A:$F, 6, 0),"请针对该题型加强练习"))</f>
        <v/>
      </c>
      <c r="AB477" s="5" t="str">
        <f>IF(P477="","", "⚠️ 薄弱环节: "&amp;INDEX($N$1:$O$1, MATCH(MIN(N477:O477), N477:O477, 0))&amp;CHAR(10)&amp;"📉 考察能力: "&amp;IFERROR(VLOOKUP(TRIM(D477)&amp;"_"&amp;TRIM(INDEX($N$1:$O$1, MATCH(MIN(N477:O477), N477:O477, 0))), 技能库!$A:$F, 5, 0),"建议查阅考纲")&amp;CHAR(10)&amp;"💡 提升建议: "&amp;IFERROR(VLOOKUP(TRIM(D477)&amp;"_"&amp;TRIM(INDEX($N$1:$O$1, MATCH(MIN(N477:O477), N477:O477, 0))), 技能库!$A:$F, 6, 0),"请针对该题型加强练习"))</f>
        <v/>
      </c>
      <c r="AC477" s="5" t="str">
        <f>IF(W477="","", "⚠️ 薄弱环节: "&amp;INDEX($R$1:$V$1, MATCH(MIN(R477:V477), R477:V477, 0))&amp;CHAR(10)&amp;"📉 考察能力: "&amp;IFERROR(VLOOKUP(TRIM(D477)&amp;"_"&amp;TRIM(INDEX($R$1:$V$1, MATCH(MIN(R477:V477), R477:V477, 0))), 技能库!$A:$F, 5, 0),"建议查阅考纲")&amp;CHAR(10)&amp;"💡 提升建议: "&amp;IFERROR(VLOOKUP(TRIM(D477)&amp;"_"&amp;TRIM(INDEX($R$1:$V$1, MATCH(MIN(R477:V477), R477:V477, 0))), 技能库!$A:$F, 6, 0),"请针对该题型加强练习"))</f>
        <v/>
      </c>
    </row>
    <row r="478" spans="12:29" ht="16" hidden="1" x14ac:dyDescent="0.2">
      <c r="L478" t="str">
        <f t="shared" si="28"/>
        <v/>
      </c>
      <c r="M478" t="str">
        <f>IF(L478="","", IFERROR(VLOOKUP(L478, IF(D478="KET", 换算标准!$M:$N, IF(D478="PET", 换算标准!$S:$T, 换算标准!$AC:$AD)), 2, TRUE), 0))</f>
        <v/>
      </c>
      <c r="P478" t="str">
        <f t="shared" si="29"/>
        <v/>
      </c>
      <c r="Q478" t="str">
        <f>IF(P478="","", IFERROR(VLOOKUP(P478, IF(D478="KET", 换算标准!$O:$P, IF(D478="PET", 换算标准!$U:$V, 换算标准!$AG:$AH)), 2, TRUE), 0))</f>
        <v/>
      </c>
      <c r="W478" t="str">
        <f t="shared" si="30"/>
        <v/>
      </c>
      <c r="X478" t="str">
        <f>IF(W478="","", IFERROR(VLOOKUP(W478, IF(D478="KET", 换算标准!$Q:$R, IF(D478="PET", 换算标准!$W:$X, 换算标准!$AI:$AJ)), 2, TRUE), 0))</f>
        <v/>
      </c>
      <c r="Y478" t="str">
        <f t="shared" si="31"/>
        <v/>
      </c>
      <c r="Z478" t="str">
        <f>IF(Y478="","", IFERROR(VLOOKUP(Y478, 换算标准!$Z:$AA, 1, TRUE), ""))</f>
        <v/>
      </c>
      <c r="AA478" s="5" t="str">
        <f>IF(L478="","", "⚠️ 薄弱环节: "&amp;INDEX($E$1:$K$1, MATCH(MIN(E478:K478), E478:K478, 0))&amp;CHAR(10)&amp;"📉 考察能力: "&amp;IFERROR(VLOOKUP(TRIM(D478)&amp;"_"&amp;TRIM(INDEX($E$1:$K$1, MATCH(MIN(E478:K478), E478:K478, 0))), 技能库!$A:$F, 5, 0),"建议查阅考纲")&amp;CHAR(10)&amp;"💡 提升建议: "&amp;IFERROR(VLOOKUP(TRIM(D478)&amp;"_"&amp;TRIM(INDEX($E$1:$K$1, MATCH(MIN(E478:K478), E478:K478, 0))), 技能库!$A:$F, 6, 0),"请针对该题型加强练习"))</f>
        <v/>
      </c>
      <c r="AB478" s="5" t="str">
        <f>IF(P478="","", "⚠️ 薄弱环节: "&amp;INDEX($N$1:$O$1, MATCH(MIN(N478:O478), N478:O478, 0))&amp;CHAR(10)&amp;"📉 考察能力: "&amp;IFERROR(VLOOKUP(TRIM(D478)&amp;"_"&amp;TRIM(INDEX($N$1:$O$1, MATCH(MIN(N478:O478), N478:O478, 0))), 技能库!$A:$F, 5, 0),"建议查阅考纲")&amp;CHAR(10)&amp;"💡 提升建议: "&amp;IFERROR(VLOOKUP(TRIM(D478)&amp;"_"&amp;TRIM(INDEX($N$1:$O$1, MATCH(MIN(N478:O478), N478:O478, 0))), 技能库!$A:$F, 6, 0),"请针对该题型加强练习"))</f>
        <v/>
      </c>
      <c r="AC478" s="5" t="str">
        <f>IF(W478="","", "⚠️ 薄弱环节: "&amp;INDEX($R$1:$V$1, MATCH(MIN(R478:V478), R478:V478, 0))&amp;CHAR(10)&amp;"📉 考察能力: "&amp;IFERROR(VLOOKUP(TRIM(D478)&amp;"_"&amp;TRIM(INDEX($R$1:$V$1, MATCH(MIN(R478:V478), R478:V478, 0))), 技能库!$A:$F, 5, 0),"建议查阅考纲")&amp;CHAR(10)&amp;"💡 提升建议: "&amp;IFERROR(VLOOKUP(TRIM(D478)&amp;"_"&amp;TRIM(INDEX($R$1:$V$1, MATCH(MIN(R478:V478), R478:V478, 0))), 技能库!$A:$F, 6, 0),"请针对该题型加强练习"))</f>
        <v/>
      </c>
    </row>
    <row r="479" spans="12:29" ht="16" hidden="1" x14ac:dyDescent="0.2">
      <c r="L479" t="str">
        <f t="shared" si="28"/>
        <v/>
      </c>
      <c r="M479" t="str">
        <f>IF(L479="","", IFERROR(VLOOKUP(L479, IF(D479="KET", 换算标准!$M:$N, IF(D479="PET", 换算标准!$S:$T, 换算标准!$AC:$AD)), 2, TRUE), 0))</f>
        <v/>
      </c>
      <c r="P479" t="str">
        <f t="shared" si="29"/>
        <v/>
      </c>
      <c r="Q479" t="str">
        <f>IF(P479="","", IFERROR(VLOOKUP(P479, IF(D479="KET", 换算标准!$O:$P, IF(D479="PET", 换算标准!$U:$V, 换算标准!$AG:$AH)), 2, TRUE), 0))</f>
        <v/>
      </c>
      <c r="W479" t="str">
        <f t="shared" si="30"/>
        <v/>
      </c>
      <c r="X479" t="str">
        <f>IF(W479="","", IFERROR(VLOOKUP(W479, IF(D479="KET", 换算标准!$Q:$R, IF(D479="PET", 换算标准!$W:$X, 换算标准!$AI:$AJ)), 2, TRUE), 0))</f>
        <v/>
      </c>
      <c r="Y479" t="str">
        <f t="shared" si="31"/>
        <v/>
      </c>
      <c r="Z479" t="str">
        <f>IF(Y479="","", IFERROR(VLOOKUP(Y479, 换算标准!$Z:$AA, 1, TRUE), ""))</f>
        <v/>
      </c>
      <c r="AA479" s="5" t="str">
        <f>IF(L479="","", "⚠️ 薄弱环节: "&amp;INDEX($E$1:$K$1, MATCH(MIN(E479:K479), E479:K479, 0))&amp;CHAR(10)&amp;"📉 考察能力: "&amp;IFERROR(VLOOKUP(TRIM(D479)&amp;"_"&amp;TRIM(INDEX($E$1:$K$1, MATCH(MIN(E479:K479), E479:K479, 0))), 技能库!$A:$F, 5, 0),"建议查阅考纲")&amp;CHAR(10)&amp;"💡 提升建议: "&amp;IFERROR(VLOOKUP(TRIM(D479)&amp;"_"&amp;TRIM(INDEX($E$1:$K$1, MATCH(MIN(E479:K479), E479:K479, 0))), 技能库!$A:$F, 6, 0),"请针对该题型加强练习"))</f>
        <v/>
      </c>
      <c r="AB479" s="5" t="str">
        <f>IF(P479="","", "⚠️ 薄弱环节: "&amp;INDEX($N$1:$O$1, MATCH(MIN(N479:O479), N479:O479, 0))&amp;CHAR(10)&amp;"📉 考察能力: "&amp;IFERROR(VLOOKUP(TRIM(D479)&amp;"_"&amp;TRIM(INDEX($N$1:$O$1, MATCH(MIN(N479:O479), N479:O479, 0))), 技能库!$A:$F, 5, 0),"建议查阅考纲")&amp;CHAR(10)&amp;"💡 提升建议: "&amp;IFERROR(VLOOKUP(TRIM(D479)&amp;"_"&amp;TRIM(INDEX($N$1:$O$1, MATCH(MIN(N479:O479), N479:O479, 0))), 技能库!$A:$F, 6, 0),"请针对该题型加强练习"))</f>
        <v/>
      </c>
      <c r="AC479" s="5" t="str">
        <f>IF(W479="","", "⚠️ 薄弱环节: "&amp;INDEX($R$1:$V$1, MATCH(MIN(R479:V479), R479:V479, 0))&amp;CHAR(10)&amp;"📉 考察能力: "&amp;IFERROR(VLOOKUP(TRIM(D479)&amp;"_"&amp;TRIM(INDEX($R$1:$V$1, MATCH(MIN(R479:V479), R479:V479, 0))), 技能库!$A:$F, 5, 0),"建议查阅考纲")&amp;CHAR(10)&amp;"💡 提升建议: "&amp;IFERROR(VLOOKUP(TRIM(D479)&amp;"_"&amp;TRIM(INDEX($R$1:$V$1, MATCH(MIN(R479:V479), R479:V479, 0))), 技能库!$A:$F, 6, 0),"请针对该题型加强练习"))</f>
        <v/>
      </c>
    </row>
    <row r="480" spans="12:29" ht="16" hidden="1" x14ac:dyDescent="0.2">
      <c r="L480" t="str">
        <f t="shared" si="28"/>
        <v/>
      </c>
      <c r="M480" t="str">
        <f>IF(L480="","", IFERROR(VLOOKUP(L480, IF(D480="KET", 换算标准!$M:$N, IF(D480="PET", 换算标准!$S:$T, 换算标准!$AC:$AD)), 2, TRUE), 0))</f>
        <v/>
      </c>
      <c r="P480" t="str">
        <f t="shared" si="29"/>
        <v/>
      </c>
      <c r="Q480" t="str">
        <f>IF(P480="","", IFERROR(VLOOKUP(P480, IF(D480="KET", 换算标准!$O:$P, IF(D480="PET", 换算标准!$U:$V, 换算标准!$AG:$AH)), 2, TRUE), 0))</f>
        <v/>
      </c>
      <c r="W480" t="str">
        <f t="shared" si="30"/>
        <v/>
      </c>
      <c r="X480" t="str">
        <f>IF(W480="","", IFERROR(VLOOKUP(W480, IF(D480="KET", 换算标准!$Q:$R, IF(D480="PET", 换算标准!$W:$X, 换算标准!$AI:$AJ)), 2, TRUE), 0))</f>
        <v/>
      </c>
      <c r="Y480" t="str">
        <f t="shared" si="31"/>
        <v/>
      </c>
      <c r="Z480" t="str">
        <f>IF(Y480="","", IFERROR(VLOOKUP(Y480, 换算标准!$Z:$AA, 1, TRUE), ""))</f>
        <v/>
      </c>
      <c r="AA480" s="5" t="str">
        <f>IF(L480="","", "⚠️ 薄弱环节: "&amp;INDEX($E$1:$K$1, MATCH(MIN(E480:K480), E480:K480, 0))&amp;CHAR(10)&amp;"📉 考察能力: "&amp;IFERROR(VLOOKUP(TRIM(D480)&amp;"_"&amp;TRIM(INDEX($E$1:$K$1, MATCH(MIN(E480:K480), E480:K480, 0))), 技能库!$A:$F, 5, 0),"建议查阅考纲")&amp;CHAR(10)&amp;"💡 提升建议: "&amp;IFERROR(VLOOKUP(TRIM(D480)&amp;"_"&amp;TRIM(INDEX($E$1:$K$1, MATCH(MIN(E480:K480), E480:K480, 0))), 技能库!$A:$F, 6, 0),"请针对该题型加强练习"))</f>
        <v/>
      </c>
      <c r="AB480" s="5" t="str">
        <f>IF(P480="","", "⚠️ 薄弱环节: "&amp;INDEX($N$1:$O$1, MATCH(MIN(N480:O480), N480:O480, 0))&amp;CHAR(10)&amp;"📉 考察能力: "&amp;IFERROR(VLOOKUP(TRIM(D480)&amp;"_"&amp;TRIM(INDEX($N$1:$O$1, MATCH(MIN(N480:O480), N480:O480, 0))), 技能库!$A:$F, 5, 0),"建议查阅考纲")&amp;CHAR(10)&amp;"💡 提升建议: "&amp;IFERROR(VLOOKUP(TRIM(D480)&amp;"_"&amp;TRIM(INDEX($N$1:$O$1, MATCH(MIN(N480:O480), N480:O480, 0))), 技能库!$A:$F, 6, 0),"请针对该题型加强练习"))</f>
        <v/>
      </c>
      <c r="AC480" s="5" t="str">
        <f>IF(W480="","", "⚠️ 薄弱环节: "&amp;INDEX($R$1:$V$1, MATCH(MIN(R480:V480), R480:V480, 0))&amp;CHAR(10)&amp;"📉 考察能力: "&amp;IFERROR(VLOOKUP(TRIM(D480)&amp;"_"&amp;TRIM(INDEX($R$1:$V$1, MATCH(MIN(R480:V480), R480:V480, 0))), 技能库!$A:$F, 5, 0),"建议查阅考纲")&amp;CHAR(10)&amp;"💡 提升建议: "&amp;IFERROR(VLOOKUP(TRIM(D480)&amp;"_"&amp;TRIM(INDEX($R$1:$V$1, MATCH(MIN(R480:V480), R480:V480, 0))), 技能库!$A:$F, 6, 0),"请针对该题型加强练习"))</f>
        <v/>
      </c>
    </row>
    <row r="481" spans="12:29" ht="16" hidden="1" x14ac:dyDescent="0.2">
      <c r="L481" t="str">
        <f t="shared" si="28"/>
        <v/>
      </c>
      <c r="M481" t="str">
        <f>IF(L481="","", IFERROR(VLOOKUP(L481, IF(D481="KET", 换算标准!$M:$N, IF(D481="PET", 换算标准!$S:$T, 换算标准!$AC:$AD)), 2, TRUE), 0))</f>
        <v/>
      </c>
      <c r="P481" t="str">
        <f t="shared" si="29"/>
        <v/>
      </c>
      <c r="Q481" t="str">
        <f>IF(P481="","", IFERROR(VLOOKUP(P481, IF(D481="KET", 换算标准!$O:$P, IF(D481="PET", 换算标准!$U:$V, 换算标准!$AG:$AH)), 2, TRUE), 0))</f>
        <v/>
      </c>
      <c r="W481" t="str">
        <f t="shared" si="30"/>
        <v/>
      </c>
      <c r="X481" t="str">
        <f>IF(W481="","", IFERROR(VLOOKUP(W481, IF(D481="KET", 换算标准!$Q:$R, IF(D481="PET", 换算标准!$W:$X, 换算标准!$AI:$AJ)), 2, TRUE), 0))</f>
        <v/>
      </c>
      <c r="Y481" t="str">
        <f t="shared" si="31"/>
        <v/>
      </c>
      <c r="Z481" t="str">
        <f>IF(Y481="","", IFERROR(VLOOKUP(Y481, 换算标准!$Z:$AA, 1, TRUE), ""))</f>
        <v/>
      </c>
      <c r="AA481" s="5" t="str">
        <f>IF(L481="","", "⚠️ 薄弱环节: "&amp;INDEX($E$1:$K$1, MATCH(MIN(E481:K481), E481:K481, 0))&amp;CHAR(10)&amp;"📉 考察能力: "&amp;IFERROR(VLOOKUP(TRIM(D481)&amp;"_"&amp;TRIM(INDEX($E$1:$K$1, MATCH(MIN(E481:K481), E481:K481, 0))), 技能库!$A:$F, 5, 0),"建议查阅考纲")&amp;CHAR(10)&amp;"💡 提升建议: "&amp;IFERROR(VLOOKUP(TRIM(D481)&amp;"_"&amp;TRIM(INDEX($E$1:$K$1, MATCH(MIN(E481:K481), E481:K481, 0))), 技能库!$A:$F, 6, 0),"请针对该题型加强练习"))</f>
        <v/>
      </c>
      <c r="AB481" s="5" t="str">
        <f>IF(P481="","", "⚠️ 薄弱环节: "&amp;INDEX($N$1:$O$1, MATCH(MIN(N481:O481), N481:O481, 0))&amp;CHAR(10)&amp;"📉 考察能力: "&amp;IFERROR(VLOOKUP(TRIM(D481)&amp;"_"&amp;TRIM(INDEX($N$1:$O$1, MATCH(MIN(N481:O481), N481:O481, 0))), 技能库!$A:$F, 5, 0),"建议查阅考纲")&amp;CHAR(10)&amp;"💡 提升建议: "&amp;IFERROR(VLOOKUP(TRIM(D481)&amp;"_"&amp;TRIM(INDEX($N$1:$O$1, MATCH(MIN(N481:O481), N481:O481, 0))), 技能库!$A:$F, 6, 0),"请针对该题型加强练习"))</f>
        <v/>
      </c>
      <c r="AC481" s="5" t="str">
        <f>IF(W481="","", "⚠️ 薄弱环节: "&amp;INDEX($R$1:$V$1, MATCH(MIN(R481:V481), R481:V481, 0))&amp;CHAR(10)&amp;"📉 考察能力: "&amp;IFERROR(VLOOKUP(TRIM(D481)&amp;"_"&amp;TRIM(INDEX($R$1:$V$1, MATCH(MIN(R481:V481), R481:V481, 0))), 技能库!$A:$F, 5, 0),"建议查阅考纲")&amp;CHAR(10)&amp;"💡 提升建议: "&amp;IFERROR(VLOOKUP(TRIM(D481)&amp;"_"&amp;TRIM(INDEX($R$1:$V$1, MATCH(MIN(R481:V481), R481:V481, 0))), 技能库!$A:$F, 6, 0),"请针对该题型加强练习"))</f>
        <v/>
      </c>
    </row>
    <row r="482" spans="12:29" ht="16" hidden="1" x14ac:dyDescent="0.2">
      <c r="L482" t="str">
        <f t="shared" si="28"/>
        <v/>
      </c>
      <c r="M482" t="str">
        <f>IF(L482="","", IFERROR(VLOOKUP(L482, IF(D482="KET", 换算标准!$M:$N, IF(D482="PET", 换算标准!$S:$T, 换算标准!$AC:$AD)), 2, TRUE), 0))</f>
        <v/>
      </c>
      <c r="P482" t="str">
        <f t="shared" si="29"/>
        <v/>
      </c>
      <c r="Q482" t="str">
        <f>IF(P482="","", IFERROR(VLOOKUP(P482, IF(D482="KET", 换算标准!$O:$P, IF(D482="PET", 换算标准!$U:$V, 换算标准!$AG:$AH)), 2, TRUE), 0))</f>
        <v/>
      </c>
      <c r="W482" t="str">
        <f t="shared" si="30"/>
        <v/>
      </c>
      <c r="X482" t="str">
        <f>IF(W482="","", IFERROR(VLOOKUP(W482, IF(D482="KET", 换算标准!$Q:$R, IF(D482="PET", 换算标准!$W:$X, 换算标准!$AI:$AJ)), 2, TRUE), 0))</f>
        <v/>
      </c>
      <c r="Y482" t="str">
        <f t="shared" si="31"/>
        <v/>
      </c>
      <c r="Z482" t="str">
        <f>IF(Y482="","", IFERROR(VLOOKUP(Y482, 换算标准!$Z:$AA, 1, TRUE), ""))</f>
        <v/>
      </c>
      <c r="AA482" s="5" t="str">
        <f>IF(L482="","", "⚠️ 薄弱环节: "&amp;INDEX($E$1:$K$1, MATCH(MIN(E482:K482), E482:K482, 0))&amp;CHAR(10)&amp;"📉 考察能力: "&amp;IFERROR(VLOOKUP(TRIM(D482)&amp;"_"&amp;TRIM(INDEX($E$1:$K$1, MATCH(MIN(E482:K482), E482:K482, 0))), 技能库!$A:$F, 5, 0),"建议查阅考纲")&amp;CHAR(10)&amp;"💡 提升建议: "&amp;IFERROR(VLOOKUP(TRIM(D482)&amp;"_"&amp;TRIM(INDEX($E$1:$K$1, MATCH(MIN(E482:K482), E482:K482, 0))), 技能库!$A:$F, 6, 0),"请针对该题型加强练习"))</f>
        <v/>
      </c>
      <c r="AB482" s="5" t="str">
        <f>IF(P482="","", "⚠️ 薄弱环节: "&amp;INDEX($N$1:$O$1, MATCH(MIN(N482:O482), N482:O482, 0))&amp;CHAR(10)&amp;"📉 考察能力: "&amp;IFERROR(VLOOKUP(TRIM(D482)&amp;"_"&amp;TRIM(INDEX($N$1:$O$1, MATCH(MIN(N482:O482), N482:O482, 0))), 技能库!$A:$F, 5, 0),"建议查阅考纲")&amp;CHAR(10)&amp;"💡 提升建议: "&amp;IFERROR(VLOOKUP(TRIM(D482)&amp;"_"&amp;TRIM(INDEX($N$1:$O$1, MATCH(MIN(N482:O482), N482:O482, 0))), 技能库!$A:$F, 6, 0),"请针对该题型加强练习"))</f>
        <v/>
      </c>
      <c r="AC482" s="5" t="str">
        <f>IF(W482="","", "⚠️ 薄弱环节: "&amp;INDEX($R$1:$V$1, MATCH(MIN(R482:V482), R482:V482, 0))&amp;CHAR(10)&amp;"📉 考察能力: "&amp;IFERROR(VLOOKUP(TRIM(D482)&amp;"_"&amp;TRIM(INDEX($R$1:$V$1, MATCH(MIN(R482:V482), R482:V482, 0))), 技能库!$A:$F, 5, 0),"建议查阅考纲")&amp;CHAR(10)&amp;"💡 提升建议: "&amp;IFERROR(VLOOKUP(TRIM(D482)&amp;"_"&amp;TRIM(INDEX($R$1:$V$1, MATCH(MIN(R482:V482), R482:V482, 0))), 技能库!$A:$F, 6, 0),"请针对该题型加强练习"))</f>
        <v/>
      </c>
    </row>
    <row r="483" spans="12:29" ht="16" hidden="1" x14ac:dyDescent="0.2">
      <c r="L483" t="str">
        <f t="shared" si="28"/>
        <v/>
      </c>
      <c r="M483" t="str">
        <f>IF(L483="","", IFERROR(VLOOKUP(L483, IF(D483="KET", 换算标准!$M:$N, IF(D483="PET", 换算标准!$S:$T, 换算标准!$AC:$AD)), 2, TRUE), 0))</f>
        <v/>
      </c>
      <c r="P483" t="str">
        <f t="shared" si="29"/>
        <v/>
      </c>
      <c r="Q483" t="str">
        <f>IF(P483="","", IFERROR(VLOOKUP(P483, IF(D483="KET", 换算标准!$O:$P, IF(D483="PET", 换算标准!$U:$V, 换算标准!$AG:$AH)), 2, TRUE), 0))</f>
        <v/>
      </c>
      <c r="W483" t="str">
        <f t="shared" si="30"/>
        <v/>
      </c>
      <c r="X483" t="str">
        <f>IF(W483="","", IFERROR(VLOOKUP(W483, IF(D483="KET", 换算标准!$Q:$R, IF(D483="PET", 换算标准!$W:$X, 换算标准!$AI:$AJ)), 2, TRUE), 0))</f>
        <v/>
      </c>
      <c r="Y483" t="str">
        <f t="shared" si="31"/>
        <v/>
      </c>
      <c r="Z483" t="str">
        <f>IF(Y483="","", IFERROR(VLOOKUP(Y483, 换算标准!$Z:$AA, 1, TRUE), ""))</f>
        <v/>
      </c>
      <c r="AA483" s="5" t="str">
        <f>IF(L483="","", "⚠️ 薄弱环节: "&amp;INDEX($E$1:$K$1, MATCH(MIN(E483:K483), E483:K483, 0))&amp;CHAR(10)&amp;"📉 考察能力: "&amp;IFERROR(VLOOKUP(TRIM(D483)&amp;"_"&amp;TRIM(INDEX($E$1:$K$1, MATCH(MIN(E483:K483), E483:K483, 0))), 技能库!$A:$F, 5, 0),"建议查阅考纲")&amp;CHAR(10)&amp;"💡 提升建议: "&amp;IFERROR(VLOOKUP(TRIM(D483)&amp;"_"&amp;TRIM(INDEX($E$1:$K$1, MATCH(MIN(E483:K483), E483:K483, 0))), 技能库!$A:$F, 6, 0),"请针对该题型加强练习"))</f>
        <v/>
      </c>
      <c r="AB483" s="5" t="str">
        <f>IF(P483="","", "⚠️ 薄弱环节: "&amp;INDEX($N$1:$O$1, MATCH(MIN(N483:O483), N483:O483, 0))&amp;CHAR(10)&amp;"📉 考察能力: "&amp;IFERROR(VLOOKUP(TRIM(D483)&amp;"_"&amp;TRIM(INDEX($N$1:$O$1, MATCH(MIN(N483:O483), N483:O483, 0))), 技能库!$A:$F, 5, 0),"建议查阅考纲")&amp;CHAR(10)&amp;"💡 提升建议: "&amp;IFERROR(VLOOKUP(TRIM(D483)&amp;"_"&amp;TRIM(INDEX($N$1:$O$1, MATCH(MIN(N483:O483), N483:O483, 0))), 技能库!$A:$F, 6, 0),"请针对该题型加强练习"))</f>
        <v/>
      </c>
      <c r="AC483" s="5" t="str">
        <f>IF(W483="","", "⚠️ 薄弱环节: "&amp;INDEX($R$1:$V$1, MATCH(MIN(R483:V483), R483:V483, 0))&amp;CHAR(10)&amp;"📉 考察能力: "&amp;IFERROR(VLOOKUP(TRIM(D483)&amp;"_"&amp;TRIM(INDEX($R$1:$V$1, MATCH(MIN(R483:V483), R483:V483, 0))), 技能库!$A:$F, 5, 0),"建议查阅考纲")&amp;CHAR(10)&amp;"💡 提升建议: "&amp;IFERROR(VLOOKUP(TRIM(D483)&amp;"_"&amp;TRIM(INDEX($R$1:$V$1, MATCH(MIN(R483:V483), R483:V483, 0))), 技能库!$A:$F, 6, 0),"请针对该题型加强练习"))</f>
        <v/>
      </c>
    </row>
    <row r="484" spans="12:29" ht="16" hidden="1" x14ac:dyDescent="0.2">
      <c r="L484" t="str">
        <f t="shared" si="28"/>
        <v/>
      </c>
      <c r="M484" t="str">
        <f>IF(L484="","", IFERROR(VLOOKUP(L484, IF(D484="KET", 换算标准!$M:$N, IF(D484="PET", 换算标准!$S:$T, 换算标准!$AC:$AD)), 2, TRUE), 0))</f>
        <v/>
      </c>
      <c r="P484" t="str">
        <f t="shared" si="29"/>
        <v/>
      </c>
      <c r="Q484" t="str">
        <f>IF(P484="","", IFERROR(VLOOKUP(P484, IF(D484="KET", 换算标准!$O:$P, IF(D484="PET", 换算标准!$U:$V, 换算标准!$AG:$AH)), 2, TRUE), 0))</f>
        <v/>
      </c>
      <c r="W484" t="str">
        <f t="shared" si="30"/>
        <v/>
      </c>
      <c r="X484" t="str">
        <f>IF(W484="","", IFERROR(VLOOKUP(W484, IF(D484="KET", 换算标准!$Q:$R, IF(D484="PET", 换算标准!$W:$X, 换算标准!$AI:$AJ)), 2, TRUE), 0))</f>
        <v/>
      </c>
      <c r="Y484" t="str">
        <f t="shared" si="31"/>
        <v/>
      </c>
      <c r="Z484" t="str">
        <f>IF(Y484="","", IFERROR(VLOOKUP(Y484, 换算标准!$Z:$AA, 1, TRUE), ""))</f>
        <v/>
      </c>
      <c r="AA484" s="5" t="str">
        <f>IF(L484="","", "⚠️ 薄弱环节: "&amp;INDEX($E$1:$K$1, MATCH(MIN(E484:K484), E484:K484, 0))&amp;CHAR(10)&amp;"📉 考察能力: "&amp;IFERROR(VLOOKUP(TRIM(D484)&amp;"_"&amp;TRIM(INDEX($E$1:$K$1, MATCH(MIN(E484:K484), E484:K484, 0))), 技能库!$A:$F, 5, 0),"建议查阅考纲")&amp;CHAR(10)&amp;"💡 提升建议: "&amp;IFERROR(VLOOKUP(TRIM(D484)&amp;"_"&amp;TRIM(INDEX($E$1:$K$1, MATCH(MIN(E484:K484), E484:K484, 0))), 技能库!$A:$F, 6, 0),"请针对该题型加强练习"))</f>
        <v/>
      </c>
      <c r="AB484" s="5" t="str">
        <f>IF(P484="","", "⚠️ 薄弱环节: "&amp;INDEX($N$1:$O$1, MATCH(MIN(N484:O484), N484:O484, 0))&amp;CHAR(10)&amp;"📉 考察能力: "&amp;IFERROR(VLOOKUP(TRIM(D484)&amp;"_"&amp;TRIM(INDEX($N$1:$O$1, MATCH(MIN(N484:O484), N484:O484, 0))), 技能库!$A:$F, 5, 0),"建议查阅考纲")&amp;CHAR(10)&amp;"💡 提升建议: "&amp;IFERROR(VLOOKUP(TRIM(D484)&amp;"_"&amp;TRIM(INDEX($N$1:$O$1, MATCH(MIN(N484:O484), N484:O484, 0))), 技能库!$A:$F, 6, 0),"请针对该题型加强练习"))</f>
        <v/>
      </c>
      <c r="AC484" s="5" t="str">
        <f>IF(W484="","", "⚠️ 薄弱环节: "&amp;INDEX($R$1:$V$1, MATCH(MIN(R484:V484), R484:V484, 0))&amp;CHAR(10)&amp;"📉 考察能力: "&amp;IFERROR(VLOOKUP(TRIM(D484)&amp;"_"&amp;TRIM(INDEX($R$1:$V$1, MATCH(MIN(R484:V484), R484:V484, 0))), 技能库!$A:$F, 5, 0),"建议查阅考纲")&amp;CHAR(10)&amp;"💡 提升建议: "&amp;IFERROR(VLOOKUP(TRIM(D484)&amp;"_"&amp;TRIM(INDEX($R$1:$V$1, MATCH(MIN(R484:V484), R484:V484, 0))), 技能库!$A:$F, 6, 0),"请针对该题型加强练习"))</f>
        <v/>
      </c>
    </row>
    <row r="485" spans="12:29" ht="16" hidden="1" x14ac:dyDescent="0.2">
      <c r="L485" t="str">
        <f t="shared" si="28"/>
        <v/>
      </c>
      <c r="M485" t="str">
        <f>IF(L485="","", IFERROR(VLOOKUP(L485, IF(D485="KET", 换算标准!$M:$N, IF(D485="PET", 换算标准!$S:$T, 换算标准!$AC:$AD)), 2, TRUE), 0))</f>
        <v/>
      </c>
      <c r="P485" t="str">
        <f t="shared" si="29"/>
        <v/>
      </c>
      <c r="Q485" t="str">
        <f>IF(P485="","", IFERROR(VLOOKUP(P485, IF(D485="KET", 换算标准!$O:$P, IF(D485="PET", 换算标准!$U:$V, 换算标准!$AG:$AH)), 2, TRUE), 0))</f>
        <v/>
      </c>
      <c r="W485" t="str">
        <f t="shared" si="30"/>
        <v/>
      </c>
      <c r="X485" t="str">
        <f>IF(W485="","", IFERROR(VLOOKUP(W485, IF(D485="KET", 换算标准!$Q:$R, IF(D485="PET", 换算标准!$W:$X, 换算标准!$AI:$AJ)), 2, TRUE), 0))</f>
        <v/>
      </c>
      <c r="Y485" t="str">
        <f t="shared" si="31"/>
        <v/>
      </c>
      <c r="Z485" t="str">
        <f>IF(Y485="","", IFERROR(VLOOKUP(Y485, 换算标准!$Z:$AA, 1, TRUE), ""))</f>
        <v/>
      </c>
      <c r="AA485" s="5" t="str">
        <f>IF(L485="","", "⚠️ 薄弱环节: "&amp;INDEX($E$1:$K$1, MATCH(MIN(E485:K485), E485:K485, 0))&amp;CHAR(10)&amp;"📉 考察能力: "&amp;IFERROR(VLOOKUP(TRIM(D485)&amp;"_"&amp;TRIM(INDEX($E$1:$K$1, MATCH(MIN(E485:K485), E485:K485, 0))), 技能库!$A:$F, 5, 0),"建议查阅考纲")&amp;CHAR(10)&amp;"💡 提升建议: "&amp;IFERROR(VLOOKUP(TRIM(D485)&amp;"_"&amp;TRIM(INDEX($E$1:$K$1, MATCH(MIN(E485:K485), E485:K485, 0))), 技能库!$A:$F, 6, 0),"请针对该题型加强练习"))</f>
        <v/>
      </c>
      <c r="AB485" s="5" t="str">
        <f>IF(P485="","", "⚠️ 薄弱环节: "&amp;INDEX($N$1:$O$1, MATCH(MIN(N485:O485), N485:O485, 0))&amp;CHAR(10)&amp;"📉 考察能力: "&amp;IFERROR(VLOOKUP(TRIM(D485)&amp;"_"&amp;TRIM(INDEX($N$1:$O$1, MATCH(MIN(N485:O485), N485:O485, 0))), 技能库!$A:$F, 5, 0),"建议查阅考纲")&amp;CHAR(10)&amp;"💡 提升建议: "&amp;IFERROR(VLOOKUP(TRIM(D485)&amp;"_"&amp;TRIM(INDEX($N$1:$O$1, MATCH(MIN(N485:O485), N485:O485, 0))), 技能库!$A:$F, 6, 0),"请针对该题型加强练习"))</f>
        <v/>
      </c>
      <c r="AC485" s="5" t="str">
        <f>IF(W485="","", "⚠️ 薄弱环节: "&amp;INDEX($R$1:$V$1, MATCH(MIN(R485:V485), R485:V485, 0))&amp;CHAR(10)&amp;"📉 考察能力: "&amp;IFERROR(VLOOKUP(TRIM(D485)&amp;"_"&amp;TRIM(INDEX($R$1:$V$1, MATCH(MIN(R485:V485), R485:V485, 0))), 技能库!$A:$F, 5, 0),"建议查阅考纲")&amp;CHAR(10)&amp;"💡 提升建议: "&amp;IFERROR(VLOOKUP(TRIM(D485)&amp;"_"&amp;TRIM(INDEX($R$1:$V$1, MATCH(MIN(R485:V485), R485:V485, 0))), 技能库!$A:$F, 6, 0),"请针对该题型加强练习"))</f>
        <v/>
      </c>
    </row>
    <row r="486" spans="12:29" ht="16" hidden="1" x14ac:dyDescent="0.2">
      <c r="L486" t="str">
        <f t="shared" si="28"/>
        <v/>
      </c>
      <c r="M486" t="str">
        <f>IF(L486="","", IFERROR(VLOOKUP(L486, IF(D486="KET", 换算标准!$M:$N, IF(D486="PET", 换算标准!$S:$T, 换算标准!$AC:$AD)), 2, TRUE), 0))</f>
        <v/>
      </c>
      <c r="P486" t="str">
        <f t="shared" si="29"/>
        <v/>
      </c>
      <c r="Q486" t="str">
        <f>IF(P486="","", IFERROR(VLOOKUP(P486, IF(D486="KET", 换算标准!$O:$P, IF(D486="PET", 换算标准!$U:$V, 换算标准!$AG:$AH)), 2, TRUE), 0))</f>
        <v/>
      </c>
      <c r="W486" t="str">
        <f t="shared" si="30"/>
        <v/>
      </c>
      <c r="X486" t="str">
        <f>IF(W486="","", IFERROR(VLOOKUP(W486, IF(D486="KET", 换算标准!$Q:$R, IF(D486="PET", 换算标准!$W:$X, 换算标准!$AI:$AJ)), 2, TRUE), 0))</f>
        <v/>
      </c>
      <c r="Y486" t="str">
        <f t="shared" si="31"/>
        <v/>
      </c>
      <c r="Z486" t="str">
        <f>IF(Y486="","", IFERROR(VLOOKUP(Y486, 换算标准!$Z:$AA, 1, TRUE), ""))</f>
        <v/>
      </c>
      <c r="AA486" s="5" t="str">
        <f>IF(L486="","", "⚠️ 薄弱环节: "&amp;INDEX($E$1:$K$1, MATCH(MIN(E486:K486), E486:K486, 0))&amp;CHAR(10)&amp;"📉 考察能力: "&amp;IFERROR(VLOOKUP(TRIM(D486)&amp;"_"&amp;TRIM(INDEX($E$1:$K$1, MATCH(MIN(E486:K486), E486:K486, 0))), 技能库!$A:$F, 5, 0),"建议查阅考纲")&amp;CHAR(10)&amp;"💡 提升建议: "&amp;IFERROR(VLOOKUP(TRIM(D486)&amp;"_"&amp;TRIM(INDEX($E$1:$K$1, MATCH(MIN(E486:K486), E486:K486, 0))), 技能库!$A:$F, 6, 0),"请针对该题型加强练习"))</f>
        <v/>
      </c>
      <c r="AB486" s="5" t="str">
        <f>IF(P486="","", "⚠️ 薄弱环节: "&amp;INDEX($N$1:$O$1, MATCH(MIN(N486:O486), N486:O486, 0))&amp;CHAR(10)&amp;"📉 考察能力: "&amp;IFERROR(VLOOKUP(TRIM(D486)&amp;"_"&amp;TRIM(INDEX($N$1:$O$1, MATCH(MIN(N486:O486), N486:O486, 0))), 技能库!$A:$F, 5, 0),"建议查阅考纲")&amp;CHAR(10)&amp;"💡 提升建议: "&amp;IFERROR(VLOOKUP(TRIM(D486)&amp;"_"&amp;TRIM(INDEX($N$1:$O$1, MATCH(MIN(N486:O486), N486:O486, 0))), 技能库!$A:$F, 6, 0),"请针对该题型加强练习"))</f>
        <v/>
      </c>
      <c r="AC486" s="5" t="str">
        <f>IF(W486="","", "⚠️ 薄弱环节: "&amp;INDEX($R$1:$V$1, MATCH(MIN(R486:V486), R486:V486, 0))&amp;CHAR(10)&amp;"📉 考察能力: "&amp;IFERROR(VLOOKUP(TRIM(D486)&amp;"_"&amp;TRIM(INDEX($R$1:$V$1, MATCH(MIN(R486:V486), R486:V486, 0))), 技能库!$A:$F, 5, 0),"建议查阅考纲")&amp;CHAR(10)&amp;"💡 提升建议: "&amp;IFERROR(VLOOKUP(TRIM(D486)&amp;"_"&amp;TRIM(INDEX($R$1:$V$1, MATCH(MIN(R486:V486), R486:V486, 0))), 技能库!$A:$F, 6, 0),"请针对该题型加强练习"))</f>
        <v/>
      </c>
    </row>
    <row r="487" spans="12:29" ht="16" hidden="1" x14ac:dyDescent="0.2">
      <c r="L487" t="str">
        <f t="shared" si="28"/>
        <v/>
      </c>
      <c r="M487" t="str">
        <f>IF(L487="","", IFERROR(VLOOKUP(L487, IF(D487="KET", 换算标准!$M:$N, IF(D487="PET", 换算标准!$S:$T, 换算标准!$AC:$AD)), 2, TRUE), 0))</f>
        <v/>
      </c>
      <c r="P487" t="str">
        <f t="shared" si="29"/>
        <v/>
      </c>
      <c r="Q487" t="str">
        <f>IF(P487="","", IFERROR(VLOOKUP(P487, IF(D487="KET", 换算标准!$O:$P, IF(D487="PET", 换算标准!$U:$V, 换算标准!$AG:$AH)), 2, TRUE), 0))</f>
        <v/>
      </c>
      <c r="W487" t="str">
        <f t="shared" si="30"/>
        <v/>
      </c>
      <c r="X487" t="str">
        <f>IF(W487="","", IFERROR(VLOOKUP(W487, IF(D487="KET", 换算标准!$Q:$R, IF(D487="PET", 换算标准!$W:$X, 换算标准!$AI:$AJ)), 2, TRUE), 0))</f>
        <v/>
      </c>
      <c r="Y487" t="str">
        <f t="shared" si="31"/>
        <v/>
      </c>
      <c r="Z487" t="str">
        <f>IF(Y487="","", IFERROR(VLOOKUP(Y487, 换算标准!$Z:$AA, 1, TRUE), ""))</f>
        <v/>
      </c>
      <c r="AA487" s="5" t="str">
        <f>IF(L487="","", "⚠️ 薄弱环节: "&amp;INDEX($E$1:$K$1, MATCH(MIN(E487:K487), E487:K487, 0))&amp;CHAR(10)&amp;"📉 考察能力: "&amp;IFERROR(VLOOKUP(TRIM(D487)&amp;"_"&amp;TRIM(INDEX($E$1:$K$1, MATCH(MIN(E487:K487), E487:K487, 0))), 技能库!$A:$F, 5, 0),"建议查阅考纲")&amp;CHAR(10)&amp;"💡 提升建议: "&amp;IFERROR(VLOOKUP(TRIM(D487)&amp;"_"&amp;TRIM(INDEX($E$1:$K$1, MATCH(MIN(E487:K487), E487:K487, 0))), 技能库!$A:$F, 6, 0),"请针对该题型加强练习"))</f>
        <v/>
      </c>
      <c r="AB487" s="5" t="str">
        <f>IF(P487="","", "⚠️ 薄弱环节: "&amp;INDEX($N$1:$O$1, MATCH(MIN(N487:O487), N487:O487, 0))&amp;CHAR(10)&amp;"📉 考察能力: "&amp;IFERROR(VLOOKUP(TRIM(D487)&amp;"_"&amp;TRIM(INDEX($N$1:$O$1, MATCH(MIN(N487:O487), N487:O487, 0))), 技能库!$A:$F, 5, 0),"建议查阅考纲")&amp;CHAR(10)&amp;"💡 提升建议: "&amp;IFERROR(VLOOKUP(TRIM(D487)&amp;"_"&amp;TRIM(INDEX($N$1:$O$1, MATCH(MIN(N487:O487), N487:O487, 0))), 技能库!$A:$F, 6, 0),"请针对该题型加强练习"))</f>
        <v/>
      </c>
      <c r="AC487" s="5" t="str">
        <f>IF(W487="","", "⚠️ 薄弱环节: "&amp;INDEX($R$1:$V$1, MATCH(MIN(R487:V487), R487:V487, 0))&amp;CHAR(10)&amp;"📉 考察能力: "&amp;IFERROR(VLOOKUP(TRIM(D487)&amp;"_"&amp;TRIM(INDEX($R$1:$V$1, MATCH(MIN(R487:V487), R487:V487, 0))), 技能库!$A:$F, 5, 0),"建议查阅考纲")&amp;CHAR(10)&amp;"💡 提升建议: "&amp;IFERROR(VLOOKUP(TRIM(D487)&amp;"_"&amp;TRIM(INDEX($R$1:$V$1, MATCH(MIN(R487:V487), R487:V487, 0))), 技能库!$A:$F, 6, 0),"请针对该题型加强练习"))</f>
        <v/>
      </c>
    </row>
    <row r="488" spans="12:29" ht="16" hidden="1" x14ac:dyDescent="0.2">
      <c r="L488" t="str">
        <f t="shared" si="28"/>
        <v/>
      </c>
      <c r="M488" t="str">
        <f>IF(L488="","", IFERROR(VLOOKUP(L488, IF(D488="KET", 换算标准!$M:$N, IF(D488="PET", 换算标准!$S:$T, 换算标准!$AC:$AD)), 2, TRUE), 0))</f>
        <v/>
      </c>
      <c r="P488" t="str">
        <f t="shared" si="29"/>
        <v/>
      </c>
      <c r="Q488" t="str">
        <f>IF(P488="","", IFERROR(VLOOKUP(P488, IF(D488="KET", 换算标准!$O:$P, IF(D488="PET", 换算标准!$U:$V, 换算标准!$AG:$AH)), 2, TRUE), 0))</f>
        <v/>
      </c>
      <c r="W488" t="str">
        <f t="shared" si="30"/>
        <v/>
      </c>
      <c r="X488" t="str">
        <f>IF(W488="","", IFERROR(VLOOKUP(W488, IF(D488="KET", 换算标准!$Q:$R, IF(D488="PET", 换算标准!$W:$X, 换算标准!$AI:$AJ)), 2, TRUE), 0))</f>
        <v/>
      </c>
      <c r="Y488" t="str">
        <f t="shared" si="31"/>
        <v/>
      </c>
      <c r="Z488" t="str">
        <f>IF(Y488="","", IFERROR(VLOOKUP(Y488, 换算标准!$Z:$AA, 1, TRUE), ""))</f>
        <v/>
      </c>
      <c r="AA488" s="5" t="str">
        <f>IF(L488="","", "⚠️ 薄弱环节: "&amp;INDEX($E$1:$K$1, MATCH(MIN(E488:K488), E488:K488, 0))&amp;CHAR(10)&amp;"📉 考察能力: "&amp;IFERROR(VLOOKUP(TRIM(D488)&amp;"_"&amp;TRIM(INDEX($E$1:$K$1, MATCH(MIN(E488:K488), E488:K488, 0))), 技能库!$A:$F, 5, 0),"建议查阅考纲")&amp;CHAR(10)&amp;"💡 提升建议: "&amp;IFERROR(VLOOKUP(TRIM(D488)&amp;"_"&amp;TRIM(INDEX($E$1:$K$1, MATCH(MIN(E488:K488), E488:K488, 0))), 技能库!$A:$F, 6, 0),"请针对该题型加强练习"))</f>
        <v/>
      </c>
      <c r="AB488" s="5" t="str">
        <f>IF(P488="","", "⚠️ 薄弱环节: "&amp;INDEX($N$1:$O$1, MATCH(MIN(N488:O488), N488:O488, 0))&amp;CHAR(10)&amp;"📉 考察能力: "&amp;IFERROR(VLOOKUP(TRIM(D488)&amp;"_"&amp;TRIM(INDEX($N$1:$O$1, MATCH(MIN(N488:O488), N488:O488, 0))), 技能库!$A:$F, 5, 0),"建议查阅考纲")&amp;CHAR(10)&amp;"💡 提升建议: "&amp;IFERROR(VLOOKUP(TRIM(D488)&amp;"_"&amp;TRIM(INDEX($N$1:$O$1, MATCH(MIN(N488:O488), N488:O488, 0))), 技能库!$A:$F, 6, 0),"请针对该题型加强练习"))</f>
        <v/>
      </c>
      <c r="AC488" s="5" t="str">
        <f>IF(W488="","", "⚠️ 薄弱环节: "&amp;INDEX($R$1:$V$1, MATCH(MIN(R488:V488), R488:V488, 0))&amp;CHAR(10)&amp;"📉 考察能力: "&amp;IFERROR(VLOOKUP(TRIM(D488)&amp;"_"&amp;TRIM(INDEX($R$1:$V$1, MATCH(MIN(R488:V488), R488:V488, 0))), 技能库!$A:$F, 5, 0),"建议查阅考纲")&amp;CHAR(10)&amp;"💡 提升建议: "&amp;IFERROR(VLOOKUP(TRIM(D488)&amp;"_"&amp;TRIM(INDEX($R$1:$V$1, MATCH(MIN(R488:V488), R488:V488, 0))), 技能库!$A:$F, 6, 0),"请针对该题型加强练习"))</f>
        <v/>
      </c>
    </row>
    <row r="489" spans="12:29" ht="16" hidden="1" x14ac:dyDescent="0.2">
      <c r="L489" t="str">
        <f t="shared" si="28"/>
        <v/>
      </c>
      <c r="M489" t="str">
        <f>IF(L489="","", IFERROR(VLOOKUP(L489, IF(D489="KET", 换算标准!$M:$N, IF(D489="PET", 换算标准!$S:$T, 换算标准!$AC:$AD)), 2, TRUE), 0))</f>
        <v/>
      </c>
      <c r="P489" t="str">
        <f t="shared" si="29"/>
        <v/>
      </c>
      <c r="Q489" t="str">
        <f>IF(P489="","", IFERROR(VLOOKUP(P489, IF(D489="KET", 换算标准!$O:$P, IF(D489="PET", 换算标准!$U:$V, 换算标准!$AG:$AH)), 2, TRUE), 0))</f>
        <v/>
      </c>
      <c r="W489" t="str">
        <f t="shared" si="30"/>
        <v/>
      </c>
      <c r="X489" t="str">
        <f>IF(W489="","", IFERROR(VLOOKUP(W489, IF(D489="KET", 换算标准!$Q:$R, IF(D489="PET", 换算标准!$W:$X, 换算标准!$AI:$AJ)), 2, TRUE), 0))</f>
        <v/>
      </c>
      <c r="Y489" t="str">
        <f t="shared" si="31"/>
        <v/>
      </c>
      <c r="Z489" t="str">
        <f>IF(Y489="","", IFERROR(VLOOKUP(Y489, 换算标准!$Z:$AA, 1, TRUE), ""))</f>
        <v/>
      </c>
      <c r="AA489" s="5" t="str">
        <f>IF(L489="","", "⚠️ 薄弱环节: "&amp;INDEX($E$1:$K$1, MATCH(MIN(E489:K489), E489:K489, 0))&amp;CHAR(10)&amp;"📉 考察能力: "&amp;IFERROR(VLOOKUP(TRIM(D489)&amp;"_"&amp;TRIM(INDEX($E$1:$K$1, MATCH(MIN(E489:K489), E489:K489, 0))), 技能库!$A:$F, 5, 0),"建议查阅考纲")&amp;CHAR(10)&amp;"💡 提升建议: "&amp;IFERROR(VLOOKUP(TRIM(D489)&amp;"_"&amp;TRIM(INDEX($E$1:$K$1, MATCH(MIN(E489:K489), E489:K489, 0))), 技能库!$A:$F, 6, 0),"请针对该题型加强练习"))</f>
        <v/>
      </c>
      <c r="AB489" s="5" t="str">
        <f>IF(P489="","", "⚠️ 薄弱环节: "&amp;INDEX($N$1:$O$1, MATCH(MIN(N489:O489), N489:O489, 0))&amp;CHAR(10)&amp;"📉 考察能力: "&amp;IFERROR(VLOOKUP(TRIM(D489)&amp;"_"&amp;TRIM(INDEX($N$1:$O$1, MATCH(MIN(N489:O489), N489:O489, 0))), 技能库!$A:$F, 5, 0),"建议查阅考纲")&amp;CHAR(10)&amp;"💡 提升建议: "&amp;IFERROR(VLOOKUP(TRIM(D489)&amp;"_"&amp;TRIM(INDEX($N$1:$O$1, MATCH(MIN(N489:O489), N489:O489, 0))), 技能库!$A:$F, 6, 0),"请针对该题型加强练习"))</f>
        <v/>
      </c>
      <c r="AC489" s="5" t="str">
        <f>IF(W489="","", "⚠️ 薄弱环节: "&amp;INDEX($R$1:$V$1, MATCH(MIN(R489:V489), R489:V489, 0))&amp;CHAR(10)&amp;"📉 考察能力: "&amp;IFERROR(VLOOKUP(TRIM(D489)&amp;"_"&amp;TRIM(INDEX($R$1:$V$1, MATCH(MIN(R489:V489), R489:V489, 0))), 技能库!$A:$F, 5, 0),"建议查阅考纲")&amp;CHAR(10)&amp;"💡 提升建议: "&amp;IFERROR(VLOOKUP(TRIM(D489)&amp;"_"&amp;TRIM(INDEX($R$1:$V$1, MATCH(MIN(R489:V489), R489:V489, 0))), 技能库!$A:$F, 6, 0),"请针对该题型加强练习"))</f>
        <v/>
      </c>
    </row>
    <row r="490" spans="12:29" ht="16" hidden="1" x14ac:dyDescent="0.2">
      <c r="L490" t="str">
        <f t="shared" si="28"/>
        <v/>
      </c>
      <c r="M490" t="str">
        <f>IF(L490="","", IFERROR(VLOOKUP(L490, IF(D490="KET", 换算标准!$M:$N, IF(D490="PET", 换算标准!$S:$T, 换算标准!$AC:$AD)), 2, TRUE), 0))</f>
        <v/>
      </c>
      <c r="P490" t="str">
        <f t="shared" si="29"/>
        <v/>
      </c>
      <c r="Q490" t="str">
        <f>IF(P490="","", IFERROR(VLOOKUP(P490, IF(D490="KET", 换算标准!$O:$P, IF(D490="PET", 换算标准!$U:$V, 换算标准!$AG:$AH)), 2, TRUE), 0))</f>
        <v/>
      </c>
      <c r="W490" t="str">
        <f t="shared" si="30"/>
        <v/>
      </c>
      <c r="X490" t="str">
        <f>IF(W490="","", IFERROR(VLOOKUP(W490, IF(D490="KET", 换算标准!$Q:$R, IF(D490="PET", 换算标准!$W:$X, 换算标准!$AI:$AJ)), 2, TRUE), 0))</f>
        <v/>
      </c>
      <c r="Y490" t="str">
        <f t="shared" si="31"/>
        <v/>
      </c>
      <c r="Z490" t="str">
        <f>IF(Y490="","", IFERROR(VLOOKUP(Y490, 换算标准!$Z:$AA, 1, TRUE), ""))</f>
        <v/>
      </c>
      <c r="AA490" s="5" t="str">
        <f>IF(L490="","", "⚠️ 薄弱环节: "&amp;INDEX($E$1:$K$1, MATCH(MIN(E490:K490), E490:K490, 0))&amp;CHAR(10)&amp;"📉 考察能力: "&amp;IFERROR(VLOOKUP(TRIM(D490)&amp;"_"&amp;TRIM(INDEX($E$1:$K$1, MATCH(MIN(E490:K490), E490:K490, 0))), 技能库!$A:$F, 5, 0),"建议查阅考纲")&amp;CHAR(10)&amp;"💡 提升建议: "&amp;IFERROR(VLOOKUP(TRIM(D490)&amp;"_"&amp;TRIM(INDEX($E$1:$K$1, MATCH(MIN(E490:K490), E490:K490, 0))), 技能库!$A:$F, 6, 0),"请针对该题型加强练习"))</f>
        <v/>
      </c>
      <c r="AB490" s="5" t="str">
        <f>IF(P490="","", "⚠️ 薄弱环节: "&amp;INDEX($N$1:$O$1, MATCH(MIN(N490:O490), N490:O490, 0))&amp;CHAR(10)&amp;"📉 考察能力: "&amp;IFERROR(VLOOKUP(TRIM(D490)&amp;"_"&amp;TRIM(INDEX($N$1:$O$1, MATCH(MIN(N490:O490), N490:O490, 0))), 技能库!$A:$F, 5, 0),"建议查阅考纲")&amp;CHAR(10)&amp;"💡 提升建议: "&amp;IFERROR(VLOOKUP(TRIM(D490)&amp;"_"&amp;TRIM(INDEX($N$1:$O$1, MATCH(MIN(N490:O490), N490:O490, 0))), 技能库!$A:$F, 6, 0),"请针对该题型加强练习"))</f>
        <v/>
      </c>
      <c r="AC490" s="5" t="str">
        <f>IF(W490="","", "⚠️ 薄弱环节: "&amp;INDEX($R$1:$V$1, MATCH(MIN(R490:V490), R490:V490, 0))&amp;CHAR(10)&amp;"📉 考察能力: "&amp;IFERROR(VLOOKUP(TRIM(D490)&amp;"_"&amp;TRIM(INDEX($R$1:$V$1, MATCH(MIN(R490:V490), R490:V490, 0))), 技能库!$A:$F, 5, 0),"建议查阅考纲")&amp;CHAR(10)&amp;"💡 提升建议: "&amp;IFERROR(VLOOKUP(TRIM(D490)&amp;"_"&amp;TRIM(INDEX($R$1:$V$1, MATCH(MIN(R490:V490), R490:V490, 0))), 技能库!$A:$F, 6, 0),"请针对该题型加强练习"))</f>
        <v/>
      </c>
    </row>
    <row r="491" spans="12:29" ht="16" hidden="1" x14ac:dyDescent="0.2">
      <c r="L491" t="str">
        <f t="shared" si="28"/>
        <v/>
      </c>
      <c r="M491" t="str">
        <f>IF(L491="","", IFERROR(VLOOKUP(L491, IF(D491="KET", 换算标准!$M:$N, IF(D491="PET", 换算标准!$S:$T, 换算标准!$AC:$AD)), 2, TRUE), 0))</f>
        <v/>
      </c>
      <c r="P491" t="str">
        <f t="shared" si="29"/>
        <v/>
      </c>
      <c r="Q491" t="str">
        <f>IF(P491="","", IFERROR(VLOOKUP(P491, IF(D491="KET", 换算标准!$O:$P, IF(D491="PET", 换算标准!$U:$V, 换算标准!$AG:$AH)), 2, TRUE), 0))</f>
        <v/>
      </c>
      <c r="W491" t="str">
        <f t="shared" si="30"/>
        <v/>
      </c>
      <c r="X491" t="str">
        <f>IF(W491="","", IFERROR(VLOOKUP(W491, IF(D491="KET", 换算标准!$Q:$R, IF(D491="PET", 换算标准!$W:$X, 换算标准!$AI:$AJ)), 2, TRUE), 0))</f>
        <v/>
      </c>
      <c r="Y491" t="str">
        <f t="shared" si="31"/>
        <v/>
      </c>
      <c r="Z491" t="str">
        <f>IF(Y491="","", IFERROR(VLOOKUP(Y491, 换算标准!$Z:$AA, 1, TRUE), ""))</f>
        <v/>
      </c>
      <c r="AA491" s="5" t="str">
        <f>IF(L491="","", "⚠️ 薄弱环节: "&amp;INDEX($E$1:$K$1, MATCH(MIN(E491:K491), E491:K491, 0))&amp;CHAR(10)&amp;"📉 考察能力: "&amp;IFERROR(VLOOKUP(TRIM(D491)&amp;"_"&amp;TRIM(INDEX($E$1:$K$1, MATCH(MIN(E491:K491), E491:K491, 0))), 技能库!$A:$F, 5, 0),"建议查阅考纲")&amp;CHAR(10)&amp;"💡 提升建议: "&amp;IFERROR(VLOOKUP(TRIM(D491)&amp;"_"&amp;TRIM(INDEX($E$1:$K$1, MATCH(MIN(E491:K491), E491:K491, 0))), 技能库!$A:$F, 6, 0),"请针对该题型加强练习"))</f>
        <v/>
      </c>
      <c r="AB491" s="5" t="str">
        <f>IF(P491="","", "⚠️ 薄弱环节: "&amp;INDEX($N$1:$O$1, MATCH(MIN(N491:O491), N491:O491, 0))&amp;CHAR(10)&amp;"📉 考察能力: "&amp;IFERROR(VLOOKUP(TRIM(D491)&amp;"_"&amp;TRIM(INDEX($N$1:$O$1, MATCH(MIN(N491:O491), N491:O491, 0))), 技能库!$A:$F, 5, 0),"建议查阅考纲")&amp;CHAR(10)&amp;"💡 提升建议: "&amp;IFERROR(VLOOKUP(TRIM(D491)&amp;"_"&amp;TRIM(INDEX($N$1:$O$1, MATCH(MIN(N491:O491), N491:O491, 0))), 技能库!$A:$F, 6, 0),"请针对该题型加强练习"))</f>
        <v/>
      </c>
      <c r="AC491" s="5" t="str">
        <f>IF(W491="","", "⚠️ 薄弱环节: "&amp;INDEX($R$1:$V$1, MATCH(MIN(R491:V491), R491:V491, 0))&amp;CHAR(10)&amp;"📉 考察能力: "&amp;IFERROR(VLOOKUP(TRIM(D491)&amp;"_"&amp;TRIM(INDEX($R$1:$V$1, MATCH(MIN(R491:V491), R491:V491, 0))), 技能库!$A:$F, 5, 0),"建议查阅考纲")&amp;CHAR(10)&amp;"💡 提升建议: "&amp;IFERROR(VLOOKUP(TRIM(D491)&amp;"_"&amp;TRIM(INDEX($R$1:$V$1, MATCH(MIN(R491:V491), R491:V491, 0))), 技能库!$A:$F, 6, 0),"请针对该题型加强练习"))</f>
        <v/>
      </c>
    </row>
    <row r="492" spans="12:29" ht="16" hidden="1" x14ac:dyDescent="0.2">
      <c r="L492" t="str">
        <f t="shared" si="28"/>
        <v/>
      </c>
      <c r="M492" t="str">
        <f>IF(L492="","", IFERROR(VLOOKUP(L492, IF(D492="KET", 换算标准!$M:$N, IF(D492="PET", 换算标准!$S:$T, 换算标准!$AC:$AD)), 2, TRUE), 0))</f>
        <v/>
      </c>
      <c r="P492" t="str">
        <f t="shared" si="29"/>
        <v/>
      </c>
      <c r="Q492" t="str">
        <f>IF(P492="","", IFERROR(VLOOKUP(P492, IF(D492="KET", 换算标准!$O:$P, IF(D492="PET", 换算标准!$U:$V, 换算标准!$AG:$AH)), 2, TRUE), 0))</f>
        <v/>
      </c>
      <c r="W492" t="str">
        <f t="shared" si="30"/>
        <v/>
      </c>
      <c r="X492" t="str">
        <f>IF(W492="","", IFERROR(VLOOKUP(W492, IF(D492="KET", 换算标准!$Q:$R, IF(D492="PET", 换算标准!$W:$X, 换算标准!$AI:$AJ)), 2, TRUE), 0))</f>
        <v/>
      </c>
      <c r="Y492" t="str">
        <f t="shared" si="31"/>
        <v/>
      </c>
      <c r="Z492" t="str">
        <f>IF(Y492="","", IFERROR(VLOOKUP(Y492, 换算标准!$Z:$AA, 1, TRUE), ""))</f>
        <v/>
      </c>
      <c r="AA492" s="5" t="str">
        <f>IF(L492="","", "⚠️ 薄弱环节: "&amp;INDEX($E$1:$K$1, MATCH(MIN(E492:K492), E492:K492, 0))&amp;CHAR(10)&amp;"📉 考察能力: "&amp;IFERROR(VLOOKUP(TRIM(D492)&amp;"_"&amp;TRIM(INDEX($E$1:$K$1, MATCH(MIN(E492:K492), E492:K492, 0))), 技能库!$A:$F, 5, 0),"建议查阅考纲")&amp;CHAR(10)&amp;"💡 提升建议: "&amp;IFERROR(VLOOKUP(TRIM(D492)&amp;"_"&amp;TRIM(INDEX($E$1:$K$1, MATCH(MIN(E492:K492), E492:K492, 0))), 技能库!$A:$F, 6, 0),"请针对该题型加强练习"))</f>
        <v/>
      </c>
      <c r="AB492" s="5" t="str">
        <f>IF(P492="","", "⚠️ 薄弱环节: "&amp;INDEX($N$1:$O$1, MATCH(MIN(N492:O492), N492:O492, 0))&amp;CHAR(10)&amp;"📉 考察能力: "&amp;IFERROR(VLOOKUP(TRIM(D492)&amp;"_"&amp;TRIM(INDEX($N$1:$O$1, MATCH(MIN(N492:O492), N492:O492, 0))), 技能库!$A:$F, 5, 0),"建议查阅考纲")&amp;CHAR(10)&amp;"💡 提升建议: "&amp;IFERROR(VLOOKUP(TRIM(D492)&amp;"_"&amp;TRIM(INDEX($N$1:$O$1, MATCH(MIN(N492:O492), N492:O492, 0))), 技能库!$A:$F, 6, 0),"请针对该题型加强练习"))</f>
        <v/>
      </c>
      <c r="AC492" s="5" t="str">
        <f>IF(W492="","", "⚠️ 薄弱环节: "&amp;INDEX($R$1:$V$1, MATCH(MIN(R492:V492), R492:V492, 0))&amp;CHAR(10)&amp;"📉 考察能力: "&amp;IFERROR(VLOOKUP(TRIM(D492)&amp;"_"&amp;TRIM(INDEX($R$1:$V$1, MATCH(MIN(R492:V492), R492:V492, 0))), 技能库!$A:$F, 5, 0),"建议查阅考纲")&amp;CHAR(10)&amp;"💡 提升建议: "&amp;IFERROR(VLOOKUP(TRIM(D492)&amp;"_"&amp;TRIM(INDEX($R$1:$V$1, MATCH(MIN(R492:V492), R492:V492, 0))), 技能库!$A:$F, 6, 0),"请针对该题型加强练习"))</f>
        <v/>
      </c>
    </row>
    <row r="493" spans="12:29" ht="16" hidden="1" x14ac:dyDescent="0.2">
      <c r="L493" t="str">
        <f t="shared" si="28"/>
        <v/>
      </c>
      <c r="M493" t="str">
        <f>IF(L493="","", IFERROR(VLOOKUP(L493, IF(D493="KET", 换算标准!$M:$N, IF(D493="PET", 换算标准!$S:$T, 换算标准!$AC:$AD)), 2, TRUE), 0))</f>
        <v/>
      </c>
      <c r="P493" t="str">
        <f t="shared" si="29"/>
        <v/>
      </c>
      <c r="Q493" t="str">
        <f>IF(P493="","", IFERROR(VLOOKUP(P493, IF(D493="KET", 换算标准!$O:$P, IF(D493="PET", 换算标准!$U:$V, 换算标准!$AG:$AH)), 2, TRUE), 0))</f>
        <v/>
      </c>
      <c r="W493" t="str">
        <f t="shared" si="30"/>
        <v/>
      </c>
      <c r="X493" t="str">
        <f>IF(W493="","", IFERROR(VLOOKUP(W493, IF(D493="KET", 换算标准!$Q:$R, IF(D493="PET", 换算标准!$W:$X, 换算标准!$AI:$AJ)), 2, TRUE), 0))</f>
        <v/>
      </c>
      <c r="Y493" t="str">
        <f t="shared" si="31"/>
        <v/>
      </c>
      <c r="Z493" t="str">
        <f>IF(Y493="","", IFERROR(VLOOKUP(Y493, 换算标准!$Z:$AA, 1, TRUE), ""))</f>
        <v/>
      </c>
      <c r="AA493" s="5" t="str">
        <f>IF(L493="","", "⚠️ 薄弱环节: "&amp;INDEX($E$1:$K$1, MATCH(MIN(E493:K493), E493:K493, 0))&amp;CHAR(10)&amp;"📉 考察能力: "&amp;IFERROR(VLOOKUP(TRIM(D493)&amp;"_"&amp;TRIM(INDEX($E$1:$K$1, MATCH(MIN(E493:K493), E493:K493, 0))), 技能库!$A:$F, 5, 0),"建议查阅考纲")&amp;CHAR(10)&amp;"💡 提升建议: "&amp;IFERROR(VLOOKUP(TRIM(D493)&amp;"_"&amp;TRIM(INDEX($E$1:$K$1, MATCH(MIN(E493:K493), E493:K493, 0))), 技能库!$A:$F, 6, 0),"请针对该题型加强练习"))</f>
        <v/>
      </c>
      <c r="AB493" s="5" t="str">
        <f>IF(P493="","", "⚠️ 薄弱环节: "&amp;INDEX($N$1:$O$1, MATCH(MIN(N493:O493), N493:O493, 0))&amp;CHAR(10)&amp;"📉 考察能力: "&amp;IFERROR(VLOOKUP(TRIM(D493)&amp;"_"&amp;TRIM(INDEX($N$1:$O$1, MATCH(MIN(N493:O493), N493:O493, 0))), 技能库!$A:$F, 5, 0),"建议查阅考纲")&amp;CHAR(10)&amp;"💡 提升建议: "&amp;IFERROR(VLOOKUP(TRIM(D493)&amp;"_"&amp;TRIM(INDEX($N$1:$O$1, MATCH(MIN(N493:O493), N493:O493, 0))), 技能库!$A:$F, 6, 0),"请针对该题型加强练习"))</f>
        <v/>
      </c>
      <c r="AC493" s="5" t="str">
        <f>IF(W493="","", "⚠️ 薄弱环节: "&amp;INDEX($R$1:$V$1, MATCH(MIN(R493:V493), R493:V493, 0))&amp;CHAR(10)&amp;"📉 考察能力: "&amp;IFERROR(VLOOKUP(TRIM(D493)&amp;"_"&amp;TRIM(INDEX($R$1:$V$1, MATCH(MIN(R493:V493), R493:V493, 0))), 技能库!$A:$F, 5, 0),"建议查阅考纲")&amp;CHAR(10)&amp;"💡 提升建议: "&amp;IFERROR(VLOOKUP(TRIM(D493)&amp;"_"&amp;TRIM(INDEX($R$1:$V$1, MATCH(MIN(R493:V493), R493:V493, 0))), 技能库!$A:$F, 6, 0),"请针对该题型加强练习"))</f>
        <v/>
      </c>
    </row>
    <row r="494" spans="12:29" ht="16" hidden="1" x14ac:dyDescent="0.2">
      <c r="L494" t="str">
        <f t="shared" si="28"/>
        <v/>
      </c>
      <c r="M494" t="str">
        <f>IF(L494="","", IFERROR(VLOOKUP(L494, IF(D494="KET", 换算标准!$M:$N, IF(D494="PET", 换算标准!$S:$T, 换算标准!$AC:$AD)), 2, TRUE), 0))</f>
        <v/>
      </c>
      <c r="P494" t="str">
        <f t="shared" si="29"/>
        <v/>
      </c>
      <c r="Q494" t="str">
        <f>IF(P494="","", IFERROR(VLOOKUP(P494, IF(D494="KET", 换算标准!$O:$P, IF(D494="PET", 换算标准!$U:$V, 换算标准!$AG:$AH)), 2, TRUE), 0))</f>
        <v/>
      </c>
      <c r="W494" t="str">
        <f t="shared" si="30"/>
        <v/>
      </c>
      <c r="X494" t="str">
        <f>IF(W494="","", IFERROR(VLOOKUP(W494, IF(D494="KET", 换算标准!$Q:$R, IF(D494="PET", 换算标准!$W:$X, 换算标准!$AI:$AJ)), 2, TRUE), 0))</f>
        <v/>
      </c>
      <c r="Y494" t="str">
        <f t="shared" si="31"/>
        <v/>
      </c>
      <c r="Z494" t="str">
        <f>IF(Y494="","", IFERROR(VLOOKUP(Y494, 换算标准!$Z:$AA, 1, TRUE), ""))</f>
        <v/>
      </c>
      <c r="AA494" s="5" t="str">
        <f>IF(L494="","", "⚠️ 薄弱环节: "&amp;INDEX($E$1:$K$1, MATCH(MIN(E494:K494), E494:K494, 0))&amp;CHAR(10)&amp;"📉 考察能力: "&amp;IFERROR(VLOOKUP(TRIM(D494)&amp;"_"&amp;TRIM(INDEX($E$1:$K$1, MATCH(MIN(E494:K494), E494:K494, 0))), 技能库!$A:$F, 5, 0),"建议查阅考纲")&amp;CHAR(10)&amp;"💡 提升建议: "&amp;IFERROR(VLOOKUP(TRIM(D494)&amp;"_"&amp;TRIM(INDEX($E$1:$K$1, MATCH(MIN(E494:K494), E494:K494, 0))), 技能库!$A:$F, 6, 0),"请针对该题型加强练习"))</f>
        <v/>
      </c>
      <c r="AB494" s="5" t="str">
        <f>IF(P494="","", "⚠️ 薄弱环节: "&amp;INDEX($N$1:$O$1, MATCH(MIN(N494:O494), N494:O494, 0))&amp;CHAR(10)&amp;"📉 考察能力: "&amp;IFERROR(VLOOKUP(TRIM(D494)&amp;"_"&amp;TRIM(INDEX($N$1:$O$1, MATCH(MIN(N494:O494), N494:O494, 0))), 技能库!$A:$F, 5, 0),"建议查阅考纲")&amp;CHAR(10)&amp;"💡 提升建议: "&amp;IFERROR(VLOOKUP(TRIM(D494)&amp;"_"&amp;TRIM(INDEX($N$1:$O$1, MATCH(MIN(N494:O494), N494:O494, 0))), 技能库!$A:$F, 6, 0),"请针对该题型加强练习"))</f>
        <v/>
      </c>
      <c r="AC494" s="5" t="str">
        <f>IF(W494="","", "⚠️ 薄弱环节: "&amp;INDEX($R$1:$V$1, MATCH(MIN(R494:V494), R494:V494, 0))&amp;CHAR(10)&amp;"📉 考察能力: "&amp;IFERROR(VLOOKUP(TRIM(D494)&amp;"_"&amp;TRIM(INDEX($R$1:$V$1, MATCH(MIN(R494:V494), R494:V494, 0))), 技能库!$A:$F, 5, 0),"建议查阅考纲")&amp;CHAR(10)&amp;"💡 提升建议: "&amp;IFERROR(VLOOKUP(TRIM(D494)&amp;"_"&amp;TRIM(INDEX($R$1:$V$1, MATCH(MIN(R494:V494), R494:V494, 0))), 技能库!$A:$F, 6, 0),"请针对该题型加强练习"))</f>
        <v/>
      </c>
    </row>
    <row r="495" spans="12:29" ht="16" hidden="1" x14ac:dyDescent="0.2">
      <c r="L495" t="str">
        <f t="shared" si="28"/>
        <v/>
      </c>
      <c r="M495" t="str">
        <f>IF(L495="","", IFERROR(VLOOKUP(L495, IF(D495="KET", 换算标准!$M:$N, IF(D495="PET", 换算标准!$S:$T, 换算标准!$AC:$AD)), 2, TRUE), 0))</f>
        <v/>
      </c>
      <c r="P495" t="str">
        <f t="shared" si="29"/>
        <v/>
      </c>
      <c r="Q495" t="str">
        <f>IF(P495="","", IFERROR(VLOOKUP(P495, IF(D495="KET", 换算标准!$O:$P, IF(D495="PET", 换算标准!$U:$V, 换算标准!$AG:$AH)), 2, TRUE), 0))</f>
        <v/>
      </c>
      <c r="W495" t="str">
        <f t="shared" si="30"/>
        <v/>
      </c>
      <c r="X495" t="str">
        <f>IF(W495="","", IFERROR(VLOOKUP(W495, IF(D495="KET", 换算标准!$Q:$R, IF(D495="PET", 换算标准!$W:$X, 换算标准!$AI:$AJ)), 2, TRUE), 0))</f>
        <v/>
      </c>
      <c r="Y495" t="str">
        <f t="shared" si="31"/>
        <v/>
      </c>
      <c r="Z495" t="str">
        <f>IF(Y495="","", IFERROR(VLOOKUP(Y495, 换算标准!$Z:$AA, 1, TRUE), ""))</f>
        <v/>
      </c>
      <c r="AA495" s="5" t="str">
        <f>IF(L495="","", "⚠️ 薄弱环节: "&amp;INDEX($E$1:$K$1, MATCH(MIN(E495:K495), E495:K495, 0))&amp;CHAR(10)&amp;"📉 考察能力: "&amp;IFERROR(VLOOKUP(TRIM(D495)&amp;"_"&amp;TRIM(INDEX($E$1:$K$1, MATCH(MIN(E495:K495), E495:K495, 0))), 技能库!$A:$F, 5, 0),"建议查阅考纲")&amp;CHAR(10)&amp;"💡 提升建议: "&amp;IFERROR(VLOOKUP(TRIM(D495)&amp;"_"&amp;TRIM(INDEX($E$1:$K$1, MATCH(MIN(E495:K495), E495:K495, 0))), 技能库!$A:$F, 6, 0),"请针对该题型加强练习"))</f>
        <v/>
      </c>
      <c r="AB495" s="5" t="str">
        <f>IF(P495="","", "⚠️ 薄弱环节: "&amp;INDEX($N$1:$O$1, MATCH(MIN(N495:O495), N495:O495, 0))&amp;CHAR(10)&amp;"📉 考察能力: "&amp;IFERROR(VLOOKUP(TRIM(D495)&amp;"_"&amp;TRIM(INDEX($N$1:$O$1, MATCH(MIN(N495:O495), N495:O495, 0))), 技能库!$A:$F, 5, 0),"建议查阅考纲")&amp;CHAR(10)&amp;"💡 提升建议: "&amp;IFERROR(VLOOKUP(TRIM(D495)&amp;"_"&amp;TRIM(INDEX($N$1:$O$1, MATCH(MIN(N495:O495), N495:O495, 0))), 技能库!$A:$F, 6, 0),"请针对该题型加强练习"))</f>
        <v/>
      </c>
      <c r="AC495" s="5" t="str">
        <f>IF(W495="","", "⚠️ 薄弱环节: "&amp;INDEX($R$1:$V$1, MATCH(MIN(R495:V495), R495:V495, 0))&amp;CHAR(10)&amp;"📉 考察能力: "&amp;IFERROR(VLOOKUP(TRIM(D495)&amp;"_"&amp;TRIM(INDEX($R$1:$V$1, MATCH(MIN(R495:V495), R495:V495, 0))), 技能库!$A:$F, 5, 0),"建议查阅考纲")&amp;CHAR(10)&amp;"💡 提升建议: "&amp;IFERROR(VLOOKUP(TRIM(D495)&amp;"_"&amp;TRIM(INDEX($R$1:$V$1, MATCH(MIN(R495:V495), R495:V495, 0))), 技能库!$A:$F, 6, 0),"请针对该题型加强练习"))</f>
        <v/>
      </c>
    </row>
    <row r="496" spans="12:29" ht="16" hidden="1" x14ac:dyDescent="0.2">
      <c r="L496" t="str">
        <f t="shared" si="28"/>
        <v/>
      </c>
      <c r="M496" t="str">
        <f>IF(L496="","", IFERROR(VLOOKUP(L496, IF(D496="KET", 换算标准!$M:$N, IF(D496="PET", 换算标准!$S:$T, 换算标准!$AC:$AD)), 2, TRUE), 0))</f>
        <v/>
      </c>
      <c r="P496" t="str">
        <f t="shared" si="29"/>
        <v/>
      </c>
      <c r="Q496" t="str">
        <f>IF(P496="","", IFERROR(VLOOKUP(P496, IF(D496="KET", 换算标准!$O:$P, IF(D496="PET", 换算标准!$U:$V, 换算标准!$AG:$AH)), 2, TRUE), 0))</f>
        <v/>
      </c>
      <c r="W496" t="str">
        <f t="shared" si="30"/>
        <v/>
      </c>
      <c r="X496" t="str">
        <f>IF(W496="","", IFERROR(VLOOKUP(W496, IF(D496="KET", 换算标准!$Q:$R, IF(D496="PET", 换算标准!$W:$X, 换算标准!$AI:$AJ)), 2, TRUE), 0))</f>
        <v/>
      </c>
      <c r="Y496" t="str">
        <f t="shared" si="31"/>
        <v/>
      </c>
      <c r="Z496" t="str">
        <f>IF(Y496="","", IFERROR(VLOOKUP(Y496, 换算标准!$Z:$AA, 1, TRUE), ""))</f>
        <v/>
      </c>
      <c r="AA496" s="5" t="str">
        <f>IF(L496="","", "⚠️ 薄弱环节: "&amp;INDEX($E$1:$K$1, MATCH(MIN(E496:K496), E496:K496, 0))&amp;CHAR(10)&amp;"📉 考察能力: "&amp;IFERROR(VLOOKUP(TRIM(D496)&amp;"_"&amp;TRIM(INDEX($E$1:$K$1, MATCH(MIN(E496:K496), E496:K496, 0))), 技能库!$A:$F, 5, 0),"建议查阅考纲")&amp;CHAR(10)&amp;"💡 提升建议: "&amp;IFERROR(VLOOKUP(TRIM(D496)&amp;"_"&amp;TRIM(INDEX($E$1:$K$1, MATCH(MIN(E496:K496), E496:K496, 0))), 技能库!$A:$F, 6, 0),"请针对该题型加强练习"))</f>
        <v/>
      </c>
      <c r="AB496" s="5" t="str">
        <f>IF(P496="","", "⚠️ 薄弱环节: "&amp;INDEX($N$1:$O$1, MATCH(MIN(N496:O496), N496:O496, 0))&amp;CHAR(10)&amp;"📉 考察能力: "&amp;IFERROR(VLOOKUP(TRIM(D496)&amp;"_"&amp;TRIM(INDEX($N$1:$O$1, MATCH(MIN(N496:O496), N496:O496, 0))), 技能库!$A:$F, 5, 0),"建议查阅考纲")&amp;CHAR(10)&amp;"💡 提升建议: "&amp;IFERROR(VLOOKUP(TRIM(D496)&amp;"_"&amp;TRIM(INDEX($N$1:$O$1, MATCH(MIN(N496:O496), N496:O496, 0))), 技能库!$A:$F, 6, 0),"请针对该题型加强练习"))</f>
        <v/>
      </c>
      <c r="AC496" s="5" t="str">
        <f>IF(W496="","", "⚠️ 薄弱环节: "&amp;INDEX($R$1:$V$1, MATCH(MIN(R496:V496), R496:V496, 0))&amp;CHAR(10)&amp;"📉 考察能力: "&amp;IFERROR(VLOOKUP(TRIM(D496)&amp;"_"&amp;TRIM(INDEX($R$1:$V$1, MATCH(MIN(R496:V496), R496:V496, 0))), 技能库!$A:$F, 5, 0),"建议查阅考纲")&amp;CHAR(10)&amp;"💡 提升建议: "&amp;IFERROR(VLOOKUP(TRIM(D496)&amp;"_"&amp;TRIM(INDEX($R$1:$V$1, MATCH(MIN(R496:V496), R496:V496, 0))), 技能库!$A:$F, 6, 0),"请针对该题型加强练习"))</f>
        <v/>
      </c>
    </row>
    <row r="497" spans="12:29" ht="16" hidden="1" x14ac:dyDescent="0.2">
      <c r="L497" t="str">
        <f t="shared" si="28"/>
        <v/>
      </c>
      <c r="M497" t="str">
        <f>IF(L497="","", IFERROR(VLOOKUP(L497, IF(D497="KET", 换算标准!$M:$N, IF(D497="PET", 换算标准!$S:$T, 换算标准!$AC:$AD)), 2, TRUE), 0))</f>
        <v/>
      </c>
      <c r="P497" t="str">
        <f t="shared" si="29"/>
        <v/>
      </c>
      <c r="Q497" t="str">
        <f>IF(P497="","", IFERROR(VLOOKUP(P497, IF(D497="KET", 换算标准!$O:$P, IF(D497="PET", 换算标准!$U:$V, 换算标准!$AG:$AH)), 2, TRUE), 0))</f>
        <v/>
      </c>
      <c r="W497" t="str">
        <f t="shared" si="30"/>
        <v/>
      </c>
      <c r="X497" t="str">
        <f>IF(W497="","", IFERROR(VLOOKUP(W497, IF(D497="KET", 换算标准!$Q:$R, IF(D497="PET", 换算标准!$W:$X, 换算标准!$AI:$AJ)), 2, TRUE), 0))</f>
        <v/>
      </c>
      <c r="Y497" t="str">
        <f t="shared" si="31"/>
        <v/>
      </c>
      <c r="Z497" t="str">
        <f>IF(Y497="","", IFERROR(VLOOKUP(Y497, 换算标准!$Z:$AA, 1, TRUE), ""))</f>
        <v/>
      </c>
      <c r="AA497" s="5" t="str">
        <f>IF(L497="","", "⚠️ 薄弱环节: "&amp;INDEX($E$1:$K$1, MATCH(MIN(E497:K497), E497:K497, 0))&amp;CHAR(10)&amp;"📉 考察能力: "&amp;IFERROR(VLOOKUP(TRIM(D497)&amp;"_"&amp;TRIM(INDEX($E$1:$K$1, MATCH(MIN(E497:K497), E497:K497, 0))), 技能库!$A:$F, 5, 0),"建议查阅考纲")&amp;CHAR(10)&amp;"💡 提升建议: "&amp;IFERROR(VLOOKUP(TRIM(D497)&amp;"_"&amp;TRIM(INDEX($E$1:$K$1, MATCH(MIN(E497:K497), E497:K497, 0))), 技能库!$A:$F, 6, 0),"请针对该题型加强练习"))</f>
        <v/>
      </c>
      <c r="AB497" s="5" t="str">
        <f>IF(P497="","", "⚠️ 薄弱环节: "&amp;INDEX($N$1:$O$1, MATCH(MIN(N497:O497), N497:O497, 0))&amp;CHAR(10)&amp;"📉 考察能力: "&amp;IFERROR(VLOOKUP(TRIM(D497)&amp;"_"&amp;TRIM(INDEX($N$1:$O$1, MATCH(MIN(N497:O497), N497:O497, 0))), 技能库!$A:$F, 5, 0),"建议查阅考纲")&amp;CHAR(10)&amp;"💡 提升建议: "&amp;IFERROR(VLOOKUP(TRIM(D497)&amp;"_"&amp;TRIM(INDEX($N$1:$O$1, MATCH(MIN(N497:O497), N497:O497, 0))), 技能库!$A:$F, 6, 0),"请针对该题型加强练习"))</f>
        <v/>
      </c>
      <c r="AC497" s="5" t="str">
        <f>IF(W497="","", "⚠️ 薄弱环节: "&amp;INDEX($R$1:$V$1, MATCH(MIN(R497:V497), R497:V497, 0))&amp;CHAR(10)&amp;"📉 考察能力: "&amp;IFERROR(VLOOKUP(TRIM(D497)&amp;"_"&amp;TRIM(INDEX($R$1:$V$1, MATCH(MIN(R497:V497), R497:V497, 0))), 技能库!$A:$F, 5, 0),"建议查阅考纲")&amp;CHAR(10)&amp;"💡 提升建议: "&amp;IFERROR(VLOOKUP(TRIM(D497)&amp;"_"&amp;TRIM(INDEX($R$1:$V$1, MATCH(MIN(R497:V497), R497:V497, 0))), 技能库!$A:$F, 6, 0),"请针对该题型加强练习"))</f>
        <v/>
      </c>
    </row>
    <row r="498" spans="12:29" ht="16" hidden="1" x14ac:dyDescent="0.2">
      <c r="L498" t="str">
        <f t="shared" si="28"/>
        <v/>
      </c>
      <c r="M498" t="str">
        <f>IF(L498="","", IFERROR(VLOOKUP(L498, IF(D498="KET", 换算标准!$M:$N, IF(D498="PET", 换算标准!$S:$T, 换算标准!$AC:$AD)), 2, TRUE), 0))</f>
        <v/>
      </c>
      <c r="P498" t="str">
        <f t="shared" si="29"/>
        <v/>
      </c>
      <c r="Q498" t="str">
        <f>IF(P498="","", IFERROR(VLOOKUP(P498, IF(D498="KET", 换算标准!$O:$P, IF(D498="PET", 换算标准!$U:$V, 换算标准!$AG:$AH)), 2, TRUE), 0))</f>
        <v/>
      </c>
      <c r="W498" t="str">
        <f t="shared" si="30"/>
        <v/>
      </c>
      <c r="X498" t="str">
        <f>IF(W498="","", IFERROR(VLOOKUP(W498, IF(D498="KET", 换算标准!$Q:$R, IF(D498="PET", 换算标准!$W:$X, 换算标准!$AI:$AJ)), 2, TRUE), 0))</f>
        <v/>
      </c>
      <c r="Y498" t="str">
        <f t="shared" si="31"/>
        <v/>
      </c>
      <c r="Z498" t="str">
        <f>IF(Y498="","", IFERROR(VLOOKUP(Y498, 换算标准!$Z:$AA, 1, TRUE), ""))</f>
        <v/>
      </c>
      <c r="AA498" s="5" t="str">
        <f>IF(L498="","", "⚠️ 薄弱环节: "&amp;INDEX($E$1:$K$1, MATCH(MIN(E498:K498), E498:K498, 0))&amp;CHAR(10)&amp;"📉 考察能力: "&amp;IFERROR(VLOOKUP(TRIM(D498)&amp;"_"&amp;TRIM(INDEX($E$1:$K$1, MATCH(MIN(E498:K498), E498:K498, 0))), 技能库!$A:$F, 5, 0),"建议查阅考纲")&amp;CHAR(10)&amp;"💡 提升建议: "&amp;IFERROR(VLOOKUP(TRIM(D498)&amp;"_"&amp;TRIM(INDEX($E$1:$K$1, MATCH(MIN(E498:K498), E498:K498, 0))), 技能库!$A:$F, 6, 0),"请针对该题型加强练习"))</f>
        <v/>
      </c>
      <c r="AB498" s="5" t="str">
        <f>IF(P498="","", "⚠️ 薄弱环节: "&amp;INDEX($N$1:$O$1, MATCH(MIN(N498:O498), N498:O498, 0))&amp;CHAR(10)&amp;"📉 考察能力: "&amp;IFERROR(VLOOKUP(TRIM(D498)&amp;"_"&amp;TRIM(INDEX($N$1:$O$1, MATCH(MIN(N498:O498), N498:O498, 0))), 技能库!$A:$F, 5, 0),"建议查阅考纲")&amp;CHAR(10)&amp;"💡 提升建议: "&amp;IFERROR(VLOOKUP(TRIM(D498)&amp;"_"&amp;TRIM(INDEX($N$1:$O$1, MATCH(MIN(N498:O498), N498:O498, 0))), 技能库!$A:$F, 6, 0),"请针对该题型加强练习"))</f>
        <v/>
      </c>
      <c r="AC498" s="5" t="str">
        <f>IF(W498="","", "⚠️ 薄弱环节: "&amp;INDEX($R$1:$V$1, MATCH(MIN(R498:V498), R498:V498, 0))&amp;CHAR(10)&amp;"📉 考察能力: "&amp;IFERROR(VLOOKUP(TRIM(D498)&amp;"_"&amp;TRIM(INDEX($R$1:$V$1, MATCH(MIN(R498:V498), R498:V498, 0))), 技能库!$A:$F, 5, 0),"建议查阅考纲")&amp;CHAR(10)&amp;"💡 提升建议: "&amp;IFERROR(VLOOKUP(TRIM(D498)&amp;"_"&amp;TRIM(INDEX($R$1:$V$1, MATCH(MIN(R498:V498), R498:V498, 0))), 技能库!$A:$F, 6, 0),"请针对该题型加强练习"))</f>
        <v/>
      </c>
    </row>
    <row r="499" spans="12:29" ht="16" hidden="1" x14ac:dyDescent="0.2">
      <c r="L499" t="str">
        <f t="shared" si="28"/>
        <v/>
      </c>
      <c r="M499" t="str">
        <f>IF(L499="","", IFERROR(VLOOKUP(L499, IF(D499="KET", 换算标准!$M:$N, IF(D499="PET", 换算标准!$S:$T, 换算标准!$AC:$AD)), 2, TRUE), 0))</f>
        <v/>
      </c>
      <c r="P499" t="str">
        <f t="shared" si="29"/>
        <v/>
      </c>
      <c r="Q499" t="str">
        <f>IF(P499="","", IFERROR(VLOOKUP(P499, IF(D499="KET", 换算标准!$O:$P, IF(D499="PET", 换算标准!$U:$V, 换算标准!$AG:$AH)), 2, TRUE), 0))</f>
        <v/>
      </c>
      <c r="W499" t="str">
        <f t="shared" si="30"/>
        <v/>
      </c>
      <c r="X499" t="str">
        <f>IF(W499="","", IFERROR(VLOOKUP(W499, IF(D499="KET", 换算标准!$Q:$R, IF(D499="PET", 换算标准!$W:$X, 换算标准!$AI:$AJ)), 2, TRUE), 0))</f>
        <v/>
      </c>
      <c r="Y499" t="str">
        <f t="shared" si="31"/>
        <v/>
      </c>
      <c r="Z499" t="str">
        <f>IF(Y499="","", IFERROR(VLOOKUP(Y499, 换算标准!$Z:$AA, 1, TRUE), ""))</f>
        <v/>
      </c>
      <c r="AA499" s="5" t="str">
        <f>IF(L499="","", "⚠️ 薄弱环节: "&amp;INDEX($E$1:$K$1, MATCH(MIN(E499:K499), E499:K499, 0))&amp;CHAR(10)&amp;"📉 考察能力: "&amp;IFERROR(VLOOKUP(TRIM(D499)&amp;"_"&amp;TRIM(INDEX($E$1:$K$1, MATCH(MIN(E499:K499), E499:K499, 0))), 技能库!$A:$F, 5, 0),"建议查阅考纲")&amp;CHAR(10)&amp;"💡 提升建议: "&amp;IFERROR(VLOOKUP(TRIM(D499)&amp;"_"&amp;TRIM(INDEX($E$1:$K$1, MATCH(MIN(E499:K499), E499:K499, 0))), 技能库!$A:$F, 6, 0),"请针对该题型加强练习"))</f>
        <v/>
      </c>
      <c r="AB499" s="5" t="str">
        <f>IF(P499="","", "⚠️ 薄弱环节: "&amp;INDEX($N$1:$O$1, MATCH(MIN(N499:O499), N499:O499, 0))&amp;CHAR(10)&amp;"📉 考察能力: "&amp;IFERROR(VLOOKUP(TRIM(D499)&amp;"_"&amp;TRIM(INDEX($N$1:$O$1, MATCH(MIN(N499:O499), N499:O499, 0))), 技能库!$A:$F, 5, 0),"建议查阅考纲")&amp;CHAR(10)&amp;"💡 提升建议: "&amp;IFERROR(VLOOKUP(TRIM(D499)&amp;"_"&amp;TRIM(INDEX($N$1:$O$1, MATCH(MIN(N499:O499), N499:O499, 0))), 技能库!$A:$F, 6, 0),"请针对该题型加强练习"))</f>
        <v/>
      </c>
      <c r="AC499" s="5" t="str">
        <f>IF(W499="","", "⚠️ 薄弱环节: "&amp;INDEX($R$1:$V$1, MATCH(MIN(R499:V499), R499:V499, 0))&amp;CHAR(10)&amp;"📉 考察能力: "&amp;IFERROR(VLOOKUP(TRIM(D499)&amp;"_"&amp;TRIM(INDEX($R$1:$V$1, MATCH(MIN(R499:V499), R499:V499, 0))), 技能库!$A:$F, 5, 0),"建议查阅考纲")&amp;CHAR(10)&amp;"💡 提升建议: "&amp;IFERROR(VLOOKUP(TRIM(D499)&amp;"_"&amp;TRIM(INDEX($R$1:$V$1, MATCH(MIN(R499:V499), R499:V499, 0))), 技能库!$A:$F, 6, 0),"请针对该题型加强练习"))</f>
        <v/>
      </c>
    </row>
    <row r="500" spans="12:29" ht="16" hidden="1" x14ac:dyDescent="0.2">
      <c r="L500" t="str">
        <f t="shared" si="28"/>
        <v/>
      </c>
      <c r="M500" t="str">
        <f>IF(L500="","", IFERROR(VLOOKUP(L500, IF(D500="KET", 换算标准!$M:$N, IF(D500="PET", 换算标准!$S:$T, 换算标准!$AC:$AD)), 2, TRUE), 0))</f>
        <v/>
      </c>
      <c r="P500" t="str">
        <f t="shared" si="29"/>
        <v/>
      </c>
      <c r="Q500" t="str">
        <f>IF(P500="","", IFERROR(VLOOKUP(P500, IF(D500="KET", 换算标准!$O:$P, IF(D500="PET", 换算标准!$U:$V, 换算标准!$AG:$AH)), 2, TRUE), 0))</f>
        <v/>
      </c>
      <c r="W500" t="str">
        <f t="shared" si="30"/>
        <v/>
      </c>
      <c r="X500" t="str">
        <f>IF(W500="","", IFERROR(VLOOKUP(W500, IF(D500="KET", 换算标准!$Q:$R, IF(D500="PET", 换算标准!$W:$X, 换算标准!$AI:$AJ)), 2, TRUE), 0))</f>
        <v/>
      </c>
      <c r="Y500" t="str">
        <f t="shared" si="31"/>
        <v/>
      </c>
      <c r="Z500" t="str">
        <f>IF(Y500="","", IFERROR(VLOOKUP(Y500, 换算标准!$Z:$AA, 1, TRUE), ""))</f>
        <v/>
      </c>
      <c r="AA500" s="5" t="str">
        <f>IF(L500="","", "⚠️ 薄弱环节: "&amp;INDEX($E$1:$K$1, MATCH(MIN(E500:K500), E500:K500, 0))&amp;CHAR(10)&amp;"📉 考察能力: "&amp;IFERROR(VLOOKUP(TRIM(D500)&amp;"_"&amp;TRIM(INDEX($E$1:$K$1, MATCH(MIN(E500:K500), E500:K500, 0))), 技能库!$A:$F, 5, 0),"建议查阅考纲")&amp;CHAR(10)&amp;"💡 提升建议: "&amp;IFERROR(VLOOKUP(TRIM(D500)&amp;"_"&amp;TRIM(INDEX($E$1:$K$1, MATCH(MIN(E500:K500), E500:K500, 0))), 技能库!$A:$F, 6, 0),"请针对该题型加强练习"))</f>
        <v/>
      </c>
      <c r="AB500" s="5" t="str">
        <f>IF(P500="","", "⚠️ 薄弱环节: "&amp;INDEX($N$1:$O$1, MATCH(MIN(N500:O500), N500:O500, 0))&amp;CHAR(10)&amp;"📉 考察能力: "&amp;IFERROR(VLOOKUP(TRIM(D500)&amp;"_"&amp;TRIM(INDEX($N$1:$O$1, MATCH(MIN(N500:O500), N500:O500, 0))), 技能库!$A:$F, 5, 0),"建议查阅考纲")&amp;CHAR(10)&amp;"💡 提升建议: "&amp;IFERROR(VLOOKUP(TRIM(D500)&amp;"_"&amp;TRIM(INDEX($N$1:$O$1, MATCH(MIN(N500:O500), N500:O500, 0))), 技能库!$A:$F, 6, 0),"请针对该题型加强练习"))</f>
        <v/>
      </c>
      <c r="AC500" s="5" t="str">
        <f>IF(W500="","", "⚠️ 薄弱环节: "&amp;INDEX($R$1:$V$1, MATCH(MIN(R500:V500), R500:V500, 0))&amp;CHAR(10)&amp;"📉 考察能力: "&amp;IFERROR(VLOOKUP(TRIM(D500)&amp;"_"&amp;TRIM(INDEX($R$1:$V$1, MATCH(MIN(R500:V500), R500:V500, 0))), 技能库!$A:$F, 5, 0),"建议查阅考纲")&amp;CHAR(10)&amp;"💡 提升建议: "&amp;IFERROR(VLOOKUP(TRIM(D500)&amp;"_"&amp;TRIM(INDEX($R$1:$V$1, MATCH(MIN(R500:V500), R500:V500, 0))), 技能库!$A:$F, 6, 0),"请针对该题型加强练习"))</f>
        <v/>
      </c>
    </row>
    <row r="501" spans="12:29" ht="16" hidden="1" x14ac:dyDescent="0.2">
      <c r="L501" t="str">
        <f t="shared" si="28"/>
        <v/>
      </c>
      <c r="M501" t="str">
        <f>IF(L501="","", IFERROR(VLOOKUP(L501, IF(D501="KET", 换算标准!$M:$N, IF(D501="PET", 换算标准!$S:$T, 换算标准!$AC:$AD)), 2, TRUE), 0))</f>
        <v/>
      </c>
      <c r="P501" t="str">
        <f t="shared" si="29"/>
        <v/>
      </c>
      <c r="Q501" t="str">
        <f>IF(P501="","", IFERROR(VLOOKUP(P501, IF(D501="KET", 换算标准!$O:$P, IF(D501="PET", 换算标准!$U:$V, 换算标准!$AG:$AH)), 2, TRUE), 0))</f>
        <v/>
      </c>
      <c r="W501" t="str">
        <f t="shared" si="30"/>
        <v/>
      </c>
      <c r="X501" t="str">
        <f>IF(W501="","", IFERROR(VLOOKUP(W501, IF(D501="KET", 换算标准!$Q:$R, IF(D501="PET", 换算标准!$W:$X, 换算标准!$AI:$AJ)), 2, TRUE), 0))</f>
        <v/>
      </c>
      <c r="Y501" t="str">
        <f t="shared" si="31"/>
        <v/>
      </c>
      <c r="Z501" t="str">
        <f>IF(Y501="","", IFERROR(VLOOKUP(Y501, 换算标准!$Z:$AA, 1, TRUE), ""))</f>
        <v/>
      </c>
      <c r="AA501" s="5" t="str">
        <f>IF(L501="","", "⚠️ 薄弱环节: "&amp;INDEX($E$1:$K$1, MATCH(MIN(E501:K501), E501:K501, 0))&amp;CHAR(10)&amp;"📉 考察能力: "&amp;IFERROR(VLOOKUP(TRIM(D501)&amp;"_"&amp;TRIM(INDEX($E$1:$K$1, MATCH(MIN(E501:K501), E501:K501, 0))), 技能库!$A:$F, 5, 0),"建议查阅考纲")&amp;CHAR(10)&amp;"💡 提升建议: "&amp;IFERROR(VLOOKUP(TRIM(D501)&amp;"_"&amp;TRIM(INDEX($E$1:$K$1, MATCH(MIN(E501:K501), E501:K501, 0))), 技能库!$A:$F, 6, 0),"请针对该题型加强练习"))</f>
        <v/>
      </c>
      <c r="AB501" s="5" t="str">
        <f>IF(P501="","", "⚠️ 薄弱环节: "&amp;INDEX($N$1:$O$1, MATCH(MIN(N501:O501), N501:O501, 0))&amp;CHAR(10)&amp;"📉 考察能力: "&amp;IFERROR(VLOOKUP(TRIM(D501)&amp;"_"&amp;TRIM(INDEX($N$1:$O$1, MATCH(MIN(N501:O501), N501:O501, 0))), 技能库!$A:$F, 5, 0),"建议查阅考纲")&amp;CHAR(10)&amp;"💡 提升建议: "&amp;IFERROR(VLOOKUP(TRIM(D501)&amp;"_"&amp;TRIM(INDEX($N$1:$O$1, MATCH(MIN(N501:O501), N501:O501, 0))), 技能库!$A:$F, 6, 0),"请针对该题型加强练习"))</f>
        <v/>
      </c>
      <c r="AC501" s="5" t="str">
        <f>IF(W501="","", "⚠️ 薄弱环节: "&amp;INDEX($R$1:$V$1, MATCH(MIN(R501:V501), R501:V501, 0))&amp;CHAR(10)&amp;"📉 考察能力: "&amp;IFERROR(VLOOKUP(TRIM(D501)&amp;"_"&amp;TRIM(INDEX($R$1:$V$1, MATCH(MIN(R501:V501), R501:V501, 0))), 技能库!$A:$F, 5, 0),"建议查阅考纲")&amp;CHAR(10)&amp;"💡 提升建议: "&amp;IFERROR(VLOOKUP(TRIM(D501)&amp;"_"&amp;TRIM(INDEX($R$1:$V$1, MATCH(MIN(R501:V501), R501:V501, 0))), 技能库!$A:$F, 6, 0),"请针对该题型加强练习"))</f>
        <v/>
      </c>
    </row>
    <row r="502" spans="12:29" ht="16" hidden="1" x14ac:dyDescent="0.2">
      <c r="L502" t="str">
        <f t="shared" si="28"/>
        <v/>
      </c>
      <c r="M502" t="str">
        <f>IF(L502="","", IFERROR(VLOOKUP(L502, IF(D502="KET", 换算标准!$M:$N, IF(D502="PET", 换算标准!$S:$T, 换算标准!$AC:$AD)), 2, TRUE), 0))</f>
        <v/>
      </c>
      <c r="P502" t="str">
        <f t="shared" si="29"/>
        <v/>
      </c>
      <c r="Q502" t="str">
        <f>IF(P502="","", IFERROR(VLOOKUP(P502, IF(D502="KET", 换算标准!$O:$P, IF(D502="PET", 换算标准!$U:$V, 换算标准!$AG:$AH)), 2, TRUE), 0))</f>
        <v/>
      </c>
      <c r="W502" t="str">
        <f t="shared" si="30"/>
        <v/>
      </c>
      <c r="X502" t="str">
        <f>IF(W502="","", IFERROR(VLOOKUP(W502, IF(D502="KET", 换算标准!$Q:$R, IF(D502="PET", 换算标准!$W:$X, 换算标准!$AI:$AJ)), 2, TRUE), 0))</f>
        <v/>
      </c>
      <c r="Y502" t="str">
        <f t="shared" si="31"/>
        <v/>
      </c>
      <c r="Z502" t="str">
        <f>IF(Y502="","", IFERROR(VLOOKUP(Y502, 换算标准!$Z:$AA, 1, TRUE), ""))</f>
        <v/>
      </c>
      <c r="AA502" s="5" t="str">
        <f>IF(L502="","", "⚠️ 薄弱环节: "&amp;INDEX($E$1:$K$1, MATCH(MIN(E502:K502), E502:K502, 0))&amp;CHAR(10)&amp;"📉 考察能力: "&amp;IFERROR(VLOOKUP(TRIM(D502)&amp;"_"&amp;TRIM(INDEX($E$1:$K$1, MATCH(MIN(E502:K502), E502:K502, 0))), 技能库!$A:$F, 5, 0),"建议查阅考纲")&amp;CHAR(10)&amp;"💡 提升建议: "&amp;IFERROR(VLOOKUP(TRIM(D502)&amp;"_"&amp;TRIM(INDEX($E$1:$K$1, MATCH(MIN(E502:K502), E502:K502, 0))), 技能库!$A:$F, 6, 0),"请针对该题型加强练习"))</f>
        <v/>
      </c>
      <c r="AB502" s="5" t="str">
        <f>IF(P502="","", "⚠️ 薄弱环节: "&amp;INDEX($N$1:$O$1, MATCH(MIN(N502:O502), N502:O502, 0))&amp;CHAR(10)&amp;"📉 考察能力: "&amp;IFERROR(VLOOKUP(TRIM(D502)&amp;"_"&amp;TRIM(INDEX($N$1:$O$1, MATCH(MIN(N502:O502), N502:O502, 0))), 技能库!$A:$F, 5, 0),"建议查阅考纲")&amp;CHAR(10)&amp;"💡 提升建议: "&amp;IFERROR(VLOOKUP(TRIM(D502)&amp;"_"&amp;TRIM(INDEX($N$1:$O$1, MATCH(MIN(N502:O502), N502:O502, 0))), 技能库!$A:$F, 6, 0),"请针对该题型加强练习"))</f>
        <v/>
      </c>
      <c r="AC502" s="5" t="str">
        <f>IF(W502="","", "⚠️ 薄弱环节: "&amp;INDEX($R$1:$V$1, MATCH(MIN(R502:V502), R502:V502, 0))&amp;CHAR(10)&amp;"📉 考察能力: "&amp;IFERROR(VLOOKUP(TRIM(D502)&amp;"_"&amp;TRIM(INDEX($R$1:$V$1, MATCH(MIN(R502:V502), R502:V502, 0))), 技能库!$A:$F, 5, 0),"建议查阅考纲")&amp;CHAR(10)&amp;"💡 提升建议: "&amp;IFERROR(VLOOKUP(TRIM(D502)&amp;"_"&amp;TRIM(INDEX($R$1:$V$1, MATCH(MIN(R502:V502), R502:V502, 0))), 技能库!$A:$F, 6, 0),"请针对该题型加强练习"))</f>
        <v/>
      </c>
    </row>
    <row r="503" spans="12:29" ht="16" hidden="1" x14ac:dyDescent="0.2">
      <c r="L503" t="str">
        <f t="shared" si="28"/>
        <v/>
      </c>
      <c r="M503" t="str">
        <f>IF(L503="","", IFERROR(VLOOKUP(L503, IF(D503="KET", 换算标准!$M:$N, IF(D503="PET", 换算标准!$S:$T, 换算标准!$AC:$AD)), 2, TRUE), 0))</f>
        <v/>
      </c>
      <c r="P503" t="str">
        <f t="shared" si="29"/>
        <v/>
      </c>
      <c r="Q503" t="str">
        <f>IF(P503="","", IFERROR(VLOOKUP(P503, IF(D503="KET", 换算标准!$O:$P, IF(D503="PET", 换算标准!$U:$V, 换算标准!$AG:$AH)), 2, TRUE), 0))</f>
        <v/>
      </c>
      <c r="W503" t="str">
        <f t="shared" si="30"/>
        <v/>
      </c>
      <c r="X503" t="str">
        <f>IF(W503="","", IFERROR(VLOOKUP(W503, IF(D503="KET", 换算标准!$Q:$R, IF(D503="PET", 换算标准!$W:$X, 换算标准!$AI:$AJ)), 2, TRUE), 0))</f>
        <v/>
      </c>
      <c r="Y503" t="str">
        <f t="shared" si="31"/>
        <v/>
      </c>
      <c r="Z503" t="str">
        <f>IF(Y503="","", IFERROR(VLOOKUP(Y503, 换算标准!$Z:$AA, 1, TRUE), ""))</f>
        <v/>
      </c>
      <c r="AA503" s="5" t="str">
        <f>IF(L503="","", "⚠️ 薄弱环节: "&amp;INDEX($E$1:$K$1, MATCH(MIN(E503:K503), E503:K503, 0))&amp;CHAR(10)&amp;"📉 考察能力: "&amp;IFERROR(VLOOKUP(TRIM(D503)&amp;"_"&amp;TRIM(INDEX($E$1:$K$1, MATCH(MIN(E503:K503), E503:K503, 0))), 技能库!$A:$F, 5, 0),"建议查阅考纲")&amp;CHAR(10)&amp;"💡 提升建议: "&amp;IFERROR(VLOOKUP(TRIM(D503)&amp;"_"&amp;TRIM(INDEX($E$1:$K$1, MATCH(MIN(E503:K503), E503:K503, 0))), 技能库!$A:$F, 6, 0),"请针对该题型加强练习"))</f>
        <v/>
      </c>
      <c r="AB503" s="5" t="str">
        <f>IF(P503="","", "⚠️ 薄弱环节: "&amp;INDEX($N$1:$O$1, MATCH(MIN(N503:O503), N503:O503, 0))&amp;CHAR(10)&amp;"📉 考察能力: "&amp;IFERROR(VLOOKUP(TRIM(D503)&amp;"_"&amp;TRIM(INDEX($N$1:$O$1, MATCH(MIN(N503:O503), N503:O503, 0))), 技能库!$A:$F, 5, 0),"建议查阅考纲")&amp;CHAR(10)&amp;"💡 提升建议: "&amp;IFERROR(VLOOKUP(TRIM(D503)&amp;"_"&amp;TRIM(INDEX($N$1:$O$1, MATCH(MIN(N503:O503), N503:O503, 0))), 技能库!$A:$F, 6, 0),"请针对该题型加强练习"))</f>
        <v/>
      </c>
      <c r="AC503" s="5" t="str">
        <f>IF(W503="","", "⚠️ 薄弱环节: "&amp;INDEX($R$1:$V$1, MATCH(MIN(R503:V503), R503:V503, 0))&amp;CHAR(10)&amp;"📉 考察能力: "&amp;IFERROR(VLOOKUP(TRIM(D503)&amp;"_"&amp;TRIM(INDEX($R$1:$V$1, MATCH(MIN(R503:V503), R503:V503, 0))), 技能库!$A:$F, 5, 0),"建议查阅考纲")&amp;CHAR(10)&amp;"💡 提升建议: "&amp;IFERROR(VLOOKUP(TRIM(D503)&amp;"_"&amp;TRIM(INDEX($R$1:$V$1, MATCH(MIN(R503:V503), R503:V503, 0))), 技能库!$A:$F, 6, 0),"请针对该题型加强练习"))</f>
        <v/>
      </c>
    </row>
    <row r="504" spans="12:29" ht="16" hidden="1" x14ac:dyDescent="0.2">
      <c r="L504" t="str">
        <f t="shared" si="28"/>
        <v/>
      </c>
      <c r="M504" t="str">
        <f>IF(L504="","", IFERROR(VLOOKUP(L504, IF(D504="KET", 换算标准!$M:$N, IF(D504="PET", 换算标准!$S:$T, 换算标准!$AC:$AD)), 2, TRUE), 0))</f>
        <v/>
      </c>
      <c r="P504" t="str">
        <f t="shared" si="29"/>
        <v/>
      </c>
      <c r="Q504" t="str">
        <f>IF(P504="","", IFERROR(VLOOKUP(P504, IF(D504="KET", 换算标准!$O:$P, IF(D504="PET", 换算标准!$U:$V, 换算标准!$AG:$AH)), 2, TRUE), 0))</f>
        <v/>
      </c>
      <c r="W504" t="str">
        <f t="shared" si="30"/>
        <v/>
      </c>
      <c r="X504" t="str">
        <f>IF(W504="","", IFERROR(VLOOKUP(W504, IF(D504="KET", 换算标准!$Q:$R, IF(D504="PET", 换算标准!$W:$X, 换算标准!$AI:$AJ)), 2, TRUE), 0))</f>
        <v/>
      </c>
      <c r="Y504" t="str">
        <f t="shared" si="31"/>
        <v/>
      </c>
      <c r="Z504" t="str">
        <f>IF(Y504="","", IFERROR(VLOOKUP(Y504, 换算标准!$Z:$AA, 1, TRUE), ""))</f>
        <v/>
      </c>
      <c r="AA504" s="5" t="str">
        <f>IF(L504="","", "⚠️ 薄弱环节: "&amp;INDEX($E$1:$K$1, MATCH(MIN(E504:K504), E504:K504, 0))&amp;CHAR(10)&amp;"📉 考察能力: "&amp;IFERROR(VLOOKUP(TRIM(D504)&amp;"_"&amp;TRIM(INDEX($E$1:$K$1, MATCH(MIN(E504:K504), E504:K504, 0))), 技能库!$A:$F, 5, 0),"建议查阅考纲")&amp;CHAR(10)&amp;"💡 提升建议: "&amp;IFERROR(VLOOKUP(TRIM(D504)&amp;"_"&amp;TRIM(INDEX($E$1:$K$1, MATCH(MIN(E504:K504), E504:K504, 0))), 技能库!$A:$F, 6, 0),"请针对该题型加强练习"))</f>
        <v/>
      </c>
      <c r="AB504" s="5" t="str">
        <f>IF(P504="","", "⚠️ 薄弱环节: "&amp;INDEX($N$1:$O$1, MATCH(MIN(N504:O504), N504:O504, 0))&amp;CHAR(10)&amp;"📉 考察能力: "&amp;IFERROR(VLOOKUP(TRIM(D504)&amp;"_"&amp;TRIM(INDEX($N$1:$O$1, MATCH(MIN(N504:O504), N504:O504, 0))), 技能库!$A:$F, 5, 0),"建议查阅考纲")&amp;CHAR(10)&amp;"💡 提升建议: "&amp;IFERROR(VLOOKUP(TRIM(D504)&amp;"_"&amp;TRIM(INDEX($N$1:$O$1, MATCH(MIN(N504:O504), N504:O504, 0))), 技能库!$A:$F, 6, 0),"请针对该题型加强练习"))</f>
        <v/>
      </c>
      <c r="AC504" s="5" t="str">
        <f>IF(W504="","", "⚠️ 薄弱环节: "&amp;INDEX($R$1:$V$1, MATCH(MIN(R504:V504), R504:V504, 0))&amp;CHAR(10)&amp;"📉 考察能力: "&amp;IFERROR(VLOOKUP(TRIM(D504)&amp;"_"&amp;TRIM(INDEX($R$1:$V$1, MATCH(MIN(R504:V504), R504:V504, 0))), 技能库!$A:$F, 5, 0),"建议查阅考纲")&amp;CHAR(10)&amp;"💡 提升建议: "&amp;IFERROR(VLOOKUP(TRIM(D504)&amp;"_"&amp;TRIM(INDEX($R$1:$V$1, MATCH(MIN(R504:V504), R504:V504, 0))), 技能库!$A:$F, 6, 0),"请针对该题型加强练习"))</f>
        <v/>
      </c>
    </row>
    <row r="505" spans="12:29" ht="16" hidden="1" x14ac:dyDescent="0.2">
      <c r="L505" t="str">
        <f t="shared" si="28"/>
        <v/>
      </c>
      <c r="M505" t="str">
        <f>IF(L505="","", IFERROR(VLOOKUP(L505, IF(D505="KET", 换算标准!$M:$N, IF(D505="PET", 换算标准!$S:$T, 换算标准!$AC:$AD)), 2, TRUE), 0))</f>
        <v/>
      </c>
      <c r="P505" t="str">
        <f t="shared" si="29"/>
        <v/>
      </c>
      <c r="Q505" t="str">
        <f>IF(P505="","", IFERROR(VLOOKUP(P505, IF(D505="KET", 换算标准!$O:$P, IF(D505="PET", 换算标准!$U:$V, 换算标准!$AG:$AH)), 2, TRUE), 0))</f>
        <v/>
      </c>
      <c r="W505" t="str">
        <f t="shared" si="30"/>
        <v/>
      </c>
      <c r="X505" t="str">
        <f>IF(W505="","", IFERROR(VLOOKUP(W505, IF(D505="KET", 换算标准!$Q:$R, IF(D505="PET", 换算标准!$W:$X, 换算标准!$AI:$AJ)), 2, TRUE), 0))</f>
        <v/>
      </c>
      <c r="Y505" t="str">
        <f t="shared" si="31"/>
        <v/>
      </c>
      <c r="Z505" t="str">
        <f>IF(Y505="","", IFERROR(VLOOKUP(Y505, 换算标准!$Z:$AA, 1, TRUE), ""))</f>
        <v/>
      </c>
      <c r="AA505" s="5" t="str">
        <f>IF(L505="","", "⚠️ 薄弱环节: "&amp;INDEX($E$1:$K$1, MATCH(MIN(E505:K505), E505:K505, 0))&amp;CHAR(10)&amp;"📉 考察能力: "&amp;IFERROR(VLOOKUP(TRIM(D505)&amp;"_"&amp;TRIM(INDEX($E$1:$K$1, MATCH(MIN(E505:K505), E505:K505, 0))), 技能库!$A:$F, 5, 0),"建议查阅考纲")&amp;CHAR(10)&amp;"💡 提升建议: "&amp;IFERROR(VLOOKUP(TRIM(D505)&amp;"_"&amp;TRIM(INDEX($E$1:$K$1, MATCH(MIN(E505:K505), E505:K505, 0))), 技能库!$A:$F, 6, 0),"请针对该题型加强练习"))</f>
        <v/>
      </c>
      <c r="AB505" s="5" t="str">
        <f>IF(P505="","", "⚠️ 薄弱环节: "&amp;INDEX($N$1:$O$1, MATCH(MIN(N505:O505), N505:O505, 0))&amp;CHAR(10)&amp;"📉 考察能力: "&amp;IFERROR(VLOOKUP(TRIM(D505)&amp;"_"&amp;TRIM(INDEX($N$1:$O$1, MATCH(MIN(N505:O505), N505:O505, 0))), 技能库!$A:$F, 5, 0),"建议查阅考纲")&amp;CHAR(10)&amp;"💡 提升建议: "&amp;IFERROR(VLOOKUP(TRIM(D505)&amp;"_"&amp;TRIM(INDEX($N$1:$O$1, MATCH(MIN(N505:O505), N505:O505, 0))), 技能库!$A:$F, 6, 0),"请针对该题型加强练习"))</f>
        <v/>
      </c>
      <c r="AC505" s="5" t="str">
        <f>IF(W505="","", "⚠️ 薄弱环节: "&amp;INDEX($R$1:$V$1, MATCH(MIN(R505:V505), R505:V505, 0))&amp;CHAR(10)&amp;"📉 考察能力: "&amp;IFERROR(VLOOKUP(TRIM(D505)&amp;"_"&amp;TRIM(INDEX($R$1:$V$1, MATCH(MIN(R505:V505), R505:V505, 0))), 技能库!$A:$F, 5, 0),"建议查阅考纲")&amp;CHAR(10)&amp;"💡 提升建议: "&amp;IFERROR(VLOOKUP(TRIM(D505)&amp;"_"&amp;TRIM(INDEX($R$1:$V$1, MATCH(MIN(R505:V505), R505:V505, 0))), 技能库!$A:$F, 6, 0),"请针对该题型加强练习"))</f>
        <v/>
      </c>
    </row>
    <row r="506" spans="12:29" ht="16" hidden="1" x14ac:dyDescent="0.2">
      <c r="L506" t="str">
        <f t="shared" si="28"/>
        <v/>
      </c>
      <c r="M506" t="str">
        <f>IF(L506="","", IFERROR(VLOOKUP(L506, IF(D506="KET", 换算标准!$M:$N, IF(D506="PET", 换算标准!$S:$T, 换算标准!$AC:$AD)), 2, TRUE), 0))</f>
        <v/>
      </c>
      <c r="P506" t="str">
        <f t="shared" si="29"/>
        <v/>
      </c>
      <c r="Q506" t="str">
        <f>IF(P506="","", IFERROR(VLOOKUP(P506, IF(D506="KET", 换算标准!$O:$P, IF(D506="PET", 换算标准!$U:$V, 换算标准!$AG:$AH)), 2, TRUE), 0))</f>
        <v/>
      </c>
      <c r="W506" t="str">
        <f t="shared" si="30"/>
        <v/>
      </c>
      <c r="X506" t="str">
        <f>IF(W506="","", IFERROR(VLOOKUP(W506, IF(D506="KET", 换算标准!$Q:$R, IF(D506="PET", 换算标准!$W:$X, 换算标准!$AI:$AJ)), 2, TRUE), 0))</f>
        <v/>
      </c>
      <c r="Y506" t="str">
        <f t="shared" si="31"/>
        <v/>
      </c>
      <c r="Z506" t="str">
        <f>IF(Y506="","", IFERROR(VLOOKUP(Y506, 换算标准!$Z:$AA, 1, TRUE), ""))</f>
        <v/>
      </c>
      <c r="AA506" s="5" t="str">
        <f>IF(L506="","", "⚠️ 薄弱环节: "&amp;INDEX($E$1:$K$1, MATCH(MIN(E506:K506), E506:K506, 0))&amp;CHAR(10)&amp;"📉 考察能力: "&amp;IFERROR(VLOOKUP(TRIM(D506)&amp;"_"&amp;TRIM(INDEX($E$1:$K$1, MATCH(MIN(E506:K506), E506:K506, 0))), 技能库!$A:$F, 5, 0),"建议查阅考纲")&amp;CHAR(10)&amp;"💡 提升建议: "&amp;IFERROR(VLOOKUP(TRIM(D506)&amp;"_"&amp;TRIM(INDEX($E$1:$K$1, MATCH(MIN(E506:K506), E506:K506, 0))), 技能库!$A:$F, 6, 0),"请针对该题型加强练习"))</f>
        <v/>
      </c>
      <c r="AB506" s="5" t="str">
        <f>IF(P506="","", "⚠️ 薄弱环节: "&amp;INDEX($N$1:$O$1, MATCH(MIN(N506:O506), N506:O506, 0))&amp;CHAR(10)&amp;"📉 考察能力: "&amp;IFERROR(VLOOKUP(TRIM(D506)&amp;"_"&amp;TRIM(INDEX($N$1:$O$1, MATCH(MIN(N506:O506), N506:O506, 0))), 技能库!$A:$F, 5, 0),"建议查阅考纲")&amp;CHAR(10)&amp;"💡 提升建议: "&amp;IFERROR(VLOOKUP(TRIM(D506)&amp;"_"&amp;TRIM(INDEX($N$1:$O$1, MATCH(MIN(N506:O506), N506:O506, 0))), 技能库!$A:$F, 6, 0),"请针对该题型加强练习"))</f>
        <v/>
      </c>
      <c r="AC506" s="5" t="str">
        <f>IF(W506="","", "⚠️ 薄弱环节: "&amp;INDEX($R$1:$V$1, MATCH(MIN(R506:V506), R506:V506, 0))&amp;CHAR(10)&amp;"📉 考察能力: "&amp;IFERROR(VLOOKUP(TRIM(D506)&amp;"_"&amp;TRIM(INDEX($R$1:$V$1, MATCH(MIN(R506:V506), R506:V506, 0))), 技能库!$A:$F, 5, 0),"建议查阅考纲")&amp;CHAR(10)&amp;"💡 提升建议: "&amp;IFERROR(VLOOKUP(TRIM(D506)&amp;"_"&amp;TRIM(INDEX($R$1:$V$1, MATCH(MIN(R506:V506), R506:V506, 0))), 技能库!$A:$F, 6, 0),"请针对该题型加强练习"))</f>
        <v/>
      </c>
    </row>
    <row r="507" spans="12:29" ht="16" hidden="1" x14ac:dyDescent="0.2">
      <c r="L507" t="str">
        <f t="shared" si="28"/>
        <v/>
      </c>
      <c r="M507" t="str">
        <f>IF(L507="","", IFERROR(VLOOKUP(L507, IF(D507="KET", 换算标准!$M:$N, IF(D507="PET", 换算标准!$S:$T, 换算标准!$AC:$AD)), 2, TRUE), 0))</f>
        <v/>
      </c>
      <c r="P507" t="str">
        <f t="shared" si="29"/>
        <v/>
      </c>
      <c r="Q507" t="str">
        <f>IF(P507="","", IFERROR(VLOOKUP(P507, IF(D507="KET", 换算标准!$O:$P, IF(D507="PET", 换算标准!$U:$V, 换算标准!$AG:$AH)), 2, TRUE), 0))</f>
        <v/>
      </c>
      <c r="W507" t="str">
        <f t="shared" si="30"/>
        <v/>
      </c>
      <c r="X507" t="str">
        <f>IF(W507="","", IFERROR(VLOOKUP(W507, IF(D507="KET", 换算标准!$Q:$R, IF(D507="PET", 换算标准!$W:$X, 换算标准!$AI:$AJ)), 2, TRUE), 0))</f>
        <v/>
      </c>
      <c r="Y507" t="str">
        <f t="shared" si="31"/>
        <v/>
      </c>
      <c r="Z507" t="str">
        <f>IF(Y507="","", IFERROR(VLOOKUP(Y507, 换算标准!$Z:$AA, 1, TRUE), ""))</f>
        <v/>
      </c>
      <c r="AA507" s="5" t="str">
        <f>IF(L507="","", "⚠️ 薄弱环节: "&amp;INDEX($E$1:$K$1, MATCH(MIN(E507:K507), E507:K507, 0))&amp;CHAR(10)&amp;"📉 考察能力: "&amp;IFERROR(VLOOKUP(TRIM(D507)&amp;"_"&amp;TRIM(INDEX($E$1:$K$1, MATCH(MIN(E507:K507), E507:K507, 0))), 技能库!$A:$F, 5, 0),"建议查阅考纲")&amp;CHAR(10)&amp;"💡 提升建议: "&amp;IFERROR(VLOOKUP(TRIM(D507)&amp;"_"&amp;TRIM(INDEX($E$1:$K$1, MATCH(MIN(E507:K507), E507:K507, 0))), 技能库!$A:$F, 6, 0),"请针对该题型加强练习"))</f>
        <v/>
      </c>
      <c r="AB507" s="5" t="str">
        <f>IF(P507="","", "⚠️ 薄弱环节: "&amp;INDEX($N$1:$O$1, MATCH(MIN(N507:O507), N507:O507, 0))&amp;CHAR(10)&amp;"📉 考察能力: "&amp;IFERROR(VLOOKUP(TRIM(D507)&amp;"_"&amp;TRIM(INDEX($N$1:$O$1, MATCH(MIN(N507:O507), N507:O507, 0))), 技能库!$A:$F, 5, 0),"建议查阅考纲")&amp;CHAR(10)&amp;"💡 提升建议: "&amp;IFERROR(VLOOKUP(TRIM(D507)&amp;"_"&amp;TRIM(INDEX($N$1:$O$1, MATCH(MIN(N507:O507), N507:O507, 0))), 技能库!$A:$F, 6, 0),"请针对该题型加强练习"))</f>
        <v/>
      </c>
      <c r="AC507" s="5" t="str">
        <f>IF(W507="","", "⚠️ 薄弱环节: "&amp;INDEX($R$1:$V$1, MATCH(MIN(R507:V507), R507:V507, 0))&amp;CHAR(10)&amp;"📉 考察能力: "&amp;IFERROR(VLOOKUP(TRIM(D507)&amp;"_"&amp;TRIM(INDEX($R$1:$V$1, MATCH(MIN(R507:V507), R507:V507, 0))), 技能库!$A:$F, 5, 0),"建议查阅考纲")&amp;CHAR(10)&amp;"💡 提升建议: "&amp;IFERROR(VLOOKUP(TRIM(D507)&amp;"_"&amp;TRIM(INDEX($R$1:$V$1, MATCH(MIN(R507:V507), R507:V507, 0))), 技能库!$A:$F, 6, 0),"请针对该题型加强练习"))</f>
        <v/>
      </c>
    </row>
    <row r="508" spans="12:29" ht="16" hidden="1" x14ac:dyDescent="0.2">
      <c r="L508" t="str">
        <f t="shared" si="28"/>
        <v/>
      </c>
      <c r="M508" t="str">
        <f>IF(L508="","", IFERROR(VLOOKUP(L508, IF(D508="KET", 换算标准!$M:$N, IF(D508="PET", 换算标准!$S:$T, 换算标准!$AC:$AD)), 2, TRUE), 0))</f>
        <v/>
      </c>
      <c r="P508" t="str">
        <f t="shared" si="29"/>
        <v/>
      </c>
      <c r="Q508" t="str">
        <f>IF(P508="","", IFERROR(VLOOKUP(P508, IF(D508="KET", 换算标准!$O:$P, IF(D508="PET", 换算标准!$U:$V, 换算标准!$AG:$AH)), 2, TRUE), 0))</f>
        <v/>
      </c>
      <c r="W508" t="str">
        <f t="shared" si="30"/>
        <v/>
      </c>
      <c r="X508" t="str">
        <f>IF(W508="","", IFERROR(VLOOKUP(W508, IF(D508="KET", 换算标准!$Q:$R, IF(D508="PET", 换算标准!$W:$X, 换算标准!$AI:$AJ)), 2, TRUE), 0))</f>
        <v/>
      </c>
      <c r="Y508" t="str">
        <f t="shared" si="31"/>
        <v/>
      </c>
      <c r="Z508" t="str">
        <f>IF(Y508="","", IFERROR(VLOOKUP(Y508, 换算标准!$Z:$AA, 1, TRUE), ""))</f>
        <v/>
      </c>
      <c r="AA508" s="5" t="str">
        <f>IF(L508="","", "⚠️ 薄弱环节: "&amp;INDEX($E$1:$K$1, MATCH(MIN(E508:K508), E508:K508, 0))&amp;CHAR(10)&amp;"📉 考察能力: "&amp;IFERROR(VLOOKUP(TRIM(D508)&amp;"_"&amp;TRIM(INDEX($E$1:$K$1, MATCH(MIN(E508:K508), E508:K508, 0))), 技能库!$A:$F, 5, 0),"建议查阅考纲")&amp;CHAR(10)&amp;"💡 提升建议: "&amp;IFERROR(VLOOKUP(TRIM(D508)&amp;"_"&amp;TRIM(INDEX($E$1:$K$1, MATCH(MIN(E508:K508), E508:K508, 0))), 技能库!$A:$F, 6, 0),"请针对该题型加强练习"))</f>
        <v/>
      </c>
      <c r="AB508" s="5" t="str">
        <f>IF(P508="","", "⚠️ 薄弱环节: "&amp;INDEX($N$1:$O$1, MATCH(MIN(N508:O508), N508:O508, 0))&amp;CHAR(10)&amp;"📉 考察能力: "&amp;IFERROR(VLOOKUP(TRIM(D508)&amp;"_"&amp;TRIM(INDEX($N$1:$O$1, MATCH(MIN(N508:O508), N508:O508, 0))), 技能库!$A:$F, 5, 0),"建议查阅考纲")&amp;CHAR(10)&amp;"💡 提升建议: "&amp;IFERROR(VLOOKUP(TRIM(D508)&amp;"_"&amp;TRIM(INDEX($N$1:$O$1, MATCH(MIN(N508:O508), N508:O508, 0))), 技能库!$A:$F, 6, 0),"请针对该题型加强练习"))</f>
        <v/>
      </c>
      <c r="AC508" s="5" t="str">
        <f>IF(W508="","", "⚠️ 薄弱环节: "&amp;INDEX($R$1:$V$1, MATCH(MIN(R508:V508), R508:V508, 0))&amp;CHAR(10)&amp;"📉 考察能力: "&amp;IFERROR(VLOOKUP(TRIM(D508)&amp;"_"&amp;TRIM(INDEX($R$1:$V$1, MATCH(MIN(R508:V508), R508:V508, 0))), 技能库!$A:$F, 5, 0),"建议查阅考纲")&amp;CHAR(10)&amp;"💡 提升建议: "&amp;IFERROR(VLOOKUP(TRIM(D508)&amp;"_"&amp;TRIM(INDEX($R$1:$V$1, MATCH(MIN(R508:V508), R508:V508, 0))), 技能库!$A:$F, 6, 0),"请针对该题型加强练习"))</f>
        <v/>
      </c>
    </row>
    <row r="509" spans="12:29" ht="16" hidden="1" x14ac:dyDescent="0.2">
      <c r="L509" t="str">
        <f t="shared" si="28"/>
        <v/>
      </c>
      <c r="M509" t="str">
        <f>IF(L509="","", IFERROR(VLOOKUP(L509, IF(D509="KET", 换算标准!$M:$N, IF(D509="PET", 换算标准!$S:$T, 换算标准!$AC:$AD)), 2, TRUE), 0))</f>
        <v/>
      </c>
      <c r="P509" t="str">
        <f t="shared" si="29"/>
        <v/>
      </c>
      <c r="Q509" t="str">
        <f>IF(P509="","", IFERROR(VLOOKUP(P509, IF(D509="KET", 换算标准!$O:$P, IF(D509="PET", 换算标准!$U:$V, 换算标准!$AG:$AH)), 2, TRUE), 0))</f>
        <v/>
      </c>
      <c r="W509" t="str">
        <f t="shared" si="30"/>
        <v/>
      </c>
      <c r="X509" t="str">
        <f>IF(W509="","", IFERROR(VLOOKUP(W509, IF(D509="KET", 换算标准!$Q:$R, IF(D509="PET", 换算标准!$W:$X, 换算标准!$AI:$AJ)), 2, TRUE), 0))</f>
        <v/>
      </c>
      <c r="Y509" t="str">
        <f t="shared" si="31"/>
        <v/>
      </c>
      <c r="Z509" t="str">
        <f>IF(Y509="","", IFERROR(VLOOKUP(Y509, 换算标准!$Z:$AA, 1, TRUE), ""))</f>
        <v/>
      </c>
      <c r="AA509" s="5" t="str">
        <f>IF(L509="","", "⚠️ 薄弱环节: "&amp;INDEX($E$1:$K$1, MATCH(MIN(E509:K509), E509:K509, 0))&amp;CHAR(10)&amp;"📉 考察能力: "&amp;IFERROR(VLOOKUP(TRIM(D509)&amp;"_"&amp;TRIM(INDEX($E$1:$K$1, MATCH(MIN(E509:K509), E509:K509, 0))), 技能库!$A:$F, 5, 0),"建议查阅考纲")&amp;CHAR(10)&amp;"💡 提升建议: "&amp;IFERROR(VLOOKUP(TRIM(D509)&amp;"_"&amp;TRIM(INDEX($E$1:$K$1, MATCH(MIN(E509:K509), E509:K509, 0))), 技能库!$A:$F, 6, 0),"请针对该题型加强练习"))</f>
        <v/>
      </c>
      <c r="AB509" s="5" t="str">
        <f>IF(P509="","", "⚠️ 薄弱环节: "&amp;INDEX($N$1:$O$1, MATCH(MIN(N509:O509), N509:O509, 0))&amp;CHAR(10)&amp;"📉 考察能力: "&amp;IFERROR(VLOOKUP(TRIM(D509)&amp;"_"&amp;TRIM(INDEX($N$1:$O$1, MATCH(MIN(N509:O509), N509:O509, 0))), 技能库!$A:$F, 5, 0),"建议查阅考纲")&amp;CHAR(10)&amp;"💡 提升建议: "&amp;IFERROR(VLOOKUP(TRIM(D509)&amp;"_"&amp;TRIM(INDEX($N$1:$O$1, MATCH(MIN(N509:O509), N509:O509, 0))), 技能库!$A:$F, 6, 0),"请针对该题型加强练习"))</f>
        <v/>
      </c>
      <c r="AC509" s="5" t="str">
        <f>IF(W509="","", "⚠️ 薄弱环节: "&amp;INDEX($R$1:$V$1, MATCH(MIN(R509:V509), R509:V509, 0))&amp;CHAR(10)&amp;"📉 考察能力: "&amp;IFERROR(VLOOKUP(TRIM(D509)&amp;"_"&amp;TRIM(INDEX($R$1:$V$1, MATCH(MIN(R509:V509), R509:V509, 0))), 技能库!$A:$F, 5, 0),"建议查阅考纲")&amp;CHAR(10)&amp;"💡 提升建议: "&amp;IFERROR(VLOOKUP(TRIM(D509)&amp;"_"&amp;TRIM(INDEX($R$1:$V$1, MATCH(MIN(R509:V509), R509:V509, 0))), 技能库!$A:$F, 6, 0),"请针对该题型加强练习"))</f>
        <v/>
      </c>
    </row>
    <row r="510" spans="12:29" ht="16" hidden="1" x14ac:dyDescent="0.2">
      <c r="L510" t="str">
        <f t="shared" si="28"/>
        <v/>
      </c>
      <c r="M510" t="str">
        <f>IF(L510="","", IFERROR(VLOOKUP(L510, IF(D510="KET", 换算标准!$M:$N, IF(D510="PET", 换算标准!$S:$T, 换算标准!$AC:$AD)), 2, TRUE), 0))</f>
        <v/>
      </c>
      <c r="P510" t="str">
        <f t="shared" si="29"/>
        <v/>
      </c>
      <c r="Q510" t="str">
        <f>IF(P510="","", IFERROR(VLOOKUP(P510, IF(D510="KET", 换算标准!$O:$P, IF(D510="PET", 换算标准!$U:$V, 换算标准!$AG:$AH)), 2, TRUE), 0))</f>
        <v/>
      </c>
      <c r="W510" t="str">
        <f t="shared" si="30"/>
        <v/>
      </c>
      <c r="X510" t="str">
        <f>IF(W510="","", IFERROR(VLOOKUP(W510, IF(D510="KET", 换算标准!$Q:$R, IF(D510="PET", 换算标准!$W:$X, 换算标准!$AI:$AJ)), 2, TRUE), 0))</f>
        <v/>
      </c>
      <c r="Y510" t="str">
        <f t="shared" si="31"/>
        <v/>
      </c>
      <c r="Z510" t="str">
        <f>IF(Y510="","", IFERROR(VLOOKUP(Y510, 换算标准!$Z:$AA, 1, TRUE), ""))</f>
        <v/>
      </c>
      <c r="AA510" s="5" t="str">
        <f>IF(L510="","", "⚠️ 薄弱环节: "&amp;INDEX($E$1:$K$1, MATCH(MIN(E510:K510), E510:K510, 0))&amp;CHAR(10)&amp;"📉 考察能力: "&amp;IFERROR(VLOOKUP(TRIM(D510)&amp;"_"&amp;TRIM(INDEX($E$1:$K$1, MATCH(MIN(E510:K510), E510:K510, 0))), 技能库!$A:$F, 5, 0),"建议查阅考纲")&amp;CHAR(10)&amp;"💡 提升建议: "&amp;IFERROR(VLOOKUP(TRIM(D510)&amp;"_"&amp;TRIM(INDEX($E$1:$K$1, MATCH(MIN(E510:K510), E510:K510, 0))), 技能库!$A:$F, 6, 0),"请针对该题型加强练习"))</f>
        <v/>
      </c>
      <c r="AB510" s="5" t="str">
        <f>IF(P510="","", "⚠️ 薄弱环节: "&amp;INDEX($N$1:$O$1, MATCH(MIN(N510:O510), N510:O510, 0))&amp;CHAR(10)&amp;"📉 考察能力: "&amp;IFERROR(VLOOKUP(TRIM(D510)&amp;"_"&amp;TRIM(INDEX($N$1:$O$1, MATCH(MIN(N510:O510), N510:O510, 0))), 技能库!$A:$F, 5, 0),"建议查阅考纲")&amp;CHAR(10)&amp;"💡 提升建议: "&amp;IFERROR(VLOOKUP(TRIM(D510)&amp;"_"&amp;TRIM(INDEX($N$1:$O$1, MATCH(MIN(N510:O510), N510:O510, 0))), 技能库!$A:$F, 6, 0),"请针对该题型加强练习"))</f>
        <v/>
      </c>
      <c r="AC510" s="5" t="str">
        <f>IF(W510="","", "⚠️ 薄弱环节: "&amp;INDEX($R$1:$V$1, MATCH(MIN(R510:V510), R510:V510, 0))&amp;CHAR(10)&amp;"📉 考察能力: "&amp;IFERROR(VLOOKUP(TRIM(D510)&amp;"_"&amp;TRIM(INDEX($R$1:$V$1, MATCH(MIN(R510:V510), R510:V510, 0))), 技能库!$A:$F, 5, 0),"建议查阅考纲")&amp;CHAR(10)&amp;"💡 提升建议: "&amp;IFERROR(VLOOKUP(TRIM(D510)&amp;"_"&amp;TRIM(INDEX($R$1:$V$1, MATCH(MIN(R510:V510), R510:V510, 0))), 技能库!$A:$F, 6, 0),"请针对该题型加强练习"))</f>
        <v/>
      </c>
    </row>
    <row r="511" spans="12:29" ht="16" hidden="1" x14ac:dyDescent="0.2">
      <c r="L511" t="str">
        <f t="shared" si="28"/>
        <v/>
      </c>
      <c r="M511" t="str">
        <f>IF(L511="","", IFERROR(VLOOKUP(L511, IF(D511="KET", 换算标准!$M:$N, IF(D511="PET", 换算标准!$S:$T, 换算标准!$AC:$AD)), 2, TRUE), 0))</f>
        <v/>
      </c>
      <c r="P511" t="str">
        <f t="shared" si="29"/>
        <v/>
      </c>
      <c r="Q511" t="str">
        <f>IF(P511="","", IFERROR(VLOOKUP(P511, IF(D511="KET", 换算标准!$O:$P, IF(D511="PET", 换算标准!$U:$V, 换算标准!$AG:$AH)), 2, TRUE), 0))</f>
        <v/>
      </c>
      <c r="W511" t="str">
        <f t="shared" si="30"/>
        <v/>
      </c>
      <c r="X511" t="str">
        <f>IF(W511="","", IFERROR(VLOOKUP(W511, IF(D511="KET", 换算标准!$Q:$R, IF(D511="PET", 换算标准!$W:$X, 换算标准!$AI:$AJ)), 2, TRUE), 0))</f>
        <v/>
      </c>
      <c r="Y511" t="str">
        <f t="shared" si="31"/>
        <v/>
      </c>
      <c r="Z511" t="str">
        <f>IF(Y511="","", IFERROR(VLOOKUP(Y511, 换算标准!$Z:$AA, 1, TRUE), ""))</f>
        <v/>
      </c>
      <c r="AA511" s="5" t="str">
        <f>IF(L511="","", "⚠️ 薄弱环节: "&amp;INDEX($E$1:$K$1, MATCH(MIN(E511:K511), E511:K511, 0))&amp;CHAR(10)&amp;"📉 考察能力: "&amp;IFERROR(VLOOKUP(TRIM(D511)&amp;"_"&amp;TRIM(INDEX($E$1:$K$1, MATCH(MIN(E511:K511), E511:K511, 0))), 技能库!$A:$F, 5, 0),"建议查阅考纲")&amp;CHAR(10)&amp;"💡 提升建议: "&amp;IFERROR(VLOOKUP(TRIM(D511)&amp;"_"&amp;TRIM(INDEX($E$1:$K$1, MATCH(MIN(E511:K511), E511:K511, 0))), 技能库!$A:$F, 6, 0),"请针对该题型加强练习"))</f>
        <v/>
      </c>
      <c r="AB511" s="5" t="str">
        <f>IF(P511="","", "⚠️ 薄弱环节: "&amp;INDEX($N$1:$O$1, MATCH(MIN(N511:O511), N511:O511, 0))&amp;CHAR(10)&amp;"📉 考察能力: "&amp;IFERROR(VLOOKUP(TRIM(D511)&amp;"_"&amp;TRIM(INDEX($N$1:$O$1, MATCH(MIN(N511:O511), N511:O511, 0))), 技能库!$A:$F, 5, 0),"建议查阅考纲")&amp;CHAR(10)&amp;"💡 提升建议: "&amp;IFERROR(VLOOKUP(TRIM(D511)&amp;"_"&amp;TRIM(INDEX($N$1:$O$1, MATCH(MIN(N511:O511), N511:O511, 0))), 技能库!$A:$F, 6, 0),"请针对该题型加强练习"))</f>
        <v/>
      </c>
      <c r="AC511" s="5" t="str">
        <f>IF(W511="","", "⚠️ 薄弱环节: "&amp;INDEX($R$1:$V$1, MATCH(MIN(R511:V511), R511:V511, 0))&amp;CHAR(10)&amp;"📉 考察能力: "&amp;IFERROR(VLOOKUP(TRIM(D511)&amp;"_"&amp;TRIM(INDEX($R$1:$V$1, MATCH(MIN(R511:V511), R511:V511, 0))), 技能库!$A:$F, 5, 0),"建议查阅考纲")&amp;CHAR(10)&amp;"💡 提升建议: "&amp;IFERROR(VLOOKUP(TRIM(D511)&amp;"_"&amp;TRIM(INDEX($R$1:$V$1, MATCH(MIN(R511:V511), R511:V511, 0))), 技能库!$A:$F, 6, 0),"请针对该题型加强练习"))</f>
        <v/>
      </c>
    </row>
    <row r="512" spans="12:29" ht="16" hidden="1" x14ac:dyDescent="0.2">
      <c r="L512" t="str">
        <f t="shared" si="28"/>
        <v/>
      </c>
      <c r="M512" t="str">
        <f>IF(L512="","", IFERROR(VLOOKUP(L512, IF(D512="KET", 换算标准!$M:$N, IF(D512="PET", 换算标准!$S:$T, 换算标准!$AC:$AD)), 2, TRUE), 0))</f>
        <v/>
      </c>
      <c r="P512" t="str">
        <f t="shared" si="29"/>
        <v/>
      </c>
      <c r="Q512" t="str">
        <f>IF(P512="","", IFERROR(VLOOKUP(P512, IF(D512="KET", 换算标准!$O:$P, IF(D512="PET", 换算标准!$U:$V, 换算标准!$AG:$AH)), 2, TRUE), 0))</f>
        <v/>
      </c>
      <c r="W512" t="str">
        <f t="shared" si="30"/>
        <v/>
      </c>
      <c r="X512" t="str">
        <f>IF(W512="","", IFERROR(VLOOKUP(W512, IF(D512="KET", 换算标准!$Q:$R, IF(D512="PET", 换算标准!$W:$X, 换算标准!$AI:$AJ)), 2, TRUE), 0))</f>
        <v/>
      </c>
      <c r="Y512" t="str">
        <f t="shared" si="31"/>
        <v/>
      </c>
      <c r="Z512" t="str">
        <f>IF(Y512="","", IFERROR(VLOOKUP(Y512, 换算标准!$Z:$AA, 1, TRUE), ""))</f>
        <v/>
      </c>
      <c r="AA512" s="5" t="str">
        <f>IF(L512="","", "⚠️ 薄弱环节: "&amp;INDEX($E$1:$K$1, MATCH(MIN(E512:K512), E512:K512, 0))&amp;CHAR(10)&amp;"📉 考察能力: "&amp;IFERROR(VLOOKUP(TRIM(D512)&amp;"_"&amp;TRIM(INDEX($E$1:$K$1, MATCH(MIN(E512:K512), E512:K512, 0))), 技能库!$A:$F, 5, 0),"建议查阅考纲")&amp;CHAR(10)&amp;"💡 提升建议: "&amp;IFERROR(VLOOKUP(TRIM(D512)&amp;"_"&amp;TRIM(INDEX($E$1:$K$1, MATCH(MIN(E512:K512), E512:K512, 0))), 技能库!$A:$F, 6, 0),"请针对该题型加强练习"))</f>
        <v/>
      </c>
      <c r="AB512" s="5" t="str">
        <f>IF(P512="","", "⚠️ 薄弱环节: "&amp;INDEX($N$1:$O$1, MATCH(MIN(N512:O512), N512:O512, 0))&amp;CHAR(10)&amp;"📉 考察能力: "&amp;IFERROR(VLOOKUP(TRIM(D512)&amp;"_"&amp;TRIM(INDEX($N$1:$O$1, MATCH(MIN(N512:O512), N512:O512, 0))), 技能库!$A:$F, 5, 0),"建议查阅考纲")&amp;CHAR(10)&amp;"💡 提升建议: "&amp;IFERROR(VLOOKUP(TRIM(D512)&amp;"_"&amp;TRIM(INDEX($N$1:$O$1, MATCH(MIN(N512:O512), N512:O512, 0))), 技能库!$A:$F, 6, 0),"请针对该题型加强练习"))</f>
        <v/>
      </c>
      <c r="AC512" s="5" t="str">
        <f>IF(W512="","", "⚠️ 薄弱环节: "&amp;INDEX($R$1:$V$1, MATCH(MIN(R512:V512), R512:V512, 0))&amp;CHAR(10)&amp;"📉 考察能力: "&amp;IFERROR(VLOOKUP(TRIM(D512)&amp;"_"&amp;TRIM(INDEX($R$1:$V$1, MATCH(MIN(R512:V512), R512:V512, 0))), 技能库!$A:$F, 5, 0),"建议查阅考纲")&amp;CHAR(10)&amp;"💡 提升建议: "&amp;IFERROR(VLOOKUP(TRIM(D512)&amp;"_"&amp;TRIM(INDEX($R$1:$V$1, MATCH(MIN(R512:V512), R512:V512, 0))), 技能库!$A:$F, 6, 0),"请针对该题型加强练习"))</f>
        <v/>
      </c>
    </row>
    <row r="513" spans="12:29" ht="16" hidden="1" x14ac:dyDescent="0.2">
      <c r="L513" t="str">
        <f t="shared" si="28"/>
        <v/>
      </c>
      <c r="M513" t="str">
        <f>IF(L513="","", IFERROR(VLOOKUP(L513, IF(D513="KET", 换算标准!$M:$N, IF(D513="PET", 换算标准!$S:$T, 换算标准!$AC:$AD)), 2, TRUE), 0))</f>
        <v/>
      </c>
      <c r="P513" t="str">
        <f t="shared" si="29"/>
        <v/>
      </c>
      <c r="Q513" t="str">
        <f>IF(P513="","", IFERROR(VLOOKUP(P513, IF(D513="KET", 换算标准!$O:$P, IF(D513="PET", 换算标准!$U:$V, 换算标准!$AG:$AH)), 2, TRUE), 0))</f>
        <v/>
      </c>
      <c r="W513" t="str">
        <f t="shared" si="30"/>
        <v/>
      </c>
      <c r="X513" t="str">
        <f>IF(W513="","", IFERROR(VLOOKUP(W513, IF(D513="KET", 换算标准!$Q:$R, IF(D513="PET", 换算标准!$W:$X, 换算标准!$AI:$AJ)), 2, TRUE), 0))</f>
        <v/>
      </c>
      <c r="Y513" t="str">
        <f t="shared" si="31"/>
        <v/>
      </c>
      <c r="Z513" t="str">
        <f>IF(Y513="","", IFERROR(VLOOKUP(Y513, 换算标准!$Z:$AA, 1, TRUE), ""))</f>
        <v/>
      </c>
      <c r="AA513" s="5" t="str">
        <f>IF(L513="","", "⚠️ 薄弱环节: "&amp;INDEX($E$1:$K$1, MATCH(MIN(E513:K513), E513:K513, 0))&amp;CHAR(10)&amp;"📉 考察能力: "&amp;IFERROR(VLOOKUP(TRIM(D513)&amp;"_"&amp;TRIM(INDEX($E$1:$K$1, MATCH(MIN(E513:K513), E513:K513, 0))), 技能库!$A:$F, 5, 0),"建议查阅考纲")&amp;CHAR(10)&amp;"💡 提升建议: "&amp;IFERROR(VLOOKUP(TRIM(D513)&amp;"_"&amp;TRIM(INDEX($E$1:$K$1, MATCH(MIN(E513:K513), E513:K513, 0))), 技能库!$A:$F, 6, 0),"请针对该题型加强练习"))</f>
        <v/>
      </c>
      <c r="AB513" s="5" t="str">
        <f>IF(P513="","", "⚠️ 薄弱环节: "&amp;INDEX($N$1:$O$1, MATCH(MIN(N513:O513), N513:O513, 0))&amp;CHAR(10)&amp;"📉 考察能力: "&amp;IFERROR(VLOOKUP(TRIM(D513)&amp;"_"&amp;TRIM(INDEX($N$1:$O$1, MATCH(MIN(N513:O513), N513:O513, 0))), 技能库!$A:$F, 5, 0),"建议查阅考纲")&amp;CHAR(10)&amp;"💡 提升建议: "&amp;IFERROR(VLOOKUP(TRIM(D513)&amp;"_"&amp;TRIM(INDEX($N$1:$O$1, MATCH(MIN(N513:O513), N513:O513, 0))), 技能库!$A:$F, 6, 0),"请针对该题型加强练习"))</f>
        <v/>
      </c>
      <c r="AC513" s="5" t="str">
        <f>IF(W513="","", "⚠️ 薄弱环节: "&amp;INDEX($R$1:$V$1, MATCH(MIN(R513:V513), R513:V513, 0))&amp;CHAR(10)&amp;"📉 考察能力: "&amp;IFERROR(VLOOKUP(TRIM(D513)&amp;"_"&amp;TRIM(INDEX($R$1:$V$1, MATCH(MIN(R513:V513), R513:V513, 0))), 技能库!$A:$F, 5, 0),"建议查阅考纲")&amp;CHAR(10)&amp;"💡 提升建议: "&amp;IFERROR(VLOOKUP(TRIM(D513)&amp;"_"&amp;TRIM(INDEX($R$1:$V$1, MATCH(MIN(R513:V513), R513:V513, 0))), 技能库!$A:$F, 6, 0),"请针对该题型加强练习"))</f>
        <v/>
      </c>
    </row>
    <row r="514" spans="12:29" ht="16" hidden="1" x14ac:dyDescent="0.2">
      <c r="L514" t="str">
        <f t="shared" ref="L514:L577" si="32">IF(COUNT(E514:K514)&gt;0, SUM(E514:K514), "")</f>
        <v/>
      </c>
      <c r="M514" t="str">
        <f>IF(L514="","", IFERROR(VLOOKUP(L514, IF(D514="KET", 换算标准!$M:$N, IF(D514="PET", 换算标准!$S:$T, 换算标准!$AC:$AD)), 2, TRUE), 0))</f>
        <v/>
      </c>
      <c r="P514" t="str">
        <f t="shared" ref="P514:P577" si="33">IF(COUNT(N514:O514)&gt;0, SUM(N514:O514), "")</f>
        <v/>
      </c>
      <c r="Q514" t="str">
        <f>IF(P514="","", IFERROR(VLOOKUP(P514, IF(D514="KET", 换算标准!$O:$P, IF(D514="PET", 换算标准!$U:$V, 换算标准!$AG:$AH)), 2, TRUE), 0))</f>
        <v/>
      </c>
      <c r="W514" t="str">
        <f t="shared" ref="W514:W577" si="34">IF(COUNT(R514:V514)&gt;0, SUM(R514:V514), "")</f>
        <v/>
      </c>
      <c r="X514" t="str">
        <f>IF(W514="","", IFERROR(VLOOKUP(W514, IF(D514="KET", 换算标准!$Q:$R, IF(D514="PET", 换算标准!$W:$X, 换算标准!$AI:$AJ)), 2, TRUE), 0))</f>
        <v/>
      </c>
      <c r="Y514" t="str">
        <f t="shared" ref="Y514:Y577" si="35">IF(COUNT(M514,Q514,X514)&gt;0, AVERAGE(M514,Q514,X514), "")</f>
        <v/>
      </c>
      <c r="Z514" t="str">
        <f>IF(Y514="","", IFERROR(VLOOKUP(Y514, 换算标准!$Z:$AA, 1, TRUE), ""))</f>
        <v/>
      </c>
      <c r="AA514" s="5" t="str">
        <f>IF(L514="","", "⚠️ 薄弱环节: "&amp;INDEX($E$1:$K$1, MATCH(MIN(E514:K514), E514:K514, 0))&amp;CHAR(10)&amp;"📉 考察能力: "&amp;IFERROR(VLOOKUP(TRIM(D514)&amp;"_"&amp;TRIM(INDEX($E$1:$K$1, MATCH(MIN(E514:K514), E514:K514, 0))), 技能库!$A:$F, 5, 0),"建议查阅考纲")&amp;CHAR(10)&amp;"💡 提升建议: "&amp;IFERROR(VLOOKUP(TRIM(D514)&amp;"_"&amp;TRIM(INDEX($E$1:$K$1, MATCH(MIN(E514:K514), E514:K514, 0))), 技能库!$A:$F, 6, 0),"请针对该题型加强练习"))</f>
        <v/>
      </c>
      <c r="AB514" s="5" t="str">
        <f>IF(P514="","", "⚠️ 薄弱环节: "&amp;INDEX($N$1:$O$1, MATCH(MIN(N514:O514), N514:O514, 0))&amp;CHAR(10)&amp;"📉 考察能力: "&amp;IFERROR(VLOOKUP(TRIM(D514)&amp;"_"&amp;TRIM(INDEX($N$1:$O$1, MATCH(MIN(N514:O514), N514:O514, 0))), 技能库!$A:$F, 5, 0),"建议查阅考纲")&amp;CHAR(10)&amp;"💡 提升建议: "&amp;IFERROR(VLOOKUP(TRIM(D514)&amp;"_"&amp;TRIM(INDEX($N$1:$O$1, MATCH(MIN(N514:O514), N514:O514, 0))), 技能库!$A:$F, 6, 0),"请针对该题型加强练习"))</f>
        <v/>
      </c>
      <c r="AC514" s="5" t="str">
        <f>IF(W514="","", "⚠️ 薄弱环节: "&amp;INDEX($R$1:$V$1, MATCH(MIN(R514:V514), R514:V514, 0))&amp;CHAR(10)&amp;"📉 考察能力: "&amp;IFERROR(VLOOKUP(TRIM(D514)&amp;"_"&amp;TRIM(INDEX($R$1:$V$1, MATCH(MIN(R514:V514), R514:V514, 0))), 技能库!$A:$F, 5, 0),"建议查阅考纲")&amp;CHAR(10)&amp;"💡 提升建议: "&amp;IFERROR(VLOOKUP(TRIM(D514)&amp;"_"&amp;TRIM(INDEX($R$1:$V$1, MATCH(MIN(R514:V514), R514:V514, 0))), 技能库!$A:$F, 6, 0),"请针对该题型加强练习"))</f>
        <v/>
      </c>
    </row>
    <row r="515" spans="12:29" ht="16" hidden="1" x14ac:dyDescent="0.2">
      <c r="L515" t="str">
        <f t="shared" si="32"/>
        <v/>
      </c>
      <c r="M515" t="str">
        <f>IF(L515="","", IFERROR(VLOOKUP(L515, IF(D515="KET", 换算标准!$M:$N, IF(D515="PET", 换算标准!$S:$T, 换算标准!$AC:$AD)), 2, TRUE), 0))</f>
        <v/>
      </c>
      <c r="P515" t="str">
        <f t="shared" si="33"/>
        <v/>
      </c>
      <c r="Q515" t="str">
        <f>IF(P515="","", IFERROR(VLOOKUP(P515, IF(D515="KET", 换算标准!$O:$P, IF(D515="PET", 换算标准!$U:$V, 换算标准!$AG:$AH)), 2, TRUE), 0))</f>
        <v/>
      </c>
      <c r="W515" t="str">
        <f t="shared" si="34"/>
        <v/>
      </c>
      <c r="X515" t="str">
        <f>IF(W515="","", IFERROR(VLOOKUP(W515, IF(D515="KET", 换算标准!$Q:$R, IF(D515="PET", 换算标准!$W:$X, 换算标准!$AI:$AJ)), 2, TRUE), 0))</f>
        <v/>
      </c>
      <c r="Y515" t="str">
        <f t="shared" si="35"/>
        <v/>
      </c>
      <c r="Z515" t="str">
        <f>IF(Y515="","", IFERROR(VLOOKUP(Y515, 换算标准!$Z:$AA, 1, TRUE), ""))</f>
        <v/>
      </c>
      <c r="AA515" s="5" t="str">
        <f>IF(L515="","", "⚠️ 薄弱环节: "&amp;INDEX($E$1:$K$1, MATCH(MIN(E515:K515), E515:K515, 0))&amp;CHAR(10)&amp;"📉 考察能力: "&amp;IFERROR(VLOOKUP(TRIM(D515)&amp;"_"&amp;TRIM(INDEX($E$1:$K$1, MATCH(MIN(E515:K515), E515:K515, 0))), 技能库!$A:$F, 5, 0),"建议查阅考纲")&amp;CHAR(10)&amp;"💡 提升建议: "&amp;IFERROR(VLOOKUP(TRIM(D515)&amp;"_"&amp;TRIM(INDEX($E$1:$K$1, MATCH(MIN(E515:K515), E515:K515, 0))), 技能库!$A:$F, 6, 0),"请针对该题型加强练习"))</f>
        <v/>
      </c>
      <c r="AB515" s="5" t="str">
        <f>IF(P515="","", "⚠️ 薄弱环节: "&amp;INDEX($N$1:$O$1, MATCH(MIN(N515:O515), N515:O515, 0))&amp;CHAR(10)&amp;"📉 考察能力: "&amp;IFERROR(VLOOKUP(TRIM(D515)&amp;"_"&amp;TRIM(INDEX($N$1:$O$1, MATCH(MIN(N515:O515), N515:O515, 0))), 技能库!$A:$F, 5, 0),"建议查阅考纲")&amp;CHAR(10)&amp;"💡 提升建议: "&amp;IFERROR(VLOOKUP(TRIM(D515)&amp;"_"&amp;TRIM(INDEX($N$1:$O$1, MATCH(MIN(N515:O515), N515:O515, 0))), 技能库!$A:$F, 6, 0),"请针对该题型加强练习"))</f>
        <v/>
      </c>
      <c r="AC515" s="5" t="str">
        <f>IF(W515="","", "⚠️ 薄弱环节: "&amp;INDEX($R$1:$V$1, MATCH(MIN(R515:V515), R515:V515, 0))&amp;CHAR(10)&amp;"📉 考察能力: "&amp;IFERROR(VLOOKUP(TRIM(D515)&amp;"_"&amp;TRIM(INDEX($R$1:$V$1, MATCH(MIN(R515:V515), R515:V515, 0))), 技能库!$A:$F, 5, 0),"建议查阅考纲")&amp;CHAR(10)&amp;"💡 提升建议: "&amp;IFERROR(VLOOKUP(TRIM(D515)&amp;"_"&amp;TRIM(INDEX($R$1:$V$1, MATCH(MIN(R515:V515), R515:V515, 0))), 技能库!$A:$F, 6, 0),"请针对该题型加强练习"))</f>
        <v/>
      </c>
    </row>
    <row r="516" spans="12:29" ht="16" hidden="1" x14ac:dyDescent="0.2">
      <c r="L516" t="str">
        <f t="shared" si="32"/>
        <v/>
      </c>
      <c r="M516" t="str">
        <f>IF(L516="","", IFERROR(VLOOKUP(L516, IF(D516="KET", 换算标准!$M:$N, IF(D516="PET", 换算标准!$S:$T, 换算标准!$AC:$AD)), 2, TRUE), 0))</f>
        <v/>
      </c>
      <c r="P516" t="str">
        <f t="shared" si="33"/>
        <v/>
      </c>
      <c r="Q516" t="str">
        <f>IF(P516="","", IFERROR(VLOOKUP(P516, IF(D516="KET", 换算标准!$O:$P, IF(D516="PET", 换算标准!$U:$V, 换算标准!$AG:$AH)), 2, TRUE), 0))</f>
        <v/>
      </c>
      <c r="W516" t="str">
        <f t="shared" si="34"/>
        <v/>
      </c>
      <c r="X516" t="str">
        <f>IF(W516="","", IFERROR(VLOOKUP(W516, IF(D516="KET", 换算标准!$Q:$R, IF(D516="PET", 换算标准!$W:$X, 换算标准!$AI:$AJ)), 2, TRUE), 0))</f>
        <v/>
      </c>
      <c r="Y516" t="str">
        <f t="shared" si="35"/>
        <v/>
      </c>
      <c r="Z516" t="str">
        <f>IF(Y516="","", IFERROR(VLOOKUP(Y516, 换算标准!$Z:$AA, 1, TRUE), ""))</f>
        <v/>
      </c>
      <c r="AA516" s="5" t="str">
        <f>IF(L516="","", "⚠️ 薄弱环节: "&amp;INDEX($E$1:$K$1, MATCH(MIN(E516:K516), E516:K516, 0))&amp;CHAR(10)&amp;"📉 考察能力: "&amp;IFERROR(VLOOKUP(TRIM(D516)&amp;"_"&amp;TRIM(INDEX($E$1:$K$1, MATCH(MIN(E516:K516), E516:K516, 0))), 技能库!$A:$F, 5, 0),"建议查阅考纲")&amp;CHAR(10)&amp;"💡 提升建议: "&amp;IFERROR(VLOOKUP(TRIM(D516)&amp;"_"&amp;TRIM(INDEX($E$1:$K$1, MATCH(MIN(E516:K516), E516:K516, 0))), 技能库!$A:$F, 6, 0),"请针对该题型加强练习"))</f>
        <v/>
      </c>
      <c r="AB516" s="5" t="str">
        <f>IF(P516="","", "⚠️ 薄弱环节: "&amp;INDEX($N$1:$O$1, MATCH(MIN(N516:O516), N516:O516, 0))&amp;CHAR(10)&amp;"📉 考察能力: "&amp;IFERROR(VLOOKUP(TRIM(D516)&amp;"_"&amp;TRIM(INDEX($N$1:$O$1, MATCH(MIN(N516:O516), N516:O516, 0))), 技能库!$A:$F, 5, 0),"建议查阅考纲")&amp;CHAR(10)&amp;"💡 提升建议: "&amp;IFERROR(VLOOKUP(TRIM(D516)&amp;"_"&amp;TRIM(INDEX($N$1:$O$1, MATCH(MIN(N516:O516), N516:O516, 0))), 技能库!$A:$F, 6, 0),"请针对该题型加强练习"))</f>
        <v/>
      </c>
      <c r="AC516" s="5" t="str">
        <f>IF(W516="","", "⚠️ 薄弱环节: "&amp;INDEX($R$1:$V$1, MATCH(MIN(R516:V516), R516:V516, 0))&amp;CHAR(10)&amp;"📉 考察能力: "&amp;IFERROR(VLOOKUP(TRIM(D516)&amp;"_"&amp;TRIM(INDEX($R$1:$V$1, MATCH(MIN(R516:V516), R516:V516, 0))), 技能库!$A:$F, 5, 0),"建议查阅考纲")&amp;CHAR(10)&amp;"💡 提升建议: "&amp;IFERROR(VLOOKUP(TRIM(D516)&amp;"_"&amp;TRIM(INDEX($R$1:$V$1, MATCH(MIN(R516:V516), R516:V516, 0))), 技能库!$A:$F, 6, 0),"请针对该题型加强练习"))</f>
        <v/>
      </c>
    </row>
    <row r="517" spans="12:29" ht="16" hidden="1" x14ac:dyDescent="0.2">
      <c r="L517" t="str">
        <f t="shared" si="32"/>
        <v/>
      </c>
      <c r="M517" t="str">
        <f>IF(L517="","", IFERROR(VLOOKUP(L517, IF(D517="KET", 换算标准!$M:$N, IF(D517="PET", 换算标准!$S:$T, 换算标准!$AC:$AD)), 2, TRUE), 0))</f>
        <v/>
      </c>
      <c r="P517" t="str">
        <f t="shared" si="33"/>
        <v/>
      </c>
      <c r="Q517" t="str">
        <f>IF(P517="","", IFERROR(VLOOKUP(P517, IF(D517="KET", 换算标准!$O:$P, IF(D517="PET", 换算标准!$U:$V, 换算标准!$AG:$AH)), 2, TRUE), 0))</f>
        <v/>
      </c>
      <c r="W517" t="str">
        <f t="shared" si="34"/>
        <v/>
      </c>
      <c r="X517" t="str">
        <f>IF(W517="","", IFERROR(VLOOKUP(W517, IF(D517="KET", 换算标准!$Q:$R, IF(D517="PET", 换算标准!$W:$X, 换算标准!$AI:$AJ)), 2, TRUE), 0))</f>
        <v/>
      </c>
      <c r="Y517" t="str">
        <f t="shared" si="35"/>
        <v/>
      </c>
      <c r="Z517" t="str">
        <f>IF(Y517="","", IFERROR(VLOOKUP(Y517, 换算标准!$Z:$AA, 1, TRUE), ""))</f>
        <v/>
      </c>
      <c r="AA517" s="5" t="str">
        <f>IF(L517="","", "⚠️ 薄弱环节: "&amp;INDEX($E$1:$K$1, MATCH(MIN(E517:K517), E517:K517, 0))&amp;CHAR(10)&amp;"📉 考察能力: "&amp;IFERROR(VLOOKUP(TRIM(D517)&amp;"_"&amp;TRIM(INDEX($E$1:$K$1, MATCH(MIN(E517:K517), E517:K517, 0))), 技能库!$A:$F, 5, 0),"建议查阅考纲")&amp;CHAR(10)&amp;"💡 提升建议: "&amp;IFERROR(VLOOKUP(TRIM(D517)&amp;"_"&amp;TRIM(INDEX($E$1:$K$1, MATCH(MIN(E517:K517), E517:K517, 0))), 技能库!$A:$F, 6, 0),"请针对该题型加强练习"))</f>
        <v/>
      </c>
      <c r="AB517" s="5" t="str">
        <f>IF(P517="","", "⚠️ 薄弱环节: "&amp;INDEX($N$1:$O$1, MATCH(MIN(N517:O517), N517:O517, 0))&amp;CHAR(10)&amp;"📉 考察能力: "&amp;IFERROR(VLOOKUP(TRIM(D517)&amp;"_"&amp;TRIM(INDEX($N$1:$O$1, MATCH(MIN(N517:O517), N517:O517, 0))), 技能库!$A:$F, 5, 0),"建议查阅考纲")&amp;CHAR(10)&amp;"💡 提升建议: "&amp;IFERROR(VLOOKUP(TRIM(D517)&amp;"_"&amp;TRIM(INDEX($N$1:$O$1, MATCH(MIN(N517:O517), N517:O517, 0))), 技能库!$A:$F, 6, 0),"请针对该题型加强练习"))</f>
        <v/>
      </c>
      <c r="AC517" s="5" t="str">
        <f>IF(W517="","", "⚠️ 薄弱环节: "&amp;INDEX($R$1:$V$1, MATCH(MIN(R517:V517), R517:V517, 0))&amp;CHAR(10)&amp;"📉 考察能力: "&amp;IFERROR(VLOOKUP(TRIM(D517)&amp;"_"&amp;TRIM(INDEX($R$1:$V$1, MATCH(MIN(R517:V517), R517:V517, 0))), 技能库!$A:$F, 5, 0),"建议查阅考纲")&amp;CHAR(10)&amp;"💡 提升建议: "&amp;IFERROR(VLOOKUP(TRIM(D517)&amp;"_"&amp;TRIM(INDEX($R$1:$V$1, MATCH(MIN(R517:V517), R517:V517, 0))), 技能库!$A:$F, 6, 0),"请针对该题型加强练习"))</f>
        <v/>
      </c>
    </row>
    <row r="518" spans="12:29" ht="16" hidden="1" x14ac:dyDescent="0.2">
      <c r="L518" t="str">
        <f t="shared" si="32"/>
        <v/>
      </c>
      <c r="M518" t="str">
        <f>IF(L518="","", IFERROR(VLOOKUP(L518, IF(D518="KET", 换算标准!$M:$N, IF(D518="PET", 换算标准!$S:$T, 换算标准!$AC:$AD)), 2, TRUE), 0))</f>
        <v/>
      </c>
      <c r="P518" t="str">
        <f t="shared" si="33"/>
        <v/>
      </c>
      <c r="Q518" t="str">
        <f>IF(P518="","", IFERROR(VLOOKUP(P518, IF(D518="KET", 换算标准!$O:$P, IF(D518="PET", 换算标准!$U:$V, 换算标准!$AG:$AH)), 2, TRUE), 0))</f>
        <v/>
      </c>
      <c r="W518" t="str">
        <f t="shared" si="34"/>
        <v/>
      </c>
      <c r="X518" t="str">
        <f>IF(W518="","", IFERROR(VLOOKUP(W518, IF(D518="KET", 换算标准!$Q:$R, IF(D518="PET", 换算标准!$W:$X, 换算标准!$AI:$AJ)), 2, TRUE), 0))</f>
        <v/>
      </c>
      <c r="Y518" t="str">
        <f t="shared" si="35"/>
        <v/>
      </c>
      <c r="Z518" t="str">
        <f>IF(Y518="","", IFERROR(VLOOKUP(Y518, 换算标准!$Z:$AA, 1, TRUE), ""))</f>
        <v/>
      </c>
      <c r="AA518" s="5" t="str">
        <f>IF(L518="","", "⚠️ 薄弱环节: "&amp;INDEX($E$1:$K$1, MATCH(MIN(E518:K518), E518:K518, 0))&amp;CHAR(10)&amp;"📉 考察能力: "&amp;IFERROR(VLOOKUP(TRIM(D518)&amp;"_"&amp;TRIM(INDEX($E$1:$K$1, MATCH(MIN(E518:K518), E518:K518, 0))), 技能库!$A:$F, 5, 0),"建议查阅考纲")&amp;CHAR(10)&amp;"💡 提升建议: "&amp;IFERROR(VLOOKUP(TRIM(D518)&amp;"_"&amp;TRIM(INDEX($E$1:$K$1, MATCH(MIN(E518:K518), E518:K518, 0))), 技能库!$A:$F, 6, 0),"请针对该题型加强练习"))</f>
        <v/>
      </c>
      <c r="AB518" s="5" t="str">
        <f>IF(P518="","", "⚠️ 薄弱环节: "&amp;INDEX($N$1:$O$1, MATCH(MIN(N518:O518), N518:O518, 0))&amp;CHAR(10)&amp;"📉 考察能力: "&amp;IFERROR(VLOOKUP(TRIM(D518)&amp;"_"&amp;TRIM(INDEX($N$1:$O$1, MATCH(MIN(N518:O518), N518:O518, 0))), 技能库!$A:$F, 5, 0),"建议查阅考纲")&amp;CHAR(10)&amp;"💡 提升建议: "&amp;IFERROR(VLOOKUP(TRIM(D518)&amp;"_"&amp;TRIM(INDEX($N$1:$O$1, MATCH(MIN(N518:O518), N518:O518, 0))), 技能库!$A:$F, 6, 0),"请针对该题型加强练习"))</f>
        <v/>
      </c>
      <c r="AC518" s="5" t="str">
        <f>IF(W518="","", "⚠️ 薄弱环节: "&amp;INDEX($R$1:$V$1, MATCH(MIN(R518:V518), R518:V518, 0))&amp;CHAR(10)&amp;"📉 考察能力: "&amp;IFERROR(VLOOKUP(TRIM(D518)&amp;"_"&amp;TRIM(INDEX($R$1:$V$1, MATCH(MIN(R518:V518), R518:V518, 0))), 技能库!$A:$F, 5, 0),"建议查阅考纲")&amp;CHAR(10)&amp;"💡 提升建议: "&amp;IFERROR(VLOOKUP(TRIM(D518)&amp;"_"&amp;TRIM(INDEX($R$1:$V$1, MATCH(MIN(R518:V518), R518:V518, 0))), 技能库!$A:$F, 6, 0),"请针对该题型加强练习"))</f>
        <v/>
      </c>
    </row>
    <row r="519" spans="12:29" ht="16" hidden="1" x14ac:dyDescent="0.2">
      <c r="L519" t="str">
        <f t="shared" si="32"/>
        <v/>
      </c>
      <c r="M519" t="str">
        <f>IF(L519="","", IFERROR(VLOOKUP(L519, IF(D519="KET", 换算标准!$M:$N, IF(D519="PET", 换算标准!$S:$T, 换算标准!$AC:$AD)), 2, TRUE), 0))</f>
        <v/>
      </c>
      <c r="P519" t="str">
        <f t="shared" si="33"/>
        <v/>
      </c>
      <c r="Q519" t="str">
        <f>IF(P519="","", IFERROR(VLOOKUP(P519, IF(D519="KET", 换算标准!$O:$P, IF(D519="PET", 换算标准!$U:$V, 换算标准!$AG:$AH)), 2, TRUE), 0))</f>
        <v/>
      </c>
      <c r="W519" t="str">
        <f t="shared" si="34"/>
        <v/>
      </c>
      <c r="X519" t="str">
        <f>IF(W519="","", IFERROR(VLOOKUP(W519, IF(D519="KET", 换算标准!$Q:$R, IF(D519="PET", 换算标准!$W:$X, 换算标准!$AI:$AJ)), 2, TRUE), 0))</f>
        <v/>
      </c>
      <c r="Y519" t="str">
        <f t="shared" si="35"/>
        <v/>
      </c>
      <c r="Z519" t="str">
        <f>IF(Y519="","", IFERROR(VLOOKUP(Y519, 换算标准!$Z:$AA, 1, TRUE), ""))</f>
        <v/>
      </c>
      <c r="AA519" s="5" t="str">
        <f>IF(L519="","", "⚠️ 薄弱环节: "&amp;INDEX($E$1:$K$1, MATCH(MIN(E519:K519), E519:K519, 0))&amp;CHAR(10)&amp;"📉 考察能力: "&amp;IFERROR(VLOOKUP(TRIM(D519)&amp;"_"&amp;TRIM(INDEX($E$1:$K$1, MATCH(MIN(E519:K519), E519:K519, 0))), 技能库!$A:$F, 5, 0),"建议查阅考纲")&amp;CHAR(10)&amp;"💡 提升建议: "&amp;IFERROR(VLOOKUP(TRIM(D519)&amp;"_"&amp;TRIM(INDEX($E$1:$K$1, MATCH(MIN(E519:K519), E519:K519, 0))), 技能库!$A:$F, 6, 0),"请针对该题型加强练习"))</f>
        <v/>
      </c>
      <c r="AB519" s="5" t="str">
        <f>IF(P519="","", "⚠️ 薄弱环节: "&amp;INDEX($N$1:$O$1, MATCH(MIN(N519:O519), N519:O519, 0))&amp;CHAR(10)&amp;"📉 考察能力: "&amp;IFERROR(VLOOKUP(TRIM(D519)&amp;"_"&amp;TRIM(INDEX($N$1:$O$1, MATCH(MIN(N519:O519), N519:O519, 0))), 技能库!$A:$F, 5, 0),"建议查阅考纲")&amp;CHAR(10)&amp;"💡 提升建议: "&amp;IFERROR(VLOOKUP(TRIM(D519)&amp;"_"&amp;TRIM(INDEX($N$1:$O$1, MATCH(MIN(N519:O519), N519:O519, 0))), 技能库!$A:$F, 6, 0),"请针对该题型加强练习"))</f>
        <v/>
      </c>
      <c r="AC519" s="5" t="str">
        <f>IF(W519="","", "⚠️ 薄弱环节: "&amp;INDEX($R$1:$V$1, MATCH(MIN(R519:V519), R519:V519, 0))&amp;CHAR(10)&amp;"📉 考察能力: "&amp;IFERROR(VLOOKUP(TRIM(D519)&amp;"_"&amp;TRIM(INDEX($R$1:$V$1, MATCH(MIN(R519:V519), R519:V519, 0))), 技能库!$A:$F, 5, 0),"建议查阅考纲")&amp;CHAR(10)&amp;"💡 提升建议: "&amp;IFERROR(VLOOKUP(TRIM(D519)&amp;"_"&amp;TRIM(INDEX($R$1:$V$1, MATCH(MIN(R519:V519), R519:V519, 0))), 技能库!$A:$F, 6, 0),"请针对该题型加强练习"))</f>
        <v/>
      </c>
    </row>
    <row r="520" spans="12:29" ht="16" hidden="1" x14ac:dyDescent="0.2">
      <c r="L520" t="str">
        <f t="shared" si="32"/>
        <v/>
      </c>
      <c r="M520" t="str">
        <f>IF(L520="","", IFERROR(VLOOKUP(L520, IF(D520="KET", 换算标准!$M:$N, IF(D520="PET", 换算标准!$S:$T, 换算标准!$AC:$AD)), 2, TRUE), 0))</f>
        <v/>
      </c>
      <c r="P520" t="str">
        <f t="shared" si="33"/>
        <v/>
      </c>
      <c r="Q520" t="str">
        <f>IF(P520="","", IFERROR(VLOOKUP(P520, IF(D520="KET", 换算标准!$O:$P, IF(D520="PET", 换算标准!$U:$V, 换算标准!$AG:$AH)), 2, TRUE), 0))</f>
        <v/>
      </c>
      <c r="W520" t="str">
        <f t="shared" si="34"/>
        <v/>
      </c>
      <c r="X520" t="str">
        <f>IF(W520="","", IFERROR(VLOOKUP(W520, IF(D520="KET", 换算标准!$Q:$R, IF(D520="PET", 换算标准!$W:$X, 换算标准!$AI:$AJ)), 2, TRUE), 0))</f>
        <v/>
      </c>
      <c r="Y520" t="str">
        <f t="shared" si="35"/>
        <v/>
      </c>
      <c r="Z520" t="str">
        <f>IF(Y520="","", IFERROR(VLOOKUP(Y520, 换算标准!$Z:$AA, 1, TRUE), ""))</f>
        <v/>
      </c>
      <c r="AA520" s="5" t="str">
        <f>IF(L520="","", "⚠️ 薄弱环节: "&amp;INDEX($E$1:$K$1, MATCH(MIN(E520:K520), E520:K520, 0))&amp;CHAR(10)&amp;"📉 考察能力: "&amp;IFERROR(VLOOKUP(TRIM(D520)&amp;"_"&amp;TRIM(INDEX($E$1:$K$1, MATCH(MIN(E520:K520), E520:K520, 0))), 技能库!$A:$F, 5, 0),"建议查阅考纲")&amp;CHAR(10)&amp;"💡 提升建议: "&amp;IFERROR(VLOOKUP(TRIM(D520)&amp;"_"&amp;TRIM(INDEX($E$1:$K$1, MATCH(MIN(E520:K520), E520:K520, 0))), 技能库!$A:$F, 6, 0),"请针对该题型加强练习"))</f>
        <v/>
      </c>
      <c r="AB520" s="5" t="str">
        <f>IF(P520="","", "⚠️ 薄弱环节: "&amp;INDEX($N$1:$O$1, MATCH(MIN(N520:O520), N520:O520, 0))&amp;CHAR(10)&amp;"📉 考察能力: "&amp;IFERROR(VLOOKUP(TRIM(D520)&amp;"_"&amp;TRIM(INDEX($N$1:$O$1, MATCH(MIN(N520:O520), N520:O520, 0))), 技能库!$A:$F, 5, 0),"建议查阅考纲")&amp;CHAR(10)&amp;"💡 提升建议: "&amp;IFERROR(VLOOKUP(TRIM(D520)&amp;"_"&amp;TRIM(INDEX($N$1:$O$1, MATCH(MIN(N520:O520), N520:O520, 0))), 技能库!$A:$F, 6, 0),"请针对该题型加强练习"))</f>
        <v/>
      </c>
      <c r="AC520" s="5" t="str">
        <f>IF(W520="","", "⚠️ 薄弱环节: "&amp;INDEX($R$1:$V$1, MATCH(MIN(R520:V520), R520:V520, 0))&amp;CHAR(10)&amp;"📉 考察能力: "&amp;IFERROR(VLOOKUP(TRIM(D520)&amp;"_"&amp;TRIM(INDEX($R$1:$V$1, MATCH(MIN(R520:V520), R520:V520, 0))), 技能库!$A:$F, 5, 0),"建议查阅考纲")&amp;CHAR(10)&amp;"💡 提升建议: "&amp;IFERROR(VLOOKUP(TRIM(D520)&amp;"_"&amp;TRIM(INDEX($R$1:$V$1, MATCH(MIN(R520:V520), R520:V520, 0))), 技能库!$A:$F, 6, 0),"请针对该题型加强练习"))</f>
        <v/>
      </c>
    </row>
    <row r="521" spans="12:29" ht="16" hidden="1" x14ac:dyDescent="0.2">
      <c r="L521" t="str">
        <f t="shared" si="32"/>
        <v/>
      </c>
      <c r="M521" t="str">
        <f>IF(L521="","", IFERROR(VLOOKUP(L521, IF(D521="KET", 换算标准!$M:$N, IF(D521="PET", 换算标准!$S:$T, 换算标准!$AC:$AD)), 2, TRUE), 0))</f>
        <v/>
      </c>
      <c r="P521" t="str">
        <f t="shared" si="33"/>
        <v/>
      </c>
      <c r="Q521" t="str">
        <f>IF(P521="","", IFERROR(VLOOKUP(P521, IF(D521="KET", 换算标准!$O:$P, IF(D521="PET", 换算标准!$U:$V, 换算标准!$AG:$AH)), 2, TRUE), 0))</f>
        <v/>
      </c>
      <c r="W521" t="str">
        <f t="shared" si="34"/>
        <v/>
      </c>
      <c r="X521" t="str">
        <f>IF(W521="","", IFERROR(VLOOKUP(W521, IF(D521="KET", 换算标准!$Q:$R, IF(D521="PET", 换算标准!$W:$X, 换算标准!$AI:$AJ)), 2, TRUE), 0))</f>
        <v/>
      </c>
      <c r="Y521" t="str">
        <f t="shared" si="35"/>
        <v/>
      </c>
      <c r="Z521" t="str">
        <f>IF(Y521="","", IFERROR(VLOOKUP(Y521, 换算标准!$Z:$AA, 1, TRUE), ""))</f>
        <v/>
      </c>
      <c r="AA521" s="5" t="str">
        <f>IF(L521="","", "⚠️ 薄弱环节: "&amp;INDEX($E$1:$K$1, MATCH(MIN(E521:K521), E521:K521, 0))&amp;CHAR(10)&amp;"📉 考察能力: "&amp;IFERROR(VLOOKUP(TRIM(D521)&amp;"_"&amp;TRIM(INDEX($E$1:$K$1, MATCH(MIN(E521:K521), E521:K521, 0))), 技能库!$A:$F, 5, 0),"建议查阅考纲")&amp;CHAR(10)&amp;"💡 提升建议: "&amp;IFERROR(VLOOKUP(TRIM(D521)&amp;"_"&amp;TRIM(INDEX($E$1:$K$1, MATCH(MIN(E521:K521), E521:K521, 0))), 技能库!$A:$F, 6, 0),"请针对该题型加强练习"))</f>
        <v/>
      </c>
      <c r="AB521" s="5" t="str">
        <f>IF(P521="","", "⚠️ 薄弱环节: "&amp;INDEX($N$1:$O$1, MATCH(MIN(N521:O521), N521:O521, 0))&amp;CHAR(10)&amp;"📉 考察能力: "&amp;IFERROR(VLOOKUP(TRIM(D521)&amp;"_"&amp;TRIM(INDEX($N$1:$O$1, MATCH(MIN(N521:O521), N521:O521, 0))), 技能库!$A:$F, 5, 0),"建议查阅考纲")&amp;CHAR(10)&amp;"💡 提升建议: "&amp;IFERROR(VLOOKUP(TRIM(D521)&amp;"_"&amp;TRIM(INDEX($N$1:$O$1, MATCH(MIN(N521:O521), N521:O521, 0))), 技能库!$A:$F, 6, 0),"请针对该题型加强练习"))</f>
        <v/>
      </c>
      <c r="AC521" s="5" t="str">
        <f>IF(W521="","", "⚠️ 薄弱环节: "&amp;INDEX($R$1:$V$1, MATCH(MIN(R521:V521), R521:V521, 0))&amp;CHAR(10)&amp;"📉 考察能力: "&amp;IFERROR(VLOOKUP(TRIM(D521)&amp;"_"&amp;TRIM(INDEX($R$1:$V$1, MATCH(MIN(R521:V521), R521:V521, 0))), 技能库!$A:$F, 5, 0),"建议查阅考纲")&amp;CHAR(10)&amp;"💡 提升建议: "&amp;IFERROR(VLOOKUP(TRIM(D521)&amp;"_"&amp;TRIM(INDEX($R$1:$V$1, MATCH(MIN(R521:V521), R521:V521, 0))), 技能库!$A:$F, 6, 0),"请针对该题型加强练习"))</f>
        <v/>
      </c>
    </row>
    <row r="522" spans="12:29" ht="16" hidden="1" x14ac:dyDescent="0.2">
      <c r="L522" t="str">
        <f t="shared" si="32"/>
        <v/>
      </c>
      <c r="M522" t="str">
        <f>IF(L522="","", IFERROR(VLOOKUP(L522, IF(D522="KET", 换算标准!$M:$N, IF(D522="PET", 换算标准!$S:$T, 换算标准!$AC:$AD)), 2, TRUE), 0))</f>
        <v/>
      </c>
      <c r="P522" t="str">
        <f t="shared" si="33"/>
        <v/>
      </c>
      <c r="Q522" t="str">
        <f>IF(P522="","", IFERROR(VLOOKUP(P522, IF(D522="KET", 换算标准!$O:$P, IF(D522="PET", 换算标准!$U:$V, 换算标准!$AG:$AH)), 2, TRUE), 0))</f>
        <v/>
      </c>
      <c r="W522" t="str">
        <f t="shared" si="34"/>
        <v/>
      </c>
      <c r="X522" t="str">
        <f>IF(W522="","", IFERROR(VLOOKUP(W522, IF(D522="KET", 换算标准!$Q:$R, IF(D522="PET", 换算标准!$W:$X, 换算标准!$AI:$AJ)), 2, TRUE), 0))</f>
        <v/>
      </c>
      <c r="Y522" t="str">
        <f t="shared" si="35"/>
        <v/>
      </c>
      <c r="Z522" t="str">
        <f>IF(Y522="","", IFERROR(VLOOKUP(Y522, 换算标准!$Z:$AA, 1, TRUE), ""))</f>
        <v/>
      </c>
      <c r="AA522" s="5" t="str">
        <f>IF(L522="","", "⚠️ 薄弱环节: "&amp;INDEX($E$1:$K$1, MATCH(MIN(E522:K522), E522:K522, 0))&amp;CHAR(10)&amp;"📉 考察能力: "&amp;IFERROR(VLOOKUP(TRIM(D522)&amp;"_"&amp;TRIM(INDEX($E$1:$K$1, MATCH(MIN(E522:K522), E522:K522, 0))), 技能库!$A:$F, 5, 0),"建议查阅考纲")&amp;CHAR(10)&amp;"💡 提升建议: "&amp;IFERROR(VLOOKUP(TRIM(D522)&amp;"_"&amp;TRIM(INDEX($E$1:$K$1, MATCH(MIN(E522:K522), E522:K522, 0))), 技能库!$A:$F, 6, 0),"请针对该题型加强练习"))</f>
        <v/>
      </c>
      <c r="AB522" s="5" t="str">
        <f>IF(P522="","", "⚠️ 薄弱环节: "&amp;INDEX($N$1:$O$1, MATCH(MIN(N522:O522), N522:O522, 0))&amp;CHAR(10)&amp;"📉 考察能力: "&amp;IFERROR(VLOOKUP(TRIM(D522)&amp;"_"&amp;TRIM(INDEX($N$1:$O$1, MATCH(MIN(N522:O522), N522:O522, 0))), 技能库!$A:$F, 5, 0),"建议查阅考纲")&amp;CHAR(10)&amp;"💡 提升建议: "&amp;IFERROR(VLOOKUP(TRIM(D522)&amp;"_"&amp;TRIM(INDEX($N$1:$O$1, MATCH(MIN(N522:O522), N522:O522, 0))), 技能库!$A:$F, 6, 0),"请针对该题型加强练习"))</f>
        <v/>
      </c>
      <c r="AC522" s="5" t="str">
        <f>IF(W522="","", "⚠️ 薄弱环节: "&amp;INDEX($R$1:$V$1, MATCH(MIN(R522:V522), R522:V522, 0))&amp;CHAR(10)&amp;"📉 考察能力: "&amp;IFERROR(VLOOKUP(TRIM(D522)&amp;"_"&amp;TRIM(INDEX($R$1:$V$1, MATCH(MIN(R522:V522), R522:V522, 0))), 技能库!$A:$F, 5, 0),"建议查阅考纲")&amp;CHAR(10)&amp;"💡 提升建议: "&amp;IFERROR(VLOOKUP(TRIM(D522)&amp;"_"&amp;TRIM(INDEX($R$1:$V$1, MATCH(MIN(R522:V522), R522:V522, 0))), 技能库!$A:$F, 6, 0),"请针对该题型加强练习"))</f>
        <v/>
      </c>
    </row>
    <row r="523" spans="12:29" ht="16" hidden="1" x14ac:dyDescent="0.2">
      <c r="L523" t="str">
        <f t="shared" si="32"/>
        <v/>
      </c>
      <c r="M523" t="str">
        <f>IF(L523="","", IFERROR(VLOOKUP(L523, IF(D523="KET", 换算标准!$M:$N, IF(D523="PET", 换算标准!$S:$T, 换算标准!$AC:$AD)), 2, TRUE), 0))</f>
        <v/>
      </c>
      <c r="P523" t="str">
        <f t="shared" si="33"/>
        <v/>
      </c>
      <c r="Q523" t="str">
        <f>IF(P523="","", IFERROR(VLOOKUP(P523, IF(D523="KET", 换算标准!$O:$P, IF(D523="PET", 换算标准!$U:$V, 换算标准!$AG:$AH)), 2, TRUE), 0))</f>
        <v/>
      </c>
      <c r="W523" t="str">
        <f t="shared" si="34"/>
        <v/>
      </c>
      <c r="X523" t="str">
        <f>IF(W523="","", IFERROR(VLOOKUP(W523, IF(D523="KET", 换算标准!$Q:$R, IF(D523="PET", 换算标准!$W:$X, 换算标准!$AI:$AJ)), 2, TRUE), 0))</f>
        <v/>
      </c>
      <c r="Y523" t="str">
        <f t="shared" si="35"/>
        <v/>
      </c>
      <c r="Z523" t="str">
        <f>IF(Y523="","", IFERROR(VLOOKUP(Y523, 换算标准!$Z:$AA, 1, TRUE), ""))</f>
        <v/>
      </c>
      <c r="AA523" s="5" t="str">
        <f>IF(L523="","", "⚠️ 薄弱环节: "&amp;INDEX($E$1:$K$1, MATCH(MIN(E523:K523), E523:K523, 0))&amp;CHAR(10)&amp;"📉 考察能力: "&amp;IFERROR(VLOOKUP(TRIM(D523)&amp;"_"&amp;TRIM(INDEX($E$1:$K$1, MATCH(MIN(E523:K523), E523:K523, 0))), 技能库!$A:$F, 5, 0),"建议查阅考纲")&amp;CHAR(10)&amp;"💡 提升建议: "&amp;IFERROR(VLOOKUP(TRIM(D523)&amp;"_"&amp;TRIM(INDEX($E$1:$K$1, MATCH(MIN(E523:K523), E523:K523, 0))), 技能库!$A:$F, 6, 0),"请针对该题型加强练习"))</f>
        <v/>
      </c>
      <c r="AB523" s="5" t="str">
        <f>IF(P523="","", "⚠️ 薄弱环节: "&amp;INDEX($N$1:$O$1, MATCH(MIN(N523:O523), N523:O523, 0))&amp;CHAR(10)&amp;"📉 考察能力: "&amp;IFERROR(VLOOKUP(TRIM(D523)&amp;"_"&amp;TRIM(INDEX($N$1:$O$1, MATCH(MIN(N523:O523), N523:O523, 0))), 技能库!$A:$F, 5, 0),"建议查阅考纲")&amp;CHAR(10)&amp;"💡 提升建议: "&amp;IFERROR(VLOOKUP(TRIM(D523)&amp;"_"&amp;TRIM(INDEX($N$1:$O$1, MATCH(MIN(N523:O523), N523:O523, 0))), 技能库!$A:$F, 6, 0),"请针对该题型加强练习"))</f>
        <v/>
      </c>
      <c r="AC523" s="5" t="str">
        <f>IF(W523="","", "⚠️ 薄弱环节: "&amp;INDEX($R$1:$V$1, MATCH(MIN(R523:V523), R523:V523, 0))&amp;CHAR(10)&amp;"📉 考察能力: "&amp;IFERROR(VLOOKUP(TRIM(D523)&amp;"_"&amp;TRIM(INDEX($R$1:$V$1, MATCH(MIN(R523:V523), R523:V523, 0))), 技能库!$A:$F, 5, 0),"建议查阅考纲")&amp;CHAR(10)&amp;"💡 提升建议: "&amp;IFERROR(VLOOKUP(TRIM(D523)&amp;"_"&amp;TRIM(INDEX($R$1:$V$1, MATCH(MIN(R523:V523), R523:V523, 0))), 技能库!$A:$F, 6, 0),"请针对该题型加强练习"))</f>
        <v/>
      </c>
    </row>
    <row r="524" spans="12:29" ht="16" hidden="1" x14ac:dyDescent="0.2">
      <c r="L524" t="str">
        <f t="shared" si="32"/>
        <v/>
      </c>
      <c r="M524" t="str">
        <f>IF(L524="","", IFERROR(VLOOKUP(L524, IF(D524="KET", 换算标准!$M:$N, IF(D524="PET", 换算标准!$S:$T, 换算标准!$AC:$AD)), 2, TRUE), 0))</f>
        <v/>
      </c>
      <c r="P524" t="str">
        <f t="shared" si="33"/>
        <v/>
      </c>
      <c r="Q524" t="str">
        <f>IF(P524="","", IFERROR(VLOOKUP(P524, IF(D524="KET", 换算标准!$O:$P, IF(D524="PET", 换算标准!$U:$V, 换算标准!$AG:$AH)), 2, TRUE), 0))</f>
        <v/>
      </c>
      <c r="W524" t="str">
        <f t="shared" si="34"/>
        <v/>
      </c>
      <c r="X524" t="str">
        <f>IF(W524="","", IFERROR(VLOOKUP(W524, IF(D524="KET", 换算标准!$Q:$R, IF(D524="PET", 换算标准!$W:$X, 换算标准!$AI:$AJ)), 2, TRUE), 0))</f>
        <v/>
      </c>
      <c r="Y524" t="str">
        <f t="shared" si="35"/>
        <v/>
      </c>
      <c r="Z524" t="str">
        <f>IF(Y524="","", IFERROR(VLOOKUP(Y524, 换算标准!$Z:$AA, 1, TRUE), ""))</f>
        <v/>
      </c>
      <c r="AA524" s="5" t="str">
        <f>IF(L524="","", "⚠️ 薄弱环节: "&amp;INDEX($E$1:$K$1, MATCH(MIN(E524:K524), E524:K524, 0))&amp;CHAR(10)&amp;"📉 考察能力: "&amp;IFERROR(VLOOKUP(TRIM(D524)&amp;"_"&amp;TRIM(INDEX($E$1:$K$1, MATCH(MIN(E524:K524), E524:K524, 0))), 技能库!$A:$F, 5, 0),"建议查阅考纲")&amp;CHAR(10)&amp;"💡 提升建议: "&amp;IFERROR(VLOOKUP(TRIM(D524)&amp;"_"&amp;TRIM(INDEX($E$1:$K$1, MATCH(MIN(E524:K524), E524:K524, 0))), 技能库!$A:$F, 6, 0),"请针对该题型加强练习"))</f>
        <v/>
      </c>
      <c r="AB524" s="5" t="str">
        <f>IF(P524="","", "⚠️ 薄弱环节: "&amp;INDEX($N$1:$O$1, MATCH(MIN(N524:O524), N524:O524, 0))&amp;CHAR(10)&amp;"📉 考察能力: "&amp;IFERROR(VLOOKUP(TRIM(D524)&amp;"_"&amp;TRIM(INDEX($N$1:$O$1, MATCH(MIN(N524:O524), N524:O524, 0))), 技能库!$A:$F, 5, 0),"建议查阅考纲")&amp;CHAR(10)&amp;"💡 提升建议: "&amp;IFERROR(VLOOKUP(TRIM(D524)&amp;"_"&amp;TRIM(INDEX($N$1:$O$1, MATCH(MIN(N524:O524), N524:O524, 0))), 技能库!$A:$F, 6, 0),"请针对该题型加强练习"))</f>
        <v/>
      </c>
      <c r="AC524" s="5" t="str">
        <f>IF(W524="","", "⚠️ 薄弱环节: "&amp;INDEX($R$1:$V$1, MATCH(MIN(R524:V524), R524:V524, 0))&amp;CHAR(10)&amp;"📉 考察能力: "&amp;IFERROR(VLOOKUP(TRIM(D524)&amp;"_"&amp;TRIM(INDEX($R$1:$V$1, MATCH(MIN(R524:V524), R524:V524, 0))), 技能库!$A:$F, 5, 0),"建议查阅考纲")&amp;CHAR(10)&amp;"💡 提升建议: "&amp;IFERROR(VLOOKUP(TRIM(D524)&amp;"_"&amp;TRIM(INDEX($R$1:$V$1, MATCH(MIN(R524:V524), R524:V524, 0))), 技能库!$A:$F, 6, 0),"请针对该题型加强练习"))</f>
        <v/>
      </c>
    </row>
    <row r="525" spans="12:29" ht="16" hidden="1" x14ac:dyDescent="0.2">
      <c r="L525" t="str">
        <f t="shared" si="32"/>
        <v/>
      </c>
      <c r="M525" t="str">
        <f>IF(L525="","", IFERROR(VLOOKUP(L525, IF(D525="KET", 换算标准!$M:$N, IF(D525="PET", 换算标准!$S:$T, 换算标准!$AC:$AD)), 2, TRUE), 0))</f>
        <v/>
      </c>
      <c r="P525" t="str">
        <f t="shared" si="33"/>
        <v/>
      </c>
      <c r="Q525" t="str">
        <f>IF(P525="","", IFERROR(VLOOKUP(P525, IF(D525="KET", 换算标准!$O:$P, IF(D525="PET", 换算标准!$U:$V, 换算标准!$AG:$AH)), 2, TRUE), 0))</f>
        <v/>
      </c>
      <c r="W525" t="str">
        <f t="shared" si="34"/>
        <v/>
      </c>
      <c r="X525" t="str">
        <f>IF(W525="","", IFERROR(VLOOKUP(W525, IF(D525="KET", 换算标准!$Q:$R, IF(D525="PET", 换算标准!$W:$X, 换算标准!$AI:$AJ)), 2, TRUE), 0))</f>
        <v/>
      </c>
      <c r="Y525" t="str">
        <f t="shared" si="35"/>
        <v/>
      </c>
      <c r="Z525" t="str">
        <f>IF(Y525="","", IFERROR(VLOOKUP(Y525, 换算标准!$Z:$AA, 1, TRUE), ""))</f>
        <v/>
      </c>
      <c r="AA525" s="5" t="str">
        <f>IF(L525="","", "⚠️ 薄弱环节: "&amp;INDEX($E$1:$K$1, MATCH(MIN(E525:K525), E525:K525, 0))&amp;CHAR(10)&amp;"📉 考察能力: "&amp;IFERROR(VLOOKUP(TRIM(D525)&amp;"_"&amp;TRIM(INDEX($E$1:$K$1, MATCH(MIN(E525:K525), E525:K525, 0))), 技能库!$A:$F, 5, 0),"建议查阅考纲")&amp;CHAR(10)&amp;"💡 提升建议: "&amp;IFERROR(VLOOKUP(TRIM(D525)&amp;"_"&amp;TRIM(INDEX($E$1:$K$1, MATCH(MIN(E525:K525), E525:K525, 0))), 技能库!$A:$F, 6, 0),"请针对该题型加强练习"))</f>
        <v/>
      </c>
      <c r="AB525" s="5" t="str">
        <f>IF(P525="","", "⚠️ 薄弱环节: "&amp;INDEX($N$1:$O$1, MATCH(MIN(N525:O525), N525:O525, 0))&amp;CHAR(10)&amp;"📉 考察能力: "&amp;IFERROR(VLOOKUP(TRIM(D525)&amp;"_"&amp;TRIM(INDEX($N$1:$O$1, MATCH(MIN(N525:O525), N525:O525, 0))), 技能库!$A:$F, 5, 0),"建议查阅考纲")&amp;CHAR(10)&amp;"💡 提升建议: "&amp;IFERROR(VLOOKUP(TRIM(D525)&amp;"_"&amp;TRIM(INDEX($N$1:$O$1, MATCH(MIN(N525:O525), N525:O525, 0))), 技能库!$A:$F, 6, 0),"请针对该题型加强练习"))</f>
        <v/>
      </c>
      <c r="AC525" s="5" t="str">
        <f>IF(W525="","", "⚠️ 薄弱环节: "&amp;INDEX($R$1:$V$1, MATCH(MIN(R525:V525), R525:V525, 0))&amp;CHAR(10)&amp;"📉 考察能力: "&amp;IFERROR(VLOOKUP(TRIM(D525)&amp;"_"&amp;TRIM(INDEX($R$1:$V$1, MATCH(MIN(R525:V525), R525:V525, 0))), 技能库!$A:$F, 5, 0),"建议查阅考纲")&amp;CHAR(10)&amp;"💡 提升建议: "&amp;IFERROR(VLOOKUP(TRIM(D525)&amp;"_"&amp;TRIM(INDEX($R$1:$V$1, MATCH(MIN(R525:V525), R525:V525, 0))), 技能库!$A:$F, 6, 0),"请针对该题型加强练习"))</f>
        <v/>
      </c>
    </row>
    <row r="526" spans="12:29" ht="16" hidden="1" x14ac:dyDescent="0.2">
      <c r="L526" t="str">
        <f t="shared" si="32"/>
        <v/>
      </c>
      <c r="M526" t="str">
        <f>IF(L526="","", IFERROR(VLOOKUP(L526, IF(D526="KET", 换算标准!$M:$N, IF(D526="PET", 换算标准!$S:$T, 换算标准!$AC:$AD)), 2, TRUE), 0))</f>
        <v/>
      </c>
      <c r="P526" t="str">
        <f t="shared" si="33"/>
        <v/>
      </c>
      <c r="Q526" t="str">
        <f>IF(P526="","", IFERROR(VLOOKUP(P526, IF(D526="KET", 换算标准!$O:$P, IF(D526="PET", 换算标准!$U:$V, 换算标准!$AG:$AH)), 2, TRUE), 0))</f>
        <v/>
      </c>
      <c r="W526" t="str">
        <f t="shared" si="34"/>
        <v/>
      </c>
      <c r="X526" t="str">
        <f>IF(W526="","", IFERROR(VLOOKUP(W526, IF(D526="KET", 换算标准!$Q:$R, IF(D526="PET", 换算标准!$W:$X, 换算标准!$AI:$AJ)), 2, TRUE), 0))</f>
        <v/>
      </c>
      <c r="Y526" t="str">
        <f t="shared" si="35"/>
        <v/>
      </c>
      <c r="Z526" t="str">
        <f>IF(Y526="","", IFERROR(VLOOKUP(Y526, 换算标准!$Z:$AA, 1, TRUE), ""))</f>
        <v/>
      </c>
      <c r="AA526" s="5" t="str">
        <f>IF(L526="","", "⚠️ 薄弱环节: "&amp;INDEX($E$1:$K$1, MATCH(MIN(E526:K526), E526:K526, 0))&amp;CHAR(10)&amp;"📉 考察能力: "&amp;IFERROR(VLOOKUP(TRIM(D526)&amp;"_"&amp;TRIM(INDEX($E$1:$K$1, MATCH(MIN(E526:K526), E526:K526, 0))), 技能库!$A:$F, 5, 0),"建议查阅考纲")&amp;CHAR(10)&amp;"💡 提升建议: "&amp;IFERROR(VLOOKUP(TRIM(D526)&amp;"_"&amp;TRIM(INDEX($E$1:$K$1, MATCH(MIN(E526:K526), E526:K526, 0))), 技能库!$A:$F, 6, 0),"请针对该题型加强练习"))</f>
        <v/>
      </c>
      <c r="AB526" s="5" t="str">
        <f>IF(P526="","", "⚠️ 薄弱环节: "&amp;INDEX($N$1:$O$1, MATCH(MIN(N526:O526), N526:O526, 0))&amp;CHAR(10)&amp;"📉 考察能力: "&amp;IFERROR(VLOOKUP(TRIM(D526)&amp;"_"&amp;TRIM(INDEX($N$1:$O$1, MATCH(MIN(N526:O526), N526:O526, 0))), 技能库!$A:$F, 5, 0),"建议查阅考纲")&amp;CHAR(10)&amp;"💡 提升建议: "&amp;IFERROR(VLOOKUP(TRIM(D526)&amp;"_"&amp;TRIM(INDEX($N$1:$O$1, MATCH(MIN(N526:O526), N526:O526, 0))), 技能库!$A:$F, 6, 0),"请针对该题型加强练习"))</f>
        <v/>
      </c>
      <c r="AC526" s="5" t="str">
        <f>IF(W526="","", "⚠️ 薄弱环节: "&amp;INDEX($R$1:$V$1, MATCH(MIN(R526:V526), R526:V526, 0))&amp;CHAR(10)&amp;"📉 考察能力: "&amp;IFERROR(VLOOKUP(TRIM(D526)&amp;"_"&amp;TRIM(INDEX($R$1:$V$1, MATCH(MIN(R526:V526), R526:V526, 0))), 技能库!$A:$F, 5, 0),"建议查阅考纲")&amp;CHAR(10)&amp;"💡 提升建议: "&amp;IFERROR(VLOOKUP(TRIM(D526)&amp;"_"&amp;TRIM(INDEX($R$1:$V$1, MATCH(MIN(R526:V526), R526:V526, 0))), 技能库!$A:$F, 6, 0),"请针对该题型加强练习"))</f>
        <v/>
      </c>
    </row>
    <row r="527" spans="12:29" ht="16" hidden="1" x14ac:dyDescent="0.2">
      <c r="L527" t="str">
        <f t="shared" si="32"/>
        <v/>
      </c>
      <c r="M527" t="str">
        <f>IF(L527="","", IFERROR(VLOOKUP(L527, IF(D527="KET", 换算标准!$M:$N, IF(D527="PET", 换算标准!$S:$T, 换算标准!$AC:$AD)), 2, TRUE), 0))</f>
        <v/>
      </c>
      <c r="P527" t="str">
        <f t="shared" si="33"/>
        <v/>
      </c>
      <c r="Q527" t="str">
        <f>IF(P527="","", IFERROR(VLOOKUP(P527, IF(D527="KET", 换算标准!$O:$P, IF(D527="PET", 换算标准!$U:$V, 换算标准!$AG:$AH)), 2, TRUE), 0))</f>
        <v/>
      </c>
      <c r="W527" t="str">
        <f t="shared" si="34"/>
        <v/>
      </c>
      <c r="X527" t="str">
        <f>IF(W527="","", IFERROR(VLOOKUP(W527, IF(D527="KET", 换算标准!$Q:$R, IF(D527="PET", 换算标准!$W:$X, 换算标准!$AI:$AJ)), 2, TRUE), 0))</f>
        <v/>
      </c>
      <c r="Y527" t="str">
        <f t="shared" si="35"/>
        <v/>
      </c>
      <c r="Z527" t="str">
        <f>IF(Y527="","", IFERROR(VLOOKUP(Y527, 换算标准!$Z:$AA, 1, TRUE), ""))</f>
        <v/>
      </c>
      <c r="AA527" s="5" t="str">
        <f>IF(L527="","", "⚠️ 薄弱环节: "&amp;INDEX($E$1:$K$1, MATCH(MIN(E527:K527), E527:K527, 0))&amp;CHAR(10)&amp;"📉 考察能力: "&amp;IFERROR(VLOOKUP(TRIM(D527)&amp;"_"&amp;TRIM(INDEX($E$1:$K$1, MATCH(MIN(E527:K527), E527:K527, 0))), 技能库!$A:$F, 5, 0),"建议查阅考纲")&amp;CHAR(10)&amp;"💡 提升建议: "&amp;IFERROR(VLOOKUP(TRIM(D527)&amp;"_"&amp;TRIM(INDEX($E$1:$K$1, MATCH(MIN(E527:K527), E527:K527, 0))), 技能库!$A:$F, 6, 0),"请针对该题型加强练习"))</f>
        <v/>
      </c>
      <c r="AB527" s="5" t="str">
        <f>IF(P527="","", "⚠️ 薄弱环节: "&amp;INDEX($N$1:$O$1, MATCH(MIN(N527:O527), N527:O527, 0))&amp;CHAR(10)&amp;"📉 考察能力: "&amp;IFERROR(VLOOKUP(TRIM(D527)&amp;"_"&amp;TRIM(INDEX($N$1:$O$1, MATCH(MIN(N527:O527), N527:O527, 0))), 技能库!$A:$F, 5, 0),"建议查阅考纲")&amp;CHAR(10)&amp;"💡 提升建议: "&amp;IFERROR(VLOOKUP(TRIM(D527)&amp;"_"&amp;TRIM(INDEX($N$1:$O$1, MATCH(MIN(N527:O527), N527:O527, 0))), 技能库!$A:$F, 6, 0),"请针对该题型加强练习"))</f>
        <v/>
      </c>
      <c r="AC527" s="5" t="str">
        <f>IF(W527="","", "⚠️ 薄弱环节: "&amp;INDEX($R$1:$V$1, MATCH(MIN(R527:V527), R527:V527, 0))&amp;CHAR(10)&amp;"📉 考察能力: "&amp;IFERROR(VLOOKUP(TRIM(D527)&amp;"_"&amp;TRIM(INDEX($R$1:$V$1, MATCH(MIN(R527:V527), R527:V527, 0))), 技能库!$A:$F, 5, 0),"建议查阅考纲")&amp;CHAR(10)&amp;"💡 提升建议: "&amp;IFERROR(VLOOKUP(TRIM(D527)&amp;"_"&amp;TRIM(INDEX($R$1:$V$1, MATCH(MIN(R527:V527), R527:V527, 0))), 技能库!$A:$F, 6, 0),"请针对该题型加强练习"))</f>
        <v/>
      </c>
    </row>
    <row r="528" spans="12:29" ht="16" hidden="1" x14ac:dyDescent="0.2">
      <c r="L528" t="str">
        <f t="shared" si="32"/>
        <v/>
      </c>
      <c r="M528" t="str">
        <f>IF(L528="","", IFERROR(VLOOKUP(L528, IF(D528="KET", 换算标准!$M:$N, IF(D528="PET", 换算标准!$S:$T, 换算标准!$AC:$AD)), 2, TRUE), 0))</f>
        <v/>
      </c>
      <c r="P528" t="str">
        <f t="shared" si="33"/>
        <v/>
      </c>
      <c r="Q528" t="str">
        <f>IF(P528="","", IFERROR(VLOOKUP(P528, IF(D528="KET", 换算标准!$O:$P, IF(D528="PET", 换算标准!$U:$V, 换算标准!$AG:$AH)), 2, TRUE), 0))</f>
        <v/>
      </c>
      <c r="W528" t="str">
        <f t="shared" si="34"/>
        <v/>
      </c>
      <c r="X528" t="str">
        <f>IF(W528="","", IFERROR(VLOOKUP(W528, IF(D528="KET", 换算标准!$Q:$R, IF(D528="PET", 换算标准!$W:$X, 换算标准!$AI:$AJ)), 2, TRUE), 0))</f>
        <v/>
      </c>
      <c r="Y528" t="str">
        <f t="shared" si="35"/>
        <v/>
      </c>
      <c r="Z528" t="str">
        <f>IF(Y528="","", IFERROR(VLOOKUP(Y528, 换算标准!$Z:$AA, 1, TRUE), ""))</f>
        <v/>
      </c>
      <c r="AA528" s="5" t="str">
        <f>IF(L528="","", "⚠️ 薄弱环节: "&amp;INDEX($E$1:$K$1, MATCH(MIN(E528:K528), E528:K528, 0))&amp;CHAR(10)&amp;"📉 考察能力: "&amp;IFERROR(VLOOKUP(TRIM(D528)&amp;"_"&amp;TRIM(INDEX($E$1:$K$1, MATCH(MIN(E528:K528), E528:K528, 0))), 技能库!$A:$F, 5, 0),"建议查阅考纲")&amp;CHAR(10)&amp;"💡 提升建议: "&amp;IFERROR(VLOOKUP(TRIM(D528)&amp;"_"&amp;TRIM(INDEX($E$1:$K$1, MATCH(MIN(E528:K528), E528:K528, 0))), 技能库!$A:$F, 6, 0),"请针对该题型加强练习"))</f>
        <v/>
      </c>
      <c r="AB528" s="5" t="str">
        <f>IF(P528="","", "⚠️ 薄弱环节: "&amp;INDEX($N$1:$O$1, MATCH(MIN(N528:O528), N528:O528, 0))&amp;CHAR(10)&amp;"📉 考察能力: "&amp;IFERROR(VLOOKUP(TRIM(D528)&amp;"_"&amp;TRIM(INDEX($N$1:$O$1, MATCH(MIN(N528:O528), N528:O528, 0))), 技能库!$A:$F, 5, 0),"建议查阅考纲")&amp;CHAR(10)&amp;"💡 提升建议: "&amp;IFERROR(VLOOKUP(TRIM(D528)&amp;"_"&amp;TRIM(INDEX($N$1:$O$1, MATCH(MIN(N528:O528), N528:O528, 0))), 技能库!$A:$F, 6, 0),"请针对该题型加强练习"))</f>
        <v/>
      </c>
      <c r="AC528" s="5" t="str">
        <f>IF(W528="","", "⚠️ 薄弱环节: "&amp;INDEX($R$1:$V$1, MATCH(MIN(R528:V528), R528:V528, 0))&amp;CHAR(10)&amp;"📉 考察能力: "&amp;IFERROR(VLOOKUP(TRIM(D528)&amp;"_"&amp;TRIM(INDEX($R$1:$V$1, MATCH(MIN(R528:V528), R528:V528, 0))), 技能库!$A:$F, 5, 0),"建议查阅考纲")&amp;CHAR(10)&amp;"💡 提升建议: "&amp;IFERROR(VLOOKUP(TRIM(D528)&amp;"_"&amp;TRIM(INDEX($R$1:$V$1, MATCH(MIN(R528:V528), R528:V528, 0))), 技能库!$A:$F, 6, 0),"请针对该题型加强练习"))</f>
        <v/>
      </c>
    </row>
    <row r="529" spans="12:29" ht="16" hidden="1" x14ac:dyDescent="0.2">
      <c r="L529" t="str">
        <f t="shared" si="32"/>
        <v/>
      </c>
      <c r="M529" t="str">
        <f>IF(L529="","", IFERROR(VLOOKUP(L529, IF(D529="KET", 换算标准!$M:$N, IF(D529="PET", 换算标准!$S:$T, 换算标准!$AC:$AD)), 2, TRUE), 0))</f>
        <v/>
      </c>
      <c r="P529" t="str">
        <f t="shared" si="33"/>
        <v/>
      </c>
      <c r="Q529" t="str">
        <f>IF(P529="","", IFERROR(VLOOKUP(P529, IF(D529="KET", 换算标准!$O:$P, IF(D529="PET", 换算标准!$U:$V, 换算标准!$AG:$AH)), 2, TRUE), 0))</f>
        <v/>
      </c>
      <c r="W529" t="str">
        <f t="shared" si="34"/>
        <v/>
      </c>
      <c r="X529" t="str">
        <f>IF(W529="","", IFERROR(VLOOKUP(W529, IF(D529="KET", 换算标准!$Q:$R, IF(D529="PET", 换算标准!$W:$X, 换算标准!$AI:$AJ)), 2, TRUE), 0))</f>
        <v/>
      </c>
      <c r="Y529" t="str">
        <f t="shared" si="35"/>
        <v/>
      </c>
      <c r="Z529" t="str">
        <f>IF(Y529="","", IFERROR(VLOOKUP(Y529, 换算标准!$Z:$AA, 1, TRUE), ""))</f>
        <v/>
      </c>
      <c r="AA529" s="5" t="str">
        <f>IF(L529="","", "⚠️ 薄弱环节: "&amp;INDEX($E$1:$K$1, MATCH(MIN(E529:K529), E529:K529, 0))&amp;CHAR(10)&amp;"📉 考察能力: "&amp;IFERROR(VLOOKUP(TRIM(D529)&amp;"_"&amp;TRIM(INDEX($E$1:$K$1, MATCH(MIN(E529:K529), E529:K529, 0))), 技能库!$A:$F, 5, 0),"建议查阅考纲")&amp;CHAR(10)&amp;"💡 提升建议: "&amp;IFERROR(VLOOKUP(TRIM(D529)&amp;"_"&amp;TRIM(INDEX($E$1:$K$1, MATCH(MIN(E529:K529), E529:K529, 0))), 技能库!$A:$F, 6, 0),"请针对该题型加强练习"))</f>
        <v/>
      </c>
      <c r="AB529" s="5" t="str">
        <f>IF(P529="","", "⚠️ 薄弱环节: "&amp;INDEX($N$1:$O$1, MATCH(MIN(N529:O529), N529:O529, 0))&amp;CHAR(10)&amp;"📉 考察能力: "&amp;IFERROR(VLOOKUP(TRIM(D529)&amp;"_"&amp;TRIM(INDEX($N$1:$O$1, MATCH(MIN(N529:O529), N529:O529, 0))), 技能库!$A:$F, 5, 0),"建议查阅考纲")&amp;CHAR(10)&amp;"💡 提升建议: "&amp;IFERROR(VLOOKUP(TRIM(D529)&amp;"_"&amp;TRIM(INDEX($N$1:$O$1, MATCH(MIN(N529:O529), N529:O529, 0))), 技能库!$A:$F, 6, 0),"请针对该题型加强练习"))</f>
        <v/>
      </c>
      <c r="AC529" s="5" t="str">
        <f>IF(W529="","", "⚠️ 薄弱环节: "&amp;INDEX($R$1:$V$1, MATCH(MIN(R529:V529), R529:V529, 0))&amp;CHAR(10)&amp;"📉 考察能力: "&amp;IFERROR(VLOOKUP(TRIM(D529)&amp;"_"&amp;TRIM(INDEX($R$1:$V$1, MATCH(MIN(R529:V529), R529:V529, 0))), 技能库!$A:$F, 5, 0),"建议查阅考纲")&amp;CHAR(10)&amp;"💡 提升建议: "&amp;IFERROR(VLOOKUP(TRIM(D529)&amp;"_"&amp;TRIM(INDEX($R$1:$V$1, MATCH(MIN(R529:V529), R529:V529, 0))), 技能库!$A:$F, 6, 0),"请针对该题型加强练习"))</f>
        <v/>
      </c>
    </row>
    <row r="530" spans="12:29" ht="16" hidden="1" x14ac:dyDescent="0.2">
      <c r="L530" t="str">
        <f t="shared" si="32"/>
        <v/>
      </c>
      <c r="M530" t="str">
        <f>IF(L530="","", IFERROR(VLOOKUP(L530, IF(D530="KET", 换算标准!$M:$N, IF(D530="PET", 换算标准!$S:$T, 换算标准!$AC:$AD)), 2, TRUE), 0))</f>
        <v/>
      </c>
      <c r="P530" t="str">
        <f t="shared" si="33"/>
        <v/>
      </c>
      <c r="Q530" t="str">
        <f>IF(P530="","", IFERROR(VLOOKUP(P530, IF(D530="KET", 换算标准!$O:$P, IF(D530="PET", 换算标准!$U:$V, 换算标准!$AG:$AH)), 2, TRUE), 0))</f>
        <v/>
      </c>
      <c r="W530" t="str">
        <f t="shared" si="34"/>
        <v/>
      </c>
      <c r="X530" t="str">
        <f>IF(W530="","", IFERROR(VLOOKUP(W530, IF(D530="KET", 换算标准!$Q:$R, IF(D530="PET", 换算标准!$W:$X, 换算标准!$AI:$AJ)), 2, TRUE), 0))</f>
        <v/>
      </c>
      <c r="Y530" t="str">
        <f t="shared" si="35"/>
        <v/>
      </c>
      <c r="Z530" t="str">
        <f>IF(Y530="","", IFERROR(VLOOKUP(Y530, 换算标准!$Z:$AA, 1, TRUE), ""))</f>
        <v/>
      </c>
      <c r="AA530" s="5" t="str">
        <f>IF(L530="","", "⚠️ 薄弱环节: "&amp;INDEX($E$1:$K$1, MATCH(MIN(E530:K530), E530:K530, 0))&amp;CHAR(10)&amp;"📉 考察能力: "&amp;IFERROR(VLOOKUP(TRIM(D530)&amp;"_"&amp;TRIM(INDEX($E$1:$K$1, MATCH(MIN(E530:K530), E530:K530, 0))), 技能库!$A:$F, 5, 0),"建议查阅考纲")&amp;CHAR(10)&amp;"💡 提升建议: "&amp;IFERROR(VLOOKUP(TRIM(D530)&amp;"_"&amp;TRIM(INDEX($E$1:$K$1, MATCH(MIN(E530:K530), E530:K530, 0))), 技能库!$A:$F, 6, 0),"请针对该题型加强练习"))</f>
        <v/>
      </c>
      <c r="AB530" s="5" t="str">
        <f>IF(P530="","", "⚠️ 薄弱环节: "&amp;INDEX($N$1:$O$1, MATCH(MIN(N530:O530), N530:O530, 0))&amp;CHAR(10)&amp;"📉 考察能力: "&amp;IFERROR(VLOOKUP(TRIM(D530)&amp;"_"&amp;TRIM(INDEX($N$1:$O$1, MATCH(MIN(N530:O530), N530:O530, 0))), 技能库!$A:$F, 5, 0),"建议查阅考纲")&amp;CHAR(10)&amp;"💡 提升建议: "&amp;IFERROR(VLOOKUP(TRIM(D530)&amp;"_"&amp;TRIM(INDEX($N$1:$O$1, MATCH(MIN(N530:O530), N530:O530, 0))), 技能库!$A:$F, 6, 0),"请针对该题型加强练习"))</f>
        <v/>
      </c>
      <c r="AC530" s="5" t="str">
        <f>IF(W530="","", "⚠️ 薄弱环节: "&amp;INDEX($R$1:$V$1, MATCH(MIN(R530:V530), R530:V530, 0))&amp;CHAR(10)&amp;"📉 考察能力: "&amp;IFERROR(VLOOKUP(TRIM(D530)&amp;"_"&amp;TRIM(INDEX($R$1:$V$1, MATCH(MIN(R530:V530), R530:V530, 0))), 技能库!$A:$F, 5, 0),"建议查阅考纲")&amp;CHAR(10)&amp;"💡 提升建议: "&amp;IFERROR(VLOOKUP(TRIM(D530)&amp;"_"&amp;TRIM(INDEX($R$1:$V$1, MATCH(MIN(R530:V530), R530:V530, 0))), 技能库!$A:$F, 6, 0),"请针对该题型加强练习"))</f>
        <v/>
      </c>
    </row>
    <row r="531" spans="12:29" ht="16" hidden="1" x14ac:dyDescent="0.2">
      <c r="L531" t="str">
        <f t="shared" si="32"/>
        <v/>
      </c>
      <c r="M531" t="str">
        <f>IF(L531="","", IFERROR(VLOOKUP(L531, IF(D531="KET", 换算标准!$M:$N, IF(D531="PET", 换算标准!$S:$T, 换算标准!$AC:$AD)), 2, TRUE), 0))</f>
        <v/>
      </c>
      <c r="P531" t="str">
        <f t="shared" si="33"/>
        <v/>
      </c>
      <c r="Q531" t="str">
        <f>IF(P531="","", IFERROR(VLOOKUP(P531, IF(D531="KET", 换算标准!$O:$P, IF(D531="PET", 换算标准!$U:$V, 换算标准!$AG:$AH)), 2, TRUE), 0))</f>
        <v/>
      </c>
      <c r="W531" t="str">
        <f t="shared" si="34"/>
        <v/>
      </c>
      <c r="X531" t="str">
        <f>IF(W531="","", IFERROR(VLOOKUP(W531, IF(D531="KET", 换算标准!$Q:$R, IF(D531="PET", 换算标准!$W:$X, 换算标准!$AI:$AJ)), 2, TRUE), 0))</f>
        <v/>
      </c>
      <c r="Y531" t="str">
        <f t="shared" si="35"/>
        <v/>
      </c>
      <c r="Z531" t="str">
        <f>IF(Y531="","", IFERROR(VLOOKUP(Y531, 换算标准!$Z:$AA, 1, TRUE), ""))</f>
        <v/>
      </c>
      <c r="AA531" s="5" t="str">
        <f>IF(L531="","", "⚠️ 薄弱环节: "&amp;INDEX($E$1:$K$1, MATCH(MIN(E531:K531), E531:K531, 0))&amp;CHAR(10)&amp;"📉 考察能力: "&amp;IFERROR(VLOOKUP(TRIM(D531)&amp;"_"&amp;TRIM(INDEX($E$1:$K$1, MATCH(MIN(E531:K531), E531:K531, 0))), 技能库!$A:$F, 5, 0),"建议查阅考纲")&amp;CHAR(10)&amp;"💡 提升建议: "&amp;IFERROR(VLOOKUP(TRIM(D531)&amp;"_"&amp;TRIM(INDEX($E$1:$K$1, MATCH(MIN(E531:K531), E531:K531, 0))), 技能库!$A:$F, 6, 0),"请针对该题型加强练习"))</f>
        <v/>
      </c>
      <c r="AB531" s="5" t="str">
        <f>IF(P531="","", "⚠️ 薄弱环节: "&amp;INDEX($N$1:$O$1, MATCH(MIN(N531:O531), N531:O531, 0))&amp;CHAR(10)&amp;"📉 考察能力: "&amp;IFERROR(VLOOKUP(TRIM(D531)&amp;"_"&amp;TRIM(INDEX($N$1:$O$1, MATCH(MIN(N531:O531), N531:O531, 0))), 技能库!$A:$F, 5, 0),"建议查阅考纲")&amp;CHAR(10)&amp;"💡 提升建议: "&amp;IFERROR(VLOOKUP(TRIM(D531)&amp;"_"&amp;TRIM(INDEX($N$1:$O$1, MATCH(MIN(N531:O531), N531:O531, 0))), 技能库!$A:$F, 6, 0),"请针对该题型加强练习"))</f>
        <v/>
      </c>
      <c r="AC531" s="5" t="str">
        <f>IF(W531="","", "⚠️ 薄弱环节: "&amp;INDEX($R$1:$V$1, MATCH(MIN(R531:V531), R531:V531, 0))&amp;CHAR(10)&amp;"📉 考察能力: "&amp;IFERROR(VLOOKUP(TRIM(D531)&amp;"_"&amp;TRIM(INDEX($R$1:$V$1, MATCH(MIN(R531:V531), R531:V531, 0))), 技能库!$A:$F, 5, 0),"建议查阅考纲")&amp;CHAR(10)&amp;"💡 提升建议: "&amp;IFERROR(VLOOKUP(TRIM(D531)&amp;"_"&amp;TRIM(INDEX($R$1:$V$1, MATCH(MIN(R531:V531), R531:V531, 0))), 技能库!$A:$F, 6, 0),"请针对该题型加强练习"))</f>
        <v/>
      </c>
    </row>
    <row r="532" spans="12:29" ht="16" hidden="1" x14ac:dyDescent="0.2">
      <c r="L532" t="str">
        <f t="shared" si="32"/>
        <v/>
      </c>
      <c r="M532" t="str">
        <f>IF(L532="","", IFERROR(VLOOKUP(L532, IF(D532="KET", 换算标准!$M:$N, IF(D532="PET", 换算标准!$S:$T, 换算标准!$AC:$AD)), 2, TRUE), 0))</f>
        <v/>
      </c>
      <c r="P532" t="str">
        <f t="shared" si="33"/>
        <v/>
      </c>
      <c r="Q532" t="str">
        <f>IF(P532="","", IFERROR(VLOOKUP(P532, IF(D532="KET", 换算标准!$O:$P, IF(D532="PET", 换算标准!$U:$V, 换算标准!$AG:$AH)), 2, TRUE), 0))</f>
        <v/>
      </c>
      <c r="W532" t="str">
        <f t="shared" si="34"/>
        <v/>
      </c>
      <c r="X532" t="str">
        <f>IF(W532="","", IFERROR(VLOOKUP(W532, IF(D532="KET", 换算标准!$Q:$R, IF(D532="PET", 换算标准!$W:$X, 换算标准!$AI:$AJ)), 2, TRUE), 0))</f>
        <v/>
      </c>
      <c r="Y532" t="str">
        <f t="shared" si="35"/>
        <v/>
      </c>
      <c r="Z532" t="str">
        <f>IF(Y532="","", IFERROR(VLOOKUP(Y532, 换算标准!$Z:$AA, 1, TRUE), ""))</f>
        <v/>
      </c>
      <c r="AA532" s="5" t="str">
        <f>IF(L532="","", "⚠️ 薄弱环节: "&amp;INDEX($E$1:$K$1, MATCH(MIN(E532:K532), E532:K532, 0))&amp;CHAR(10)&amp;"📉 考察能力: "&amp;IFERROR(VLOOKUP(TRIM(D532)&amp;"_"&amp;TRIM(INDEX($E$1:$K$1, MATCH(MIN(E532:K532), E532:K532, 0))), 技能库!$A:$F, 5, 0),"建议查阅考纲")&amp;CHAR(10)&amp;"💡 提升建议: "&amp;IFERROR(VLOOKUP(TRIM(D532)&amp;"_"&amp;TRIM(INDEX($E$1:$K$1, MATCH(MIN(E532:K532), E532:K532, 0))), 技能库!$A:$F, 6, 0),"请针对该题型加强练习"))</f>
        <v/>
      </c>
      <c r="AB532" s="5" t="str">
        <f>IF(P532="","", "⚠️ 薄弱环节: "&amp;INDEX($N$1:$O$1, MATCH(MIN(N532:O532), N532:O532, 0))&amp;CHAR(10)&amp;"📉 考察能力: "&amp;IFERROR(VLOOKUP(TRIM(D532)&amp;"_"&amp;TRIM(INDEX($N$1:$O$1, MATCH(MIN(N532:O532), N532:O532, 0))), 技能库!$A:$F, 5, 0),"建议查阅考纲")&amp;CHAR(10)&amp;"💡 提升建议: "&amp;IFERROR(VLOOKUP(TRIM(D532)&amp;"_"&amp;TRIM(INDEX($N$1:$O$1, MATCH(MIN(N532:O532), N532:O532, 0))), 技能库!$A:$F, 6, 0),"请针对该题型加强练习"))</f>
        <v/>
      </c>
      <c r="AC532" s="5" t="str">
        <f>IF(W532="","", "⚠️ 薄弱环节: "&amp;INDEX($R$1:$V$1, MATCH(MIN(R532:V532), R532:V532, 0))&amp;CHAR(10)&amp;"📉 考察能力: "&amp;IFERROR(VLOOKUP(TRIM(D532)&amp;"_"&amp;TRIM(INDEX($R$1:$V$1, MATCH(MIN(R532:V532), R532:V532, 0))), 技能库!$A:$F, 5, 0),"建议查阅考纲")&amp;CHAR(10)&amp;"💡 提升建议: "&amp;IFERROR(VLOOKUP(TRIM(D532)&amp;"_"&amp;TRIM(INDEX($R$1:$V$1, MATCH(MIN(R532:V532), R532:V532, 0))), 技能库!$A:$F, 6, 0),"请针对该题型加强练习"))</f>
        <v/>
      </c>
    </row>
    <row r="533" spans="12:29" ht="16" hidden="1" x14ac:dyDescent="0.2">
      <c r="L533" t="str">
        <f t="shared" si="32"/>
        <v/>
      </c>
      <c r="M533" t="str">
        <f>IF(L533="","", IFERROR(VLOOKUP(L533, IF(D533="KET", 换算标准!$M:$N, IF(D533="PET", 换算标准!$S:$T, 换算标准!$AC:$AD)), 2, TRUE), 0))</f>
        <v/>
      </c>
      <c r="P533" t="str">
        <f t="shared" si="33"/>
        <v/>
      </c>
      <c r="Q533" t="str">
        <f>IF(P533="","", IFERROR(VLOOKUP(P533, IF(D533="KET", 换算标准!$O:$P, IF(D533="PET", 换算标准!$U:$V, 换算标准!$AG:$AH)), 2, TRUE), 0))</f>
        <v/>
      </c>
      <c r="W533" t="str">
        <f t="shared" si="34"/>
        <v/>
      </c>
      <c r="X533" t="str">
        <f>IF(W533="","", IFERROR(VLOOKUP(W533, IF(D533="KET", 换算标准!$Q:$R, IF(D533="PET", 换算标准!$W:$X, 换算标准!$AI:$AJ)), 2, TRUE), 0))</f>
        <v/>
      </c>
      <c r="Y533" t="str">
        <f t="shared" si="35"/>
        <v/>
      </c>
      <c r="Z533" t="str">
        <f>IF(Y533="","", IFERROR(VLOOKUP(Y533, 换算标准!$Z:$AA, 1, TRUE), ""))</f>
        <v/>
      </c>
      <c r="AA533" s="5" t="str">
        <f>IF(L533="","", "⚠️ 薄弱环节: "&amp;INDEX($E$1:$K$1, MATCH(MIN(E533:K533), E533:K533, 0))&amp;CHAR(10)&amp;"📉 考察能力: "&amp;IFERROR(VLOOKUP(TRIM(D533)&amp;"_"&amp;TRIM(INDEX($E$1:$K$1, MATCH(MIN(E533:K533), E533:K533, 0))), 技能库!$A:$F, 5, 0),"建议查阅考纲")&amp;CHAR(10)&amp;"💡 提升建议: "&amp;IFERROR(VLOOKUP(TRIM(D533)&amp;"_"&amp;TRIM(INDEX($E$1:$K$1, MATCH(MIN(E533:K533), E533:K533, 0))), 技能库!$A:$F, 6, 0),"请针对该题型加强练习"))</f>
        <v/>
      </c>
      <c r="AB533" s="5" t="str">
        <f>IF(P533="","", "⚠️ 薄弱环节: "&amp;INDEX($N$1:$O$1, MATCH(MIN(N533:O533), N533:O533, 0))&amp;CHAR(10)&amp;"📉 考察能力: "&amp;IFERROR(VLOOKUP(TRIM(D533)&amp;"_"&amp;TRIM(INDEX($N$1:$O$1, MATCH(MIN(N533:O533), N533:O533, 0))), 技能库!$A:$F, 5, 0),"建议查阅考纲")&amp;CHAR(10)&amp;"💡 提升建议: "&amp;IFERROR(VLOOKUP(TRIM(D533)&amp;"_"&amp;TRIM(INDEX($N$1:$O$1, MATCH(MIN(N533:O533), N533:O533, 0))), 技能库!$A:$F, 6, 0),"请针对该题型加强练习"))</f>
        <v/>
      </c>
      <c r="AC533" s="5" t="str">
        <f>IF(W533="","", "⚠️ 薄弱环节: "&amp;INDEX($R$1:$V$1, MATCH(MIN(R533:V533), R533:V533, 0))&amp;CHAR(10)&amp;"📉 考察能力: "&amp;IFERROR(VLOOKUP(TRIM(D533)&amp;"_"&amp;TRIM(INDEX($R$1:$V$1, MATCH(MIN(R533:V533), R533:V533, 0))), 技能库!$A:$F, 5, 0),"建议查阅考纲")&amp;CHAR(10)&amp;"💡 提升建议: "&amp;IFERROR(VLOOKUP(TRIM(D533)&amp;"_"&amp;TRIM(INDEX($R$1:$V$1, MATCH(MIN(R533:V533), R533:V533, 0))), 技能库!$A:$F, 6, 0),"请针对该题型加强练习"))</f>
        <v/>
      </c>
    </row>
    <row r="534" spans="12:29" ht="16" hidden="1" x14ac:dyDescent="0.2">
      <c r="L534" t="str">
        <f t="shared" si="32"/>
        <v/>
      </c>
      <c r="M534" t="str">
        <f>IF(L534="","", IFERROR(VLOOKUP(L534, IF(D534="KET", 换算标准!$M:$N, IF(D534="PET", 换算标准!$S:$T, 换算标准!$AC:$AD)), 2, TRUE), 0))</f>
        <v/>
      </c>
      <c r="P534" t="str">
        <f t="shared" si="33"/>
        <v/>
      </c>
      <c r="Q534" t="str">
        <f>IF(P534="","", IFERROR(VLOOKUP(P534, IF(D534="KET", 换算标准!$O:$P, IF(D534="PET", 换算标准!$U:$V, 换算标准!$AG:$AH)), 2, TRUE), 0))</f>
        <v/>
      </c>
      <c r="W534" t="str">
        <f t="shared" si="34"/>
        <v/>
      </c>
      <c r="X534" t="str">
        <f>IF(W534="","", IFERROR(VLOOKUP(W534, IF(D534="KET", 换算标准!$Q:$R, IF(D534="PET", 换算标准!$W:$X, 换算标准!$AI:$AJ)), 2, TRUE), 0))</f>
        <v/>
      </c>
      <c r="Y534" t="str">
        <f t="shared" si="35"/>
        <v/>
      </c>
      <c r="Z534" t="str">
        <f>IF(Y534="","", IFERROR(VLOOKUP(Y534, 换算标准!$Z:$AA, 1, TRUE), ""))</f>
        <v/>
      </c>
      <c r="AA534" s="5" t="str">
        <f>IF(L534="","", "⚠️ 薄弱环节: "&amp;INDEX($E$1:$K$1, MATCH(MIN(E534:K534), E534:K534, 0))&amp;CHAR(10)&amp;"📉 考察能力: "&amp;IFERROR(VLOOKUP(TRIM(D534)&amp;"_"&amp;TRIM(INDEX($E$1:$K$1, MATCH(MIN(E534:K534), E534:K534, 0))), 技能库!$A:$F, 5, 0),"建议查阅考纲")&amp;CHAR(10)&amp;"💡 提升建议: "&amp;IFERROR(VLOOKUP(TRIM(D534)&amp;"_"&amp;TRIM(INDEX($E$1:$K$1, MATCH(MIN(E534:K534), E534:K534, 0))), 技能库!$A:$F, 6, 0),"请针对该题型加强练习"))</f>
        <v/>
      </c>
      <c r="AB534" s="5" t="str">
        <f>IF(P534="","", "⚠️ 薄弱环节: "&amp;INDEX($N$1:$O$1, MATCH(MIN(N534:O534), N534:O534, 0))&amp;CHAR(10)&amp;"📉 考察能力: "&amp;IFERROR(VLOOKUP(TRIM(D534)&amp;"_"&amp;TRIM(INDEX($N$1:$O$1, MATCH(MIN(N534:O534), N534:O534, 0))), 技能库!$A:$F, 5, 0),"建议查阅考纲")&amp;CHAR(10)&amp;"💡 提升建议: "&amp;IFERROR(VLOOKUP(TRIM(D534)&amp;"_"&amp;TRIM(INDEX($N$1:$O$1, MATCH(MIN(N534:O534), N534:O534, 0))), 技能库!$A:$F, 6, 0),"请针对该题型加强练习"))</f>
        <v/>
      </c>
      <c r="AC534" s="5" t="str">
        <f>IF(W534="","", "⚠️ 薄弱环节: "&amp;INDEX($R$1:$V$1, MATCH(MIN(R534:V534), R534:V534, 0))&amp;CHAR(10)&amp;"📉 考察能力: "&amp;IFERROR(VLOOKUP(TRIM(D534)&amp;"_"&amp;TRIM(INDEX($R$1:$V$1, MATCH(MIN(R534:V534), R534:V534, 0))), 技能库!$A:$F, 5, 0),"建议查阅考纲")&amp;CHAR(10)&amp;"💡 提升建议: "&amp;IFERROR(VLOOKUP(TRIM(D534)&amp;"_"&amp;TRIM(INDEX($R$1:$V$1, MATCH(MIN(R534:V534), R534:V534, 0))), 技能库!$A:$F, 6, 0),"请针对该题型加强练习"))</f>
        <v/>
      </c>
    </row>
    <row r="535" spans="12:29" ht="16" hidden="1" x14ac:dyDescent="0.2">
      <c r="L535" t="str">
        <f t="shared" si="32"/>
        <v/>
      </c>
      <c r="M535" t="str">
        <f>IF(L535="","", IFERROR(VLOOKUP(L535, IF(D535="KET", 换算标准!$M:$N, IF(D535="PET", 换算标准!$S:$T, 换算标准!$AC:$AD)), 2, TRUE), 0))</f>
        <v/>
      </c>
      <c r="P535" t="str">
        <f t="shared" si="33"/>
        <v/>
      </c>
      <c r="Q535" t="str">
        <f>IF(P535="","", IFERROR(VLOOKUP(P535, IF(D535="KET", 换算标准!$O:$P, IF(D535="PET", 换算标准!$U:$V, 换算标准!$AG:$AH)), 2, TRUE), 0))</f>
        <v/>
      </c>
      <c r="W535" t="str">
        <f t="shared" si="34"/>
        <v/>
      </c>
      <c r="X535" t="str">
        <f>IF(W535="","", IFERROR(VLOOKUP(W535, IF(D535="KET", 换算标准!$Q:$R, IF(D535="PET", 换算标准!$W:$X, 换算标准!$AI:$AJ)), 2, TRUE), 0))</f>
        <v/>
      </c>
      <c r="Y535" t="str">
        <f t="shared" si="35"/>
        <v/>
      </c>
      <c r="Z535" t="str">
        <f>IF(Y535="","", IFERROR(VLOOKUP(Y535, 换算标准!$Z:$AA, 1, TRUE), ""))</f>
        <v/>
      </c>
      <c r="AA535" s="5" t="str">
        <f>IF(L535="","", "⚠️ 薄弱环节: "&amp;INDEX($E$1:$K$1, MATCH(MIN(E535:K535), E535:K535, 0))&amp;CHAR(10)&amp;"📉 考察能力: "&amp;IFERROR(VLOOKUP(TRIM(D535)&amp;"_"&amp;TRIM(INDEX($E$1:$K$1, MATCH(MIN(E535:K535), E535:K535, 0))), 技能库!$A:$F, 5, 0),"建议查阅考纲")&amp;CHAR(10)&amp;"💡 提升建议: "&amp;IFERROR(VLOOKUP(TRIM(D535)&amp;"_"&amp;TRIM(INDEX($E$1:$K$1, MATCH(MIN(E535:K535), E535:K535, 0))), 技能库!$A:$F, 6, 0),"请针对该题型加强练习"))</f>
        <v/>
      </c>
      <c r="AB535" s="5" t="str">
        <f>IF(P535="","", "⚠️ 薄弱环节: "&amp;INDEX($N$1:$O$1, MATCH(MIN(N535:O535), N535:O535, 0))&amp;CHAR(10)&amp;"📉 考察能力: "&amp;IFERROR(VLOOKUP(TRIM(D535)&amp;"_"&amp;TRIM(INDEX($N$1:$O$1, MATCH(MIN(N535:O535), N535:O535, 0))), 技能库!$A:$F, 5, 0),"建议查阅考纲")&amp;CHAR(10)&amp;"💡 提升建议: "&amp;IFERROR(VLOOKUP(TRIM(D535)&amp;"_"&amp;TRIM(INDEX($N$1:$O$1, MATCH(MIN(N535:O535), N535:O535, 0))), 技能库!$A:$F, 6, 0),"请针对该题型加强练习"))</f>
        <v/>
      </c>
      <c r="AC535" s="5" t="str">
        <f>IF(W535="","", "⚠️ 薄弱环节: "&amp;INDEX($R$1:$V$1, MATCH(MIN(R535:V535), R535:V535, 0))&amp;CHAR(10)&amp;"📉 考察能力: "&amp;IFERROR(VLOOKUP(TRIM(D535)&amp;"_"&amp;TRIM(INDEX($R$1:$V$1, MATCH(MIN(R535:V535), R535:V535, 0))), 技能库!$A:$F, 5, 0),"建议查阅考纲")&amp;CHAR(10)&amp;"💡 提升建议: "&amp;IFERROR(VLOOKUP(TRIM(D535)&amp;"_"&amp;TRIM(INDEX($R$1:$V$1, MATCH(MIN(R535:V535), R535:V535, 0))), 技能库!$A:$F, 6, 0),"请针对该题型加强练习"))</f>
        <v/>
      </c>
    </row>
    <row r="536" spans="12:29" ht="16" hidden="1" x14ac:dyDescent="0.2">
      <c r="L536" t="str">
        <f t="shared" si="32"/>
        <v/>
      </c>
      <c r="M536" t="str">
        <f>IF(L536="","", IFERROR(VLOOKUP(L536, IF(D536="KET", 换算标准!$M:$N, IF(D536="PET", 换算标准!$S:$T, 换算标准!$AC:$AD)), 2, TRUE), 0))</f>
        <v/>
      </c>
      <c r="P536" t="str">
        <f t="shared" si="33"/>
        <v/>
      </c>
      <c r="Q536" t="str">
        <f>IF(P536="","", IFERROR(VLOOKUP(P536, IF(D536="KET", 换算标准!$O:$P, IF(D536="PET", 换算标准!$U:$V, 换算标准!$AG:$AH)), 2, TRUE), 0))</f>
        <v/>
      </c>
      <c r="W536" t="str">
        <f t="shared" si="34"/>
        <v/>
      </c>
      <c r="X536" t="str">
        <f>IF(W536="","", IFERROR(VLOOKUP(W536, IF(D536="KET", 换算标准!$Q:$R, IF(D536="PET", 换算标准!$W:$X, 换算标准!$AI:$AJ)), 2, TRUE), 0))</f>
        <v/>
      </c>
      <c r="Y536" t="str">
        <f t="shared" si="35"/>
        <v/>
      </c>
      <c r="Z536" t="str">
        <f>IF(Y536="","", IFERROR(VLOOKUP(Y536, 换算标准!$Z:$AA, 1, TRUE), ""))</f>
        <v/>
      </c>
      <c r="AA536" s="5" t="str">
        <f>IF(L536="","", "⚠️ 薄弱环节: "&amp;INDEX($E$1:$K$1, MATCH(MIN(E536:K536), E536:K536, 0))&amp;CHAR(10)&amp;"📉 考察能力: "&amp;IFERROR(VLOOKUP(TRIM(D536)&amp;"_"&amp;TRIM(INDEX($E$1:$K$1, MATCH(MIN(E536:K536), E536:K536, 0))), 技能库!$A:$F, 5, 0),"建议查阅考纲")&amp;CHAR(10)&amp;"💡 提升建议: "&amp;IFERROR(VLOOKUP(TRIM(D536)&amp;"_"&amp;TRIM(INDEX($E$1:$K$1, MATCH(MIN(E536:K536), E536:K536, 0))), 技能库!$A:$F, 6, 0),"请针对该题型加强练习"))</f>
        <v/>
      </c>
      <c r="AB536" s="5" t="str">
        <f>IF(P536="","", "⚠️ 薄弱环节: "&amp;INDEX($N$1:$O$1, MATCH(MIN(N536:O536), N536:O536, 0))&amp;CHAR(10)&amp;"📉 考察能力: "&amp;IFERROR(VLOOKUP(TRIM(D536)&amp;"_"&amp;TRIM(INDEX($N$1:$O$1, MATCH(MIN(N536:O536), N536:O536, 0))), 技能库!$A:$F, 5, 0),"建议查阅考纲")&amp;CHAR(10)&amp;"💡 提升建议: "&amp;IFERROR(VLOOKUP(TRIM(D536)&amp;"_"&amp;TRIM(INDEX($N$1:$O$1, MATCH(MIN(N536:O536), N536:O536, 0))), 技能库!$A:$F, 6, 0),"请针对该题型加强练习"))</f>
        <v/>
      </c>
      <c r="AC536" s="5" t="str">
        <f>IF(W536="","", "⚠️ 薄弱环节: "&amp;INDEX($R$1:$V$1, MATCH(MIN(R536:V536), R536:V536, 0))&amp;CHAR(10)&amp;"📉 考察能力: "&amp;IFERROR(VLOOKUP(TRIM(D536)&amp;"_"&amp;TRIM(INDEX($R$1:$V$1, MATCH(MIN(R536:V536), R536:V536, 0))), 技能库!$A:$F, 5, 0),"建议查阅考纲")&amp;CHAR(10)&amp;"💡 提升建议: "&amp;IFERROR(VLOOKUP(TRIM(D536)&amp;"_"&amp;TRIM(INDEX($R$1:$V$1, MATCH(MIN(R536:V536), R536:V536, 0))), 技能库!$A:$F, 6, 0),"请针对该题型加强练习"))</f>
        <v/>
      </c>
    </row>
    <row r="537" spans="12:29" ht="16" hidden="1" x14ac:dyDescent="0.2">
      <c r="L537" t="str">
        <f t="shared" si="32"/>
        <v/>
      </c>
      <c r="M537" t="str">
        <f>IF(L537="","", IFERROR(VLOOKUP(L537, IF(D537="KET", 换算标准!$M:$N, IF(D537="PET", 换算标准!$S:$T, 换算标准!$AC:$AD)), 2, TRUE), 0))</f>
        <v/>
      </c>
      <c r="P537" t="str">
        <f t="shared" si="33"/>
        <v/>
      </c>
      <c r="Q537" t="str">
        <f>IF(P537="","", IFERROR(VLOOKUP(P537, IF(D537="KET", 换算标准!$O:$P, IF(D537="PET", 换算标准!$U:$V, 换算标准!$AG:$AH)), 2, TRUE), 0))</f>
        <v/>
      </c>
      <c r="W537" t="str">
        <f t="shared" si="34"/>
        <v/>
      </c>
      <c r="X537" t="str">
        <f>IF(W537="","", IFERROR(VLOOKUP(W537, IF(D537="KET", 换算标准!$Q:$R, IF(D537="PET", 换算标准!$W:$X, 换算标准!$AI:$AJ)), 2, TRUE), 0))</f>
        <v/>
      </c>
      <c r="Y537" t="str">
        <f t="shared" si="35"/>
        <v/>
      </c>
      <c r="Z537" t="str">
        <f>IF(Y537="","", IFERROR(VLOOKUP(Y537, 换算标准!$Z:$AA, 1, TRUE), ""))</f>
        <v/>
      </c>
      <c r="AA537" s="5" t="str">
        <f>IF(L537="","", "⚠️ 薄弱环节: "&amp;INDEX($E$1:$K$1, MATCH(MIN(E537:K537), E537:K537, 0))&amp;CHAR(10)&amp;"📉 考察能力: "&amp;IFERROR(VLOOKUP(TRIM(D537)&amp;"_"&amp;TRIM(INDEX($E$1:$K$1, MATCH(MIN(E537:K537), E537:K537, 0))), 技能库!$A:$F, 5, 0),"建议查阅考纲")&amp;CHAR(10)&amp;"💡 提升建议: "&amp;IFERROR(VLOOKUP(TRIM(D537)&amp;"_"&amp;TRIM(INDEX($E$1:$K$1, MATCH(MIN(E537:K537), E537:K537, 0))), 技能库!$A:$F, 6, 0),"请针对该题型加强练习"))</f>
        <v/>
      </c>
      <c r="AB537" s="5" t="str">
        <f>IF(P537="","", "⚠️ 薄弱环节: "&amp;INDEX($N$1:$O$1, MATCH(MIN(N537:O537), N537:O537, 0))&amp;CHAR(10)&amp;"📉 考察能力: "&amp;IFERROR(VLOOKUP(TRIM(D537)&amp;"_"&amp;TRIM(INDEX($N$1:$O$1, MATCH(MIN(N537:O537), N537:O537, 0))), 技能库!$A:$F, 5, 0),"建议查阅考纲")&amp;CHAR(10)&amp;"💡 提升建议: "&amp;IFERROR(VLOOKUP(TRIM(D537)&amp;"_"&amp;TRIM(INDEX($N$1:$O$1, MATCH(MIN(N537:O537), N537:O537, 0))), 技能库!$A:$F, 6, 0),"请针对该题型加强练习"))</f>
        <v/>
      </c>
      <c r="AC537" s="5" t="str">
        <f>IF(W537="","", "⚠️ 薄弱环节: "&amp;INDEX($R$1:$V$1, MATCH(MIN(R537:V537), R537:V537, 0))&amp;CHAR(10)&amp;"📉 考察能力: "&amp;IFERROR(VLOOKUP(TRIM(D537)&amp;"_"&amp;TRIM(INDEX($R$1:$V$1, MATCH(MIN(R537:V537), R537:V537, 0))), 技能库!$A:$F, 5, 0),"建议查阅考纲")&amp;CHAR(10)&amp;"💡 提升建议: "&amp;IFERROR(VLOOKUP(TRIM(D537)&amp;"_"&amp;TRIM(INDEX($R$1:$V$1, MATCH(MIN(R537:V537), R537:V537, 0))), 技能库!$A:$F, 6, 0),"请针对该题型加强练习"))</f>
        <v/>
      </c>
    </row>
    <row r="538" spans="12:29" ht="16" hidden="1" x14ac:dyDescent="0.2">
      <c r="L538" t="str">
        <f t="shared" si="32"/>
        <v/>
      </c>
      <c r="M538" t="str">
        <f>IF(L538="","", IFERROR(VLOOKUP(L538, IF(D538="KET", 换算标准!$M:$N, IF(D538="PET", 换算标准!$S:$T, 换算标准!$AC:$AD)), 2, TRUE), 0))</f>
        <v/>
      </c>
      <c r="P538" t="str">
        <f t="shared" si="33"/>
        <v/>
      </c>
      <c r="Q538" t="str">
        <f>IF(P538="","", IFERROR(VLOOKUP(P538, IF(D538="KET", 换算标准!$O:$P, IF(D538="PET", 换算标准!$U:$V, 换算标准!$AG:$AH)), 2, TRUE), 0))</f>
        <v/>
      </c>
      <c r="W538" t="str">
        <f t="shared" si="34"/>
        <v/>
      </c>
      <c r="X538" t="str">
        <f>IF(W538="","", IFERROR(VLOOKUP(W538, IF(D538="KET", 换算标准!$Q:$R, IF(D538="PET", 换算标准!$W:$X, 换算标准!$AI:$AJ)), 2, TRUE), 0))</f>
        <v/>
      </c>
      <c r="Y538" t="str">
        <f t="shared" si="35"/>
        <v/>
      </c>
      <c r="Z538" t="str">
        <f>IF(Y538="","", IFERROR(VLOOKUP(Y538, 换算标准!$Z:$AA, 1, TRUE), ""))</f>
        <v/>
      </c>
      <c r="AA538" s="5" t="str">
        <f>IF(L538="","", "⚠️ 薄弱环节: "&amp;INDEX($E$1:$K$1, MATCH(MIN(E538:K538), E538:K538, 0))&amp;CHAR(10)&amp;"📉 考察能力: "&amp;IFERROR(VLOOKUP(TRIM(D538)&amp;"_"&amp;TRIM(INDEX($E$1:$K$1, MATCH(MIN(E538:K538), E538:K538, 0))), 技能库!$A:$F, 5, 0),"建议查阅考纲")&amp;CHAR(10)&amp;"💡 提升建议: "&amp;IFERROR(VLOOKUP(TRIM(D538)&amp;"_"&amp;TRIM(INDEX($E$1:$K$1, MATCH(MIN(E538:K538), E538:K538, 0))), 技能库!$A:$F, 6, 0),"请针对该题型加强练习"))</f>
        <v/>
      </c>
      <c r="AB538" s="5" t="str">
        <f>IF(P538="","", "⚠️ 薄弱环节: "&amp;INDEX($N$1:$O$1, MATCH(MIN(N538:O538), N538:O538, 0))&amp;CHAR(10)&amp;"📉 考察能力: "&amp;IFERROR(VLOOKUP(TRIM(D538)&amp;"_"&amp;TRIM(INDEX($N$1:$O$1, MATCH(MIN(N538:O538), N538:O538, 0))), 技能库!$A:$F, 5, 0),"建议查阅考纲")&amp;CHAR(10)&amp;"💡 提升建议: "&amp;IFERROR(VLOOKUP(TRIM(D538)&amp;"_"&amp;TRIM(INDEX($N$1:$O$1, MATCH(MIN(N538:O538), N538:O538, 0))), 技能库!$A:$F, 6, 0),"请针对该题型加强练习"))</f>
        <v/>
      </c>
      <c r="AC538" s="5" t="str">
        <f>IF(W538="","", "⚠️ 薄弱环节: "&amp;INDEX($R$1:$V$1, MATCH(MIN(R538:V538), R538:V538, 0))&amp;CHAR(10)&amp;"📉 考察能力: "&amp;IFERROR(VLOOKUP(TRIM(D538)&amp;"_"&amp;TRIM(INDEX($R$1:$V$1, MATCH(MIN(R538:V538), R538:V538, 0))), 技能库!$A:$F, 5, 0),"建议查阅考纲")&amp;CHAR(10)&amp;"💡 提升建议: "&amp;IFERROR(VLOOKUP(TRIM(D538)&amp;"_"&amp;TRIM(INDEX($R$1:$V$1, MATCH(MIN(R538:V538), R538:V538, 0))), 技能库!$A:$F, 6, 0),"请针对该题型加强练习"))</f>
        <v/>
      </c>
    </row>
    <row r="539" spans="12:29" ht="16" hidden="1" x14ac:dyDescent="0.2">
      <c r="L539" t="str">
        <f t="shared" si="32"/>
        <v/>
      </c>
      <c r="M539" t="str">
        <f>IF(L539="","", IFERROR(VLOOKUP(L539, IF(D539="KET", 换算标准!$M:$N, IF(D539="PET", 换算标准!$S:$T, 换算标准!$AC:$AD)), 2, TRUE), 0))</f>
        <v/>
      </c>
      <c r="P539" t="str">
        <f t="shared" si="33"/>
        <v/>
      </c>
      <c r="Q539" t="str">
        <f>IF(P539="","", IFERROR(VLOOKUP(P539, IF(D539="KET", 换算标准!$O:$P, IF(D539="PET", 换算标准!$U:$V, 换算标准!$AG:$AH)), 2, TRUE), 0))</f>
        <v/>
      </c>
      <c r="W539" t="str">
        <f t="shared" si="34"/>
        <v/>
      </c>
      <c r="X539" t="str">
        <f>IF(W539="","", IFERROR(VLOOKUP(W539, IF(D539="KET", 换算标准!$Q:$R, IF(D539="PET", 换算标准!$W:$X, 换算标准!$AI:$AJ)), 2, TRUE), 0))</f>
        <v/>
      </c>
      <c r="Y539" t="str">
        <f t="shared" si="35"/>
        <v/>
      </c>
      <c r="Z539" t="str">
        <f>IF(Y539="","", IFERROR(VLOOKUP(Y539, 换算标准!$Z:$AA, 1, TRUE), ""))</f>
        <v/>
      </c>
      <c r="AA539" s="5" t="str">
        <f>IF(L539="","", "⚠️ 薄弱环节: "&amp;INDEX($E$1:$K$1, MATCH(MIN(E539:K539), E539:K539, 0))&amp;CHAR(10)&amp;"📉 考察能力: "&amp;IFERROR(VLOOKUP(TRIM(D539)&amp;"_"&amp;TRIM(INDEX($E$1:$K$1, MATCH(MIN(E539:K539), E539:K539, 0))), 技能库!$A:$F, 5, 0),"建议查阅考纲")&amp;CHAR(10)&amp;"💡 提升建议: "&amp;IFERROR(VLOOKUP(TRIM(D539)&amp;"_"&amp;TRIM(INDEX($E$1:$K$1, MATCH(MIN(E539:K539), E539:K539, 0))), 技能库!$A:$F, 6, 0),"请针对该题型加强练习"))</f>
        <v/>
      </c>
      <c r="AB539" s="5" t="str">
        <f>IF(P539="","", "⚠️ 薄弱环节: "&amp;INDEX($N$1:$O$1, MATCH(MIN(N539:O539), N539:O539, 0))&amp;CHAR(10)&amp;"📉 考察能力: "&amp;IFERROR(VLOOKUP(TRIM(D539)&amp;"_"&amp;TRIM(INDEX($N$1:$O$1, MATCH(MIN(N539:O539), N539:O539, 0))), 技能库!$A:$F, 5, 0),"建议查阅考纲")&amp;CHAR(10)&amp;"💡 提升建议: "&amp;IFERROR(VLOOKUP(TRIM(D539)&amp;"_"&amp;TRIM(INDEX($N$1:$O$1, MATCH(MIN(N539:O539), N539:O539, 0))), 技能库!$A:$F, 6, 0),"请针对该题型加强练习"))</f>
        <v/>
      </c>
      <c r="AC539" s="5" t="str">
        <f>IF(W539="","", "⚠️ 薄弱环节: "&amp;INDEX($R$1:$V$1, MATCH(MIN(R539:V539), R539:V539, 0))&amp;CHAR(10)&amp;"📉 考察能力: "&amp;IFERROR(VLOOKUP(TRIM(D539)&amp;"_"&amp;TRIM(INDEX($R$1:$V$1, MATCH(MIN(R539:V539), R539:V539, 0))), 技能库!$A:$F, 5, 0),"建议查阅考纲")&amp;CHAR(10)&amp;"💡 提升建议: "&amp;IFERROR(VLOOKUP(TRIM(D539)&amp;"_"&amp;TRIM(INDEX($R$1:$V$1, MATCH(MIN(R539:V539), R539:V539, 0))), 技能库!$A:$F, 6, 0),"请针对该题型加强练习"))</f>
        <v/>
      </c>
    </row>
    <row r="540" spans="12:29" ht="16" hidden="1" x14ac:dyDescent="0.2">
      <c r="L540" t="str">
        <f t="shared" si="32"/>
        <v/>
      </c>
      <c r="M540" t="str">
        <f>IF(L540="","", IFERROR(VLOOKUP(L540, IF(D540="KET", 换算标准!$M:$N, IF(D540="PET", 换算标准!$S:$T, 换算标准!$AC:$AD)), 2, TRUE), 0))</f>
        <v/>
      </c>
      <c r="P540" t="str">
        <f t="shared" si="33"/>
        <v/>
      </c>
      <c r="Q540" t="str">
        <f>IF(P540="","", IFERROR(VLOOKUP(P540, IF(D540="KET", 换算标准!$O:$P, IF(D540="PET", 换算标准!$U:$V, 换算标准!$AG:$AH)), 2, TRUE), 0))</f>
        <v/>
      </c>
      <c r="W540" t="str">
        <f t="shared" si="34"/>
        <v/>
      </c>
      <c r="X540" t="str">
        <f>IF(W540="","", IFERROR(VLOOKUP(W540, IF(D540="KET", 换算标准!$Q:$R, IF(D540="PET", 换算标准!$W:$X, 换算标准!$AI:$AJ)), 2, TRUE), 0))</f>
        <v/>
      </c>
      <c r="Y540" t="str">
        <f t="shared" si="35"/>
        <v/>
      </c>
      <c r="Z540" t="str">
        <f>IF(Y540="","", IFERROR(VLOOKUP(Y540, 换算标准!$Z:$AA, 1, TRUE), ""))</f>
        <v/>
      </c>
      <c r="AA540" s="5" t="str">
        <f>IF(L540="","", "⚠️ 薄弱环节: "&amp;INDEX($E$1:$K$1, MATCH(MIN(E540:K540), E540:K540, 0))&amp;CHAR(10)&amp;"📉 考察能力: "&amp;IFERROR(VLOOKUP(TRIM(D540)&amp;"_"&amp;TRIM(INDEX($E$1:$K$1, MATCH(MIN(E540:K540), E540:K540, 0))), 技能库!$A:$F, 5, 0),"建议查阅考纲")&amp;CHAR(10)&amp;"💡 提升建议: "&amp;IFERROR(VLOOKUP(TRIM(D540)&amp;"_"&amp;TRIM(INDEX($E$1:$K$1, MATCH(MIN(E540:K540), E540:K540, 0))), 技能库!$A:$F, 6, 0),"请针对该题型加强练习"))</f>
        <v/>
      </c>
      <c r="AB540" s="5" t="str">
        <f>IF(P540="","", "⚠️ 薄弱环节: "&amp;INDEX($N$1:$O$1, MATCH(MIN(N540:O540), N540:O540, 0))&amp;CHAR(10)&amp;"📉 考察能力: "&amp;IFERROR(VLOOKUP(TRIM(D540)&amp;"_"&amp;TRIM(INDEX($N$1:$O$1, MATCH(MIN(N540:O540), N540:O540, 0))), 技能库!$A:$F, 5, 0),"建议查阅考纲")&amp;CHAR(10)&amp;"💡 提升建议: "&amp;IFERROR(VLOOKUP(TRIM(D540)&amp;"_"&amp;TRIM(INDEX($N$1:$O$1, MATCH(MIN(N540:O540), N540:O540, 0))), 技能库!$A:$F, 6, 0),"请针对该题型加强练习"))</f>
        <v/>
      </c>
      <c r="AC540" s="5" t="str">
        <f>IF(W540="","", "⚠️ 薄弱环节: "&amp;INDEX($R$1:$V$1, MATCH(MIN(R540:V540), R540:V540, 0))&amp;CHAR(10)&amp;"📉 考察能力: "&amp;IFERROR(VLOOKUP(TRIM(D540)&amp;"_"&amp;TRIM(INDEX($R$1:$V$1, MATCH(MIN(R540:V540), R540:V540, 0))), 技能库!$A:$F, 5, 0),"建议查阅考纲")&amp;CHAR(10)&amp;"💡 提升建议: "&amp;IFERROR(VLOOKUP(TRIM(D540)&amp;"_"&amp;TRIM(INDEX($R$1:$V$1, MATCH(MIN(R540:V540), R540:V540, 0))), 技能库!$A:$F, 6, 0),"请针对该题型加强练习"))</f>
        <v/>
      </c>
    </row>
    <row r="541" spans="12:29" ht="16" hidden="1" x14ac:dyDescent="0.2">
      <c r="L541" t="str">
        <f t="shared" si="32"/>
        <v/>
      </c>
      <c r="M541" t="str">
        <f>IF(L541="","", IFERROR(VLOOKUP(L541, IF(D541="KET", 换算标准!$M:$N, IF(D541="PET", 换算标准!$S:$T, 换算标准!$AC:$AD)), 2, TRUE), 0))</f>
        <v/>
      </c>
      <c r="P541" t="str">
        <f t="shared" si="33"/>
        <v/>
      </c>
      <c r="Q541" t="str">
        <f>IF(P541="","", IFERROR(VLOOKUP(P541, IF(D541="KET", 换算标准!$O:$P, IF(D541="PET", 换算标准!$U:$V, 换算标准!$AG:$AH)), 2, TRUE), 0))</f>
        <v/>
      </c>
      <c r="W541" t="str">
        <f t="shared" si="34"/>
        <v/>
      </c>
      <c r="X541" t="str">
        <f>IF(W541="","", IFERROR(VLOOKUP(W541, IF(D541="KET", 换算标准!$Q:$R, IF(D541="PET", 换算标准!$W:$X, 换算标准!$AI:$AJ)), 2, TRUE), 0))</f>
        <v/>
      </c>
      <c r="Y541" t="str">
        <f t="shared" si="35"/>
        <v/>
      </c>
      <c r="Z541" t="str">
        <f>IF(Y541="","", IFERROR(VLOOKUP(Y541, 换算标准!$Z:$AA, 1, TRUE), ""))</f>
        <v/>
      </c>
      <c r="AA541" s="5" t="str">
        <f>IF(L541="","", "⚠️ 薄弱环节: "&amp;INDEX($E$1:$K$1, MATCH(MIN(E541:K541), E541:K541, 0))&amp;CHAR(10)&amp;"📉 考察能力: "&amp;IFERROR(VLOOKUP(TRIM(D541)&amp;"_"&amp;TRIM(INDEX($E$1:$K$1, MATCH(MIN(E541:K541), E541:K541, 0))), 技能库!$A:$F, 5, 0),"建议查阅考纲")&amp;CHAR(10)&amp;"💡 提升建议: "&amp;IFERROR(VLOOKUP(TRIM(D541)&amp;"_"&amp;TRIM(INDEX($E$1:$K$1, MATCH(MIN(E541:K541), E541:K541, 0))), 技能库!$A:$F, 6, 0),"请针对该题型加强练习"))</f>
        <v/>
      </c>
      <c r="AB541" s="5" t="str">
        <f>IF(P541="","", "⚠️ 薄弱环节: "&amp;INDEX($N$1:$O$1, MATCH(MIN(N541:O541), N541:O541, 0))&amp;CHAR(10)&amp;"📉 考察能力: "&amp;IFERROR(VLOOKUP(TRIM(D541)&amp;"_"&amp;TRIM(INDEX($N$1:$O$1, MATCH(MIN(N541:O541), N541:O541, 0))), 技能库!$A:$F, 5, 0),"建议查阅考纲")&amp;CHAR(10)&amp;"💡 提升建议: "&amp;IFERROR(VLOOKUP(TRIM(D541)&amp;"_"&amp;TRIM(INDEX($N$1:$O$1, MATCH(MIN(N541:O541), N541:O541, 0))), 技能库!$A:$F, 6, 0),"请针对该题型加强练习"))</f>
        <v/>
      </c>
      <c r="AC541" s="5" t="str">
        <f>IF(W541="","", "⚠️ 薄弱环节: "&amp;INDEX($R$1:$V$1, MATCH(MIN(R541:V541), R541:V541, 0))&amp;CHAR(10)&amp;"📉 考察能力: "&amp;IFERROR(VLOOKUP(TRIM(D541)&amp;"_"&amp;TRIM(INDEX($R$1:$V$1, MATCH(MIN(R541:V541), R541:V541, 0))), 技能库!$A:$F, 5, 0),"建议查阅考纲")&amp;CHAR(10)&amp;"💡 提升建议: "&amp;IFERROR(VLOOKUP(TRIM(D541)&amp;"_"&amp;TRIM(INDEX($R$1:$V$1, MATCH(MIN(R541:V541), R541:V541, 0))), 技能库!$A:$F, 6, 0),"请针对该题型加强练习"))</f>
        <v/>
      </c>
    </row>
    <row r="542" spans="12:29" ht="16" hidden="1" x14ac:dyDescent="0.2">
      <c r="L542" t="str">
        <f t="shared" si="32"/>
        <v/>
      </c>
      <c r="M542" t="str">
        <f>IF(L542="","", IFERROR(VLOOKUP(L542, IF(D542="KET", 换算标准!$M:$N, IF(D542="PET", 换算标准!$S:$T, 换算标准!$AC:$AD)), 2, TRUE), 0))</f>
        <v/>
      </c>
      <c r="P542" t="str">
        <f t="shared" si="33"/>
        <v/>
      </c>
      <c r="Q542" t="str">
        <f>IF(P542="","", IFERROR(VLOOKUP(P542, IF(D542="KET", 换算标准!$O:$P, IF(D542="PET", 换算标准!$U:$V, 换算标准!$AG:$AH)), 2, TRUE), 0))</f>
        <v/>
      </c>
      <c r="W542" t="str">
        <f t="shared" si="34"/>
        <v/>
      </c>
      <c r="X542" t="str">
        <f>IF(W542="","", IFERROR(VLOOKUP(W542, IF(D542="KET", 换算标准!$Q:$R, IF(D542="PET", 换算标准!$W:$X, 换算标准!$AI:$AJ)), 2, TRUE), 0))</f>
        <v/>
      </c>
      <c r="Y542" t="str">
        <f t="shared" si="35"/>
        <v/>
      </c>
      <c r="Z542" t="str">
        <f>IF(Y542="","", IFERROR(VLOOKUP(Y542, 换算标准!$Z:$AA, 1, TRUE), ""))</f>
        <v/>
      </c>
      <c r="AA542" s="5" t="str">
        <f>IF(L542="","", "⚠️ 薄弱环节: "&amp;INDEX($E$1:$K$1, MATCH(MIN(E542:K542), E542:K542, 0))&amp;CHAR(10)&amp;"📉 考察能力: "&amp;IFERROR(VLOOKUP(TRIM(D542)&amp;"_"&amp;TRIM(INDEX($E$1:$K$1, MATCH(MIN(E542:K542), E542:K542, 0))), 技能库!$A:$F, 5, 0),"建议查阅考纲")&amp;CHAR(10)&amp;"💡 提升建议: "&amp;IFERROR(VLOOKUP(TRIM(D542)&amp;"_"&amp;TRIM(INDEX($E$1:$K$1, MATCH(MIN(E542:K542), E542:K542, 0))), 技能库!$A:$F, 6, 0),"请针对该题型加强练习"))</f>
        <v/>
      </c>
      <c r="AB542" s="5" t="str">
        <f>IF(P542="","", "⚠️ 薄弱环节: "&amp;INDEX($N$1:$O$1, MATCH(MIN(N542:O542), N542:O542, 0))&amp;CHAR(10)&amp;"📉 考察能力: "&amp;IFERROR(VLOOKUP(TRIM(D542)&amp;"_"&amp;TRIM(INDEX($N$1:$O$1, MATCH(MIN(N542:O542), N542:O542, 0))), 技能库!$A:$F, 5, 0),"建议查阅考纲")&amp;CHAR(10)&amp;"💡 提升建议: "&amp;IFERROR(VLOOKUP(TRIM(D542)&amp;"_"&amp;TRIM(INDEX($N$1:$O$1, MATCH(MIN(N542:O542), N542:O542, 0))), 技能库!$A:$F, 6, 0),"请针对该题型加强练习"))</f>
        <v/>
      </c>
      <c r="AC542" s="5" t="str">
        <f>IF(W542="","", "⚠️ 薄弱环节: "&amp;INDEX($R$1:$V$1, MATCH(MIN(R542:V542), R542:V542, 0))&amp;CHAR(10)&amp;"📉 考察能力: "&amp;IFERROR(VLOOKUP(TRIM(D542)&amp;"_"&amp;TRIM(INDEX($R$1:$V$1, MATCH(MIN(R542:V542), R542:V542, 0))), 技能库!$A:$F, 5, 0),"建议查阅考纲")&amp;CHAR(10)&amp;"💡 提升建议: "&amp;IFERROR(VLOOKUP(TRIM(D542)&amp;"_"&amp;TRIM(INDEX($R$1:$V$1, MATCH(MIN(R542:V542), R542:V542, 0))), 技能库!$A:$F, 6, 0),"请针对该题型加强练习"))</f>
        <v/>
      </c>
    </row>
    <row r="543" spans="12:29" ht="16" hidden="1" x14ac:dyDescent="0.2">
      <c r="L543" t="str">
        <f t="shared" si="32"/>
        <v/>
      </c>
      <c r="M543" t="str">
        <f>IF(L543="","", IFERROR(VLOOKUP(L543, IF(D543="KET", 换算标准!$M:$N, IF(D543="PET", 换算标准!$S:$T, 换算标准!$AC:$AD)), 2, TRUE), 0))</f>
        <v/>
      </c>
      <c r="P543" t="str">
        <f t="shared" si="33"/>
        <v/>
      </c>
      <c r="Q543" t="str">
        <f>IF(P543="","", IFERROR(VLOOKUP(P543, IF(D543="KET", 换算标准!$O:$P, IF(D543="PET", 换算标准!$U:$V, 换算标准!$AG:$AH)), 2, TRUE), 0))</f>
        <v/>
      </c>
      <c r="W543" t="str">
        <f t="shared" si="34"/>
        <v/>
      </c>
      <c r="X543" t="str">
        <f>IF(W543="","", IFERROR(VLOOKUP(W543, IF(D543="KET", 换算标准!$Q:$R, IF(D543="PET", 换算标准!$W:$X, 换算标准!$AI:$AJ)), 2, TRUE), 0))</f>
        <v/>
      </c>
      <c r="Y543" t="str">
        <f t="shared" si="35"/>
        <v/>
      </c>
      <c r="Z543" t="str">
        <f>IF(Y543="","", IFERROR(VLOOKUP(Y543, 换算标准!$Z:$AA, 1, TRUE), ""))</f>
        <v/>
      </c>
      <c r="AA543" s="5" t="str">
        <f>IF(L543="","", "⚠️ 薄弱环节: "&amp;INDEX($E$1:$K$1, MATCH(MIN(E543:K543), E543:K543, 0))&amp;CHAR(10)&amp;"📉 考察能力: "&amp;IFERROR(VLOOKUP(TRIM(D543)&amp;"_"&amp;TRIM(INDEX($E$1:$K$1, MATCH(MIN(E543:K543), E543:K543, 0))), 技能库!$A:$F, 5, 0),"建议查阅考纲")&amp;CHAR(10)&amp;"💡 提升建议: "&amp;IFERROR(VLOOKUP(TRIM(D543)&amp;"_"&amp;TRIM(INDEX($E$1:$K$1, MATCH(MIN(E543:K543), E543:K543, 0))), 技能库!$A:$F, 6, 0),"请针对该题型加强练习"))</f>
        <v/>
      </c>
      <c r="AB543" s="5" t="str">
        <f>IF(P543="","", "⚠️ 薄弱环节: "&amp;INDEX($N$1:$O$1, MATCH(MIN(N543:O543), N543:O543, 0))&amp;CHAR(10)&amp;"📉 考察能力: "&amp;IFERROR(VLOOKUP(TRIM(D543)&amp;"_"&amp;TRIM(INDEX($N$1:$O$1, MATCH(MIN(N543:O543), N543:O543, 0))), 技能库!$A:$F, 5, 0),"建议查阅考纲")&amp;CHAR(10)&amp;"💡 提升建议: "&amp;IFERROR(VLOOKUP(TRIM(D543)&amp;"_"&amp;TRIM(INDEX($N$1:$O$1, MATCH(MIN(N543:O543), N543:O543, 0))), 技能库!$A:$F, 6, 0),"请针对该题型加强练习"))</f>
        <v/>
      </c>
      <c r="AC543" s="5" t="str">
        <f>IF(W543="","", "⚠️ 薄弱环节: "&amp;INDEX($R$1:$V$1, MATCH(MIN(R543:V543), R543:V543, 0))&amp;CHAR(10)&amp;"📉 考察能力: "&amp;IFERROR(VLOOKUP(TRIM(D543)&amp;"_"&amp;TRIM(INDEX($R$1:$V$1, MATCH(MIN(R543:V543), R543:V543, 0))), 技能库!$A:$F, 5, 0),"建议查阅考纲")&amp;CHAR(10)&amp;"💡 提升建议: "&amp;IFERROR(VLOOKUP(TRIM(D543)&amp;"_"&amp;TRIM(INDEX($R$1:$V$1, MATCH(MIN(R543:V543), R543:V543, 0))), 技能库!$A:$F, 6, 0),"请针对该题型加强练习"))</f>
        <v/>
      </c>
    </row>
    <row r="544" spans="12:29" ht="16" hidden="1" x14ac:dyDescent="0.2">
      <c r="L544" t="str">
        <f t="shared" si="32"/>
        <v/>
      </c>
      <c r="M544" t="str">
        <f>IF(L544="","", IFERROR(VLOOKUP(L544, IF(D544="KET", 换算标准!$M:$N, IF(D544="PET", 换算标准!$S:$T, 换算标准!$AC:$AD)), 2, TRUE), 0))</f>
        <v/>
      </c>
      <c r="P544" t="str">
        <f t="shared" si="33"/>
        <v/>
      </c>
      <c r="Q544" t="str">
        <f>IF(P544="","", IFERROR(VLOOKUP(P544, IF(D544="KET", 换算标准!$O:$P, IF(D544="PET", 换算标准!$U:$V, 换算标准!$AG:$AH)), 2, TRUE), 0))</f>
        <v/>
      </c>
      <c r="W544" t="str">
        <f t="shared" si="34"/>
        <v/>
      </c>
      <c r="X544" t="str">
        <f>IF(W544="","", IFERROR(VLOOKUP(W544, IF(D544="KET", 换算标准!$Q:$R, IF(D544="PET", 换算标准!$W:$X, 换算标准!$AI:$AJ)), 2, TRUE), 0))</f>
        <v/>
      </c>
      <c r="Y544" t="str">
        <f t="shared" si="35"/>
        <v/>
      </c>
      <c r="Z544" t="str">
        <f>IF(Y544="","", IFERROR(VLOOKUP(Y544, 换算标准!$Z:$AA, 1, TRUE), ""))</f>
        <v/>
      </c>
      <c r="AA544" s="5" t="str">
        <f>IF(L544="","", "⚠️ 薄弱环节: "&amp;INDEX($E$1:$K$1, MATCH(MIN(E544:K544), E544:K544, 0))&amp;CHAR(10)&amp;"📉 考察能力: "&amp;IFERROR(VLOOKUP(TRIM(D544)&amp;"_"&amp;TRIM(INDEX($E$1:$K$1, MATCH(MIN(E544:K544), E544:K544, 0))), 技能库!$A:$F, 5, 0),"建议查阅考纲")&amp;CHAR(10)&amp;"💡 提升建议: "&amp;IFERROR(VLOOKUP(TRIM(D544)&amp;"_"&amp;TRIM(INDEX($E$1:$K$1, MATCH(MIN(E544:K544), E544:K544, 0))), 技能库!$A:$F, 6, 0),"请针对该题型加强练习"))</f>
        <v/>
      </c>
      <c r="AB544" s="5" t="str">
        <f>IF(P544="","", "⚠️ 薄弱环节: "&amp;INDEX($N$1:$O$1, MATCH(MIN(N544:O544), N544:O544, 0))&amp;CHAR(10)&amp;"📉 考察能力: "&amp;IFERROR(VLOOKUP(TRIM(D544)&amp;"_"&amp;TRIM(INDEX($N$1:$O$1, MATCH(MIN(N544:O544), N544:O544, 0))), 技能库!$A:$F, 5, 0),"建议查阅考纲")&amp;CHAR(10)&amp;"💡 提升建议: "&amp;IFERROR(VLOOKUP(TRIM(D544)&amp;"_"&amp;TRIM(INDEX($N$1:$O$1, MATCH(MIN(N544:O544), N544:O544, 0))), 技能库!$A:$F, 6, 0),"请针对该题型加强练习"))</f>
        <v/>
      </c>
      <c r="AC544" s="5" t="str">
        <f>IF(W544="","", "⚠️ 薄弱环节: "&amp;INDEX($R$1:$V$1, MATCH(MIN(R544:V544), R544:V544, 0))&amp;CHAR(10)&amp;"📉 考察能力: "&amp;IFERROR(VLOOKUP(TRIM(D544)&amp;"_"&amp;TRIM(INDEX($R$1:$V$1, MATCH(MIN(R544:V544), R544:V544, 0))), 技能库!$A:$F, 5, 0),"建议查阅考纲")&amp;CHAR(10)&amp;"💡 提升建议: "&amp;IFERROR(VLOOKUP(TRIM(D544)&amp;"_"&amp;TRIM(INDEX($R$1:$V$1, MATCH(MIN(R544:V544), R544:V544, 0))), 技能库!$A:$F, 6, 0),"请针对该题型加强练习"))</f>
        <v/>
      </c>
    </row>
    <row r="545" spans="12:29" ht="16" hidden="1" x14ac:dyDescent="0.2">
      <c r="L545" t="str">
        <f t="shared" si="32"/>
        <v/>
      </c>
      <c r="M545" t="str">
        <f>IF(L545="","", IFERROR(VLOOKUP(L545, IF(D545="KET", 换算标准!$M:$N, IF(D545="PET", 换算标准!$S:$T, 换算标准!$AC:$AD)), 2, TRUE), 0))</f>
        <v/>
      </c>
      <c r="P545" t="str">
        <f t="shared" si="33"/>
        <v/>
      </c>
      <c r="Q545" t="str">
        <f>IF(P545="","", IFERROR(VLOOKUP(P545, IF(D545="KET", 换算标准!$O:$P, IF(D545="PET", 换算标准!$U:$V, 换算标准!$AG:$AH)), 2, TRUE), 0))</f>
        <v/>
      </c>
      <c r="W545" t="str">
        <f t="shared" si="34"/>
        <v/>
      </c>
      <c r="X545" t="str">
        <f>IF(W545="","", IFERROR(VLOOKUP(W545, IF(D545="KET", 换算标准!$Q:$R, IF(D545="PET", 换算标准!$W:$X, 换算标准!$AI:$AJ)), 2, TRUE), 0))</f>
        <v/>
      </c>
      <c r="Y545" t="str">
        <f t="shared" si="35"/>
        <v/>
      </c>
      <c r="Z545" t="str">
        <f>IF(Y545="","", IFERROR(VLOOKUP(Y545, 换算标准!$Z:$AA, 1, TRUE), ""))</f>
        <v/>
      </c>
      <c r="AA545" s="5" t="str">
        <f>IF(L545="","", "⚠️ 薄弱环节: "&amp;INDEX($E$1:$K$1, MATCH(MIN(E545:K545), E545:K545, 0))&amp;CHAR(10)&amp;"📉 考察能力: "&amp;IFERROR(VLOOKUP(TRIM(D545)&amp;"_"&amp;TRIM(INDEX($E$1:$K$1, MATCH(MIN(E545:K545), E545:K545, 0))), 技能库!$A:$F, 5, 0),"建议查阅考纲")&amp;CHAR(10)&amp;"💡 提升建议: "&amp;IFERROR(VLOOKUP(TRIM(D545)&amp;"_"&amp;TRIM(INDEX($E$1:$K$1, MATCH(MIN(E545:K545), E545:K545, 0))), 技能库!$A:$F, 6, 0),"请针对该题型加强练习"))</f>
        <v/>
      </c>
      <c r="AB545" s="5" t="str">
        <f>IF(P545="","", "⚠️ 薄弱环节: "&amp;INDEX($N$1:$O$1, MATCH(MIN(N545:O545), N545:O545, 0))&amp;CHAR(10)&amp;"📉 考察能力: "&amp;IFERROR(VLOOKUP(TRIM(D545)&amp;"_"&amp;TRIM(INDEX($N$1:$O$1, MATCH(MIN(N545:O545), N545:O545, 0))), 技能库!$A:$F, 5, 0),"建议查阅考纲")&amp;CHAR(10)&amp;"💡 提升建议: "&amp;IFERROR(VLOOKUP(TRIM(D545)&amp;"_"&amp;TRIM(INDEX($N$1:$O$1, MATCH(MIN(N545:O545), N545:O545, 0))), 技能库!$A:$F, 6, 0),"请针对该题型加强练习"))</f>
        <v/>
      </c>
      <c r="AC545" s="5" t="str">
        <f>IF(W545="","", "⚠️ 薄弱环节: "&amp;INDEX($R$1:$V$1, MATCH(MIN(R545:V545), R545:V545, 0))&amp;CHAR(10)&amp;"📉 考察能力: "&amp;IFERROR(VLOOKUP(TRIM(D545)&amp;"_"&amp;TRIM(INDEX($R$1:$V$1, MATCH(MIN(R545:V545), R545:V545, 0))), 技能库!$A:$F, 5, 0),"建议查阅考纲")&amp;CHAR(10)&amp;"💡 提升建议: "&amp;IFERROR(VLOOKUP(TRIM(D545)&amp;"_"&amp;TRIM(INDEX($R$1:$V$1, MATCH(MIN(R545:V545), R545:V545, 0))), 技能库!$A:$F, 6, 0),"请针对该题型加强练习"))</f>
        <v/>
      </c>
    </row>
    <row r="546" spans="12:29" ht="16" hidden="1" x14ac:dyDescent="0.2">
      <c r="L546" t="str">
        <f t="shared" si="32"/>
        <v/>
      </c>
      <c r="M546" t="str">
        <f>IF(L546="","", IFERROR(VLOOKUP(L546, IF(D546="KET", 换算标准!$M:$N, IF(D546="PET", 换算标准!$S:$T, 换算标准!$AC:$AD)), 2, TRUE), 0))</f>
        <v/>
      </c>
      <c r="P546" t="str">
        <f t="shared" si="33"/>
        <v/>
      </c>
      <c r="Q546" t="str">
        <f>IF(P546="","", IFERROR(VLOOKUP(P546, IF(D546="KET", 换算标准!$O:$P, IF(D546="PET", 换算标准!$U:$V, 换算标准!$AG:$AH)), 2, TRUE), 0))</f>
        <v/>
      </c>
      <c r="W546" t="str">
        <f t="shared" si="34"/>
        <v/>
      </c>
      <c r="X546" t="str">
        <f>IF(W546="","", IFERROR(VLOOKUP(W546, IF(D546="KET", 换算标准!$Q:$R, IF(D546="PET", 换算标准!$W:$X, 换算标准!$AI:$AJ)), 2, TRUE), 0))</f>
        <v/>
      </c>
      <c r="Y546" t="str">
        <f t="shared" si="35"/>
        <v/>
      </c>
      <c r="Z546" t="str">
        <f>IF(Y546="","", IFERROR(VLOOKUP(Y546, 换算标准!$Z:$AA, 1, TRUE), ""))</f>
        <v/>
      </c>
      <c r="AA546" s="5" t="str">
        <f>IF(L546="","", "⚠️ 薄弱环节: "&amp;INDEX($E$1:$K$1, MATCH(MIN(E546:K546), E546:K546, 0))&amp;CHAR(10)&amp;"📉 考察能力: "&amp;IFERROR(VLOOKUP(TRIM(D546)&amp;"_"&amp;TRIM(INDEX($E$1:$K$1, MATCH(MIN(E546:K546), E546:K546, 0))), 技能库!$A:$F, 5, 0),"建议查阅考纲")&amp;CHAR(10)&amp;"💡 提升建议: "&amp;IFERROR(VLOOKUP(TRIM(D546)&amp;"_"&amp;TRIM(INDEX($E$1:$K$1, MATCH(MIN(E546:K546), E546:K546, 0))), 技能库!$A:$F, 6, 0),"请针对该题型加强练习"))</f>
        <v/>
      </c>
      <c r="AB546" s="5" t="str">
        <f>IF(P546="","", "⚠️ 薄弱环节: "&amp;INDEX($N$1:$O$1, MATCH(MIN(N546:O546), N546:O546, 0))&amp;CHAR(10)&amp;"📉 考察能力: "&amp;IFERROR(VLOOKUP(TRIM(D546)&amp;"_"&amp;TRIM(INDEX($N$1:$O$1, MATCH(MIN(N546:O546), N546:O546, 0))), 技能库!$A:$F, 5, 0),"建议查阅考纲")&amp;CHAR(10)&amp;"💡 提升建议: "&amp;IFERROR(VLOOKUP(TRIM(D546)&amp;"_"&amp;TRIM(INDEX($N$1:$O$1, MATCH(MIN(N546:O546), N546:O546, 0))), 技能库!$A:$F, 6, 0),"请针对该题型加强练习"))</f>
        <v/>
      </c>
      <c r="AC546" s="5" t="str">
        <f>IF(W546="","", "⚠️ 薄弱环节: "&amp;INDEX($R$1:$V$1, MATCH(MIN(R546:V546), R546:V546, 0))&amp;CHAR(10)&amp;"📉 考察能力: "&amp;IFERROR(VLOOKUP(TRIM(D546)&amp;"_"&amp;TRIM(INDEX($R$1:$V$1, MATCH(MIN(R546:V546), R546:V546, 0))), 技能库!$A:$F, 5, 0),"建议查阅考纲")&amp;CHAR(10)&amp;"💡 提升建议: "&amp;IFERROR(VLOOKUP(TRIM(D546)&amp;"_"&amp;TRIM(INDEX($R$1:$V$1, MATCH(MIN(R546:V546), R546:V546, 0))), 技能库!$A:$F, 6, 0),"请针对该题型加强练习"))</f>
        <v/>
      </c>
    </row>
    <row r="547" spans="12:29" ht="16" hidden="1" x14ac:dyDescent="0.2">
      <c r="L547" t="str">
        <f t="shared" si="32"/>
        <v/>
      </c>
      <c r="M547" t="str">
        <f>IF(L547="","", IFERROR(VLOOKUP(L547, IF(D547="KET", 换算标准!$M:$N, IF(D547="PET", 换算标准!$S:$T, 换算标准!$AC:$AD)), 2, TRUE), 0))</f>
        <v/>
      </c>
      <c r="P547" t="str">
        <f t="shared" si="33"/>
        <v/>
      </c>
      <c r="Q547" t="str">
        <f>IF(P547="","", IFERROR(VLOOKUP(P547, IF(D547="KET", 换算标准!$O:$P, IF(D547="PET", 换算标准!$U:$V, 换算标准!$AG:$AH)), 2, TRUE), 0))</f>
        <v/>
      </c>
      <c r="W547" t="str">
        <f t="shared" si="34"/>
        <v/>
      </c>
      <c r="X547" t="str">
        <f>IF(W547="","", IFERROR(VLOOKUP(W547, IF(D547="KET", 换算标准!$Q:$R, IF(D547="PET", 换算标准!$W:$X, 换算标准!$AI:$AJ)), 2, TRUE), 0))</f>
        <v/>
      </c>
      <c r="Y547" t="str">
        <f t="shared" si="35"/>
        <v/>
      </c>
      <c r="Z547" t="str">
        <f>IF(Y547="","", IFERROR(VLOOKUP(Y547, 换算标准!$Z:$AA, 1, TRUE), ""))</f>
        <v/>
      </c>
      <c r="AA547" s="5" t="str">
        <f>IF(L547="","", "⚠️ 薄弱环节: "&amp;INDEX($E$1:$K$1, MATCH(MIN(E547:K547), E547:K547, 0))&amp;CHAR(10)&amp;"📉 考察能力: "&amp;IFERROR(VLOOKUP(TRIM(D547)&amp;"_"&amp;TRIM(INDEX($E$1:$K$1, MATCH(MIN(E547:K547), E547:K547, 0))), 技能库!$A:$F, 5, 0),"建议查阅考纲")&amp;CHAR(10)&amp;"💡 提升建议: "&amp;IFERROR(VLOOKUP(TRIM(D547)&amp;"_"&amp;TRIM(INDEX($E$1:$K$1, MATCH(MIN(E547:K547), E547:K547, 0))), 技能库!$A:$F, 6, 0),"请针对该题型加强练习"))</f>
        <v/>
      </c>
      <c r="AB547" s="5" t="str">
        <f>IF(P547="","", "⚠️ 薄弱环节: "&amp;INDEX($N$1:$O$1, MATCH(MIN(N547:O547), N547:O547, 0))&amp;CHAR(10)&amp;"📉 考察能力: "&amp;IFERROR(VLOOKUP(TRIM(D547)&amp;"_"&amp;TRIM(INDEX($N$1:$O$1, MATCH(MIN(N547:O547), N547:O547, 0))), 技能库!$A:$F, 5, 0),"建议查阅考纲")&amp;CHAR(10)&amp;"💡 提升建议: "&amp;IFERROR(VLOOKUP(TRIM(D547)&amp;"_"&amp;TRIM(INDEX($N$1:$O$1, MATCH(MIN(N547:O547), N547:O547, 0))), 技能库!$A:$F, 6, 0),"请针对该题型加强练习"))</f>
        <v/>
      </c>
      <c r="AC547" s="5" t="str">
        <f>IF(W547="","", "⚠️ 薄弱环节: "&amp;INDEX($R$1:$V$1, MATCH(MIN(R547:V547), R547:V547, 0))&amp;CHAR(10)&amp;"📉 考察能力: "&amp;IFERROR(VLOOKUP(TRIM(D547)&amp;"_"&amp;TRIM(INDEX($R$1:$V$1, MATCH(MIN(R547:V547), R547:V547, 0))), 技能库!$A:$F, 5, 0),"建议查阅考纲")&amp;CHAR(10)&amp;"💡 提升建议: "&amp;IFERROR(VLOOKUP(TRIM(D547)&amp;"_"&amp;TRIM(INDEX($R$1:$V$1, MATCH(MIN(R547:V547), R547:V547, 0))), 技能库!$A:$F, 6, 0),"请针对该题型加强练习"))</f>
        <v/>
      </c>
    </row>
    <row r="548" spans="12:29" ht="16" hidden="1" x14ac:dyDescent="0.2">
      <c r="L548" t="str">
        <f t="shared" si="32"/>
        <v/>
      </c>
      <c r="M548" t="str">
        <f>IF(L548="","", IFERROR(VLOOKUP(L548, IF(D548="KET", 换算标准!$M:$N, IF(D548="PET", 换算标准!$S:$T, 换算标准!$AC:$AD)), 2, TRUE), 0))</f>
        <v/>
      </c>
      <c r="P548" t="str">
        <f t="shared" si="33"/>
        <v/>
      </c>
      <c r="Q548" t="str">
        <f>IF(P548="","", IFERROR(VLOOKUP(P548, IF(D548="KET", 换算标准!$O:$P, IF(D548="PET", 换算标准!$U:$V, 换算标准!$AG:$AH)), 2, TRUE), 0))</f>
        <v/>
      </c>
      <c r="W548" t="str">
        <f t="shared" si="34"/>
        <v/>
      </c>
      <c r="X548" t="str">
        <f>IF(W548="","", IFERROR(VLOOKUP(W548, IF(D548="KET", 换算标准!$Q:$R, IF(D548="PET", 换算标准!$W:$X, 换算标准!$AI:$AJ)), 2, TRUE), 0))</f>
        <v/>
      </c>
      <c r="Y548" t="str">
        <f t="shared" si="35"/>
        <v/>
      </c>
      <c r="Z548" t="str">
        <f>IF(Y548="","", IFERROR(VLOOKUP(Y548, 换算标准!$Z:$AA, 1, TRUE), ""))</f>
        <v/>
      </c>
      <c r="AA548" s="5" t="str">
        <f>IF(L548="","", "⚠️ 薄弱环节: "&amp;INDEX($E$1:$K$1, MATCH(MIN(E548:K548), E548:K548, 0))&amp;CHAR(10)&amp;"📉 考察能力: "&amp;IFERROR(VLOOKUP(TRIM(D548)&amp;"_"&amp;TRIM(INDEX($E$1:$K$1, MATCH(MIN(E548:K548), E548:K548, 0))), 技能库!$A:$F, 5, 0),"建议查阅考纲")&amp;CHAR(10)&amp;"💡 提升建议: "&amp;IFERROR(VLOOKUP(TRIM(D548)&amp;"_"&amp;TRIM(INDEX($E$1:$K$1, MATCH(MIN(E548:K548), E548:K548, 0))), 技能库!$A:$F, 6, 0),"请针对该题型加强练习"))</f>
        <v/>
      </c>
      <c r="AB548" s="5" t="str">
        <f>IF(P548="","", "⚠️ 薄弱环节: "&amp;INDEX($N$1:$O$1, MATCH(MIN(N548:O548), N548:O548, 0))&amp;CHAR(10)&amp;"📉 考察能力: "&amp;IFERROR(VLOOKUP(TRIM(D548)&amp;"_"&amp;TRIM(INDEX($N$1:$O$1, MATCH(MIN(N548:O548), N548:O548, 0))), 技能库!$A:$F, 5, 0),"建议查阅考纲")&amp;CHAR(10)&amp;"💡 提升建议: "&amp;IFERROR(VLOOKUP(TRIM(D548)&amp;"_"&amp;TRIM(INDEX($N$1:$O$1, MATCH(MIN(N548:O548), N548:O548, 0))), 技能库!$A:$F, 6, 0),"请针对该题型加强练习"))</f>
        <v/>
      </c>
      <c r="AC548" s="5" t="str">
        <f>IF(W548="","", "⚠️ 薄弱环节: "&amp;INDEX($R$1:$V$1, MATCH(MIN(R548:V548), R548:V548, 0))&amp;CHAR(10)&amp;"📉 考察能力: "&amp;IFERROR(VLOOKUP(TRIM(D548)&amp;"_"&amp;TRIM(INDEX($R$1:$V$1, MATCH(MIN(R548:V548), R548:V548, 0))), 技能库!$A:$F, 5, 0),"建议查阅考纲")&amp;CHAR(10)&amp;"💡 提升建议: "&amp;IFERROR(VLOOKUP(TRIM(D548)&amp;"_"&amp;TRIM(INDEX($R$1:$V$1, MATCH(MIN(R548:V548), R548:V548, 0))), 技能库!$A:$F, 6, 0),"请针对该题型加强练习"))</f>
        <v/>
      </c>
    </row>
    <row r="549" spans="12:29" ht="16" hidden="1" x14ac:dyDescent="0.2">
      <c r="L549" t="str">
        <f t="shared" si="32"/>
        <v/>
      </c>
      <c r="M549" t="str">
        <f>IF(L549="","", IFERROR(VLOOKUP(L549, IF(D549="KET", 换算标准!$M:$N, IF(D549="PET", 换算标准!$S:$T, 换算标准!$AC:$AD)), 2, TRUE), 0))</f>
        <v/>
      </c>
      <c r="P549" t="str">
        <f t="shared" si="33"/>
        <v/>
      </c>
      <c r="Q549" t="str">
        <f>IF(P549="","", IFERROR(VLOOKUP(P549, IF(D549="KET", 换算标准!$O:$P, IF(D549="PET", 换算标准!$U:$V, 换算标准!$AG:$AH)), 2, TRUE), 0))</f>
        <v/>
      </c>
      <c r="W549" t="str">
        <f t="shared" si="34"/>
        <v/>
      </c>
      <c r="X549" t="str">
        <f>IF(W549="","", IFERROR(VLOOKUP(W549, IF(D549="KET", 换算标准!$Q:$R, IF(D549="PET", 换算标准!$W:$X, 换算标准!$AI:$AJ)), 2, TRUE), 0))</f>
        <v/>
      </c>
      <c r="Y549" t="str">
        <f t="shared" si="35"/>
        <v/>
      </c>
      <c r="Z549" t="str">
        <f>IF(Y549="","", IFERROR(VLOOKUP(Y549, 换算标准!$Z:$AA, 1, TRUE), ""))</f>
        <v/>
      </c>
      <c r="AA549" s="5" t="str">
        <f>IF(L549="","", "⚠️ 薄弱环节: "&amp;INDEX($E$1:$K$1, MATCH(MIN(E549:K549), E549:K549, 0))&amp;CHAR(10)&amp;"📉 考察能力: "&amp;IFERROR(VLOOKUP(TRIM(D549)&amp;"_"&amp;TRIM(INDEX($E$1:$K$1, MATCH(MIN(E549:K549), E549:K549, 0))), 技能库!$A:$F, 5, 0),"建议查阅考纲")&amp;CHAR(10)&amp;"💡 提升建议: "&amp;IFERROR(VLOOKUP(TRIM(D549)&amp;"_"&amp;TRIM(INDEX($E$1:$K$1, MATCH(MIN(E549:K549), E549:K549, 0))), 技能库!$A:$F, 6, 0),"请针对该题型加强练习"))</f>
        <v/>
      </c>
      <c r="AB549" s="5" t="str">
        <f>IF(P549="","", "⚠️ 薄弱环节: "&amp;INDEX($N$1:$O$1, MATCH(MIN(N549:O549), N549:O549, 0))&amp;CHAR(10)&amp;"📉 考察能力: "&amp;IFERROR(VLOOKUP(TRIM(D549)&amp;"_"&amp;TRIM(INDEX($N$1:$O$1, MATCH(MIN(N549:O549), N549:O549, 0))), 技能库!$A:$F, 5, 0),"建议查阅考纲")&amp;CHAR(10)&amp;"💡 提升建议: "&amp;IFERROR(VLOOKUP(TRIM(D549)&amp;"_"&amp;TRIM(INDEX($N$1:$O$1, MATCH(MIN(N549:O549), N549:O549, 0))), 技能库!$A:$F, 6, 0),"请针对该题型加强练习"))</f>
        <v/>
      </c>
      <c r="AC549" s="5" t="str">
        <f>IF(W549="","", "⚠️ 薄弱环节: "&amp;INDEX($R$1:$V$1, MATCH(MIN(R549:V549), R549:V549, 0))&amp;CHAR(10)&amp;"📉 考察能力: "&amp;IFERROR(VLOOKUP(TRIM(D549)&amp;"_"&amp;TRIM(INDEX($R$1:$V$1, MATCH(MIN(R549:V549), R549:V549, 0))), 技能库!$A:$F, 5, 0),"建议查阅考纲")&amp;CHAR(10)&amp;"💡 提升建议: "&amp;IFERROR(VLOOKUP(TRIM(D549)&amp;"_"&amp;TRIM(INDEX($R$1:$V$1, MATCH(MIN(R549:V549), R549:V549, 0))), 技能库!$A:$F, 6, 0),"请针对该题型加强练习"))</f>
        <v/>
      </c>
    </row>
    <row r="550" spans="12:29" ht="16" hidden="1" x14ac:dyDescent="0.2">
      <c r="L550" t="str">
        <f t="shared" si="32"/>
        <v/>
      </c>
      <c r="M550" t="str">
        <f>IF(L550="","", IFERROR(VLOOKUP(L550, IF(D550="KET", 换算标准!$M:$N, IF(D550="PET", 换算标准!$S:$T, 换算标准!$AC:$AD)), 2, TRUE), 0))</f>
        <v/>
      </c>
      <c r="P550" t="str">
        <f t="shared" si="33"/>
        <v/>
      </c>
      <c r="Q550" t="str">
        <f>IF(P550="","", IFERROR(VLOOKUP(P550, IF(D550="KET", 换算标准!$O:$P, IF(D550="PET", 换算标准!$U:$V, 换算标准!$AG:$AH)), 2, TRUE), 0))</f>
        <v/>
      </c>
      <c r="W550" t="str">
        <f t="shared" si="34"/>
        <v/>
      </c>
      <c r="X550" t="str">
        <f>IF(W550="","", IFERROR(VLOOKUP(W550, IF(D550="KET", 换算标准!$Q:$R, IF(D550="PET", 换算标准!$W:$X, 换算标准!$AI:$AJ)), 2, TRUE), 0))</f>
        <v/>
      </c>
      <c r="Y550" t="str">
        <f t="shared" si="35"/>
        <v/>
      </c>
      <c r="Z550" t="str">
        <f>IF(Y550="","", IFERROR(VLOOKUP(Y550, 换算标准!$Z:$AA, 1, TRUE), ""))</f>
        <v/>
      </c>
      <c r="AA550" s="5" t="str">
        <f>IF(L550="","", "⚠️ 薄弱环节: "&amp;INDEX($E$1:$K$1, MATCH(MIN(E550:K550), E550:K550, 0))&amp;CHAR(10)&amp;"📉 考察能力: "&amp;IFERROR(VLOOKUP(TRIM(D550)&amp;"_"&amp;TRIM(INDEX($E$1:$K$1, MATCH(MIN(E550:K550), E550:K550, 0))), 技能库!$A:$F, 5, 0),"建议查阅考纲")&amp;CHAR(10)&amp;"💡 提升建议: "&amp;IFERROR(VLOOKUP(TRIM(D550)&amp;"_"&amp;TRIM(INDEX($E$1:$K$1, MATCH(MIN(E550:K550), E550:K550, 0))), 技能库!$A:$F, 6, 0),"请针对该题型加强练习"))</f>
        <v/>
      </c>
      <c r="AB550" s="5" t="str">
        <f>IF(P550="","", "⚠️ 薄弱环节: "&amp;INDEX($N$1:$O$1, MATCH(MIN(N550:O550), N550:O550, 0))&amp;CHAR(10)&amp;"📉 考察能力: "&amp;IFERROR(VLOOKUP(TRIM(D550)&amp;"_"&amp;TRIM(INDEX($N$1:$O$1, MATCH(MIN(N550:O550), N550:O550, 0))), 技能库!$A:$F, 5, 0),"建议查阅考纲")&amp;CHAR(10)&amp;"💡 提升建议: "&amp;IFERROR(VLOOKUP(TRIM(D550)&amp;"_"&amp;TRIM(INDEX($N$1:$O$1, MATCH(MIN(N550:O550), N550:O550, 0))), 技能库!$A:$F, 6, 0),"请针对该题型加强练习"))</f>
        <v/>
      </c>
      <c r="AC550" s="5" t="str">
        <f>IF(W550="","", "⚠️ 薄弱环节: "&amp;INDEX($R$1:$V$1, MATCH(MIN(R550:V550), R550:V550, 0))&amp;CHAR(10)&amp;"📉 考察能力: "&amp;IFERROR(VLOOKUP(TRIM(D550)&amp;"_"&amp;TRIM(INDEX($R$1:$V$1, MATCH(MIN(R550:V550), R550:V550, 0))), 技能库!$A:$F, 5, 0),"建议查阅考纲")&amp;CHAR(10)&amp;"💡 提升建议: "&amp;IFERROR(VLOOKUP(TRIM(D550)&amp;"_"&amp;TRIM(INDEX($R$1:$V$1, MATCH(MIN(R550:V550), R550:V550, 0))), 技能库!$A:$F, 6, 0),"请针对该题型加强练习"))</f>
        <v/>
      </c>
    </row>
    <row r="551" spans="12:29" ht="16" hidden="1" x14ac:dyDescent="0.2">
      <c r="L551" t="str">
        <f t="shared" si="32"/>
        <v/>
      </c>
      <c r="M551" t="str">
        <f>IF(L551="","", IFERROR(VLOOKUP(L551, IF(D551="KET", 换算标准!$M:$N, IF(D551="PET", 换算标准!$S:$T, 换算标准!$AC:$AD)), 2, TRUE), 0))</f>
        <v/>
      </c>
      <c r="P551" t="str">
        <f t="shared" si="33"/>
        <v/>
      </c>
      <c r="Q551" t="str">
        <f>IF(P551="","", IFERROR(VLOOKUP(P551, IF(D551="KET", 换算标准!$O:$P, IF(D551="PET", 换算标准!$U:$V, 换算标准!$AG:$AH)), 2, TRUE), 0))</f>
        <v/>
      </c>
      <c r="W551" t="str">
        <f t="shared" si="34"/>
        <v/>
      </c>
      <c r="X551" t="str">
        <f>IF(W551="","", IFERROR(VLOOKUP(W551, IF(D551="KET", 换算标准!$Q:$R, IF(D551="PET", 换算标准!$W:$X, 换算标准!$AI:$AJ)), 2, TRUE), 0))</f>
        <v/>
      </c>
      <c r="Y551" t="str">
        <f t="shared" si="35"/>
        <v/>
      </c>
      <c r="Z551" t="str">
        <f>IF(Y551="","", IFERROR(VLOOKUP(Y551, 换算标准!$Z:$AA, 1, TRUE), ""))</f>
        <v/>
      </c>
      <c r="AA551" s="5" t="str">
        <f>IF(L551="","", "⚠️ 薄弱环节: "&amp;INDEX($E$1:$K$1, MATCH(MIN(E551:K551), E551:K551, 0))&amp;CHAR(10)&amp;"📉 考察能力: "&amp;IFERROR(VLOOKUP(TRIM(D551)&amp;"_"&amp;TRIM(INDEX($E$1:$K$1, MATCH(MIN(E551:K551), E551:K551, 0))), 技能库!$A:$F, 5, 0),"建议查阅考纲")&amp;CHAR(10)&amp;"💡 提升建议: "&amp;IFERROR(VLOOKUP(TRIM(D551)&amp;"_"&amp;TRIM(INDEX($E$1:$K$1, MATCH(MIN(E551:K551), E551:K551, 0))), 技能库!$A:$F, 6, 0),"请针对该题型加强练习"))</f>
        <v/>
      </c>
      <c r="AB551" s="5" t="str">
        <f>IF(P551="","", "⚠️ 薄弱环节: "&amp;INDEX($N$1:$O$1, MATCH(MIN(N551:O551), N551:O551, 0))&amp;CHAR(10)&amp;"📉 考察能力: "&amp;IFERROR(VLOOKUP(TRIM(D551)&amp;"_"&amp;TRIM(INDEX($N$1:$O$1, MATCH(MIN(N551:O551), N551:O551, 0))), 技能库!$A:$F, 5, 0),"建议查阅考纲")&amp;CHAR(10)&amp;"💡 提升建议: "&amp;IFERROR(VLOOKUP(TRIM(D551)&amp;"_"&amp;TRIM(INDEX($N$1:$O$1, MATCH(MIN(N551:O551), N551:O551, 0))), 技能库!$A:$F, 6, 0),"请针对该题型加强练习"))</f>
        <v/>
      </c>
      <c r="AC551" s="5" t="str">
        <f>IF(W551="","", "⚠️ 薄弱环节: "&amp;INDEX($R$1:$V$1, MATCH(MIN(R551:V551), R551:V551, 0))&amp;CHAR(10)&amp;"📉 考察能力: "&amp;IFERROR(VLOOKUP(TRIM(D551)&amp;"_"&amp;TRIM(INDEX($R$1:$V$1, MATCH(MIN(R551:V551), R551:V551, 0))), 技能库!$A:$F, 5, 0),"建议查阅考纲")&amp;CHAR(10)&amp;"💡 提升建议: "&amp;IFERROR(VLOOKUP(TRIM(D551)&amp;"_"&amp;TRIM(INDEX($R$1:$V$1, MATCH(MIN(R551:V551), R551:V551, 0))), 技能库!$A:$F, 6, 0),"请针对该题型加强练习"))</f>
        <v/>
      </c>
    </row>
    <row r="552" spans="12:29" ht="16" hidden="1" x14ac:dyDescent="0.2">
      <c r="L552" t="str">
        <f t="shared" si="32"/>
        <v/>
      </c>
      <c r="M552" t="str">
        <f>IF(L552="","", IFERROR(VLOOKUP(L552, IF(D552="KET", 换算标准!$M:$N, IF(D552="PET", 换算标准!$S:$T, 换算标准!$AC:$AD)), 2, TRUE), 0))</f>
        <v/>
      </c>
      <c r="P552" t="str">
        <f t="shared" si="33"/>
        <v/>
      </c>
      <c r="Q552" t="str">
        <f>IF(P552="","", IFERROR(VLOOKUP(P552, IF(D552="KET", 换算标准!$O:$P, IF(D552="PET", 换算标准!$U:$V, 换算标准!$AG:$AH)), 2, TRUE), 0))</f>
        <v/>
      </c>
      <c r="W552" t="str">
        <f t="shared" si="34"/>
        <v/>
      </c>
      <c r="X552" t="str">
        <f>IF(W552="","", IFERROR(VLOOKUP(W552, IF(D552="KET", 换算标准!$Q:$R, IF(D552="PET", 换算标准!$W:$X, 换算标准!$AI:$AJ)), 2, TRUE), 0))</f>
        <v/>
      </c>
      <c r="Y552" t="str">
        <f t="shared" si="35"/>
        <v/>
      </c>
      <c r="Z552" t="str">
        <f>IF(Y552="","", IFERROR(VLOOKUP(Y552, 换算标准!$Z:$AA, 1, TRUE), ""))</f>
        <v/>
      </c>
      <c r="AA552" s="5" t="str">
        <f>IF(L552="","", "⚠️ 薄弱环节: "&amp;INDEX($E$1:$K$1, MATCH(MIN(E552:K552), E552:K552, 0))&amp;CHAR(10)&amp;"📉 考察能力: "&amp;IFERROR(VLOOKUP(TRIM(D552)&amp;"_"&amp;TRIM(INDEX($E$1:$K$1, MATCH(MIN(E552:K552), E552:K552, 0))), 技能库!$A:$F, 5, 0),"建议查阅考纲")&amp;CHAR(10)&amp;"💡 提升建议: "&amp;IFERROR(VLOOKUP(TRIM(D552)&amp;"_"&amp;TRIM(INDEX($E$1:$K$1, MATCH(MIN(E552:K552), E552:K552, 0))), 技能库!$A:$F, 6, 0),"请针对该题型加强练习"))</f>
        <v/>
      </c>
      <c r="AB552" s="5" t="str">
        <f>IF(P552="","", "⚠️ 薄弱环节: "&amp;INDEX($N$1:$O$1, MATCH(MIN(N552:O552), N552:O552, 0))&amp;CHAR(10)&amp;"📉 考察能力: "&amp;IFERROR(VLOOKUP(TRIM(D552)&amp;"_"&amp;TRIM(INDEX($N$1:$O$1, MATCH(MIN(N552:O552), N552:O552, 0))), 技能库!$A:$F, 5, 0),"建议查阅考纲")&amp;CHAR(10)&amp;"💡 提升建议: "&amp;IFERROR(VLOOKUP(TRIM(D552)&amp;"_"&amp;TRIM(INDEX($N$1:$O$1, MATCH(MIN(N552:O552), N552:O552, 0))), 技能库!$A:$F, 6, 0),"请针对该题型加强练习"))</f>
        <v/>
      </c>
      <c r="AC552" s="5" t="str">
        <f>IF(W552="","", "⚠️ 薄弱环节: "&amp;INDEX($R$1:$V$1, MATCH(MIN(R552:V552), R552:V552, 0))&amp;CHAR(10)&amp;"📉 考察能力: "&amp;IFERROR(VLOOKUP(TRIM(D552)&amp;"_"&amp;TRIM(INDEX($R$1:$V$1, MATCH(MIN(R552:V552), R552:V552, 0))), 技能库!$A:$F, 5, 0),"建议查阅考纲")&amp;CHAR(10)&amp;"💡 提升建议: "&amp;IFERROR(VLOOKUP(TRIM(D552)&amp;"_"&amp;TRIM(INDEX($R$1:$V$1, MATCH(MIN(R552:V552), R552:V552, 0))), 技能库!$A:$F, 6, 0),"请针对该题型加强练习"))</f>
        <v/>
      </c>
    </row>
    <row r="553" spans="12:29" ht="16" hidden="1" x14ac:dyDescent="0.2">
      <c r="L553" t="str">
        <f t="shared" si="32"/>
        <v/>
      </c>
      <c r="M553" t="str">
        <f>IF(L553="","", IFERROR(VLOOKUP(L553, IF(D553="KET", 换算标准!$M:$N, IF(D553="PET", 换算标准!$S:$T, 换算标准!$AC:$AD)), 2, TRUE), 0))</f>
        <v/>
      </c>
      <c r="P553" t="str">
        <f t="shared" si="33"/>
        <v/>
      </c>
      <c r="Q553" t="str">
        <f>IF(P553="","", IFERROR(VLOOKUP(P553, IF(D553="KET", 换算标准!$O:$P, IF(D553="PET", 换算标准!$U:$V, 换算标准!$AG:$AH)), 2, TRUE), 0))</f>
        <v/>
      </c>
      <c r="W553" t="str">
        <f t="shared" si="34"/>
        <v/>
      </c>
      <c r="X553" t="str">
        <f>IF(W553="","", IFERROR(VLOOKUP(W553, IF(D553="KET", 换算标准!$Q:$R, IF(D553="PET", 换算标准!$W:$X, 换算标准!$AI:$AJ)), 2, TRUE), 0))</f>
        <v/>
      </c>
      <c r="Y553" t="str">
        <f t="shared" si="35"/>
        <v/>
      </c>
      <c r="Z553" t="str">
        <f>IF(Y553="","", IFERROR(VLOOKUP(Y553, 换算标准!$Z:$AA, 1, TRUE), ""))</f>
        <v/>
      </c>
      <c r="AA553" s="5" t="str">
        <f>IF(L553="","", "⚠️ 薄弱环节: "&amp;INDEX($E$1:$K$1, MATCH(MIN(E553:K553), E553:K553, 0))&amp;CHAR(10)&amp;"📉 考察能力: "&amp;IFERROR(VLOOKUP(TRIM(D553)&amp;"_"&amp;TRIM(INDEX($E$1:$K$1, MATCH(MIN(E553:K553), E553:K553, 0))), 技能库!$A:$F, 5, 0),"建议查阅考纲")&amp;CHAR(10)&amp;"💡 提升建议: "&amp;IFERROR(VLOOKUP(TRIM(D553)&amp;"_"&amp;TRIM(INDEX($E$1:$K$1, MATCH(MIN(E553:K553), E553:K553, 0))), 技能库!$A:$F, 6, 0),"请针对该题型加强练习"))</f>
        <v/>
      </c>
      <c r="AB553" s="5" t="str">
        <f>IF(P553="","", "⚠️ 薄弱环节: "&amp;INDEX($N$1:$O$1, MATCH(MIN(N553:O553), N553:O553, 0))&amp;CHAR(10)&amp;"📉 考察能力: "&amp;IFERROR(VLOOKUP(TRIM(D553)&amp;"_"&amp;TRIM(INDEX($N$1:$O$1, MATCH(MIN(N553:O553), N553:O553, 0))), 技能库!$A:$F, 5, 0),"建议查阅考纲")&amp;CHAR(10)&amp;"💡 提升建议: "&amp;IFERROR(VLOOKUP(TRIM(D553)&amp;"_"&amp;TRIM(INDEX($N$1:$O$1, MATCH(MIN(N553:O553), N553:O553, 0))), 技能库!$A:$F, 6, 0),"请针对该题型加强练习"))</f>
        <v/>
      </c>
      <c r="AC553" s="5" t="str">
        <f>IF(W553="","", "⚠️ 薄弱环节: "&amp;INDEX($R$1:$V$1, MATCH(MIN(R553:V553), R553:V553, 0))&amp;CHAR(10)&amp;"📉 考察能力: "&amp;IFERROR(VLOOKUP(TRIM(D553)&amp;"_"&amp;TRIM(INDEX($R$1:$V$1, MATCH(MIN(R553:V553), R553:V553, 0))), 技能库!$A:$F, 5, 0),"建议查阅考纲")&amp;CHAR(10)&amp;"💡 提升建议: "&amp;IFERROR(VLOOKUP(TRIM(D553)&amp;"_"&amp;TRIM(INDEX($R$1:$V$1, MATCH(MIN(R553:V553), R553:V553, 0))), 技能库!$A:$F, 6, 0),"请针对该题型加强练习"))</f>
        <v/>
      </c>
    </row>
    <row r="554" spans="12:29" ht="16" hidden="1" x14ac:dyDescent="0.2">
      <c r="L554" t="str">
        <f t="shared" si="32"/>
        <v/>
      </c>
      <c r="M554" t="str">
        <f>IF(L554="","", IFERROR(VLOOKUP(L554, IF(D554="KET", 换算标准!$M:$N, IF(D554="PET", 换算标准!$S:$T, 换算标准!$AC:$AD)), 2, TRUE), 0))</f>
        <v/>
      </c>
      <c r="P554" t="str">
        <f t="shared" si="33"/>
        <v/>
      </c>
      <c r="Q554" t="str">
        <f>IF(P554="","", IFERROR(VLOOKUP(P554, IF(D554="KET", 换算标准!$O:$P, IF(D554="PET", 换算标准!$U:$V, 换算标准!$AG:$AH)), 2, TRUE), 0))</f>
        <v/>
      </c>
      <c r="W554" t="str">
        <f t="shared" si="34"/>
        <v/>
      </c>
      <c r="X554" t="str">
        <f>IF(W554="","", IFERROR(VLOOKUP(W554, IF(D554="KET", 换算标准!$Q:$R, IF(D554="PET", 换算标准!$W:$X, 换算标准!$AI:$AJ)), 2, TRUE), 0))</f>
        <v/>
      </c>
      <c r="Y554" t="str">
        <f t="shared" si="35"/>
        <v/>
      </c>
      <c r="Z554" t="str">
        <f>IF(Y554="","", IFERROR(VLOOKUP(Y554, 换算标准!$Z:$AA, 1, TRUE), ""))</f>
        <v/>
      </c>
      <c r="AA554" s="5" t="str">
        <f>IF(L554="","", "⚠️ 薄弱环节: "&amp;INDEX($E$1:$K$1, MATCH(MIN(E554:K554), E554:K554, 0))&amp;CHAR(10)&amp;"📉 考察能力: "&amp;IFERROR(VLOOKUP(TRIM(D554)&amp;"_"&amp;TRIM(INDEX($E$1:$K$1, MATCH(MIN(E554:K554), E554:K554, 0))), 技能库!$A:$F, 5, 0),"建议查阅考纲")&amp;CHAR(10)&amp;"💡 提升建议: "&amp;IFERROR(VLOOKUP(TRIM(D554)&amp;"_"&amp;TRIM(INDEX($E$1:$K$1, MATCH(MIN(E554:K554), E554:K554, 0))), 技能库!$A:$F, 6, 0),"请针对该题型加强练习"))</f>
        <v/>
      </c>
      <c r="AB554" s="5" t="str">
        <f>IF(P554="","", "⚠️ 薄弱环节: "&amp;INDEX($N$1:$O$1, MATCH(MIN(N554:O554), N554:O554, 0))&amp;CHAR(10)&amp;"📉 考察能力: "&amp;IFERROR(VLOOKUP(TRIM(D554)&amp;"_"&amp;TRIM(INDEX($N$1:$O$1, MATCH(MIN(N554:O554), N554:O554, 0))), 技能库!$A:$F, 5, 0),"建议查阅考纲")&amp;CHAR(10)&amp;"💡 提升建议: "&amp;IFERROR(VLOOKUP(TRIM(D554)&amp;"_"&amp;TRIM(INDEX($N$1:$O$1, MATCH(MIN(N554:O554), N554:O554, 0))), 技能库!$A:$F, 6, 0),"请针对该题型加强练习"))</f>
        <v/>
      </c>
      <c r="AC554" s="5" t="str">
        <f>IF(W554="","", "⚠️ 薄弱环节: "&amp;INDEX($R$1:$V$1, MATCH(MIN(R554:V554), R554:V554, 0))&amp;CHAR(10)&amp;"📉 考察能力: "&amp;IFERROR(VLOOKUP(TRIM(D554)&amp;"_"&amp;TRIM(INDEX($R$1:$V$1, MATCH(MIN(R554:V554), R554:V554, 0))), 技能库!$A:$F, 5, 0),"建议查阅考纲")&amp;CHAR(10)&amp;"💡 提升建议: "&amp;IFERROR(VLOOKUP(TRIM(D554)&amp;"_"&amp;TRIM(INDEX($R$1:$V$1, MATCH(MIN(R554:V554), R554:V554, 0))), 技能库!$A:$F, 6, 0),"请针对该题型加强练习"))</f>
        <v/>
      </c>
    </row>
    <row r="555" spans="12:29" ht="16" hidden="1" x14ac:dyDescent="0.2">
      <c r="L555" t="str">
        <f t="shared" si="32"/>
        <v/>
      </c>
      <c r="M555" t="str">
        <f>IF(L555="","", IFERROR(VLOOKUP(L555, IF(D555="KET", 换算标准!$M:$N, IF(D555="PET", 换算标准!$S:$T, 换算标准!$AC:$AD)), 2, TRUE), 0))</f>
        <v/>
      </c>
      <c r="P555" t="str">
        <f t="shared" si="33"/>
        <v/>
      </c>
      <c r="Q555" t="str">
        <f>IF(P555="","", IFERROR(VLOOKUP(P555, IF(D555="KET", 换算标准!$O:$P, IF(D555="PET", 换算标准!$U:$V, 换算标准!$AG:$AH)), 2, TRUE), 0))</f>
        <v/>
      </c>
      <c r="W555" t="str">
        <f t="shared" si="34"/>
        <v/>
      </c>
      <c r="X555" t="str">
        <f>IF(W555="","", IFERROR(VLOOKUP(W555, IF(D555="KET", 换算标准!$Q:$R, IF(D555="PET", 换算标准!$W:$X, 换算标准!$AI:$AJ)), 2, TRUE), 0))</f>
        <v/>
      </c>
      <c r="Y555" t="str">
        <f t="shared" si="35"/>
        <v/>
      </c>
      <c r="Z555" t="str">
        <f>IF(Y555="","", IFERROR(VLOOKUP(Y555, 换算标准!$Z:$AA, 1, TRUE), ""))</f>
        <v/>
      </c>
      <c r="AA555" s="5" t="str">
        <f>IF(L555="","", "⚠️ 薄弱环节: "&amp;INDEX($E$1:$K$1, MATCH(MIN(E555:K555), E555:K555, 0))&amp;CHAR(10)&amp;"📉 考察能力: "&amp;IFERROR(VLOOKUP(TRIM(D555)&amp;"_"&amp;TRIM(INDEX($E$1:$K$1, MATCH(MIN(E555:K555), E555:K555, 0))), 技能库!$A:$F, 5, 0),"建议查阅考纲")&amp;CHAR(10)&amp;"💡 提升建议: "&amp;IFERROR(VLOOKUP(TRIM(D555)&amp;"_"&amp;TRIM(INDEX($E$1:$K$1, MATCH(MIN(E555:K555), E555:K555, 0))), 技能库!$A:$F, 6, 0),"请针对该题型加强练习"))</f>
        <v/>
      </c>
      <c r="AB555" s="5" t="str">
        <f>IF(P555="","", "⚠️ 薄弱环节: "&amp;INDEX($N$1:$O$1, MATCH(MIN(N555:O555), N555:O555, 0))&amp;CHAR(10)&amp;"📉 考察能力: "&amp;IFERROR(VLOOKUP(TRIM(D555)&amp;"_"&amp;TRIM(INDEX($N$1:$O$1, MATCH(MIN(N555:O555), N555:O555, 0))), 技能库!$A:$F, 5, 0),"建议查阅考纲")&amp;CHAR(10)&amp;"💡 提升建议: "&amp;IFERROR(VLOOKUP(TRIM(D555)&amp;"_"&amp;TRIM(INDEX($N$1:$O$1, MATCH(MIN(N555:O555), N555:O555, 0))), 技能库!$A:$F, 6, 0),"请针对该题型加强练习"))</f>
        <v/>
      </c>
      <c r="AC555" s="5" t="str">
        <f>IF(W555="","", "⚠️ 薄弱环节: "&amp;INDEX($R$1:$V$1, MATCH(MIN(R555:V555), R555:V555, 0))&amp;CHAR(10)&amp;"📉 考察能力: "&amp;IFERROR(VLOOKUP(TRIM(D555)&amp;"_"&amp;TRIM(INDEX($R$1:$V$1, MATCH(MIN(R555:V555), R555:V555, 0))), 技能库!$A:$F, 5, 0),"建议查阅考纲")&amp;CHAR(10)&amp;"💡 提升建议: "&amp;IFERROR(VLOOKUP(TRIM(D555)&amp;"_"&amp;TRIM(INDEX($R$1:$V$1, MATCH(MIN(R555:V555), R555:V555, 0))), 技能库!$A:$F, 6, 0),"请针对该题型加强练习"))</f>
        <v/>
      </c>
    </row>
    <row r="556" spans="12:29" ht="16" hidden="1" x14ac:dyDescent="0.2">
      <c r="L556" t="str">
        <f t="shared" si="32"/>
        <v/>
      </c>
      <c r="M556" t="str">
        <f>IF(L556="","", IFERROR(VLOOKUP(L556, IF(D556="KET", 换算标准!$M:$N, IF(D556="PET", 换算标准!$S:$T, 换算标准!$AC:$AD)), 2, TRUE), 0))</f>
        <v/>
      </c>
      <c r="P556" t="str">
        <f t="shared" si="33"/>
        <v/>
      </c>
      <c r="Q556" t="str">
        <f>IF(P556="","", IFERROR(VLOOKUP(P556, IF(D556="KET", 换算标准!$O:$P, IF(D556="PET", 换算标准!$U:$V, 换算标准!$AG:$AH)), 2, TRUE), 0))</f>
        <v/>
      </c>
      <c r="W556" t="str">
        <f t="shared" si="34"/>
        <v/>
      </c>
      <c r="X556" t="str">
        <f>IF(W556="","", IFERROR(VLOOKUP(W556, IF(D556="KET", 换算标准!$Q:$R, IF(D556="PET", 换算标准!$W:$X, 换算标准!$AI:$AJ)), 2, TRUE), 0))</f>
        <v/>
      </c>
      <c r="Y556" t="str">
        <f t="shared" si="35"/>
        <v/>
      </c>
      <c r="Z556" t="str">
        <f>IF(Y556="","", IFERROR(VLOOKUP(Y556, 换算标准!$Z:$AA, 1, TRUE), ""))</f>
        <v/>
      </c>
      <c r="AA556" s="5" t="str">
        <f>IF(L556="","", "⚠️ 薄弱环节: "&amp;INDEX($E$1:$K$1, MATCH(MIN(E556:K556), E556:K556, 0))&amp;CHAR(10)&amp;"📉 考察能力: "&amp;IFERROR(VLOOKUP(TRIM(D556)&amp;"_"&amp;TRIM(INDEX($E$1:$K$1, MATCH(MIN(E556:K556), E556:K556, 0))), 技能库!$A:$F, 5, 0),"建议查阅考纲")&amp;CHAR(10)&amp;"💡 提升建议: "&amp;IFERROR(VLOOKUP(TRIM(D556)&amp;"_"&amp;TRIM(INDEX($E$1:$K$1, MATCH(MIN(E556:K556), E556:K556, 0))), 技能库!$A:$F, 6, 0),"请针对该题型加强练习"))</f>
        <v/>
      </c>
      <c r="AB556" s="5" t="str">
        <f>IF(P556="","", "⚠️ 薄弱环节: "&amp;INDEX($N$1:$O$1, MATCH(MIN(N556:O556), N556:O556, 0))&amp;CHAR(10)&amp;"📉 考察能力: "&amp;IFERROR(VLOOKUP(TRIM(D556)&amp;"_"&amp;TRIM(INDEX($N$1:$O$1, MATCH(MIN(N556:O556), N556:O556, 0))), 技能库!$A:$F, 5, 0),"建议查阅考纲")&amp;CHAR(10)&amp;"💡 提升建议: "&amp;IFERROR(VLOOKUP(TRIM(D556)&amp;"_"&amp;TRIM(INDEX($N$1:$O$1, MATCH(MIN(N556:O556), N556:O556, 0))), 技能库!$A:$F, 6, 0),"请针对该题型加强练习"))</f>
        <v/>
      </c>
      <c r="AC556" s="5" t="str">
        <f>IF(W556="","", "⚠️ 薄弱环节: "&amp;INDEX($R$1:$V$1, MATCH(MIN(R556:V556), R556:V556, 0))&amp;CHAR(10)&amp;"📉 考察能力: "&amp;IFERROR(VLOOKUP(TRIM(D556)&amp;"_"&amp;TRIM(INDEX($R$1:$V$1, MATCH(MIN(R556:V556), R556:V556, 0))), 技能库!$A:$F, 5, 0),"建议查阅考纲")&amp;CHAR(10)&amp;"💡 提升建议: "&amp;IFERROR(VLOOKUP(TRIM(D556)&amp;"_"&amp;TRIM(INDEX($R$1:$V$1, MATCH(MIN(R556:V556), R556:V556, 0))), 技能库!$A:$F, 6, 0),"请针对该题型加强练习"))</f>
        <v/>
      </c>
    </row>
    <row r="557" spans="12:29" ht="16" hidden="1" x14ac:dyDescent="0.2">
      <c r="L557" t="str">
        <f t="shared" si="32"/>
        <v/>
      </c>
      <c r="M557" t="str">
        <f>IF(L557="","", IFERROR(VLOOKUP(L557, IF(D557="KET", 换算标准!$M:$N, IF(D557="PET", 换算标准!$S:$T, 换算标准!$AC:$AD)), 2, TRUE), 0))</f>
        <v/>
      </c>
      <c r="P557" t="str">
        <f t="shared" si="33"/>
        <v/>
      </c>
      <c r="Q557" t="str">
        <f>IF(P557="","", IFERROR(VLOOKUP(P557, IF(D557="KET", 换算标准!$O:$P, IF(D557="PET", 换算标准!$U:$V, 换算标准!$AG:$AH)), 2, TRUE), 0))</f>
        <v/>
      </c>
      <c r="W557" t="str">
        <f t="shared" si="34"/>
        <v/>
      </c>
      <c r="X557" t="str">
        <f>IF(W557="","", IFERROR(VLOOKUP(W557, IF(D557="KET", 换算标准!$Q:$R, IF(D557="PET", 换算标准!$W:$X, 换算标准!$AI:$AJ)), 2, TRUE), 0))</f>
        <v/>
      </c>
      <c r="Y557" t="str">
        <f t="shared" si="35"/>
        <v/>
      </c>
      <c r="Z557" t="str">
        <f>IF(Y557="","", IFERROR(VLOOKUP(Y557, 换算标准!$Z:$AA, 1, TRUE), ""))</f>
        <v/>
      </c>
      <c r="AA557" s="5" t="str">
        <f>IF(L557="","", "⚠️ 薄弱环节: "&amp;INDEX($E$1:$K$1, MATCH(MIN(E557:K557), E557:K557, 0))&amp;CHAR(10)&amp;"📉 考察能力: "&amp;IFERROR(VLOOKUP(TRIM(D557)&amp;"_"&amp;TRIM(INDEX($E$1:$K$1, MATCH(MIN(E557:K557), E557:K557, 0))), 技能库!$A:$F, 5, 0),"建议查阅考纲")&amp;CHAR(10)&amp;"💡 提升建议: "&amp;IFERROR(VLOOKUP(TRIM(D557)&amp;"_"&amp;TRIM(INDEX($E$1:$K$1, MATCH(MIN(E557:K557), E557:K557, 0))), 技能库!$A:$F, 6, 0),"请针对该题型加强练习"))</f>
        <v/>
      </c>
      <c r="AB557" s="5" t="str">
        <f>IF(P557="","", "⚠️ 薄弱环节: "&amp;INDEX($N$1:$O$1, MATCH(MIN(N557:O557), N557:O557, 0))&amp;CHAR(10)&amp;"📉 考察能力: "&amp;IFERROR(VLOOKUP(TRIM(D557)&amp;"_"&amp;TRIM(INDEX($N$1:$O$1, MATCH(MIN(N557:O557), N557:O557, 0))), 技能库!$A:$F, 5, 0),"建议查阅考纲")&amp;CHAR(10)&amp;"💡 提升建议: "&amp;IFERROR(VLOOKUP(TRIM(D557)&amp;"_"&amp;TRIM(INDEX($N$1:$O$1, MATCH(MIN(N557:O557), N557:O557, 0))), 技能库!$A:$F, 6, 0),"请针对该题型加强练习"))</f>
        <v/>
      </c>
      <c r="AC557" s="5" t="str">
        <f>IF(W557="","", "⚠️ 薄弱环节: "&amp;INDEX($R$1:$V$1, MATCH(MIN(R557:V557), R557:V557, 0))&amp;CHAR(10)&amp;"📉 考察能力: "&amp;IFERROR(VLOOKUP(TRIM(D557)&amp;"_"&amp;TRIM(INDEX($R$1:$V$1, MATCH(MIN(R557:V557), R557:V557, 0))), 技能库!$A:$F, 5, 0),"建议查阅考纲")&amp;CHAR(10)&amp;"💡 提升建议: "&amp;IFERROR(VLOOKUP(TRIM(D557)&amp;"_"&amp;TRIM(INDEX($R$1:$V$1, MATCH(MIN(R557:V557), R557:V557, 0))), 技能库!$A:$F, 6, 0),"请针对该题型加强练习"))</f>
        <v/>
      </c>
    </row>
    <row r="558" spans="12:29" ht="16" hidden="1" x14ac:dyDescent="0.2">
      <c r="L558" t="str">
        <f t="shared" si="32"/>
        <v/>
      </c>
      <c r="M558" t="str">
        <f>IF(L558="","", IFERROR(VLOOKUP(L558, IF(D558="KET", 换算标准!$M:$N, IF(D558="PET", 换算标准!$S:$T, 换算标准!$AC:$AD)), 2, TRUE), 0))</f>
        <v/>
      </c>
      <c r="P558" t="str">
        <f t="shared" si="33"/>
        <v/>
      </c>
      <c r="Q558" t="str">
        <f>IF(P558="","", IFERROR(VLOOKUP(P558, IF(D558="KET", 换算标准!$O:$P, IF(D558="PET", 换算标准!$U:$V, 换算标准!$AG:$AH)), 2, TRUE), 0))</f>
        <v/>
      </c>
      <c r="W558" t="str">
        <f t="shared" si="34"/>
        <v/>
      </c>
      <c r="X558" t="str">
        <f>IF(W558="","", IFERROR(VLOOKUP(W558, IF(D558="KET", 换算标准!$Q:$R, IF(D558="PET", 换算标准!$W:$X, 换算标准!$AI:$AJ)), 2, TRUE), 0))</f>
        <v/>
      </c>
      <c r="Y558" t="str">
        <f t="shared" si="35"/>
        <v/>
      </c>
      <c r="Z558" t="str">
        <f>IF(Y558="","", IFERROR(VLOOKUP(Y558, 换算标准!$Z:$AA, 1, TRUE), ""))</f>
        <v/>
      </c>
      <c r="AA558" s="5" t="str">
        <f>IF(L558="","", "⚠️ 薄弱环节: "&amp;INDEX($E$1:$K$1, MATCH(MIN(E558:K558), E558:K558, 0))&amp;CHAR(10)&amp;"📉 考察能力: "&amp;IFERROR(VLOOKUP(TRIM(D558)&amp;"_"&amp;TRIM(INDEX($E$1:$K$1, MATCH(MIN(E558:K558), E558:K558, 0))), 技能库!$A:$F, 5, 0),"建议查阅考纲")&amp;CHAR(10)&amp;"💡 提升建议: "&amp;IFERROR(VLOOKUP(TRIM(D558)&amp;"_"&amp;TRIM(INDEX($E$1:$K$1, MATCH(MIN(E558:K558), E558:K558, 0))), 技能库!$A:$F, 6, 0),"请针对该题型加强练习"))</f>
        <v/>
      </c>
      <c r="AB558" s="5" t="str">
        <f>IF(P558="","", "⚠️ 薄弱环节: "&amp;INDEX($N$1:$O$1, MATCH(MIN(N558:O558), N558:O558, 0))&amp;CHAR(10)&amp;"📉 考察能力: "&amp;IFERROR(VLOOKUP(TRIM(D558)&amp;"_"&amp;TRIM(INDEX($N$1:$O$1, MATCH(MIN(N558:O558), N558:O558, 0))), 技能库!$A:$F, 5, 0),"建议查阅考纲")&amp;CHAR(10)&amp;"💡 提升建议: "&amp;IFERROR(VLOOKUP(TRIM(D558)&amp;"_"&amp;TRIM(INDEX($N$1:$O$1, MATCH(MIN(N558:O558), N558:O558, 0))), 技能库!$A:$F, 6, 0),"请针对该题型加强练习"))</f>
        <v/>
      </c>
      <c r="AC558" s="5" t="str">
        <f>IF(W558="","", "⚠️ 薄弱环节: "&amp;INDEX($R$1:$V$1, MATCH(MIN(R558:V558), R558:V558, 0))&amp;CHAR(10)&amp;"📉 考察能力: "&amp;IFERROR(VLOOKUP(TRIM(D558)&amp;"_"&amp;TRIM(INDEX($R$1:$V$1, MATCH(MIN(R558:V558), R558:V558, 0))), 技能库!$A:$F, 5, 0),"建议查阅考纲")&amp;CHAR(10)&amp;"💡 提升建议: "&amp;IFERROR(VLOOKUP(TRIM(D558)&amp;"_"&amp;TRIM(INDEX($R$1:$V$1, MATCH(MIN(R558:V558), R558:V558, 0))), 技能库!$A:$F, 6, 0),"请针对该题型加强练习"))</f>
        <v/>
      </c>
    </row>
    <row r="559" spans="12:29" ht="16" hidden="1" x14ac:dyDescent="0.2">
      <c r="L559" t="str">
        <f t="shared" si="32"/>
        <v/>
      </c>
      <c r="M559" t="str">
        <f>IF(L559="","", IFERROR(VLOOKUP(L559, IF(D559="KET", 换算标准!$M:$N, IF(D559="PET", 换算标准!$S:$T, 换算标准!$AC:$AD)), 2, TRUE), 0))</f>
        <v/>
      </c>
      <c r="P559" t="str">
        <f t="shared" si="33"/>
        <v/>
      </c>
      <c r="Q559" t="str">
        <f>IF(P559="","", IFERROR(VLOOKUP(P559, IF(D559="KET", 换算标准!$O:$P, IF(D559="PET", 换算标准!$U:$V, 换算标准!$AG:$AH)), 2, TRUE), 0))</f>
        <v/>
      </c>
      <c r="W559" t="str">
        <f t="shared" si="34"/>
        <v/>
      </c>
      <c r="X559" t="str">
        <f>IF(W559="","", IFERROR(VLOOKUP(W559, IF(D559="KET", 换算标准!$Q:$R, IF(D559="PET", 换算标准!$W:$X, 换算标准!$AI:$AJ)), 2, TRUE), 0))</f>
        <v/>
      </c>
      <c r="Y559" t="str">
        <f t="shared" si="35"/>
        <v/>
      </c>
      <c r="Z559" t="str">
        <f>IF(Y559="","", IFERROR(VLOOKUP(Y559, 换算标准!$Z:$AA, 1, TRUE), ""))</f>
        <v/>
      </c>
      <c r="AA559" s="5" t="str">
        <f>IF(L559="","", "⚠️ 薄弱环节: "&amp;INDEX($E$1:$K$1, MATCH(MIN(E559:K559), E559:K559, 0))&amp;CHAR(10)&amp;"📉 考察能力: "&amp;IFERROR(VLOOKUP(TRIM(D559)&amp;"_"&amp;TRIM(INDEX($E$1:$K$1, MATCH(MIN(E559:K559), E559:K559, 0))), 技能库!$A:$F, 5, 0),"建议查阅考纲")&amp;CHAR(10)&amp;"💡 提升建议: "&amp;IFERROR(VLOOKUP(TRIM(D559)&amp;"_"&amp;TRIM(INDEX($E$1:$K$1, MATCH(MIN(E559:K559), E559:K559, 0))), 技能库!$A:$F, 6, 0),"请针对该题型加强练习"))</f>
        <v/>
      </c>
      <c r="AB559" s="5" t="str">
        <f>IF(P559="","", "⚠️ 薄弱环节: "&amp;INDEX($N$1:$O$1, MATCH(MIN(N559:O559), N559:O559, 0))&amp;CHAR(10)&amp;"📉 考察能力: "&amp;IFERROR(VLOOKUP(TRIM(D559)&amp;"_"&amp;TRIM(INDEX($N$1:$O$1, MATCH(MIN(N559:O559), N559:O559, 0))), 技能库!$A:$F, 5, 0),"建议查阅考纲")&amp;CHAR(10)&amp;"💡 提升建议: "&amp;IFERROR(VLOOKUP(TRIM(D559)&amp;"_"&amp;TRIM(INDEX($N$1:$O$1, MATCH(MIN(N559:O559), N559:O559, 0))), 技能库!$A:$F, 6, 0),"请针对该题型加强练习"))</f>
        <v/>
      </c>
      <c r="AC559" s="5" t="str">
        <f>IF(W559="","", "⚠️ 薄弱环节: "&amp;INDEX($R$1:$V$1, MATCH(MIN(R559:V559), R559:V559, 0))&amp;CHAR(10)&amp;"📉 考察能力: "&amp;IFERROR(VLOOKUP(TRIM(D559)&amp;"_"&amp;TRIM(INDEX($R$1:$V$1, MATCH(MIN(R559:V559), R559:V559, 0))), 技能库!$A:$F, 5, 0),"建议查阅考纲")&amp;CHAR(10)&amp;"💡 提升建议: "&amp;IFERROR(VLOOKUP(TRIM(D559)&amp;"_"&amp;TRIM(INDEX($R$1:$V$1, MATCH(MIN(R559:V559), R559:V559, 0))), 技能库!$A:$F, 6, 0),"请针对该题型加强练习"))</f>
        <v/>
      </c>
    </row>
    <row r="560" spans="12:29" ht="16" hidden="1" x14ac:dyDescent="0.2">
      <c r="L560" t="str">
        <f t="shared" si="32"/>
        <v/>
      </c>
      <c r="M560" t="str">
        <f>IF(L560="","", IFERROR(VLOOKUP(L560, IF(D560="KET", 换算标准!$M:$N, IF(D560="PET", 换算标准!$S:$T, 换算标准!$AC:$AD)), 2, TRUE), 0))</f>
        <v/>
      </c>
      <c r="P560" t="str">
        <f t="shared" si="33"/>
        <v/>
      </c>
      <c r="Q560" t="str">
        <f>IF(P560="","", IFERROR(VLOOKUP(P560, IF(D560="KET", 换算标准!$O:$P, IF(D560="PET", 换算标准!$U:$V, 换算标准!$AG:$AH)), 2, TRUE), 0))</f>
        <v/>
      </c>
      <c r="W560" t="str">
        <f t="shared" si="34"/>
        <v/>
      </c>
      <c r="X560" t="str">
        <f>IF(W560="","", IFERROR(VLOOKUP(W560, IF(D560="KET", 换算标准!$Q:$R, IF(D560="PET", 换算标准!$W:$X, 换算标准!$AI:$AJ)), 2, TRUE), 0))</f>
        <v/>
      </c>
      <c r="Y560" t="str">
        <f t="shared" si="35"/>
        <v/>
      </c>
      <c r="Z560" t="str">
        <f>IF(Y560="","", IFERROR(VLOOKUP(Y560, 换算标准!$Z:$AA, 1, TRUE), ""))</f>
        <v/>
      </c>
      <c r="AA560" s="5" t="str">
        <f>IF(L560="","", "⚠️ 薄弱环节: "&amp;INDEX($E$1:$K$1, MATCH(MIN(E560:K560), E560:K560, 0))&amp;CHAR(10)&amp;"📉 考察能力: "&amp;IFERROR(VLOOKUP(TRIM(D560)&amp;"_"&amp;TRIM(INDEX($E$1:$K$1, MATCH(MIN(E560:K560), E560:K560, 0))), 技能库!$A:$F, 5, 0),"建议查阅考纲")&amp;CHAR(10)&amp;"💡 提升建议: "&amp;IFERROR(VLOOKUP(TRIM(D560)&amp;"_"&amp;TRIM(INDEX($E$1:$K$1, MATCH(MIN(E560:K560), E560:K560, 0))), 技能库!$A:$F, 6, 0),"请针对该题型加强练习"))</f>
        <v/>
      </c>
      <c r="AB560" s="5" t="str">
        <f>IF(P560="","", "⚠️ 薄弱环节: "&amp;INDEX($N$1:$O$1, MATCH(MIN(N560:O560), N560:O560, 0))&amp;CHAR(10)&amp;"📉 考察能力: "&amp;IFERROR(VLOOKUP(TRIM(D560)&amp;"_"&amp;TRIM(INDEX($N$1:$O$1, MATCH(MIN(N560:O560), N560:O560, 0))), 技能库!$A:$F, 5, 0),"建议查阅考纲")&amp;CHAR(10)&amp;"💡 提升建议: "&amp;IFERROR(VLOOKUP(TRIM(D560)&amp;"_"&amp;TRIM(INDEX($N$1:$O$1, MATCH(MIN(N560:O560), N560:O560, 0))), 技能库!$A:$F, 6, 0),"请针对该题型加强练习"))</f>
        <v/>
      </c>
      <c r="AC560" s="5" t="str">
        <f>IF(W560="","", "⚠️ 薄弱环节: "&amp;INDEX($R$1:$V$1, MATCH(MIN(R560:V560), R560:V560, 0))&amp;CHAR(10)&amp;"📉 考察能力: "&amp;IFERROR(VLOOKUP(TRIM(D560)&amp;"_"&amp;TRIM(INDEX($R$1:$V$1, MATCH(MIN(R560:V560), R560:V560, 0))), 技能库!$A:$F, 5, 0),"建议查阅考纲")&amp;CHAR(10)&amp;"💡 提升建议: "&amp;IFERROR(VLOOKUP(TRIM(D560)&amp;"_"&amp;TRIM(INDEX($R$1:$V$1, MATCH(MIN(R560:V560), R560:V560, 0))), 技能库!$A:$F, 6, 0),"请针对该题型加强练习"))</f>
        <v/>
      </c>
    </row>
    <row r="561" spans="12:29" ht="16" hidden="1" x14ac:dyDescent="0.2">
      <c r="L561" t="str">
        <f t="shared" si="32"/>
        <v/>
      </c>
      <c r="M561" t="str">
        <f>IF(L561="","", IFERROR(VLOOKUP(L561, IF(D561="KET", 换算标准!$M:$N, IF(D561="PET", 换算标准!$S:$T, 换算标准!$AC:$AD)), 2, TRUE), 0))</f>
        <v/>
      </c>
      <c r="P561" t="str">
        <f t="shared" si="33"/>
        <v/>
      </c>
      <c r="Q561" t="str">
        <f>IF(P561="","", IFERROR(VLOOKUP(P561, IF(D561="KET", 换算标准!$O:$P, IF(D561="PET", 换算标准!$U:$V, 换算标准!$AG:$AH)), 2, TRUE), 0))</f>
        <v/>
      </c>
      <c r="W561" t="str">
        <f t="shared" si="34"/>
        <v/>
      </c>
      <c r="X561" t="str">
        <f>IF(W561="","", IFERROR(VLOOKUP(W561, IF(D561="KET", 换算标准!$Q:$R, IF(D561="PET", 换算标准!$W:$X, 换算标准!$AI:$AJ)), 2, TRUE), 0))</f>
        <v/>
      </c>
      <c r="Y561" t="str">
        <f t="shared" si="35"/>
        <v/>
      </c>
      <c r="Z561" t="str">
        <f>IF(Y561="","", IFERROR(VLOOKUP(Y561, 换算标准!$Z:$AA, 1, TRUE), ""))</f>
        <v/>
      </c>
      <c r="AA561" s="5" t="str">
        <f>IF(L561="","", "⚠️ 薄弱环节: "&amp;INDEX($E$1:$K$1, MATCH(MIN(E561:K561), E561:K561, 0))&amp;CHAR(10)&amp;"📉 考察能力: "&amp;IFERROR(VLOOKUP(TRIM(D561)&amp;"_"&amp;TRIM(INDEX($E$1:$K$1, MATCH(MIN(E561:K561), E561:K561, 0))), 技能库!$A:$F, 5, 0),"建议查阅考纲")&amp;CHAR(10)&amp;"💡 提升建议: "&amp;IFERROR(VLOOKUP(TRIM(D561)&amp;"_"&amp;TRIM(INDEX($E$1:$K$1, MATCH(MIN(E561:K561), E561:K561, 0))), 技能库!$A:$F, 6, 0),"请针对该题型加强练习"))</f>
        <v/>
      </c>
      <c r="AB561" s="5" t="str">
        <f>IF(P561="","", "⚠️ 薄弱环节: "&amp;INDEX($N$1:$O$1, MATCH(MIN(N561:O561), N561:O561, 0))&amp;CHAR(10)&amp;"📉 考察能力: "&amp;IFERROR(VLOOKUP(TRIM(D561)&amp;"_"&amp;TRIM(INDEX($N$1:$O$1, MATCH(MIN(N561:O561), N561:O561, 0))), 技能库!$A:$F, 5, 0),"建议查阅考纲")&amp;CHAR(10)&amp;"💡 提升建议: "&amp;IFERROR(VLOOKUP(TRIM(D561)&amp;"_"&amp;TRIM(INDEX($N$1:$O$1, MATCH(MIN(N561:O561), N561:O561, 0))), 技能库!$A:$F, 6, 0),"请针对该题型加强练习"))</f>
        <v/>
      </c>
      <c r="AC561" s="5" t="str">
        <f>IF(W561="","", "⚠️ 薄弱环节: "&amp;INDEX($R$1:$V$1, MATCH(MIN(R561:V561), R561:V561, 0))&amp;CHAR(10)&amp;"📉 考察能力: "&amp;IFERROR(VLOOKUP(TRIM(D561)&amp;"_"&amp;TRIM(INDEX($R$1:$V$1, MATCH(MIN(R561:V561), R561:V561, 0))), 技能库!$A:$F, 5, 0),"建议查阅考纲")&amp;CHAR(10)&amp;"💡 提升建议: "&amp;IFERROR(VLOOKUP(TRIM(D561)&amp;"_"&amp;TRIM(INDEX($R$1:$V$1, MATCH(MIN(R561:V561), R561:V561, 0))), 技能库!$A:$F, 6, 0),"请针对该题型加强练习"))</f>
        <v/>
      </c>
    </row>
    <row r="562" spans="12:29" ht="16" hidden="1" x14ac:dyDescent="0.2">
      <c r="L562" t="str">
        <f t="shared" si="32"/>
        <v/>
      </c>
      <c r="M562" t="str">
        <f>IF(L562="","", IFERROR(VLOOKUP(L562, IF(D562="KET", 换算标准!$M:$N, IF(D562="PET", 换算标准!$S:$T, 换算标准!$AC:$AD)), 2, TRUE), 0))</f>
        <v/>
      </c>
      <c r="P562" t="str">
        <f t="shared" si="33"/>
        <v/>
      </c>
      <c r="Q562" t="str">
        <f>IF(P562="","", IFERROR(VLOOKUP(P562, IF(D562="KET", 换算标准!$O:$P, IF(D562="PET", 换算标准!$U:$V, 换算标准!$AG:$AH)), 2, TRUE), 0))</f>
        <v/>
      </c>
      <c r="W562" t="str">
        <f t="shared" si="34"/>
        <v/>
      </c>
      <c r="X562" t="str">
        <f>IF(W562="","", IFERROR(VLOOKUP(W562, IF(D562="KET", 换算标准!$Q:$R, IF(D562="PET", 换算标准!$W:$X, 换算标准!$AI:$AJ)), 2, TRUE), 0))</f>
        <v/>
      </c>
      <c r="Y562" t="str">
        <f t="shared" si="35"/>
        <v/>
      </c>
      <c r="Z562" t="str">
        <f>IF(Y562="","", IFERROR(VLOOKUP(Y562, 换算标准!$Z:$AA, 1, TRUE), ""))</f>
        <v/>
      </c>
      <c r="AA562" s="5" t="str">
        <f>IF(L562="","", "⚠️ 薄弱环节: "&amp;INDEX($E$1:$K$1, MATCH(MIN(E562:K562), E562:K562, 0))&amp;CHAR(10)&amp;"📉 考察能力: "&amp;IFERROR(VLOOKUP(TRIM(D562)&amp;"_"&amp;TRIM(INDEX($E$1:$K$1, MATCH(MIN(E562:K562), E562:K562, 0))), 技能库!$A:$F, 5, 0),"建议查阅考纲")&amp;CHAR(10)&amp;"💡 提升建议: "&amp;IFERROR(VLOOKUP(TRIM(D562)&amp;"_"&amp;TRIM(INDEX($E$1:$K$1, MATCH(MIN(E562:K562), E562:K562, 0))), 技能库!$A:$F, 6, 0),"请针对该题型加强练习"))</f>
        <v/>
      </c>
      <c r="AB562" s="5" t="str">
        <f>IF(P562="","", "⚠️ 薄弱环节: "&amp;INDEX($N$1:$O$1, MATCH(MIN(N562:O562), N562:O562, 0))&amp;CHAR(10)&amp;"📉 考察能力: "&amp;IFERROR(VLOOKUP(TRIM(D562)&amp;"_"&amp;TRIM(INDEX($N$1:$O$1, MATCH(MIN(N562:O562), N562:O562, 0))), 技能库!$A:$F, 5, 0),"建议查阅考纲")&amp;CHAR(10)&amp;"💡 提升建议: "&amp;IFERROR(VLOOKUP(TRIM(D562)&amp;"_"&amp;TRIM(INDEX($N$1:$O$1, MATCH(MIN(N562:O562), N562:O562, 0))), 技能库!$A:$F, 6, 0),"请针对该题型加强练习"))</f>
        <v/>
      </c>
      <c r="AC562" s="5" t="str">
        <f>IF(W562="","", "⚠️ 薄弱环节: "&amp;INDEX($R$1:$V$1, MATCH(MIN(R562:V562), R562:V562, 0))&amp;CHAR(10)&amp;"📉 考察能力: "&amp;IFERROR(VLOOKUP(TRIM(D562)&amp;"_"&amp;TRIM(INDEX($R$1:$V$1, MATCH(MIN(R562:V562), R562:V562, 0))), 技能库!$A:$F, 5, 0),"建议查阅考纲")&amp;CHAR(10)&amp;"💡 提升建议: "&amp;IFERROR(VLOOKUP(TRIM(D562)&amp;"_"&amp;TRIM(INDEX($R$1:$V$1, MATCH(MIN(R562:V562), R562:V562, 0))), 技能库!$A:$F, 6, 0),"请针对该题型加强练习"))</f>
        <v/>
      </c>
    </row>
    <row r="563" spans="12:29" ht="16" hidden="1" x14ac:dyDescent="0.2">
      <c r="L563" t="str">
        <f t="shared" si="32"/>
        <v/>
      </c>
      <c r="M563" t="str">
        <f>IF(L563="","", IFERROR(VLOOKUP(L563, IF(D563="KET", 换算标准!$M:$N, IF(D563="PET", 换算标准!$S:$T, 换算标准!$AC:$AD)), 2, TRUE), 0))</f>
        <v/>
      </c>
      <c r="P563" t="str">
        <f t="shared" si="33"/>
        <v/>
      </c>
      <c r="Q563" t="str">
        <f>IF(P563="","", IFERROR(VLOOKUP(P563, IF(D563="KET", 换算标准!$O:$P, IF(D563="PET", 换算标准!$U:$V, 换算标准!$AG:$AH)), 2, TRUE), 0))</f>
        <v/>
      </c>
      <c r="W563" t="str">
        <f t="shared" si="34"/>
        <v/>
      </c>
      <c r="X563" t="str">
        <f>IF(W563="","", IFERROR(VLOOKUP(W563, IF(D563="KET", 换算标准!$Q:$R, IF(D563="PET", 换算标准!$W:$X, 换算标准!$AI:$AJ)), 2, TRUE), 0))</f>
        <v/>
      </c>
      <c r="Y563" t="str">
        <f t="shared" si="35"/>
        <v/>
      </c>
      <c r="Z563" t="str">
        <f>IF(Y563="","", IFERROR(VLOOKUP(Y563, 换算标准!$Z:$AA, 1, TRUE), ""))</f>
        <v/>
      </c>
      <c r="AA563" s="5" t="str">
        <f>IF(L563="","", "⚠️ 薄弱环节: "&amp;INDEX($E$1:$K$1, MATCH(MIN(E563:K563), E563:K563, 0))&amp;CHAR(10)&amp;"📉 考察能力: "&amp;IFERROR(VLOOKUP(TRIM(D563)&amp;"_"&amp;TRIM(INDEX($E$1:$K$1, MATCH(MIN(E563:K563), E563:K563, 0))), 技能库!$A:$F, 5, 0),"建议查阅考纲")&amp;CHAR(10)&amp;"💡 提升建议: "&amp;IFERROR(VLOOKUP(TRIM(D563)&amp;"_"&amp;TRIM(INDEX($E$1:$K$1, MATCH(MIN(E563:K563), E563:K563, 0))), 技能库!$A:$F, 6, 0),"请针对该题型加强练习"))</f>
        <v/>
      </c>
      <c r="AB563" s="5" t="str">
        <f>IF(P563="","", "⚠️ 薄弱环节: "&amp;INDEX($N$1:$O$1, MATCH(MIN(N563:O563), N563:O563, 0))&amp;CHAR(10)&amp;"📉 考察能力: "&amp;IFERROR(VLOOKUP(TRIM(D563)&amp;"_"&amp;TRIM(INDEX($N$1:$O$1, MATCH(MIN(N563:O563), N563:O563, 0))), 技能库!$A:$F, 5, 0),"建议查阅考纲")&amp;CHAR(10)&amp;"💡 提升建议: "&amp;IFERROR(VLOOKUP(TRIM(D563)&amp;"_"&amp;TRIM(INDEX($N$1:$O$1, MATCH(MIN(N563:O563), N563:O563, 0))), 技能库!$A:$F, 6, 0),"请针对该题型加强练习"))</f>
        <v/>
      </c>
      <c r="AC563" s="5" t="str">
        <f>IF(W563="","", "⚠️ 薄弱环节: "&amp;INDEX($R$1:$V$1, MATCH(MIN(R563:V563), R563:V563, 0))&amp;CHAR(10)&amp;"📉 考察能力: "&amp;IFERROR(VLOOKUP(TRIM(D563)&amp;"_"&amp;TRIM(INDEX($R$1:$V$1, MATCH(MIN(R563:V563), R563:V563, 0))), 技能库!$A:$F, 5, 0),"建议查阅考纲")&amp;CHAR(10)&amp;"💡 提升建议: "&amp;IFERROR(VLOOKUP(TRIM(D563)&amp;"_"&amp;TRIM(INDEX($R$1:$V$1, MATCH(MIN(R563:V563), R563:V563, 0))), 技能库!$A:$F, 6, 0),"请针对该题型加强练习"))</f>
        <v/>
      </c>
    </row>
    <row r="564" spans="12:29" ht="16" hidden="1" x14ac:dyDescent="0.2">
      <c r="L564" t="str">
        <f t="shared" si="32"/>
        <v/>
      </c>
      <c r="M564" t="str">
        <f>IF(L564="","", IFERROR(VLOOKUP(L564, IF(D564="KET", 换算标准!$M:$N, IF(D564="PET", 换算标准!$S:$T, 换算标准!$AC:$AD)), 2, TRUE), 0))</f>
        <v/>
      </c>
      <c r="P564" t="str">
        <f t="shared" si="33"/>
        <v/>
      </c>
      <c r="Q564" t="str">
        <f>IF(P564="","", IFERROR(VLOOKUP(P564, IF(D564="KET", 换算标准!$O:$P, IF(D564="PET", 换算标准!$U:$V, 换算标准!$AG:$AH)), 2, TRUE), 0))</f>
        <v/>
      </c>
      <c r="W564" t="str">
        <f t="shared" si="34"/>
        <v/>
      </c>
      <c r="X564" t="str">
        <f>IF(W564="","", IFERROR(VLOOKUP(W564, IF(D564="KET", 换算标准!$Q:$R, IF(D564="PET", 换算标准!$W:$X, 换算标准!$AI:$AJ)), 2, TRUE), 0))</f>
        <v/>
      </c>
      <c r="Y564" t="str">
        <f t="shared" si="35"/>
        <v/>
      </c>
      <c r="Z564" t="str">
        <f>IF(Y564="","", IFERROR(VLOOKUP(Y564, 换算标准!$Z:$AA, 1, TRUE), ""))</f>
        <v/>
      </c>
      <c r="AA564" s="5" t="str">
        <f>IF(L564="","", "⚠️ 薄弱环节: "&amp;INDEX($E$1:$K$1, MATCH(MIN(E564:K564), E564:K564, 0))&amp;CHAR(10)&amp;"📉 考察能力: "&amp;IFERROR(VLOOKUP(TRIM(D564)&amp;"_"&amp;TRIM(INDEX($E$1:$K$1, MATCH(MIN(E564:K564), E564:K564, 0))), 技能库!$A:$F, 5, 0),"建议查阅考纲")&amp;CHAR(10)&amp;"💡 提升建议: "&amp;IFERROR(VLOOKUP(TRIM(D564)&amp;"_"&amp;TRIM(INDEX($E$1:$K$1, MATCH(MIN(E564:K564), E564:K564, 0))), 技能库!$A:$F, 6, 0),"请针对该题型加强练习"))</f>
        <v/>
      </c>
      <c r="AB564" s="5" t="str">
        <f>IF(P564="","", "⚠️ 薄弱环节: "&amp;INDEX($N$1:$O$1, MATCH(MIN(N564:O564), N564:O564, 0))&amp;CHAR(10)&amp;"📉 考察能力: "&amp;IFERROR(VLOOKUP(TRIM(D564)&amp;"_"&amp;TRIM(INDEX($N$1:$O$1, MATCH(MIN(N564:O564), N564:O564, 0))), 技能库!$A:$F, 5, 0),"建议查阅考纲")&amp;CHAR(10)&amp;"💡 提升建议: "&amp;IFERROR(VLOOKUP(TRIM(D564)&amp;"_"&amp;TRIM(INDEX($N$1:$O$1, MATCH(MIN(N564:O564), N564:O564, 0))), 技能库!$A:$F, 6, 0),"请针对该题型加强练习"))</f>
        <v/>
      </c>
      <c r="AC564" s="5" t="str">
        <f>IF(W564="","", "⚠️ 薄弱环节: "&amp;INDEX($R$1:$V$1, MATCH(MIN(R564:V564), R564:V564, 0))&amp;CHAR(10)&amp;"📉 考察能力: "&amp;IFERROR(VLOOKUP(TRIM(D564)&amp;"_"&amp;TRIM(INDEX($R$1:$V$1, MATCH(MIN(R564:V564), R564:V564, 0))), 技能库!$A:$F, 5, 0),"建议查阅考纲")&amp;CHAR(10)&amp;"💡 提升建议: "&amp;IFERROR(VLOOKUP(TRIM(D564)&amp;"_"&amp;TRIM(INDEX($R$1:$V$1, MATCH(MIN(R564:V564), R564:V564, 0))), 技能库!$A:$F, 6, 0),"请针对该题型加强练习"))</f>
        <v/>
      </c>
    </row>
    <row r="565" spans="12:29" ht="16" hidden="1" x14ac:dyDescent="0.2">
      <c r="L565" t="str">
        <f t="shared" si="32"/>
        <v/>
      </c>
      <c r="M565" t="str">
        <f>IF(L565="","", IFERROR(VLOOKUP(L565, IF(D565="KET", 换算标准!$M:$N, IF(D565="PET", 换算标准!$S:$T, 换算标准!$AC:$AD)), 2, TRUE), 0))</f>
        <v/>
      </c>
      <c r="P565" t="str">
        <f t="shared" si="33"/>
        <v/>
      </c>
      <c r="Q565" t="str">
        <f>IF(P565="","", IFERROR(VLOOKUP(P565, IF(D565="KET", 换算标准!$O:$P, IF(D565="PET", 换算标准!$U:$V, 换算标准!$AG:$AH)), 2, TRUE), 0))</f>
        <v/>
      </c>
      <c r="W565" t="str">
        <f t="shared" si="34"/>
        <v/>
      </c>
      <c r="X565" t="str">
        <f>IF(W565="","", IFERROR(VLOOKUP(W565, IF(D565="KET", 换算标准!$Q:$R, IF(D565="PET", 换算标准!$W:$X, 换算标准!$AI:$AJ)), 2, TRUE), 0))</f>
        <v/>
      </c>
      <c r="Y565" t="str">
        <f t="shared" si="35"/>
        <v/>
      </c>
      <c r="Z565" t="str">
        <f>IF(Y565="","", IFERROR(VLOOKUP(Y565, 换算标准!$Z:$AA, 1, TRUE), ""))</f>
        <v/>
      </c>
      <c r="AA565" s="5" t="str">
        <f>IF(L565="","", "⚠️ 薄弱环节: "&amp;INDEX($E$1:$K$1, MATCH(MIN(E565:K565), E565:K565, 0))&amp;CHAR(10)&amp;"📉 考察能力: "&amp;IFERROR(VLOOKUP(TRIM(D565)&amp;"_"&amp;TRIM(INDEX($E$1:$K$1, MATCH(MIN(E565:K565), E565:K565, 0))), 技能库!$A:$F, 5, 0),"建议查阅考纲")&amp;CHAR(10)&amp;"💡 提升建议: "&amp;IFERROR(VLOOKUP(TRIM(D565)&amp;"_"&amp;TRIM(INDEX($E$1:$K$1, MATCH(MIN(E565:K565), E565:K565, 0))), 技能库!$A:$F, 6, 0),"请针对该题型加强练习"))</f>
        <v/>
      </c>
      <c r="AB565" s="5" t="str">
        <f>IF(P565="","", "⚠️ 薄弱环节: "&amp;INDEX($N$1:$O$1, MATCH(MIN(N565:O565), N565:O565, 0))&amp;CHAR(10)&amp;"📉 考察能力: "&amp;IFERROR(VLOOKUP(TRIM(D565)&amp;"_"&amp;TRIM(INDEX($N$1:$O$1, MATCH(MIN(N565:O565), N565:O565, 0))), 技能库!$A:$F, 5, 0),"建议查阅考纲")&amp;CHAR(10)&amp;"💡 提升建议: "&amp;IFERROR(VLOOKUP(TRIM(D565)&amp;"_"&amp;TRIM(INDEX($N$1:$O$1, MATCH(MIN(N565:O565), N565:O565, 0))), 技能库!$A:$F, 6, 0),"请针对该题型加强练习"))</f>
        <v/>
      </c>
      <c r="AC565" s="5" t="str">
        <f>IF(W565="","", "⚠️ 薄弱环节: "&amp;INDEX($R$1:$V$1, MATCH(MIN(R565:V565), R565:V565, 0))&amp;CHAR(10)&amp;"📉 考察能力: "&amp;IFERROR(VLOOKUP(TRIM(D565)&amp;"_"&amp;TRIM(INDEX($R$1:$V$1, MATCH(MIN(R565:V565), R565:V565, 0))), 技能库!$A:$F, 5, 0),"建议查阅考纲")&amp;CHAR(10)&amp;"💡 提升建议: "&amp;IFERROR(VLOOKUP(TRIM(D565)&amp;"_"&amp;TRIM(INDEX($R$1:$V$1, MATCH(MIN(R565:V565), R565:V565, 0))), 技能库!$A:$F, 6, 0),"请针对该题型加强练习"))</f>
        <v/>
      </c>
    </row>
    <row r="566" spans="12:29" ht="16" hidden="1" x14ac:dyDescent="0.2">
      <c r="L566" t="str">
        <f t="shared" si="32"/>
        <v/>
      </c>
      <c r="M566" t="str">
        <f>IF(L566="","", IFERROR(VLOOKUP(L566, IF(D566="KET", 换算标准!$M:$N, IF(D566="PET", 换算标准!$S:$T, 换算标准!$AC:$AD)), 2, TRUE), 0))</f>
        <v/>
      </c>
      <c r="P566" t="str">
        <f t="shared" si="33"/>
        <v/>
      </c>
      <c r="Q566" t="str">
        <f>IF(P566="","", IFERROR(VLOOKUP(P566, IF(D566="KET", 换算标准!$O:$P, IF(D566="PET", 换算标准!$U:$V, 换算标准!$AG:$AH)), 2, TRUE), 0))</f>
        <v/>
      </c>
      <c r="W566" t="str">
        <f t="shared" si="34"/>
        <v/>
      </c>
      <c r="X566" t="str">
        <f>IF(W566="","", IFERROR(VLOOKUP(W566, IF(D566="KET", 换算标准!$Q:$R, IF(D566="PET", 换算标准!$W:$X, 换算标准!$AI:$AJ)), 2, TRUE), 0))</f>
        <v/>
      </c>
      <c r="Y566" t="str">
        <f t="shared" si="35"/>
        <v/>
      </c>
      <c r="Z566" t="str">
        <f>IF(Y566="","", IFERROR(VLOOKUP(Y566, 换算标准!$Z:$AA, 1, TRUE), ""))</f>
        <v/>
      </c>
      <c r="AA566" s="5" t="str">
        <f>IF(L566="","", "⚠️ 薄弱环节: "&amp;INDEX($E$1:$K$1, MATCH(MIN(E566:K566), E566:K566, 0))&amp;CHAR(10)&amp;"📉 考察能力: "&amp;IFERROR(VLOOKUP(TRIM(D566)&amp;"_"&amp;TRIM(INDEX($E$1:$K$1, MATCH(MIN(E566:K566), E566:K566, 0))), 技能库!$A:$F, 5, 0),"建议查阅考纲")&amp;CHAR(10)&amp;"💡 提升建议: "&amp;IFERROR(VLOOKUP(TRIM(D566)&amp;"_"&amp;TRIM(INDEX($E$1:$K$1, MATCH(MIN(E566:K566), E566:K566, 0))), 技能库!$A:$F, 6, 0),"请针对该题型加强练习"))</f>
        <v/>
      </c>
      <c r="AB566" s="5" t="str">
        <f>IF(P566="","", "⚠️ 薄弱环节: "&amp;INDEX($N$1:$O$1, MATCH(MIN(N566:O566), N566:O566, 0))&amp;CHAR(10)&amp;"📉 考察能力: "&amp;IFERROR(VLOOKUP(TRIM(D566)&amp;"_"&amp;TRIM(INDEX($N$1:$O$1, MATCH(MIN(N566:O566), N566:O566, 0))), 技能库!$A:$F, 5, 0),"建议查阅考纲")&amp;CHAR(10)&amp;"💡 提升建议: "&amp;IFERROR(VLOOKUP(TRIM(D566)&amp;"_"&amp;TRIM(INDEX($N$1:$O$1, MATCH(MIN(N566:O566), N566:O566, 0))), 技能库!$A:$F, 6, 0),"请针对该题型加强练习"))</f>
        <v/>
      </c>
      <c r="AC566" s="5" t="str">
        <f>IF(W566="","", "⚠️ 薄弱环节: "&amp;INDEX($R$1:$V$1, MATCH(MIN(R566:V566), R566:V566, 0))&amp;CHAR(10)&amp;"📉 考察能力: "&amp;IFERROR(VLOOKUP(TRIM(D566)&amp;"_"&amp;TRIM(INDEX($R$1:$V$1, MATCH(MIN(R566:V566), R566:V566, 0))), 技能库!$A:$F, 5, 0),"建议查阅考纲")&amp;CHAR(10)&amp;"💡 提升建议: "&amp;IFERROR(VLOOKUP(TRIM(D566)&amp;"_"&amp;TRIM(INDEX($R$1:$V$1, MATCH(MIN(R566:V566), R566:V566, 0))), 技能库!$A:$F, 6, 0),"请针对该题型加强练习"))</f>
        <v/>
      </c>
    </row>
    <row r="567" spans="12:29" ht="16" hidden="1" x14ac:dyDescent="0.2">
      <c r="L567" t="str">
        <f t="shared" si="32"/>
        <v/>
      </c>
      <c r="M567" t="str">
        <f>IF(L567="","", IFERROR(VLOOKUP(L567, IF(D567="KET", 换算标准!$M:$N, IF(D567="PET", 换算标准!$S:$T, 换算标准!$AC:$AD)), 2, TRUE), 0))</f>
        <v/>
      </c>
      <c r="P567" t="str">
        <f t="shared" si="33"/>
        <v/>
      </c>
      <c r="Q567" t="str">
        <f>IF(P567="","", IFERROR(VLOOKUP(P567, IF(D567="KET", 换算标准!$O:$P, IF(D567="PET", 换算标准!$U:$V, 换算标准!$AG:$AH)), 2, TRUE), 0))</f>
        <v/>
      </c>
      <c r="W567" t="str">
        <f t="shared" si="34"/>
        <v/>
      </c>
      <c r="X567" t="str">
        <f>IF(W567="","", IFERROR(VLOOKUP(W567, IF(D567="KET", 换算标准!$Q:$R, IF(D567="PET", 换算标准!$W:$X, 换算标准!$AI:$AJ)), 2, TRUE), 0))</f>
        <v/>
      </c>
      <c r="Y567" t="str">
        <f t="shared" si="35"/>
        <v/>
      </c>
      <c r="Z567" t="str">
        <f>IF(Y567="","", IFERROR(VLOOKUP(Y567, 换算标准!$Z:$AA, 1, TRUE), ""))</f>
        <v/>
      </c>
      <c r="AA567" s="5" t="str">
        <f>IF(L567="","", "⚠️ 薄弱环节: "&amp;INDEX($E$1:$K$1, MATCH(MIN(E567:K567), E567:K567, 0))&amp;CHAR(10)&amp;"📉 考察能力: "&amp;IFERROR(VLOOKUP(TRIM(D567)&amp;"_"&amp;TRIM(INDEX($E$1:$K$1, MATCH(MIN(E567:K567), E567:K567, 0))), 技能库!$A:$F, 5, 0),"建议查阅考纲")&amp;CHAR(10)&amp;"💡 提升建议: "&amp;IFERROR(VLOOKUP(TRIM(D567)&amp;"_"&amp;TRIM(INDEX($E$1:$K$1, MATCH(MIN(E567:K567), E567:K567, 0))), 技能库!$A:$F, 6, 0),"请针对该题型加强练习"))</f>
        <v/>
      </c>
      <c r="AB567" s="5" t="str">
        <f>IF(P567="","", "⚠️ 薄弱环节: "&amp;INDEX($N$1:$O$1, MATCH(MIN(N567:O567), N567:O567, 0))&amp;CHAR(10)&amp;"📉 考察能力: "&amp;IFERROR(VLOOKUP(TRIM(D567)&amp;"_"&amp;TRIM(INDEX($N$1:$O$1, MATCH(MIN(N567:O567), N567:O567, 0))), 技能库!$A:$F, 5, 0),"建议查阅考纲")&amp;CHAR(10)&amp;"💡 提升建议: "&amp;IFERROR(VLOOKUP(TRIM(D567)&amp;"_"&amp;TRIM(INDEX($N$1:$O$1, MATCH(MIN(N567:O567), N567:O567, 0))), 技能库!$A:$F, 6, 0),"请针对该题型加强练习"))</f>
        <v/>
      </c>
      <c r="AC567" s="5" t="str">
        <f>IF(W567="","", "⚠️ 薄弱环节: "&amp;INDEX($R$1:$V$1, MATCH(MIN(R567:V567), R567:V567, 0))&amp;CHAR(10)&amp;"📉 考察能力: "&amp;IFERROR(VLOOKUP(TRIM(D567)&amp;"_"&amp;TRIM(INDEX($R$1:$V$1, MATCH(MIN(R567:V567), R567:V567, 0))), 技能库!$A:$F, 5, 0),"建议查阅考纲")&amp;CHAR(10)&amp;"💡 提升建议: "&amp;IFERROR(VLOOKUP(TRIM(D567)&amp;"_"&amp;TRIM(INDEX($R$1:$V$1, MATCH(MIN(R567:V567), R567:V567, 0))), 技能库!$A:$F, 6, 0),"请针对该题型加强练习"))</f>
        <v/>
      </c>
    </row>
    <row r="568" spans="12:29" ht="16" hidden="1" x14ac:dyDescent="0.2">
      <c r="L568" t="str">
        <f t="shared" si="32"/>
        <v/>
      </c>
      <c r="M568" t="str">
        <f>IF(L568="","", IFERROR(VLOOKUP(L568, IF(D568="KET", 换算标准!$M:$N, IF(D568="PET", 换算标准!$S:$T, 换算标准!$AC:$AD)), 2, TRUE), 0))</f>
        <v/>
      </c>
      <c r="P568" t="str">
        <f t="shared" si="33"/>
        <v/>
      </c>
      <c r="Q568" t="str">
        <f>IF(P568="","", IFERROR(VLOOKUP(P568, IF(D568="KET", 换算标准!$O:$P, IF(D568="PET", 换算标准!$U:$V, 换算标准!$AG:$AH)), 2, TRUE), 0))</f>
        <v/>
      </c>
      <c r="W568" t="str">
        <f t="shared" si="34"/>
        <v/>
      </c>
      <c r="X568" t="str">
        <f>IF(W568="","", IFERROR(VLOOKUP(W568, IF(D568="KET", 换算标准!$Q:$R, IF(D568="PET", 换算标准!$W:$X, 换算标准!$AI:$AJ)), 2, TRUE), 0))</f>
        <v/>
      </c>
      <c r="Y568" t="str">
        <f t="shared" si="35"/>
        <v/>
      </c>
      <c r="Z568" t="str">
        <f>IF(Y568="","", IFERROR(VLOOKUP(Y568, 换算标准!$Z:$AA, 1, TRUE), ""))</f>
        <v/>
      </c>
      <c r="AA568" s="5" t="str">
        <f>IF(L568="","", "⚠️ 薄弱环节: "&amp;INDEX($E$1:$K$1, MATCH(MIN(E568:K568), E568:K568, 0))&amp;CHAR(10)&amp;"📉 考察能力: "&amp;IFERROR(VLOOKUP(TRIM(D568)&amp;"_"&amp;TRIM(INDEX($E$1:$K$1, MATCH(MIN(E568:K568), E568:K568, 0))), 技能库!$A:$F, 5, 0),"建议查阅考纲")&amp;CHAR(10)&amp;"💡 提升建议: "&amp;IFERROR(VLOOKUP(TRIM(D568)&amp;"_"&amp;TRIM(INDEX($E$1:$K$1, MATCH(MIN(E568:K568), E568:K568, 0))), 技能库!$A:$F, 6, 0),"请针对该题型加强练习"))</f>
        <v/>
      </c>
      <c r="AB568" s="5" t="str">
        <f>IF(P568="","", "⚠️ 薄弱环节: "&amp;INDEX($N$1:$O$1, MATCH(MIN(N568:O568), N568:O568, 0))&amp;CHAR(10)&amp;"📉 考察能力: "&amp;IFERROR(VLOOKUP(TRIM(D568)&amp;"_"&amp;TRIM(INDEX($N$1:$O$1, MATCH(MIN(N568:O568), N568:O568, 0))), 技能库!$A:$F, 5, 0),"建议查阅考纲")&amp;CHAR(10)&amp;"💡 提升建议: "&amp;IFERROR(VLOOKUP(TRIM(D568)&amp;"_"&amp;TRIM(INDEX($N$1:$O$1, MATCH(MIN(N568:O568), N568:O568, 0))), 技能库!$A:$F, 6, 0),"请针对该题型加强练习"))</f>
        <v/>
      </c>
      <c r="AC568" s="5" t="str">
        <f>IF(W568="","", "⚠️ 薄弱环节: "&amp;INDEX($R$1:$V$1, MATCH(MIN(R568:V568), R568:V568, 0))&amp;CHAR(10)&amp;"📉 考察能力: "&amp;IFERROR(VLOOKUP(TRIM(D568)&amp;"_"&amp;TRIM(INDEX($R$1:$V$1, MATCH(MIN(R568:V568), R568:V568, 0))), 技能库!$A:$F, 5, 0),"建议查阅考纲")&amp;CHAR(10)&amp;"💡 提升建议: "&amp;IFERROR(VLOOKUP(TRIM(D568)&amp;"_"&amp;TRIM(INDEX($R$1:$V$1, MATCH(MIN(R568:V568), R568:V568, 0))), 技能库!$A:$F, 6, 0),"请针对该题型加强练习"))</f>
        <v/>
      </c>
    </row>
    <row r="569" spans="12:29" ht="16" hidden="1" x14ac:dyDescent="0.2">
      <c r="L569" t="str">
        <f t="shared" si="32"/>
        <v/>
      </c>
      <c r="M569" t="str">
        <f>IF(L569="","", IFERROR(VLOOKUP(L569, IF(D569="KET", 换算标准!$M:$N, IF(D569="PET", 换算标准!$S:$T, 换算标准!$AC:$AD)), 2, TRUE), 0))</f>
        <v/>
      </c>
      <c r="P569" t="str">
        <f t="shared" si="33"/>
        <v/>
      </c>
      <c r="Q569" t="str">
        <f>IF(P569="","", IFERROR(VLOOKUP(P569, IF(D569="KET", 换算标准!$O:$P, IF(D569="PET", 换算标准!$U:$V, 换算标准!$AG:$AH)), 2, TRUE), 0))</f>
        <v/>
      </c>
      <c r="W569" t="str">
        <f t="shared" si="34"/>
        <v/>
      </c>
      <c r="X569" t="str">
        <f>IF(W569="","", IFERROR(VLOOKUP(W569, IF(D569="KET", 换算标准!$Q:$R, IF(D569="PET", 换算标准!$W:$X, 换算标准!$AI:$AJ)), 2, TRUE), 0))</f>
        <v/>
      </c>
      <c r="Y569" t="str">
        <f t="shared" si="35"/>
        <v/>
      </c>
      <c r="Z569" t="str">
        <f>IF(Y569="","", IFERROR(VLOOKUP(Y569, 换算标准!$Z:$AA, 1, TRUE), ""))</f>
        <v/>
      </c>
      <c r="AA569" s="5" t="str">
        <f>IF(L569="","", "⚠️ 薄弱环节: "&amp;INDEX($E$1:$K$1, MATCH(MIN(E569:K569), E569:K569, 0))&amp;CHAR(10)&amp;"📉 考察能力: "&amp;IFERROR(VLOOKUP(TRIM(D569)&amp;"_"&amp;TRIM(INDEX($E$1:$K$1, MATCH(MIN(E569:K569), E569:K569, 0))), 技能库!$A:$F, 5, 0),"建议查阅考纲")&amp;CHAR(10)&amp;"💡 提升建议: "&amp;IFERROR(VLOOKUP(TRIM(D569)&amp;"_"&amp;TRIM(INDEX($E$1:$K$1, MATCH(MIN(E569:K569), E569:K569, 0))), 技能库!$A:$F, 6, 0),"请针对该题型加强练习"))</f>
        <v/>
      </c>
      <c r="AB569" s="5" t="str">
        <f>IF(P569="","", "⚠️ 薄弱环节: "&amp;INDEX($N$1:$O$1, MATCH(MIN(N569:O569), N569:O569, 0))&amp;CHAR(10)&amp;"📉 考察能力: "&amp;IFERROR(VLOOKUP(TRIM(D569)&amp;"_"&amp;TRIM(INDEX($N$1:$O$1, MATCH(MIN(N569:O569), N569:O569, 0))), 技能库!$A:$F, 5, 0),"建议查阅考纲")&amp;CHAR(10)&amp;"💡 提升建议: "&amp;IFERROR(VLOOKUP(TRIM(D569)&amp;"_"&amp;TRIM(INDEX($N$1:$O$1, MATCH(MIN(N569:O569), N569:O569, 0))), 技能库!$A:$F, 6, 0),"请针对该题型加强练习"))</f>
        <v/>
      </c>
      <c r="AC569" s="5" t="str">
        <f>IF(W569="","", "⚠️ 薄弱环节: "&amp;INDEX($R$1:$V$1, MATCH(MIN(R569:V569), R569:V569, 0))&amp;CHAR(10)&amp;"📉 考察能力: "&amp;IFERROR(VLOOKUP(TRIM(D569)&amp;"_"&amp;TRIM(INDEX($R$1:$V$1, MATCH(MIN(R569:V569), R569:V569, 0))), 技能库!$A:$F, 5, 0),"建议查阅考纲")&amp;CHAR(10)&amp;"💡 提升建议: "&amp;IFERROR(VLOOKUP(TRIM(D569)&amp;"_"&amp;TRIM(INDEX($R$1:$V$1, MATCH(MIN(R569:V569), R569:V569, 0))), 技能库!$A:$F, 6, 0),"请针对该题型加强练习"))</f>
        <v/>
      </c>
    </row>
    <row r="570" spans="12:29" ht="16" hidden="1" x14ac:dyDescent="0.2">
      <c r="L570" t="str">
        <f t="shared" si="32"/>
        <v/>
      </c>
      <c r="M570" t="str">
        <f>IF(L570="","", IFERROR(VLOOKUP(L570, IF(D570="KET", 换算标准!$M:$N, IF(D570="PET", 换算标准!$S:$T, 换算标准!$AC:$AD)), 2, TRUE), 0))</f>
        <v/>
      </c>
      <c r="P570" t="str">
        <f t="shared" si="33"/>
        <v/>
      </c>
      <c r="Q570" t="str">
        <f>IF(P570="","", IFERROR(VLOOKUP(P570, IF(D570="KET", 换算标准!$O:$P, IF(D570="PET", 换算标准!$U:$V, 换算标准!$AG:$AH)), 2, TRUE), 0))</f>
        <v/>
      </c>
      <c r="W570" t="str">
        <f t="shared" si="34"/>
        <v/>
      </c>
      <c r="X570" t="str">
        <f>IF(W570="","", IFERROR(VLOOKUP(W570, IF(D570="KET", 换算标准!$Q:$R, IF(D570="PET", 换算标准!$W:$X, 换算标准!$AI:$AJ)), 2, TRUE), 0))</f>
        <v/>
      </c>
      <c r="Y570" t="str">
        <f t="shared" si="35"/>
        <v/>
      </c>
      <c r="Z570" t="str">
        <f>IF(Y570="","", IFERROR(VLOOKUP(Y570, 换算标准!$Z:$AA, 1, TRUE), ""))</f>
        <v/>
      </c>
      <c r="AA570" s="5" t="str">
        <f>IF(L570="","", "⚠️ 薄弱环节: "&amp;INDEX($E$1:$K$1, MATCH(MIN(E570:K570), E570:K570, 0))&amp;CHAR(10)&amp;"📉 考察能力: "&amp;IFERROR(VLOOKUP(TRIM(D570)&amp;"_"&amp;TRIM(INDEX($E$1:$K$1, MATCH(MIN(E570:K570), E570:K570, 0))), 技能库!$A:$F, 5, 0),"建议查阅考纲")&amp;CHAR(10)&amp;"💡 提升建议: "&amp;IFERROR(VLOOKUP(TRIM(D570)&amp;"_"&amp;TRIM(INDEX($E$1:$K$1, MATCH(MIN(E570:K570), E570:K570, 0))), 技能库!$A:$F, 6, 0),"请针对该题型加强练习"))</f>
        <v/>
      </c>
      <c r="AB570" s="5" t="str">
        <f>IF(P570="","", "⚠️ 薄弱环节: "&amp;INDEX($N$1:$O$1, MATCH(MIN(N570:O570), N570:O570, 0))&amp;CHAR(10)&amp;"📉 考察能力: "&amp;IFERROR(VLOOKUP(TRIM(D570)&amp;"_"&amp;TRIM(INDEX($N$1:$O$1, MATCH(MIN(N570:O570), N570:O570, 0))), 技能库!$A:$F, 5, 0),"建议查阅考纲")&amp;CHAR(10)&amp;"💡 提升建议: "&amp;IFERROR(VLOOKUP(TRIM(D570)&amp;"_"&amp;TRIM(INDEX($N$1:$O$1, MATCH(MIN(N570:O570), N570:O570, 0))), 技能库!$A:$F, 6, 0),"请针对该题型加强练习"))</f>
        <v/>
      </c>
      <c r="AC570" s="5" t="str">
        <f>IF(W570="","", "⚠️ 薄弱环节: "&amp;INDEX($R$1:$V$1, MATCH(MIN(R570:V570), R570:V570, 0))&amp;CHAR(10)&amp;"📉 考察能力: "&amp;IFERROR(VLOOKUP(TRIM(D570)&amp;"_"&amp;TRIM(INDEX($R$1:$V$1, MATCH(MIN(R570:V570), R570:V570, 0))), 技能库!$A:$F, 5, 0),"建议查阅考纲")&amp;CHAR(10)&amp;"💡 提升建议: "&amp;IFERROR(VLOOKUP(TRIM(D570)&amp;"_"&amp;TRIM(INDEX($R$1:$V$1, MATCH(MIN(R570:V570), R570:V570, 0))), 技能库!$A:$F, 6, 0),"请针对该题型加强练习"))</f>
        <v/>
      </c>
    </row>
    <row r="571" spans="12:29" ht="16" hidden="1" x14ac:dyDescent="0.2">
      <c r="L571" t="str">
        <f t="shared" si="32"/>
        <v/>
      </c>
      <c r="M571" t="str">
        <f>IF(L571="","", IFERROR(VLOOKUP(L571, IF(D571="KET", 换算标准!$M:$N, IF(D571="PET", 换算标准!$S:$T, 换算标准!$AC:$AD)), 2, TRUE), 0))</f>
        <v/>
      </c>
      <c r="P571" t="str">
        <f t="shared" si="33"/>
        <v/>
      </c>
      <c r="Q571" t="str">
        <f>IF(P571="","", IFERROR(VLOOKUP(P571, IF(D571="KET", 换算标准!$O:$P, IF(D571="PET", 换算标准!$U:$V, 换算标准!$AG:$AH)), 2, TRUE), 0))</f>
        <v/>
      </c>
      <c r="W571" t="str">
        <f t="shared" si="34"/>
        <v/>
      </c>
      <c r="X571" t="str">
        <f>IF(W571="","", IFERROR(VLOOKUP(W571, IF(D571="KET", 换算标准!$Q:$R, IF(D571="PET", 换算标准!$W:$X, 换算标准!$AI:$AJ)), 2, TRUE), 0))</f>
        <v/>
      </c>
      <c r="Y571" t="str">
        <f t="shared" si="35"/>
        <v/>
      </c>
      <c r="Z571" t="str">
        <f>IF(Y571="","", IFERROR(VLOOKUP(Y571, 换算标准!$Z:$AA, 1, TRUE), ""))</f>
        <v/>
      </c>
      <c r="AA571" s="5" t="str">
        <f>IF(L571="","", "⚠️ 薄弱环节: "&amp;INDEX($E$1:$K$1, MATCH(MIN(E571:K571), E571:K571, 0))&amp;CHAR(10)&amp;"📉 考察能力: "&amp;IFERROR(VLOOKUP(TRIM(D571)&amp;"_"&amp;TRIM(INDEX($E$1:$K$1, MATCH(MIN(E571:K571), E571:K571, 0))), 技能库!$A:$F, 5, 0),"建议查阅考纲")&amp;CHAR(10)&amp;"💡 提升建议: "&amp;IFERROR(VLOOKUP(TRIM(D571)&amp;"_"&amp;TRIM(INDEX($E$1:$K$1, MATCH(MIN(E571:K571), E571:K571, 0))), 技能库!$A:$F, 6, 0),"请针对该题型加强练习"))</f>
        <v/>
      </c>
      <c r="AB571" s="5" t="str">
        <f>IF(P571="","", "⚠️ 薄弱环节: "&amp;INDEX($N$1:$O$1, MATCH(MIN(N571:O571), N571:O571, 0))&amp;CHAR(10)&amp;"📉 考察能力: "&amp;IFERROR(VLOOKUP(TRIM(D571)&amp;"_"&amp;TRIM(INDEX($N$1:$O$1, MATCH(MIN(N571:O571), N571:O571, 0))), 技能库!$A:$F, 5, 0),"建议查阅考纲")&amp;CHAR(10)&amp;"💡 提升建议: "&amp;IFERROR(VLOOKUP(TRIM(D571)&amp;"_"&amp;TRIM(INDEX($N$1:$O$1, MATCH(MIN(N571:O571), N571:O571, 0))), 技能库!$A:$F, 6, 0),"请针对该题型加强练习"))</f>
        <v/>
      </c>
      <c r="AC571" s="5" t="str">
        <f>IF(W571="","", "⚠️ 薄弱环节: "&amp;INDEX($R$1:$V$1, MATCH(MIN(R571:V571), R571:V571, 0))&amp;CHAR(10)&amp;"📉 考察能力: "&amp;IFERROR(VLOOKUP(TRIM(D571)&amp;"_"&amp;TRIM(INDEX($R$1:$V$1, MATCH(MIN(R571:V571), R571:V571, 0))), 技能库!$A:$F, 5, 0),"建议查阅考纲")&amp;CHAR(10)&amp;"💡 提升建议: "&amp;IFERROR(VLOOKUP(TRIM(D571)&amp;"_"&amp;TRIM(INDEX($R$1:$V$1, MATCH(MIN(R571:V571), R571:V571, 0))), 技能库!$A:$F, 6, 0),"请针对该题型加强练习"))</f>
        <v/>
      </c>
    </row>
    <row r="572" spans="12:29" ht="16" hidden="1" x14ac:dyDescent="0.2">
      <c r="L572" t="str">
        <f t="shared" si="32"/>
        <v/>
      </c>
      <c r="M572" t="str">
        <f>IF(L572="","", IFERROR(VLOOKUP(L572, IF(D572="KET", 换算标准!$M:$N, IF(D572="PET", 换算标准!$S:$T, 换算标准!$AC:$AD)), 2, TRUE), 0))</f>
        <v/>
      </c>
      <c r="P572" t="str">
        <f t="shared" si="33"/>
        <v/>
      </c>
      <c r="Q572" t="str">
        <f>IF(P572="","", IFERROR(VLOOKUP(P572, IF(D572="KET", 换算标准!$O:$P, IF(D572="PET", 换算标准!$U:$V, 换算标准!$AG:$AH)), 2, TRUE), 0))</f>
        <v/>
      </c>
      <c r="W572" t="str">
        <f t="shared" si="34"/>
        <v/>
      </c>
      <c r="X572" t="str">
        <f>IF(W572="","", IFERROR(VLOOKUP(W572, IF(D572="KET", 换算标准!$Q:$R, IF(D572="PET", 换算标准!$W:$X, 换算标准!$AI:$AJ)), 2, TRUE), 0))</f>
        <v/>
      </c>
      <c r="Y572" t="str">
        <f t="shared" si="35"/>
        <v/>
      </c>
      <c r="Z572" t="str">
        <f>IF(Y572="","", IFERROR(VLOOKUP(Y572, 换算标准!$Z:$AA, 1, TRUE), ""))</f>
        <v/>
      </c>
      <c r="AA572" s="5" t="str">
        <f>IF(L572="","", "⚠️ 薄弱环节: "&amp;INDEX($E$1:$K$1, MATCH(MIN(E572:K572), E572:K572, 0))&amp;CHAR(10)&amp;"📉 考察能力: "&amp;IFERROR(VLOOKUP(TRIM(D572)&amp;"_"&amp;TRIM(INDEX($E$1:$K$1, MATCH(MIN(E572:K572), E572:K572, 0))), 技能库!$A:$F, 5, 0),"建议查阅考纲")&amp;CHAR(10)&amp;"💡 提升建议: "&amp;IFERROR(VLOOKUP(TRIM(D572)&amp;"_"&amp;TRIM(INDEX($E$1:$K$1, MATCH(MIN(E572:K572), E572:K572, 0))), 技能库!$A:$F, 6, 0),"请针对该题型加强练习"))</f>
        <v/>
      </c>
      <c r="AB572" s="5" t="str">
        <f>IF(P572="","", "⚠️ 薄弱环节: "&amp;INDEX($N$1:$O$1, MATCH(MIN(N572:O572), N572:O572, 0))&amp;CHAR(10)&amp;"📉 考察能力: "&amp;IFERROR(VLOOKUP(TRIM(D572)&amp;"_"&amp;TRIM(INDEX($N$1:$O$1, MATCH(MIN(N572:O572), N572:O572, 0))), 技能库!$A:$F, 5, 0),"建议查阅考纲")&amp;CHAR(10)&amp;"💡 提升建议: "&amp;IFERROR(VLOOKUP(TRIM(D572)&amp;"_"&amp;TRIM(INDEX($N$1:$O$1, MATCH(MIN(N572:O572), N572:O572, 0))), 技能库!$A:$F, 6, 0),"请针对该题型加强练习"))</f>
        <v/>
      </c>
      <c r="AC572" s="5" t="str">
        <f>IF(W572="","", "⚠️ 薄弱环节: "&amp;INDEX($R$1:$V$1, MATCH(MIN(R572:V572), R572:V572, 0))&amp;CHAR(10)&amp;"📉 考察能力: "&amp;IFERROR(VLOOKUP(TRIM(D572)&amp;"_"&amp;TRIM(INDEX($R$1:$V$1, MATCH(MIN(R572:V572), R572:V572, 0))), 技能库!$A:$F, 5, 0),"建议查阅考纲")&amp;CHAR(10)&amp;"💡 提升建议: "&amp;IFERROR(VLOOKUP(TRIM(D572)&amp;"_"&amp;TRIM(INDEX($R$1:$V$1, MATCH(MIN(R572:V572), R572:V572, 0))), 技能库!$A:$F, 6, 0),"请针对该题型加强练习"))</f>
        <v/>
      </c>
    </row>
    <row r="573" spans="12:29" ht="16" hidden="1" x14ac:dyDescent="0.2">
      <c r="L573" t="str">
        <f t="shared" si="32"/>
        <v/>
      </c>
      <c r="M573" t="str">
        <f>IF(L573="","", IFERROR(VLOOKUP(L573, IF(D573="KET", 换算标准!$M:$N, IF(D573="PET", 换算标准!$S:$T, 换算标准!$AC:$AD)), 2, TRUE), 0))</f>
        <v/>
      </c>
      <c r="P573" t="str">
        <f t="shared" si="33"/>
        <v/>
      </c>
      <c r="Q573" t="str">
        <f>IF(P573="","", IFERROR(VLOOKUP(P573, IF(D573="KET", 换算标准!$O:$P, IF(D573="PET", 换算标准!$U:$V, 换算标准!$AG:$AH)), 2, TRUE), 0))</f>
        <v/>
      </c>
      <c r="W573" t="str">
        <f t="shared" si="34"/>
        <v/>
      </c>
      <c r="X573" t="str">
        <f>IF(W573="","", IFERROR(VLOOKUP(W573, IF(D573="KET", 换算标准!$Q:$R, IF(D573="PET", 换算标准!$W:$X, 换算标准!$AI:$AJ)), 2, TRUE), 0))</f>
        <v/>
      </c>
      <c r="Y573" t="str">
        <f t="shared" si="35"/>
        <v/>
      </c>
      <c r="Z573" t="str">
        <f>IF(Y573="","", IFERROR(VLOOKUP(Y573, 换算标准!$Z:$AA, 1, TRUE), ""))</f>
        <v/>
      </c>
      <c r="AA573" s="5" t="str">
        <f>IF(L573="","", "⚠️ 薄弱环节: "&amp;INDEX($E$1:$K$1, MATCH(MIN(E573:K573), E573:K573, 0))&amp;CHAR(10)&amp;"📉 考察能力: "&amp;IFERROR(VLOOKUP(TRIM(D573)&amp;"_"&amp;TRIM(INDEX($E$1:$K$1, MATCH(MIN(E573:K573), E573:K573, 0))), 技能库!$A:$F, 5, 0),"建议查阅考纲")&amp;CHAR(10)&amp;"💡 提升建议: "&amp;IFERROR(VLOOKUP(TRIM(D573)&amp;"_"&amp;TRIM(INDEX($E$1:$K$1, MATCH(MIN(E573:K573), E573:K573, 0))), 技能库!$A:$F, 6, 0),"请针对该题型加强练习"))</f>
        <v/>
      </c>
      <c r="AB573" s="5" t="str">
        <f>IF(P573="","", "⚠️ 薄弱环节: "&amp;INDEX($N$1:$O$1, MATCH(MIN(N573:O573), N573:O573, 0))&amp;CHAR(10)&amp;"📉 考察能力: "&amp;IFERROR(VLOOKUP(TRIM(D573)&amp;"_"&amp;TRIM(INDEX($N$1:$O$1, MATCH(MIN(N573:O573), N573:O573, 0))), 技能库!$A:$F, 5, 0),"建议查阅考纲")&amp;CHAR(10)&amp;"💡 提升建议: "&amp;IFERROR(VLOOKUP(TRIM(D573)&amp;"_"&amp;TRIM(INDEX($N$1:$O$1, MATCH(MIN(N573:O573), N573:O573, 0))), 技能库!$A:$F, 6, 0),"请针对该题型加强练习"))</f>
        <v/>
      </c>
      <c r="AC573" s="5" t="str">
        <f>IF(W573="","", "⚠️ 薄弱环节: "&amp;INDEX($R$1:$V$1, MATCH(MIN(R573:V573), R573:V573, 0))&amp;CHAR(10)&amp;"📉 考察能力: "&amp;IFERROR(VLOOKUP(TRIM(D573)&amp;"_"&amp;TRIM(INDEX($R$1:$V$1, MATCH(MIN(R573:V573), R573:V573, 0))), 技能库!$A:$F, 5, 0),"建议查阅考纲")&amp;CHAR(10)&amp;"💡 提升建议: "&amp;IFERROR(VLOOKUP(TRIM(D573)&amp;"_"&amp;TRIM(INDEX($R$1:$V$1, MATCH(MIN(R573:V573), R573:V573, 0))), 技能库!$A:$F, 6, 0),"请针对该题型加强练习"))</f>
        <v/>
      </c>
    </row>
    <row r="574" spans="12:29" ht="16" hidden="1" x14ac:dyDescent="0.2">
      <c r="L574" t="str">
        <f t="shared" si="32"/>
        <v/>
      </c>
      <c r="M574" t="str">
        <f>IF(L574="","", IFERROR(VLOOKUP(L574, IF(D574="KET", 换算标准!$M:$N, IF(D574="PET", 换算标准!$S:$T, 换算标准!$AC:$AD)), 2, TRUE), 0))</f>
        <v/>
      </c>
      <c r="P574" t="str">
        <f t="shared" si="33"/>
        <v/>
      </c>
      <c r="Q574" t="str">
        <f>IF(P574="","", IFERROR(VLOOKUP(P574, IF(D574="KET", 换算标准!$O:$P, IF(D574="PET", 换算标准!$U:$V, 换算标准!$AG:$AH)), 2, TRUE), 0))</f>
        <v/>
      </c>
      <c r="W574" t="str">
        <f t="shared" si="34"/>
        <v/>
      </c>
      <c r="X574" t="str">
        <f>IF(W574="","", IFERROR(VLOOKUP(W574, IF(D574="KET", 换算标准!$Q:$R, IF(D574="PET", 换算标准!$W:$X, 换算标准!$AI:$AJ)), 2, TRUE), 0))</f>
        <v/>
      </c>
      <c r="Y574" t="str">
        <f t="shared" si="35"/>
        <v/>
      </c>
      <c r="Z574" t="str">
        <f>IF(Y574="","", IFERROR(VLOOKUP(Y574, 换算标准!$Z:$AA, 1, TRUE), ""))</f>
        <v/>
      </c>
      <c r="AA574" s="5" t="str">
        <f>IF(L574="","", "⚠️ 薄弱环节: "&amp;INDEX($E$1:$K$1, MATCH(MIN(E574:K574), E574:K574, 0))&amp;CHAR(10)&amp;"📉 考察能力: "&amp;IFERROR(VLOOKUP(TRIM(D574)&amp;"_"&amp;TRIM(INDEX($E$1:$K$1, MATCH(MIN(E574:K574), E574:K574, 0))), 技能库!$A:$F, 5, 0),"建议查阅考纲")&amp;CHAR(10)&amp;"💡 提升建议: "&amp;IFERROR(VLOOKUP(TRIM(D574)&amp;"_"&amp;TRIM(INDEX($E$1:$K$1, MATCH(MIN(E574:K574), E574:K574, 0))), 技能库!$A:$F, 6, 0),"请针对该题型加强练习"))</f>
        <v/>
      </c>
      <c r="AB574" s="5" t="str">
        <f>IF(P574="","", "⚠️ 薄弱环节: "&amp;INDEX($N$1:$O$1, MATCH(MIN(N574:O574), N574:O574, 0))&amp;CHAR(10)&amp;"📉 考察能力: "&amp;IFERROR(VLOOKUP(TRIM(D574)&amp;"_"&amp;TRIM(INDEX($N$1:$O$1, MATCH(MIN(N574:O574), N574:O574, 0))), 技能库!$A:$F, 5, 0),"建议查阅考纲")&amp;CHAR(10)&amp;"💡 提升建议: "&amp;IFERROR(VLOOKUP(TRIM(D574)&amp;"_"&amp;TRIM(INDEX($N$1:$O$1, MATCH(MIN(N574:O574), N574:O574, 0))), 技能库!$A:$F, 6, 0),"请针对该题型加强练习"))</f>
        <v/>
      </c>
      <c r="AC574" s="5" t="str">
        <f>IF(W574="","", "⚠️ 薄弱环节: "&amp;INDEX($R$1:$V$1, MATCH(MIN(R574:V574), R574:V574, 0))&amp;CHAR(10)&amp;"📉 考察能力: "&amp;IFERROR(VLOOKUP(TRIM(D574)&amp;"_"&amp;TRIM(INDEX($R$1:$V$1, MATCH(MIN(R574:V574), R574:V574, 0))), 技能库!$A:$F, 5, 0),"建议查阅考纲")&amp;CHAR(10)&amp;"💡 提升建议: "&amp;IFERROR(VLOOKUP(TRIM(D574)&amp;"_"&amp;TRIM(INDEX($R$1:$V$1, MATCH(MIN(R574:V574), R574:V574, 0))), 技能库!$A:$F, 6, 0),"请针对该题型加强练习"))</f>
        <v/>
      </c>
    </row>
    <row r="575" spans="12:29" ht="16" hidden="1" x14ac:dyDescent="0.2">
      <c r="L575" t="str">
        <f t="shared" si="32"/>
        <v/>
      </c>
      <c r="M575" t="str">
        <f>IF(L575="","", IFERROR(VLOOKUP(L575, IF(D575="KET", 换算标准!$M:$N, IF(D575="PET", 换算标准!$S:$T, 换算标准!$AC:$AD)), 2, TRUE), 0))</f>
        <v/>
      </c>
      <c r="P575" t="str">
        <f t="shared" si="33"/>
        <v/>
      </c>
      <c r="Q575" t="str">
        <f>IF(P575="","", IFERROR(VLOOKUP(P575, IF(D575="KET", 换算标准!$O:$P, IF(D575="PET", 换算标准!$U:$V, 换算标准!$AG:$AH)), 2, TRUE), 0))</f>
        <v/>
      </c>
      <c r="W575" t="str">
        <f t="shared" si="34"/>
        <v/>
      </c>
      <c r="X575" t="str">
        <f>IF(W575="","", IFERROR(VLOOKUP(W575, IF(D575="KET", 换算标准!$Q:$R, IF(D575="PET", 换算标准!$W:$X, 换算标准!$AI:$AJ)), 2, TRUE), 0))</f>
        <v/>
      </c>
      <c r="Y575" t="str">
        <f t="shared" si="35"/>
        <v/>
      </c>
      <c r="Z575" t="str">
        <f>IF(Y575="","", IFERROR(VLOOKUP(Y575, 换算标准!$Z:$AA, 1, TRUE), ""))</f>
        <v/>
      </c>
      <c r="AA575" s="5" t="str">
        <f>IF(L575="","", "⚠️ 薄弱环节: "&amp;INDEX($E$1:$K$1, MATCH(MIN(E575:K575), E575:K575, 0))&amp;CHAR(10)&amp;"📉 考察能力: "&amp;IFERROR(VLOOKUP(TRIM(D575)&amp;"_"&amp;TRIM(INDEX($E$1:$K$1, MATCH(MIN(E575:K575), E575:K575, 0))), 技能库!$A:$F, 5, 0),"建议查阅考纲")&amp;CHAR(10)&amp;"💡 提升建议: "&amp;IFERROR(VLOOKUP(TRIM(D575)&amp;"_"&amp;TRIM(INDEX($E$1:$K$1, MATCH(MIN(E575:K575), E575:K575, 0))), 技能库!$A:$F, 6, 0),"请针对该题型加强练习"))</f>
        <v/>
      </c>
      <c r="AB575" s="5" t="str">
        <f>IF(P575="","", "⚠️ 薄弱环节: "&amp;INDEX($N$1:$O$1, MATCH(MIN(N575:O575), N575:O575, 0))&amp;CHAR(10)&amp;"📉 考察能力: "&amp;IFERROR(VLOOKUP(TRIM(D575)&amp;"_"&amp;TRIM(INDEX($N$1:$O$1, MATCH(MIN(N575:O575), N575:O575, 0))), 技能库!$A:$F, 5, 0),"建议查阅考纲")&amp;CHAR(10)&amp;"💡 提升建议: "&amp;IFERROR(VLOOKUP(TRIM(D575)&amp;"_"&amp;TRIM(INDEX($N$1:$O$1, MATCH(MIN(N575:O575), N575:O575, 0))), 技能库!$A:$F, 6, 0),"请针对该题型加强练习"))</f>
        <v/>
      </c>
      <c r="AC575" s="5" t="str">
        <f>IF(W575="","", "⚠️ 薄弱环节: "&amp;INDEX($R$1:$V$1, MATCH(MIN(R575:V575), R575:V575, 0))&amp;CHAR(10)&amp;"📉 考察能力: "&amp;IFERROR(VLOOKUP(TRIM(D575)&amp;"_"&amp;TRIM(INDEX($R$1:$V$1, MATCH(MIN(R575:V575), R575:V575, 0))), 技能库!$A:$F, 5, 0),"建议查阅考纲")&amp;CHAR(10)&amp;"💡 提升建议: "&amp;IFERROR(VLOOKUP(TRIM(D575)&amp;"_"&amp;TRIM(INDEX($R$1:$V$1, MATCH(MIN(R575:V575), R575:V575, 0))), 技能库!$A:$F, 6, 0),"请针对该题型加强练习"))</f>
        <v/>
      </c>
    </row>
    <row r="576" spans="12:29" ht="16" hidden="1" x14ac:dyDescent="0.2">
      <c r="L576" t="str">
        <f t="shared" si="32"/>
        <v/>
      </c>
      <c r="M576" t="str">
        <f>IF(L576="","", IFERROR(VLOOKUP(L576, IF(D576="KET", 换算标准!$M:$N, IF(D576="PET", 换算标准!$S:$T, 换算标准!$AC:$AD)), 2, TRUE), 0))</f>
        <v/>
      </c>
      <c r="P576" t="str">
        <f t="shared" si="33"/>
        <v/>
      </c>
      <c r="Q576" t="str">
        <f>IF(P576="","", IFERROR(VLOOKUP(P576, IF(D576="KET", 换算标准!$O:$P, IF(D576="PET", 换算标准!$U:$V, 换算标准!$AG:$AH)), 2, TRUE), 0))</f>
        <v/>
      </c>
      <c r="W576" t="str">
        <f t="shared" si="34"/>
        <v/>
      </c>
      <c r="X576" t="str">
        <f>IF(W576="","", IFERROR(VLOOKUP(W576, IF(D576="KET", 换算标准!$Q:$R, IF(D576="PET", 换算标准!$W:$X, 换算标准!$AI:$AJ)), 2, TRUE), 0))</f>
        <v/>
      </c>
      <c r="Y576" t="str">
        <f t="shared" si="35"/>
        <v/>
      </c>
      <c r="Z576" t="str">
        <f>IF(Y576="","", IFERROR(VLOOKUP(Y576, 换算标准!$Z:$AA, 1, TRUE), ""))</f>
        <v/>
      </c>
      <c r="AA576" s="5" t="str">
        <f>IF(L576="","", "⚠️ 薄弱环节: "&amp;INDEX($E$1:$K$1, MATCH(MIN(E576:K576), E576:K576, 0))&amp;CHAR(10)&amp;"📉 考察能力: "&amp;IFERROR(VLOOKUP(TRIM(D576)&amp;"_"&amp;TRIM(INDEX($E$1:$K$1, MATCH(MIN(E576:K576), E576:K576, 0))), 技能库!$A:$F, 5, 0),"建议查阅考纲")&amp;CHAR(10)&amp;"💡 提升建议: "&amp;IFERROR(VLOOKUP(TRIM(D576)&amp;"_"&amp;TRIM(INDEX($E$1:$K$1, MATCH(MIN(E576:K576), E576:K576, 0))), 技能库!$A:$F, 6, 0),"请针对该题型加强练习"))</f>
        <v/>
      </c>
      <c r="AB576" s="5" t="str">
        <f>IF(P576="","", "⚠️ 薄弱环节: "&amp;INDEX($N$1:$O$1, MATCH(MIN(N576:O576), N576:O576, 0))&amp;CHAR(10)&amp;"📉 考察能力: "&amp;IFERROR(VLOOKUP(TRIM(D576)&amp;"_"&amp;TRIM(INDEX($N$1:$O$1, MATCH(MIN(N576:O576), N576:O576, 0))), 技能库!$A:$F, 5, 0),"建议查阅考纲")&amp;CHAR(10)&amp;"💡 提升建议: "&amp;IFERROR(VLOOKUP(TRIM(D576)&amp;"_"&amp;TRIM(INDEX($N$1:$O$1, MATCH(MIN(N576:O576), N576:O576, 0))), 技能库!$A:$F, 6, 0),"请针对该题型加强练习"))</f>
        <v/>
      </c>
      <c r="AC576" s="5" t="str">
        <f>IF(W576="","", "⚠️ 薄弱环节: "&amp;INDEX($R$1:$V$1, MATCH(MIN(R576:V576), R576:V576, 0))&amp;CHAR(10)&amp;"📉 考察能力: "&amp;IFERROR(VLOOKUP(TRIM(D576)&amp;"_"&amp;TRIM(INDEX($R$1:$V$1, MATCH(MIN(R576:V576), R576:V576, 0))), 技能库!$A:$F, 5, 0),"建议查阅考纲")&amp;CHAR(10)&amp;"💡 提升建议: "&amp;IFERROR(VLOOKUP(TRIM(D576)&amp;"_"&amp;TRIM(INDEX($R$1:$V$1, MATCH(MIN(R576:V576), R576:V576, 0))), 技能库!$A:$F, 6, 0),"请针对该题型加强练习"))</f>
        <v/>
      </c>
    </row>
    <row r="577" spans="12:29" ht="16" hidden="1" x14ac:dyDescent="0.2">
      <c r="L577" t="str">
        <f t="shared" si="32"/>
        <v/>
      </c>
      <c r="M577" t="str">
        <f>IF(L577="","", IFERROR(VLOOKUP(L577, IF(D577="KET", 换算标准!$M:$N, IF(D577="PET", 换算标准!$S:$T, 换算标准!$AC:$AD)), 2, TRUE), 0))</f>
        <v/>
      </c>
      <c r="P577" t="str">
        <f t="shared" si="33"/>
        <v/>
      </c>
      <c r="Q577" t="str">
        <f>IF(P577="","", IFERROR(VLOOKUP(P577, IF(D577="KET", 换算标准!$O:$P, IF(D577="PET", 换算标准!$U:$V, 换算标准!$AG:$AH)), 2, TRUE), 0))</f>
        <v/>
      </c>
      <c r="W577" t="str">
        <f t="shared" si="34"/>
        <v/>
      </c>
      <c r="X577" t="str">
        <f>IF(W577="","", IFERROR(VLOOKUP(W577, IF(D577="KET", 换算标准!$Q:$R, IF(D577="PET", 换算标准!$W:$X, 换算标准!$AI:$AJ)), 2, TRUE), 0))</f>
        <v/>
      </c>
      <c r="Y577" t="str">
        <f t="shared" si="35"/>
        <v/>
      </c>
      <c r="Z577" t="str">
        <f>IF(Y577="","", IFERROR(VLOOKUP(Y577, 换算标准!$Z:$AA, 1, TRUE), ""))</f>
        <v/>
      </c>
      <c r="AA577" s="5" t="str">
        <f>IF(L577="","", "⚠️ 薄弱环节: "&amp;INDEX($E$1:$K$1, MATCH(MIN(E577:K577), E577:K577, 0))&amp;CHAR(10)&amp;"📉 考察能力: "&amp;IFERROR(VLOOKUP(TRIM(D577)&amp;"_"&amp;TRIM(INDEX($E$1:$K$1, MATCH(MIN(E577:K577), E577:K577, 0))), 技能库!$A:$F, 5, 0),"建议查阅考纲")&amp;CHAR(10)&amp;"💡 提升建议: "&amp;IFERROR(VLOOKUP(TRIM(D577)&amp;"_"&amp;TRIM(INDEX($E$1:$K$1, MATCH(MIN(E577:K577), E577:K577, 0))), 技能库!$A:$F, 6, 0),"请针对该题型加强练习"))</f>
        <v/>
      </c>
      <c r="AB577" s="5" t="str">
        <f>IF(P577="","", "⚠️ 薄弱环节: "&amp;INDEX($N$1:$O$1, MATCH(MIN(N577:O577), N577:O577, 0))&amp;CHAR(10)&amp;"📉 考察能力: "&amp;IFERROR(VLOOKUP(TRIM(D577)&amp;"_"&amp;TRIM(INDEX($N$1:$O$1, MATCH(MIN(N577:O577), N577:O577, 0))), 技能库!$A:$F, 5, 0),"建议查阅考纲")&amp;CHAR(10)&amp;"💡 提升建议: "&amp;IFERROR(VLOOKUP(TRIM(D577)&amp;"_"&amp;TRIM(INDEX($N$1:$O$1, MATCH(MIN(N577:O577), N577:O577, 0))), 技能库!$A:$F, 6, 0),"请针对该题型加强练习"))</f>
        <v/>
      </c>
      <c r="AC577" s="5" t="str">
        <f>IF(W577="","", "⚠️ 薄弱环节: "&amp;INDEX($R$1:$V$1, MATCH(MIN(R577:V577), R577:V577, 0))&amp;CHAR(10)&amp;"📉 考察能力: "&amp;IFERROR(VLOOKUP(TRIM(D577)&amp;"_"&amp;TRIM(INDEX($R$1:$V$1, MATCH(MIN(R577:V577), R577:V577, 0))), 技能库!$A:$F, 5, 0),"建议查阅考纲")&amp;CHAR(10)&amp;"💡 提升建议: "&amp;IFERROR(VLOOKUP(TRIM(D577)&amp;"_"&amp;TRIM(INDEX($R$1:$V$1, MATCH(MIN(R577:V577), R577:V577, 0))), 技能库!$A:$F, 6, 0),"请针对该题型加强练习"))</f>
        <v/>
      </c>
    </row>
    <row r="578" spans="12:29" ht="16" hidden="1" x14ac:dyDescent="0.2">
      <c r="L578" t="str">
        <f t="shared" ref="L578:L641" si="36">IF(COUNT(E578:K578)&gt;0, SUM(E578:K578), "")</f>
        <v/>
      </c>
      <c r="M578" t="str">
        <f>IF(L578="","", IFERROR(VLOOKUP(L578, IF(D578="KET", 换算标准!$M:$N, IF(D578="PET", 换算标准!$S:$T, 换算标准!$AC:$AD)), 2, TRUE), 0))</f>
        <v/>
      </c>
      <c r="P578" t="str">
        <f t="shared" ref="P578:P641" si="37">IF(COUNT(N578:O578)&gt;0, SUM(N578:O578), "")</f>
        <v/>
      </c>
      <c r="Q578" t="str">
        <f>IF(P578="","", IFERROR(VLOOKUP(P578, IF(D578="KET", 换算标准!$O:$P, IF(D578="PET", 换算标准!$U:$V, 换算标准!$AG:$AH)), 2, TRUE), 0))</f>
        <v/>
      </c>
      <c r="W578" t="str">
        <f t="shared" ref="W578:W641" si="38">IF(COUNT(R578:V578)&gt;0, SUM(R578:V578), "")</f>
        <v/>
      </c>
      <c r="X578" t="str">
        <f>IF(W578="","", IFERROR(VLOOKUP(W578, IF(D578="KET", 换算标准!$Q:$R, IF(D578="PET", 换算标准!$W:$X, 换算标准!$AI:$AJ)), 2, TRUE), 0))</f>
        <v/>
      </c>
      <c r="Y578" t="str">
        <f t="shared" ref="Y578:Y641" si="39">IF(COUNT(M578,Q578,X578)&gt;0, AVERAGE(M578,Q578,X578), "")</f>
        <v/>
      </c>
      <c r="Z578" t="str">
        <f>IF(Y578="","", IFERROR(VLOOKUP(Y578, 换算标准!$Z:$AA, 1, TRUE), ""))</f>
        <v/>
      </c>
      <c r="AA578" s="5" t="str">
        <f>IF(L578="","", "⚠️ 薄弱环节: "&amp;INDEX($E$1:$K$1, MATCH(MIN(E578:K578), E578:K578, 0))&amp;CHAR(10)&amp;"📉 考察能力: "&amp;IFERROR(VLOOKUP(TRIM(D578)&amp;"_"&amp;TRIM(INDEX($E$1:$K$1, MATCH(MIN(E578:K578), E578:K578, 0))), 技能库!$A:$F, 5, 0),"建议查阅考纲")&amp;CHAR(10)&amp;"💡 提升建议: "&amp;IFERROR(VLOOKUP(TRIM(D578)&amp;"_"&amp;TRIM(INDEX($E$1:$K$1, MATCH(MIN(E578:K578), E578:K578, 0))), 技能库!$A:$F, 6, 0),"请针对该题型加强练习"))</f>
        <v/>
      </c>
      <c r="AB578" s="5" t="str">
        <f>IF(P578="","", "⚠️ 薄弱环节: "&amp;INDEX($N$1:$O$1, MATCH(MIN(N578:O578), N578:O578, 0))&amp;CHAR(10)&amp;"📉 考察能力: "&amp;IFERROR(VLOOKUP(TRIM(D578)&amp;"_"&amp;TRIM(INDEX($N$1:$O$1, MATCH(MIN(N578:O578), N578:O578, 0))), 技能库!$A:$F, 5, 0),"建议查阅考纲")&amp;CHAR(10)&amp;"💡 提升建议: "&amp;IFERROR(VLOOKUP(TRIM(D578)&amp;"_"&amp;TRIM(INDEX($N$1:$O$1, MATCH(MIN(N578:O578), N578:O578, 0))), 技能库!$A:$F, 6, 0),"请针对该题型加强练习"))</f>
        <v/>
      </c>
      <c r="AC578" s="5" t="str">
        <f>IF(W578="","", "⚠️ 薄弱环节: "&amp;INDEX($R$1:$V$1, MATCH(MIN(R578:V578), R578:V578, 0))&amp;CHAR(10)&amp;"📉 考察能力: "&amp;IFERROR(VLOOKUP(TRIM(D578)&amp;"_"&amp;TRIM(INDEX($R$1:$V$1, MATCH(MIN(R578:V578), R578:V578, 0))), 技能库!$A:$F, 5, 0),"建议查阅考纲")&amp;CHAR(10)&amp;"💡 提升建议: "&amp;IFERROR(VLOOKUP(TRIM(D578)&amp;"_"&amp;TRIM(INDEX($R$1:$V$1, MATCH(MIN(R578:V578), R578:V578, 0))), 技能库!$A:$F, 6, 0),"请针对该题型加强练习"))</f>
        <v/>
      </c>
    </row>
    <row r="579" spans="12:29" ht="16" hidden="1" x14ac:dyDescent="0.2">
      <c r="L579" t="str">
        <f t="shared" si="36"/>
        <v/>
      </c>
      <c r="M579" t="str">
        <f>IF(L579="","", IFERROR(VLOOKUP(L579, IF(D579="KET", 换算标准!$M:$N, IF(D579="PET", 换算标准!$S:$T, 换算标准!$AC:$AD)), 2, TRUE), 0))</f>
        <v/>
      </c>
      <c r="P579" t="str">
        <f t="shared" si="37"/>
        <v/>
      </c>
      <c r="Q579" t="str">
        <f>IF(P579="","", IFERROR(VLOOKUP(P579, IF(D579="KET", 换算标准!$O:$P, IF(D579="PET", 换算标准!$U:$V, 换算标准!$AG:$AH)), 2, TRUE), 0))</f>
        <v/>
      </c>
      <c r="W579" t="str">
        <f t="shared" si="38"/>
        <v/>
      </c>
      <c r="X579" t="str">
        <f>IF(W579="","", IFERROR(VLOOKUP(W579, IF(D579="KET", 换算标准!$Q:$R, IF(D579="PET", 换算标准!$W:$X, 换算标准!$AI:$AJ)), 2, TRUE), 0))</f>
        <v/>
      </c>
      <c r="Y579" t="str">
        <f t="shared" si="39"/>
        <v/>
      </c>
      <c r="Z579" t="str">
        <f>IF(Y579="","", IFERROR(VLOOKUP(Y579, 换算标准!$Z:$AA, 1, TRUE), ""))</f>
        <v/>
      </c>
      <c r="AA579" s="5" t="str">
        <f>IF(L579="","", "⚠️ 薄弱环节: "&amp;INDEX($E$1:$K$1, MATCH(MIN(E579:K579), E579:K579, 0))&amp;CHAR(10)&amp;"📉 考察能力: "&amp;IFERROR(VLOOKUP(TRIM(D579)&amp;"_"&amp;TRIM(INDEX($E$1:$K$1, MATCH(MIN(E579:K579), E579:K579, 0))), 技能库!$A:$F, 5, 0),"建议查阅考纲")&amp;CHAR(10)&amp;"💡 提升建议: "&amp;IFERROR(VLOOKUP(TRIM(D579)&amp;"_"&amp;TRIM(INDEX($E$1:$K$1, MATCH(MIN(E579:K579), E579:K579, 0))), 技能库!$A:$F, 6, 0),"请针对该题型加强练习"))</f>
        <v/>
      </c>
      <c r="AB579" s="5" t="str">
        <f>IF(P579="","", "⚠️ 薄弱环节: "&amp;INDEX($N$1:$O$1, MATCH(MIN(N579:O579), N579:O579, 0))&amp;CHAR(10)&amp;"📉 考察能力: "&amp;IFERROR(VLOOKUP(TRIM(D579)&amp;"_"&amp;TRIM(INDEX($N$1:$O$1, MATCH(MIN(N579:O579), N579:O579, 0))), 技能库!$A:$F, 5, 0),"建议查阅考纲")&amp;CHAR(10)&amp;"💡 提升建议: "&amp;IFERROR(VLOOKUP(TRIM(D579)&amp;"_"&amp;TRIM(INDEX($N$1:$O$1, MATCH(MIN(N579:O579), N579:O579, 0))), 技能库!$A:$F, 6, 0),"请针对该题型加强练习"))</f>
        <v/>
      </c>
      <c r="AC579" s="5" t="str">
        <f>IF(W579="","", "⚠️ 薄弱环节: "&amp;INDEX($R$1:$V$1, MATCH(MIN(R579:V579), R579:V579, 0))&amp;CHAR(10)&amp;"📉 考察能力: "&amp;IFERROR(VLOOKUP(TRIM(D579)&amp;"_"&amp;TRIM(INDEX($R$1:$V$1, MATCH(MIN(R579:V579), R579:V579, 0))), 技能库!$A:$F, 5, 0),"建议查阅考纲")&amp;CHAR(10)&amp;"💡 提升建议: "&amp;IFERROR(VLOOKUP(TRIM(D579)&amp;"_"&amp;TRIM(INDEX($R$1:$V$1, MATCH(MIN(R579:V579), R579:V579, 0))), 技能库!$A:$F, 6, 0),"请针对该题型加强练习"))</f>
        <v/>
      </c>
    </row>
    <row r="580" spans="12:29" ht="16" hidden="1" x14ac:dyDescent="0.2">
      <c r="L580" t="str">
        <f t="shared" si="36"/>
        <v/>
      </c>
      <c r="M580" t="str">
        <f>IF(L580="","", IFERROR(VLOOKUP(L580, IF(D580="KET", 换算标准!$M:$N, IF(D580="PET", 换算标准!$S:$T, 换算标准!$AC:$AD)), 2, TRUE), 0))</f>
        <v/>
      </c>
      <c r="P580" t="str">
        <f t="shared" si="37"/>
        <v/>
      </c>
      <c r="Q580" t="str">
        <f>IF(P580="","", IFERROR(VLOOKUP(P580, IF(D580="KET", 换算标准!$O:$P, IF(D580="PET", 换算标准!$U:$V, 换算标准!$AG:$AH)), 2, TRUE), 0))</f>
        <v/>
      </c>
      <c r="W580" t="str">
        <f t="shared" si="38"/>
        <v/>
      </c>
      <c r="X580" t="str">
        <f>IF(W580="","", IFERROR(VLOOKUP(W580, IF(D580="KET", 换算标准!$Q:$R, IF(D580="PET", 换算标准!$W:$X, 换算标准!$AI:$AJ)), 2, TRUE), 0))</f>
        <v/>
      </c>
      <c r="Y580" t="str">
        <f t="shared" si="39"/>
        <v/>
      </c>
      <c r="Z580" t="str">
        <f>IF(Y580="","", IFERROR(VLOOKUP(Y580, 换算标准!$Z:$AA, 1, TRUE), ""))</f>
        <v/>
      </c>
      <c r="AA580" s="5" t="str">
        <f>IF(L580="","", "⚠️ 薄弱环节: "&amp;INDEX($E$1:$K$1, MATCH(MIN(E580:K580), E580:K580, 0))&amp;CHAR(10)&amp;"📉 考察能力: "&amp;IFERROR(VLOOKUP(TRIM(D580)&amp;"_"&amp;TRIM(INDEX($E$1:$K$1, MATCH(MIN(E580:K580), E580:K580, 0))), 技能库!$A:$F, 5, 0),"建议查阅考纲")&amp;CHAR(10)&amp;"💡 提升建议: "&amp;IFERROR(VLOOKUP(TRIM(D580)&amp;"_"&amp;TRIM(INDEX($E$1:$K$1, MATCH(MIN(E580:K580), E580:K580, 0))), 技能库!$A:$F, 6, 0),"请针对该题型加强练习"))</f>
        <v/>
      </c>
      <c r="AB580" s="5" t="str">
        <f>IF(P580="","", "⚠️ 薄弱环节: "&amp;INDEX($N$1:$O$1, MATCH(MIN(N580:O580), N580:O580, 0))&amp;CHAR(10)&amp;"📉 考察能力: "&amp;IFERROR(VLOOKUP(TRIM(D580)&amp;"_"&amp;TRIM(INDEX($N$1:$O$1, MATCH(MIN(N580:O580), N580:O580, 0))), 技能库!$A:$F, 5, 0),"建议查阅考纲")&amp;CHAR(10)&amp;"💡 提升建议: "&amp;IFERROR(VLOOKUP(TRIM(D580)&amp;"_"&amp;TRIM(INDEX($N$1:$O$1, MATCH(MIN(N580:O580), N580:O580, 0))), 技能库!$A:$F, 6, 0),"请针对该题型加强练习"))</f>
        <v/>
      </c>
      <c r="AC580" s="5" t="str">
        <f>IF(W580="","", "⚠️ 薄弱环节: "&amp;INDEX($R$1:$V$1, MATCH(MIN(R580:V580), R580:V580, 0))&amp;CHAR(10)&amp;"📉 考察能力: "&amp;IFERROR(VLOOKUP(TRIM(D580)&amp;"_"&amp;TRIM(INDEX($R$1:$V$1, MATCH(MIN(R580:V580), R580:V580, 0))), 技能库!$A:$F, 5, 0),"建议查阅考纲")&amp;CHAR(10)&amp;"💡 提升建议: "&amp;IFERROR(VLOOKUP(TRIM(D580)&amp;"_"&amp;TRIM(INDEX($R$1:$V$1, MATCH(MIN(R580:V580), R580:V580, 0))), 技能库!$A:$F, 6, 0),"请针对该题型加强练习"))</f>
        <v/>
      </c>
    </row>
    <row r="581" spans="12:29" ht="16" hidden="1" x14ac:dyDescent="0.2">
      <c r="L581" t="str">
        <f t="shared" si="36"/>
        <v/>
      </c>
      <c r="M581" t="str">
        <f>IF(L581="","", IFERROR(VLOOKUP(L581, IF(D581="KET", 换算标准!$M:$N, IF(D581="PET", 换算标准!$S:$T, 换算标准!$AC:$AD)), 2, TRUE), 0))</f>
        <v/>
      </c>
      <c r="P581" t="str">
        <f t="shared" si="37"/>
        <v/>
      </c>
      <c r="Q581" t="str">
        <f>IF(P581="","", IFERROR(VLOOKUP(P581, IF(D581="KET", 换算标准!$O:$P, IF(D581="PET", 换算标准!$U:$V, 换算标准!$AG:$AH)), 2, TRUE), 0))</f>
        <v/>
      </c>
      <c r="W581" t="str">
        <f t="shared" si="38"/>
        <v/>
      </c>
      <c r="X581" t="str">
        <f>IF(W581="","", IFERROR(VLOOKUP(W581, IF(D581="KET", 换算标准!$Q:$R, IF(D581="PET", 换算标准!$W:$X, 换算标准!$AI:$AJ)), 2, TRUE), 0))</f>
        <v/>
      </c>
      <c r="Y581" t="str">
        <f t="shared" si="39"/>
        <v/>
      </c>
      <c r="Z581" t="str">
        <f>IF(Y581="","", IFERROR(VLOOKUP(Y581, 换算标准!$Z:$AA, 1, TRUE), ""))</f>
        <v/>
      </c>
      <c r="AA581" s="5" t="str">
        <f>IF(L581="","", "⚠️ 薄弱环节: "&amp;INDEX($E$1:$K$1, MATCH(MIN(E581:K581), E581:K581, 0))&amp;CHAR(10)&amp;"📉 考察能力: "&amp;IFERROR(VLOOKUP(TRIM(D581)&amp;"_"&amp;TRIM(INDEX($E$1:$K$1, MATCH(MIN(E581:K581), E581:K581, 0))), 技能库!$A:$F, 5, 0),"建议查阅考纲")&amp;CHAR(10)&amp;"💡 提升建议: "&amp;IFERROR(VLOOKUP(TRIM(D581)&amp;"_"&amp;TRIM(INDEX($E$1:$K$1, MATCH(MIN(E581:K581), E581:K581, 0))), 技能库!$A:$F, 6, 0),"请针对该题型加强练习"))</f>
        <v/>
      </c>
      <c r="AB581" s="5" t="str">
        <f>IF(P581="","", "⚠️ 薄弱环节: "&amp;INDEX($N$1:$O$1, MATCH(MIN(N581:O581), N581:O581, 0))&amp;CHAR(10)&amp;"📉 考察能力: "&amp;IFERROR(VLOOKUP(TRIM(D581)&amp;"_"&amp;TRIM(INDEX($N$1:$O$1, MATCH(MIN(N581:O581), N581:O581, 0))), 技能库!$A:$F, 5, 0),"建议查阅考纲")&amp;CHAR(10)&amp;"💡 提升建议: "&amp;IFERROR(VLOOKUP(TRIM(D581)&amp;"_"&amp;TRIM(INDEX($N$1:$O$1, MATCH(MIN(N581:O581), N581:O581, 0))), 技能库!$A:$F, 6, 0),"请针对该题型加强练习"))</f>
        <v/>
      </c>
      <c r="AC581" s="5" t="str">
        <f>IF(W581="","", "⚠️ 薄弱环节: "&amp;INDEX($R$1:$V$1, MATCH(MIN(R581:V581), R581:V581, 0))&amp;CHAR(10)&amp;"📉 考察能力: "&amp;IFERROR(VLOOKUP(TRIM(D581)&amp;"_"&amp;TRIM(INDEX($R$1:$V$1, MATCH(MIN(R581:V581), R581:V581, 0))), 技能库!$A:$F, 5, 0),"建议查阅考纲")&amp;CHAR(10)&amp;"💡 提升建议: "&amp;IFERROR(VLOOKUP(TRIM(D581)&amp;"_"&amp;TRIM(INDEX($R$1:$V$1, MATCH(MIN(R581:V581), R581:V581, 0))), 技能库!$A:$F, 6, 0),"请针对该题型加强练习"))</f>
        <v/>
      </c>
    </row>
    <row r="582" spans="12:29" ht="16" hidden="1" x14ac:dyDescent="0.2">
      <c r="L582" t="str">
        <f t="shared" si="36"/>
        <v/>
      </c>
      <c r="M582" t="str">
        <f>IF(L582="","", IFERROR(VLOOKUP(L582, IF(D582="KET", 换算标准!$M:$N, IF(D582="PET", 换算标准!$S:$T, 换算标准!$AC:$AD)), 2, TRUE), 0))</f>
        <v/>
      </c>
      <c r="P582" t="str">
        <f t="shared" si="37"/>
        <v/>
      </c>
      <c r="Q582" t="str">
        <f>IF(P582="","", IFERROR(VLOOKUP(P582, IF(D582="KET", 换算标准!$O:$P, IF(D582="PET", 换算标准!$U:$V, 换算标准!$AG:$AH)), 2, TRUE), 0))</f>
        <v/>
      </c>
      <c r="W582" t="str">
        <f t="shared" si="38"/>
        <v/>
      </c>
      <c r="X582" t="str">
        <f>IF(W582="","", IFERROR(VLOOKUP(W582, IF(D582="KET", 换算标准!$Q:$R, IF(D582="PET", 换算标准!$W:$X, 换算标准!$AI:$AJ)), 2, TRUE), 0))</f>
        <v/>
      </c>
      <c r="Y582" t="str">
        <f t="shared" si="39"/>
        <v/>
      </c>
      <c r="Z582" t="str">
        <f>IF(Y582="","", IFERROR(VLOOKUP(Y582, 换算标准!$Z:$AA, 1, TRUE), ""))</f>
        <v/>
      </c>
      <c r="AA582" s="5" t="str">
        <f>IF(L582="","", "⚠️ 薄弱环节: "&amp;INDEX($E$1:$K$1, MATCH(MIN(E582:K582), E582:K582, 0))&amp;CHAR(10)&amp;"📉 考察能力: "&amp;IFERROR(VLOOKUP(TRIM(D582)&amp;"_"&amp;TRIM(INDEX($E$1:$K$1, MATCH(MIN(E582:K582), E582:K582, 0))), 技能库!$A:$F, 5, 0),"建议查阅考纲")&amp;CHAR(10)&amp;"💡 提升建议: "&amp;IFERROR(VLOOKUP(TRIM(D582)&amp;"_"&amp;TRIM(INDEX($E$1:$K$1, MATCH(MIN(E582:K582), E582:K582, 0))), 技能库!$A:$F, 6, 0),"请针对该题型加强练习"))</f>
        <v/>
      </c>
      <c r="AB582" s="5" t="str">
        <f>IF(P582="","", "⚠️ 薄弱环节: "&amp;INDEX($N$1:$O$1, MATCH(MIN(N582:O582), N582:O582, 0))&amp;CHAR(10)&amp;"📉 考察能力: "&amp;IFERROR(VLOOKUP(TRIM(D582)&amp;"_"&amp;TRIM(INDEX($N$1:$O$1, MATCH(MIN(N582:O582), N582:O582, 0))), 技能库!$A:$F, 5, 0),"建议查阅考纲")&amp;CHAR(10)&amp;"💡 提升建议: "&amp;IFERROR(VLOOKUP(TRIM(D582)&amp;"_"&amp;TRIM(INDEX($N$1:$O$1, MATCH(MIN(N582:O582), N582:O582, 0))), 技能库!$A:$F, 6, 0),"请针对该题型加强练习"))</f>
        <v/>
      </c>
      <c r="AC582" s="5" t="str">
        <f>IF(W582="","", "⚠️ 薄弱环节: "&amp;INDEX($R$1:$V$1, MATCH(MIN(R582:V582), R582:V582, 0))&amp;CHAR(10)&amp;"📉 考察能力: "&amp;IFERROR(VLOOKUP(TRIM(D582)&amp;"_"&amp;TRIM(INDEX($R$1:$V$1, MATCH(MIN(R582:V582), R582:V582, 0))), 技能库!$A:$F, 5, 0),"建议查阅考纲")&amp;CHAR(10)&amp;"💡 提升建议: "&amp;IFERROR(VLOOKUP(TRIM(D582)&amp;"_"&amp;TRIM(INDEX($R$1:$V$1, MATCH(MIN(R582:V582), R582:V582, 0))), 技能库!$A:$F, 6, 0),"请针对该题型加强练习"))</f>
        <v/>
      </c>
    </row>
    <row r="583" spans="12:29" ht="16" hidden="1" x14ac:dyDescent="0.2">
      <c r="L583" t="str">
        <f t="shared" si="36"/>
        <v/>
      </c>
      <c r="M583" t="str">
        <f>IF(L583="","", IFERROR(VLOOKUP(L583, IF(D583="KET", 换算标准!$M:$N, IF(D583="PET", 换算标准!$S:$T, 换算标准!$AC:$AD)), 2, TRUE), 0))</f>
        <v/>
      </c>
      <c r="P583" t="str">
        <f t="shared" si="37"/>
        <v/>
      </c>
      <c r="Q583" t="str">
        <f>IF(P583="","", IFERROR(VLOOKUP(P583, IF(D583="KET", 换算标准!$O:$P, IF(D583="PET", 换算标准!$U:$V, 换算标准!$AG:$AH)), 2, TRUE), 0))</f>
        <v/>
      </c>
      <c r="W583" t="str">
        <f t="shared" si="38"/>
        <v/>
      </c>
      <c r="X583" t="str">
        <f>IF(W583="","", IFERROR(VLOOKUP(W583, IF(D583="KET", 换算标准!$Q:$R, IF(D583="PET", 换算标准!$W:$X, 换算标准!$AI:$AJ)), 2, TRUE), 0))</f>
        <v/>
      </c>
      <c r="Y583" t="str">
        <f t="shared" si="39"/>
        <v/>
      </c>
      <c r="Z583" t="str">
        <f>IF(Y583="","", IFERROR(VLOOKUP(Y583, 换算标准!$Z:$AA, 1, TRUE), ""))</f>
        <v/>
      </c>
      <c r="AA583" s="5" t="str">
        <f>IF(L583="","", "⚠️ 薄弱环节: "&amp;INDEX($E$1:$K$1, MATCH(MIN(E583:K583), E583:K583, 0))&amp;CHAR(10)&amp;"📉 考察能力: "&amp;IFERROR(VLOOKUP(TRIM(D583)&amp;"_"&amp;TRIM(INDEX($E$1:$K$1, MATCH(MIN(E583:K583), E583:K583, 0))), 技能库!$A:$F, 5, 0),"建议查阅考纲")&amp;CHAR(10)&amp;"💡 提升建议: "&amp;IFERROR(VLOOKUP(TRIM(D583)&amp;"_"&amp;TRIM(INDEX($E$1:$K$1, MATCH(MIN(E583:K583), E583:K583, 0))), 技能库!$A:$F, 6, 0),"请针对该题型加强练习"))</f>
        <v/>
      </c>
      <c r="AB583" s="5" t="str">
        <f>IF(P583="","", "⚠️ 薄弱环节: "&amp;INDEX($N$1:$O$1, MATCH(MIN(N583:O583), N583:O583, 0))&amp;CHAR(10)&amp;"📉 考察能力: "&amp;IFERROR(VLOOKUP(TRIM(D583)&amp;"_"&amp;TRIM(INDEX($N$1:$O$1, MATCH(MIN(N583:O583), N583:O583, 0))), 技能库!$A:$F, 5, 0),"建议查阅考纲")&amp;CHAR(10)&amp;"💡 提升建议: "&amp;IFERROR(VLOOKUP(TRIM(D583)&amp;"_"&amp;TRIM(INDEX($N$1:$O$1, MATCH(MIN(N583:O583), N583:O583, 0))), 技能库!$A:$F, 6, 0),"请针对该题型加强练习"))</f>
        <v/>
      </c>
      <c r="AC583" s="5" t="str">
        <f>IF(W583="","", "⚠️ 薄弱环节: "&amp;INDEX($R$1:$V$1, MATCH(MIN(R583:V583), R583:V583, 0))&amp;CHAR(10)&amp;"📉 考察能力: "&amp;IFERROR(VLOOKUP(TRIM(D583)&amp;"_"&amp;TRIM(INDEX($R$1:$V$1, MATCH(MIN(R583:V583), R583:V583, 0))), 技能库!$A:$F, 5, 0),"建议查阅考纲")&amp;CHAR(10)&amp;"💡 提升建议: "&amp;IFERROR(VLOOKUP(TRIM(D583)&amp;"_"&amp;TRIM(INDEX($R$1:$V$1, MATCH(MIN(R583:V583), R583:V583, 0))), 技能库!$A:$F, 6, 0),"请针对该题型加强练习"))</f>
        <v/>
      </c>
    </row>
    <row r="584" spans="12:29" ht="16" hidden="1" x14ac:dyDescent="0.2">
      <c r="L584" t="str">
        <f t="shared" si="36"/>
        <v/>
      </c>
      <c r="M584" t="str">
        <f>IF(L584="","", IFERROR(VLOOKUP(L584, IF(D584="KET", 换算标准!$M:$N, IF(D584="PET", 换算标准!$S:$T, 换算标准!$AC:$AD)), 2, TRUE), 0))</f>
        <v/>
      </c>
      <c r="P584" t="str">
        <f t="shared" si="37"/>
        <v/>
      </c>
      <c r="Q584" t="str">
        <f>IF(P584="","", IFERROR(VLOOKUP(P584, IF(D584="KET", 换算标准!$O:$P, IF(D584="PET", 换算标准!$U:$V, 换算标准!$AG:$AH)), 2, TRUE), 0))</f>
        <v/>
      </c>
      <c r="W584" t="str">
        <f t="shared" si="38"/>
        <v/>
      </c>
      <c r="X584" t="str">
        <f>IF(W584="","", IFERROR(VLOOKUP(W584, IF(D584="KET", 换算标准!$Q:$R, IF(D584="PET", 换算标准!$W:$X, 换算标准!$AI:$AJ)), 2, TRUE), 0))</f>
        <v/>
      </c>
      <c r="Y584" t="str">
        <f t="shared" si="39"/>
        <v/>
      </c>
      <c r="Z584" t="str">
        <f>IF(Y584="","", IFERROR(VLOOKUP(Y584, 换算标准!$Z:$AA, 1, TRUE), ""))</f>
        <v/>
      </c>
      <c r="AA584" s="5" t="str">
        <f>IF(L584="","", "⚠️ 薄弱环节: "&amp;INDEX($E$1:$K$1, MATCH(MIN(E584:K584), E584:K584, 0))&amp;CHAR(10)&amp;"📉 考察能力: "&amp;IFERROR(VLOOKUP(TRIM(D584)&amp;"_"&amp;TRIM(INDEX($E$1:$K$1, MATCH(MIN(E584:K584), E584:K584, 0))), 技能库!$A:$F, 5, 0),"建议查阅考纲")&amp;CHAR(10)&amp;"💡 提升建议: "&amp;IFERROR(VLOOKUP(TRIM(D584)&amp;"_"&amp;TRIM(INDEX($E$1:$K$1, MATCH(MIN(E584:K584), E584:K584, 0))), 技能库!$A:$F, 6, 0),"请针对该题型加强练习"))</f>
        <v/>
      </c>
      <c r="AB584" s="5" t="str">
        <f>IF(P584="","", "⚠️ 薄弱环节: "&amp;INDEX($N$1:$O$1, MATCH(MIN(N584:O584), N584:O584, 0))&amp;CHAR(10)&amp;"📉 考察能力: "&amp;IFERROR(VLOOKUP(TRIM(D584)&amp;"_"&amp;TRIM(INDEX($N$1:$O$1, MATCH(MIN(N584:O584), N584:O584, 0))), 技能库!$A:$F, 5, 0),"建议查阅考纲")&amp;CHAR(10)&amp;"💡 提升建议: "&amp;IFERROR(VLOOKUP(TRIM(D584)&amp;"_"&amp;TRIM(INDEX($N$1:$O$1, MATCH(MIN(N584:O584), N584:O584, 0))), 技能库!$A:$F, 6, 0),"请针对该题型加强练习"))</f>
        <v/>
      </c>
      <c r="AC584" s="5" t="str">
        <f>IF(W584="","", "⚠️ 薄弱环节: "&amp;INDEX($R$1:$V$1, MATCH(MIN(R584:V584), R584:V584, 0))&amp;CHAR(10)&amp;"📉 考察能力: "&amp;IFERROR(VLOOKUP(TRIM(D584)&amp;"_"&amp;TRIM(INDEX($R$1:$V$1, MATCH(MIN(R584:V584), R584:V584, 0))), 技能库!$A:$F, 5, 0),"建议查阅考纲")&amp;CHAR(10)&amp;"💡 提升建议: "&amp;IFERROR(VLOOKUP(TRIM(D584)&amp;"_"&amp;TRIM(INDEX($R$1:$V$1, MATCH(MIN(R584:V584), R584:V584, 0))), 技能库!$A:$F, 6, 0),"请针对该题型加强练习"))</f>
        <v/>
      </c>
    </row>
    <row r="585" spans="12:29" ht="16" hidden="1" x14ac:dyDescent="0.2">
      <c r="L585" t="str">
        <f t="shared" si="36"/>
        <v/>
      </c>
      <c r="M585" t="str">
        <f>IF(L585="","", IFERROR(VLOOKUP(L585, IF(D585="KET", 换算标准!$M:$N, IF(D585="PET", 换算标准!$S:$T, 换算标准!$AC:$AD)), 2, TRUE), 0))</f>
        <v/>
      </c>
      <c r="P585" t="str">
        <f t="shared" si="37"/>
        <v/>
      </c>
      <c r="Q585" t="str">
        <f>IF(P585="","", IFERROR(VLOOKUP(P585, IF(D585="KET", 换算标准!$O:$P, IF(D585="PET", 换算标准!$U:$V, 换算标准!$AG:$AH)), 2, TRUE), 0))</f>
        <v/>
      </c>
      <c r="W585" t="str">
        <f t="shared" si="38"/>
        <v/>
      </c>
      <c r="X585" t="str">
        <f>IF(W585="","", IFERROR(VLOOKUP(W585, IF(D585="KET", 换算标准!$Q:$R, IF(D585="PET", 换算标准!$W:$X, 换算标准!$AI:$AJ)), 2, TRUE), 0))</f>
        <v/>
      </c>
      <c r="Y585" t="str">
        <f t="shared" si="39"/>
        <v/>
      </c>
      <c r="Z585" t="str">
        <f>IF(Y585="","", IFERROR(VLOOKUP(Y585, 换算标准!$Z:$AA, 1, TRUE), ""))</f>
        <v/>
      </c>
      <c r="AA585" s="5" t="str">
        <f>IF(L585="","", "⚠️ 薄弱环节: "&amp;INDEX($E$1:$K$1, MATCH(MIN(E585:K585), E585:K585, 0))&amp;CHAR(10)&amp;"📉 考察能力: "&amp;IFERROR(VLOOKUP(TRIM(D585)&amp;"_"&amp;TRIM(INDEX($E$1:$K$1, MATCH(MIN(E585:K585), E585:K585, 0))), 技能库!$A:$F, 5, 0),"建议查阅考纲")&amp;CHAR(10)&amp;"💡 提升建议: "&amp;IFERROR(VLOOKUP(TRIM(D585)&amp;"_"&amp;TRIM(INDEX($E$1:$K$1, MATCH(MIN(E585:K585), E585:K585, 0))), 技能库!$A:$F, 6, 0),"请针对该题型加强练习"))</f>
        <v/>
      </c>
      <c r="AB585" s="5" t="str">
        <f>IF(P585="","", "⚠️ 薄弱环节: "&amp;INDEX($N$1:$O$1, MATCH(MIN(N585:O585), N585:O585, 0))&amp;CHAR(10)&amp;"📉 考察能力: "&amp;IFERROR(VLOOKUP(TRIM(D585)&amp;"_"&amp;TRIM(INDEX($N$1:$O$1, MATCH(MIN(N585:O585), N585:O585, 0))), 技能库!$A:$F, 5, 0),"建议查阅考纲")&amp;CHAR(10)&amp;"💡 提升建议: "&amp;IFERROR(VLOOKUP(TRIM(D585)&amp;"_"&amp;TRIM(INDEX($N$1:$O$1, MATCH(MIN(N585:O585), N585:O585, 0))), 技能库!$A:$F, 6, 0),"请针对该题型加强练习"))</f>
        <v/>
      </c>
      <c r="AC585" s="5" t="str">
        <f>IF(W585="","", "⚠️ 薄弱环节: "&amp;INDEX($R$1:$V$1, MATCH(MIN(R585:V585), R585:V585, 0))&amp;CHAR(10)&amp;"📉 考察能力: "&amp;IFERROR(VLOOKUP(TRIM(D585)&amp;"_"&amp;TRIM(INDEX($R$1:$V$1, MATCH(MIN(R585:V585), R585:V585, 0))), 技能库!$A:$F, 5, 0),"建议查阅考纲")&amp;CHAR(10)&amp;"💡 提升建议: "&amp;IFERROR(VLOOKUP(TRIM(D585)&amp;"_"&amp;TRIM(INDEX($R$1:$V$1, MATCH(MIN(R585:V585), R585:V585, 0))), 技能库!$A:$F, 6, 0),"请针对该题型加强练习"))</f>
        <v/>
      </c>
    </row>
    <row r="586" spans="12:29" ht="16" hidden="1" x14ac:dyDescent="0.2">
      <c r="L586" t="str">
        <f t="shared" si="36"/>
        <v/>
      </c>
      <c r="M586" t="str">
        <f>IF(L586="","", IFERROR(VLOOKUP(L586, IF(D586="KET", 换算标准!$M:$N, IF(D586="PET", 换算标准!$S:$T, 换算标准!$AC:$AD)), 2, TRUE), 0))</f>
        <v/>
      </c>
      <c r="P586" t="str">
        <f t="shared" si="37"/>
        <v/>
      </c>
      <c r="Q586" t="str">
        <f>IF(P586="","", IFERROR(VLOOKUP(P586, IF(D586="KET", 换算标准!$O:$P, IF(D586="PET", 换算标准!$U:$V, 换算标准!$AG:$AH)), 2, TRUE), 0))</f>
        <v/>
      </c>
      <c r="W586" t="str">
        <f t="shared" si="38"/>
        <v/>
      </c>
      <c r="X586" t="str">
        <f>IF(W586="","", IFERROR(VLOOKUP(W586, IF(D586="KET", 换算标准!$Q:$R, IF(D586="PET", 换算标准!$W:$X, 换算标准!$AI:$AJ)), 2, TRUE), 0))</f>
        <v/>
      </c>
      <c r="Y586" t="str">
        <f t="shared" si="39"/>
        <v/>
      </c>
      <c r="Z586" t="str">
        <f>IF(Y586="","", IFERROR(VLOOKUP(Y586, 换算标准!$Z:$AA, 1, TRUE), ""))</f>
        <v/>
      </c>
      <c r="AA586" s="5" t="str">
        <f>IF(L586="","", "⚠️ 薄弱环节: "&amp;INDEX($E$1:$K$1, MATCH(MIN(E586:K586), E586:K586, 0))&amp;CHAR(10)&amp;"📉 考察能力: "&amp;IFERROR(VLOOKUP(TRIM(D586)&amp;"_"&amp;TRIM(INDEX($E$1:$K$1, MATCH(MIN(E586:K586), E586:K586, 0))), 技能库!$A:$F, 5, 0),"建议查阅考纲")&amp;CHAR(10)&amp;"💡 提升建议: "&amp;IFERROR(VLOOKUP(TRIM(D586)&amp;"_"&amp;TRIM(INDEX($E$1:$K$1, MATCH(MIN(E586:K586), E586:K586, 0))), 技能库!$A:$F, 6, 0),"请针对该题型加强练习"))</f>
        <v/>
      </c>
      <c r="AB586" s="5" t="str">
        <f>IF(P586="","", "⚠️ 薄弱环节: "&amp;INDEX($N$1:$O$1, MATCH(MIN(N586:O586), N586:O586, 0))&amp;CHAR(10)&amp;"📉 考察能力: "&amp;IFERROR(VLOOKUP(TRIM(D586)&amp;"_"&amp;TRIM(INDEX($N$1:$O$1, MATCH(MIN(N586:O586), N586:O586, 0))), 技能库!$A:$F, 5, 0),"建议查阅考纲")&amp;CHAR(10)&amp;"💡 提升建议: "&amp;IFERROR(VLOOKUP(TRIM(D586)&amp;"_"&amp;TRIM(INDEX($N$1:$O$1, MATCH(MIN(N586:O586), N586:O586, 0))), 技能库!$A:$F, 6, 0),"请针对该题型加强练习"))</f>
        <v/>
      </c>
      <c r="AC586" s="5" t="str">
        <f>IF(W586="","", "⚠️ 薄弱环节: "&amp;INDEX($R$1:$V$1, MATCH(MIN(R586:V586), R586:V586, 0))&amp;CHAR(10)&amp;"📉 考察能力: "&amp;IFERROR(VLOOKUP(TRIM(D586)&amp;"_"&amp;TRIM(INDEX($R$1:$V$1, MATCH(MIN(R586:V586), R586:V586, 0))), 技能库!$A:$F, 5, 0),"建议查阅考纲")&amp;CHAR(10)&amp;"💡 提升建议: "&amp;IFERROR(VLOOKUP(TRIM(D586)&amp;"_"&amp;TRIM(INDEX($R$1:$V$1, MATCH(MIN(R586:V586), R586:V586, 0))), 技能库!$A:$F, 6, 0),"请针对该题型加强练习"))</f>
        <v/>
      </c>
    </row>
    <row r="587" spans="12:29" ht="16" hidden="1" x14ac:dyDescent="0.2">
      <c r="L587" t="str">
        <f t="shared" si="36"/>
        <v/>
      </c>
      <c r="M587" t="str">
        <f>IF(L587="","", IFERROR(VLOOKUP(L587, IF(D587="KET", 换算标准!$M:$N, IF(D587="PET", 换算标准!$S:$T, 换算标准!$AC:$AD)), 2, TRUE), 0))</f>
        <v/>
      </c>
      <c r="P587" t="str">
        <f t="shared" si="37"/>
        <v/>
      </c>
      <c r="Q587" t="str">
        <f>IF(P587="","", IFERROR(VLOOKUP(P587, IF(D587="KET", 换算标准!$O:$P, IF(D587="PET", 换算标准!$U:$V, 换算标准!$AG:$AH)), 2, TRUE), 0))</f>
        <v/>
      </c>
      <c r="W587" t="str">
        <f t="shared" si="38"/>
        <v/>
      </c>
      <c r="X587" t="str">
        <f>IF(W587="","", IFERROR(VLOOKUP(W587, IF(D587="KET", 换算标准!$Q:$R, IF(D587="PET", 换算标准!$W:$X, 换算标准!$AI:$AJ)), 2, TRUE), 0))</f>
        <v/>
      </c>
      <c r="Y587" t="str">
        <f t="shared" si="39"/>
        <v/>
      </c>
      <c r="Z587" t="str">
        <f>IF(Y587="","", IFERROR(VLOOKUP(Y587, 换算标准!$Z:$AA, 1, TRUE), ""))</f>
        <v/>
      </c>
      <c r="AA587" s="5" t="str">
        <f>IF(L587="","", "⚠️ 薄弱环节: "&amp;INDEX($E$1:$K$1, MATCH(MIN(E587:K587), E587:K587, 0))&amp;CHAR(10)&amp;"📉 考察能力: "&amp;IFERROR(VLOOKUP(TRIM(D587)&amp;"_"&amp;TRIM(INDEX($E$1:$K$1, MATCH(MIN(E587:K587), E587:K587, 0))), 技能库!$A:$F, 5, 0),"建议查阅考纲")&amp;CHAR(10)&amp;"💡 提升建议: "&amp;IFERROR(VLOOKUP(TRIM(D587)&amp;"_"&amp;TRIM(INDEX($E$1:$K$1, MATCH(MIN(E587:K587), E587:K587, 0))), 技能库!$A:$F, 6, 0),"请针对该题型加强练习"))</f>
        <v/>
      </c>
      <c r="AB587" s="5" t="str">
        <f>IF(P587="","", "⚠️ 薄弱环节: "&amp;INDEX($N$1:$O$1, MATCH(MIN(N587:O587), N587:O587, 0))&amp;CHAR(10)&amp;"📉 考察能力: "&amp;IFERROR(VLOOKUP(TRIM(D587)&amp;"_"&amp;TRIM(INDEX($N$1:$O$1, MATCH(MIN(N587:O587), N587:O587, 0))), 技能库!$A:$F, 5, 0),"建议查阅考纲")&amp;CHAR(10)&amp;"💡 提升建议: "&amp;IFERROR(VLOOKUP(TRIM(D587)&amp;"_"&amp;TRIM(INDEX($N$1:$O$1, MATCH(MIN(N587:O587), N587:O587, 0))), 技能库!$A:$F, 6, 0),"请针对该题型加强练习"))</f>
        <v/>
      </c>
      <c r="AC587" s="5" t="str">
        <f>IF(W587="","", "⚠️ 薄弱环节: "&amp;INDEX($R$1:$V$1, MATCH(MIN(R587:V587), R587:V587, 0))&amp;CHAR(10)&amp;"📉 考察能力: "&amp;IFERROR(VLOOKUP(TRIM(D587)&amp;"_"&amp;TRIM(INDEX($R$1:$V$1, MATCH(MIN(R587:V587), R587:V587, 0))), 技能库!$A:$F, 5, 0),"建议查阅考纲")&amp;CHAR(10)&amp;"💡 提升建议: "&amp;IFERROR(VLOOKUP(TRIM(D587)&amp;"_"&amp;TRIM(INDEX($R$1:$V$1, MATCH(MIN(R587:V587), R587:V587, 0))), 技能库!$A:$F, 6, 0),"请针对该题型加强练习"))</f>
        <v/>
      </c>
    </row>
    <row r="588" spans="12:29" ht="16" hidden="1" x14ac:dyDescent="0.2">
      <c r="L588" t="str">
        <f t="shared" si="36"/>
        <v/>
      </c>
      <c r="M588" t="str">
        <f>IF(L588="","", IFERROR(VLOOKUP(L588, IF(D588="KET", 换算标准!$M:$N, IF(D588="PET", 换算标准!$S:$T, 换算标准!$AC:$AD)), 2, TRUE), 0))</f>
        <v/>
      </c>
      <c r="P588" t="str">
        <f t="shared" si="37"/>
        <v/>
      </c>
      <c r="Q588" t="str">
        <f>IF(P588="","", IFERROR(VLOOKUP(P588, IF(D588="KET", 换算标准!$O:$P, IF(D588="PET", 换算标准!$U:$V, 换算标准!$AG:$AH)), 2, TRUE), 0))</f>
        <v/>
      </c>
      <c r="W588" t="str">
        <f t="shared" si="38"/>
        <v/>
      </c>
      <c r="X588" t="str">
        <f>IF(W588="","", IFERROR(VLOOKUP(W588, IF(D588="KET", 换算标准!$Q:$R, IF(D588="PET", 换算标准!$W:$X, 换算标准!$AI:$AJ)), 2, TRUE), 0))</f>
        <v/>
      </c>
      <c r="Y588" t="str">
        <f t="shared" si="39"/>
        <v/>
      </c>
      <c r="Z588" t="str">
        <f>IF(Y588="","", IFERROR(VLOOKUP(Y588, 换算标准!$Z:$AA, 1, TRUE), ""))</f>
        <v/>
      </c>
      <c r="AA588" s="5" t="str">
        <f>IF(L588="","", "⚠️ 薄弱环节: "&amp;INDEX($E$1:$K$1, MATCH(MIN(E588:K588), E588:K588, 0))&amp;CHAR(10)&amp;"📉 考察能力: "&amp;IFERROR(VLOOKUP(TRIM(D588)&amp;"_"&amp;TRIM(INDEX($E$1:$K$1, MATCH(MIN(E588:K588), E588:K588, 0))), 技能库!$A:$F, 5, 0),"建议查阅考纲")&amp;CHAR(10)&amp;"💡 提升建议: "&amp;IFERROR(VLOOKUP(TRIM(D588)&amp;"_"&amp;TRIM(INDEX($E$1:$K$1, MATCH(MIN(E588:K588), E588:K588, 0))), 技能库!$A:$F, 6, 0),"请针对该题型加强练习"))</f>
        <v/>
      </c>
      <c r="AB588" s="5" t="str">
        <f>IF(P588="","", "⚠️ 薄弱环节: "&amp;INDEX($N$1:$O$1, MATCH(MIN(N588:O588), N588:O588, 0))&amp;CHAR(10)&amp;"📉 考察能力: "&amp;IFERROR(VLOOKUP(TRIM(D588)&amp;"_"&amp;TRIM(INDEX($N$1:$O$1, MATCH(MIN(N588:O588), N588:O588, 0))), 技能库!$A:$F, 5, 0),"建议查阅考纲")&amp;CHAR(10)&amp;"💡 提升建议: "&amp;IFERROR(VLOOKUP(TRIM(D588)&amp;"_"&amp;TRIM(INDEX($N$1:$O$1, MATCH(MIN(N588:O588), N588:O588, 0))), 技能库!$A:$F, 6, 0),"请针对该题型加强练习"))</f>
        <v/>
      </c>
      <c r="AC588" s="5" t="str">
        <f>IF(W588="","", "⚠️ 薄弱环节: "&amp;INDEX($R$1:$V$1, MATCH(MIN(R588:V588), R588:V588, 0))&amp;CHAR(10)&amp;"📉 考察能力: "&amp;IFERROR(VLOOKUP(TRIM(D588)&amp;"_"&amp;TRIM(INDEX($R$1:$V$1, MATCH(MIN(R588:V588), R588:V588, 0))), 技能库!$A:$F, 5, 0),"建议查阅考纲")&amp;CHAR(10)&amp;"💡 提升建议: "&amp;IFERROR(VLOOKUP(TRIM(D588)&amp;"_"&amp;TRIM(INDEX($R$1:$V$1, MATCH(MIN(R588:V588), R588:V588, 0))), 技能库!$A:$F, 6, 0),"请针对该题型加强练习"))</f>
        <v/>
      </c>
    </row>
    <row r="589" spans="12:29" ht="16" hidden="1" x14ac:dyDescent="0.2">
      <c r="L589" t="str">
        <f t="shared" si="36"/>
        <v/>
      </c>
      <c r="M589" t="str">
        <f>IF(L589="","", IFERROR(VLOOKUP(L589, IF(D589="KET", 换算标准!$M:$N, IF(D589="PET", 换算标准!$S:$T, 换算标准!$AC:$AD)), 2, TRUE), 0))</f>
        <v/>
      </c>
      <c r="P589" t="str">
        <f t="shared" si="37"/>
        <v/>
      </c>
      <c r="Q589" t="str">
        <f>IF(P589="","", IFERROR(VLOOKUP(P589, IF(D589="KET", 换算标准!$O:$P, IF(D589="PET", 换算标准!$U:$V, 换算标准!$AG:$AH)), 2, TRUE), 0))</f>
        <v/>
      </c>
      <c r="W589" t="str">
        <f t="shared" si="38"/>
        <v/>
      </c>
      <c r="X589" t="str">
        <f>IF(W589="","", IFERROR(VLOOKUP(W589, IF(D589="KET", 换算标准!$Q:$R, IF(D589="PET", 换算标准!$W:$X, 换算标准!$AI:$AJ)), 2, TRUE), 0))</f>
        <v/>
      </c>
      <c r="Y589" t="str">
        <f t="shared" si="39"/>
        <v/>
      </c>
      <c r="Z589" t="str">
        <f>IF(Y589="","", IFERROR(VLOOKUP(Y589, 换算标准!$Z:$AA, 1, TRUE), ""))</f>
        <v/>
      </c>
      <c r="AA589" s="5" t="str">
        <f>IF(L589="","", "⚠️ 薄弱环节: "&amp;INDEX($E$1:$K$1, MATCH(MIN(E589:K589), E589:K589, 0))&amp;CHAR(10)&amp;"📉 考察能力: "&amp;IFERROR(VLOOKUP(TRIM(D589)&amp;"_"&amp;TRIM(INDEX($E$1:$K$1, MATCH(MIN(E589:K589), E589:K589, 0))), 技能库!$A:$F, 5, 0),"建议查阅考纲")&amp;CHAR(10)&amp;"💡 提升建议: "&amp;IFERROR(VLOOKUP(TRIM(D589)&amp;"_"&amp;TRIM(INDEX($E$1:$K$1, MATCH(MIN(E589:K589), E589:K589, 0))), 技能库!$A:$F, 6, 0),"请针对该题型加强练习"))</f>
        <v/>
      </c>
      <c r="AB589" s="5" t="str">
        <f>IF(P589="","", "⚠️ 薄弱环节: "&amp;INDEX($N$1:$O$1, MATCH(MIN(N589:O589), N589:O589, 0))&amp;CHAR(10)&amp;"📉 考察能力: "&amp;IFERROR(VLOOKUP(TRIM(D589)&amp;"_"&amp;TRIM(INDEX($N$1:$O$1, MATCH(MIN(N589:O589), N589:O589, 0))), 技能库!$A:$F, 5, 0),"建议查阅考纲")&amp;CHAR(10)&amp;"💡 提升建议: "&amp;IFERROR(VLOOKUP(TRIM(D589)&amp;"_"&amp;TRIM(INDEX($N$1:$O$1, MATCH(MIN(N589:O589), N589:O589, 0))), 技能库!$A:$F, 6, 0),"请针对该题型加强练习"))</f>
        <v/>
      </c>
      <c r="AC589" s="5" t="str">
        <f>IF(W589="","", "⚠️ 薄弱环节: "&amp;INDEX($R$1:$V$1, MATCH(MIN(R589:V589), R589:V589, 0))&amp;CHAR(10)&amp;"📉 考察能力: "&amp;IFERROR(VLOOKUP(TRIM(D589)&amp;"_"&amp;TRIM(INDEX($R$1:$V$1, MATCH(MIN(R589:V589), R589:V589, 0))), 技能库!$A:$F, 5, 0),"建议查阅考纲")&amp;CHAR(10)&amp;"💡 提升建议: "&amp;IFERROR(VLOOKUP(TRIM(D589)&amp;"_"&amp;TRIM(INDEX($R$1:$V$1, MATCH(MIN(R589:V589), R589:V589, 0))), 技能库!$A:$F, 6, 0),"请针对该题型加强练习"))</f>
        <v/>
      </c>
    </row>
    <row r="590" spans="12:29" ht="16" hidden="1" x14ac:dyDescent="0.2">
      <c r="L590" t="str">
        <f t="shared" si="36"/>
        <v/>
      </c>
      <c r="M590" t="str">
        <f>IF(L590="","", IFERROR(VLOOKUP(L590, IF(D590="KET", 换算标准!$M:$N, IF(D590="PET", 换算标准!$S:$T, 换算标准!$AC:$AD)), 2, TRUE), 0))</f>
        <v/>
      </c>
      <c r="P590" t="str">
        <f t="shared" si="37"/>
        <v/>
      </c>
      <c r="Q590" t="str">
        <f>IF(P590="","", IFERROR(VLOOKUP(P590, IF(D590="KET", 换算标准!$O:$P, IF(D590="PET", 换算标准!$U:$V, 换算标准!$AG:$AH)), 2, TRUE), 0))</f>
        <v/>
      </c>
      <c r="W590" t="str">
        <f t="shared" si="38"/>
        <v/>
      </c>
      <c r="X590" t="str">
        <f>IF(W590="","", IFERROR(VLOOKUP(W590, IF(D590="KET", 换算标准!$Q:$R, IF(D590="PET", 换算标准!$W:$X, 换算标准!$AI:$AJ)), 2, TRUE), 0))</f>
        <v/>
      </c>
      <c r="Y590" t="str">
        <f t="shared" si="39"/>
        <v/>
      </c>
      <c r="Z590" t="str">
        <f>IF(Y590="","", IFERROR(VLOOKUP(Y590, 换算标准!$Z:$AA, 1, TRUE), ""))</f>
        <v/>
      </c>
      <c r="AA590" s="5" t="str">
        <f>IF(L590="","", "⚠️ 薄弱环节: "&amp;INDEX($E$1:$K$1, MATCH(MIN(E590:K590), E590:K590, 0))&amp;CHAR(10)&amp;"📉 考察能力: "&amp;IFERROR(VLOOKUP(TRIM(D590)&amp;"_"&amp;TRIM(INDEX($E$1:$K$1, MATCH(MIN(E590:K590), E590:K590, 0))), 技能库!$A:$F, 5, 0),"建议查阅考纲")&amp;CHAR(10)&amp;"💡 提升建议: "&amp;IFERROR(VLOOKUP(TRIM(D590)&amp;"_"&amp;TRIM(INDEX($E$1:$K$1, MATCH(MIN(E590:K590), E590:K590, 0))), 技能库!$A:$F, 6, 0),"请针对该题型加强练习"))</f>
        <v/>
      </c>
      <c r="AB590" s="5" t="str">
        <f>IF(P590="","", "⚠️ 薄弱环节: "&amp;INDEX($N$1:$O$1, MATCH(MIN(N590:O590), N590:O590, 0))&amp;CHAR(10)&amp;"📉 考察能力: "&amp;IFERROR(VLOOKUP(TRIM(D590)&amp;"_"&amp;TRIM(INDEX($N$1:$O$1, MATCH(MIN(N590:O590), N590:O590, 0))), 技能库!$A:$F, 5, 0),"建议查阅考纲")&amp;CHAR(10)&amp;"💡 提升建议: "&amp;IFERROR(VLOOKUP(TRIM(D590)&amp;"_"&amp;TRIM(INDEX($N$1:$O$1, MATCH(MIN(N590:O590), N590:O590, 0))), 技能库!$A:$F, 6, 0),"请针对该题型加强练习"))</f>
        <v/>
      </c>
      <c r="AC590" s="5" t="str">
        <f>IF(W590="","", "⚠️ 薄弱环节: "&amp;INDEX($R$1:$V$1, MATCH(MIN(R590:V590), R590:V590, 0))&amp;CHAR(10)&amp;"📉 考察能力: "&amp;IFERROR(VLOOKUP(TRIM(D590)&amp;"_"&amp;TRIM(INDEX($R$1:$V$1, MATCH(MIN(R590:V590), R590:V590, 0))), 技能库!$A:$F, 5, 0),"建议查阅考纲")&amp;CHAR(10)&amp;"💡 提升建议: "&amp;IFERROR(VLOOKUP(TRIM(D590)&amp;"_"&amp;TRIM(INDEX($R$1:$V$1, MATCH(MIN(R590:V590), R590:V590, 0))), 技能库!$A:$F, 6, 0),"请针对该题型加强练习"))</f>
        <v/>
      </c>
    </row>
    <row r="591" spans="12:29" ht="16" hidden="1" x14ac:dyDescent="0.2">
      <c r="L591" t="str">
        <f t="shared" si="36"/>
        <v/>
      </c>
      <c r="M591" t="str">
        <f>IF(L591="","", IFERROR(VLOOKUP(L591, IF(D591="KET", 换算标准!$M:$N, IF(D591="PET", 换算标准!$S:$T, 换算标准!$AC:$AD)), 2, TRUE), 0))</f>
        <v/>
      </c>
      <c r="P591" t="str">
        <f t="shared" si="37"/>
        <v/>
      </c>
      <c r="Q591" t="str">
        <f>IF(P591="","", IFERROR(VLOOKUP(P591, IF(D591="KET", 换算标准!$O:$P, IF(D591="PET", 换算标准!$U:$V, 换算标准!$AG:$AH)), 2, TRUE), 0))</f>
        <v/>
      </c>
      <c r="W591" t="str">
        <f t="shared" si="38"/>
        <v/>
      </c>
      <c r="X591" t="str">
        <f>IF(W591="","", IFERROR(VLOOKUP(W591, IF(D591="KET", 换算标准!$Q:$R, IF(D591="PET", 换算标准!$W:$X, 换算标准!$AI:$AJ)), 2, TRUE), 0))</f>
        <v/>
      </c>
      <c r="Y591" t="str">
        <f t="shared" si="39"/>
        <v/>
      </c>
      <c r="Z591" t="str">
        <f>IF(Y591="","", IFERROR(VLOOKUP(Y591, 换算标准!$Z:$AA, 1, TRUE), ""))</f>
        <v/>
      </c>
      <c r="AA591" s="5" t="str">
        <f>IF(L591="","", "⚠️ 薄弱环节: "&amp;INDEX($E$1:$K$1, MATCH(MIN(E591:K591), E591:K591, 0))&amp;CHAR(10)&amp;"📉 考察能力: "&amp;IFERROR(VLOOKUP(TRIM(D591)&amp;"_"&amp;TRIM(INDEX($E$1:$K$1, MATCH(MIN(E591:K591), E591:K591, 0))), 技能库!$A:$F, 5, 0),"建议查阅考纲")&amp;CHAR(10)&amp;"💡 提升建议: "&amp;IFERROR(VLOOKUP(TRIM(D591)&amp;"_"&amp;TRIM(INDEX($E$1:$K$1, MATCH(MIN(E591:K591), E591:K591, 0))), 技能库!$A:$F, 6, 0),"请针对该题型加强练习"))</f>
        <v/>
      </c>
      <c r="AB591" s="5" t="str">
        <f>IF(P591="","", "⚠️ 薄弱环节: "&amp;INDEX($N$1:$O$1, MATCH(MIN(N591:O591), N591:O591, 0))&amp;CHAR(10)&amp;"📉 考察能力: "&amp;IFERROR(VLOOKUP(TRIM(D591)&amp;"_"&amp;TRIM(INDEX($N$1:$O$1, MATCH(MIN(N591:O591), N591:O591, 0))), 技能库!$A:$F, 5, 0),"建议查阅考纲")&amp;CHAR(10)&amp;"💡 提升建议: "&amp;IFERROR(VLOOKUP(TRIM(D591)&amp;"_"&amp;TRIM(INDEX($N$1:$O$1, MATCH(MIN(N591:O591), N591:O591, 0))), 技能库!$A:$F, 6, 0),"请针对该题型加强练习"))</f>
        <v/>
      </c>
      <c r="AC591" s="5" t="str">
        <f>IF(W591="","", "⚠️ 薄弱环节: "&amp;INDEX($R$1:$V$1, MATCH(MIN(R591:V591), R591:V591, 0))&amp;CHAR(10)&amp;"📉 考察能力: "&amp;IFERROR(VLOOKUP(TRIM(D591)&amp;"_"&amp;TRIM(INDEX($R$1:$V$1, MATCH(MIN(R591:V591), R591:V591, 0))), 技能库!$A:$F, 5, 0),"建议查阅考纲")&amp;CHAR(10)&amp;"💡 提升建议: "&amp;IFERROR(VLOOKUP(TRIM(D591)&amp;"_"&amp;TRIM(INDEX($R$1:$V$1, MATCH(MIN(R591:V591), R591:V591, 0))), 技能库!$A:$F, 6, 0),"请针对该题型加强练习"))</f>
        <v/>
      </c>
    </row>
    <row r="592" spans="12:29" ht="16" hidden="1" x14ac:dyDescent="0.2">
      <c r="L592" t="str">
        <f t="shared" si="36"/>
        <v/>
      </c>
      <c r="M592" t="str">
        <f>IF(L592="","", IFERROR(VLOOKUP(L592, IF(D592="KET", 换算标准!$M:$N, IF(D592="PET", 换算标准!$S:$T, 换算标准!$AC:$AD)), 2, TRUE), 0))</f>
        <v/>
      </c>
      <c r="P592" t="str">
        <f t="shared" si="37"/>
        <v/>
      </c>
      <c r="Q592" t="str">
        <f>IF(P592="","", IFERROR(VLOOKUP(P592, IF(D592="KET", 换算标准!$O:$P, IF(D592="PET", 换算标准!$U:$V, 换算标准!$AG:$AH)), 2, TRUE), 0))</f>
        <v/>
      </c>
      <c r="W592" t="str">
        <f t="shared" si="38"/>
        <v/>
      </c>
      <c r="X592" t="str">
        <f>IF(W592="","", IFERROR(VLOOKUP(W592, IF(D592="KET", 换算标准!$Q:$R, IF(D592="PET", 换算标准!$W:$X, 换算标准!$AI:$AJ)), 2, TRUE), 0))</f>
        <v/>
      </c>
      <c r="Y592" t="str">
        <f t="shared" si="39"/>
        <v/>
      </c>
      <c r="Z592" t="str">
        <f>IF(Y592="","", IFERROR(VLOOKUP(Y592, 换算标准!$Z:$AA, 1, TRUE), ""))</f>
        <v/>
      </c>
      <c r="AA592" s="5" t="str">
        <f>IF(L592="","", "⚠️ 薄弱环节: "&amp;INDEX($E$1:$K$1, MATCH(MIN(E592:K592), E592:K592, 0))&amp;CHAR(10)&amp;"📉 考察能力: "&amp;IFERROR(VLOOKUP(TRIM(D592)&amp;"_"&amp;TRIM(INDEX($E$1:$K$1, MATCH(MIN(E592:K592), E592:K592, 0))), 技能库!$A:$F, 5, 0),"建议查阅考纲")&amp;CHAR(10)&amp;"💡 提升建议: "&amp;IFERROR(VLOOKUP(TRIM(D592)&amp;"_"&amp;TRIM(INDEX($E$1:$K$1, MATCH(MIN(E592:K592), E592:K592, 0))), 技能库!$A:$F, 6, 0),"请针对该题型加强练习"))</f>
        <v/>
      </c>
      <c r="AB592" s="5" t="str">
        <f>IF(P592="","", "⚠️ 薄弱环节: "&amp;INDEX($N$1:$O$1, MATCH(MIN(N592:O592), N592:O592, 0))&amp;CHAR(10)&amp;"📉 考察能力: "&amp;IFERROR(VLOOKUP(TRIM(D592)&amp;"_"&amp;TRIM(INDEX($N$1:$O$1, MATCH(MIN(N592:O592), N592:O592, 0))), 技能库!$A:$F, 5, 0),"建议查阅考纲")&amp;CHAR(10)&amp;"💡 提升建议: "&amp;IFERROR(VLOOKUP(TRIM(D592)&amp;"_"&amp;TRIM(INDEX($N$1:$O$1, MATCH(MIN(N592:O592), N592:O592, 0))), 技能库!$A:$F, 6, 0),"请针对该题型加强练习"))</f>
        <v/>
      </c>
      <c r="AC592" s="5" t="str">
        <f>IF(W592="","", "⚠️ 薄弱环节: "&amp;INDEX($R$1:$V$1, MATCH(MIN(R592:V592), R592:V592, 0))&amp;CHAR(10)&amp;"📉 考察能力: "&amp;IFERROR(VLOOKUP(TRIM(D592)&amp;"_"&amp;TRIM(INDEX($R$1:$V$1, MATCH(MIN(R592:V592), R592:V592, 0))), 技能库!$A:$F, 5, 0),"建议查阅考纲")&amp;CHAR(10)&amp;"💡 提升建议: "&amp;IFERROR(VLOOKUP(TRIM(D592)&amp;"_"&amp;TRIM(INDEX($R$1:$V$1, MATCH(MIN(R592:V592), R592:V592, 0))), 技能库!$A:$F, 6, 0),"请针对该题型加强练习"))</f>
        <v/>
      </c>
    </row>
    <row r="593" spans="12:29" ht="16" hidden="1" x14ac:dyDescent="0.2">
      <c r="L593" t="str">
        <f t="shared" si="36"/>
        <v/>
      </c>
      <c r="M593" t="str">
        <f>IF(L593="","", IFERROR(VLOOKUP(L593, IF(D593="KET", 换算标准!$M:$N, IF(D593="PET", 换算标准!$S:$T, 换算标准!$AC:$AD)), 2, TRUE), 0))</f>
        <v/>
      </c>
      <c r="P593" t="str">
        <f t="shared" si="37"/>
        <v/>
      </c>
      <c r="Q593" t="str">
        <f>IF(P593="","", IFERROR(VLOOKUP(P593, IF(D593="KET", 换算标准!$O:$P, IF(D593="PET", 换算标准!$U:$V, 换算标准!$AG:$AH)), 2, TRUE), 0))</f>
        <v/>
      </c>
      <c r="W593" t="str">
        <f t="shared" si="38"/>
        <v/>
      </c>
      <c r="X593" t="str">
        <f>IF(W593="","", IFERROR(VLOOKUP(W593, IF(D593="KET", 换算标准!$Q:$R, IF(D593="PET", 换算标准!$W:$X, 换算标准!$AI:$AJ)), 2, TRUE), 0))</f>
        <v/>
      </c>
      <c r="Y593" t="str">
        <f t="shared" si="39"/>
        <v/>
      </c>
      <c r="Z593" t="str">
        <f>IF(Y593="","", IFERROR(VLOOKUP(Y593, 换算标准!$Z:$AA, 1, TRUE), ""))</f>
        <v/>
      </c>
      <c r="AA593" s="5" t="str">
        <f>IF(L593="","", "⚠️ 薄弱环节: "&amp;INDEX($E$1:$K$1, MATCH(MIN(E593:K593), E593:K593, 0))&amp;CHAR(10)&amp;"📉 考察能力: "&amp;IFERROR(VLOOKUP(TRIM(D593)&amp;"_"&amp;TRIM(INDEX($E$1:$K$1, MATCH(MIN(E593:K593), E593:K593, 0))), 技能库!$A:$F, 5, 0),"建议查阅考纲")&amp;CHAR(10)&amp;"💡 提升建议: "&amp;IFERROR(VLOOKUP(TRIM(D593)&amp;"_"&amp;TRIM(INDEX($E$1:$K$1, MATCH(MIN(E593:K593), E593:K593, 0))), 技能库!$A:$F, 6, 0),"请针对该题型加强练习"))</f>
        <v/>
      </c>
      <c r="AB593" s="5" t="str">
        <f>IF(P593="","", "⚠️ 薄弱环节: "&amp;INDEX($N$1:$O$1, MATCH(MIN(N593:O593), N593:O593, 0))&amp;CHAR(10)&amp;"📉 考察能力: "&amp;IFERROR(VLOOKUP(TRIM(D593)&amp;"_"&amp;TRIM(INDEX($N$1:$O$1, MATCH(MIN(N593:O593), N593:O593, 0))), 技能库!$A:$F, 5, 0),"建议查阅考纲")&amp;CHAR(10)&amp;"💡 提升建议: "&amp;IFERROR(VLOOKUP(TRIM(D593)&amp;"_"&amp;TRIM(INDEX($N$1:$O$1, MATCH(MIN(N593:O593), N593:O593, 0))), 技能库!$A:$F, 6, 0),"请针对该题型加强练习"))</f>
        <v/>
      </c>
      <c r="AC593" s="5" t="str">
        <f>IF(W593="","", "⚠️ 薄弱环节: "&amp;INDEX($R$1:$V$1, MATCH(MIN(R593:V593), R593:V593, 0))&amp;CHAR(10)&amp;"📉 考察能力: "&amp;IFERROR(VLOOKUP(TRIM(D593)&amp;"_"&amp;TRIM(INDEX($R$1:$V$1, MATCH(MIN(R593:V593), R593:V593, 0))), 技能库!$A:$F, 5, 0),"建议查阅考纲")&amp;CHAR(10)&amp;"💡 提升建议: "&amp;IFERROR(VLOOKUP(TRIM(D593)&amp;"_"&amp;TRIM(INDEX($R$1:$V$1, MATCH(MIN(R593:V593), R593:V593, 0))), 技能库!$A:$F, 6, 0),"请针对该题型加强练习"))</f>
        <v/>
      </c>
    </row>
    <row r="594" spans="12:29" ht="16" hidden="1" x14ac:dyDescent="0.2">
      <c r="L594" t="str">
        <f t="shared" si="36"/>
        <v/>
      </c>
      <c r="M594" t="str">
        <f>IF(L594="","", IFERROR(VLOOKUP(L594, IF(D594="KET", 换算标准!$M:$N, IF(D594="PET", 换算标准!$S:$T, 换算标准!$AC:$AD)), 2, TRUE), 0))</f>
        <v/>
      </c>
      <c r="P594" t="str">
        <f t="shared" si="37"/>
        <v/>
      </c>
      <c r="Q594" t="str">
        <f>IF(P594="","", IFERROR(VLOOKUP(P594, IF(D594="KET", 换算标准!$O:$P, IF(D594="PET", 换算标准!$U:$V, 换算标准!$AG:$AH)), 2, TRUE), 0))</f>
        <v/>
      </c>
      <c r="W594" t="str">
        <f t="shared" si="38"/>
        <v/>
      </c>
      <c r="X594" t="str">
        <f>IF(W594="","", IFERROR(VLOOKUP(W594, IF(D594="KET", 换算标准!$Q:$R, IF(D594="PET", 换算标准!$W:$X, 换算标准!$AI:$AJ)), 2, TRUE), 0))</f>
        <v/>
      </c>
      <c r="Y594" t="str">
        <f t="shared" si="39"/>
        <v/>
      </c>
      <c r="Z594" t="str">
        <f>IF(Y594="","", IFERROR(VLOOKUP(Y594, 换算标准!$Z:$AA, 1, TRUE), ""))</f>
        <v/>
      </c>
      <c r="AA594" s="5" t="str">
        <f>IF(L594="","", "⚠️ 薄弱环节: "&amp;INDEX($E$1:$K$1, MATCH(MIN(E594:K594), E594:K594, 0))&amp;CHAR(10)&amp;"📉 考察能力: "&amp;IFERROR(VLOOKUP(TRIM(D594)&amp;"_"&amp;TRIM(INDEX($E$1:$K$1, MATCH(MIN(E594:K594), E594:K594, 0))), 技能库!$A:$F, 5, 0),"建议查阅考纲")&amp;CHAR(10)&amp;"💡 提升建议: "&amp;IFERROR(VLOOKUP(TRIM(D594)&amp;"_"&amp;TRIM(INDEX($E$1:$K$1, MATCH(MIN(E594:K594), E594:K594, 0))), 技能库!$A:$F, 6, 0),"请针对该题型加强练习"))</f>
        <v/>
      </c>
      <c r="AB594" s="5" t="str">
        <f>IF(P594="","", "⚠️ 薄弱环节: "&amp;INDEX($N$1:$O$1, MATCH(MIN(N594:O594), N594:O594, 0))&amp;CHAR(10)&amp;"📉 考察能力: "&amp;IFERROR(VLOOKUP(TRIM(D594)&amp;"_"&amp;TRIM(INDEX($N$1:$O$1, MATCH(MIN(N594:O594), N594:O594, 0))), 技能库!$A:$F, 5, 0),"建议查阅考纲")&amp;CHAR(10)&amp;"💡 提升建议: "&amp;IFERROR(VLOOKUP(TRIM(D594)&amp;"_"&amp;TRIM(INDEX($N$1:$O$1, MATCH(MIN(N594:O594), N594:O594, 0))), 技能库!$A:$F, 6, 0),"请针对该题型加强练习"))</f>
        <v/>
      </c>
      <c r="AC594" s="5" t="str">
        <f>IF(W594="","", "⚠️ 薄弱环节: "&amp;INDEX($R$1:$V$1, MATCH(MIN(R594:V594), R594:V594, 0))&amp;CHAR(10)&amp;"📉 考察能力: "&amp;IFERROR(VLOOKUP(TRIM(D594)&amp;"_"&amp;TRIM(INDEX($R$1:$V$1, MATCH(MIN(R594:V594), R594:V594, 0))), 技能库!$A:$F, 5, 0),"建议查阅考纲")&amp;CHAR(10)&amp;"💡 提升建议: "&amp;IFERROR(VLOOKUP(TRIM(D594)&amp;"_"&amp;TRIM(INDEX($R$1:$V$1, MATCH(MIN(R594:V594), R594:V594, 0))), 技能库!$A:$F, 6, 0),"请针对该题型加强练习"))</f>
        <v/>
      </c>
    </row>
    <row r="595" spans="12:29" ht="16" hidden="1" x14ac:dyDescent="0.2">
      <c r="L595" t="str">
        <f t="shared" si="36"/>
        <v/>
      </c>
      <c r="M595" t="str">
        <f>IF(L595="","", IFERROR(VLOOKUP(L595, IF(D595="KET", 换算标准!$M:$N, IF(D595="PET", 换算标准!$S:$T, 换算标准!$AC:$AD)), 2, TRUE), 0))</f>
        <v/>
      </c>
      <c r="P595" t="str">
        <f t="shared" si="37"/>
        <v/>
      </c>
      <c r="Q595" t="str">
        <f>IF(P595="","", IFERROR(VLOOKUP(P595, IF(D595="KET", 换算标准!$O:$P, IF(D595="PET", 换算标准!$U:$V, 换算标准!$AG:$AH)), 2, TRUE), 0))</f>
        <v/>
      </c>
      <c r="W595" t="str">
        <f t="shared" si="38"/>
        <v/>
      </c>
      <c r="X595" t="str">
        <f>IF(W595="","", IFERROR(VLOOKUP(W595, IF(D595="KET", 换算标准!$Q:$R, IF(D595="PET", 换算标准!$W:$X, 换算标准!$AI:$AJ)), 2, TRUE), 0))</f>
        <v/>
      </c>
      <c r="Y595" t="str">
        <f t="shared" si="39"/>
        <v/>
      </c>
      <c r="Z595" t="str">
        <f>IF(Y595="","", IFERROR(VLOOKUP(Y595, 换算标准!$Z:$AA, 1, TRUE), ""))</f>
        <v/>
      </c>
      <c r="AA595" s="5" t="str">
        <f>IF(L595="","", "⚠️ 薄弱环节: "&amp;INDEX($E$1:$K$1, MATCH(MIN(E595:K595), E595:K595, 0))&amp;CHAR(10)&amp;"📉 考察能力: "&amp;IFERROR(VLOOKUP(TRIM(D595)&amp;"_"&amp;TRIM(INDEX($E$1:$K$1, MATCH(MIN(E595:K595), E595:K595, 0))), 技能库!$A:$F, 5, 0),"建议查阅考纲")&amp;CHAR(10)&amp;"💡 提升建议: "&amp;IFERROR(VLOOKUP(TRIM(D595)&amp;"_"&amp;TRIM(INDEX($E$1:$K$1, MATCH(MIN(E595:K595), E595:K595, 0))), 技能库!$A:$F, 6, 0),"请针对该题型加强练习"))</f>
        <v/>
      </c>
      <c r="AB595" s="5" t="str">
        <f>IF(P595="","", "⚠️ 薄弱环节: "&amp;INDEX($N$1:$O$1, MATCH(MIN(N595:O595), N595:O595, 0))&amp;CHAR(10)&amp;"📉 考察能力: "&amp;IFERROR(VLOOKUP(TRIM(D595)&amp;"_"&amp;TRIM(INDEX($N$1:$O$1, MATCH(MIN(N595:O595), N595:O595, 0))), 技能库!$A:$F, 5, 0),"建议查阅考纲")&amp;CHAR(10)&amp;"💡 提升建议: "&amp;IFERROR(VLOOKUP(TRIM(D595)&amp;"_"&amp;TRIM(INDEX($N$1:$O$1, MATCH(MIN(N595:O595), N595:O595, 0))), 技能库!$A:$F, 6, 0),"请针对该题型加强练习"))</f>
        <v/>
      </c>
      <c r="AC595" s="5" t="str">
        <f>IF(W595="","", "⚠️ 薄弱环节: "&amp;INDEX($R$1:$V$1, MATCH(MIN(R595:V595), R595:V595, 0))&amp;CHAR(10)&amp;"📉 考察能力: "&amp;IFERROR(VLOOKUP(TRIM(D595)&amp;"_"&amp;TRIM(INDEX($R$1:$V$1, MATCH(MIN(R595:V595), R595:V595, 0))), 技能库!$A:$F, 5, 0),"建议查阅考纲")&amp;CHAR(10)&amp;"💡 提升建议: "&amp;IFERROR(VLOOKUP(TRIM(D595)&amp;"_"&amp;TRIM(INDEX($R$1:$V$1, MATCH(MIN(R595:V595), R595:V595, 0))), 技能库!$A:$F, 6, 0),"请针对该题型加强练习"))</f>
        <v/>
      </c>
    </row>
    <row r="596" spans="12:29" ht="16" hidden="1" x14ac:dyDescent="0.2">
      <c r="L596" t="str">
        <f t="shared" si="36"/>
        <v/>
      </c>
      <c r="M596" t="str">
        <f>IF(L596="","", IFERROR(VLOOKUP(L596, IF(D596="KET", 换算标准!$M:$N, IF(D596="PET", 换算标准!$S:$T, 换算标准!$AC:$AD)), 2, TRUE), 0))</f>
        <v/>
      </c>
      <c r="P596" t="str">
        <f t="shared" si="37"/>
        <v/>
      </c>
      <c r="Q596" t="str">
        <f>IF(P596="","", IFERROR(VLOOKUP(P596, IF(D596="KET", 换算标准!$O:$P, IF(D596="PET", 换算标准!$U:$V, 换算标准!$AG:$AH)), 2, TRUE), 0))</f>
        <v/>
      </c>
      <c r="W596" t="str">
        <f t="shared" si="38"/>
        <v/>
      </c>
      <c r="X596" t="str">
        <f>IF(W596="","", IFERROR(VLOOKUP(W596, IF(D596="KET", 换算标准!$Q:$R, IF(D596="PET", 换算标准!$W:$X, 换算标准!$AI:$AJ)), 2, TRUE), 0))</f>
        <v/>
      </c>
      <c r="Y596" t="str">
        <f t="shared" si="39"/>
        <v/>
      </c>
      <c r="Z596" t="str">
        <f>IF(Y596="","", IFERROR(VLOOKUP(Y596, 换算标准!$Z:$AA, 1, TRUE), ""))</f>
        <v/>
      </c>
      <c r="AA596" s="5" t="str">
        <f>IF(L596="","", "⚠️ 薄弱环节: "&amp;INDEX($E$1:$K$1, MATCH(MIN(E596:K596), E596:K596, 0))&amp;CHAR(10)&amp;"📉 考察能力: "&amp;IFERROR(VLOOKUP(TRIM(D596)&amp;"_"&amp;TRIM(INDEX($E$1:$K$1, MATCH(MIN(E596:K596), E596:K596, 0))), 技能库!$A:$F, 5, 0),"建议查阅考纲")&amp;CHAR(10)&amp;"💡 提升建议: "&amp;IFERROR(VLOOKUP(TRIM(D596)&amp;"_"&amp;TRIM(INDEX($E$1:$K$1, MATCH(MIN(E596:K596), E596:K596, 0))), 技能库!$A:$F, 6, 0),"请针对该题型加强练习"))</f>
        <v/>
      </c>
      <c r="AB596" s="5" t="str">
        <f>IF(P596="","", "⚠️ 薄弱环节: "&amp;INDEX($N$1:$O$1, MATCH(MIN(N596:O596), N596:O596, 0))&amp;CHAR(10)&amp;"📉 考察能力: "&amp;IFERROR(VLOOKUP(TRIM(D596)&amp;"_"&amp;TRIM(INDEX($N$1:$O$1, MATCH(MIN(N596:O596), N596:O596, 0))), 技能库!$A:$F, 5, 0),"建议查阅考纲")&amp;CHAR(10)&amp;"💡 提升建议: "&amp;IFERROR(VLOOKUP(TRIM(D596)&amp;"_"&amp;TRIM(INDEX($N$1:$O$1, MATCH(MIN(N596:O596), N596:O596, 0))), 技能库!$A:$F, 6, 0),"请针对该题型加强练习"))</f>
        <v/>
      </c>
      <c r="AC596" s="5" t="str">
        <f>IF(W596="","", "⚠️ 薄弱环节: "&amp;INDEX($R$1:$V$1, MATCH(MIN(R596:V596), R596:V596, 0))&amp;CHAR(10)&amp;"📉 考察能力: "&amp;IFERROR(VLOOKUP(TRIM(D596)&amp;"_"&amp;TRIM(INDEX($R$1:$V$1, MATCH(MIN(R596:V596), R596:V596, 0))), 技能库!$A:$F, 5, 0),"建议查阅考纲")&amp;CHAR(10)&amp;"💡 提升建议: "&amp;IFERROR(VLOOKUP(TRIM(D596)&amp;"_"&amp;TRIM(INDEX($R$1:$V$1, MATCH(MIN(R596:V596), R596:V596, 0))), 技能库!$A:$F, 6, 0),"请针对该题型加强练习"))</f>
        <v/>
      </c>
    </row>
    <row r="597" spans="12:29" ht="16" hidden="1" x14ac:dyDescent="0.2">
      <c r="L597" t="str">
        <f t="shared" si="36"/>
        <v/>
      </c>
      <c r="M597" t="str">
        <f>IF(L597="","", IFERROR(VLOOKUP(L597, IF(D597="KET", 换算标准!$M:$N, IF(D597="PET", 换算标准!$S:$T, 换算标准!$AC:$AD)), 2, TRUE), 0))</f>
        <v/>
      </c>
      <c r="P597" t="str">
        <f t="shared" si="37"/>
        <v/>
      </c>
      <c r="Q597" t="str">
        <f>IF(P597="","", IFERROR(VLOOKUP(P597, IF(D597="KET", 换算标准!$O:$P, IF(D597="PET", 换算标准!$U:$V, 换算标准!$AG:$AH)), 2, TRUE), 0))</f>
        <v/>
      </c>
      <c r="W597" t="str">
        <f t="shared" si="38"/>
        <v/>
      </c>
      <c r="X597" t="str">
        <f>IF(W597="","", IFERROR(VLOOKUP(W597, IF(D597="KET", 换算标准!$Q:$R, IF(D597="PET", 换算标准!$W:$X, 换算标准!$AI:$AJ)), 2, TRUE), 0))</f>
        <v/>
      </c>
      <c r="Y597" t="str">
        <f t="shared" si="39"/>
        <v/>
      </c>
      <c r="Z597" t="str">
        <f>IF(Y597="","", IFERROR(VLOOKUP(Y597, 换算标准!$Z:$AA, 1, TRUE), ""))</f>
        <v/>
      </c>
      <c r="AA597" s="5" t="str">
        <f>IF(L597="","", "⚠️ 薄弱环节: "&amp;INDEX($E$1:$K$1, MATCH(MIN(E597:K597), E597:K597, 0))&amp;CHAR(10)&amp;"📉 考察能力: "&amp;IFERROR(VLOOKUP(TRIM(D597)&amp;"_"&amp;TRIM(INDEX($E$1:$K$1, MATCH(MIN(E597:K597), E597:K597, 0))), 技能库!$A:$F, 5, 0),"建议查阅考纲")&amp;CHAR(10)&amp;"💡 提升建议: "&amp;IFERROR(VLOOKUP(TRIM(D597)&amp;"_"&amp;TRIM(INDEX($E$1:$K$1, MATCH(MIN(E597:K597), E597:K597, 0))), 技能库!$A:$F, 6, 0),"请针对该题型加强练习"))</f>
        <v/>
      </c>
      <c r="AB597" s="5" t="str">
        <f>IF(P597="","", "⚠️ 薄弱环节: "&amp;INDEX($N$1:$O$1, MATCH(MIN(N597:O597), N597:O597, 0))&amp;CHAR(10)&amp;"📉 考察能力: "&amp;IFERROR(VLOOKUP(TRIM(D597)&amp;"_"&amp;TRIM(INDEX($N$1:$O$1, MATCH(MIN(N597:O597), N597:O597, 0))), 技能库!$A:$F, 5, 0),"建议查阅考纲")&amp;CHAR(10)&amp;"💡 提升建议: "&amp;IFERROR(VLOOKUP(TRIM(D597)&amp;"_"&amp;TRIM(INDEX($N$1:$O$1, MATCH(MIN(N597:O597), N597:O597, 0))), 技能库!$A:$F, 6, 0),"请针对该题型加强练习"))</f>
        <v/>
      </c>
      <c r="AC597" s="5" t="str">
        <f>IF(W597="","", "⚠️ 薄弱环节: "&amp;INDEX($R$1:$V$1, MATCH(MIN(R597:V597), R597:V597, 0))&amp;CHAR(10)&amp;"📉 考察能力: "&amp;IFERROR(VLOOKUP(TRIM(D597)&amp;"_"&amp;TRIM(INDEX($R$1:$V$1, MATCH(MIN(R597:V597), R597:V597, 0))), 技能库!$A:$F, 5, 0),"建议查阅考纲")&amp;CHAR(10)&amp;"💡 提升建议: "&amp;IFERROR(VLOOKUP(TRIM(D597)&amp;"_"&amp;TRIM(INDEX($R$1:$V$1, MATCH(MIN(R597:V597), R597:V597, 0))), 技能库!$A:$F, 6, 0),"请针对该题型加强练习"))</f>
        <v/>
      </c>
    </row>
    <row r="598" spans="12:29" ht="16" hidden="1" x14ac:dyDescent="0.2">
      <c r="L598" t="str">
        <f t="shared" si="36"/>
        <v/>
      </c>
      <c r="M598" t="str">
        <f>IF(L598="","", IFERROR(VLOOKUP(L598, IF(D598="KET", 换算标准!$M:$N, IF(D598="PET", 换算标准!$S:$T, 换算标准!$AC:$AD)), 2, TRUE), 0))</f>
        <v/>
      </c>
      <c r="P598" t="str">
        <f t="shared" si="37"/>
        <v/>
      </c>
      <c r="Q598" t="str">
        <f>IF(P598="","", IFERROR(VLOOKUP(P598, IF(D598="KET", 换算标准!$O:$P, IF(D598="PET", 换算标准!$U:$V, 换算标准!$AG:$AH)), 2, TRUE), 0))</f>
        <v/>
      </c>
      <c r="W598" t="str">
        <f t="shared" si="38"/>
        <v/>
      </c>
      <c r="X598" t="str">
        <f>IF(W598="","", IFERROR(VLOOKUP(W598, IF(D598="KET", 换算标准!$Q:$R, IF(D598="PET", 换算标准!$W:$X, 换算标准!$AI:$AJ)), 2, TRUE), 0))</f>
        <v/>
      </c>
      <c r="Y598" t="str">
        <f t="shared" si="39"/>
        <v/>
      </c>
      <c r="Z598" t="str">
        <f>IF(Y598="","", IFERROR(VLOOKUP(Y598, 换算标准!$Z:$AA, 1, TRUE), ""))</f>
        <v/>
      </c>
      <c r="AA598" s="5" t="str">
        <f>IF(L598="","", "⚠️ 薄弱环节: "&amp;INDEX($E$1:$K$1, MATCH(MIN(E598:K598), E598:K598, 0))&amp;CHAR(10)&amp;"📉 考察能力: "&amp;IFERROR(VLOOKUP(TRIM(D598)&amp;"_"&amp;TRIM(INDEX($E$1:$K$1, MATCH(MIN(E598:K598), E598:K598, 0))), 技能库!$A:$F, 5, 0),"建议查阅考纲")&amp;CHAR(10)&amp;"💡 提升建议: "&amp;IFERROR(VLOOKUP(TRIM(D598)&amp;"_"&amp;TRIM(INDEX($E$1:$K$1, MATCH(MIN(E598:K598), E598:K598, 0))), 技能库!$A:$F, 6, 0),"请针对该题型加强练习"))</f>
        <v/>
      </c>
      <c r="AB598" s="5" t="str">
        <f>IF(P598="","", "⚠️ 薄弱环节: "&amp;INDEX($N$1:$O$1, MATCH(MIN(N598:O598), N598:O598, 0))&amp;CHAR(10)&amp;"📉 考察能力: "&amp;IFERROR(VLOOKUP(TRIM(D598)&amp;"_"&amp;TRIM(INDEX($N$1:$O$1, MATCH(MIN(N598:O598), N598:O598, 0))), 技能库!$A:$F, 5, 0),"建议查阅考纲")&amp;CHAR(10)&amp;"💡 提升建议: "&amp;IFERROR(VLOOKUP(TRIM(D598)&amp;"_"&amp;TRIM(INDEX($N$1:$O$1, MATCH(MIN(N598:O598), N598:O598, 0))), 技能库!$A:$F, 6, 0),"请针对该题型加强练习"))</f>
        <v/>
      </c>
      <c r="AC598" s="5" t="str">
        <f>IF(W598="","", "⚠️ 薄弱环节: "&amp;INDEX($R$1:$V$1, MATCH(MIN(R598:V598), R598:V598, 0))&amp;CHAR(10)&amp;"📉 考察能力: "&amp;IFERROR(VLOOKUP(TRIM(D598)&amp;"_"&amp;TRIM(INDEX($R$1:$V$1, MATCH(MIN(R598:V598), R598:V598, 0))), 技能库!$A:$F, 5, 0),"建议查阅考纲")&amp;CHAR(10)&amp;"💡 提升建议: "&amp;IFERROR(VLOOKUP(TRIM(D598)&amp;"_"&amp;TRIM(INDEX($R$1:$V$1, MATCH(MIN(R598:V598), R598:V598, 0))), 技能库!$A:$F, 6, 0),"请针对该题型加强练习"))</f>
        <v/>
      </c>
    </row>
    <row r="599" spans="12:29" ht="16" hidden="1" x14ac:dyDescent="0.2">
      <c r="L599" t="str">
        <f t="shared" si="36"/>
        <v/>
      </c>
      <c r="M599" t="str">
        <f>IF(L599="","", IFERROR(VLOOKUP(L599, IF(D599="KET", 换算标准!$M:$N, IF(D599="PET", 换算标准!$S:$T, 换算标准!$AC:$AD)), 2, TRUE), 0))</f>
        <v/>
      </c>
      <c r="P599" t="str">
        <f t="shared" si="37"/>
        <v/>
      </c>
      <c r="Q599" t="str">
        <f>IF(P599="","", IFERROR(VLOOKUP(P599, IF(D599="KET", 换算标准!$O:$P, IF(D599="PET", 换算标准!$U:$V, 换算标准!$AG:$AH)), 2, TRUE), 0))</f>
        <v/>
      </c>
      <c r="W599" t="str">
        <f t="shared" si="38"/>
        <v/>
      </c>
      <c r="X599" t="str">
        <f>IF(W599="","", IFERROR(VLOOKUP(W599, IF(D599="KET", 换算标准!$Q:$R, IF(D599="PET", 换算标准!$W:$X, 换算标准!$AI:$AJ)), 2, TRUE), 0))</f>
        <v/>
      </c>
      <c r="Y599" t="str">
        <f t="shared" si="39"/>
        <v/>
      </c>
      <c r="Z599" t="str">
        <f>IF(Y599="","", IFERROR(VLOOKUP(Y599, 换算标准!$Z:$AA, 1, TRUE), ""))</f>
        <v/>
      </c>
      <c r="AA599" s="5" t="str">
        <f>IF(L599="","", "⚠️ 薄弱环节: "&amp;INDEX($E$1:$K$1, MATCH(MIN(E599:K599), E599:K599, 0))&amp;CHAR(10)&amp;"📉 考察能力: "&amp;IFERROR(VLOOKUP(TRIM(D599)&amp;"_"&amp;TRIM(INDEX($E$1:$K$1, MATCH(MIN(E599:K599), E599:K599, 0))), 技能库!$A:$F, 5, 0),"建议查阅考纲")&amp;CHAR(10)&amp;"💡 提升建议: "&amp;IFERROR(VLOOKUP(TRIM(D599)&amp;"_"&amp;TRIM(INDEX($E$1:$K$1, MATCH(MIN(E599:K599), E599:K599, 0))), 技能库!$A:$F, 6, 0),"请针对该题型加强练习"))</f>
        <v/>
      </c>
      <c r="AB599" s="5" t="str">
        <f>IF(P599="","", "⚠️ 薄弱环节: "&amp;INDEX($N$1:$O$1, MATCH(MIN(N599:O599), N599:O599, 0))&amp;CHAR(10)&amp;"📉 考察能力: "&amp;IFERROR(VLOOKUP(TRIM(D599)&amp;"_"&amp;TRIM(INDEX($N$1:$O$1, MATCH(MIN(N599:O599), N599:O599, 0))), 技能库!$A:$F, 5, 0),"建议查阅考纲")&amp;CHAR(10)&amp;"💡 提升建议: "&amp;IFERROR(VLOOKUP(TRIM(D599)&amp;"_"&amp;TRIM(INDEX($N$1:$O$1, MATCH(MIN(N599:O599), N599:O599, 0))), 技能库!$A:$F, 6, 0),"请针对该题型加强练习"))</f>
        <v/>
      </c>
      <c r="AC599" s="5" t="str">
        <f>IF(W599="","", "⚠️ 薄弱环节: "&amp;INDEX($R$1:$V$1, MATCH(MIN(R599:V599), R599:V599, 0))&amp;CHAR(10)&amp;"📉 考察能力: "&amp;IFERROR(VLOOKUP(TRIM(D599)&amp;"_"&amp;TRIM(INDEX($R$1:$V$1, MATCH(MIN(R599:V599), R599:V599, 0))), 技能库!$A:$F, 5, 0),"建议查阅考纲")&amp;CHAR(10)&amp;"💡 提升建议: "&amp;IFERROR(VLOOKUP(TRIM(D599)&amp;"_"&amp;TRIM(INDEX($R$1:$V$1, MATCH(MIN(R599:V599), R599:V599, 0))), 技能库!$A:$F, 6, 0),"请针对该题型加强练习"))</f>
        <v/>
      </c>
    </row>
    <row r="600" spans="12:29" ht="16" hidden="1" x14ac:dyDescent="0.2">
      <c r="L600" t="str">
        <f t="shared" si="36"/>
        <v/>
      </c>
      <c r="M600" t="str">
        <f>IF(L600="","", IFERROR(VLOOKUP(L600, IF(D600="KET", 换算标准!$M:$N, IF(D600="PET", 换算标准!$S:$T, 换算标准!$AC:$AD)), 2, TRUE), 0))</f>
        <v/>
      </c>
      <c r="P600" t="str">
        <f t="shared" si="37"/>
        <v/>
      </c>
      <c r="Q600" t="str">
        <f>IF(P600="","", IFERROR(VLOOKUP(P600, IF(D600="KET", 换算标准!$O:$P, IF(D600="PET", 换算标准!$U:$V, 换算标准!$AG:$AH)), 2, TRUE), 0))</f>
        <v/>
      </c>
      <c r="W600" t="str">
        <f t="shared" si="38"/>
        <v/>
      </c>
      <c r="X600" t="str">
        <f>IF(W600="","", IFERROR(VLOOKUP(W600, IF(D600="KET", 换算标准!$Q:$R, IF(D600="PET", 换算标准!$W:$X, 换算标准!$AI:$AJ)), 2, TRUE), 0))</f>
        <v/>
      </c>
      <c r="Y600" t="str">
        <f t="shared" si="39"/>
        <v/>
      </c>
      <c r="Z600" t="str">
        <f>IF(Y600="","", IFERROR(VLOOKUP(Y600, 换算标准!$Z:$AA, 1, TRUE), ""))</f>
        <v/>
      </c>
      <c r="AA600" s="5" t="str">
        <f>IF(L600="","", "⚠️ 薄弱环节: "&amp;INDEX($E$1:$K$1, MATCH(MIN(E600:K600), E600:K600, 0))&amp;CHAR(10)&amp;"📉 考察能力: "&amp;IFERROR(VLOOKUP(TRIM(D600)&amp;"_"&amp;TRIM(INDEX($E$1:$K$1, MATCH(MIN(E600:K600), E600:K600, 0))), 技能库!$A:$F, 5, 0),"建议查阅考纲")&amp;CHAR(10)&amp;"💡 提升建议: "&amp;IFERROR(VLOOKUP(TRIM(D600)&amp;"_"&amp;TRIM(INDEX($E$1:$K$1, MATCH(MIN(E600:K600), E600:K600, 0))), 技能库!$A:$F, 6, 0),"请针对该题型加强练习"))</f>
        <v/>
      </c>
      <c r="AB600" s="5" t="str">
        <f>IF(P600="","", "⚠️ 薄弱环节: "&amp;INDEX($N$1:$O$1, MATCH(MIN(N600:O600), N600:O600, 0))&amp;CHAR(10)&amp;"📉 考察能力: "&amp;IFERROR(VLOOKUP(TRIM(D600)&amp;"_"&amp;TRIM(INDEX($N$1:$O$1, MATCH(MIN(N600:O600), N600:O600, 0))), 技能库!$A:$F, 5, 0),"建议查阅考纲")&amp;CHAR(10)&amp;"💡 提升建议: "&amp;IFERROR(VLOOKUP(TRIM(D600)&amp;"_"&amp;TRIM(INDEX($N$1:$O$1, MATCH(MIN(N600:O600), N600:O600, 0))), 技能库!$A:$F, 6, 0),"请针对该题型加强练习"))</f>
        <v/>
      </c>
      <c r="AC600" s="5" t="str">
        <f>IF(W600="","", "⚠️ 薄弱环节: "&amp;INDEX($R$1:$V$1, MATCH(MIN(R600:V600), R600:V600, 0))&amp;CHAR(10)&amp;"📉 考察能力: "&amp;IFERROR(VLOOKUP(TRIM(D600)&amp;"_"&amp;TRIM(INDEX($R$1:$V$1, MATCH(MIN(R600:V600), R600:V600, 0))), 技能库!$A:$F, 5, 0),"建议查阅考纲")&amp;CHAR(10)&amp;"💡 提升建议: "&amp;IFERROR(VLOOKUP(TRIM(D600)&amp;"_"&amp;TRIM(INDEX($R$1:$V$1, MATCH(MIN(R600:V600), R600:V600, 0))), 技能库!$A:$F, 6, 0),"请针对该题型加强练习"))</f>
        <v/>
      </c>
    </row>
    <row r="601" spans="12:29" ht="16" hidden="1" x14ac:dyDescent="0.2">
      <c r="L601" t="str">
        <f t="shared" si="36"/>
        <v/>
      </c>
      <c r="M601" t="str">
        <f>IF(L601="","", IFERROR(VLOOKUP(L601, IF(D601="KET", 换算标准!$M:$N, IF(D601="PET", 换算标准!$S:$T, 换算标准!$AC:$AD)), 2, TRUE), 0))</f>
        <v/>
      </c>
      <c r="P601" t="str">
        <f t="shared" si="37"/>
        <v/>
      </c>
      <c r="Q601" t="str">
        <f>IF(P601="","", IFERROR(VLOOKUP(P601, IF(D601="KET", 换算标准!$O:$P, IF(D601="PET", 换算标准!$U:$V, 换算标准!$AG:$AH)), 2, TRUE), 0))</f>
        <v/>
      </c>
      <c r="W601" t="str">
        <f t="shared" si="38"/>
        <v/>
      </c>
      <c r="X601" t="str">
        <f>IF(W601="","", IFERROR(VLOOKUP(W601, IF(D601="KET", 换算标准!$Q:$R, IF(D601="PET", 换算标准!$W:$X, 换算标准!$AI:$AJ)), 2, TRUE), 0))</f>
        <v/>
      </c>
      <c r="Y601" t="str">
        <f t="shared" si="39"/>
        <v/>
      </c>
      <c r="Z601" t="str">
        <f>IF(Y601="","", IFERROR(VLOOKUP(Y601, 换算标准!$Z:$AA, 1, TRUE), ""))</f>
        <v/>
      </c>
      <c r="AA601" s="5" t="str">
        <f>IF(L601="","", "⚠️ 薄弱环节: "&amp;INDEX($E$1:$K$1, MATCH(MIN(E601:K601), E601:K601, 0))&amp;CHAR(10)&amp;"📉 考察能力: "&amp;IFERROR(VLOOKUP(TRIM(D601)&amp;"_"&amp;TRIM(INDEX($E$1:$K$1, MATCH(MIN(E601:K601), E601:K601, 0))), 技能库!$A:$F, 5, 0),"建议查阅考纲")&amp;CHAR(10)&amp;"💡 提升建议: "&amp;IFERROR(VLOOKUP(TRIM(D601)&amp;"_"&amp;TRIM(INDEX($E$1:$K$1, MATCH(MIN(E601:K601), E601:K601, 0))), 技能库!$A:$F, 6, 0),"请针对该题型加强练习"))</f>
        <v/>
      </c>
      <c r="AB601" s="5" t="str">
        <f>IF(P601="","", "⚠️ 薄弱环节: "&amp;INDEX($N$1:$O$1, MATCH(MIN(N601:O601), N601:O601, 0))&amp;CHAR(10)&amp;"📉 考察能力: "&amp;IFERROR(VLOOKUP(TRIM(D601)&amp;"_"&amp;TRIM(INDEX($N$1:$O$1, MATCH(MIN(N601:O601), N601:O601, 0))), 技能库!$A:$F, 5, 0),"建议查阅考纲")&amp;CHAR(10)&amp;"💡 提升建议: "&amp;IFERROR(VLOOKUP(TRIM(D601)&amp;"_"&amp;TRIM(INDEX($N$1:$O$1, MATCH(MIN(N601:O601), N601:O601, 0))), 技能库!$A:$F, 6, 0),"请针对该题型加强练习"))</f>
        <v/>
      </c>
      <c r="AC601" s="5" t="str">
        <f>IF(W601="","", "⚠️ 薄弱环节: "&amp;INDEX($R$1:$V$1, MATCH(MIN(R601:V601), R601:V601, 0))&amp;CHAR(10)&amp;"📉 考察能力: "&amp;IFERROR(VLOOKUP(TRIM(D601)&amp;"_"&amp;TRIM(INDEX($R$1:$V$1, MATCH(MIN(R601:V601), R601:V601, 0))), 技能库!$A:$F, 5, 0),"建议查阅考纲")&amp;CHAR(10)&amp;"💡 提升建议: "&amp;IFERROR(VLOOKUP(TRIM(D601)&amp;"_"&amp;TRIM(INDEX($R$1:$V$1, MATCH(MIN(R601:V601), R601:V601, 0))), 技能库!$A:$F, 6, 0),"请针对该题型加强练习"))</f>
        <v/>
      </c>
    </row>
    <row r="602" spans="12:29" ht="16" hidden="1" x14ac:dyDescent="0.2">
      <c r="L602" t="str">
        <f t="shared" si="36"/>
        <v/>
      </c>
      <c r="M602" t="str">
        <f>IF(L602="","", IFERROR(VLOOKUP(L602, IF(D602="KET", 换算标准!$M:$N, IF(D602="PET", 换算标准!$S:$T, 换算标准!$AC:$AD)), 2, TRUE), 0))</f>
        <v/>
      </c>
      <c r="P602" t="str">
        <f t="shared" si="37"/>
        <v/>
      </c>
      <c r="Q602" t="str">
        <f>IF(P602="","", IFERROR(VLOOKUP(P602, IF(D602="KET", 换算标准!$O:$P, IF(D602="PET", 换算标准!$U:$V, 换算标准!$AG:$AH)), 2, TRUE), 0))</f>
        <v/>
      </c>
      <c r="W602" t="str">
        <f t="shared" si="38"/>
        <v/>
      </c>
      <c r="X602" t="str">
        <f>IF(W602="","", IFERROR(VLOOKUP(W602, IF(D602="KET", 换算标准!$Q:$R, IF(D602="PET", 换算标准!$W:$X, 换算标准!$AI:$AJ)), 2, TRUE), 0))</f>
        <v/>
      </c>
      <c r="Y602" t="str">
        <f t="shared" si="39"/>
        <v/>
      </c>
      <c r="Z602" t="str">
        <f>IF(Y602="","", IFERROR(VLOOKUP(Y602, 换算标准!$Z:$AA, 1, TRUE), ""))</f>
        <v/>
      </c>
      <c r="AA602" s="5" t="str">
        <f>IF(L602="","", "⚠️ 薄弱环节: "&amp;INDEX($E$1:$K$1, MATCH(MIN(E602:K602), E602:K602, 0))&amp;CHAR(10)&amp;"📉 考察能力: "&amp;IFERROR(VLOOKUP(TRIM(D602)&amp;"_"&amp;TRIM(INDEX($E$1:$K$1, MATCH(MIN(E602:K602), E602:K602, 0))), 技能库!$A:$F, 5, 0),"建议查阅考纲")&amp;CHAR(10)&amp;"💡 提升建议: "&amp;IFERROR(VLOOKUP(TRIM(D602)&amp;"_"&amp;TRIM(INDEX($E$1:$K$1, MATCH(MIN(E602:K602), E602:K602, 0))), 技能库!$A:$F, 6, 0),"请针对该题型加强练习"))</f>
        <v/>
      </c>
      <c r="AB602" s="5" t="str">
        <f>IF(P602="","", "⚠️ 薄弱环节: "&amp;INDEX($N$1:$O$1, MATCH(MIN(N602:O602), N602:O602, 0))&amp;CHAR(10)&amp;"📉 考察能力: "&amp;IFERROR(VLOOKUP(TRIM(D602)&amp;"_"&amp;TRIM(INDEX($N$1:$O$1, MATCH(MIN(N602:O602), N602:O602, 0))), 技能库!$A:$F, 5, 0),"建议查阅考纲")&amp;CHAR(10)&amp;"💡 提升建议: "&amp;IFERROR(VLOOKUP(TRIM(D602)&amp;"_"&amp;TRIM(INDEX($N$1:$O$1, MATCH(MIN(N602:O602), N602:O602, 0))), 技能库!$A:$F, 6, 0),"请针对该题型加强练习"))</f>
        <v/>
      </c>
      <c r="AC602" s="5" t="str">
        <f>IF(W602="","", "⚠️ 薄弱环节: "&amp;INDEX($R$1:$V$1, MATCH(MIN(R602:V602), R602:V602, 0))&amp;CHAR(10)&amp;"📉 考察能力: "&amp;IFERROR(VLOOKUP(TRIM(D602)&amp;"_"&amp;TRIM(INDEX($R$1:$V$1, MATCH(MIN(R602:V602), R602:V602, 0))), 技能库!$A:$F, 5, 0),"建议查阅考纲")&amp;CHAR(10)&amp;"💡 提升建议: "&amp;IFERROR(VLOOKUP(TRIM(D602)&amp;"_"&amp;TRIM(INDEX($R$1:$V$1, MATCH(MIN(R602:V602), R602:V602, 0))), 技能库!$A:$F, 6, 0),"请针对该题型加强练习"))</f>
        <v/>
      </c>
    </row>
    <row r="603" spans="12:29" ht="16" hidden="1" x14ac:dyDescent="0.2">
      <c r="L603" t="str">
        <f t="shared" si="36"/>
        <v/>
      </c>
      <c r="M603" t="str">
        <f>IF(L603="","", IFERROR(VLOOKUP(L603, IF(D603="KET", 换算标准!$M:$N, IF(D603="PET", 换算标准!$S:$T, 换算标准!$AC:$AD)), 2, TRUE), 0))</f>
        <v/>
      </c>
      <c r="P603" t="str">
        <f t="shared" si="37"/>
        <v/>
      </c>
      <c r="Q603" t="str">
        <f>IF(P603="","", IFERROR(VLOOKUP(P603, IF(D603="KET", 换算标准!$O:$P, IF(D603="PET", 换算标准!$U:$V, 换算标准!$AG:$AH)), 2, TRUE), 0))</f>
        <v/>
      </c>
      <c r="W603" t="str">
        <f t="shared" si="38"/>
        <v/>
      </c>
      <c r="X603" t="str">
        <f>IF(W603="","", IFERROR(VLOOKUP(W603, IF(D603="KET", 换算标准!$Q:$R, IF(D603="PET", 换算标准!$W:$X, 换算标准!$AI:$AJ)), 2, TRUE), 0))</f>
        <v/>
      </c>
      <c r="Y603" t="str">
        <f t="shared" si="39"/>
        <v/>
      </c>
      <c r="Z603" t="str">
        <f>IF(Y603="","", IFERROR(VLOOKUP(Y603, 换算标准!$Z:$AA, 1, TRUE), ""))</f>
        <v/>
      </c>
      <c r="AA603" s="5" t="str">
        <f>IF(L603="","", "⚠️ 薄弱环节: "&amp;INDEX($E$1:$K$1, MATCH(MIN(E603:K603), E603:K603, 0))&amp;CHAR(10)&amp;"📉 考察能力: "&amp;IFERROR(VLOOKUP(TRIM(D603)&amp;"_"&amp;TRIM(INDEX($E$1:$K$1, MATCH(MIN(E603:K603), E603:K603, 0))), 技能库!$A:$F, 5, 0),"建议查阅考纲")&amp;CHAR(10)&amp;"💡 提升建议: "&amp;IFERROR(VLOOKUP(TRIM(D603)&amp;"_"&amp;TRIM(INDEX($E$1:$K$1, MATCH(MIN(E603:K603), E603:K603, 0))), 技能库!$A:$F, 6, 0),"请针对该题型加强练习"))</f>
        <v/>
      </c>
      <c r="AB603" s="5" t="str">
        <f>IF(P603="","", "⚠️ 薄弱环节: "&amp;INDEX($N$1:$O$1, MATCH(MIN(N603:O603), N603:O603, 0))&amp;CHAR(10)&amp;"📉 考察能力: "&amp;IFERROR(VLOOKUP(TRIM(D603)&amp;"_"&amp;TRIM(INDEX($N$1:$O$1, MATCH(MIN(N603:O603), N603:O603, 0))), 技能库!$A:$F, 5, 0),"建议查阅考纲")&amp;CHAR(10)&amp;"💡 提升建议: "&amp;IFERROR(VLOOKUP(TRIM(D603)&amp;"_"&amp;TRIM(INDEX($N$1:$O$1, MATCH(MIN(N603:O603), N603:O603, 0))), 技能库!$A:$F, 6, 0),"请针对该题型加强练习"))</f>
        <v/>
      </c>
      <c r="AC603" s="5" t="str">
        <f>IF(W603="","", "⚠️ 薄弱环节: "&amp;INDEX($R$1:$V$1, MATCH(MIN(R603:V603), R603:V603, 0))&amp;CHAR(10)&amp;"📉 考察能力: "&amp;IFERROR(VLOOKUP(TRIM(D603)&amp;"_"&amp;TRIM(INDEX($R$1:$V$1, MATCH(MIN(R603:V603), R603:V603, 0))), 技能库!$A:$F, 5, 0),"建议查阅考纲")&amp;CHAR(10)&amp;"💡 提升建议: "&amp;IFERROR(VLOOKUP(TRIM(D603)&amp;"_"&amp;TRIM(INDEX($R$1:$V$1, MATCH(MIN(R603:V603), R603:V603, 0))), 技能库!$A:$F, 6, 0),"请针对该题型加强练习"))</f>
        <v/>
      </c>
    </row>
    <row r="604" spans="12:29" ht="16" hidden="1" x14ac:dyDescent="0.2">
      <c r="L604" t="str">
        <f t="shared" si="36"/>
        <v/>
      </c>
      <c r="M604" t="str">
        <f>IF(L604="","", IFERROR(VLOOKUP(L604, IF(D604="KET", 换算标准!$M:$N, IF(D604="PET", 换算标准!$S:$T, 换算标准!$AC:$AD)), 2, TRUE), 0))</f>
        <v/>
      </c>
      <c r="P604" t="str">
        <f t="shared" si="37"/>
        <v/>
      </c>
      <c r="Q604" t="str">
        <f>IF(P604="","", IFERROR(VLOOKUP(P604, IF(D604="KET", 换算标准!$O:$P, IF(D604="PET", 换算标准!$U:$V, 换算标准!$AG:$AH)), 2, TRUE), 0))</f>
        <v/>
      </c>
      <c r="W604" t="str">
        <f t="shared" si="38"/>
        <v/>
      </c>
      <c r="X604" t="str">
        <f>IF(W604="","", IFERROR(VLOOKUP(W604, IF(D604="KET", 换算标准!$Q:$R, IF(D604="PET", 换算标准!$W:$X, 换算标准!$AI:$AJ)), 2, TRUE), 0))</f>
        <v/>
      </c>
      <c r="Y604" t="str">
        <f t="shared" si="39"/>
        <v/>
      </c>
      <c r="Z604" t="str">
        <f>IF(Y604="","", IFERROR(VLOOKUP(Y604, 换算标准!$Z:$AA, 1, TRUE), ""))</f>
        <v/>
      </c>
      <c r="AA604" s="5" t="str">
        <f>IF(L604="","", "⚠️ 薄弱环节: "&amp;INDEX($E$1:$K$1, MATCH(MIN(E604:K604), E604:K604, 0))&amp;CHAR(10)&amp;"📉 考察能力: "&amp;IFERROR(VLOOKUP(TRIM(D604)&amp;"_"&amp;TRIM(INDEX($E$1:$K$1, MATCH(MIN(E604:K604), E604:K604, 0))), 技能库!$A:$F, 5, 0),"建议查阅考纲")&amp;CHAR(10)&amp;"💡 提升建议: "&amp;IFERROR(VLOOKUP(TRIM(D604)&amp;"_"&amp;TRIM(INDEX($E$1:$K$1, MATCH(MIN(E604:K604), E604:K604, 0))), 技能库!$A:$F, 6, 0),"请针对该题型加强练习"))</f>
        <v/>
      </c>
      <c r="AB604" s="5" t="str">
        <f>IF(P604="","", "⚠️ 薄弱环节: "&amp;INDEX($N$1:$O$1, MATCH(MIN(N604:O604), N604:O604, 0))&amp;CHAR(10)&amp;"📉 考察能力: "&amp;IFERROR(VLOOKUP(TRIM(D604)&amp;"_"&amp;TRIM(INDEX($N$1:$O$1, MATCH(MIN(N604:O604), N604:O604, 0))), 技能库!$A:$F, 5, 0),"建议查阅考纲")&amp;CHAR(10)&amp;"💡 提升建议: "&amp;IFERROR(VLOOKUP(TRIM(D604)&amp;"_"&amp;TRIM(INDEX($N$1:$O$1, MATCH(MIN(N604:O604), N604:O604, 0))), 技能库!$A:$F, 6, 0),"请针对该题型加强练习"))</f>
        <v/>
      </c>
      <c r="AC604" s="5" t="str">
        <f>IF(W604="","", "⚠️ 薄弱环节: "&amp;INDEX($R$1:$V$1, MATCH(MIN(R604:V604), R604:V604, 0))&amp;CHAR(10)&amp;"📉 考察能力: "&amp;IFERROR(VLOOKUP(TRIM(D604)&amp;"_"&amp;TRIM(INDEX($R$1:$V$1, MATCH(MIN(R604:V604), R604:V604, 0))), 技能库!$A:$F, 5, 0),"建议查阅考纲")&amp;CHAR(10)&amp;"💡 提升建议: "&amp;IFERROR(VLOOKUP(TRIM(D604)&amp;"_"&amp;TRIM(INDEX($R$1:$V$1, MATCH(MIN(R604:V604), R604:V604, 0))), 技能库!$A:$F, 6, 0),"请针对该题型加强练习"))</f>
        <v/>
      </c>
    </row>
    <row r="605" spans="12:29" ht="16" hidden="1" x14ac:dyDescent="0.2">
      <c r="L605" t="str">
        <f t="shared" si="36"/>
        <v/>
      </c>
      <c r="M605" t="str">
        <f>IF(L605="","", IFERROR(VLOOKUP(L605, IF(D605="KET", 换算标准!$M:$N, IF(D605="PET", 换算标准!$S:$T, 换算标准!$AC:$AD)), 2, TRUE), 0))</f>
        <v/>
      </c>
      <c r="P605" t="str">
        <f t="shared" si="37"/>
        <v/>
      </c>
      <c r="Q605" t="str">
        <f>IF(P605="","", IFERROR(VLOOKUP(P605, IF(D605="KET", 换算标准!$O:$P, IF(D605="PET", 换算标准!$U:$V, 换算标准!$AG:$AH)), 2, TRUE), 0))</f>
        <v/>
      </c>
      <c r="W605" t="str">
        <f t="shared" si="38"/>
        <v/>
      </c>
      <c r="X605" t="str">
        <f>IF(W605="","", IFERROR(VLOOKUP(W605, IF(D605="KET", 换算标准!$Q:$R, IF(D605="PET", 换算标准!$W:$X, 换算标准!$AI:$AJ)), 2, TRUE), 0))</f>
        <v/>
      </c>
      <c r="Y605" t="str">
        <f t="shared" si="39"/>
        <v/>
      </c>
      <c r="Z605" t="str">
        <f>IF(Y605="","", IFERROR(VLOOKUP(Y605, 换算标准!$Z:$AA, 1, TRUE), ""))</f>
        <v/>
      </c>
      <c r="AA605" s="5" t="str">
        <f>IF(L605="","", "⚠️ 薄弱环节: "&amp;INDEX($E$1:$K$1, MATCH(MIN(E605:K605), E605:K605, 0))&amp;CHAR(10)&amp;"📉 考察能力: "&amp;IFERROR(VLOOKUP(TRIM(D605)&amp;"_"&amp;TRIM(INDEX($E$1:$K$1, MATCH(MIN(E605:K605), E605:K605, 0))), 技能库!$A:$F, 5, 0),"建议查阅考纲")&amp;CHAR(10)&amp;"💡 提升建议: "&amp;IFERROR(VLOOKUP(TRIM(D605)&amp;"_"&amp;TRIM(INDEX($E$1:$K$1, MATCH(MIN(E605:K605), E605:K605, 0))), 技能库!$A:$F, 6, 0),"请针对该题型加强练习"))</f>
        <v/>
      </c>
      <c r="AB605" s="5" t="str">
        <f>IF(P605="","", "⚠️ 薄弱环节: "&amp;INDEX($N$1:$O$1, MATCH(MIN(N605:O605), N605:O605, 0))&amp;CHAR(10)&amp;"📉 考察能力: "&amp;IFERROR(VLOOKUP(TRIM(D605)&amp;"_"&amp;TRIM(INDEX($N$1:$O$1, MATCH(MIN(N605:O605), N605:O605, 0))), 技能库!$A:$F, 5, 0),"建议查阅考纲")&amp;CHAR(10)&amp;"💡 提升建议: "&amp;IFERROR(VLOOKUP(TRIM(D605)&amp;"_"&amp;TRIM(INDEX($N$1:$O$1, MATCH(MIN(N605:O605), N605:O605, 0))), 技能库!$A:$F, 6, 0),"请针对该题型加强练习"))</f>
        <v/>
      </c>
      <c r="AC605" s="5" t="str">
        <f>IF(W605="","", "⚠️ 薄弱环节: "&amp;INDEX($R$1:$V$1, MATCH(MIN(R605:V605), R605:V605, 0))&amp;CHAR(10)&amp;"📉 考察能力: "&amp;IFERROR(VLOOKUP(TRIM(D605)&amp;"_"&amp;TRIM(INDEX($R$1:$V$1, MATCH(MIN(R605:V605), R605:V605, 0))), 技能库!$A:$F, 5, 0),"建议查阅考纲")&amp;CHAR(10)&amp;"💡 提升建议: "&amp;IFERROR(VLOOKUP(TRIM(D605)&amp;"_"&amp;TRIM(INDEX($R$1:$V$1, MATCH(MIN(R605:V605), R605:V605, 0))), 技能库!$A:$F, 6, 0),"请针对该题型加强练习"))</f>
        <v/>
      </c>
    </row>
    <row r="606" spans="12:29" ht="16" hidden="1" x14ac:dyDescent="0.2">
      <c r="L606" t="str">
        <f t="shared" si="36"/>
        <v/>
      </c>
      <c r="M606" t="str">
        <f>IF(L606="","", IFERROR(VLOOKUP(L606, IF(D606="KET", 换算标准!$M:$N, IF(D606="PET", 换算标准!$S:$T, 换算标准!$AC:$AD)), 2, TRUE), 0))</f>
        <v/>
      </c>
      <c r="P606" t="str">
        <f t="shared" si="37"/>
        <v/>
      </c>
      <c r="Q606" t="str">
        <f>IF(P606="","", IFERROR(VLOOKUP(P606, IF(D606="KET", 换算标准!$O:$P, IF(D606="PET", 换算标准!$U:$V, 换算标准!$AG:$AH)), 2, TRUE), 0))</f>
        <v/>
      </c>
      <c r="W606" t="str">
        <f t="shared" si="38"/>
        <v/>
      </c>
      <c r="X606" t="str">
        <f>IF(W606="","", IFERROR(VLOOKUP(W606, IF(D606="KET", 换算标准!$Q:$R, IF(D606="PET", 换算标准!$W:$X, 换算标准!$AI:$AJ)), 2, TRUE), 0))</f>
        <v/>
      </c>
      <c r="Y606" t="str">
        <f t="shared" si="39"/>
        <v/>
      </c>
      <c r="Z606" t="str">
        <f>IF(Y606="","", IFERROR(VLOOKUP(Y606, 换算标准!$Z:$AA, 1, TRUE), ""))</f>
        <v/>
      </c>
      <c r="AA606" s="5" t="str">
        <f>IF(L606="","", "⚠️ 薄弱环节: "&amp;INDEX($E$1:$K$1, MATCH(MIN(E606:K606), E606:K606, 0))&amp;CHAR(10)&amp;"📉 考察能力: "&amp;IFERROR(VLOOKUP(TRIM(D606)&amp;"_"&amp;TRIM(INDEX($E$1:$K$1, MATCH(MIN(E606:K606), E606:K606, 0))), 技能库!$A:$F, 5, 0),"建议查阅考纲")&amp;CHAR(10)&amp;"💡 提升建议: "&amp;IFERROR(VLOOKUP(TRIM(D606)&amp;"_"&amp;TRIM(INDEX($E$1:$K$1, MATCH(MIN(E606:K606), E606:K606, 0))), 技能库!$A:$F, 6, 0),"请针对该题型加强练习"))</f>
        <v/>
      </c>
      <c r="AB606" s="5" t="str">
        <f>IF(P606="","", "⚠️ 薄弱环节: "&amp;INDEX($N$1:$O$1, MATCH(MIN(N606:O606), N606:O606, 0))&amp;CHAR(10)&amp;"📉 考察能力: "&amp;IFERROR(VLOOKUP(TRIM(D606)&amp;"_"&amp;TRIM(INDEX($N$1:$O$1, MATCH(MIN(N606:O606), N606:O606, 0))), 技能库!$A:$F, 5, 0),"建议查阅考纲")&amp;CHAR(10)&amp;"💡 提升建议: "&amp;IFERROR(VLOOKUP(TRIM(D606)&amp;"_"&amp;TRIM(INDEX($N$1:$O$1, MATCH(MIN(N606:O606), N606:O606, 0))), 技能库!$A:$F, 6, 0),"请针对该题型加强练习"))</f>
        <v/>
      </c>
      <c r="AC606" s="5" t="str">
        <f>IF(W606="","", "⚠️ 薄弱环节: "&amp;INDEX($R$1:$V$1, MATCH(MIN(R606:V606), R606:V606, 0))&amp;CHAR(10)&amp;"📉 考察能力: "&amp;IFERROR(VLOOKUP(TRIM(D606)&amp;"_"&amp;TRIM(INDEX($R$1:$V$1, MATCH(MIN(R606:V606), R606:V606, 0))), 技能库!$A:$F, 5, 0),"建议查阅考纲")&amp;CHAR(10)&amp;"💡 提升建议: "&amp;IFERROR(VLOOKUP(TRIM(D606)&amp;"_"&amp;TRIM(INDEX($R$1:$V$1, MATCH(MIN(R606:V606), R606:V606, 0))), 技能库!$A:$F, 6, 0),"请针对该题型加强练习"))</f>
        <v/>
      </c>
    </row>
    <row r="607" spans="12:29" ht="16" hidden="1" x14ac:dyDescent="0.2">
      <c r="L607" t="str">
        <f t="shared" si="36"/>
        <v/>
      </c>
      <c r="M607" t="str">
        <f>IF(L607="","", IFERROR(VLOOKUP(L607, IF(D607="KET", 换算标准!$M:$N, IF(D607="PET", 换算标准!$S:$T, 换算标准!$AC:$AD)), 2, TRUE), 0))</f>
        <v/>
      </c>
      <c r="P607" t="str">
        <f t="shared" si="37"/>
        <v/>
      </c>
      <c r="Q607" t="str">
        <f>IF(P607="","", IFERROR(VLOOKUP(P607, IF(D607="KET", 换算标准!$O:$P, IF(D607="PET", 换算标准!$U:$V, 换算标准!$AG:$AH)), 2, TRUE), 0))</f>
        <v/>
      </c>
      <c r="W607" t="str">
        <f t="shared" si="38"/>
        <v/>
      </c>
      <c r="X607" t="str">
        <f>IF(W607="","", IFERROR(VLOOKUP(W607, IF(D607="KET", 换算标准!$Q:$R, IF(D607="PET", 换算标准!$W:$X, 换算标准!$AI:$AJ)), 2, TRUE), 0))</f>
        <v/>
      </c>
      <c r="Y607" t="str">
        <f t="shared" si="39"/>
        <v/>
      </c>
      <c r="Z607" t="str">
        <f>IF(Y607="","", IFERROR(VLOOKUP(Y607, 换算标准!$Z:$AA, 1, TRUE), ""))</f>
        <v/>
      </c>
      <c r="AA607" s="5" t="str">
        <f>IF(L607="","", "⚠️ 薄弱环节: "&amp;INDEX($E$1:$K$1, MATCH(MIN(E607:K607), E607:K607, 0))&amp;CHAR(10)&amp;"📉 考察能力: "&amp;IFERROR(VLOOKUP(TRIM(D607)&amp;"_"&amp;TRIM(INDEX($E$1:$K$1, MATCH(MIN(E607:K607), E607:K607, 0))), 技能库!$A:$F, 5, 0),"建议查阅考纲")&amp;CHAR(10)&amp;"💡 提升建议: "&amp;IFERROR(VLOOKUP(TRIM(D607)&amp;"_"&amp;TRIM(INDEX($E$1:$K$1, MATCH(MIN(E607:K607), E607:K607, 0))), 技能库!$A:$F, 6, 0),"请针对该题型加强练习"))</f>
        <v/>
      </c>
      <c r="AB607" s="5" t="str">
        <f>IF(P607="","", "⚠️ 薄弱环节: "&amp;INDEX($N$1:$O$1, MATCH(MIN(N607:O607), N607:O607, 0))&amp;CHAR(10)&amp;"📉 考察能力: "&amp;IFERROR(VLOOKUP(TRIM(D607)&amp;"_"&amp;TRIM(INDEX($N$1:$O$1, MATCH(MIN(N607:O607), N607:O607, 0))), 技能库!$A:$F, 5, 0),"建议查阅考纲")&amp;CHAR(10)&amp;"💡 提升建议: "&amp;IFERROR(VLOOKUP(TRIM(D607)&amp;"_"&amp;TRIM(INDEX($N$1:$O$1, MATCH(MIN(N607:O607), N607:O607, 0))), 技能库!$A:$F, 6, 0),"请针对该题型加强练习"))</f>
        <v/>
      </c>
      <c r="AC607" s="5" t="str">
        <f>IF(W607="","", "⚠️ 薄弱环节: "&amp;INDEX($R$1:$V$1, MATCH(MIN(R607:V607), R607:V607, 0))&amp;CHAR(10)&amp;"📉 考察能力: "&amp;IFERROR(VLOOKUP(TRIM(D607)&amp;"_"&amp;TRIM(INDEX($R$1:$V$1, MATCH(MIN(R607:V607), R607:V607, 0))), 技能库!$A:$F, 5, 0),"建议查阅考纲")&amp;CHAR(10)&amp;"💡 提升建议: "&amp;IFERROR(VLOOKUP(TRIM(D607)&amp;"_"&amp;TRIM(INDEX($R$1:$V$1, MATCH(MIN(R607:V607), R607:V607, 0))), 技能库!$A:$F, 6, 0),"请针对该题型加强练习"))</f>
        <v/>
      </c>
    </row>
    <row r="608" spans="12:29" ht="16" hidden="1" x14ac:dyDescent="0.2">
      <c r="L608" t="str">
        <f t="shared" si="36"/>
        <v/>
      </c>
      <c r="M608" t="str">
        <f>IF(L608="","", IFERROR(VLOOKUP(L608, IF(D608="KET", 换算标准!$M:$N, IF(D608="PET", 换算标准!$S:$T, 换算标准!$AC:$AD)), 2, TRUE), 0))</f>
        <v/>
      </c>
      <c r="P608" t="str">
        <f t="shared" si="37"/>
        <v/>
      </c>
      <c r="Q608" t="str">
        <f>IF(P608="","", IFERROR(VLOOKUP(P608, IF(D608="KET", 换算标准!$O:$P, IF(D608="PET", 换算标准!$U:$V, 换算标准!$AG:$AH)), 2, TRUE), 0))</f>
        <v/>
      </c>
      <c r="W608" t="str">
        <f t="shared" si="38"/>
        <v/>
      </c>
      <c r="X608" t="str">
        <f>IF(W608="","", IFERROR(VLOOKUP(W608, IF(D608="KET", 换算标准!$Q:$R, IF(D608="PET", 换算标准!$W:$X, 换算标准!$AI:$AJ)), 2, TRUE), 0))</f>
        <v/>
      </c>
      <c r="Y608" t="str">
        <f t="shared" si="39"/>
        <v/>
      </c>
      <c r="Z608" t="str">
        <f>IF(Y608="","", IFERROR(VLOOKUP(Y608, 换算标准!$Z:$AA, 1, TRUE), ""))</f>
        <v/>
      </c>
      <c r="AA608" s="5" t="str">
        <f>IF(L608="","", "⚠️ 薄弱环节: "&amp;INDEX($E$1:$K$1, MATCH(MIN(E608:K608), E608:K608, 0))&amp;CHAR(10)&amp;"📉 考察能力: "&amp;IFERROR(VLOOKUP(TRIM(D608)&amp;"_"&amp;TRIM(INDEX($E$1:$K$1, MATCH(MIN(E608:K608), E608:K608, 0))), 技能库!$A:$F, 5, 0),"建议查阅考纲")&amp;CHAR(10)&amp;"💡 提升建议: "&amp;IFERROR(VLOOKUP(TRIM(D608)&amp;"_"&amp;TRIM(INDEX($E$1:$K$1, MATCH(MIN(E608:K608), E608:K608, 0))), 技能库!$A:$F, 6, 0),"请针对该题型加强练习"))</f>
        <v/>
      </c>
      <c r="AB608" s="5" t="str">
        <f>IF(P608="","", "⚠️ 薄弱环节: "&amp;INDEX($N$1:$O$1, MATCH(MIN(N608:O608), N608:O608, 0))&amp;CHAR(10)&amp;"📉 考察能力: "&amp;IFERROR(VLOOKUP(TRIM(D608)&amp;"_"&amp;TRIM(INDEX($N$1:$O$1, MATCH(MIN(N608:O608), N608:O608, 0))), 技能库!$A:$F, 5, 0),"建议查阅考纲")&amp;CHAR(10)&amp;"💡 提升建议: "&amp;IFERROR(VLOOKUP(TRIM(D608)&amp;"_"&amp;TRIM(INDEX($N$1:$O$1, MATCH(MIN(N608:O608), N608:O608, 0))), 技能库!$A:$F, 6, 0),"请针对该题型加强练习"))</f>
        <v/>
      </c>
      <c r="AC608" s="5" t="str">
        <f>IF(W608="","", "⚠️ 薄弱环节: "&amp;INDEX($R$1:$V$1, MATCH(MIN(R608:V608), R608:V608, 0))&amp;CHAR(10)&amp;"📉 考察能力: "&amp;IFERROR(VLOOKUP(TRIM(D608)&amp;"_"&amp;TRIM(INDEX($R$1:$V$1, MATCH(MIN(R608:V608), R608:V608, 0))), 技能库!$A:$F, 5, 0),"建议查阅考纲")&amp;CHAR(10)&amp;"💡 提升建议: "&amp;IFERROR(VLOOKUP(TRIM(D608)&amp;"_"&amp;TRIM(INDEX($R$1:$V$1, MATCH(MIN(R608:V608), R608:V608, 0))), 技能库!$A:$F, 6, 0),"请针对该题型加强练习"))</f>
        <v/>
      </c>
    </row>
    <row r="609" spans="12:29" ht="16" hidden="1" x14ac:dyDescent="0.2">
      <c r="L609" t="str">
        <f t="shared" si="36"/>
        <v/>
      </c>
      <c r="M609" t="str">
        <f>IF(L609="","", IFERROR(VLOOKUP(L609, IF(D609="KET", 换算标准!$M:$N, IF(D609="PET", 换算标准!$S:$T, 换算标准!$AC:$AD)), 2, TRUE), 0))</f>
        <v/>
      </c>
      <c r="P609" t="str">
        <f t="shared" si="37"/>
        <v/>
      </c>
      <c r="Q609" t="str">
        <f>IF(P609="","", IFERROR(VLOOKUP(P609, IF(D609="KET", 换算标准!$O:$P, IF(D609="PET", 换算标准!$U:$V, 换算标准!$AG:$AH)), 2, TRUE), 0))</f>
        <v/>
      </c>
      <c r="W609" t="str">
        <f t="shared" si="38"/>
        <v/>
      </c>
      <c r="X609" t="str">
        <f>IF(W609="","", IFERROR(VLOOKUP(W609, IF(D609="KET", 换算标准!$Q:$R, IF(D609="PET", 换算标准!$W:$X, 换算标准!$AI:$AJ)), 2, TRUE), 0))</f>
        <v/>
      </c>
      <c r="Y609" t="str">
        <f t="shared" si="39"/>
        <v/>
      </c>
      <c r="Z609" t="str">
        <f>IF(Y609="","", IFERROR(VLOOKUP(Y609, 换算标准!$Z:$AA, 1, TRUE), ""))</f>
        <v/>
      </c>
      <c r="AA609" s="5" t="str">
        <f>IF(L609="","", "⚠️ 薄弱环节: "&amp;INDEX($E$1:$K$1, MATCH(MIN(E609:K609), E609:K609, 0))&amp;CHAR(10)&amp;"📉 考察能力: "&amp;IFERROR(VLOOKUP(TRIM(D609)&amp;"_"&amp;TRIM(INDEX($E$1:$K$1, MATCH(MIN(E609:K609), E609:K609, 0))), 技能库!$A:$F, 5, 0),"建议查阅考纲")&amp;CHAR(10)&amp;"💡 提升建议: "&amp;IFERROR(VLOOKUP(TRIM(D609)&amp;"_"&amp;TRIM(INDEX($E$1:$K$1, MATCH(MIN(E609:K609), E609:K609, 0))), 技能库!$A:$F, 6, 0),"请针对该题型加强练习"))</f>
        <v/>
      </c>
      <c r="AB609" s="5" t="str">
        <f>IF(P609="","", "⚠️ 薄弱环节: "&amp;INDEX($N$1:$O$1, MATCH(MIN(N609:O609), N609:O609, 0))&amp;CHAR(10)&amp;"📉 考察能力: "&amp;IFERROR(VLOOKUP(TRIM(D609)&amp;"_"&amp;TRIM(INDEX($N$1:$O$1, MATCH(MIN(N609:O609), N609:O609, 0))), 技能库!$A:$F, 5, 0),"建议查阅考纲")&amp;CHAR(10)&amp;"💡 提升建议: "&amp;IFERROR(VLOOKUP(TRIM(D609)&amp;"_"&amp;TRIM(INDEX($N$1:$O$1, MATCH(MIN(N609:O609), N609:O609, 0))), 技能库!$A:$F, 6, 0),"请针对该题型加强练习"))</f>
        <v/>
      </c>
      <c r="AC609" s="5" t="str">
        <f>IF(W609="","", "⚠️ 薄弱环节: "&amp;INDEX($R$1:$V$1, MATCH(MIN(R609:V609), R609:V609, 0))&amp;CHAR(10)&amp;"📉 考察能力: "&amp;IFERROR(VLOOKUP(TRIM(D609)&amp;"_"&amp;TRIM(INDEX($R$1:$V$1, MATCH(MIN(R609:V609), R609:V609, 0))), 技能库!$A:$F, 5, 0),"建议查阅考纲")&amp;CHAR(10)&amp;"💡 提升建议: "&amp;IFERROR(VLOOKUP(TRIM(D609)&amp;"_"&amp;TRIM(INDEX($R$1:$V$1, MATCH(MIN(R609:V609), R609:V609, 0))), 技能库!$A:$F, 6, 0),"请针对该题型加强练习"))</f>
        <v/>
      </c>
    </row>
    <row r="610" spans="12:29" ht="16" hidden="1" x14ac:dyDescent="0.2">
      <c r="L610" t="str">
        <f t="shared" si="36"/>
        <v/>
      </c>
      <c r="M610" t="str">
        <f>IF(L610="","", IFERROR(VLOOKUP(L610, IF(D610="KET", 换算标准!$M:$N, IF(D610="PET", 换算标准!$S:$T, 换算标准!$AC:$AD)), 2, TRUE), 0))</f>
        <v/>
      </c>
      <c r="P610" t="str">
        <f t="shared" si="37"/>
        <v/>
      </c>
      <c r="Q610" t="str">
        <f>IF(P610="","", IFERROR(VLOOKUP(P610, IF(D610="KET", 换算标准!$O:$P, IF(D610="PET", 换算标准!$U:$V, 换算标准!$AG:$AH)), 2, TRUE), 0))</f>
        <v/>
      </c>
      <c r="W610" t="str">
        <f t="shared" si="38"/>
        <v/>
      </c>
      <c r="X610" t="str">
        <f>IF(W610="","", IFERROR(VLOOKUP(W610, IF(D610="KET", 换算标准!$Q:$R, IF(D610="PET", 换算标准!$W:$X, 换算标准!$AI:$AJ)), 2, TRUE), 0))</f>
        <v/>
      </c>
      <c r="Y610" t="str">
        <f t="shared" si="39"/>
        <v/>
      </c>
      <c r="Z610" t="str">
        <f>IF(Y610="","", IFERROR(VLOOKUP(Y610, 换算标准!$Z:$AA, 1, TRUE), ""))</f>
        <v/>
      </c>
      <c r="AA610" s="5" t="str">
        <f>IF(L610="","", "⚠️ 薄弱环节: "&amp;INDEX($E$1:$K$1, MATCH(MIN(E610:K610), E610:K610, 0))&amp;CHAR(10)&amp;"📉 考察能力: "&amp;IFERROR(VLOOKUP(TRIM(D610)&amp;"_"&amp;TRIM(INDEX($E$1:$K$1, MATCH(MIN(E610:K610), E610:K610, 0))), 技能库!$A:$F, 5, 0),"建议查阅考纲")&amp;CHAR(10)&amp;"💡 提升建议: "&amp;IFERROR(VLOOKUP(TRIM(D610)&amp;"_"&amp;TRIM(INDEX($E$1:$K$1, MATCH(MIN(E610:K610), E610:K610, 0))), 技能库!$A:$F, 6, 0),"请针对该题型加强练习"))</f>
        <v/>
      </c>
      <c r="AB610" s="5" t="str">
        <f>IF(P610="","", "⚠️ 薄弱环节: "&amp;INDEX($N$1:$O$1, MATCH(MIN(N610:O610), N610:O610, 0))&amp;CHAR(10)&amp;"📉 考察能力: "&amp;IFERROR(VLOOKUP(TRIM(D610)&amp;"_"&amp;TRIM(INDEX($N$1:$O$1, MATCH(MIN(N610:O610), N610:O610, 0))), 技能库!$A:$F, 5, 0),"建议查阅考纲")&amp;CHAR(10)&amp;"💡 提升建议: "&amp;IFERROR(VLOOKUP(TRIM(D610)&amp;"_"&amp;TRIM(INDEX($N$1:$O$1, MATCH(MIN(N610:O610), N610:O610, 0))), 技能库!$A:$F, 6, 0),"请针对该题型加强练习"))</f>
        <v/>
      </c>
      <c r="AC610" s="5" t="str">
        <f>IF(W610="","", "⚠️ 薄弱环节: "&amp;INDEX($R$1:$V$1, MATCH(MIN(R610:V610), R610:V610, 0))&amp;CHAR(10)&amp;"📉 考察能力: "&amp;IFERROR(VLOOKUP(TRIM(D610)&amp;"_"&amp;TRIM(INDEX($R$1:$V$1, MATCH(MIN(R610:V610), R610:V610, 0))), 技能库!$A:$F, 5, 0),"建议查阅考纲")&amp;CHAR(10)&amp;"💡 提升建议: "&amp;IFERROR(VLOOKUP(TRIM(D610)&amp;"_"&amp;TRIM(INDEX($R$1:$V$1, MATCH(MIN(R610:V610), R610:V610, 0))), 技能库!$A:$F, 6, 0),"请针对该题型加强练习"))</f>
        <v/>
      </c>
    </row>
    <row r="611" spans="12:29" ht="16" hidden="1" x14ac:dyDescent="0.2">
      <c r="L611" t="str">
        <f t="shared" si="36"/>
        <v/>
      </c>
      <c r="M611" t="str">
        <f>IF(L611="","", IFERROR(VLOOKUP(L611, IF(D611="KET", 换算标准!$M:$N, IF(D611="PET", 换算标准!$S:$T, 换算标准!$AC:$AD)), 2, TRUE), 0))</f>
        <v/>
      </c>
      <c r="P611" t="str">
        <f t="shared" si="37"/>
        <v/>
      </c>
      <c r="Q611" t="str">
        <f>IF(P611="","", IFERROR(VLOOKUP(P611, IF(D611="KET", 换算标准!$O:$P, IF(D611="PET", 换算标准!$U:$V, 换算标准!$AG:$AH)), 2, TRUE), 0))</f>
        <v/>
      </c>
      <c r="W611" t="str">
        <f t="shared" si="38"/>
        <v/>
      </c>
      <c r="X611" t="str">
        <f>IF(W611="","", IFERROR(VLOOKUP(W611, IF(D611="KET", 换算标准!$Q:$R, IF(D611="PET", 换算标准!$W:$X, 换算标准!$AI:$AJ)), 2, TRUE), 0))</f>
        <v/>
      </c>
      <c r="Y611" t="str">
        <f t="shared" si="39"/>
        <v/>
      </c>
      <c r="Z611" t="str">
        <f>IF(Y611="","", IFERROR(VLOOKUP(Y611, 换算标准!$Z:$AA, 1, TRUE), ""))</f>
        <v/>
      </c>
      <c r="AA611" s="5" t="str">
        <f>IF(L611="","", "⚠️ 薄弱环节: "&amp;INDEX($E$1:$K$1, MATCH(MIN(E611:K611), E611:K611, 0))&amp;CHAR(10)&amp;"📉 考察能力: "&amp;IFERROR(VLOOKUP(TRIM(D611)&amp;"_"&amp;TRIM(INDEX($E$1:$K$1, MATCH(MIN(E611:K611), E611:K611, 0))), 技能库!$A:$F, 5, 0),"建议查阅考纲")&amp;CHAR(10)&amp;"💡 提升建议: "&amp;IFERROR(VLOOKUP(TRIM(D611)&amp;"_"&amp;TRIM(INDEX($E$1:$K$1, MATCH(MIN(E611:K611), E611:K611, 0))), 技能库!$A:$F, 6, 0),"请针对该题型加强练习"))</f>
        <v/>
      </c>
      <c r="AB611" s="5" t="str">
        <f>IF(P611="","", "⚠️ 薄弱环节: "&amp;INDEX($N$1:$O$1, MATCH(MIN(N611:O611), N611:O611, 0))&amp;CHAR(10)&amp;"📉 考察能力: "&amp;IFERROR(VLOOKUP(TRIM(D611)&amp;"_"&amp;TRIM(INDEX($N$1:$O$1, MATCH(MIN(N611:O611), N611:O611, 0))), 技能库!$A:$F, 5, 0),"建议查阅考纲")&amp;CHAR(10)&amp;"💡 提升建议: "&amp;IFERROR(VLOOKUP(TRIM(D611)&amp;"_"&amp;TRIM(INDEX($N$1:$O$1, MATCH(MIN(N611:O611), N611:O611, 0))), 技能库!$A:$F, 6, 0),"请针对该题型加强练习"))</f>
        <v/>
      </c>
      <c r="AC611" s="5" t="str">
        <f>IF(W611="","", "⚠️ 薄弱环节: "&amp;INDEX($R$1:$V$1, MATCH(MIN(R611:V611), R611:V611, 0))&amp;CHAR(10)&amp;"📉 考察能力: "&amp;IFERROR(VLOOKUP(TRIM(D611)&amp;"_"&amp;TRIM(INDEX($R$1:$V$1, MATCH(MIN(R611:V611), R611:V611, 0))), 技能库!$A:$F, 5, 0),"建议查阅考纲")&amp;CHAR(10)&amp;"💡 提升建议: "&amp;IFERROR(VLOOKUP(TRIM(D611)&amp;"_"&amp;TRIM(INDEX($R$1:$V$1, MATCH(MIN(R611:V611), R611:V611, 0))), 技能库!$A:$F, 6, 0),"请针对该题型加强练习"))</f>
        <v/>
      </c>
    </row>
    <row r="612" spans="12:29" ht="16" hidden="1" x14ac:dyDescent="0.2">
      <c r="L612" t="str">
        <f t="shared" si="36"/>
        <v/>
      </c>
      <c r="M612" t="str">
        <f>IF(L612="","", IFERROR(VLOOKUP(L612, IF(D612="KET", 换算标准!$M:$N, IF(D612="PET", 换算标准!$S:$T, 换算标准!$AC:$AD)), 2, TRUE), 0))</f>
        <v/>
      </c>
      <c r="P612" t="str">
        <f t="shared" si="37"/>
        <v/>
      </c>
      <c r="Q612" t="str">
        <f>IF(P612="","", IFERROR(VLOOKUP(P612, IF(D612="KET", 换算标准!$O:$P, IF(D612="PET", 换算标准!$U:$V, 换算标准!$AG:$AH)), 2, TRUE), 0))</f>
        <v/>
      </c>
      <c r="W612" t="str">
        <f t="shared" si="38"/>
        <v/>
      </c>
      <c r="X612" t="str">
        <f>IF(W612="","", IFERROR(VLOOKUP(W612, IF(D612="KET", 换算标准!$Q:$R, IF(D612="PET", 换算标准!$W:$X, 换算标准!$AI:$AJ)), 2, TRUE), 0))</f>
        <v/>
      </c>
      <c r="Y612" t="str">
        <f t="shared" si="39"/>
        <v/>
      </c>
      <c r="Z612" t="str">
        <f>IF(Y612="","", IFERROR(VLOOKUP(Y612, 换算标准!$Z:$AA, 1, TRUE), ""))</f>
        <v/>
      </c>
      <c r="AA612" s="5" t="str">
        <f>IF(L612="","", "⚠️ 薄弱环节: "&amp;INDEX($E$1:$K$1, MATCH(MIN(E612:K612), E612:K612, 0))&amp;CHAR(10)&amp;"📉 考察能力: "&amp;IFERROR(VLOOKUP(TRIM(D612)&amp;"_"&amp;TRIM(INDEX($E$1:$K$1, MATCH(MIN(E612:K612), E612:K612, 0))), 技能库!$A:$F, 5, 0),"建议查阅考纲")&amp;CHAR(10)&amp;"💡 提升建议: "&amp;IFERROR(VLOOKUP(TRIM(D612)&amp;"_"&amp;TRIM(INDEX($E$1:$K$1, MATCH(MIN(E612:K612), E612:K612, 0))), 技能库!$A:$F, 6, 0),"请针对该题型加强练习"))</f>
        <v/>
      </c>
      <c r="AB612" s="5" t="str">
        <f>IF(P612="","", "⚠️ 薄弱环节: "&amp;INDEX($N$1:$O$1, MATCH(MIN(N612:O612), N612:O612, 0))&amp;CHAR(10)&amp;"📉 考察能力: "&amp;IFERROR(VLOOKUP(TRIM(D612)&amp;"_"&amp;TRIM(INDEX($N$1:$O$1, MATCH(MIN(N612:O612), N612:O612, 0))), 技能库!$A:$F, 5, 0),"建议查阅考纲")&amp;CHAR(10)&amp;"💡 提升建议: "&amp;IFERROR(VLOOKUP(TRIM(D612)&amp;"_"&amp;TRIM(INDEX($N$1:$O$1, MATCH(MIN(N612:O612), N612:O612, 0))), 技能库!$A:$F, 6, 0),"请针对该题型加强练习"))</f>
        <v/>
      </c>
      <c r="AC612" s="5" t="str">
        <f>IF(W612="","", "⚠️ 薄弱环节: "&amp;INDEX($R$1:$V$1, MATCH(MIN(R612:V612), R612:V612, 0))&amp;CHAR(10)&amp;"📉 考察能力: "&amp;IFERROR(VLOOKUP(TRIM(D612)&amp;"_"&amp;TRIM(INDEX($R$1:$V$1, MATCH(MIN(R612:V612), R612:V612, 0))), 技能库!$A:$F, 5, 0),"建议查阅考纲")&amp;CHAR(10)&amp;"💡 提升建议: "&amp;IFERROR(VLOOKUP(TRIM(D612)&amp;"_"&amp;TRIM(INDEX($R$1:$V$1, MATCH(MIN(R612:V612), R612:V612, 0))), 技能库!$A:$F, 6, 0),"请针对该题型加强练习"))</f>
        <v/>
      </c>
    </row>
    <row r="613" spans="12:29" ht="16" hidden="1" x14ac:dyDescent="0.2">
      <c r="L613" t="str">
        <f t="shared" si="36"/>
        <v/>
      </c>
      <c r="M613" t="str">
        <f>IF(L613="","", IFERROR(VLOOKUP(L613, IF(D613="KET", 换算标准!$M:$N, IF(D613="PET", 换算标准!$S:$T, 换算标准!$AC:$AD)), 2, TRUE), 0))</f>
        <v/>
      </c>
      <c r="P613" t="str">
        <f t="shared" si="37"/>
        <v/>
      </c>
      <c r="Q613" t="str">
        <f>IF(P613="","", IFERROR(VLOOKUP(P613, IF(D613="KET", 换算标准!$O:$P, IF(D613="PET", 换算标准!$U:$V, 换算标准!$AG:$AH)), 2, TRUE), 0))</f>
        <v/>
      </c>
      <c r="W613" t="str">
        <f t="shared" si="38"/>
        <v/>
      </c>
      <c r="X613" t="str">
        <f>IF(W613="","", IFERROR(VLOOKUP(W613, IF(D613="KET", 换算标准!$Q:$R, IF(D613="PET", 换算标准!$W:$X, 换算标准!$AI:$AJ)), 2, TRUE), 0))</f>
        <v/>
      </c>
      <c r="Y613" t="str">
        <f t="shared" si="39"/>
        <v/>
      </c>
      <c r="Z613" t="str">
        <f>IF(Y613="","", IFERROR(VLOOKUP(Y613, 换算标准!$Z:$AA, 1, TRUE), ""))</f>
        <v/>
      </c>
      <c r="AA613" s="5" t="str">
        <f>IF(L613="","", "⚠️ 薄弱环节: "&amp;INDEX($E$1:$K$1, MATCH(MIN(E613:K613), E613:K613, 0))&amp;CHAR(10)&amp;"📉 考察能力: "&amp;IFERROR(VLOOKUP(TRIM(D613)&amp;"_"&amp;TRIM(INDEX($E$1:$K$1, MATCH(MIN(E613:K613), E613:K613, 0))), 技能库!$A:$F, 5, 0),"建议查阅考纲")&amp;CHAR(10)&amp;"💡 提升建议: "&amp;IFERROR(VLOOKUP(TRIM(D613)&amp;"_"&amp;TRIM(INDEX($E$1:$K$1, MATCH(MIN(E613:K613), E613:K613, 0))), 技能库!$A:$F, 6, 0),"请针对该题型加强练习"))</f>
        <v/>
      </c>
      <c r="AB613" s="5" t="str">
        <f>IF(P613="","", "⚠️ 薄弱环节: "&amp;INDEX($N$1:$O$1, MATCH(MIN(N613:O613), N613:O613, 0))&amp;CHAR(10)&amp;"📉 考察能力: "&amp;IFERROR(VLOOKUP(TRIM(D613)&amp;"_"&amp;TRIM(INDEX($N$1:$O$1, MATCH(MIN(N613:O613), N613:O613, 0))), 技能库!$A:$F, 5, 0),"建议查阅考纲")&amp;CHAR(10)&amp;"💡 提升建议: "&amp;IFERROR(VLOOKUP(TRIM(D613)&amp;"_"&amp;TRIM(INDEX($N$1:$O$1, MATCH(MIN(N613:O613), N613:O613, 0))), 技能库!$A:$F, 6, 0),"请针对该题型加强练习"))</f>
        <v/>
      </c>
      <c r="AC613" s="5" t="str">
        <f>IF(W613="","", "⚠️ 薄弱环节: "&amp;INDEX($R$1:$V$1, MATCH(MIN(R613:V613), R613:V613, 0))&amp;CHAR(10)&amp;"📉 考察能力: "&amp;IFERROR(VLOOKUP(TRIM(D613)&amp;"_"&amp;TRIM(INDEX($R$1:$V$1, MATCH(MIN(R613:V613), R613:V613, 0))), 技能库!$A:$F, 5, 0),"建议查阅考纲")&amp;CHAR(10)&amp;"💡 提升建议: "&amp;IFERROR(VLOOKUP(TRIM(D613)&amp;"_"&amp;TRIM(INDEX($R$1:$V$1, MATCH(MIN(R613:V613), R613:V613, 0))), 技能库!$A:$F, 6, 0),"请针对该题型加强练习"))</f>
        <v/>
      </c>
    </row>
    <row r="614" spans="12:29" ht="16" hidden="1" x14ac:dyDescent="0.2">
      <c r="L614" t="str">
        <f t="shared" si="36"/>
        <v/>
      </c>
      <c r="M614" t="str">
        <f>IF(L614="","", IFERROR(VLOOKUP(L614, IF(D614="KET", 换算标准!$M:$N, IF(D614="PET", 换算标准!$S:$T, 换算标准!$AC:$AD)), 2, TRUE), 0))</f>
        <v/>
      </c>
      <c r="P614" t="str">
        <f t="shared" si="37"/>
        <v/>
      </c>
      <c r="Q614" t="str">
        <f>IF(P614="","", IFERROR(VLOOKUP(P614, IF(D614="KET", 换算标准!$O:$P, IF(D614="PET", 换算标准!$U:$V, 换算标准!$AG:$AH)), 2, TRUE), 0))</f>
        <v/>
      </c>
      <c r="W614" t="str">
        <f t="shared" si="38"/>
        <v/>
      </c>
      <c r="X614" t="str">
        <f>IF(W614="","", IFERROR(VLOOKUP(W614, IF(D614="KET", 换算标准!$Q:$R, IF(D614="PET", 换算标准!$W:$X, 换算标准!$AI:$AJ)), 2, TRUE), 0))</f>
        <v/>
      </c>
      <c r="Y614" t="str">
        <f t="shared" si="39"/>
        <v/>
      </c>
      <c r="Z614" t="str">
        <f>IF(Y614="","", IFERROR(VLOOKUP(Y614, 换算标准!$Z:$AA, 1, TRUE), ""))</f>
        <v/>
      </c>
      <c r="AA614" s="5" t="str">
        <f>IF(L614="","", "⚠️ 薄弱环节: "&amp;INDEX($E$1:$K$1, MATCH(MIN(E614:K614), E614:K614, 0))&amp;CHAR(10)&amp;"📉 考察能力: "&amp;IFERROR(VLOOKUP(TRIM(D614)&amp;"_"&amp;TRIM(INDEX($E$1:$K$1, MATCH(MIN(E614:K614), E614:K614, 0))), 技能库!$A:$F, 5, 0),"建议查阅考纲")&amp;CHAR(10)&amp;"💡 提升建议: "&amp;IFERROR(VLOOKUP(TRIM(D614)&amp;"_"&amp;TRIM(INDEX($E$1:$K$1, MATCH(MIN(E614:K614), E614:K614, 0))), 技能库!$A:$F, 6, 0),"请针对该题型加强练习"))</f>
        <v/>
      </c>
      <c r="AB614" s="5" t="str">
        <f>IF(P614="","", "⚠️ 薄弱环节: "&amp;INDEX($N$1:$O$1, MATCH(MIN(N614:O614), N614:O614, 0))&amp;CHAR(10)&amp;"📉 考察能力: "&amp;IFERROR(VLOOKUP(TRIM(D614)&amp;"_"&amp;TRIM(INDEX($N$1:$O$1, MATCH(MIN(N614:O614), N614:O614, 0))), 技能库!$A:$F, 5, 0),"建议查阅考纲")&amp;CHAR(10)&amp;"💡 提升建议: "&amp;IFERROR(VLOOKUP(TRIM(D614)&amp;"_"&amp;TRIM(INDEX($N$1:$O$1, MATCH(MIN(N614:O614), N614:O614, 0))), 技能库!$A:$F, 6, 0),"请针对该题型加强练习"))</f>
        <v/>
      </c>
      <c r="AC614" s="5" t="str">
        <f>IF(W614="","", "⚠️ 薄弱环节: "&amp;INDEX($R$1:$V$1, MATCH(MIN(R614:V614), R614:V614, 0))&amp;CHAR(10)&amp;"📉 考察能力: "&amp;IFERROR(VLOOKUP(TRIM(D614)&amp;"_"&amp;TRIM(INDEX($R$1:$V$1, MATCH(MIN(R614:V614), R614:V614, 0))), 技能库!$A:$F, 5, 0),"建议查阅考纲")&amp;CHAR(10)&amp;"💡 提升建议: "&amp;IFERROR(VLOOKUP(TRIM(D614)&amp;"_"&amp;TRIM(INDEX($R$1:$V$1, MATCH(MIN(R614:V614), R614:V614, 0))), 技能库!$A:$F, 6, 0),"请针对该题型加强练习"))</f>
        <v/>
      </c>
    </row>
    <row r="615" spans="12:29" ht="16" hidden="1" x14ac:dyDescent="0.2">
      <c r="L615" t="str">
        <f t="shared" si="36"/>
        <v/>
      </c>
      <c r="M615" t="str">
        <f>IF(L615="","", IFERROR(VLOOKUP(L615, IF(D615="KET", 换算标准!$M:$N, IF(D615="PET", 换算标准!$S:$T, 换算标准!$AC:$AD)), 2, TRUE), 0))</f>
        <v/>
      </c>
      <c r="P615" t="str">
        <f t="shared" si="37"/>
        <v/>
      </c>
      <c r="Q615" t="str">
        <f>IF(P615="","", IFERROR(VLOOKUP(P615, IF(D615="KET", 换算标准!$O:$P, IF(D615="PET", 换算标准!$U:$V, 换算标准!$AG:$AH)), 2, TRUE), 0))</f>
        <v/>
      </c>
      <c r="W615" t="str">
        <f t="shared" si="38"/>
        <v/>
      </c>
      <c r="X615" t="str">
        <f>IF(W615="","", IFERROR(VLOOKUP(W615, IF(D615="KET", 换算标准!$Q:$R, IF(D615="PET", 换算标准!$W:$X, 换算标准!$AI:$AJ)), 2, TRUE), 0))</f>
        <v/>
      </c>
      <c r="Y615" t="str">
        <f t="shared" si="39"/>
        <v/>
      </c>
      <c r="Z615" t="str">
        <f>IF(Y615="","", IFERROR(VLOOKUP(Y615, 换算标准!$Z:$AA, 1, TRUE), ""))</f>
        <v/>
      </c>
      <c r="AA615" s="5" t="str">
        <f>IF(L615="","", "⚠️ 薄弱环节: "&amp;INDEX($E$1:$K$1, MATCH(MIN(E615:K615), E615:K615, 0))&amp;CHAR(10)&amp;"📉 考察能力: "&amp;IFERROR(VLOOKUP(TRIM(D615)&amp;"_"&amp;TRIM(INDEX($E$1:$K$1, MATCH(MIN(E615:K615), E615:K615, 0))), 技能库!$A:$F, 5, 0),"建议查阅考纲")&amp;CHAR(10)&amp;"💡 提升建议: "&amp;IFERROR(VLOOKUP(TRIM(D615)&amp;"_"&amp;TRIM(INDEX($E$1:$K$1, MATCH(MIN(E615:K615), E615:K615, 0))), 技能库!$A:$F, 6, 0),"请针对该题型加强练习"))</f>
        <v/>
      </c>
      <c r="AB615" s="5" t="str">
        <f>IF(P615="","", "⚠️ 薄弱环节: "&amp;INDEX($N$1:$O$1, MATCH(MIN(N615:O615), N615:O615, 0))&amp;CHAR(10)&amp;"📉 考察能力: "&amp;IFERROR(VLOOKUP(TRIM(D615)&amp;"_"&amp;TRIM(INDEX($N$1:$O$1, MATCH(MIN(N615:O615), N615:O615, 0))), 技能库!$A:$F, 5, 0),"建议查阅考纲")&amp;CHAR(10)&amp;"💡 提升建议: "&amp;IFERROR(VLOOKUP(TRIM(D615)&amp;"_"&amp;TRIM(INDEX($N$1:$O$1, MATCH(MIN(N615:O615), N615:O615, 0))), 技能库!$A:$F, 6, 0),"请针对该题型加强练习"))</f>
        <v/>
      </c>
      <c r="AC615" s="5" t="str">
        <f>IF(W615="","", "⚠️ 薄弱环节: "&amp;INDEX($R$1:$V$1, MATCH(MIN(R615:V615), R615:V615, 0))&amp;CHAR(10)&amp;"📉 考察能力: "&amp;IFERROR(VLOOKUP(TRIM(D615)&amp;"_"&amp;TRIM(INDEX($R$1:$V$1, MATCH(MIN(R615:V615), R615:V615, 0))), 技能库!$A:$F, 5, 0),"建议查阅考纲")&amp;CHAR(10)&amp;"💡 提升建议: "&amp;IFERROR(VLOOKUP(TRIM(D615)&amp;"_"&amp;TRIM(INDEX($R$1:$V$1, MATCH(MIN(R615:V615), R615:V615, 0))), 技能库!$A:$F, 6, 0),"请针对该题型加强练习"))</f>
        <v/>
      </c>
    </row>
    <row r="616" spans="12:29" ht="16" hidden="1" x14ac:dyDescent="0.2">
      <c r="L616" t="str">
        <f t="shared" si="36"/>
        <v/>
      </c>
      <c r="M616" t="str">
        <f>IF(L616="","", IFERROR(VLOOKUP(L616, IF(D616="KET", 换算标准!$M:$N, IF(D616="PET", 换算标准!$S:$T, 换算标准!$AC:$AD)), 2, TRUE), 0))</f>
        <v/>
      </c>
      <c r="P616" t="str">
        <f t="shared" si="37"/>
        <v/>
      </c>
      <c r="Q616" t="str">
        <f>IF(P616="","", IFERROR(VLOOKUP(P616, IF(D616="KET", 换算标准!$O:$P, IF(D616="PET", 换算标准!$U:$V, 换算标准!$AG:$AH)), 2, TRUE), 0))</f>
        <v/>
      </c>
      <c r="W616" t="str">
        <f t="shared" si="38"/>
        <v/>
      </c>
      <c r="X616" t="str">
        <f>IF(W616="","", IFERROR(VLOOKUP(W616, IF(D616="KET", 换算标准!$Q:$R, IF(D616="PET", 换算标准!$W:$X, 换算标准!$AI:$AJ)), 2, TRUE), 0))</f>
        <v/>
      </c>
      <c r="Y616" t="str">
        <f t="shared" si="39"/>
        <v/>
      </c>
      <c r="Z616" t="str">
        <f>IF(Y616="","", IFERROR(VLOOKUP(Y616, 换算标准!$Z:$AA, 1, TRUE), ""))</f>
        <v/>
      </c>
      <c r="AA616" s="5" t="str">
        <f>IF(L616="","", "⚠️ 薄弱环节: "&amp;INDEX($E$1:$K$1, MATCH(MIN(E616:K616), E616:K616, 0))&amp;CHAR(10)&amp;"📉 考察能力: "&amp;IFERROR(VLOOKUP(TRIM(D616)&amp;"_"&amp;TRIM(INDEX($E$1:$K$1, MATCH(MIN(E616:K616), E616:K616, 0))), 技能库!$A:$F, 5, 0),"建议查阅考纲")&amp;CHAR(10)&amp;"💡 提升建议: "&amp;IFERROR(VLOOKUP(TRIM(D616)&amp;"_"&amp;TRIM(INDEX($E$1:$K$1, MATCH(MIN(E616:K616), E616:K616, 0))), 技能库!$A:$F, 6, 0),"请针对该题型加强练习"))</f>
        <v/>
      </c>
      <c r="AB616" s="5" t="str">
        <f>IF(P616="","", "⚠️ 薄弱环节: "&amp;INDEX($N$1:$O$1, MATCH(MIN(N616:O616), N616:O616, 0))&amp;CHAR(10)&amp;"📉 考察能力: "&amp;IFERROR(VLOOKUP(TRIM(D616)&amp;"_"&amp;TRIM(INDEX($N$1:$O$1, MATCH(MIN(N616:O616), N616:O616, 0))), 技能库!$A:$F, 5, 0),"建议查阅考纲")&amp;CHAR(10)&amp;"💡 提升建议: "&amp;IFERROR(VLOOKUP(TRIM(D616)&amp;"_"&amp;TRIM(INDEX($N$1:$O$1, MATCH(MIN(N616:O616), N616:O616, 0))), 技能库!$A:$F, 6, 0),"请针对该题型加强练习"))</f>
        <v/>
      </c>
      <c r="AC616" s="5" t="str">
        <f>IF(W616="","", "⚠️ 薄弱环节: "&amp;INDEX($R$1:$V$1, MATCH(MIN(R616:V616), R616:V616, 0))&amp;CHAR(10)&amp;"📉 考察能力: "&amp;IFERROR(VLOOKUP(TRIM(D616)&amp;"_"&amp;TRIM(INDEX($R$1:$V$1, MATCH(MIN(R616:V616), R616:V616, 0))), 技能库!$A:$F, 5, 0),"建议查阅考纲")&amp;CHAR(10)&amp;"💡 提升建议: "&amp;IFERROR(VLOOKUP(TRIM(D616)&amp;"_"&amp;TRIM(INDEX($R$1:$V$1, MATCH(MIN(R616:V616), R616:V616, 0))), 技能库!$A:$F, 6, 0),"请针对该题型加强练习"))</f>
        <v/>
      </c>
    </row>
    <row r="617" spans="12:29" ht="16" hidden="1" x14ac:dyDescent="0.2">
      <c r="L617" t="str">
        <f t="shared" si="36"/>
        <v/>
      </c>
      <c r="M617" t="str">
        <f>IF(L617="","", IFERROR(VLOOKUP(L617, IF(D617="KET", 换算标准!$M:$N, IF(D617="PET", 换算标准!$S:$T, 换算标准!$AC:$AD)), 2, TRUE), 0))</f>
        <v/>
      </c>
      <c r="P617" t="str">
        <f t="shared" si="37"/>
        <v/>
      </c>
      <c r="Q617" t="str">
        <f>IF(P617="","", IFERROR(VLOOKUP(P617, IF(D617="KET", 换算标准!$O:$P, IF(D617="PET", 换算标准!$U:$V, 换算标准!$AG:$AH)), 2, TRUE), 0))</f>
        <v/>
      </c>
      <c r="W617" t="str">
        <f t="shared" si="38"/>
        <v/>
      </c>
      <c r="X617" t="str">
        <f>IF(W617="","", IFERROR(VLOOKUP(W617, IF(D617="KET", 换算标准!$Q:$R, IF(D617="PET", 换算标准!$W:$X, 换算标准!$AI:$AJ)), 2, TRUE), 0))</f>
        <v/>
      </c>
      <c r="Y617" t="str">
        <f t="shared" si="39"/>
        <v/>
      </c>
      <c r="Z617" t="str">
        <f>IF(Y617="","", IFERROR(VLOOKUP(Y617, 换算标准!$Z:$AA, 1, TRUE), ""))</f>
        <v/>
      </c>
      <c r="AA617" s="5" t="str">
        <f>IF(L617="","", "⚠️ 薄弱环节: "&amp;INDEX($E$1:$K$1, MATCH(MIN(E617:K617), E617:K617, 0))&amp;CHAR(10)&amp;"📉 考察能力: "&amp;IFERROR(VLOOKUP(TRIM(D617)&amp;"_"&amp;TRIM(INDEX($E$1:$K$1, MATCH(MIN(E617:K617), E617:K617, 0))), 技能库!$A:$F, 5, 0),"建议查阅考纲")&amp;CHAR(10)&amp;"💡 提升建议: "&amp;IFERROR(VLOOKUP(TRIM(D617)&amp;"_"&amp;TRIM(INDEX($E$1:$K$1, MATCH(MIN(E617:K617), E617:K617, 0))), 技能库!$A:$F, 6, 0),"请针对该题型加强练习"))</f>
        <v/>
      </c>
      <c r="AB617" s="5" t="str">
        <f>IF(P617="","", "⚠️ 薄弱环节: "&amp;INDEX($N$1:$O$1, MATCH(MIN(N617:O617), N617:O617, 0))&amp;CHAR(10)&amp;"📉 考察能力: "&amp;IFERROR(VLOOKUP(TRIM(D617)&amp;"_"&amp;TRIM(INDEX($N$1:$O$1, MATCH(MIN(N617:O617), N617:O617, 0))), 技能库!$A:$F, 5, 0),"建议查阅考纲")&amp;CHAR(10)&amp;"💡 提升建议: "&amp;IFERROR(VLOOKUP(TRIM(D617)&amp;"_"&amp;TRIM(INDEX($N$1:$O$1, MATCH(MIN(N617:O617), N617:O617, 0))), 技能库!$A:$F, 6, 0),"请针对该题型加强练习"))</f>
        <v/>
      </c>
      <c r="AC617" s="5" t="str">
        <f>IF(W617="","", "⚠️ 薄弱环节: "&amp;INDEX($R$1:$V$1, MATCH(MIN(R617:V617), R617:V617, 0))&amp;CHAR(10)&amp;"📉 考察能力: "&amp;IFERROR(VLOOKUP(TRIM(D617)&amp;"_"&amp;TRIM(INDEX($R$1:$V$1, MATCH(MIN(R617:V617), R617:V617, 0))), 技能库!$A:$F, 5, 0),"建议查阅考纲")&amp;CHAR(10)&amp;"💡 提升建议: "&amp;IFERROR(VLOOKUP(TRIM(D617)&amp;"_"&amp;TRIM(INDEX($R$1:$V$1, MATCH(MIN(R617:V617), R617:V617, 0))), 技能库!$A:$F, 6, 0),"请针对该题型加强练习"))</f>
        <v/>
      </c>
    </row>
    <row r="618" spans="12:29" ht="16" hidden="1" x14ac:dyDescent="0.2">
      <c r="L618" t="str">
        <f t="shared" si="36"/>
        <v/>
      </c>
      <c r="M618" t="str">
        <f>IF(L618="","", IFERROR(VLOOKUP(L618, IF(D618="KET", 换算标准!$M:$N, IF(D618="PET", 换算标准!$S:$T, 换算标准!$AC:$AD)), 2, TRUE), 0))</f>
        <v/>
      </c>
      <c r="P618" t="str">
        <f t="shared" si="37"/>
        <v/>
      </c>
      <c r="Q618" t="str">
        <f>IF(P618="","", IFERROR(VLOOKUP(P618, IF(D618="KET", 换算标准!$O:$P, IF(D618="PET", 换算标准!$U:$V, 换算标准!$AG:$AH)), 2, TRUE), 0))</f>
        <v/>
      </c>
      <c r="W618" t="str">
        <f t="shared" si="38"/>
        <v/>
      </c>
      <c r="X618" t="str">
        <f>IF(W618="","", IFERROR(VLOOKUP(W618, IF(D618="KET", 换算标准!$Q:$R, IF(D618="PET", 换算标准!$W:$X, 换算标准!$AI:$AJ)), 2, TRUE), 0))</f>
        <v/>
      </c>
      <c r="Y618" t="str">
        <f t="shared" si="39"/>
        <v/>
      </c>
      <c r="Z618" t="str">
        <f>IF(Y618="","", IFERROR(VLOOKUP(Y618, 换算标准!$Z:$AA, 1, TRUE), ""))</f>
        <v/>
      </c>
      <c r="AA618" s="5" t="str">
        <f>IF(L618="","", "⚠️ 薄弱环节: "&amp;INDEX($E$1:$K$1, MATCH(MIN(E618:K618), E618:K618, 0))&amp;CHAR(10)&amp;"📉 考察能力: "&amp;IFERROR(VLOOKUP(TRIM(D618)&amp;"_"&amp;TRIM(INDEX($E$1:$K$1, MATCH(MIN(E618:K618), E618:K618, 0))), 技能库!$A:$F, 5, 0),"建议查阅考纲")&amp;CHAR(10)&amp;"💡 提升建议: "&amp;IFERROR(VLOOKUP(TRIM(D618)&amp;"_"&amp;TRIM(INDEX($E$1:$K$1, MATCH(MIN(E618:K618), E618:K618, 0))), 技能库!$A:$F, 6, 0),"请针对该题型加强练习"))</f>
        <v/>
      </c>
      <c r="AB618" s="5" t="str">
        <f>IF(P618="","", "⚠️ 薄弱环节: "&amp;INDEX($N$1:$O$1, MATCH(MIN(N618:O618), N618:O618, 0))&amp;CHAR(10)&amp;"📉 考察能力: "&amp;IFERROR(VLOOKUP(TRIM(D618)&amp;"_"&amp;TRIM(INDEX($N$1:$O$1, MATCH(MIN(N618:O618), N618:O618, 0))), 技能库!$A:$F, 5, 0),"建议查阅考纲")&amp;CHAR(10)&amp;"💡 提升建议: "&amp;IFERROR(VLOOKUP(TRIM(D618)&amp;"_"&amp;TRIM(INDEX($N$1:$O$1, MATCH(MIN(N618:O618), N618:O618, 0))), 技能库!$A:$F, 6, 0),"请针对该题型加强练习"))</f>
        <v/>
      </c>
      <c r="AC618" s="5" t="str">
        <f>IF(W618="","", "⚠️ 薄弱环节: "&amp;INDEX($R$1:$V$1, MATCH(MIN(R618:V618), R618:V618, 0))&amp;CHAR(10)&amp;"📉 考察能力: "&amp;IFERROR(VLOOKUP(TRIM(D618)&amp;"_"&amp;TRIM(INDEX($R$1:$V$1, MATCH(MIN(R618:V618), R618:V618, 0))), 技能库!$A:$F, 5, 0),"建议查阅考纲")&amp;CHAR(10)&amp;"💡 提升建议: "&amp;IFERROR(VLOOKUP(TRIM(D618)&amp;"_"&amp;TRIM(INDEX($R$1:$V$1, MATCH(MIN(R618:V618), R618:V618, 0))), 技能库!$A:$F, 6, 0),"请针对该题型加强练习"))</f>
        <v/>
      </c>
    </row>
    <row r="619" spans="12:29" ht="16" hidden="1" x14ac:dyDescent="0.2">
      <c r="L619" t="str">
        <f t="shared" si="36"/>
        <v/>
      </c>
      <c r="M619" t="str">
        <f>IF(L619="","", IFERROR(VLOOKUP(L619, IF(D619="KET", 换算标准!$M:$N, IF(D619="PET", 换算标准!$S:$T, 换算标准!$AC:$AD)), 2, TRUE), 0))</f>
        <v/>
      </c>
      <c r="P619" t="str">
        <f t="shared" si="37"/>
        <v/>
      </c>
      <c r="Q619" t="str">
        <f>IF(P619="","", IFERROR(VLOOKUP(P619, IF(D619="KET", 换算标准!$O:$P, IF(D619="PET", 换算标准!$U:$V, 换算标准!$AG:$AH)), 2, TRUE), 0))</f>
        <v/>
      </c>
      <c r="W619" t="str">
        <f t="shared" si="38"/>
        <v/>
      </c>
      <c r="X619" t="str">
        <f>IF(W619="","", IFERROR(VLOOKUP(W619, IF(D619="KET", 换算标准!$Q:$R, IF(D619="PET", 换算标准!$W:$X, 换算标准!$AI:$AJ)), 2, TRUE), 0))</f>
        <v/>
      </c>
      <c r="Y619" t="str">
        <f t="shared" si="39"/>
        <v/>
      </c>
      <c r="Z619" t="str">
        <f>IF(Y619="","", IFERROR(VLOOKUP(Y619, 换算标准!$Z:$AA, 1, TRUE), ""))</f>
        <v/>
      </c>
      <c r="AA619" s="5" t="str">
        <f>IF(L619="","", "⚠️ 薄弱环节: "&amp;INDEX($E$1:$K$1, MATCH(MIN(E619:K619), E619:K619, 0))&amp;CHAR(10)&amp;"📉 考察能力: "&amp;IFERROR(VLOOKUP(TRIM(D619)&amp;"_"&amp;TRIM(INDEX($E$1:$K$1, MATCH(MIN(E619:K619), E619:K619, 0))), 技能库!$A:$F, 5, 0),"建议查阅考纲")&amp;CHAR(10)&amp;"💡 提升建议: "&amp;IFERROR(VLOOKUP(TRIM(D619)&amp;"_"&amp;TRIM(INDEX($E$1:$K$1, MATCH(MIN(E619:K619), E619:K619, 0))), 技能库!$A:$F, 6, 0),"请针对该题型加强练习"))</f>
        <v/>
      </c>
      <c r="AB619" s="5" t="str">
        <f>IF(P619="","", "⚠️ 薄弱环节: "&amp;INDEX($N$1:$O$1, MATCH(MIN(N619:O619), N619:O619, 0))&amp;CHAR(10)&amp;"📉 考察能力: "&amp;IFERROR(VLOOKUP(TRIM(D619)&amp;"_"&amp;TRIM(INDEX($N$1:$O$1, MATCH(MIN(N619:O619), N619:O619, 0))), 技能库!$A:$F, 5, 0),"建议查阅考纲")&amp;CHAR(10)&amp;"💡 提升建议: "&amp;IFERROR(VLOOKUP(TRIM(D619)&amp;"_"&amp;TRIM(INDEX($N$1:$O$1, MATCH(MIN(N619:O619), N619:O619, 0))), 技能库!$A:$F, 6, 0),"请针对该题型加强练习"))</f>
        <v/>
      </c>
      <c r="AC619" s="5" t="str">
        <f>IF(W619="","", "⚠️ 薄弱环节: "&amp;INDEX($R$1:$V$1, MATCH(MIN(R619:V619), R619:V619, 0))&amp;CHAR(10)&amp;"📉 考察能力: "&amp;IFERROR(VLOOKUP(TRIM(D619)&amp;"_"&amp;TRIM(INDEX($R$1:$V$1, MATCH(MIN(R619:V619), R619:V619, 0))), 技能库!$A:$F, 5, 0),"建议查阅考纲")&amp;CHAR(10)&amp;"💡 提升建议: "&amp;IFERROR(VLOOKUP(TRIM(D619)&amp;"_"&amp;TRIM(INDEX($R$1:$V$1, MATCH(MIN(R619:V619), R619:V619, 0))), 技能库!$A:$F, 6, 0),"请针对该题型加强练习"))</f>
        <v/>
      </c>
    </row>
    <row r="620" spans="12:29" ht="16" hidden="1" x14ac:dyDescent="0.2">
      <c r="L620" t="str">
        <f t="shared" si="36"/>
        <v/>
      </c>
      <c r="M620" t="str">
        <f>IF(L620="","", IFERROR(VLOOKUP(L620, IF(D620="KET", 换算标准!$M:$N, IF(D620="PET", 换算标准!$S:$T, 换算标准!$AC:$AD)), 2, TRUE), 0))</f>
        <v/>
      </c>
      <c r="P620" t="str">
        <f t="shared" si="37"/>
        <v/>
      </c>
      <c r="Q620" t="str">
        <f>IF(P620="","", IFERROR(VLOOKUP(P620, IF(D620="KET", 换算标准!$O:$P, IF(D620="PET", 换算标准!$U:$V, 换算标准!$AG:$AH)), 2, TRUE), 0))</f>
        <v/>
      </c>
      <c r="W620" t="str">
        <f t="shared" si="38"/>
        <v/>
      </c>
      <c r="X620" t="str">
        <f>IF(W620="","", IFERROR(VLOOKUP(W620, IF(D620="KET", 换算标准!$Q:$R, IF(D620="PET", 换算标准!$W:$X, 换算标准!$AI:$AJ)), 2, TRUE), 0))</f>
        <v/>
      </c>
      <c r="Y620" t="str">
        <f t="shared" si="39"/>
        <v/>
      </c>
      <c r="Z620" t="str">
        <f>IF(Y620="","", IFERROR(VLOOKUP(Y620, 换算标准!$Z:$AA, 1, TRUE), ""))</f>
        <v/>
      </c>
      <c r="AA620" s="5" t="str">
        <f>IF(L620="","", "⚠️ 薄弱环节: "&amp;INDEX($E$1:$K$1, MATCH(MIN(E620:K620), E620:K620, 0))&amp;CHAR(10)&amp;"📉 考察能力: "&amp;IFERROR(VLOOKUP(TRIM(D620)&amp;"_"&amp;TRIM(INDEX($E$1:$K$1, MATCH(MIN(E620:K620), E620:K620, 0))), 技能库!$A:$F, 5, 0),"建议查阅考纲")&amp;CHAR(10)&amp;"💡 提升建议: "&amp;IFERROR(VLOOKUP(TRIM(D620)&amp;"_"&amp;TRIM(INDEX($E$1:$K$1, MATCH(MIN(E620:K620), E620:K620, 0))), 技能库!$A:$F, 6, 0),"请针对该题型加强练习"))</f>
        <v/>
      </c>
      <c r="AB620" s="5" t="str">
        <f>IF(P620="","", "⚠️ 薄弱环节: "&amp;INDEX($N$1:$O$1, MATCH(MIN(N620:O620), N620:O620, 0))&amp;CHAR(10)&amp;"📉 考察能力: "&amp;IFERROR(VLOOKUP(TRIM(D620)&amp;"_"&amp;TRIM(INDEX($N$1:$O$1, MATCH(MIN(N620:O620), N620:O620, 0))), 技能库!$A:$F, 5, 0),"建议查阅考纲")&amp;CHAR(10)&amp;"💡 提升建议: "&amp;IFERROR(VLOOKUP(TRIM(D620)&amp;"_"&amp;TRIM(INDEX($N$1:$O$1, MATCH(MIN(N620:O620), N620:O620, 0))), 技能库!$A:$F, 6, 0),"请针对该题型加强练习"))</f>
        <v/>
      </c>
      <c r="AC620" s="5" t="str">
        <f>IF(W620="","", "⚠️ 薄弱环节: "&amp;INDEX($R$1:$V$1, MATCH(MIN(R620:V620), R620:V620, 0))&amp;CHAR(10)&amp;"📉 考察能力: "&amp;IFERROR(VLOOKUP(TRIM(D620)&amp;"_"&amp;TRIM(INDEX($R$1:$V$1, MATCH(MIN(R620:V620), R620:V620, 0))), 技能库!$A:$F, 5, 0),"建议查阅考纲")&amp;CHAR(10)&amp;"💡 提升建议: "&amp;IFERROR(VLOOKUP(TRIM(D620)&amp;"_"&amp;TRIM(INDEX($R$1:$V$1, MATCH(MIN(R620:V620), R620:V620, 0))), 技能库!$A:$F, 6, 0),"请针对该题型加强练习"))</f>
        <v/>
      </c>
    </row>
    <row r="621" spans="12:29" ht="16" hidden="1" x14ac:dyDescent="0.2">
      <c r="L621" t="str">
        <f t="shared" si="36"/>
        <v/>
      </c>
      <c r="M621" t="str">
        <f>IF(L621="","", IFERROR(VLOOKUP(L621, IF(D621="KET", 换算标准!$M:$N, IF(D621="PET", 换算标准!$S:$T, 换算标准!$AC:$AD)), 2, TRUE), 0))</f>
        <v/>
      </c>
      <c r="P621" t="str">
        <f t="shared" si="37"/>
        <v/>
      </c>
      <c r="Q621" t="str">
        <f>IF(P621="","", IFERROR(VLOOKUP(P621, IF(D621="KET", 换算标准!$O:$P, IF(D621="PET", 换算标准!$U:$V, 换算标准!$AG:$AH)), 2, TRUE), 0))</f>
        <v/>
      </c>
      <c r="W621" t="str">
        <f t="shared" si="38"/>
        <v/>
      </c>
      <c r="X621" t="str">
        <f>IF(W621="","", IFERROR(VLOOKUP(W621, IF(D621="KET", 换算标准!$Q:$R, IF(D621="PET", 换算标准!$W:$X, 换算标准!$AI:$AJ)), 2, TRUE), 0))</f>
        <v/>
      </c>
      <c r="Y621" t="str">
        <f t="shared" si="39"/>
        <v/>
      </c>
      <c r="Z621" t="str">
        <f>IF(Y621="","", IFERROR(VLOOKUP(Y621, 换算标准!$Z:$AA, 1, TRUE), ""))</f>
        <v/>
      </c>
      <c r="AA621" s="5" t="str">
        <f>IF(L621="","", "⚠️ 薄弱环节: "&amp;INDEX($E$1:$K$1, MATCH(MIN(E621:K621), E621:K621, 0))&amp;CHAR(10)&amp;"📉 考察能力: "&amp;IFERROR(VLOOKUP(TRIM(D621)&amp;"_"&amp;TRIM(INDEX($E$1:$K$1, MATCH(MIN(E621:K621), E621:K621, 0))), 技能库!$A:$F, 5, 0),"建议查阅考纲")&amp;CHAR(10)&amp;"💡 提升建议: "&amp;IFERROR(VLOOKUP(TRIM(D621)&amp;"_"&amp;TRIM(INDEX($E$1:$K$1, MATCH(MIN(E621:K621), E621:K621, 0))), 技能库!$A:$F, 6, 0),"请针对该题型加强练习"))</f>
        <v/>
      </c>
      <c r="AB621" s="5" t="str">
        <f>IF(P621="","", "⚠️ 薄弱环节: "&amp;INDEX($N$1:$O$1, MATCH(MIN(N621:O621), N621:O621, 0))&amp;CHAR(10)&amp;"📉 考察能力: "&amp;IFERROR(VLOOKUP(TRIM(D621)&amp;"_"&amp;TRIM(INDEX($N$1:$O$1, MATCH(MIN(N621:O621), N621:O621, 0))), 技能库!$A:$F, 5, 0),"建议查阅考纲")&amp;CHAR(10)&amp;"💡 提升建议: "&amp;IFERROR(VLOOKUP(TRIM(D621)&amp;"_"&amp;TRIM(INDEX($N$1:$O$1, MATCH(MIN(N621:O621), N621:O621, 0))), 技能库!$A:$F, 6, 0),"请针对该题型加强练习"))</f>
        <v/>
      </c>
      <c r="AC621" s="5" t="str">
        <f>IF(W621="","", "⚠️ 薄弱环节: "&amp;INDEX($R$1:$V$1, MATCH(MIN(R621:V621), R621:V621, 0))&amp;CHAR(10)&amp;"📉 考察能力: "&amp;IFERROR(VLOOKUP(TRIM(D621)&amp;"_"&amp;TRIM(INDEX($R$1:$V$1, MATCH(MIN(R621:V621), R621:V621, 0))), 技能库!$A:$F, 5, 0),"建议查阅考纲")&amp;CHAR(10)&amp;"💡 提升建议: "&amp;IFERROR(VLOOKUP(TRIM(D621)&amp;"_"&amp;TRIM(INDEX($R$1:$V$1, MATCH(MIN(R621:V621), R621:V621, 0))), 技能库!$A:$F, 6, 0),"请针对该题型加强练习"))</f>
        <v/>
      </c>
    </row>
    <row r="622" spans="12:29" ht="16" hidden="1" x14ac:dyDescent="0.2">
      <c r="L622" t="str">
        <f t="shared" si="36"/>
        <v/>
      </c>
      <c r="M622" t="str">
        <f>IF(L622="","", IFERROR(VLOOKUP(L622, IF(D622="KET", 换算标准!$M:$N, IF(D622="PET", 换算标准!$S:$T, 换算标准!$AC:$AD)), 2, TRUE), 0))</f>
        <v/>
      </c>
      <c r="P622" t="str">
        <f t="shared" si="37"/>
        <v/>
      </c>
      <c r="Q622" t="str">
        <f>IF(P622="","", IFERROR(VLOOKUP(P622, IF(D622="KET", 换算标准!$O:$P, IF(D622="PET", 换算标准!$U:$V, 换算标准!$AG:$AH)), 2, TRUE), 0))</f>
        <v/>
      </c>
      <c r="W622" t="str">
        <f t="shared" si="38"/>
        <v/>
      </c>
      <c r="X622" t="str">
        <f>IF(W622="","", IFERROR(VLOOKUP(W622, IF(D622="KET", 换算标准!$Q:$R, IF(D622="PET", 换算标准!$W:$X, 换算标准!$AI:$AJ)), 2, TRUE), 0))</f>
        <v/>
      </c>
      <c r="Y622" t="str">
        <f t="shared" si="39"/>
        <v/>
      </c>
      <c r="Z622" t="str">
        <f>IF(Y622="","", IFERROR(VLOOKUP(Y622, 换算标准!$Z:$AA, 1, TRUE), ""))</f>
        <v/>
      </c>
      <c r="AA622" s="5" t="str">
        <f>IF(L622="","", "⚠️ 薄弱环节: "&amp;INDEX($E$1:$K$1, MATCH(MIN(E622:K622), E622:K622, 0))&amp;CHAR(10)&amp;"📉 考察能力: "&amp;IFERROR(VLOOKUP(TRIM(D622)&amp;"_"&amp;TRIM(INDEX($E$1:$K$1, MATCH(MIN(E622:K622), E622:K622, 0))), 技能库!$A:$F, 5, 0),"建议查阅考纲")&amp;CHAR(10)&amp;"💡 提升建议: "&amp;IFERROR(VLOOKUP(TRIM(D622)&amp;"_"&amp;TRIM(INDEX($E$1:$K$1, MATCH(MIN(E622:K622), E622:K622, 0))), 技能库!$A:$F, 6, 0),"请针对该题型加强练习"))</f>
        <v/>
      </c>
      <c r="AB622" s="5" t="str">
        <f>IF(P622="","", "⚠️ 薄弱环节: "&amp;INDEX($N$1:$O$1, MATCH(MIN(N622:O622), N622:O622, 0))&amp;CHAR(10)&amp;"📉 考察能力: "&amp;IFERROR(VLOOKUP(TRIM(D622)&amp;"_"&amp;TRIM(INDEX($N$1:$O$1, MATCH(MIN(N622:O622), N622:O622, 0))), 技能库!$A:$F, 5, 0),"建议查阅考纲")&amp;CHAR(10)&amp;"💡 提升建议: "&amp;IFERROR(VLOOKUP(TRIM(D622)&amp;"_"&amp;TRIM(INDEX($N$1:$O$1, MATCH(MIN(N622:O622), N622:O622, 0))), 技能库!$A:$F, 6, 0),"请针对该题型加强练习"))</f>
        <v/>
      </c>
      <c r="AC622" s="5" t="str">
        <f>IF(W622="","", "⚠️ 薄弱环节: "&amp;INDEX($R$1:$V$1, MATCH(MIN(R622:V622), R622:V622, 0))&amp;CHAR(10)&amp;"📉 考察能力: "&amp;IFERROR(VLOOKUP(TRIM(D622)&amp;"_"&amp;TRIM(INDEX($R$1:$V$1, MATCH(MIN(R622:V622), R622:V622, 0))), 技能库!$A:$F, 5, 0),"建议查阅考纲")&amp;CHAR(10)&amp;"💡 提升建议: "&amp;IFERROR(VLOOKUP(TRIM(D622)&amp;"_"&amp;TRIM(INDEX($R$1:$V$1, MATCH(MIN(R622:V622), R622:V622, 0))), 技能库!$A:$F, 6, 0),"请针对该题型加强练习"))</f>
        <v/>
      </c>
    </row>
    <row r="623" spans="12:29" ht="16" hidden="1" x14ac:dyDescent="0.2">
      <c r="L623" t="str">
        <f t="shared" si="36"/>
        <v/>
      </c>
      <c r="M623" t="str">
        <f>IF(L623="","", IFERROR(VLOOKUP(L623, IF(D623="KET", 换算标准!$M:$N, IF(D623="PET", 换算标准!$S:$T, 换算标准!$AC:$AD)), 2, TRUE), 0))</f>
        <v/>
      </c>
      <c r="P623" t="str">
        <f t="shared" si="37"/>
        <v/>
      </c>
      <c r="Q623" t="str">
        <f>IF(P623="","", IFERROR(VLOOKUP(P623, IF(D623="KET", 换算标准!$O:$P, IF(D623="PET", 换算标准!$U:$V, 换算标准!$AG:$AH)), 2, TRUE), 0))</f>
        <v/>
      </c>
      <c r="W623" t="str">
        <f t="shared" si="38"/>
        <v/>
      </c>
      <c r="X623" t="str">
        <f>IF(W623="","", IFERROR(VLOOKUP(W623, IF(D623="KET", 换算标准!$Q:$R, IF(D623="PET", 换算标准!$W:$X, 换算标准!$AI:$AJ)), 2, TRUE), 0))</f>
        <v/>
      </c>
      <c r="Y623" t="str">
        <f t="shared" si="39"/>
        <v/>
      </c>
      <c r="Z623" t="str">
        <f>IF(Y623="","", IFERROR(VLOOKUP(Y623, 换算标准!$Z:$AA, 1, TRUE), ""))</f>
        <v/>
      </c>
      <c r="AA623" s="5" t="str">
        <f>IF(L623="","", "⚠️ 薄弱环节: "&amp;INDEX($E$1:$K$1, MATCH(MIN(E623:K623), E623:K623, 0))&amp;CHAR(10)&amp;"📉 考察能力: "&amp;IFERROR(VLOOKUP(TRIM(D623)&amp;"_"&amp;TRIM(INDEX($E$1:$K$1, MATCH(MIN(E623:K623), E623:K623, 0))), 技能库!$A:$F, 5, 0),"建议查阅考纲")&amp;CHAR(10)&amp;"💡 提升建议: "&amp;IFERROR(VLOOKUP(TRIM(D623)&amp;"_"&amp;TRIM(INDEX($E$1:$K$1, MATCH(MIN(E623:K623), E623:K623, 0))), 技能库!$A:$F, 6, 0),"请针对该题型加强练习"))</f>
        <v/>
      </c>
      <c r="AB623" s="5" t="str">
        <f>IF(P623="","", "⚠️ 薄弱环节: "&amp;INDEX($N$1:$O$1, MATCH(MIN(N623:O623), N623:O623, 0))&amp;CHAR(10)&amp;"📉 考察能力: "&amp;IFERROR(VLOOKUP(TRIM(D623)&amp;"_"&amp;TRIM(INDEX($N$1:$O$1, MATCH(MIN(N623:O623), N623:O623, 0))), 技能库!$A:$F, 5, 0),"建议查阅考纲")&amp;CHAR(10)&amp;"💡 提升建议: "&amp;IFERROR(VLOOKUP(TRIM(D623)&amp;"_"&amp;TRIM(INDEX($N$1:$O$1, MATCH(MIN(N623:O623), N623:O623, 0))), 技能库!$A:$F, 6, 0),"请针对该题型加强练习"))</f>
        <v/>
      </c>
      <c r="AC623" s="5" t="str">
        <f>IF(W623="","", "⚠️ 薄弱环节: "&amp;INDEX($R$1:$V$1, MATCH(MIN(R623:V623), R623:V623, 0))&amp;CHAR(10)&amp;"📉 考察能力: "&amp;IFERROR(VLOOKUP(TRIM(D623)&amp;"_"&amp;TRIM(INDEX($R$1:$V$1, MATCH(MIN(R623:V623), R623:V623, 0))), 技能库!$A:$F, 5, 0),"建议查阅考纲")&amp;CHAR(10)&amp;"💡 提升建议: "&amp;IFERROR(VLOOKUP(TRIM(D623)&amp;"_"&amp;TRIM(INDEX($R$1:$V$1, MATCH(MIN(R623:V623), R623:V623, 0))), 技能库!$A:$F, 6, 0),"请针对该题型加强练习"))</f>
        <v/>
      </c>
    </row>
    <row r="624" spans="12:29" ht="16" hidden="1" x14ac:dyDescent="0.2">
      <c r="L624" t="str">
        <f t="shared" si="36"/>
        <v/>
      </c>
      <c r="M624" t="str">
        <f>IF(L624="","", IFERROR(VLOOKUP(L624, IF(D624="KET", 换算标准!$M:$N, IF(D624="PET", 换算标准!$S:$T, 换算标准!$AC:$AD)), 2, TRUE), 0))</f>
        <v/>
      </c>
      <c r="P624" t="str">
        <f t="shared" si="37"/>
        <v/>
      </c>
      <c r="Q624" t="str">
        <f>IF(P624="","", IFERROR(VLOOKUP(P624, IF(D624="KET", 换算标准!$O:$P, IF(D624="PET", 换算标准!$U:$V, 换算标准!$AG:$AH)), 2, TRUE), 0))</f>
        <v/>
      </c>
      <c r="W624" t="str">
        <f t="shared" si="38"/>
        <v/>
      </c>
      <c r="X624" t="str">
        <f>IF(W624="","", IFERROR(VLOOKUP(W624, IF(D624="KET", 换算标准!$Q:$R, IF(D624="PET", 换算标准!$W:$X, 换算标准!$AI:$AJ)), 2, TRUE), 0))</f>
        <v/>
      </c>
      <c r="Y624" t="str">
        <f t="shared" si="39"/>
        <v/>
      </c>
      <c r="Z624" t="str">
        <f>IF(Y624="","", IFERROR(VLOOKUP(Y624, 换算标准!$Z:$AA, 1, TRUE), ""))</f>
        <v/>
      </c>
      <c r="AA624" s="5" t="str">
        <f>IF(L624="","", "⚠️ 薄弱环节: "&amp;INDEX($E$1:$K$1, MATCH(MIN(E624:K624), E624:K624, 0))&amp;CHAR(10)&amp;"📉 考察能力: "&amp;IFERROR(VLOOKUP(TRIM(D624)&amp;"_"&amp;TRIM(INDEX($E$1:$K$1, MATCH(MIN(E624:K624), E624:K624, 0))), 技能库!$A:$F, 5, 0),"建议查阅考纲")&amp;CHAR(10)&amp;"💡 提升建议: "&amp;IFERROR(VLOOKUP(TRIM(D624)&amp;"_"&amp;TRIM(INDEX($E$1:$K$1, MATCH(MIN(E624:K624), E624:K624, 0))), 技能库!$A:$F, 6, 0),"请针对该题型加强练习"))</f>
        <v/>
      </c>
      <c r="AB624" s="5" t="str">
        <f>IF(P624="","", "⚠️ 薄弱环节: "&amp;INDEX($N$1:$O$1, MATCH(MIN(N624:O624), N624:O624, 0))&amp;CHAR(10)&amp;"📉 考察能力: "&amp;IFERROR(VLOOKUP(TRIM(D624)&amp;"_"&amp;TRIM(INDEX($N$1:$O$1, MATCH(MIN(N624:O624), N624:O624, 0))), 技能库!$A:$F, 5, 0),"建议查阅考纲")&amp;CHAR(10)&amp;"💡 提升建议: "&amp;IFERROR(VLOOKUP(TRIM(D624)&amp;"_"&amp;TRIM(INDEX($N$1:$O$1, MATCH(MIN(N624:O624), N624:O624, 0))), 技能库!$A:$F, 6, 0),"请针对该题型加强练习"))</f>
        <v/>
      </c>
      <c r="AC624" s="5" t="str">
        <f>IF(W624="","", "⚠️ 薄弱环节: "&amp;INDEX($R$1:$V$1, MATCH(MIN(R624:V624), R624:V624, 0))&amp;CHAR(10)&amp;"📉 考察能力: "&amp;IFERROR(VLOOKUP(TRIM(D624)&amp;"_"&amp;TRIM(INDEX($R$1:$V$1, MATCH(MIN(R624:V624), R624:V624, 0))), 技能库!$A:$F, 5, 0),"建议查阅考纲")&amp;CHAR(10)&amp;"💡 提升建议: "&amp;IFERROR(VLOOKUP(TRIM(D624)&amp;"_"&amp;TRIM(INDEX($R$1:$V$1, MATCH(MIN(R624:V624), R624:V624, 0))), 技能库!$A:$F, 6, 0),"请针对该题型加强练习"))</f>
        <v/>
      </c>
    </row>
    <row r="625" spans="12:29" ht="16" hidden="1" x14ac:dyDescent="0.2">
      <c r="L625" t="str">
        <f t="shared" si="36"/>
        <v/>
      </c>
      <c r="M625" t="str">
        <f>IF(L625="","", IFERROR(VLOOKUP(L625, IF(D625="KET", 换算标准!$M:$N, IF(D625="PET", 换算标准!$S:$T, 换算标准!$AC:$AD)), 2, TRUE), 0))</f>
        <v/>
      </c>
      <c r="P625" t="str">
        <f t="shared" si="37"/>
        <v/>
      </c>
      <c r="Q625" t="str">
        <f>IF(P625="","", IFERROR(VLOOKUP(P625, IF(D625="KET", 换算标准!$O:$P, IF(D625="PET", 换算标准!$U:$V, 换算标准!$AG:$AH)), 2, TRUE), 0))</f>
        <v/>
      </c>
      <c r="W625" t="str">
        <f t="shared" si="38"/>
        <v/>
      </c>
      <c r="X625" t="str">
        <f>IF(W625="","", IFERROR(VLOOKUP(W625, IF(D625="KET", 换算标准!$Q:$R, IF(D625="PET", 换算标准!$W:$X, 换算标准!$AI:$AJ)), 2, TRUE), 0))</f>
        <v/>
      </c>
      <c r="Y625" t="str">
        <f t="shared" si="39"/>
        <v/>
      </c>
      <c r="Z625" t="str">
        <f>IF(Y625="","", IFERROR(VLOOKUP(Y625, 换算标准!$Z:$AA, 1, TRUE), ""))</f>
        <v/>
      </c>
      <c r="AA625" s="5" t="str">
        <f>IF(L625="","", "⚠️ 薄弱环节: "&amp;INDEX($E$1:$K$1, MATCH(MIN(E625:K625), E625:K625, 0))&amp;CHAR(10)&amp;"📉 考察能力: "&amp;IFERROR(VLOOKUP(TRIM(D625)&amp;"_"&amp;TRIM(INDEX($E$1:$K$1, MATCH(MIN(E625:K625), E625:K625, 0))), 技能库!$A:$F, 5, 0),"建议查阅考纲")&amp;CHAR(10)&amp;"💡 提升建议: "&amp;IFERROR(VLOOKUP(TRIM(D625)&amp;"_"&amp;TRIM(INDEX($E$1:$K$1, MATCH(MIN(E625:K625), E625:K625, 0))), 技能库!$A:$F, 6, 0),"请针对该题型加强练习"))</f>
        <v/>
      </c>
      <c r="AB625" s="5" t="str">
        <f>IF(P625="","", "⚠️ 薄弱环节: "&amp;INDEX($N$1:$O$1, MATCH(MIN(N625:O625), N625:O625, 0))&amp;CHAR(10)&amp;"📉 考察能力: "&amp;IFERROR(VLOOKUP(TRIM(D625)&amp;"_"&amp;TRIM(INDEX($N$1:$O$1, MATCH(MIN(N625:O625), N625:O625, 0))), 技能库!$A:$F, 5, 0),"建议查阅考纲")&amp;CHAR(10)&amp;"💡 提升建议: "&amp;IFERROR(VLOOKUP(TRIM(D625)&amp;"_"&amp;TRIM(INDEX($N$1:$O$1, MATCH(MIN(N625:O625), N625:O625, 0))), 技能库!$A:$F, 6, 0),"请针对该题型加强练习"))</f>
        <v/>
      </c>
      <c r="AC625" s="5" t="str">
        <f>IF(W625="","", "⚠️ 薄弱环节: "&amp;INDEX($R$1:$V$1, MATCH(MIN(R625:V625), R625:V625, 0))&amp;CHAR(10)&amp;"📉 考察能力: "&amp;IFERROR(VLOOKUP(TRIM(D625)&amp;"_"&amp;TRIM(INDEX($R$1:$V$1, MATCH(MIN(R625:V625), R625:V625, 0))), 技能库!$A:$F, 5, 0),"建议查阅考纲")&amp;CHAR(10)&amp;"💡 提升建议: "&amp;IFERROR(VLOOKUP(TRIM(D625)&amp;"_"&amp;TRIM(INDEX($R$1:$V$1, MATCH(MIN(R625:V625), R625:V625, 0))), 技能库!$A:$F, 6, 0),"请针对该题型加强练习"))</f>
        <v/>
      </c>
    </row>
    <row r="626" spans="12:29" ht="16" hidden="1" x14ac:dyDescent="0.2">
      <c r="L626" t="str">
        <f t="shared" si="36"/>
        <v/>
      </c>
      <c r="M626" t="str">
        <f>IF(L626="","", IFERROR(VLOOKUP(L626, IF(D626="KET", 换算标准!$M:$N, IF(D626="PET", 换算标准!$S:$T, 换算标准!$AC:$AD)), 2, TRUE), 0))</f>
        <v/>
      </c>
      <c r="P626" t="str">
        <f t="shared" si="37"/>
        <v/>
      </c>
      <c r="Q626" t="str">
        <f>IF(P626="","", IFERROR(VLOOKUP(P626, IF(D626="KET", 换算标准!$O:$P, IF(D626="PET", 换算标准!$U:$V, 换算标准!$AG:$AH)), 2, TRUE), 0))</f>
        <v/>
      </c>
      <c r="W626" t="str">
        <f t="shared" si="38"/>
        <v/>
      </c>
      <c r="X626" t="str">
        <f>IF(W626="","", IFERROR(VLOOKUP(W626, IF(D626="KET", 换算标准!$Q:$R, IF(D626="PET", 换算标准!$W:$X, 换算标准!$AI:$AJ)), 2, TRUE), 0))</f>
        <v/>
      </c>
      <c r="Y626" t="str">
        <f t="shared" si="39"/>
        <v/>
      </c>
      <c r="Z626" t="str">
        <f>IF(Y626="","", IFERROR(VLOOKUP(Y626, 换算标准!$Z:$AA, 1, TRUE), ""))</f>
        <v/>
      </c>
      <c r="AA626" s="5" t="str">
        <f>IF(L626="","", "⚠️ 薄弱环节: "&amp;INDEX($E$1:$K$1, MATCH(MIN(E626:K626), E626:K626, 0))&amp;CHAR(10)&amp;"📉 考察能力: "&amp;IFERROR(VLOOKUP(TRIM(D626)&amp;"_"&amp;TRIM(INDEX($E$1:$K$1, MATCH(MIN(E626:K626), E626:K626, 0))), 技能库!$A:$F, 5, 0),"建议查阅考纲")&amp;CHAR(10)&amp;"💡 提升建议: "&amp;IFERROR(VLOOKUP(TRIM(D626)&amp;"_"&amp;TRIM(INDEX($E$1:$K$1, MATCH(MIN(E626:K626), E626:K626, 0))), 技能库!$A:$F, 6, 0),"请针对该题型加强练习"))</f>
        <v/>
      </c>
      <c r="AB626" s="5" t="str">
        <f>IF(P626="","", "⚠️ 薄弱环节: "&amp;INDEX($N$1:$O$1, MATCH(MIN(N626:O626), N626:O626, 0))&amp;CHAR(10)&amp;"📉 考察能力: "&amp;IFERROR(VLOOKUP(TRIM(D626)&amp;"_"&amp;TRIM(INDEX($N$1:$O$1, MATCH(MIN(N626:O626), N626:O626, 0))), 技能库!$A:$F, 5, 0),"建议查阅考纲")&amp;CHAR(10)&amp;"💡 提升建议: "&amp;IFERROR(VLOOKUP(TRIM(D626)&amp;"_"&amp;TRIM(INDEX($N$1:$O$1, MATCH(MIN(N626:O626), N626:O626, 0))), 技能库!$A:$F, 6, 0),"请针对该题型加强练习"))</f>
        <v/>
      </c>
      <c r="AC626" s="5" t="str">
        <f>IF(W626="","", "⚠️ 薄弱环节: "&amp;INDEX($R$1:$V$1, MATCH(MIN(R626:V626), R626:V626, 0))&amp;CHAR(10)&amp;"📉 考察能力: "&amp;IFERROR(VLOOKUP(TRIM(D626)&amp;"_"&amp;TRIM(INDEX($R$1:$V$1, MATCH(MIN(R626:V626), R626:V626, 0))), 技能库!$A:$F, 5, 0),"建议查阅考纲")&amp;CHAR(10)&amp;"💡 提升建议: "&amp;IFERROR(VLOOKUP(TRIM(D626)&amp;"_"&amp;TRIM(INDEX($R$1:$V$1, MATCH(MIN(R626:V626), R626:V626, 0))), 技能库!$A:$F, 6, 0),"请针对该题型加强练习"))</f>
        <v/>
      </c>
    </row>
    <row r="627" spans="12:29" ht="16" hidden="1" x14ac:dyDescent="0.2">
      <c r="L627" t="str">
        <f t="shared" si="36"/>
        <v/>
      </c>
      <c r="M627" t="str">
        <f>IF(L627="","", IFERROR(VLOOKUP(L627, IF(D627="KET", 换算标准!$M:$N, IF(D627="PET", 换算标准!$S:$T, 换算标准!$AC:$AD)), 2, TRUE), 0))</f>
        <v/>
      </c>
      <c r="P627" t="str">
        <f t="shared" si="37"/>
        <v/>
      </c>
      <c r="Q627" t="str">
        <f>IF(P627="","", IFERROR(VLOOKUP(P627, IF(D627="KET", 换算标准!$O:$P, IF(D627="PET", 换算标准!$U:$V, 换算标准!$AG:$AH)), 2, TRUE), 0))</f>
        <v/>
      </c>
      <c r="W627" t="str">
        <f t="shared" si="38"/>
        <v/>
      </c>
      <c r="X627" t="str">
        <f>IF(W627="","", IFERROR(VLOOKUP(W627, IF(D627="KET", 换算标准!$Q:$R, IF(D627="PET", 换算标准!$W:$X, 换算标准!$AI:$AJ)), 2, TRUE), 0))</f>
        <v/>
      </c>
      <c r="Y627" t="str">
        <f t="shared" si="39"/>
        <v/>
      </c>
      <c r="Z627" t="str">
        <f>IF(Y627="","", IFERROR(VLOOKUP(Y627, 换算标准!$Z:$AA, 1, TRUE), ""))</f>
        <v/>
      </c>
      <c r="AA627" s="5" t="str">
        <f>IF(L627="","", "⚠️ 薄弱环节: "&amp;INDEX($E$1:$K$1, MATCH(MIN(E627:K627), E627:K627, 0))&amp;CHAR(10)&amp;"📉 考察能力: "&amp;IFERROR(VLOOKUP(TRIM(D627)&amp;"_"&amp;TRIM(INDEX($E$1:$K$1, MATCH(MIN(E627:K627), E627:K627, 0))), 技能库!$A:$F, 5, 0),"建议查阅考纲")&amp;CHAR(10)&amp;"💡 提升建议: "&amp;IFERROR(VLOOKUP(TRIM(D627)&amp;"_"&amp;TRIM(INDEX($E$1:$K$1, MATCH(MIN(E627:K627), E627:K627, 0))), 技能库!$A:$F, 6, 0),"请针对该题型加强练习"))</f>
        <v/>
      </c>
      <c r="AB627" s="5" t="str">
        <f>IF(P627="","", "⚠️ 薄弱环节: "&amp;INDEX($N$1:$O$1, MATCH(MIN(N627:O627), N627:O627, 0))&amp;CHAR(10)&amp;"📉 考察能力: "&amp;IFERROR(VLOOKUP(TRIM(D627)&amp;"_"&amp;TRIM(INDEX($N$1:$O$1, MATCH(MIN(N627:O627), N627:O627, 0))), 技能库!$A:$F, 5, 0),"建议查阅考纲")&amp;CHAR(10)&amp;"💡 提升建议: "&amp;IFERROR(VLOOKUP(TRIM(D627)&amp;"_"&amp;TRIM(INDEX($N$1:$O$1, MATCH(MIN(N627:O627), N627:O627, 0))), 技能库!$A:$F, 6, 0),"请针对该题型加强练习"))</f>
        <v/>
      </c>
      <c r="AC627" s="5" t="str">
        <f>IF(W627="","", "⚠️ 薄弱环节: "&amp;INDEX($R$1:$V$1, MATCH(MIN(R627:V627), R627:V627, 0))&amp;CHAR(10)&amp;"📉 考察能力: "&amp;IFERROR(VLOOKUP(TRIM(D627)&amp;"_"&amp;TRIM(INDEX($R$1:$V$1, MATCH(MIN(R627:V627), R627:V627, 0))), 技能库!$A:$F, 5, 0),"建议查阅考纲")&amp;CHAR(10)&amp;"💡 提升建议: "&amp;IFERROR(VLOOKUP(TRIM(D627)&amp;"_"&amp;TRIM(INDEX($R$1:$V$1, MATCH(MIN(R627:V627), R627:V627, 0))), 技能库!$A:$F, 6, 0),"请针对该题型加强练习"))</f>
        <v/>
      </c>
    </row>
    <row r="628" spans="12:29" ht="16" hidden="1" x14ac:dyDescent="0.2">
      <c r="L628" t="str">
        <f t="shared" si="36"/>
        <v/>
      </c>
      <c r="M628" t="str">
        <f>IF(L628="","", IFERROR(VLOOKUP(L628, IF(D628="KET", 换算标准!$M:$N, IF(D628="PET", 换算标准!$S:$T, 换算标准!$AC:$AD)), 2, TRUE), 0))</f>
        <v/>
      </c>
      <c r="P628" t="str">
        <f t="shared" si="37"/>
        <v/>
      </c>
      <c r="Q628" t="str">
        <f>IF(P628="","", IFERROR(VLOOKUP(P628, IF(D628="KET", 换算标准!$O:$P, IF(D628="PET", 换算标准!$U:$V, 换算标准!$AG:$AH)), 2, TRUE), 0))</f>
        <v/>
      </c>
      <c r="W628" t="str">
        <f t="shared" si="38"/>
        <v/>
      </c>
      <c r="X628" t="str">
        <f>IF(W628="","", IFERROR(VLOOKUP(W628, IF(D628="KET", 换算标准!$Q:$R, IF(D628="PET", 换算标准!$W:$X, 换算标准!$AI:$AJ)), 2, TRUE), 0))</f>
        <v/>
      </c>
      <c r="Y628" t="str">
        <f t="shared" si="39"/>
        <v/>
      </c>
      <c r="Z628" t="str">
        <f>IF(Y628="","", IFERROR(VLOOKUP(Y628, 换算标准!$Z:$AA, 1, TRUE), ""))</f>
        <v/>
      </c>
      <c r="AA628" s="5" t="str">
        <f>IF(L628="","", "⚠️ 薄弱环节: "&amp;INDEX($E$1:$K$1, MATCH(MIN(E628:K628), E628:K628, 0))&amp;CHAR(10)&amp;"📉 考察能力: "&amp;IFERROR(VLOOKUP(TRIM(D628)&amp;"_"&amp;TRIM(INDEX($E$1:$K$1, MATCH(MIN(E628:K628), E628:K628, 0))), 技能库!$A:$F, 5, 0),"建议查阅考纲")&amp;CHAR(10)&amp;"💡 提升建议: "&amp;IFERROR(VLOOKUP(TRIM(D628)&amp;"_"&amp;TRIM(INDEX($E$1:$K$1, MATCH(MIN(E628:K628), E628:K628, 0))), 技能库!$A:$F, 6, 0),"请针对该题型加强练习"))</f>
        <v/>
      </c>
      <c r="AB628" s="5" t="str">
        <f>IF(P628="","", "⚠️ 薄弱环节: "&amp;INDEX($N$1:$O$1, MATCH(MIN(N628:O628), N628:O628, 0))&amp;CHAR(10)&amp;"📉 考察能力: "&amp;IFERROR(VLOOKUP(TRIM(D628)&amp;"_"&amp;TRIM(INDEX($N$1:$O$1, MATCH(MIN(N628:O628), N628:O628, 0))), 技能库!$A:$F, 5, 0),"建议查阅考纲")&amp;CHAR(10)&amp;"💡 提升建议: "&amp;IFERROR(VLOOKUP(TRIM(D628)&amp;"_"&amp;TRIM(INDEX($N$1:$O$1, MATCH(MIN(N628:O628), N628:O628, 0))), 技能库!$A:$F, 6, 0),"请针对该题型加强练习"))</f>
        <v/>
      </c>
      <c r="AC628" s="5" t="str">
        <f>IF(W628="","", "⚠️ 薄弱环节: "&amp;INDEX($R$1:$V$1, MATCH(MIN(R628:V628), R628:V628, 0))&amp;CHAR(10)&amp;"📉 考察能力: "&amp;IFERROR(VLOOKUP(TRIM(D628)&amp;"_"&amp;TRIM(INDEX($R$1:$V$1, MATCH(MIN(R628:V628), R628:V628, 0))), 技能库!$A:$F, 5, 0),"建议查阅考纲")&amp;CHAR(10)&amp;"💡 提升建议: "&amp;IFERROR(VLOOKUP(TRIM(D628)&amp;"_"&amp;TRIM(INDEX($R$1:$V$1, MATCH(MIN(R628:V628), R628:V628, 0))), 技能库!$A:$F, 6, 0),"请针对该题型加强练习"))</f>
        <v/>
      </c>
    </row>
    <row r="629" spans="12:29" ht="16" hidden="1" x14ac:dyDescent="0.2">
      <c r="L629" t="str">
        <f t="shared" si="36"/>
        <v/>
      </c>
      <c r="M629" t="str">
        <f>IF(L629="","", IFERROR(VLOOKUP(L629, IF(D629="KET", 换算标准!$M:$N, IF(D629="PET", 换算标准!$S:$T, 换算标准!$AC:$AD)), 2, TRUE), 0))</f>
        <v/>
      </c>
      <c r="P629" t="str">
        <f t="shared" si="37"/>
        <v/>
      </c>
      <c r="Q629" t="str">
        <f>IF(P629="","", IFERROR(VLOOKUP(P629, IF(D629="KET", 换算标准!$O:$P, IF(D629="PET", 换算标准!$U:$V, 换算标准!$AG:$AH)), 2, TRUE), 0))</f>
        <v/>
      </c>
      <c r="W629" t="str">
        <f t="shared" si="38"/>
        <v/>
      </c>
      <c r="X629" t="str">
        <f>IF(W629="","", IFERROR(VLOOKUP(W629, IF(D629="KET", 换算标准!$Q:$R, IF(D629="PET", 换算标准!$W:$X, 换算标准!$AI:$AJ)), 2, TRUE), 0))</f>
        <v/>
      </c>
      <c r="Y629" t="str">
        <f t="shared" si="39"/>
        <v/>
      </c>
      <c r="Z629" t="str">
        <f>IF(Y629="","", IFERROR(VLOOKUP(Y629, 换算标准!$Z:$AA, 1, TRUE), ""))</f>
        <v/>
      </c>
      <c r="AA629" s="5" t="str">
        <f>IF(L629="","", "⚠️ 薄弱环节: "&amp;INDEX($E$1:$K$1, MATCH(MIN(E629:K629), E629:K629, 0))&amp;CHAR(10)&amp;"📉 考察能力: "&amp;IFERROR(VLOOKUP(TRIM(D629)&amp;"_"&amp;TRIM(INDEX($E$1:$K$1, MATCH(MIN(E629:K629), E629:K629, 0))), 技能库!$A:$F, 5, 0),"建议查阅考纲")&amp;CHAR(10)&amp;"💡 提升建议: "&amp;IFERROR(VLOOKUP(TRIM(D629)&amp;"_"&amp;TRIM(INDEX($E$1:$K$1, MATCH(MIN(E629:K629), E629:K629, 0))), 技能库!$A:$F, 6, 0),"请针对该题型加强练习"))</f>
        <v/>
      </c>
      <c r="AB629" s="5" t="str">
        <f>IF(P629="","", "⚠️ 薄弱环节: "&amp;INDEX($N$1:$O$1, MATCH(MIN(N629:O629), N629:O629, 0))&amp;CHAR(10)&amp;"📉 考察能力: "&amp;IFERROR(VLOOKUP(TRIM(D629)&amp;"_"&amp;TRIM(INDEX($N$1:$O$1, MATCH(MIN(N629:O629), N629:O629, 0))), 技能库!$A:$F, 5, 0),"建议查阅考纲")&amp;CHAR(10)&amp;"💡 提升建议: "&amp;IFERROR(VLOOKUP(TRIM(D629)&amp;"_"&amp;TRIM(INDEX($N$1:$O$1, MATCH(MIN(N629:O629), N629:O629, 0))), 技能库!$A:$F, 6, 0),"请针对该题型加强练习"))</f>
        <v/>
      </c>
      <c r="AC629" s="5" t="str">
        <f>IF(W629="","", "⚠️ 薄弱环节: "&amp;INDEX($R$1:$V$1, MATCH(MIN(R629:V629), R629:V629, 0))&amp;CHAR(10)&amp;"📉 考察能力: "&amp;IFERROR(VLOOKUP(TRIM(D629)&amp;"_"&amp;TRIM(INDEX($R$1:$V$1, MATCH(MIN(R629:V629), R629:V629, 0))), 技能库!$A:$F, 5, 0),"建议查阅考纲")&amp;CHAR(10)&amp;"💡 提升建议: "&amp;IFERROR(VLOOKUP(TRIM(D629)&amp;"_"&amp;TRIM(INDEX($R$1:$V$1, MATCH(MIN(R629:V629), R629:V629, 0))), 技能库!$A:$F, 6, 0),"请针对该题型加强练习"))</f>
        <v/>
      </c>
    </row>
    <row r="630" spans="12:29" ht="16" hidden="1" x14ac:dyDescent="0.2">
      <c r="L630" t="str">
        <f t="shared" si="36"/>
        <v/>
      </c>
      <c r="M630" t="str">
        <f>IF(L630="","", IFERROR(VLOOKUP(L630, IF(D630="KET", 换算标准!$M:$N, IF(D630="PET", 换算标准!$S:$T, 换算标准!$AC:$AD)), 2, TRUE), 0))</f>
        <v/>
      </c>
      <c r="P630" t="str">
        <f t="shared" si="37"/>
        <v/>
      </c>
      <c r="Q630" t="str">
        <f>IF(P630="","", IFERROR(VLOOKUP(P630, IF(D630="KET", 换算标准!$O:$P, IF(D630="PET", 换算标准!$U:$V, 换算标准!$AG:$AH)), 2, TRUE), 0))</f>
        <v/>
      </c>
      <c r="W630" t="str">
        <f t="shared" si="38"/>
        <v/>
      </c>
      <c r="X630" t="str">
        <f>IF(W630="","", IFERROR(VLOOKUP(W630, IF(D630="KET", 换算标准!$Q:$R, IF(D630="PET", 换算标准!$W:$X, 换算标准!$AI:$AJ)), 2, TRUE), 0))</f>
        <v/>
      </c>
      <c r="Y630" t="str">
        <f t="shared" si="39"/>
        <v/>
      </c>
      <c r="Z630" t="str">
        <f>IF(Y630="","", IFERROR(VLOOKUP(Y630, 换算标准!$Z:$AA, 1, TRUE), ""))</f>
        <v/>
      </c>
      <c r="AA630" s="5" t="str">
        <f>IF(L630="","", "⚠️ 薄弱环节: "&amp;INDEX($E$1:$K$1, MATCH(MIN(E630:K630), E630:K630, 0))&amp;CHAR(10)&amp;"📉 考察能力: "&amp;IFERROR(VLOOKUP(TRIM(D630)&amp;"_"&amp;TRIM(INDEX($E$1:$K$1, MATCH(MIN(E630:K630), E630:K630, 0))), 技能库!$A:$F, 5, 0),"建议查阅考纲")&amp;CHAR(10)&amp;"💡 提升建议: "&amp;IFERROR(VLOOKUP(TRIM(D630)&amp;"_"&amp;TRIM(INDEX($E$1:$K$1, MATCH(MIN(E630:K630), E630:K630, 0))), 技能库!$A:$F, 6, 0),"请针对该题型加强练习"))</f>
        <v/>
      </c>
      <c r="AB630" s="5" t="str">
        <f>IF(P630="","", "⚠️ 薄弱环节: "&amp;INDEX($N$1:$O$1, MATCH(MIN(N630:O630), N630:O630, 0))&amp;CHAR(10)&amp;"📉 考察能力: "&amp;IFERROR(VLOOKUP(TRIM(D630)&amp;"_"&amp;TRIM(INDEX($N$1:$O$1, MATCH(MIN(N630:O630), N630:O630, 0))), 技能库!$A:$F, 5, 0),"建议查阅考纲")&amp;CHAR(10)&amp;"💡 提升建议: "&amp;IFERROR(VLOOKUP(TRIM(D630)&amp;"_"&amp;TRIM(INDEX($N$1:$O$1, MATCH(MIN(N630:O630), N630:O630, 0))), 技能库!$A:$F, 6, 0),"请针对该题型加强练习"))</f>
        <v/>
      </c>
      <c r="AC630" s="5" t="str">
        <f>IF(W630="","", "⚠️ 薄弱环节: "&amp;INDEX($R$1:$V$1, MATCH(MIN(R630:V630), R630:V630, 0))&amp;CHAR(10)&amp;"📉 考察能力: "&amp;IFERROR(VLOOKUP(TRIM(D630)&amp;"_"&amp;TRIM(INDEX($R$1:$V$1, MATCH(MIN(R630:V630), R630:V630, 0))), 技能库!$A:$F, 5, 0),"建议查阅考纲")&amp;CHAR(10)&amp;"💡 提升建议: "&amp;IFERROR(VLOOKUP(TRIM(D630)&amp;"_"&amp;TRIM(INDEX($R$1:$V$1, MATCH(MIN(R630:V630), R630:V630, 0))), 技能库!$A:$F, 6, 0),"请针对该题型加强练习"))</f>
        <v/>
      </c>
    </row>
    <row r="631" spans="12:29" ht="16" hidden="1" x14ac:dyDescent="0.2">
      <c r="L631" t="str">
        <f t="shared" si="36"/>
        <v/>
      </c>
      <c r="M631" t="str">
        <f>IF(L631="","", IFERROR(VLOOKUP(L631, IF(D631="KET", 换算标准!$M:$N, IF(D631="PET", 换算标准!$S:$T, 换算标准!$AC:$AD)), 2, TRUE), 0))</f>
        <v/>
      </c>
      <c r="P631" t="str">
        <f t="shared" si="37"/>
        <v/>
      </c>
      <c r="Q631" t="str">
        <f>IF(P631="","", IFERROR(VLOOKUP(P631, IF(D631="KET", 换算标准!$O:$P, IF(D631="PET", 换算标准!$U:$V, 换算标准!$AG:$AH)), 2, TRUE), 0))</f>
        <v/>
      </c>
      <c r="W631" t="str">
        <f t="shared" si="38"/>
        <v/>
      </c>
      <c r="X631" t="str">
        <f>IF(W631="","", IFERROR(VLOOKUP(W631, IF(D631="KET", 换算标准!$Q:$R, IF(D631="PET", 换算标准!$W:$X, 换算标准!$AI:$AJ)), 2, TRUE), 0))</f>
        <v/>
      </c>
      <c r="Y631" t="str">
        <f t="shared" si="39"/>
        <v/>
      </c>
      <c r="Z631" t="str">
        <f>IF(Y631="","", IFERROR(VLOOKUP(Y631, 换算标准!$Z:$AA, 1, TRUE), ""))</f>
        <v/>
      </c>
      <c r="AA631" s="5" t="str">
        <f>IF(L631="","", "⚠️ 薄弱环节: "&amp;INDEX($E$1:$K$1, MATCH(MIN(E631:K631), E631:K631, 0))&amp;CHAR(10)&amp;"📉 考察能力: "&amp;IFERROR(VLOOKUP(TRIM(D631)&amp;"_"&amp;TRIM(INDEX($E$1:$K$1, MATCH(MIN(E631:K631), E631:K631, 0))), 技能库!$A:$F, 5, 0),"建议查阅考纲")&amp;CHAR(10)&amp;"💡 提升建议: "&amp;IFERROR(VLOOKUP(TRIM(D631)&amp;"_"&amp;TRIM(INDEX($E$1:$K$1, MATCH(MIN(E631:K631), E631:K631, 0))), 技能库!$A:$F, 6, 0),"请针对该题型加强练习"))</f>
        <v/>
      </c>
      <c r="AB631" s="5" t="str">
        <f>IF(P631="","", "⚠️ 薄弱环节: "&amp;INDEX($N$1:$O$1, MATCH(MIN(N631:O631), N631:O631, 0))&amp;CHAR(10)&amp;"📉 考察能力: "&amp;IFERROR(VLOOKUP(TRIM(D631)&amp;"_"&amp;TRIM(INDEX($N$1:$O$1, MATCH(MIN(N631:O631), N631:O631, 0))), 技能库!$A:$F, 5, 0),"建议查阅考纲")&amp;CHAR(10)&amp;"💡 提升建议: "&amp;IFERROR(VLOOKUP(TRIM(D631)&amp;"_"&amp;TRIM(INDEX($N$1:$O$1, MATCH(MIN(N631:O631), N631:O631, 0))), 技能库!$A:$F, 6, 0),"请针对该题型加强练习"))</f>
        <v/>
      </c>
      <c r="AC631" s="5" t="str">
        <f>IF(W631="","", "⚠️ 薄弱环节: "&amp;INDEX($R$1:$V$1, MATCH(MIN(R631:V631), R631:V631, 0))&amp;CHAR(10)&amp;"📉 考察能力: "&amp;IFERROR(VLOOKUP(TRIM(D631)&amp;"_"&amp;TRIM(INDEX($R$1:$V$1, MATCH(MIN(R631:V631), R631:V631, 0))), 技能库!$A:$F, 5, 0),"建议查阅考纲")&amp;CHAR(10)&amp;"💡 提升建议: "&amp;IFERROR(VLOOKUP(TRIM(D631)&amp;"_"&amp;TRIM(INDEX($R$1:$V$1, MATCH(MIN(R631:V631), R631:V631, 0))), 技能库!$A:$F, 6, 0),"请针对该题型加强练习"))</f>
        <v/>
      </c>
    </row>
    <row r="632" spans="12:29" ht="16" hidden="1" x14ac:dyDescent="0.2">
      <c r="L632" t="str">
        <f t="shared" si="36"/>
        <v/>
      </c>
      <c r="M632" t="str">
        <f>IF(L632="","", IFERROR(VLOOKUP(L632, IF(D632="KET", 换算标准!$M:$N, IF(D632="PET", 换算标准!$S:$T, 换算标准!$AC:$AD)), 2, TRUE), 0))</f>
        <v/>
      </c>
      <c r="P632" t="str">
        <f t="shared" si="37"/>
        <v/>
      </c>
      <c r="Q632" t="str">
        <f>IF(P632="","", IFERROR(VLOOKUP(P632, IF(D632="KET", 换算标准!$O:$P, IF(D632="PET", 换算标准!$U:$V, 换算标准!$AG:$AH)), 2, TRUE), 0))</f>
        <v/>
      </c>
      <c r="W632" t="str">
        <f t="shared" si="38"/>
        <v/>
      </c>
      <c r="X632" t="str">
        <f>IF(W632="","", IFERROR(VLOOKUP(W632, IF(D632="KET", 换算标准!$Q:$R, IF(D632="PET", 换算标准!$W:$X, 换算标准!$AI:$AJ)), 2, TRUE), 0))</f>
        <v/>
      </c>
      <c r="Y632" t="str">
        <f t="shared" si="39"/>
        <v/>
      </c>
      <c r="Z632" t="str">
        <f>IF(Y632="","", IFERROR(VLOOKUP(Y632, 换算标准!$Z:$AA, 1, TRUE), ""))</f>
        <v/>
      </c>
      <c r="AA632" s="5" t="str">
        <f>IF(L632="","", "⚠️ 薄弱环节: "&amp;INDEX($E$1:$K$1, MATCH(MIN(E632:K632), E632:K632, 0))&amp;CHAR(10)&amp;"📉 考察能力: "&amp;IFERROR(VLOOKUP(TRIM(D632)&amp;"_"&amp;TRIM(INDEX($E$1:$K$1, MATCH(MIN(E632:K632), E632:K632, 0))), 技能库!$A:$F, 5, 0),"建议查阅考纲")&amp;CHAR(10)&amp;"💡 提升建议: "&amp;IFERROR(VLOOKUP(TRIM(D632)&amp;"_"&amp;TRIM(INDEX($E$1:$K$1, MATCH(MIN(E632:K632), E632:K632, 0))), 技能库!$A:$F, 6, 0),"请针对该题型加强练习"))</f>
        <v/>
      </c>
      <c r="AB632" s="5" t="str">
        <f>IF(P632="","", "⚠️ 薄弱环节: "&amp;INDEX($N$1:$O$1, MATCH(MIN(N632:O632), N632:O632, 0))&amp;CHAR(10)&amp;"📉 考察能力: "&amp;IFERROR(VLOOKUP(TRIM(D632)&amp;"_"&amp;TRIM(INDEX($N$1:$O$1, MATCH(MIN(N632:O632), N632:O632, 0))), 技能库!$A:$F, 5, 0),"建议查阅考纲")&amp;CHAR(10)&amp;"💡 提升建议: "&amp;IFERROR(VLOOKUP(TRIM(D632)&amp;"_"&amp;TRIM(INDEX($N$1:$O$1, MATCH(MIN(N632:O632), N632:O632, 0))), 技能库!$A:$F, 6, 0),"请针对该题型加强练习"))</f>
        <v/>
      </c>
      <c r="AC632" s="5" t="str">
        <f>IF(W632="","", "⚠️ 薄弱环节: "&amp;INDEX($R$1:$V$1, MATCH(MIN(R632:V632), R632:V632, 0))&amp;CHAR(10)&amp;"📉 考察能力: "&amp;IFERROR(VLOOKUP(TRIM(D632)&amp;"_"&amp;TRIM(INDEX($R$1:$V$1, MATCH(MIN(R632:V632), R632:V632, 0))), 技能库!$A:$F, 5, 0),"建议查阅考纲")&amp;CHAR(10)&amp;"💡 提升建议: "&amp;IFERROR(VLOOKUP(TRIM(D632)&amp;"_"&amp;TRIM(INDEX($R$1:$V$1, MATCH(MIN(R632:V632), R632:V632, 0))), 技能库!$A:$F, 6, 0),"请针对该题型加强练习"))</f>
        <v/>
      </c>
    </row>
    <row r="633" spans="12:29" ht="16" hidden="1" x14ac:dyDescent="0.2">
      <c r="L633" t="str">
        <f t="shared" si="36"/>
        <v/>
      </c>
      <c r="M633" t="str">
        <f>IF(L633="","", IFERROR(VLOOKUP(L633, IF(D633="KET", 换算标准!$M:$N, IF(D633="PET", 换算标准!$S:$T, 换算标准!$AC:$AD)), 2, TRUE), 0))</f>
        <v/>
      </c>
      <c r="P633" t="str">
        <f t="shared" si="37"/>
        <v/>
      </c>
      <c r="Q633" t="str">
        <f>IF(P633="","", IFERROR(VLOOKUP(P633, IF(D633="KET", 换算标准!$O:$P, IF(D633="PET", 换算标准!$U:$V, 换算标准!$AG:$AH)), 2, TRUE), 0))</f>
        <v/>
      </c>
      <c r="W633" t="str">
        <f t="shared" si="38"/>
        <v/>
      </c>
      <c r="X633" t="str">
        <f>IF(W633="","", IFERROR(VLOOKUP(W633, IF(D633="KET", 换算标准!$Q:$R, IF(D633="PET", 换算标准!$W:$X, 换算标准!$AI:$AJ)), 2, TRUE), 0))</f>
        <v/>
      </c>
      <c r="Y633" t="str">
        <f t="shared" si="39"/>
        <v/>
      </c>
      <c r="Z633" t="str">
        <f>IF(Y633="","", IFERROR(VLOOKUP(Y633, 换算标准!$Z:$AA, 1, TRUE), ""))</f>
        <v/>
      </c>
      <c r="AA633" s="5" t="str">
        <f>IF(L633="","", "⚠️ 薄弱环节: "&amp;INDEX($E$1:$K$1, MATCH(MIN(E633:K633), E633:K633, 0))&amp;CHAR(10)&amp;"📉 考察能力: "&amp;IFERROR(VLOOKUP(TRIM(D633)&amp;"_"&amp;TRIM(INDEX($E$1:$K$1, MATCH(MIN(E633:K633), E633:K633, 0))), 技能库!$A:$F, 5, 0),"建议查阅考纲")&amp;CHAR(10)&amp;"💡 提升建议: "&amp;IFERROR(VLOOKUP(TRIM(D633)&amp;"_"&amp;TRIM(INDEX($E$1:$K$1, MATCH(MIN(E633:K633), E633:K633, 0))), 技能库!$A:$F, 6, 0),"请针对该题型加强练习"))</f>
        <v/>
      </c>
      <c r="AB633" s="5" t="str">
        <f>IF(P633="","", "⚠️ 薄弱环节: "&amp;INDEX($N$1:$O$1, MATCH(MIN(N633:O633), N633:O633, 0))&amp;CHAR(10)&amp;"📉 考察能力: "&amp;IFERROR(VLOOKUP(TRIM(D633)&amp;"_"&amp;TRIM(INDEX($N$1:$O$1, MATCH(MIN(N633:O633), N633:O633, 0))), 技能库!$A:$F, 5, 0),"建议查阅考纲")&amp;CHAR(10)&amp;"💡 提升建议: "&amp;IFERROR(VLOOKUP(TRIM(D633)&amp;"_"&amp;TRIM(INDEX($N$1:$O$1, MATCH(MIN(N633:O633), N633:O633, 0))), 技能库!$A:$F, 6, 0),"请针对该题型加强练习"))</f>
        <v/>
      </c>
      <c r="AC633" s="5" t="str">
        <f>IF(W633="","", "⚠️ 薄弱环节: "&amp;INDEX($R$1:$V$1, MATCH(MIN(R633:V633), R633:V633, 0))&amp;CHAR(10)&amp;"📉 考察能力: "&amp;IFERROR(VLOOKUP(TRIM(D633)&amp;"_"&amp;TRIM(INDEX($R$1:$V$1, MATCH(MIN(R633:V633), R633:V633, 0))), 技能库!$A:$F, 5, 0),"建议查阅考纲")&amp;CHAR(10)&amp;"💡 提升建议: "&amp;IFERROR(VLOOKUP(TRIM(D633)&amp;"_"&amp;TRIM(INDEX($R$1:$V$1, MATCH(MIN(R633:V633), R633:V633, 0))), 技能库!$A:$F, 6, 0),"请针对该题型加强练习"))</f>
        <v/>
      </c>
    </row>
    <row r="634" spans="12:29" ht="16" hidden="1" x14ac:dyDescent="0.2">
      <c r="L634" t="str">
        <f t="shared" si="36"/>
        <v/>
      </c>
      <c r="M634" t="str">
        <f>IF(L634="","", IFERROR(VLOOKUP(L634, IF(D634="KET", 换算标准!$M:$N, IF(D634="PET", 换算标准!$S:$T, 换算标准!$AC:$AD)), 2, TRUE), 0))</f>
        <v/>
      </c>
      <c r="P634" t="str">
        <f t="shared" si="37"/>
        <v/>
      </c>
      <c r="Q634" t="str">
        <f>IF(P634="","", IFERROR(VLOOKUP(P634, IF(D634="KET", 换算标准!$O:$P, IF(D634="PET", 换算标准!$U:$V, 换算标准!$AG:$AH)), 2, TRUE), 0))</f>
        <v/>
      </c>
      <c r="W634" t="str">
        <f t="shared" si="38"/>
        <v/>
      </c>
      <c r="X634" t="str">
        <f>IF(W634="","", IFERROR(VLOOKUP(W634, IF(D634="KET", 换算标准!$Q:$R, IF(D634="PET", 换算标准!$W:$X, 换算标准!$AI:$AJ)), 2, TRUE), 0))</f>
        <v/>
      </c>
      <c r="Y634" t="str">
        <f t="shared" si="39"/>
        <v/>
      </c>
      <c r="Z634" t="str">
        <f>IF(Y634="","", IFERROR(VLOOKUP(Y634, 换算标准!$Z:$AA, 1, TRUE), ""))</f>
        <v/>
      </c>
      <c r="AA634" s="5" t="str">
        <f>IF(L634="","", "⚠️ 薄弱环节: "&amp;INDEX($E$1:$K$1, MATCH(MIN(E634:K634), E634:K634, 0))&amp;CHAR(10)&amp;"📉 考察能力: "&amp;IFERROR(VLOOKUP(TRIM(D634)&amp;"_"&amp;TRIM(INDEX($E$1:$K$1, MATCH(MIN(E634:K634), E634:K634, 0))), 技能库!$A:$F, 5, 0),"建议查阅考纲")&amp;CHAR(10)&amp;"💡 提升建议: "&amp;IFERROR(VLOOKUP(TRIM(D634)&amp;"_"&amp;TRIM(INDEX($E$1:$K$1, MATCH(MIN(E634:K634), E634:K634, 0))), 技能库!$A:$F, 6, 0),"请针对该题型加强练习"))</f>
        <v/>
      </c>
      <c r="AB634" s="5" t="str">
        <f>IF(P634="","", "⚠️ 薄弱环节: "&amp;INDEX($N$1:$O$1, MATCH(MIN(N634:O634), N634:O634, 0))&amp;CHAR(10)&amp;"📉 考察能力: "&amp;IFERROR(VLOOKUP(TRIM(D634)&amp;"_"&amp;TRIM(INDEX($N$1:$O$1, MATCH(MIN(N634:O634), N634:O634, 0))), 技能库!$A:$F, 5, 0),"建议查阅考纲")&amp;CHAR(10)&amp;"💡 提升建议: "&amp;IFERROR(VLOOKUP(TRIM(D634)&amp;"_"&amp;TRIM(INDEX($N$1:$O$1, MATCH(MIN(N634:O634), N634:O634, 0))), 技能库!$A:$F, 6, 0),"请针对该题型加强练习"))</f>
        <v/>
      </c>
      <c r="AC634" s="5" t="str">
        <f>IF(W634="","", "⚠️ 薄弱环节: "&amp;INDEX($R$1:$V$1, MATCH(MIN(R634:V634), R634:V634, 0))&amp;CHAR(10)&amp;"📉 考察能力: "&amp;IFERROR(VLOOKUP(TRIM(D634)&amp;"_"&amp;TRIM(INDEX($R$1:$V$1, MATCH(MIN(R634:V634), R634:V634, 0))), 技能库!$A:$F, 5, 0),"建议查阅考纲")&amp;CHAR(10)&amp;"💡 提升建议: "&amp;IFERROR(VLOOKUP(TRIM(D634)&amp;"_"&amp;TRIM(INDEX($R$1:$V$1, MATCH(MIN(R634:V634), R634:V634, 0))), 技能库!$A:$F, 6, 0),"请针对该题型加强练习"))</f>
        <v/>
      </c>
    </row>
    <row r="635" spans="12:29" ht="16" hidden="1" x14ac:dyDescent="0.2">
      <c r="L635" t="str">
        <f t="shared" si="36"/>
        <v/>
      </c>
      <c r="M635" t="str">
        <f>IF(L635="","", IFERROR(VLOOKUP(L635, IF(D635="KET", 换算标准!$M:$N, IF(D635="PET", 换算标准!$S:$T, 换算标准!$AC:$AD)), 2, TRUE), 0))</f>
        <v/>
      </c>
      <c r="P635" t="str">
        <f t="shared" si="37"/>
        <v/>
      </c>
      <c r="Q635" t="str">
        <f>IF(P635="","", IFERROR(VLOOKUP(P635, IF(D635="KET", 换算标准!$O:$P, IF(D635="PET", 换算标准!$U:$V, 换算标准!$AG:$AH)), 2, TRUE), 0))</f>
        <v/>
      </c>
      <c r="W635" t="str">
        <f t="shared" si="38"/>
        <v/>
      </c>
      <c r="X635" t="str">
        <f>IF(W635="","", IFERROR(VLOOKUP(W635, IF(D635="KET", 换算标准!$Q:$R, IF(D635="PET", 换算标准!$W:$X, 换算标准!$AI:$AJ)), 2, TRUE), 0))</f>
        <v/>
      </c>
      <c r="Y635" t="str">
        <f t="shared" si="39"/>
        <v/>
      </c>
      <c r="Z635" t="str">
        <f>IF(Y635="","", IFERROR(VLOOKUP(Y635, 换算标准!$Z:$AA, 1, TRUE), ""))</f>
        <v/>
      </c>
      <c r="AA635" s="5" t="str">
        <f>IF(L635="","", "⚠️ 薄弱环节: "&amp;INDEX($E$1:$K$1, MATCH(MIN(E635:K635), E635:K635, 0))&amp;CHAR(10)&amp;"📉 考察能力: "&amp;IFERROR(VLOOKUP(TRIM(D635)&amp;"_"&amp;TRIM(INDEX($E$1:$K$1, MATCH(MIN(E635:K635), E635:K635, 0))), 技能库!$A:$F, 5, 0),"建议查阅考纲")&amp;CHAR(10)&amp;"💡 提升建议: "&amp;IFERROR(VLOOKUP(TRIM(D635)&amp;"_"&amp;TRIM(INDEX($E$1:$K$1, MATCH(MIN(E635:K635), E635:K635, 0))), 技能库!$A:$F, 6, 0),"请针对该题型加强练习"))</f>
        <v/>
      </c>
      <c r="AB635" s="5" t="str">
        <f>IF(P635="","", "⚠️ 薄弱环节: "&amp;INDEX($N$1:$O$1, MATCH(MIN(N635:O635), N635:O635, 0))&amp;CHAR(10)&amp;"📉 考察能力: "&amp;IFERROR(VLOOKUP(TRIM(D635)&amp;"_"&amp;TRIM(INDEX($N$1:$O$1, MATCH(MIN(N635:O635), N635:O635, 0))), 技能库!$A:$F, 5, 0),"建议查阅考纲")&amp;CHAR(10)&amp;"💡 提升建议: "&amp;IFERROR(VLOOKUP(TRIM(D635)&amp;"_"&amp;TRIM(INDEX($N$1:$O$1, MATCH(MIN(N635:O635), N635:O635, 0))), 技能库!$A:$F, 6, 0),"请针对该题型加强练习"))</f>
        <v/>
      </c>
      <c r="AC635" s="5" t="str">
        <f>IF(W635="","", "⚠️ 薄弱环节: "&amp;INDEX($R$1:$V$1, MATCH(MIN(R635:V635), R635:V635, 0))&amp;CHAR(10)&amp;"📉 考察能力: "&amp;IFERROR(VLOOKUP(TRIM(D635)&amp;"_"&amp;TRIM(INDEX($R$1:$V$1, MATCH(MIN(R635:V635), R635:V635, 0))), 技能库!$A:$F, 5, 0),"建议查阅考纲")&amp;CHAR(10)&amp;"💡 提升建议: "&amp;IFERROR(VLOOKUP(TRIM(D635)&amp;"_"&amp;TRIM(INDEX($R$1:$V$1, MATCH(MIN(R635:V635), R635:V635, 0))), 技能库!$A:$F, 6, 0),"请针对该题型加强练习"))</f>
        <v/>
      </c>
    </row>
    <row r="636" spans="12:29" ht="16" hidden="1" x14ac:dyDescent="0.2">
      <c r="L636" t="str">
        <f t="shared" si="36"/>
        <v/>
      </c>
      <c r="M636" t="str">
        <f>IF(L636="","", IFERROR(VLOOKUP(L636, IF(D636="KET", 换算标准!$M:$N, IF(D636="PET", 换算标准!$S:$T, 换算标准!$AC:$AD)), 2, TRUE), 0))</f>
        <v/>
      </c>
      <c r="P636" t="str">
        <f t="shared" si="37"/>
        <v/>
      </c>
      <c r="Q636" t="str">
        <f>IF(P636="","", IFERROR(VLOOKUP(P636, IF(D636="KET", 换算标准!$O:$P, IF(D636="PET", 换算标准!$U:$V, 换算标准!$AG:$AH)), 2, TRUE), 0))</f>
        <v/>
      </c>
      <c r="W636" t="str">
        <f t="shared" si="38"/>
        <v/>
      </c>
      <c r="X636" t="str">
        <f>IF(W636="","", IFERROR(VLOOKUP(W636, IF(D636="KET", 换算标准!$Q:$R, IF(D636="PET", 换算标准!$W:$X, 换算标准!$AI:$AJ)), 2, TRUE), 0))</f>
        <v/>
      </c>
      <c r="Y636" t="str">
        <f t="shared" si="39"/>
        <v/>
      </c>
      <c r="Z636" t="str">
        <f>IF(Y636="","", IFERROR(VLOOKUP(Y636, 换算标准!$Z:$AA, 1, TRUE), ""))</f>
        <v/>
      </c>
      <c r="AA636" s="5" t="str">
        <f>IF(L636="","", "⚠️ 薄弱环节: "&amp;INDEX($E$1:$K$1, MATCH(MIN(E636:K636), E636:K636, 0))&amp;CHAR(10)&amp;"📉 考察能力: "&amp;IFERROR(VLOOKUP(TRIM(D636)&amp;"_"&amp;TRIM(INDEX($E$1:$K$1, MATCH(MIN(E636:K636), E636:K636, 0))), 技能库!$A:$F, 5, 0),"建议查阅考纲")&amp;CHAR(10)&amp;"💡 提升建议: "&amp;IFERROR(VLOOKUP(TRIM(D636)&amp;"_"&amp;TRIM(INDEX($E$1:$K$1, MATCH(MIN(E636:K636), E636:K636, 0))), 技能库!$A:$F, 6, 0),"请针对该题型加强练习"))</f>
        <v/>
      </c>
      <c r="AB636" s="5" t="str">
        <f>IF(P636="","", "⚠️ 薄弱环节: "&amp;INDEX($N$1:$O$1, MATCH(MIN(N636:O636), N636:O636, 0))&amp;CHAR(10)&amp;"📉 考察能力: "&amp;IFERROR(VLOOKUP(TRIM(D636)&amp;"_"&amp;TRIM(INDEX($N$1:$O$1, MATCH(MIN(N636:O636), N636:O636, 0))), 技能库!$A:$F, 5, 0),"建议查阅考纲")&amp;CHAR(10)&amp;"💡 提升建议: "&amp;IFERROR(VLOOKUP(TRIM(D636)&amp;"_"&amp;TRIM(INDEX($N$1:$O$1, MATCH(MIN(N636:O636), N636:O636, 0))), 技能库!$A:$F, 6, 0),"请针对该题型加强练习"))</f>
        <v/>
      </c>
      <c r="AC636" s="5" t="str">
        <f>IF(W636="","", "⚠️ 薄弱环节: "&amp;INDEX($R$1:$V$1, MATCH(MIN(R636:V636), R636:V636, 0))&amp;CHAR(10)&amp;"📉 考察能力: "&amp;IFERROR(VLOOKUP(TRIM(D636)&amp;"_"&amp;TRIM(INDEX($R$1:$V$1, MATCH(MIN(R636:V636), R636:V636, 0))), 技能库!$A:$F, 5, 0),"建议查阅考纲")&amp;CHAR(10)&amp;"💡 提升建议: "&amp;IFERROR(VLOOKUP(TRIM(D636)&amp;"_"&amp;TRIM(INDEX($R$1:$V$1, MATCH(MIN(R636:V636), R636:V636, 0))), 技能库!$A:$F, 6, 0),"请针对该题型加强练习"))</f>
        <v/>
      </c>
    </row>
    <row r="637" spans="12:29" ht="16" hidden="1" x14ac:dyDescent="0.2">
      <c r="L637" t="str">
        <f t="shared" si="36"/>
        <v/>
      </c>
      <c r="M637" t="str">
        <f>IF(L637="","", IFERROR(VLOOKUP(L637, IF(D637="KET", 换算标准!$M:$N, IF(D637="PET", 换算标准!$S:$T, 换算标准!$AC:$AD)), 2, TRUE), 0))</f>
        <v/>
      </c>
      <c r="P637" t="str">
        <f t="shared" si="37"/>
        <v/>
      </c>
      <c r="Q637" t="str">
        <f>IF(P637="","", IFERROR(VLOOKUP(P637, IF(D637="KET", 换算标准!$O:$P, IF(D637="PET", 换算标准!$U:$V, 换算标准!$AG:$AH)), 2, TRUE), 0))</f>
        <v/>
      </c>
      <c r="W637" t="str">
        <f t="shared" si="38"/>
        <v/>
      </c>
      <c r="X637" t="str">
        <f>IF(W637="","", IFERROR(VLOOKUP(W637, IF(D637="KET", 换算标准!$Q:$R, IF(D637="PET", 换算标准!$W:$X, 换算标准!$AI:$AJ)), 2, TRUE), 0))</f>
        <v/>
      </c>
      <c r="Y637" t="str">
        <f t="shared" si="39"/>
        <v/>
      </c>
      <c r="Z637" t="str">
        <f>IF(Y637="","", IFERROR(VLOOKUP(Y637, 换算标准!$Z:$AA, 1, TRUE), ""))</f>
        <v/>
      </c>
      <c r="AA637" s="5" t="str">
        <f>IF(L637="","", "⚠️ 薄弱环节: "&amp;INDEX($E$1:$K$1, MATCH(MIN(E637:K637), E637:K637, 0))&amp;CHAR(10)&amp;"📉 考察能力: "&amp;IFERROR(VLOOKUP(TRIM(D637)&amp;"_"&amp;TRIM(INDEX($E$1:$K$1, MATCH(MIN(E637:K637), E637:K637, 0))), 技能库!$A:$F, 5, 0),"建议查阅考纲")&amp;CHAR(10)&amp;"💡 提升建议: "&amp;IFERROR(VLOOKUP(TRIM(D637)&amp;"_"&amp;TRIM(INDEX($E$1:$K$1, MATCH(MIN(E637:K637), E637:K637, 0))), 技能库!$A:$F, 6, 0),"请针对该题型加强练习"))</f>
        <v/>
      </c>
      <c r="AB637" s="5" t="str">
        <f>IF(P637="","", "⚠️ 薄弱环节: "&amp;INDEX($N$1:$O$1, MATCH(MIN(N637:O637), N637:O637, 0))&amp;CHAR(10)&amp;"📉 考察能力: "&amp;IFERROR(VLOOKUP(TRIM(D637)&amp;"_"&amp;TRIM(INDEX($N$1:$O$1, MATCH(MIN(N637:O637), N637:O637, 0))), 技能库!$A:$F, 5, 0),"建议查阅考纲")&amp;CHAR(10)&amp;"💡 提升建议: "&amp;IFERROR(VLOOKUP(TRIM(D637)&amp;"_"&amp;TRIM(INDEX($N$1:$O$1, MATCH(MIN(N637:O637), N637:O637, 0))), 技能库!$A:$F, 6, 0),"请针对该题型加强练习"))</f>
        <v/>
      </c>
      <c r="AC637" s="5" t="str">
        <f>IF(W637="","", "⚠️ 薄弱环节: "&amp;INDEX($R$1:$V$1, MATCH(MIN(R637:V637), R637:V637, 0))&amp;CHAR(10)&amp;"📉 考察能力: "&amp;IFERROR(VLOOKUP(TRIM(D637)&amp;"_"&amp;TRIM(INDEX($R$1:$V$1, MATCH(MIN(R637:V637), R637:V637, 0))), 技能库!$A:$F, 5, 0),"建议查阅考纲")&amp;CHAR(10)&amp;"💡 提升建议: "&amp;IFERROR(VLOOKUP(TRIM(D637)&amp;"_"&amp;TRIM(INDEX($R$1:$V$1, MATCH(MIN(R637:V637), R637:V637, 0))), 技能库!$A:$F, 6, 0),"请针对该题型加强练习"))</f>
        <v/>
      </c>
    </row>
    <row r="638" spans="12:29" ht="16" hidden="1" x14ac:dyDescent="0.2">
      <c r="L638" t="str">
        <f t="shared" si="36"/>
        <v/>
      </c>
      <c r="M638" t="str">
        <f>IF(L638="","", IFERROR(VLOOKUP(L638, IF(D638="KET", 换算标准!$M:$N, IF(D638="PET", 换算标准!$S:$T, 换算标准!$AC:$AD)), 2, TRUE), 0))</f>
        <v/>
      </c>
      <c r="P638" t="str">
        <f t="shared" si="37"/>
        <v/>
      </c>
      <c r="Q638" t="str">
        <f>IF(P638="","", IFERROR(VLOOKUP(P638, IF(D638="KET", 换算标准!$O:$P, IF(D638="PET", 换算标准!$U:$V, 换算标准!$AG:$AH)), 2, TRUE), 0))</f>
        <v/>
      </c>
      <c r="W638" t="str">
        <f t="shared" si="38"/>
        <v/>
      </c>
      <c r="X638" t="str">
        <f>IF(W638="","", IFERROR(VLOOKUP(W638, IF(D638="KET", 换算标准!$Q:$R, IF(D638="PET", 换算标准!$W:$X, 换算标准!$AI:$AJ)), 2, TRUE), 0))</f>
        <v/>
      </c>
      <c r="Y638" t="str">
        <f t="shared" si="39"/>
        <v/>
      </c>
      <c r="Z638" t="str">
        <f>IF(Y638="","", IFERROR(VLOOKUP(Y638, 换算标准!$Z:$AA, 1, TRUE), ""))</f>
        <v/>
      </c>
      <c r="AA638" s="5" t="str">
        <f>IF(L638="","", "⚠️ 薄弱环节: "&amp;INDEX($E$1:$K$1, MATCH(MIN(E638:K638), E638:K638, 0))&amp;CHAR(10)&amp;"📉 考察能力: "&amp;IFERROR(VLOOKUP(TRIM(D638)&amp;"_"&amp;TRIM(INDEX($E$1:$K$1, MATCH(MIN(E638:K638), E638:K638, 0))), 技能库!$A:$F, 5, 0),"建议查阅考纲")&amp;CHAR(10)&amp;"💡 提升建议: "&amp;IFERROR(VLOOKUP(TRIM(D638)&amp;"_"&amp;TRIM(INDEX($E$1:$K$1, MATCH(MIN(E638:K638), E638:K638, 0))), 技能库!$A:$F, 6, 0),"请针对该题型加强练习"))</f>
        <v/>
      </c>
      <c r="AB638" s="5" t="str">
        <f>IF(P638="","", "⚠️ 薄弱环节: "&amp;INDEX($N$1:$O$1, MATCH(MIN(N638:O638), N638:O638, 0))&amp;CHAR(10)&amp;"📉 考察能力: "&amp;IFERROR(VLOOKUP(TRIM(D638)&amp;"_"&amp;TRIM(INDEX($N$1:$O$1, MATCH(MIN(N638:O638), N638:O638, 0))), 技能库!$A:$F, 5, 0),"建议查阅考纲")&amp;CHAR(10)&amp;"💡 提升建议: "&amp;IFERROR(VLOOKUP(TRIM(D638)&amp;"_"&amp;TRIM(INDEX($N$1:$O$1, MATCH(MIN(N638:O638), N638:O638, 0))), 技能库!$A:$F, 6, 0),"请针对该题型加强练习"))</f>
        <v/>
      </c>
      <c r="AC638" s="5" t="str">
        <f>IF(W638="","", "⚠️ 薄弱环节: "&amp;INDEX($R$1:$V$1, MATCH(MIN(R638:V638), R638:V638, 0))&amp;CHAR(10)&amp;"📉 考察能力: "&amp;IFERROR(VLOOKUP(TRIM(D638)&amp;"_"&amp;TRIM(INDEX($R$1:$V$1, MATCH(MIN(R638:V638), R638:V638, 0))), 技能库!$A:$F, 5, 0),"建议查阅考纲")&amp;CHAR(10)&amp;"💡 提升建议: "&amp;IFERROR(VLOOKUP(TRIM(D638)&amp;"_"&amp;TRIM(INDEX($R$1:$V$1, MATCH(MIN(R638:V638), R638:V638, 0))), 技能库!$A:$F, 6, 0),"请针对该题型加强练习"))</f>
        <v/>
      </c>
    </row>
    <row r="639" spans="12:29" ht="16" hidden="1" x14ac:dyDescent="0.2">
      <c r="L639" t="str">
        <f t="shared" si="36"/>
        <v/>
      </c>
      <c r="M639" t="str">
        <f>IF(L639="","", IFERROR(VLOOKUP(L639, IF(D639="KET", 换算标准!$M:$N, IF(D639="PET", 换算标准!$S:$T, 换算标准!$AC:$AD)), 2, TRUE), 0))</f>
        <v/>
      </c>
      <c r="P639" t="str">
        <f t="shared" si="37"/>
        <v/>
      </c>
      <c r="Q639" t="str">
        <f>IF(P639="","", IFERROR(VLOOKUP(P639, IF(D639="KET", 换算标准!$O:$P, IF(D639="PET", 换算标准!$U:$V, 换算标准!$AG:$AH)), 2, TRUE), 0))</f>
        <v/>
      </c>
      <c r="W639" t="str">
        <f t="shared" si="38"/>
        <v/>
      </c>
      <c r="X639" t="str">
        <f>IF(W639="","", IFERROR(VLOOKUP(W639, IF(D639="KET", 换算标准!$Q:$R, IF(D639="PET", 换算标准!$W:$X, 换算标准!$AI:$AJ)), 2, TRUE), 0))</f>
        <v/>
      </c>
      <c r="Y639" t="str">
        <f t="shared" si="39"/>
        <v/>
      </c>
      <c r="Z639" t="str">
        <f>IF(Y639="","", IFERROR(VLOOKUP(Y639, 换算标准!$Z:$AA, 1, TRUE), ""))</f>
        <v/>
      </c>
      <c r="AA639" s="5" t="str">
        <f>IF(L639="","", "⚠️ 薄弱环节: "&amp;INDEX($E$1:$K$1, MATCH(MIN(E639:K639), E639:K639, 0))&amp;CHAR(10)&amp;"📉 考察能力: "&amp;IFERROR(VLOOKUP(TRIM(D639)&amp;"_"&amp;TRIM(INDEX($E$1:$K$1, MATCH(MIN(E639:K639), E639:K639, 0))), 技能库!$A:$F, 5, 0),"建议查阅考纲")&amp;CHAR(10)&amp;"💡 提升建议: "&amp;IFERROR(VLOOKUP(TRIM(D639)&amp;"_"&amp;TRIM(INDEX($E$1:$K$1, MATCH(MIN(E639:K639), E639:K639, 0))), 技能库!$A:$F, 6, 0),"请针对该题型加强练习"))</f>
        <v/>
      </c>
      <c r="AB639" s="5" t="str">
        <f>IF(P639="","", "⚠️ 薄弱环节: "&amp;INDEX($N$1:$O$1, MATCH(MIN(N639:O639), N639:O639, 0))&amp;CHAR(10)&amp;"📉 考察能力: "&amp;IFERROR(VLOOKUP(TRIM(D639)&amp;"_"&amp;TRIM(INDEX($N$1:$O$1, MATCH(MIN(N639:O639), N639:O639, 0))), 技能库!$A:$F, 5, 0),"建议查阅考纲")&amp;CHAR(10)&amp;"💡 提升建议: "&amp;IFERROR(VLOOKUP(TRIM(D639)&amp;"_"&amp;TRIM(INDEX($N$1:$O$1, MATCH(MIN(N639:O639), N639:O639, 0))), 技能库!$A:$F, 6, 0),"请针对该题型加强练习"))</f>
        <v/>
      </c>
      <c r="AC639" s="5" t="str">
        <f>IF(W639="","", "⚠️ 薄弱环节: "&amp;INDEX($R$1:$V$1, MATCH(MIN(R639:V639), R639:V639, 0))&amp;CHAR(10)&amp;"📉 考察能力: "&amp;IFERROR(VLOOKUP(TRIM(D639)&amp;"_"&amp;TRIM(INDEX($R$1:$V$1, MATCH(MIN(R639:V639), R639:V639, 0))), 技能库!$A:$F, 5, 0),"建议查阅考纲")&amp;CHAR(10)&amp;"💡 提升建议: "&amp;IFERROR(VLOOKUP(TRIM(D639)&amp;"_"&amp;TRIM(INDEX($R$1:$V$1, MATCH(MIN(R639:V639), R639:V639, 0))), 技能库!$A:$F, 6, 0),"请针对该题型加强练习"))</f>
        <v/>
      </c>
    </row>
    <row r="640" spans="12:29" ht="16" hidden="1" x14ac:dyDescent="0.2">
      <c r="L640" t="str">
        <f t="shared" si="36"/>
        <v/>
      </c>
      <c r="M640" t="str">
        <f>IF(L640="","", IFERROR(VLOOKUP(L640, IF(D640="KET", 换算标准!$M:$N, IF(D640="PET", 换算标准!$S:$T, 换算标准!$AC:$AD)), 2, TRUE), 0))</f>
        <v/>
      </c>
      <c r="P640" t="str">
        <f t="shared" si="37"/>
        <v/>
      </c>
      <c r="Q640" t="str">
        <f>IF(P640="","", IFERROR(VLOOKUP(P640, IF(D640="KET", 换算标准!$O:$P, IF(D640="PET", 换算标准!$U:$V, 换算标准!$AG:$AH)), 2, TRUE), 0))</f>
        <v/>
      </c>
      <c r="W640" t="str">
        <f t="shared" si="38"/>
        <v/>
      </c>
      <c r="X640" t="str">
        <f>IF(W640="","", IFERROR(VLOOKUP(W640, IF(D640="KET", 换算标准!$Q:$R, IF(D640="PET", 换算标准!$W:$X, 换算标准!$AI:$AJ)), 2, TRUE), 0))</f>
        <v/>
      </c>
      <c r="Y640" t="str">
        <f t="shared" si="39"/>
        <v/>
      </c>
      <c r="Z640" t="str">
        <f>IF(Y640="","", IFERROR(VLOOKUP(Y640, 换算标准!$Z:$AA, 1, TRUE), ""))</f>
        <v/>
      </c>
      <c r="AA640" s="5" t="str">
        <f>IF(L640="","", "⚠️ 薄弱环节: "&amp;INDEX($E$1:$K$1, MATCH(MIN(E640:K640), E640:K640, 0))&amp;CHAR(10)&amp;"📉 考察能力: "&amp;IFERROR(VLOOKUP(TRIM(D640)&amp;"_"&amp;TRIM(INDEX($E$1:$K$1, MATCH(MIN(E640:K640), E640:K640, 0))), 技能库!$A:$F, 5, 0),"建议查阅考纲")&amp;CHAR(10)&amp;"💡 提升建议: "&amp;IFERROR(VLOOKUP(TRIM(D640)&amp;"_"&amp;TRIM(INDEX($E$1:$K$1, MATCH(MIN(E640:K640), E640:K640, 0))), 技能库!$A:$F, 6, 0),"请针对该题型加强练习"))</f>
        <v/>
      </c>
      <c r="AB640" s="5" t="str">
        <f>IF(P640="","", "⚠️ 薄弱环节: "&amp;INDEX($N$1:$O$1, MATCH(MIN(N640:O640), N640:O640, 0))&amp;CHAR(10)&amp;"📉 考察能力: "&amp;IFERROR(VLOOKUP(TRIM(D640)&amp;"_"&amp;TRIM(INDEX($N$1:$O$1, MATCH(MIN(N640:O640), N640:O640, 0))), 技能库!$A:$F, 5, 0),"建议查阅考纲")&amp;CHAR(10)&amp;"💡 提升建议: "&amp;IFERROR(VLOOKUP(TRIM(D640)&amp;"_"&amp;TRIM(INDEX($N$1:$O$1, MATCH(MIN(N640:O640), N640:O640, 0))), 技能库!$A:$F, 6, 0),"请针对该题型加强练习"))</f>
        <v/>
      </c>
      <c r="AC640" s="5" t="str">
        <f>IF(W640="","", "⚠️ 薄弱环节: "&amp;INDEX($R$1:$V$1, MATCH(MIN(R640:V640), R640:V640, 0))&amp;CHAR(10)&amp;"📉 考察能力: "&amp;IFERROR(VLOOKUP(TRIM(D640)&amp;"_"&amp;TRIM(INDEX($R$1:$V$1, MATCH(MIN(R640:V640), R640:V640, 0))), 技能库!$A:$F, 5, 0),"建议查阅考纲")&amp;CHAR(10)&amp;"💡 提升建议: "&amp;IFERROR(VLOOKUP(TRIM(D640)&amp;"_"&amp;TRIM(INDEX($R$1:$V$1, MATCH(MIN(R640:V640), R640:V640, 0))), 技能库!$A:$F, 6, 0),"请针对该题型加强练习"))</f>
        <v/>
      </c>
    </row>
    <row r="641" spans="12:29" ht="16" hidden="1" x14ac:dyDescent="0.2">
      <c r="L641" t="str">
        <f t="shared" si="36"/>
        <v/>
      </c>
      <c r="M641" t="str">
        <f>IF(L641="","", IFERROR(VLOOKUP(L641, IF(D641="KET", 换算标准!$M:$N, IF(D641="PET", 换算标准!$S:$T, 换算标准!$AC:$AD)), 2, TRUE), 0))</f>
        <v/>
      </c>
      <c r="P641" t="str">
        <f t="shared" si="37"/>
        <v/>
      </c>
      <c r="Q641" t="str">
        <f>IF(P641="","", IFERROR(VLOOKUP(P641, IF(D641="KET", 换算标准!$O:$P, IF(D641="PET", 换算标准!$U:$V, 换算标准!$AG:$AH)), 2, TRUE), 0))</f>
        <v/>
      </c>
      <c r="W641" t="str">
        <f t="shared" si="38"/>
        <v/>
      </c>
      <c r="X641" t="str">
        <f>IF(W641="","", IFERROR(VLOOKUP(W641, IF(D641="KET", 换算标准!$Q:$R, IF(D641="PET", 换算标准!$W:$X, 换算标准!$AI:$AJ)), 2, TRUE), 0))</f>
        <v/>
      </c>
      <c r="Y641" t="str">
        <f t="shared" si="39"/>
        <v/>
      </c>
      <c r="Z641" t="str">
        <f>IF(Y641="","", IFERROR(VLOOKUP(Y641, 换算标准!$Z:$AA, 1, TRUE), ""))</f>
        <v/>
      </c>
      <c r="AA641" s="5" t="str">
        <f>IF(L641="","", "⚠️ 薄弱环节: "&amp;INDEX($E$1:$K$1, MATCH(MIN(E641:K641), E641:K641, 0))&amp;CHAR(10)&amp;"📉 考察能力: "&amp;IFERROR(VLOOKUP(TRIM(D641)&amp;"_"&amp;TRIM(INDEX($E$1:$K$1, MATCH(MIN(E641:K641), E641:K641, 0))), 技能库!$A:$F, 5, 0),"建议查阅考纲")&amp;CHAR(10)&amp;"💡 提升建议: "&amp;IFERROR(VLOOKUP(TRIM(D641)&amp;"_"&amp;TRIM(INDEX($E$1:$K$1, MATCH(MIN(E641:K641), E641:K641, 0))), 技能库!$A:$F, 6, 0),"请针对该题型加强练习"))</f>
        <v/>
      </c>
      <c r="AB641" s="5" t="str">
        <f>IF(P641="","", "⚠️ 薄弱环节: "&amp;INDEX($N$1:$O$1, MATCH(MIN(N641:O641), N641:O641, 0))&amp;CHAR(10)&amp;"📉 考察能力: "&amp;IFERROR(VLOOKUP(TRIM(D641)&amp;"_"&amp;TRIM(INDEX($N$1:$O$1, MATCH(MIN(N641:O641), N641:O641, 0))), 技能库!$A:$F, 5, 0),"建议查阅考纲")&amp;CHAR(10)&amp;"💡 提升建议: "&amp;IFERROR(VLOOKUP(TRIM(D641)&amp;"_"&amp;TRIM(INDEX($N$1:$O$1, MATCH(MIN(N641:O641), N641:O641, 0))), 技能库!$A:$F, 6, 0),"请针对该题型加强练习"))</f>
        <v/>
      </c>
      <c r="AC641" s="5" t="str">
        <f>IF(W641="","", "⚠️ 薄弱环节: "&amp;INDEX($R$1:$V$1, MATCH(MIN(R641:V641), R641:V641, 0))&amp;CHAR(10)&amp;"📉 考察能力: "&amp;IFERROR(VLOOKUP(TRIM(D641)&amp;"_"&amp;TRIM(INDEX($R$1:$V$1, MATCH(MIN(R641:V641), R641:V641, 0))), 技能库!$A:$F, 5, 0),"建议查阅考纲")&amp;CHAR(10)&amp;"💡 提升建议: "&amp;IFERROR(VLOOKUP(TRIM(D641)&amp;"_"&amp;TRIM(INDEX($R$1:$V$1, MATCH(MIN(R641:V641), R641:V641, 0))), 技能库!$A:$F, 6, 0),"请针对该题型加强练习"))</f>
        <v/>
      </c>
    </row>
    <row r="642" spans="12:29" ht="16" hidden="1" x14ac:dyDescent="0.2">
      <c r="L642" t="str">
        <f t="shared" ref="L642:L705" si="40">IF(COUNT(E642:K642)&gt;0, SUM(E642:K642), "")</f>
        <v/>
      </c>
      <c r="M642" t="str">
        <f>IF(L642="","", IFERROR(VLOOKUP(L642, IF(D642="KET", 换算标准!$M:$N, IF(D642="PET", 换算标准!$S:$T, 换算标准!$AC:$AD)), 2, TRUE), 0))</f>
        <v/>
      </c>
      <c r="P642" t="str">
        <f t="shared" ref="P642:P705" si="41">IF(COUNT(N642:O642)&gt;0, SUM(N642:O642), "")</f>
        <v/>
      </c>
      <c r="Q642" t="str">
        <f>IF(P642="","", IFERROR(VLOOKUP(P642, IF(D642="KET", 换算标准!$O:$P, IF(D642="PET", 换算标准!$U:$V, 换算标准!$AG:$AH)), 2, TRUE), 0))</f>
        <v/>
      </c>
      <c r="W642" t="str">
        <f t="shared" ref="W642:W705" si="42">IF(COUNT(R642:V642)&gt;0, SUM(R642:V642), "")</f>
        <v/>
      </c>
      <c r="X642" t="str">
        <f>IF(W642="","", IFERROR(VLOOKUP(W642, IF(D642="KET", 换算标准!$Q:$R, IF(D642="PET", 换算标准!$W:$X, 换算标准!$AI:$AJ)), 2, TRUE), 0))</f>
        <v/>
      </c>
      <c r="Y642" t="str">
        <f t="shared" ref="Y642:Y705" si="43">IF(COUNT(M642,Q642,X642)&gt;0, AVERAGE(M642,Q642,X642), "")</f>
        <v/>
      </c>
      <c r="Z642" t="str">
        <f>IF(Y642="","", IFERROR(VLOOKUP(Y642, 换算标准!$Z:$AA, 1, TRUE), ""))</f>
        <v/>
      </c>
      <c r="AA642" s="5" t="str">
        <f>IF(L642="","", "⚠️ 薄弱环节: "&amp;INDEX($E$1:$K$1, MATCH(MIN(E642:K642), E642:K642, 0))&amp;CHAR(10)&amp;"📉 考察能力: "&amp;IFERROR(VLOOKUP(TRIM(D642)&amp;"_"&amp;TRIM(INDEX($E$1:$K$1, MATCH(MIN(E642:K642), E642:K642, 0))), 技能库!$A:$F, 5, 0),"建议查阅考纲")&amp;CHAR(10)&amp;"💡 提升建议: "&amp;IFERROR(VLOOKUP(TRIM(D642)&amp;"_"&amp;TRIM(INDEX($E$1:$K$1, MATCH(MIN(E642:K642), E642:K642, 0))), 技能库!$A:$F, 6, 0),"请针对该题型加强练习"))</f>
        <v/>
      </c>
      <c r="AB642" s="5" t="str">
        <f>IF(P642="","", "⚠️ 薄弱环节: "&amp;INDEX($N$1:$O$1, MATCH(MIN(N642:O642), N642:O642, 0))&amp;CHAR(10)&amp;"📉 考察能力: "&amp;IFERROR(VLOOKUP(TRIM(D642)&amp;"_"&amp;TRIM(INDEX($N$1:$O$1, MATCH(MIN(N642:O642), N642:O642, 0))), 技能库!$A:$F, 5, 0),"建议查阅考纲")&amp;CHAR(10)&amp;"💡 提升建议: "&amp;IFERROR(VLOOKUP(TRIM(D642)&amp;"_"&amp;TRIM(INDEX($N$1:$O$1, MATCH(MIN(N642:O642), N642:O642, 0))), 技能库!$A:$F, 6, 0),"请针对该题型加强练习"))</f>
        <v/>
      </c>
      <c r="AC642" s="5" t="str">
        <f>IF(W642="","", "⚠️ 薄弱环节: "&amp;INDEX($R$1:$V$1, MATCH(MIN(R642:V642), R642:V642, 0))&amp;CHAR(10)&amp;"📉 考察能力: "&amp;IFERROR(VLOOKUP(TRIM(D642)&amp;"_"&amp;TRIM(INDEX($R$1:$V$1, MATCH(MIN(R642:V642), R642:V642, 0))), 技能库!$A:$F, 5, 0),"建议查阅考纲")&amp;CHAR(10)&amp;"💡 提升建议: "&amp;IFERROR(VLOOKUP(TRIM(D642)&amp;"_"&amp;TRIM(INDEX($R$1:$V$1, MATCH(MIN(R642:V642), R642:V642, 0))), 技能库!$A:$F, 6, 0),"请针对该题型加强练习"))</f>
        <v/>
      </c>
    </row>
    <row r="643" spans="12:29" ht="16" hidden="1" x14ac:dyDescent="0.2">
      <c r="L643" t="str">
        <f t="shared" si="40"/>
        <v/>
      </c>
      <c r="M643" t="str">
        <f>IF(L643="","", IFERROR(VLOOKUP(L643, IF(D643="KET", 换算标准!$M:$N, IF(D643="PET", 换算标准!$S:$T, 换算标准!$AC:$AD)), 2, TRUE), 0))</f>
        <v/>
      </c>
      <c r="P643" t="str">
        <f t="shared" si="41"/>
        <v/>
      </c>
      <c r="Q643" t="str">
        <f>IF(P643="","", IFERROR(VLOOKUP(P643, IF(D643="KET", 换算标准!$O:$P, IF(D643="PET", 换算标准!$U:$V, 换算标准!$AG:$AH)), 2, TRUE), 0))</f>
        <v/>
      </c>
      <c r="W643" t="str">
        <f t="shared" si="42"/>
        <v/>
      </c>
      <c r="X643" t="str">
        <f>IF(W643="","", IFERROR(VLOOKUP(W643, IF(D643="KET", 换算标准!$Q:$R, IF(D643="PET", 换算标准!$W:$X, 换算标准!$AI:$AJ)), 2, TRUE), 0))</f>
        <v/>
      </c>
      <c r="Y643" t="str">
        <f t="shared" si="43"/>
        <v/>
      </c>
      <c r="Z643" t="str">
        <f>IF(Y643="","", IFERROR(VLOOKUP(Y643, 换算标准!$Z:$AA, 1, TRUE), ""))</f>
        <v/>
      </c>
      <c r="AA643" s="5" t="str">
        <f>IF(L643="","", "⚠️ 薄弱环节: "&amp;INDEX($E$1:$K$1, MATCH(MIN(E643:K643), E643:K643, 0))&amp;CHAR(10)&amp;"📉 考察能力: "&amp;IFERROR(VLOOKUP(TRIM(D643)&amp;"_"&amp;TRIM(INDEX($E$1:$K$1, MATCH(MIN(E643:K643), E643:K643, 0))), 技能库!$A:$F, 5, 0),"建议查阅考纲")&amp;CHAR(10)&amp;"💡 提升建议: "&amp;IFERROR(VLOOKUP(TRIM(D643)&amp;"_"&amp;TRIM(INDEX($E$1:$K$1, MATCH(MIN(E643:K643), E643:K643, 0))), 技能库!$A:$F, 6, 0),"请针对该题型加强练习"))</f>
        <v/>
      </c>
      <c r="AB643" s="5" t="str">
        <f>IF(P643="","", "⚠️ 薄弱环节: "&amp;INDEX($N$1:$O$1, MATCH(MIN(N643:O643), N643:O643, 0))&amp;CHAR(10)&amp;"📉 考察能力: "&amp;IFERROR(VLOOKUP(TRIM(D643)&amp;"_"&amp;TRIM(INDEX($N$1:$O$1, MATCH(MIN(N643:O643), N643:O643, 0))), 技能库!$A:$F, 5, 0),"建议查阅考纲")&amp;CHAR(10)&amp;"💡 提升建议: "&amp;IFERROR(VLOOKUP(TRIM(D643)&amp;"_"&amp;TRIM(INDEX($N$1:$O$1, MATCH(MIN(N643:O643), N643:O643, 0))), 技能库!$A:$F, 6, 0),"请针对该题型加强练习"))</f>
        <v/>
      </c>
      <c r="AC643" s="5" t="str">
        <f>IF(W643="","", "⚠️ 薄弱环节: "&amp;INDEX($R$1:$V$1, MATCH(MIN(R643:V643), R643:V643, 0))&amp;CHAR(10)&amp;"📉 考察能力: "&amp;IFERROR(VLOOKUP(TRIM(D643)&amp;"_"&amp;TRIM(INDEX($R$1:$V$1, MATCH(MIN(R643:V643), R643:V643, 0))), 技能库!$A:$F, 5, 0),"建议查阅考纲")&amp;CHAR(10)&amp;"💡 提升建议: "&amp;IFERROR(VLOOKUP(TRIM(D643)&amp;"_"&amp;TRIM(INDEX($R$1:$V$1, MATCH(MIN(R643:V643), R643:V643, 0))), 技能库!$A:$F, 6, 0),"请针对该题型加强练习"))</f>
        <v/>
      </c>
    </row>
    <row r="644" spans="12:29" ht="16" hidden="1" x14ac:dyDescent="0.2">
      <c r="L644" t="str">
        <f t="shared" si="40"/>
        <v/>
      </c>
      <c r="M644" t="str">
        <f>IF(L644="","", IFERROR(VLOOKUP(L644, IF(D644="KET", 换算标准!$M:$N, IF(D644="PET", 换算标准!$S:$T, 换算标准!$AC:$AD)), 2, TRUE), 0))</f>
        <v/>
      </c>
      <c r="P644" t="str">
        <f t="shared" si="41"/>
        <v/>
      </c>
      <c r="Q644" t="str">
        <f>IF(P644="","", IFERROR(VLOOKUP(P644, IF(D644="KET", 换算标准!$O:$P, IF(D644="PET", 换算标准!$U:$V, 换算标准!$AG:$AH)), 2, TRUE), 0))</f>
        <v/>
      </c>
      <c r="W644" t="str">
        <f t="shared" si="42"/>
        <v/>
      </c>
      <c r="X644" t="str">
        <f>IF(W644="","", IFERROR(VLOOKUP(W644, IF(D644="KET", 换算标准!$Q:$R, IF(D644="PET", 换算标准!$W:$X, 换算标准!$AI:$AJ)), 2, TRUE), 0))</f>
        <v/>
      </c>
      <c r="Y644" t="str">
        <f t="shared" si="43"/>
        <v/>
      </c>
      <c r="Z644" t="str">
        <f>IF(Y644="","", IFERROR(VLOOKUP(Y644, 换算标准!$Z:$AA, 1, TRUE), ""))</f>
        <v/>
      </c>
      <c r="AA644" s="5" t="str">
        <f>IF(L644="","", "⚠️ 薄弱环节: "&amp;INDEX($E$1:$K$1, MATCH(MIN(E644:K644), E644:K644, 0))&amp;CHAR(10)&amp;"📉 考察能力: "&amp;IFERROR(VLOOKUP(TRIM(D644)&amp;"_"&amp;TRIM(INDEX($E$1:$K$1, MATCH(MIN(E644:K644), E644:K644, 0))), 技能库!$A:$F, 5, 0),"建议查阅考纲")&amp;CHAR(10)&amp;"💡 提升建议: "&amp;IFERROR(VLOOKUP(TRIM(D644)&amp;"_"&amp;TRIM(INDEX($E$1:$K$1, MATCH(MIN(E644:K644), E644:K644, 0))), 技能库!$A:$F, 6, 0),"请针对该题型加强练习"))</f>
        <v/>
      </c>
      <c r="AB644" s="5" t="str">
        <f>IF(P644="","", "⚠️ 薄弱环节: "&amp;INDEX($N$1:$O$1, MATCH(MIN(N644:O644), N644:O644, 0))&amp;CHAR(10)&amp;"📉 考察能力: "&amp;IFERROR(VLOOKUP(TRIM(D644)&amp;"_"&amp;TRIM(INDEX($N$1:$O$1, MATCH(MIN(N644:O644), N644:O644, 0))), 技能库!$A:$F, 5, 0),"建议查阅考纲")&amp;CHAR(10)&amp;"💡 提升建议: "&amp;IFERROR(VLOOKUP(TRIM(D644)&amp;"_"&amp;TRIM(INDEX($N$1:$O$1, MATCH(MIN(N644:O644), N644:O644, 0))), 技能库!$A:$F, 6, 0),"请针对该题型加强练习"))</f>
        <v/>
      </c>
      <c r="AC644" s="5" t="str">
        <f>IF(W644="","", "⚠️ 薄弱环节: "&amp;INDEX($R$1:$V$1, MATCH(MIN(R644:V644), R644:V644, 0))&amp;CHAR(10)&amp;"📉 考察能力: "&amp;IFERROR(VLOOKUP(TRIM(D644)&amp;"_"&amp;TRIM(INDEX($R$1:$V$1, MATCH(MIN(R644:V644), R644:V644, 0))), 技能库!$A:$F, 5, 0),"建议查阅考纲")&amp;CHAR(10)&amp;"💡 提升建议: "&amp;IFERROR(VLOOKUP(TRIM(D644)&amp;"_"&amp;TRIM(INDEX($R$1:$V$1, MATCH(MIN(R644:V644), R644:V644, 0))), 技能库!$A:$F, 6, 0),"请针对该题型加强练习"))</f>
        <v/>
      </c>
    </row>
    <row r="645" spans="12:29" ht="16" hidden="1" x14ac:dyDescent="0.2">
      <c r="L645" t="str">
        <f t="shared" si="40"/>
        <v/>
      </c>
      <c r="M645" t="str">
        <f>IF(L645="","", IFERROR(VLOOKUP(L645, IF(D645="KET", 换算标准!$M:$N, IF(D645="PET", 换算标准!$S:$T, 换算标准!$AC:$AD)), 2, TRUE), 0))</f>
        <v/>
      </c>
      <c r="P645" t="str">
        <f t="shared" si="41"/>
        <v/>
      </c>
      <c r="Q645" t="str">
        <f>IF(P645="","", IFERROR(VLOOKUP(P645, IF(D645="KET", 换算标准!$O:$P, IF(D645="PET", 换算标准!$U:$V, 换算标准!$AG:$AH)), 2, TRUE), 0))</f>
        <v/>
      </c>
      <c r="W645" t="str">
        <f t="shared" si="42"/>
        <v/>
      </c>
      <c r="X645" t="str">
        <f>IF(W645="","", IFERROR(VLOOKUP(W645, IF(D645="KET", 换算标准!$Q:$R, IF(D645="PET", 换算标准!$W:$X, 换算标准!$AI:$AJ)), 2, TRUE), 0))</f>
        <v/>
      </c>
      <c r="Y645" t="str">
        <f t="shared" si="43"/>
        <v/>
      </c>
      <c r="Z645" t="str">
        <f>IF(Y645="","", IFERROR(VLOOKUP(Y645, 换算标准!$Z:$AA, 1, TRUE), ""))</f>
        <v/>
      </c>
      <c r="AA645" s="5" t="str">
        <f>IF(L645="","", "⚠️ 薄弱环节: "&amp;INDEX($E$1:$K$1, MATCH(MIN(E645:K645), E645:K645, 0))&amp;CHAR(10)&amp;"📉 考察能力: "&amp;IFERROR(VLOOKUP(TRIM(D645)&amp;"_"&amp;TRIM(INDEX($E$1:$K$1, MATCH(MIN(E645:K645), E645:K645, 0))), 技能库!$A:$F, 5, 0),"建议查阅考纲")&amp;CHAR(10)&amp;"💡 提升建议: "&amp;IFERROR(VLOOKUP(TRIM(D645)&amp;"_"&amp;TRIM(INDEX($E$1:$K$1, MATCH(MIN(E645:K645), E645:K645, 0))), 技能库!$A:$F, 6, 0),"请针对该题型加强练习"))</f>
        <v/>
      </c>
      <c r="AB645" s="5" t="str">
        <f>IF(P645="","", "⚠️ 薄弱环节: "&amp;INDEX($N$1:$O$1, MATCH(MIN(N645:O645), N645:O645, 0))&amp;CHAR(10)&amp;"📉 考察能力: "&amp;IFERROR(VLOOKUP(TRIM(D645)&amp;"_"&amp;TRIM(INDEX($N$1:$O$1, MATCH(MIN(N645:O645), N645:O645, 0))), 技能库!$A:$F, 5, 0),"建议查阅考纲")&amp;CHAR(10)&amp;"💡 提升建议: "&amp;IFERROR(VLOOKUP(TRIM(D645)&amp;"_"&amp;TRIM(INDEX($N$1:$O$1, MATCH(MIN(N645:O645), N645:O645, 0))), 技能库!$A:$F, 6, 0),"请针对该题型加强练习"))</f>
        <v/>
      </c>
      <c r="AC645" s="5" t="str">
        <f>IF(W645="","", "⚠️ 薄弱环节: "&amp;INDEX($R$1:$V$1, MATCH(MIN(R645:V645), R645:V645, 0))&amp;CHAR(10)&amp;"📉 考察能力: "&amp;IFERROR(VLOOKUP(TRIM(D645)&amp;"_"&amp;TRIM(INDEX($R$1:$V$1, MATCH(MIN(R645:V645), R645:V645, 0))), 技能库!$A:$F, 5, 0),"建议查阅考纲")&amp;CHAR(10)&amp;"💡 提升建议: "&amp;IFERROR(VLOOKUP(TRIM(D645)&amp;"_"&amp;TRIM(INDEX($R$1:$V$1, MATCH(MIN(R645:V645), R645:V645, 0))), 技能库!$A:$F, 6, 0),"请针对该题型加强练习"))</f>
        <v/>
      </c>
    </row>
    <row r="646" spans="12:29" ht="16" hidden="1" x14ac:dyDescent="0.2">
      <c r="L646" t="str">
        <f t="shared" si="40"/>
        <v/>
      </c>
      <c r="M646" t="str">
        <f>IF(L646="","", IFERROR(VLOOKUP(L646, IF(D646="KET", 换算标准!$M:$N, IF(D646="PET", 换算标准!$S:$T, 换算标准!$AC:$AD)), 2, TRUE), 0))</f>
        <v/>
      </c>
      <c r="P646" t="str">
        <f t="shared" si="41"/>
        <v/>
      </c>
      <c r="Q646" t="str">
        <f>IF(P646="","", IFERROR(VLOOKUP(P646, IF(D646="KET", 换算标准!$O:$P, IF(D646="PET", 换算标准!$U:$V, 换算标准!$AG:$AH)), 2, TRUE), 0))</f>
        <v/>
      </c>
      <c r="W646" t="str">
        <f t="shared" si="42"/>
        <v/>
      </c>
      <c r="X646" t="str">
        <f>IF(W646="","", IFERROR(VLOOKUP(W646, IF(D646="KET", 换算标准!$Q:$R, IF(D646="PET", 换算标准!$W:$X, 换算标准!$AI:$AJ)), 2, TRUE), 0))</f>
        <v/>
      </c>
      <c r="Y646" t="str">
        <f t="shared" si="43"/>
        <v/>
      </c>
      <c r="Z646" t="str">
        <f>IF(Y646="","", IFERROR(VLOOKUP(Y646, 换算标准!$Z:$AA, 1, TRUE), ""))</f>
        <v/>
      </c>
      <c r="AA646" s="5" t="str">
        <f>IF(L646="","", "⚠️ 薄弱环节: "&amp;INDEX($E$1:$K$1, MATCH(MIN(E646:K646), E646:K646, 0))&amp;CHAR(10)&amp;"📉 考察能力: "&amp;IFERROR(VLOOKUP(TRIM(D646)&amp;"_"&amp;TRIM(INDEX($E$1:$K$1, MATCH(MIN(E646:K646), E646:K646, 0))), 技能库!$A:$F, 5, 0),"建议查阅考纲")&amp;CHAR(10)&amp;"💡 提升建议: "&amp;IFERROR(VLOOKUP(TRIM(D646)&amp;"_"&amp;TRIM(INDEX($E$1:$K$1, MATCH(MIN(E646:K646), E646:K646, 0))), 技能库!$A:$F, 6, 0),"请针对该题型加强练习"))</f>
        <v/>
      </c>
      <c r="AB646" s="5" t="str">
        <f>IF(P646="","", "⚠️ 薄弱环节: "&amp;INDEX($N$1:$O$1, MATCH(MIN(N646:O646), N646:O646, 0))&amp;CHAR(10)&amp;"📉 考察能力: "&amp;IFERROR(VLOOKUP(TRIM(D646)&amp;"_"&amp;TRIM(INDEX($N$1:$O$1, MATCH(MIN(N646:O646), N646:O646, 0))), 技能库!$A:$F, 5, 0),"建议查阅考纲")&amp;CHAR(10)&amp;"💡 提升建议: "&amp;IFERROR(VLOOKUP(TRIM(D646)&amp;"_"&amp;TRIM(INDEX($N$1:$O$1, MATCH(MIN(N646:O646), N646:O646, 0))), 技能库!$A:$F, 6, 0),"请针对该题型加强练习"))</f>
        <v/>
      </c>
      <c r="AC646" s="5" t="str">
        <f>IF(W646="","", "⚠️ 薄弱环节: "&amp;INDEX($R$1:$V$1, MATCH(MIN(R646:V646), R646:V646, 0))&amp;CHAR(10)&amp;"📉 考察能力: "&amp;IFERROR(VLOOKUP(TRIM(D646)&amp;"_"&amp;TRIM(INDEX($R$1:$V$1, MATCH(MIN(R646:V646), R646:V646, 0))), 技能库!$A:$F, 5, 0),"建议查阅考纲")&amp;CHAR(10)&amp;"💡 提升建议: "&amp;IFERROR(VLOOKUP(TRIM(D646)&amp;"_"&amp;TRIM(INDEX($R$1:$V$1, MATCH(MIN(R646:V646), R646:V646, 0))), 技能库!$A:$F, 6, 0),"请针对该题型加强练习"))</f>
        <v/>
      </c>
    </row>
    <row r="647" spans="12:29" ht="16" hidden="1" x14ac:dyDescent="0.2">
      <c r="L647" t="str">
        <f t="shared" si="40"/>
        <v/>
      </c>
      <c r="M647" t="str">
        <f>IF(L647="","", IFERROR(VLOOKUP(L647, IF(D647="KET", 换算标准!$M:$N, IF(D647="PET", 换算标准!$S:$T, 换算标准!$AC:$AD)), 2, TRUE), 0))</f>
        <v/>
      </c>
      <c r="P647" t="str">
        <f t="shared" si="41"/>
        <v/>
      </c>
      <c r="Q647" t="str">
        <f>IF(P647="","", IFERROR(VLOOKUP(P647, IF(D647="KET", 换算标准!$O:$P, IF(D647="PET", 换算标准!$U:$V, 换算标准!$AG:$AH)), 2, TRUE), 0))</f>
        <v/>
      </c>
      <c r="W647" t="str">
        <f t="shared" si="42"/>
        <v/>
      </c>
      <c r="X647" t="str">
        <f>IF(W647="","", IFERROR(VLOOKUP(W647, IF(D647="KET", 换算标准!$Q:$R, IF(D647="PET", 换算标准!$W:$X, 换算标准!$AI:$AJ)), 2, TRUE), 0))</f>
        <v/>
      </c>
      <c r="Y647" t="str">
        <f t="shared" si="43"/>
        <v/>
      </c>
      <c r="Z647" t="str">
        <f>IF(Y647="","", IFERROR(VLOOKUP(Y647, 换算标准!$Z:$AA, 1, TRUE), ""))</f>
        <v/>
      </c>
      <c r="AA647" s="5" t="str">
        <f>IF(L647="","", "⚠️ 薄弱环节: "&amp;INDEX($E$1:$K$1, MATCH(MIN(E647:K647), E647:K647, 0))&amp;CHAR(10)&amp;"📉 考察能力: "&amp;IFERROR(VLOOKUP(TRIM(D647)&amp;"_"&amp;TRIM(INDEX($E$1:$K$1, MATCH(MIN(E647:K647), E647:K647, 0))), 技能库!$A:$F, 5, 0),"建议查阅考纲")&amp;CHAR(10)&amp;"💡 提升建议: "&amp;IFERROR(VLOOKUP(TRIM(D647)&amp;"_"&amp;TRIM(INDEX($E$1:$K$1, MATCH(MIN(E647:K647), E647:K647, 0))), 技能库!$A:$F, 6, 0),"请针对该题型加强练习"))</f>
        <v/>
      </c>
      <c r="AB647" s="5" t="str">
        <f>IF(P647="","", "⚠️ 薄弱环节: "&amp;INDEX($N$1:$O$1, MATCH(MIN(N647:O647), N647:O647, 0))&amp;CHAR(10)&amp;"📉 考察能力: "&amp;IFERROR(VLOOKUP(TRIM(D647)&amp;"_"&amp;TRIM(INDEX($N$1:$O$1, MATCH(MIN(N647:O647), N647:O647, 0))), 技能库!$A:$F, 5, 0),"建议查阅考纲")&amp;CHAR(10)&amp;"💡 提升建议: "&amp;IFERROR(VLOOKUP(TRIM(D647)&amp;"_"&amp;TRIM(INDEX($N$1:$O$1, MATCH(MIN(N647:O647), N647:O647, 0))), 技能库!$A:$F, 6, 0),"请针对该题型加强练习"))</f>
        <v/>
      </c>
      <c r="AC647" s="5" t="str">
        <f>IF(W647="","", "⚠️ 薄弱环节: "&amp;INDEX($R$1:$V$1, MATCH(MIN(R647:V647), R647:V647, 0))&amp;CHAR(10)&amp;"📉 考察能力: "&amp;IFERROR(VLOOKUP(TRIM(D647)&amp;"_"&amp;TRIM(INDEX($R$1:$V$1, MATCH(MIN(R647:V647), R647:V647, 0))), 技能库!$A:$F, 5, 0),"建议查阅考纲")&amp;CHAR(10)&amp;"💡 提升建议: "&amp;IFERROR(VLOOKUP(TRIM(D647)&amp;"_"&amp;TRIM(INDEX($R$1:$V$1, MATCH(MIN(R647:V647), R647:V647, 0))), 技能库!$A:$F, 6, 0),"请针对该题型加强练习"))</f>
        <v/>
      </c>
    </row>
    <row r="648" spans="12:29" ht="16" hidden="1" x14ac:dyDescent="0.2">
      <c r="L648" t="str">
        <f t="shared" si="40"/>
        <v/>
      </c>
      <c r="M648" t="str">
        <f>IF(L648="","", IFERROR(VLOOKUP(L648, IF(D648="KET", 换算标准!$M:$N, IF(D648="PET", 换算标准!$S:$T, 换算标准!$AC:$AD)), 2, TRUE), 0))</f>
        <v/>
      </c>
      <c r="P648" t="str">
        <f t="shared" si="41"/>
        <v/>
      </c>
      <c r="Q648" t="str">
        <f>IF(P648="","", IFERROR(VLOOKUP(P648, IF(D648="KET", 换算标准!$O:$P, IF(D648="PET", 换算标准!$U:$V, 换算标准!$AG:$AH)), 2, TRUE), 0))</f>
        <v/>
      </c>
      <c r="W648" t="str">
        <f t="shared" si="42"/>
        <v/>
      </c>
      <c r="X648" t="str">
        <f>IF(W648="","", IFERROR(VLOOKUP(W648, IF(D648="KET", 换算标准!$Q:$R, IF(D648="PET", 换算标准!$W:$X, 换算标准!$AI:$AJ)), 2, TRUE), 0))</f>
        <v/>
      </c>
      <c r="Y648" t="str">
        <f t="shared" si="43"/>
        <v/>
      </c>
      <c r="Z648" t="str">
        <f>IF(Y648="","", IFERROR(VLOOKUP(Y648, 换算标准!$Z:$AA, 1, TRUE), ""))</f>
        <v/>
      </c>
      <c r="AA648" s="5" t="str">
        <f>IF(L648="","", "⚠️ 薄弱环节: "&amp;INDEX($E$1:$K$1, MATCH(MIN(E648:K648), E648:K648, 0))&amp;CHAR(10)&amp;"📉 考察能力: "&amp;IFERROR(VLOOKUP(TRIM(D648)&amp;"_"&amp;TRIM(INDEX($E$1:$K$1, MATCH(MIN(E648:K648), E648:K648, 0))), 技能库!$A:$F, 5, 0),"建议查阅考纲")&amp;CHAR(10)&amp;"💡 提升建议: "&amp;IFERROR(VLOOKUP(TRIM(D648)&amp;"_"&amp;TRIM(INDEX($E$1:$K$1, MATCH(MIN(E648:K648), E648:K648, 0))), 技能库!$A:$F, 6, 0),"请针对该题型加强练习"))</f>
        <v/>
      </c>
      <c r="AB648" s="5" t="str">
        <f>IF(P648="","", "⚠️ 薄弱环节: "&amp;INDEX($N$1:$O$1, MATCH(MIN(N648:O648), N648:O648, 0))&amp;CHAR(10)&amp;"📉 考察能力: "&amp;IFERROR(VLOOKUP(TRIM(D648)&amp;"_"&amp;TRIM(INDEX($N$1:$O$1, MATCH(MIN(N648:O648), N648:O648, 0))), 技能库!$A:$F, 5, 0),"建议查阅考纲")&amp;CHAR(10)&amp;"💡 提升建议: "&amp;IFERROR(VLOOKUP(TRIM(D648)&amp;"_"&amp;TRIM(INDEX($N$1:$O$1, MATCH(MIN(N648:O648), N648:O648, 0))), 技能库!$A:$F, 6, 0),"请针对该题型加强练习"))</f>
        <v/>
      </c>
      <c r="AC648" s="5" t="str">
        <f>IF(W648="","", "⚠️ 薄弱环节: "&amp;INDEX($R$1:$V$1, MATCH(MIN(R648:V648), R648:V648, 0))&amp;CHAR(10)&amp;"📉 考察能力: "&amp;IFERROR(VLOOKUP(TRIM(D648)&amp;"_"&amp;TRIM(INDEX($R$1:$V$1, MATCH(MIN(R648:V648), R648:V648, 0))), 技能库!$A:$F, 5, 0),"建议查阅考纲")&amp;CHAR(10)&amp;"💡 提升建议: "&amp;IFERROR(VLOOKUP(TRIM(D648)&amp;"_"&amp;TRIM(INDEX($R$1:$V$1, MATCH(MIN(R648:V648), R648:V648, 0))), 技能库!$A:$F, 6, 0),"请针对该题型加强练习"))</f>
        <v/>
      </c>
    </row>
    <row r="649" spans="12:29" ht="16" hidden="1" x14ac:dyDescent="0.2">
      <c r="L649" t="str">
        <f t="shared" si="40"/>
        <v/>
      </c>
      <c r="M649" t="str">
        <f>IF(L649="","", IFERROR(VLOOKUP(L649, IF(D649="KET", 换算标准!$M:$N, IF(D649="PET", 换算标准!$S:$T, 换算标准!$AC:$AD)), 2, TRUE), 0))</f>
        <v/>
      </c>
      <c r="P649" t="str">
        <f t="shared" si="41"/>
        <v/>
      </c>
      <c r="Q649" t="str">
        <f>IF(P649="","", IFERROR(VLOOKUP(P649, IF(D649="KET", 换算标准!$O:$P, IF(D649="PET", 换算标准!$U:$V, 换算标准!$AG:$AH)), 2, TRUE), 0))</f>
        <v/>
      </c>
      <c r="W649" t="str">
        <f t="shared" si="42"/>
        <v/>
      </c>
      <c r="X649" t="str">
        <f>IF(W649="","", IFERROR(VLOOKUP(W649, IF(D649="KET", 换算标准!$Q:$R, IF(D649="PET", 换算标准!$W:$X, 换算标准!$AI:$AJ)), 2, TRUE), 0))</f>
        <v/>
      </c>
      <c r="Y649" t="str">
        <f t="shared" si="43"/>
        <v/>
      </c>
      <c r="Z649" t="str">
        <f>IF(Y649="","", IFERROR(VLOOKUP(Y649, 换算标准!$Z:$AA, 1, TRUE), ""))</f>
        <v/>
      </c>
      <c r="AA649" s="5" t="str">
        <f>IF(L649="","", "⚠️ 薄弱环节: "&amp;INDEX($E$1:$K$1, MATCH(MIN(E649:K649), E649:K649, 0))&amp;CHAR(10)&amp;"📉 考察能力: "&amp;IFERROR(VLOOKUP(TRIM(D649)&amp;"_"&amp;TRIM(INDEX($E$1:$K$1, MATCH(MIN(E649:K649), E649:K649, 0))), 技能库!$A:$F, 5, 0),"建议查阅考纲")&amp;CHAR(10)&amp;"💡 提升建议: "&amp;IFERROR(VLOOKUP(TRIM(D649)&amp;"_"&amp;TRIM(INDEX($E$1:$K$1, MATCH(MIN(E649:K649), E649:K649, 0))), 技能库!$A:$F, 6, 0),"请针对该题型加强练习"))</f>
        <v/>
      </c>
      <c r="AB649" s="5" t="str">
        <f>IF(P649="","", "⚠️ 薄弱环节: "&amp;INDEX($N$1:$O$1, MATCH(MIN(N649:O649), N649:O649, 0))&amp;CHAR(10)&amp;"📉 考察能力: "&amp;IFERROR(VLOOKUP(TRIM(D649)&amp;"_"&amp;TRIM(INDEX($N$1:$O$1, MATCH(MIN(N649:O649), N649:O649, 0))), 技能库!$A:$F, 5, 0),"建议查阅考纲")&amp;CHAR(10)&amp;"💡 提升建议: "&amp;IFERROR(VLOOKUP(TRIM(D649)&amp;"_"&amp;TRIM(INDEX($N$1:$O$1, MATCH(MIN(N649:O649), N649:O649, 0))), 技能库!$A:$F, 6, 0),"请针对该题型加强练习"))</f>
        <v/>
      </c>
      <c r="AC649" s="5" t="str">
        <f>IF(W649="","", "⚠️ 薄弱环节: "&amp;INDEX($R$1:$V$1, MATCH(MIN(R649:V649), R649:V649, 0))&amp;CHAR(10)&amp;"📉 考察能力: "&amp;IFERROR(VLOOKUP(TRIM(D649)&amp;"_"&amp;TRIM(INDEX($R$1:$V$1, MATCH(MIN(R649:V649), R649:V649, 0))), 技能库!$A:$F, 5, 0),"建议查阅考纲")&amp;CHAR(10)&amp;"💡 提升建议: "&amp;IFERROR(VLOOKUP(TRIM(D649)&amp;"_"&amp;TRIM(INDEX($R$1:$V$1, MATCH(MIN(R649:V649), R649:V649, 0))), 技能库!$A:$F, 6, 0),"请针对该题型加强练习"))</f>
        <v/>
      </c>
    </row>
    <row r="650" spans="12:29" ht="16" hidden="1" x14ac:dyDescent="0.2">
      <c r="L650" t="str">
        <f t="shared" si="40"/>
        <v/>
      </c>
      <c r="M650" t="str">
        <f>IF(L650="","", IFERROR(VLOOKUP(L650, IF(D650="KET", 换算标准!$M:$N, IF(D650="PET", 换算标准!$S:$T, 换算标准!$AC:$AD)), 2, TRUE), 0))</f>
        <v/>
      </c>
      <c r="P650" t="str">
        <f t="shared" si="41"/>
        <v/>
      </c>
      <c r="Q650" t="str">
        <f>IF(P650="","", IFERROR(VLOOKUP(P650, IF(D650="KET", 换算标准!$O:$P, IF(D650="PET", 换算标准!$U:$V, 换算标准!$AG:$AH)), 2, TRUE), 0))</f>
        <v/>
      </c>
      <c r="W650" t="str">
        <f t="shared" si="42"/>
        <v/>
      </c>
      <c r="X650" t="str">
        <f>IF(W650="","", IFERROR(VLOOKUP(W650, IF(D650="KET", 换算标准!$Q:$R, IF(D650="PET", 换算标准!$W:$X, 换算标准!$AI:$AJ)), 2, TRUE), 0))</f>
        <v/>
      </c>
      <c r="Y650" t="str">
        <f t="shared" si="43"/>
        <v/>
      </c>
      <c r="Z650" t="str">
        <f>IF(Y650="","", IFERROR(VLOOKUP(Y650, 换算标准!$Z:$AA, 1, TRUE), ""))</f>
        <v/>
      </c>
      <c r="AA650" s="5" t="str">
        <f>IF(L650="","", "⚠️ 薄弱环节: "&amp;INDEX($E$1:$K$1, MATCH(MIN(E650:K650), E650:K650, 0))&amp;CHAR(10)&amp;"📉 考察能力: "&amp;IFERROR(VLOOKUP(TRIM(D650)&amp;"_"&amp;TRIM(INDEX($E$1:$K$1, MATCH(MIN(E650:K650), E650:K650, 0))), 技能库!$A:$F, 5, 0),"建议查阅考纲")&amp;CHAR(10)&amp;"💡 提升建议: "&amp;IFERROR(VLOOKUP(TRIM(D650)&amp;"_"&amp;TRIM(INDEX($E$1:$K$1, MATCH(MIN(E650:K650), E650:K650, 0))), 技能库!$A:$F, 6, 0),"请针对该题型加强练习"))</f>
        <v/>
      </c>
      <c r="AB650" s="5" t="str">
        <f>IF(P650="","", "⚠️ 薄弱环节: "&amp;INDEX($N$1:$O$1, MATCH(MIN(N650:O650), N650:O650, 0))&amp;CHAR(10)&amp;"📉 考察能力: "&amp;IFERROR(VLOOKUP(TRIM(D650)&amp;"_"&amp;TRIM(INDEX($N$1:$O$1, MATCH(MIN(N650:O650), N650:O650, 0))), 技能库!$A:$F, 5, 0),"建议查阅考纲")&amp;CHAR(10)&amp;"💡 提升建议: "&amp;IFERROR(VLOOKUP(TRIM(D650)&amp;"_"&amp;TRIM(INDEX($N$1:$O$1, MATCH(MIN(N650:O650), N650:O650, 0))), 技能库!$A:$F, 6, 0),"请针对该题型加强练习"))</f>
        <v/>
      </c>
      <c r="AC650" s="5" t="str">
        <f>IF(W650="","", "⚠️ 薄弱环节: "&amp;INDEX($R$1:$V$1, MATCH(MIN(R650:V650), R650:V650, 0))&amp;CHAR(10)&amp;"📉 考察能力: "&amp;IFERROR(VLOOKUP(TRIM(D650)&amp;"_"&amp;TRIM(INDEX($R$1:$V$1, MATCH(MIN(R650:V650), R650:V650, 0))), 技能库!$A:$F, 5, 0),"建议查阅考纲")&amp;CHAR(10)&amp;"💡 提升建议: "&amp;IFERROR(VLOOKUP(TRIM(D650)&amp;"_"&amp;TRIM(INDEX($R$1:$V$1, MATCH(MIN(R650:V650), R650:V650, 0))), 技能库!$A:$F, 6, 0),"请针对该题型加强练习"))</f>
        <v/>
      </c>
    </row>
    <row r="651" spans="12:29" ht="16" hidden="1" x14ac:dyDescent="0.2">
      <c r="L651" t="str">
        <f t="shared" si="40"/>
        <v/>
      </c>
      <c r="M651" t="str">
        <f>IF(L651="","", IFERROR(VLOOKUP(L651, IF(D651="KET", 换算标准!$M:$N, IF(D651="PET", 换算标准!$S:$T, 换算标准!$AC:$AD)), 2, TRUE), 0))</f>
        <v/>
      </c>
      <c r="P651" t="str">
        <f t="shared" si="41"/>
        <v/>
      </c>
      <c r="Q651" t="str">
        <f>IF(P651="","", IFERROR(VLOOKUP(P651, IF(D651="KET", 换算标准!$O:$P, IF(D651="PET", 换算标准!$U:$V, 换算标准!$AG:$AH)), 2, TRUE), 0))</f>
        <v/>
      </c>
      <c r="W651" t="str">
        <f t="shared" si="42"/>
        <v/>
      </c>
      <c r="X651" t="str">
        <f>IF(W651="","", IFERROR(VLOOKUP(W651, IF(D651="KET", 换算标准!$Q:$R, IF(D651="PET", 换算标准!$W:$X, 换算标准!$AI:$AJ)), 2, TRUE), 0))</f>
        <v/>
      </c>
      <c r="Y651" t="str">
        <f t="shared" si="43"/>
        <v/>
      </c>
      <c r="Z651" t="str">
        <f>IF(Y651="","", IFERROR(VLOOKUP(Y651, 换算标准!$Z:$AA, 1, TRUE), ""))</f>
        <v/>
      </c>
      <c r="AA651" s="5" t="str">
        <f>IF(L651="","", "⚠️ 薄弱环节: "&amp;INDEX($E$1:$K$1, MATCH(MIN(E651:K651), E651:K651, 0))&amp;CHAR(10)&amp;"📉 考察能力: "&amp;IFERROR(VLOOKUP(TRIM(D651)&amp;"_"&amp;TRIM(INDEX($E$1:$K$1, MATCH(MIN(E651:K651), E651:K651, 0))), 技能库!$A:$F, 5, 0),"建议查阅考纲")&amp;CHAR(10)&amp;"💡 提升建议: "&amp;IFERROR(VLOOKUP(TRIM(D651)&amp;"_"&amp;TRIM(INDEX($E$1:$K$1, MATCH(MIN(E651:K651), E651:K651, 0))), 技能库!$A:$F, 6, 0),"请针对该题型加强练习"))</f>
        <v/>
      </c>
      <c r="AB651" s="5" t="str">
        <f>IF(P651="","", "⚠️ 薄弱环节: "&amp;INDEX($N$1:$O$1, MATCH(MIN(N651:O651), N651:O651, 0))&amp;CHAR(10)&amp;"📉 考察能力: "&amp;IFERROR(VLOOKUP(TRIM(D651)&amp;"_"&amp;TRIM(INDEX($N$1:$O$1, MATCH(MIN(N651:O651), N651:O651, 0))), 技能库!$A:$F, 5, 0),"建议查阅考纲")&amp;CHAR(10)&amp;"💡 提升建议: "&amp;IFERROR(VLOOKUP(TRIM(D651)&amp;"_"&amp;TRIM(INDEX($N$1:$O$1, MATCH(MIN(N651:O651), N651:O651, 0))), 技能库!$A:$F, 6, 0),"请针对该题型加强练习"))</f>
        <v/>
      </c>
      <c r="AC651" s="5" t="str">
        <f>IF(W651="","", "⚠️ 薄弱环节: "&amp;INDEX($R$1:$V$1, MATCH(MIN(R651:V651), R651:V651, 0))&amp;CHAR(10)&amp;"📉 考察能力: "&amp;IFERROR(VLOOKUP(TRIM(D651)&amp;"_"&amp;TRIM(INDEX($R$1:$V$1, MATCH(MIN(R651:V651), R651:V651, 0))), 技能库!$A:$F, 5, 0),"建议查阅考纲")&amp;CHAR(10)&amp;"💡 提升建议: "&amp;IFERROR(VLOOKUP(TRIM(D651)&amp;"_"&amp;TRIM(INDEX($R$1:$V$1, MATCH(MIN(R651:V651), R651:V651, 0))), 技能库!$A:$F, 6, 0),"请针对该题型加强练习"))</f>
        <v/>
      </c>
    </row>
    <row r="652" spans="12:29" ht="16" hidden="1" x14ac:dyDescent="0.2">
      <c r="L652" t="str">
        <f t="shared" si="40"/>
        <v/>
      </c>
      <c r="M652" t="str">
        <f>IF(L652="","", IFERROR(VLOOKUP(L652, IF(D652="KET", 换算标准!$M:$N, IF(D652="PET", 换算标准!$S:$T, 换算标准!$AC:$AD)), 2, TRUE), 0))</f>
        <v/>
      </c>
      <c r="P652" t="str">
        <f t="shared" si="41"/>
        <v/>
      </c>
      <c r="Q652" t="str">
        <f>IF(P652="","", IFERROR(VLOOKUP(P652, IF(D652="KET", 换算标准!$O:$P, IF(D652="PET", 换算标准!$U:$V, 换算标准!$AG:$AH)), 2, TRUE), 0))</f>
        <v/>
      </c>
      <c r="W652" t="str">
        <f t="shared" si="42"/>
        <v/>
      </c>
      <c r="X652" t="str">
        <f>IF(W652="","", IFERROR(VLOOKUP(W652, IF(D652="KET", 换算标准!$Q:$R, IF(D652="PET", 换算标准!$W:$X, 换算标准!$AI:$AJ)), 2, TRUE), 0))</f>
        <v/>
      </c>
      <c r="Y652" t="str">
        <f t="shared" si="43"/>
        <v/>
      </c>
      <c r="Z652" t="str">
        <f>IF(Y652="","", IFERROR(VLOOKUP(Y652, 换算标准!$Z:$AA, 1, TRUE), ""))</f>
        <v/>
      </c>
      <c r="AA652" s="5" t="str">
        <f>IF(L652="","", "⚠️ 薄弱环节: "&amp;INDEX($E$1:$K$1, MATCH(MIN(E652:K652), E652:K652, 0))&amp;CHAR(10)&amp;"📉 考察能力: "&amp;IFERROR(VLOOKUP(TRIM(D652)&amp;"_"&amp;TRIM(INDEX($E$1:$K$1, MATCH(MIN(E652:K652), E652:K652, 0))), 技能库!$A:$F, 5, 0),"建议查阅考纲")&amp;CHAR(10)&amp;"💡 提升建议: "&amp;IFERROR(VLOOKUP(TRIM(D652)&amp;"_"&amp;TRIM(INDEX($E$1:$K$1, MATCH(MIN(E652:K652), E652:K652, 0))), 技能库!$A:$F, 6, 0),"请针对该题型加强练习"))</f>
        <v/>
      </c>
      <c r="AB652" s="5" t="str">
        <f>IF(P652="","", "⚠️ 薄弱环节: "&amp;INDEX($N$1:$O$1, MATCH(MIN(N652:O652), N652:O652, 0))&amp;CHAR(10)&amp;"📉 考察能力: "&amp;IFERROR(VLOOKUP(TRIM(D652)&amp;"_"&amp;TRIM(INDEX($N$1:$O$1, MATCH(MIN(N652:O652), N652:O652, 0))), 技能库!$A:$F, 5, 0),"建议查阅考纲")&amp;CHAR(10)&amp;"💡 提升建议: "&amp;IFERROR(VLOOKUP(TRIM(D652)&amp;"_"&amp;TRIM(INDEX($N$1:$O$1, MATCH(MIN(N652:O652), N652:O652, 0))), 技能库!$A:$F, 6, 0),"请针对该题型加强练习"))</f>
        <v/>
      </c>
      <c r="AC652" s="5" t="str">
        <f>IF(W652="","", "⚠️ 薄弱环节: "&amp;INDEX($R$1:$V$1, MATCH(MIN(R652:V652), R652:V652, 0))&amp;CHAR(10)&amp;"📉 考察能力: "&amp;IFERROR(VLOOKUP(TRIM(D652)&amp;"_"&amp;TRIM(INDEX($R$1:$V$1, MATCH(MIN(R652:V652), R652:V652, 0))), 技能库!$A:$F, 5, 0),"建议查阅考纲")&amp;CHAR(10)&amp;"💡 提升建议: "&amp;IFERROR(VLOOKUP(TRIM(D652)&amp;"_"&amp;TRIM(INDEX($R$1:$V$1, MATCH(MIN(R652:V652), R652:V652, 0))), 技能库!$A:$F, 6, 0),"请针对该题型加强练习"))</f>
        <v/>
      </c>
    </row>
    <row r="653" spans="12:29" ht="16" hidden="1" x14ac:dyDescent="0.2">
      <c r="L653" t="str">
        <f t="shared" si="40"/>
        <v/>
      </c>
      <c r="M653" t="str">
        <f>IF(L653="","", IFERROR(VLOOKUP(L653, IF(D653="KET", 换算标准!$M:$N, IF(D653="PET", 换算标准!$S:$T, 换算标准!$AC:$AD)), 2, TRUE), 0))</f>
        <v/>
      </c>
      <c r="P653" t="str">
        <f t="shared" si="41"/>
        <v/>
      </c>
      <c r="Q653" t="str">
        <f>IF(P653="","", IFERROR(VLOOKUP(P653, IF(D653="KET", 换算标准!$O:$P, IF(D653="PET", 换算标准!$U:$V, 换算标准!$AG:$AH)), 2, TRUE), 0))</f>
        <v/>
      </c>
      <c r="W653" t="str">
        <f t="shared" si="42"/>
        <v/>
      </c>
      <c r="X653" t="str">
        <f>IF(W653="","", IFERROR(VLOOKUP(W653, IF(D653="KET", 换算标准!$Q:$R, IF(D653="PET", 换算标准!$W:$X, 换算标准!$AI:$AJ)), 2, TRUE), 0))</f>
        <v/>
      </c>
      <c r="Y653" t="str">
        <f t="shared" si="43"/>
        <v/>
      </c>
      <c r="Z653" t="str">
        <f>IF(Y653="","", IFERROR(VLOOKUP(Y653, 换算标准!$Z:$AA, 1, TRUE), ""))</f>
        <v/>
      </c>
      <c r="AA653" s="5" t="str">
        <f>IF(L653="","", "⚠️ 薄弱环节: "&amp;INDEX($E$1:$K$1, MATCH(MIN(E653:K653), E653:K653, 0))&amp;CHAR(10)&amp;"📉 考察能力: "&amp;IFERROR(VLOOKUP(TRIM(D653)&amp;"_"&amp;TRIM(INDEX($E$1:$K$1, MATCH(MIN(E653:K653), E653:K653, 0))), 技能库!$A:$F, 5, 0),"建议查阅考纲")&amp;CHAR(10)&amp;"💡 提升建议: "&amp;IFERROR(VLOOKUP(TRIM(D653)&amp;"_"&amp;TRIM(INDEX($E$1:$K$1, MATCH(MIN(E653:K653), E653:K653, 0))), 技能库!$A:$F, 6, 0),"请针对该题型加强练习"))</f>
        <v/>
      </c>
      <c r="AB653" s="5" t="str">
        <f>IF(P653="","", "⚠️ 薄弱环节: "&amp;INDEX($N$1:$O$1, MATCH(MIN(N653:O653), N653:O653, 0))&amp;CHAR(10)&amp;"📉 考察能力: "&amp;IFERROR(VLOOKUP(TRIM(D653)&amp;"_"&amp;TRIM(INDEX($N$1:$O$1, MATCH(MIN(N653:O653), N653:O653, 0))), 技能库!$A:$F, 5, 0),"建议查阅考纲")&amp;CHAR(10)&amp;"💡 提升建议: "&amp;IFERROR(VLOOKUP(TRIM(D653)&amp;"_"&amp;TRIM(INDEX($N$1:$O$1, MATCH(MIN(N653:O653), N653:O653, 0))), 技能库!$A:$F, 6, 0),"请针对该题型加强练习"))</f>
        <v/>
      </c>
      <c r="AC653" s="5" t="str">
        <f>IF(W653="","", "⚠️ 薄弱环节: "&amp;INDEX($R$1:$V$1, MATCH(MIN(R653:V653), R653:V653, 0))&amp;CHAR(10)&amp;"📉 考察能力: "&amp;IFERROR(VLOOKUP(TRIM(D653)&amp;"_"&amp;TRIM(INDEX($R$1:$V$1, MATCH(MIN(R653:V653), R653:V653, 0))), 技能库!$A:$F, 5, 0),"建议查阅考纲")&amp;CHAR(10)&amp;"💡 提升建议: "&amp;IFERROR(VLOOKUP(TRIM(D653)&amp;"_"&amp;TRIM(INDEX($R$1:$V$1, MATCH(MIN(R653:V653), R653:V653, 0))), 技能库!$A:$F, 6, 0),"请针对该题型加强练习"))</f>
        <v/>
      </c>
    </row>
    <row r="654" spans="12:29" ht="16" hidden="1" x14ac:dyDescent="0.2">
      <c r="L654" t="str">
        <f t="shared" si="40"/>
        <v/>
      </c>
      <c r="M654" t="str">
        <f>IF(L654="","", IFERROR(VLOOKUP(L654, IF(D654="KET", 换算标准!$M:$N, IF(D654="PET", 换算标准!$S:$T, 换算标准!$AC:$AD)), 2, TRUE), 0))</f>
        <v/>
      </c>
      <c r="P654" t="str">
        <f t="shared" si="41"/>
        <v/>
      </c>
      <c r="Q654" t="str">
        <f>IF(P654="","", IFERROR(VLOOKUP(P654, IF(D654="KET", 换算标准!$O:$P, IF(D654="PET", 换算标准!$U:$V, 换算标准!$AG:$AH)), 2, TRUE), 0))</f>
        <v/>
      </c>
      <c r="W654" t="str">
        <f t="shared" si="42"/>
        <v/>
      </c>
      <c r="X654" t="str">
        <f>IF(W654="","", IFERROR(VLOOKUP(W654, IF(D654="KET", 换算标准!$Q:$R, IF(D654="PET", 换算标准!$W:$X, 换算标准!$AI:$AJ)), 2, TRUE), 0))</f>
        <v/>
      </c>
      <c r="Y654" t="str">
        <f t="shared" si="43"/>
        <v/>
      </c>
      <c r="Z654" t="str">
        <f>IF(Y654="","", IFERROR(VLOOKUP(Y654, 换算标准!$Z:$AA, 1, TRUE), ""))</f>
        <v/>
      </c>
      <c r="AA654" s="5" t="str">
        <f>IF(L654="","", "⚠️ 薄弱环节: "&amp;INDEX($E$1:$K$1, MATCH(MIN(E654:K654), E654:K654, 0))&amp;CHAR(10)&amp;"📉 考察能力: "&amp;IFERROR(VLOOKUP(TRIM(D654)&amp;"_"&amp;TRIM(INDEX($E$1:$K$1, MATCH(MIN(E654:K654), E654:K654, 0))), 技能库!$A:$F, 5, 0),"建议查阅考纲")&amp;CHAR(10)&amp;"💡 提升建议: "&amp;IFERROR(VLOOKUP(TRIM(D654)&amp;"_"&amp;TRIM(INDEX($E$1:$K$1, MATCH(MIN(E654:K654), E654:K654, 0))), 技能库!$A:$F, 6, 0),"请针对该题型加强练习"))</f>
        <v/>
      </c>
      <c r="AB654" s="5" t="str">
        <f>IF(P654="","", "⚠️ 薄弱环节: "&amp;INDEX($N$1:$O$1, MATCH(MIN(N654:O654), N654:O654, 0))&amp;CHAR(10)&amp;"📉 考察能力: "&amp;IFERROR(VLOOKUP(TRIM(D654)&amp;"_"&amp;TRIM(INDEX($N$1:$O$1, MATCH(MIN(N654:O654), N654:O654, 0))), 技能库!$A:$F, 5, 0),"建议查阅考纲")&amp;CHAR(10)&amp;"💡 提升建议: "&amp;IFERROR(VLOOKUP(TRIM(D654)&amp;"_"&amp;TRIM(INDEX($N$1:$O$1, MATCH(MIN(N654:O654), N654:O654, 0))), 技能库!$A:$F, 6, 0),"请针对该题型加强练习"))</f>
        <v/>
      </c>
      <c r="AC654" s="5" t="str">
        <f>IF(W654="","", "⚠️ 薄弱环节: "&amp;INDEX($R$1:$V$1, MATCH(MIN(R654:V654), R654:V654, 0))&amp;CHAR(10)&amp;"📉 考察能力: "&amp;IFERROR(VLOOKUP(TRIM(D654)&amp;"_"&amp;TRIM(INDEX($R$1:$V$1, MATCH(MIN(R654:V654), R654:V654, 0))), 技能库!$A:$F, 5, 0),"建议查阅考纲")&amp;CHAR(10)&amp;"💡 提升建议: "&amp;IFERROR(VLOOKUP(TRIM(D654)&amp;"_"&amp;TRIM(INDEX($R$1:$V$1, MATCH(MIN(R654:V654), R654:V654, 0))), 技能库!$A:$F, 6, 0),"请针对该题型加强练习"))</f>
        <v/>
      </c>
    </row>
    <row r="655" spans="12:29" ht="16" hidden="1" x14ac:dyDescent="0.2">
      <c r="L655" t="str">
        <f t="shared" si="40"/>
        <v/>
      </c>
      <c r="M655" t="str">
        <f>IF(L655="","", IFERROR(VLOOKUP(L655, IF(D655="KET", 换算标准!$M:$N, IF(D655="PET", 换算标准!$S:$T, 换算标准!$AC:$AD)), 2, TRUE), 0))</f>
        <v/>
      </c>
      <c r="P655" t="str">
        <f t="shared" si="41"/>
        <v/>
      </c>
      <c r="Q655" t="str">
        <f>IF(P655="","", IFERROR(VLOOKUP(P655, IF(D655="KET", 换算标准!$O:$P, IF(D655="PET", 换算标准!$U:$V, 换算标准!$AG:$AH)), 2, TRUE), 0))</f>
        <v/>
      </c>
      <c r="W655" t="str">
        <f t="shared" si="42"/>
        <v/>
      </c>
      <c r="X655" t="str">
        <f>IF(W655="","", IFERROR(VLOOKUP(W655, IF(D655="KET", 换算标准!$Q:$R, IF(D655="PET", 换算标准!$W:$X, 换算标准!$AI:$AJ)), 2, TRUE), 0))</f>
        <v/>
      </c>
      <c r="Y655" t="str">
        <f t="shared" si="43"/>
        <v/>
      </c>
      <c r="Z655" t="str">
        <f>IF(Y655="","", IFERROR(VLOOKUP(Y655, 换算标准!$Z:$AA, 1, TRUE), ""))</f>
        <v/>
      </c>
      <c r="AA655" s="5" t="str">
        <f>IF(L655="","", "⚠️ 薄弱环节: "&amp;INDEX($E$1:$K$1, MATCH(MIN(E655:K655), E655:K655, 0))&amp;CHAR(10)&amp;"📉 考察能力: "&amp;IFERROR(VLOOKUP(TRIM(D655)&amp;"_"&amp;TRIM(INDEX($E$1:$K$1, MATCH(MIN(E655:K655), E655:K655, 0))), 技能库!$A:$F, 5, 0),"建议查阅考纲")&amp;CHAR(10)&amp;"💡 提升建议: "&amp;IFERROR(VLOOKUP(TRIM(D655)&amp;"_"&amp;TRIM(INDEX($E$1:$K$1, MATCH(MIN(E655:K655), E655:K655, 0))), 技能库!$A:$F, 6, 0),"请针对该题型加强练习"))</f>
        <v/>
      </c>
      <c r="AB655" s="5" t="str">
        <f>IF(P655="","", "⚠️ 薄弱环节: "&amp;INDEX($N$1:$O$1, MATCH(MIN(N655:O655), N655:O655, 0))&amp;CHAR(10)&amp;"📉 考察能力: "&amp;IFERROR(VLOOKUP(TRIM(D655)&amp;"_"&amp;TRIM(INDEX($N$1:$O$1, MATCH(MIN(N655:O655), N655:O655, 0))), 技能库!$A:$F, 5, 0),"建议查阅考纲")&amp;CHAR(10)&amp;"💡 提升建议: "&amp;IFERROR(VLOOKUP(TRIM(D655)&amp;"_"&amp;TRIM(INDEX($N$1:$O$1, MATCH(MIN(N655:O655), N655:O655, 0))), 技能库!$A:$F, 6, 0),"请针对该题型加强练习"))</f>
        <v/>
      </c>
      <c r="AC655" s="5" t="str">
        <f>IF(W655="","", "⚠️ 薄弱环节: "&amp;INDEX($R$1:$V$1, MATCH(MIN(R655:V655), R655:V655, 0))&amp;CHAR(10)&amp;"📉 考察能力: "&amp;IFERROR(VLOOKUP(TRIM(D655)&amp;"_"&amp;TRIM(INDEX($R$1:$V$1, MATCH(MIN(R655:V655), R655:V655, 0))), 技能库!$A:$F, 5, 0),"建议查阅考纲")&amp;CHAR(10)&amp;"💡 提升建议: "&amp;IFERROR(VLOOKUP(TRIM(D655)&amp;"_"&amp;TRIM(INDEX($R$1:$V$1, MATCH(MIN(R655:V655), R655:V655, 0))), 技能库!$A:$F, 6, 0),"请针对该题型加强练习"))</f>
        <v/>
      </c>
    </row>
    <row r="656" spans="12:29" ht="16" hidden="1" x14ac:dyDescent="0.2">
      <c r="L656" t="str">
        <f t="shared" si="40"/>
        <v/>
      </c>
      <c r="M656" t="str">
        <f>IF(L656="","", IFERROR(VLOOKUP(L656, IF(D656="KET", 换算标准!$M:$N, IF(D656="PET", 换算标准!$S:$T, 换算标准!$AC:$AD)), 2, TRUE), 0))</f>
        <v/>
      </c>
      <c r="P656" t="str">
        <f t="shared" si="41"/>
        <v/>
      </c>
      <c r="Q656" t="str">
        <f>IF(P656="","", IFERROR(VLOOKUP(P656, IF(D656="KET", 换算标准!$O:$P, IF(D656="PET", 换算标准!$U:$V, 换算标准!$AG:$AH)), 2, TRUE), 0))</f>
        <v/>
      </c>
      <c r="W656" t="str">
        <f t="shared" si="42"/>
        <v/>
      </c>
      <c r="X656" t="str">
        <f>IF(W656="","", IFERROR(VLOOKUP(W656, IF(D656="KET", 换算标准!$Q:$R, IF(D656="PET", 换算标准!$W:$X, 换算标准!$AI:$AJ)), 2, TRUE), 0))</f>
        <v/>
      </c>
      <c r="Y656" t="str">
        <f t="shared" si="43"/>
        <v/>
      </c>
      <c r="Z656" t="str">
        <f>IF(Y656="","", IFERROR(VLOOKUP(Y656, 换算标准!$Z:$AA, 1, TRUE), ""))</f>
        <v/>
      </c>
      <c r="AA656" s="5" t="str">
        <f>IF(L656="","", "⚠️ 薄弱环节: "&amp;INDEX($E$1:$K$1, MATCH(MIN(E656:K656), E656:K656, 0))&amp;CHAR(10)&amp;"📉 考察能力: "&amp;IFERROR(VLOOKUP(TRIM(D656)&amp;"_"&amp;TRIM(INDEX($E$1:$K$1, MATCH(MIN(E656:K656), E656:K656, 0))), 技能库!$A:$F, 5, 0),"建议查阅考纲")&amp;CHAR(10)&amp;"💡 提升建议: "&amp;IFERROR(VLOOKUP(TRIM(D656)&amp;"_"&amp;TRIM(INDEX($E$1:$K$1, MATCH(MIN(E656:K656), E656:K656, 0))), 技能库!$A:$F, 6, 0),"请针对该题型加强练习"))</f>
        <v/>
      </c>
      <c r="AB656" s="5" t="str">
        <f>IF(P656="","", "⚠️ 薄弱环节: "&amp;INDEX($N$1:$O$1, MATCH(MIN(N656:O656), N656:O656, 0))&amp;CHAR(10)&amp;"📉 考察能力: "&amp;IFERROR(VLOOKUP(TRIM(D656)&amp;"_"&amp;TRIM(INDEX($N$1:$O$1, MATCH(MIN(N656:O656), N656:O656, 0))), 技能库!$A:$F, 5, 0),"建议查阅考纲")&amp;CHAR(10)&amp;"💡 提升建议: "&amp;IFERROR(VLOOKUP(TRIM(D656)&amp;"_"&amp;TRIM(INDEX($N$1:$O$1, MATCH(MIN(N656:O656), N656:O656, 0))), 技能库!$A:$F, 6, 0),"请针对该题型加强练习"))</f>
        <v/>
      </c>
      <c r="AC656" s="5" t="str">
        <f>IF(W656="","", "⚠️ 薄弱环节: "&amp;INDEX($R$1:$V$1, MATCH(MIN(R656:V656), R656:V656, 0))&amp;CHAR(10)&amp;"📉 考察能力: "&amp;IFERROR(VLOOKUP(TRIM(D656)&amp;"_"&amp;TRIM(INDEX($R$1:$V$1, MATCH(MIN(R656:V656), R656:V656, 0))), 技能库!$A:$F, 5, 0),"建议查阅考纲")&amp;CHAR(10)&amp;"💡 提升建议: "&amp;IFERROR(VLOOKUP(TRIM(D656)&amp;"_"&amp;TRIM(INDEX($R$1:$V$1, MATCH(MIN(R656:V656), R656:V656, 0))), 技能库!$A:$F, 6, 0),"请针对该题型加强练习"))</f>
        <v/>
      </c>
    </row>
    <row r="657" spans="12:29" ht="16" hidden="1" x14ac:dyDescent="0.2">
      <c r="L657" t="str">
        <f t="shared" si="40"/>
        <v/>
      </c>
      <c r="M657" t="str">
        <f>IF(L657="","", IFERROR(VLOOKUP(L657, IF(D657="KET", 换算标准!$M:$N, IF(D657="PET", 换算标准!$S:$T, 换算标准!$AC:$AD)), 2, TRUE), 0))</f>
        <v/>
      </c>
      <c r="P657" t="str">
        <f t="shared" si="41"/>
        <v/>
      </c>
      <c r="Q657" t="str">
        <f>IF(P657="","", IFERROR(VLOOKUP(P657, IF(D657="KET", 换算标准!$O:$P, IF(D657="PET", 换算标准!$U:$V, 换算标准!$AG:$AH)), 2, TRUE), 0))</f>
        <v/>
      </c>
      <c r="W657" t="str">
        <f t="shared" si="42"/>
        <v/>
      </c>
      <c r="X657" t="str">
        <f>IF(W657="","", IFERROR(VLOOKUP(W657, IF(D657="KET", 换算标准!$Q:$R, IF(D657="PET", 换算标准!$W:$X, 换算标准!$AI:$AJ)), 2, TRUE), 0))</f>
        <v/>
      </c>
      <c r="Y657" t="str">
        <f t="shared" si="43"/>
        <v/>
      </c>
      <c r="Z657" t="str">
        <f>IF(Y657="","", IFERROR(VLOOKUP(Y657, 换算标准!$Z:$AA, 1, TRUE), ""))</f>
        <v/>
      </c>
      <c r="AA657" s="5" t="str">
        <f>IF(L657="","", "⚠️ 薄弱环节: "&amp;INDEX($E$1:$K$1, MATCH(MIN(E657:K657), E657:K657, 0))&amp;CHAR(10)&amp;"📉 考察能力: "&amp;IFERROR(VLOOKUP(TRIM(D657)&amp;"_"&amp;TRIM(INDEX($E$1:$K$1, MATCH(MIN(E657:K657), E657:K657, 0))), 技能库!$A:$F, 5, 0),"建议查阅考纲")&amp;CHAR(10)&amp;"💡 提升建议: "&amp;IFERROR(VLOOKUP(TRIM(D657)&amp;"_"&amp;TRIM(INDEX($E$1:$K$1, MATCH(MIN(E657:K657), E657:K657, 0))), 技能库!$A:$F, 6, 0),"请针对该题型加强练习"))</f>
        <v/>
      </c>
      <c r="AB657" s="5" t="str">
        <f>IF(P657="","", "⚠️ 薄弱环节: "&amp;INDEX($N$1:$O$1, MATCH(MIN(N657:O657), N657:O657, 0))&amp;CHAR(10)&amp;"📉 考察能力: "&amp;IFERROR(VLOOKUP(TRIM(D657)&amp;"_"&amp;TRIM(INDEX($N$1:$O$1, MATCH(MIN(N657:O657), N657:O657, 0))), 技能库!$A:$F, 5, 0),"建议查阅考纲")&amp;CHAR(10)&amp;"💡 提升建议: "&amp;IFERROR(VLOOKUP(TRIM(D657)&amp;"_"&amp;TRIM(INDEX($N$1:$O$1, MATCH(MIN(N657:O657), N657:O657, 0))), 技能库!$A:$F, 6, 0),"请针对该题型加强练习"))</f>
        <v/>
      </c>
      <c r="AC657" s="5" t="str">
        <f>IF(W657="","", "⚠️ 薄弱环节: "&amp;INDEX($R$1:$V$1, MATCH(MIN(R657:V657), R657:V657, 0))&amp;CHAR(10)&amp;"📉 考察能力: "&amp;IFERROR(VLOOKUP(TRIM(D657)&amp;"_"&amp;TRIM(INDEX($R$1:$V$1, MATCH(MIN(R657:V657), R657:V657, 0))), 技能库!$A:$F, 5, 0),"建议查阅考纲")&amp;CHAR(10)&amp;"💡 提升建议: "&amp;IFERROR(VLOOKUP(TRIM(D657)&amp;"_"&amp;TRIM(INDEX($R$1:$V$1, MATCH(MIN(R657:V657), R657:V657, 0))), 技能库!$A:$F, 6, 0),"请针对该题型加强练习"))</f>
        <v/>
      </c>
    </row>
    <row r="658" spans="12:29" ht="16" hidden="1" x14ac:dyDescent="0.2">
      <c r="L658" t="str">
        <f t="shared" si="40"/>
        <v/>
      </c>
      <c r="M658" t="str">
        <f>IF(L658="","", IFERROR(VLOOKUP(L658, IF(D658="KET", 换算标准!$M:$N, IF(D658="PET", 换算标准!$S:$T, 换算标准!$AC:$AD)), 2, TRUE), 0))</f>
        <v/>
      </c>
      <c r="P658" t="str">
        <f t="shared" si="41"/>
        <v/>
      </c>
      <c r="Q658" t="str">
        <f>IF(P658="","", IFERROR(VLOOKUP(P658, IF(D658="KET", 换算标准!$O:$P, IF(D658="PET", 换算标准!$U:$V, 换算标准!$AG:$AH)), 2, TRUE), 0))</f>
        <v/>
      </c>
      <c r="W658" t="str">
        <f t="shared" si="42"/>
        <v/>
      </c>
      <c r="X658" t="str">
        <f>IF(W658="","", IFERROR(VLOOKUP(W658, IF(D658="KET", 换算标准!$Q:$R, IF(D658="PET", 换算标准!$W:$X, 换算标准!$AI:$AJ)), 2, TRUE), 0))</f>
        <v/>
      </c>
      <c r="Y658" t="str">
        <f t="shared" si="43"/>
        <v/>
      </c>
      <c r="Z658" t="str">
        <f>IF(Y658="","", IFERROR(VLOOKUP(Y658, 换算标准!$Z:$AA, 1, TRUE), ""))</f>
        <v/>
      </c>
      <c r="AA658" s="5" t="str">
        <f>IF(L658="","", "⚠️ 薄弱环节: "&amp;INDEX($E$1:$K$1, MATCH(MIN(E658:K658), E658:K658, 0))&amp;CHAR(10)&amp;"📉 考察能力: "&amp;IFERROR(VLOOKUP(TRIM(D658)&amp;"_"&amp;TRIM(INDEX($E$1:$K$1, MATCH(MIN(E658:K658), E658:K658, 0))), 技能库!$A:$F, 5, 0),"建议查阅考纲")&amp;CHAR(10)&amp;"💡 提升建议: "&amp;IFERROR(VLOOKUP(TRIM(D658)&amp;"_"&amp;TRIM(INDEX($E$1:$K$1, MATCH(MIN(E658:K658), E658:K658, 0))), 技能库!$A:$F, 6, 0),"请针对该题型加强练习"))</f>
        <v/>
      </c>
      <c r="AB658" s="5" t="str">
        <f>IF(P658="","", "⚠️ 薄弱环节: "&amp;INDEX($N$1:$O$1, MATCH(MIN(N658:O658), N658:O658, 0))&amp;CHAR(10)&amp;"📉 考察能力: "&amp;IFERROR(VLOOKUP(TRIM(D658)&amp;"_"&amp;TRIM(INDEX($N$1:$O$1, MATCH(MIN(N658:O658), N658:O658, 0))), 技能库!$A:$F, 5, 0),"建议查阅考纲")&amp;CHAR(10)&amp;"💡 提升建议: "&amp;IFERROR(VLOOKUP(TRIM(D658)&amp;"_"&amp;TRIM(INDEX($N$1:$O$1, MATCH(MIN(N658:O658), N658:O658, 0))), 技能库!$A:$F, 6, 0),"请针对该题型加强练习"))</f>
        <v/>
      </c>
      <c r="AC658" s="5" t="str">
        <f>IF(W658="","", "⚠️ 薄弱环节: "&amp;INDEX($R$1:$V$1, MATCH(MIN(R658:V658), R658:V658, 0))&amp;CHAR(10)&amp;"📉 考察能力: "&amp;IFERROR(VLOOKUP(TRIM(D658)&amp;"_"&amp;TRIM(INDEX($R$1:$V$1, MATCH(MIN(R658:V658), R658:V658, 0))), 技能库!$A:$F, 5, 0),"建议查阅考纲")&amp;CHAR(10)&amp;"💡 提升建议: "&amp;IFERROR(VLOOKUP(TRIM(D658)&amp;"_"&amp;TRIM(INDEX($R$1:$V$1, MATCH(MIN(R658:V658), R658:V658, 0))), 技能库!$A:$F, 6, 0),"请针对该题型加强练习"))</f>
        <v/>
      </c>
    </row>
    <row r="659" spans="12:29" ht="16" hidden="1" x14ac:dyDescent="0.2">
      <c r="L659" t="str">
        <f t="shared" si="40"/>
        <v/>
      </c>
      <c r="M659" t="str">
        <f>IF(L659="","", IFERROR(VLOOKUP(L659, IF(D659="KET", 换算标准!$M:$N, IF(D659="PET", 换算标准!$S:$T, 换算标准!$AC:$AD)), 2, TRUE), 0))</f>
        <v/>
      </c>
      <c r="P659" t="str">
        <f t="shared" si="41"/>
        <v/>
      </c>
      <c r="Q659" t="str">
        <f>IF(P659="","", IFERROR(VLOOKUP(P659, IF(D659="KET", 换算标准!$O:$P, IF(D659="PET", 换算标准!$U:$V, 换算标准!$AG:$AH)), 2, TRUE), 0))</f>
        <v/>
      </c>
      <c r="W659" t="str">
        <f t="shared" si="42"/>
        <v/>
      </c>
      <c r="X659" t="str">
        <f>IF(W659="","", IFERROR(VLOOKUP(W659, IF(D659="KET", 换算标准!$Q:$R, IF(D659="PET", 换算标准!$W:$X, 换算标准!$AI:$AJ)), 2, TRUE), 0))</f>
        <v/>
      </c>
      <c r="Y659" t="str">
        <f t="shared" si="43"/>
        <v/>
      </c>
      <c r="Z659" t="str">
        <f>IF(Y659="","", IFERROR(VLOOKUP(Y659, 换算标准!$Z:$AA, 1, TRUE), ""))</f>
        <v/>
      </c>
      <c r="AA659" s="5" t="str">
        <f>IF(L659="","", "⚠️ 薄弱环节: "&amp;INDEX($E$1:$K$1, MATCH(MIN(E659:K659), E659:K659, 0))&amp;CHAR(10)&amp;"📉 考察能力: "&amp;IFERROR(VLOOKUP(TRIM(D659)&amp;"_"&amp;TRIM(INDEX($E$1:$K$1, MATCH(MIN(E659:K659), E659:K659, 0))), 技能库!$A:$F, 5, 0),"建议查阅考纲")&amp;CHAR(10)&amp;"💡 提升建议: "&amp;IFERROR(VLOOKUP(TRIM(D659)&amp;"_"&amp;TRIM(INDEX($E$1:$K$1, MATCH(MIN(E659:K659), E659:K659, 0))), 技能库!$A:$F, 6, 0),"请针对该题型加强练习"))</f>
        <v/>
      </c>
      <c r="AB659" s="5" t="str">
        <f>IF(P659="","", "⚠️ 薄弱环节: "&amp;INDEX($N$1:$O$1, MATCH(MIN(N659:O659), N659:O659, 0))&amp;CHAR(10)&amp;"📉 考察能力: "&amp;IFERROR(VLOOKUP(TRIM(D659)&amp;"_"&amp;TRIM(INDEX($N$1:$O$1, MATCH(MIN(N659:O659), N659:O659, 0))), 技能库!$A:$F, 5, 0),"建议查阅考纲")&amp;CHAR(10)&amp;"💡 提升建议: "&amp;IFERROR(VLOOKUP(TRIM(D659)&amp;"_"&amp;TRIM(INDEX($N$1:$O$1, MATCH(MIN(N659:O659), N659:O659, 0))), 技能库!$A:$F, 6, 0),"请针对该题型加强练习"))</f>
        <v/>
      </c>
      <c r="AC659" s="5" t="str">
        <f>IF(W659="","", "⚠️ 薄弱环节: "&amp;INDEX($R$1:$V$1, MATCH(MIN(R659:V659), R659:V659, 0))&amp;CHAR(10)&amp;"📉 考察能力: "&amp;IFERROR(VLOOKUP(TRIM(D659)&amp;"_"&amp;TRIM(INDEX($R$1:$V$1, MATCH(MIN(R659:V659), R659:V659, 0))), 技能库!$A:$F, 5, 0),"建议查阅考纲")&amp;CHAR(10)&amp;"💡 提升建议: "&amp;IFERROR(VLOOKUP(TRIM(D659)&amp;"_"&amp;TRIM(INDEX($R$1:$V$1, MATCH(MIN(R659:V659), R659:V659, 0))), 技能库!$A:$F, 6, 0),"请针对该题型加强练习"))</f>
        <v/>
      </c>
    </row>
    <row r="660" spans="12:29" ht="16" hidden="1" x14ac:dyDescent="0.2">
      <c r="L660" t="str">
        <f t="shared" si="40"/>
        <v/>
      </c>
      <c r="M660" t="str">
        <f>IF(L660="","", IFERROR(VLOOKUP(L660, IF(D660="KET", 换算标准!$M:$N, IF(D660="PET", 换算标准!$S:$T, 换算标准!$AC:$AD)), 2, TRUE), 0))</f>
        <v/>
      </c>
      <c r="P660" t="str">
        <f t="shared" si="41"/>
        <v/>
      </c>
      <c r="Q660" t="str">
        <f>IF(P660="","", IFERROR(VLOOKUP(P660, IF(D660="KET", 换算标准!$O:$P, IF(D660="PET", 换算标准!$U:$V, 换算标准!$AG:$AH)), 2, TRUE), 0))</f>
        <v/>
      </c>
      <c r="W660" t="str">
        <f t="shared" si="42"/>
        <v/>
      </c>
      <c r="X660" t="str">
        <f>IF(W660="","", IFERROR(VLOOKUP(W660, IF(D660="KET", 换算标准!$Q:$R, IF(D660="PET", 换算标准!$W:$X, 换算标准!$AI:$AJ)), 2, TRUE), 0))</f>
        <v/>
      </c>
      <c r="Y660" t="str">
        <f t="shared" si="43"/>
        <v/>
      </c>
      <c r="Z660" t="str">
        <f>IF(Y660="","", IFERROR(VLOOKUP(Y660, 换算标准!$Z:$AA, 1, TRUE), ""))</f>
        <v/>
      </c>
      <c r="AA660" s="5" t="str">
        <f>IF(L660="","", "⚠️ 薄弱环节: "&amp;INDEX($E$1:$K$1, MATCH(MIN(E660:K660), E660:K660, 0))&amp;CHAR(10)&amp;"📉 考察能力: "&amp;IFERROR(VLOOKUP(TRIM(D660)&amp;"_"&amp;TRIM(INDEX($E$1:$K$1, MATCH(MIN(E660:K660), E660:K660, 0))), 技能库!$A:$F, 5, 0),"建议查阅考纲")&amp;CHAR(10)&amp;"💡 提升建议: "&amp;IFERROR(VLOOKUP(TRIM(D660)&amp;"_"&amp;TRIM(INDEX($E$1:$K$1, MATCH(MIN(E660:K660), E660:K660, 0))), 技能库!$A:$F, 6, 0),"请针对该题型加强练习"))</f>
        <v/>
      </c>
      <c r="AB660" s="5" t="str">
        <f>IF(P660="","", "⚠️ 薄弱环节: "&amp;INDEX($N$1:$O$1, MATCH(MIN(N660:O660), N660:O660, 0))&amp;CHAR(10)&amp;"📉 考察能力: "&amp;IFERROR(VLOOKUP(TRIM(D660)&amp;"_"&amp;TRIM(INDEX($N$1:$O$1, MATCH(MIN(N660:O660), N660:O660, 0))), 技能库!$A:$F, 5, 0),"建议查阅考纲")&amp;CHAR(10)&amp;"💡 提升建议: "&amp;IFERROR(VLOOKUP(TRIM(D660)&amp;"_"&amp;TRIM(INDEX($N$1:$O$1, MATCH(MIN(N660:O660), N660:O660, 0))), 技能库!$A:$F, 6, 0),"请针对该题型加强练习"))</f>
        <v/>
      </c>
      <c r="AC660" s="5" t="str">
        <f>IF(W660="","", "⚠️ 薄弱环节: "&amp;INDEX($R$1:$V$1, MATCH(MIN(R660:V660), R660:V660, 0))&amp;CHAR(10)&amp;"📉 考察能力: "&amp;IFERROR(VLOOKUP(TRIM(D660)&amp;"_"&amp;TRIM(INDEX($R$1:$V$1, MATCH(MIN(R660:V660), R660:V660, 0))), 技能库!$A:$F, 5, 0),"建议查阅考纲")&amp;CHAR(10)&amp;"💡 提升建议: "&amp;IFERROR(VLOOKUP(TRIM(D660)&amp;"_"&amp;TRIM(INDEX($R$1:$V$1, MATCH(MIN(R660:V660), R660:V660, 0))), 技能库!$A:$F, 6, 0),"请针对该题型加强练习"))</f>
        <v/>
      </c>
    </row>
    <row r="661" spans="12:29" ht="16" hidden="1" x14ac:dyDescent="0.2">
      <c r="L661" t="str">
        <f t="shared" si="40"/>
        <v/>
      </c>
      <c r="M661" t="str">
        <f>IF(L661="","", IFERROR(VLOOKUP(L661, IF(D661="KET", 换算标准!$M:$N, IF(D661="PET", 换算标准!$S:$T, 换算标准!$AC:$AD)), 2, TRUE), 0))</f>
        <v/>
      </c>
      <c r="P661" t="str">
        <f t="shared" si="41"/>
        <v/>
      </c>
      <c r="Q661" t="str">
        <f>IF(P661="","", IFERROR(VLOOKUP(P661, IF(D661="KET", 换算标准!$O:$P, IF(D661="PET", 换算标准!$U:$V, 换算标准!$AG:$AH)), 2, TRUE), 0))</f>
        <v/>
      </c>
      <c r="W661" t="str">
        <f t="shared" si="42"/>
        <v/>
      </c>
      <c r="X661" t="str">
        <f>IF(W661="","", IFERROR(VLOOKUP(W661, IF(D661="KET", 换算标准!$Q:$R, IF(D661="PET", 换算标准!$W:$X, 换算标准!$AI:$AJ)), 2, TRUE), 0))</f>
        <v/>
      </c>
      <c r="Y661" t="str">
        <f t="shared" si="43"/>
        <v/>
      </c>
      <c r="Z661" t="str">
        <f>IF(Y661="","", IFERROR(VLOOKUP(Y661, 换算标准!$Z:$AA, 1, TRUE), ""))</f>
        <v/>
      </c>
      <c r="AA661" s="5" t="str">
        <f>IF(L661="","", "⚠️ 薄弱环节: "&amp;INDEX($E$1:$K$1, MATCH(MIN(E661:K661), E661:K661, 0))&amp;CHAR(10)&amp;"📉 考察能力: "&amp;IFERROR(VLOOKUP(TRIM(D661)&amp;"_"&amp;TRIM(INDEX($E$1:$K$1, MATCH(MIN(E661:K661), E661:K661, 0))), 技能库!$A:$F, 5, 0),"建议查阅考纲")&amp;CHAR(10)&amp;"💡 提升建议: "&amp;IFERROR(VLOOKUP(TRIM(D661)&amp;"_"&amp;TRIM(INDEX($E$1:$K$1, MATCH(MIN(E661:K661), E661:K661, 0))), 技能库!$A:$F, 6, 0),"请针对该题型加强练习"))</f>
        <v/>
      </c>
      <c r="AB661" s="5" t="str">
        <f>IF(P661="","", "⚠️ 薄弱环节: "&amp;INDEX($N$1:$O$1, MATCH(MIN(N661:O661), N661:O661, 0))&amp;CHAR(10)&amp;"📉 考察能力: "&amp;IFERROR(VLOOKUP(TRIM(D661)&amp;"_"&amp;TRIM(INDEX($N$1:$O$1, MATCH(MIN(N661:O661), N661:O661, 0))), 技能库!$A:$F, 5, 0),"建议查阅考纲")&amp;CHAR(10)&amp;"💡 提升建议: "&amp;IFERROR(VLOOKUP(TRIM(D661)&amp;"_"&amp;TRIM(INDEX($N$1:$O$1, MATCH(MIN(N661:O661), N661:O661, 0))), 技能库!$A:$F, 6, 0),"请针对该题型加强练习"))</f>
        <v/>
      </c>
      <c r="AC661" s="5" t="str">
        <f>IF(W661="","", "⚠️ 薄弱环节: "&amp;INDEX($R$1:$V$1, MATCH(MIN(R661:V661), R661:V661, 0))&amp;CHAR(10)&amp;"📉 考察能力: "&amp;IFERROR(VLOOKUP(TRIM(D661)&amp;"_"&amp;TRIM(INDEX($R$1:$V$1, MATCH(MIN(R661:V661), R661:V661, 0))), 技能库!$A:$F, 5, 0),"建议查阅考纲")&amp;CHAR(10)&amp;"💡 提升建议: "&amp;IFERROR(VLOOKUP(TRIM(D661)&amp;"_"&amp;TRIM(INDEX($R$1:$V$1, MATCH(MIN(R661:V661), R661:V661, 0))), 技能库!$A:$F, 6, 0),"请针对该题型加强练习"))</f>
        <v/>
      </c>
    </row>
    <row r="662" spans="12:29" ht="16" hidden="1" x14ac:dyDescent="0.2">
      <c r="L662" t="str">
        <f t="shared" si="40"/>
        <v/>
      </c>
      <c r="M662" t="str">
        <f>IF(L662="","", IFERROR(VLOOKUP(L662, IF(D662="KET", 换算标准!$M:$N, IF(D662="PET", 换算标准!$S:$T, 换算标准!$AC:$AD)), 2, TRUE), 0))</f>
        <v/>
      </c>
      <c r="P662" t="str">
        <f t="shared" si="41"/>
        <v/>
      </c>
      <c r="Q662" t="str">
        <f>IF(P662="","", IFERROR(VLOOKUP(P662, IF(D662="KET", 换算标准!$O:$P, IF(D662="PET", 换算标准!$U:$V, 换算标准!$AG:$AH)), 2, TRUE), 0))</f>
        <v/>
      </c>
      <c r="W662" t="str">
        <f t="shared" si="42"/>
        <v/>
      </c>
      <c r="X662" t="str">
        <f>IF(W662="","", IFERROR(VLOOKUP(W662, IF(D662="KET", 换算标准!$Q:$R, IF(D662="PET", 换算标准!$W:$X, 换算标准!$AI:$AJ)), 2, TRUE), 0))</f>
        <v/>
      </c>
      <c r="Y662" t="str">
        <f t="shared" si="43"/>
        <v/>
      </c>
      <c r="Z662" t="str">
        <f>IF(Y662="","", IFERROR(VLOOKUP(Y662, 换算标准!$Z:$AA, 1, TRUE), ""))</f>
        <v/>
      </c>
      <c r="AA662" s="5" t="str">
        <f>IF(L662="","", "⚠️ 薄弱环节: "&amp;INDEX($E$1:$K$1, MATCH(MIN(E662:K662), E662:K662, 0))&amp;CHAR(10)&amp;"📉 考察能力: "&amp;IFERROR(VLOOKUP(TRIM(D662)&amp;"_"&amp;TRIM(INDEX($E$1:$K$1, MATCH(MIN(E662:K662), E662:K662, 0))), 技能库!$A:$F, 5, 0),"建议查阅考纲")&amp;CHAR(10)&amp;"💡 提升建议: "&amp;IFERROR(VLOOKUP(TRIM(D662)&amp;"_"&amp;TRIM(INDEX($E$1:$K$1, MATCH(MIN(E662:K662), E662:K662, 0))), 技能库!$A:$F, 6, 0),"请针对该题型加强练习"))</f>
        <v/>
      </c>
      <c r="AB662" s="5" t="str">
        <f>IF(P662="","", "⚠️ 薄弱环节: "&amp;INDEX($N$1:$O$1, MATCH(MIN(N662:O662), N662:O662, 0))&amp;CHAR(10)&amp;"📉 考察能力: "&amp;IFERROR(VLOOKUP(TRIM(D662)&amp;"_"&amp;TRIM(INDEX($N$1:$O$1, MATCH(MIN(N662:O662), N662:O662, 0))), 技能库!$A:$F, 5, 0),"建议查阅考纲")&amp;CHAR(10)&amp;"💡 提升建议: "&amp;IFERROR(VLOOKUP(TRIM(D662)&amp;"_"&amp;TRIM(INDEX($N$1:$O$1, MATCH(MIN(N662:O662), N662:O662, 0))), 技能库!$A:$F, 6, 0),"请针对该题型加强练习"))</f>
        <v/>
      </c>
      <c r="AC662" s="5" t="str">
        <f>IF(W662="","", "⚠️ 薄弱环节: "&amp;INDEX($R$1:$V$1, MATCH(MIN(R662:V662), R662:V662, 0))&amp;CHAR(10)&amp;"📉 考察能力: "&amp;IFERROR(VLOOKUP(TRIM(D662)&amp;"_"&amp;TRIM(INDEX($R$1:$V$1, MATCH(MIN(R662:V662), R662:V662, 0))), 技能库!$A:$F, 5, 0),"建议查阅考纲")&amp;CHAR(10)&amp;"💡 提升建议: "&amp;IFERROR(VLOOKUP(TRIM(D662)&amp;"_"&amp;TRIM(INDEX($R$1:$V$1, MATCH(MIN(R662:V662), R662:V662, 0))), 技能库!$A:$F, 6, 0),"请针对该题型加强练习"))</f>
        <v/>
      </c>
    </row>
    <row r="663" spans="12:29" ht="16" hidden="1" x14ac:dyDescent="0.2">
      <c r="L663" t="str">
        <f t="shared" si="40"/>
        <v/>
      </c>
      <c r="M663" t="str">
        <f>IF(L663="","", IFERROR(VLOOKUP(L663, IF(D663="KET", 换算标准!$M:$N, IF(D663="PET", 换算标准!$S:$T, 换算标准!$AC:$AD)), 2, TRUE), 0))</f>
        <v/>
      </c>
      <c r="P663" t="str">
        <f t="shared" si="41"/>
        <v/>
      </c>
      <c r="Q663" t="str">
        <f>IF(P663="","", IFERROR(VLOOKUP(P663, IF(D663="KET", 换算标准!$O:$P, IF(D663="PET", 换算标准!$U:$V, 换算标准!$AG:$AH)), 2, TRUE), 0))</f>
        <v/>
      </c>
      <c r="W663" t="str">
        <f t="shared" si="42"/>
        <v/>
      </c>
      <c r="X663" t="str">
        <f>IF(W663="","", IFERROR(VLOOKUP(W663, IF(D663="KET", 换算标准!$Q:$R, IF(D663="PET", 换算标准!$W:$X, 换算标准!$AI:$AJ)), 2, TRUE), 0))</f>
        <v/>
      </c>
      <c r="Y663" t="str">
        <f t="shared" si="43"/>
        <v/>
      </c>
      <c r="Z663" t="str">
        <f>IF(Y663="","", IFERROR(VLOOKUP(Y663, 换算标准!$Z:$AA, 1, TRUE), ""))</f>
        <v/>
      </c>
      <c r="AA663" s="5" t="str">
        <f>IF(L663="","", "⚠️ 薄弱环节: "&amp;INDEX($E$1:$K$1, MATCH(MIN(E663:K663), E663:K663, 0))&amp;CHAR(10)&amp;"📉 考察能力: "&amp;IFERROR(VLOOKUP(TRIM(D663)&amp;"_"&amp;TRIM(INDEX($E$1:$K$1, MATCH(MIN(E663:K663), E663:K663, 0))), 技能库!$A:$F, 5, 0),"建议查阅考纲")&amp;CHAR(10)&amp;"💡 提升建议: "&amp;IFERROR(VLOOKUP(TRIM(D663)&amp;"_"&amp;TRIM(INDEX($E$1:$K$1, MATCH(MIN(E663:K663), E663:K663, 0))), 技能库!$A:$F, 6, 0),"请针对该题型加强练习"))</f>
        <v/>
      </c>
      <c r="AB663" s="5" t="str">
        <f>IF(P663="","", "⚠️ 薄弱环节: "&amp;INDEX($N$1:$O$1, MATCH(MIN(N663:O663), N663:O663, 0))&amp;CHAR(10)&amp;"📉 考察能力: "&amp;IFERROR(VLOOKUP(TRIM(D663)&amp;"_"&amp;TRIM(INDEX($N$1:$O$1, MATCH(MIN(N663:O663), N663:O663, 0))), 技能库!$A:$F, 5, 0),"建议查阅考纲")&amp;CHAR(10)&amp;"💡 提升建议: "&amp;IFERROR(VLOOKUP(TRIM(D663)&amp;"_"&amp;TRIM(INDEX($N$1:$O$1, MATCH(MIN(N663:O663), N663:O663, 0))), 技能库!$A:$F, 6, 0),"请针对该题型加强练习"))</f>
        <v/>
      </c>
      <c r="AC663" s="5" t="str">
        <f>IF(W663="","", "⚠️ 薄弱环节: "&amp;INDEX($R$1:$V$1, MATCH(MIN(R663:V663), R663:V663, 0))&amp;CHAR(10)&amp;"📉 考察能力: "&amp;IFERROR(VLOOKUP(TRIM(D663)&amp;"_"&amp;TRIM(INDEX($R$1:$V$1, MATCH(MIN(R663:V663), R663:V663, 0))), 技能库!$A:$F, 5, 0),"建议查阅考纲")&amp;CHAR(10)&amp;"💡 提升建议: "&amp;IFERROR(VLOOKUP(TRIM(D663)&amp;"_"&amp;TRIM(INDEX($R$1:$V$1, MATCH(MIN(R663:V663), R663:V663, 0))), 技能库!$A:$F, 6, 0),"请针对该题型加强练习"))</f>
        <v/>
      </c>
    </row>
    <row r="664" spans="12:29" ht="16" hidden="1" x14ac:dyDescent="0.2">
      <c r="L664" t="str">
        <f t="shared" si="40"/>
        <v/>
      </c>
      <c r="M664" t="str">
        <f>IF(L664="","", IFERROR(VLOOKUP(L664, IF(D664="KET", 换算标准!$M:$N, IF(D664="PET", 换算标准!$S:$T, 换算标准!$AC:$AD)), 2, TRUE), 0))</f>
        <v/>
      </c>
      <c r="P664" t="str">
        <f t="shared" si="41"/>
        <v/>
      </c>
      <c r="Q664" t="str">
        <f>IF(P664="","", IFERROR(VLOOKUP(P664, IF(D664="KET", 换算标准!$O:$P, IF(D664="PET", 换算标准!$U:$V, 换算标准!$AG:$AH)), 2, TRUE), 0))</f>
        <v/>
      </c>
      <c r="W664" t="str">
        <f t="shared" si="42"/>
        <v/>
      </c>
      <c r="X664" t="str">
        <f>IF(W664="","", IFERROR(VLOOKUP(W664, IF(D664="KET", 换算标准!$Q:$R, IF(D664="PET", 换算标准!$W:$X, 换算标准!$AI:$AJ)), 2, TRUE), 0))</f>
        <v/>
      </c>
      <c r="Y664" t="str">
        <f t="shared" si="43"/>
        <v/>
      </c>
      <c r="Z664" t="str">
        <f>IF(Y664="","", IFERROR(VLOOKUP(Y664, 换算标准!$Z:$AA, 1, TRUE), ""))</f>
        <v/>
      </c>
      <c r="AA664" s="5" t="str">
        <f>IF(L664="","", "⚠️ 薄弱环节: "&amp;INDEX($E$1:$K$1, MATCH(MIN(E664:K664), E664:K664, 0))&amp;CHAR(10)&amp;"📉 考察能力: "&amp;IFERROR(VLOOKUP(TRIM(D664)&amp;"_"&amp;TRIM(INDEX($E$1:$K$1, MATCH(MIN(E664:K664), E664:K664, 0))), 技能库!$A:$F, 5, 0),"建议查阅考纲")&amp;CHAR(10)&amp;"💡 提升建议: "&amp;IFERROR(VLOOKUP(TRIM(D664)&amp;"_"&amp;TRIM(INDEX($E$1:$K$1, MATCH(MIN(E664:K664), E664:K664, 0))), 技能库!$A:$F, 6, 0),"请针对该题型加强练习"))</f>
        <v/>
      </c>
      <c r="AB664" s="5" t="str">
        <f>IF(P664="","", "⚠️ 薄弱环节: "&amp;INDEX($N$1:$O$1, MATCH(MIN(N664:O664), N664:O664, 0))&amp;CHAR(10)&amp;"📉 考察能力: "&amp;IFERROR(VLOOKUP(TRIM(D664)&amp;"_"&amp;TRIM(INDEX($N$1:$O$1, MATCH(MIN(N664:O664), N664:O664, 0))), 技能库!$A:$F, 5, 0),"建议查阅考纲")&amp;CHAR(10)&amp;"💡 提升建议: "&amp;IFERROR(VLOOKUP(TRIM(D664)&amp;"_"&amp;TRIM(INDEX($N$1:$O$1, MATCH(MIN(N664:O664), N664:O664, 0))), 技能库!$A:$F, 6, 0),"请针对该题型加强练习"))</f>
        <v/>
      </c>
      <c r="AC664" s="5" t="str">
        <f>IF(W664="","", "⚠️ 薄弱环节: "&amp;INDEX($R$1:$V$1, MATCH(MIN(R664:V664), R664:V664, 0))&amp;CHAR(10)&amp;"📉 考察能力: "&amp;IFERROR(VLOOKUP(TRIM(D664)&amp;"_"&amp;TRIM(INDEX($R$1:$V$1, MATCH(MIN(R664:V664), R664:V664, 0))), 技能库!$A:$F, 5, 0),"建议查阅考纲")&amp;CHAR(10)&amp;"💡 提升建议: "&amp;IFERROR(VLOOKUP(TRIM(D664)&amp;"_"&amp;TRIM(INDEX($R$1:$V$1, MATCH(MIN(R664:V664), R664:V664, 0))), 技能库!$A:$F, 6, 0),"请针对该题型加强练习"))</f>
        <v/>
      </c>
    </row>
    <row r="665" spans="12:29" ht="16" hidden="1" x14ac:dyDescent="0.2">
      <c r="L665" t="str">
        <f t="shared" si="40"/>
        <v/>
      </c>
      <c r="M665" t="str">
        <f>IF(L665="","", IFERROR(VLOOKUP(L665, IF(D665="KET", 换算标准!$M:$N, IF(D665="PET", 换算标准!$S:$T, 换算标准!$AC:$AD)), 2, TRUE), 0))</f>
        <v/>
      </c>
      <c r="P665" t="str">
        <f t="shared" si="41"/>
        <v/>
      </c>
      <c r="Q665" t="str">
        <f>IF(P665="","", IFERROR(VLOOKUP(P665, IF(D665="KET", 换算标准!$O:$P, IF(D665="PET", 换算标准!$U:$V, 换算标准!$AG:$AH)), 2, TRUE), 0))</f>
        <v/>
      </c>
      <c r="W665" t="str">
        <f t="shared" si="42"/>
        <v/>
      </c>
      <c r="X665" t="str">
        <f>IF(W665="","", IFERROR(VLOOKUP(W665, IF(D665="KET", 换算标准!$Q:$R, IF(D665="PET", 换算标准!$W:$X, 换算标准!$AI:$AJ)), 2, TRUE), 0))</f>
        <v/>
      </c>
      <c r="Y665" t="str">
        <f t="shared" si="43"/>
        <v/>
      </c>
      <c r="Z665" t="str">
        <f>IF(Y665="","", IFERROR(VLOOKUP(Y665, 换算标准!$Z:$AA, 1, TRUE), ""))</f>
        <v/>
      </c>
      <c r="AA665" s="5" t="str">
        <f>IF(L665="","", "⚠️ 薄弱环节: "&amp;INDEX($E$1:$K$1, MATCH(MIN(E665:K665), E665:K665, 0))&amp;CHAR(10)&amp;"📉 考察能力: "&amp;IFERROR(VLOOKUP(TRIM(D665)&amp;"_"&amp;TRIM(INDEX($E$1:$K$1, MATCH(MIN(E665:K665), E665:K665, 0))), 技能库!$A:$F, 5, 0),"建议查阅考纲")&amp;CHAR(10)&amp;"💡 提升建议: "&amp;IFERROR(VLOOKUP(TRIM(D665)&amp;"_"&amp;TRIM(INDEX($E$1:$K$1, MATCH(MIN(E665:K665), E665:K665, 0))), 技能库!$A:$F, 6, 0),"请针对该题型加强练习"))</f>
        <v/>
      </c>
      <c r="AB665" s="5" t="str">
        <f>IF(P665="","", "⚠️ 薄弱环节: "&amp;INDEX($N$1:$O$1, MATCH(MIN(N665:O665), N665:O665, 0))&amp;CHAR(10)&amp;"📉 考察能力: "&amp;IFERROR(VLOOKUP(TRIM(D665)&amp;"_"&amp;TRIM(INDEX($N$1:$O$1, MATCH(MIN(N665:O665), N665:O665, 0))), 技能库!$A:$F, 5, 0),"建议查阅考纲")&amp;CHAR(10)&amp;"💡 提升建议: "&amp;IFERROR(VLOOKUP(TRIM(D665)&amp;"_"&amp;TRIM(INDEX($N$1:$O$1, MATCH(MIN(N665:O665), N665:O665, 0))), 技能库!$A:$F, 6, 0),"请针对该题型加强练习"))</f>
        <v/>
      </c>
      <c r="AC665" s="5" t="str">
        <f>IF(W665="","", "⚠️ 薄弱环节: "&amp;INDEX($R$1:$V$1, MATCH(MIN(R665:V665), R665:V665, 0))&amp;CHAR(10)&amp;"📉 考察能力: "&amp;IFERROR(VLOOKUP(TRIM(D665)&amp;"_"&amp;TRIM(INDEX($R$1:$V$1, MATCH(MIN(R665:V665), R665:V665, 0))), 技能库!$A:$F, 5, 0),"建议查阅考纲")&amp;CHAR(10)&amp;"💡 提升建议: "&amp;IFERROR(VLOOKUP(TRIM(D665)&amp;"_"&amp;TRIM(INDEX($R$1:$V$1, MATCH(MIN(R665:V665), R665:V665, 0))), 技能库!$A:$F, 6, 0),"请针对该题型加强练习"))</f>
        <v/>
      </c>
    </row>
    <row r="666" spans="12:29" ht="16" hidden="1" x14ac:dyDescent="0.2">
      <c r="L666" t="str">
        <f t="shared" si="40"/>
        <v/>
      </c>
      <c r="M666" t="str">
        <f>IF(L666="","", IFERROR(VLOOKUP(L666, IF(D666="KET", 换算标准!$M:$N, IF(D666="PET", 换算标准!$S:$T, 换算标准!$AC:$AD)), 2, TRUE), 0))</f>
        <v/>
      </c>
      <c r="P666" t="str">
        <f t="shared" si="41"/>
        <v/>
      </c>
      <c r="Q666" t="str">
        <f>IF(P666="","", IFERROR(VLOOKUP(P666, IF(D666="KET", 换算标准!$O:$P, IF(D666="PET", 换算标准!$U:$V, 换算标准!$AG:$AH)), 2, TRUE), 0))</f>
        <v/>
      </c>
      <c r="W666" t="str">
        <f t="shared" si="42"/>
        <v/>
      </c>
      <c r="X666" t="str">
        <f>IF(W666="","", IFERROR(VLOOKUP(W666, IF(D666="KET", 换算标准!$Q:$R, IF(D666="PET", 换算标准!$W:$X, 换算标准!$AI:$AJ)), 2, TRUE), 0))</f>
        <v/>
      </c>
      <c r="Y666" t="str">
        <f t="shared" si="43"/>
        <v/>
      </c>
      <c r="Z666" t="str">
        <f>IF(Y666="","", IFERROR(VLOOKUP(Y666, 换算标准!$Z:$AA, 1, TRUE), ""))</f>
        <v/>
      </c>
      <c r="AA666" s="5" t="str">
        <f>IF(L666="","", "⚠️ 薄弱环节: "&amp;INDEX($E$1:$K$1, MATCH(MIN(E666:K666), E666:K666, 0))&amp;CHAR(10)&amp;"📉 考察能力: "&amp;IFERROR(VLOOKUP(TRIM(D666)&amp;"_"&amp;TRIM(INDEX($E$1:$K$1, MATCH(MIN(E666:K666), E666:K666, 0))), 技能库!$A:$F, 5, 0),"建议查阅考纲")&amp;CHAR(10)&amp;"💡 提升建议: "&amp;IFERROR(VLOOKUP(TRIM(D666)&amp;"_"&amp;TRIM(INDEX($E$1:$K$1, MATCH(MIN(E666:K666), E666:K666, 0))), 技能库!$A:$F, 6, 0),"请针对该题型加强练习"))</f>
        <v/>
      </c>
      <c r="AB666" s="5" t="str">
        <f>IF(P666="","", "⚠️ 薄弱环节: "&amp;INDEX($N$1:$O$1, MATCH(MIN(N666:O666), N666:O666, 0))&amp;CHAR(10)&amp;"📉 考察能力: "&amp;IFERROR(VLOOKUP(TRIM(D666)&amp;"_"&amp;TRIM(INDEX($N$1:$O$1, MATCH(MIN(N666:O666), N666:O666, 0))), 技能库!$A:$F, 5, 0),"建议查阅考纲")&amp;CHAR(10)&amp;"💡 提升建议: "&amp;IFERROR(VLOOKUP(TRIM(D666)&amp;"_"&amp;TRIM(INDEX($N$1:$O$1, MATCH(MIN(N666:O666), N666:O666, 0))), 技能库!$A:$F, 6, 0),"请针对该题型加强练习"))</f>
        <v/>
      </c>
      <c r="AC666" s="5" t="str">
        <f>IF(W666="","", "⚠️ 薄弱环节: "&amp;INDEX($R$1:$V$1, MATCH(MIN(R666:V666), R666:V666, 0))&amp;CHAR(10)&amp;"📉 考察能力: "&amp;IFERROR(VLOOKUP(TRIM(D666)&amp;"_"&amp;TRIM(INDEX($R$1:$V$1, MATCH(MIN(R666:V666), R666:V666, 0))), 技能库!$A:$F, 5, 0),"建议查阅考纲")&amp;CHAR(10)&amp;"💡 提升建议: "&amp;IFERROR(VLOOKUP(TRIM(D666)&amp;"_"&amp;TRIM(INDEX($R$1:$V$1, MATCH(MIN(R666:V666), R666:V666, 0))), 技能库!$A:$F, 6, 0),"请针对该题型加强练习"))</f>
        <v/>
      </c>
    </row>
    <row r="667" spans="12:29" ht="16" hidden="1" x14ac:dyDescent="0.2">
      <c r="L667" t="str">
        <f t="shared" si="40"/>
        <v/>
      </c>
      <c r="M667" t="str">
        <f>IF(L667="","", IFERROR(VLOOKUP(L667, IF(D667="KET", 换算标准!$M:$N, IF(D667="PET", 换算标准!$S:$T, 换算标准!$AC:$AD)), 2, TRUE), 0))</f>
        <v/>
      </c>
      <c r="P667" t="str">
        <f t="shared" si="41"/>
        <v/>
      </c>
      <c r="Q667" t="str">
        <f>IF(P667="","", IFERROR(VLOOKUP(P667, IF(D667="KET", 换算标准!$O:$P, IF(D667="PET", 换算标准!$U:$V, 换算标准!$AG:$AH)), 2, TRUE), 0))</f>
        <v/>
      </c>
      <c r="W667" t="str">
        <f t="shared" si="42"/>
        <v/>
      </c>
      <c r="X667" t="str">
        <f>IF(W667="","", IFERROR(VLOOKUP(W667, IF(D667="KET", 换算标准!$Q:$R, IF(D667="PET", 换算标准!$W:$X, 换算标准!$AI:$AJ)), 2, TRUE), 0))</f>
        <v/>
      </c>
      <c r="Y667" t="str">
        <f t="shared" si="43"/>
        <v/>
      </c>
      <c r="Z667" t="str">
        <f>IF(Y667="","", IFERROR(VLOOKUP(Y667, 换算标准!$Z:$AA, 1, TRUE), ""))</f>
        <v/>
      </c>
      <c r="AA667" s="5" t="str">
        <f>IF(L667="","", "⚠️ 薄弱环节: "&amp;INDEX($E$1:$K$1, MATCH(MIN(E667:K667), E667:K667, 0))&amp;CHAR(10)&amp;"📉 考察能力: "&amp;IFERROR(VLOOKUP(TRIM(D667)&amp;"_"&amp;TRIM(INDEX($E$1:$K$1, MATCH(MIN(E667:K667), E667:K667, 0))), 技能库!$A:$F, 5, 0),"建议查阅考纲")&amp;CHAR(10)&amp;"💡 提升建议: "&amp;IFERROR(VLOOKUP(TRIM(D667)&amp;"_"&amp;TRIM(INDEX($E$1:$K$1, MATCH(MIN(E667:K667), E667:K667, 0))), 技能库!$A:$F, 6, 0),"请针对该题型加强练习"))</f>
        <v/>
      </c>
      <c r="AB667" s="5" t="str">
        <f>IF(P667="","", "⚠️ 薄弱环节: "&amp;INDEX($N$1:$O$1, MATCH(MIN(N667:O667), N667:O667, 0))&amp;CHAR(10)&amp;"📉 考察能力: "&amp;IFERROR(VLOOKUP(TRIM(D667)&amp;"_"&amp;TRIM(INDEX($N$1:$O$1, MATCH(MIN(N667:O667), N667:O667, 0))), 技能库!$A:$F, 5, 0),"建议查阅考纲")&amp;CHAR(10)&amp;"💡 提升建议: "&amp;IFERROR(VLOOKUP(TRIM(D667)&amp;"_"&amp;TRIM(INDEX($N$1:$O$1, MATCH(MIN(N667:O667), N667:O667, 0))), 技能库!$A:$F, 6, 0),"请针对该题型加强练习"))</f>
        <v/>
      </c>
      <c r="AC667" s="5" t="str">
        <f>IF(W667="","", "⚠️ 薄弱环节: "&amp;INDEX($R$1:$V$1, MATCH(MIN(R667:V667), R667:V667, 0))&amp;CHAR(10)&amp;"📉 考察能力: "&amp;IFERROR(VLOOKUP(TRIM(D667)&amp;"_"&amp;TRIM(INDEX($R$1:$V$1, MATCH(MIN(R667:V667), R667:V667, 0))), 技能库!$A:$F, 5, 0),"建议查阅考纲")&amp;CHAR(10)&amp;"💡 提升建议: "&amp;IFERROR(VLOOKUP(TRIM(D667)&amp;"_"&amp;TRIM(INDEX($R$1:$V$1, MATCH(MIN(R667:V667), R667:V667, 0))), 技能库!$A:$F, 6, 0),"请针对该题型加强练习"))</f>
        <v/>
      </c>
    </row>
    <row r="668" spans="12:29" ht="16" hidden="1" x14ac:dyDescent="0.2">
      <c r="L668" t="str">
        <f t="shared" si="40"/>
        <v/>
      </c>
      <c r="M668" t="str">
        <f>IF(L668="","", IFERROR(VLOOKUP(L668, IF(D668="KET", 换算标准!$M:$N, IF(D668="PET", 换算标准!$S:$T, 换算标准!$AC:$AD)), 2, TRUE), 0))</f>
        <v/>
      </c>
      <c r="P668" t="str">
        <f t="shared" si="41"/>
        <v/>
      </c>
      <c r="Q668" t="str">
        <f>IF(P668="","", IFERROR(VLOOKUP(P668, IF(D668="KET", 换算标准!$O:$P, IF(D668="PET", 换算标准!$U:$V, 换算标准!$AG:$AH)), 2, TRUE), 0))</f>
        <v/>
      </c>
      <c r="W668" t="str">
        <f t="shared" si="42"/>
        <v/>
      </c>
      <c r="X668" t="str">
        <f>IF(W668="","", IFERROR(VLOOKUP(W668, IF(D668="KET", 换算标准!$Q:$R, IF(D668="PET", 换算标准!$W:$X, 换算标准!$AI:$AJ)), 2, TRUE), 0))</f>
        <v/>
      </c>
      <c r="Y668" t="str">
        <f t="shared" si="43"/>
        <v/>
      </c>
      <c r="Z668" t="str">
        <f>IF(Y668="","", IFERROR(VLOOKUP(Y668, 换算标准!$Z:$AA, 1, TRUE), ""))</f>
        <v/>
      </c>
      <c r="AA668" s="5" t="str">
        <f>IF(L668="","", "⚠️ 薄弱环节: "&amp;INDEX($E$1:$K$1, MATCH(MIN(E668:K668), E668:K668, 0))&amp;CHAR(10)&amp;"📉 考察能力: "&amp;IFERROR(VLOOKUP(TRIM(D668)&amp;"_"&amp;TRIM(INDEX($E$1:$K$1, MATCH(MIN(E668:K668), E668:K668, 0))), 技能库!$A:$F, 5, 0),"建议查阅考纲")&amp;CHAR(10)&amp;"💡 提升建议: "&amp;IFERROR(VLOOKUP(TRIM(D668)&amp;"_"&amp;TRIM(INDEX($E$1:$K$1, MATCH(MIN(E668:K668), E668:K668, 0))), 技能库!$A:$F, 6, 0),"请针对该题型加强练习"))</f>
        <v/>
      </c>
      <c r="AB668" s="5" t="str">
        <f>IF(P668="","", "⚠️ 薄弱环节: "&amp;INDEX($N$1:$O$1, MATCH(MIN(N668:O668), N668:O668, 0))&amp;CHAR(10)&amp;"📉 考察能力: "&amp;IFERROR(VLOOKUP(TRIM(D668)&amp;"_"&amp;TRIM(INDEX($N$1:$O$1, MATCH(MIN(N668:O668), N668:O668, 0))), 技能库!$A:$F, 5, 0),"建议查阅考纲")&amp;CHAR(10)&amp;"💡 提升建议: "&amp;IFERROR(VLOOKUP(TRIM(D668)&amp;"_"&amp;TRIM(INDEX($N$1:$O$1, MATCH(MIN(N668:O668), N668:O668, 0))), 技能库!$A:$F, 6, 0),"请针对该题型加强练习"))</f>
        <v/>
      </c>
      <c r="AC668" s="5" t="str">
        <f>IF(W668="","", "⚠️ 薄弱环节: "&amp;INDEX($R$1:$V$1, MATCH(MIN(R668:V668), R668:V668, 0))&amp;CHAR(10)&amp;"📉 考察能力: "&amp;IFERROR(VLOOKUP(TRIM(D668)&amp;"_"&amp;TRIM(INDEX($R$1:$V$1, MATCH(MIN(R668:V668), R668:V668, 0))), 技能库!$A:$F, 5, 0),"建议查阅考纲")&amp;CHAR(10)&amp;"💡 提升建议: "&amp;IFERROR(VLOOKUP(TRIM(D668)&amp;"_"&amp;TRIM(INDEX($R$1:$V$1, MATCH(MIN(R668:V668), R668:V668, 0))), 技能库!$A:$F, 6, 0),"请针对该题型加强练习"))</f>
        <v/>
      </c>
    </row>
    <row r="669" spans="12:29" ht="16" hidden="1" x14ac:dyDescent="0.2">
      <c r="L669" t="str">
        <f t="shared" si="40"/>
        <v/>
      </c>
      <c r="M669" t="str">
        <f>IF(L669="","", IFERROR(VLOOKUP(L669, IF(D669="KET", 换算标准!$M:$N, IF(D669="PET", 换算标准!$S:$T, 换算标准!$AC:$AD)), 2, TRUE), 0))</f>
        <v/>
      </c>
      <c r="P669" t="str">
        <f t="shared" si="41"/>
        <v/>
      </c>
      <c r="Q669" t="str">
        <f>IF(P669="","", IFERROR(VLOOKUP(P669, IF(D669="KET", 换算标准!$O:$P, IF(D669="PET", 换算标准!$U:$V, 换算标准!$AG:$AH)), 2, TRUE), 0))</f>
        <v/>
      </c>
      <c r="W669" t="str">
        <f t="shared" si="42"/>
        <v/>
      </c>
      <c r="X669" t="str">
        <f>IF(W669="","", IFERROR(VLOOKUP(W669, IF(D669="KET", 换算标准!$Q:$R, IF(D669="PET", 换算标准!$W:$X, 换算标准!$AI:$AJ)), 2, TRUE), 0))</f>
        <v/>
      </c>
      <c r="Y669" t="str">
        <f t="shared" si="43"/>
        <v/>
      </c>
      <c r="Z669" t="str">
        <f>IF(Y669="","", IFERROR(VLOOKUP(Y669, 换算标准!$Z:$AA, 1, TRUE), ""))</f>
        <v/>
      </c>
      <c r="AA669" s="5" t="str">
        <f>IF(L669="","", "⚠️ 薄弱环节: "&amp;INDEX($E$1:$K$1, MATCH(MIN(E669:K669), E669:K669, 0))&amp;CHAR(10)&amp;"📉 考察能力: "&amp;IFERROR(VLOOKUP(TRIM(D669)&amp;"_"&amp;TRIM(INDEX($E$1:$K$1, MATCH(MIN(E669:K669), E669:K669, 0))), 技能库!$A:$F, 5, 0),"建议查阅考纲")&amp;CHAR(10)&amp;"💡 提升建议: "&amp;IFERROR(VLOOKUP(TRIM(D669)&amp;"_"&amp;TRIM(INDEX($E$1:$K$1, MATCH(MIN(E669:K669), E669:K669, 0))), 技能库!$A:$F, 6, 0),"请针对该题型加强练习"))</f>
        <v/>
      </c>
      <c r="AB669" s="5" t="str">
        <f>IF(P669="","", "⚠️ 薄弱环节: "&amp;INDEX($N$1:$O$1, MATCH(MIN(N669:O669), N669:O669, 0))&amp;CHAR(10)&amp;"📉 考察能力: "&amp;IFERROR(VLOOKUP(TRIM(D669)&amp;"_"&amp;TRIM(INDEX($N$1:$O$1, MATCH(MIN(N669:O669), N669:O669, 0))), 技能库!$A:$F, 5, 0),"建议查阅考纲")&amp;CHAR(10)&amp;"💡 提升建议: "&amp;IFERROR(VLOOKUP(TRIM(D669)&amp;"_"&amp;TRIM(INDEX($N$1:$O$1, MATCH(MIN(N669:O669), N669:O669, 0))), 技能库!$A:$F, 6, 0),"请针对该题型加强练习"))</f>
        <v/>
      </c>
      <c r="AC669" s="5" t="str">
        <f>IF(W669="","", "⚠️ 薄弱环节: "&amp;INDEX($R$1:$V$1, MATCH(MIN(R669:V669), R669:V669, 0))&amp;CHAR(10)&amp;"📉 考察能力: "&amp;IFERROR(VLOOKUP(TRIM(D669)&amp;"_"&amp;TRIM(INDEX($R$1:$V$1, MATCH(MIN(R669:V669), R669:V669, 0))), 技能库!$A:$F, 5, 0),"建议查阅考纲")&amp;CHAR(10)&amp;"💡 提升建议: "&amp;IFERROR(VLOOKUP(TRIM(D669)&amp;"_"&amp;TRIM(INDEX($R$1:$V$1, MATCH(MIN(R669:V669), R669:V669, 0))), 技能库!$A:$F, 6, 0),"请针对该题型加强练习"))</f>
        <v/>
      </c>
    </row>
    <row r="670" spans="12:29" ht="16" hidden="1" x14ac:dyDescent="0.2">
      <c r="L670" t="str">
        <f t="shared" si="40"/>
        <v/>
      </c>
      <c r="M670" t="str">
        <f>IF(L670="","", IFERROR(VLOOKUP(L670, IF(D670="KET", 换算标准!$M:$N, IF(D670="PET", 换算标准!$S:$T, 换算标准!$AC:$AD)), 2, TRUE), 0))</f>
        <v/>
      </c>
      <c r="P670" t="str">
        <f t="shared" si="41"/>
        <v/>
      </c>
      <c r="Q670" t="str">
        <f>IF(P670="","", IFERROR(VLOOKUP(P670, IF(D670="KET", 换算标准!$O:$P, IF(D670="PET", 换算标准!$U:$V, 换算标准!$AG:$AH)), 2, TRUE), 0))</f>
        <v/>
      </c>
      <c r="W670" t="str">
        <f t="shared" si="42"/>
        <v/>
      </c>
      <c r="X670" t="str">
        <f>IF(W670="","", IFERROR(VLOOKUP(W670, IF(D670="KET", 换算标准!$Q:$R, IF(D670="PET", 换算标准!$W:$X, 换算标准!$AI:$AJ)), 2, TRUE), 0))</f>
        <v/>
      </c>
      <c r="Y670" t="str">
        <f t="shared" si="43"/>
        <v/>
      </c>
      <c r="Z670" t="str">
        <f>IF(Y670="","", IFERROR(VLOOKUP(Y670, 换算标准!$Z:$AA, 1, TRUE), ""))</f>
        <v/>
      </c>
      <c r="AA670" s="5" t="str">
        <f>IF(L670="","", "⚠️ 薄弱环节: "&amp;INDEX($E$1:$K$1, MATCH(MIN(E670:K670), E670:K670, 0))&amp;CHAR(10)&amp;"📉 考察能力: "&amp;IFERROR(VLOOKUP(TRIM(D670)&amp;"_"&amp;TRIM(INDEX($E$1:$K$1, MATCH(MIN(E670:K670), E670:K670, 0))), 技能库!$A:$F, 5, 0),"建议查阅考纲")&amp;CHAR(10)&amp;"💡 提升建议: "&amp;IFERROR(VLOOKUP(TRIM(D670)&amp;"_"&amp;TRIM(INDEX($E$1:$K$1, MATCH(MIN(E670:K670), E670:K670, 0))), 技能库!$A:$F, 6, 0),"请针对该题型加强练习"))</f>
        <v/>
      </c>
      <c r="AB670" s="5" t="str">
        <f>IF(P670="","", "⚠️ 薄弱环节: "&amp;INDEX($N$1:$O$1, MATCH(MIN(N670:O670), N670:O670, 0))&amp;CHAR(10)&amp;"📉 考察能力: "&amp;IFERROR(VLOOKUP(TRIM(D670)&amp;"_"&amp;TRIM(INDEX($N$1:$O$1, MATCH(MIN(N670:O670), N670:O670, 0))), 技能库!$A:$F, 5, 0),"建议查阅考纲")&amp;CHAR(10)&amp;"💡 提升建议: "&amp;IFERROR(VLOOKUP(TRIM(D670)&amp;"_"&amp;TRIM(INDEX($N$1:$O$1, MATCH(MIN(N670:O670), N670:O670, 0))), 技能库!$A:$F, 6, 0),"请针对该题型加强练习"))</f>
        <v/>
      </c>
      <c r="AC670" s="5" t="str">
        <f>IF(W670="","", "⚠️ 薄弱环节: "&amp;INDEX($R$1:$V$1, MATCH(MIN(R670:V670), R670:V670, 0))&amp;CHAR(10)&amp;"📉 考察能力: "&amp;IFERROR(VLOOKUP(TRIM(D670)&amp;"_"&amp;TRIM(INDEX($R$1:$V$1, MATCH(MIN(R670:V670), R670:V670, 0))), 技能库!$A:$F, 5, 0),"建议查阅考纲")&amp;CHAR(10)&amp;"💡 提升建议: "&amp;IFERROR(VLOOKUP(TRIM(D670)&amp;"_"&amp;TRIM(INDEX($R$1:$V$1, MATCH(MIN(R670:V670), R670:V670, 0))), 技能库!$A:$F, 6, 0),"请针对该题型加强练习"))</f>
        <v/>
      </c>
    </row>
    <row r="671" spans="12:29" ht="16" hidden="1" x14ac:dyDescent="0.2">
      <c r="L671" t="str">
        <f t="shared" si="40"/>
        <v/>
      </c>
      <c r="M671" t="str">
        <f>IF(L671="","", IFERROR(VLOOKUP(L671, IF(D671="KET", 换算标准!$M:$N, IF(D671="PET", 换算标准!$S:$T, 换算标准!$AC:$AD)), 2, TRUE), 0))</f>
        <v/>
      </c>
      <c r="P671" t="str">
        <f t="shared" si="41"/>
        <v/>
      </c>
      <c r="Q671" t="str">
        <f>IF(P671="","", IFERROR(VLOOKUP(P671, IF(D671="KET", 换算标准!$O:$P, IF(D671="PET", 换算标准!$U:$V, 换算标准!$AG:$AH)), 2, TRUE), 0))</f>
        <v/>
      </c>
      <c r="W671" t="str">
        <f t="shared" si="42"/>
        <v/>
      </c>
      <c r="X671" t="str">
        <f>IF(W671="","", IFERROR(VLOOKUP(W671, IF(D671="KET", 换算标准!$Q:$R, IF(D671="PET", 换算标准!$W:$X, 换算标准!$AI:$AJ)), 2, TRUE), 0))</f>
        <v/>
      </c>
      <c r="Y671" t="str">
        <f t="shared" si="43"/>
        <v/>
      </c>
      <c r="Z671" t="str">
        <f>IF(Y671="","", IFERROR(VLOOKUP(Y671, 换算标准!$Z:$AA, 1, TRUE), ""))</f>
        <v/>
      </c>
      <c r="AA671" s="5" t="str">
        <f>IF(L671="","", "⚠️ 薄弱环节: "&amp;INDEX($E$1:$K$1, MATCH(MIN(E671:K671), E671:K671, 0))&amp;CHAR(10)&amp;"📉 考察能力: "&amp;IFERROR(VLOOKUP(TRIM(D671)&amp;"_"&amp;TRIM(INDEX($E$1:$K$1, MATCH(MIN(E671:K671), E671:K671, 0))), 技能库!$A:$F, 5, 0),"建议查阅考纲")&amp;CHAR(10)&amp;"💡 提升建议: "&amp;IFERROR(VLOOKUP(TRIM(D671)&amp;"_"&amp;TRIM(INDEX($E$1:$K$1, MATCH(MIN(E671:K671), E671:K671, 0))), 技能库!$A:$F, 6, 0),"请针对该题型加强练习"))</f>
        <v/>
      </c>
      <c r="AB671" s="5" t="str">
        <f>IF(P671="","", "⚠️ 薄弱环节: "&amp;INDEX($N$1:$O$1, MATCH(MIN(N671:O671), N671:O671, 0))&amp;CHAR(10)&amp;"📉 考察能力: "&amp;IFERROR(VLOOKUP(TRIM(D671)&amp;"_"&amp;TRIM(INDEX($N$1:$O$1, MATCH(MIN(N671:O671), N671:O671, 0))), 技能库!$A:$F, 5, 0),"建议查阅考纲")&amp;CHAR(10)&amp;"💡 提升建议: "&amp;IFERROR(VLOOKUP(TRIM(D671)&amp;"_"&amp;TRIM(INDEX($N$1:$O$1, MATCH(MIN(N671:O671), N671:O671, 0))), 技能库!$A:$F, 6, 0),"请针对该题型加强练习"))</f>
        <v/>
      </c>
      <c r="AC671" s="5" t="str">
        <f>IF(W671="","", "⚠️ 薄弱环节: "&amp;INDEX($R$1:$V$1, MATCH(MIN(R671:V671), R671:V671, 0))&amp;CHAR(10)&amp;"📉 考察能力: "&amp;IFERROR(VLOOKUP(TRIM(D671)&amp;"_"&amp;TRIM(INDEX($R$1:$V$1, MATCH(MIN(R671:V671), R671:V671, 0))), 技能库!$A:$F, 5, 0),"建议查阅考纲")&amp;CHAR(10)&amp;"💡 提升建议: "&amp;IFERROR(VLOOKUP(TRIM(D671)&amp;"_"&amp;TRIM(INDEX($R$1:$V$1, MATCH(MIN(R671:V671), R671:V671, 0))), 技能库!$A:$F, 6, 0),"请针对该题型加强练习"))</f>
        <v/>
      </c>
    </row>
    <row r="672" spans="12:29" ht="16" hidden="1" x14ac:dyDescent="0.2">
      <c r="L672" t="str">
        <f t="shared" si="40"/>
        <v/>
      </c>
      <c r="M672" t="str">
        <f>IF(L672="","", IFERROR(VLOOKUP(L672, IF(D672="KET", 换算标准!$M:$N, IF(D672="PET", 换算标准!$S:$T, 换算标准!$AC:$AD)), 2, TRUE), 0))</f>
        <v/>
      </c>
      <c r="P672" t="str">
        <f t="shared" si="41"/>
        <v/>
      </c>
      <c r="Q672" t="str">
        <f>IF(P672="","", IFERROR(VLOOKUP(P672, IF(D672="KET", 换算标准!$O:$P, IF(D672="PET", 换算标准!$U:$V, 换算标准!$AG:$AH)), 2, TRUE), 0))</f>
        <v/>
      </c>
      <c r="W672" t="str">
        <f t="shared" si="42"/>
        <v/>
      </c>
      <c r="X672" t="str">
        <f>IF(W672="","", IFERROR(VLOOKUP(W672, IF(D672="KET", 换算标准!$Q:$R, IF(D672="PET", 换算标准!$W:$X, 换算标准!$AI:$AJ)), 2, TRUE), 0))</f>
        <v/>
      </c>
      <c r="Y672" t="str">
        <f t="shared" si="43"/>
        <v/>
      </c>
      <c r="Z672" t="str">
        <f>IF(Y672="","", IFERROR(VLOOKUP(Y672, 换算标准!$Z:$AA, 1, TRUE), ""))</f>
        <v/>
      </c>
      <c r="AA672" s="5" t="str">
        <f>IF(L672="","", "⚠️ 薄弱环节: "&amp;INDEX($E$1:$K$1, MATCH(MIN(E672:K672), E672:K672, 0))&amp;CHAR(10)&amp;"📉 考察能力: "&amp;IFERROR(VLOOKUP(TRIM(D672)&amp;"_"&amp;TRIM(INDEX($E$1:$K$1, MATCH(MIN(E672:K672), E672:K672, 0))), 技能库!$A:$F, 5, 0),"建议查阅考纲")&amp;CHAR(10)&amp;"💡 提升建议: "&amp;IFERROR(VLOOKUP(TRIM(D672)&amp;"_"&amp;TRIM(INDEX($E$1:$K$1, MATCH(MIN(E672:K672), E672:K672, 0))), 技能库!$A:$F, 6, 0),"请针对该题型加强练习"))</f>
        <v/>
      </c>
      <c r="AB672" s="5" t="str">
        <f>IF(P672="","", "⚠️ 薄弱环节: "&amp;INDEX($N$1:$O$1, MATCH(MIN(N672:O672), N672:O672, 0))&amp;CHAR(10)&amp;"📉 考察能力: "&amp;IFERROR(VLOOKUP(TRIM(D672)&amp;"_"&amp;TRIM(INDEX($N$1:$O$1, MATCH(MIN(N672:O672), N672:O672, 0))), 技能库!$A:$F, 5, 0),"建议查阅考纲")&amp;CHAR(10)&amp;"💡 提升建议: "&amp;IFERROR(VLOOKUP(TRIM(D672)&amp;"_"&amp;TRIM(INDEX($N$1:$O$1, MATCH(MIN(N672:O672), N672:O672, 0))), 技能库!$A:$F, 6, 0),"请针对该题型加强练习"))</f>
        <v/>
      </c>
      <c r="AC672" s="5" t="str">
        <f>IF(W672="","", "⚠️ 薄弱环节: "&amp;INDEX($R$1:$V$1, MATCH(MIN(R672:V672), R672:V672, 0))&amp;CHAR(10)&amp;"📉 考察能力: "&amp;IFERROR(VLOOKUP(TRIM(D672)&amp;"_"&amp;TRIM(INDEX($R$1:$V$1, MATCH(MIN(R672:V672), R672:V672, 0))), 技能库!$A:$F, 5, 0),"建议查阅考纲")&amp;CHAR(10)&amp;"💡 提升建议: "&amp;IFERROR(VLOOKUP(TRIM(D672)&amp;"_"&amp;TRIM(INDEX($R$1:$V$1, MATCH(MIN(R672:V672), R672:V672, 0))), 技能库!$A:$F, 6, 0),"请针对该题型加强练习"))</f>
        <v/>
      </c>
    </row>
    <row r="673" spans="12:29" ht="16" hidden="1" x14ac:dyDescent="0.2">
      <c r="L673" t="str">
        <f t="shared" si="40"/>
        <v/>
      </c>
      <c r="M673" t="str">
        <f>IF(L673="","", IFERROR(VLOOKUP(L673, IF(D673="KET", 换算标准!$M:$N, IF(D673="PET", 换算标准!$S:$T, 换算标准!$AC:$AD)), 2, TRUE), 0))</f>
        <v/>
      </c>
      <c r="P673" t="str">
        <f t="shared" si="41"/>
        <v/>
      </c>
      <c r="Q673" t="str">
        <f>IF(P673="","", IFERROR(VLOOKUP(P673, IF(D673="KET", 换算标准!$O:$P, IF(D673="PET", 换算标准!$U:$V, 换算标准!$AG:$AH)), 2, TRUE), 0))</f>
        <v/>
      </c>
      <c r="W673" t="str">
        <f t="shared" si="42"/>
        <v/>
      </c>
      <c r="X673" t="str">
        <f>IF(W673="","", IFERROR(VLOOKUP(W673, IF(D673="KET", 换算标准!$Q:$R, IF(D673="PET", 换算标准!$W:$X, 换算标准!$AI:$AJ)), 2, TRUE), 0))</f>
        <v/>
      </c>
      <c r="Y673" t="str">
        <f t="shared" si="43"/>
        <v/>
      </c>
      <c r="Z673" t="str">
        <f>IF(Y673="","", IFERROR(VLOOKUP(Y673, 换算标准!$Z:$AA, 1, TRUE), ""))</f>
        <v/>
      </c>
      <c r="AA673" s="5" t="str">
        <f>IF(L673="","", "⚠️ 薄弱环节: "&amp;INDEX($E$1:$K$1, MATCH(MIN(E673:K673), E673:K673, 0))&amp;CHAR(10)&amp;"📉 考察能力: "&amp;IFERROR(VLOOKUP(TRIM(D673)&amp;"_"&amp;TRIM(INDEX($E$1:$K$1, MATCH(MIN(E673:K673), E673:K673, 0))), 技能库!$A:$F, 5, 0),"建议查阅考纲")&amp;CHAR(10)&amp;"💡 提升建议: "&amp;IFERROR(VLOOKUP(TRIM(D673)&amp;"_"&amp;TRIM(INDEX($E$1:$K$1, MATCH(MIN(E673:K673), E673:K673, 0))), 技能库!$A:$F, 6, 0),"请针对该题型加强练习"))</f>
        <v/>
      </c>
      <c r="AB673" s="5" t="str">
        <f>IF(P673="","", "⚠️ 薄弱环节: "&amp;INDEX($N$1:$O$1, MATCH(MIN(N673:O673), N673:O673, 0))&amp;CHAR(10)&amp;"📉 考察能力: "&amp;IFERROR(VLOOKUP(TRIM(D673)&amp;"_"&amp;TRIM(INDEX($N$1:$O$1, MATCH(MIN(N673:O673), N673:O673, 0))), 技能库!$A:$F, 5, 0),"建议查阅考纲")&amp;CHAR(10)&amp;"💡 提升建议: "&amp;IFERROR(VLOOKUP(TRIM(D673)&amp;"_"&amp;TRIM(INDEX($N$1:$O$1, MATCH(MIN(N673:O673), N673:O673, 0))), 技能库!$A:$F, 6, 0),"请针对该题型加强练习"))</f>
        <v/>
      </c>
      <c r="AC673" s="5" t="str">
        <f>IF(W673="","", "⚠️ 薄弱环节: "&amp;INDEX($R$1:$V$1, MATCH(MIN(R673:V673), R673:V673, 0))&amp;CHAR(10)&amp;"📉 考察能力: "&amp;IFERROR(VLOOKUP(TRIM(D673)&amp;"_"&amp;TRIM(INDEX($R$1:$V$1, MATCH(MIN(R673:V673), R673:V673, 0))), 技能库!$A:$F, 5, 0),"建议查阅考纲")&amp;CHAR(10)&amp;"💡 提升建议: "&amp;IFERROR(VLOOKUP(TRIM(D673)&amp;"_"&amp;TRIM(INDEX($R$1:$V$1, MATCH(MIN(R673:V673), R673:V673, 0))), 技能库!$A:$F, 6, 0),"请针对该题型加强练习"))</f>
        <v/>
      </c>
    </row>
    <row r="674" spans="12:29" ht="16" hidden="1" x14ac:dyDescent="0.2">
      <c r="L674" t="str">
        <f t="shared" si="40"/>
        <v/>
      </c>
      <c r="M674" t="str">
        <f>IF(L674="","", IFERROR(VLOOKUP(L674, IF(D674="KET", 换算标准!$M:$N, IF(D674="PET", 换算标准!$S:$T, 换算标准!$AC:$AD)), 2, TRUE), 0))</f>
        <v/>
      </c>
      <c r="P674" t="str">
        <f t="shared" si="41"/>
        <v/>
      </c>
      <c r="Q674" t="str">
        <f>IF(P674="","", IFERROR(VLOOKUP(P674, IF(D674="KET", 换算标准!$O:$P, IF(D674="PET", 换算标准!$U:$V, 换算标准!$AG:$AH)), 2, TRUE), 0))</f>
        <v/>
      </c>
      <c r="W674" t="str">
        <f t="shared" si="42"/>
        <v/>
      </c>
      <c r="X674" t="str">
        <f>IF(W674="","", IFERROR(VLOOKUP(W674, IF(D674="KET", 换算标准!$Q:$R, IF(D674="PET", 换算标准!$W:$X, 换算标准!$AI:$AJ)), 2, TRUE), 0))</f>
        <v/>
      </c>
      <c r="Y674" t="str">
        <f t="shared" si="43"/>
        <v/>
      </c>
      <c r="Z674" t="str">
        <f>IF(Y674="","", IFERROR(VLOOKUP(Y674, 换算标准!$Z:$AA, 1, TRUE), ""))</f>
        <v/>
      </c>
      <c r="AA674" s="5" t="str">
        <f>IF(L674="","", "⚠️ 薄弱环节: "&amp;INDEX($E$1:$K$1, MATCH(MIN(E674:K674), E674:K674, 0))&amp;CHAR(10)&amp;"📉 考察能力: "&amp;IFERROR(VLOOKUP(TRIM(D674)&amp;"_"&amp;TRIM(INDEX($E$1:$K$1, MATCH(MIN(E674:K674), E674:K674, 0))), 技能库!$A:$F, 5, 0),"建议查阅考纲")&amp;CHAR(10)&amp;"💡 提升建议: "&amp;IFERROR(VLOOKUP(TRIM(D674)&amp;"_"&amp;TRIM(INDEX($E$1:$K$1, MATCH(MIN(E674:K674), E674:K674, 0))), 技能库!$A:$F, 6, 0),"请针对该题型加强练习"))</f>
        <v/>
      </c>
      <c r="AB674" s="5" t="str">
        <f>IF(P674="","", "⚠️ 薄弱环节: "&amp;INDEX($N$1:$O$1, MATCH(MIN(N674:O674), N674:O674, 0))&amp;CHAR(10)&amp;"📉 考察能力: "&amp;IFERROR(VLOOKUP(TRIM(D674)&amp;"_"&amp;TRIM(INDEX($N$1:$O$1, MATCH(MIN(N674:O674), N674:O674, 0))), 技能库!$A:$F, 5, 0),"建议查阅考纲")&amp;CHAR(10)&amp;"💡 提升建议: "&amp;IFERROR(VLOOKUP(TRIM(D674)&amp;"_"&amp;TRIM(INDEX($N$1:$O$1, MATCH(MIN(N674:O674), N674:O674, 0))), 技能库!$A:$F, 6, 0),"请针对该题型加强练习"))</f>
        <v/>
      </c>
      <c r="AC674" s="5" t="str">
        <f>IF(W674="","", "⚠️ 薄弱环节: "&amp;INDEX($R$1:$V$1, MATCH(MIN(R674:V674), R674:V674, 0))&amp;CHAR(10)&amp;"📉 考察能力: "&amp;IFERROR(VLOOKUP(TRIM(D674)&amp;"_"&amp;TRIM(INDEX($R$1:$V$1, MATCH(MIN(R674:V674), R674:V674, 0))), 技能库!$A:$F, 5, 0),"建议查阅考纲")&amp;CHAR(10)&amp;"💡 提升建议: "&amp;IFERROR(VLOOKUP(TRIM(D674)&amp;"_"&amp;TRIM(INDEX($R$1:$V$1, MATCH(MIN(R674:V674), R674:V674, 0))), 技能库!$A:$F, 6, 0),"请针对该题型加强练习"))</f>
        <v/>
      </c>
    </row>
    <row r="675" spans="12:29" ht="16" hidden="1" x14ac:dyDescent="0.2">
      <c r="L675" t="str">
        <f t="shared" si="40"/>
        <v/>
      </c>
      <c r="M675" t="str">
        <f>IF(L675="","", IFERROR(VLOOKUP(L675, IF(D675="KET", 换算标准!$M:$N, IF(D675="PET", 换算标准!$S:$T, 换算标准!$AC:$AD)), 2, TRUE), 0))</f>
        <v/>
      </c>
      <c r="P675" t="str">
        <f t="shared" si="41"/>
        <v/>
      </c>
      <c r="Q675" t="str">
        <f>IF(P675="","", IFERROR(VLOOKUP(P675, IF(D675="KET", 换算标准!$O:$P, IF(D675="PET", 换算标准!$U:$V, 换算标准!$AG:$AH)), 2, TRUE), 0))</f>
        <v/>
      </c>
      <c r="W675" t="str">
        <f t="shared" si="42"/>
        <v/>
      </c>
      <c r="X675" t="str">
        <f>IF(W675="","", IFERROR(VLOOKUP(W675, IF(D675="KET", 换算标准!$Q:$R, IF(D675="PET", 换算标准!$W:$X, 换算标准!$AI:$AJ)), 2, TRUE), 0))</f>
        <v/>
      </c>
      <c r="Y675" t="str">
        <f t="shared" si="43"/>
        <v/>
      </c>
      <c r="Z675" t="str">
        <f>IF(Y675="","", IFERROR(VLOOKUP(Y675, 换算标准!$Z:$AA, 1, TRUE), ""))</f>
        <v/>
      </c>
      <c r="AA675" s="5" t="str">
        <f>IF(L675="","", "⚠️ 薄弱环节: "&amp;INDEX($E$1:$K$1, MATCH(MIN(E675:K675), E675:K675, 0))&amp;CHAR(10)&amp;"📉 考察能力: "&amp;IFERROR(VLOOKUP(TRIM(D675)&amp;"_"&amp;TRIM(INDEX($E$1:$K$1, MATCH(MIN(E675:K675), E675:K675, 0))), 技能库!$A:$F, 5, 0),"建议查阅考纲")&amp;CHAR(10)&amp;"💡 提升建议: "&amp;IFERROR(VLOOKUP(TRIM(D675)&amp;"_"&amp;TRIM(INDEX($E$1:$K$1, MATCH(MIN(E675:K675), E675:K675, 0))), 技能库!$A:$F, 6, 0),"请针对该题型加强练习"))</f>
        <v/>
      </c>
      <c r="AB675" s="5" t="str">
        <f>IF(P675="","", "⚠️ 薄弱环节: "&amp;INDEX($N$1:$O$1, MATCH(MIN(N675:O675), N675:O675, 0))&amp;CHAR(10)&amp;"📉 考察能力: "&amp;IFERROR(VLOOKUP(TRIM(D675)&amp;"_"&amp;TRIM(INDEX($N$1:$O$1, MATCH(MIN(N675:O675), N675:O675, 0))), 技能库!$A:$F, 5, 0),"建议查阅考纲")&amp;CHAR(10)&amp;"💡 提升建议: "&amp;IFERROR(VLOOKUP(TRIM(D675)&amp;"_"&amp;TRIM(INDEX($N$1:$O$1, MATCH(MIN(N675:O675), N675:O675, 0))), 技能库!$A:$F, 6, 0),"请针对该题型加强练习"))</f>
        <v/>
      </c>
      <c r="AC675" s="5" t="str">
        <f>IF(W675="","", "⚠️ 薄弱环节: "&amp;INDEX($R$1:$V$1, MATCH(MIN(R675:V675), R675:V675, 0))&amp;CHAR(10)&amp;"📉 考察能力: "&amp;IFERROR(VLOOKUP(TRIM(D675)&amp;"_"&amp;TRIM(INDEX($R$1:$V$1, MATCH(MIN(R675:V675), R675:V675, 0))), 技能库!$A:$F, 5, 0),"建议查阅考纲")&amp;CHAR(10)&amp;"💡 提升建议: "&amp;IFERROR(VLOOKUP(TRIM(D675)&amp;"_"&amp;TRIM(INDEX($R$1:$V$1, MATCH(MIN(R675:V675), R675:V675, 0))), 技能库!$A:$F, 6, 0),"请针对该题型加强练习"))</f>
        <v/>
      </c>
    </row>
    <row r="676" spans="12:29" ht="16" hidden="1" x14ac:dyDescent="0.2">
      <c r="L676" t="str">
        <f t="shared" si="40"/>
        <v/>
      </c>
      <c r="M676" t="str">
        <f>IF(L676="","", IFERROR(VLOOKUP(L676, IF(D676="KET", 换算标准!$M:$N, IF(D676="PET", 换算标准!$S:$T, 换算标准!$AC:$AD)), 2, TRUE), 0))</f>
        <v/>
      </c>
      <c r="P676" t="str">
        <f t="shared" si="41"/>
        <v/>
      </c>
      <c r="Q676" t="str">
        <f>IF(P676="","", IFERROR(VLOOKUP(P676, IF(D676="KET", 换算标准!$O:$P, IF(D676="PET", 换算标准!$U:$V, 换算标准!$AG:$AH)), 2, TRUE), 0))</f>
        <v/>
      </c>
      <c r="W676" t="str">
        <f t="shared" si="42"/>
        <v/>
      </c>
      <c r="X676" t="str">
        <f>IF(W676="","", IFERROR(VLOOKUP(W676, IF(D676="KET", 换算标准!$Q:$R, IF(D676="PET", 换算标准!$W:$X, 换算标准!$AI:$AJ)), 2, TRUE), 0))</f>
        <v/>
      </c>
      <c r="Y676" t="str">
        <f t="shared" si="43"/>
        <v/>
      </c>
      <c r="Z676" t="str">
        <f>IF(Y676="","", IFERROR(VLOOKUP(Y676, 换算标准!$Z:$AA, 1, TRUE), ""))</f>
        <v/>
      </c>
      <c r="AA676" s="5" t="str">
        <f>IF(L676="","", "⚠️ 薄弱环节: "&amp;INDEX($E$1:$K$1, MATCH(MIN(E676:K676), E676:K676, 0))&amp;CHAR(10)&amp;"📉 考察能力: "&amp;IFERROR(VLOOKUP(TRIM(D676)&amp;"_"&amp;TRIM(INDEX($E$1:$K$1, MATCH(MIN(E676:K676), E676:K676, 0))), 技能库!$A:$F, 5, 0),"建议查阅考纲")&amp;CHAR(10)&amp;"💡 提升建议: "&amp;IFERROR(VLOOKUP(TRIM(D676)&amp;"_"&amp;TRIM(INDEX($E$1:$K$1, MATCH(MIN(E676:K676), E676:K676, 0))), 技能库!$A:$F, 6, 0),"请针对该题型加强练习"))</f>
        <v/>
      </c>
      <c r="AB676" s="5" t="str">
        <f>IF(P676="","", "⚠️ 薄弱环节: "&amp;INDEX($N$1:$O$1, MATCH(MIN(N676:O676), N676:O676, 0))&amp;CHAR(10)&amp;"📉 考察能力: "&amp;IFERROR(VLOOKUP(TRIM(D676)&amp;"_"&amp;TRIM(INDEX($N$1:$O$1, MATCH(MIN(N676:O676), N676:O676, 0))), 技能库!$A:$F, 5, 0),"建议查阅考纲")&amp;CHAR(10)&amp;"💡 提升建议: "&amp;IFERROR(VLOOKUP(TRIM(D676)&amp;"_"&amp;TRIM(INDEX($N$1:$O$1, MATCH(MIN(N676:O676), N676:O676, 0))), 技能库!$A:$F, 6, 0),"请针对该题型加强练习"))</f>
        <v/>
      </c>
      <c r="AC676" s="5" t="str">
        <f>IF(W676="","", "⚠️ 薄弱环节: "&amp;INDEX($R$1:$V$1, MATCH(MIN(R676:V676), R676:V676, 0))&amp;CHAR(10)&amp;"📉 考察能力: "&amp;IFERROR(VLOOKUP(TRIM(D676)&amp;"_"&amp;TRIM(INDEX($R$1:$V$1, MATCH(MIN(R676:V676), R676:V676, 0))), 技能库!$A:$F, 5, 0),"建议查阅考纲")&amp;CHAR(10)&amp;"💡 提升建议: "&amp;IFERROR(VLOOKUP(TRIM(D676)&amp;"_"&amp;TRIM(INDEX($R$1:$V$1, MATCH(MIN(R676:V676), R676:V676, 0))), 技能库!$A:$F, 6, 0),"请针对该题型加强练习"))</f>
        <v/>
      </c>
    </row>
    <row r="677" spans="12:29" ht="16" hidden="1" x14ac:dyDescent="0.2">
      <c r="L677" t="str">
        <f t="shared" si="40"/>
        <v/>
      </c>
      <c r="M677" t="str">
        <f>IF(L677="","", IFERROR(VLOOKUP(L677, IF(D677="KET", 换算标准!$M:$N, IF(D677="PET", 换算标准!$S:$T, 换算标准!$AC:$AD)), 2, TRUE), 0))</f>
        <v/>
      </c>
      <c r="P677" t="str">
        <f t="shared" si="41"/>
        <v/>
      </c>
      <c r="Q677" t="str">
        <f>IF(P677="","", IFERROR(VLOOKUP(P677, IF(D677="KET", 换算标准!$O:$P, IF(D677="PET", 换算标准!$U:$V, 换算标准!$AG:$AH)), 2, TRUE), 0))</f>
        <v/>
      </c>
      <c r="W677" t="str">
        <f t="shared" si="42"/>
        <v/>
      </c>
      <c r="X677" t="str">
        <f>IF(W677="","", IFERROR(VLOOKUP(W677, IF(D677="KET", 换算标准!$Q:$R, IF(D677="PET", 换算标准!$W:$X, 换算标准!$AI:$AJ)), 2, TRUE), 0))</f>
        <v/>
      </c>
      <c r="Y677" t="str">
        <f t="shared" si="43"/>
        <v/>
      </c>
      <c r="Z677" t="str">
        <f>IF(Y677="","", IFERROR(VLOOKUP(Y677, 换算标准!$Z:$AA, 1, TRUE), ""))</f>
        <v/>
      </c>
      <c r="AA677" s="5" t="str">
        <f>IF(L677="","", "⚠️ 薄弱环节: "&amp;INDEX($E$1:$K$1, MATCH(MIN(E677:K677), E677:K677, 0))&amp;CHAR(10)&amp;"📉 考察能力: "&amp;IFERROR(VLOOKUP(TRIM(D677)&amp;"_"&amp;TRIM(INDEX($E$1:$K$1, MATCH(MIN(E677:K677), E677:K677, 0))), 技能库!$A:$F, 5, 0),"建议查阅考纲")&amp;CHAR(10)&amp;"💡 提升建议: "&amp;IFERROR(VLOOKUP(TRIM(D677)&amp;"_"&amp;TRIM(INDEX($E$1:$K$1, MATCH(MIN(E677:K677), E677:K677, 0))), 技能库!$A:$F, 6, 0),"请针对该题型加强练习"))</f>
        <v/>
      </c>
      <c r="AB677" s="5" t="str">
        <f>IF(P677="","", "⚠️ 薄弱环节: "&amp;INDEX($N$1:$O$1, MATCH(MIN(N677:O677), N677:O677, 0))&amp;CHAR(10)&amp;"📉 考察能力: "&amp;IFERROR(VLOOKUP(TRIM(D677)&amp;"_"&amp;TRIM(INDEX($N$1:$O$1, MATCH(MIN(N677:O677), N677:O677, 0))), 技能库!$A:$F, 5, 0),"建议查阅考纲")&amp;CHAR(10)&amp;"💡 提升建议: "&amp;IFERROR(VLOOKUP(TRIM(D677)&amp;"_"&amp;TRIM(INDEX($N$1:$O$1, MATCH(MIN(N677:O677), N677:O677, 0))), 技能库!$A:$F, 6, 0),"请针对该题型加强练习"))</f>
        <v/>
      </c>
      <c r="AC677" s="5" t="str">
        <f>IF(W677="","", "⚠️ 薄弱环节: "&amp;INDEX($R$1:$V$1, MATCH(MIN(R677:V677), R677:V677, 0))&amp;CHAR(10)&amp;"📉 考察能力: "&amp;IFERROR(VLOOKUP(TRIM(D677)&amp;"_"&amp;TRIM(INDEX($R$1:$V$1, MATCH(MIN(R677:V677), R677:V677, 0))), 技能库!$A:$F, 5, 0),"建议查阅考纲")&amp;CHAR(10)&amp;"💡 提升建议: "&amp;IFERROR(VLOOKUP(TRIM(D677)&amp;"_"&amp;TRIM(INDEX($R$1:$V$1, MATCH(MIN(R677:V677), R677:V677, 0))), 技能库!$A:$F, 6, 0),"请针对该题型加强练习"))</f>
        <v/>
      </c>
    </row>
    <row r="678" spans="12:29" ht="16" hidden="1" x14ac:dyDescent="0.2">
      <c r="L678" t="str">
        <f t="shared" si="40"/>
        <v/>
      </c>
      <c r="M678" t="str">
        <f>IF(L678="","", IFERROR(VLOOKUP(L678, IF(D678="KET", 换算标准!$M:$N, IF(D678="PET", 换算标准!$S:$T, 换算标准!$AC:$AD)), 2, TRUE), 0))</f>
        <v/>
      </c>
      <c r="P678" t="str">
        <f t="shared" si="41"/>
        <v/>
      </c>
      <c r="Q678" t="str">
        <f>IF(P678="","", IFERROR(VLOOKUP(P678, IF(D678="KET", 换算标准!$O:$P, IF(D678="PET", 换算标准!$U:$V, 换算标准!$AG:$AH)), 2, TRUE), 0))</f>
        <v/>
      </c>
      <c r="W678" t="str">
        <f t="shared" si="42"/>
        <v/>
      </c>
      <c r="X678" t="str">
        <f>IF(W678="","", IFERROR(VLOOKUP(W678, IF(D678="KET", 换算标准!$Q:$R, IF(D678="PET", 换算标准!$W:$X, 换算标准!$AI:$AJ)), 2, TRUE), 0))</f>
        <v/>
      </c>
      <c r="Y678" t="str">
        <f t="shared" si="43"/>
        <v/>
      </c>
      <c r="Z678" t="str">
        <f>IF(Y678="","", IFERROR(VLOOKUP(Y678, 换算标准!$Z:$AA, 1, TRUE), ""))</f>
        <v/>
      </c>
      <c r="AA678" s="5" t="str">
        <f>IF(L678="","", "⚠️ 薄弱环节: "&amp;INDEX($E$1:$K$1, MATCH(MIN(E678:K678), E678:K678, 0))&amp;CHAR(10)&amp;"📉 考察能力: "&amp;IFERROR(VLOOKUP(TRIM(D678)&amp;"_"&amp;TRIM(INDEX($E$1:$K$1, MATCH(MIN(E678:K678), E678:K678, 0))), 技能库!$A:$F, 5, 0),"建议查阅考纲")&amp;CHAR(10)&amp;"💡 提升建议: "&amp;IFERROR(VLOOKUP(TRIM(D678)&amp;"_"&amp;TRIM(INDEX($E$1:$K$1, MATCH(MIN(E678:K678), E678:K678, 0))), 技能库!$A:$F, 6, 0),"请针对该题型加强练习"))</f>
        <v/>
      </c>
      <c r="AB678" s="5" t="str">
        <f>IF(P678="","", "⚠️ 薄弱环节: "&amp;INDEX($N$1:$O$1, MATCH(MIN(N678:O678), N678:O678, 0))&amp;CHAR(10)&amp;"📉 考察能力: "&amp;IFERROR(VLOOKUP(TRIM(D678)&amp;"_"&amp;TRIM(INDEX($N$1:$O$1, MATCH(MIN(N678:O678), N678:O678, 0))), 技能库!$A:$F, 5, 0),"建议查阅考纲")&amp;CHAR(10)&amp;"💡 提升建议: "&amp;IFERROR(VLOOKUP(TRIM(D678)&amp;"_"&amp;TRIM(INDEX($N$1:$O$1, MATCH(MIN(N678:O678), N678:O678, 0))), 技能库!$A:$F, 6, 0),"请针对该题型加强练习"))</f>
        <v/>
      </c>
      <c r="AC678" s="5" t="str">
        <f>IF(W678="","", "⚠️ 薄弱环节: "&amp;INDEX($R$1:$V$1, MATCH(MIN(R678:V678), R678:V678, 0))&amp;CHAR(10)&amp;"📉 考察能力: "&amp;IFERROR(VLOOKUP(TRIM(D678)&amp;"_"&amp;TRIM(INDEX($R$1:$V$1, MATCH(MIN(R678:V678), R678:V678, 0))), 技能库!$A:$F, 5, 0),"建议查阅考纲")&amp;CHAR(10)&amp;"💡 提升建议: "&amp;IFERROR(VLOOKUP(TRIM(D678)&amp;"_"&amp;TRIM(INDEX($R$1:$V$1, MATCH(MIN(R678:V678), R678:V678, 0))), 技能库!$A:$F, 6, 0),"请针对该题型加强练习"))</f>
        <v/>
      </c>
    </row>
    <row r="679" spans="12:29" ht="16" hidden="1" x14ac:dyDescent="0.2">
      <c r="L679" t="str">
        <f t="shared" si="40"/>
        <v/>
      </c>
      <c r="M679" t="str">
        <f>IF(L679="","", IFERROR(VLOOKUP(L679, IF(D679="KET", 换算标准!$M:$N, IF(D679="PET", 换算标准!$S:$T, 换算标准!$AC:$AD)), 2, TRUE), 0))</f>
        <v/>
      </c>
      <c r="P679" t="str">
        <f t="shared" si="41"/>
        <v/>
      </c>
      <c r="Q679" t="str">
        <f>IF(P679="","", IFERROR(VLOOKUP(P679, IF(D679="KET", 换算标准!$O:$P, IF(D679="PET", 换算标准!$U:$V, 换算标准!$AG:$AH)), 2, TRUE), 0))</f>
        <v/>
      </c>
      <c r="W679" t="str">
        <f t="shared" si="42"/>
        <v/>
      </c>
      <c r="X679" t="str">
        <f>IF(W679="","", IFERROR(VLOOKUP(W679, IF(D679="KET", 换算标准!$Q:$R, IF(D679="PET", 换算标准!$W:$X, 换算标准!$AI:$AJ)), 2, TRUE), 0))</f>
        <v/>
      </c>
      <c r="Y679" t="str">
        <f t="shared" si="43"/>
        <v/>
      </c>
      <c r="Z679" t="str">
        <f>IF(Y679="","", IFERROR(VLOOKUP(Y679, 换算标准!$Z:$AA, 1, TRUE), ""))</f>
        <v/>
      </c>
      <c r="AA679" s="5" t="str">
        <f>IF(L679="","", "⚠️ 薄弱环节: "&amp;INDEX($E$1:$K$1, MATCH(MIN(E679:K679), E679:K679, 0))&amp;CHAR(10)&amp;"📉 考察能力: "&amp;IFERROR(VLOOKUP(TRIM(D679)&amp;"_"&amp;TRIM(INDEX($E$1:$K$1, MATCH(MIN(E679:K679), E679:K679, 0))), 技能库!$A:$F, 5, 0),"建议查阅考纲")&amp;CHAR(10)&amp;"💡 提升建议: "&amp;IFERROR(VLOOKUP(TRIM(D679)&amp;"_"&amp;TRIM(INDEX($E$1:$K$1, MATCH(MIN(E679:K679), E679:K679, 0))), 技能库!$A:$F, 6, 0),"请针对该题型加强练习"))</f>
        <v/>
      </c>
      <c r="AB679" s="5" t="str">
        <f>IF(P679="","", "⚠️ 薄弱环节: "&amp;INDEX($N$1:$O$1, MATCH(MIN(N679:O679), N679:O679, 0))&amp;CHAR(10)&amp;"📉 考察能力: "&amp;IFERROR(VLOOKUP(TRIM(D679)&amp;"_"&amp;TRIM(INDEX($N$1:$O$1, MATCH(MIN(N679:O679), N679:O679, 0))), 技能库!$A:$F, 5, 0),"建议查阅考纲")&amp;CHAR(10)&amp;"💡 提升建议: "&amp;IFERROR(VLOOKUP(TRIM(D679)&amp;"_"&amp;TRIM(INDEX($N$1:$O$1, MATCH(MIN(N679:O679), N679:O679, 0))), 技能库!$A:$F, 6, 0),"请针对该题型加强练习"))</f>
        <v/>
      </c>
      <c r="AC679" s="5" t="str">
        <f>IF(W679="","", "⚠️ 薄弱环节: "&amp;INDEX($R$1:$V$1, MATCH(MIN(R679:V679), R679:V679, 0))&amp;CHAR(10)&amp;"📉 考察能力: "&amp;IFERROR(VLOOKUP(TRIM(D679)&amp;"_"&amp;TRIM(INDEX($R$1:$V$1, MATCH(MIN(R679:V679), R679:V679, 0))), 技能库!$A:$F, 5, 0),"建议查阅考纲")&amp;CHAR(10)&amp;"💡 提升建议: "&amp;IFERROR(VLOOKUP(TRIM(D679)&amp;"_"&amp;TRIM(INDEX($R$1:$V$1, MATCH(MIN(R679:V679), R679:V679, 0))), 技能库!$A:$F, 6, 0),"请针对该题型加强练习"))</f>
        <v/>
      </c>
    </row>
    <row r="680" spans="12:29" ht="16" hidden="1" x14ac:dyDescent="0.2">
      <c r="L680" t="str">
        <f t="shared" si="40"/>
        <v/>
      </c>
      <c r="M680" t="str">
        <f>IF(L680="","", IFERROR(VLOOKUP(L680, IF(D680="KET", 换算标准!$M:$N, IF(D680="PET", 换算标准!$S:$T, 换算标准!$AC:$AD)), 2, TRUE), 0))</f>
        <v/>
      </c>
      <c r="P680" t="str">
        <f t="shared" si="41"/>
        <v/>
      </c>
      <c r="Q680" t="str">
        <f>IF(P680="","", IFERROR(VLOOKUP(P680, IF(D680="KET", 换算标准!$O:$P, IF(D680="PET", 换算标准!$U:$V, 换算标准!$AG:$AH)), 2, TRUE), 0))</f>
        <v/>
      </c>
      <c r="W680" t="str">
        <f t="shared" si="42"/>
        <v/>
      </c>
      <c r="X680" t="str">
        <f>IF(W680="","", IFERROR(VLOOKUP(W680, IF(D680="KET", 换算标准!$Q:$R, IF(D680="PET", 换算标准!$W:$X, 换算标准!$AI:$AJ)), 2, TRUE), 0))</f>
        <v/>
      </c>
      <c r="Y680" t="str">
        <f t="shared" si="43"/>
        <v/>
      </c>
      <c r="Z680" t="str">
        <f>IF(Y680="","", IFERROR(VLOOKUP(Y680, 换算标准!$Z:$AA, 1, TRUE), ""))</f>
        <v/>
      </c>
      <c r="AA680" s="5" t="str">
        <f>IF(L680="","", "⚠️ 薄弱环节: "&amp;INDEX($E$1:$K$1, MATCH(MIN(E680:K680), E680:K680, 0))&amp;CHAR(10)&amp;"📉 考察能力: "&amp;IFERROR(VLOOKUP(TRIM(D680)&amp;"_"&amp;TRIM(INDEX($E$1:$K$1, MATCH(MIN(E680:K680), E680:K680, 0))), 技能库!$A:$F, 5, 0),"建议查阅考纲")&amp;CHAR(10)&amp;"💡 提升建议: "&amp;IFERROR(VLOOKUP(TRIM(D680)&amp;"_"&amp;TRIM(INDEX($E$1:$K$1, MATCH(MIN(E680:K680), E680:K680, 0))), 技能库!$A:$F, 6, 0),"请针对该题型加强练习"))</f>
        <v/>
      </c>
      <c r="AB680" s="5" t="str">
        <f>IF(P680="","", "⚠️ 薄弱环节: "&amp;INDEX($N$1:$O$1, MATCH(MIN(N680:O680), N680:O680, 0))&amp;CHAR(10)&amp;"📉 考察能力: "&amp;IFERROR(VLOOKUP(TRIM(D680)&amp;"_"&amp;TRIM(INDEX($N$1:$O$1, MATCH(MIN(N680:O680), N680:O680, 0))), 技能库!$A:$F, 5, 0),"建议查阅考纲")&amp;CHAR(10)&amp;"💡 提升建议: "&amp;IFERROR(VLOOKUP(TRIM(D680)&amp;"_"&amp;TRIM(INDEX($N$1:$O$1, MATCH(MIN(N680:O680), N680:O680, 0))), 技能库!$A:$F, 6, 0),"请针对该题型加强练习"))</f>
        <v/>
      </c>
      <c r="AC680" s="5" t="str">
        <f>IF(W680="","", "⚠️ 薄弱环节: "&amp;INDEX($R$1:$V$1, MATCH(MIN(R680:V680), R680:V680, 0))&amp;CHAR(10)&amp;"📉 考察能力: "&amp;IFERROR(VLOOKUP(TRIM(D680)&amp;"_"&amp;TRIM(INDEX($R$1:$V$1, MATCH(MIN(R680:V680), R680:V680, 0))), 技能库!$A:$F, 5, 0),"建议查阅考纲")&amp;CHAR(10)&amp;"💡 提升建议: "&amp;IFERROR(VLOOKUP(TRIM(D680)&amp;"_"&amp;TRIM(INDEX($R$1:$V$1, MATCH(MIN(R680:V680), R680:V680, 0))), 技能库!$A:$F, 6, 0),"请针对该题型加强练习"))</f>
        <v/>
      </c>
    </row>
    <row r="681" spans="12:29" ht="16" hidden="1" x14ac:dyDescent="0.2">
      <c r="L681" t="str">
        <f t="shared" si="40"/>
        <v/>
      </c>
      <c r="M681" t="str">
        <f>IF(L681="","", IFERROR(VLOOKUP(L681, IF(D681="KET", 换算标准!$M:$N, IF(D681="PET", 换算标准!$S:$T, 换算标准!$AC:$AD)), 2, TRUE), 0))</f>
        <v/>
      </c>
      <c r="P681" t="str">
        <f t="shared" si="41"/>
        <v/>
      </c>
      <c r="Q681" t="str">
        <f>IF(P681="","", IFERROR(VLOOKUP(P681, IF(D681="KET", 换算标准!$O:$P, IF(D681="PET", 换算标准!$U:$V, 换算标准!$AG:$AH)), 2, TRUE), 0))</f>
        <v/>
      </c>
      <c r="W681" t="str">
        <f t="shared" si="42"/>
        <v/>
      </c>
      <c r="X681" t="str">
        <f>IF(W681="","", IFERROR(VLOOKUP(W681, IF(D681="KET", 换算标准!$Q:$R, IF(D681="PET", 换算标准!$W:$X, 换算标准!$AI:$AJ)), 2, TRUE), 0))</f>
        <v/>
      </c>
      <c r="Y681" t="str">
        <f t="shared" si="43"/>
        <v/>
      </c>
      <c r="Z681" t="str">
        <f>IF(Y681="","", IFERROR(VLOOKUP(Y681, 换算标准!$Z:$AA, 1, TRUE), ""))</f>
        <v/>
      </c>
      <c r="AA681" s="5" t="str">
        <f>IF(L681="","", "⚠️ 薄弱环节: "&amp;INDEX($E$1:$K$1, MATCH(MIN(E681:K681), E681:K681, 0))&amp;CHAR(10)&amp;"📉 考察能力: "&amp;IFERROR(VLOOKUP(TRIM(D681)&amp;"_"&amp;TRIM(INDEX($E$1:$K$1, MATCH(MIN(E681:K681), E681:K681, 0))), 技能库!$A:$F, 5, 0),"建议查阅考纲")&amp;CHAR(10)&amp;"💡 提升建议: "&amp;IFERROR(VLOOKUP(TRIM(D681)&amp;"_"&amp;TRIM(INDEX($E$1:$K$1, MATCH(MIN(E681:K681), E681:K681, 0))), 技能库!$A:$F, 6, 0),"请针对该题型加强练习"))</f>
        <v/>
      </c>
      <c r="AB681" s="5" t="str">
        <f>IF(P681="","", "⚠️ 薄弱环节: "&amp;INDEX($N$1:$O$1, MATCH(MIN(N681:O681), N681:O681, 0))&amp;CHAR(10)&amp;"📉 考察能力: "&amp;IFERROR(VLOOKUP(TRIM(D681)&amp;"_"&amp;TRIM(INDEX($N$1:$O$1, MATCH(MIN(N681:O681), N681:O681, 0))), 技能库!$A:$F, 5, 0),"建议查阅考纲")&amp;CHAR(10)&amp;"💡 提升建议: "&amp;IFERROR(VLOOKUP(TRIM(D681)&amp;"_"&amp;TRIM(INDEX($N$1:$O$1, MATCH(MIN(N681:O681), N681:O681, 0))), 技能库!$A:$F, 6, 0),"请针对该题型加强练习"))</f>
        <v/>
      </c>
      <c r="AC681" s="5" t="str">
        <f>IF(W681="","", "⚠️ 薄弱环节: "&amp;INDEX($R$1:$V$1, MATCH(MIN(R681:V681), R681:V681, 0))&amp;CHAR(10)&amp;"📉 考察能力: "&amp;IFERROR(VLOOKUP(TRIM(D681)&amp;"_"&amp;TRIM(INDEX($R$1:$V$1, MATCH(MIN(R681:V681), R681:V681, 0))), 技能库!$A:$F, 5, 0),"建议查阅考纲")&amp;CHAR(10)&amp;"💡 提升建议: "&amp;IFERROR(VLOOKUP(TRIM(D681)&amp;"_"&amp;TRIM(INDEX($R$1:$V$1, MATCH(MIN(R681:V681), R681:V681, 0))), 技能库!$A:$F, 6, 0),"请针对该题型加强练习"))</f>
        <v/>
      </c>
    </row>
    <row r="682" spans="12:29" ht="16" hidden="1" x14ac:dyDescent="0.2">
      <c r="L682" t="str">
        <f t="shared" si="40"/>
        <v/>
      </c>
      <c r="M682" t="str">
        <f>IF(L682="","", IFERROR(VLOOKUP(L682, IF(D682="KET", 换算标准!$M:$N, IF(D682="PET", 换算标准!$S:$T, 换算标准!$AC:$AD)), 2, TRUE), 0))</f>
        <v/>
      </c>
      <c r="P682" t="str">
        <f t="shared" si="41"/>
        <v/>
      </c>
      <c r="Q682" t="str">
        <f>IF(P682="","", IFERROR(VLOOKUP(P682, IF(D682="KET", 换算标准!$O:$P, IF(D682="PET", 换算标准!$U:$V, 换算标准!$AG:$AH)), 2, TRUE), 0))</f>
        <v/>
      </c>
      <c r="W682" t="str">
        <f t="shared" si="42"/>
        <v/>
      </c>
      <c r="X682" t="str">
        <f>IF(W682="","", IFERROR(VLOOKUP(W682, IF(D682="KET", 换算标准!$Q:$R, IF(D682="PET", 换算标准!$W:$X, 换算标准!$AI:$AJ)), 2, TRUE), 0))</f>
        <v/>
      </c>
      <c r="Y682" t="str">
        <f t="shared" si="43"/>
        <v/>
      </c>
      <c r="Z682" t="str">
        <f>IF(Y682="","", IFERROR(VLOOKUP(Y682, 换算标准!$Z:$AA, 1, TRUE), ""))</f>
        <v/>
      </c>
      <c r="AA682" s="5" t="str">
        <f>IF(L682="","", "⚠️ 薄弱环节: "&amp;INDEX($E$1:$K$1, MATCH(MIN(E682:K682), E682:K682, 0))&amp;CHAR(10)&amp;"📉 考察能力: "&amp;IFERROR(VLOOKUP(TRIM(D682)&amp;"_"&amp;TRIM(INDEX($E$1:$K$1, MATCH(MIN(E682:K682), E682:K682, 0))), 技能库!$A:$F, 5, 0),"建议查阅考纲")&amp;CHAR(10)&amp;"💡 提升建议: "&amp;IFERROR(VLOOKUP(TRIM(D682)&amp;"_"&amp;TRIM(INDEX($E$1:$K$1, MATCH(MIN(E682:K682), E682:K682, 0))), 技能库!$A:$F, 6, 0),"请针对该题型加强练习"))</f>
        <v/>
      </c>
      <c r="AB682" s="5" t="str">
        <f>IF(P682="","", "⚠️ 薄弱环节: "&amp;INDEX($N$1:$O$1, MATCH(MIN(N682:O682), N682:O682, 0))&amp;CHAR(10)&amp;"📉 考察能力: "&amp;IFERROR(VLOOKUP(TRIM(D682)&amp;"_"&amp;TRIM(INDEX($N$1:$O$1, MATCH(MIN(N682:O682), N682:O682, 0))), 技能库!$A:$F, 5, 0),"建议查阅考纲")&amp;CHAR(10)&amp;"💡 提升建议: "&amp;IFERROR(VLOOKUP(TRIM(D682)&amp;"_"&amp;TRIM(INDEX($N$1:$O$1, MATCH(MIN(N682:O682), N682:O682, 0))), 技能库!$A:$F, 6, 0),"请针对该题型加强练习"))</f>
        <v/>
      </c>
      <c r="AC682" s="5" t="str">
        <f>IF(W682="","", "⚠️ 薄弱环节: "&amp;INDEX($R$1:$V$1, MATCH(MIN(R682:V682), R682:V682, 0))&amp;CHAR(10)&amp;"📉 考察能力: "&amp;IFERROR(VLOOKUP(TRIM(D682)&amp;"_"&amp;TRIM(INDEX($R$1:$V$1, MATCH(MIN(R682:V682), R682:V682, 0))), 技能库!$A:$F, 5, 0),"建议查阅考纲")&amp;CHAR(10)&amp;"💡 提升建议: "&amp;IFERROR(VLOOKUP(TRIM(D682)&amp;"_"&amp;TRIM(INDEX($R$1:$V$1, MATCH(MIN(R682:V682), R682:V682, 0))), 技能库!$A:$F, 6, 0),"请针对该题型加强练习"))</f>
        <v/>
      </c>
    </row>
    <row r="683" spans="12:29" ht="16" hidden="1" x14ac:dyDescent="0.2">
      <c r="L683" t="str">
        <f t="shared" si="40"/>
        <v/>
      </c>
      <c r="M683" t="str">
        <f>IF(L683="","", IFERROR(VLOOKUP(L683, IF(D683="KET", 换算标准!$M:$N, IF(D683="PET", 换算标准!$S:$T, 换算标准!$AC:$AD)), 2, TRUE), 0))</f>
        <v/>
      </c>
      <c r="P683" t="str">
        <f t="shared" si="41"/>
        <v/>
      </c>
      <c r="Q683" t="str">
        <f>IF(P683="","", IFERROR(VLOOKUP(P683, IF(D683="KET", 换算标准!$O:$P, IF(D683="PET", 换算标准!$U:$V, 换算标准!$AG:$AH)), 2, TRUE), 0))</f>
        <v/>
      </c>
      <c r="W683" t="str">
        <f t="shared" si="42"/>
        <v/>
      </c>
      <c r="X683" t="str">
        <f>IF(W683="","", IFERROR(VLOOKUP(W683, IF(D683="KET", 换算标准!$Q:$R, IF(D683="PET", 换算标准!$W:$X, 换算标准!$AI:$AJ)), 2, TRUE), 0))</f>
        <v/>
      </c>
      <c r="Y683" t="str">
        <f t="shared" si="43"/>
        <v/>
      </c>
      <c r="Z683" t="str">
        <f>IF(Y683="","", IFERROR(VLOOKUP(Y683, 换算标准!$Z:$AA, 1, TRUE), ""))</f>
        <v/>
      </c>
      <c r="AA683" s="5" t="str">
        <f>IF(L683="","", "⚠️ 薄弱环节: "&amp;INDEX($E$1:$K$1, MATCH(MIN(E683:K683), E683:K683, 0))&amp;CHAR(10)&amp;"📉 考察能力: "&amp;IFERROR(VLOOKUP(TRIM(D683)&amp;"_"&amp;TRIM(INDEX($E$1:$K$1, MATCH(MIN(E683:K683), E683:K683, 0))), 技能库!$A:$F, 5, 0),"建议查阅考纲")&amp;CHAR(10)&amp;"💡 提升建议: "&amp;IFERROR(VLOOKUP(TRIM(D683)&amp;"_"&amp;TRIM(INDEX($E$1:$K$1, MATCH(MIN(E683:K683), E683:K683, 0))), 技能库!$A:$F, 6, 0),"请针对该题型加强练习"))</f>
        <v/>
      </c>
      <c r="AB683" s="5" t="str">
        <f>IF(P683="","", "⚠️ 薄弱环节: "&amp;INDEX($N$1:$O$1, MATCH(MIN(N683:O683), N683:O683, 0))&amp;CHAR(10)&amp;"📉 考察能力: "&amp;IFERROR(VLOOKUP(TRIM(D683)&amp;"_"&amp;TRIM(INDEX($N$1:$O$1, MATCH(MIN(N683:O683), N683:O683, 0))), 技能库!$A:$F, 5, 0),"建议查阅考纲")&amp;CHAR(10)&amp;"💡 提升建议: "&amp;IFERROR(VLOOKUP(TRIM(D683)&amp;"_"&amp;TRIM(INDEX($N$1:$O$1, MATCH(MIN(N683:O683), N683:O683, 0))), 技能库!$A:$F, 6, 0),"请针对该题型加强练习"))</f>
        <v/>
      </c>
      <c r="AC683" s="5" t="str">
        <f>IF(W683="","", "⚠️ 薄弱环节: "&amp;INDEX($R$1:$V$1, MATCH(MIN(R683:V683), R683:V683, 0))&amp;CHAR(10)&amp;"📉 考察能力: "&amp;IFERROR(VLOOKUP(TRIM(D683)&amp;"_"&amp;TRIM(INDEX($R$1:$V$1, MATCH(MIN(R683:V683), R683:V683, 0))), 技能库!$A:$F, 5, 0),"建议查阅考纲")&amp;CHAR(10)&amp;"💡 提升建议: "&amp;IFERROR(VLOOKUP(TRIM(D683)&amp;"_"&amp;TRIM(INDEX($R$1:$V$1, MATCH(MIN(R683:V683), R683:V683, 0))), 技能库!$A:$F, 6, 0),"请针对该题型加强练习"))</f>
        <v/>
      </c>
    </row>
    <row r="684" spans="12:29" ht="16" hidden="1" x14ac:dyDescent="0.2">
      <c r="L684" t="str">
        <f t="shared" si="40"/>
        <v/>
      </c>
      <c r="M684" t="str">
        <f>IF(L684="","", IFERROR(VLOOKUP(L684, IF(D684="KET", 换算标准!$M:$N, IF(D684="PET", 换算标准!$S:$T, 换算标准!$AC:$AD)), 2, TRUE), 0))</f>
        <v/>
      </c>
      <c r="P684" t="str">
        <f t="shared" si="41"/>
        <v/>
      </c>
      <c r="Q684" t="str">
        <f>IF(P684="","", IFERROR(VLOOKUP(P684, IF(D684="KET", 换算标准!$O:$P, IF(D684="PET", 换算标准!$U:$V, 换算标准!$AG:$AH)), 2, TRUE), 0))</f>
        <v/>
      </c>
      <c r="W684" t="str">
        <f t="shared" si="42"/>
        <v/>
      </c>
      <c r="X684" t="str">
        <f>IF(W684="","", IFERROR(VLOOKUP(W684, IF(D684="KET", 换算标准!$Q:$R, IF(D684="PET", 换算标准!$W:$X, 换算标准!$AI:$AJ)), 2, TRUE), 0))</f>
        <v/>
      </c>
      <c r="Y684" t="str">
        <f t="shared" si="43"/>
        <v/>
      </c>
      <c r="Z684" t="str">
        <f>IF(Y684="","", IFERROR(VLOOKUP(Y684, 换算标准!$Z:$AA, 1, TRUE), ""))</f>
        <v/>
      </c>
      <c r="AA684" s="5" t="str">
        <f>IF(L684="","", "⚠️ 薄弱环节: "&amp;INDEX($E$1:$K$1, MATCH(MIN(E684:K684), E684:K684, 0))&amp;CHAR(10)&amp;"📉 考察能力: "&amp;IFERROR(VLOOKUP(TRIM(D684)&amp;"_"&amp;TRIM(INDEX($E$1:$K$1, MATCH(MIN(E684:K684), E684:K684, 0))), 技能库!$A:$F, 5, 0),"建议查阅考纲")&amp;CHAR(10)&amp;"💡 提升建议: "&amp;IFERROR(VLOOKUP(TRIM(D684)&amp;"_"&amp;TRIM(INDEX($E$1:$K$1, MATCH(MIN(E684:K684), E684:K684, 0))), 技能库!$A:$F, 6, 0),"请针对该题型加强练习"))</f>
        <v/>
      </c>
      <c r="AB684" s="5" t="str">
        <f>IF(P684="","", "⚠️ 薄弱环节: "&amp;INDEX($N$1:$O$1, MATCH(MIN(N684:O684), N684:O684, 0))&amp;CHAR(10)&amp;"📉 考察能力: "&amp;IFERROR(VLOOKUP(TRIM(D684)&amp;"_"&amp;TRIM(INDEX($N$1:$O$1, MATCH(MIN(N684:O684), N684:O684, 0))), 技能库!$A:$F, 5, 0),"建议查阅考纲")&amp;CHAR(10)&amp;"💡 提升建议: "&amp;IFERROR(VLOOKUP(TRIM(D684)&amp;"_"&amp;TRIM(INDEX($N$1:$O$1, MATCH(MIN(N684:O684), N684:O684, 0))), 技能库!$A:$F, 6, 0),"请针对该题型加强练习"))</f>
        <v/>
      </c>
      <c r="AC684" s="5" t="str">
        <f>IF(W684="","", "⚠️ 薄弱环节: "&amp;INDEX($R$1:$V$1, MATCH(MIN(R684:V684), R684:V684, 0))&amp;CHAR(10)&amp;"📉 考察能力: "&amp;IFERROR(VLOOKUP(TRIM(D684)&amp;"_"&amp;TRIM(INDEX($R$1:$V$1, MATCH(MIN(R684:V684), R684:V684, 0))), 技能库!$A:$F, 5, 0),"建议查阅考纲")&amp;CHAR(10)&amp;"💡 提升建议: "&amp;IFERROR(VLOOKUP(TRIM(D684)&amp;"_"&amp;TRIM(INDEX($R$1:$V$1, MATCH(MIN(R684:V684), R684:V684, 0))), 技能库!$A:$F, 6, 0),"请针对该题型加强练习"))</f>
        <v/>
      </c>
    </row>
    <row r="685" spans="12:29" ht="16" hidden="1" x14ac:dyDescent="0.2">
      <c r="L685" t="str">
        <f t="shared" si="40"/>
        <v/>
      </c>
      <c r="M685" t="str">
        <f>IF(L685="","", IFERROR(VLOOKUP(L685, IF(D685="KET", 换算标准!$M:$N, IF(D685="PET", 换算标准!$S:$T, 换算标准!$AC:$AD)), 2, TRUE), 0))</f>
        <v/>
      </c>
      <c r="P685" t="str">
        <f t="shared" si="41"/>
        <v/>
      </c>
      <c r="Q685" t="str">
        <f>IF(P685="","", IFERROR(VLOOKUP(P685, IF(D685="KET", 换算标准!$O:$P, IF(D685="PET", 换算标准!$U:$V, 换算标准!$AG:$AH)), 2, TRUE), 0))</f>
        <v/>
      </c>
      <c r="W685" t="str">
        <f t="shared" si="42"/>
        <v/>
      </c>
      <c r="X685" t="str">
        <f>IF(W685="","", IFERROR(VLOOKUP(W685, IF(D685="KET", 换算标准!$Q:$R, IF(D685="PET", 换算标准!$W:$X, 换算标准!$AI:$AJ)), 2, TRUE), 0))</f>
        <v/>
      </c>
      <c r="Y685" t="str">
        <f t="shared" si="43"/>
        <v/>
      </c>
      <c r="Z685" t="str">
        <f>IF(Y685="","", IFERROR(VLOOKUP(Y685, 换算标准!$Z:$AA, 1, TRUE), ""))</f>
        <v/>
      </c>
      <c r="AA685" s="5" t="str">
        <f>IF(L685="","", "⚠️ 薄弱环节: "&amp;INDEX($E$1:$K$1, MATCH(MIN(E685:K685), E685:K685, 0))&amp;CHAR(10)&amp;"📉 考察能力: "&amp;IFERROR(VLOOKUP(TRIM(D685)&amp;"_"&amp;TRIM(INDEX($E$1:$K$1, MATCH(MIN(E685:K685), E685:K685, 0))), 技能库!$A:$F, 5, 0),"建议查阅考纲")&amp;CHAR(10)&amp;"💡 提升建议: "&amp;IFERROR(VLOOKUP(TRIM(D685)&amp;"_"&amp;TRIM(INDEX($E$1:$K$1, MATCH(MIN(E685:K685), E685:K685, 0))), 技能库!$A:$F, 6, 0),"请针对该题型加强练习"))</f>
        <v/>
      </c>
      <c r="AB685" s="5" t="str">
        <f>IF(P685="","", "⚠️ 薄弱环节: "&amp;INDEX($N$1:$O$1, MATCH(MIN(N685:O685), N685:O685, 0))&amp;CHAR(10)&amp;"📉 考察能力: "&amp;IFERROR(VLOOKUP(TRIM(D685)&amp;"_"&amp;TRIM(INDEX($N$1:$O$1, MATCH(MIN(N685:O685), N685:O685, 0))), 技能库!$A:$F, 5, 0),"建议查阅考纲")&amp;CHAR(10)&amp;"💡 提升建议: "&amp;IFERROR(VLOOKUP(TRIM(D685)&amp;"_"&amp;TRIM(INDEX($N$1:$O$1, MATCH(MIN(N685:O685), N685:O685, 0))), 技能库!$A:$F, 6, 0),"请针对该题型加强练习"))</f>
        <v/>
      </c>
      <c r="AC685" s="5" t="str">
        <f>IF(W685="","", "⚠️ 薄弱环节: "&amp;INDEX($R$1:$V$1, MATCH(MIN(R685:V685), R685:V685, 0))&amp;CHAR(10)&amp;"📉 考察能力: "&amp;IFERROR(VLOOKUP(TRIM(D685)&amp;"_"&amp;TRIM(INDEX($R$1:$V$1, MATCH(MIN(R685:V685), R685:V685, 0))), 技能库!$A:$F, 5, 0),"建议查阅考纲")&amp;CHAR(10)&amp;"💡 提升建议: "&amp;IFERROR(VLOOKUP(TRIM(D685)&amp;"_"&amp;TRIM(INDEX($R$1:$V$1, MATCH(MIN(R685:V685), R685:V685, 0))), 技能库!$A:$F, 6, 0),"请针对该题型加强练习"))</f>
        <v/>
      </c>
    </row>
    <row r="686" spans="12:29" ht="16" hidden="1" x14ac:dyDescent="0.2">
      <c r="L686" t="str">
        <f t="shared" si="40"/>
        <v/>
      </c>
      <c r="M686" t="str">
        <f>IF(L686="","", IFERROR(VLOOKUP(L686, IF(D686="KET", 换算标准!$M:$N, IF(D686="PET", 换算标准!$S:$T, 换算标准!$AC:$AD)), 2, TRUE), 0))</f>
        <v/>
      </c>
      <c r="P686" t="str">
        <f t="shared" si="41"/>
        <v/>
      </c>
      <c r="Q686" t="str">
        <f>IF(P686="","", IFERROR(VLOOKUP(P686, IF(D686="KET", 换算标准!$O:$P, IF(D686="PET", 换算标准!$U:$V, 换算标准!$AG:$AH)), 2, TRUE), 0))</f>
        <v/>
      </c>
      <c r="W686" t="str">
        <f t="shared" si="42"/>
        <v/>
      </c>
      <c r="X686" t="str">
        <f>IF(W686="","", IFERROR(VLOOKUP(W686, IF(D686="KET", 换算标准!$Q:$R, IF(D686="PET", 换算标准!$W:$X, 换算标准!$AI:$AJ)), 2, TRUE), 0))</f>
        <v/>
      </c>
      <c r="Y686" t="str">
        <f t="shared" si="43"/>
        <v/>
      </c>
      <c r="Z686" t="str">
        <f>IF(Y686="","", IFERROR(VLOOKUP(Y686, 换算标准!$Z:$AA, 1, TRUE), ""))</f>
        <v/>
      </c>
      <c r="AA686" s="5" t="str">
        <f>IF(L686="","", "⚠️ 薄弱环节: "&amp;INDEX($E$1:$K$1, MATCH(MIN(E686:K686), E686:K686, 0))&amp;CHAR(10)&amp;"📉 考察能力: "&amp;IFERROR(VLOOKUP(TRIM(D686)&amp;"_"&amp;TRIM(INDEX($E$1:$K$1, MATCH(MIN(E686:K686), E686:K686, 0))), 技能库!$A:$F, 5, 0),"建议查阅考纲")&amp;CHAR(10)&amp;"💡 提升建议: "&amp;IFERROR(VLOOKUP(TRIM(D686)&amp;"_"&amp;TRIM(INDEX($E$1:$K$1, MATCH(MIN(E686:K686), E686:K686, 0))), 技能库!$A:$F, 6, 0),"请针对该题型加强练习"))</f>
        <v/>
      </c>
      <c r="AB686" s="5" t="str">
        <f>IF(P686="","", "⚠️ 薄弱环节: "&amp;INDEX($N$1:$O$1, MATCH(MIN(N686:O686), N686:O686, 0))&amp;CHAR(10)&amp;"📉 考察能力: "&amp;IFERROR(VLOOKUP(TRIM(D686)&amp;"_"&amp;TRIM(INDEX($N$1:$O$1, MATCH(MIN(N686:O686), N686:O686, 0))), 技能库!$A:$F, 5, 0),"建议查阅考纲")&amp;CHAR(10)&amp;"💡 提升建议: "&amp;IFERROR(VLOOKUP(TRIM(D686)&amp;"_"&amp;TRIM(INDEX($N$1:$O$1, MATCH(MIN(N686:O686), N686:O686, 0))), 技能库!$A:$F, 6, 0),"请针对该题型加强练习"))</f>
        <v/>
      </c>
      <c r="AC686" s="5" t="str">
        <f>IF(W686="","", "⚠️ 薄弱环节: "&amp;INDEX($R$1:$V$1, MATCH(MIN(R686:V686), R686:V686, 0))&amp;CHAR(10)&amp;"📉 考察能力: "&amp;IFERROR(VLOOKUP(TRIM(D686)&amp;"_"&amp;TRIM(INDEX($R$1:$V$1, MATCH(MIN(R686:V686), R686:V686, 0))), 技能库!$A:$F, 5, 0),"建议查阅考纲")&amp;CHAR(10)&amp;"💡 提升建议: "&amp;IFERROR(VLOOKUP(TRIM(D686)&amp;"_"&amp;TRIM(INDEX($R$1:$V$1, MATCH(MIN(R686:V686), R686:V686, 0))), 技能库!$A:$F, 6, 0),"请针对该题型加强练习"))</f>
        <v/>
      </c>
    </row>
    <row r="687" spans="12:29" ht="16" hidden="1" x14ac:dyDescent="0.2">
      <c r="L687" t="str">
        <f t="shared" si="40"/>
        <v/>
      </c>
      <c r="M687" t="str">
        <f>IF(L687="","", IFERROR(VLOOKUP(L687, IF(D687="KET", 换算标准!$M:$N, IF(D687="PET", 换算标准!$S:$T, 换算标准!$AC:$AD)), 2, TRUE), 0))</f>
        <v/>
      </c>
      <c r="P687" t="str">
        <f t="shared" si="41"/>
        <v/>
      </c>
      <c r="Q687" t="str">
        <f>IF(P687="","", IFERROR(VLOOKUP(P687, IF(D687="KET", 换算标准!$O:$P, IF(D687="PET", 换算标准!$U:$V, 换算标准!$AG:$AH)), 2, TRUE), 0))</f>
        <v/>
      </c>
      <c r="W687" t="str">
        <f t="shared" si="42"/>
        <v/>
      </c>
      <c r="X687" t="str">
        <f>IF(W687="","", IFERROR(VLOOKUP(W687, IF(D687="KET", 换算标准!$Q:$R, IF(D687="PET", 换算标准!$W:$X, 换算标准!$AI:$AJ)), 2, TRUE), 0))</f>
        <v/>
      </c>
      <c r="Y687" t="str">
        <f t="shared" si="43"/>
        <v/>
      </c>
      <c r="Z687" t="str">
        <f>IF(Y687="","", IFERROR(VLOOKUP(Y687, 换算标准!$Z:$AA, 1, TRUE), ""))</f>
        <v/>
      </c>
      <c r="AA687" s="5" t="str">
        <f>IF(L687="","", "⚠️ 薄弱环节: "&amp;INDEX($E$1:$K$1, MATCH(MIN(E687:K687), E687:K687, 0))&amp;CHAR(10)&amp;"📉 考察能力: "&amp;IFERROR(VLOOKUP(TRIM(D687)&amp;"_"&amp;TRIM(INDEX($E$1:$K$1, MATCH(MIN(E687:K687), E687:K687, 0))), 技能库!$A:$F, 5, 0),"建议查阅考纲")&amp;CHAR(10)&amp;"💡 提升建议: "&amp;IFERROR(VLOOKUP(TRIM(D687)&amp;"_"&amp;TRIM(INDEX($E$1:$K$1, MATCH(MIN(E687:K687), E687:K687, 0))), 技能库!$A:$F, 6, 0),"请针对该题型加强练习"))</f>
        <v/>
      </c>
      <c r="AB687" s="5" t="str">
        <f>IF(P687="","", "⚠️ 薄弱环节: "&amp;INDEX($N$1:$O$1, MATCH(MIN(N687:O687), N687:O687, 0))&amp;CHAR(10)&amp;"📉 考察能力: "&amp;IFERROR(VLOOKUP(TRIM(D687)&amp;"_"&amp;TRIM(INDEX($N$1:$O$1, MATCH(MIN(N687:O687), N687:O687, 0))), 技能库!$A:$F, 5, 0),"建议查阅考纲")&amp;CHAR(10)&amp;"💡 提升建议: "&amp;IFERROR(VLOOKUP(TRIM(D687)&amp;"_"&amp;TRIM(INDEX($N$1:$O$1, MATCH(MIN(N687:O687), N687:O687, 0))), 技能库!$A:$F, 6, 0),"请针对该题型加强练习"))</f>
        <v/>
      </c>
      <c r="AC687" s="5" t="str">
        <f>IF(W687="","", "⚠️ 薄弱环节: "&amp;INDEX($R$1:$V$1, MATCH(MIN(R687:V687), R687:V687, 0))&amp;CHAR(10)&amp;"📉 考察能力: "&amp;IFERROR(VLOOKUP(TRIM(D687)&amp;"_"&amp;TRIM(INDEX($R$1:$V$1, MATCH(MIN(R687:V687), R687:V687, 0))), 技能库!$A:$F, 5, 0),"建议查阅考纲")&amp;CHAR(10)&amp;"💡 提升建议: "&amp;IFERROR(VLOOKUP(TRIM(D687)&amp;"_"&amp;TRIM(INDEX($R$1:$V$1, MATCH(MIN(R687:V687), R687:V687, 0))), 技能库!$A:$F, 6, 0),"请针对该题型加强练习"))</f>
        <v/>
      </c>
    </row>
    <row r="688" spans="12:29" ht="16" hidden="1" x14ac:dyDescent="0.2">
      <c r="L688" t="str">
        <f t="shared" si="40"/>
        <v/>
      </c>
      <c r="M688" t="str">
        <f>IF(L688="","", IFERROR(VLOOKUP(L688, IF(D688="KET", 换算标准!$M:$N, IF(D688="PET", 换算标准!$S:$T, 换算标准!$AC:$AD)), 2, TRUE), 0))</f>
        <v/>
      </c>
      <c r="P688" t="str">
        <f t="shared" si="41"/>
        <v/>
      </c>
      <c r="Q688" t="str">
        <f>IF(P688="","", IFERROR(VLOOKUP(P688, IF(D688="KET", 换算标准!$O:$P, IF(D688="PET", 换算标准!$U:$V, 换算标准!$AG:$AH)), 2, TRUE), 0))</f>
        <v/>
      </c>
      <c r="W688" t="str">
        <f t="shared" si="42"/>
        <v/>
      </c>
      <c r="X688" t="str">
        <f>IF(W688="","", IFERROR(VLOOKUP(W688, IF(D688="KET", 换算标准!$Q:$R, IF(D688="PET", 换算标准!$W:$X, 换算标准!$AI:$AJ)), 2, TRUE), 0))</f>
        <v/>
      </c>
      <c r="Y688" t="str">
        <f t="shared" si="43"/>
        <v/>
      </c>
      <c r="Z688" t="str">
        <f>IF(Y688="","", IFERROR(VLOOKUP(Y688, 换算标准!$Z:$AA, 1, TRUE), ""))</f>
        <v/>
      </c>
      <c r="AA688" s="5" t="str">
        <f>IF(L688="","", "⚠️ 薄弱环节: "&amp;INDEX($E$1:$K$1, MATCH(MIN(E688:K688), E688:K688, 0))&amp;CHAR(10)&amp;"📉 考察能力: "&amp;IFERROR(VLOOKUP(TRIM(D688)&amp;"_"&amp;TRIM(INDEX($E$1:$K$1, MATCH(MIN(E688:K688), E688:K688, 0))), 技能库!$A:$F, 5, 0),"建议查阅考纲")&amp;CHAR(10)&amp;"💡 提升建议: "&amp;IFERROR(VLOOKUP(TRIM(D688)&amp;"_"&amp;TRIM(INDEX($E$1:$K$1, MATCH(MIN(E688:K688), E688:K688, 0))), 技能库!$A:$F, 6, 0),"请针对该题型加强练习"))</f>
        <v/>
      </c>
      <c r="AB688" s="5" t="str">
        <f>IF(P688="","", "⚠️ 薄弱环节: "&amp;INDEX($N$1:$O$1, MATCH(MIN(N688:O688), N688:O688, 0))&amp;CHAR(10)&amp;"📉 考察能力: "&amp;IFERROR(VLOOKUP(TRIM(D688)&amp;"_"&amp;TRIM(INDEX($N$1:$O$1, MATCH(MIN(N688:O688), N688:O688, 0))), 技能库!$A:$F, 5, 0),"建议查阅考纲")&amp;CHAR(10)&amp;"💡 提升建议: "&amp;IFERROR(VLOOKUP(TRIM(D688)&amp;"_"&amp;TRIM(INDEX($N$1:$O$1, MATCH(MIN(N688:O688), N688:O688, 0))), 技能库!$A:$F, 6, 0),"请针对该题型加强练习"))</f>
        <v/>
      </c>
      <c r="AC688" s="5" t="str">
        <f>IF(W688="","", "⚠️ 薄弱环节: "&amp;INDEX($R$1:$V$1, MATCH(MIN(R688:V688), R688:V688, 0))&amp;CHAR(10)&amp;"📉 考察能力: "&amp;IFERROR(VLOOKUP(TRIM(D688)&amp;"_"&amp;TRIM(INDEX($R$1:$V$1, MATCH(MIN(R688:V688), R688:V688, 0))), 技能库!$A:$F, 5, 0),"建议查阅考纲")&amp;CHAR(10)&amp;"💡 提升建议: "&amp;IFERROR(VLOOKUP(TRIM(D688)&amp;"_"&amp;TRIM(INDEX($R$1:$V$1, MATCH(MIN(R688:V688), R688:V688, 0))), 技能库!$A:$F, 6, 0),"请针对该题型加强练习"))</f>
        <v/>
      </c>
    </row>
    <row r="689" spans="12:29" ht="16" hidden="1" x14ac:dyDescent="0.2">
      <c r="L689" t="str">
        <f t="shared" si="40"/>
        <v/>
      </c>
      <c r="M689" t="str">
        <f>IF(L689="","", IFERROR(VLOOKUP(L689, IF(D689="KET", 换算标准!$M:$N, IF(D689="PET", 换算标准!$S:$T, 换算标准!$AC:$AD)), 2, TRUE), 0))</f>
        <v/>
      </c>
      <c r="P689" t="str">
        <f t="shared" si="41"/>
        <v/>
      </c>
      <c r="Q689" t="str">
        <f>IF(P689="","", IFERROR(VLOOKUP(P689, IF(D689="KET", 换算标准!$O:$P, IF(D689="PET", 换算标准!$U:$V, 换算标准!$AG:$AH)), 2, TRUE), 0))</f>
        <v/>
      </c>
      <c r="W689" t="str">
        <f t="shared" si="42"/>
        <v/>
      </c>
      <c r="X689" t="str">
        <f>IF(W689="","", IFERROR(VLOOKUP(W689, IF(D689="KET", 换算标准!$Q:$R, IF(D689="PET", 换算标准!$W:$X, 换算标准!$AI:$AJ)), 2, TRUE), 0))</f>
        <v/>
      </c>
      <c r="Y689" t="str">
        <f t="shared" si="43"/>
        <v/>
      </c>
      <c r="Z689" t="str">
        <f>IF(Y689="","", IFERROR(VLOOKUP(Y689, 换算标准!$Z:$AA, 1, TRUE), ""))</f>
        <v/>
      </c>
      <c r="AA689" s="5" t="str">
        <f>IF(L689="","", "⚠️ 薄弱环节: "&amp;INDEX($E$1:$K$1, MATCH(MIN(E689:K689), E689:K689, 0))&amp;CHAR(10)&amp;"📉 考察能力: "&amp;IFERROR(VLOOKUP(TRIM(D689)&amp;"_"&amp;TRIM(INDEX($E$1:$K$1, MATCH(MIN(E689:K689), E689:K689, 0))), 技能库!$A:$F, 5, 0),"建议查阅考纲")&amp;CHAR(10)&amp;"💡 提升建议: "&amp;IFERROR(VLOOKUP(TRIM(D689)&amp;"_"&amp;TRIM(INDEX($E$1:$K$1, MATCH(MIN(E689:K689), E689:K689, 0))), 技能库!$A:$F, 6, 0),"请针对该题型加强练习"))</f>
        <v/>
      </c>
      <c r="AB689" s="5" t="str">
        <f>IF(P689="","", "⚠️ 薄弱环节: "&amp;INDEX($N$1:$O$1, MATCH(MIN(N689:O689), N689:O689, 0))&amp;CHAR(10)&amp;"📉 考察能力: "&amp;IFERROR(VLOOKUP(TRIM(D689)&amp;"_"&amp;TRIM(INDEX($N$1:$O$1, MATCH(MIN(N689:O689), N689:O689, 0))), 技能库!$A:$F, 5, 0),"建议查阅考纲")&amp;CHAR(10)&amp;"💡 提升建议: "&amp;IFERROR(VLOOKUP(TRIM(D689)&amp;"_"&amp;TRIM(INDEX($N$1:$O$1, MATCH(MIN(N689:O689), N689:O689, 0))), 技能库!$A:$F, 6, 0),"请针对该题型加强练习"))</f>
        <v/>
      </c>
      <c r="AC689" s="5" t="str">
        <f>IF(W689="","", "⚠️ 薄弱环节: "&amp;INDEX($R$1:$V$1, MATCH(MIN(R689:V689), R689:V689, 0))&amp;CHAR(10)&amp;"📉 考察能力: "&amp;IFERROR(VLOOKUP(TRIM(D689)&amp;"_"&amp;TRIM(INDEX($R$1:$V$1, MATCH(MIN(R689:V689), R689:V689, 0))), 技能库!$A:$F, 5, 0),"建议查阅考纲")&amp;CHAR(10)&amp;"💡 提升建议: "&amp;IFERROR(VLOOKUP(TRIM(D689)&amp;"_"&amp;TRIM(INDEX($R$1:$V$1, MATCH(MIN(R689:V689), R689:V689, 0))), 技能库!$A:$F, 6, 0),"请针对该题型加强练习"))</f>
        <v/>
      </c>
    </row>
    <row r="690" spans="12:29" ht="16" hidden="1" x14ac:dyDescent="0.2">
      <c r="L690" t="str">
        <f t="shared" si="40"/>
        <v/>
      </c>
      <c r="M690" t="str">
        <f>IF(L690="","", IFERROR(VLOOKUP(L690, IF(D690="KET", 换算标准!$M:$N, IF(D690="PET", 换算标准!$S:$T, 换算标准!$AC:$AD)), 2, TRUE), 0))</f>
        <v/>
      </c>
      <c r="P690" t="str">
        <f t="shared" si="41"/>
        <v/>
      </c>
      <c r="Q690" t="str">
        <f>IF(P690="","", IFERROR(VLOOKUP(P690, IF(D690="KET", 换算标准!$O:$P, IF(D690="PET", 换算标准!$U:$V, 换算标准!$AG:$AH)), 2, TRUE), 0))</f>
        <v/>
      </c>
      <c r="W690" t="str">
        <f t="shared" si="42"/>
        <v/>
      </c>
      <c r="X690" t="str">
        <f>IF(W690="","", IFERROR(VLOOKUP(W690, IF(D690="KET", 换算标准!$Q:$R, IF(D690="PET", 换算标准!$W:$X, 换算标准!$AI:$AJ)), 2, TRUE), 0))</f>
        <v/>
      </c>
      <c r="Y690" t="str">
        <f t="shared" si="43"/>
        <v/>
      </c>
      <c r="Z690" t="str">
        <f>IF(Y690="","", IFERROR(VLOOKUP(Y690, 换算标准!$Z:$AA, 1, TRUE), ""))</f>
        <v/>
      </c>
      <c r="AA690" s="5" t="str">
        <f>IF(L690="","", "⚠️ 薄弱环节: "&amp;INDEX($E$1:$K$1, MATCH(MIN(E690:K690), E690:K690, 0))&amp;CHAR(10)&amp;"📉 考察能力: "&amp;IFERROR(VLOOKUP(TRIM(D690)&amp;"_"&amp;TRIM(INDEX($E$1:$K$1, MATCH(MIN(E690:K690), E690:K690, 0))), 技能库!$A:$F, 5, 0),"建议查阅考纲")&amp;CHAR(10)&amp;"💡 提升建议: "&amp;IFERROR(VLOOKUP(TRIM(D690)&amp;"_"&amp;TRIM(INDEX($E$1:$K$1, MATCH(MIN(E690:K690), E690:K690, 0))), 技能库!$A:$F, 6, 0),"请针对该题型加强练习"))</f>
        <v/>
      </c>
      <c r="AB690" s="5" t="str">
        <f>IF(P690="","", "⚠️ 薄弱环节: "&amp;INDEX($N$1:$O$1, MATCH(MIN(N690:O690), N690:O690, 0))&amp;CHAR(10)&amp;"📉 考察能力: "&amp;IFERROR(VLOOKUP(TRIM(D690)&amp;"_"&amp;TRIM(INDEX($N$1:$O$1, MATCH(MIN(N690:O690), N690:O690, 0))), 技能库!$A:$F, 5, 0),"建议查阅考纲")&amp;CHAR(10)&amp;"💡 提升建议: "&amp;IFERROR(VLOOKUP(TRIM(D690)&amp;"_"&amp;TRIM(INDEX($N$1:$O$1, MATCH(MIN(N690:O690), N690:O690, 0))), 技能库!$A:$F, 6, 0),"请针对该题型加强练习"))</f>
        <v/>
      </c>
      <c r="AC690" s="5" t="str">
        <f>IF(W690="","", "⚠️ 薄弱环节: "&amp;INDEX($R$1:$V$1, MATCH(MIN(R690:V690), R690:V690, 0))&amp;CHAR(10)&amp;"📉 考察能力: "&amp;IFERROR(VLOOKUP(TRIM(D690)&amp;"_"&amp;TRIM(INDEX($R$1:$V$1, MATCH(MIN(R690:V690), R690:V690, 0))), 技能库!$A:$F, 5, 0),"建议查阅考纲")&amp;CHAR(10)&amp;"💡 提升建议: "&amp;IFERROR(VLOOKUP(TRIM(D690)&amp;"_"&amp;TRIM(INDEX($R$1:$V$1, MATCH(MIN(R690:V690), R690:V690, 0))), 技能库!$A:$F, 6, 0),"请针对该题型加强练习"))</f>
        <v/>
      </c>
    </row>
    <row r="691" spans="12:29" ht="16" hidden="1" x14ac:dyDescent="0.2">
      <c r="L691" t="str">
        <f t="shared" si="40"/>
        <v/>
      </c>
      <c r="M691" t="str">
        <f>IF(L691="","", IFERROR(VLOOKUP(L691, IF(D691="KET", 换算标准!$M:$N, IF(D691="PET", 换算标准!$S:$T, 换算标准!$AC:$AD)), 2, TRUE), 0))</f>
        <v/>
      </c>
      <c r="P691" t="str">
        <f t="shared" si="41"/>
        <v/>
      </c>
      <c r="Q691" t="str">
        <f>IF(P691="","", IFERROR(VLOOKUP(P691, IF(D691="KET", 换算标准!$O:$P, IF(D691="PET", 换算标准!$U:$V, 换算标准!$AG:$AH)), 2, TRUE), 0))</f>
        <v/>
      </c>
      <c r="W691" t="str">
        <f t="shared" si="42"/>
        <v/>
      </c>
      <c r="X691" t="str">
        <f>IF(W691="","", IFERROR(VLOOKUP(W691, IF(D691="KET", 换算标准!$Q:$R, IF(D691="PET", 换算标准!$W:$X, 换算标准!$AI:$AJ)), 2, TRUE), 0))</f>
        <v/>
      </c>
      <c r="Y691" t="str">
        <f t="shared" si="43"/>
        <v/>
      </c>
      <c r="Z691" t="str">
        <f>IF(Y691="","", IFERROR(VLOOKUP(Y691, 换算标准!$Z:$AA, 1, TRUE), ""))</f>
        <v/>
      </c>
      <c r="AA691" s="5" t="str">
        <f>IF(L691="","", "⚠️ 薄弱环节: "&amp;INDEX($E$1:$K$1, MATCH(MIN(E691:K691), E691:K691, 0))&amp;CHAR(10)&amp;"📉 考察能力: "&amp;IFERROR(VLOOKUP(TRIM(D691)&amp;"_"&amp;TRIM(INDEX($E$1:$K$1, MATCH(MIN(E691:K691), E691:K691, 0))), 技能库!$A:$F, 5, 0),"建议查阅考纲")&amp;CHAR(10)&amp;"💡 提升建议: "&amp;IFERROR(VLOOKUP(TRIM(D691)&amp;"_"&amp;TRIM(INDEX($E$1:$K$1, MATCH(MIN(E691:K691), E691:K691, 0))), 技能库!$A:$F, 6, 0),"请针对该题型加强练习"))</f>
        <v/>
      </c>
      <c r="AB691" s="5" t="str">
        <f>IF(P691="","", "⚠️ 薄弱环节: "&amp;INDEX($N$1:$O$1, MATCH(MIN(N691:O691), N691:O691, 0))&amp;CHAR(10)&amp;"📉 考察能力: "&amp;IFERROR(VLOOKUP(TRIM(D691)&amp;"_"&amp;TRIM(INDEX($N$1:$O$1, MATCH(MIN(N691:O691), N691:O691, 0))), 技能库!$A:$F, 5, 0),"建议查阅考纲")&amp;CHAR(10)&amp;"💡 提升建议: "&amp;IFERROR(VLOOKUP(TRIM(D691)&amp;"_"&amp;TRIM(INDEX($N$1:$O$1, MATCH(MIN(N691:O691), N691:O691, 0))), 技能库!$A:$F, 6, 0),"请针对该题型加强练习"))</f>
        <v/>
      </c>
      <c r="AC691" s="5" t="str">
        <f>IF(W691="","", "⚠️ 薄弱环节: "&amp;INDEX($R$1:$V$1, MATCH(MIN(R691:V691), R691:V691, 0))&amp;CHAR(10)&amp;"📉 考察能力: "&amp;IFERROR(VLOOKUP(TRIM(D691)&amp;"_"&amp;TRIM(INDEX($R$1:$V$1, MATCH(MIN(R691:V691), R691:V691, 0))), 技能库!$A:$F, 5, 0),"建议查阅考纲")&amp;CHAR(10)&amp;"💡 提升建议: "&amp;IFERROR(VLOOKUP(TRIM(D691)&amp;"_"&amp;TRIM(INDEX($R$1:$V$1, MATCH(MIN(R691:V691), R691:V691, 0))), 技能库!$A:$F, 6, 0),"请针对该题型加强练习"))</f>
        <v/>
      </c>
    </row>
    <row r="692" spans="12:29" ht="16" hidden="1" x14ac:dyDescent="0.2">
      <c r="L692" t="str">
        <f t="shared" si="40"/>
        <v/>
      </c>
      <c r="M692" t="str">
        <f>IF(L692="","", IFERROR(VLOOKUP(L692, IF(D692="KET", 换算标准!$M:$N, IF(D692="PET", 换算标准!$S:$T, 换算标准!$AC:$AD)), 2, TRUE), 0))</f>
        <v/>
      </c>
      <c r="P692" t="str">
        <f t="shared" si="41"/>
        <v/>
      </c>
      <c r="Q692" t="str">
        <f>IF(P692="","", IFERROR(VLOOKUP(P692, IF(D692="KET", 换算标准!$O:$P, IF(D692="PET", 换算标准!$U:$V, 换算标准!$AG:$AH)), 2, TRUE), 0))</f>
        <v/>
      </c>
      <c r="W692" t="str">
        <f t="shared" si="42"/>
        <v/>
      </c>
      <c r="X692" t="str">
        <f>IF(W692="","", IFERROR(VLOOKUP(W692, IF(D692="KET", 换算标准!$Q:$R, IF(D692="PET", 换算标准!$W:$X, 换算标准!$AI:$AJ)), 2, TRUE), 0))</f>
        <v/>
      </c>
      <c r="Y692" t="str">
        <f t="shared" si="43"/>
        <v/>
      </c>
      <c r="Z692" t="str">
        <f>IF(Y692="","", IFERROR(VLOOKUP(Y692, 换算标准!$Z:$AA, 1, TRUE), ""))</f>
        <v/>
      </c>
      <c r="AA692" s="5" t="str">
        <f>IF(L692="","", "⚠️ 薄弱环节: "&amp;INDEX($E$1:$K$1, MATCH(MIN(E692:K692), E692:K692, 0))&amp;CHAR(10)&amp;"📉 考察能力: "&amp;IFERROR(VLOOKUP(TRIM(D692)&amp;"_"&amp;TRIM(INDEX($E$1:$K$1, MATCH(MIN(E692:K692), E692:K692, 0))), 技能库!$A:$F, 5, 0),"建议查阅考纲")&amp;CHAR(10)&amp;"💡 提升建议: "&amp;IFERROR(VLOOKUP(TRIM(D692)&amp;"_"&amp;TRIM(INDEX($E$1:$K$1, MATCH(MIN(E692:K692), E692:K692, 0))), 技能库!$A:$F, 6, 0),"请针对该题型加强练习"))</f>
        <v/>
      </c>
      <c r="AB692" s="5" t="str">
        <f>IF(P692="","", "⚠️ 薄弱环节: "&amp;INDEX($N$1:$O$1, MATCH(MIN(N692:O692), N692:O692, 0))&amp;CHAR(10)&amp;"📉 考察能力: "&amp;IFERROR(VLOOKUP(TRIM(D692)&amp;"_"&amp;TRIM(INDEX($N$1:$O$1, MATCH(MIN(N692:O692), N692:O692, 0))), 技能库!$A:$F, 5, 0),"建议查阅考纲")&amp;CHAR(10)&amp;"💡 提升建议: "&amp;IFERROR(VLOOKUP(TRIM(D692)&amp;"_"&amp;TRIM(INDEX($N$1:$O$1, MATCH(MIN(N692:O692), N692:O692, 0))), 技能库!$A:$F, 6, 0),"请针对该题型加强练习"))</f>
        <v/>
      </c>
      <c r="AC692" s="5" t="str">
        <f>IF(W692="","", "⚠️ 薄弱环节: "&amp;INDEX($R$1:$V$1, MATCH(MIN(R692:V692), R692:V692, 0))&amp;CHAR(10)&amp;"📉 考察能力: "&amp;IFERROR(VLOOKUP(TRIM(D692)&amp;"_"&amp;TRIM(INDEX($R$1:$V$1, MATCH(MIN(R692:V692), R692:V692, 0))), 技能库!$A:$F, 5, 0),"建议查阅考纲")&amp;CHAR(10)&amp;"💡 提升建议: "&amp;IFERROR(VLOOKUP(TRIM(D692)&amp;"_"&amp;TRIM(INDEX($R$1:$V$1, MATCH(MIN(R692:V692), R692:V692, 0))), 技能库!$A:$F, 6, 0),"请针对该题型加强练习"))</f>
        <v/>
      </c>
    </row>
    <row r="693" spans="12:29" ht="16" hidden="1" x14ac:dyDescent="0.2">
      <c r="L693" t="str">
        <f t="shared" si="40"/>
        <v/>
      </c>
      <c r="M693" t="str">
        <f>IF(L693="","", IFERROR(VLOOKUP(L693, IF(D693="KET", 换算标准!$M:$N, IF(D693="PET", 换算标准!$S:$T, 换算标准!$AC:$AD)), 2, TRUE), 0))</f>
        <v/>
      </c>
      <c r="P693" t="str">
        <f t="shared" si="41"/>
        <v/>
      </c>
      <c r="Q693" t="str">
        <f>IF(P693="","", IFERROR(VLOOKUP(P693, IF(D693="KET", 换算标准!$O:$P, IF(D693="PET", 换算标准!$U:$V, 换算标准!$AG:$AH)), 2, TRUE), 0))</f>
        <v/>
      </c>
      <c r="W693" t="str">
        <f t="shared" si="42"/>
        <v/>
      </c>
      <c r="X693" t="str">
        <f>IF(W693="","", IFERROR(VLOOKUP(W693, IF(D693="KET", 换算标准!$Q:$R, IF(D693="PET", 换算标准!$W:$X, 换算标准!$AI:$AJ)), 2, TRUE), 0))</f>
        <v/>
      </c>
      <c r="Y693" t="str">
        <f t="shared" si="43"/>
        <v/>
      </c>
      <c r="Z693" t="str">
        <f>IF(Y693="","", IFERROR(VLOOKUP(Y693, 换算标准!$Z:$AA, 1, TRUE), ""))</f>
        <v/>
      </c>
      <c r="AA693" s="5" t="str">
        <f>IF(L693="","", "⚠️ 薄弱环节: "&amp;INDEX($E$1:$K$1, MATCH(MIN(E693:K693), E693:K693, 0))&amp;CHAR(10)&amp;"📉 考察能力: "&amp;IFERROR(VLOOKUP(TRIM(D693)&amp;"_"&amp;TRIM(INDEX($E$1:$K$1, MATCH(MIN(E693:K693), E693:K693, 0))), 技能库!$A:$F, 5, 0),"建议查阅考纲")&amp;CHAR(10)&amp;"💡 提升建议: "&amp;IFERROR(VLOOKUP(TRIM(D693)&amp;"_"&amp;TRIM(INDEX($E$1:$K$1, MATCH(MIN(E693:K693), E693:K693, 0))), 技能库!$A:$F, 6, 0),"请针对该题型加强练习"))</f>
        <v/>
      </c>
      <c r="AB693" s="5" t="str">
        <f>IF(P693="","", "⚠️ 薄弱环节: "&amp;INDEX($N$1:$O$1, MATCH(MIN(N693:O693), N693:O693, 0))&amp;CHAR(10)&amp;"📉 考察能力: "&amp;IFERROR(VLOOKUP(TRIM(D693)&amp;"_"&amp;TRIM(INDEX($N$1:$O$1, MATCH(MIN(N693:O693), N693:O693, 0))), 技能库!$A:$F, 5, 0),"建议查阅考纲")&amp;CHAR(10)&amp;"💡 提升建议: "&amp;IFERROR(VLOOKUP(TRIM(D693)&amp;"_"&amp;TRIM(INDEX($N$1:$O$1, MATCH(MIN(N693:O693), N693:O693, 0))), 技能库!$A:$F, 6, 0),"请针对该题型加强练习"))</f>
        <v/>
      </c>
      <c r="AC693" s="5" t="str">
        <f>IF(W693="","", "⚠️ 薄弱环节: "&amp;INDEX($R$1:$V$1, MATCH(MIN(R693:V693), R693:V693, 0))&amp;CHAR(10)&amp;"📉 考察能力: "&amp;IFERROR(VLOOKUP(TRIM(D693)&amp;"_"&amp;TRIM(INDEX($R$1:$V$1, MATCH(MIN(R693:V693), R693:V693, 0))), 技能库!$A:$F, 5, 0),"建议查阅考纲")&amp;CHAR(10)&amp;"💡 提升建议: "&amp;IFERROR(VLOOKUP(TRIM(D693)&amp;"_"&amp;TRIM(INDEX($R$1:$V$1, MATCH(MIN(R693:V693), R693:V693, 0))), 技能库!$A:$F, 6, 0),"请针对该题型加强练习"))</f>
        <v/>
      </c>
    </row>
    <row r="694" spans="12:29" ht="16" hidden="1" x14ac:dyDescent="0.2">
      <c r="L694" t="str">
        <f t="shared" si="40"/>
        <v/>
      </c>
      <c r="M694" t="str">
        <f>IF(L694="","", IFERROR(VLOOKUP(L694, IF(D694="KET", 换算标准!$M:$N, IF(D694="PET", 换算标准!$S:$T, 换算标准!$AC:$AD)), 2, TRUE), 0))</f>
        <v/>
      </c>
      <c r="P694" t="str">
        <f t="shared" si="41"/>
        <v/>
      </c>
      <c r="Q694" t="str">
        <f>IF(P694="","", IFERROR(VLOOKUP(P694, IF(D694="KET", 换算标准!$O:$P, IF(D694="PET", 换算标准!$U:$V, 换算标准!$AG:$AH)), 2, TRUE), 0))</f>
        <v/>
      </c>
      <c r="W694" t="str">
        <f t="shared" si="42"/>
        <v/>
      </c>
      <c r="X694" t="str">
        <f>IF(W694="","", IFERROR(VLOOKUP(W694, IF(D694="KET", 换算标准!$Q:$R, IF(D694="PET", 换算标准!$W:$X, 换算标准!$AI:$AJ)), 2, TRUE), 0))</f>
        <v/>
      </c>
      <c r="Y694" t="str">
        <f t="shared" si="43"/>
        <v/>
      </c>
      <c r="Z694" t="str">
        <f>IF(Y694="","", IFERROR(VLOOKUP(Y694, 换算标准!$Z:$AA, 1, TRUE), ""))</f>
        <v/>
      </c>
      <c r="AA694" s="5" t="str">
        <f>IF(L694="","", "⚠️ 薄弱环节: "&amp;INDEX($E$1:$K$1, MATCH(MIN(E694:K694), E694:K694, 0))&amp;CHAR(10)&amp;"📉 考察能力: "&amp;IFERROR(VLOOKUP(TRIM(D694)&amp;"_"&amp;TRIM(INDEX($E$1:$K$1, MATCH(MIN(E694:K694), E694:K694, 0))), 技能库!$A:$F, 5, 0),"建议查阅考纲")&amp;CHAR(10)&amp;"💡 提升建议: "&amp;IFERROR(VLOOKUP(TRIM(D694)&amp;"_"&amp;TRIM(INDEX($E$1:$K$1, MATCH(MIN(E694:K694), E694:K694, 0))), 技能库!$A:$F, 6, 0),"请针对该题型加强练习"))</f>
        <v/>
      </c>
      <c r="AB694" s="5" t="str">
        <f>IF(P694="","", "⚠️ 薄弱环节: "&amp;INDEX($N$1:$O$1, MATCH(MIN(N694:O694), N694:O694, 0))&amp;CHAR(10)&amp;"📉 考察能力: "&amp;IFERROR(VLOOKUP(TRIM(D694)&amp;"_"&amp;TRIM(INDEX($N$1:$O$1, MATCH(MIN(N694:O694), N694:O694, 0))), 技能库!$A:$F, 5, 0),"建议查阅考纲")&amp;CHAR(10)&amp;"💡 提升建议: "&amp;IFERROR(VLOOKUP(TRIM(D694)&amp;"_"&amp;TRIM(INDEX($N$1:$O$1, MATCH(MIN(N694:O694), N694:O694, 0))), 技能库!$A:$F, 6, 0),"请针对该题型加强练习"))</f>
        <v/>
      </c>
      <c r="AC694" s="5" t="str">
        <f>IF(W694="","", "⚠️ 薄弱环节: "&amp;INDEX($R$1:$V$1, MATCH(MIN(R694:V694), R694:V694, 0))&amp;CHAR(10)&amp;"📉 考察能力: "&amp;IFERROR(VLOOKUP(TRIM(D694)&amp;"_"&amp;TRIM(INDEX($R$1:$V$1, MATCH(MIN(R694:V694), R694:V694, 0))), 技能库!$A:$F, 5, 0),"建议查阅考纲")&amp;CHAR(10)&amp;"💡 提升建议: "&amp;IFERROR(VLOOKUP(TRIM(D694)&amp;"_"&amp;TRIM(INDEX($R$1:$V$1, MATCH(MIN(R694:V694), R694:V694, 0))), 技能库!$A:$F, 6, 0),"请针对该题型加强练习"))</f>
        <v/>
      </c>
    </row>
    <row r="695" spans="12:29" ht="16" hidden="1" x14ac:dyDescent="0.2">
      <c r="L695" t="str">
        <f t="shared" si="40"/>
        <v/>
      </c>
      <c r="M695" t="str">
        <f>IF(L695="","", IFERROR(VLOOKUP(L695, IF(D695="KET", 换算标准!$M:$N, IF(D695="PET", 换算标准!$S:$T, 换算标准!$AC:$AD)), 2, TRUE), 0))</f>
        <v/>
      </c>
      <c r="P695" t="str">
        <f t="shared" si="41"/>
        <v/>
      </c>
      <c r="Q695" t="str">
        <f>IF(P695="","", IFERROR(VLOOKUP(P695, IF(D695="KET", 换算标准!$O:$P, IF(D695="PET", 换算标准!$U:$V, 换算标准!$AG:$AH)), 2, TRUE), 0))</f>
        <v/>
      </c>
      <c r="W695" t="str">
        <f t="shared" si="42"/>
        <v/>
      </c>
      <c r="X695" t="str">
        <f>IF(W695="","", IFERROR(VLOOKUP(W695, IF(D695="KET", 换算标准!$Q:$R, IF(D695="PET", 换算标准!$W:$X, 换算标准!$AI:$AJ)), 2, TRUE), 0))</f>
        <v/>
      </c>
      <c r="Y695" t="str">
        <f t="shared" si="43"/>
        <v/>
      </c>
      <c r="Z695" t="str">
        <f>IF(Y695="","", IFERROR(VLOOKUP(Y695, 换算标准!$Z:$AA, 1, TRUE), ""))</f>
        <v/>
      </c>
      <c r="AA695" s="5" t="str">
        <f>IF(L695="","", "⚠️ 薄弱环节: "&amp;INDEX($E$1:$K$1, MATCH(MIN(E695:K695), E695:K695, 0))&amp;CHAR(10)&amp;"📉 考察能力: "&amp;IFERROR(VLOOKUP(TRIM(D695)&amp;"_"&amp;TRIM(INDEX($E$1:$K$1, MATCH(MIN(E695:K695), E695:K695, 0))), 技能库!$A:$F, 5, 0),"建议查阅考纲")&amp;CHAR(10)&amp;"💡 提升建议: "&amp;IFERROR(VLOOKUP(TRIM(D695)&amp;"_"&amp;TRIM(INDEX($E$1:$K$1, MATCH(MIN(E695:K695), E695:K695, 0))), 技能库!$A:$F, 6, 0),"请针对该题型加强练习"))</f>
        <v/>
      </c>
      <c r="AB695" s="5" t="str">
        <f>IF(P695="","", "⚠️ 薄弱环节: "&amp;INDEX($N$1:$O$1, MATCH(MIN(N695:O695), N695:O695, 0))&amp;CHAR(10)&amp;"📉 考察能力: "&amp;IFERROR(VLOOKUP(TRIM(D695)&amp;"_"&amp;TRIM(INDEX($N$1:$O$1, MATCH(MIN(N695:O695), N695:O695, 0))), 技能库!$A:$F, 5, 0),"建议查阅考纲")&amp;CHAR(10)&amp;"💡 提升建议: "&amp;IFERROR(VLOOKUP(TRIM(D695)&amp;"_"&amp;TRIM(INDEX($N$1:$O$1, MATCH(MIN(N695:O695), N695:O695, 0))), 技能库!$A:$F, 6, 0),"请针对该题型加强练习"))</f>
        <v/>
      </c>
      <c r="AC695" s="5" t="str">
        <f>IF(W695="","", "⚠️ 薄弱环节: "&amp;INDEX($R$1:$V$1, MATCH(MIN(R695:V695), R695:V695, 0))&amp;CHAR(10)&amp;"📉 考察能力: "&amp;IFERROR(VLOOKUP(TRIM(D695)&amp;"_"&amp;TRIM(INDEX($R$1:$V$1, MATCH(MIN(R695:V695), R695:V695, 0))), 技能库!$A:$F, 5, 0),"建议查阅考纲")&amp;CHAR(10)&amp;"💡 提升建议: "&amp;IFERROR(VLOOKUP(TRIM(D695)&amp;"_"&amp;TRIM(INDEX($R$1:$V$1, MATCH(MIN(R695:V695), R695:V695, 0))), 技能库!$A:$F, 6, 0),"请针对该题型加强练习"))</f>
        <v/>
      </c>
    </row>
    <row r="696" spans="12:29" ht="16" hidden="1" x14ac:dyDescent="0.2">
      <c r="L696" t="str">
        <f t="shared" si="40"/>
        <v/>
      </c>
      <c r="M696" t="str">
        <f>IF(L696="","", IFERROR(VLOOKUP(L696, IF(D696="KET", 换算标准!$M:$N, IF(D696="PET", 换算标准!$S:$T, 换算标准!$AC:$AD)), 2, TRUE), 0))</f>
        <v/>
      </c>
      <c r="P696" t="str">
        <f t="shared" si="41"/>
        <v/>
      </c>
      <c r="Q696" t="str">
        <f>IF(P696="","", IFERROR(VLOOKUP(P696, IF(D696="KET", 换算标准!$O:$P, IF(D696="PET", 换算标准!$U:$V, 换算标准!$AG:$AH)), 2, TRUE), 0))</f>
        <v/>
      </c>
      <c r="W696" t="str">
        <f t="shared" si="42"/>
        <v/>
      </c>
      <c r="X696" t="str">
        <f>IF(W696="","", IFERROR(VLOOKUP(W696, IF(D696="KET", 换算标准!$Q:$R, IF(D696="PET", 换算标准!$W:$X, 换算标准!$AI:$AJ)), 2, TRUE), 0))</f>
        <v/>
      </c>
      <c r="Y696" t="str">
        <f t="shared" si="43"/>
        <v/>
      </c>
      <c r="Z696" t="str">
        <f>IF(Y696="","", IFERROR(VLOOKUP(Y696, 换算标准!$Z:$AA, 1, TRUE), ""))</f>
        <v/>
      </c>
      <c r="AA696" s="5" t="str">
        <f>IF(L696="","", "⚠️ 薄弱环节: "&amp;INDEX($E$1:$K$1, MATCH(MIN(E696:K696), E696:K696, 0))&amp;CHAR(10)&amp;"📉 考察能力: "&amp;IFERROR(VLOOKUP(TRIM(D696)&amp;"_"&amp;TRIM(INDEX($E$1:$K$1, MATCH(MIN(E696:K696), E696:K696, 0))), 技能库!$A:$F, 5, 0),"建议查阅考纲")&amp;CHAR(10)&amp;"💡 提升建议: "&amp;IFERROR(VLOOKUP(TRIM(D696)&amp;"_"&amp;TRIM(INDEX($E$1:$K$1, MATCH(MIN(E696:K696), E696:K696, 0))), 技能库!$A:$F, 6, 0),"请针对该题型加强练习"))</f>
        <v/>
      </c>
      <c r="AB696" s="5" t="str">
        <f>IF(P696="","", "⚠️ 薄弱环节: "&amp;INDEX($N$1:$O$1, MATCH(MIN(N696:O696), N696:O696, 0))&amp;CHAR(10)&amp;"📉 考察能力: "&amp;IFERROR(VLOOKUP(TRIM(D696)&amp;"_"&amp;TRIM(INDEX($N$1:$O$1, MATCH(MIN(N696:O696), N696:O696, 0))), 技能库!$A:$F, 5, 0),"建议查阅考纲")&amp;CHAR(10)&amp;"💡 提升建议: "&amp;IFERROR(VLOOKUP(TRIM(D696)&amp;"_"&amp;TRIM(INDEX($N$1:$O$1, MATCH(MIN(N696:O696), N696:O696, 0))), 技能库!$A:$F, 6, 0),"请针对该题型加强练习"))</f>
        <v/>
      </c>
      <c r="AC696" s="5" t="str">
        <f>IF(W696="","", "⚠️ 薄弱环节: "&amp;INDEX($R$1:$V$1, MATCH(MIN(R696:V696), R696:V696, 0))&amp;CHAR(10)&amp;"📉 考察能力: "&amp;IFERROR(VLOOKUP(TRIM(D696)&amp;"_"&amp;TRIM(INDEX($R$1:$V$1, MATCH(MIN(R696:V696), R696:V696, 0))), 技能库!$A:$F, 5, 0),"建议查阅考纲")&amp;CHAR(10)&amp;"💡 提升建议: "&amp;IFERROR(VLOOKUP(TRIM(D696)&amp;"_"&amp;TRIM(INDEX($R$1:$V$1, MATCH(MIN(R696:V696), R696:V696, 0))), 技能库!$A:$F, 6, 0),"请针对该题型加强练习"))</f>
        <v/>
      </c>
    </row>
    <row r="697" spans="12:29" ht="16" hidden="1" x14ac:dyDescent="0.2">
      <c r="L697" t="str">
        <f t="shared" si="40"/>
        <v/>
      </c>
      <c r="M697" t="str">
        <f>IF(L697="","", IFERROR(VLOOKUP(L697, IF(D697="KET", 换算标准!$M:$N, IF(D697="PET", 换算标准!$S:$T, 换算标准!$AC:$AD)), 2, TRUE), 0))</f>
        <v/>
      </c>
      <c r="P697" t="str">
        <f t="shared" si="41"/>
        <v/>
      </c>
      <c r="Q697" t="str">
        <f>IF(P697="","", IFERROR(VLOOKUP(P697, IF(D697="KET", 换算标准!$O:$P, IF(D697="PET", 换算标准!$U:$V, 换算标准!$AG:$AH)), 2, TRUE), 0))</f>
        <v/>
      </c>
      <c r="W697" t="str">
        <f t="shared" si="42"/>
        <v/>
      </c>
      <c r="X697" t="str">
        <f>IF(W697="","", IFERROR(VLOOKUP(W697, IF(D697="KET", 换算标准!$Q:$R, IF(D697="PET", 换算标准!$W:$X, 换算标准!$AI:$AJ)), 2, TRUE), 0))</f>
        <v/>
      </c>
      <c r="Y697" t="str">
        <f t="shared" si="43"/>
        <v/>
      </c>
      <c r="Z697" t="str">
        <f>IF(Y697="","", IFERROR(VLOOKUP(Y697, 换算标准!$Z:$AA, 1, TRUE), ""))</f>
        <v/>
      </c>
      <c r="AA697" s="5" t="str">
        <f>IF(L697="","", "⚠️ 薄弱环节: "&amp;INDEX($E$1:$K$1, MATCH(MIN(E697:K697), E697:K697, 0))&amp;CHAR(10)&amp;"📉 考察能力: "&amp;IFERROR(VLOOKUP(TRIM(D697)&amp;"_"&amp;TRIM(INDEX($E$1:$K$1, MATCH(MIN(E697:K697), E697:K697, 0))), 技能库!$A:$F, 5, 0),"建议查阅考纲")&amp;CHAR(10)&amp;"💡 提升建议: "&amp;IFERROR(VLOOKUP(TRIM(D697)&amp;"_"&amp;TRIM(INDEX($E$1:$K$1, MATCH(MIN(E697:K697), E697:K697, 0))), 技能库!$A:$F, 6, 0),"请针对该题型加强练习"))</f>
        <v/>
      </c>
      <c r="AB697" s="5" t="str">
        <f>IF(P697="","", "⚠️ 薄弱环节: "&amp;INDEX($N$1:$O$1, MATCH(MIN(N697:O697), N697:O697, 0))&amp;CHAR(10)&amp;"📉 考察能力: "&amp;IFERROR(VLOOKUP(TRIM(D697)&amp;"_"&amp;TRIM(INDEX($N$1:$O$1, MATCH(MIN(N697:O697), N697:O697, 0))), 技能库!$A:$F, 5, 0),"建议查阅考纲")&amp;CHAR(10)&amp;"💡 提升建议: "&amp;IFERROR(VLOOKUP(TRIM(D697)&amp;"_"&amp;TRIM(INDEX($N$1:$O$1, MATCH(MIN(N697:O697), N697:O697, 0))), 技能库!$A:$F, 6, 0),"请针对该题型加强练习"))</f>
        <v/>
      </c>
      <c r="AC697" s="5" t="str">
        <f>IF(W697="","", "⚠️ 薄弱环节: "&amp;INDEX($R$1:$V$1, MATCH(MIN(R697:V697), R697:V697, 0))&amp;CHAR(10)&amp;"📉 考察能力: "&amp;IFERROR(VLOOKUP(TRIM(D697)&amp;"_"&amp;TRIM(INDEX($R$1:$V$1, MATCH(MIN(R697:V697), R697:V697, 0))), 技能库!$A:$F, 5, 0),"建议查阅考纲")&amp;CHAR(10)&amp;"💡 提升建议: "&amp;IFERROR(VLOOKUP(TRIM(D697)&amp;"_"&amp;TRIM(INDEX($R$1:$V$1, MATCH(MIN(R697:V697), R697:V697, 0))), 技能库!$A:$F, 6, 0),"请针对该题型加强练习"))</f>
        <v/>
      </c>
    </row>
    <row r="698" spans="12:29" ht="16" hidden="1" x14ac:dyDescent="0.2">
      <c r="L698" t="str">
        <f t="shared" si="40"/>
        <v/>
      </c>
      <c r="M698" t="str">
        <f>IF(L698="","", IFERROR(VLOOKUP(L698, IF(D698="KET", 换算标准!$M:$N, IF(D698="PET", 换算标准!$S:$T, 换算标准!$AC:$AD)), 2, TRUE), 0))</f>
        <v/>
      </c>
      <c r="P698" t="str">
        <f t="shared" si="41"/>
        <v/>
      </c>
      <c r="Q698" t="str">
        <f>IF(P698="","", IFERROR(VLOOKUP(P698, IF(D698="KET", 换算标准!$O:$P, IF(D698="PET", 换算标准!$U:$V, 换算标准!$AG:$AH)), 2, TRUE), 0))</f>
        <v/>
      </c>
      <c r="W698" t="str">
        <f t="shared" si="42"/>
        <v/>
      </c>
      <c r="X698" t="str">
        <f>IF(W698="","", IFERROR(VLOOKUP(W698, IF(D698="KET", 换算标准!$Q:$R, IF(D698="PET", 换算标准!$W:$X, 换算标准!$AI:$AJ)), 2, TRUE), 0))</f>
        <v/>
      </c>
      <c r="Y698" t="str">
        <f t="shared" si="43"/>
        <v/>
      </c>
      <c r="Z698" t="str">
        <f>IF(Y698="","", IFERROR(VLOOKUP(Y698, 换算标准!$Z:$AA, 1, TRUE), ""))</f>
        <v/>
      </c>
      <c r="AA698" s="5" t="str">
        <f>IF(L698="","", "⚠️ 薄弱环节: "&amp;INDEX($E$1:$K$1, MATCH(MIN(E698:K698), E698:K698, 0))&amp;CHAR(10)&amp;"📉 考察能力: "&amp;IFERROR(VLOOKUP(TRIM(D698)&amp;"_"&amp;TRIM(INDEX($E$1:$K$1, MATCH(MIN(E698:K698), E698:K698, 0))), 技能库!$A:$F, 5, 0),"建议查阅考纲")&amp;CHAR(10)&amp;"💡 提升建议: "&amp;IFERROR(VLOOKUP(TRIM(D698)&amp;"_"&amp;TRIM(INDEX($E$1:$K$1, MATCH(MIN(E698:K698), E698:K698, 0))), 技能库!$A:$F, 6, 0),"请针对该题型加强练习"))</f>
        <v/>
      </c>
      <c r="AB698" s="5" t="str">
        <f>IF(P698="","", "⚠️ 薄弱环节: "&amp;INDEX($N$1:$O$1, MATCH(MIN(N698:O698), N698:O698, 0))&amp;CHAR(10)&amp;"📉 考察能力: "&amp;IFERROR(VLOOKUP(TRIM(D698)&amp;"_"&amp;TRIM(INDEX($N$1:$O$1, MATCH(MIN(N698:O698), N698:O698, 0))), 技能库!$A:$F, 5, 0),"建议查阅考纲")&amp;CHAR(10)&amp;"💡 提升建议: "&amp;IFERROR(VLOOKUP(TRIM(D698)&amp;"_"&amp;TRIM(INDEX($N$1:$O$1, MATCH(MIN(N698:O698), N698:O698, 0))), 技能库!$A:$F, 6, 0),"请针对该题型加强练习"))</f>
        <v/>
      </c>
      <c r="AC698" s="5" t="str">
        <f>IF(W698="","", "⚠️ 薄弱环节: "&amp;INDEX($R$1:$V$1, MATCH(MIN(R698:V698), R698:V698, 0))&amp;CHAR(10)&amp;"📉 考察能力: "&amp;IFERROR(VLOOKUP(TRIM(D698)&amp;"_"&amp;TRIM(INDEX($R$1:$V$1, MATCH(MIN(R698:V698), R698:V698, 0))), 技能库!$A:$F, 5, 0),"建议查阅考纲")&amp;CHAR(10)&amp;"💡 提升建议: "&amp;IFERROR(VLOOKUP(TRIM(D698)&amp;"_"&amp;TRIM(INDEX($R$1:$V$1, MATCH(MIN(R698:V698), R698:V698, 0))), 技能库!$A:$F, 6, 0),"请针对该题型加强练习"))</f>
        <v/>
      </c>
    </row>
    <row r="699" spans="12:29" ht="16" hidden="1" x14ac:dyDescent="0.2">
      <c r="L699" t="str">
        <f t="shared" si="40"/>
        <v/>
      </c>
      <c r="M699" t="str">
        <f>IF(L699="","", IFERROR(VLOOKUP(L699, IF(D699="KET", 换算标准!$M:$N, IF(D699="PET", 换算标准!$S:$T, 换算标准!$AC:$AD)), 2, TRUE), 0))</f>
        <v/>
      </c>
      <c r="P699" t="str">
        <f t="shared" si="41"/>
        <v/>
      </c>
      <c r="Q699" t="str">
        <f>IF(P699="","", IFERROR(VLOOKUP(P699, IF(D699="KET", 换算标准!$O:$P, IF(D699="PET", 换算标准!$U:$V, 换算标准!$AG:$AH)), 2, TRUE), 0))</f>
        <v/>
      </c>
      <c r="W699" t="str">
        <f t="shared" si="42"/>
        <v/>
      </c>
      <c r="X699" t="str">
        <f>IF(W699="","", IFERROR(VLOOKUP(W699, IF(D699="KET", 换算标准!$Q:$R, IF(D699="PET", 换算标准!$W:$X, 换算标准!$AI:$AJ)), 2, TRUE), 0))</f>
        <v/>
      </c>
      <c r="Y699" t="str">
        <f t="shared" si="43"/>
        <v/>
      </c>
      <c r="Z699" t="str">
        <f>IF(Y699="","", IFERROR(VLOOKUP(Y699, 换算标准!$Z:$AA, 1, TRUE), ""))</f>
        <v/>
      </c>
      <c r="AA699" s="5" t="str">
        <f>IF(L699="","", "⚠️ 薄弱环节: "&amp;INDEX($E$1:$K$1, MATCH(MIN(E699:K699), E699:K699, 0))&amp;CHAR(10)&amp;"📉 考察能力: "&amp;IFERROR(VLOOKUP(TRIM(D699)&amp;"_"&amp;TRIM(INDEX($E$1:$K$1, MATCH(MIN(E699:K699), E699:K699, 0))), 技能库!$A:$F, 5, 0),"建议查阅考纲")&amp;CHAR(10)&amp;"💡 提升建议: "&amp;IFERROR(VLOOKUP(TRIM(D699)&amp;"_"&amp;TRIM(INDEX($E$1:$K$1, MATCH(MIN(E699:K699), E699:K699, 0))), 技能库!$A:$F, 6, 0),"请针对该题型加强练习"))</f>
        <v/>
      </c>
      <c r="AB699" s="5" t="str">
        <f>IF(P699="","", "⚠️ 薄弱环节: "&amp;INDEX($N$1:$O$1, MATCH(MIN(N699:O699), N699:O699, 0))&amp;CHAR(10)&amp;"📉 考察能力: "&amp;IFERROR(VLOOKUP(TRIM(D699)&amp;"_"&amp;TRIM(INDEX($N$1:$O$1, MATCH(MIN(N699:O699), N699:O699, 0))), 技能库!$A:$F, 5, 0),"建议查阅考纲")&amp;CHAR(10)&amp;"💡 提升建议: "&amp;IFERROR(VLOOKUP(TRIM(D699)&amp;"_"&amp;TRIM(INDEX($N$1:$O$1, MATCH(MIN(N699:O699), N699:O699, 0))), 技能库!$A:$F, 6, 0),"请针对该题型加强练习"))</f>
        <v/>
      </c>
      <c r="AC699" s="5" t="str">
        <f>IF(W699="","", "⚠️ 薄弱环节: "&amp;INDEX($R$1:$V$1, MATCH(MIN(R699:V699), R699:V699, 0))&amp;CHAR(10)&amp;"📉 考察能力: "&amp;IFERROR(VLOOKUP(TRIM(D699)&amp;"_"&amp;TRIM(INDEX($R$1:$V$1, MATCH(MIN(R699:V699), R699:V699, 0))), 技能库!$A:$F, 5, 0),"建议查阅考纲")&amp;CHAR(10)&amp;"💡 提升建议: "&amp;IFERROR(VLOOKUP(TRIM(D699)&amp;"_"&amp;TRIM(INDEX($R$1:$V$1, MATCH(MIN(R699:V699), R699:V699, 0))), 技能库!$A:$F, 6, 0),"请针对该题型加强练习"))</f>
        <v/>
      </c>
    </row>
    <row r="700" spans="12:29" ht="16" hidden="1" x14ac:dyDescent="0.2">
      <c r="L700" t="str">
        <f t="shared" si="40"/>
        <v/>
      </c>
      <c r="M700" t="str">
        <f>IF(L700="","", IFERROR(VLOOKUP(L700, IF(D700="KET", 换算标准!$M:$N, IF(D700="PET", 换算标准!$S:$T, 换算标准!$AC:$AD)), 2, TRUE), 0))</f>
        <v/>
      </c>
      <c r="P700" t="str">
        <f t="shared" si="41"/>
        <v/>
      </c>
      <c r="Q700" t="str">
        <f>IF(P700="","", IFERROR(VLOOKUP(P700, IF(D700="KET", 换算标准!$O:$P, IF(D700="PET", 换算标准!$U:$V, 换算标准!$AG:$AH)), 2, TRUE), 0))</f>
        <v/>
      </c>
      <c r="W700" t="str">
        <f t="shared" si="42"/>
        <v/>
      </c>
      <c r="X700" t="str">
        <f>IF(W700="","", IFERROR(VLOOKUP(W700, IF(D700="KET", 换算标准!$Q:$R, IF(D700="PET", 换算标准!$W:$X, 换算标准!$AI:$AJ)), 2, TRUE), 0))</f>
        <v/>
      </c>
      <c r="Y700" t="str">
        <f t="shared" si="43"/>
        <v/>
      </c>
      <c r="Z700" t="str">
        <f>IF(Y700="","", IFERROR(VLOOKUP(Y700, 换算标准!$Z:$AA, 1, TRUE), ""))</f>
        <v/>
      </c>
      <c r="AA700" s="5" t="str">
        <f>IF(L700="","", "⚠️ 薄弱环节: "&amp;INDEX($E$1:$K$1, MATCH(MIN(E700:K700), E700:K700, 0))&amp;CHAR(10)&amp;"📉 考察能力: "&amp;IFERROR(VLOOKUP(TRIM(D700)&amp;"_"&amp;TRIM(INDEX($E$1:$K$1, MATCH(MIN(E700:K700), E700:K700, 0))), 技能库!$A:$F, 5, 0),"建议查阅考纲")&amp;CHAR(10)&amp;"💡 提升建议: "&amp;IFERROR(VLOOKUP(TRIM(D700)&amp;"_"&amp;TRIM(INDEX($E$1:$K$1, MATCH(MIN(E700:K700), E700:K700, 0))), 技能库!$A:$F, 6, 0),"请针对该题型加强练习"))</f>
        <v/>
      </c>
      <c r="AB700" s="5" t="str">
        <f>IF(P700="","", "⚠️ 薄弱环节: "&amp;INDEX($N$1:$O$1, MATCH(MIN(N700:O700), N700:O700, 0))&amp;CHAR(10)&amp;"📉 考察能力: "&amp;IFERROR(VLOOKUP(TRIM(D700)&amp;"_"&amp;TRIM(INDEX($N$1:$O$1, MATCH(MIN(N700:O700), N700:O700, 0))), 技能库!$A:$F, 5, 0),"建议查阅考纲")&amp;CHAR(10)&amp;"💡 提升建议: "&amp;IFERROR(VLOOKUP(TRIM(D700)&amp;"_"&amp;TRIM(INDEX($N$1:$O$1, MATCH(MIN(N700:O700), N700:O700, 0))), 技能库!$A:$F, 6, 0),"请针对该题型加强练习"))</f>
        <v/>
      </c>
      <c r="AC700" s="5" t="str">
        <f>IF(W700="","", "⚠️ 薄弱环节: "&amp;INDEX($R$1:$V$1, MATCH(MIN(R700:V700), R700:V700, 0))&amp;CHAR(10)&amp;"📉 考察能力: "&amp;IFERROR(VLOOKUP(TRIM(D700)&amp;"_"&amp;TRIM(INDEX($R$1:$V$1, MATCH(MIN(R700:V700), R700:V700, 0))), 技能库!$A:$F, 5, 0),"建议查阅考纲")&amp;CHAR(10)&amp;"💡 提升建议: "&amp;IFERROR(VLOOKUP(TRIM(D700)&amp;"_"&amp;TRIM(INDEX($R$1:$V$1, MATCH(MIN(R700:V700), R700:V700, 0))), 技能库!$A:$F, 6, 0),"请针对该题型加强练习"))</f>
        <v/>
      </c>
    </row>
    <row r="701" spans="12:29" ht="16" hidden="1" x14ac:dyDescent="0.2">
      <c r="L701" t="str">
        <f t="shared" si="40"/>
        <v/>
      </c>
      <c r="M701" t="str">
        <f>IF(L701="","", IFERROR(VLOOKUP(L701, IF(D701="KET", 换算标准!$M:$N, IF(D701="PET", 换算标准!$S:$T, 换算标准!$AC:$AD)), 2, TRUE), 0))</f>
        <v/>
      </c>
      <c r="P701" t="str">
        <f t="shared" si="41"/>
        <v/>
      </c>
      <c r="Q701" t="str">
        <f>IF(P701="","", IFERROR(VLOOKUP(P701, IF(D701="KET", 换算标准!$O:$P, IF(D701="PET", 换算标准!$U:$V, 换算标准!$AG:$AH)), 2, TRUE), 0))</f>
        <v/>
      </c>
      <c r="W701" t="str">
        <f t="shared" si="42"/>
        <v/>
      </c>
      <c r="X701" t="str">
        <f>IF(W701="","", IFERROR(VLOOKUP(W701, IF(D701="KET", 换算标准!$Q:$R, IF(D701="PET", 换算标准!$W:$X, 换算标准!$AI:$AJ)), 2, TRUE), 0))</f>
        <v/>
      </c>
      <c r="Y701" t="str">
        <f t="shared" si="43"/>
        <v/>
      </c>
      <c r="Z701" t="str">
        <f>IF(Y701="","", IFERROR(VLOOKUP(Y701, 换算标准!$Z:$AA, 1, TRUE), ""))</f>
        <v/>
      </c>
      <c r="AA701" s="5" t="str">
        <f>IF(L701="","", "⚠️ 薄弱环节: "&amp;INDEX($E$1:$K$1, MATCH(MIN(E701:K701), E701:K701, 0))&amp;CHAR(10)&amp;"📉 考察能力: "&amp;IFERROR(VLOOKUP(TRIM(D701)&amp;"_"&amp;TRIM(INDEX($E$1:$K$1, MATCH(MIN(E701:K701), E701:K701, 0))), 技能库!$A:$F, 5, 0),"建议查阅考纲")&amp;CHAR(10)&amp;"💡 提升建议: "&amp;IFERROR(VLOOKUP(TRIM(D701)&amp;"_"&amp;TRIM(INDEX($E$1:$K$1, MATCH(MIN(E701:K701), E701:K701, 0))), 技能库!$A:$F, 6, 0),"请针对该题型加强练习"))</f>
        <v/>
      </c>
      <c r="AB701" s="5" t="str">
        <f>IF(P701="","", "⚠️ 薄弱环节: "&amp;INDEX($N$1:$O$1, MATCH(MIN(N701:O701), N701:O701, 0))&amp;CHAR(10)&amp;"📉 考察能力: "&amp;IFERROR(VLOOKUP(TRIM(D701)&amp;"_"&amp;TRIM(INDEX($N$1:$O$1, MATCH(MIN(N701:O701), N701:O701, 0))), 技能库!$A:$F, 5, 0),"建议查阅考纲")&amp;CHAR(10)&amp;"💡 提升建议: "&amp;IFERROR(VLOOKUP(TRIM(D701)&amp;"_"&amp;TRIM(INDEX($N$1:$O$1, MATCH(MIN(N701:O701), N701:O701, 0))), 技能库!$A:$F, 6, 0),"请针对该题型加强练习"))</f>
        <v/>
      </c>
      <c r="AC701" s="5" t="str">
        <f>IF(W701="","", "⚠️ 薄弱环节: "&amp;INDEX($R$1:$V$1, MATCH(MIN(R701:V701), R701:V701, 0))&amp;CHAR(10)&amp;"📉 考察能力: "&amp;IFERROR(VLOOKUP(TRIM(D701)&amp;"_"&amp;TRIM(INDEX($R$1:$V$1, MATCH(MIN(R701:V701), R701:V701, 0))), 技能库!$A:$F, 5, 0),"建议查阅考纲")&amp;CHAR(10)&amp;"💡 提升建议: "&amp;IFERROR(VLOOKUP(TRIM(D701)&amp;"_"&amp;TRIM(INDEX($R$1:$V$1, MATCH(MIN(R701:V701), R701:V701, 0))), 技能库!$A:$F, 6, 0),"请针对该题型加强练习"))</f>
        <v/>
      </c>
    </row>
    <row r="702" spans="12:29" ht="16" hidden="1" x14ac:dyDescent="0.2">
      <c r="L702" t="str">
        <f t="shared" si="40"/>
        <v/>
      </c>
      <c r="M702" t="str">
        <f>IF(L702="","", IFERROR(VLOOKUP(L702, IF(D702="KET", 换算标准!$M:$N, IF(D702="PET", 换算标准!$S:$T, 换算标准!$AC:$AD)), 2, TRUE), 0))</f>
        <v/>
      </c>
      <c r="P702" t="str">
        <f t="shared" si="41"/>
        <v/>
      </c>
      <c r="Q702" t="str">
        <f>IF(P702="","", IFERROR(VLOOKUP(P702, IF(D702="KET", 换算标准!$O:$P, IF(D702="PET", 换算标准!$U:$V, 换算标准!$AG:$AH)), 2, TRUE), 0))</f>
        <v/>
      </c>
      <c r="W702" t="str">
        <f t="shared" si="42"/>
        <v/>
      </c>
      <c r="X702" t="str">
        <f>IF(W702="","", IFERROR(VLOOKUP(W702, IF(D702="KET", 换算标准!$Q:$R, IF(D702="PET", 换算标准!$W:$X, 换算标准!$AI:$AJ)), 2, TRUE), 0))</f>
        <v/>
      </c>
      <c r="Y702" t="str">
        <f t="shared" si="43"/>
        <v/>
      </c>
      <c r="Z702" t="str">
        <f>IF(Y702="","", IFERROR(VLOOKUP(Y702, 换算标准!$Z:$AA, 1, TRUE), ""))</f>
        <v/>
      </c>
      <c r="AA702" s="5" t="str">
        <f>IF(L702="","", "⚠️ 薄弱环节: "&amp;INDEX($E$1:$K$1, MATCH(MIN(E702:K702), E702:K702, 0))&amp;CHAR(10)&amp;"📉 考察能力: "&amp;IFERROR(VLOOKUP(TRIM(D702)&amp;"_"&amp;TRIM(INDEX($E$1:$K$1, MATCH(MIN(E702:K702), E702:K702, 0))), 技能库!$A:$F, 5, 0),"建议查阅考纲")&amp;CHAR(10)&amp;"💡 提升建议: "&amp;IFERROR(VLOOKUP(TRIM(D702)&amp;"_"&amp;TRIM(INDEX($E$1:$K$1, MATCH(MIN(E702:K702), E702:K702, 0))), 技能库!$A:$F, 6, 0),"请针对该题型加强练习"))</f>
        <v/>
      </c>
      <c r="AB702" s="5" t="str">
        <f>IF(P702="","", "⚠️ 薄弱环节: "&amp;INDEX($N$1:$O$1, MATCH(MIN(N702:O702), N702:O702, 0))&amp;CHAR(10)&amp;"📉 考察能力: "&amp;IFERROR(VLOOKUP(TRIM(D702)&amp;"_"&amp;TRIM(INDEX($N$1:$O$1, MATCH(MIN(N702:O702), N702:O702, 0))), 技能库!$A:$F, 5, 0),"建议查阅考纲")&amp;CHAR(10)&amp;"💡 提升建议: "&amp;IFERROR(VLOOKUP(TRIM(D702)&amp;"_"&amp;TRIM(INDEX($N$1:$O$1, MATCH(MIN(N702:O702), N702:O702, 0))), 技能库!$A:$F, 6, 0),"请针对该题型加强练习"))</f>
        <v/>
      </c>
      <c r="AC702" s="5" t="str">
        <f>IF(W702="","", "⚠️ 薄弱环节: "&amp;INDEX($R$1:$V$1, MATCH(MIN(R702:V702), R702:V702, 0))&amp;CHAR(10)&amp;"📉 考察能力: "&amp;IFERROR(VLOOKUP(TRIM(D702)&amp;"_"&amp;TRIM(INDEX($R$1:$V$1, MATCH(MIN(R702:V702), R702:V702, 0))), 技能库!$A:$F, 5, 0),"建议查阅考纲")&amp;CHAR(10)&amp;"💡 提升建议: "&amp;IFERROR(VLOOKUP(TRIM(D702)&amp;"_"&amp;TRIM(INDEX($R$1:$V$1, MATCH(MIN(R702:V702), R702:V702, 0))), 技能库!$A:$F, 6, 0),"请针对该题型加强练习"))</f>
        <v/>
      </c>
    </row>
    <row r="703" spans="12:29" ht="16" hidden="1" x14ac:dyDescent="0.2">
      <c r="L703" t="str">
        <f t="shared" si="40"/>
        <v/>
      </c>
      <c r="M703" t="str">
        <f>IF(L703="","", IFERROR(VLOOKUP(L703, IF(D703="KET", 换算标准!$M:$N, IF(D703="PET", 换算标准!$S:$T, 换算标准!$AC:$AD)), 2, TRUE), 0))</f>
        <v/>
      </c>
      <c r="P703" t="str">
        <f t="shared" si="41"/>
        <v/>
      </c>
      <c r="Q703" t="str">
        <f>IF(P703="","", IFERROR(VLOOKUP(P703, IF(D703="KET", 换算标准!$O:$P, IF(D703="PET", 换算标准!$U:$V, 换算标准!$AG:$AH)), 2, TRUE), 0))</f>
        <v/>
      </c>
      <c r="W703" t="str">
        <f t="shared" si="42"/>
        <v/>
      </c>
      <c r="X703" t="str">
        <f>IF(W703="","", IFERROR(VLOOKUP(W703, IF(D703="KET", 换算标准!$Q:$R, IF(D703="PET", 换算标准!$W:$X, 换算标准!$AI:$AJ)), 2, TRUE), 0))</f>
        <v/>
      </c>
      <c r="Y703" t="str">
        <f t="shared" si="43"/>
        <v/>
      </c>
      <c r="Z703" t="str">
        <f>IF(Y703="","", IFERROR(VLOOKUP(Y703, 换算标准!$Z:$AA, 1, TRUE), ""))</f>
        <v/>
      </c>
      <c r="AA703" s="5" t="str">
        <f>IF(L703="","", "⚠️ 薄弱环节: "&amp;INDEX($E$1:$K$1, MATCH(MIN(E703:K703), E703:K703, 0))&amp;CHAR(10)&amp;"📉 考察能力: "&amp;IFERROR(VLOOKUP(TRIM(D703)&amp;"_"&amp;TRIM(INDEX($E$1:$K$1, MATCH(MIN(E703:K703), E703:K703, 0))), 技能库!$A:$F, 5, 0),"建议查阅考纲")&amp;CHAR(10)&amp;"💡 提升建议: "&amp;IFERROR(VLOOKUP(TRIM(D703)&amp;"_"&amp;TRIM(INDEX($E$1:$K$1, MATCH(MIN(E703:K703), E703:K703, 0))), 技能库!$A:$F, 6, 0),"请针对该题型加强练习"))</f>
        <v/>
      </c>
      <c r="AB703" s="5" t="str">
        <f>IF(P703="","", "⚠️ 薄弱环节: "&amp;INDEX($N$1:$O$1, MATCH(MIN(N703:O703), N703:O703, 0))&amp;CHAR(10)&amp;"📉 考察能力: "&amp;IFERROR(VLOOKUP(TRIM(D703)&amp;"_"&amp;TRIM(INDEX($N$1:$O$1, MATCH(MIN(N703:O703), N703:O703, 0))), 技能库!$A:$F, 5, 0),"建议查阅考纲")&amp;CHAR(10)&amp;"💡 提升建议: "&amp;IFERROR(VLOOKUP(TRIM(D703)&amp;"_"&amp;TRIM(INDEX($N$1:$O$1, MATCH(MIN(N703:O703), N703:O703, 0))), 技能库!$A:$F, 6, 0),"请针对该题型加强练习"))</f>
        <v/>
      </c>
      <c r="AC703" s="5" t="str">
        <f>IF(W703="","", "⚠️ 薄弱环节: "&amp;INDEX($R$1:$V$1, MATCH(MIN(R703:V703), R703:V703, 0))&amp;CHAR(10)&amp;"📉 考察能力: "&amp;IFERROR(VLOOKUP(TRIM(D703)&amp;"_"&amp;TRIM(INDEX($R$1:$V$1, MATCH(MIN(R703:V703), R703:V703, 0))), 技能库!$A:$F, 5, 0),"建议查阅考纲")&amp;CHAR(10)&amp;"💡 提升建议: "&amp;IFERROR(VLOOKUP(TRIM(D703)&amp;"_"&amp;TRIM(INDEX($R$1:$V$1, MATCH(MIN(R703:V703), R703:V703, 0))), 技能库!$A:$F, 6, 0),"请针对该题型加强练习"))</f>
        <v/>
      </c>
    </row>
    <row r="704" spans="12:29" ht="16" hidden="1" x14ac:dyDescent="0.2">
      <c r="L704" t="str">
        <f t="shared" si="40"/>
        <v/>
      </c>
      <c r="M704" t="str">
        <f>IF(L704="","", IFERROR(VLOOKUP(L704, IF(D704="KET", 换算标准!$M:$N, IF(D704="PET", 换算标准!$S:$T, 换算标准!$AC:$AD)), 2, TRUE), 0))</f>
        <v/>
      </c>
      <c r="P704" t="str">
        <f t="shared" si="41"/>
        <v/>
      </c>
      <c r="Q704" t="str">
        <f>IF(P704="","", IFERROR(VLOOKUP(P704, IF(D704="KET", 换算标准!$O:$P, IF(D704="PET", 换算标准!$U:$V, 换算标准!$AG:$AH)), 2, TRUE), 0))</f>
        <v/>
      </c>
      <c r="W704" t="str">
        <f t="shared" si="42"/>
        <v/>
      </c>
      <c r="X704" t="str">
        <f>IF(W704="","", IFERROR(VLOOKUP(W704, IF(D704="KET", 换算标准!$Q:$R, IF(D704="PET", 换算标准!$W:$X, 换算标准!$AI:$AJ)), 2, TRUE), 0))</f>
        <v/>
      </c>
      <c r="Y704" t="str">
        <f t="shared" si="43"/>
        <v/>
      </c>
      <c r="Z704" t="str">
        <f>IF(Y704="","", IFERROR(VLOOKUP(Y704, 换算标准!$Z:$AA, 1, TRUE), ""))</f>
        <v/>
      </c>
      <c r="AA704" s="5" t="str">
        <f>IF(L704="","", "⚠️ 薄弱环节: "&amp;INDEX($E$1:$K$1, MATCH(MIN(E704:K704), E704:K704, 0))&amp;CHAR(10)&amp;"📉 考察能力: "&amp;IFERROR(VLOOKUP(TRIM(D704)&amp;"_"&amp;TRIM(INDEX($E$1:$K$1, MATCH(MIN(E704:K704), E704:K704, 0))), 技能库!$A:$F, 5, 0),"建议查阅考纲")&amp;CHAR(10)&amp;"💡 提升建议: "&amp;IFERROR(VLOOKUP(TRIM(D704)&amp;"_"&amp;TRIM(INDEX($E$1:$K$1, MATCH(MIN(E704:K704), E704:K704, 0))), 技能库!$A:$F, 6, 0),"请针对该题型加强练习"))</f>
        <v/>
      </c>
      <c r="AB704" s="5" t="str">
        <f>IF(P704="","", "⚠️ 薄弱环节: "&amp;INDEX($N$1:$O$1, MATCH(MIN(N704:O704), N704:O704, 0))&amp;CHAR(10)&amp;"📉 考察能力: "&amp;IFERROR(VLOOKUP(TRIM(D704)&amp;"_"&amp;TRIM(INDEX($N$1:$O$1, MATCH(MIN(N704:O704), N704:O704, 0))), 技能库!$A:$F, 5, 0),"建议查阅考纲")&amp;CHAR(10)&amp;"💡 提升建议: "&amp;IFERROR(VLOOKUP(TRIM(D704)&amp;"_"&amp;TRIM(INDEX($N$1:$O$1, MATCH(MIN(N704:O704), N704:O704, 0))), 技能库!$A:$F, 6, 0),"请针对该题型加强练习"))</f>
        <v/>
      </c>
      <c r="AC704" s="5" t="str">
        <f>IF(W704="","", "⚠️ 薄弱环节: "&amp;INDEX($R$1:$V$1, MATCH(MIN(R704:V704), R704:V704, 0))&amp;CHAR(10)&amp;"📉 考察能力: "&amp;IFERROR(VLOOKUP(TRIM(D704)&amp;"_"&amp;TRIM(INDEX($R$1:$V$1, MATCH(MIN(R704:V704), R704:V704, 0))), 技能库!$A:$F, 5, 0),"建议查阅考纲")&amp;CHAR(10)&amp;"💡 提升建议: "&amp;IFERROR(VLOOKUP(TRIM(D704)&amp;"_"&amp;TRIM(INDEX($R$1:$V$1, MATCH(MIN(R704:V704), R704:V704, 0))), 技能库!$A:$F, 6, 0),"请针对该题型加强练习"))</f>
        <v/>
      </c>
    </row>
    <row r="705" spans="12:29" ht="16" hidden="1" x14ac:dyDescent="0.2">
      <c r="L705" t="str">
        <f t="shared" si="40"/>
        <v/>
      </c>
      <c r="M705" t="str">
        <f>IF(L705="","", IFERROR(VLOOKUP(L705, IF(D705="KET", 换算标准!$M:$N, IF(D705="PET", 换算标准!$S:$T, 换算标准!$AC:$AD)), 2, TRUE), 0))</f>
        <v/>
      </c>
      <c r="P705" t="str">
        <f t="shared" si="41"/>
        <v/>
      </c>
      <c r="Q705" t="str">
        <f>IF(P705="","", IFERROR(VLOOKUP(P705, IF(D705="KET", 换算标准!$O:$P, IF(D705="PET", 换算标准!$U:$V, 换算标准!$AG:$AH)), 2, TRUE), 0))</f>
        <v/>
      </c>
      <c r="W705" t="str">
        <f t="shared" si="42"/>
        <v/>
      </c>
      <c r="X705" t="str">
        <f>IF(W705="","", IFERROR(VLOOKUP(W705, IF(D705="KET", 换算标准!$Q:$R, IF(D705="PET", 换算标准!$W:$X, 换算标准!$AI:$AJ)), 2, TRUE), 0))</f>
        <v/>
      </c>
      <c r="Y705" t="str">
        <f t="shared" si="43"/>
        <v/>
      </c>
      <c r="Z705" t="str">
        <f>IF(Y705="","", IFERROR(VLOOKUP(Y705, 换算标准!$Z:$AA, 1, TRUE), ""))</f>
        <v/>
      </c>
      <c r="AA705" s="5" t="str">
        <f>IF(L705="","", "⚠️ 薄弱环节: "&amp;INDEX($E$1:$K$1, MATCH(MIN(E705:K705), E705:K705, 0))&amp;CHAR(10)&amp;"📉 考察能力: "&amp;IFERROR(VLOOKUP(TRIM(D705)&amp;"_"&amp;TRIM(INDEX($E$1:$K$1, MATCH(MIN(E705:K705), E705:K705, 0))), 技能库!$A:$F, 5, 0),"建议查阅考纲")&amp;CHAR(10)&amp;"💡 提升建议: "&amp;IFERROR(VLOOKUP(TRIM(D705)&amp;"_"&amp;TRIM(INDEX($E$1:$K$1, MATCH(MIN(E705:K705), E705:K705, 0))), 技能库!$A:$F, 6, 0),"请针对该题型加强练习"))</f>
        <v/>
      </c>
      <c r="AB705" s="5" t="str">
        <f>IF(P705="","", "⚠️ 薄弱环节: "&amp;INDEX($N$1:$O$1, MATCH(MIN(N705:O705), N705:O705, 0))&amp;CHAR(10)&amp;"📉 考察能力: "&amp;IFERROR(VLOOKUP(TRIM(D705)&amp;"_"&amp;TRIM(INDEX($N$1:$O$1, MATCH(MIN(N705:O705), N705:O705, 0))), 技能库!$A:$F, 5, 0),"建议查阅考纲")&amp;CHAR(10)&amp;"💡 提升建议: "&amp;IFERROR(VLOOKUP(TRIM(D705)&amp;"_"&amp;TRIM(INDEX($N$1:$O$1, MATCH(MIN(N705:O705), N705:O705, 0))), 技能库!$A:$F, 6, 0),"请针对该题型加强练习"))</f>
        <v/>
      </c>
      <c r="AC705" s="5" t="str">
        <f>IF(W705="","", "⚠️ 薄弱环节: "&amp;INDEX($R$1:$V$1, MATCH(MIN(R705:V705), R705:V705, 0))&amp;CHAR(10)&amp;"📉 考察能力: "&amp;IFERROR(VLOOKUP(TRIM(D705)&amp;"_"&amp;TRIM(INDEX($R$1:$V$1, MATCH(MIN(R705:V705), R705:V705, 0))), 技能库!$A:$F, 5, 0),"建议查阅考纲")&amp;CHAR(10)&amp;"💡 提升建议: "&amp;IFERROR(VLOOKUP(TRIM(D705)&amp;"_"&amp;TRIM(INDEX($R$1:$V$1, MATCH(MIN(R705:V705), R705:V705, 0))), 技能库!$A:$F, 6, 0),"请针对该题型加强练习"))</f>
        <v/>
      </c>
    </row>
    <row r="706" spans="12:29" ht="16" hidden="1" x14ac:dyDescent="0.2">
      <c r="L706" t="str">
        <f t="shared" ref="L706:L769" si="44">IF(COUNT(E706:K706)&gt;0, SUM(E706:K706), "")</f>
        <v/>
      </c>
      <c r="M706" t="str">
        <f>IF(L706="","", IFERROR(VLOOKUP(L706, IF(D706="KET", 换算标准!$M:$N, IF(D706="PET", 换算标准!$S:$T, 换算标准!$AC:$AD)), 2, TRUE), 0))</f>
        <v/>
      </c>
      <c r="P706" t="str">
        <f t="shared" ref="P706:P769" si="45">IF(COUNT(N706:O706)&gt;0, SUM(N706:O706), "")</f>
        <v/>
      </c>
      <c r="Q706" t="str">
        <f>IF(P706="","", IFERROR(VLOOKUP(P706, IF(D706="KET", 换算标准!$O:$P, IF(D706="PET", 换算标准!$U:$V, 换算标准!$AG:$AH)), 2, TRUE), 0))</f>
        <v/>
      </c>
      <c r="W706" t="str">
        <f t="shared" ref="W706:W769" si="46">IF(COUNT(R706:V706)&gt;0, SUM(R706:V706), "")</f>
        <v/>
      </c>
      <c r="X706" t="str">
        <f>IF(W706="","", IFERROR(VLOOKUP(W706, IF(D706="KET", 换算标准!$Q:$R, IF(D706="PET", 换算标准!$W:$X, 换算标准!$AI:$AJ)), 2, TRUE), 0))</f>
        <v/>
      </c>
      <c r="Y706" t="str">
        <f t="shared" ref="Y706:Y769" si="47">IF(COUNT(M706,Q706,X706)&gt;0, AVERAGE(M706,Q706,X706), "")</f>
        <v/>
      </c>
      <c r="Z706" t="str">
        <f>IF(Y706="","", IFERROR(VLOOKUP(Y706, 换算标准!$Z:$AA, 1, TRUE), ""))</f>
        <v/>
      </c>
      <c r="AA706" s="5" t="str">
        <f>IF(L706="","", "⚠️ 薄弱环节: "&amp;INDEX($E$1:$K$1, MATCH(MIN(E706:K706), E706:K706, 0))&amp;CHAR(10)&amp;"📉 考察能力: "&amp;IFERROR(VLOOKUP(TRIM(D706)&amp;"_"&amp;TRIM(INDEX($E$1:$K$1, MATCH(MIN(E706:K706), E706:K706, 0))), 技能库!$A:$F, 5, 0),"建议查阅考纲")&amp;CHAR(10)&amp;"💡 提升建议: "&amp;IFERROR(VLOOKUP(TRIM(D706)&amp;"_"&amp;TRIM(INDEX($E$1:$K$1, MATCH(MIN(E706:K706), E706:K706, 0))), 技能库!$A:$F, 6, 0),"请针对该题型加强练习"))</f>
        <v/>
      </c>
      <c r="AB706" s="5" t="str">
        <f>IF(P706="","", "⚠️ 薄弱环节: "&amp;INDEX($N$1:$O$1, MATCH(MIN(N706:O706), N706:O706, 0))&amp;CHAR(10)&amp;"📉 考察能力: "&amp;IFERROR(VLOOKUP(TRIM(D706)&amp;"_"&amp;TRIM(INDEX($N$1:$O$1, MATCH(MIN(N706:O706), N706:O706, 0))), 技能库!$A:$F, 5, 0),"建议查阅考纲")&amp;CHAR(10)&amp;"💡 提升建议: "&amp;IFERROR(VLOOKUP(TRIM(D706)&amp;"_"&amp;TRIM(INDEX($N$1:$O$1, MATCH(MIN(N706:O706), N706:O706, 0))), 技能库!$A:$F, 6, 0),"请针对该题型加强练习"))</f>
        <v/>
      </c>
      <c r="AC706" s="5" t="str">
        <f>IF(W706="","", "⚠️ 薄弱环节: "&amp;INDEX($R$1:$V$1, MATCH(MIN(R706:V706), R706:V706, 0))&amp;CHAR(10)&amp;"📉 考察能力: "&amp;IFERROR(VLOOKUP(TRIM(D706)&amp;"_"&amp;TRIM(INDEX($R$1:$V$1, MATCH(MIN(R706:V706), R706:V706, 0))), 技能库!$A:$F, 5, 0),"建议查阅考纲")&amp;CHAR(10)&amp;"💡 提升建议: "&amp;IFERROR(VLOOKUP(TRIM(D706)&amp;"_"&amp;TRIM(INDEX($R$1:$V$1, MATCH(MIN(R706:V706), R706:V706, 0))), 技能库!$A:$F, 6, 0),"请针对该题型加强练习"))</f>
        <v/>
      </c>
    </row>
    <row r="707" spans="12:29" ht="16" hidden="1" x14ac:dyDescent="0.2">
      <c r="L707" t="str">
        <f t="shared" si="44"/>
        <v/>
      </c>
      <c r="M707" t="str">
        <f>IF(L707="","", IFERROR(VLOOKUP(L707, IF(D707="KET", 换算标准!$M:$N, IF(D707="PET", 换算标准!$S:$T, 换算标准!$AC:$AD)), 2, TRUE), 0))</f>
        <v/>
      </c>
      <c r="P707" t="str">
        <f t="shared" si="45"/>
        <v/>
      </c>
      <c r="Q707" t="str">
        <f>IF(P707="","", IFERROR(VLOOKUP(P707, IF(D707="KET", 换算标准!$O:$P, IF(D707="PET", 换算标准!$U:$V, 换算标准!$AG:$AH)), 2, TRUE), 0))</f>
        <v/>
      </c>
      <c r="W707" t="str">
        <f t="shared" si="46"/>
        <v/>
      </c>
      <c r="X707" t="str">
        <f>IF(W707="","", IFERROR(VLOOKUP(W707, IF(D707="KET", 换算标准!$Q:$R, IF(D707="PET", 换算标准!$W:$X, 换算标准!$AI:$AJ)), 2, TRUE), 0))</f>
        <v/>
      </c>
      <c r="Y707" t="str">
        <f t="shared" si="47"/>
        <v/>
      </c>
      <c r="Z707" t="str">
        <f>IF(Y707="","", IFERROR(VLOOKUP(Y707, 换算标准!$Z:$AA, 1, TRUE), ""))</f>
        <v/>
      </c>
      <c r="AA707" s="5" t="str">
        <f>IF(L707="","", "⚠️ 薄弱环节: "&amp;INDEX($E$1:$K$1, MATCH(MIN(E707:K707), E707:K707, 0))&amp;CHAR(10)&amp;"📉 考察能力: "&amp;IFERROR(VLOOKUP(TRIM(D707)&amp;"_"&amp;TRIM(INDEX($E$1:$K$1, MATCH(MIN(E707:K707), E707:K707, 0))), 技能库!$A:$F, 5, 0),"建议查阅考纲")&amp;CHAR(10)&amp;"💡 提升建议: "&amp;IFERROR(VLOOKUP(TRIM(D707)&amp;"_"&amp;TRIM(INDEX($E$1:$K$1, MATCH(MIN(E707:K707), E707:K707, 0))), 技能库!$A:$F, 6, 0),"请针对该题型加强练习"))</f>
        <v/>
      </c>
      <c r="AB707" s="5" t="str">
        <f>IF(P707="","", "⚠️ 薄弱环节: "&amp;INDEX($N$1:$O$1, MATCH(MIN(N707:O707), N707:O707, 0))&amp;CHAR(10)&amp;"📉 考察能力: "&amp;IFERROR(VLOOKUP(TRIM(D707)&amp;"_"&amp;TRIM(INDEX($N$1:$O$1, MATCH(MIN(N707:O707), N707:O707, 0))), 技能库!$A:$F, 5, 0),"建议查阅考纲")&amp;CHAR(10)&amp;"💡 提升建议: "&amp;IFERROR(VLOOKUP(TRIM(D707)&amp;"_"&amp;TRIM(INDEX($N$1:$O$1, MATCH(MIN(N707:O707), N707:O707, 0))), 技能库!$A:$F, 6, 0),"请针对该题型加强练习"))</f>
        <v/>
      </c>
      <c r="AC707" s="5" t="str">
        <f>IF(W707="","", "⚠️ 薄弱环节: "&amp;INDEX($R$1:$V$1, MATCH(MIN(R707:V707), R707:V707, 0))&amp;CHAR(10)&amp;"📉 考察能力: "&amp;IFERROR(VLOOKUP(TRIM(D707)&amp;"_"&amp;TRIM(INDEX($R$1:$V$1, MATCH(MIN(R707:V707), R707:V707, 0))), 技能库!$A:$F, 5, 0),"建议查阅考纲")&amp;CHAR(10)&amp;"💡 提升建议: "&amp;IFERROR(VLOOKUP(TRIM(D707)&amp;"_"&amp;TRIM(INDEX($R$1:$V$1, MATCH(MIN(R707:V707), R707:V707, 0))), 技能库!$A:$F, 6, 0),"请针对该题型加强练习"))</f>
        <v/>
      </c>
    </row>
    <row r="708" spans="12:29" ht="16" hidden="1" x14ac:dyDescent="0.2">
      <c r="L708" t="str">
        <f t="shared" si="44"/>
        <v/>
      </c>
      <c r="M708" t="str">
        <f>IF(L708="","", IFERROR(VLOOKUP(L708, IF(D708="KET", 换算标准!$M:$N, IF(D708="PET", 换算标准!$S:$T, 换算标准!$AC:$AD)), 2, TRUE), 0))</f>
        <v/>
      </c>
      <c r="P708" t="str">
        <f t="shared" si="45"/>
        <v/>
      </c>
      <c r="Q708" t="str">
        <f>IF(P708="","", IFERROR(VLOOKUP(P708, IF(D708="KET", 换算标准!$O:$P, IF(D708="PET", 换算标准!$U:$V, 换算标准!$AG:$AH)), 2, TRUE), 0))</f>
        <v/>
      </c>
      <c r="W708" t="str">
        <f t="shared" si="46"/>
        <v/>
      </c>
      <c r="X708" t="str">
        <f>IF(W708="","", IFERROR(VLOOKUP(W708, IF(D708="KET", 换算标准!$Q:$R, IF(D708="PET", 换算标准!$W:$X, 换算标准!$AI:$AJ)), 2, TRUE), 0))</f>
        <v/>
      </c>
      <c r="Y708" t="str">
        <f t="shared" si="47"/>
        <v/>
      </c>
      <c r="Z708" t="str">
        <f>IF(Y708="","", IFERROR(VLOOKUP(Y708, 换算标准!$Z:$AA, 1, TRUE), ""))</f>
        <v/>
      </c>
      <c r="AA708" s="5" t="str">
        <f>IF(L708="","", "⚠️ 薄弱环节: "&amp;INDEX($E$1:$K$1, MATCH(MIN(E708:K708), E708:K708, 0))&amp;CHAR(10)&amp;"📉 考察能力: "&amp;IFERROR(VLOOKUP(TRIM(D708)&amp;"_"&amp;TRIM(INDEX($E$1:$K$1, MATCH(MIN(E708:K708), E708:K708, 0))), 技能库!$A:$F, 5, 0),"建议查阅考纲")&amp;CHAR(10)&amp;"💡 提升建议: "&amp;IFERROR(VLOOKUP(TRIM(D708)&amp;"_"&amp;TRIM(INDEX($E$1:$K$1, MATCH(MIN(E708:K708), E708:K708, 0))), 技能库!$A:$F, 6, 0),"请针对该题型加强练习"))</f>
        <v/>
      </c>
      <c r="AB708" s="5" t="str">
        <f>IF(P708="","", "⚠️ 薄弱环节: "&amp;INDEX($N$1:$O$1, MATCH(MIN(N708:O708), N708:O708, 0))&amp;CHAR(10)&amp;"📉 考察能力: "&amp;IFERROR(VLOOKUP(TRIM(D708)&amp;"_"&amp;TRIM(INDEX($N$1:$O$1, MATCH(MIN(N708:O708), N708:O708, 0))), 技能库!$A:$F, 5, 0),"建议查阅考纲")&amp;CHAR(10)&amp;"💡 提升建议: "&amp;IFERROR(VLOOKUP(TRIM(D708)&amp;"_"&amp;TRIM(INDEX($N$1:$O$1, MATCH(MIN(N708:O708), N708:O708, 0))), 技能库!$A:$F, 6, 0),"请针对该题型加强练习"))</f>
        <v/>
      </c>
      <c r="AC708" s="5" t="str">
        <f>IF(W708="","", "⚠️ 薄弱环节: "&amp;INDEX($R$1:$V$1, MATCH(MIN(R708:V708), R708:V708, 0))&amp;CHAR(10)&amp;"📉 考察能力: "&amp;IFERROR(VLOOKUP(TRIM(D708)&amp;"_"&amp;TRIM(INDEX($R$1:$V$1, MATCH(MIN(R708:V708), R708:V708, 0))), 技能库!$A:$F, 5, 0),"建议查阅考纲")&amp;CHAR(10)&amp;"💡 提升建议: "&amp;IFERROR(VLOOKUP(TRIM(D708)&amp;"_"&amp;TRIM(INDEX($R$1:$V$1, MATCH(MIN(R708:V708), R708:V708, 0))), 技能库!$A:$F, 6, 0),"请针对该题型加强练习"))</f>
        <v/>
      </c>
    </row>
    <row r="709" spans="12:29" ht="16" hidden="1" x14ac:dyDescent="0.2">
      <c r="L709" t="str">
        <f t="shared" si="44"/>
        <v/>
      </c>
      <c r="M709" t="str">
        <f>IF(L709="","", IFERROR(VLOOKUP(L709, IF(D709="KET", 换算标准!$M:$N, IF(D709="PET", 换算标准!$S:$T, 换算标准!$AC:$AD)), 2, TRUE), 0))</f>
        <v/>
      </c>
      <c r="P709" t="str">
        <f t="shared" si="45"/>
        <v/>
      </c>
      <c r="Q709" t="str">
        <f>IF(P709="","", IFERROR(VLOOKUP(P709, IF(D709="KET", 换算标准!$O:$P, IF(D709="PET", 换算标准!$U:$V, 换算标准!$AG:$AH)), 2, TRUE), 0))</f>
        <v/>
      </c>
      <c r="W709" t="str">
        <f t="shared" si="46"/>
        <v/>
      </c>
      <c r="X709" t="str">
        <f>IF(W709="","", IFERROR(VLOOKUP(W709, IF(D709="KET", 换算标准!$Q:$R, IF(D709="PET", 换算标准!$W:$X, 换算标准!$AI:$AJ)), 2, TRUE), 0))</f>
        <v/>
      </c>
      <c r="Y709" t="str">
        <f t="shared" si="47"/>
        <v/>
      </c>
      <c r="Z709" t="str">
        <f>IF(Y709="","", IFERROR(VLOOKUP(Y709, 换算标准!$Z:$AA, 1, TRUE), ""))</f>
        <v/>
      </c>
      <c r="AA709" s="5" t="str">
        <f>IF(L709="","", "⚠️ 薄弱环节: "&amp;INDEX($E$1:$K$1, MATCH(MIN(E709:K709), E709:K709, 0))&amp;CHAR(10)&amp;"📉 考察能力: "&amp;IFERROR(VLOOKUP(TRIM(D709)&amp;"_"&amp;TRIM(INDEX($E$1:$K$1, MATCH(MIN(E709:K709), E709:K709, 0))), 技能库!$A:$F, 5, 0),"建议查阅考纲")&amp;CHAR(10)&amp;"💡 提升建议: "&amp;IFERROR(VLOOKUP(TRIM(D709)&amp;"_"&amp;TRIM(INDEX($E$1:$K$1, MATCH(MIN(E709:K709), E709:K709, 0))), 技能库!$A:$F, 6, 0),"请针对该题型加强练习"))</f>
        <v/>
      </c>
      <c r="AB709" s="5" t="str">
        <f>IF(P709="","", "⚠️ 薄弱环节: "&amp;INDEX($N$1:$O$1, MATCH(MIN(N709:O709), N709:O709, 0))&amp;CHAR(10)&amp;"📉 考察能力: "&amp;IFERROR(VLOOKUP(TRIM(D709)&amp;"_"&amp;TRIM(INDEX($N$1:$O$1, MATCH(MIN(N709:O709), N709:O709, 0))), 技能库!$A:$F, 5, 0),"建议查阅考纲")&amp;CHAR(10)&amp;"💡 提升建议: "&amp;IFERROR(VLOOKUP(TRIM(D709)&amp;"_"&amp;TRIM(INDEX($N$1:$O$1, MATCH(MIN(N709:O709), N709:O709, 0))), 技能库!$A:$F, 6, 0),"请针对该题型加强练习"))</f>
        <v/>
      </c>
      <c r="AC709" s="5" t="str">
        <f>IF(W709="","", "⚠️ 薄弱环节: "&amp;INDEX($R$1:$V$1, MATCH(MIN(R709:V709), R709:V709, 0))&amp;CHAR(10)&amp;"📉 考察能力: "&amp;IFERROR(VLOOKUP(TRIM(D709)&amp;"_"&amp;TRIM(INDEX($R$1:$V$1, MATCH(MIN(R709:V709), R709:V709, 0))), 技能库!$A:$F, 5, 0),"建议查阅考纲")&amp;CHAR(10)&amp;"💡 提升建议: "&amp;IFERROR(VLOOKUP(TRIM(D709)&amp;"_"&amp;TRIM(INDEX($R$1:$V$1, MATCH(MIN(R709:V709), R709:V709, 0))), 技能库!$A:$F, 6, 0),"请针对该题型加强练习"))</f>
        <v/>
      </c>
    </row>
    <row r="710" spans="12:29" ht="16" hidden="1" x14ac:dyDescent="0.2">
      <c r="L710" t="str">
        <f t="shared" si="44"/>
        <v/>
      </c>
      <c r="M710" t="str">
        <f>IF(L710="","", IFERROR(VLOOKUP(L710, IF(D710="KET", 换算标准!$M:$N, IF(D710="PET", 换算标准!$S:$T, 换算标准!$AC:$AD)), 2, TRUE), 0))</f>
        <v/>
      </c>
      <c r="P710" t="str">
        <f t="shared" si="45"/>
        <v/>
      </c>
      <c r="Q710" t="str">
        <f>IF(P710="","", IFERROR(VLOOKUP(P710, IF(D710="KET", 换算标准!$O:$P, IF(D710="PET", 换算标准!$U:$V, 换算标准!$AG:$AH)), 2, TRUE), 0))</f>
        <v/>
      </c>
      <c r="W710" t="str">
        <f t="shared" si="46"/>
        <v/>
      </c>
      <c r="X710" t="str">
        <f>IF(W710="","", IFERROR(VLOOKUP(W710, IF(D710="KET", 换算标准!$Q:$R, IF(D710="PET", 换算标准!$W:$X, 换算标准!$AI:$AJ)), 2, TRUE), 0))</f>
        <v/>
      </c>
      <c r="Y710" t="str">
        <f t="shared" si="47"/>
        <v/>
      </c>
      <c r="Z710" t="str">
        <f>IF(Y710="","", IFERROR(VLOOKUP(Y710, 换算标准!$Z:$AA, 1, TRUE), ""))</f>
        <v/>
      </c>
      <c r="AA710" s="5" t="str">
        <f>IF(L710="","", "⚠️ 薄弱环节: "&amp;INDEX($E$1:$K$1, MATCH(MIN(E710:K710), E710:K710, 0))&amp;CHAR(10)&amp;"📉 考察能力: "&amp;IFERROR(VLOOKUP(TRIM(D710)&amp;"_"&amp;TRIM(INDEX($E$1:$K$1, MATCH(MIN(E710:K710), E710:K710, 0))), 技能库!$A:$F, 5, 0),"建议查阅考纲")&amp;CHAR(10)&amp;"💡 提升建议: "&amp;IFERROR(VLOOKUP(TRIM(D710)&amp;"_"&amp;TRIM(INDEX($E$1:$K$1, MATCH(MIN(E710:K710), E710:K710, 0))), 技能库!$A:$F, 6, 0),"请针对该题型加强练习"))</f>
        <v/>
      </c>
      <c r="AB710" s="5" t="str">
        <f>IF(P710="","", "⚠️ 薄弱环节: "&amp;INDEX($N$1:$O$1, MATCH(MIN(N710:O710), N710:O710, 0))&amp;CHAR(10)&amp;"📉 考察能力: "&amp;IFERROR(VLOOKUP(TRIM(D710)&amp;"_"&amp;TRIM(INDEX($N$1:$O$1, MATCH(MIN(N710:O710), N710:O710, 0))), 技能库!$A:$F, 5, 0),"建议查阅考纲")&amp;CHAR(10)&amp;"💡 提升建议: "&amp;IFERROR(VLOOKUP(TRIM(D710)&amp;"_"&amp;TRIM(INDEX($N$1:$O$1, MATCH(MIN(N710:O710), N710:O710, 0))), 技能库!$A:$F, 6, 0),"请针对该题型加强练习"))</f>
        <v/>
      </c>
      <c r="AC710" s="5" t="str">
        <f>IF(W710="","", "⚠️ 薄弱环节: "&amp;INDEX($R$1:$V$1, MATCH(MIN(R710:V710), R710:V710, 0))&amp;CHAR(10)&amp;"📉 考察能力: "&amp;IFERROR(VLOOKUP(TRIM(D710)&amp;"_"&amp;TRIM(INDEX($R$1:$V$1, MATCH(MIN(R710:V710), R710:V710, 0))), 技能库!$A:$F, 5, 0),"建议查阅考纲")&amp;CHAR(10)&amp;"💡 提升建议: "&amp;IFERROR(VLOOKUP(TRIM(D710)&amp;"_"&amp;TRIM(INDEX($R$1:$V$1, MATCH(MIN(R710:V710), R710:V710, 0))), 技能库!$A:$F, 6, 0),"请针对该题型加强练习"))</f>
        <v/>
      </c>
    </row>
    <row r="711" spans="12:29" ht="16" hidden="1" x14ac:dyDescent="0.2">
      <c r="L711" t="str">
        <f t="shared" si="44"/>
        <v/>
      </c>
      <c r="M711" t="str">
        <f>IF(L711="","", IFERROR(VLOOKUP(L711, IF(D711="KET", 换算标准!$M:$N, IF(D711="PET", 换算标准!$S:$T, 换算标准!$AC:$AD)), 2, TRUE), 0))</f>
        <v/>
      </c>
      <c r="P711" t="str">
        <f t="shared" si="45"/>
        <v/>
      </c>
      <c r="Q711" t="str">
        <f>IF(P711="","", IFERROR(VLOOKUP(P711, IF(D711="KET", 换算标准!$O:$P, IF(D711="PET", 换算标准!$U:$V, 换算标准!$AG:$AH)), 2, TRUE), 0))</f>
        <v/>
      </c>
      <c r="W711" t="str">
        <f t="shared" si="46"/>
        <v/>
      </c>
      <c r="X711" t="str">
        <f>IF(W711="","", IFERROR(VLOOKUP(W711, IF(D711="KET", 换算标准!$Q:$R, IF(D711="PET", 换算标准!$W:$X, 换算标准!$AI:$AJ)), 2, TRUE), 0))</f>
        <v/>
      </c>
      <c r="Y711" t="str">
        <f t="shared" si="47"/>
        <v/>
      </c>
      <c r="Z711" t="str">
        <f>IF(Y711="","", IFERROR(VLOOKUP(Y711, 换算标准!$Z:$AA, 1, TRUE), ""))</f>
        <v/>
      </c>
      <c r="AA711" s="5" t="str">
        <f>IF(L711="","", "⚠️ 薄弱环节: "&amp;INDEX($E$1:$K$1, MATCH(MIN(E711:K711), E711:K711, 0))&amp;CHAR(10)&amp;"📉 考察能力: "&amp;IFERROR(VLOOKUP(TRIM(D711)&amp;"_"&amp;TRIM(INDEX($E$1:$K$1, MATCH(MIN(E711:K711), E711:K711, 0))), 技能库!$A:$F, 5, 0),"建议查阅考纲")&amp;CHAR(10)&amp;"💡 提升建议: "&amp;IFERROR(VLOOKUP(TRIM(D711)&amp;"_"&amp;TRIM(INDEX($E$1:$K$1, MATCH(MIN(E711:K711), E711:K711, 0))), 技能库!$A:$F, 6, 0),"请针对该题型加强练习"))</f>
        <v/>
      </c>
      <c r="AB711" s="5" t="str">
        <f>IF(P711="","", "⚠️ 薄弱环节: "&amp;INDEX($N$1:$O$1, MATCH(MIN(N711:O711), N711:O711, 0))&amp;CHAR(10)&amp;"📉 考察能力: "&amp;IFERROR(VLOOKUP(TRIM(D711)&amp;"_"&amp;TRIM(INDEX($N$1:$O$1, MATCH(MIN(N711:O711), N711:O711, 0))), 技能库!$A:$F, 5, 0),"建议查阅考纲")&amp;CHAR(10)&amp;"💡 提升建议: "&amp;IFERROR(VLOOKUP(TRIM(D711)&amp;"_"&amp;TRIM(INDEX($N$1:$O$1, MATCH(MIN(N711:O711), N711:O711, 0))), 技能库!$A:$F, 6, 0),"请针对该题型加强练习"))</f>
        <v/>
      </c>
      <c r="AC711" s="5" t="str">
        <f>IF(W711="","", "⚠️ 薄弱环节: "&amp;INDEX($R$1:$V$1, MATCH(MIN(R711:V711), R711:V711, 0))&amp;CHAR(10)&amp;"📉 考察能力: "&amp;IFERROR(VLOOKUP(TRIM(D711)&amp;"_"&amp;TRIM(INDEX($R$1:$V$1, MATCH(MIN(R711:V711), R711:V711, 0))), 技能库!$A:$F, 5, 0),"建议查阅考纲")&amp;CHAR(10)&amp;"💡 提升建议: "&amp;IFERROR(VLOOKUP(TRIM(D711)&amp;"_"&amp;TRIM(INDEX($R$1:$V$1, MATCH(MIN(R711:V711), R711:V711, 0))), 技能库!$A:$F, 6, 0),"请针对该题型加强练习"))</f>
        <v/>
      </c>
    </row>
    <row r="712" spans="12:29" ht="16" hidden="1" x14ac:dyDescent="0.2">
      <c r="L712" t="str">
        <f t="shared" si="44"/>
        <v/>
      </c>
      <c r="M712" t="str">
        <f>IF(L712="","", IFERROR(VLOOKUP(L712, IF(D712="KET", 换算标准!$M:$N, IF(D712="PET", 换算标准!$S:$T, 换算标准!$AC:$AD)), 2, TRUE), 0))</f>
        <v/>
      </c>
      <c r="P712" t="str">
        <f t="shared" si="45"/>
        <v/>
      </c>
      <c r="Q712" t="str">
        <f>IF(P712="","", IFERROR(VLOOKUP(P712, IF(D712="KET", 换算标准!$O:$P, IF(D712="PET", 换算标准!$U:$V, 换算标准!$AG:$AH)), 2, TRUE), 0))</f>
        <v/>
      </c>
      <c r="W712" t="str">
        <f t="shared" si="46"/>
        <v/>
      </c>
      <c r="X712" t="str">
        <f>IF(W712="","", IFERROR(VLOOKUP(W712, IF(D712="KET", 换算标准!$Q:$R, IF(D712="PET", 换算标准!$W:$X, 换算标准!$AI:$AJ)), 2, TRUE), 0))</f>
        <v/>
      </c>
      <c r="Y712" t="str">
        <f t="shared" si="47"/>
        <v/>
      </c>
      <c r="Z712" t="str">
        <f>IF(Y712="","", IFERROR(VLOOKUP(Y712, 换算标准!$Z:$AA, 1, TRUE), ""))</f>
        <v/>
      </c>
      <c r="AA712" s="5" t="str">
        <f>IF(L712="","", "⚠️ 薄弱环节: "&amp;INDEX($E$1:$K$1, MATCH(MIN(E712:K712), E712:K712, 0))&amp;CHAR(10)&amp;"📉 考察能力: "&amp;IFERROR(VLOOKUP(TRIM(D712)&amp;"_"&amp;TRIM(INDEX($E$1:$K$1, MATCH(MIN(E712:K712), E712:K712, 0))), 技能库!$A:$F, 5, 0),"建议查阅考纲")&amp;CHAR(10)&amp;"💡 提升建议: "&amp;IFERROR(VLOOKUP(TRIM(D712)&amp;"_"&amp;TRIM(INDEX($E$1:$K$1, MATCH(MIN(E712:K712), E712:K712, 0))), 技能库!$A:$F, 6, 0),"请针对该题型加强练习"))</f>
        <v/>
      </c>
      <c r="AB712" s="5" t="str">
        <f>IF(P712="","", "⚠️ 薄弱环节: "&amp;INDEX($N$1:$O$1, MATCH(MIN(N712:O712), N712:O712, 0))&amp;CHAR(10)&amp;"📉 考察能力: "&amp;IFERROR(VLOOKUP(TRIM(D712)&amp;"_"&amp;TRIM(INDEX($N$1:$O$1, MATCH(MIN(N712:O712), N712:O712, 0))), 技能库!$A:$F, 5, 0),"建议查阅考纲")&amp;CHAR(10)&amp;"💡 提升建议: "&amp;IFERROR(VLOOKUP(TRIM(D712)&amp;"_"&amp;TRIM(INDEX($N$1:$O$1, MATCH(MIN(N712:O712), N712:O712, 0))), 技能库!$A:$F, 6, 0),"请针对该题型加强练习"))</f>
        <v/>
      </c>
      <c r="AC712" s="5" t="str">
        <f>IF(W712="","", "⚠️ 薄弱环节: "&amp;INDEX($R$1:$V$1, MATCH(MIN(R712:V712), R712:V712, 0))&amp;CHAR(10)&amp;"📉 考察能力: "&amp;IFERROR(VLOOKUP(TRIM(D712)&amp;"_"&amp;TRIM(INDEX($R$1:$V$1, MATCH(MIN(R712:V712), R712:V712, 0))), 技能库!$A:$F, 5, 0),"建议查阅考纲")&amp;CHAR(10)&amp;"💡 提升建议: "&amp;IFERROR(VLOOKUP(TRIM(D712)&amp;"_"&amp;TRIM(INDEX($R$1:$V$1, MATCH(MIN(R712:V712), R712:V712, 0))), 技能库!$A:$F, 6, 0),"请针对该题型加强练习"))</f>
        <v/>
      </c>
    </row>
    <row r="713" spans="12:29" ht="16" hidden="1" x14ac:dyDescent="0.2">
      <c r="L713" t="str">
        <f t="shared" si="44"/>
        <v/>
      </c>
      <c r="M713" t="str">
        <f>IF(L713="","", IFERROR(VLOOKUP(L713, IF(D713="KET", 换算标准!$M:$N, IF(D713="PET", 换算标准!$S:$T, 换算标准!$AC:$AD)), 2, TRUE), 0))</f>
        <v/>
      </c>
      <c r="P713" t="str">
        <f t="shared" si="45"/>
        <v/>
      </c>
      <c r="Q713" t="str">
        <f>IF(P713="","", IFERROR(VLOOKUP(P713, IF(D713="KET", 换算标准!$O:$P, IF(D713="PET", 换算标准!$U:$V, 换算标准!$AG:$AH)), 2, TRUE), 0))</f>
        <v/>
      </c>
      <c r="W713" t="str">
        <f t="shared" si="46"/>
        <v/>
      </c>
      <c r="X713" t="str">
        <f>IF(W713="","", IFERROR(VLOOKUP(W713, IF(D713="KET", 换算标准!$Q:$R, IF(D713="PET", 换算标准!$W:$X, 换算标准!$AI:$AJ)), 2, TRUE), 0))</f>
        <v/>
      </c>
      <c r="Y713" t="str">
        <f t="shared" si="47"/>
        <v/>
      </c>
      <c r="Z713" t="str">
        <f>IF(Y713="","", IFERROR(VLOOKUP(Y713, 换算标准!$Z:$AA, 1, TRUE), ""))</f>
        <v/>
      </c>
      <c r="AA713" s="5" t="str">
        <f>IF(L713="","", "⚠️ 薄弱环节: "&amp;INDEX($E$1:$K$1, MATCH(MIN(E713:K713), E713:K713, 0))&amp;CHAR(10)&amp;"📉 考察能力: "&amp;IFERROR(VLOOKUP(TRIM(D713)&amp;"_"&amp;TRIM(INDEX($E$1:$K$1, MATCH(MIN(E713:K713), E713:K713, 0))), 技能库!$A:$F, 5, 0),"建议查阅考纲")&amp;CHAR(10)&amp;"💡 提升建议: "&amp;IFERROR(VLOOKUP(TRIM(D713)&amp;"_"&amp;TRIM(INDEX($E$1:$K$1, MATCH(MIN(E713:K713), E713:K713, 0))), 技能库!$A:$F, 6, 0),"请针对该题型加强练习"))</f>
        <v/>
      </c>
      <c r="AB713" s="5" t="str">
        <f>IF(P713="","", "⚠️ 薄弱环节: "&amp;INDEX($N$1:$O$1, MATCH(MIN(N713:O713), N713:O713, 0))&amp;CHAR(10)&amp;"📉 考察能力: "&amp;IFERROR(VLOOKUP(TRIM(D713)&amp;"_"&amp;TRIM(INDEX($N$1:$O$1, MATCH(MIN(N713:O713), N713:O713, 0))), 技能库!$A:$F, 5, 0),"建议查阅考纲")&amp;CHAR(10)&amp;"💡 提升建议: "&amp;IFERROR(VLOOKUP(TRIM(D713)&amp;"_"&amp;TRIM(INDEX($N$1:$O$1, MATCH(MIN(N713:O713), N713:O713, 0))), 技能库!$A:$F, 6, 0),"请针对该题型加强练习"))</f>
        <v/>
      </c>
      <c r="AC713" s="5" t="str">
        <f>IF(W713="","", "⚠️ 薄弱环节: "&amp;INDEX($R$1:$V$1, MATCH(MIN(R713:V713), R713:V713, 0))&amp;CHAR(10)&amp;"📉 考察能力: "&amp;IFERROR(VLOOKUP(TRIM(D713)&amp;"_"&amp;TRIM(INDEX($R$1:$V$1, MATCH(MIN(R713:V713), R713:V713, 0))), 技能库!$A:$F, 5, 0),"建议查阅考纲")&amp;CHAR(10)&amp;"💡 提升建议: "&amp;IFERROR(VLOOKUP(TRIM(D713)&amp;"_"&amp;TRIM(INDEX($R$1:$V$1, MATCH(MIN(R713:V713), R713:V713, 0))), 技能库!$A:$F, 6, 0),"请针对该题型加强练习"))</f>
        <v/>
      </c>
    </row>
    <row r="714" spans="12:29" ht="16" hidden="1" x14ac:dyDescent="0.2">
      <c r="L714" t="str">
        <f t="shared" si="44"/>
        <v/>
      </c>
      <c r="M714" t="str">
        <f>IF(L714="","", IFERROR(VLOOKUP(L714, IF(D714="KET", 换算标准!$M:$N, IF(D714="PET", 换算标准!$S:$T, 换算标准!$AC:$AD)), 2, TRUE), 0))</f>
        <v/>
      </c>
      <c r="P714" t="str">
        <f t="shared" si="45"/>
        <v/>
      </c>
      <c r="Q714" t="str">
        <f>IF(P714="","", IFERROR(VLOOKUP(P714, IF(D714="KET", 换算标准!$O:$P, IF(D714="PET", 换算标准!$U:$V, 换算标准!$AG:$AH)), 2, TRUE), 0))</f>
        <v/>
      </c>
      <c r="W714" t="str">
        <f t="shared" si="46"/>
        <v/>
      </c>
      <c r="X714" t="str">
        <f>IF(W714="","", IFERROR(VLOOKUP(W714, IF(D714="KET", 换算标准!$Q:$R, IF(D714="PET", 换算标准!$W:$X, 换算标准!$AI:$AJ)), 2, TRUE), 0))</f>
        <v/>
      </c>
      <c r="Y714" t="str">
        <f t="shared" si="47"/>
        <v/>
      </c>
      <c r="Z714" t="str">
        <f>IF(Y714="","", IFERROR(VLOOKUP(Y714, 换算标准!$Z:$AA, 1, TRUE), ""))</f>
        <v/>
      </c>
      <c r="AA714" s="5" t="str">
        <f>IF(L714="","", "⚠️ 薄弱环节: "&amp;INDEX($E$1:$K$1, MATCH(MIN(E714:K714), E714:K714, 0))&amp;CHAR(10)&amp;"📉 考察能力: "&amp;IFERROR(VLOOKUP(TRIM(D714)&amp;"_"&amp;TRIM(INDEX($E$1:$K$1, MATCH(MIN(E714:K714), E714:K714, 0))), 技能库!$A:$F, 5, 0),"建议查阅考纲")&amp;CHAR(10)&amp;"💡 提升建议: "&amp;IFERROR(VLOOKUP(TRIM(D714)&amp;"_"&amp;TRIM(INDEX($E$1:$K$1, MATCH(MIN(E714:K714), E714:K714, 0))), 技能库!$A:$F, 6, 0),"请针对该题型加强练习"))</f>
        <v/>
      </c>
      <c r="AB714" s="5" t="str">
        <f>IF(P714="","", "⚠️ 薄弱环节: "&amp;INDEX($N$1:$O$1, MATCH(MIN(N714:O714), N714:O714, 0))&amp;CHAR(10)&amp;"📉 考察能力: "&amp;IFERROR(VLOOKUP(TRIM(D714)&amp;"_"&amp;TRIM(INDEX($N$1:$O$1, MATCH(MIN(N714:O714), N714:O714, 0))), 技能库!$A:$F, 5, 0),"建议查阅考纲")&amp;CHAR(10)&amp;"💡 提升建议: "&amp;IFERROR(VLOOKUP(TRIM(D714)&amp;"_"&amp;TRIM(INDEX($N$1:$O$1, MATCH(MIN(N714:O714), N714:O714, 0))), 技能库!$A:$F, 6, 0),"请针对该题型加强练习"))</f>
        <v/>
      </c>
      <c r="AC714" s="5" t="str">
        <f>IF(W714="","", "⚠️ 薄弱环节: "&amp;INDEX($R$1:$V$1, MATCH(MIN(R714:V714), R714:V714, 0))&amp;CHAR(10)&amp;"📉 考察能力: "&amp;IFERROR(VLOOKUP(TRIM(D714)&amp;"_"&amp;TRIM(INDEX($R$1:$V$1, MATCH(MIN(R714:V714), R714:V714, 0))), 技能库!$A:$F, 5, 0),"建议查阅考纲")&amp;CHAR(10)&amp;"💡 提升建议: "&amp;IFERROR(VLOOKUP(TRIM(D714)&amp;"_"&amp;TRIM(INDEX($R$1:$V$1, MATCH(MIN(R714:V714), R714:V714, 0))), 技能库!$A:$F, 6, 0),"请针对该题型加强练习"))</f>
        <v/>
      </c>
    </row>
    <row r="715" spans="12:29" ht="16" hidden="1" x14ac:dyDescent="0.2">
      <c r="L715" t="str">
        <f t="shared" si="44"/>
        <v/>
      </c>
      <c r="M715" t="str">
        <f>IF(L715="","", IFERROR(VLOOKUP(L715, IF(D715="KET", 换算标准!$M:$N, IF(D715="PET", 换算标准!$S:$T, 换算标准!$AC:$AD)), 2, TRUE), 0))</f>
        <v/>
      </c>
      <c r="P715" t="str">
        <f t="shared" si="45"/>
        <v/>
      </c>
      <c r="Q715" t="str">
        <f>IF(P715="","", IFERROR(VLOOKUP(P715, IF(D715="KET", 换算标准!$O:$P, IF(D715="PET", 换算标准!$U:$V, 换算标准!$AG:$AH)), 2, TRUE), 0))</f>
        <v/>
      </c>
      <c r="W715" t="str">
        <f t="shared" si="46"/>
        <v/>
      </c>
      <c r="X715" t="str">
        <f>IF(W715="","", IFERROR(VLOOKUP(W715, IF(D715="KET", 换算标准!$Q:$R, IF(D715="PET", 换算标准!$W:$X, 换算标准!$AI:$AJ)), 2, TRUE), 0))</f>
        <v/>
      </c>
      <c r="Y715" t="str">
        <f t="shared" si="47"/>
        <v/>
      </c>
      <c r="Z715" t="str">
        <f>IF(Y715="","", IFERROR(VLOOKUP(Y715, 换算标准!$Z:$AA, 1, TRUE), ""))</f>
        <v/>
      </c>
      <c r="AA715" s="5" t="str">
        <f>IF(L715="","", "⚠️ 薄弱环节: "&amp;INDEX($E$1:$K$1, MATCH(MIN(E715:K715), E715:K715, 0))&amp;CHAR(10)&amp;"📉 考察能力: "&amp;IFERROR(VLOOKUP(TRIM(D715)&amp;"_"&amp;TRIM(INDEX($E$1:$K$1, MATCH(MIN(E715:K715), E715:K715, 0))), 技能库!$A:$F, 5, 0),"建议查阅考纲")&amp;CHAR(10)&amp;"💡 提升建议: "&amp;IFERROR(VLOOKUP(TRIM(D715)&amp;"_"&amp;TRIM(INDEX($E$1:$K$1, MATCH(MIN(E715:K715), E715:K715, 0))), 技能库!$A:$F, 6, 0),"请针对该题型加强练习"))</f>
        <v/>
      </c>
      <c r="AB715" s="5" t="str">
        <f>IF(P715="","", "⚠️ 薄弱环节: "&amp;INDEX($N$1:$O$1, MATCH(MIN(N715:O715), N715:O715, 0))&amp;CHAR(10)&amp;"📉 考察能力: "&amp;IFERROR(VLOOKUP(TRIM(D715)&amp;"_"&amp;TRIM(INDEX($N$1:$O$1, MATCH(MIN(N715:O715), N715:O715, 0))), 技能库!$A:$F, 5, 0),"建议查阅考纲")&amp;CHAR(10)&amp;"💡 提升建议: "&amp;IFERROR(VLOOKUP(TRIM(D715)&amp;"_"&amp;TRIM(INDEX($N$1:$O$1, MATCH(MIN(N715:O715), N715:O715, 0))), 技能库!$A:$F, 6, 0),"请针对该题型加强练习"))</f>
        <v/>
      </c>
      <c r="AC715" s="5" t="str">
        <f>IF(W715="","", "⚠️ 薄弱环节: "&amp;INDEX($R$1:$V$1, MATCH(MIN(R715:V715), R715:V715, 0))&amp;CHAR(10)&amp;"📉 考察能力: "&amp;IFERROR(VLOOKUP(TRIM(D715)&amp;"_"&amp;TRIM(INDEX($R$1:$V$1, MATCH(MIN(R715:V715), R715:V715, 0))), 技能库!$A:$F, 5, 0),"建议查阅考纲")&amp;CHAR(10)&amp;"💡 提升建议: "&amp;IFERROR(VLOOKUP(TRIM(D715)&amp;"_"&amp;TRIM(INDEX($R$1:$V$1, MATCH(MIN(R715:V715), R715:V715, 0))), 技能库!$A:$F, 6, 0),"请针对该题型加强练习"))</f>
        <v/>
      </c>
    </row>
    <row r="716" spans="12:29" ht="16" hidden="1" x14ac:dyDescent="0.2">
      <c r="L716" t="str">
        <f t="shared" si="44"/>
        <v/>
      </c>
      <c r="M716" t="str">
        <f>IF(L716="","", IFERROR(VLOOKUP(L716, IF(D716="KET", 换算标准!$M:$N, IF(D716="PET", 换算标准!$S:$T, 换算标准!$AC:$AD)), 2, TRUE), 0))</f>
        <v/>
      </c>
      <c r="P716" t="str">
        <f t="shared" si="45"/>
        <v/>
      </c>
      <c r="Q716" t="str">
        <f>IF(P716="","", IFERROR(VLOOKUP(P716, IF(D716="KET", 换算标准!$O:$P, IF(D716="PET", 换算标准!$U:$V, 换算标准!$AG:$AH)), 2, TRUE), 0))</f>
        <v/>
      </c>
      <c r="W716" t="str">
        <f t="shared" si="46"/>
        <v/>
      </c>
      <c r="X716" t="str">
        <f>IF(W716="","", IFERROR(VLOOKUP(W716, IF(D716="KET", 换算标准!$Q:$R, IF(D716="PET", 换算标准!$W:$X, 换算标准!$AI:$AJ)), 2, TRUE), 0))</f>
        <v/>
      </c>
      <c r="Y716" t="str">
        <f t="shared" si="47"/>
        <v/>
      </c>
      <c r="Z716" t="str">
        <f>IF(Y716="","", IFERROR(VLOOKUP(Y716, 换算标准!$Z:$AA, 1, TRUE), ""))</f>
        <v/>
      </c>
      <c r="AA716" s="5" t="str">
        <f>IF(L716="","", "⚠️ 薄弱环节: "&amp;INDEX($E$1:$K$1, MATCH(MIN(E716:K716), E716:K716, 0))&amp;CHAR(10)&amp;"📉 考察能力: "&amp;IFERROR(VLOOKUP(TRIM(D716)&amp;"_"&amp;TRIM(INDEX($E$1:$K$1, MATCH(MIN(E716:K716), E716:K716, 0))), 技能库!$A:$F, 5, 0),"建议查阅考纲")&amp;CHAR(10)&amp;"💡 提升建议: "&amp;IFERROR(VLOOKUP(TRIM(D716)&amp;"_"&amp;TRIM(INDEX($E$1:$K$1, MATCH(MIN(E716:K716), E716:K716, 0))), 技能库!$A:$F, 6, 0),"请针对该题型加强练习"))</f>
        <v/>
      </c>
      <c r="AB716" s="5" t="str">
        <f>IF(P716="","", "⚠️ 薄弱环节: "&amp;INDEX($N$1:$O$1, MATCH(MIN(N716:O716), N716:O716, 0))&amp;CHAR(10)&amp;"📉 考察能力: "&amp;IFERROR(VLOOKUP(TRIM(D716)&amp;"_"&amp;TRIM(INDEX($N$1:$O$1, MATCH(MIN(N716:O716), N716:O716, 0))), 技能库!$A:$F, 5, 0),"建议查阅考纲")&amp;CHAR(10)&amp;"💡 提升建议: "&amp;IFERROR(VLOOKUP(TRIM(D716)&amp;"_"&amp;TRIM(INDEX($N$1:$O$1, MATCH(MIN(N716:O716), N716:O716, 0))), 技能库!$A:$F, 6, 0),"请针对该题型加强练习"))</f>
        <v/>
      </c>
      <c r="AC716" s="5" t="str">
        <f>IF(W716="","", "⚠️ 薄弱环节: "&amp;INDEX($R$1:$V$1, MATCH(MIN(R716:V716), R716:V716, 0))&amp;CHAR(10)&amp;"📉 考察能力: "&amp;IFERROR(VLOOKUP(TRIM(D716)&amp;"_"&amp;TRIM(INDEX($R$1:$V$1, MATCH(MIN(R716:V716), R716:V716, 0))), 技能库!$A:$F, 5, 0),"建议查阅考纲")&amp;CHAR(10)&amp;"💡 提升建议: "&amp;IFERROR(VLOOKUP(TRIM(D716)&amp;"_"&amp;TRIM(INDEX($R$1:$V$1, MATCH(MIN(R716:V716), R716:V716, 0))), 技能库!$A:$F, 6, 0),"请针对该题型加强练习"))</f>
        <v/>
      </c>
    </row>
    <row r="717" spans="12:29" ht="16" hidden="1" x14ac:dyDescent="0.2">
      <c r="L717" t="str">
        <f t="shared" si="44"/>
        <v/>
      </c>
      <c r="M717" t="str">
        <f>IF(L717="","", IFERROR(VLOOKUP(L717, IF(D717="KET", 换算标准!$M:$N, IF(D717="PET", 换算标准!$S:$T, 换算标准!$AC:$AD)), 2, TRUE), 0))</f>
        <v/>
      </c>
      <c r="P717" t="str">
        <f t="shared" si="45"/>
        <v/>
      </c>
      <c r="Q717" t="str">
        <f>IF(P717="","", IFERROR(VLOOKUP(P717, IF(D717="KET", 换算标准!$O:$P, IF(D717="PET", 换算标准!$U:$V, 换算标准!$AG:$AH)), 2, TRUE), 0))</f>
        <v/>
      </c>
      <c r="W717" t="str">
        <f t="shared" si="46"/>
        <v/>
      </c>
      <c r="X717" t="str">
        <f>IF(W717="","", IFERROR(VLOOKUP(W717, IF(D717="KET", 换算标准!$Q:$R, IF(D717="PET", 换算标准!$W:$X, 换算标准!$AI:$AJ)), 2, TRUE), 0))</f>
        <v/>
      </c>
      <c r="Y717" t="str">
        <f t="shared" si="47"/>
        <v/>
      </c>
      <c r="Z717" t="str">
        <f>IF(Y717="","", IFERROR(VLOOKUP(Y717, 换算标准!$Z:$AA, 1, TRUE), ""))</f>
        <v/>
      </c>
      <c r="AA717" s="5" t="str">
        <f>IF(L717="","", "⚠️ 薄弱环节: "&amp;INDEX($E$1:$K$1, MATCH(MIN(E717:K717), E717:K717, 0))&amp;CHAR(10)&amp;"📉 考察能力: "&amp;IFERROR(VLOOKUP(TRIM(D717)&amp;"_"&amp;TRIM(INDEX($E$1:$K$1, MATCH(MIN(E717:K717), E717:K717, 0))), 技能库!$A:$F, 5, 0),"建议查阅考纲")&amp;CHAR(10)&amp;"💡 提升建议: "&amp;IFERROR(VLOOKUP(TRIM(D717)&amp;"_"&amp;TRIM(INDEX($E$1:$K$1, MATCH(MIN(E717:K717), E717:K717, 0))), 技能库!$A:$F, 6, 0),"请针对该题型加强练习"))</f>
        <v/>
      </c>
      <c r="AB717" s="5" t="str">
        <f>IF(P717="","", "⚠️ 薄弱环节: "&amp;INDEX($N$1:$O$1, MATCH(MIN(N717:O717), N717:O717, 0))&amp;CHAR(10)&amp;"📉 考察能力: "&amp;IFERROR(VLOOKUP(TRIM(D717)&amp;"_"&amp;TRIM(INDEX($N$1:$O$1, MATCH(MIN(N717:O717), N717:O717, 0))), 技能库!$A:$F, 5, 0),"建议查阅考纲")&amp;CHAR(10)&amp;"💡 提升建议: "&amp;IFERROR(VLOOKUP(TRIM(D717)&amp;"_"&amp;TRIM(INDEX($N$1:$O$1, MATCH(MIN(N717:O717), N717:O717, 0))), 技能库!$A:$F, 6, 0),"请针对该题型加强练习"))</f>
        <v/>
      </c>
      <c r="AC717" s="5" t="str">
        <f>IF(W717="","", "⚠️ 薄弱环节: "&amp;INDEX($R$1:$V$1, MATCH(MIN(R717:V717), R717:V717, 0))&amp;CHAR(10)&amp;"📉 考察能力: "&amp;IFERROR(VLOOKUP(TRIM(D717)&amp;"_"&amp;TRIM(INDEX($R$1:$V$1, MATCH(MIN(R717:V717), R717:V717, 0))), 技能库!$A:$F, 5, 0),"建议查阅考纲")&amp;CHAR(10)&amp;"💡 提升建议: "&amp;IFERROR(VLOOKUP(TRIM(D717)&amp;"_"&amp;TRIM(INDEX($R$1:$V$1, MATCH(MIN(R717:V717), R717:V717, 0))), 技能库!$A:$F, 6, 0),"请针对该题型加强练习"))</f>
        <v/>
      </c>
    </row>
    <row r="718" spans="12:29" ht="16" hidden="1" x14ac:dyDescent="0.2">
      <c r="L718" t="str">
        <f t="shared" si="44"/>
        <v/>
      </c>
      <c r="M718" t="str">
        <f>IF(L718="","", IFERROR(VLOOKUP(L718, IF(D718="KET", 换算标准!$M:$N, IF(D718="PET", 换算标准!$S:$T, 换算标准!$AC:$AD)), 2, TRUE), 0))</f>
        <v/>
      </c>
      <c r="P718" t="str">
        <f t="shared" si="45"/>
        <v/>
      </c>
      <c r="Q718" t="str">
        <f>IF(P718="","", IFERROR(VLOOKUP(P718, IF(D718="KET", 换算标准!$O:$P, IF(D718="PET", 换算标准!$U:$V, 换算标准!$AG:$AH)), 2, TRUE), 0))</f>
        <v/>
      </c>
      <c r="W718" t="str">
        <f t="shared" si="46"/>
        <v/>
      </c>
      <c r="X718" t="str">
        <f>IF(W718="","", IFERROR(VLOOKUP(W718, IF(D718="KET", 换算标准!$Q:$R, IF(D718="PET", 换算标准!$W:$X, 换算标准!$AI:$AJ)), 2, TRUE), 0))</f>
        <v/>
      </c>
      <c r="Y718" t="str">
        <f t="shared" si="47"/>
        <v/>
      </c>
      <c r="Z718" t="str">
        <f>IF(Y718="","", IFERROR(VLOOKUP(Y718, 换算标准!$Z:$AA, 1, TRUE), ""))</f>
        <v/>
      </c>
      <c r="AA718" s="5" t="str">
        <f>IF(L718="","", "⚠️ 薄弱环节: "&amp;INDEX($E$1:$K$1, MATCH(MIN(E718:K718), E718:K718, 0))&amp;CHAR(10)&amp;"📉 考察能力: "&amp;IFERROR(VLOOKUP(TRIM(D718)&amp;"_"&amp;TRIM(INDEX($E$1:$K$1, MATCH(MIN(E718:K718), E718:K718, 0))), 技能库!$A:$F, 5, 0),"建议查阅考纲")&amp;CHAR(10)&amp;"💡 提升建议: "&amp;IFERROR(VLOOKUP(TRIM(D718)&amp;"_"&amp;TRIM(INDEX($E$1:$K$1, MATCH(MIN(E718:K718), E718:K718, 0))), 技能库!$A:$F, 6, 0),"请针对该题型加强练习"))</f>
        <v/>
      </c>
      <c r="AB718" s="5" t="str">
        <f>IF(P718="","", "⚠️ 薄弱环节: "&amp;INDEX($N$1:$O$1, MATCH(MIN(N718:O718), N718:O718, 0))&amp;CHAR(10)&amp;"📉 考察能力: "&amp;IFERROR(VLOOKUP(TRIM(D718)&amp;"_"&amp;TRIM(INDEX($N$1:$O$1, MATCH(MIN(N718:O718), N718:O718, 0))), 技能库!$A:$F, 5, 0),"建议查阅考纲")&amp;CHAR(10)&amp;"💡 提升建议: "&amp;IFERROR(VLOOKUP(TRIM(D718)&amp;"_"&amp;TRIM(INDEX($N$1:$O$1, MATCH(MIN(N718:O718), N718:O718, 0))), 技能库!$A:$F, 6, 0),"请针对该题型加强练习"))</f>
        <v/>
      </c>
      <c r="AC718" s="5" t="str">
        <f>IF(W718="","", "⚠️ 薄弱环节: "&amp;INDEX($R$1:$V$1, MATCH(MIN(R718:V718), R718:V718, 0))&amp;CHAR(10)&amp;"📉 考察能力: "&amp;IFERROR(VLOOKUP(TRIM(D718)&amp;"_"&amp;TRIM(INDEX($R$1:$V$1, MATCH(MIN(R718:V718), R718:V718, 0))), 技能库!$A:$F, 5, 0),"建议查阅考纲")&amp;CHAR(10)&amp;"💡 提升建议: "&amp;IFERROR(VLOOKUP(TRIM(D718)&amp;"_"&amp;TRIM(INDEX($R$1:$V$1, MATCH(MIN(R718:V718), R718:V718, 0))), 技能库!$A:$F, 6, 0),"请针对该题型加强练习"))</f>
        <v/>
      </c>
    </row>
    <row r="719" spans="12:29" ht="16" hidden="1" x14ac:dyDescent="0.2">
      <c r="L719" t="str">
        <f t="shared" si="44"/>
        <v/>
      </c>
      <c r="M719" t="str">
        <f>IF(L719="","", IFERROR(VLOOKUP(L719, IF(D719="KET", 换算标准!$M:$N, IF(D719="PET", 换算标准!$S:$T, 换算标准!$AC:$AD)), 2, TRUE), 0))</f>
        <v/>
      </c>
      <c r="P719" t="str">
        <f t="shared" si="45"/>
        <v/>
      </c>
      <c r="Q719" t="str">
        <f>IF(P719="","", IFERROR(VLOOKUP(P719, IF(D719="KET", 换算标准!$O:$P, IF(D719="PET", 换算标准!$U:$V, 换算标准!$AG:$AH)), 2, TRUE), 0))</f>
        <v/>
      </c>
      <c r="W719" t="str">
        <f t="shared" si="46"/>
        <v/>
      </c>
      <c r="X719" t="str">
        <f>IF(W719="","", IFERROR(VLOOKUP(W719, IF(D719="KET", 换算标准!$Q:$R, IF(D719="PET", 换算标准!$W:$X, 换算标准!$AI:$AJ)), 2, TRUE), 0))</f>
        <v/>
      </c>
      <c r="Y719" t="str">
        <f t="shared" si="47"/>
        <v/>
      </c>
      <c r="Z719" t="str">
        <f>IF(Y719="","", IFERROR(VLOOKUP(Y719, 换算标准!$Z:$AA, 1, TRUE), ""))</f>
        <v/>
      </c>
      <c r="AA719" s="5" t="str">
        <f>IF(L719="","", "⚠️ 薄弱环节: "&amp;INDEX($E$1:$K$1, MATCH(MIN(E719:K719), E719:K719, 0))&amp;CHAR(10)&amp;"📉 考察能力: "&amp;IFERROR(VLOOKUP(TRIM(D719)&amp;"_"&amp;TRIM(INDEX($E$1:$K$1, MATCH(MIN(E719:K719), E719:K719, 0))), 技能库!$A:$F, 5, 0),"建议查阅考纲")&amp;CHAR(10)&amp;"💡 提升建议: "&amp;IFERROR(VLOOKUP(TRIM(D719)&amp;"_"&amp;TRIM(INDEX($E$1:$K$1, MATCH(MIN(E719:K719), E719:K719, 0))), 技能库!$A:$F, 6, 0),"请针对该题型加强练习"))</f>
        <v/>
      </c>
      <c r="AB719" s="5" t="str">
        <f>IF(P719="","", "⚠️ 薄弱环节: "&amp;INDEX($N$1:$O$1, MATCH(MIN(N719:O719), N719:O719, 0))&amp;CHAR(10)&amp;"📉 考察能力: "&amp;IFERROR(VLOOKUP(TRIM(D719)&amp;"_"&amp;TRIM(INDEX($N$1:$O$1, MATCH(MIN(N719:O719), N719:O719, 0))), 技能库!$A:$F, 5, 0),"建议查阅考纲")&amp;CHAR(10)&amp;"💡 提升建议: "&amp;IFERROR(VLOOKUP(TRIM(D719)&amp;"_"&amp;TRIM(INDEX($N$1:$O$1, MATCH(MIN(N719:O719), N719:O719, 0))), 技能库!$A:$F, 6, 0),"请针对该题型加强练习"))</f>
        <v/>
      </c>
      <c r="AC719" s="5" t="str">
        <f>IF(W719="","", "⚠️ 薄弱环节: "&amp;INDEX($R$1:$V$1, MATCH(MIN(R719:V719), R719:V719, 0))&amp;CHAR(10)&amp;"📉 考察能力: "&amp;IFERROR(VLOOKUP(TRIM(D719)&amp;"_"&amp;TRIM(INDEX($R$1:$V$1, MATCH(MIN(R719:V719), R719:V719, 0))), 技能库!$A:$F, 5, 0),"建议查阅考纲")&amp;CHAR(10)&amp;"💡 提升建议: "&amp;IFERROR(VLOOKUP(TRIM(D719)&amp;"_"&amp;TRIM(INDEX($R$1:$V$1, MATCH(MIN(R719:V719), R719:V719, 0))), 技能库!$A:$F, 6, 0),"请针对该题型加强练习"))</f>
        <v/>
      </c>
    </row>
    <row r="720" spans="12:29" ht="16" hidden="1" x14ac:dyDescent="0.2">
      <c r="L720" t="str">
        <f t="shared" si="44"/>
        <v/>
      </c>
      <c r="M720" t="str">
        <f>IF(L720="","", IFERROR(VLOOKUP(L720, IF(D720="KET", 换算标准!$M:$N, IF(D720="PET", 换算标准!$S:$T, 换算标准!$AC:$AD)), 2, TRUE), 0))</f>
        <v/>
      </c>
      <c r="P720" t="str">
        <f t="shared" si="45"/>
        <v/>
      </c>
      <c r="Q720" t="str">
        <f>IF(P720="","", IFERROR(VLOOKUP(P720, IF(D720="KET", 换算标准!$O:$P, IF(D720="PET", 换算标准!$U:$V, 换算标准!$AG:$AH)), 2, TRUE), 0))</f>
        <v/>
      </c>
      <c r="W720" t="str">
        <f t="shared" si="46"/>
        <v/>
      </c>
      <c r="X720" t="str">
        <f>IF(W720="","", IFERROR(VLOOKUP(W720, IF(D720="KET", 换算标准!$Q:$R, IF(D720="PET", 换算标准!$W:$X, 换算标准!$AI:$AJ)), 2, TRUE), 0))</f>
        <v/>
      </c>
      <c r="Y720" t="str">
        <f t="shared" si="47"/>
        <v/>
      </c>
      <c r="Z720" t="str">
        <f>IF(Y720="","", IFERROR(VLOOKUP(Y720, 换算标准!$Z:$AA, 1, TRUE), ""))</f>
        <v/>
      </c>
      <c r="AA720" s="5" t="str">
        <f>IF(L720="","", "⚠️ 薄弱环节: "&amp;INDEX($E$1:$K$1, MATCH(MIN(E720:K720), E720:K720, 0))&amp;CHAR(10)&amp;"📉 考察能力: "&amp;IFERROR(VLOOKUP(TRIM(D720)&amp;"_"&amp;TRIM(INDEX($E$1:$K$1, MATCH(MIN(E720:K720), E720:K720, 0))), 技能库!$A:$F, 5, 0),"建议查阅考纲")&amp;CHAR(10)&amp;"💡 提升建议: "&amp;IFERROR(VLOOKUP(TRIM(D720)&amp;"_"&amp;TRIM(INDEX($E$1:$K$1, MATCH(MIN(E720:K720), E720:K720, 0))), 技能库!$A:$F, 6, 0),"请针对该题型加强练习"))</f>
        <v/>
      </c>
      <c r="AB720" s="5" t="str">
        <f>IF(P720="","", "⚠️ 薄弱环节: "&amp;INDEX($N$1:$O$1, MATCH(MIN(N720:O720), N720:O720, 0))&amp;CHAR(10)&amp;"📉 考察能力: "&amp;IFERROR(VLOOKUP(TRIM(D720)&amp;"_"&amp;TRIM(INDEX($N$1:$O$1, MATCH(MIN(N720:O720), N720:O720, 0))), 技能库!$A:$F, 5, 0),"建议查阅考纲")&amp;CHAR(10)&amp;"💡 提升建议: "&amp;IFERROR(VLOOKUP(TRIM(D720)&amp;"_"&amp;TRIM(INDEX($N$1:$O$1, MATCH(MIN(N720:O720), N720:O720, 0))), 技能库!$A:$F, 6, 0),"请针对该题型加强练习"))</f>
        <v/>
      </c>
      <c r="AC720" s="5" t="str">
        <f>IF(W720="","", "⚠️ 薄弱环节: "&amp;INDEX($R$1:$V$1, MATCH(MIN(R720:V720), R720:V720, 0))&amp;CHAR(10)&amp;"📉 考察能力: "&amp;IFERROR(VLOOKUP(TRIM(D720)&amp;"_"&amp;TRIM(INDEX($R$1:$V$1, MATCH(MIN(R720:V720), R720:V720, 0))), 技能库!$A:$F, 5, 0),"建议查阅考纲")&amp;CHAR(10)&amp;"💡 提升建议: "&amp;IFERROR(VLOOKUP(TRIM(D720)&amp;"_"&amp;TRIM(INDEX($R$1:$V$1, MATCH(MIN(R720:V720), R720:V720, 0))), 技能库!$A:$F, 6, 0),"请针对该题型加强练习"))</f>
        <v/>
      </c>
    </row>
    <row r="721" spans="12:29" ht="16" hidden="1" x14ac:dyDescent="0.2">
      <c r="L721" t="str">
        <f t="shared" si="44"/>
        <v/>
      </c>
      <c r="M721" t="str">
        <f>IF(L721="","", IFERROR(VLOOKUP(L721, IF(D721="KET", 换算标准!$M:$N, IF(D721="PET", 换算标准!$S:$T, 换算标准!$AC:$AD)), 2, TRUE), 0))</f>
        <v/>
      </c>
      <c r="P721" t="str">
        <f t="shared" si="45"/>
        <v/>
      </c>
      <c r="Q721" t="str">
        <f>IF(P721="","", IFERROR(VLOOKUP(P721, IF(D721="KET", 换算标准!$O:$P, IF(D721="PET", 换算标准!$U:$V, 换算标准!$AG:$AH)), 2, TRUE), 0))</f>
        <v/>
      </c>
      <c r="W721" t="str">
        <f t="shared" si="46"/>
        <v/>
      </c>
      <c r="X721" t="str">
        <f>IF(W721="","", IFERROR(VLOOKUP(W721, IF(D721="KET", 换算标准!$Q:$R, IF(D721="PET", 换算标准!$W:$X, 换算标准!$AI:$AJ)), 2, TRUE), 0))</f>
        <v/>
      </c>
      <c r="Y721" t="str">
        <f t="shared" si="47"/>
        <v/>
      </c>
      <c r="Z721" t="str">
        <f>IF(Y721="","", IFERROR(VLOOKUP(Y721, 换算标准!$Z:$AA, 1, TRUE), ""))</f>
        <v/>
      </c>
      <c r="AA721" s="5" t="str">
        <f>IF(L721="","", "⚠️ 薄弱环节: "&amp;INDEX($E$1:$K$1, MATCH(MIN(E721:K721), E721:K721, 0))&amp;CHAR(10)&amp;"📉 考察能力: "&amp;IFERROR(VLOOKUP(TRIM(D721)&amp;"_"&amp;TRIM(INDEX($E$1:$K$1, MATCH(MIN(E721:K721), E721:K721, 0))), 技能库!$A:$F, 5, 0),"建议查阅考纲")&amp;CHAR(10)&amp;"💡 提升建议: "&amp;IFERROR(VLOOKUP(TRIM(D721)&amp;"_"&amp;TRIM(INDEX($E$1:$K$1, MATCH(MIN(E721:K721), E721:K721, 0))), 技能库!$A:$F, 6, 0),"请针对该题型加强练习"))</f>
        <v/>
      </c>
      <c r="AB721" s="5" t="str">
        <f>IF(P721="","", "⚠️ 薄弱环节: "&amp;INDEX($N$1:$O$1, MATCH(MIN(N721:O721), N721:O721, 0))&amp;CHAR(10)&amp;"📉 考察能力: "&amp;IFERROR(VLOOKUP(TRIM(D721)&amp;"_"&amp;TRIM(INDEX($N$1:$O$1, MATCH(MIN(N721:O721), N721:O721, 0))), 技能库!$A:$F, 5, 0),"建议查阅考纲")&amp;CHAR(10)&amp;"💡 提升建议: "&amp;IFERROR(VLOOKUP(TRIM(D721)&amp;"_"&amp;TRIM(INDEX($N$1:$O$1, MATCH(MIN(N721:O721), N721:O721, 0))), 技能库!$A:$F, 6, 0),"请针对该题型加强练习"))</f>
        <v/>
      </c>
      <c r="AC721" s="5" t="str">
        <f>IF(W721="","", "⚠️ 薄弱环节: "&amp;INDEX($R$1:$V$1, MATCH(MIN(R721:V721), R721:V721, 0))&amp;CHAR(10)&amp;"📉 考察能力: "&amp;IFERROR(VLOOKUP(TRIM(D721)&amp;"_"&amp;TRIM(INDEX($R$1:$V$1, MATCH(MIN(R721:V721), R721:V721, 0))), 技能库!$A:$F, 5, 0),"建议查阅考纲")&amp;CHAR(10)&amp;"💡 提升建议: "&amp;IFERROR(VLOOKUP(TRIM(D721)&amp;"_"&amp;TRIM(INDEX($R$1:$V$1, MATCH(MIN(R721:V721), R721:V721, 0))), 技能库!$A:$F, 6, 0),"请针对该题型加强练习"))</f>
        <v/>
      </c>
    </row>
    <row r="722" spans="12:29" ht="16" hidden="1" x14ac:dyDescent="0.2">
      <c r="L722" t="str">
        <f t="shared" si="44"/>
        <v/>
      </c>
      <c r="M722" t="str">
        <f>IF(L722="","", IFERROR(VLOOKUP(L722, IF(D722="KET", 换算标准!$M:$N, IF(D722="PET", 换算标准!$S:$T, 换算标准!$AC:$AD)), 2, TRUE), 0))</f>
        <v/>
      </c>
      <c r="P722" t="str">
        <f t="shared" si="45"/>
        <v/>
      </c>
      <c r="Q722" t="str">
        <f>IF(P722="","", IFERROR(VLOOKUP(P722, IF(D722="KET", 换算标准!$O:$P, IF(D722="PET", 换算标准!$U:$V, 换算标准!$AG:$AH)), 2, TRUE), 0))</f>
        <v/>
      </c>
      <c r="W722" t="str">
        <f t="shared" si="46"/>
        <v/>
      </c>
      <c r="X722" t="str">
        <f>IF(W722="","", IFERROR(VLOOKUP(W722, IF(D722="KET", 换算标准!$Q:$R, IF(D722="PET", 换算标准!$W:$X, 换算标准!$AI:$AJ)), 2, TRUE), 0))</f>
        <v/>
      </c>
      <c r="Y722" t="str">
        <f t="shared" si="47"/>
        <v/>
      </c>
      <c r="Z722" t="str">
        <f>IF(Y722="","", IFERROR(VLOOKUP(Y722, 换算标准!$Z:$AA, 1, TRUE), ""))</f>
        <v/>
      </c>
      <c r="AA722" s="5" t="str">
        <f>IF(L722="","", "⚠️ 薄弱环节: "&amp;INDEX($E$1:$K$1, MATCH(MIN(E722:K722), E722:K722, 0))&amp;CHAR(10)&amp;"📉 考察能力: "&amp;IFERROR(VLOOKUP(TRIM(D722)&amp;"_"&amp;TRIM(INDEX($E$1:$K$1, MATCH(MIN(E722:K722), E722:K722, 0))), 技能库!$A:$F, 5, 0),"建议查阅考纲")&amp;CHAR(10)&amp;"💡 提升建议: "&amp;IFERROR(VLOOKUP(TRIM(D722)&amp;"_"&amp;TRIM(INDEX($E$1:$K$1, MATCH(MIN(E722:K722), E722:K722, 0))), 技能库!$A:$F, 6, 0),"请针对该题型加强练习"))</f>
        <v/>
      </c>
      <c r="AB722" s="5" t="str">
        <f>IF(P722="","", "⚠️ 薄弱环节: "&amp;INDEX($N$1:$O$1, MATCH(MIN(N722:O722), N722:O722, 0))&amp;CHAR(10)&amp;"📉 考察能力: "&amp;IFERROR(VLOOKUP(TRIM(D722)&amp;"_"&amp;TRIM(INDEX($N$1:$O$1, MATCH(MIN(N722:O722), N722:O722, 0))), 技能库!$A:$F, 5, 0),"建议查阅考纲")&amp;CHAR(10)&amp;"💡 提升建议: "&amp;IFERROR(VLOOKUP(TRIM(D722)&amp;"_"&amp;TRIM(INDEX($N$1:$O$1, MATCH(MIN(N722:O722), N722:O722, 0))), 技能库!$A:$F, 6, 0),"请针对该题型加强练习"))</f>
        <v/>
      </c>
      <c r="AC722" s="5" t="str">
        <f>IF(W722="","", "⚠️ 薄弱环节: "&amp;INDEX($R$1:$V$1, MATCH(MIN(R722:V722), R722:V722, 0))&amp;CHAR(10)&amp;"📉 考察能力: "&amp;IFERROR(VLOOKUP(TRIM(D722)&amp;"_"&amp;TRIM(INDEX($R$1:$V$1, MATCH(MIN(R722:V722), R722:V722, 0))), 技能库!$A:$F, 5, 0),"建议查阅考纲")&amp;CHAR(10)&amp;"💡 提升建议: "&amp;IFERROR(VLOOKUP(TRIM(D722)&amp;"_"&amp;TRIM(INDEX($R$1:$V$1, MATCH(MIN(R722:V722), R722:V722, 0))), 技能库!$A:$F, 6, 0),"请针对该题型加强练习"))</f>
        <v/>
      </c>
    </row>
    <row r="723" spans="12:29" ht="16" hidden="1" x14ac:dyDescent="0.2">
      <c r="L723" t="str">
        <f t="shared" si="44"/>
        <v/>
      </c>
      <c r="M723" t="str">
        <f>IF(L723="","", IFERROR(VLOOKUP(L723, IF(D723="KET", 换算标准!$M:$N, IF(D723="PET", 换算标准!$S:$T, 换算标准!$AC:$AD)), 2, TRUE), 0))</f>
        <v/>
      </c>
      <c r="P723" t="str">
        <f t="shared" si="45"/>
        <v/>
      </c>
      <c r="Q723" t="str">
        <f>IF(P723="","", IFERROR(VLOOKUP(P723, IF(D723="KET", 换算标准!$O:$P, IF(D723="PET", 换算标准!$U:$V, 换算标准!$AG:$AH)), 2, TRUE), 0))</f>
        <v/>
      </c>
      <c r="W723" t="str">
        <f t="shared" si="46"/>
        <v/>
      </c>
      <c r="X723" t="str">
        <f>IF(W723="","", IFERROR(VLOOKUP(W723, IF(D723="KET", 换算标准!$Q:$R, IF(D723="PET", 换算标准!$W:$X, 换算标准!$AI:$AJ)), 2, TRUE), 0))</f>
        <v/>
      </c>
      <c r="Y723" t="str">
        <f t="shared" si="47"/>
        <v/>
      </c>
      <c r="Z723" t="str">
        <f>IF(Y723="","", IFERROR(VLOOKUP(Y723, 换算标准!$Z:$AA, 1, TRUE), ""))</f>
        <v/>
      </c>
      <c r="AA723" s="5" t="str">
        <f>IF(L723="","", "⚠️ 薄弱环节: "&amp;INDEX($E$1:$K$1, MATCH(MIN(E723:K723), E723:K723, 0))&amp;CHAR(10)&amp;"📉 考察能力: "&amp;IFERROR(VLOOKUP(TRIM(D723)&amp;"_"&amp;TRIM(INDEX($E$1:$K$1, MATCH(MIN(E723:K723), E723:K723, 0))), 技能库!$A:$F, 5, 0),"建议查阅考纲")&amp;CHAR(10)&amp;"💡 提升建议: "&amp;IFERROR(VLOOKUP(TRIM(D723)&amp;"_"&amp;TRIM(INDEX($E$1:$K$1, MATCH(MIN(E723:K723), E723:K723, 0))), 技能库!$A:$F, 6, 0),"请针对该题型加强练习"))</f>
        <v/>
      </c>
      <c r="AB723" s="5" t="str">
        <f>IF(P723="","", "⚠️ 薄弱环节: "&amp;INDEX($N$1:$O$1, MATCH(MIN(N723:O723), N723:O723, 0))&amp;CHAR(10)&amp;"📉 考察能力: "&amp;IFERROR(VLOOKUP(TRIM(D723)&amp;"_"&amp;TRIM(INDEX($N$1:$O$1, MATCH(MIN(N723:O723), N723:O723, 0))), 技能库!$A:$F, 5, 0),"建议查阅考纲")&amp;CHAR(10)&amp;"💡 提升建议: "&amp;IFERROR(VLOOKUP(TRIM(D723)&amp;"_"&amp;TRIM(INDEX($N$1:$O$1, MATCH(MIN(N723:O723), N723:O723, 0))), 技能库!$A:$F, 6, 0),"请针对该题型加强练习"))</f>
        <v/>
      </c>
      <c r="AC723" s="5" t="str">
        <f>IF(W723="","", "⚠️ 薄弱环节: "&amp;INDEX($R$1:$V$1, MATCH(MIN(R723:V723), R723:V723, 0))&amp;CHAR(10)&amp;"📉 考察能力: "&amp;IFERROR(VLOOKUP(TRIM(D723)&amp;"_"&amp;TRIM(INDEX($R$1:$V$1, MATCH(MIN(R723:V723), R723:V723, 0))), 技能库!$A:$F, 5, 0),"建议查阅考纲")&amp;CHAR(10)&amp;"💡 提升建议: "&amp;IFERROR(VLOOKUP(TRIM(D723)&amp;"_"&amp;TRIM(INDEX($R$1:$V$1, MATCH(MIN(R723:V723), R723:V723, 0))), 技能库!$A:$F, 6, 0),"请针对该题型加强练习"))</f>
        <v/>
      </c>
    </row>
    <row r="724" spans="12:29" ht="16" hidden="1" x14ac:dyDescent="0.2">
      <c r="L724" t="str">
        <f t="shared" si="44"/>
        <v/>
      </c>
      <c r="M724" t="str">
        <f>IF(L724="","", IFERROR(VLOOKUP(L724, IF(D724="KET", 换算标准!$M:$N, IF(D724="PET", 换算标准!$S:$T, 换算标准!$AC:$AD)), 2, TRUE), 0))</f>
        <v/>
      </c>
      <c r="P724" t="str">
        <f t="shared" si="45"/>
        <v/>
      </c>
      <c r="Q724" t="str">
        <f>IF(P724="","", IFERROR(VLOOKUP(P724, IF(D724="KET", 换算标准!$O:$P, IF(D724="PET", 换算标准!$U:$V, 换算标准!$AG:$AH)), 2, TRUE), 0))</f>
        <v/>
      </c>
      <c r="W724" t="str">
        <f t="shared" si="46"/>
        <v/>
      </c>
      <c r="X724" t="str">
        <f>IF(W724="","", IFERROR(VLOOKUP(W724, IF(D724="KET", 换算标准!$Q:$R, IF(D724="PET", 换算标准!$W:$X, 换算标准!$AI:$AJ)), 2, TRUE), 0))</f>
        <v/>
      </c>
      <c r="Y724" t="str">
        <f t="shared" si="47"/>
        <v/>
      </c>
      <c r="Z724" t="str">
        <f>IF(Y724="","", IFERROR(VLOOKUP(Y724, 换算标准!$Z:$AA, 1, TRUE), ""))</f>
        <v/>
      </c>
      <c r="AA724" s="5" t="str">
        <f>IF(L724="","", "⚠️ 薄弱环节: "&amp;INDEX($E$1:$K$1, MATCH(MIN(E724:K724), E724:K724, 0))&amp;CHAR(10)&amp;"📉 考察能力: "&amp;IFERROR(VLOOKUP(TRIM(D724)&amp;"_"&amp;TRIM(INDEX($E$1:$K$1, MATCH(MIN(E724:K724), E724:K724, 0))), 技能库!$A:$F, 5, 0),"建议查阅考纲")&amp;CHAR(10)&amp;"💡 提升建议: "&amp;IFERROR(VLOOKUP(TRIM(D724)&amp;"_"&amp;TRIM(INDEX($E$1:$K$1, MATCH(MIN(E724:K724), E724:K724, 0))), 技能库!$A:$F, 6, 0),"请针对该题型加强练习"))</f>
        <v/>
      </c>
      <c r="AB724" s="5" t="str">
        <f>IF(P724="","", "⚠️ 薄弱环节: "&amp;INDEX($N$1:$O$1, MATCH(MIN(N724:O724), N724:O724, 0))&amp;CHAR(10)&amp;"📉 考察能力: "&amp;IFERROR(VLOOKUP(TRIM(D724)&amp;"_"&amp;TRIM(INDEX($N$1:$O$1, MATCH(MIN(N724:O724), N724:O724, 0))), 技能库!$A:$F, 5, 0),"建议查阅考纲")&amp;CHAR(10)&amp;"💡 提升建议: "&amp;IFERROR(VLOOKUP(TRIM(D724)&amp;"_"&amp;TRIM(INDEX($N$1:$O$1, MATCH(MIN(N724:O724), N724:O724, 0))), 技能库!$A:$F, 6, 0),"请针对该题型加强练习"))</f>
        <v/>
      </c>
      <c r="AC724" s="5" t="str">
        <f>IF(W724="","", "⚠️ 薄弱环节: "&amp;INDEX($R$1:$V$1, MATCH(MIN(R724:V724), R724:V724, 0))&amp;CHAR(10)&amp;"📉 考察能力: "&amp;IFERROR(VLOOKUP(TRIM(D724)&amp;"_"&amp;TRIM(INDEX($R$1:$V$1, MATCH(MIN(R724:V724), R724:V724, 0))), 技能库!$A:$F, 5, 0),"建议查阅考纲")&amp;CHAR(10)&amp;"💡 提升建议: "&amp;IFERROR(VLOOKUP(TRIM(D724)&amp;"_"&amp;TRIM(INDEX($R$1:$V$1, MATCH(MIN(R724:V724), R724:V724, 0))), 技能库!$A:$F, 6, 0),"请针对该题型加强练习"))</f>
        <v/>
      </c>
    </row>
    <row r="725" spans="12:29" ht="16" hidden="1" x14ac:dyDescent="0.2">
      <c r="L725" t="str">
        <f t="shared" si="44"/>
        <v/>
      </c>
      <c r="M725" t="str">
        <f>IF(L725="","", IFERROR(VLOOKUP(L725, IF(D725="KET", 换算标准!$M:$N, IF(D725="PET", 换算标准!$S:$T, 换算标准!$AC:$AD)), 2, TRUE), 0))</f>
        <v/>
      </c>
      <c r="P725" t="str">
        <f t="shared" si="45"/>
        <v/>
      </c>
      <c r="Q725" t="str">
        <f>IF(P725="","", IFERROR(VLOOKUP(P725, IF(D725="KET", 换算标准!$O:$P, IF(D725="PET", 换算标准!$U:$V, 换算标准!$AG:$AH)), 2, TRUE), 0))</f>
        <v/>
      </c>
      <c r="W725" t="str">
        <f t="shared" si="46"/>
        <v/>
      </c>
      <c r="X725" t="str">
        <f>IF(W725="","", IFERROR(VLOOKUP(W725, IF(D725="KET", 换算标准!$Q:$R, IF(D725="PET", 换算标准!$W:$X, 换算标准!$AI:$AJ)), 2, TRUE), 0))</f>
        <v/>
      </c>
      <c r="Y725" t="str">
        <f t="shared" si="47"/>
        <v/>
      </c>
      <c r="Z725" t="str">
        <f>IF(Y725="","", IFERROR(VLOOKUP(Y725, 换算标准!$Z:$AA, 1, TRUE), ""))</f>
        <v/>
      </c>
      <c r="AA725" s="5" t="str">
        <f>IF(L725="","", "⚠️ 薄弱环节: "&amp;INDEX($E$1:$K$1, MATCH(MIN(E725:K725), E725:K725, 0))&amp;CHAR(10)&amp;"📉 考察能力: "&amp;IFERROR(VLOOKUP(TRIM(D725)&amp;"_"&amp;TRIM(INDEX($E$1:$K$1, MATCH(MIN(E725:K725), E725:K725, 0))), 技能库!$A:$F, 5, 0),"建议查阅考纲")&amp;CHAR(10)&amp;"💡 提升建议: "&amp;IFERROR(VLOOKUP(TRIM(D725)&amp;"_"&amp;TRIM(INDEX($E$1:$K$1, MATCH(MIN(E725:K725), E725:K725, 0))), 技能库!$A:$F, 6, 0),"请针对该题型加强练习"))</f>
        <v/>
      </c>
      <c r="AB725" s="5" t="str">
        <f>IF(P725="","", "⚠️ 薄弱环节: "&amp;INDEX($N$1:$O$1, MATCH(MIN(N725:O725), N725:O725, 0))&amp;CHAR(10)&amp;"📉 考察能力: "&amp;IFERROR(VLOOKUP(TRIM(D725)&amp;"_"&amp;TRIM(INDEX($N$1:$O$1, MATCH(MIN(N725:O725), N725:O725, 0))), 技能库!$A:$F, 5, 0),"建议查阅考纲")&amp;CHAR(10)&amp;"💡 提升建议: "&amp;IFERROR(VLOOKUP(TRIM(D725)&amp;"_"&amp;TRIM(INDEX($N$1:$O$1, MATCH(MIN(N725:O725), N725:O725, 0))), 技能库!$A:$F, 6, 0),"请针对该题型加强练习"))</f>
        <v/>
      </c>
      <c r="AC725" s="5" t="str">
        <f>IF(W725="","", "⚠️ 薄弱环节: "&amp;INDEX($R$1:$V$1, MATCH(MIN(R725:V725), R725:V725, 0))&amp;CHAR(10)&amp;"📉 考察能力: "&amp;IFERROR(VLOOKUP(TRIM(D725)&amp;"_"&amp;TRIM(INDEX($R$1:$V$1, MATCH(MIN(R725:V725), R725:V725, 0))), 技能库!$A:$F, 5, 0),"建议查阅考纲")&amp;CHAR(10)&amp;"💡 提升建议: "&amp;IFERROR(VLOOKUP(TRIM(D725)&amp;"_"&amp;TRIM(INDEX($R$1:$V$1, MATCH(MIN(R725:V725), R725:V725, 0))), 技能库!$A:$F, 6, 0),"请针对该题型加强练习"))</f>
        <v/>
      </c>
    </row>
    <row r="726" spans="12:29" ht="16" hidden="1" x14ac:dyDescent="0.2">
      <c r="L726" t="str">
        <f t="shared" si="44"/>
        <v/>
      </c>
      <c r="M726" t="str">
        <f>IF(L726="","", IFERROR(VLOOKUP(L726, IF(D726="KET", 换算标准!$M:$N, IF(D726="PET", 换算标准!$S:$T, 换算标准!$AC:$AD)), 2, TRUE), 0))</f>
        <v/>
      </c>
      <c r="P726" t="str">
        <f t="shared" si="45"/>
        <v/>
      </c>
      <c r="Q726" t="str">
        <f>IF(P726="","", IFERROR(VLOOKUP(P726, IF(D726="KET", 换算标准!$O:$P, IF(D726="PET", 换算标准!$U:$V, 换算标准!$AG:$AH)), 2, TRUE), 0))</f>
        <v/>
      </c>
      <c r="W726" t="str">
        <f t="shared" si="46"/>
        <v/>
      </c>
      <c r="X726" t="str">
        <f>IF(W726="","", IFERROR(VLOOKUP(W726, IF(D726="KET", 换算标准!$Q:$R, IF(D726="PET", 换算标准!$W:$X, 换算标准!$AI:$AJ)), 2, TRUE), 0))</f>
        <v/>
      </c>
      <c r="Y726" t="str">
        <f t="shared" si="47"/>
        <v/>
      </c>
      <c r="Z726" t="str">
        <f>IF(Y726="","", IFERROR(VLOOKUP(Y726, 换算标准!$Z:$AA, 1, TRUE), ""))</f>
        <v/>
      </c>
      <c r="AA726" s="5" t="str">
        <f>IF(L726="","", "⚠️ 薄弱环节: "&amp;INDEX($E$1:$K$1, MATCH(MIN(E726:K726), E726:K726, 0))&amp;CHAR(10)&amp;"📉 考察能力: "&amp;IFERROR(VLOOKUP(TRIM(D726)&amp;"_"&amp;TRIM(INDEX($E$1:$K$1, MATCH(MIN(E726:K726), E726:K726, 0))), 技能库!$A:$F, 5, 0),"建议查阅考纲")&amp;CHAR(10)&amp;"💡 提升建议: "&amp;IFERROR(VLOOKUP(TRIM(D726)&amp;"_"&amp;TRIM(INDEX($E$1:$K$1, MATCH(MIN(E726:K726), E726:K726, 0))), 技能库!$A:$F, 6, 0),"请针对该题型加强练习"))</f>
        <v/>
      </c>
      <c r="AB726" s="5" t="str">
        <f>IF(P726="","", "⚠️ 薄弱环节: "&amp;INDEX($N$1:$O$1, MATCH(MIN(N726:O726), N726:O726, 0))&amp;CHAR(10)&amp;"📉 考察能力: "&amp;IFERROR(VLOOKUP(TRIM(D726)&amp;"_"&amp;TRIM(INDEX($N$1:$O$1, MATCH(MIN(N726:O726), N726:O726, 0))), 技能库!$A:$F, 5, 0),"建议查阅考纲")&amp;CHAR(10)&amp;"💡 提升建议: "&amp;IFERROR(VLOOKUP(TRIM(D726)&amp;"_"&amp;TRIM(INDEX($N$1:$O$1, MATCH(MIN(N726:O726), N726:O726, 0))), 技能库!$A:$F, 6, 0),"请针对该题型加强练习"))</f>
        <v/>
      </c>
      <c r="AC726" s="5" t="str">
        <f>IF(W726="","", "⚠️ 薄弱环节: "&amp;INDEX($R$1:$V$1, MATCH(MIN(R726:V726), R726:V726, 0))&amp;CHAR(10)&amp;"📉 考察能力: "&amp;IFERROR(VLOOKUP(TRIM(D726)&amp;"_"&amp;TRIM(INDEX($R$1:$V$1, MATCH(MIN(R726:V726), R726:V726, 0))), 技能库!$A:$F, 5, 0),"建议查阅考纲")&amp;CHAR(10)&amp;"💡 提升建议: "&amp;IFERROR(VLOOKUP(TRIM(D726)&amp;"_"&amp;TRIM(INDEX($R$1:$V$1, MATCH(MIN(R726:V726), R726:V726, 0))), 技能库!$A:$F, 6, 0),"请针对该题型加强练习"))</f>
        <v/>
      </c>
    </row>
    <row r="727" spans="12:29" ht="16" hidden="1" x14ac:dyDescent="0.2">
      <c r="L727" t="str">
        <f t="shared" si="44"/>
        <v/>
      </c>
      <c r="M727" t="str">
        <f>IF(L727="","", IFERROR(VLOOKUP(L727, IF(D727="KET", 换算标准!$M:$N, IF(D727="PET", 换算标准!$S:$T, 换算标准!$AC:$AD)), 2, TRUE), 0))</f>
        <v/>
      </c>
      <c r="P727" t="str">
        <f t="shared" si="45"/>
        <v/>
      </c>
      <c r="Q727" t="str">
        <f>IF(P727="","", IFERROR(VLOOKUP(P727, IF(D727="KET", 换算标准!$O:$P, IF(D727="PET", 换算标准!$U:$V, 换算标准!$AG:$AH)), 2, TRUE), 0))</f>
        <v/>
      </c>
      <c r="W727" t="str">
        <f t="shared" si="46"/>
        <v/>
      </c>
      <c r="X727" t="str">
        <f>IF(W727="","", IFERROR(VLOOKUP(W727, IF(D727="KET", 换算标准!$Q:$R, IF(D727="PET", 换算标准!$W:$X, 换算标准!$AI:$AJ)), 2, TRUE), 0))</f>
        <v/>
      </c>
      <c r="Y727" t="str">
        <f t="shared" si="47"/>
        <v/>
      </c>
      <c r="Z727" t="str">
        <f>IF(Y727="","", IFERROR(VLOOKUP(Y727, 换算标准!$Z:$AA, 1, TRUE), ""))</f>
        <v/>
      </c>
      <c r="AA727" s="5" t="str">
        <f>IF(L727="","", "⚠️ 薄弱环节: "&amp;INDEX($E$1:$K$1, MATCH(MIN(E727:K727), E727:K727, 0))&amp;CHAR(10)&amp;"📉 考察能力: "&amp;IFERROR(VLOOKUP(TRIM(D727)&amp;"_"&amp;TRIM(INDEX($E$1:$K$1, MATCH(MIN(E727:K727), E727:K727, 0))), 技能库!$A:$F, 5, 0),"建议查阅考纲")&amp;CHAR(10)&amp;"💡 提升建议: "&amp;IFERROR(VLOOKUP(TRIM(D727)&amp;"_"&amp;TRIM(INDEX($E$1:$K$1, MATCH(MIN(E727:K727), E727:K727, 0))), 技能库!$A:$F, 6, 0),"请针对该题型加强练习"))</f>
        <v/>
      </c>
      <c r="AB727" s="5" t="str">
        <f>IF(P727="","", "⚠️ 薄弱环节: "&amp;INDEX($N$1:$O$1, MATCH(MIN(N727:O727), N727:O727, 0))&amp;CHAR(10)&amp;"📉 考察能力: "&amp;IFERROR(VLOOKUP(TRIM(D727)&amp;"_"&amp;TRIM(INDEX($N$1:$O$1, MATCH(MIN(N727:O727), N727:O727, 0))), 技能库!$A:$F, 5, 0),"建议查阅考纲")&amp;CHAR(10)&amp;"💡 提升建议: "&amp;IFERROR(VLOOKUP(TRIM(D727)&amp;"_"&amp;TRIM(INDEX($N$1:$O$1, MATCH(MIN(N727:O727), N727:O727, 0))), 技能库!$A:$F, 6, 0),"请针对该题型加强练习"))</f>
        <v/>
      </c>
      <c r="AC727" s="5" t="str">
        <f>IF(W727="","", "⚠️ 薄弱环节: "&amp;INDEX($R$1:$V$1, MATCH(MIN(R727:V727), R727:V727, 0))&amp;CHAR(10)&amp;"📉 考察能力: "&amp;IFERROR(VLOOKUP(TRIM(D727)&amp;"_"&amp;TRIM(INDEX($R$1:$V$1, MATCH(MIN(R727:V727), R727:V727, 0))), 技能库!$A:$F, 5, 0),"建议查阅考纲")&amp;CHAR(10)&amp;"💡 提升建议: "&amp;IFERROR(VLOOKUP(TRIM(D727)&amp;"_"&amp;TRIM(INDEX($R$1:$V$1, MATCH(MIN(R727:V727), R727:V727, 0))), 技能库!$A:$F, 6, 0),"请针对该题型加强练习"))</f>
        <v/>
      </c>
    </row>
    <row r="728" spans="12:29" ht="16" hidden="1" x14ac:dyDescent="0.2">
      <c r="L728" t="str">
        <f t="shared" si="44"/>
        <v/>
      </c>
      <c r="M728" t="str">
        <f>IF(L728="","", IFERROR(VLOOKUP(L728, IF(D728="KET", 换算标准!$M:$N, IF(D728="PET", 换算标准!$S:$T, 换算标准!$AC:$AD)), 2, TRUE), 0))</f>
        <v/>
      </c>
      <c r="P728" t="str">
        <f t="shared" si="45"/>
        <v/>
      </c>
      <c r="Q728" t="str">
        <f>IF(P728="","", IFERROR(VLOOKUP(P728, IF(D728="KET", 换算标准!$O:$P, IF(D728="PET", 换算标准!$U:$V, 换算标准!$AG:$AH)), 2, TRUE), 0))</f>
        <v/>
      </c>
      <c r="W728" t="str">
        <f t="shared" si="46"/>
        <v/>
      </c>
      <c r="X728" t="str">
        <f>IF(W728="","", IFERROR(VLOOKUP(W728, IF(D728="KET", 换算标准!$Q:$R, IF(D728="PET", 换算标准!$W:$X, 换算标准!$AI:$AJ)), 2, TRUE), 0))</f>
        <v/>
      </c>
      <c r="Y728" t="str">
        <f t="shared" si="47"/>
        <v/>
      </c>
      <c r="Z728" t="str">
        <f>IF(Y728="","", IFERROR(VLOOKUP(Y728, 换算标准!$Z:$AA, 1, TRUE), ""))</f>
        <v/>
      </c>
      <c r="AA728" s="5" t="str">
        <f>IF(L728="","", "⚠️ 薄弱环节: "&amp;INDEX($E$1:$K$1, MATCH(MIN(E728:K728), E728:K728, 0))&amp;CHAR(10)&amp;"📉 考察能力: "&amp;IFERROR(VLOOKUP(TRIM(D728)&amp;"_"&amp;TRIM(INDEX($E$1:$K$1, MATCH(MIN(E728:K728), E728:K728, 0))), 技能库!$A:$F, 5, 0),"建议查阅考纲")&amp;CHAR(10)&amp;"💡 提升建议: "&amp;IFERROR(VLOOKUP(TRIM(D728)&amp;"_"&amp;TRIM(INDEX($E$1:$K$1, MATCH(MIN(E728:K728), E728:K728, 0))), 技能库!$A:$F, 6, 0),"请针对该题型加强练习"))</f>
        <v/>
      </c>
      <c r="AB728" s="5" t="str">
        <f>IF(P728="","", "⚠️ 薄弱环节: "&amp;INDEX($N$1:$O$1, MATCH(MIN(N728:O728), N728:O728, 0))&amp;CHAR(10)&amp;"📉 考察能力: "&amp;IFERROR(VLOOKUP(TRIM(D728)&amp;"_"&amp;TRIM(INDEX($N$1:$O$1, MATCH(MIN(N728:O728), N728:O728, 0))), 技能库!$A:$F, 5, 0),"建议查阅考纲")&amp;CHAR(10)&amp;"💡 提升建议: "&amp;IFERROR(VLOOKUP(TRIM(D728)&amp;"_"&amp;TRIM(INDEX($N$1:$O$1, MATCH(MIN(N728:O728), N728:O728, 0))), 技能库!$A:$F, 6, 0),"请针对该题型加强练习"))</f>
        <v/>
      </c>
      <c r="AC728" s="5" t="str">
        <f>IF(W728="","", "⚠️ 薄弱环节: "&amp;INDEX($R$1:$V$1, MATCH(MIN(R728:V728), R728:V728, 0))&amp;CHAR(10)&amp;"📉 考察能力: "&amp;IFERROR(VLOOKUP(TRIM(D728)&amp;"_"&amp;TRIM(INDEX($R$1:$V$1, MATCH(MIN(R728:V728), R728:V728, 0))), 技能库!$A:$F, 5, 0),"建议查阅考纲")&amp;CHAR(10)&amp;"💡 提升建议: "&amp;IFERROR(VLOOKUP(TRIM(D728)&amp;"_"&amp;TRIM(INDEX($R$1:$V$1, MATCH(MIN(R728:V728), R728:V728, 0))), 技能库!$A:$F, 6, 0),"请针对该题型加强练习"))</f>
        <v/>
      </c>
    </row>
    <row r="729" spans="12:29" ht="16" hidden="1" x14ac:dyDescent="0.2">
      <c r="L729" t="str">
        <f t="shared" si="44"/>
        <v/>
      </c>
      <c r="M729" t="str">
        <f>IF(L729="","", IFERROR(VLOOKUP(L729, IF(D729="KET", 换算标准!$M:$N, IF(D729="PET", 换算标准!$S:$T, 换算标准!$AC:$AD)), 2, TRUE), 0))</f>
        <v/>
      </c>
      <c r="P729" t="str">
        <f t="shared" si="45"/>
        <v/>
      </c>
      <c r="Q729" t="str">
        <f>IF(P729="","", IFERROR(VLOOKUP(P729, IF(D729="KET", 换算标准!$O:$P, IF(D729="PET", 换算标准!$U:$V, 换算标准!$AG:$AH)), 2, TRUE), 0))</f>
        <v/>
      </c>
      <c r="W729" t="str">
        <f t="shared" si="46"/>
        <v/>
      </c>
      <c r="X729" t="str">
        <f>IF(W729="","", IFERROR(VLOOKUP(W729, IF(D729="KET", 换算标准!$Q:$R, IF(D729="PET", 换算标准!$W:$X, 换算标准!$AI:$AJ)), 2, TRUE), 0))</f>
        <v/>
      </c>
      <c r="Y729" t="str">
        <f t="shared" si="47"/>
        <v/>
      </c>
      <c r="Z729" t="str">
        <f>IF(Y729="","", IFERROR(VLOOKUP(Y729, 换算标准!$Z:$AA, 1, TRUE), ""))</f>
        <v/>
      </c>
      <c r="AA729" s="5" t="str">
        <f>IF(L729="","", "⚠️ 薄弱环节: "&amp;INDEX($E$1:$K$1, MATCH(MIN(E729:K729), E729:K729, 0))&amp;CHAR(10)&amp;"📉 考察能力: "&amp;IFERROR(VLOOKUP(TRIM(D729)&amp;"_"&amp;TRIM(INDEX($E$1:$K$1, MATCH(MIN(E729:K729), E729:K729, 0))), 技能库!$A:$F, 5, 0),"建议查阅考纲")&amp;CHAR(10)&amp;"💡 提升建议: "&amp;IFERROR(VLOOKUP(TRIM(D729)&amp;"_"&amp;TRIM(INDEX($E$1:$K$1, MATCH(MIN(E729:K729), E729:K729, 0))), 技能库!$A:$F, 6, 0),"请针对该题型加强练习"))</f>
        <v/>
      </c>
      <c r="AB729" s="5" t="str">
        <f>IF(P729="","", "⚠️ 薄弱环节: "&amp;INDEX($N$1:$O$1, MATCH(MIN(N729:O729), N729:O729, 0))&amp;CHAR(10)&amp;"📉 考察能力: "&amp;IFERROR(VLOOKUP(TRIM(D729)&amp;"_"&amp;TRIM(INDEX($N$1:$O$1, MATCH(MIN(N729:O729), N729:O729, 0))), 技能库!$A:$F, 5, 0),"建议查阅考纲")&amp;CHAR(10)&amp;"💡 提升建议: "&amp;IFERROR(VLOOKUP(TRIM(D729)&amp;"_"&amp;TRIM(INDEX($N$1:$O$1, MATCH(MIN(N729:O729), N729:O729, 0))), 技能库!$A:$F, 6, 0),"请针对该题型加强练习"))</f>
        <v/>
      </c>
      <c r="AC729" s="5" t="str">
        <f>IF(W729="","", "⚠️ 薄弱环节: "&amp;INDEX($R$1:$V$1, MATCH(MIN(R729:V729), R729:V729, 0))&amp;CHAR(10)&amp;"📉 考察能力: "&amp;IFERROR(VLOOKUP(TRIM(D729)&amp;"_"&amp;TRIM(INDEX($R$1:$V$1, MATCH(MIN(R729:V729), R729:V729, 0))), 技能库!$A:$F, 5, 0),"建议查阅考纲")&amp;CHAR(10)&amp;"💡 提升建议: "&amp;IFERROR(VLOOKUP(TRIM(D729)&amp;"_"&amp;TRIM(INDEX($R$1:$V$1, MATCH(MIN(R729:V729), R729:V729, 0))), 技能库!$A:$F, 6, 0),"请针对该题型加强练习"))</f>
        <v/>
      </c>
    </row>
    <row r="730" spans="12:29" ht="16" hidden="1" x14ac:dyDescent="0.2">
      <c r="L730" t="str">
        <f t="shared" si="44"/>
        <v/>
      </c>
      <c r="M730" t="str">
        <f>IF(L730="","", IFERROR(VLOOKUP(L730, IF(D730="KET", 换算标准!$M:$N, IF(D730="PET", 换算标准!$S:$T, 换算标准!$AC:$AD)), 2, TRUE), 0))</f>
        <v/>
      </c>
      <c r="P730" t="str">
        <f t="shared" si="45"/>
        <v/>
      </c>
      <c r="Q730" t="str">
        <f>IF(P730="","", IFERROR(VLOOKUP(P730, IF(D730="KET", 换算标准!$O:$P, IF(D730="PET", 换算标准!$U:$V, 换算标准!$AG:$AH)), 2, TRUE), 0))</f>
        <v/>
      </c>
      <c r="W730" t="str">
        <f t="shared" si="46"/>
        <v/>
      </c>
      <c r="X730" t="str">
        <f>IF(W730="","", IFERROR(VLOOKUP(W730, IF(D730="KET", 换算标准!$Q:$R, IF(D730="PET", 换算标准!$W:$X, 换算标准!$AI:$AJ)), 2, TRUE), 0))</f>
        <v/>
      </c>
      <c r="Y730" t="str">
        <f t="shared" si="47"/>
        <v/>
      </c>
      <c r="Z730" t="str">
        <f>IF(Y730="","", IFERROR(VLOOKUP(Y730, 换算标准!$Z:$AA, 1, TRUE), ""))</f>
        <v/>
      </c>
      <c r="AA730" s="5" t="str">
        <f>IF(L730="","", "⚠️ 薄弱环节: "&amp;INDEX($E$1:$K$1, MATCH(MIN(E730:K730), E730:K730, 0))&amp;CHAR(10)&amp;"📉 考察能力: "&amp;IFERROR(VLOOKUP(TRIM(D730)&amp;"_"&amp;TRIM(INDEX($E$1:$K$1, MATCH(MIN(E730:K730), E730:K730, 0))), 技能库!$A:$F, 5, 0),"建议查阅考纲")&amp;CHAR(10)&amp;"💡 提升建议: "&amp;IFERROR(VLOOKUP(TRIM(D730)&amp;"_"&amp;TRIM(INDEX($E$1:$K$1, MATCH(MIN(E730:K730), E730:K730, 0))), 技能库!$A:$F, 6, 0),"请针对该题型加强练习"))</f>
        <v/>
      </c>
      <c r="AB730" s="5" t="str">
        <f>IF(P730="","", "⚠️ 薄弱环节: "&amp;INDEX($N$1:$O$1, MATCH(MIN(N730:O730), N730:O730, 0))&amp;CHAR(10)&amp;"📉 考察能力: "&amp;IFERROR(VLOOKUP(TRIM(D730)&amp;"_"&amp;TRIM(INDEX($N$1:$O$1, MATCH(MIN(N730:O730), N730:O730, 0))), 技能库!$A:$F, 5, 0),"建议查阅考纲")&amp;CHAR(10)&amp;"💡 提升建议: "&amp;IFERROR(VLOOKUP(TRIM(D730)&amp;"_"&amp;TRIM(INDEX($N$1:$O$1, MATCH(MIN(N730:O730), N730:O730, 0))), 技能库!$A:$F, 6, 0),"请针对该题型加强练习"))</f>
        <v/>
      </c>
      <c r="AC730" s="5" t="str">
        <f>IF(W730="","", "⚠️ 薄弱环节: "&amp;INDEX($R$1:$V$1, MATCH(MIN(R730:V730), R730:V730, 0))&amp;CHAR(10)&amp;"📉 考察能力: "&amp;IFERROR(VLOOKUP(TRIM(D730)&amp;"_"&amp;TRIM(INDEX($R$1:$V$1, MATCH(MIN(R730:V730), R730:V730, 0))), 技能库!$A:$F, 5, 0),"建议查阅考纲")&amp;CHAR(10)&amp;"💡 提升建议: "&amp;IFERROR(VLOOKUP(TRIM(D730)&amp;"_"&amp;TRIM(INDEX($R$1:$V$1, MATCH(MIN(R730:V730), R730:V730, 0))), 技能库!$A:$F, 6, 0),"请针对该题型加强练习"))</f>
        <v/>
      </c>
    </row>
    <row r="731" spans="12:29" ht="16" hidden="1" x14ac:dyDescent="0.2">
      <c r="L731" t="str">
        <f t="shared" si="44"/>
        <v/>
      </c>
      <c r="M731" t="str">
        <f>IF(L731="","", IFERROR(VLOOKUP(L731, IF(D731="KET", 换算标准!$M:$N, IF(D731="PET", 换算标准!$S:$T, 换算标准!$AC:$AD)), 2, TRUE), 0))</f>
        <v/>
      </c>
      <c r="P731" t="str">
        <f t="shared" si="45"/>
        <v/>
      </c>
      <c r="Q731" t="str">
        <f>IF(P731="","", IFERROR(VLOOKUP(P731, IF(D731="KET", 换算标准!$O:$P, IF(D731="PET", 换算标准!$U:$V, 换算标准!$AG:$AH)), 2, TRUE), 0))</f>
        <v/>
      </c>
      <c r="W731" t="str">
        <f t="shared" si="46"/>
        <v/>
      </c>
      <c r="X731" t="str">
        <f>IF(W731="","", IFERROR(VLOOKUP(W731, IF(D731="KET", 换算标准!$Q:$R, IF(D731="PET", 换算标准!$W:$X, 换算标准!$AI:$AJ)), 2, TRUE), 0))</f>
        <v/>
      </c>
      <c r="Y731" t="str">
        <f t="shared" si="47"/>
        <v/>
      </c>
      <c r="Z731" t="str">
        <f>IF(Y731="","", IFERROR(VLOOKUP(Y731, 换算标准!$Z:$AA, 1, TRUE), ""))</f>
        <v/>
      </c>
      <c r="AA731" s="5" t="str">
        <f>IF(L731="","", "⚠️ 薄弱环节: "&amp;INDEX($E$1:$K$1, MATCH(MIN(E731:K731), E731:K731, 0))&amp;CHAR(10)&amp;"📉 考察能力: "&amp;IFERROR(VLOOKUP(TRIM(D731)&amp;"_"&amp;TRIM(INDEX($E$1:$K$1, MATCH(MIN(E731:K731), E731:K731, 0))), 技能库!$A:$F, 5, 0),"建议查阅考纲")&amp;CHAR(10)&amp;"💡 提升建议: "&amp;IFERROR(VLOOKUP(TRIM(D731)&amp;"_"&amp;TRIM(INDEX($E$1:$K$1, MATCH(MIN(E731:K731), E731:K731, 0))), 技能库!$A:$F, 6, 0),"请针对该题型加强练习"))</f>
        <v/>
      </c>
      <c r="AB731" s="5" t="str">
        <f>IF(P731="","", "⚠️ 薄弱环节: "&amp;INDEX($N$1:$O$1, MATCH(MIN(N731:O731), N731:O731, 0))&amp;CHAR(10)&amp;"📉 考察能力: "&amp;IFERROR(VLOOKUP(TRIM(D731)&amp;"_"&amp;TRIM(INDEX($N$1:$O$1, MATCH(MIN(N731:O731), N731:O731, 0))), 技能库!$A:$F, 5, 0),"建议查阅考纲")&amp;CHAR(10)&amp;"💡 提升建议: "&amp;IFERROR(VLOOKUP(TRIM(D731)&amp;"_"&amp;TRIM(INDEX($N$1:$O$1, MATCH(MIN(N731:O731), N731:O731, 0))), 技能库!$A:$F, 6, 0),"请针对该题型加强练习"))</f>
        <v/>
      </c>
      <c r="AC731" s="5" t="str">
        <f>IF(W731="","", "⚠️ 薄弱环节: "&amp;INDEX($R$1:$V$1, MATCH(MIN(R731:V731), R731:V731, 0))&amp;CHAR(10)&amp;"📉 考察能力: "&amp;IFERROR(VLOOKUP(TRIM(D731)&amp;"_"&amp;TRIM(INDEX($R$1:$V$1, MATCH(MIN(R731:V731), R731:V731, 0))), 技能库!$A:$F, 5, 0),"建议查阅考纲")&amp;CHAR(10)&amp;"💡 提升建议: "&amp;IFERROR(VLOOKUP(TRIM(D731)&amp;"_"&amp;TRIM(INDEX($R$1:$V$1, MATCH(MIN(R731:V731), R731:V731, 0))), 技能库!$A:$F, 6, 0),"请针对该题型加强练习"))</f>
        <v/>
      </c>
    </row>
    <row r="732" spans="12:29" ht="16" hidden="1" x14ac:dyDescent="0.2">
      <c r="L732" t="str">
        <f t="shared" si="44"/>
        <v/>
      </c>
      <c r="M732" t="str">
        <f>IF(L732="","", IFERROR(VLOOKUP(L732, IF(D732="KET", 换算标准!$M:$N, IF(D732="PET", 换算标准!$S:$T, 换算标准!$AC:$AD)), 2, TRUE), 0))</f>
        <v/>
      </c>
      <c r="P732" t="str">
        <f t="shared" si="45"/>
        <v/>
      </c>
      <c r="Q732" t="str">
        <f>IF(P732="","", IFERROR(VLOOKUP(P732, IF(D732="KET", 换算标准!$O:$P, IF(D732="PET", 换算标准!$U:$V, 换算标准!$AG:$AH)), 2, TRUE), 0))</f>
        <v/>
      </c>
      <c r="W732" t="str">
        <f t="shared" si="46"/>
        <v/>
      </c>
      <c r="X732" t="str">
        <f>IF(W732="","", IFERROR(VLOOKUP(W732, IF(D732="KET", 换算标准!$Q:$R, IF(D732="PET", 换算标准!$W:$X, 换算标准!$AI:$AJ)), 2, TRUE), 0))</f>
        <v/>
      </c>
      <c r="Y732" t="str">
        <f t="shared" si="47"/>
        <v/>
      </c>
      <c r="Z732" t="str">
        <f>IF(Y732="","", IFERROR(VLOOKUP(Y732, 换算标准!$Z:$AA, 1, TRUE), ""))</f>
        <v/>
      </c>
      <c r="AA732" s="5" t="str">
        <f>IF(L732="","", "⚠️ 薄弱环节: "&amp;INDEX($E$1:$K$1, MATCH(MIN(E732:K732), E732:K732, 0))&amp;CHAR(10)&amp;"📉 考察能力: "&amp;IFERROR(VLOOKUP(TRIM(D732)&amp;"_"&amp;TRIM(INDEX($E$1:$K$1, MATCH(MIN(E732:K732), E732:K732, 0))), 技能库!$A:$F, 5, 0),"建议查阅考纲")&amp;CHAR(10)&amp;"💡 提升建议: "&amp;IFERROR(VLOOKUP(TRIM(D732)&amp;"_"&amp;TRIM(INDEX($E$1:$K$1, MATCH(MIN(E732:K732), E732:K732, 0))), 技能库!$A:$F, 6, 0),"请针对该题型加强练习"))</f>
        <v/>
      </c>
      <c r="AB732" s="5" t="str">
        <f>IF(P732="","", "⚠️ 薄弱环节: "&amp;INDEX($N$1:$O$1, MATCH(MIN(N732:O732), N732:O732, 0))&amp;CHAR(10)&amp;"📉 考察能力: "&amp;IFERROR(VLOOKUP(TRIM(D732)&amp;"_"&amp;TRIM(INDEX($N$1:$O$1, MATCH(MIN(N732:O732), N732:O732, 0))), 技能库!$A:$F, 5, 0),"建议查阅考纲")&amp;CHAR(10)&amp;"💡 提升建议: "&amp;IFERROR(VLOOKUP(TRIM(D732)&amp;"_"&amp;TRIM(INDEX($N$1:$O$1, MATCH(MIN(N732:O732), N732:O732, 0))), 技能库!$A:$F, 6, 0),"请针对该题型加强练习"))</f>
        <v/>
      </c>
      <c r="AC732" s="5" t="str">
        <f>IF(W732="","", "⚠️ 薄弱环节: "&amp;INDEX($R$1:$V$1, MATCH(MIN(R732:V732), R732:V732, 0))&amp;CHAR(10)&amp;"📉 考察能力: "&amp;IFERROR(VLOOKUP(TRIM(D732)&amp;"_"&amp;TRIM(INDEX($R$1:$V$1, MATCH(MIN(R732:V732), R732:V732, 0))), 技能库!$A:$F, 5, 0),"建议查阅考纲")&amp;CHAR(10)&amp;"💡 提升建议: "&amp;IFERROR(VLOOKUP(TRIM(D732)&amp;"_"&amp;TRIM(INDEX($R$1:$V$1, MATCH(MIN(R732:V732), R732:V732, 0))), 技能库!$A:$F, 6, 0),"请针对该题型加强练习"))</f>
        <v/>
      </c>
    </row>
    <row r="733" spans="12:29" ht="16" hidden="1" x14ac:dyDescent="0.2">
      <c r="L733" t="str">
        <f t="shared" si="44"/>
        <v/>
      </c>
      <c r="M733" t="str">
        <f>IF(L733="","", IFERROR(VLOOKUP(L733, IF(D733="KET", 换算标准!$M:$N, IF(D733="PET", 换算标准!$S:$T, 换算标准!$AC:$AD)), 2, TRUE), 0))</f>
        <v/>
      </c>
      <c r="P733" t="str">
        <f t="shared" si="45"/>
        <v/>
      </c>
      <c r="Q733" t="str">
        <f>IF(P733="","", IFERROR(VLOOKUP(P733, IF(D733="KET", 换算标准!$O:$P, IF(D733="PET", 换算标准!$U:$V, 换算标准!$AG:$AH)), 2, TRUE), 0))</f>
        <v/>
      </c>
      <c r="W733" t="str">
        <f t="shared" si="46"/>
        <v/>
      </c>
      <c r="X733" t="str">
        <f>IF(W733="","", IFERROR(VLOOKUP(W733, IF(D733="KET", 换算标准!$Q:$R, IF(D733="PET", 换算标准!$W:$X, 换算标准!$AI:$AJ)), 2, TRUE), 0))</f>
        <v/>
      </c>
      <c r="Y733" t="str">
        <f t="shared" si="47"/>
        <v/>
      </c>
      <c r="Z733" t="str">
        <f>IF(Y733="","", IFERROR(VLOOKUP(Y733, 换算标准!$Z:$AA, 1, TRUE), ""))</f>
        <v/>
      </c>
      <c r="AA733" s="5" t="str">
        <f>IF(L733="","", "⚠️ 薄弱环节: "&amp;INDEX($E$1:$K$1, MATCH(MIN(E733:K733), E733:K733, 0))&amp;CHAR(10)&amp;"📉 考察能力: "&amp;IFERROR(VLOOKUP(TRIM(D733)&amp;"_"&amp;TRIM(INDEX($E$1:$K$1, MATCH(MIN(E733:K733), E733:K733, 0))), 技能库!$A:$F, 5, 0),"建议查阅考纲")&amp;CHAR(10)&amp;"💡 提升建议: "&amp;IFERROR(VLOOKUP(TRIM(D733)&amp;"_"&amp;TRIM(INDEX($E$1:$K$1, MATCH(MIN(E733:K733), E733:K733, 0))), 技能库!$A:$F, 6, 0),"请针对该题型加强练习"))</f>
        <v/>
      </c>
      <c r="AB733" s="5" t="str">
        <f>IF(P733="","", "⚠️ 薄弱环节: "&amp;INDEX($N$1:$O$1, MATCH(MIN(N733:O733), N733:O733, 0))&amp;CHAR(10)&amp;"📉 考察能力: "&amp;IFERROR(VLOOKUP(TRIM(D733)&amp;"_"&amp;TRIM(INDEX($N$1:$O$1, MATCH(MIN(N733:O733), N733:O733, 0))), 技能库!$A:$F, 5, 0),"建议查阅考纲")&amp;CHAR(10)&amp;"💡 提升建议: "&amp;IFERROR(VLOOKUP(TRIM(D733)&amp;"_"&amp;TRIM(INDEX($N$1:$O$1, MATCH(MIN(N733:O733), N733:O733, 0))), 技能库!$A:$F, 6, 0),"请针对该题型加强练习"))</f>
        <v/>
      </c>
      <c r="AC733" s="5" t="str">
        <f>IF(W733="","", "⚠️ 薄弱环节: "&amp;INDEX($R$1:$V$1, MATCH(MIN(R733:V733), R733:V733, 0))&amp;CHAR(10)&amp;"📉 考察能力: "&amp;IFERROR(VLOOKUP(TRIM(D733)&amp;"_"&amp;TRIM(INDEX($R$1:$V$1, MATCH(MIN(R733:V733), R733:V733, 0))), 技能库!$A:$F, 5, 0),"建议查阅考纲")&amp;CHAR(10)&amp;"💡 提升建议: "&amp;IFERROR(VLOOKUP(TRIM(D733)&amp;"_"&amp;TRIM(INDEX($R$1:$V$1, MATCH(MIN(R733:V733), R733:V733, 0))), 技能库!$A:$F, 6, 0),"请针对该题型加强练习"))</f>
        <v/>
      </c>
    </row>
    <row r="734" spans="12:29" ht="16" hidden="1" x14ac:dyDescent="0.2">
      <c r="L734" t="str">
        <f t="shared" si="44"/>
        <v/>
      </c>
      <c r="M734" t="str">
        <f>IF(L734="","", IFERROR(VLOOKUP(L734, IF(D734="KET", 换算标准!$M:$N, IF(D734="PET", 换算标准!$S:$T, 换算标准!$AC:$AD)), 2, TRUE), 0))</f>
        <v/>
      </c>
      <c r="P734" t="str">
        <f t="shared" si="45"/>
        <v/>
      </c>
      <c r="Q734" t="str">
        <f>IF(P734="","", IFERROR(VLOOKUP(P734, IF(D734="KET", 换算标准!$O:$P, IF(D734="PET", 换算标准!$U:$V, 换算标准!$AG:$AH)), 2, TRUE), 0))</f>
        <v/>
      </c>
      <c r="W734" t="str">
        <f t="shared" si="46"/>
        <v/>
      </c>
      <c r="X734" t="str">
        <f>IF(W734="","", IFERROR(VLOOKUP(W734, IF(D734="KET", 换算标准!$Q:$R, IF(D734="PET", 换算标准!$W:$X, 换算标准!$AI:$AJ)), 2, TRUE), 0))</f>
        <v/>
      </c>
      <c r="Y734" t="str">
        <f t="shared" si="47"/>
        <v/>
      </c>
      <c r="Z734" t="str">
        <f>IF(Y734="","", IFERROR(VLOOKUP(Y734, 换算标准!$Z:$AA, 1, TRUE), ""))</f>
        <v/>
      </c>
      <c r="AA734" s="5" t="str">
        <f>IF(L734="","", "⚠️ 薄弱环节: "&amp;INDEX($E$1:$K$1, MATCH(MIN(E734:K734), E734:K734, 0))&amp;CHAR(10)&amp;"📉 考察能力: "&amp;IFERROR(VLOOKUP(TRIM(D734)&amp;"_"&amp;TRIM(INDEX($E$1:$K$1, MATCH(MIN(E734:K734), E734:K734, 0))), 技能库!$A:$F, 5, 0),"建议查阅考纲")&amp;CHAR(10)&amp;"💡 提升建议: "&amp;IFERROR(VLOOKUP(TRIM(D734)&amp;"_"&amp;TRIM(INDEX($E$1:$K$1, MATCH(MIN(E734:K734), E734:K734, 0))), 技能库!$A:$F, 6, 0),"请针对该题型加强练习"))</f>
        <v/>
      </c>
      <c r="AB734" s="5" t="str">
        <f>IF(P734="","", "⚠️ 薄弱环节: "&amp;INDEX($N$1:$O$1, MATCH(MIN(N734:O734), N734:O734, 0))&amp;CHAR(10)&amp;"📉 考察能力: "&amp;IFERROR(VLOOKUP(TRIM(D734)&amp;"_"&amp;TRIM(INDEX($N$1:$O$1, MATCH(MIN(N734:O734), N734:O734, 0))), 技能库!$A:$F, 5, 0),"建议查阅考纲")&amp;CHAR(10)&amp;"💡 提升建议: "&amp;IFERROR(VLOOKUP(TRIM(D734)&amp;"_"&amp;TRIM(INDEX($N$1:$O$1, MATCH(MIN(N734:O734), N734:O734, 0))), 技能库!$A:$F, 6, 0),"请针对该题型加强练习"))</f>
        <v/>
      </c>
      <c r="AC734" s="5" t="str">
        <f>IF(W734="","", "⚠️ 薄弱环节: "&amp;INDEX($R$1:$V$1, MATCH(MIN(R734:V734), R734:V734, 0))&amp;CHAR(10)&amp;"📉 考察能力: "&amp;IFERROR(VLOOKUP(TRIM(D734)&amp;"_"&amp;TRIM(INDEX($R$1:$V$1, MATCH(MIN(R734:V734), R734:V734, 0))), 技能库!$A:$F, 5, 0),"建议查阅考纲")&amp;CHAR(10)&amp;"💡 提升建议: "&amp;IFERROR(VLOOKUP(TRIM(D734)&amp;"_"&amp;TRIM(INDEX($R$1:$V$1, MATCH(MIN(R734:V734), R734:V734, 0))), 技能库!$A:$F, 6, 0),"请针对该题型加强练习"))</f>
        <v/>
      </c>
    </row>
    <row r="735" spans="12:29" ht="16" hidden="1" x14ac:dyDescent="0.2">
      <c r="L735" t="str">
        <f t="shared" si="44"/>
        <v/>
      </c>
      <c r="M735" t="str">
        <f>IF(L735="","", IFERROR(VLOOKUP(L735, IF(D735="KET", 换算标准!$M:$N, IF(D735="PET", 换算标准!$S:$T, 换算标准!$AC:$AD)), 2, TRUE), 0))</f>
        <v/>
      </c>
      <c r="P735" t="str">
        <f t="shared" si="45"/>
        <v/>
      </c>
      <c r="Q735" t="str">
        <f>IF(P735="","", IFERROR(VLOOKUP(P735, IF(D735="KET", 换算标准!$O:$P, IF(D735="PET", 换算标准!$U:$V, 换算标准!$AG:$AH)), 2, TRUE), 0))</f>
        <v/>
      </c>
      <c r="W735" t="str">
        <f t="shared" si="46"/>
        <v/>
      </c>
      <c r="X735" t="str">
        <f>IF(W735="","", IFERROR(VLOOKUP(W735, IF(D735="KET", 换算标准!$Q:$R, IF(D735="PET", 换算标准!$W:$X, 换算标准!$AI:$AJ)), 2, TRUE), 0))</f>
        <v/>
      </c>
      <c r="Y735" t="str">
        <f t="shared" si="47"/>
        <v/>
      </c>
      <c r="Z735" t="str">
        <f>IF(Y735="","", IFERROR(VLOOKUP(Y735, 换算标准!$Z:$AA, 1, TRUE), ""))</f>
        <v/>
      </c>
      <c r="AA735" s="5" t="str">
        <f>IF(L735="","", "⚠️ 薄弱环节: "&amp;INDEX($E$1:$K$1, MATCH(MIN(E735:K735), E735:K735, 0))&amp;CHAR(10)&amp;"📉 考察能力: "&amp;IFERROR(VLOOKUP(TRIM(D735)&amp;"_"&amp;TRIM(INDEX($E$1:$K$1, MATCH(MIN(E735:K735), E735:K735, 0))), 技能库!$A:$F, 5, 0),"建议查阅考纲")&amp;CHAR(10)&amp;"💡 提升建议: "&amp;IFERROR(VLOOKUP(TRIM(D735)&amp;"_"&amp;TRIM(INDEX($E$1:$K$1, MATCH(MIN(E735:K735), E735:K735, 0))), 技能库!$A:$F, 6, 0),"请针对该题型加强练习"))</f>
        <v/>
      </c>
      <c r="AB735" s="5" t="str">
        <f>IF(P735="","", "⚠️ 薄弱环节: "&amp;INDEX($N$1:$O$1, MATCH(MIN(N735:O735), N735:O735, 0))&amp;CHAR(10)&amp;"📉 考察能力: "&amp;IFERROR(VLOOKUP(TRIM(D735)&amp;"_"&amp;TRIM(INDEX($N$1:$O$1, MATCH(MIN(N735:O735), N735:O735, 0))), 技能库!$A:$F, 5, 0),"建议查阅考纲")&amp;CHAR(10)&amp;"💡 提升建议: "&amp;IFERROR(VLOOKUP(TRIM(D735)&amp;"_"&amp;TRIM(INDEX($N$1:$O$1, MATCH(MIN(N735:O735), N735:O735, 0))), 技能库!$A:$F, 6, 0),"请针对该题型加强练习"))</f>
        <v/>
      </c>
      <c r="AC735" s="5" t="str">
        <f>IF(W735="","", "⚠️ 薄弱环节: "&amp;INDEX($R$1:$V$1, MATCH(MIN(R735:V735), R735:V735, 0))&amp;CHAR(10)&amp;"📉 考察能力: "&amp;IFERROR(VLOOKUP(TRIM(D735)&amp;"_"&amp;TRIM(INDEX($R$1:$V$1, MATCH(MIN(R735:V735), R735:V735, 0))), 技能库!$A:$F, 5, 0),"建议查阅考纲")&amp;CHAR(10)&amp;"💡 提升建议: "&amp;IFERROR(VLOOKUP(TRIM(D735)&amp;"_"&amp;TRIM(INDEX($R$1:$V$1, MATCH(MIN(R735:V735), R735:V735, 0))), 技能库!$A:$F, 6, 0),"请针对该题型加强练习"))</f>
        <v/>
      </c>
    </row>
    <row r="736" spans="12:29" ht="16" hidden="1" x14ac:dyDescent="0.2">
      <c r="L736" t="str">
        <f t="shared" si="44"/>
        <v/>
      </c>
      <c r="M736" t="str">
        <f>IF(L736="","", IFERROR(VLOOKUP(L736, IF(D736="KET", 换算标准!$M:$N, IF(D736="PET", 换算标准!$S:$T, 换算标准!$AC:$AD)), 2, TRUE), 0))</f>
        <v/>
      </c>
      <c r="P736" t="str">
        <f t="shared" si="45"/>
        <v/>
      </c>
      <c r="Q736" t="str">
        <f>IF(P736="","", IFERROR(VLOOKUP(P736, IF(D736="KET", 换算标准!$O:$P, IF(D736="PET", 换算标准!$U:$V, 换算标准!$AG:$AH)), 2, TRUE), 0))</f>
        <v/>
      </c>
      <c r="W736" t="str">
        <f t="shared" si="46"/>
        <v/>
      </c>
      <c r="X736" t="str">
        <f>IF(W736="","", IFERROR(VLOOKUP(W736, IF(D736="KET", 换算标准!$Q:$R, IF(D736="PET", 换算标准!$W:$X, 换算标准!$AI:$AJ)), 2, TRUE), 0))</f>
        <v/>
      </c>
      <c r="Y736" t="str">
        <f t="shared" si="47"/>
        <v/>
      </c>
      <c r="Z736" t="str">
        <f>IF(Y736="","", IFERROR(VLOOKUP(Y736, 换算标准!$Z:$AA, 1, TRUE), ""))</f>
        <v/>
      </c>
      <c r="AA736" s="5" t="str">
        <f>IF(L736="","", "⚠️ 薄弱环节: "&amp;INDEX($E$1:$K$1, MATCH(MIN(E736:K736), E736:K736, 0))&amp;CHAR(10)&amp;"📉 考察能力: "&amp;IFERROR(VLOOKUP(TRIM(D736)&amp;"_"&amp;TRIM(INDEX($E$1:$K$1, MATCH(MIN(E736:K736), E736:K736, 0))), 技能库!$A:$F, 5, 0),"建议查阅考纲")&amp;CHAR(10)&amp;"💡 提升建议: "&amp;IFERROR(VLOOKUP(TRIM(D736)&amp;"_"&amp;TRIM(INDEX($E$1:$K$1, MATCH(MIN(E736:K736), E736:K736, 0))), 技能库!$A:$F, 6, 0),"请针对该题型加强练习"))</f>
        <v/>
      </c>
      <c r="AB736" s="5" t="str">
        <f>IF(P736="","", "⚠️ 薄弱环节: "&amp;INDEX($N$1:$O$1, MATCH(MIN(N736:O736), N736:O736, 0))&amp;CHAR(10)&amp;"📉 考察能力: "&amp;IFERROR(VLOOKUP(TRIM(D736)&amp;"_"&amp;TRIM(INDEX($N$1:$O$1, MATCH(MIN(N736:O736), N736:O736, 0))), 技能库!$A:$F, 5, 0),"建议查阅考纲")&amp;CHAR(10)&amp;"💡 提升建议: "&amp;IFERROR(VLOOKUP(TRIM(D736)&amp;"_"&amp;TRIM(INDEX($N$1:$O$1, MATCH(MIN(N736:O736), N736:O736, 0))), 技能库!$A:$F, 6, 0),"请针对该题型加强练习"))</f>
        <v/>
      </c>
      <c r="AC736" s="5" t="str">
        <f>IF(W736="","", "⚠️ 薄弱环节: "&amp;INDEX($R$1:$V$1, MATCH(MIN(R736:V736), R736:V736, 0))&amp;CHAR(10)&amp;"📉 考察能力: "&amp;IFERROR(VLOOKUP(TRIM(D736)&amp;"_"&amp;TRIM(INDEX($R$1:$V$1, MATCH(MIN(R736:V736), R736:V736, 0))), 技能库!$A:$F, 5, 0),"建议查阅考纲")&amp;CHAR(10)&amp;"💡 提升建议: "&amp;IFERROR(VLOOKUP(TRIM(D736)&amp;"_"&amp;TRIM(INDEX($R$1:$V$1, MATCH(MIN(R736:V736), R736:V736, 0))), 技能库!$A:$F, 6, 0),"请针对该题型加强练习"))</f>
        <v/>
      </c>
    </row>
    <row r="737" spans="12:29" ht="16" hidden="1" x14ac:dyDescent="0.2">
      <c r="L737" t="str">
        <f t="shared" si="44"/>
        <v/>
      </c>
      <c r="M737" t="str">
        <f>IF(L737="","", IFERROR(VLOOKUP(L737, IF(D737="KET", 换算标准!$M:$N, IF(D737="PET", 换算标准!$S:$T, 换算标准!$AC:$AD)), 2, TRUE), 0))</f>
        <v/>
      </c>
      <c r="P737" t="str">
        <f t="shared" si="45"/>
        <v/>
      </c>
      <c r="Q737" t="str">
        <f>IF(P737="","", IFERROR(VLOOKUP(P737, IF(D737="KET", 换算标准!$O:$P, IF(D737="PET", 换算标准!$U:$V, 换算标准!$AG:$AH)), 2, TRUE), 0))</f>
        <v/>
      </c>
      <c r="W737" t="str">
        <f t="shared" si="46"/>
        <v/>
      </c>
      <c r="X737" t="str">
        <f>IF(W737="","", IFERROR(VLOOKUP(W737, IF(D737="KET", 换算标准!$Q:$R, IF(D737="PET", 换算标准!$W:$X, 换算标准!$AI:$AJ)), 2, TRUE), 0))</f>
        <v/>
      </c>
      <c r="Y737" t="str">
        <f t="shared" si="47"/>
        <v/>
      </c>
      <c r="Z737" t="str">
        <f>IF(Y737="","", IFERROR(VLOOKUP(Y737, 换算标准!$Z:$AA, 1, TRUE), ""))</f>
        <v/>
      </c>
      <c r="AA737" s="5" t="str">
        <f>IF(L737="","", "⚠️ 薄弱环节: "&amp;INDEX($E$1:$K$1, MATCH(MIN(E737:K737), E737:K737, 0))&amp;CHAR(10)&amp;"📉 考察能力: "&amp;IFERROR(VLOOKUP(TRIM(D737)&amp;"_"&amp;TRIM(INDEX($E$1:$K$1, MATCH(MIN(E737:K737), E737:K737, 0))), 技能库!$A:$F, 5, 0),"建议查阅考纲")&amp;CHAR(10)&amp;"💡 提升建议: "&amp;IFERROR(VLOOKUP(TRIM(D737)&amp;"_"&amp;TRIM(INDEX($E$1:$K$1, MATCH(MIN(E737:K737), E737:K737, 0))), 技能库!$A:$F, 6, 0),"请针对该题型加强练习"))</f>
        <v/>
      </c>
      <c r="AB737" s="5" t="str">
        <f>IF(P737="","", "⚠️ 薄弱环节: "&amp;INDEX($N$1:$O$1, MATCH(MIN(N737:O737), N737:O737, 0))&amp;CHAR(10)&amp;"📉 考察能力: "&amp;IFERROR(VLOOKUP(TRIM(D737)&amp;"_"&amp;TRIM(INDEX($N$1:$O$1, MATCH(MIN(N737:O737), N737:O737, 0))), 技能库!$A:$F, 5, 0),"建议查阅考纲")&amp;CHAR(10)&amp;"💡 提升建议: "&amp;IFERROR(VLOOKUP(TRIM(D737)&amp;"_"&amp;TRIM(INDEX($N$1:$O$1, MATCH(MIN(N737:O737), N737:O737, 0))), 技能库!$A:$F, 6, 0),"请针对该题型加强练习"))</f>
        <v/>
      </c>
      <c r="AC737" s="5" t="str">
        <f>IF(W737="","", "⚠️ 薄弱环节: "&amp;INDEX($R$1:$V$1, MATCH(MIN(R737:V737), R737:V737, 0))&amp;CHAR(10)&amp;"📉 考察能力: "&amp;IFERROR(VLOOKUP(TRIM(D737)&amp;"_"&amp;TRIM(INDEX($R$1:$V$1, MATCH(MIN(R737:V737), R737:V737, 0))), 技能库!$A:$F, 5, 0),"建议查阅考纲")&amp;CHAR(10)&amp;"💡 提升建议: "&amp;IFERROR(VLOOKUP(TRIM(D737)&amp;"_"&amp;TRIM(INDEX($R$1:$V$1, MATCH(MIN(R737:V737), R737:V737, 0))), 技能库!$A:$F, 6, 0),"请针对该题型加强练习"))</f>
        <v/>
      </c>
    </row>
    <row r="738" spans="12:29" ht="16" hidden="1" x14ac:dyDescent="0.2">
      <c r="L738" t="str">
        <f t="shared" si="44"/>
        <v/>
      </c>
      <c r="M738" t="str">
        <f>IF(L738="","", IFERROR(VLOOKUP(L738, IF(D738="KET", 换算标准!$M:$N, IF(D738="PET", 换算标准!$S:$T, 换算标准!$AC:$AD)), 2, TRUE), 0))</f>
        <v/>
      </c>
      <c r="P738" t="str">
        <f t="shared" si="45"/>
        <v/>
      </c>
      <c r="Q738" t="str">
        <f>IF(P738="","", IFERROR(VLOOKUP(P738, IF(D738="KET", 换算标准!$O:$P, IF(D738="PET", 换算标准!$U:$V, 换算标准!$AG:$AH)), 2, TRUE), 0))</f>
        <v/>
      </c>
      <c r="W738" t="str">
        <f t="shared" si="46"/>
        <v/>
      </c>
      <c r="X738" t="str">
        <f>IF(W738="","", IFERROR(VLOOKUP(W738, IF(D738="KET", 换算标准!$Q:$R, IF(D738="PET", 换算标准!$W:$X, 换算标准!$AI:$AJ)), 2, TRUE), 0))</f>
        <v/>
      </c>
      <c r="Y738" t="str">
        <f t="shared" si="47"/>
        <v/>
      </c>
      <c r="Z738" t="str">
        <f>IF(Y738="","", IFERROR(VLOOKUP(Y738, 换算标准!$Z:$AA, 1, TRUE), ""))</f>
        <v/>
      </c>
      <c r="AA738" s="5" t="str">
        <f>IF(L738="","", "⚠️ 薄弱环节: "&amp;INDEX($E$1:$K$1, MATCH(MIN(E738:K738), E738:K738, 0))&amp;CHAR(10)&amp;"📉 考察能力: "&amp;IFERROR(VLOOKUP(TRIM(D738)&amp;"_"&amp;TRIM(INDEX($E$1:$K$1, MATCH(MIN(E738:K738), E738:K738, 0))), 技能库!$A:$F, 5, 0),"建议查阅考纲")&amp;CHAR(10)&amp;"💡 提升建议: "&amp;IFERROR(VLOOKUP(TRIM(D738)&amp;"_"&amp;TRIM(INDEX($E$1:$K$1, MATCH(MIN(E738:K738), E738:K738, 0))), 技能库!$A:$F, 6, 0),"请针对该题型加强练习"))</f>
        <v/>
      </c>
      <c r="AB738" s="5" t="str">
        <f>IF(P738="","", "⚠️ 薄弱环节: "&amp;INDEX($N$1:$O$1, MATCH(MIN(N738:O738), N738:O738, 0))&amp;CHAR(10)&amp;"📉 考察能力: "&amp;IFERROR(VLOOKUP(TRIM(D738)&amp;"_"&amp;TRIM(INDEX($N$1:$O$1, MATCH(MIN(N738:O738), N738:O738, 0))), 技能库!$A:$F, 5, 0),"建议查阅考纲")&amp;CHAR(10)&amp;"💡 提升建议: "&amp;IFERROR(VLOOKUP(TRIM(D738)&amp;"_"&amp;TRIM(INDEX($N$1:$O$1, MATCH(MIN(N738:O738), N738:O738, 0))), 技能库!$A:$F, 6, 0),"请针对该题型加强练习"))</f>
        <v/>
      </c>
      <c r="AC738" s="5" t="str">
        <f>IF(W738="","", "⚠️ 薄弱环节: "&amp;INDEX($R$1:$V$1, MATCH(MIN(R738:V738), R738:V738, 0))&amp;CHAR(10)&amp;"📉 考察能力: "&amp;IFERROR(VLOOKUP(TRIM(D738)&amp;"_"&amp;TRIM(INDEX($R$1:$V$1, MATCH(MIN(R738:V738), R738:V738, 0))), 技能库!$A:$F, 5, 0),"建议查阅考纲")&amp;CHAR(10)&amp;"💡 提升建议: "&amp;IFERROR(VLOOKUP(TRIM(D738)&amp;"_"&amp;TRIM(INDEX($R$1:$V$1, MATCH(MIN(R738:V738), R738:V738, 0))), 技能库!$A:$F, 6, 0),"请针对该题型加强练习"))</f>
        <v/>
      </c>
    </row>
    <row r="739" spans="12:29" ht="16" hidden="1" x14ac:dyDescent="0.2">
      <c r="L739" t="str">
        <f t="shared" si="44"/>
        <v/>
      </c>
      <c r="M739" t="str">
        <f>IF(L739="","", IFERROR(VLOOKUP(L739, IF(D739="KET", 换算标准!$M:$N, IF(D739="PET", 换算标准!$S:$T, 换算标准!$AC:$AD)), 2, TRUE), 0))</f>
        <v/>
      </c>
      <c r="P739" t="str">
        <f t="shared" si="45"/>
        <v/>
      </c>
      <c r="Q739" t="str">
        <f>IF(P739="","", IFERROR(VLOOKUP(P739, IF(D739="KET", 换算标准!$O:$P, IF(D739="PET", 换算标准!$U:$V, 换算标准!$AG:$AH)), 2, TRUE), 0))</f>
        <v/>
      </c>
      <c r="W739" t="str">
        <f t="shared" si="46"/>
        <v/>
      </c>
      <c r="X739" t="str">
        <f>IF(W739="","", IFERROR(VLOOKUP(W739, IF(D739="KET", 换算标准!$Q:$R, IF(D739="PET", 换算标准!$W:$X, 换算标准!$AI:$AJ)), 2, TRUE), 0))</f>
        <v/>
      </c>
      <c r="Y739" t="str">
        <f t="shared" si="47"/>
        <v/>
      </c>
      <c r="Z739" t="str">
        <f>IF(Y739="","", IFERROR(VLOOKUP(Y739, 换算标准!$Z:$AA, 1, TRUE), ""))</f>
        <v/>
      </c>
      <c r="AA739" s="5" t="str">
        <f>IF(L739="","", "⚠️ 薄弱环节: "&amp;INDEX($E$1:$K$1, MATCH(MIN(E739:K739), E739:K739, 0))&amp;CHAR(10)&amp;"📉 考察能力: "&amp;IFERROR(VLOOKUP(TRIM(D739)&amp;"_"&amp;TRIM(INDEX($E$1:$K$1, MATCH(MIN(E739:K739), E739:K739, 0))), 技能库!$A:$F, 5, 0),"建议查阅考纲")&amp;CHAR(10)&amp;"💡 提升建议: "&amp;IFERROR(VLOOKUP(TRIM(D739)&amp;"_"&amp;TRIM(INDEX($E$1:$K$1, MATCH(MIN(E739:K739), E739:K739, 0))), 技能库!$A:$F, 6, 0),"请针对该题型加强练习"))</f>
        <v/>
      </c>
      <c r="AB739" s="5" t="str">
        <f>IF(P739="","", "⚠️ 薄弱环节: "&amp;INDEX($N$1:$O$1, MATCH(MIN(N739:O739), N739:O739, 0))&amp;CHAR(10)&amp;"📉 考察能力: "&amp;IFERROR(VLOOKUP(TRIM(D739)&amp;"_"&amp;TRIM(INDEX($N$1:$O$1, MATCH(MIN(N739:O739), N739:O739, 0))), 技能库!$A:$F, 5, 0),"建议查阅考纲")&amp;CHAR(10)&amp;"💡 提升建议: "&amp;IFERROR(VLOOKUP(TRIM(D739)&amp;"_"&amp;TRIM(INDEX($N$1:$O$1, MATCH(MIN(N739:O739), N739:O739, 0))), 技能库!$A:$F, 6, 0),"请针对该题型加强练习"))</f>
        <v/>
      </c>
      <c r="AC739" s="5" t="str">
        <f>IF(W739="","", "⚠️ 薄弱环节: "&amp;INDEX($R$1:$V$1, MATCH(MIN(R739:V739), R739:V739, 0))&amp;CHAR(10)&amp;"📉 考察能力: "&amp;IFERROR(VLOOKUP(TRIM(D739)&amp;"_"&amp;TRIM(INDEX($R$1:$V$1, MATCH(MIN(R739:V739), R739:V739, 0))), 技能库!$A:$F, 5, 0),"建议查阅考纲")&amp;CHAR(10)&amp;"💡 提升建议: "&amp;IFERROR(VLOOKUP(TRIM(D739)&amp;"_"&amp;TRIM(INDEX($R$1:$V$1, MATCH(MIN(R739:V739), R739:V739, 0))), 技能库!$A:$F, 6, 0),"请针对该题型加强练习"))</f>
        <v/>
      </c>
    </row>
    <row r="740" spans="12:29" ht="16" hidden="1" x14ac:dyDescent="0.2">
      <c r="L740" t="str">
        <f t="shared" si="44"/>
        <v/>
      </c>
      <c r="M740" t="str">
        <f>IF(L740="","", IFERROR(VLOOKUP(L740, IF(D740="KET", 换算标准!$M:$N, IF(D740="PET", 换算标准!$S:$T, 换算标准!$AC:$AD)), 2, TRUE), 0))</f>
        <v/>
      </c>
      <c r="P740" t="str">
        <f t="shared" si="45"/>
        <v/>
      </c>
      <c r="Q740" t="str">
        <f>IF(P740="","", IFERROR(VLOOKUP(P740, IF(D740="KET", 换算标准!$O:$P, IF(D740="PET", 换算标准!$U:$V, 换算标准!$AG:$AH)), 2, TRUE), 0))</f>
        <v/>
      </c>
      <c r="W740" t="str">
        <f t="shared" si="46"/>
        <v/>
      </c>
      <c r="X740" t="str">
        <f>IF(W740="","", IFERROR(VLOOKUP(W740, IF(D740="KET", 换算标准!$Q:$R, IF(D740="PET", 换算标准!$W:$X, 换算标准!$AI:$AJ)), 2, TRUE), 0))</f>
        <v/>
      </c>
      <c r="Y740" t="str">
        <f t="shared" si="47"/>
        <v/>
      </c>
      <c r="Z740" t="str">
        <f>IF(Y740="","", IFERROR(VLOOKUP(Y740, 换算标准!$Z:$AA, 1, TRUE), ""))</f>
        <v/>
      </c>
      <c r="AA740" s="5" t="str">
        <f>IF(L740="","", "⚠️ 薄弱环节: "&amp;INDEX($E$1:$K$1, MATCH(MIN(E740:K740), E740:K740, 0))&amp;CHAR(10)&amp;"📉 考察能力: "&amp;IFERROR(VLOOKUP(TRIM(D740)&amp;"_"&amp;TRIM(INDEX($E$1:$K$1, MATCH(MIN(E740:K740), E740:K740, 0))), 技能库!$A:$F, 5, 0),"建议查阅考纲")&amp;CHAR(10)&amp;"💡 提升建议: "&amp;IFERROR(VLOOKUP(TRIM(D740)&amp;"_"&amp;TRIM(INDEX($E$1:$K$1, MATCH(MIN(E740:K740), E740:K740, 0))), 技能库!$A:$F, 6, 0),"请针对该题型加强练习"))</f>
        <v/>
      </c>
      <c r="AB740" s="5" t="str">
        <f>IF(P740="","", "⚠️ 薄弱环节: "&amp;INDEX($N$1:$O$1, MATCH(MIN(N740:O740), N740:O740, 0))&amp;CHAR(10)&amp;"📉 考察能力: "&amp;IFERROR(VLOOKUP(TRIM(D740)&amp;"_"&amp;TRIM(INDEX($N$1:$O$1, MATCH(MIN(N740:O740), N740:O740, 0))), 技能库!$A:$F, 5, 0),"建议查阅考纲")&amp;CHAR(10)&amp;"💡 提升建议: "&amp;IFERROR(VLOOKUP(TRIM(D740)&amp;"_"&amp;TRIM(INDEX($N$1:$O$1, MATCH(MIN(N740:O740), N740:O740, 0))), 技能库!$A:$F, 6, 0),"请针对该题型加强练习"))</f>
        <v/>
      </c>
      <c r="AC740" s="5" t="str">
        <f>IF(W740="","", "⚠️ 薄弱环节: "&amp;INDEX($R$1:$V$1, MATCH(MIN(R740:V740), R740:V740, 0))&amp;CHAR(10)&amp;"📉 考察能力: "&amp;IFERROR(VLOOKUP(TRIM(D740)&amp;"_"&amp;TRIM(INDEX($R$1:$V$1, MATCH(MIN(R740:V740), R740:V740, 0))), 技能库!$A:$F, 5, 0),"建议查阅考纲")&amp;CHAR(10)&amp;"💡 提升建议: "&amp;IFERROR(VLOOKUP(TRIM(D740)&amp;"_"&amp;TRIM(INDEX($R$1:$V$1, MATCH(MIN(R740:V740), R740:V740, 0))), 技能库!$A:$F, 6, 0),"请针对该题型加强练习"))</f>
        <v/>
      </c>
    </row>
    <row r="741" spans="12:29" ht="16" hidden="1" x14ac:dyDescent="0.2">
      <c r="L741" t="str">
        <f t="shared" si="44"/>
        <v/>
      </c>
      <c r="M741" t="str">
        <f>IF(L741="","", IFERROR(VLOOKUP(L741, IF(D741="KET", 换算标准!$M:$N, IF(D741="PET", 换算标准!$S:$T, 换算标准!$AC:$AD)), 2, TRUE), 0))</f>
        <v/>
      </c>
      <c r="P741" t="str">
        <f t="shared" si="45"/>
        <v/>
      </c>
      <c r="Q741" t="str">
        <f>IF(P741="","", IFERROR(VLOOKUP(P741, IF(D741="KET", 换算标准!$O:$P, IF(D741="PET", 换算标准!$U:$V, 换算标准!$AG:$AH)), 2, TRUE), 0))</f>
        <v/>
      </c>
      <c r="W741" t="str">
        <f t="shared" si="46"/>
        <v/>
      </c>
      <c r="X741" t="str">
        <f>IF(W741="","", IFERROR(VLOOKUP(W741, IF(D741="KET", 换算标准!$Q:$R, IF(D741="PET", 换算标准!$W:$X, 换算标准!$AI:$AJ)), 2, TRUE), 0))</f>
        <v/>
      </c>
      <c r="Y741" t="str">
        <f t="shared" si="47"/>
        <v/>
      </c>
      <c r="Z741" t="str">
        <f>IF(Y741="","", IFERROR(VLOOKUP(Y741, 换算标准!$Z:$AA, 1, TRUE), ""))</f>
        <v/>
      </c>
      <c r="AA741" s="5" t="str">
        <f>IF(L741="","", "⚠️ 薄弱环节: "&amp;INDEX($E$1:$K$1, MATCH(MIN(E741:K741), E741:K741, 0))&amp;CHAR(10)&amp;"📉 考察能力: "&amp;IFERROR(VLOOKUP(TRIM(D741)&amp;"_"&amp;TRIM(INDEX($E$1:$K$1, MATCH(MIN(E741:K741), E741:K741, 0))), 技能库!$A:$F, 5, 0),"建议查阅考纲")&amp;CHAR(10)&amp;"💡 提升建议: "&amp;IFERROR(VLOOKUP(TRIM(D741)&amp;"_"&amp;TRIM(INDEX($E$1:$K$1, MATCH(MIN(E741:K741), E741:K741, 0))), 技能库!$A:$F, 6, 0),"请针对该题型加强练习"))</f>
        <v/>
      </c>
      <c r="AB741" s="5" t="str">
        <f>IF(P741="","", "⚠️ 薄弱环节: "&amp;INDEX($N$1:$O$1, MATCH(MIN(N741:O741), N741:O741, 0))&amp;CHAR(10)&amp;"📉 考察能力: "&amp;IFERROR(VLOOKUP(TRIM(D741)&amp;"_"&amp;TRIM(INDEX($N$1:$O$1, MATCH(MIN(N741:O741), N741:O741, 0))), 技能库!$A:$F, 5, 0),"建议查阅考纲")&amp;CHAR(10)&amp;"💡 提升建议: "&amp;IFERROR(VLOOKUP(TRIM(D741)&amp;"_"&amp;TRIM(INDEX($N$1:$O$1, MATCH(MIN(N741:O741), N741:O741, 0))), 技能库!$A:$F, 6, 0),"请针对该题型加强练习"))</f>
        <v/>
      </c>
      <c r="AC741" s="5" t="str">
        <f>IF(W741="","", "⚠️ 薄弱环节: "&amp;INDEX($R$1:$V$1, MATCH(MIN(R741:V741), R741:V741, 0))&amp;CHAR(10)&amp;"📉 考察能力: "&amp;IFERROR(VLOOKUP(TRIM(D741)&amp;"_"&amp;TRIM(INDEX($R$1:$V$1, MATCH(MIN(R741:V741), R741:V741, 0))), 技能库!$A:$F, 5, 0),"建议查阅考纲")&amp;CHAR(10)&amp;"💡 提升建议: "&amp;IFERROR(VLOOKUP(TRIM(D741)&amp;"_"&amp;TRIM(INDEX($R$1:$V$1, MATCH(MIN(R741:V741), R741:V741, 0))), 技能库!$A:$F, 6, 0),"请针对该题型加强练习"))</f>
        <v/>
      </c>
    </row>
    <row r="742" spans="12:29" ht="16" hidden="1" x14ac:dyDescent="0.2">
      <c r="L742" t="str">
        <f t="shared" si="44"/>
        <v/>
      </c>
      <c r="M742" t="str">
        <f>IF(L742="","", IFERROR(VLOOKUP(L742, IF(D742="KET", 换算标准!$M:$N, IF(D742="PET", 换算标准!$S:$T, 换算标准!$AC:$AD)), 2, TRUE), 0))</f>
        <v/>
      </c>
      <c r="P742" t="str">
        <f t="shared" si="45"/>
        <v/>
      </c>
      <c r="Q742" t="str">
        <f>IF(P742="","", IFERROR(VLOOKUP(P742, IF(D742="KET", 换算标准!$O:$P, IF(D742="PET", 换算标准!$U:$V, 换算标准!$AG:$AH)), 2, TRUE), 0))</f>
        <v/>
      </c>
      <c r="W742" t="str">
        <f t="shared" si="46"/>
        <v/>
      </c>
      <c r="X742" t="str">
        <f>IF(W742="","", IFERROR(VLOOKUP(W742, IF(D742="KET", 换算标准!$Q:$R, IF(D742="PET", 换算标准!$W:$X, 换算标准!$AI:$AJ)), 2, TRUE), 0))</f>
        <v/>
      </c>
      <c r="Y742" t="str">
        <f t="shared" si="47"/>
        <v/>
      </c>
      <c r="Z742" t="str">
        <f>IF(Y742="","", IFERROR(VLOOKUP(Y742, 换算标准!$Z:$AA, 1, TRUE), ""))</f>
        <v/>
      </c>
      <c r="AA742" s="5" t="str">
        <f>IF(L742="","", "⚠️ 薄弱环节: "&amp;INDEX($E$1:$K$1, MATCH(MIN(E742:K742), E742:K742, 0))&amp;CHAR(10)&amp;"📉 考察能力: "&amp;IFERROR(VLOOKUP(TRIM(D742)&amp;"_"&amp;TRIM(INDEX($E$1:$K$1, MATCH(MIN(E742:K742), E742:K742, 0))), 技能库!$A:$F, 5, 0),"建议查阅考纲")&amp;CHAR(10)&amp;"💡 提升建议: "&amp;IFERROR(VLOOKUP(TRIM(D742)&amp;"_"&amp;TRIM(INDEX($E$1:$K$1, MATCH(MIN(E742:K742), E742:K742, 0))), 技能库!$A:$F, 6, 0),"请针对该题型加强练习"))</f>
        <v/>
      </c>
      <c r="AB742" s="5" t="str">
        <f>IF(P742="","", "⚠️ 薄弱环节: "&amp;INDEX($N$1:$O$1, MATCH(MIN(N742:O742), N742:O742, 0))&amp;CHAR(10)&amp;"📉 考察能力: "&amp;IFERROR(VLOOKUP(TRIM(D742)&amp;"_"&amp;TRIM(INDEX($N$1:$O$1, MATCH(MIN(N742:O742), N742:O742, 0))), 技能库!$A:$F, 5, 0),"建议查阅考纲")&amp;CHAR(10)&amp;"💡 提升建议: "&amp;IFERROR(VLOOKUP(TRIM(D742)&amp;"_"&amp;TRIM(INDEX($N$1:$O$1, MATCH(MIN(N742:O742), N742:O742, 0))), 技能库!$A:$F, 6, 0),"请针对该题型加强练习"))</f>
        <v/>
      </c>
      <c r="AC742" s="5" t="str">
        <f>IF(W742="","", "⚠️ 薄弱环节: "&amp;INDEX($R$1:$V$1, MATCH(MIN(R742:V742), R742:V742, 0))&amp;CHAR(10)&amp;"📉 考察能力: "&amp;IFERROR(VLOOKUP(TRIM(D742)&amp;"_"&amp;TRIM(INDEX($R$1:$V$1, MATCH(MIN(R742:V742), R742:V742, 0))), 技能库!$A:$F, 5, 0),"建议查阅考纲")&amp;CHAR(10)&amp;"💡 提升建议: "&amp;IFERROR(VLOOKUP(TRIM(D742)&amp;"_"&amp;TRIM(INDEX($R$1:$V$1, MATCH(MIN(R742:V742), R742:V742, 0))), 技能库!$A:$F, 6, 0),"请针对该题型加强练习"))</f>
        <v/>
      </c>
    </row>
    <row r="743" spans="12:29" ht="16" hidden="1" x14ac:dyDescent="0.2">
      <c r="L743" t="str">
        <f t="shared" si="44"/>
        <v/>
      </c>
      <c r="M743" t="str">
        <f>IF(L743="","", IFERROR(VLOOKUP(L743, IF(D743="KET", 换算标准!$M:$N, IF(D743="PET", 换算标准!$S:$T, 换算标准!$AC:$AD)), 2, TRUE), 0))</f>
        <v/>
      </c>
      <c r="P743" t="str">
        <f t="shared" si="45"/>
        <v/>
      </c>
      <c r="Q743" t="str">
        <f>IF(P743="","", IFERROR(VLOOKUP(P743, IF(D743="KET", 换算标准!$O:$P, IF(D743="PET", 换算标准!$U:$V, 换算标准!$AG:$AH)), 2, TRUE), 0))</f>
        <v/>
      </c>
      <c r="W743" t="str">
        <f t="shared" si="46"/>
        <v/>
      </c>
      <c r="X743" t="str">
        <f>IF(W743="","", IFERROR(VLOOKUP(W743, IF(D743="KET", 换算标准!$Q:$R, IF(D743="PET", 换算标准!$W:$X, 换算标准!$AI:$AJ)), 2, TRUE), 0))</f>
        <v/>
      </c>
      <c r="Y743" t="str">
        <f t="shared" si="47"/>
        <v/>
      </c>
      <c r="Z743" t="str">
        <f>IF(Y743="","", IFERROR(VLOOKUP(Y743, 换算标准!$Z:$AA, 1, TRUE), ""))</f>
        <v/>
      </c>
      <c r="AA743" s="5" t="str">
        <f>IF(L743="","", "⚠️ 薄弱环节: "&amp;INDEX($E$1:$K$1, MATCH(MIN(E743:K743), E743:K743, 0))&amp;CHAR(10)&amp;"📉 考察能力: "&amp;IFERROR(VLOOKUP(TRIM(D743)&amp;"_"&amp;TRIM(INDEX($E$1:$K$1, MATCH(MIN(E743:K743), E743:K743, 0))), 技能库!$A:$F, 5, 0),"建议查阅考纲")&amp;CHAR(10)&amp;"💡 提升建议: "&amp;IFERROR(VLOOKUP(TRIM(D743)&amp;"_"&amp;TRIM(INDEX($E$1:$K$1, MATCH(MIN(E743:K743), E743:K743, 0))), 技能库!$A:$F, 6, 0),"请针对该题型加强练习"))</f>
        <v/>
      </c>
      <c r="AB743" s="5" t="str">
        <f>IF(P743="","", "⚠️ 薄弱环节: "&amp;INDEX($N$1:$O$1, MATCH(MIN(N743:O743), N743:O743, 0))&amp;CHAR(10)&amp;"📉 考察能力: "&amp;IFERROR(VLOOKUP(TRIM(D743)&amp;"_"&amp;TRIM(INDEX($N$1:$O$1, MATCH(MIN(N743:O743), N743:O743, 0))), 技能库!$A:$F, 5, 0),"建议查阅考纲")&amp;CHAR(10)&amp;"💡 提升建议: "&amp;IFERROR(VLOOKUP(TRIM(D743)&amp;"_"&amp;TRIM(INDEX($N$1:$O$1, MATCH(MIN(N743:O743), N743:O743, 0))), 技能库!$A:$F, 6, 0),"请针对该题型加强练习"))</f>
        <v/>
      </c>
      <c r="AC743" s="5" t="str">
        <f>IF(W743="","", "⚠️ 薄弱环节: "&amp;INDEX($R$1:$V$1, MATCH(MIN(R743:V743), R743:V743, 0))&amp;CHAR(10)&amp;"📉 考察能力: "&amp;IFERROR(VLOOKUP(TRIM(D743)&amp;"_"&amp;TRIM(INDEX($R$1:$V$1, MATCH(MIN(R743:V743), R743:V743, 0))), 技能库!$A:$F, 5, 0),"建议查阅考纲")&amp;CHAR(10)&amp;"💡 提升建议: "&amp;IFERROR(VLOOKUP(TRIM(D743)&amp;"_"&amp;TRIM(INDEX($R$1:$V$1, MATCH(MIN(R743:V743), R743:V743, 0))), 技能库!$A:$F, 6, 0),"请针对该题型加强练习"))</f>
        <v/>
      </c>
    </row>
    <row r="744" spans="12:29" ht="16" hidden="1" x14ac:dyDescent="0.2">
      <c r="L744" t="str">
        <f t="shared" si="44"/>
        <v/>
      </c>
      <c r="M744" t="str">
        <f>IF(L744="","", IFERROR(VLOOKUP(L744, IF(D744="KET", 换算标准!$M:$N, IF(D744="PET", 换算标准!$S:$T, 换算标准!$AC:$AD)), 2, TRUE), 0))</f>
        <v/>
      </c>
      <c r="P744" t="str">
        <f t="shared" si="45"/>
        <v/>
      </c>
      <c r="Q744" t="str">
        <f>IF(P744="","", IFERROR(VLOOKUP(P744, IF(D744="KET", 换算标准!$O:$P, IF(D744="PET", 换算标准!$U:$V, 换算标准!$AG:$AH)), 2, TRUE), 0))</f>
        <v/>
      </c>
      <c r="W744" t="str">
        <f t="shared" si="46"/>
        <v/>
      </c>
      <c r="X744" t="str">
        <f>IF(W744="","", IFERROR(VLOOKUP(W744, IF(D744="KET", 换算标准!$Q:$R, IF(D744="PET", 换算标准!$W:$X, 换算标准!$AI:$AJ)), 2, TRUE), 0))</f>
        <v/>
      </c>
      <c r="Y744" t="str">
        <f t="shared" si="47"/>
        <v/>
      </c>
      <c r="Z744" t="str">
        <f>IF(Y744="","", IFERROR(VLOOKUP(Y744, 换算标准!$Z:$AA, 1, TRUE), ""))</f>
        <v/>
      </c>
      <c r="AA744" s="5" t="str">
        <f>IF(L744="","", "⚠️ 薄弱环节: "&amp;INDEX($E$1:$K$1, MATCH(MIN(E744:K744), E744:K744, 0))&amp;CHAR(10)&amp;"📉 考察能力: "&amp;IFERROR(VLOOKUP(TRIM(D744)&amp;"_"&amp;TRIM(INDEX($E$1:$K$1, MATCH(MIN(E744:K744), E744:K744, 0))), 技能库!$A:$F, 5, 0),"建议查阅考纲")&amp;CHAR(10)&amp;"💡 提升建议: "&amp;IFERROR(VLOOKUP(TRIM(D744)&amp;"_"&amp;TRIM(INDEX($E$1:$K$1, MATCH(MIN(E744:K744), E744:K744, 0))), 技能库!$A:$F, 6, 0),"请针对该题型加强练习"))</f>
        <v/>
      </c>
      <c r="AB744" s="5" t="str">
        <f>IF(P744="","", "⚠️ 薄弱环节: "&amp;INDEX($N$1:$O$1, MATCH(MIN(N744:O744), N744:O744, 0))&amp;CHAR(10)&amp;"📉 考察能力: "&amp;IFERROR(VLOOKUP(TRIM(D744)&amp;"_"&amp;TRIM(INDEX($N$1:$O$1, MATCH(MIN(N744:O744), N744:O744, 0))), 技能库!$A:$F, 5, 0),"建议查阅考纲")&amp;CHAR(10)&amp;"💡 提升建议: "&amp;IFERROR(VLOOKUP(TRIM(D744)&amp;"_"&amp;TRIM(INDEX($N$1:$O$1, MATCH(MIN(N744:O744), N744:O744, 0))), 技能库!$A:$F, 6, 0),"请针对该题型加强练习"))</f>
        <v/>
      </c>
      <c r="AC744" s="5" t="str">
        <f>IF(W744="","", "⚠️ 薄弱环节: "&amp;INDEX($R$1:$V$1, MATCH(MIN(R744:V744), R744:V744, 0))&amp;CHAR(10)&amp;"📉 考察能力: "&amp;IFERROR(VLOOKUP(TRIM(D744)&amp;"_"&amp;TRIM(INDEX($R$1:$V$1, MATCH(MIN(R744:V744), R744:V744, 0))), 技能库!$A:$F, 5, 0),"建议查阅考纲")&amp;CHAR(10)&amp;"💡 提升建议: "&amp;IFERROR(VLOOKUP(TRIM(D744)&amp;"_"&amp;TRIM(INDEX($R$1:$V$1, MATCH(MIN(R744:V744), R744:V744, 0))), 技能库!$A:$F, 6, 0),"请针对该题型加强练习"))</f>
        <v/>
      </c>
    </row>
    <row r="745" spans="12:29" ht="16" hidden="1" x14ac:dyDescent="0.2">
      <c r="L745" t="str">
        <f t="shared" si="44"/>
        <v/>
      </c>
      <c r="M745" t="str">
        <f>IF(L745="","", IFERROR(VLOOKUP(L745, IF(D745="KET", 换算标准!$M:$N, IF(D745="PET", 换算标准!$S:$T, 换算标准!$AC:$AD)), 2, TRUE), 0))</f>
        <v/>
      </c>
      <c r="P745" t="str">
        <f t="shared" si="45"/>
        <v/>
      </c>
      <c r="Q745" t="str">
        <f>IF(P745="","", IFERROR(VLOOKUP(P745, IF(D745="KET", 换算标准!$O:$P, IF(D745="PET", 换算标准!$U:$V, 换算标准!$AG:$AH)), 2, TRUE), 0))</f>
        <v/>
      </c>
      <c r="W745" t="str">
        <f t="shared" si="46"/>
        <v/>
      </c>
      <c r="X745" t="str">
        <f>IF(W745="","", IFERROR(VLOOKUP(W745, IF(D745="KET", 换算标准!$Q:$R, IF(D745="PET", 换算标准!$W:$X, 换算标准!$AI:$AJ)), 2, TRUE), 0))</f>
        <v/>
      </c>
      <c r="Y745" t="str">
        <f t="shared" si="47"/>
        <v/>
      </c>
      <c r="Z745" t="str">
        <f>IF(Y745="","", IFERROR(VLOOKUP(Y745, 换算标准!$Z:$AA, 1, TRUE), ""))</f>
        <v/>
      </c>
      <c r="AA745" s="5" t="str">
        <f>IF(L745="","", "⚠️ 薄弱环节: "&amp;INDEX($E$1:$K$1, MATCH(MIN(E745:K745), E745:K745, 0))&amp;CHAR(10)&amp;"📉 考察能力: "&amp;IFERROR(VLOOKUP(TRIM(D745)&amp;"_"&amp;TRIM(INDEX($E$1:$K$1, MATCH(MIN(E745:K745), E745:K745, 0))), 技能库!$A:$F, 5, 0),"建议查阅考纲")&amp;CHAR(10)&amp;"💡 提升建议: "&amp;IFERROR(VLOOKUP(TRIM(D745)&amp;"_"&amp;TRIM(INDEX($E$1:$K$1, MATCH(MIN(E745:K745), E745:K745, 0))), 技能库!$A:$F, 6, 0),"请针对该题型加强练习"))</f>
        <v/>
      </c>
      <c r="AB745" s="5" t="str">
        <f>IF(P745="","", "⚠️ 薄弱环节: "&amp;INDEX($N$1:$O$1, MATCH(MIN(N745:O745), N745:O745, 0))&amp;CHAR(10)&amp;"📉 考察能力: "&amp;IFERROR(VLOOKUP(TRIM(D745)&amp;"_"&amp;TRIM(INDEX($N$1:$O$1, MATCH(MIN(N745:O745), N745:O745, 0))), 技能库!$A:$F, 5, 0),"建议查阅考纲")&amp;CHAR(10)&amp;"💡 提升建议: "&amp;IFERROR(VLOOKUP(TRIM(D745)&amp;"_"&amp;TRIM(INDEX($N$1:$O$1, MATCH(MIN(N745:O745), N745:O745, 0))), 技能库!$A:$F, 6, 0),"请针对该题型加强练习"))</f>
        <v/>
      </c>
      <c r="AC745" s="5" t="str">
        <f>IF(W745="","", "⚠️ 薄弱环节: "&amp;INDEX($R$1:$V$1, MATCH(MIN(R745:V745), R745:V745, 0))&amp;CHAR(10)&amp;"📉 考察能力: "&amp;IFERROR(VLOOKUP(TRIM(D745)&amp;"_"&amp;TRIM(INDEX($R$1:$V$1, MATCH(MIN(R745:V745), R745:V745, 0))), 技能库!$A:$F, 5, 0),"建议查阅考纲")&amp;CHAR(10)&amp;"💡 提升建议: "&amp;IFERROR(VLOOKUP(TRIM(D745)&amp;"_"&amp;TRIM(INDEX($R$1:$V$1, MATCH(MIN(R745:V745), R745:V745, 0))), 技能库!$A:$F, 6, 0),"请针对该题型加强练习"))</f>
        <v/>
      </c>
    </row>
    <row r="746" spans="12:29" ht="16" hidden="1" x14ac:dyDescent="0.2">
      <c r="L746" t="str">
        <f t="shared" si="44"/>
        <v/>
      </c>
      <c r="M746" t="str">
        <f>IF(L746="","", IFERROR(VLOOKUP(L746, IF(D746="KET", 换算标准!$M:$N, IF(D746="PET", 换算标准!$S:$T, 换算标准!$AC:$AD)), 2, TRUE), 0))</f>
        <v/>
      </c>
      <c r="P746" t="str">
        <f t="shared" si="45"/>
        <v/>
      </c>
      <c r="Q746" t="str">
        <f>IF(P746="","", IFERROR(VLOOKUP(P746, IF(D746="KET", 换算标准!$O:$P, IF(D746="PET", 换算标准!$U:$V, 换算标准!$AG:$AH)), 2, TRUE), 0))</f>
        <v/>
      </c>
      <c r="W746" t="str">
        <f t="shared" si="46"/>
        <v/>
      </c>
      <c r="X746" t="str">
        <f>IF(W746="","", IFERROR(VLOOKUP(W746, IF(D746="KET", 换算标准!$Q:$R, IF(D746="PET", 换算标准!$W:$X, 换算标准!$AI:$AJ)), 2, TRUE), 0))</f>
        <v/>
      </c>
      <c r="Y746" t="str">
        <f t="shared" si="47"/>
        <v/>
      </c>
      <c r="Z746" t="str">
        <f>IF(Y746="","", IFERROR(VLOOKUP(Y746, 换算标准!$Z:$AA, 1, TRUE), ""))</f>
        <v/>
      </c>
      <c r="AA746" s="5" t="str">
        <f>IF(L746="","", "⚠️ 薄弱环节: "&amp;INDEX($E$1:$K$1, MATCH(MIN(E746:K746), E746:K746, 0))&amp;CHAR(10)&amp;"📉 考察能力: "&amp;IFERROR(VLOOKUP(TRIM(D746)&amp;"_"&amp;TRIM(INDEX($E$1:$K$1, MATCH(MIN(E746:K746), E746:K746, 0))), 技能库!$A:$F, 5, 0),"建议查阅考纲")&amp;CHAR(10)&amp;"💡 提升建议: "&amp;IFERROR(VLOOKUP(TRIM(D746)&amp;"_"&amp;TRIM(INDEX($E$1:$K$1, MATCH(MIN(E746:K746), E746:K746, 0))), 技能库!$A:$F, 6, 0),"请针对该题型加强练习"))</f>
        <v/>
      </c>
      <c r="AB746" s="5" t="str">
        <f>IF(P746="","", "⚠️ 薄弱环节: "&amp;INDEX($N$1:$O$1, MATCH(MIN(N746:O746), N746:O746, 0))&amp;CHAR(10)&amp;"📉 考察能力: "&amp;IFERROR(VLOOKUP(TRIM(D746)&amp;"_"&amp;TRIM(INDEX($N$1:$O$1, MATCH(MIN(N746:O746), N746:O746, 0))), 技能库!$A:$F, 5, 0),"建议查阅考纲")&amp;CHAR(10)&amp;"💡 提升建议: "&amp;IFERROR(VLOOKUP(TRIM(D746)&amp;"_"&amp;TRIM(INDEX($N$1:$O$1, MATCH(MIN(N746:O746), N746:O746, 0))), 技能库!$A:$F, 6, 0),"请针对该题型加强练习"))</f>
        <v/>
      </c>
      <c r="AC746" s="5" t="str">
        <f>IF(W746="","", "⚠️ 薄弱环节: "&amp;INDEX($R$1:$V$1, MATCH(MIN(R746:V746), R746:V746, 0))&amp;CHAR(10)&amp;"📉 考察能力: "&amp;IFERROR(VLOOKUP(TRIM(D746)&amp;"_"&amp;TRIM(INDEX($R$1:$V$1, MATCH(MIN(R746:V746), R746:V746, 0))), 技能库!$A:$F, 5, 0),"建议查阅考纲")&amp;CHAR(10)&amp;"💡 提升建议: "&amp;IFERROR(VLOOKUP(TRIM(D746)&amp;"_"&amp;TRIM(INDEX($R$1:$V$1, MATCH(MIN(R746:V746), R746:V746, 0))), 技能库!$A:$F, 6, 0),"请针对该题型加强练习"))</f>
        <v/>
      </c>
    </row>
    <row r="747" spans="12:29" ht="16" hidden="1" x14ac:dyDescent="0.2">
      <c r="L747" t="str">
        <f t="shared" si="44"/>
        <v/>
      </c>
      <c r="M747" t="str">
        <f>IF(L747="","", IFERROR(VLOOKUP(L747, IF(D747="KET", 换算标准!$M:$N, IF(D747="PET", 换算标准!$S:$T, 换算标准!$AC:$AD)), 2, TRUE), 0))</f>
        <v/>
      </c>
      <c r="P747" t="str">
        <f t="shared" si="45"/>
        <v/>
      </c>
      <c r="Q747" t="str">
        <f>IF(P747="","", IFERROR(VLOOKUP(P747, IF(D747="KET", 换算标准!$O:$P, IF(D747="PET", 换算标准!$U:$V, 换算标准!$AG:$AH)), 2, TRUE), 0))</f>
        <v/>
      </c>
      <c r="W747" t="str">
        <f t="shared" si="46"/>
        <v/>
      </c>
      <c r="X747" t="str">
        <f>IF(W747="","", IFERROR(VLOOKUP(W747, IF(D747="KET", 换算标准!$Q:$R, IF(D747="PET", 换算标准!$W:$X, 换算标准!$AI:$AJ)), 2, TRUE), 0))</f>
        <v/>
      </c>
      <c r="Y747" t="str">
        <f t="shared" si="47"/>
        <v/>
      </c>
      <c r="Z747" t="str">
        <f>IF(Y747="","", IFERROR(VLOOKUP(Y747, 换算标准!$Z:$AA, 1, TRUE), ""))</f>
        <v/>
      </c>
      <c r="AA747" s="5" t="str">
        <f>IF(L747="","", "⚠️ 薄弱环节: "&amp;INDEX($E$1:$K$1, MATCH(MIN(E747:K747), E747:K747, 0))&amp;CHAR(10)&amp;"📉 考察能力: "&amp;IFERROR(VLOOKUP(TRIM(D747)&amp;"_"&amp;TRIM(INDEX($E$1:$K$1, MATCH(MIN(E747:K747), E747:K747, 0))), 技能库!$A:$F, 5, 0),"建议查阅考纲")&amp;CHAR(10)&amp;"💡 提升建议: "&amp;IFERROR(VLOOKUP(TRIM(D747)&amp;"_"&amp;TRIM(INDEX($E$1:$K$1, MATCH(MIN(E747:K747), E747:K747, 0))), 技能库!$A:$F, 6, 0),"请针对该题型加强练习"))</f>
        <v/>
      </c>
      <c r="AB747" s="5" t="str">
        <f>IF(P747="","", "⚠️ 薄弱环节: "&amp;INDEX($N$1:$O$1, MATCH(MIN(N747:O747), N747:O747, 0))&amp;CHAR(10)&amp;"📉 考察能力: "&amp;IFERROR(VLOOKUP(TRIM(D747)&amp;"_"&amp;TRIM(INDEX($N$1:$O$1, MATCH(MIN(N747:O747), N747:O747, 0))), 技能库!$A:$F, 5, 0),"建议查阅考纲")&amp;CHAR(10)&amp;"💡 提升建议: "&amp;IFERROR(VLOOKUP(TRIM(D747)&amp;"_"&amp;TRIM(INDEX($N$1:$O$1, MATCH(MIN(N747:O747), N747:O747, 0))), 技能库!$A:$F, 6, 0),"请针对该题型加强练习"))</f>
        <v/>
      </c>
      <c r="AC747" s="5" t="str">
        <f>IF(W747="","", "⚠️ 薄弱环节: "&amp;INDEX($R$1:$V$1, MATCH(MIN(R747:V747), R747:V747, 0))&amp;CHAR(10)&amp;"📉 考察能力: "&amp;IFERROR(VLOOKUP(TRIM(D747)&amp;"_"&amp;TRIM(INDEX($R$1:$V$1, MATCH(MIN(R747:V747), R747:V747, 0))), 技能库!$A:$F, 5, 0),"建议查阅考纲")&amp;CHAR(10)&amp;"💡 提升建议: "&amp;IFERROR(VLOOKUP(TRIM(D747)&amp;"_"&amp;TRIM(INDEX($R$1:$V$1, MATCH(MIN(R747:V747), R747:V747, 0))), 技能库!$A:$F, 6, 0),"请针对该题型加强练习"))</f>
        <v/>
      </c>
    </row>
    <row r="748" spans="12:29" ht="16" hidden="1" x14ac:dyDescent="0.2">
      <c r="L748" t="str">
        <f t="shared" si="44"/>
        <v/>
      </c>
      <c r="M748" t="str">
        <f>IF(L748="","", IFERROR(VLOOKUP(L748, IF(D748="KET", 换算标准!$M:$N, IF(D748="PET", 换算标准!$S:$T, 换算标准!$AC:$AD)), 2, TRUE), 0))</f>
        <v/>
      </c>
      <c r="P748" t="str">
        <f t="shared" si="45"/>
        <v/>
      </c>
      <c r="Q748" t="str">
        <f>IF(P748="","", IFERROR(VLOOKUP(P748, IF(D748="KET", 换算标准!$O:$P, IF(D748="PET", 换算标准!$U:$V, 换算标准!$AG:$AH)), 2, TRUE), 0))</f>
        <v/>
      </c>
      <c r="W748" t="str">
        <f t="shared" si="46"/>
        <v/>
      </c>
      <c r="X748" t="str">
        <f>IF(W748="","", IFERROR(VLOOKUP(W748, IF(D748="KET", 换算标准!$Q:$R, IF(D748="PET", 换算标准!$W:$X, 换算标准!$AI:$AJ)), 2, TRUE), 0))</f>
        <v/>
      </c>
      <c r="Y748" t="str">
        <f t="shared" si="47"/>
        <v/>
      </c>
      <c r="Z748" t="str">
        <f>IF(Y748="","", IFERROR(VLOOKUP(Y748, 换算标准!$Z:$AA, 1, TRUE), ""))</f>
        <v/>
      </c>
      <c r="AA748" s="5" t="str">
        <f>IF(L748="","", "⚠️ 薄弱环节: "&amp;INDEX($E$1:$K$1, MATCH(MIN(E748:K748), E748:K748, 0))&amp;CHAR(10)&amp;"📉 考察能力: "&amp;IFERROR(VLOOKUP(TRIM(D748)&amp;"_"&amp;TRIM(INDEX($E$1:$K$1, MATCH(MIN(E748:K748), E748:K748, 0))), 技能库!$A:$F, 5, 0),"建议查阅考纲")&amp;CHAR(10)&amp;"💡 提升建议: "&amp;IFERROR(VLOOKUP(TRIM(D748)&amp;"_"&amp;TRIM(INDEX($E$1:$K$1, MATCH(MIN(E748:K748), E748:K748, 0))), 技能库!$A:$F, 6, 0),"请针对该题型加强练习"))</f>
        <v/>
      </c>
      <c r="AB748" s="5" t="str">
        <f>IF(P748="","", "⚠️ 薄弱环节: "&amp;INDEX($N$1:$O$1, MATCH(MIN(N748:O748), N748:O748, 0))&amp;CHAR(10)&amp;"📉 考察能力: "&amp;IFERROR(VLOOKUP(TRIM(D748)&amp;"_"&amp;TRIM(INDEX($N$1:$O$1, MATCH(MIN(N748:O748), N748:O748, 0))), 技能库!$A:$F, 5, 0),"建议查阅考纲")&amp;CHAR(10)&amp;"💡 提升建议: "&amp;IFERROR(VLOOKUP(TRIM(D748)&amp;"_"&amp;TRIM(INDEX($N$1:$O$1, MATCH(MIN(N748:O748), N748:O748, 0))), 技能库!$A:$F, 6, 0),"请针对该题型加强练习"))</f>
        <v/>
      </c>
      <c r="AC748" s="5" t="str">
        <f>IF(W748="","", "⚠️ 薄弱环节: "&amp;INDEX($R$1:$V$1, MATCH(MIN(R748:V748), R748:V748, 0))&amp;CHAR(10)&amp;"📉 考察能力: "&amp;IFERROR(VLOOKUP(TRIM(D748)&amp;"_"&amp;TRIM(INDEX($R$1:$V$1, MATCH(MIN(R748:V748), R748:V748, 0))), 技能库!$A:$F, 5, 0),"建议查阅考纲")&amp;CHAR(10)&amp;"💡 提升建议: "&amp;IFERROR(VLOOKUP(TRIM(D748)&amp;"_"&amp;TRIM(INDEX($R$1:$V$1, MATCH(MIN(R748:V748), R748:V748, 0))), 技能库!$A:$F, 6, 0),"请针对该题型加强练习"))</f>
        <v/>
      </c>
    </row>
    <row r="749" spans="12:29" ht="16" hidden="1" x14ac:dyDescent="0.2">
      <c r="L749" t="str">
        <f t="shared" si="44"/>
        <v/>
      </c>
      <c r="M749" t="str">
        <f>IF(L749="","", IFERROR(VLOOKUP(L749, IF(D749="KET", 换算标准!$M:$N, IF(D749="PET", 换算标准!$S:$T, 换算标准!$AC:$AD)), 2, TRUE), 0))</f>
        <v/>
      </c>
      <c r="P749" t="str">
        <f t="shared" si="45"/>
        <v/>
      </c>
      <c r="Q749" t="str">
        <f>IF(P749="","", IFERROR(VLOOKUP(P749, IF(D749="KET", 换算标准!$O:$P, IF(D749="PET", 换算标准!$U:$V, 换算标准!$AG:$AH)), 2, TRUE), 0))</f>
        <v/>
      </c>
      <c r="W749" t="str">
        <f t="shared" si="46"/>
        <v/>
      </c>
      <c r="X749" t="str">
        <f>IF(W749="","", IFERROR(VLOOKUP(W749, IF(D749="KET", 换算标准!$Q:$R, IF(D749="PET", 换算标准!$W:$X, 换算标准!$AI:$AJ)), 2, TRUE), 0))</f>
        <v/>
      </c>
      <c r="Y749" t="str">
        <f t="shared" si="47"/>
        <v/>
      </c>
      <c r="Z749" t="str">
        <f>IF(Y749="","", IFERROR(VLOOKUP(Y749, 换算标准!$Z:$AA, 1, TRUE), ""))</f>
        <v/>
      </c>
      <c r="AA749" s="5" t="str">
        <f>IF(L749="","", "⚠️ 薄弱环节: "&amp;INDEX($E$1:$K$1, MATCH(MIN(E749:K749), E749:K749, 0))&amp;CHAR(10)&amp;"📉 考察能力: "&amp;IFERROR(VLOOKUP(TRIM(D749)&amp;"_"&amp;TRIM(INDEX($E$1:$K$1, MATCH(MIN(E749:K749), E749:K749, 0))), 技能库!$A:$F, 5, 0),"建议查阅考纲")&amp;CHAR(10)&amp;"💡 提升建议: "&amp;IFERROR(VLOOKUP(TRIM(D749)&amp;"_"&amp;TRIM(INDEX($E$1:$K$1, MATCH(MIN(E749:K749), E749:K749, 0))), 技能库!$A:$F, 6, 0),"请针对该题型加强练习"))</f>
        <v/>
      </c>
      <c r="AB749" s="5" t="str">
        <f>IF(P749="","", "⚠️ 薄弱环节: "&amp;INDEX($N$1:$O$1, MATCH(MIN(N749:O749), N749:O749, 0))&amp;CHAR(10)&amp;"📉 考察能力: "&amp;IFERROR(VLOOKUP(TRIM(D749)&amp;"_"&amp;TRIM(INDEX($N$1:$O$1, MATCH(MIN(N749:O749), N749:O749, 0))), 技能库!$A:$F, 5, 0),"建议查阅考纲")&amp;CHAR(10)&amp;"💡 提升建议: "&amp;IFERROR(VLOOKUP(TRIM(D749)&amp;"_"&amp;TRIM(INDEX($N$1:$O$1, MATCH(MIN(N749:O749), N749:O749, 0))), 技能库!$A:$F, 6, 0),"请针对该题型加强练习"))</f>
        <v/>
      </c>
      <c r="AC749" s="5" t="str">
        <f>IF(W749="","", "⚠️ 薄弱环节: "&amp;INDEX($R$1:$V$1, MATCH(MIN(R749:V749), R749:V749, 0))&amp;CHAR(10)&amp;"📉 考察能力: "&amp;IFERROR(VLOOKUP(TRIM(D749)&amp;"_"&amp;TRIM(INDEX($R$1:$V$1, MATCH(MIN(R749:V749), R749:V749, 0))), 技能库!$A:$F, 5, 0),"建议查阅考纲")&amp;CHAR(10)&amp;"💡 提升建议: "&amp;IFERROR(VLOOKUP(TRIM(D749)&amp;"_"&amp;TRIM(INDEX($R$1:$V$1, MATCH(MIN(R749:V749), R749:V749, 0))), 技能库!$A:$F, 6, 0),"请针对该题型加强练习"))</f>
        <v/>
      </c>
    </row>
    <row r="750" spans="12:29" ht="16" hidden="1" x14ac:dyDescent="0.2">
      <c r="L750" t="str">
        <f t="shared" si="44"/>
        <v/>
      </c>
      <c r="M750" t="str">
        <f>IF(L750="","", IFERROR(VLOOKUP(L750, IF(D750="KET", 换算标准!$M:$N, IF(D750="PET", 换算标准!$S:$T, 换算标准!$AC:$AD)), 2, TRUE), 0))</f>
        <v/>
      </c>
      <c r="P750" t="str">
        <f t="shared" si="45"/>
        <v/>
      </c>
      <c r="Q750" t="str">
        <f>IF(P750="","", IFERROR(VLOOKUP(P750, IF(D750="KET", 换算标准!$O:$P, IF(D750="PET", 换算标准!$U:$V, 换算标准!$AG:$AH)), 2, TRUE), 0))</f>
        <v/>
      </c>
      <c r="W750" t="str">
        <f t="shared" si="46"/>
        <v/>
      </c>
      <c r="X750" t="str">
        <f>IF(W750="","", IFERROR(VLOOKUP(W750, IF(D750="KET", 换算标准!$Q:$R, IF(D750="PET", 换算标准!$W:$X, 换算标准!$AI:$AJ)), 2, TRUE), 0))</f>
        <v/>
      </c>
      <c r="Y750" t="str">
        <f t="shared" si="47"/>
        <v/>
      </c>
      <c r="Z750" t="str">
        <f>IF(Y750="","", IFERROR(VLOOKUP(Y750, 换算标准!$Z:$AA, 1, TRUE), ""))</f>
        <v/>
      </c>
      <c r="AA750" s="5" t="str">
        <f>IF(L750="","", "⚠️ 薄弱环节: "&amp;INDEX($E$1:$K$1, MATCH(MIN(E750:K750), E750:K750, 0))&amp;CHAR(10)&amp;"📉 考察能力: "&amp;IFERROR(VLOOKUP(TRIM(D750)&amp;"_"&amp;TRIM(INDEX($E$1:$K$1, MATCH(MIN(E750:K750), E750:K750, 0))), 技能库!$A:$F, 5, 0),"建议查阅考纲")&amp;CHAR(10)&amp;"💡 提升建议: "&amp;IFERROR(VLOOKUP(TRIM(D750)&amp;"_"&amp;TRIM(INDEX($E$1:$K$1, MATCH(MIN(E750:K750), E750:K750, 0))), 技能库!$A:$F, 6, 0),"请针对该题型加强练习"))</f>
        <v/>
      </c>
      <c r="AB750" s="5" t="str">
        <f>IF(P750="","", "⚠️ 薄弱环节: "&amp;INDEX($N$1:$O$1, MATCH(MIN(N750:O750), N750:O750, 0))&amp;CHAR(10)&amp;"📉 考察能力: "&amp;IFERROR(VLOOKUP(TRIM(D750)&amp;"_"&amp;TRIM(INDEX($N$1:$O$1, MATCH(MIN(N750:O750), N750:O750, 0))), 技能库!$A:$F, 5, 0),"建议查阅考纲")&amp;CHAR(10)&amp;"💡 提升建议: "&amp;IFERROR(VLOOKUP(TRIM(D750)&amp;"_"&amp;TRIM(INDEX($N$1:$O$1, MATCH(MIN(N750:O750), N750:O750, 0))), 技能库!$A:$F, 6, 0),"请针对该题型加强练习"))</f>
        <v/>
      </c>
      <c r="AC750" s="5" t="str">
        <f>IF(W750="","", "⚠️ 薄弱环节: "&amp;INDEX($R$1:$V$1, MATCH(MIN(R750:V750), R750:V750, 0))&amp;CHAR(10)&amp;"📉 考察能力: "&amp;IFERROR(VLOOKUP(TRIM(D750)&amp;"_"&amp;TRIM(INDEX($R$1:$V$1, MATCH(MIN(R750:V750), R750:V750, 0))), 技能库!$A:$F, 5, 0),"建议查阅考纲")&amp;CHAR(10)&amp;"💡 提升建议: "&amp;IFERROR(VLOOKUP(TRIM(D750)&amp;"_"&amp;TRIM(INDEX($R$1:$V$1, MATCH(MIN(R750:V750), R750:V750, 0))), 技能库!$A:$F, 6, 0),"请针对该题型加强练习"))</f>
        <v/>
      </c>
    </row>
    <row r="751" spans="12:29" ht="16" hidden="1" x14ac:dyDescent="0.2">
      <c r="L751" t="str">
        <f t="shared" si="44"/>
        <v/>
      </c>
      <c r="M751" t="str">
        <f>IF(L751="","", IFERROR(VLOOKUP(L751, IF(D751="KET", 换算标准!$M:$N, IF(D751="PET", 换算标准!$S:$T, 换算标准!$AC:$AD)), 2, TRUE), 0))</f>
        <v/>
      </c>
      <c r="P751" t="str">
        <f t="shared" si="45"/>
        <v/>
      </c>
      <c r="Q751" t="str">
        <f>IF(P751="","", IFERROR(VLOOKUP(P751, IF(D751="KET", 换算标准!$O:$P, IF(D751="PET", 换算标准!$U:$V, 换算标准!$AG:$AH)), 2, TRUE), 0))</f>
        <v/>
      </c>
      <c r="W751" t="str">
        <f t="shared" si="46"/>
        <v/>
      </c>
      <c r="X751" t="str">
        <f>IF(W751="","", IFERROR(VLOOKUP(W751, IF(D751="KET", 换算标准!$Q:$R, IF(D751="PET", 换算标准!$W:$X, 换算标准!$AI:$AJ)), 2, TRUE), 0))</f>
        <v/>
      </c>
      <c r="Y751" t="str">
        <f t="shared" si="47"/>
        <v/>
      </c>
      <c r="Z751" t="str">
        <f>IF(Y751="","", IFERROR(VLOOKUP(Y751, 换算标准!$Z:$AA, 1, TRUE), ""))</f>
        <v/>
      </c>
      <c r="AA751" s="5" t="str">
        <f>IF(L751="","", "⚠️ 薄弱环节: "&amp;INDEX($E$1:$K$1, MATCH(MIN(E751:K751), E751:K751, 0))&amp;CHAR(10)&amp;"📉 考察能力: "&amp;IFERROR(VLOOKUP(TRIM(D751)&amp;"_"&amp;TRIM(INDEX($E$1:$K$1, MATCH(MIN(E751:K751), E751:K751, 0))), 技能库!$A:$F, 5, 0),"建议查阅考纲")&amp;CHAR(10)&amp;"💡 提升建议: "&amp;IFERROR(VLOOKUP(TRIM(D751)&amp;"_"&amp;TRIM(INDEX($E$1:$K$1, MATCH(MIN(E751:K751), E751:K751, 0))), 技能库!$A:$F, 6, 0),"请针对该题型加强练习"))</f>
        <v/>
      </c>
      <c r="AB751" s="5" t="str">
        <f>IF(P751="","", "⚠️ 薄弱环节: "&amp;INDEX($N$1:$O$1, MATCH(MIN(N751:O751), N751:O751, 0))&amp;CHAR(10)&amp;"📉 考察能力: "&amp;IFERROR(VLOOKUP(TRIM(D751)&amp;"_"&amp;TRIM(INDEX($N$1:$O$1, MATCH(MIN(N751:O751), N751:O751, 0))), 技能库!$A:$F, 5, 0),"建议查阅考纲")&amp;CHAR(10)&amp;"💡 提升建议: "&amp;IFERROR(VLOOKUP(TRIM(D751)&amp;"_"&amp;TRIM(INDEX($N$1:$O$1, MATCH(MIN(N751:O751), N751:O751, 0))), 技能库!$A:$F, 6, 0),"请针对该题型加强练习"))</f>
        <v/>
      </c>
      <c r="AC751" s="5" t="str">
        <f>IF(W751="","", "⚠️ 薄弱环节: "&amp;INDEX($R$1:$V$1, MATCH(MIN(R751:V751), R751:V751, 0))&amp;CHAR(10)&amp;"📉 考察能力: "&amp;IFERROR(VLOOKUP(TRIM(D751)&amp;"_"&amp;TRIM(INDEX($R$1:$V$1, MATCH(MIN(R751:V751), R751:V751, 0))), 技能库!$A:$F, 5, 0),"建议查阅考纲")&amp;CHAR(10)&amp;"💡 提升建议: "&amp;IFERROR(VLOOKUP(TRIM(D751)&amp;"_"&amp;TRIM(INDEX($R$1:$V$1, MATCH(MIN(R751:V751), R751:V751, 0))), 技能库!$A:$F, 6, 0),"请针对该题型加强练习"))</f>
        <v/>
      </c>
    </row>
    <row r="752" spans="12:29" ht="16" hidden="1" x14ac:dyDescent="0.2">
      <c r="L752" t="str">
        <f t="shared" si="44"/>
        <v/>
      </c>
      <c r="M752" t="str">
        <f>IF(L752="","", IFERROR(VLOOKUP(L752, IF(D752="KET", 换算标准!$M:$N, IF(D752="PET", 换算标准!$S:$T, 换算标准!$AC:$AD)), 2, TRUE), 0))</f>
        <v/>
      </c>
      <c r="P752" t="str">
        <f t="shared" si="45"/>
        <v/>
      </c>
      <c r="Q752" t="str">
        <f>IF(P752="","", IFERROR(VLOOKUP(P752, IF(D752="KET", 换算标准!$O:$P, IF(D752="PET", 换算标准!$U:$V, 换算标准!$AG:$AH)), 2, TRUE), 0))</f>
        <v/>
      </c>
      <c r="W752" t="str">
        <f t="shared" si="46"/>
        <v/>
      </c>
      <c r="X752" t="str">
        <f>IF(W752="","", IFERROR(VLOOKUP(W752, IF(D752="KET", 换算标准!$Q:$R, IF(D752="PET", 换算标准!$W:$X, 换算标准!$AI:$AJ)), 2, TRUE), 0))</f>
        <v/>
      </c>
      <c r="Y752" t="str">
        <f t="shared" si="47"/>
        <v/>
      </c>
      <c r="Z752" t="str">
        <f>IF(Y752="","", IFERROR(VLOOKUP(Y752, 换算标准!$Z:$AA, 1, TRUE), ""))</f>
        <v/>
      </c>
      <c r="AA752" s="5" t="str">
        <f>IF(L752="","", "⚠️ 薄弱环节: "&amp;INDEX($E$1:$K$1, MATCH(MIN(E752:K752), E752:K752, 0))&amp;CHAR(10)&amp;"📉 考察能力: "&amp;IFERROR(VLOOKUP(TRIM(D752)&amp;"_"&amp;TRIM(INDEX($E$1:$K$1, MATCH(MIN(E752:K752), E752:K752, 0))), 技能库!$A:$F, 5, 0),"建议查阅考纲")&amp;CHAR(10)&amp;"💡 提升建议: "&amp;IFERROR(VLOOKUP(TRIM(D752)&amp;"_"&amp;TRIM(INDEX($E$1:$K$1, MATCH(MIN(E752:K752), E752:K752, 0))), 技能库!$A:$F, 6, 0),"请针对该题型加强练习"))</f>
        <v/>
      </c>
      <c r="AB752" s="5" t="str">
        <f>IF(P752="","", "⚠️ 薄弱环节: "&amp;INDEX($N$1:$O$1, MATCH(MIN(N752:O752), N752:O752, 0))&amp;CHAR(10)&amp;"📉 考察能力: "&amp;IFERROR(VLOOKUP(TRIM(D752)&amp;"_"&amp;TRIM(INDEX($N$1:$O$1, MATCH(MIN(N752:O752), N752:O752, 0))), 技能库!$A:$F, 5, 0),"建议查阅考纲")&amp;CHAR(10)&amp;"💡 提升建议: "&amp;IFERROR(VLOOKUP(TRIM(D752)&amp;"_"&amp;TRIM(INDEX($N$1:$O$1, MATCH(MIN(N752:O752), N752:O752, 0))), 技能库!$A:$F, 6, 0),"请针对该题型加强练习"))</f>
        <v/>
      </c>
      <c r="AC752" s="5" t="str">
        <f>IF(W752="","", "⚠️ 薄弱环节: "&amp;INDEX($R$1:$V$1, MATCH(MIN(R752:V752), R752:V752, 0))&amp;CHAR(10)&amp;"📉 考察能力: "&amp;IFERROR(VLOOKUP(TRIM(D752)&amp;"_"&amp;TRIM(INDEX($R$1:$V$1, MATCH(MIN(R752:V752), R752:V752, 0))), 技能库!$A:$F, 5, 0),"建议查阅考纲")&amp;CHAR(10)&amp;"💡 提升建议: "&amp;IFERROR(VLOOKUP(TRIM(D752)&amp;"_"&amp;TRIM(INDEX($R$1:$V$1, MATCH(MIN(R752:V752), R752:V752, 0))), 技能库!$A:$F, 6, 0),"请针对该题型加强练习"))</f>
        <v/>
      </c>
    </row>
    <row r="753" spans="12:29" ht="16" hidden="1" x14ac:dyDescent="0.2">
      <c r="L753" t="str">
        <f t="shared" si="44"/>
        <v/>
      </c>
      <c r="M753" t="str">
        <f>IF(L753="","", IFERROR(VLOOKUP(L753, IF(D753="KET", 换算标准!$M:$N, IF(D753="PET", 换算标准!$S:$T, 换算标准!$AC:$AD)), 2, TRUE), 0))</f>
        <v/>
      </c>
      <c r="P753" t="str">
        <f t="shared" si="45"/>
        <v/>
      </c>
      <c r="Q753" t="str">
        <f>IF(P753="","", IFERROR(VLOOKUP(P753, IF(D753="KET", 换算标准!$O:$P, IF(D753="PET", 换算标准!$U:$V, 换算标准!$AG:$AH)), 2, TRUE), 0))</f>
        <v/>
      </c>
      <c r="W753" t="str">
        <f t="shared" si="46"/>
        <v/>
      </c>
      <c r="X753" t="str">
        <f>IF(W753="","", IFERROR(VLOOKUP(W753, IF(D753="KET", 换算标准!$Q:$R, IF(D753="PET", 换算标准!$W:$X, 换算标准!$AI:$AJ)), 2, TRUE), 0))</f>
        <v/>
      </c>
      <c r="Y753" t="str">
        <f t="shared" si="47"/>
        <v/>
      </c>
      <c r="Z753" t="str">
        <f>IF(Y753="","", IFERROR(VLOOKUP(Y753, 换算标准!$Z:$AA, 1, TRUE), ""))</f>
        <v/>
      </c>
      <c r="AA753" s="5" t="str">
        <f>IF(L753="","", "⚠️ 薄弱环节: "&amp;INDEX($E$1:$K$1, MATCH(MIN(E753:K753), E753:K753, 0))&amp;CHAR(10)&amp;"📉 考察能力: "&amp;IFERROR(VLOOKUP(TRIM(D753)&amp;"_"&amp;TRIM(INDEX($E$1:$K$1, MATCH(MIN(E753:K753), E753:K753, 0))), 技能库!$A:$F, 5, 0),"建议查阅考纲")&amp;CHAR(10)&amp;"💡 提升建议: "&amp;IFERROR(VLOOKUP(TRIM(D753)&amp;"_"&amp;TRIM(INDEX($E$1:$K$1, MATCH(MIN(E753:K753), E753:K753, 0))), 技能库!$A:$F, 6, 0),"请针对该题型加强练习"))</f>
        <v/>
      </c>
      <c r="AB753" s="5" t="str">
        <f>IF(P753="","", "⚠️ 薄弱环节: "&amp;INDEX($N$1:$O$1, MATCH(MIN(N753:O753), N753:O753, 0))&amp;CHAR(10)&amp;"📉 考察能力: "&amp;IFERROR(VLOOKUP(TRIM(D753)&amp;"_"&amp;TRIM(INDEX($N$1:$O$1, MATCH(MIN(N753:O753), N753:O753, 0))), 技能库!$A:$F, 5, 0),"建议查阅考纲")&amp;CHAR(10)&amp;"💡 提升建议: "&amp;IFERROR(VLOOKUP(TRIM(D753)&amp;"_"&amp;TRIM(INDEX($N$1:$O$1, MATCH(MIN(N753:O753), N753:O753, 0))), 技能库!$A:$F, 6, 0),"请针对该题型加强练习"))</f>
        <v/>
      </c>
      <c r="AC753" s="5" t="str">
        <f>IF(W753="","", "⚠️ 薄弱环节: "&amp;INDEX($R$1:$V$1, MATCH(MIN(R753:V753), R753:V753, 0))&amp;CHAR(10)&amp;"📉 考察能力: "&amp;IFERROR(VLOOKUP(TRIM(D753)&amp;"_"&amp;TRIM(INDEX($R$1:$V$1, MATCH(MIN(R753:V753), R753:V753, 0))), 技能库!$A:$F, 5, 0),"建议查阅考纲")&amp;CHAR(10)&amp;"💡 提升建议: "&amp;IFERROR(VLOOKUP(TRIM(D753)&amp;"_"&amp;TRIM(INDEX($R$1:$V$1, MATCH(MIN(R753:V753), R753:V753, 0))), 技能库!$A:$F, 6, 0),"请针对该题型加强练习"))</f>
        <v/>
      </c>
    </row>
    <row r="754" spans="12:29" ht="16" hidden="1" x14ac:dyDescent="0.2">
      <c r="L754" t="str">
        <f t="shared" si="44"/>
        <v/>
      </c>
      <c r="M754" t="str">
        <f>IF(L754="","", IFERROR(VLOOKUP(L754, IF(D754="KET", 换算标准!$M:$N, IF(D754="PET", 换算标准!$S:$T, 换算标准!$AC:$AD)), 2, TRUE), 0))</f>
        <v/>
      </c>
      <c r="P754" t="str">
        <f t="shared" si="45"/>
        <v/>
      </c>
      <c r="Q754" t="str">
        <f>IF(P754="","", IFERROR(VLOOKUP(P754, IF(D754="KET", 换算标准!$O:$P, IF(D754="PET", 换算标准!$U:$V, 换算标准!$AG:$AH)), 2, TRUE), 0))</f>
        <v/>
      </c>
      <c r="W754" t="str">
        <f t="shared" si="46"/>
        <v/>
      </c>
      <c r="X754" t="str">
        <f>IF(W754="","", IFERROR(VLOOKUP(W754, IF(D754="KET", 换算标准!$Q:$R, IF(D754="PET", 换算标准!$W:$X, 换算标准!$AI:$AJ)), 2, TRUE), 0))</f>
        <v/>
      </c>
      <c r="Y754" t="str">
        <f t="shared" si="47"/>
        <v/>
      </c>
      <c r="Z754" t="str">
        <f>IF(Y754="","", IFERROR(VLOOKUP(Y754, 换算标准!$Z:$AA, 1, TRUE), ""))</f>
        <v/>
      </c>
      <c r="AA754" s="5" t="str">
        <f>IF(L754="","", "⚠️ 薄弱环节: "&amp;INDEX($E$1:$K$1, MATCH(MIN(E754:K754), E754:K754, 0))&amp;CHAR(10)&amp;"📉 考察能力: "&amp;IFERROR(VLOOKUP(TRIM(D754)&amp;"_"&amp;TRIM(INDEX($E$1:$K$1, MATCH(MIN(E754:K754), E754:K754, 0))), 技能库!$A:$F, 5, 0),"建议查阅考纲")&amp;CHAR(10)&amp;"💡 提升建议: "&amp;IFERROR(VLOOKUP(TRIM(D754)&amp;"_"&amp;TRIM(INDEX($E$1:$K$1, MATCH(MIN(E754:K754), E754:K754, 0))), 技能库!$A:$F, 6, 0),"请针对该题型加强练习"))</f>
        <v/>
      </c>
      <c r="AB754" s="5" t="str">
        <f>IF(P754="","", "⚠️ 薄弱环节: "&amp;INDEX($N$1:$O$1, MATCH(MIN(N754:O754), N754:O754, 0))&amp;CHAR(10)&amp;"📉 考察能力: "&amp;IFERROR(VLOOKUP(TRIM(D754)&amp;"_"&amp;TRIM(INDEX($N$1:$O$1, MATCH(MIN(N754:O754), N754:O754, 0))), 技能库!$A:$F, 5, 0),"建议查阅考纲")&amp;CHAR(10)&amp;"💡 提升建议: "&amp;IFERROR(VLOOKUP(TRIM(D754)&amp;"_"&amp;TRIM(INDEX($N$1:$O$1, MATCH(MIN(N754:O754), N754:O754, 0))), 技能库!$A:$F, 6, 0),"请针对该题型加强练习"))</f>
        <v/>
      </c>
      <c r="AC754" s="5" t="str">
        <f>IF(W754="","", "⚠️ 薄弱环节: "&amp;INDEX($R$1:$V$1, MATCH(MIN(R754:V754), R754:V754, 0))&amp;CHAR(10)&amp;"📉 考察能力: "&amp;IFERROR(VLOOKUP(TRIM(D754)&amp;"_"&amp;TRIM(INDEX($R$1:$V$1, MATCH(MIN(R754:V754), R754:V754, 0))), 技能库!$A:$F, 5, 0),"建议查阅考纲")&amp;CHAR(10)&amp;"💡 提升建议: "&amp;IFERROR(VLOOKUP(TRIM(D754)&amp;"_"&amp;TRIM(INDEX($R$1:$V$1, MATCH(MIN(R754:V754), R754:V754, 0))), 技能库!$A:$F, 6, 0),"请针对该题型加强练习"))</f>
        <v/>
      </c>
    </row>
    <row r="755" spans="12:29" ht="16" hidden="1" x14ac:dyDescent="0.2">
      <c r="L755" t="str">
        <f t="shared" si="44"/>
        <v/>
      </c>
      <c r="M755" t="str">
        <f>IF(L755="","", IFERROR(VLOOKUP(L755, IF(D755="KET", 换算标准!$M:$N, IF(D755="PET", 换算标准!$S:$T, 换算标准!$AC:$AD)), 2, TRUE), 0))</f>
        <v/>
      </c>
      <c r="P755" t="str">
        <f t="shared" si="45"/>
        <v/>
      </c>
      <c r="Q755" t="str">
        <f>IF(P755="","", IFERROR(VLOOKUP(P755, IF(D755="KET", 换算标准!$O:$P, IF(D755="PET", 换算标准!$U:$V, 换算标准!$AG:$AH)), 2, TRUE), 0))</f>
        <v/>
      </c>
      <c r="W755" t="str">
        <f t="shared" si="46"/>
        <v/>
      </c>
      <c r="X755" t="str">
        <f>IF(W755="","", IFERROR(VLOOKUP(W755, IF(D755="KET", 换算标准!$Q:$R, IF(D755="PET", 换算标准!$W:$X, 换算标准!$AI:$AJ)), 2, TRUE), 0))</f>
        <v/>
      </c>
      <c r="Y755" t="str">
        <f t="shared" si="47"/>
        <v/>
      </c>
      <c r="Z755" t="str">
        <f>IF(Y755="","", IFERROR(VLOOKUP(Y755, 换算标准!$Z:$AA, 1, TRUE), ""))</f>
        <v/>
      </c>
      <c r="AA755" s="5" t="str">
        <f>IF(L755="","", "⚠️ 薄弱环节: "&amp;INDEX($E$1:$K$1, MATCH(MIN(E755:K755), E755:K755, 0))&amp;CHAR(10)&amp;"📉 考察能力: "&amp;IFERROR(VLOOKUP(TRIM(D755)&amp;"_"&amp;TRIM(INDEX($E$1:$K$1, MATCH(MIN(E755:K755), E755:K755, 0))), 技能库!$A:$F, 5, 0),"建议查阅考纲")&amp;CHAR(10)&amp;"💡 提升建议: "&amp;IFERROR(VLOOKUP(TRIM(D755)&amp;"_"&amp;TRIM(INDEX($E$1:$K$1, MATCH(MIN(E755:K755), E755:K755, 0))), 技能库!$A:$F, 6, 0),"请针对该题型加强练习"))</f>
        <v/>
      </c>
      <c r="AB755" s="5" t="str">
        <f>IF(P755="","", "⚠️ 薄弱环节: "&amp;INDEX($N$1:$O$1, MATCH(MIN(N755:O755), N755:O755, 0))&amp;CHAR(10)&amp;"📉 考察能力: "&amp;IFERROR(VLOOKUP(TRIM(D755)&amp;"_"&amp;TRIM(INDEX($N$1:$O$1, MATCH(MIN(N755:O755), N755:O755, 0))), 技能库!$A:$F, 5, 0),"建议查阅考纲")&amp;CHAR(10)&amp;"💡 提升建议: "&amp;IFERROR(VLOOKUP(TRIM(D755)&amp;"_"&amp;TRIM(INDEX($N$1:$O$1, MATCH(MIN(N755:O755), N755:O755, 0))), 技能库!$A:$F, 6, 0),"请针对该题型加强练习"))</f>
        <v/>
      </c>
      <c r="AC755" s="5" t="str">
        <f>IF(W755="","", "⚠️ 薄弱环节: "&amp;INDEX($R$1:$V$1, MATCH(MIN(R755:V755), R755:V755, 0))&amp;CHAR(10)&amp;"📉 考察能力: "&amp;IFERROR(VLOOKUP(TRIM(D755)&amp;"_"&amp;TRIM(INDEX($R$1:$V$1, MATCH(MIN(R755:V755), R755:V755, 0))), 技能库!$A:$F, 5, 0),"建议查阅考纲")&amp;CHAR(10)&amp;"💡 提升建议: "&amp;IFERROR(VLOOKUP(TRIM(D755)&amp;"_"&amp;TRIM(INDEX($R$1:$V$1, MATCH(MIN(R755:V755), R755:V755, 0))), 技能库!$A:$F, 6, 0),"请针对该题型加强练习"))</f>
        <v/>
      </c>
    </row>
    <row r="756" spans="12:29" ht="16" hidden="1" x14ac:dyDescent="0.2">
      <c r="L756" t="str">
        <f t="shared" si="44"/>
        <v/>
      </c>
      <c r="M756" t="str">
        <f>IF(L756="","", IFERROR(VLOOKUP(L756, IF(D756="KET", 换算标准!$M:$N, IF(D756="PET", 换算标准!$S:$T, 换算标准!$AC:$AD)), 2, TRUE), 0))</f>
        <v/>
      </c>
      <c r="P756" t="str">
        <f t="shared" si="45"/>
        <v/>
      </c>
      <c r="Q756" t="str">
        <f>IF(P756="","", IFERROR(VLOOKUP(P756, IF(D756="KET", 换算标准!$O:$P, IF(D756="PET", 换算标准!$U:$V, 换算标准!$AG:$AH)), 2, TRUE), 0))</f>
        <v/>
      </c>
      <c r="W756" t="str">
        <f t="shared" si="46"/>
        <v/>
      </c>
      <c r="X756" t="str">
        <f>IF(W756="","", IFERROR(VLOOKUP(W756, IF(D756="KET", 换算标准!$Q:$R, IF(D756="PET", 换算标准!$W:$X, 换算标准!$AI:$AJ)), 2, TRUE), 0))</f>
        <v/>
      </c>
      <c r="Y756" t="str">
        <f t="shared" si="47"/>
        <v/>
      </c>
      <c r="Z756" t="str">
        <f>IF(Y756="","", IFERROR(VLOOKUP(Y756, 换算标准!$Z:$AA, 1, TRUE), ""))</f>
        <v/>
      </c>
      <c r="AA756" s="5" t="str">
        <f>IF(L756="","", "⚠️ 薄弱环节: "&amp;INDEX($E$1:$K$1, MATCH(MIN(E756:K756), E756:K756, 0))&amp;CHAR(10)&amp;"📉 考察能力: "&amp;IFERROR(VLOOKUP(TRIM(D756)&amp;"_"&amp;TRIM(INDEX($E$1:$K$1, MATCH(MIN(E756:K756), E756:K756, 0))), 技能库!$A:$F, 5, 0),"建议查阅考纲")&amp;CHAR(10)&amp;"💡 提升建议: "&amp;IFERROR(VLOOKUP(TRIM(D756)&amp;"_"&amp;TRIM(INDEX($E$1:$K$1, MATCH(MIN(E756:K756), E756:K756, 0))), 技能库!$A:$F, 6, 0),"请针对该题型加强练习"))</f>
        <v/>
      </c>
      <c r="AB756" s="5" t="str">
        <f>IF(P756="","", "⚠️ 薄弱环节: "&amp;INDEX($N$1:$O$1, MATCH(MIN(N756:O756), N756:O756, 0))&amp;CHAR(10)&amp;"📉 考察能力: "&amp;IFERROR(VLOOKUP(TRIM(D756)&amp;"_"&amp;TRIM(INDEX($N$1:$O$1, MATCH(MIN(N756:O756), N756:O756, 0))), 技能库!$A:$F, 5, 0),"建议查阅考纲")&amp;CHAR(10)&amp;"💡 提升建议: "&amp;IFERROR(VLOOKUP(TRIM(D756)&amp;"_"&amp;TRIM(INDEX($N$1:$O$1, MATCH(MIN(N756:O756), N756:O756, 0))), 技能库!$A:$F, 6, 0),"请针对该题型加强练习"))</f>
        <v/>
      </c>
      <c r="AC756" s="5" t="str">
        <f>IF(W756="","", "⚠️ 薄弱环节: "&amp;INDEX($R$1:$V$1, MATCH(MIN(R756:V756), R756:V756, 0))&amp;CHAR(10)&amp;"📉 考察能力: "&amp;IFERROR(VLOOKUP(TRIM(D756)&amp;"_"&amp;TRIM(INDEX($R$1:$V$1, MATCH(MIN(R756:V756), R756:V756, 0))), 技能库!$A:$F, 5, 0),"建议查阅考纲")&amp;CHAR(10)&amp;"💡 提升建议: "&amp;IFERROR(VLOOKUP(TRIM(D756)&amp;"_"&amp;TRIM(INDEX($R$1:$V$1, MATCH(MIN(R756:V756), R756:V756, 0))), 技能库!$A:$F, 6, 0),"请针对该题型加强练习"))</f>
        <v/>
      </c>
    </row>
    <row r="757" spans="12:29" ht="16" hidden="1" x14ac:dyDescent="0.2">
      <c r="L757" t="str">
        <f t="shared" si="44"/>
        <v/>
      </c>
      <c r="M757" t="str">
        <f>IF(L757="","", IFERROR(VLOOKUP(L757, IF(D757="KET", 换算标准!$M:$N, IF(D757="PET", 换算标准!$S:$T, 换算标准!$AC:$AD)), 2, TRUE), 0))</f>
        <v/>
      </c>
      <c r="P757" t="str">
        <f t="shared" si="45"/>
        <v/>
      </c>
      <c r="Q757" t="str">
        <f>IF(P757="","", IFERROR(VLOOKUP(P757, IF(D757="KET", 换算标准!$O:$P, IF(D757="PET", 换算标准!$U:$V, 换算标准!$AG:$AH)), 2, TRUE), 0))</f>
        <v/>
      </c>
      <c r="W757" t="str">
        <f t="shared" si="46"/>
        <v/>
      </c>
      <c r="X757" t="str">
        <f>IF(W757="","", IFERROR(VLOOKUP(W757, IF(D757="KET", 换算标准!$Q:$R, IF(D757="PET", 换算标准!$W:$X, 换算标准!$AI:$AJ)), 2, TRUE), 0))</f>
        <v/>
      </c>
      <c r="Y757" t="str">
        <f t="shared" si="47"/>
        <v/>
      </c>
      <c r="Z757" t="str">
        <f>IF(Y757="","", IFERROR(VLOOKUP(Y757, 换算标准!$Z:$AA, 1, TRUE), ""))</f>
        <v/>
      </c>
      <c r="AA757" s="5" t="str">
        <f>IF(L757="","", "⚠️ 薄弱环节: "&amp;INDEX($E$1:$K$1, MATCH(MIN(E757:K757), E757:K757, 0))&amp;CHAR(10)&amp;"📉 考察能力: "&amp;IFERROR(VLOOKUP(TRIM(D757)&amp;"_"&amp;TRIM(INDEX($E$1:$K$1, MATCH(MIN(E757:K757), E757:K757, 0))), 技能库!$A:$F, 5, 0),"建议查阅考纲")&amp;CHAR(10)&amp;"💡 提升建议: "&amp;IFERROR(VLOOKUP(TRIM(D757)&amp;"_"&amp;TRIM(INDEX($E$1:$K$1, MATCH(MIN(E757:K757), E757:K757, 0))), 技能库!$A:$F, 6, 0),"请针对该题型加强练习"))</f>
        <v/>
      </c>
      <c r="AB757" s="5" t="str">
        <f>IF(P757="","", "⚠️ 薄弱环节: "&amp;INDEX($N$1:$O$1, MATCH(MIN(N757:O757), N757:O757, 0))&amp;CHAR(10)&amp;"📉 考察能力: "&amp;IFERROR(VLOOKUP(TRIM(D757)&amp;"_"&amp;TRIM(INDEX($N$1:$O$1, MATCH(MIN(N757:O757), N757:O757, 0))), 技能库!$A:$F, 5, 0),"建议查阅考纲")&amp;CHAR(10)&amp;"💡 提升建议: "&amp;IFERROR(VLOOKUP(TRIM(D757)&amp;"_"&amp;TRIM(INDEX($N$1:$O$1, MATCH(MIN(N757:O757), N757:O757, 0))), 技能库!$A:$F, 6, 0),"请针对该题型加强练习"))</f>
        <v/>
      </c>
      <c r="AC757" s="5" t="str">
        <f>IF(W757="","", "⚠️ 薄弱环节: "&amp;INDEX($R$1:$V$1, MATCH(MIN(R757:V757), R757:V757, 0))&amp;CHAR(10)&amp;"📉 考察能力: "&amp;IFERROR(VLOOKUP(TRIM(D757)&amp;"_"&amp;TRIM(INDEX($R$1:$V$1, MATCH(MIN(R757:V757), R757:V757, 0))), 技能库!$A:$F, 5, 0),"建议查阅考纲")&amp;CHAR(10)&amp;"💡 提升建议: "&amp;IFERROR(VLOOKUP(TRIM(D757)&amp;"_"&amp;TRIM(INDEX($R$1:$V$1, MATCH(MIN(R757:V757), R757:V757, 0))), 技能库!$A:$F, 6, 0),"请针对该题型加强练习"))</f>
        <v/>
      </c>
    </row>
    <row r="758" spans="12:29" ht="16" hidden="1" x14ac:dyDescent="0.2">
      <c r="L758" t="str">
        <f t="shared" si="44"/>
        <v/>
      </c>
      <c r="M758" t="str">
        <f>IF(L758="","", IFERROR(VLOOKUP(L758, IF(D758="KET", 换算标准!$M:$N, IF(D758="PET", 换算标准!$S:$T, 换算标准!$AC:$AD)), 2, TRUE), 0))</f>
        <v/>
      </c>
      <c r="P758" t="str">
        <f t="shared" si="45"/>
        <v/>
      </c>
      <c r="Q758" t="str">
        <f>IF(P758="","", IFERROR(VLOOKUP(P758, IF(D758="KET", 换算标准!$O:$P, IF(D758="PET", 换算标准!$U:$V, 换算标准!$AG:$AH)), 2, TRUE), 0))</f>
        <v/>
      </c>
      <c r="W758" t="str">
        <f t="shared" si="46"/>
        <v/>
      </c>
      <c r="X758" t="str">
        <f>IF(W758="","", IFERROR(VLOOKUP(W758, IF(D758="KET", 换算标准!$Q:$R, IF(D758="PET", 换算标准!$W:$X, 换算标准!$AI:$AJ)), 2, TRUE), 0))</f>
        <v/>
      </c>
      <c r="Y758" t="str">
        <f t="shared" si="47"/>
        <v/>
      </c>
      <c r="Z758" t="str">
        <f>IF(Y758="","", IFERROR(VLOOKUP(Y758, 换算标准!$Z:$AA, 1, TRUE), ""))</f>
        <v/>
      </c>
      <c r="AA758" s="5" t="str">
        <f>IF(L758="","", "⚠️ 薄弱环节: "&amp;INDEX($E$1:$K$1, MATCH(MIN(E758:K758), E758:K758, 0))&amp;CHAR(10)&amp;"📉 考察能力: "&amp;IFERROR(VLOOKUP(TRIM(D758)&amp;"_"&amp;TRIM(INDEX($E$1:$K$1, MATCH(MIN(E758:K758), E758:K758, 0))), 技能库!$A:$F, 5, 0),"建议查阅考纲")&amp;CHAR(10)&amp;"💡 提升建议: "&amp;IFERROR(VLOOKUP(TRIM(D758)&amp;"_"&amp;TRIM(INDEX($E$1:$K$1, MATCH(MIN(E758:K758), E758:K758, 0))), 技能库!$A:$F, 6, 0),"请针对该题型加强练习"))</f>
        <v/>
      </c>
      <c r="AB758" s="5" t="str">
        <f>IF(P758="","", "⚠️ 薄弱环节: "&amp;INDEX($N$1:$O$1, MATCH(MIN(N758:O758), N758:O758, 0))&amp;CHAR(10)&amp;"📉 考察能力: "&amp;IFERROR(VLOOKUP(TRIM(D758)&amp;"_"&amp;TRIM(INDEX($N$1:$O$1, MATCH(MIN(N758:O758), N758:O758, 0))), 技能库!$A:$F, 5, 0),"建议查阅考纲")&amp;CHAR(10)&amp;"💡 提升建议: "&amp;IFERROR(VLOOKUP(TRIM(D758)&amp;"_"&amp;TRIM(INDEX($N$1:$O$1, MATCH(MIN(N758:O758), N758:O758, 0))), 技能库!$A:$F, 6, 0),"请针对该题型加强练习"))</f>
        <v/>
      </c>
      <c r="AC758" s="5" t="str">
        <f>IF(W758="","", "⚠️ 薄弱环节: "&amp;INDEX($R$1:$V$1, MATCH(MIN(R758:V758), R758:V758, 0))&amp;CHAR(10)&amp;"📉 考察能力: "&amp;IFERROR(VLOOKUP(TRIM(D758)&amp;"_"&amp;TRIM(INDEX($R$1:$V$1, MATCH(MIN(R758:V758), R758:V758, 0))), 技能库!$A:$F, 5, 0),"建议查阅考纲")&amp;CHAR(10)&amp;"💡 提升建议: "&amp;IFERROR(VLOOKUP(TRIM(D758)&amp;"_"&amp;TRIM(INDEX($R$1:$V$1, MATCH(MIN(R758:V758), R758:V758, 0))), 技能库!$A:$F, 6, 0),"请针对该题型加强练习"))</f>
        <v/>
      </c>
    </row>
    <row r="759" spans="12:29" ht="16" hidden="1" x14ac:dyDescent="0.2">
      <c r="L759" t="str">
        <f t="shared" si="44"/>
        <v/>
      </c>
      <c r="M759" t="str">
        <f>IF(L759="","", IFERROR(VLOOKUP(L759, IF(D759="KET", 换算标准!$M:$N, IF(D759="PET", 换算标准!$S:$T, 换算标准!$AC:$AD)), 2, TRUE), 0))</f>
        <v/>
      </c>
      <c r="P759" t="str">
        <f t="shared" si="45"/>
        <v/>
      </c>
      <c r="Q759" t="str">
        <f>IF(P759="","", IFERROR(VLOOKUP(P759, IF(D759="KET", 换算标准!$O:$P, IF(D759="PET", 换算标准!$U:$V, 换算标准!$AG:$AH)), 2, TRUE), 0))</f>
        <v/>
      </c>
      <c r="W759" t="str">
        <f t="shared" si="46"/>
        <v/>
      </c>
      <c r="X759" t="str">
        <f>IF(W759="","", IFERROR(VLOOKUP(W759, IF(D759="KET", 换算标准!$Q:$R, IF(D759="PET", 换算标准!$W:$X, 换算标准!$AI:$AJ)), 2, TRUE), 0))</f>
        <v/>
      </c>
      <c r="Y759" t="str">
        <f t="shared" si="47"/>
        <v/>
      </c>
      <c r="Z759" t="str">
        <f>IF(Y759="","", IFERROR(VLOOKUP(Y759, 换算标准!$Z:$AA, 1, TRUE), ""))</f>
        <v/>
      </c>
      <c r="AA759" s="5" t="str">
        <f>IF(L759="","", "⚠️ 薄弱环节: "&amp;INDEX($E$1:$K$1, MATCH(MIN(E759:K759), E759:K759, 0))&amp;CHAR(10)&amp;"📉 考察能力: "&amp;IFERROR(VLOOKUP(TRIM(D759)&amp;"_"&amp;TRIM(INDEX($E$1:$K$1, MATCH(MIN(E759:K759), E759:K759, 0))), 技能库!$A:$F, 5, 0),"建议查阅考纲")&amp;CHAR(10)&amp;"💡 提升建议: "&amp;IFERROR(VLOOKUP(TRIM(D759)&amp;"_"&amp;TRIM(INDEX($E$1:$K$1, MATCH(MIN(E759:K759), E759:K759, 0))), 技能库!$A:$F, 6, 0),"请针对该题型加强练习"))</f>
        <v/>
      </c>
      <c r="AB759" s="5" t="str">
        <f>IF(P759="","", "⚠️ 薄弱环节: "&amp;INDEX($N$1:$O$1, MATCH(MIN(N759:O759), N759:O759, 0))&amp;CHAR(10)&amp;"📉 考察能力: "&amp;IFERROR(VLOOKUP(TRIM(D759)&amp;"_"&amp;TRIM(INDEX($N$1:$O$1, MATCH(MIN(N759:O759), N759:O759, 0))), 技能库!$A:$F, 5, 0),"建议查阅考纲")&amp;CHAR(10)&amp;"💡 提升建议: "&amp;IFERROR(VLOOKUP(TRIM(D759)&amp;"_"&amp;TRIM(INDEX($N$1:$O$1, MATCH(MIN(N759:O759), N759:O759, 0))), 技能库!$A:$F, 6, 0),"请针对该题型加强练习"))</f>
        <v/>
      </c>
      <c r="AC759" s="5" t="str">
        <f>IF(W759="","", "⚠️ 薄弱环节: "&amp;INDEX($R$1:$V$1, MATCH(MIN(R759:V759), R759:V759, 0))&amp;CHAR(10)&amp;"📉 考察能力: "&amp;IFERROR(VLOOKUP(TRIM(D759)&amp;"_"&amp;TRIM(INDEX($R$1:$V$1, MATCH(MIN(R759:V759), R759:V759, 0))), 技能库!$A:$F, 5, 0),"建议查阅考纲")&amp;CHAR(10)&amp;"💡 提升建议: "&amp;IFERROR(VLOOKUP(TRIM(D759)&amp;"_"&amp;TRIM(INDEX($R$1:$V$1, MATCH(MIN(R759:V759), R759:V759, 0))), 技能库!$A:$F, 6, 0),"请针对该题型加强练习"))</f>
        <v/>
      </c>
    </row>
    <row r="760" spans="12:29" ht="16" hidden="1" x14ac:dyDescent="0.2">
      <c r="L760" t="str">
        <f t="shared" si="44"/>
        <v/>
      </c>
      <c r="M760" t="str">
        <f>IF(L760="","", IFERROR(VLOOKUP(L760, IF(D760="KET", 换算标准!$M:$N, IF(D760="PET", 换算标准!$S:$T, 换算标准!$AC:$AD)), 2, TRUE), 0))</f>
        <v/>
      </c>
      <c r="P760" t="str">
        <f t="shared" si="45"/>
        <v/>
      </c>
      <c r="Q760" t="str">
        <f>IF(P760="","", IFERROR(VLOOKUP(P760, IF(D760="KET", 换算标准!$O:$P, IF(D760="PET", 换算标准!$U:$V, 换算标准!$AG:$AH)), 2, TRUE), 0))</f>
        <v/>
      </c>
      <c r="W760" t="str">
        <f t="shared" si="46"/>
        <v/>
      </c>
      <c r="X760" t="str">
        <f>IF(W760="","", IFERROR(VLOOKUP(W760, IF(D760="KET", 换算标准!$Q:$R, IF(D760="PET", 换算标准!$W:$X, 换算标准!$AI:$AJ)), 2, TRUE), 0))</f>
        <v/>
      </c>
      <c r="Y760" t="str">
        <f t="shared" si="47"/>
        <v/>
      </c>
      <c r="Z760" t="str">
        <f>IF(Y760="","", IFERROR(VLOOKUP(Y760, 换算标准!$Z:$AA, 1, TRUE), ""))</f>
        <v/>
      </c>
      <c r="AA760" s="5" t="str">
        <f>IF(L760="","", "⚠️ 薄弱环节: "&amp;INDEX($E$1:$K$1, MATCH(MIN(E760:K760), E760:K760, 0))&amp;CHAR(10)&amp;"📉 考察能力: "&amp;IFERROR(VLOOKUP(TRIM(D760)&amp;"_"&amp;TRIM(INDEX($E$1:$K$1, MATCH(MIN(E760:K760), E760:K760, 0))), 技能库!$A:$F, 5, 0),"建议查阅考纲")&amp;CHAR(10)&amp;"💡 提升建议: "&amp;IFERROR(VLOOKUP(TRIM(D760)&amp;"_"&amp;TRIM(INDEX($E$1:$K$1, MATCH(MIN(E760:K760), E760:K760, 0))), 技能库!$A:$F, 6, 0),"请针对该题型加强练习"))</f>
        <v/>
      </c>
      <c r="AB760" s="5" t="str">
        <f>IF(P760="","", "⚠️ 薄弱环节: "&amp;INDEX($N$1:$O$1, MATCH(MIN(N760:O760), N760:O760, 0))&amp;CHAR(10)&amp;"📉 考察能力: "&amp;IFERROR(VLOOKUP(TRIM(D760)&amp;"_"&amp;TRIM(INDEX($N$1:$O$1, MATCH(MIN(N760:O760), N760:O760, 0))), 技能库!$A:$F, 5, 0),"建议查阅考纲")&amp;CHAR(10)&amp;"💡 提升建议: "&amp;IFERROR(VLOOKUP(TRIM(D760)&amp;"_"&amp;TRIM(INDEX($N$1:$O$1, MATCH(MIN(N760:O760), N760:O760, 0))), 技能库!$A:$F, 6, 0),"请针对该题型加强练习"))</f>
        <v/>
      </c>
      <c r="AC760" s="5" t="str">
        <f>IF(W760="","", "⚠️ 薄弱环节: "&amp;INDEX($R$1:$V$1, MATCH(MIN(R760:V760), R760:V760, 0))&amp;CHAR(10)&amp;"📉 考察能力: "&amp;IFERROR(VLOOKUP(TRIM(D760)&amp;"_"&amp;TRIM(INDEX($R$1:$V$1, MATCH(MIN(R760:V760), R760:V760, 0))), 技能库!$A:$F, 5, 0),"建议查阅考纲")&amp;CHAR(10)&amp;"💡 提升建议: "&amp;IFERROR(VLOOKUP(TRIM(D760)&amp;"_"&amp;TRIM(INDEX($R$1:$V$1, MATCH(MIN(R760:V760), R760:V760, 0))), 技能库!$A:$F, 6, 0),"请针对该题型加强练习"))</f>
        <v/>
      </c>
    </row>
    <row r="761" spans="12:29" ht="16" hidden="1" x14ac:dyDescent="0.2">
      <c r="L761" t="str">
        <f t="shared" si="44"/>
        <v/>
      </c>
      <c r="M761" t="str">
        <f>IF(L761="","", IFERROR(VLOOKUP(L761, IF(D761="KET", 换算标准!$M:$N, IF(D761="PET", 换算标准!$S:$T, 换算标准!$AC:$AD)), 2, TRUE), 0))</f>
        <v/>
      </c>
      <c r="P761" t="str">
        <f t="shared" si="45"/>
        <v/>
      </c>
      <c r="Q761" t="str">
        <f>IF(P761="","", IFERROR(VLOOKUP(P761, IF(D761="KET", 换算标准!$O:$P, IF(D761="PET", 换算标准!$U:$V, 换算标准!$AG:$AH)), 2, TRUE), 0))</f>
        <v/>
      </c>
      <c r="W761" t="str">
        <f t="shared" si="46"/>
        <v/>
      </c>
      <c r="X761" t="str">
        <f>IF(W761="","", IFERROR(VLOOKUP(W761, IF(D761="KET", 换算标准!$Q:$R, IF(D761="PET", 换算标准!$W:$X, 换算标准!$AI:$AJ)), 2, TRUE), 0))</f>
        <v/>
      </c>
      <c r="Y761" t="str">
        <f t="shared" si="47"/>
        <v/>
      </c>
      <c r="Z761" t="str">
        <f>IF(Y761="","", IFERROR(VLOOKUP(Y761, 换算标准!$Z:$AA, 1, TRUE), ""))</f>
        <v/>
      </c>
      <c r="AA761" s="5" t="str">
        <f>IF(L761="","", "⚠️ 薄弱环节: "&amp;INDEX($E$1:$K$1, MATCH(MIN(E761:K761), E761:K761, 0))&amp;CHAR(10)&amp;"📉 考察能力: "&amp;IFERROR(VLOOKUP(TRIM(D761)&amp;"_"&amp;TRIM(INDEX($E$1:$K$1, MATCH(MIN(E761:K761), E761:K761, 0))), 技能库!$A:$F, 5, 0),"建议查阅考纲")&amp;CHAR(10)&amp;"💡 提升建议: "&amp;IFERROR(VLOOKUP(TRIM(D761)&amp;"_"&amp;TRIM(INDEX($E$1:$K$1, MATCH(MIN(E761:K761), E761:K761, 0))), 技能库!$A:$F, 6, 0),"请针对该题型加强练习"))</f>
        <v/>
      </c>
      <c r="AB761" s="5" t="str">
        <f>IF(P761="","", "⚠️ 薄弱环节: "&amp;INDEX($N$1:$O$1, MATCH(MIN(N761:O761), N761:O761, 0))&amp;CHAR(10)&amp;"📉 考察能力: "&amp;IFERROR(VLOOKUP(TRIM(D761)&amp;"_"&amp;TRIM(INDEX($N$1:$O$1, MATCH(MIN(N761:O761), N761:O761, 0))), 技能库!$A:$F, 5, 0),"建议查阅考纲")&amp;CHAR(10)&amp;"💡 提升建议: "&amp;IFERROR(VLOOKUP(TRIM(D761)&amp;"_"&amp;TRIM(INDEX($N$1:$O$1, MATCH(MIN(N761:O761), N761:O761, 0))), 技能库!$A:$F, 6, 0),"请针对该题型加强练习"))</f>
        <v/>
      </c>
      <c r="AC761" s="5" t="str">
        <f>IF(W761="","", "⚠️ 薄弱环节: "&amp;INDEX($R$1:$V$1, MATCH(MIN(R761:V761), R761:V761, 0))&amp;CHAR(10)&amp;"📉 考察能力: "&amp;IFERROR(VLOOKUP(TRIM(D761)&amp;"_"&amp;TRIM(INDEX($R$1:$V$1, MATCH(MIN(R761:V761), R761:V761, 0))), 技能库!$A:$F, 5, 0),"建议查阅考纲")&amp;CHAR(10)&amp;"💡 提升建议: "&amp;IFERROR(VLOOKUP(TRIM(D761)&amp;"_"&amp;TRIM(INDEX($R$1:$V$1, MATCH(MIN(R761:V761), R761:V761, 0))), 技能库!$A:$F, 6, 0),"请针对该题型加强练习"))</f>
        <v/>
      </c>
    </row>
    <row r="762" spans="12:29" ht="16" hidden="1" x14ac:dyDescent="0.2">
      <c r="L762" t="str">
        <f t="shared" si="44"/>
        <v/>
      </c>
      <c r="M762" t="str">
        <f>IF(L762="","", IFERROR(VLOOKUP(L762, IF(D762="KET", 换算标准!$M:$N, IF(D762="PET", 换算标准!$S:$T, 换算标准!$AC:$AD)), 2, TRUE), 0))</f>
        <v/>
      </c>
      <c r="P762" t="str">
        <f t="shared" si="45"/>
        <v/>
      </c>
      <c r="Q762" t="str">
        <f>IF(P762="","", IFERROR(VLOOKUP(P762, IF(D762="KET", 换算标准!$O:$P, IF(D762="PET", 换算标准!$U:$V, 换算标准!$AG:$AH)), 2, TRUE), 0))</f>
        <v/>
      </c>
      <c r="W762" t="str">
        <f t="shared" si="46"/>
        <v/>
      </c>
      <c r="X762" t="str">
        <f>IF(W762="","", IFERROR(VLOOKUP(W762, IF(D762="KET", 换算标准!$Q:$R, IF(D762="PET", 换算标准!$W:$X, 换算标准!$AI:$AJ)), 2, TRUE), 0))</f>
        <v/>
      </c>
      <c r="Y762" t="str">
        <f t="shared" si="47"/>
        <v/>
      </c>
      <c r="Z762" t="str">
        <f>IF(Y762="","", IFERROR(VLOOKUP(Y762, 换算标准!$Z:$AA, 1, TRUE), ""))</f>
        <v/>
      </c>
      <c r="AA762" s="5" t="str">
        <f>IF(L762="","", "⚠️ 薄弱环节: "&amp;INDEX($E$1:$K$1, MATCH(MIN(E762:K762), E762:K762, 0))&amp;CHAR(10)&amp;"📉 考察能力: "&amp;IFERROR(VLOOKUP(TRIM(D762)&amp;"_"&amp;TRIM(INDEX($E$1:$K$1, MATCH(MIN(E762:K762), E762:K762, 0))), 技能库!$A:$F, 5, 0),"建议查阅考纲")&amp;CHAR(10)&amp;"💡 提升建议: "&amp;IFERROR(VLOOKUP(TRIM(D762)&amp;"_"&amp;TRIM(INDEX($E$1:$K$1, MATCH(MIN(E762:K762), E762:K762, 0))), 技能库!$A:$F, 6, 0),"请针对该题型加强练习"))</f>
        <v/>
      </c>
      <c r="AB762" s="5" t="str">
        <f>IF(P762="","", "⚠️ 薄弱环节: "&amp;INDEX($N$1:$O$1, MATCH(MIN(N762:O762), N762:O762, 0))&amp;CHAR(10)&amp;"📉 考察能力: "&amp;IFERROR(VLOOKUP(TRIM(D762)&amp;"_"&amp;TRIM(INDEX($N$1:$O$1, MATCH(MIN(N762:O762), N762:O762, 0))), 技能库!$A:$F, 5, 0),"建议查阅考纲")&amp;CHAR(10)&amp;"💡 提升建议: "&amp;IFERROR(VLOOKUP(TRIM(D762)&amp;"_"&amp;TRIM(INDEX($N$1:$O$1, MATCH(MIN(N762:O762), N762:O762, 0))), 技能库!$A:$F, 6, 0),"请针对该题型加强练习"))</f>
        <v/>
      </c>
      <c r="AC762" s="5" t="str">
        <f>IF(W762="","", "⚠️ 薄弱环节: "&amp;INDEX($R$1:$V$1, MATCH(MIN(R762:V762), R762:V762, 0))&amp;CHAR(10)&amp;"📉 考察能力: "&amp;IFERROR(VLOOKUP(TRIM(D762)&amp;"_"&amp;TRIM(INDEX($R$1:$V$1, MATCH(MIN(R762:V762), R762:V762, 0))), 技能库!$A:$F, 5, 0),"建议查阅考纲")&amp;CHAR(10)&amp;"💡 提升建议: "&amp;IFERROR(VLOOKUP(TRIM(D762)&amp;"_"&amp;TRIM(INDEX($R$1:$V$1, MATCH(MIN(R762:V762), R762:V762, 0))), 技能库!$A:$F, 6, 0),"请针对该题型加强练习"))</f>
        <v/>
      </c>
    </row>
    <row r="763" spans="12:29" ht="16" hidden="1" x14ac:dyDescent="0.2">
      <c r="L763" t="str">
        <f t="shared" si="44"/>
        <v/>
      </c>
      <c r="M763" t="str">
        <f>IF(L763="","", IFERROR(VLOOKUP(L763, IF(D763="KET", 换算标准!$M:$N, IF(D763="PET", 换算标准!$S:$T, 换算标准!$AC:$AD)), 2, TRUE), 0))</f>
        <v/>
      </c>
      <c r="P763" t="str">
        <f t="shared" si="45"/>
        <v/>
      </c>
      <c r="Q763" t="str">
        <f>IF(P763="","", IFERROR(VLOOKUP(P763, IF(D763="KET", 换算标准!$O:$P, IF(D763="PET", 换算标准!$U:$V, 换算标准!$AG:$AH)), 2, TRUE), 0))</f>
        <v/>
      </c>
      <c r="W763" t="str">
        <f t="shared" si="46"/>
        <v/>
      </c>
      <c r="X763" t="str">
        <f>IF(W763="","", IFERROR(VLOOKUP(W763, IF(D763="KET", 换算标准!$Q:$R, IF(D763="PET", 换算标准!$W:$X, 换算标准!$AI:$AJ)), 2, TRUE), 0))</f>
        <v/>
      </c>
      <c r="Y763" t="str">
        <f t="shared" si="47"/>
        <v/>
      </c>
      <c r="Z763" t="str">
        <f>IF(Y763="","", IFERROR(VLOOKUP(Y763, 换算标准!$Z:$AA, 1, TRUE), ""))</f>
        <v/>
      </c>
      <c r="AA763" s="5" t="str">
        <f>IF(L763="","", "⚠️ 薄弱环节: "&amp;INDEX($E$1:$K$1, MATCH(MIN(E763:K763), E763:K763, 0))&amp;CHAR(10)&amp;"📉 考察能力: "&amp;IFERROR(VLOOKUP(TRIM(D763)&amp;"_"&amp;TRIM(INDEX($E$1:$K$1, MATCH(MIN(E763:K763), E763:K763, 0))), 技能库!$A:$F, 5, 0),"建议查阅考纲")&amp;CHAR(10)&amp;"💡 提升建议: "&amp;IFERROR(VLOOKUP(TRIM(D763)&amp;"_"&amp;TRIM(INDEX($E$1:$K$1, MATCH(MIN(E763:K763), E763:K763, 0))), 技能库!$A:$F, 6, 0),"请针对该题型加强练习"))</f>
        <v/>
      </c>
      <c r="AB763" s="5" t="str">
        <f>IF(P763="","", "⚠️ 薄弱环节: "&amp;INDEX($N$1:$O$1, MATCH(MIN(N763:O763), N763:O763, 0))&amp;CHAR(10)&amp;"📉 考察能力: "&amp;IFERROR(VLOOKUP(TRIM(D763)&amp;"_"&amp;TRIM(INDEX($N$1:$O$1, MATCH(MIN(N763:O763), N763:O763, 0))), 技能库!$A:$F, 5, 0),"建议查阅考纲")&amp;CHAR(10)&amp;"💡 提升建议: "&amp;IFERROR(VLOOKUP(TRIM(D763)&amp;"_"&amp;TRIM(INDEX($N$1:$O$1, MATCH(MIN(N763:O763), N763:O763, 0))), 技能库!$A:$F, 6, 0),"请针对该题型加强练习"))</f>
        <v/>
      </c>
      <c r="AC763" s="5" t="str">
        <f>IF(W763="","", "⚠️ 薄弱环节: "&amp;INDEX($R$1:$V$1, MATCH(MIN(R763:V763), R763:V763, 0))&amp;CHAR(10)&amp;"📉 考察能力: "&amp;IFERROR(VLOOKUP(TRIM(D763)&amp;"_"&amp;TRIM(INDEX($R$1:$V$1, MATCH(MIN(R763:V763), R763:V763, 0))), 技能库!$A:$F, 5, 0),"建议查阅考纲")&amp;CHAR(10)&amp;"💡 提升建议: "&amp;IFERROR(VLOOKUP(TRIM(D763)&amp;"_"&amp;TRIM(INDEX($R$1:$V$1, MATCH(MIN(R763:V763), R763:V763, 0))), 技能库!$A:$F, 6, 0),"请针对该题型加强练习"))</f>
        <v/>
      </c>
    </row>
    <row r="764" spans="12:29" ht="16" hidden="1" x14ac:dyDescent="0.2">
      <c r="L764" t="str">
        <f t="shared" si="44"/>
        <v/>
      </c>
      <c r="M764" t="str">
        <f>IF(L764="","", IFERROR(VLOOKUP(L764, IF(D764="KET", 换算标准!$M:$N, IF(D764="PET", 换算标准!$S:$T, 换算标准!$AC:$AD)), 2, TRUE), 0))</f>
        <v/>
      </c>
      <c r="P764" t="str">
        <f t="shared" si="45"/>
        <v/>
      </c>
      <c r="Q764" t="str">
        <f>IF(P764="","", IFERROR(VLOOKUP(P764, IF(D764="KET", 换算标准!$O:$P, IF(D764="PET", 换算标准!$U:$V, 换算标准!$AG:$AH)), 2, TRUE), 0))</f>
        <v/>
      </c>
      <c r="W764" t="str">
        <f t="shared" si="46"/>
        <v/>
      </c>
      <c r="X764" t="str">
        <f>IF(W764="","", IFERROR(VLOOKUP(W764, IF(D764="KET", 换算标准!$Q:$R, IF(D764="PET", 换算标准!$W:$X, 换算标准!$AI:$AJ)), 2, TRUE), 0))</f>
        <v/>
      </c>
      <c r="Y764" t="str">
        <f t="shared" si="47"/>
        <v/>
      </c>
      <c r="Z764" t="str">
        <f>IF(Y764="","", IFERROR(VLOOKUP(Y764, 换算标准!$Z:$AA, 1, TRUE), ""))</f>
        <v/>
      </c>
      <c r="AA764" s="5" t="str">
        <f>IF(L764="","", "⚠️ 薄弱环节: "&amp;INDEX($E$1:$K$1, MATCH(MIN(E764:K764), E764:K764, 0))&amp;CHAR(10)&amp;"📉 考察能力: "&amp;IFERROR(VLOOKUP(TRIM(D764)&amp;"_"&amp;TRIM(INDEX($E$1:$K$1, MATCH(MIN(E764:K764), E764:K764, 0))), 技能库!$A:$F, 5, 0),"建议查阅考纲")&amp;CHAR(10)&amp;"💡 提升建议: "&amp;IFERROR(VLOOKUP(TRIM(D764)&amp;"_"&amp;TRIM(INDEX($E$1:$K$1, MATCH(MIN(E764:K764), E764:K764, 0))), 技能库!$A:$F, 6, 0),"请针对该题型加强练习"))</f>
        <v/>
      </c>
      <c r="AB764" s="5" t="str">
        <f>IF(P764="","", "⚠️ 薄弱环节: "&amp;INDEX($N$1:$O$1, MATCH(MIN(N764:O764), N764:O764, 0))&amp;CHAR(10)&amp;"📉 考察能力: "&amp;IFERROR(VLOOKUP(TRIM(D764)&amp;"_"&amp;TRIM(INDEX($N$1:$O$1, MATCH(MIN(N764:O764), N764:O764, 0))), 技能库!$A:$F, 5, 0),"建议查阅考纲")&amp;CHAR(10)&amp;"💡 提升建议: "&amp;IFERROR(VLOOKUP(TRIM(D764)&amp;"_"&amp;TRIM(INDEX($N$1:$O$1, MATCH(MIN(N764:O764), N764:O764, 0))), 技能库!$A:$F, 6, 0),"请针对该题型加强练习"))</f>
        <v/>
      </c>
      <c r="AC764" s="5" t="str">
        <f>IF(W764="","", "⚠️ 薄弱环节: "&amp;INDEX($R$1:$V$1, MATCH(MIN(R764:V764), R764:V764, 0))&amp;CHAR(10)&amp;"📉 考察能力: "&amp;IFERROR(VLOOKUP(TRIM(D764)&amp;"_"&amp;TRIM(INDEX($R$1:$V$1, MATCH(MIN(R764:V764), R764:V764, 0))), 技能库!$A:$F, 5, 0),"建议查阅考纲")&amp;CHAR(10)&amp;"💡 提升建议: "&amp;IFERROR(VLOOKUP(TRIM(D764)&amp;"_"&amp;TRIM(INDEX($R$1:$V$1, MATCH(MIN(R764:V764), R764:V764, 0))), 技能库!$A:$F, 6, 0),"请针对该题型加强练习"))</f>
        <v/>
      </c>
    </row>
    <row r="765" spans="12:29" ht="16" hidden="1" x14ac:dyDescent="0.2">
      <c r="L765" t="str">
        <f t="shared" si="44"/>
        <v/>
      </c>
      <c r="M765" t="str">
        <f>IF(L765="","", IFERROR(VLOOKUP(L765, IF(D765="KET", 换算标准!$M:$N, IF(D765="PET", 换算标准!$S:$T, 换算标准!$AC:$AD)), 2, TRUE), 0))</f>
        <v/>
      </c>
      <c r="P765" t="str">
        <f t="shared" si="45"/>
        <v/>
      </c>
      <c r="Q765" t="str">
        <f>IF(P765="","", IFERROR(VLOOKUP(P765, IF(D765="KET", 换算标准!$O:$P, IF(D765="PET", 换算标准!$U:$V, 换算标准!$AG:$AH)), 2, TRUE), 0))</f>
        <v/>
      </c>
      <c r="W765" t="str">
        <f t="shared" si="46"/>
        <v/>
      </c>
      <c r="X765" t="str">
        <f>IF(W765="","", IFERROR(VLOOKUP(W765, IF(D765="KET", 换算标准!$Q:$R, IF(D765="PET", 换算标准!$W:$X, 换算标准!$AI:$AJ)), 2, TRUE), 0))</f>
        <v/>
      </c>
      <c r="Y765" t="str">
        <f t="shared" si="47"/>
        <v/>
      </c>
      <c r="Z765" t="str">
        <f>IF(Y765="","", IFERROR(VLOOKUP(Y765, 换算标准!$Z:$AA, 1, TRUE), ""))</f>
        <v/>
      </c>
      <c r="AA765" s="5" t="str">
        <f>IF(L765="","", "⚠️ 薄弱环节: "&amp;INDEX($E$1:$K$1, MATCH(MIN(E765:K765), E765:K765, 0))&amp;CHAR(10)&amp;"📉 考察能力: "&amp;IFERROR(VLOOKUP(TRIM(D765)&amp;"_"&amp;TRIM(INDEX($E$1:$K$1, MATCH(MIN(E765:K765), E765:K765, 0))), 技能库!$A:$F, 5, 0),"建议查阅考纲")&amp;CHAR(10)&amp;"💡 提升建议: "&amp;IFERROR(VLOOKUP(TRIM(D765)&amp;"_"&amp;TRIM(INDEX($E$1:$K$1, MATCH(MIN(E765:K765), E765:K765, 0))), 技能库!$A:$F, 6, 0),"请针对该题型加强练习"))</f>
        <v/>
      </c>
      <c r="AB765" s="5" t="str">
        <f>IF(P765="","", "⚠️ 薄弱环节: "&amp;INDEX($N$1:$O$1, MATCH(MIN(N765:O765), N765:O765, 0))&amp;CHAR(10)&amp;"📉 考察能力: "&amp;IFERROR(VLOOKUP(TRIM(D765)&amp;"_"&amp;TRIM(INDEX($N$1:$O$1, MATCH(MIN(N765:O765), N765:O765, 0))), 技能库!$A:$F, 5, 0),"建议查阅考纲")&amp;CHAR(10)&amp;"💡 提升建议: "&amp;IFERROR(VLOOKUP(TRIM(D765)&amp;"_"&amp;TRIM(INDEX($N$1:$O$1, MATCH(MIN(N765:O765), N765:O765, 0))), 技能库!$A:$F, 6, 0),"请针对该题型加强练习"))</f>
        <v/>
      </c>
      <c r="AC765" s="5" t="str">
        <f>IF(W765="","", "⚠️ 薄弱环节: "&amp;INDEX($R$1:$V$1, MATCH(MIN(R765:V765), R765:V765, 0))&amp;CHAR(10)&amp;"📉 考察能力: "&amp;IFERROR(VLOOKUP(TRIM(D765)&amp;"_"&amp;TRIM(INDEX($R$1:$V$1, MATCH(MIN(R765:V765), R765:V765, 0))), 技能库!$A:$F, 5, 0),"建议查阅考纲")&amp;CHAR(10)&amp;"💡 提升建议: "&amp;IFERROR(VLOOKUP(TRIM(D765)&amp;"_"&amp;TRIM(INDEX($R$1:$V$1, MATCH(MIN(R765:V765), R765:V765, 0))), 技能库!$A:$F, 6, 0),"请针对该题型加强练习"))</f>
        <v/>
      </c>
    </row>
    <row r="766" spans="12:29" ht="16" hidden="1" x14ac:dyDescent="0.2">
      <c r="L766" t="str">
        <f t="shared" si="44"/>
        <v/>
      </c>
      <c r="M766" t="str">
        <f>IF(L766="","", IFERROR(VLOOKUP(L766, IF(D766="KET", 换算标准!$M:$N, IF(D766="PET", 换算标准!$S:$T, 换算标准!$AC:$AD)), 2, TRUE), 0))</f>
        <v/>
      </c>
      <c r="P766" t="str">
        <f t="shared" si="45"/>
        <v/>
      </c>
      <c r="Q766" t="str">
        <f>IF(P766="","", IFERROR(VLOOKUP(P766, IF(D766="KET", 换算标准!$O:$P, IF(D766="PET", 换算标准!$U:$V, 换算标准!$AG:$AH)), 2, TRUE), 0))</f>
        <v/>
      </c>
      <c r="W766" t="str">
        <f t="shared" si="46"/>
        <v/>
      </c>
      <c r="X766" t="str">
        <f>IF(W766="","", IFERROR(VLOOKUP(W766, IF(D766="KET", 换算标准!$Q:$R, IF(D766="PET", 换算标准!$W:$X, 换算标准!$AI:$AJ)), 2, TRUE), 0))</f>
        <v/>
      </c>
      <c r="Y766" t="str">
        <f t="shared" si="47"/>
        <v/>
      </c>
      <c r="Z766" t="str">
        <f>IF(Y766="","", IFERROR(VLOOKUP(Y766, 换算标准!$Z:$AA, 1, TRUE), ""))</f>
        <v/>
      </c>
      <c r="AA766" s="5" t="str">
        <f>IF(L766="","", "⚠️ 薄弱环节: "&amp;INDEX($E$1:$K$1, MATCH(MIN(E766:K766), E766:K766, 0))&amp;CHAR(10)&amp;"📉 考察能力: "&amp;IFERROR(VLOOKUP(TRIM(D766)&amp;"_"&amp;TRIM(INDEX($E$1:$K$1, MATCH(MIN(E766:K766), E766:K766, 0))), 技能库!$A:$F, 5, 0),"建议查阅考纲")&amp;CHAR(10)&amp;"💡 提升建议: "&amp;IFERROR(VLOOKUP(TRIM(D766)&amp;"_"&amp;TRIM(INDEX($E$1:$K$1, MATCH(MIN(E766:K766), E766:K766, 0))), 技能库!$A:$F, 6, 0),"请针对该题型加强练习"))</f>
        <v/>
      </c>
      <c r="AB766" s="5" t="str">
        <f>IF(P766="","", "⚠️ 薄弱环节: "&amp;INDEX($N$1:$O$1, MATCH(MIN(N766:O766), N766:O766, 0))&amp;CHAR(10)&amp;"📉 考察能力: "&amp;IFERROR(VLOOKUP(TRIM(D766)&amp;"_"&amp;TRIM(INDEX($N$1:$O$1, MATCH(MIN(N766:O766), N766:O766, 0))), 技能库!$A:$F, 5, 0),"建议查阅考纲")&amp;CHAR(10)&amp;"💡 提升建议: "&amp;IFERROR(VLOOKUP(TRIM(D766)&amp;"_"&amp;TRIM(INDEX($N$1:$O$1, MATCH(MIN(N766:O766), N766:O766, 0))), 技能库!$A:$F, 6, 0),"请针对该题型加强练习"))</f>
        <v/>
      </c>
      <c r="AC766" s="5" t="str">
        <f>IF(W766="","", "⚠️ 薄弱环节: "&amp;INDEX($R$1:$V$1, MATCH(MIN(R766:V766), R766:V766, 0))&amp;CHAR(10)&amp;"📉 考察能力: "&amp;IFERROR(VLOOKUP(TRIM(D766)&amp;"_"&amp;TRIM(INDEX($R$1:$V$1, MATCH(MIN(R766:V766), R766:V766, 0))), 技能库!$A:$F, 5, 0),"建议查阅考纲")&amp;CHAR(10)&amp;"💡 提升建议: "&amp;IFERROR(VLOOKUP(TRIM(D766)&amp;"_"&amp;TRIM(INDEX($R$1:$V$1, MATCH(MIN(R766:V766), R766:V766, 0))), 技能库!$A:$F, 6, 0),"请针对该题型加强练习"))</f>
        <v/>
      </c>
    </row>
    <row r="767" spans="12:29" ht="16" hidden="1" x14ac:dyDescent="0.2">
      <c r="L767" t="str">
        <f t="shared" si="44"/>
        <v/>
      </c>
      <c r="M767" t="str">
        <f>IF(L767="","", IFERROR(VLOOKUP(L767, IF(D767="KET", 换算标准!$M:$N, IF(D767="PET", 换算标准!$S:$T, 换算标准!$AC:$AD)), 2, TRUE), 0))</f>
        <v/>
      </c>
      <c r="P767" t="str">
        <f t="shared" si="45"/>
        <v/>
      </c>
      <c r="Q767" t="str">
        <f>IF(P767="","", IFERROR(VLOOKUP(P767, IF(D767="KET", 换算标准!$O:$P, IF(D767="PET", 换算标准!$U:$V, 换算标准!$AG:$AH)), 2, TRUE), 0))</f>
        <v/>
      </c>
      <c r="W767" t="str">
        <f t="shared" si="46"/>
        <v/>
      </c>
      <c r="X767" t="str">
        <f>IF(W767="","", IFERROR(VLOOKUP(W767, IF(D767="KET", 换算标准!$Q:$R, IF(D767="PET", 换算标准!$W:$X, 换算标准!$AI:$AJ)), 2, TRUE), 0))</f>
        <v/>
      </c>
      <c r="Y767" t="str">
        <f t="shared" si="47"/>
        <v/>
      </c>
      <c r="Z767" t="str">
        <f>IF(Y767="","", IFERROR(VLOOKUP(Y767, 换算标准!$Z:$AA, 1, TRUE), ""))</f>
        <v/>
      </c>
      <c r="AA767" s="5" t="str">
        <f>IF(L767="","", "⚠️ 薄弱环节: "&amp;INDEX($E$1:$K$1, MATCH(MIN(E767:K767), E767:K767, 0))&amp;CHAR(10)&amp;"📉 考察能力: "&amp;IFERROR(VLOOKUP(TRIM(D767)&amp;"_"&amp;TRIM(INDEX($E$1:$K$1, MATCH(MIN(E767:K767), E767:K767, 0))), 技能库!$A:$F, 5, 0),"建议查阅考纲")&amp;CHAR(10)&amp;"💡 提升建议: "&amp;IFERROR(VLOOKUP(TRIM(D767)&amp;"_"&amp;TRIM(INDEX($E$1:$K$1, MATCH(MIN(E767:K767), E767:K767, 0))), 技能库!$A:$F, 6, 0),"请针对该题型加强练习"))</f>
        <v/>
      </c>
      <c r="AB767" s="5" t="str">
        <f>IF(P767="","", "⚠️ 薄弱环节: "&amp;INDEX($N$1:$O$1, MATCH(MIN(N767:O767), N767:O767, 0))&amp;CHAR(10)&amp;"📉 考察能力: "&amp;IFERROR(VLOOKUP(TRIM(D767)&amp;"_"&amp;TRIM(INDEX($N$1:$O$1, MATCH(MIN(N767:O767), N767:O767, 0))), 技能库!$A:$F, 5, 0),"建议查阅考纲")&amp;CHAR(10)&amp;"💡 提升建议: "&amp;IFERROR(VLOOKUP(TRIM(D767)&amp;"_"&amp;TRIM(INDEX($N$1:$O$1, MATCH(MIN(N767:O767), N767:O767, 0))), 技能库!$A:$F, 6, 0),"请针对该题型加强练习"))</f>
        <v/>
      </c>
      <c r="AC767" s="5" t="str">
        <f>IF(W767="","", "⚠️ 薄弱环节: "&amp;INDEX($R$1:$V$1, MATCH(MIN(R767:V767), R767:V767, 0))&amp;CHAR(10)&amp;"📉 考察能力: "&amp;IFERROR(VLOOKUP(TRIM(D767)&amp;"_"&amp;TRIM(INDEX($R$1:$V$1, MATCH(MIN(R767:V767), R767:V767, 0))), 技能库!$A:$F, 5, 0),"建议查阅考纲")&amp;CHAR(10)&amp;"💡 提升建议: "&amp;IFERROR(VLOOKUP(TRIM(D767)&amp;"_"&amp;TRIM(INDEX($R$1:$V$1, MATCH(MIN(R767:V767), R767:V767, 0))), 技能库!$A:$F, 6, 0),"请针对该题型加强练习"))</f>
        <v/>
      </c>
    </row>
    <row r="768" spans="12:29" ht="16" hidden="1" x14ac:dyDescent="0.2">
      <c r="L768" t="str">
        <f t="shared" si="44"/>
        <v/>
      </c>
      <c r="M768" t="str">
        <f>IF(L768="","", IFERROR(VLOOKUP(L768, IF(D768="KET", 换算标准!$M:$N, IF(D768="PET", 换算标准!$S:$T, 换算标准!$AC:$AD)), 2, TRUE), 0))</f>
        <v/>
      </c>
      <c r="P768" t="str">
        <f t="shared" si="45"/>
        <v/>
      </c>
      <c r="Q768" t="str">
        <f>IF(P768="","", IFERROR(VLOOKUP(P768, IF(D768="KET", 换算标准!$O:$P, IF(D768="PET", 换算标准!$U:$V, 换算标准!$AG:$AH)), 2, TRUE), 0))</f>
        <v/>
      </c>
      <c r="W768" t="str">
        <f t="shared" si="46"/>
        <v/>
      </c>
      <c r="X768" t="str">
        <f>IF(W768="","", IFERROR(VLOOKUP(W768, IF(D768="KET", 换算标准!$Q:$R, IF(D768="PET", 换算标准!$W:$X, 换算标准!$AI:$AJ)), 2, TRUE), 0))</f>
        <v/>
      </c>
      <c r="Y768" t="str">
        <f t="shared" si="47"/>
        <v/>
      </c>
      <c r="Z768" t="str">
        <f>IF(Y768="","", IFERROR(VLOOKUP(Y768, 换算标准!$Z:$AA, 1, TRUE), ""))</f>
        <v/>
      </c>
      <c r="AA768" s="5" t="str">
        <f>IF(L768="","", "⚠️ 薄弱环节: "&amp;INDEX($E$1:$K$1, MATCH(MIN(E768:K768), E768:K768, 0))&amp;CHAR(10)&amp;"📉 考察能力: "&amp;IFERROR(VLOOKUP(TRIM(D768)&amp;"_"&amp;TRIM(INDEX($E$1:$K$1, MATCH(MIN(E768:K768), E768:K768, 0))), 技能库!$A:$F, 5, 0),"建议查阅考纲")&amp;CHAR(10)&amp;"💡 提升建议: "&amp;IFERROR(VLOOKUP(TRIM(D768)&amp;"_"&amp;TRIM(INDEX($E$1:$K$1, MATCH(MIN(E768:K768), E768:K768, 0))), 技能库!$A:$F, 6, 0),"请针对该题型加强练习"))</f>
        <v/>
      </c>
      <c r="AB768" s="5" t="str">
        <f>IF(P768="","", "⚠️ 薄弱环节: "&amp;INDEX($N$1:$O$1, MATCH(MIN(N768:O768), N768:O768, 0))&amp;CHAR(10)&amp;"📉 考察能力: "&amp;IFERROR(VLOOKUP(TRIM(D768)&amp;"_"&amp;TRIM(INDEX($N$1:$O$1, MATCH(MIN(N768:O768), N768:O768, 0))), 技能库!$A:$F, 5, 0),"建议查阅考纲")&amp;CHAR(10)&amp;"💡 提升建议: "&amp;IFERROR(VLOOKUP(TRIM(D768)&amp;"_"&amp;TRIM(INDEX($N$1:$O$1, MATCH(MIN(N768:O768), N768:O768, 0))), 技能库!$A:$F, 6, 0),"请针对该题型加强练习"))</f>
        <v/>
      </c>
      <c r="AC768" s="5" t="str">
        <f>IF(W768="","", "⚠️ 薄弱环节: "&amp;INDEX($R$1:$V$1, MATCH(MIN(R768:V768), R768:V768, 0))&amp;CHAR(10)&amp;"📉 考察能力: "&amp;IFERROR(VLOOKUP(TRIM(D768)&amp;"_"&amp;TRIM(INDEX($R$1:$V$1, MATCH(MIN(R768:V768), R768:V768, 0))), 技能库!$A:$F, 5, 0),"建议查阅考纲")&amp;CHAR(10)&amp;"💡 提升建议: "&amp;IFERROR(VLOOKUP(TRIM(D768)&amp;"_"&amp;TRIM(INDEX($R$1:$V$1, MATCH(MIN(R768:V768), R768:V768, 0))), 技能库!$A:$F, 6, 0),"请针对该题型加强练习"))</f>
        <v/>
      </c>
    </row>
    <row r="769" spans="12:29" ht="16" hidden="1" x14ac:dyDescent="0.2">
      <c r="L769" t="str">
        <f t="shared" si="44"/>
        <v/>
      </c>
      <c r="M769" t="str">
        <f>IF(L769="","", IFERROR(VLOOKUP(L769, IF(D769="KET", 换算标准!$M:$N, IF(D769="PET", 换算标准!$S:$T, 换算标准!$AC:$AD)), 2, TRUE), 0))</f>
        <v/>
      </c>
      <c r="P769" t="str">
        <f t="shared" si="45"/>
        <v/>
      </c>
      <c r="Q769" t="str">
        <f>IF(P769="","", IFERROR(VLOOKUP(P769, IF(D769="KET", 换算标准!$O:$P, IF(D769="PET", 换算标准!$U:$V, 换算标准!$AG:$AH)), 2, TRUE), 0))</f>
        <v/>
      </c>
      <c r="W769" t="str">
        <f t="shared" si="46"/>
        <v/>
      </c>
      <c r="X769" t="str">
        <f>IF(W769="","", IFERROR(VLOOKUP(W769, IF(D769="KET", 换算标准!$Q:$R, IF(D769="PET", 换算标准!$W:$X, 换算标准!$AI:$AJ)), 2, TRUE), 0))</f>
        <v/>
      </c>
      <c r="Y769" t="str">
        <f t="shared" si="47"/>
        <v/>
      </c>
      <c r="Z769" t="str">
        <f>IF(Y769="","", IFERROR(VLOOKUP(Y769, 换算标准!$Z:$AA, 1, TRUE), ""))</f>
        <v/>
      </c>
      <c r="AA769" s="5" t="str">
        <f>IF(L769="","", "⚠️ 薄弱环节: "&amp;INDEX($E$1:$K$1, MATCH(MIN(E769:K769), E769:K769, 0))&amp;CHAR(10)&amp;"📉 考察能力: "&amp;IFERROR(VLOOKUP(TRIM(D769)&amp;"_"&amp;TRIM(INDEX($E$1:$K$1, MATCH(MIN(E769:K769), E769:K769, 0))), 技能库!$A:$F, 5, 0),"建议查阅考纲")&amp;CHAR(10)&amp;"💡 提升建议: "&amp;IFERROR(VLOOKUP(TRIM(D769)&amp;"_"&amp;TRIM(INDEX($E$1:$K$1, MATCH(MIN(E769:K769), E769:K769, 0))), 技能库!$A:$F, 6, 0),"请针对该题型加强练习"))</f>
        <v/>
      </c>
      <c r="AB769" s="5" t="str">
        <f>IF(P769="","", "⚠️ 薄弱环节: "&amp;INDEX($N$1:$O$1, MATCH(MIN(N769:O769), N769:O769, 0))&amp;CHAR(10)&amp;"📉 考察能力: "&amp;IFERROR(VLOOKUP(TRIM(D769)&amp;"_"&amp;TRIM(INDEX($N$1:$O$1, MATCH(MIN(N769:O769), N769:O769, 0))), 技能库!$A:$F, 5, 0),"建议查阅考纲")&amp;CHAR(10)&amp;"💡 提升建议: "&amp;IFERROR(VLOOKUP(TRIM(D769)&amp;"_"&amp;TRIM(INDEX($N$1:$O$1, MATCH(MIN(N769:O769), N769:O769, 0))), 技能库!$A:$F, 6, 0),"请针对该题型加强练习"))</f>
        <v/>
      </c>
      <c r="AC769" s="5" t="str">
        <f>IF(W769="","", "⚠️ 薄弱环节: "&amp;INDEX($R$1:$V$1, MATCH(MIN(R769:V769), R769:V769, 0))&amp;CHAR(10)&amp;"📉 考察能力: "&amp;IFERROR(VLOOKUP(TRIM(D769)&amp;"_"&amp;TRIM(INDEX($R$1:$V$1, MATCH(MIN(R769:V769), R769:V769, 0))), 技能库!$A:$F, 5, 0),"建议查阅考纲")&amp;CHAR(10)&amp;"💡 提升建议: "&amp;IFERROR(VLOOKUP(TRIM(D769)&amp;"_"&amp;TRIM(INDEX($R$1:$V$1, MATCH(MIN(R769:V769), R769:V769, 0))), 技能库!$A:$F, 6, 0),"请针对该题型加强练习"))</f>
        <v/>
      </c>
    </row>
    <row r="770" spans="12:29" ht="16" hidden="1" x14ac:dyDescent="0.2">
      <c r="L770" t="str">
        <f t="shared" ref="L770:L833" si="48">IF(COUNT(E770:K770)&gt;0, SUM(E770:K770), "")</f>
        <v/>
      </c>
      <c r="M770" t="str">
        <f>IF(L770="","", IFERROR(VLOOKUP(L770, IF(D770="KET", 换算标准!$M:$N, IF(D770="PET", 换算标准!$S:$T, 换算标准!$AC:$AD)), 2, TRUE), 0))</f>
        <v/>
      </c>
      <c r="P770" t="str">
        <f t="shared" ref="P770:P833" si="49">IF(COUNT(N770:O770)&gt;0, SUM(N770:O770), "")</f>
        <v/>
      </c>
      <c r="Q770" t="str">
        <f>IF(P770="","", IFERROR(VLOOKUP(P770, IF(D770="KET", 换算标准!$O:$P, IF(D770="PET", 换算标准!$U:$V, 换算标准!$AG:$AH)), 2, TRUE), 0))</f>
        <v/>
      </c>
      <c r="W770" t="str">
        <f t="shared" ref="W770:W833" si="50">IF(COUNT(R770:V770)&gt;0, SUM(R770:V770), "")</f>
        <v/>
      </c>
      <c r="X770" t="str">
        <f>IF(W770="","", IFERROR(VLOOKUP(W770, IF(D770="KET", 换算标准!$Q:$R, IF(D770="PET", 换算标准!$W:$X, 换算标准!$AI:$AJ)), 2, TRUE), 0))</f>
        <v/>
      </c>
      <c r="Y770" t="str">
        <f t="shared" ref="Y770:Y833" si="51">IF(COUNT(M770,Q770,X770)&gt;0, AVERAGE(M770,Q770,X770), "")</f>
        <v/>
      </c>
      <c r="Z770" t="str">
        <f>IF(Y770="","", IFERROR(VLOOKUP(Y770, 换算标准!$Z:$AA, 1, TRUE), ""))</f>
        <v/>
      </c>
      <c r="AA770" s="5" t="str">
        <f>IF(L770="","", "⚠️ 薄弱环节: "&amp;INDEX($E$1:$K$1, MATCH(MIN(E770:K770), E770:K770, 0))&amp;CHAR(10)&amp;"📉 考察能力: "&amp;IFERROR(VLOOKUP(TRIM(D770)&amp;"_"&amp;TRIM(INDEX($E$1:$K$1, MATCH(MIN(E770:K770), E770:K770, 0))), 技能库!$A:$F, 5, 0),"建议查阅考纲")&amp;CHAR(10)&amp;"💡 提升建议: "&amp;IFERROR(VLOOKUP(TRIM(D770)&amp;"_"&amp;TRIM(INDEX($E$1:$K$1, MATCH(MIN(E770:K770), E770:K770, 0))), 技能库!$A:$F, 6, 0),"请针对该题型加强练习"))</f>
        <v/>
      </c>
      <c r="AB770" s="5" t="str">
        <f>IF(P770="","", "⚠️ 薄弱环节: "&amp;INDEX($N$1:$O$1, MATCH(MIN(N770:O770), N770:O770, 0))&amp;CHAR(10)&amp;"📉 考察能力: "&amp;IFERROR(VLOOKUP(TRIM(D770)&amp;"_"&amp;TRIM(INDEX($N$1:$O$1, MATCH(MIN(N770:O770), N770:O770, 0))), 技能库!$A:$F, 5, 0),"建议查阅考纲")&amp;CHAR(10)&amp;"💡 提升建议: "&amp;IFERROR(VLOOKUP(TRIM(D770)&amp;"_"&amp;TRIM(INDEX($N$1:$O$1, MATCH(MIN(N770:O770), N770:O770, 0))), 技能库!$A:$F, 6, 0),"请针对该题型加强练习"))</f>
        <v/>
      </c>
      <c r="AC770" s="5" t="str">
        <f>IF(W770="","", "⚠️ 薄弱环节: "&amp;INDEX($R$1:$V$1, MATCH(MIN(R770:V770), R770:V770, 0))&amp;CHAR(10)&amp;"📉 考察能力: "&amp;IFERROR(VLOOKUP(TRIM(D770)&amp;"_"&amp;TRIM(INDEX($R$1:$V$1, MATCH(MIN(R770:V770), R770:V770, 0))), 技能库!$A:$F, 5, 0),"建议查阅考纲")&amp;CHAR(10)&amp;"💡 提升建议: "&amp;IFERROR(VLOOKUP(TRIM(D770)&amp;"_"&amp;TRIM(INDEX($R$1:$V$1, MATCH(MIN(R770:V770), R770:V770, 0))), 技能库!$A:$F, 6, 0),"请针对该题型加强练习"))</f>
        <v/>
      </c>
    </row>
    <row r="771" spans="12:29" ht="16" hidden="1" x14ac:dyDescent="0.2">
      <c r="L771" t="str">
        <f t="shared" si="48"/>
        <v/>
      </c>
      <c r="M771" t="str">
        <f>IF(L771="","", IFERROR(VLOOKUP(L771, IF(D771="KET", 换算标准!$M:$N, IF(D771="PET", 换算标准!$S:$T, 换算标准!$AC:$AD)), 2, TRUE), 0))</f>
        <v/>
      </c>
      <c r="P771" t="str">
        <f t="shared" si="49"/>
        <v/>
      </c>
      <c r="Q771" t="str">
        <f>IF(P771="","", IFERROR(VLOOKUP(P771, IF(D771="KET", 换算标准!$O:$P, IF(D771="PET", 换算标准!$U:$V, 换算标准!$AG:$AH)), 2, TRUE), 0))</f>
        <v/>
      </c>
      <c r="W771" t="str">
        <f t="shared" si="50"/>
        <v/>
      </c>
      <c r="X771" t="str">
        <f>IF(W771="","", IFERROR(VLOOKUP(W771, IF(D771="KET", 换算标准!$Q:$R, IF(D771="PET", 换算标准!$W:$X, 换算标准!$AI:$AJ)), 2, TRUE), 0))</f>
        <v/>
      </c>
      <c r="Y771" t="str">
        <f t="shared" si="51"/>
        <v/>
      </c>
      <c r="Z771" t="str">
        <f>IF(Y771="","", IFERROR(VLOOKUP(Y771, 换算标准!$Z:$AA, 1, TRUE), ""))</f>
        <v/>
      </c>
      <c r="AA771" s="5" t="str">
        <f>IF(L771="","", "⚠️ 薄弱环节: "&amp;INDEX($E$1:$K$1, MATCH(MIN(E771:K771), E771:K771, 0))&amp;CHAR(10)&amp;"📉 考察能力: "&amp;IFERROR(VLOOKUP(TRIM(D771)&amp;"_"&amp;TRIM(INDEX($E$1:$K$1, MATCH(MIN(E771:K771), E771:K771, 0))), 技能库!$A:$F, 5, 0),"建议查阅考纲")&amp;CHAR(10)&amp;"💡 提升建议: "&amp;IFERROR(VLOOKUP(TRIM(D771)&amp;"_"&amp;TRIM(INDEX($E$1:$K$1, MATCH(MIN(E771:K771), E771:K771, 0))), 技能库!$A:$F, 6, 0),"请针对该题型加强练习"))</f>
        <v/>
      </c>
      <c r="AB771" s="5" t="str">
        <f>IF(P771="","", "⚠️ 薄弱环节: "&amp;INDEX($N$1:$O$1, MATCH(MIN(N771:O771), N771:O771, 0))&amp;CHAR(10)&amp;"📉 考察能力: "&amp;IFERROR(VLOOKUP(TRIM(D771)&amp;"_"&amp;TRIM(INDEX($N$1:$O$1, MATCH(MIN(N771:O771), N771:O771, 0))), 技能库!$A:$F, 5, 0),"建议查阅考纲")&amp;CHAR(10)&amp;"💡 提升建议: "&amp;IFERROR(VLOOKUP(TRIM(D771)&amp;"_"&amp;TRIM(INDEX($N$1:$O$1, MATCH(MIN(N771:O771), N771:O771, 0))), 技能库!$A:$F, 6, 0),"请针对该题型加强练习"))</f>
        <v/>
      </c>
      <c r="AC771" s="5" t="str">
        <f>IF(W771="","", "⚠️ 薄弱环节: "&amp;INDEX($R$1:$V$1, MATCH(MIN(R771:V771), R771:V771, 0))&amp;CHAR(10)&amp;"📉 考察能力: "&amp;IFERROR(VLOOKUP(TRIM(D771)&amp;"_"&amp;TRIM(INDEX($R$1:$V$1, MATCH(MIN(R771:V771), R771:V771, 0))), 技能库!$A:$F, 5, 0),"建议查阅考纲")&amp;CHAR(10)&amp;"💡 提升建议: "&amp;IFERROR(VLOOKUP(TRIM(D771)&amp;"_"&amp;TRIM(INDEX($R$1:$V$1, MATCH(MIN(R771:V771), R771:V771, 0))), 技能库!$A:$F, 6, 0),"请针对该题型加强练习"))</f>
        <v/>
      </c>
    </row>
    <row r="772" spans="12:29" ht="16" hidden="1" x14ac:dyDescent="0.2">
      <c r="L772" t="str">
        <f t="shared" si="48"/>
        <v/>
      </c>
      <c r="M772" t="str">
        <f>IF(L772="","", IFERROR(VLOOKUP(L772, IF(D772="KET", 换算标准!$M:$N, IF(D772="PET", 换算标准!$S:$T, 换算标准!$AC:$AD)), 2, TRUE), 0))</f>
        <v/>
      </c>
      <c r="P772" t="str">
        <f t="shared" si="49"/>
        <v/>
      </c>
      <c r="Q772" t="str">
        <f>IF(P772="","", IFERROR(VLOOKUP(P772, IF(D772="KET", 换算标准!$O:$P, IF(D772="PET", 换算标准!$U:$V, 换算标准!$AG:$AH)), 2, TRUE), 0))</f>
        <v/>
      </c>
      <c r="W772" t="str">
        <f t="shared" si="50"/>
        <v/>
      </c>
      <c r="X772" t="str">
        <f>IF(W772="","", IFERROR(VLOOKUP(W772, IF(D772="KET", 换算标准!$Q:$R, IF(D772="PET", 换算标准!$W:$X, 换算标准!$AI:$AJ)), 2, TRUE), 0))</f>
        <v/>
      </c>
      <c r="Y772" t="str">
        <f t="shared" si="51"/>
        <v/>
      </c>
      <c r="Z772" t="str">
        <f>IF(Y772="","", IFERROR(VLOOKUP(Y772, 换算标准!$Z:$AA, 1, TRUE), ""))</f>
        <v/>
      </c>
      <c r="AA772" s="5" t="str">
        <f>IF(L772="","", "⚠️ 薄弱环节: "&amp;INDEX($E$1:$K$1, MATCH(MIN(E772:K772), E772:K772, 0))&amp;CHAR(10)&amp;"📉 考察能力: "&amp;IFERROR(VLOOKUP(TRIM(D772)&amp;"_"&amp;TRIM(INDEX($E$1:$K$1, MATCH(MIN(E772:K772), E772:K772, 0))), 技能库!$A:$F, 5, 0),"建议查阅考纲")&amp;CHAR(10)&amp;"💡 提升建议: "&amp;IFERROR(VLOOKUP(TRIM(D772)&amp;"_"&amp;TRIM(INDEX($E$1:$K$1, MATCH(MIN(E772:K772), E772:K772, 0))), 技能库!$A:$F, 6, 0),"请针对该题型加强练习"))</f>
        <v/>
      </c>
      <c r="AB772" s="5" t="str">
        <f>IF(P772="","", "⚠️ 薄弱环节: "&amp;INDEX($N$1:$O$1, MATCH(MIN(N772:O772), N772:O772, 0))&amp;CHAR(10)&amp;"📉 考察能力: "&amp;IFERROR(VLOOKUP(TRIM(D772)&amp;"_"&amp;TRIM(INDEX($N$1:$O$1, MATCH(MIN(N772:O772), N772:O772, 0))), 技能库!$A:$F, 5, 0),"建议查阅考纲")&amp;CHAR(10)&amp;"💡 提升建议: "&amp;IFERROR(VLOOKUP(TRIM(D772)&amp;"_"&amp;TRIM(INDEX($N$1:$O$1, MATCH(MIN(N772:O772), N772:O772, 0))), 技能库!$A:$F, 6, 0),"请针对该题型加强练习"))</f>
        <v/>
      </c>
      <c r="AC772" s="5" t="str">
        <f>IF(W772="","", "⚠️ 薄弱环节: "&amp;INDEX($R$1:$V$1, MATCH(MIN(R772:V772), R772:V772, 0))&amp;CHAR(10)&amp;"📉 考察能力: "&amp;IFERROR(VLOOKUP(TRIM(D772)&amp;"_"&amp;TRIM(INDEX($R$1:$V$1, MATCH(MIN(R772:V772), R772:V772, 0))), 技能库!$A:$F, 5, 0),"建议查阅考纲")&amp;CHAR(10)&amp;"💡 提升建议: "&amp;IFERROR(VLOOKUP(TRIM(D772)&amp;"_"&amp;TRIM(INDEX($R$1:$V$1, MATCH(MIN(R772:V772), R772:V772, 0))), 技能库!$A:$F, 6, 0),"请针对该题型加强练习"))</f>
        <v/>
      </c>
    </row>
    <row r="773" spans="12:29" ht="16" hidden="1" x14ac:dyDescent="0.2">
      <c r="L773" t="str">
        <f t="shared" si="48"/>
        <v/>
      </c>
      <c r="M773" t="str">
        <f>IF(L773="","", IFERROR(VLOOKUP(L773, IF(D773="KET", 换算标准!$M:$N, IF(D773="PET", 换算标准!$S:$T, 换算标准!$AC:$AD)), 2, TRUE), 0))</f>
        <v/>
      </c>
      <c r="P773" t="str">
        <f t="shared" si="49"/>
        <v/>
      </c>
      <c r="Q773" t="str">
        <f>IF(P773="","", IFERROR(VLOOKUP(P773, IF(D773="KET", 换算标准!$O:$P, IF(D773="PET", 换算标准!$U:$V, 换算标准!$AG:$AH)), 2, TRUE), 0))</f>
        <v/>
      </c>
      <c r="W773" t="str">
        <f t="shared" si="50"/>
        <v/>
      </c>
      <c r="X773" t="str">
        <f>IF(W773="","", IFERROR(VLOOKUP(W773, IF(D773="KET", 换算标准!$Q:$R, IF(D773="PET", 换算标准!$W:$X, 换算标准!$AI:$AJ)), 2, TRUE), 0))</f>
        <v/>
      </c>
      <c r="Y773" t="str">
        <f t="shared" si="51"/>
        <v/>
      </c>
      <c r="Z773" t="str">
        <f>IF(Y773="","", IFERROR(VLOOKUP(Y773, 换算标准!$Z:$AA, 1, TRUE), ""))</f>
        <v/>
      </c>
      <c r="AA773" s="5" t="str">
        <f>IF(L773="","", "⚠️ 薄弱环节: "&amp;INDEX($E$1:$K$1, MATCH(MIN(E773:K773), E773:K773, 0))&amp;CHAR(10)&amp;"📉 考察能力: "&amp;IFERROR(VLOOKUP(TRIM(D773)&amp;"_"&amp;TRIM(INDEX($E$1:$K$1, MATCH(MIN(E773:K773), E773:K773, 0))), 技能库!$A:$F, 5, 0),"建议查阅考纲")&amp;CHAR(10)&amp;"💡 提升建议: "&amp;IFERROR(VLOOKUP(TRIM(D773)&amp;"_"&amp;TRIM(INDEX($E$1:$K$1, MATCH(MIN(E773:K773), E773:K773, 0))), 技能库!$A:$F, 6, 0),"请针对该题型加强练习"))</f>
        <v/>
      </c>
      <c r="AB773" s="5" t="str">
        <f>IF(P773="","", "⚠️ 薄弱环节: "&amp;INDEX($N$1:$O$1, MATCH(MIN(N773:O773), N773:O773, 0))&amp;CHAR(10)&amp;"📉 考察能力: "&amp;IFERROR(VLOOKUP(TRIM(D773)&amp;"_"&amp;TRIM(INDEX($N$1:$O$1, MATCH(MIN(N773:O773), N773:O773, 0))), 技能库!$A:$F, 5, 0),"建议查阅考纲")&amp;CHAR(10)&amp;"💡 提升建议: "&amp;IFERROR(VLOOKUP(TRIM(D773)&amp;"_"&amp;TRIM(INDEX($N$1:$O$1, MATCH(MIN(N773:O773), N773:O773, 0))), 技能库!$A:$F, 6, 0),"请针对该题型加强练习"))</f>
        <v/>
      </c>
      <c r="AC773" s="5" t="str">
        <f>IF(W773="","", "⚠️ 薄弱环节: "&amp;INDEX($R$1:$V$1, MATCH(MIN(R773:V773), R773:V773, 0))&amp;CHAR(10)&amp;"📉 考察能力: "&amp;IFERROR(VLOOKUP(TRIM(D773)&amp;"_"&amp;TRIM(INDEX($R$1:$V$1, MATCH(MIN(R773:V773), R773:V773, 0))), 技能库!$A:$F, 5, 0),"建议查阅考纲")&amp;CHAR(10)&amp;"💡 提升建议: "&amp;IFERROR(VLOOKUP(TRIM(D773)&amp;"_"&amp;TRIM(INDEX($R$1:$V$1, MATCH(MIN(R773:V773), R773:V773, 0))), 技能库!$A:$F, 6, 0),"请针对该题型加强练习"))</f>
        <v/>
      </c>
    </row>
    <row r="774" spans="12:29" ht="16" hidden="1" x14ac:dyDescent="0.2">
      <c r="L774" t="str">
        <f t="shared" si="48"/>
        <v/>
      </c>
      <c r="M774" t="str">
        <f>IF(L774="","", IFERROR(VLOOKUP(L774, IF(D774="KET", 换算标准!$M:$N, IF(D774="PET", 换算标准!$S:$T, 换算标准!$AC:$AD)), 2, TRUE), 0))</f>
        <v/>
      </c>
      <c r="P774" t="str">
        <f t="shared" si="49"/>
        <v/>
      </c>
      <c r="Q774" t="str">
        <f>IF(P774="","", IFERROR(VLOOKUP(P774, IF(D774="KET", 换算标准!$O:$P, IF(D774="PET", 换算标准!$U:$V, 换算标准!$AG:$AH)), 2, TRUE), 0))</f>
        <v/>
      </c>
      <c r="W774" t="str">
        <f t="shared" si="50"/>
        <v/>
      </c>
      <c r="X774" t="str">
        <f>IF(W774="","", IFERROR(VLOOKUP(W774, IF(D774="KET", 换算标准!$Q:$R, IF(D774="PET", 换算标准!$W:$X, 换算标准!$AI:$AJ)), 2, TRUE), 0))</f>
        <v/>
      </c>
      <c r="Y774" t="str">
        <f t="shared" si="51"/>
        <v/>
      </c>
      <c r="Z774" t="str">
        <f>IF(Y774="","", IFERROR(VLOOKUP(Y774, 换算标准!$Z:$AA, 1, TRUE), ""))</f>
        <v/>
      </c>
      <c r="AA774" s="5" t="str">
        <f>IF(L774="","", "⚠️ 薄弱环节: "&amp;INDEX($E$1:$K$1, MATCH(MIN(E774:K774), E774:K774, 0))&amp;CHAR(10)&amp;"📉 考察能力: "&amp;IFERROR(VLOOKUP(TRIM(D774)&amp;"_"&amp;TRIM(INDEX($E$1:$K$1, MATCH(MIN(E774:K774), E774:K774, 0))), 技能库!$A:$F, 5, 0),"建议查阅考纲")&amp;CHAR(10)&amp;"💡 提升建议: "&amp;IFERROR(VLOOKUP(TRIM(D774)&amp;"_"&amp;TRIM(INDEX($E$1:$K$1, MATCH(MIN(E774:K774), E774:K774, 0))), 技能库!$A:$F, 6, 0),"请针对该题型加强练习"))</f>
        <v/>
      </c>
      <c r="AB774" s="5" t="str">
        <f>IF(P774="","", "⚠️ 薄弱环节: "&amp;INDEX($N$1:$O$1, MATCH(MIN(N774:O774), N774:O774, 0))&amp;CHAR(10)&amp;"📉 考察能力: "&amp;IFERROR(VLOOKUP(TRIM(D774)&amp;"_"&amp;TRIM(INDEX($N$1:$O$1, MATCH(MIN(N774:O774), N774:O774, 0))), 技能库!$A:$F, 5, 0),"建议查阅考纲")&amp;CHAR(10)&amp;"💡 提升建议: "&amp;IFERROR(VLOOKUP(TRIM(D774)&amp;"_"&amp;TRIM(INDEX($N$1:$O$1, MATCH(MIN(N774:O774), N774:O774, 0))), 技能库!$A:$F, 6, 0),"请针对该题型加强练习"))</f>
        <v/>
      </c>
      <c r="AC774" s="5" t="str">
        <f>IF(W774="","", "⚠️ 薄弱环节: "&amp;INDEX($R$1:$V$1, MATCH(MIN(R774:V774), R774:V774, 0))&amp;CHAR(10)&amp;"📉 考察能力: "&amp;IFERROR(VLOOKUP(TRIM(D774)&amp;"_"&amp;TRIM(INDEX($R$1:$V$1, MATCH(MIN(R774:V774), R774:V774, 0))), 技能库!$A:$F, 5, 0),"建议查阅考纲")&amp;CHAR(10)&amp;"💡 提升建议: "&amp;IFERROR(VLOOKUP(TRIM(D774)&amp;"_"&amp;TRIM(INDEX($R$1:$V$1, MATCH(MIN(R774:V774), R774:V774, 0))), 技能库!$A:$F, 6, 0),"请针对该题型加强练习"))</f>
        <v/>
      </c>
    </row>
    <row r="775" spans="12:29" ht="16" hidden="1" x14ac:dyDescent="0.2">
      <c r="L775" t="str">
        <f t="shared" si="48"/>
        <v/>
      </c>
      <c r="M775" t="str">
        <f>IF(L775="","", IFERROR(VLOOKUP(L775, IF(D775="KET", 换算标准!$M:$N, IF(D775="PET", 换算标准!$S:$T, 换算标准!$AC:$AD)), 2, TRUE), 0))</f>
        <v/>
      </c>
      <c r="P775" t="str">
        <f t="shared" si="49"/>
        <v/>
      </c>
      <c r="Q775" t="str">
        <f>IF(P775="","", IFERROR(VLOOKUP(P775, IF(D775="KET", 换算标准!$O:$P, IF(D775="PET", 换算标准!$U:$V, 换算标准!$AG:$AH)), 2, TRUE), 0))</f>
        <v/>
      </c>
      <c r="W775" t="str">
        <f t="shared" si="50"/>
        <v/>
      </c>
      <c r="X775" t="str">
        <f>IF(W775="","", IFERROR(VLOOKUP(W775, IF(D775="KET", 换算标准!$Q:$R, IF(D775="PET", 换算标准!$W:$X, 换算标准!$AI:$AJ)), 2, TRUE), 0))</f>
        <v/>
      </c>
      <c r="Y775" t="str">
        <f t="shared" si="51"/>
        <v/>
      </c>
      <c r="Z775" t="str">
        <f>IF(Y775="","", IFERROR(VLOOKUP(Y775, 换算标准!$Z:$AA, 1, TRUE), ""))</f>
        <v/>
      </c>
      <c r="AA775" s="5" t="str">
        <f>IF(L775="","", "⚠️ 薄弱环节: "&amp;INDEX($E$1:$K$1, MATCH(MIN(E775:K775), E775:K775, 0))&amp;CHAR(10)&amp;"📉 考察能力: "&amp;IFERROR(VLOOKUP(TRIM(D775)&amp;"_"&amp;TRIM(INDEX($E$1:$K$1, MATCH(MIN(E775:K775), E775:K775, 0))), 技能库!$A:$F, 5, 0),"建议查阅考纲")&amp;CHAR(10)&amp;"💡 提升建议: "&amp;IFERROR(VLOOKUP(TRIM(D775)&amp;"_"&amp;TRIM(INDEX($E$1:$K$1, MATCH(MIN(E775:K775), E775:K775, 0))), 技能库!$A:$F, 6, 0),"请针对该题型加强练习"))</f>
        <v/>
      </c>
      <c r="AB775" s="5" t="str">
        <f>IF(P775="","", "⚠️ 薄弱环节: "&amp;INDEX($N$1:$O$1, MATCH(MIN(N775:O775), N775:O775, 0))&amp;CHAR(10)&amp;"📉 考察能力: "&amp;IFERROR(VLOOKUP(TRIM(D775)&amp;"_"&amp;TRIM(INDEX($N$1:$O$1, MATCH(MIN(N775:O775), N775:O775, 0))), 技能库!$A:$F, 5, 0),"建议查阅考纲")&amp;CHAR(10)&amp;"💡 提升建议: "&amp;IFERROR(VLOOKUP(TRIM(D775)&amp;"_"&amp;TRIM(INDEX($N$1:$O$1, MATCH(MIN(N775:O775), N775:O775, 0))), 技能库!$A:$F, 6, 0),"请针对该题型加强练习"))</f>
        <v/>
      </c>
      <c r="AC775" s="5" t="str">
        <f>IF(W775="","", "⚠️ 薄弱环节: "&amp;INDEX($R$1:$V$1, MATCH(MIN(R775:V775), R775:V775, 0))&amp;CHAR(10)&amp;"📉 考察能力: "&amp;IFERROR(VLOOKUP(TRIM(D775)&amp;"_"&amp;TRIM(INDEX($R$1:$V$1, MATCH(MIN(R775:V775), R775:V775, 0))), 技能库!$A:$F, 5, 0),"建议查阅考纲")&amp;CHAR(10)&amp;"💡 提升建议: "&amp;IFERROR(VLOOKUP(TRIM(D775)&amp;"_"&amp;TRIM(INDEX($R$1:$V$1, MATCH(MIN(R775:V775), R775:V775, 0))), 技能库!$A:$F, 6, 0),"请针对该题型加强练习"))</f>
        <v/>
      </c>
    </row>
    <row r="776" spans="12:29" ht="16" hidden="1" x14ac:dyDescent="0.2">
      <c r="L776" t="str">
        <f t="shared" si="48"/>
        <v/>
      </c>
      <c r="M776" t="str">
        <f>IF(L776="","", IFERROR(VLOOKUP(L776, IF(D776="KET", 换算标准!$M:$N, IF(D776="PET", 换算标准!$S:$T, 换算标准!$AC:$AD)), 2, TRUE), 0))</f>
        <v/>
      </c>
      <c r="P776" t="str">
        <f t="shared" si="49"/>
        <v/>
      </c>
      <c r="Q776" t="str">
        <f>IF(P776="","", IFERROR(VLOOKUP(P776, IF(D776="KET", 换算标准!$O:$P, IF(D776="PET", 换算标准!$U:$V, 换算标准!$AG:$AH)), 2, TRUE), 0))</f>
        <v/>
      </c>
      <c r="W776" t="str">
        <f t="shared" si="50"/>
        <v/>
      </c>
      <c r="X776" t="str">
        <f>IF(W776="","", IFERROR(VLOOKUP(W776, IF(D776="KET", 换算标准!$Q:$R, IF(D776="PET", 换算标准!$W:$X, 换算标准!$AI:$AJ)), 2, TRUE), 0))</f>
        <v/>
      </c>
      <c r="Y776" t="str">
        <f t="shared" si="51"/>
        <v/>
      </c>
      <c r="Z776" t="str">
        <f>IF(Y776="","", IFERROR(VLOOKUP(Y776, 换算标准!$Z:$AA, 1, TRUE), ""))</f>
        <v/>
      </c>
      <c r="AA776" s="5" t="str">
        <f>IF(L776="","", "⚠️ 薄弱环节: "&amp;INDEX($E$1:$K$1, MATCH(MIN(E776:K776), E776:K776, 0))&amp;CHAR(10)&amp;"📉 考察能力: "&amp;IFERROR(VLOOKUP(TRIM(D776)&amp;"_"&amp;TRIM(INDEX($E$1:$K$1, MATCH(MIN(E776:K776), E776:K776, 0))), 技能库!$A:$F, 5, 0),"建议查阅考纲")&amp;CHAR(10)&amp;"💡 提升建议: "&amp;IFERROR(VLOOKUP(TRIM(D776)&amp;"_"&amp;TRIM(INDEX($E$1:$K$1, MATCH(MIN(E776:K776), E776:K776, 0))), 技能库!$A:$F, 6, 0),"请针对该题型加强练习"))</f>
        <v/>
      </c>
      <c r="AB776" s="5" t="str">
        <f>IF(P776="","", "⚠️ 薄弱环节: "&amp;INDEX($N$1:$O$1, MATCH(MIN(N776:O776), N776:O776, 0))&amp;CHAR(10)&amp;"📉 考察能力: "&amp;IFERROR(VLOOKUP(TRIM(D776)&amp;"_"&amp;TRIM(INDEX($N$1:$O$1, MATCH(MIN(N776:O776), N776:O776, 0))), 技能库!$A:$F, 5, 0),"建议查阅考纲")&amp;CHAR(10)&amp;"💡 提升建议: "&amp;IFERROR(VLOOKUP(TRIM(D776)&amp;"_"&amp;TRIM(INDEX($N$1:$O$1, MATCH(MIN(N776:O776), N776:O776, 0))), 技能库!$A:$F, 6, 0),"请针对该题型加强练习"))</f>
        <v/>
      </c>
      <c r="AC776" s="5" t="str">
        <f>IF(W776="","", "⚠️ 薄弱环节: "&amp;INDEX($R$1:$V$1, MATCH(MIN(R776:V776), R776:V776, 0))&amp;CHAR(10)&amp;"📉 考察能力: "&amp;IFERROR(VLOOKUP(TRIM(D776)&amp;"_"&amp;TRIM(INDEX($R$1:$V$1, MATCH(MIN(R776:V776), R776:V776, 0))), 技能库!$A:$F, 5, 0),"建议查阅考纲")&amp;CHAR(10)&amp;"💡 提升建议: "&amp;IFERROR(VLOOKUP(TRIM(D776)&amp;"_"&amp;TRIM(INDEX($R$1:$V$1, MATCH(MIN(R776:V776), R776:V776, 0))), 技能库!$A:$F, 6, 0),"请针对该题型加强练习"))</f>
        <v/>
      </c>
    </row>
    <row r="777" spans="12:29" ht="16" hidden="1" x14ac:dyDescent="0.2">
      <c r="L777" t="str">
        <f t="shared" si="48"/>
        <v/>
      </c>
      <c r="M777" t="str">
        <f>IF(L777="","", IFERROR(VLOOKUP(L777, IF(D777="KET", 换算标准!$M:$N, IF(D777="PET", 换算标准!$S:$T, 换算标准!$AC:$AD)), 2, TRUE), 0))</f>
        <v/>
      </c>
      <c r="P777" t="str">
        <f t="shared" si="49"/>
        <v/>
      </c>
      <c r="Q777" t="str">
        <f>IF(P777="","", IFERROR(VLOOKUP(P777, IF(D777="KET", 换算标准!$O:$P, IF(D777="PET", 换算标准!$U:$V, 换算标准!$AG:$AH)), 2, TRUE), 0))</f>
        <v/>
      </c>
      <c r="W777" t="str">
        <f t="shared" si="50"/>
        <v/>
      </c>
      <c r="X777" t="str">
        <f>IF(W777="","", IFERROR(VLOOKUP(W777, IF(D777="KET", 换算标准!$Q:$R, IF(D777="PET", 换算标准!$W:$X, 换算标准!$AI:$AJ)), 2, TRUE), 0))</f>
        <v/>
      </c>
      <c r="Y777" t="str">
        <f t="shared" si="51"/>
        <v/>
      </c>
      <c r="Z777" t="str">
        <f>IF(Y777="","", IFERROR(VLOOKUP(Y777, 换算标准!$Z:$AA, 1, TRUE), ""))</f>
        <v/>
      </c>
      <c r="AA777" s="5" t="str">
        <f>IF(L777="","", "⚠️ 薄弱环节: "&amp;INDEX($E$1:$K$1, MATCH(MIN(E777:K777), E777:K777, 0))&amp;CHAR(10)&amp;"📉 考察能力: "&amp;IFERROR(VLOOKUP(TRIM(D777)&amp;"_"&amp;TRIM(INDEX($E$1:$K$1, MATCH(MIN(E777:K777), E777:K777, 0))), 技能库!$A:$F, 5, 0),"建议查阅考纲")&amp;CHAR(10)&amp;"💡 提升建议: "&amp;IFERROR(VLOOKUP(TRIM(D777)&amp;"_"&amp;TRIM(INDEX($E$1:$K$1, MATCH(MIN(E777:K777), E777:K777, 0))), 技能库!$A:$F, 6, 0),"请针对该题型加强练习"))</f>
        <v/>
      </c>
      <c r="AB777" s="5" t="str">
        <f>IF(P777="","", "⚠️ 薄弱环节: "&amp;INDEX($N$1:$O$1, MATCH(MIN(N777:O777), N777:O777, 0))&amp;CHAR(10)&amp;"📉 考察能力: "&amp;IFERROR(VLOOKUP(TRIM(D777)&amp;"_"&amp;TRIM(INDEX($N$1:$O$1, MATCH(MIN(N777:O777), N777:O777, 0))), 技能库!$A:$F, 5, 0),"建议查阅考纲")&amp;CHAR(10)&amp;"💡 提升建议: "&amp;IFERROR(VLOOKUP(TRIM(D777)&amp;"_"&amp;TRIM(INDEX($N$1:$O$1, MATCH(MIN(N777:O777), N777:O777, 0))), 技能库!$A:$F, 6, 0),"请针对该题型加强练习"))</f>
        <v/>
      </c>
      <c r="AC777" s="5" t="str">
        <f>IF(W777="","", "⚠️ 薄弱环节: "&amp;INDEX($R$1:$V$1, MATCH(MIN(R777:V777), R777:V777, 0))&amp;CHAR(10)&amp;"📉 考察能力: "&amp;IFERROR(VLOOKUP(TRIM(D777)&amp;"_"&amp;TRIM(INDEX($R$1:$V$1, MATCH(MIN(R777:V777), R777:V777, 0))), 技能库!$A:$F, 5, 0),"建议查阅考纲")&amp;CHAR(10)&amp;"💡 提升建议: "&amp;IFERROR(VLOOKUP(TRIM(D777)&amp;"_"&amp;TRIM(INDEX($R$1:$V$1, MATCH(MIN(R777:V777), R777:V777, 0))), 技能库!$A:$F, 6, 0),"请针对该题型加强练习"))</f>
        <v/>
      </c>
    </row>
    <row r="778" spans="12:29" ht="16" hidden="1" x14ac:dyDescent="0.2">
      <c r="L778" t="str">
        <f t="shared" si="48"/>
        <v/>
      </c>
      <c r="M778" t="str">
        <f>IF(L778="","", IFERROR(VLOOKUP(L778, IF(D778="KET", 换算标准!$M:$N, IF(D778="PET", 换算标准!$S:$T, 换算标准!$AC:$AD)), 2, TRUE), 0))</f>
        <v/>
      </c>
      <c r="P778" t="str">
        <f t="shared" si="49"/>
        <v/>
      </c>
      <c r="Q778" t="str">
        <f>IF(P778="","", IFERROR(VLOOKUP(P778, IF(D778="KET", 换算标准!$O:$P, IF(D778="PET", 换算标准!$U:$V, 换算标准!$AG:$AH)), 2, TRUE), 0))</f>
        <v/>
      </c>
      <c r="W778" t="str">
        <f t="shared" si="50"/>
        <v/>
      </c>
      <c r="X778" t="str">
        <f>IF(W778="","", IFERROR(VLOOKUP(W778, IF(D778="KET", 换算标准!$Q:$R, IF(D778="PET", 换算标准!$W:$X, 换算标准!$AI:$AJ)), 2, TRUE), 0))</f>
        <v/>
      </c>
      <c r="Y778" t="str">
        <f t="shared" si="51"/>
        <v/>
      </c>
      <c r="Z778" t="str">
        <f>IF(Y778="","", IFERROR(VLOOKUP(Y778, 换算标准!$Z:$AA, 1, TRUE), ""))</f>
        <v/>
      </c>
      <c r="AA778" s="5" t="str">
        <f>IF(L778="","", "⚠️ 薄弱环节: "&amp;INDEX($E$1:$K$1, MATCH(MIN(E778:K778), E778:K778, 0))&amp;CHAR(10)&amp;"📉 考察能力: "&amp;IFERROR(VLOOKUP(TRIM(D778)&amp;"_"&amp;TRIM(INDEX($E$1:$K$1, MATCH(MIN(E778:K778), E778:K778, 0))), 技能库!$A:$F, 5, 0),"建议查阅考纲")&amp;CHAR(10)&amp;"💡 提升建议: "&amp;IFERROR(VLOOKUP(TRIM(D778)&amp;"_"&amp;TRIM(INDEX($E$1:$K$1, MATCH(MIN(E778:K778), E778:K778, 0))), 技能库!$A:$F, 6, 0),"请针对该题型加强练习"))</f>
        <v/>
      </c>
      <c r="AB778" s="5" t="str">
        <f>IF(P778="","", "⚠️ 薄弱环节: "&amp;INDEX($N$1:$O$1, MATCH(MIN(N778:O778), N778:O778, 0))&amp;CHAR(10)&amp;"📉 考察能力: "&amp;IFERROR(VLOOKUP(TRIM(D778)&amp;"_"&amp;TRIM(INDEX($N$1:$O$1, MATCH(MIN(N778:O778), N778:O778, 0))), 技能库!$A:$F, 5, 0),"建议查阅考纲")&amp;CHAR(10)&amp;"💡 提升建议: "&amp;IFERROR(VLOOKUP(TRIM(D778)&amp;"_"&amp;TRIM(INDEX($N$1:$O$1, MATCH(MIN(N778:O778), N778:O778, 0))), 技能库!$A:$F, 6, 0),"请针对该题型加强练习"))</f>
        <v/>
      </c>
      <c r="AC778" s="5" t="str">
        <f>IF(W778="","", "⚠️ 薄弱环节: "&amp;INDEX($R$1:$V$1, MATCH(MIN(R778:V778), R778:V778, 0))&amp;CHAR(10)&amp;"📉 考察能力: "&amp;IFERROR(VLOOKUP(TRIM(D778)&amp;"_"&amp;TRIM(INDEX($R$1:$V$1, MATCH(MIN(R778:V778), R778:V778, 0))), 技能库!$A:$F, 5, 0),"建议查阅考纲")&amp;CHAR(10)&amp;"💡 提升建议: "&amp;IFERROR(VLOOKUP(TRIM(D778)&amp;"_"&amp;TRIM(INDEX($R$1:$V$1, MATCH(MIN(R778:V778), R778:V778, 0))), 技能库!$A:$F, 6, 0),"请针对该题型加强练习"))</f>
        <v/>
      </c>
    </row>
    <row r="779" spans="12:29" ht="16" hidden="1" x14ac:dyDescent="0.2">
      <c r="L779" t="str">
        <f t="shared" si="48"/>
        <v/>
      </c>
      <c r="M779" t="str">
        <f>IF(L779="","", IFERROR(VLOOKUP(L779, IF(D779="KET", 换算标准!$M:$N, IF(D779="PET", 换算标准!$S:$T, 换算标准!$AC:$AD)), 2, TRUE), 0))</f>
        <v/>
      </c>
      <c r="P779" t="str">
        <f t="shared" si="49"/>
        <v/>
      </c>
      <c r="Q779" t="str">
        <f>IF(P779="","", IFERROR(VLOOKUP(P779, IF(D779="KET", 换算标准!$O:$P, IF(D779="PET", 换算标准!$U:$V, 换算标准!$AG:$AH)), 2, TRUE), 0))</f>
        <v/>
      </c>
      <c r="W779" t="str">
        <f t="shared" si="50"/>
        <v/>
      </c>
      <c r="X779" t="str">
        <f>IF(W779="","", IFERROR(VLOOKUP(W779, IF(D779="KET", 换算标准!$Q:$R, IF(D779="PET", 换算标准!$W:$X, 换算标准!$AI:$AJ)), 2, TRUE), 0))</f>
        <v/>
      </c>
      <c r="Y779" t="str">
        <f t="shared" si="51"/>
        <v/>
      </c>
      <c r="Z779" t="str">
        <f>IF(Y779="","", IFERROR(VLOOKUP(Y779, 换算标准!$Z:$AA, 1, TRUE), ""))</f>
        <v/>
      </c>
      <c r="AA779" s="5" t="str">
        <f>IF(L779="","", "⚠️ 薄弱环节: "&amp;INDEX($E$1:$K$1, MATCH(MIN(E779:K779), E779:K779, 0))&amp;CHAR(10)&amp;"📉 考察能力: "&amp;IFERROR(VLOOKUP(TRIM(D779)&amp;"_"&amp;TRIM(INDEX($E$1:$K$1, MATCH(MIN(E779:K779), E779:K779, 0))), 技能库!$A:$F, 5, 0),"建议查阅考纲")&amp;CHAR(10)&amp;"💡 提升建议: "&amp;IFERROR(VLOOKUP(TRIM(D779)&amp;"_"&amp;TRIM(INDEX($E$1:$K$1, MATCH(MIN(E779:K779), E779:K779, 0))), 技能库!$A:$F, 6, 0),"请针对该题型加强练习"))</f>
        <v/>
      </c>
      <c r="AB779" s="5" t="str">
        <f>IF(P779="","", "⚠️ 薄弱环节: "&amp;INDEX($N$1:$O$1, MATCH(MIN(N779:O779), N779:O779, 0))&amp;CHAR(10)&amp;"📉 考察能力: "&amp;IFERROR(VLOOKUP(TRIM(D779)&amp;"_"&amp;TRIM(INDEX($N$1:$O$1, MATCH(MIN(N779:O779), N779:O779, 0))), 技能库!$A:$F, 5, 0),"建议查阅考纲")&amp;CHAR(10)&amp;"💡 提升建议: "&amp;IFERROR(VLOOKUP(TRIM(D779)&amp;"_"&amp;TRIM(INDEX($N$1:$O$1, MATCH(MIN(N779:O779), N779:O779, 0))), 技能库!$A:$F, 6, 0),"请针对该题型加强练习"))</f>
        <v/>
      </c>
      <c r="AC779" s="5" t="str">
        <f>IF(W779="","", "⚠️ 薄弱环节: "&amp;INDEX($R$1:$V$1, MATCH(MIN(R779:V779), R779:V779, 0))&amp;CHAR(10)&amp;"📉 考察能力: "&amp;IFERROR(VLOOKUP(TRIM(D779)&amp;"_"&amp;TRIM(INDEX($R$1:$V$1, MATCH(MIN(R779:V779), R779:V779, 0))), 技能库!$A:$F, 5, 0),"建议查阅考纲")&amp;CHAR(10)&amp;"💡 提升建议: "&amp;IFERROR(VLOOKUP(TRIM(D779)&amp;"_"&amp;TRIM(INDEX($R$1:$V$1, MATCH(MIN(R779:V779), R779:V779, 0))), 技能库!$A:$F, 6, 0),"请针对该题型加强练习"))</f>
        <v/>
      </c>
    </row>
    <row r="780" spans="12:29" ht="16" hidden="1" x14ac:dyDescent="0.2">
      <c r="L780" t="str">
        <f t="shared" si="48"/>
        <v/>
      </c>
      <c r="M780" t="str">
        <f>IF(L780="","", IFERROR(VLOOKUP(L780, IF(D780="KET", 换算标准!$M:$N, IF(D780="PET", 换算标准!$S:$T, 换算标准!$AC:$AD)), 2, TRUE), 0))</f>
        <v/>
      </c>
      <c r="P780" t="str">
        <f t="shared" si="49"/>
        <v/>
      </c>
      <c r="Q780" t="str">
        <f>IF(P780="","", IFERROR(VLOOKUP(P780, IF(D780="KET", 换算标准!$O:$P, IF(D780="PET", 换算标准!$U:$V, 换算标准!$AG:$AH)), 2, TRUE), 0))</f>
        <v/>
      </c>
      <c r="W780" t="str">
        <f t="shared" si="50"/>
        <v/>
      </c>
      <c r="X780" t="str">
        <f>IF(W780="","", IFERROR(VLOOKUP(W780, IF(D780="KET", 换算标准!$Q:$R, IF(D780="PET", 换算标准!$W:$X, 换算标准!$AI:$AJ)), 2, TRUE), 0))</f>
        <v/>
      </c>
      <c r="Y780" t="str">
        <f t="shared" si="51"/>
        <v/>
      </c>
      <c r="Z780" t="str">
        <f>IF(Y780="","", IFERROR(VLOOKUP(Y780, 换算标准!$Z:$AA, 1, TRUE), ""))</f>
        <v/>
      </c>
      <c r="AA780" s="5" t="str">
        <f>IF(L780="","", "⚠️ 薄弱环节: "&amp;INDEX($E$1:$K$1, MATCH(MIN(E780:K780), E780:K780, 0))&amp;CHAR(10)&amp;"📉 考察能力: "&amp;IFERROR(VLOOKUP(TRIM(D780)&amp;"_"&amp;TRIM(INDEX($E$1:$K$1, MATCH(MIN(E780:K780), E780:K780, 0))), 技能库!$A:$F, 5, 0),"建议查阅考纲")&amp;CHAR(10)&amp;"💡 提升建议: "&amp;IFERROR(VLOOKUP(TRIM(D780)&amp;"_"&amp;TRIM(INDEX($E$1:$K$1, MATCH(MIN(E780:K780), E780:K780, 0))), 技能库!$A:$F, 6, 0),"请针对该题型加强练习"))</f>
        <v/>
      </c>
      <c r="AB780" s="5" t="str">
        <f>IF(P780="","", "⚠️ 薄弱环节: "&amp;INDEX($N$1:$O$1, MATCH(MIN(N780:O780), N780:O780, 0))&amp;CHAR(10)&amp;"📉 考察能力: "&amp;IFERROR(VLOOKUP(TRIM(D780)&amp;"_"&amp;TRIM(INDEX($N$1:$O$1, MATCH(MIN(N780:O780), N780:O780, 0))), 技能库!$A:$F, 5, 0),"建议查阅考纲")&amp;CHAR(10)&amp;"💡 提升建议: "&amp;IFERROR(VLOOKUP(TRIM(D780)&amp;"_"&amp;TRIM(INDEX($N$1:$O$1, MATCH(MIN(N780:O780), N780:O780, 0))), 技能库!$A:$F, 6, 0),"请针对该题型加强练习"))</f>
        <v/>
      </c>
      <c r="AC780" s="5" t="str">
        <f>IF(W780="","", "⚠️ 薄弱环节: "&amp;INDEX($R$1:$V$1, MATCH(MIN(R780:V780), R780:V780, 0))&amp;CHAR(10)&amp;"📉 考察能力: "&amp;IFERROR(VLOOKUP(TRIM(D780)&amp;"_"&amp;TRIM(INDEX($R$1:$V$1, MATCH(MIN(R780:V780), R780:V780, 0))), 技能库!$A:$F, 5, 0),"建议查阅考纲")&amp;CHAR(10)&amp;"💡 提升建议: "&amp;IFERROR(VLOOKUP(TRIM(D780)&amp;"_"&amp;TRIM(INDEX($R$1:$V$1, MATCH(MIN(R780:V780), R780:V780, 0))), 技能库!$A:$F, 6, 0),"请针对该题型加强练习"))</f>
        <v/>
      </c>
    </row>
    <row r="781" spans="12:29" ht="16" hidden="1" x14ac:dyDescent="0.2">
      <c r="L781" t="str">
        <f t="shared" si="48"/>
        <v/>
      </c>
      <c r="M781" t="str">
        <f>IF(L781="","", IFERROR(VLOOKUP(L781, IF(D781="KET", 换算标准!$M:$N, IF(D781="PET", 换算标准!$S:$T, 换算标准!$AC:$AD)), 2, TRUE), 0))</f>
        <v/>
      </c>
      <c r="P781" t="str">
        <f t="shared" si="49"/>
        <v/>
      </c>
      <c r="Q781" t="str">
        <f>IF(P781="","", IFERROR(VLOOKUP(P781, IF(D781="KET", 换算标准!$O:$P, IF(D781="PET", 换算标准!$U:$V, 换算标准!$AG:$AH)), 2, TRUE), 0))</f>
        <v/>
      </c>
      <c r="W781" t="str">
        <f t="shared" si="50"/>
        <v/>
      </c>
      <c r="X781" t="str">
        <f>IF(W781="","", IFERROR(VLOOKUP(W781, IF(D781="KET", 换算标准!$Q:$R, IF(D781="PET", 换算标准!$W:$X, 换算标准!$AI:$AJ)), 2, TRUE), 0))</f>
        <v/>
      </c>
      <c r="Y781" t="str">
        <f t="shared" si="51"/>
        <v/>
      </c>
      <c r="Z781" t="str">
        <f>IF(Y781="","", IFERROR(VLOOKUP(Y781, 换算标准!$Z:$AA, 1, TRUE), ""))</f>
        <v/>
      </c>
      <c r="AA781" s="5" t="str">
        <f>IF(L781="","", "⚠️ 薄弱环节: "&amp;INDEX($E$1:$K$1, MATCH(MIN(E781:K781), E781:K781, 0))&amp;CHAR(10)&amp;"📉 考察能力: "&amp;IFERROR(VLOOKUP(TRIM(D781)&amp;"_"&amp;TRIM(INDEX($E$1:$K$1, MATCH(MIN(E781:K781), E781:K781, 0))), 技能库!$A:$F, 5, 0),"建议查阅考纲")&amp;CHAR(10)&amp;"💡 提升建议: "&amp;IFERROR(VLOOKUP(TRIM(D781)&amp;"_"&amp;TRIM(INDEX($E$1:$K$1, MATCH(MIN(E781:K781), E781:K781, 0))), 技能库!$A:$F, 6, 0),"请针对该题型加强练习"))</f>
        <v/>
      </c>
      <c r="AB781" s="5" t="str">
        <f>IF(P781="","", "⚠️ 薄弱环节: "&amp;INDEX($N$1:$O$1, MATCH(MIN(N781:O781), N781:O781, 0))&amp;CHAR(10)&amp;"📉 考察能力: "&amp;IFERROR(VLOOKUP(TRIM(D781)&amp;"_"&amp;TRIM(INDEX($N$1:$O$1, MATCH(MIN(N781:O781), N781:O781, 0))), 技能库!$A:$F, 5, 0),"建议查阅考纲")&amp;CHAR(10)&amp;"💡 提升建议: "&amp;IFERROR(VLOOKUP(TRIM(D781)&amp;"_"&amp;TRIM(INDEX($N$1:$O$1, MATCH(MIN(N781:O781), N781:O781, 0))), 技能库!$A:$F, 6, 0),"请针对该题型加强练习"))</f>
        <v/>
      </c>
      <c r="AC781" s="5" t="str">
        <f>IF(W781="","", "⚠️ 薄弱环节: "&amp;INDEX($R$1:$V$1, MATCH(MIN(R781:V781), R781:V781, 0))&amp;CHAR(10)&amp;"📉 考察能力: "&amp;IFERROR(VLOOKUP(TRIM(D781)&amp;"_"&amp;TRIM(INDEX($R$1:$V$1, MATCH(MIN(R781:V781), R781:V781, 0))), 技能库!$A:$F, 5, 0),"建议查阅考纲")&amp;CHAR(10)&amp;"💡 提升建议: "&amp;IFERROR(VLOOKUP(TRIM(D781)&amp;"_"&amp;TRIM(INDEX($R$1:$V$1, MATCH(MIN(R781:V781), R781:V781, 0))), 技能库!$A:$F, 6, 0),"请针对该题型加强练习"))</f>
        <v/>
      </c>
    </row>
    <row r="782" spans="12:29" ht="16" hidden="1" x14ac:dyDescent="0.2">
      <c r="L782" t="str">
        <f t="shared" si="48"/>
        <v/>
      </c>
      <c r="M782" t="str">
        <f>IF(L782="","", IFERROR(VLOOKUP(L782, IF(D782="KET", 换算标准!$M:$N, IF(D782="PET", 换算标准!$S:$T, 换算标准!$AC:$AD)), 2, TRUE), 0))</f>
        <v/>
      </c>
      <c r="P782" t="str">
        <f t="shared" si="49"/>
        <v/>
      </c>
      <c r="Q782" t="str">
        <f>IF(P782="","", IFERROR(VLOOKUP(P782, IF(D782="KET", 换算标准!$O:$P, IF(D782="PET", 换算标准!$U:$V, 换算标准!$AG:$AH)), 2, TRUE), 0))</f>
        <v/>
      </c>
      <c r="W782" t="str">
        <f t="shared" si="50"/>
        <v/>
      </c>
      <c r="X782" t="str">
        <f>IF(W782="","", IFERROR(VLOOKUP(W782, IF(D782="KET", 换算标准!$Q:$R, IF(D782="PET", 换算标准!$W:$X, 换算标准!$AI:$AJ)), 2, TRUE), 0))</f>
        <v/>
      </c>
      <c r="Y782" t="str">
        <f t="shared" si="51"/>
        <v/>
      </c>
      <c r="Z782" t="str">
        <f>IF(Y782="","", IFERROR(VLOOKUP(Y782, 换算标准!$Z:$AA, 1, TRUE), ""))</f>
        <v/>
      </c>
      <c r="AA782" s="5" t="str">
        <f>IF(L782="","", "⚠️ 薄弱环节: "&amp;INDEX($E$1:$K$1, MATCH(MIN(E782:K782), E782:K782, 0))&amp;CHAR(10)&amp;"📉 考察能力: "&amp;IFERROR(VLOOKUP(TRIM(D782)&amp;"_"&amp;TRIM(INDEX($E$1:$K$1, MATCH(MIN(E782:K782), E782:K782, 0))), 技能库!$A:$F, 5, 0),"建议查阅考纲")&amp;CHAR(10)&amp;"💡 提升建议: "&amp;IFERROR(VLOOKUP(TRIM(D782)&amp;"_"&amp;TRIM(INDEX($E$1:$K$1, MATCH(MIN(E782:K782), E782:K782, 0))), 技能库!$A:$F, 6, 0),"请针对该题型加强练习"))</f>
        <v/>
      </c>
      <c r="AB782" s="5" t="str">
        <f>IF(P782="","", "⚠️ 薄弱环节: "&amp;INDEX($N$1:$O$1, MATCH(MIN(N782:O782), N782:O782, 0))&amp;CHAR(10)&amp;"📉 考察能力: "&amp;IFERROR(VLOOKUP(TRIM(D782)&amp;"_"&amp;TRIM(INDEX($N$1:$O$1, MATCH(MIN(N782:O782), N782:O782, 0))), 技能库!$A:$F, 5, 0),"建议查阅考纲")&amp;CHAR(10)&amp;"💡 提升建议: "&amp;IFERROR(VLOOKUP(TRIM(D782)&amp;"_"&amp;TRIM(INDEX($N$1:$O$1, MATCH(MIN(N782:O782), N782:O782, 0))), 技能库!$A:$F, 6, 0),"请针对该题型加强练习"))</f>
        <v/>
      </c>
      <c r="AC782" s="5" t="str">
        <f>IF(W782="","", "⚠️ 薄弱环节: "&amp;INDEX($R$1:$V$1, MATCH(MIN(R782:V782), R782:V782, 0))&amp;CHAR(10)&amp;"📉 考察能力: "&amp;IFERROR(VLOOKUP(TRIM(D782)&amp;"_"&amp;TRIM(INDEX($R$1:$V$1, MATCH(MIN(R782:V782), R782:V782, 0))), 技能库!$A:$F, 5, 0),"建议查阅考纲")&amp;CHAR(10)&amp;"💡 提升建议: "&amp;IFERROR(VLOOKUP(TRIM(D782)&amp;"_"&amp;TRIM(INDEX($R$1:$V$1, MATCH(MIN(R782:V782), R782:V782, 0))), 技能库!$A:$F, 6, 0),"请针对该题型加强练习"))</f>
        <v/>
      </c>
    </row>
    <row r="783" spans="12:29" ht="16" hidden="1" x14ac:dyDescent="0.2">
      <c r="L783" t="str">
        <f t="shared" si="48"/>
        <v/>
      </c>
      <c r="M783" t="str">
        <f>IF(L783="","", IFERROR(VLOOKUP(L783, IF(D783="KET", 换算标准!$M:$N, IF(D783="PET", 换算标准!$S:$T, 换算标准!$AC:$AD)), 2, TRUE), 0))</f>
        <v/>
      </c>
      <c r="P783" t="str">
        <f t="shared" si="49"/>
        <v/>
      </c>
      <c r="Q783" t="str">
        <f>IF(P783="","", IFERROR(VLOOKUP(P783, IF(D783="KET", 换算标准!$O:$P, IF(D783="PET", 换算标准!$U:$V, 换算标准!$AG:$AH)), 2, TRUE), 0))</f>
        <v/>
      </c>
      <c r="W783" t="str">
        <f t="shared" si="50"/>
        <v/>
      </c>
      <c r="X783" t="str">
        <f>IF(W783="","", IFERROR(VLOOKUP(W783, IF(D783="KET", 换算标准!$Q:$R, IF(D783="PET", 换算标准!$W:$X, 换算标准!$AI:$AJ)), 2, TRUE), 0))</f>
        <v/>
      </c>
      <c r="Y783" t="str">
        <f t="shared" si="51"/>
        <v/>
      </c>
      <c r="Z783" t="str">
        <f>IF(Y783="","", IFERROR(VLOOKUP(Y783, 换算标准!$Z:$AA, 1, TRUE), ""))</f>
        <v/>
      </c>
      <c r="AA783" s="5" t="str">
        <f>IF(L783="","", "⚠️ 薄弱环节: "&amp;INDEX($E$1:$K$1, MATCH(MIN(E783:K783), E783:K783, 0))&amp;CHAR(10)&amp;"📉 考察能力: "&amp;IFERROR(VLOOKUP(TRIM(D783)&amp;"_"&amp;TRIM(INDEX($E$1:$K$1, MATCH(MIN(E783:K783), E783:K783, 0))), 技能库!$A:$F, 5, 0),"建议查阅考纲")&amp;CHAR(10)&amp;"💡 提升建议: "&amp;IFERROR(VLOOKUP(TRIM(D783)&amp;"_"&amp;TRIM(INDEX($E$1:$K$1, MATCH(MIN(E783:K783), E783:K783, 0))), 技能库!$A:$F, 6, 0),"请针对该题型加强练习"))</f>
        <v/>
      </c>
      <c r="AB783" s="5" t="str">
        <f>IF(P783="","", "⚠️ 薄弱环节: "&amp;INDEX($N$1:$O$1, MATCH(MIN(N783:O783), N783:O783, 0))&amp;CHAR(10)&amp;"📉 考察能力: "&amp;IFERROR(VLOOKUP(TRIM(D783)&amp;"_"&amp;TRIM(INDEX($N$1:$O$1, MATCH(MIN(N783:O783), N783:O783, 0))), 技能库!$A:$F, 5, 0),"建议查阅考纲")&amp;CHAR(10)&amp;"💡 提升建议: "&amp;IFERROR(VLOOKUP(TRIM(D783)&amp;"_"&amp;TRIM(INDEX($N$1:$O$1, MATCH(MIN(N783:O783), N783:O783, 0))), 技能库!$A:$F, 6, 0),"请针对该题型加强练习"))</f>
        <v/>
      </c>
      <c r="AC783" s="5" t="str">
        <f>IF(W783="","", "⚠️ 薄弱环节: "&amp;INDEX($R$1:$V$1, MATCH(MIN(R783:V783), R783:V783, 0))&amp;CHAR(10)&amp;"📉 考察能力: "&amp;IFERROR(VLOOKUP(TRIM(D783)&amp;"_"&amp;TRIM(INDEX($R$1:$V$1, MATCH(MIN(R783:V783), R783:V783, 0))), 技能库!$A:$F, 5, 0),"建议查阅考纲")&amp;CHAR(10)&amp;"💡 提升建议: "&amp;IFERROR(VLOOKUP(TRIM(D783)&amp;"_"&amp;TRIM(INDEX($R$1:$V$1, MATCH(MIN(R783:V783), R783:V783, 0))), 技能库!$A:$F, 6, 0),"请针对该题型加强练习"))</f>
        <v/>
      </c>
    </row>
    <row r="784" spans="12:29" ht="16" hidden="1" x14ac:dyDescent="0.2">
      <c r="L784" t="str">
        <f t="shared" si="48"/>
        <v/>
      </c>
      <c r="M784" t="str">
        <f>IF(L784="","", IFERROR(VLOOKUP(L784, IF(D784="KET", 换算标准!$M:$N, IF(D784="PET", 换算标准!$S:$T, 换算标准!$AC:$AD)), 2, TRUE), 0))</f>
        <v/>
      </c>
      <c r="P784" t="str">
        <f t="shared" si="49"/>
        <v/>
      </c>
      <c r="Q784" t="str">
        <f>IF(P784="","", IFERROR(VLOOKUP(P784, IF(D784="KET", 换算标准!$O:$P, IF(D784="PET", 换算标准!$U:$V, 换算标准!$AG:$AH)), 2, TRUE), 0))</f>
        <v/>
      </c>
      <c r="W784" t="str">
        <f t="shared" si="50"/>
        <v/>
      </c>
      <c r="X784" t="str">
        <f>IF(W784="","", IFERROR(VLOOKUP(W784, IF(D784="KET", 换算标准!$Q:$R, IF(D784="PET", 换算标准!$W:$X, 换算标准!$AI:$AJ)), 2, TRUE), 0))</f>
        <v/>
      </c>
      <c r="Y784" t="str">
        <f t="shared" si="51"/>
        <v/>
      </c>
      <c r="Z784" t="str">
        <f>IF(Y784="","", IFERROR(VLOOKUP(Y784, 换算标准!$Z:$AA, 1, TRUE), ""))</f>
        <v/>
      </c>
      <c r="AA784" s="5" t="str">
        <f>IF(L784="","", "⚠️ 薄弱环节: "&amp;INDEX($E$1:$K$1, MATCH(MIN(E784:K784), E784:K784, 0))&amp;CHAR(10)&amp;"📉 考察能力: "&amp;IFERROR(VLOOKUP(TRIM(D784)&amp;"_"&amp;TRIM(INDEX($E$1:$K$1, MATCH(MIN(E784:K784), E784:K784, 0))), 技能库!$A:$F, 5, 0),"建议查阅考纲")&amp;CHAR(10)&amp;"💡 提升建议: "&amp;IFERROR(VLOOKUP(TRIM(D784)&amp;"_"&amp;TRIM(INDEX($E$1:$K$1, MATCH(MIN(E784:K784), E784:K784, 0))), 技能库!$A:$F, 6, 0),"请针对该题型加强练习"))</f>
        <v/>
      </c>
      <c r="AB784" s="5" t="str">
        <f>IF(P784="","", "⚠️ 薄弱环节: "&amp;INDEX($N$1:$O$1, MATCH(MIN(N784:O784), N784:O784, 0))&amp;CHAR(10)&amp;"📉 考察能力: "&amp;IFERROR(VLOOKUP(TRIM(D784)&amp;"_"&amp;TRIM(INDEX($N$1:$O$1, MATCH(MIN(N784:O784), N784:O784, 0))), 技能库!$A:$F, 5, 0),"建议查阅考纲")&amp;CHAR(10)&amp;"💡 提升建议: "&amp;IFERROR(VLOOKUP(TRIM(D784)&amp;"_"&amp;TRIM(INDEX($N$1:$O$1, MATCH(MIN(N784:O784), N784:O784, 0))), 技能库!$A:$F, 6, 0),"请针对该题型加强练习"))</f>
        <v/>
      </c>
      <c r="AC784" s="5" t="str">
        <f>IF(W784="","", "⚠️ 薄弱环节: "&amp;INDEX($R$1:$V$1, MATCH(MIN(R784:V784), R784:V784, 0))&amp;CHAR(10)&amp;"📉 考察能力: "&amp;IFERROR(VLOOKUP(TRIM(D784)&amp;"_"&amp;TRIM(INDEX($R$1:$V$1, MATCH(MIN(R784:V784), R784:V784, 0))), 技能库!$A:$F, 5, 0),"建议查阅考纲")&amp;CHAR(10)&amp;"💡 提升建议: "&amp;IFERROR(VLOOKUP(TRIM(D784)&amp;"_"&amp;TRIM(INDEX($R$1:$V$1, MATCH(MIN(R784:V784), R784:V784, 0))), 技能库!$A:$F, 6, 0),"请针对该题型加强练习"))</f>
        <v/>
      </c>
    </row>
    <row r="785" spans="12:29" ht="16" hidden="1" x14ac:dyDescent="0.2">
      <c r="L785" t="str">
        <f t="shared" si="48"/>
        <v/>
      </c>
      <c r="M785" t="str">
        <f>IF(L785="","", IFERROR(VLOOKUP(L785, IF(D785="KET", 换算标准!$M:$N, IF(D785="PET", 换算标准!$S:$T, 换算标准!$AC:$AD)), 2, TRUE), 0))</f>
        <v/>
      </c>
      <c r="P785" t="str">
        <f t="shared" si="49"/>
        <v/>
      </c>
      <c r="Q785" t="str">
        <f>IF(P785="","", IFERROR(VLOOKUP(P785, IF(D785="KET", 换算标准!$O:$P, IF(D785="PET", 换算标准!$U:$V, 换算标准!$AG:$AH)), 2, TRUE), 0))</f>
        <v/>
      </c>
      <c r="W785" t="str">
        <f t="shared" si="50"/>
        <v/>
      </c>
      <c r="X785" t="str">
        <f>IF(W785="","", IFERROR(VLOOKUP(W785, IF(D785="KET", 换算标准!$Q:$R, IF(D785="PET", 换算标准!$W:$X, 换算标准!$AI:$AJ)), 2, TRUE), 0))</f>
        <v/>
      </c>
      <c r="Y785" t="str">
        <f t="shared" si="51"/>
        <v/>
      </c>
      <c r="Z785" t="str">
        <f>IF(Y785="","", IFERROR(VLOOKUP(Y785, 换算标准!$Z:$AA, 1, TRUE), ""))</f>
        <v/>
      </c>
      <c r="AA785" s="5" t="str">
        <f>IF(L785="","", "⚠️ 薄弱环节: "&amp;INDEX($E$1:$K$1, MATCH(MIN(E785:K785), E785:K785, 0))&amp;CHAR(10)&amp;"📉 考察能力: "&amp;IFERROR(VLOOKUP(TRIM(D785)&amp;"_"&amp;TRIM(INDEX($E$1:$K$1, MATCH(MIN(E785:K785), E785:K785, 0))), 技能库!$A:$F, 5, 0),"建议查阅考纲")&amp;CHAR(10)&amp;"💡 提升建议: "&amp;IFERROR(VLOOKUP(TRIM(D785)&amp;"_"&amp;TRIM(INDEX($E$1:$K$1, MATCH(MIN(E785:K785), E785:K785, 0))), 技能库!$A:$F, 6, 0),"请针对该题型加强练习"))</f>
        <v/>
      </c>
      <c r="AB785" s="5" t="str">
        <f>IF(P785="","", "⚠️ 薄弱环节: "&amp;INDEX($N$1:$O$1, MATCH(MIN(N785:O785), N785:O785, 0))&amp;CHAR(10)&amp;"📉 考察能力: "&amp;IFERROR(VLOOKUP(TRIM(D785)&amp;"_"&amp;TRIM(INDEX($N$1:$O$1, MATCH(MIN(N785:O785), N785:O785, 0))), 技能库!$A:$F, 5, 0),"建议查阅考纲")&amp;CHAR(10)&amp;"💡 提升建议: "&amp;IFERROR(VLOOKUP(TRIM(D785)&amp;"_"&amp;TRIM(INDEX($N$1:$O$1, MATCH(MIN(N785:O785), N785:O785, 0))), 技能库!$A:$F, 6, 0),"请针对该题型加强练习"))</f>
        <v/>
      </c>
      <c r="AC785" s="5" t="str">
        <f>IF(W785="","", "⚠️ 薄弱环节: "&amp;INDEX($R$1:$V$1, MATCH(MIN(R785:V785), R785:V785, 0))&amp;CHAR(10)&amp;"📉 考察能力: "&amp;IFERROR(VLOOKUP(TRIM(D785)&amp;"_"&amp;TRIM(INDEX($R$1:$V$1, MATCH(MIN(R785:V785), R785:V785, 0))), 技能库!$A:$F, 5, 0),"建议查阅考纲")&amp;CHAR(10)&amp;"💡 提升建议: "&amp;IFERROR(VLOOKUP(TRIM(D785)&amp;"_"&amp;TRIM(INDEX($R$1:$V$1, MATCH(MIN(R785:V785), R785:V785, 0))), 技能库!$A:$F, 6, 0),"请针对该题型加强练习"))</f>
        <v/>
      </c>
    </row>
    <row r="786" spans="12:29" ht="16" hidden="1" x14ac:dyDescent="0.2">
      <c r="L786" t="str">
        <f t="shared" si="48"/>
        <v/>
      </c>
      <c r="M786" t="str">
        <f>IF(L786="","", IFERROR(VLOOKUP(L786, IF(D786="KET", 换算标准!$M:$N, IF(D786="PET", 换算标准!$S:$T, 换算标准!$AC:$AD)), 2, TRUE), 0))</f>
        <v/>
      </c>
      <c r="P786" t="str">
        <f t="shared" si="49"/>
        <v/>
      </c>
      <c r="Q786" t="str">
        <f>IF(P786="","", IFERROR(VLOOKUP(P786, IF(D786="KET", 换算标准!$O:$P, IF(D786="PET", 换算标准!$U:$V, 换算标准!$AG:$AH)), 2, TRUE), 0))</f>
        <v/>
      </c>
      <c r="W786" t="str">
        <f t="shared" si="50"/>
        <v/>
      </c>
      <c r="X786" t="str">
        <f>IF(W786="","", IFERROR(VLOOKUP(W786, IF(D786="KET", 换算标准!$Q:$R, IF(D786="PET", 换算标准!$W:$X, 换算标准!$AI:$AJ)), 2, TRUE), 0))</f>
        <v/>
      </c>
      <c r="Y786" t="str">
        <f t="shared" si="51"/>
        <v/>
      </c>
      <c r="Z786" t="str">
        <f>IF(Y786="","", IFERROR(VLOOKUP(Y786, 换算标准!$Z:$AA, 1, TRUE), ""))</f>
        <v/>
      </c>
      <c r="AA786" s="5" t="str">
        <f>IF(L786="","", "⚠️ 薄弱环节: "&amp;INDEX($E$1:$K$1, MATCH(MIN(E786:K786), E786:K786, 0))&amp;CHAR(10)&amp;"📉 考察能力: "&amp;IFERROR(VLOOKUP(TRIM(D786)&amp;"_"&amp;TRIM(INDEX($E$1:$K$1, MATCH(MIN(E786:K786), E786:K786, 0))), 技能库!$A:$F, 5, 0),"建议查阅考纲")&amp;CHAR(10)&amp;"💡 提升建议: "&amp;IFERROR(VLOOKUP(TRIM(D786)&amp;"_"&amp;TRIM(INDEX($E$1:$K$1, MATCH(MIN(E786:K786), E786:K786, 0))), 技能库!$A:$F, 6, 0),"请针对该题型加强练习"))</f>
        <v/>
      </c>
      <c r="AB786" s="5" t="str">
        <f>IF(P786="","", "⚠️ 薄弱环节: "&amp;INDEX($N$1:$O$1, MATCH(MIN(N786:O786), N786:O786, 0))&amp;CHAR(10)&amp;"📉 考察能力: "&amp;IFERROR(VLOOKUP(TRIM(D786)&amp;"_"&amp;TRIM(INDEX($N$1:$O$1, MATCH(MIN(N786:O786), N786:O786, 0))), 技能库!$A:$F, 5, 0),"建议查阅考纲")&amp;CHAR(10)&amp;"💡 提升建议: "&amp;IFERROR(VLOOKUP(TRIM(D786)&amp;"_"&amp;TRIM(INDEX($N$1:$O$1, MATCH(MIN(N786:O786), N786:O786, 0))), 技能库!$A:$F, 6, 0),"请针对该题型加强练习"))</f>
        <v/>
      </c>
      <c r="AC786" s="5" t="str">
        <f>IF(W786="","", "⚠️ 薄弱环节: "&amp;INDEX($R$1:$V$1, MATCH(MIN(R786:V786), R786:V786, 0))&amp;CHAR(10)&amp;"📉 考察能力: "&amp;IFERROR(VLOOKUP(TRIM(D786)&amp;"_"&amp;TRIM(INDEX($R$1:$V$1, MATCH(MIN(R786:V786), R786:V786, 0))), 技能库!$A:$F, 5, 0),"建议查阅考纲")&amp;CHAR(10)&amp;"💡 提升建议: "&amp;IFERROR(VLOOKUP(TRIM(D786)&amp;"_"&amp;TRIM(INDEX($R$1:$V$1, MATCH(MIN(R786:V786), R786:V786, 0))), 技能库!$A:$F, 6, 0),"请针对该题型加强练习"))</f>
        <v/>
      </c>
    </row>
    <row r="787" spans="12:29" ht="16" hidden="1" x14ac:dyDescent="0.2">
      <c r="L787" t="str">
        <f t="shared" si="48"/>
        <v/>
      </c>
      <c r="M787" t="str">
        <f>IF(L787="","", IFERROR(VLOOKUP(L787, IF(D787="KET", 换算标准!$M:$N, IF(D787="PET", 换算标准!$S:$T, 换算标准!$AC:$AD)), 2, TRUE), 0))</f>
        <v/>
      </c>
      <c r="P787" t="str">
        <f t="shared" si="49"/>
        <v/>
      </c>
      <c r="Q787" t="str">
        <f>IF(P787="","", IFERROR(VLOOKUP(P787, IF(D787="KET", 换算标准!$O:$P, IF(D787="PET", 换算标准!$U:$V, 换算标准!$AG:$AH)), 2, TRUE), 0))</f>
        <v/>
      </c>
      <c r="W787" t="str">
        <f t="shared" si="50"/>
        <v/>
      </c>
      <c r="X787" t="str">
        <f>IF(W787="","", IFERROR(VLOOKUP(W787, IF(D787="KET", 换算标准!$Q:$R, IF(D787="PET", 换算标准!$W:$X, 换算标准!$AI:$AJ)), 2, TRUE), 0))</f>
        <v/>
      </c>
      <c r="Y787" t="str">
        <f t="shared" si="51"/>
        <v/>
      </c>
      <c r="Z787" t="str">
        <f>IF(Y787="","", IFERROR(VLOOKUP(Y787, 换算标准!$Z:$AA, 1, TRUE), ""))</f>
        <v/>
      </c>
      <c r="AA787" s="5" t="str">
        <f>IF(L787="","", "⚠️ 薄弱环节: "&amp;INDEX($E$1:$K$1, MATCH(MIN(E787:K787), E787:K787, 0))&amp;CHAR(10)&amp;"📉 考察能力: "&amp;IFERROR(VLOOKUP(TRIM(D787)&amp;"_"&amp;TRIM(INDEX($E$1:$K$1, MATCH(MIN(E787:K787), E787:K787, 0))), 技能库!$A:$F, 5, 0),"建议查阅考纲")&amp;CHAR(10)&amp;"💡 提升建议: "&amp;IFERROR(VLOOKUP(TRIM(D787)&amp;"_"&amp;TRIM(INDEX($E$1:$K$1, MATCH(MIN(E787:K787), E787:K787, 0))), 技能库!$A:$F, 6, 0),"请针对该题型加强练习"))</f>
        <v/>
      </c>
      <c r="AB787" s="5" t="str">
        <f>IF(P787="","", "⚠️ 薄弱环节: "&amp;INDEX($N$1:$O$1, MATCH(MIN(N787:O787), N787:O787, 0))&amp;CHAR(10)&amp;"📉 考察能力: "&amp;IFERROR(VLOOKUP(TRIM(D787)&amp;"_"&amp;TRIM(INDEX($N$1:$O$1, MATCH(MIN(N787:O787), N787:O787, 0))), 技能库!$A:$F, 5, 0),"建议查阅考纲")&amp;CHAR(10)&amp;"💡 提升建议: "&amp;IFERROR(VLOOKUP(TRIM(D787)&amp;"_"&amp;TRIM(INDEX($N$1:$O$1, MATCH(MIN(N787:O787), N787:O787, 0))), 技能库!$A:$F, 6, 0),"请针对该题型加强练习"))</f>
        <v/>
      </c>
      <c r="AC787" s="5" t="str">
        <f>IF(W787="","", "⚠️ 薄弱环节: "&amp;INDEX($R$1:$V$1, MATCH(MIN(R787:V787), R787:V787, 0))&amp;CHAR(10)&amp;"📉 考察能力: "&amp;IFERROR(VLOOKUP(TRIM(D787)&amp;"_"&amp;TRIM(INDEX($R$1:$V$1, MATCH(MIN(R787:V787), R787:V787, 0))), 技能库!$A:$F, 5, 0),"建议查阅考纲")&amp;CHAR(10)&amp;"💡 提升建议: "&amp;IFERROR(VLOOKUP(TRIM(D787)&amp;"_"&amp;TRIM(INDEX($R$1:$V$1, MATCH(MIN(R787:V787), R787:V787, 0))), 技能库!$A:$F, 6, 0),"请针对该题型加强练习"))</f>
        <v/>
      </c>
    </row>
    <row r="788" spans="12:29" ht="16" hidden="1" x14ac:dyDescent="0.2">
      <c r="L788" t="str">
        <f t="shared" si="48"/>
        <v/>
      </c>
      <c r="M788" t="str">
        <f>IF(L788="","", IFERROR(VLOOKUP(L788, IF(D788="KET", 换算标准!$M:$N, IF(D788="PET", 换算标准!$S:$T, 换算标准!$AC:$AD)), 2, TRUE), 0))</f>
        <v/>
      </c>
      <c r="P788" t="str">
        <f t="shared" si="49"/>
        <v/>
      </c>
      <c r="Q788" t="str">
        <f>IF(P788="","", IFERROR(VLOOKUP(P788, IF(D788="KET", 换算标准!$O:$P, IF(D788="PET", 换算标准!$U:$V, 换算标准!$AG:$AH)), 2, TRUE), 0))</f>
        <v/>
      </c>
      <c r="W788" t="str">
        <f t="shared" si="50"/>
        <v/>
      </c>
      <c r="X788" t="str">
        <f>IF(W788="","", IFERROR(VLOOKUP(W788, IF(D788="KET", 换算标准!$Q:$R, IF(D788="PET", 换算标准!$W:$X, 换算标准!$AI:$AJ)), 2, TRUE), 0))</f>
        <v/>
      </c>
      <c r="Y788" t="str">
        <f t="shared" si="51"/>
        <v/>
      </c>
      <c r="Z788" t="str">
        <f>IF(Y788="","", IFERROR(VLOOKUP(Y788, 换算标准!$Z:$AA, 1, TRUE), ""))</f>
        <v/>
      </c>
      <c r="AA788" s="5" t="str">
        <f>IF(L788="","", "⚠️ 薄弱环节: "&amp;INDEX($E$1:$K$1, MATCH(MIN(E788:K788), E788:K788, 0))&amp;CHAR(10)&amp;"📉 考察能力: "&amp;IFERROR(VLOOKUP(TRIM(D788)&amp;"_"&amp;TRIM(INDEX($E$1:$K$1, MATCH(MIN(E788:K788), E788:K788, 0))), 技能库!$A:$F, 5, 0),"建议查阅考纲")&amp;CHAR(10)&amp;"💡 提升建议: "&amp;IFERROR(VLOOKUP(TRIM(D788)&amp;"_"&amp;TRIM(INDEX($E$1:$K$1, MATCH(MIN(E788:K788), E788:K788, 0))), 技能库!$A:$F, 6, 0),"请针对该题型加强练习"))</f>
        <v/>
      </c>
      <c r="AB788" s="5" t="str">
        <f>IF(P788="","", "⚠️ 薄弱环节: "&amp;INDEX($N$1:$O$1, MATCH(MIN(N788:O788), N788:O788, 0))&amp;CHAR(10)&amp;"📉 考察能力: "&amp;IFERROR(VLOOKUP(TRIM(D788)&amp;"_"&amp;TRIM(INDEX($N$1:$O$1, MATCH(MIN(N788:O788), N788:O788, 0))), 技能库!$A:$F, 5, 0),"建议查阅考纲")&amp;CHAR(10)&amp;"💡 提升建议: "&amp;IFERROR(VLOOKUP(TRIM(D788)&amp;"_"&amp;TRIM(INDEX($N$1:$O$1, MATCH(MIN(N788:O788), N788:O788, 0))), 技能库!$A:$F, 6, 0),"请针对该题型加强练习"))</f>
        <v/>
      </c>
      <c r="AC788" s="5" t="str">
        <f>IF(W788="","", "⚠️ 薄弱环节: "&amp;INDEX($R$1:$V$1, MATCH(MIN(R788:V788), R788:V788, 0))&amp;CHAR(10)&amp;"📉 考察能力: "&amp;IFERROR(VLOOKUP(TRIM(D788)&amp;"_"&amp;TRIM(INDEX($R$1:$V$1, MATCH(MIN(R788:V788), R788:V788, 0))), 技能库!$A:$F, 5, 0),"建议查阅考纲")&amp;CHAR(10)&amp;"💡 提升建议: "&amp;IFERROR(VLOOKUP(TRIM(D788)&amp;"_"&amp;TRIM(INDEX($R$1:$V$1, MATCH(MIN(R788:V788), R788:V788, 0))), 技能库!$A:$F, 6, 0),"请针对该题型加强练习"))</f>
        <v/>
      </c>
    </row>
    <row r="789" spans="12:29" ht="16" hidden="1" x14ac:dyDescent="0.2">
      <c r="L789" t="str">
        <f t="shared" si="48"/>
        <v/>
      </c>
      <c r="M789" t="str">
        <f>IF(L789="","", IFERROR(VLOOKUP(L789, IF(D789="KET", 换算标准!$M:$N, IF(D789="PET", 换算标准!$S:$T, 换算标准!$AC:$AD)), 2, TRUE), 0))</f>
        <v/>
      </c>
      <c r="P789" t="str">
        <f t="shared" si="49"/>
        <v/>
      </c>
      <c r="Q789" t="str">
        <f>IF(P789="","", IFERROR(VLOOKUP(P789, IF(D789="KET", 换算标准!$O:$P, IF(D789="PET", 换算标准!$U:$V, 换算标准!$AG:$AH)), 2, TRUE), 0))</f>
        <v/>
      </c>
      <c r="W789" t="str">
        <f t="shared" si="50"/>
        <v/>
      </c>
      <c r="X789" t="str">
        <f>IF(W789="","", IFERROR(VLOOKUP(W789, IF(D789="KET", 换算标准!$Q:$R, IF(D789="PET", 换算标准!$W:$X, 换算标准!$AI:$AJ)), 2, TRUE), 0))</f>
        <v/>
      </c>
      <c r="Y789" t="str">
        <f t="shared" si="51"/>
        <v/>
      </c>
      <c r="Z789" t="str">
        <f>IF(Y789="","", IFERROR(VLOOKUP(Y789, 换算标准!$Z:$AA, 1, TRUE), ""))</f>
        <v/>
      </c>
      <c r="AA789" s="5" t="str">
        <f>IF(L789="","", "⚠️ 薄弱环节: "&amp;INDEX($E$1:$K$1, MATCH(MIN(E789:K789), E789:K789, 0))&amp;CHAR(10)&amp;"📉 考察能力: "&amp;IFERROR(VLOOKUP(TRIM(D789)&amp;"_"&amp;TRIM(INDEX($E$1:$K$1, MATCH(MIN(E789:K789), E789:K789, 0))), 技能库!$A:$F, 5, 0),"建议查阅考纲")&amp;CHAR(10)&amp;"💡 提升建议: "&amp;IFERROR(VLOOKUP(TRIM(D789)&amp;"_"&amp;TRIM(INDEX($E$1:$K$1, MATCH(MIN(E789:K789), E789:K789, 0))), 技能库!$A:$F, 6, 0),"请针对该题型加强练习"))</f>
        <v/>
      </c>
      <c r="AB789" s="5" t="str">
        <f>IF(P789="","", "⚠️ 薄弱环节: "&amp;INDEX($N$1:$O$1, MATCH(MIN(N789:O789), N789:O789, 0))&amp;CHAR(10)&amp;"📉 考察能力: "&amp;IFERROR(VLOOKUP(TRIM(D789)&amp;"_"&amp;TRIM(INDEX($N$1:$O$1, MATCH(MIN(N789:O789), N789:O789, 0))), 技能库!$A:$F, 5, 0),"建议查阅考纲")&amp;CHAR(10)&amp;"💡 提升建议: "&amp;IFERROR(VLOOKUP(TRIM(D789)&amp;"_"&amp;TRIM(INDEX($N$1:$O$1, MATCH(MIN(N789:O789), N789:O789, 0))), 技能库!$A:$F, 6, 0),"请针对该题型加强练习"))</f>
        <v/>
      </c>
      <c r="AC789" s="5" t="str">
        <f>IF(W789="","", "⚠️ 薄弱环节: "&amp;INDEX($R$1:$V$1, MATCH(MIN(R789:V789), R789:V789, 0))&amp;CHAR(10)&amp;"📉 考察能力: "&amp;IFERROR(VLOOKUP(TRIM(D789)&amp;"_"&amp;TRIM(INDEX($R$1:$V$1, MATCH(MIN(R789:V789), R789:V789, 0))), 技能库!$A:$F, 5, 0),"建议查阅考纲")&amp;CHAR(10)&amp;"💡 提升建议: "&amp;IFERROR(VLOOKUP(TRIM(D789)&amp;"_"&amp;TRIM(INDEX($R$1:$V$1, MATCH(MIN(R789:V789), R789:V789, 0))), 技能库!$A:$F, 6, 0),"请针对该题型加强练习"))</f>
        <v/>
      </c>
    </row>
    <row r="790" spans="12:29" ht="16" hidden="1" x14ac:dyDescent="0.2">
      <c r="L790" t="str">
        <f t="shared" si="48"/>
        <v/>
      </c>
      <c r="M790" t="str">
        <f>IF(L790="","", IFERROR(VLOOKUP(L790, IF(D790="KET", 换算标准!$M:$N, IF(D790="PET", 换算标准!$S:$T, 换算标准!$AC:$AD)), 2, TRUE), 0))</f>
        <v/>
      </c>
      <c r="P790" t="str">
        <f t="shared" si="49"/>
        <v/>
      </c>
      <c r="Q790" t="str">
        <f>IF(P790="","", IFERROR(VLOOKUP(P790, IF(D790="KET", 换算标准!$O:$P, IF(D790="PET", 换算标准!$U:$V, 换算标准!$AG:$AH)), 2, TRUE), 0))</f>
        <v/>
      </c>
      <c r="W790" t="str">
        <f t="shared" si="50"/>
        <v/>
      </c>
      <c r="X790" t="str">
        <f>IF(W790="","", IFERROR(VLOOKUP(W790, IF(D790="KET", 换算标准!$Q:$R, IF(D790="PET", 换算标准!$W:$X, 换算标准!$AI:$AJ)), 2, TRUE), 0))</f>
        <v/>
      </c>
      <c r="Y790" t="str">
        <f t="shared" si="51"/>
        <v/>
      </c>
      <c r="Z790" t="str">
        <f>IF(Y790="","", IFERROR(VLOOKUP(Y790, 换算标准!$Z:$AA, 1, TRUE), ""))</f>
        <v/>
      </c>
      <c r="AA790" s="5" t="str">
        <f>IF(L790="","", "⚠️ 薄弱环节: "&amp;INDEX($E$1:$K$1, MATCH(MIN(E790:K790), E790:K790, 0))&amp;CHAR(10)&amp;"📉 考察能力: "&amp;IFERROR(VLOOKUP(TRIM(D790)&amp;"_"&amp;TRIM(INDEX($E$1:$K$1, MATCH(MIN(E790:K790), E790:K790, 0))), 技能库!$A:$F, 5, 0),"建议查阅考纲")&amp;CHAR(10)&amp;"💡 提升建议: "&amp;IFERROR(VLOOKUP(TRIM(D790)&amp;"_"&amp;TRIM(INDEX($E$1:$K$1, MATCH(MIN(E790:K790), E790:K790, 0))), 技能库!$A:$F, 6, 0),"请针对该题型加强练习"))</f>
        <v/>
      </c>
      <c r="AB790" s="5" t="str">
        <f>IF(P790="","", "⚠️ 薄弱环节: "&amp;INDEX($N$1:$O$1, MATCH(MIN(N790:O790), N790:O790, 0))&amp;CHAR(10)&amp;"📉 考察能力: "&amp;IFERROR(VLOOKUP(TRIM(D790)&amp;"_"&amp;TRIM(INDEX($N$1:$O$1, MATCH(MIN(N790:O790), N790:O790, 0))), 技能库!$A:$F, 5, 0),"建议查阅考纲")&amp;CHAR(10)&amp;"💡 提升建议: "&amp;IFERROR(VLOOKUP(TRIM(D790)&amp;"_"&amp;TRIM(INDEX($N$1:$O$1, MATCH(MIN(N790:O790), N790:O790, 0))), 技能库!$A:$F, 6, 0),"请针对该题型加强练习"))</f>
        <v/>
      </c>
      <c r="AC790" s="5" t="str">
        <f>IF(W790="","", "⚠️ 薄弱环节: "&amp;INDEX($R$1:$V$1, MATCH(MIN(R790:V790), R790:V790, 0))&amp;CHAR(10)&amp;"📉 考察能力: "&amp;IFERROR(VLOOKUP(TRIM(D790)&amp;"_"&amp;TRIM(INDEX($R$1:$V$1, MATCH(MIN(R790:V790), R790:V790, 0))), 技能库!$A:$F, 5, 0),"建议查阅考纲")&amp;CHAR(10)&amp;"💡 提升建议: "&amp;IFERROR(VLOOKUP(TRIM(D790)&amp;"_"&amp;TRIM(INDEX($R$1:$V$1, MATCH(MIN(R790:V790), R790:V790, 0))), 技能库!$A:$F, 6, 0),"请针对该题型加强练习"))</f>
        <v/>
      </c>
    </row>
    <row r="791" spans="12:29" ht="16" hidden="1" x14ac:dyDescent="0.2">
      <c r="L791" t="str">
        <f t="shared" si="48"/>
        <v/>
      </c>
      <c r="M791" t="str">
        <f>IF(L791="","", IFERROR(VLOOKUP(L791, IF(D791="KET", 换算标准!$M:$N, IF(D791="PET", 换算标准!$S:$T, 换算标准!$AC:$AD)), 2, TRUE), 0))</f>
        <v/>
      </c>
      <c r="P791" t="str">
        <f t="shared" si="49"/>
        <v/>
      </c>
      <c r="Q791" t="str">
        <f>IF(P791="","", IFERROR(VLOOKUP(P791, IF(D791="KET", 换算标准!$O:$P, IF(D791="PET", 换算标准!$U:$V, 换算标准!$AG:$AH)), 2, TRUE), 0))</f>
        <v/>
      </c>
      <c r="W791" t="str">
        <f t="shared" si="50"/>
        <v/>
      </c>
      <c r="X791" t="str">
        <f>IF(W791="","", IFERROR(VLOOKUP(W791, IF(D791="KET", 换算标准!$Q:$R, IF(D791="PET", 换算标准!$W:$X, 换算标准!$AI:$AJ)), 2, TRUE), 0))</f>
        <v/>
      </c>
      <c r="Y791" t="str">
        <f t="shared" si="51"/>
        <v/>
      </c>
      <c r="Z791" t="str">
        <f>IF(Y791="","", IFERROR(VLOOKUP(Y791, 换算标准!$Z:$AA, 1, TRUE), ""))</f>
        <v/>
      </c>
      <c r="AA791" s="5" t="str">
        <f>IF(L791="","", "⚠️ 薄弱环节: "&amp;INDEX($E$1:$K$1, MATCH(MIN(E791:K791), E791:K791, 0))&amp;CHAR(10)&amp;"📉 考察能力: "&amp;IFERROR(VLOOKUP(TRIM(D791)&amp;"_"&amp;TRIM(INDEX($E$1:$K$1, MATCH(MIN(E791:K791), E791:K791, 0))), 技能库!$A:$F, 5, 0),"建议查阅考纲")&amp;CHAR(10)&amp;"💡 提升建议: "&amp;IFERROR(VLOOKUP(TRIM(D791)&amp;"_"&amp;TRIM(INDEX($E$1:$K$1, MATCH(MIN(E791:K791), E791:K791, 0))), 技能库!$A:$F, 6, 0),"请针对该题型加强练习"))</f>
        <v/>
      </c>
      <c r="AB791" s="5" t="str">
        <f>IF(P791="","", "⚠️ 薄弱环节: "&amp;INDEX($N$1:$O$1, MATCH(MIN(N791:O791), N791:O791, 0))&amp;CHAR(10)&amp;"📉 考察能力: "&amp;IFERROR(VLOOKUP(TRIM(D791)&amp;"_"&amp;TRIM(INDEX($N$1:$O$1, MATCH(MIN(N791:O791), N791:O791, 0))), 技能库!$A:$F, 5, 0),"建议查阅考纲")&amp;CHAR(10)&amp;"💡 提升建议: "&amp;IFERROR(VLOOKUP(TRIM(D791)&amp;"_"&amp;TRIM(INDEX($N$1:$O$1, MATCH(MIN(N791:O791), N791:O791, 0))), 技能库!$A:$F, 6, 0),"请针对该题型加强练习"))</f>
        <v/>
      </c>
      <c r="AC791" s="5" t="str">
        <f>IF(W791="","", "⚠️ 薄弱环节: "&amp;INDEX($R$1:$V$1, MATCH(MIN(R791:V791), R791:V791, 0))&amp;CHAR(10)&amp;"📉 考察能力: "&amp;IFERROR(VLOOKUP(TRIM(D791)&amp;"_"&amp;TRIM(INDEX($R$1:$V$1, MATCH(MIN(R791:V791), R791:V791, 0))), 技能库!$A:$F, 5, 0),"建议查阅考纲")&amp;CHAR(10)&amp;"💡 提升建议: "&amp;IFERROR(VLOOKUP(TRIM(D791)&amp;"_"&amp;TRIM(INDEX($R$1:$V$1, MATCH(MIN(R791:V791), R791:V791, 0))), 技能库!$A:$F, 6, 0),"请针对该题型加强练习"))</f>
        <v/>
      </c>
    </row>
    <row r="792" spans="12:29" ht="16" hidden="1" x14ac:dyDescent="0.2">
      <c r="L792" t="str">
        <f t="shared" si="48"/>
        <v/>
      </c>
      <c r="M792" t="str">
        <f>IF(L792="","", IFERROR(VLOOKUP(L792, IF(D792="KET", 换算标准!$M:$N, IF(D792="PET", 换算标准!$S:$T, 换算标准!$AC:$AD)), 2, TRUE), 0))</f>
        <v/>
      </c>
      <c r="P792" t="str">
        <f t="shared" si="49"/>
        <v/>
      </c>
      <c r="Q792" t="str">
        <f>IF(P792="","", IFERROR(VLOOKUP(P792, IF(D792="KET", 换算标准!$O:$P, IF(D792="PET", 换算标准!$U:$V, 换算标准!$AG:$AH)), 2, TRUE), 0))</f>
        <v/>
      </c>
      <c r="W792" t="str">
        <f t="shared" si="50"/>
        <v/>
      </c>
      <c r="X792" t="str">
        <f>IF(W792="","", IFERROR(VLOOKUP(W792, IF(D792="KET", 换算标准!$Q:$R, IF(D792="PET", 换算标准!$W:$X, 换算标准!$AI:$AJ)), 2, TRUE), 0))</f>
        <v/>
      </c>
      <c r="Y792" t="str">
        <f t="shared" si="51"/>
        <v/>
      </c>
      <c r="Z792" t="str">
        <f>IF(Y792="","", IFERROR(VLOOKUP(Y792, 换算标准!$Z:$AA, 1, TRUE), ""))</f>
        <v/>
      </c>
      <c r="AA792" s="5" t="str">
        <f>IF(L792="","", "⚠️ 薄弱环节: "&amp;INDEX($E$1:$K$1, MATCH(MIN(E792:K792), E792:K792, 0))&amp;CHAR(10)&amp;"📉 考察能力: "&amp;IFERROR(VLOOKUP(TRIM(D792)&amp;"_"&amp;TRIM(INDEX($E$1:$K$1, MATCH(MIN(E792:K792), E792:K792, 0))), 技能库!$A:$F, 5, 0),"建议查阅考纲")&amp;CHAR(10)&amp;"💡 提升建议: "&amp;IFERROR(VLOOKUP(TRIM(D792)&amp;"_"&amp;TRIM(INDEX($E$1:$K$1, MATCH(MIN(E792:K792), E792:K792, 0))), 技能库!$A:$F, 6, 0),"请针对该题型加强练习"))</f>
        <v/>
      </c>
      <c r="AB792" s="5" t="str">
        <f>IF(P792="","", "⚠️ 薄弱环节: "&amp;INDEX($N$1:$O$1, MATCH(MIN(N792:O792), N792:O792, 0))&amp;CHAR(10)&amp;"📉 考察能力: "&amp;IFERROR(VLOOKUP(TRIM(D792)&amp;"_"&amp;TRIM(INDEX($N$1:$O$1, MATCH(MIN(N792:O792), N792:O792, 0))), 技能库!$A:$F, 5, 0),"建议查阅考纲")&amp;CHAR(10)&amp;"💡 提升建议: "&amp;IFERROR(VLOOKUP(TRIM(D792)&amp;"_"&amp;TRIM(INDEX($N$1:$O$1, MATCH(MIN(N792:O792), N792:O792, 0))), 技能库!$A:$F, 6, 0),"请针对该题型加强练习"))</f>
        <v/>
      </c>
      <c r="AC792" s="5" t="str">
        <f>IF(W792="","", "⚠️ 薄弱环节: "&amp;INDEX($R$1:$V$1, MATCH(MIN(R792:V792), R792:V792, 0))&amp;CHAR(10)&amp;"📉 考察能力: "&amp;IFERROR(VLOOKUP(TRIM(D792)&amp;"_"&amp;TRIM(INDEX($R$1:$V$1, MATCH(MIN(R792:V792), R792:V792, 0))), 技能库!$A:$F, 5, 0),"建议查阅考纲")&amp;CHAR(10)&amp;"💡 提升建议: "&amp;IFERROR(VLOOKUP(TRIM(D792)&amp;"_"&amp;TRIM(INDEX($R$1:$V$1, MATCH(MIN(R792:V792), R792:V792, 0))), 技能库!$A:$F, 6, 0),"请针对该题型加强练习"))</f>
        <v/>
      </c>
    </row>
    <row r="793" spans="12:29" ht="16" hidden="1" x14ac:dyDescent="0.2">
      <c r="L793" t="str">
        <f t="shared" si="48"/>
        <v/>
      </c>
      <c r="M793" t="str">
        <f>IF(L793="","", IFERROR(VLOOKUP(L793, IF(D793="KET", 换算标准!$M:$N, IF(D793="PET", 换算标准!$S:$T, 换算标准!$AC:$AD)), 2, TRUE), 0))</f>
        <v/>
      </c>
      <c r="P793" t="str">
        <f t="shared" si="49"/>
        <v/>
      </c>
      <c r="Q793" t="str">
        <f>IF(P793="","", IFERROR(VLOOKUP(P793, IF(D793="KET", 换算标准!$O:$P, IF(D793="PET", 换算标准!$U:$V, 换算标准!$AG:$AH)), 2, TRUE), 0))</f>
        <v/>
      </c>
      <c r="W793" t="str">
        <f t="shared" si="50"/>
        <v/>
      </c>
      <c r="X793" t="str">
        <f>IF(W793="","", IFERROR(VLOOKUP(W793, IF(D793="KET", 换算标准!$Q:$R, IF(D793="PET", 换算标准!$W:$X, 换算标准!$AI:$AJ)), 2, TRUE), 0))</f>
        <v/>
      </c>
      <c r="Y793" t="str">
        <f t="shared" si="51"/>
        <v/>
      </c>
      <c r="Z793" t="str">
        <f>IF(Y793="","", IFERROR(VLOOKUP(Y793, 换算标准!$Z:$AA, 1, TRUE), ""))</f>
        <v/>
      </c>
      <c r="AA793" s="5" t="str">
        <f>IF(L793="","", "⚠️ 薄弱环节: "&amp;INDEX($E$1:$K$1, MATCH(MIN(E793:K793), E793:K793, 0))&amp;CHAR(10)&amp;"📉 考察能力: "&amp;IFERROR(VLOOKUP(TRIM(D793)&amp;"_"&amp;TRIM(INDEX($E$1:$K$1, MATCH(MIN(E793:K793), E793:K793, 0))), 技能库!$A:$F, 5, 0),"建议查阅考纲")&amp;CHAR(10)&amp;"💡 提升建议: "&amp;IFERROR(VLOOKUP(TRIM(D793)&amp;"_"&amp;TRIM(INDEX($E$1:$K$1, MATCH(MIN(E793:K793), E793:K793, 0))), 技能库!$A:$F, 6, 0),"请针对该题型加强练习"))</f>
        <v/>
      </c>
      <c r="AB793" s="5" t="str">
        <f>IF(P793="","", "⚠️ 薄弱环节: "&amp;INDEX($N$1:$O$1, MATCH(MIN(N793:O793), N793:O793, 0))&amp;CHAR(10)&amp;"📉 考察能力: "&amp;IFERROR(VLOOKUP(TRIM(D793)&amp;"_"&amp;TRIM(INDEX($N$1:$O$1, MATCH(MIN(N793:O793), N793:O793, 0))), 技能库!$A:$F, 5, 0),"建议查阅考纲")&amp;CHAR(10)&amp;"💡 提升建议: "&amp;IFERROR(VLOOKUP(TRIM(D793)&amp;"_"&amp;TRIM(INDEX($N$1:$O$1, MATCH(MIN(N793:O793), N793:O793, 0))), 技能库!$A:$F, 6, 0),"请针对该题型加强练习"))</f>
        <v/>
      </c>
      <c r="AC793" s="5" t="str">
        <f>IF(W793="","", "⚠️ 薄弱环节: "&amp;INDEX($R$1:$V$1, MATCH(MIN(R793:V793), R793:V793, 0))&amp;CHAR(10)&amp;"📉 考察能力: "&amp;IFERROR(VLOOKUP(TRIM(D793)&amp;"_"&amp;TRIM(INDEX($R$1:$V$1, MATCH(MIN(R793:V793), R793:V793, 0))), 技能库!$A:$F, 5, 0),"建议查阅考纲")&amp;CHAR(10)&amp;"💡 提升建议: "&amp;IFERROR(VLOOKUP(TRIM(D793)&amp;"_"&amp;TRIM(INDEX($R$1:$V$1, MATCH(MIN(R793:V793), R793:V793, 0))), 技能库!$A:$F, 6, 0),"请针对该题型加强练习"))</f>
        <v/>
      </c>
    </row>
    <row r="794" spans="12:29" ht="16" hidden="1" x14ac:dyDescent="0.2">
      <c r="L794" t="str">
        <f t="shared" si="48"/>
        <v/>
      </c>
      <c r="M794" t="str">
        <f>IF(L794="","", IFERROR(VLOOKUP(L794, IF(D794="KET", 换算标准!$M:$N, IF(D794="PET", 换算标准!$S:$T, 换算标准!$AC:$AD)), 2, TRUE), 0))</f>
        <v/>
      </c>
      <c r="P794" t="str">
        <f t="shared" si="49"/>
        <v/>
      </c>
      <c r="Q794" t="str">
        <f>IF(P794="","", IFERROR(VLOOKUP(P794, IF(D794="KET", 换算标准!$O:$P, IF(D794="PET", 换算标准!$U:$V, 换算标准!$AG:$AH)), 2, TRUE), 0))</f>
        <v/>
      </c>
      <c r="W794" t="str">
        <f t="shared" si="50"/>
        <v/>
      </c>
      <c r="X794" t="str">
        <f>IF(W794="","", IFERROR(VLOOKUP(W794, IF(D794="KET", 换算标准!$Q:$R, IF(D794="PET", 换算标准!$W:$X, 换算标准!$AI:$AJ)), 2, TRUE), 0))</f>
        <v/>
      </c>
      <c r="Y794" t="str">
        <f t="shared" si="51"/>
        <v/>
      </c>
      <c r="Z794" t="str">
        <f>IF(Y794="","", IFERROR(VLOOKUP(Y794, 换算标准!$Z:$AA, 1, TRUE), ""))</f>
        <v/>
      </c>
      <c r="AA794" s="5" t="str">
        <f>IF(L794="","", "⚠️ 薄弱环节: "&amp;INDEX($E$1:$K$1, MATCH(MIN(E794:K794), E794:K794, 0))&amp;CHAR(10)&amp;"📉 考察能力: "&amp;IFERROR(VLOOKUP(TRIM(D794)&amp;"_"&amp;TRIM(INDEX($E$1:$K$1, MATCH(MIN(E794:K794), E794:K794, 0))), 技能库!$A:$F, 5, 0),"建议查阅考纲")&amp;CHAR(10)&amp;"💡 提升建议: "&amp;IFERROR(VLOOKUP(TRIM(D794)&amp;"_"&amp;TRIM(INDEX($E$1:$K$1, MATCH(MIN(E794:K794), E794:K794, 0))), 技能库!$A:$F, 6, 0),"请针对该题型加强练习"))</f>
        <v/>
      </c>
      <c r="AB794" s="5" t="str">
        <f>IF(P794="","", "⚠️ 薄弱环节: "&amp;INDEX($N$1:$O$1, MATCH(MIN(N794:O794), N794:O794, 0))&amp;CHAR(10)&amp;"📉 考察能力: "&amp;IFERROR(VLOOKUP(TRIM(D794)&amp;"_"&amp;TRIM(INDEX($N$1:$O$1, MATCH(MIN(N794:O794), N794:O794, 0))), 技能库!$A:$F, 5, 0),"建议查阅考纲")&amp;CHAR(10)&amp;"💡 提升建议: "&amp;IFERROR(VLOOKUP(TRIM(D794)&amp;"_"&amp;TRIM(INDEX($N$1:$O$1, MATCH(MIN(N794:O794), N794:O794, 0))), 技能库!$A:$F, 6, 0),"请针对该题型加强练习"))</f>
        <v/>
      </c>
      <c r="AC794" s="5" t="str">
        <f>IF(W794="","", "⚠️ 薄弱环节: "&amp;INDEX($R$1:$V$1, MATCH(MIN(R794:V794), R794:V794, 0))&amp;CHAR(10)&amp;"📉 考察能力: "&amp;IFERROR(VLOOKUP(TRIM(D794)&amp;"_"&amp;TRIM(INDEX($R$1:$V$1, MATCH(MIN(R794:V794), R794:V794, 0))), 技能库!$A:$F, 5, 0),"建议查阅考纲")&amp;CHAR(10)&amp;"💡 提升建议: "&amp;IFERROR(VLOOKUP(TRIM(D794)&amp;"_"&amp;TRIM(INDEX($R$1:$V$1, MATCH(MIN(R794:V794), R794:V794, 0))), 技能库!$A:$F, 6, 0),"请针对该题型加强练习"))</f>
        <v/>
      </c>
    </row>
    <row r="795" spans="12:29" ht="16" hidden="1" x14ac:dyDescent="0.2">
      <c r="L795" t="str">
        <f t="shared" si="48"/>
        <v/>
      </c>
      <c r="M795" t="str">
        <f>IF(L795="","", IFERROR(VLOOKUP(L795, IF(D795="KET", 换算标准!$M:$N, IF(D795="PET", 换算标准!$S:$T, 换算标准!$AC:$AD)), 2, TRUE), 0))</f>
        <v/>
      </c>
      <c r="P795" t="str">
        <f t="shared" si="49"/>
        <v/>
      </c>
      <c r="Q795" t="str">
        <f>IF(P795="","", IFERROR(VLOOKUP(P795, IF(D795="KET", 换算标准!$O:$P, IF(D795="PET", 换算标准!$U:$V, 换算标准!$AG:$AH)), 2, TRUE), 0))</f>
        <v/>
      </c>
      <c r="W795" t="str">
        <f t="shared" si="50"/>
        <v/>
      </c>
      <c r="X795" t="str">
        <f>IF(W795="","", IFERROR(VLOOKUP(W795, IF(D795="KET", 换算标准!$Q:$R, IF(D795="PET", 换算标准!$W:$X, 换算标准!$AI:$AJ)), 2, TRUE), 0))</f>
        <v/>
      </c>
      <c r="Y795" t="str">
        <f t="shared" si="51"/>
        <v/>
      </c>
      <c r="Z795" t="str">
        <f>IF(Y795="","", IFERROR(VLOOKUP(Y795, 换算标准!$Z:$AA, 1, TRUE), ""))</f>
        <v/>
      </c>
      <c r="AA795" s="5" t="str">
        <f>IF(L795="","", "⚠️ 薄弱环节: "&amp;INDEX($E$1:$K$1, MATCH(MIN(E795:K795), E795:K795, 0))&amp;CHAR(10)&amp;"📉 考察能力: "&amp;IFERROR(VLOOKUP(TRIM(D795)&amp;"_"&amp;TRIM(INDEX($E$1:$K$1, MATCH(MIN(E795:K795), E795:K795, 0))), 技能库!$A:$F, 5, 0),"建议查阅考纲")&amp;CHAR(10)&amp;"💡 提升建议: "&amp;IFERROR(VLOOKUP(TRIM(D795)&amp;"_"&amp;TRIM(INDEX($E$1:$K$1, MATCH(MIN(E795:K795), E795:K795, 0))), 技能库!$A:$F, 6, 0),"请针对该题型加强练习"))</f>
        <v/>
      </c>
      <c r="AB795" s="5" t="str">
        <f>IF(P795="","", "⚠️ 薄弱环节: "&amp;INDEX($N$1:$O$1, MATCH(MIN(N795:O795), N795:O795, 0))&amp;CHAR(10)&amp;"📉 考察能力: "&amp;IFERROR(VLOOKUP(TRIM(D795)&amp;"_"&amp;TRIM(INDEX($N$1:$O$1, MATCH(MIN(N795:O795), N795:O795, 0))), 技能库!$A:$F, 5, 0),"建议查阅考纲")&amp;CHAR(10)&amp;"💡 提升建议: "&amp;IFERROR(VLOOKUP(TRIM(D795)&amp;"_"&amp;TRIM(INDEX($N$1:$O$1, MATCH(MIN(N795:O795), N795:O795, 0))), 技能库!$A:$F, 6, 0),"请针对该题型加强练习"))</f>
        <v/>
      </c>
      <c r="AC795" s="5" t="str">
        <f>IF(W795="","", "⚠️ 薄弱环节: "&amp;INDEX($R$1:$V$1, MATCH(MIN(R795:V795), R795:V795, 0))&amp;CHAR(10)&amp;"📉 考察能力: "&amp;IFERROR(VLOOKUP(TRIM(D795)&amp;"_"&amp;TRIM(INDEX($R$1:$V$1, MATCH(MIN(R795:V795), R795:V795, 0))), 技能库!$A:$F, 5, 0),"建议查阅考纲")&amp;CHAR(10)&amp;"💡 提升建议: "&amp;IFERROR(VLOOKUP(TRIM(D795)&amp;"_"&amp;TRIM(INDEX($R$1:$V$1, MATCH(MIN(R795:V795), R795:V795, 0))), 技能库!$A:$F, 6, 0),"请针对该题型加强练习"))</f>
        <v/>
      </c>
    </row>
    <row r="796" spans="12:29" ht="16" hidden="1" x14ac:dyDescent="0.2">
      <c r="L796" t="str">
        <f t="shared" si="48"/>
        <v/>
      </c>
      <c r="M796" t="str">
        <f>IF(L796="","", IFERROR(VLOOKUP(L796, IF(D796="KET", 换算标准!$M:$N, IF(D796="PET", 换算标准!$S:$T, 换算标准!$AC:$AD)), 2, TRUE), 0))</f>
        <v/>
      </c>
      <c r="P796" t="str">
        <f t="shared" si="49"/>
        <v/>
      </c>
      <c r="Q796" t="str">
        <f>IF(P796="","", IFERROR(VLOOKUP(P796, IF(D796="KET", 换算标准!$O:$P, IF(D796="PET", 换算标准!$U:$V, 换算标准!$AG:$AH)), 2, TRUE), 0))</f>
        <v/>
      </c>
      <c r="W796" t="str">
        <f t="shared" si="50"/>
        <v/>
      </c>
      <c r="X796" t="str">
        <f>IF(W796="","", IFERROR(VLOOKUP(W796, IF(D796="KET", 换算标准!$Q:$R, IF(D796="PET", 换算标准!$W:$X, 换算标准!$AI:$AJ)), 2, TRUE), 0))</f>
        <v/>
      </c>
      <c r="Y796" t="str">
        <f t="shared" si="51"/>
        <v/>
      </c>
      <c r="Z796" t="str">
        <f>IF(Y796="","", IFERROR(VLOOKUP(Y796, 换算标准!$Z:$AA, 1, TRUE), ""))</f>
        <v/>
      </c>
      <c r="AA796" s="5" t="str">
        <f>IF(L796="","", "⚠️ 薄弱环节: "&amp;INDEX($E$1:$K$1, MATCH(MIN(E796:K796), E796:K796, 0))&amp;CHAR(10)&amp;"📉 考察能力: "&amp;IFERROR(VLOOKUP(TRIM(D796)&amp;"_"&amp;TRIM(INDEX($E$1:$K$1, MATCH(MIN(E796:K796), E796:K796, 0))), 技能库!$A:$F, 5, 0),"建议查阅考纲")&amp;CHAR(10)&amp;"💡 提升建议: "&amp;IFERROR(VLOOKUP(TRIM(D796)&amp;"_"&amp;TRIM(INDEX($E$1:$K$1, MATCH(MIN(E796:K796), E796:K796, 0))), 技能库!$A:$F, 6, 0),"请针对该题型加强练习"))</f>
        <v/>
      </c>
      <c r="AB796" s="5" t="str">
        <f>IF(P796="","", "⚠️ 薄弱环节: "&amp;INDEX($N$1:$O$1, MATCH(MIN(N796:O796), N796:O796, 0))&amp;CHAR(10)&amp;"📉 考察能力: "&amp;IFERROR(VLOOKUP(TRIM(D796)&amp;"_"&amp;TRIM(INDEX($N$1:$O$1, MATCH(MIN(N796:O796), N796:O796, 0))), 技能库!$A:$F, 5, 0),"建议查阅考纲")&amp;CHAR(10)&amp;"💡 提升建议: "&amp;IFERROR(VLOOKUP(TRIM(D796)&amp;"_"&amp;TRIM(INDEX($N$1:$O$1, MATCH(MIN(N796:O796), N796:O796, 0))), 技能库!$A:$F, 6, 0),"请针对该题型加强练习"))</f>
        <v/>
      </c>
      <c r="AC796" s="5" t="str">
        <f>IF(W796="","", "⚠️ 薄弱环节: "&amp;INDEX($R$1:$V$1, MATCH(MIN(R796:V796), R796:V796, 0))&amp;CHAR(10)&amp;"📉 考察能力: "&amp;IFERROR(VLOOKUP(TRIM(D796)&amp;"_"&amp;TRIM(INDEX($R$1:$V$1, MATCH(MIN(R796:V796), R796:V796, 0))), 技能库!$A:$F, 5, 0),"建议查阅考纲")&amp;CHAR(10)&amp;"💡 提升建议: "&amp;IFERROR(VLOOKUP(TRIM(D796)&amp;"_"&amp;TRIM(INDEX($R$1:$V$1, MATCH(MIN(R796:V796), R796:V796, 0))), 技能库!$A:$F, 6, 0),"请针对该题型加强练习"))</f>
        <v/>
      </c>
    </row>
    <row r="797" spans="12:29" ht="16" hidden="1" x14ac:dyDescent="0.2">
      <c r="L797" t="str">
        <f t="shared" si="48"/>
        <v/>
      </c>
      <c r="M797" t="str">
        <f>IF(L797="","", IFERROR(VLOOKUP(L797, IF(D797="KET", 换算标准!$M:$N, IF(D797="PET", 换算标准!$S:$T, 换算标准!$AC:$AD)), 2, TRUE), 0))</f>
        <v/>
      </c>
      <c r="P797" t="str">
        <f t="shared" si="49"/>
        <v/>
      </c>
      <c r="Q797" t="str">
        <f>IF(P797="","", IFERROR(VLOOKUP(P797, IF(D797="KET", 换算标准!$O:$P, IF(D797="PET", 换算标准!$U:$V, 换算标准!$AG:$AH)), 2, TRUE), 0))</f>
        <v/>
      </c>
      <c r="W797" t="str">
        <f t="shared" si="50"/>
        <v/>
      </c>
      <c r="X797" t="str">
        <f>IF(W797="","", IFERROR(VLOOKUP(W797, IF(D797="KET", 换算标准!$Q:$R, IF(D797="PET", 换算标准!$W:$X, 换算标准!$AI:$AJ)), 2, TRUE), 0))</f>
        <v/>
      </c>
      <c r="Y797" t="str">
        <f t="shared" si="51"/>
        <v/>
      </c>
      <c r="Z797" t="str">
        <f>IF(Y797="","", IFERROR(VLOOKUP(Y797, 换算标准!$Z:$AA, 1, TRUE), ""))</f>
        <v/>
      </c>
      <c r="AA797" s="5" t="str">
        <f>IF(L797="","", "⚠️ 薄弱环节: "&amp;INDEX($E$1:$K$1, MATCH(MIN(E797:K797), E797:K797, 0))&amp;CHAR(10)&amp;"📉 考察能力: "&amp;IFERROR(VLOOKUP(TRIM(D797)&amp;"_"&amp;TRIM(INDEX($E$1:$K$1, MATCH(MIN(E797:K797), E797:K797, 0))), 技能库!$A:$F, 5, 0),"建议查阅考纲")&amp;CHAR(10)&amp;"💡 提升建议: "&amp;IFERROR(VLOOKUP(TRIM(D797)&amp;"_"&amp;TRIM(INDEX($E$1:$K$1, MATCH(MIN(E797:K797), E797:K797, 0))), 技能库!$A:$F, 6, 0),"请针对该题型加强练习"))</f>
        <v/>
      </c>
      <c r="AB797" s="5" t="str">
        <f>IF(P797="","", "⚠️ 薄弱环节: "&amp;INDEX($N$1:$O$1, MATCH(MIN(N797:O797), N797:O797, 0))&amp;CHAR(10)&amp;"📉 考察能力: "&amp;IFERROR(VLOOKUP(TRIM(D797)&amp;"_"&amp;TRIM(INDEX($N$1:$O$1, MATCH(MIN(N797:O797), N797:O797, 0))), 技能库!$A:$F, 5, 0),"建议查阅考纲")&amp;CHAR(10)&amp;"💡 提升建议: "&amp;IFERROR(VLOOKUP(TRIM(D797)&amp;"_"&amp;TRIM(INDEX($N$1:$O$1, MATCH(MIN(N797:O797), N797:O797, 0))), 技能库!$A:$F, 6, 0),"请针对该题型加强练习"))</f>
        <v/>
      </c>
      <c r="AC797" s="5" t="str">
        <f>IF(W797="","", "⚠️ 薄弱环节: "&amp;INDEX($R$1:$V$1, MATCH(MIN(R797:V797), R797:V797, 0))&amp;CHAR(10)&amp;"📉 考察能力: "&amp;IFERROR(VLOOKUP(TRIM(D797)&amp;"_"&amp;TRIM(INDEX($R$1:$V$1, MATCH(MIN(R797:V797), R797:V797, 0))), 技能库!$A:$F, 5, 0),"建议查阅考纲")&amp;CHAR(10)&amp;"💡 提升建议: "&amp;IFERROR(VLOOKUP(TRIM(D797)&amp;"_"&amp;TRIM(INDEX($R$1:$V$1, MATCH(MIN(R797:V797), R797:V797, 0))), 技能库!$A:$F, 6, 0),"请针对该题型加强练习"))</f>
        <v/>
      </c>
    </row>
    <row r="798" spans="12:29" ht="16" hidden="1" x14ac:dyDescent="0.2">
      <c r="L798" t="str">
        <f t="shared" si="48"/>
        <v/>
      </c>
      <c r="M798" t="str">
        <f>IF(L798="","", IFERROR(VLOOKUP(L798, IF(D798="KET", 换算标准!$M:$N, IF(D798="PET", 换算标准!$S:$T, 换算标准!$AC:$AD)), 2, TRUE), 0))</f>
        <v/>
      </c>
      <c r="P798" t="str">
        <f t="shared" si="49"/>
        <v/>
      </c>
      <c r="Q798" t="str">
        <f>IF(P798="","", IFERROR(VLOOKUP(P798, IF(D798="KET", 换算标准!$O:$P, IF(D798="PET", 换算标准!$U:$V, 换算标准!$AG:$AH)), 2, TRUE), 0))</f>
        <v/>
      </c>
      <c r="W798" t="str">
        <f t="shared" si="50"/>
        <v/>
      </c>
      <c r="X798" t="str">
        <f>IF(W798="","", IFERROR(VLOOKUP(W798, IF(D798="KET", 换算标准!$Q:$R, IF(D798="PET", 换算标准!$W:$X, 换算标准!$AI:$AJ)), 2, TRUE), 0))</f>
        <v/>
      </c>
      <c r="Y798" t="str">
        <f t="shared" si="51"/>
        <v/>
      </c>
      <c r="Z798" t="str">
        <f>IF(Y798="","", IFERROR(VLOOKUP(Y798, 换算标准!$Z:$AA, 1, TRUE), ""))</f>
        <v/>
      </c>
      <c r="AA798" s="5" t="str">
        <f>IF(L798="","", "⚠️ 薄弱环节: "&amp;INDEX($E$1:$K$1, MATCH(MIN(E798:K798), E798:K798, 0))&amp;CHAR(10)&amp;"📉 考察能力: "&amp;IFERROR(VLOOKUP(TRIM(D798)&amp;"_"&amp;TRIM(INDEX($E$1:$K$1, MATCH(MIN(E798:K798), E798:K798, 0))), 技能库!$A:$F, 5, 0),"建议查阅考纲")&amp;CHAR(10)&amp;"💡 提升建议: "&amp;IFERROR(VLOOKUP(TRIM(D798)&amp;"_"&amp;TRIM(INDEX($E$1:$K$1, MATCH(MIN(E798:K798), E798:K798, 0))), 技能库!$A:$F, 6, 0),"请针对该题型加强练习"))</f>
        <v/>
      </c>
      <c r="AB798" s="5" t="str">
        <f>IF(P798="","", "⚠️ 薄弱环节: "&amp;INDEX($N$1:$O$1, MATCH(MIN(N798:O798), N798:O798, 0))&amp;CHAR(10)&amp;"📉 考察能力: "&amp;IFERROR(VLOOKUP(TRIM(D798)&amp;"_"&amp;TRIM(INDEX($N$1:$O$1, MATCH(MIN(N798:O798), N798:O798, 0))), 技能库!$A:$F, 5, 0),"建议查阅考纲")&amp;CHAR(10)&amp;"💡 提升建议: "&amp;IFERROR(VLOOKUP(TRIM(D798)&amp;"_"&amp;TRIM(INDEX($N$1:$O$1, MATCH(MIN(N798:O798), N798:O798, 0))), 技能库!$A:$F, 6, 0),"请针对该题型加强练习"))</f>
        <v/>
      </c>
      <c r="AC798" s="5" t="str">
        <f>IF(W798="","", "⚠️ 薄弱环节: "&amp;INDEX($R$1:$V$1, MATCH(MIN(R798:V798), R798:V798, 0))&amp;CHAR(10)&amp;"📉 考察能力: "&amp;IFERROR(VLOOKUP(TRIM(D798)&amp;"_"&amp;TRIM(INDEX($R$1:$V$1, MATCH(MIN(R798:V798), R798:V798, 0))), 技能库!$A:$F, 5, 0),"建议查阅考纲")&amp;CHAR(10)&amp;"💡 提升建议: "&amp;IFERROR(VLOOKUP(TRIM(D798)&amp;"_"&amp;TRIM(INDEX($R$1:$V$1, MATCH(MIN(R798:V798), R798:V798, 0))), 技能库!$A:$F, 6, 0),"请针对该题型加强练习"))</f>
        <v/>
      </c>
    </row>
    <row r="799" spans="12:29" ht="16" hidden="1" x14ac:dyDescent="0.2">
      <c r="L799" t="str">
        <f t="shared" si="48"/>
        <v/>
      </c>
      <c r="M799" t="str">
        <f>IF(L799="","", IFERROR(VLOOKUP(L799, IF(D799="KET", 换算标准!$M:$N, IF(D799="PET", 换算标准!$S:$T, 换算标准!$AC:$AD)), 2, TRUE), 0))</f>
        <v/>
      </c>
      <c r="P799" t="str">
        <f t="shared" si="49"/>
        <v/>
      </c>
      <c r="Q799" t="str">
        <f>IF(P799="","", IFERROR(VLOOKUP(P799, IF(D799="KET", 换算标准!$O:$P, IF(D799="PET", 换算标准!$U:$V, 换算标准!$AG:$AH)), 2, TRUE), 0))</f>
        <v/>
      </c>
      <c r="W799" t="str">
        <f t="shared" si="50"/>
        <v/>
      </c>
      <c r="X799" t="str">
        <f>IF(W799="","", IFERROR(VLOOKUP(W799, IF(D799="KET", 换算标准!$Q:$R, IF(D799="PET", 换算标准!$W:$X, 换算标准!$AI:$AJ)), 2, TRUE), 0))</f>
        <v/>
      </c>
      <c r="Y799" t="str">
        <f t="shared" si="51"/>
        <v/>
      </c>
      <c r="Z799" t="str">
        <f>IF(Y799="","", IFERROR(VLOOKUP(Y799, 换算标准!$Z:$AA, 1, TRUE), ""))</f>
        <v/>
      </c>
      <c r="AA799" s="5" t="str">
        <f>IF(L799="","", "⚠️ 薄弱环节: "&amp;INDEX($E$1:$K$1, MATCH(MIN(E799:K799), E799:K799, 0))&amp;CHAR(10)&amp;"📉 考察能力: "&amp;IFERROR(VLOOKUP(TRIM(D799)&amp;"_"&amp;TRIM(INDEX($E$1:$K$1, MATCH(MIN(E799:K799), E799:K799, 0))), 技能库!$A:$F, 5, 0),"建议查阅考纲")&amp;CHAR(10)&amp;"💡 提升建议: "&amp;IFERROR(VLOOKUP(TRIM(D799)&amp;"_"&amp;TRIM(INDEX($E$1:$K$1, MATCH(MIN(E799:K799), E799:K799, 0))), 技能库!$A:$F, 6, 0),"请针对该题型加强练习"))</f>
        <v/>
      </c>
      <c r="AB799" s="5" t="str">
        <f>IF(P799="","", "⚠️ 薄弱环节: "&amp;INDEX($N$1:$O$1, MATCH(MIN(N799:O799), N799:O799, 0))&amp;CHAR(10)&amp;"📉 考察能力: "&amp;IFERROR(VLOOKUP(TRIM(D799)&amp;"_"&amp;TRIM(INDEX($N$1:$O$1, MATCH(MIN(N799:O799), N799:O799, 0))), 技能库!$A:$F, 5, 0),"建议查阅考纲")&amp;CHAR(10)&amp;"💡 提升建议: "&amp;IFERROR(VLOOKUP(TRIM(D799)&amp;"_"&amp;TRIM(INDEX($N$1:$O$1, MATCH(MIN(N799:O799), N799:O799, 0))), 技能库!$A:$F, 6, 0),"请针对该题型加强练习"))</f>
        <v/>
      </c>
      <c r="AC799" s="5" t="str">
        <f>IF(W799="","", "⚠️ 薄弱环节: "&amp;INDEX($R$1:$V$1, MATCH(MIN(R799:V799), R799:V799, 0))&amp;CHAR(10)&amp;"📉 考察能力: "&amp;IFERROR(VLOOKUP(TRIM(D799)&amp;"_"&amp;TRIM(INDEX($R$1:$V$1, MATCH(MIN(R799:V799), R799:V799, 0))), 技能库!$A:$F, 5, 0),"建议查阅考纲")&amp;CHAR(10)&amp;"💡 提升建议: "&amp;IFERROR(VLOOKUP(TRIM(D799)&amp;"_"&amp;TRIM(INDEX($R$1:$V$1, MATCH(MIN(R799:V799), R799:V799, 0))), 技能库!$A:$F, 6, 0),"请针对该题型加强练习"))</f>
        <v/>
      </c>
    </row>
    <row r="800" spans="12:29" ht="16" hidden="1" x14ac:dyDescent="0.2">
      <c r="L800" t="str">
        <f t="shared" si="48"/>
        <v/>
      </c>
      <c r="M800" t="str">
        <f>IF(L800="","", IFERROR(VLOOKUP(L800, IF(D800="KET", 换算标准!$M:$N, IF(D800="PET", 换算标准!$S:$T, 换算标准!$AC:$AD)), 2, TRUE), 0))</f>
        <v/>
      </c>
      <c r="P800" t="str">
        <f t="shared" si="49"/>
        <v/>
      </c>
      <c r="Q800" t="str">
        <f>IF(P800="","", IFERROR(VLOOKUP(P800, IF(D800="KET", 换算标准!$O:$P, IF(D800="PET", 换算标准!$U:$V, 换算标准!$AG:$AH)), 2, TRUE), 0))</f>
        <v/>
      </c>
      <c r="W800" t="str">
        <f t="shared" si="50"/>
        <v/>
      </c>
      <c r="X800" t="str">
        <f>IF(W800="","", IFERROR(VLOOKUP(W800, IF(D800="KET", 换算标准!$Q:$R, IF(D800="PET", 换算标准!$W:$X, 换算标准!$AI:$AJ)), 2, TRUE), 0))</f>
        <v/>
      </c>
      <c r="Y800" t="str">
        <f t="shared" si="51"/>
        <v/>
      </c>
      <c r="Z800" t="str">
        <f>IF(Y800="","", IFERROR(VLOOKUP(Y800, 换算标准!$Z:$AA, 1, TRUE), ""))</f>
        <v/>
      </c>
      <c r="AA800" s="5" t="str">
        <f>IF(L800="","", "⚠️ 薄弱环节: "&amp;INDEX($E$1:$K$1, MATCH(MIN(E800:K800), E800:K800, 0))&amp;CHAR(10)&amp;"📉 考察能力: "&amp;IFERROR(VLOOKUP(TRIM(D800)&amp;"_"&amp;TRIM(INDEX($E$1:$K$1, MATCH(MIN(E800:K800), E800:K800, 0))), 技能库!$A:$F, 5, 0),"建议查阅考纲")&amp;CHAR(10)&amp;"💡 提升建议: "&amp;IFERROR(VLOOKUP(TRIM(D800)&amp;"_"&amp;TRIM(INDEX($E$1:$K$1, MATCH(MIN(E800:K800), E800:K800, 0))), 技能库!$A:$F, 6, 0),"请针对该题型加强练习"))</f>
        <v/>
      </c>
      <c r="AB800" s="5" t="str">
        <f>IF(P800="","", "⚠️ 薄弱环节: "&amp;INDEX($N$1:$O$1, MATCH(MIN(N800:O800), N800:O800, 0))&amp;CHAR(10)&amp;"📉 考察能力: "&amp;IFERROR(VLOOKUP(TRIM(D800)&amp;"_"&amp;TRIM(INDEX($N$1:$O$1, MATCH(MIN(N800:O800), N800:O800, 0))), 技能库!$A:$F, 5, 0),"建议查阅考纲")&amp;CHAR(10)&amp;"💡 提升建议: "&amp;IFERROR(VLOOKUP(TRIM(D800)&amp;"_"&amp;TRIM(INDEX($N$1:$O$1, MATCH(MIN(N800:O800), N800:O800, 0))), 技能库!$A:$F, 6, 0),"请针对该题型加强练习"))</f>
        <v/>
      </c>
      <c r="AC800" s="5" t="str">
        <f>IF(W800="","", "⚠️ 薄弱环节: "&amp;INDEX($R$1:$V$1, MATCH(MIN(R800:V800), R800:V800, 0))&amp;CHAR(10)&amp;"📉 考察能力: "&amp;IFERROR(VLOOKUP(TRIM(D800)&amp;"_"&amp;TRIM(INDEX($R$1:$V$1, MATCH(MIN(R800:V800), R800:V800, 0))), 技能库!$A:$F, 5, 0),"建议查阅考纲")&amp;CHAR(10)&amp;"💡 提升建议: "&amp;IFERROR(VLOOKUP(TRIM(D800)&amp;"_"&amp;TRIM(INDEX($R$1:$V$1, MATCH(MIN(R800:V800), R800:V800, 0))), 技能库!$A:$F, 6, 0),"请针对该题型加强练习"))</f>
        <v/>
      </c>
    </row>
    <row r="801" spans="12:29" ht="16" hidden="1" x14ac:dyDescent="0.2">
      <c r="L801" t="str">
        <f t="shared" si="48"/>
        <v/>
      </c>
      <c r="M801" t="str">
        <f>IF(L801="","", IFERROR(VLOOKUP(L801, IF(D801="KET", 换算标准!$M:$N, IF(D801="PET", 换算标准!$S:$T, 换算标准!$AC:$AD)), 2, TRUE), 0))</f>
        <v/>
      </c>
      <c r="P801" t="str">
        <f t="shared" si="49"/>
        <v/>
      </c>
      <c r="Q801" t="str">
        <f>IF(P801="","", IFERROR(VLOOKUP(P801, IF(D801="KET", 换算标准!$O:$P, IF(D801="PET", 换算标准!$U:$V, 换算标准!$AG:$AH)), 2, TRUE), 0))</f>
        <v/>
      </c>
      <c r="W801" t="str">
        <f t="shared" si="50"/>
        <v/>
      </c>
      <c r="X801" t="str">
        <f>IF(W801="","", IFERROR(VLOOKUP(W801, IF(D801="KET", 换算标准!$Q:$R, IF(D801="PET", 换算标准!$W:$X, 换算标准!$AI:$AJ)), 2, TRUE), 0))</f>
        <v/>
      </c>
      <c r="Y801" t="str">
        <f t="shared" si="51"/>
        <v/>
      </c>
      <c r="Z801" t="str">
        <f>IF(Y801="","", IFERROR(VLOOKUP(Y801, 换算标准!$Z:$AA, 1, TRUE), ""))</f>
        <v/>
      </c>
      <c r="AA801" s="5" t="str">
        <f>IF(L801="","", "⚠️ 薄弱环节: "&amp;INDEX($E$1:$K$1, MATCH(MIN(E801:K801), E801:K801, 0))&amp;CHAR(10)&amp;"📉 考察能力: "&amp;IFERROR(VLOOKUP(TRIM(D801)&amp;"_"&amp;TRIM(INDEX($E$1:$K$1, MATCH(MIN(E801:K801), E801:K801, 0))), 技能库!$A:$F, 5, 0),"建议查阅考纲")&amp;CHAR(10)&amp;"💡 提升建议: "&amp;IFERROR(VLOOKUP(TRIM(D801)&amp;"_"&amp;TRIM(INDEX($E$1:$K$1, MATCH(MIN(E801:K801), E801:K801, 0))), 技能库!$A:$F, 6, 0),"请针对该题型加强练习"))</f>
        <v/>
      </c>
      <c r="AB801" s="5" t="str">
        <f>IF(P801="","", "⚠️ 薄弱环节: "&amp;INDEX($N$1:$O$1, MATCH(MIN(N801:O801), N801:O801, 0))&amp;CHAR(10)&amp;"📉 考察能力: "&amp;IFERROR(VLOOKUP(TRIM(D801)&amp;"_"&amp;TRIM(INDEX($N$1:$O$1, MATCH(MIN(N801:O801), N801:O801, 0))), 技能库!$A:$F, 5, 0),"建议查阅考纲")&amp;CHAR(10)&amp;"💡 提升建议: "&amp;IFERROR(VLOOKUP(TRIM(D801)&amp;"_"&amp;TRIM(INDEX($N$1:$O$1, MATCH(MIN(N801:O801), N801:O801, 0))), 技能库!$A:$F, 6, 0),"请针对该题型加强练习"))</f>
        <v/>
      </c>
      <c r="AC801" s="5" t="str">
        <f>IF(W801="","", "⚠️ 薄弱环节: "&amp;INDEX($R$1:$V$1, MATCH(MIN(R801:V801), R801:V801, 0))&amp;CHAR(10)&amp;"📉 考察能力: "&amp;IFERROR(VLOOKUP(TRIM(D801)&amp;"_"&amp;TRIM(INDEX($R$1:$V$1, MATCH(MIN(R801:V801), R801:V801, 0))), 技能库!$A:$F, 5, 0),"建议查阅考纲")&amp;CHAR(10)&amp;"💡 提升建议: "&amp;IFERROR(VLOOKUP(TRIM(D801)&amp;"_"&amp;TRIM(INDEX($R$1:$V$1, MATCH(MIN(R801:V801), R801:V801, 0))), 技能库!$A:$F, 6, 0),"请针对该题型加强练习"))</f>
        <v/>
      </c>
    </row>
    <row r="802" spans="12:29" ht="16" hidden="1" x14ac:dyDescent="0.2">
      <c r="L802" t="str">
        <f t="shared" si="48"/>
        <v/>
      </c>
      <c r="M802" t="str">
        <f>IF(L802="","", IFERROR(VLOOKUP(L802, IF(D802="KET", 换算标准!$M:$N, IF(D802="PET", 换算标准!$S:$T, 换算标准!$AC:$AD)), 2, TRUE), 0))</f>
        <v/>
      </c>
      <c r="P802" t="str">
        <f t="shared" si="49"/>
        <v/>
      </c>
      <c r="Q802" t="str">
        <f>IF(P802="","", IFERROR(VLOOKUP(P802, IF(D802="KET", 换算标准!$O:$P, IF(D802="PET", 换算标准!$U:$V, 换算标准!$AG:$AH)), 2, TRUE), 0))</f>
        <v/>
      </c>
      <c r="W802" t="str">
        <f t="shared" si="50"/>
        <v/>
      </c>
      <c r="X802" t="str">
        <f>IF(W802="","", IFERROR(VLOOKUP(W802, IF(D802="KET", 换算标准!$Q:$R, IF(D802="PET", 换算标准!$W:$X, 换算标准!$AI:$AJ)), 2, TRUE), 0))</f>
        <v/>
      </c>
      <c r="Y802" t="str">
        <f t="shared" si="51"/>
        <v/>
      </c>
      <c r="Z802" t="str">
        <f>IF(Y802="","", IFERROR(VLOOKUP(Y802, 换算标准!$Z:$AA, 1, TRUE), ""))</f>
        <v/>
      </c>
      <c r="AA802" s="5" t="str">
        <f>IF(L802="","", "⚠️ 薄弱环节: "&amp;INDEX($E$1:$K$1, MATCH(MIN(E802:K802), E802:K802, 0))&amp;CHAR(10)&amp;"📉 考察能力: "&amp;IFERROR(VLOOKUP(TRIM(D802)&amp;"_"&amp;TRIM(INDEX($E$1:$K$1, MATCH(MIN(E802:K802), E802:K802, 0))), 技能库!$A:$F, 5, 0),"建议查阅考纲")&amp;CHAR(10)&amp;"💡 提升建议: "&amp;IFERROR(VLOOKUP(TRIM(D802)&amp;"_"&amp;TRIM(INDEX($E$1:$K$1, MATCH(MIN(E802:K802), E802:K802, 0))), 技能库!$A:$F, 6, 0),"请针对该题型加强练习"))</f>
        <v/>
      </c>
      <c r="AB802" s="5" t="str">
        <f>IF(P802="","", "⚠️ 薄弱环节: "&amp;INDEX($N$1:$O$1, MATCH(MIN(N802:O802), N802:O802, 0))&amp;CHAR(10)&amp;"📉 考察能力: "&amp;IFERROR(VLOOKUP(TRIM(D802)&amp;"_"&amp;TRIM(INDEX($N$1:$O$1, MATCH(MIN(N802:O802), N802:O802, 0))), 技能库!$A:$F, 5, 0),"建议查阅考纲")&amp;CHAR(10)&amp;"💡 提升建议: "&amp;IFERROR(VLOOKUP(TRIM(D802)&amp;"_"&amp;TRIM(INDEX($N$1:$O$1, MATCH(MIN(N802:O802), N802:O802, 0))), 技能库!$A:$F, 6, 0),"请针对该题型加强练习"))</f>
        <v/>
      </c>
      <c r="AC802" s="5" t="str">
        <f>IF(W802="","", "⚠️ 薄弱环节: "&amp;INDEX($R$1:$V$1, MATCH(MIN(R802:V802), R802:V802, 0))&amp;CHAR(10)&amp;"📉 考察能力: "&amp;IFERROR(VLOOKUP(TRIM(D802)&amp;"_"&amp;TRIM(INDEX($R$1:$V$1, MATCH(MIN(R802:V802), R802:V802, 0))), 技能库!$A:$F, 5, 0),"建议查阅考纲")&amp;CHAR(10)&amp;"💡 提升建议: "&amp;IFERROR(VLOOKUP(TRIM(D802)&amp;"_"&amp;TRIM(INDEX($R$1:$V$1, MATCH(MIN(R802:V802), R802:V802, 0))), 技能库!$A:$F, 6, 0),"请针对该题型加强练习"))</f>
        <v/>
      </c>
    </row>
    <row r="803" spans="12:29" ht="16" hidden="1" x14ac:dyDescent="0.2">
      <c r="L803" t="str">
        <f t="shared" si="48"/>
        <v/>
      </c>
      <c r="M803" t="str">
        <f>IF(L803="","", IFERROR(VLOOKUP(L803, IF(D803="KET", 换算标准!$M:$N, IF(D803="PET", 换算标准!$S:$T, 换算标准!$AC:$AD)), 2, TRUE), 0))</f>
        <v/>
      </c>
      <c r="P803" t="str">
        <f t="shared" si="49"/>
        <v/>
      </c>
      <c r="Q803" t="str">
        <f>IF(P803="","", IFERROR(VLOOKUP(P803, IF(D803="KET", 换算标准!$O:$P, IF(D803="PET", 换算标准!$U:$V, 换算标准!$AG:$AH)), 2, TRUE), 0))</f>
        <v/>
      </c>
      <c r="W803" t="str">
        <f t="shared" si="50"/>
        <v/>
      </c>
      <c r="X803" t="str">
        <f>IF(W803="","", IFERROR(VLOOKUP(W803, IF(D803="KET", 换算标准!$Q:$R, IF(D803="PET", 换算标准!$W:$X, 换算标准!$AI:$AJ)), 2, TRUE), 0))</f>
        <v/>
      </c>
      <c r="Y803" t="str">
        <f t="shared" si="51"/>
        <v/>
      </c>
      <c r="Z803" t="str">
        <f>IF(Y803="","", IFERROR(VLOOKUP(Y803, 换算标准!$Z:$AA, 1, TRUE), ""))</f>
        <v/>
      </c>
      <c r="AA803" s="5" t="str">
        <f>IF(L803="","", "⚠️ 薄弱环节: "&amp;INDEX($E$1:$K$1, MATCH(MIN(E803:K803), E803:K803, 0))&amp;CHAR(10)&amp;"📉 考察能力: "&amp;IFERROR(VLOOKUP(TRIM(D803)&amp;"_"&amp;TRIM(INDEX($E$1:$K$1, MATCH(MIN(E803:K803), E803:K803, 0))), 技能库!$A:$F, 5, 0),"建议查阅考纲")&amp;CHAR(10)&amp;"💡 提升建议: "&amp;IFERROR(VLOOKUP(TRIM(D803)&amp;"_"&amp;TRIM(INDEX($E$1:$K$1, MATCH(MIN(E803:K803), E803:K803, 0))), 技能库!$A:$F, 6, 0),"请针对该题型加强练习"))</f>
        <v/>
      </c>
      <c r="AB803" s="5" t="str">
        <f>IF(P803="","", "⚠️ 薄弱环节: "&amp;INDEX($N$1:$O$1, MATCH(MIN(N803:O803), N803:O803, 0))&amp;CHAR(10)&amp;"📉 考察能力: "&amp;IFERROR(VLOOKUP(TRIM(D803)&amp;"_"&amp;TRIM(INDEX($N$1:$O$1, MATCH(MIN(N803:O803), N803:O803, 0))), 技能库!$A:$F, 5, 0),"建议查阅考纲")&amp;CHAR(10)&amp;"💡 提升建议: "&amp;IFERROR(VLOOKUP(TRIM(D803)&amp;"_"&amp;TRIM(INDEX($N$1:$O$1, MATCH(MIN(N803:O803), N803:O803, 0))), 技能库!$A:$F, 6, 0),"请针对该题型加强练习"))</f>
        <v/>
      </c>
      <c r="AC803" s="5" t="str">
        <f>IF(W803="","", "⚠️ 薄弱环节: "&amp;INDEX($R$1:$V$1, MATCH(MIN(R803:V803), R803:V803, 0))&amp;CHAR(10)&amp;"📉 考察能力: "&amp;IFERROR(VLOOKUP(TRIM(D803)&amp;"_"&amp;TRIM(INDEX($R$1:$V$1, MATCH(MIN(R803:V803), R803:V803, 0))), 技能库!$A:$F, 5, 0),"建议查阅考纲")&amp;CHAR(10)&amp;"💡 提升建议: "&amp;IFERROR(VLOOKUP(TRIM(D803)&amp;"_"&amp;TRIM(INDEX($R$1:$V$1, MATCH(MIN(R803:V803), R803:V803, 0))), 技能库!$A:$F, 6, 0),"请针对该题型加强练习"))</f>
        <v/>
      </c>
    </row>
    <row r="804" spans="12:29" ht="16" hidden="1" x14ac:dyDescent="0.2">
      <c r="L804" t="str">
        <f t="shared" si="48"/>
        <v/>
      </c>
      <c r="M804" t="str">
        <f>IF(L804="","", IFERROR(VLOOKUP(L804, IF(D804="KET", 换算标准!$M:$N, IF(D804="PET", 换算标准!$S:$T, 换算标准!$AC:$AD)), 2, TRUE), 0))</f>
        <v/>
      </c>
      <c r="P804" t="str">
        <f t="shared" si="49"/>
        <v/>
      </c>
      <c r="Q804" t="str">
        <f>IF(P804="","", IFERROR(VLOOKUP(P804, IF(D804="KET", 换算标准!$O:$P, IF(D804="PET", 换算标准!$U:$V, 换算标准!$AG:$AH)), 2, TRUE), 0))</f>
        <v/>
      </c>
      <c r="W804" t="str">
        <f t="shared" si="50"/>
        <v/>
      </c>
      <c r="X804" t="str">
        <f>IF(W804="","", IFERROR(VLOOKUP(W804, IF(D804="KET", 换算标准!$Q:$R, IF(D804="PET", 换算标准!$W:$X, 换算标准!$AI:$AJ)), 2, TRUE), 0))</f>
        <v/>
      </c>
      <c r="Y804" t="str">
        <f t="shared" si="51"/>
        <v/>
      </c>
      <c r="Z804" t="str">
        <f>IF(Y804="","", IFERROR(VLOOKUP(Y804, 换算标准!$Z:$AA, 1, TRUE), ""))</f>
        <v/>
      </c>
      <c r="AA804" s="5" t="str">
        <f>IF(L804="","", "⚠️ 薄弱环节: "&amp;INDEX($E$1:$K$1, MATCH(MIN(E804:K804), E804:K804, 0))&amp;CHAR(10)&amp;"📉 考察能力: "&amp;IFERROR(VLOOKUP(TRIM(D804)&amp;"_"&amp;TRIM(INDEX($E$1:$K$1, MATCH(MIN(E804:K804), E804:K804, 0))), 技能库!$A:$F, 5, 0),"建议查阅考纲")&amp;CHAR(10)&amp;"💡 提升建议: "&amp;IFERROR(VLOOKUP(TRIM(D804)&amp;"_"&amp;TRIM(INDEX($E$1:$K$1, MATCH(MIN(E804:K804), E804:K804, 0))), 技能库!$A:$F, 6, 0),"请针对该题型加强练习"))</f>
        <v/>
      </c>
      <c r="AB804" s="5" t="str">
        <f>IF(P804="","", "⚠️ 薄弱环节: "&amp;INDEX($N$1:$O$1, MATCH(MIN(N804:O804), N804:O804, 0))&amp;CHAR(10)&amp;"📉 考察能力: "&amp;IFERROR(VLOOKUP(TRIM(D804)&amp;"_"&amp;TRIM(INDEX($N$1:$O$1, MATCH(MIN(N804:O804), N804:O804, 0))), 技能库!$A:$F, 5, 0),"建议查阅考纲")&amp;CHAR(10)&amp;"💡 提升建议: "&amp;IFERROR(VLOOKUP(TRIM(D804)&amp;"_"&amp;TRIM(INDEX($N$1:$O$1, MATCH(MIN(N804:O804), N804:O804, 0))), 技能库!$A:$F, 6, 0),"请针对该题型加强练习"))</f>
        <v/>
      </c>
      <c r="AC804" s="5" t="str">
        <f>IF(W804="","", "⚠️ 薄弱环节: "&amp;INDEX($R$1:$V$1, MATCH(MIN(R804:V804), R804:V804, 0))&amp;CHAR(10)&amp;"📉 考察能力: "&amp;IFERROR(VLOOKUP(TRIM(D804)&amp;"_"&amp;TRIM(INDEX($R$1:$V$1, MATCH(MIN(R804:V804), R804:V804, 0))), 技能库!$A:$F, 5, 0),"建议查阅考纲")&amp;CHAR(10)&amp;"💡 提升建议: "&amp;IFERROR(VLOOKUP(TRIM(D804)&amp;"_"&amp;TRIM(INDEX($R$1:$V$1, MATCH(MIN(R804:V804), R804:V804, 0))), 技能库!$A:$F, 6, 0),"请针对该题型加强练习"))</f>
        <v/>
      </c>
    </row>
    <row r="805" spans="12:29" ht="16" hidden="1" x14ac:dyDescent="0.2">
      <c r="L805" t="str">
        <f t="shared" si="48"/>
        <v/>
      </c>
      <c r="M805" t="str">
        <f>IF(L805="","", IFERROR(VLOOKUP(L805, IF(D805="KET", 换算标准!$M:$N, IF(D805="PET", 换算标准!$S:$T, 换算标准!$AC:$AD)), 2, TRUE), 0))</f>
        <v/>
      </c>
      <c r="P805" t="str">
        <f t="shared" si="49"/>
        <v/>
      </c>
      <c r="Q805" t="str">
        <f>IF(P805="","", IFERROR(VLOOKUP(P805, IF(D805="KET", 换算标准!$O:$P, IF(D805="PET", 换算标准!$U:$V, 换算标准!$AG:$AH)), 2, TRUE), 0))</f>
        <v/>
      </c>
      <c r="W805" t="str">
        <f t="shared" si="50"/>
        <v/>
      </c>
      <c r="X805" t="str">
        <f>IF(W805="","", IFERROR(VLOOKUP(W805, IF(D805="KET", 换算标准!$Q:$R, IF(D805="PET", 换算标准!$W:$X, 换算标准!$AI:$AJ)), 2, TRUE), 0))</f>
        <v/>
      </c>
      <c r="Y805" t="str">
        <f t="shared" si="51"/>
        <v/>
      </c>
      <c r="Z805" t="str">
        <f>IF(Y805="","", IFERROR(VLOOKUP(Y805, 换算标准!$Z:$AA, 1, TRUE), ""))</f>
        <v/>
      </c>
      <c r="AA805" s="5" t="str">
        <f>IF(L805="","", "⚠️ 薄弱环节: "&amp;INDEX($E$1:$K$1, MATCH(MIN(E805:K805), E805:K805, 0))&amp;CHAR(10)&amp;"📉 考察能力: "&amp;IFERROR(VLOOKUP(TRIM(D805)&amp;"_"&amp;TRIM(INDEX($E$1:$K$1, MATCH(MIN(E805:K805), E805:K805, 0))), 技能库!$A:$F, 5, 0),"建议查阅考纲")&amp;CHAR(10)&amp;"💡 提升建议: "&amp;IFERROR(VLOOKUP(TRIM(D805)&amp;"_"&amp;TRIM(INDEX($E$1:$K$1, MATCH(MIN(E805:K805), E805:K805, 0))), 技能库!$A:$F, 6, 0),"请针对该题型加强练习"))</f>
        <v/>
      </c>
      <c r="AB805" s="5" t="str">
        <f>IF(P805="","", "⚠️ 薄弱环节: "&amp;INDEX($N$1:$O$1, MATCH(MIN(N805:O805), N805:O805, 0))&amp;CHAR(10)&amp;"📉 考察能力: "&amp;IFERROR(VLOOKUP(TRIM(D805)&amp;"_"&amp;TRIM(INDEX($N$1:$O$1, MATCH(MIN(N805:O805), N805:O805, 0))), 技能库!$A:$F, 5, 0),"建议查阅考纲")&amp;CHAR(10)&amp;"💡 提升建议: "&amp;IFERROR(VLOOKUP(TRIM(D805)&amp;"_"&amp;TRIM(INDEX($N$1:$O$1, MATCH(MIN(N805:O805), N805:O805, 0))), 技能库!$A:$F, 6, 0),"请针对该题型加强练习"))</f>
        <v/>
      </c>
      <c r="AC805" s="5" t="str">
        <f>IF(W805="","", "⚠️ 薄弱环节: "&amp;INDEX($R$1:$V$1, MATCH(MIN(R805:V805), R805:V805, 0))&amp;CHAR(10)&amp;"📉 考察能力: "&amp;IFERROR(VLOOKUP(TRIM(D805)&amp;"_"&amp;TRIM(INDEX($R$1:$V$1, MATCH(MIN(R805:V805), R805:V805, 0))), 技能库!$A:$F, 5, 0),"建议查阅考纲")&amp;CHAR(10)&amp;"💡 提升建议: "&amp;IFERROR(VLOOKUP(TRIM(D805)&amp;"_"&amp;TRIM(INDEX($R$1:$V$1, MATCH(MIN(R805:V805), R805:V805, 0))), 技能库!$A:$F, 6, 0),"请针对该题型加强练习"))</f>
        <v/>
      </c>
    </row>
    <row r="806" spans="12:29" ht="16" hidden="1" x14ac:dyDescent="0.2">
      <c r="L806" t="str">
        <f t="shared" si="48"/>
        <v/>
      </c>
      <c r="M806" t="str">
        <f>IF(L806="","", IFERROR(VLOOKUP(L806, IF(D806="KET", 换算标准!$M:$N, IF(D806="PET", 换算标准!$S:$T, 换算标准!$AC:$AD)), 2, TRUE), 0))</f>
        <v/>
      </c>
      <c r="P806" t="str">
        <f t="shared" si="49"/>
        <v/>
      </c>
      <c r="Q806" t="str">
        <f>IF(P806="","", IFERROR(VLOOKUP(P806, IF(D806="KET", 换算标准!$O:$P, IF(D806="PET", 换算标准!$U:$V, 换算标准!$AG:$AH)), 2, TRUE), 0))</f>
        <v/>
      </c>
      <c r="W806" t="str">
        <f t="shared" si="50"/>
        <v/>
      </c>
      <c r="X806" t="str">
        <f>IF(W806="","", IFERROR(VLOOKUP(W806, IF(D806="KET", 换算标准!$Q:$R, IF(D806="PET", 换算标准!$W:$X, 换算标准!$AI:$AJ)), 2, TRUE), 0))</f>
        <v/>
      </c>
      <c r="Y806" t="str">
        <f t="shared" si="51"/>
        <v/>
      </c>
      <c r="Z806" t="str">
        <f>IF(Y806="","", IFERROR(VLOOKUP(Y806, 换算标准!$Z:$AA, 1, TRUE), ""))</f>
        <v/>
      </c>
      <c r="AA806" s="5" t="str">
        <f>IF(L806="","", "⚠️ 薄弱环节: "&amp;INDEX($E$1:$K$1, MATCH(MIN(E806:K806), E806:K806, 0))&amp;CHAR(10)&amp;"📉 考察能力: "&amp;IFERROR(VLOOKUP(TRIM(D806)&amp;"_"&amp;TRIM(INDEX($E$1:$K$1, MATCH(MIN(E806:K806), E806:K806, 0))), 技能库!$A:$F, 5, 0),"建议查阅考纲")&amp;CHAR(10)&amp;"💡 提升建议: "&amp;IFERROR(VLOOKUP(TRIM(D806)&amp;"_"&amp;TRIM(INDEX($E$1:$K$1, MATCH(MIN(E806:K806), E806:K806, 0))), 技能库!$A:$F, 6, 0),"请针对该题型加强练习"))</f>
        <v/>
      </c>
      <c r="AB806" s="5" t="str">
        <f>IF(P806="","", "⚠️ 薄弱环节: "&amp;INDEX($N$1:$O$1, MATCH(MIN(N806:O806), N806:O806, 0))&amp;CHAR(10)&amp;"📉 考察能力: "&amp;IFERROR(VLOOKUP(TRIM(D806)&amp;"_"&amp;TRIM(INDEX($N$1:$O$1, MATCH(MIN(N806:O806), N806:O806, 0))), 技能库!$A:$F, 5, 0),"建议查阅考纲")&amp;CHAR(10)&amp;"💡 提升建议: "&amp;IFERROR(VLOOKUP(TRIM(D806)&amp;"_"&amp;TRIM(INDEX($N$1:$O$1, MATCH(MIN(N806:O806), N806:O806, 0))), 技能库!$A:$F, 6, 0),"请针对该题型加强练习"))</f>
        <v/>
      </c>
      <c r="AC806" s="5" t="str">
        <f>IF(W806="","", "⚠️ 薄弱环节: "&amp;INDEX($R$1:$V$1, MATCH(MIN(R806:V806), R806:V806, 0))&amp;CHAR(10)&amp;"📉 考察能力: "&amp;IFERROR(VLOOKUP(TRIM(D806)&amp;"_"&amp;TRIM(INDEX($R$1:$V$1, MATCH(MIN(R806:V806), R806:V806, 0))), 技能库!$A:$F, 5, 0),"建议查阅考纲")&amp;CHAR(10)&amp;"💡 提升建议: "&amp;IFERROR(VLOOKUP(TRIM(D806)&amp;"_"&amp;TRIM(INDEX($R$1:$V$1, MATCH(MIN(R806:V806), R806:V806, 0))), 技能库!$A:$F, 6, 0),"请针对该题型加强练习"))</f>
        <v/>
      </c>
    </row>
    <row r="807" spans="12:29" ht="16" hidden="1" x14ac:dyDescent="0.2">
      <c r="L807" t="str">
        <f t="shared" si="48"/>
        <v/>
      </c>
      <c r="M807" t="str">
        <f>IF(L807="","", IFERROR(VLOOKUP(L807, IF(D807="KET", 换算标准!$M:$N, IF(D807="PET", 换算标准!$S:$T, 换算标准!$AC:$AD)), 2, TRUE), 0))</f>
        <v/>
      </c>
      <c r="P807" t="str">
        <f t="shared" si="49"/>
        <v/>
      </c>
      <c r="Q807" t="str">
        <f>IF(P807="","", IFERROR(VLOOKUP(P807, IF(D807="KET", 换算标准!$O:$P, IF(D807="PET", 换算标准!$U:$V, 换算标准!$AG:$AH)), 2, TRUE), 0))</f>
        <v/>
      </c>
      <c r="W807" t="str">
        <f t="shared" si="50"/>
        <v/>
      </c>
      <c r="X807" t="str">
        <f>IF(W807="","", IFERROR(VLOOKUP(W807, IF(D807="KET", 换算标准!$Q:$R, IF(D807="PET", 换算标准!$W:$X, 换算标准!$AI:$AJ)), 2, TRUE), 0))</f>
        <v/>
      </c>
      <c r="Y807" t="str">
        <f t="shared" si="51"/>
        <v/>
      </c>
      <c r="Z807" t="str">
        <f>IF(Y807="","", IFERROR(VLOOKUP(Y807, 换算标准!$Z:$AA, 1, TRUE), ""))</f>
        <v/>
      </c>
      <c r="AA807" s="5" t="str">
        <f>IF(L807="","", "⚠️ 薄弱环节: "&amp;INDEX($E$1:$K$1, MATCH(MIN(E807:K807), E807:K807, 0))&amp;CHAR(10)&amp;"📉 考察能力: "&amp;IFERROR(VLOOKUP(TRIM(D807)&amp;"_"&amp;TRIM(INDEX($E$1:$K$1, MATCH(MIN(E807:K807), E807:K807, 0))), 技能库!$A:$F, 5, 0),"建议查阅考纲")&amp;CHAR(10)&amp;"💡 提升建议: "&amp;IFERROR(VLOOKUP(TRIM(D807)&amp;"_"&amp;TRIM(INDEX($E$1:$K$1, MATCH(MIN(E807:K807), E807:K807, 0))), 技能库!$A:$F, 6, 0),"请针对该题型加强练习"))</f>
        <v/>
      </c>
      <c r="AB807" s="5" t="str">
        <f>IF(P807="","", "⚠️ 薄弱环节: "&amp;INDEX($N$1:$O$1, MATCH(MIN(N807:O807), N807:O807, 0))&amp;CHAR(10)&amp;"📉 考察能力: "&amp;IFERROR(VLOOKUP(TRIM(D807)&amp;"_"&amp;TRIM(INDEX($N$1:$O$1, MATCH(MIN(N807:O807), N807:O807, 0))), 技能库!$A:$F, 5, 0),"建议查阅考纲")&amp;CHAR(10)&amp;"💡 提升建议: "&amp;IFERROR(VLOOKUP(TRIM(D807)&amp;"_"&amp;TRIM(INDEX($N$1:$O$1, MATCH(MIN(N807:O807), N807:O807, 0))), 技能库!$A:$F, 6, 0),"请针对该题型加强练习"))</f>
        <v/>
      </c>
      <c r="AC807" s="5" t="str">
        <f>IF(W807="","", "⚠️ 薄弱环节: "&amp;INDEX($R$1:$V$1, MATCH(MIN(R807:V807), R807:V807, 0))&amp;CHAR(10)&amp;"📉 考察能力: "&amp;IFERROR(VLOOKUP(TRIM(D807)&amp;"_"&amp;TRIM(INDEX($R$1:$V$1, MATCH(MIN(R807:V807), R807:V807, 0))), 技能库!$A:$F, 5, 0),"建议查阅考纲")&amp;CHAR(10)&amp;"💡 提升建议: "&amp;IFERROR(VLOOKUP(TRIM(D807)&amp;"_"&amp;TRIM(INDEX($R$1:$V$1, MATCH(MIN(R807:V807), R807:V807, 0))), 技能库!$A:$F, 6, 0),"请针对该题型加强练习"))</f>
        <v/>
      </c>
    </row>
    <row r="808" spans="12:29" ht="16" hidden="1" x14ac:dyDescent="0.2">
      <c r="L808" t="str">
        <f t="shared" si="48"/>
        <v/>
      </c>
      <c r="M808" t="str">
        <f>IF(L808="","", IFERROR(VLOOKUP(L808, IF(D808="KET", 换算标准!$M:$N, IF(D808="PET", 换算标准!$S:$T, 换算标准!$AC:$AD)), 2, TRUE), 0))</f>
        <v/>
      </c>
      <c r="P808" t="str">
        <f t="shared" si="49"/>
        <v/>
      </c>
      <c r="Q808" t="str">
        <f>IF(P808="","", IFERROR(VLOOKUP(P808, IF(D808="KET", 换算标准!$O:$P, IF(D808="PET", 换算标准!$U:$V, 换算标准!$AG:$AH)), 2, TRUE), 0))</f>
        <v/>
      </c>
      <c r="W808" t="str">
        <f t="shared" si="50"/>
        <v/>
      </c>
      <c r="X808" t="str">
        <f>IF(W808="","", IFERROR(VLOOKUP(W808, IF(D808="KET", 换算标准!$Q:$R, IF(D808="PET", 换算标准!$W:$X, 换算标准!$AI:$AJ)), 2, TRUE), 0))</f>
        <v/>
      </c>
      <c r="Y808" t="str">
        <f t="shared" si="51"/>
        <v/>
      </c>
      <c r="Z808" t="str">
        <f>IF(Y808="","", IFERROR(VLOOKUP(Y808, 换算标准!$Z:$AA, 1, TRUE), ""))</f>
        <v/>
      </c>
      <c r="AA808" s="5" t="str">
        <f>IF(L808="","", "⚠️ 薄弱环节: "&amp;INDEX($E$1:$K$1, MATCH(MIN(E808:K808), E808:K808, 0))&amp;CHAR(10)&amp;"📉 考察能力: "&amp;IFERROR(VLOOKUP(TRIM(D808)&amp;"_"&amp;TRIM(INDEX($E$1:$K$1, MATCH(MIN(E808:K808), E808:K808, 0))), 技能库!$A:$F, 5, 0),"建议查阅考纲")&amp;CHAR(10)&amp;"💡 提升建议: "&amp;IFERROR(VLOOKUP(TRIM(D808)&amp;"_"&amp;TRIM(INDEX($E$1:$K$1, MATCH(MIN(E808:K808), E808:K808, 0))), 技能库!$A:$F, 6, 0),"请针对该题型加强练习"))</f>
        <v/>
      </c>
      <c r="AB808" s="5" t="str">
        <f>IF(P808="","", "⚠️ 薄弱环节: "&amp;INDEX($N$1:$O$1, MATCH(MIN(N808:O808), N808:O808, 0))&amp;CHAR(10)&amp;"📉 考察能力: "&amp;IFERROR(VLOOKUP(TRIM(D808)&amp;"_"&amp;TRIM(INDEX($N$1:$O$1, MATCH(MIN(N808:O808), N808:O808, 0))), 技能库!$A:$F, 5, 0),"建议查阅考纲")&amp;CHAR(10)&amp;"💡 提升建议: "&amp;IFERROR(VLOOKUP(TRIM(D808)&amp;"_"&amp;TRIM(INDEX($N$1:$O$1, MATCH(MIN(N808:O808), N808:O808, 0))), 技能库!$A:$F, 6, 0),"请针对该题型加强练习"))</f>
        <v/>
      </c>
      <c r="AC808" s="5" t="str">
        <f>IF(W808="","", "⚠️ 薄弱环节: "&amp;INDEX($R$1:$V$1, MATCH(MIN(R808:V808), R808:V808, 0))&amp;CHAR(10)&amp;"📉 考察能力: "&amp;IFERROR(VLOOKUP(TRIM(D808)&amp;"_"&amp;TRIM(INDEX($R$1:$V$1, MATCH(MIN(R808:V808), R808:V808, 0))), 技能库!$A:$F, 5, 0),"建议查阅考纲")&amp;CHAR(10)&amp;"💡 提升建议: "&amp;IFERROR(VLOOKUP(TRIM(D808)&amp;"_"&amp;TRIM(INDEX($R$1:$V$1, MATCH(MIN(R808:V808), R808:V808, 0))), 技能库!$A:$F, 6, 0),"请针对该题型加强练习"))</f>
        <v/>
      </c>
    </row>
    <row r="809" spans="12:29" ht="16" hidden="1" x14ac:dyDescent="0.2">
      <c r="L809" t="str">
        <f t="shared" si="48"/>
        <v/>
      </c>
      <c r="M809" t="str">
        <f>IF(L809="","", IFERROR(VLOOKUP(L809, IF(D809="KET", 换算标准!$M:$N, IF(D809="PET", 换算标准!$S:$T, 换算标准!$AC:$AD)), 2, TRUE), 0))</f>
        <v/>
      </c>
      <c r="P809" t="str">
        <f t="shared" si="49"/>
        <v/>
      </c>
      <c r="Q809" t="str">
        <f>IF(P809="","", IFERROR(VLOOKUP(P809, IF(D809="KET", 换算标准!$O:$P, IF(D809="PET", 换算标准!$U:$V, 换算标准!$AG:$AH)), 2, TRUE), 0))</f>
        <v/>
      </c>
      <c r="W809" t="str">
        <f t="shared" si="50"/>
        <v/>
      </c>
      <c r="X809" t="str">
        <f>IF(W809="","", IFERROR(VLOOKUP(W809, IF(D809="KET", 换算标准!$Q:$R, IF(D809="PET", 换算标准!$W:$X, 换算标准!$AI:$AJ)), 2, TRUE), 0))</f>
        <v/>
      </c>
      <c r="Y809" t="str">
        <f t="shared" si="51"/>
        <v/>
      </c>
      <c r="Z809" t="str">
        <f>IF(Y809="","", IFERROR(VLOOKUP(Y809, 换算标准!$Z:$AA, 1, TRUE), ""))</f>
        <v/>
      </c>
      <c r="AA809" s="5" t="str">
        <f>IF(L809="","", "⚠️ 薄弱环节: "&amp;INDEX($E$1:$K$1, MATCH(MIN(E809:K809), E809:K809, 0))&amp;CHAR(10)&amp;"📉 考察能力: "&amp;IFERROR(VLOOKUP(TRIM(D809)&amp;"_"&amp;TRIM(INDEX($E$1:$K$1, MATCH(MIN(E809:K809), E809:K809, 0))), 技能库!$A:$F, 5, 0),"建议查阅考纲")&amp;CHAR(10)&amp;"💡 提升建议: "&amp;IFERROR(VLOOKUP(TRIM(D809)&amp;"_"&amp;TRIM(INDEX($E$1:$K$1, MATCH(MIN(E809:K809), E809:K809, 0))), 技能库!$A:$F, 6, 0),"请针对该题型加强练习"))</f>
        <v/>
      </c>
      <c r="AB809" s="5" t="str">
        <f>IF(P809="","", "⚠️ 薄弱环节: "&amp;INDEX($N$1:$O$1, MATCH(MIN(N809:O809), N809:O809, 0))&amp;CHAR(10)&amp;"📉 考察能力: "&amp;IFERROR(VLOOKUP(TRIM(D809)&amp;"_"&amp;TRIM(INDEX($N$1:$O$1, MATCH(MIN(N809:O809), N809:O809, 0))), 技能库!$A:$F, 5, 0),"建议查阅考纲")&amp;CHAR(10)&amp;"💡 提升建议: "&amp;IFERROR(VLOOKUP(TRIM(D809)&amp;"_"&amp;TRIM(INDEX($N$1:$O$1, MATCH(MIN(N809:O809), N809:O809, 0))), 技能库!$A:$F, 6, 0),"请针对该题型加强练习"))</f>
        <v/>
      </c>
      <c r="AC809" s="5" t="str">
        <f>IF(W809="","", "⚠️ 薄弱环节: "&amp;INDEX($R$1:$V$1, MATCH(MIN(R809:V809), R809:V809, 0))&amp;CHAR(10)&amp;"📉 考察能力: "&amp;IFERROR(VLOOKUP(TRIM(D809)&amp;"_"&amp;TRIM(INDEX($R$1:$V$1, MATCH(MIN(R809:V809), R809:V809, 0))), 技能库!$A:$F, 5, 0),"建议查阅考纲")&amp;CHAR(10)&amp;"💡 提升建议: "&amp;IFERROR(VLOOKUP(TRIM(D809)&amp;"_"&amp;TRIM(INDEX($R$1:$V$1, MATCH(MIN(R809:V809), R809:V809, 0))), 技能库!$A:$F, 6, 0),"请针对该题型加强练习"))</f>
        <v/>
      </c>
    </row>
    <row r="810" spans="12:29" ht="16" hidden="1" x14ac:dyDescent="0.2">
      <c r="L810" t="str">
        <f t="shared" si="48"/>
        <v/>
      </c>
      <c r="M810" t="str">
        <f>IF(L810="","", IFERROR(VLOOKUP(L810, IF(D810="KET", 换算标准!$M:$N, IF(D810="PET", 换算标准!$S:$T, 换算标准!$AC:$AD)), 2, TRUE), 0))</f>
        <v/>
      </c>
      <c r="P810" t="str">
        <f t="shared" si="49"/>
        <v/>
      </c>
      <c r="Q810" t="str">
        <f>IF(P810="","", IFERROR(VLOOKUP(P810, IF(D810="KET", 换算标准!$O:$P, IF(D810="PET", 换算标准!$U:$V, 换算标准!$AG:$AH)), 2, TRUE), 0))</f>
        <v/>
      </c>
      <c r="W810" t="str">
        <f t="shared" si="50"/>
        <v/>
      </c>
      <c r="X810" t="str">
        <f>IF(W810="","", IFERROR(VLOOKUP(W810, IF(D810="KET", 换算标准!$Q:$R, IF(D810="PET", 换算标准!$W:$X, 换算标准!$AI:$AJ)), 2, TRUE), 0))</f>
        <v/>
      </c>
      <c r="Y810" t="str">
        <f t="shared" si="51"/>
        <v/>
      </c>
      <c r="Z810" t="str">
        <f>IF(Y810="","", IFERROR(VLOOKUP(Y810, 换算标准!$Z:$AA, 1, TRUE), ""))</f>
        <v/>
      </c>
      <c r="AA810" s="5" t="str">
        <f>IF(L810="","", "⚠️ 薄弱环节: "&amp;INDEX($E$1:$K$1, MATCH(MIN(E810:K810), E810:K810, 0))&amp;CHAR(10)&amp;"📉 考察能力: "&amp;IFERROR(VLOOKUP(TRIM(D810)&amp;"_"&amp;TRIM(INDEX($E$1:$K$1, MATCH(MIN(E810:K810), E810:K810, 0))), 技能库!$A:$F, 5, 0),"建议查阅考纲")&amp;CHAR(10)&amp;"💡 提升建议: "&amp;IFERROR(VLOOKUP(TRIM(D810)&amp;"_"&amp;TRIM(INDEX($E$1:$K$1, MATCH(MIN(E810:K810), E810:K810, 0))), 技能库!$A:$F, 6, 0),"请针对该题型加强练习"))</f>
        <v/>
      </c>
      <c r="AB810" s="5" t="str">
        <f>IF(P810="","", "⚠️ 薄弱环节: "&amp;INDEX($N$1:$O$1, MATCH(MIN(N810:O810), N810:O810, 0))&amp;CHAR(10)&amp;"📉 考察能力: "&amp;IFERROR(VLOOKUP(TRIM(D810)&amp;"_"&amp;TRIM(INDEX($N$1:$O$1, MATCH(MIN(N810:O810), N810:O810, 0))), 技能库!$A:$F, 5, 0),"建议查阅考纲")&amp;CHAR(10)&amp;"💡 提升建议: "&amp;IFERROR(VLOOKUP(TRIM(D810)&amp;"_"&amp;TRIM(INDEX($N$1:$O$1, MATCH(MIN(N810:O810), N810:O810, 0))), 技能库!$A:$F, 6, 0),"请针对该题型加强练习"))</f>
        <v/>
      </c>
      <c r="AC810" s="5" t="str">
        <f>IF(W810="","", "⚠️ 薄弱环节: "&amp;INDEX($R$1:$V$1, MATCH(MIN(R810:V810), R810:V810, 0))&amp;CHAR(10)&amp;"📉 考察能力: "&amp;IFERROR(VLOOKUP(TRIM(D810)&amp;"_"&amp;TRIM(INDEX($R$1:$V$1, MATCH(MIN(R810:V810), R810:V810, 0))), 技能库!$A:$F, 5, 0),"建议查阅考纲")&amp;CHAR(10)&amp;"💡 提升建议: "&amp;IFERROR(VLOOKUP(TRIM(D810)&amp;"_"&amp;TRIM(INDEX($R$1:$V$1, MATCH(MIN(R810:V810), R810:V810, 0))), 技能库!$A:$F, 6, 0),"请针对该题型加强练习"))</f>
        <v/>
      </c>
    </row>
    <row r="811" spans="12:29" ht="16" hidden="1" x14ac:dyDescent="0.2">
      <c r="L811" t="str">
        <f t="shared" si="48"/>
        <v/>
      </c>
      <c r="M811" t="str">
        <f>IF(L811="","", IFERROR(VLOOKUP(L811, IF(D811="KET", 换算标准!$M:$N, IF(D811="PET", 换算标准!$S:$T, 换算标准!$AC:$AD)), 2, TRUE), 0))</f>
        <v/>
      </c>
      <c r="P811" t="str">
        <f t="shared" si="49"/>
        <v/>
      </c>
      <c r="Q811" t="str">
        <f>IF(P811="","", IFERROR(VLOOKUP(P811, IF(D811="KET", 换算标准!$O:$P, IF(D811="PET", 换算标准!$U:$V, 换算标准!$AG:$AH)), 2, TRUE), 0))</f>
        <v/>
      </c>
      <c r="W811" t="str">
        <f t="shared" si="50"/>
        <v/>
      </c>
      <c r="X811" t="str">
        <f>IF(W811="","", IFERROR(VLOOKUP(W811, IF(D811="KET", 换算标准!$Q:$R, IF(D811="PET", 换算标准!$W:$X, 换算标准!$AI:$AJ)), 2, TRUE), 0))</f>
        <v/>
      </c>
      <c r="Y811" t="str">
        <f t="shared" si="51"/>
        <v/>
      </c>
      <c r="Z811" t="str">
        <f>IF(Y811="","", IFERROR(VLOOKUP(Y811, 换算标准!$Z:$AA, 1, TRUE), ""))</f>
        <v/>
      </c>
      <c r="AA811" s="5" t="str">
        <f>IF(L811="","", "⚠️ 薄弱环节: "&amp;INDEX($E$1:$K$1, MATCH(MIN(E811:K811), E811:K811, 0))&amp;CHAR(10)&amp;"📉 考察能力: "&amp;IFERROR(VLOOKUP(TRIM(D811)&amp;"_"&amp;TRIM(INDEX($E$1:$K$1, MATCH(MIN(E811:K811), E811:K811, 0))), 技能库!$A:$F, 5, 0),"建议查阅考纲")&amp;CHAR(10)&amp;"💡 提升建议: "&amp;IFERROR(VLOOKUP(TRIM(D811)&amp;"_"&amp;TRIM(INDEX($E$1:$K$1, MATCH(MIN(E811:K811), E811:K811, 0))), 技能库!$A:$F, 6, 0),"请针对该题型加强练习"))</f>
        <v/>
      </c>
      <c r="AB811" s="5" t="str">
        <f>IF(P811="","", "⚠️ 薄弱环节: "&amp;INDEX($N$1:$O$1, MATCH(MIN(N811:O811), N811:O811, 0))&amp;CHAR(10)&amp;"📉 考察能力: "&amp;IFERROR(VLOOKUP(TRIM(D811)&amp;"_"&amp;TRIM(INDEX($N$1:$O$1, MATCH(MIN(N811:O811), N811:O811, 0))), 技能库!$A:$F, 5, 0),"建议查阅考纲")&amp;CHAR(10)&amp;"💡 提升建议: "&amp;IFERROR(VLOOKUP(TRIM(D811)&amp;"_"&amp;TRIM(INDEX($N$1:$O$1, MATCH(MIN(N811:O811), N811:O811, 0))), 技能库!$A:$F, 6, 0),"请针对该题型加强练习"))</f>
        <v/>
      </c>
      <c r="AC811" s="5" t="str">
        <f>IF(W811="","", "⚠️ 薄弱环节: "&amp;INDEX($R$1:$V$1, MATCH(MIN(R811:V811), R811:V811, 0))&amp;CHAR(10)&amp;"📉 考察能力: "&amp;IFERROR(VLOOKUP(TRIM(D811)&amp;"_"&amp;TRIM(INDEX($R$1:$V$1, MATCH(MIN(R811:V811), R811:V811, 0))), 技能库!$A:$F, 5, 0),"建议查阅考纲")&amp;CHAR(10)&amp;"💡 提升建议: "&amp;IFERROR(VLOOKUP(TRIM(D811)&amp;"_"&amp;TRIM(INDEX($R$1:$V$1, MATCH(MIN(R811:V811), R811:V811, 0))), 技能库!$A:$F, 6, 0),"请针对该题型加强练习"))</f>
        <v/>
      </c>
    </row>
    <row r="812" spans="12:29" ht="16" hidden="1" x14ac:dyDescent="0.2">
      <c r="L812" t="str">
        <f t="shared" si="48"/>
        <v/>
      </c>
      <c r="M812" t="str">
        <f>IF(L812="","", IFERROR(VLOOKUP(L812, IF(D812="KET", 换算标准!$M:$N, IF(D812="PET", 换算标准!$S:$T, 换算标准!$AC:$AD)), 2, TRUE), 0))</f>
        <v/>
      </c>
      <c r="P812" t="str">
        <f t="shared" si="49"/>
        <v/>
      </c>
      <c r="Q812" t="str">
        <f>IF(P812="","", IFERROR(VLOOKUP(P812, IF(D812="KET", 换算标准!$O:$P, IF(D812="PET", 换算标准!$U:$V, 换算标准!$AG:$AH)), 2, TRUE), 0))</f>
        <v/>
      </c>
      <c r="W812" t="str">
        <f t="shared" si="50"/>
        <v/>
      </c>
      <c r="X812" t="str">
        <f>IF(W812="","", IFERROR(VLOOKUP(W812, IF(D812="KET", 换算标准!$Q:$R, IF(D812="PET", 换算标准!$W:$X, 换算标准!$AI:$AJ)), 2, TRUE), 0))</f>
        <v/>
      </c>
      <c r="Y812" t="str">
        <f t="shared" si="51"/>
        <v/>
      </c>
      <c r="Z812" t="str">
        <f>IF(Y812="","", IFERROR(VLOOKUP(Y812, 换算标准!$Z:$AA, 1, TRUE), ""))</f>
        <v/>
      </c>
      <c r="AA812" s="5" t="str">
        <f>IF(L812="","", "⚠️ 薄弱环节: "&amp;INDEX($E$1:$K$1, MATCH(MIN(E812:K812), E812:K812, 0))&amp;CHAR(10)&amp;"📉 考察能力: "&amp;IFERROR(VLOOKUP(TRIM(D812)&amp;"_"&amp;TRIM(INDEX($E$1:$K$1, MATCH(MIN(E812:K812), E812:K812, 0))), 技能库!$A:$F, 5, 0),"建议查阅考纲")&amp;CHAR(10)&amp;"💡 提升建议: "&amp;IFERROR(VLOOKUP(TRIM(D812)&amp;"_"&amp;TRIM(INDEX($E$1:$K$1, MATCH(MIN(E812:K812), E812:K812, 0))), 技能库!$A:$F, 6, 0),"请针对该题型加强练习"))</f>
        <v/>
      </c>
      <c r="AB812" s="5" t="str">
        <f>IF(P812="","", "⚠️ 薄弱环节: "&amp;INDEX($N$1:$O$1, MATCH(MIN(N812:O812), N812:O812, 0))&amp;CHAR(10)&amp;"📉 考察能力: "&amp;IFERROR(VLOOKUP(TRIM(D812)&amp;"_"&amp;TRIM(INDEX($N$1:$O$1, MATCH(MIN(N812:O812), N812:O812, 0))), 技能库!$A:$F, 5, 0),"建议查阅考纲")&amp;CHAR(10)&amp;"💡 提升建议: "&amp;IFERROR(VLOOKUP(TRIM(D812)&amp;"_"&amp;TRIM(INDEX($N$1:$O$1, MATCH(MIN(N812:O812), N812:O812, 0))), 技能库!$A:$F, 6, 0),"请针对该题型加强练习"))</f>
        <v/>
      </c>
      <c r="AC812" s="5" t="str">
        <f>IF(W812="","", "⚠️ 薄弱环节: "&amp;INDEX($R$1:$V$1, MATCH(MIN(R812:V812), R812:V812, 0))&amp;CHAR(10)&amp;"📉 考察能力: "&amp;IFERROR(VLOOKUP(TRIM(D812)&amp;"_"&amp;TRIM(INDEX($R$1:$V$1, MATCH(MIN(R812:V812), R812:V812, 0))), 技能库!$A:$F, 5, 0),"建议查阅考纲")&amp;CHAR(10)&amp;"💡 提升建议: "&amp;IFERROR(VLOOKUP(TRIM(D812)&amp;"_"&amp;TRIM(INDEX($R$1:$V$1, MATCH(MIN(R812:V812), R812:V812, 0))), 技能库!$A:$F, 6, 0),"请针对该题型加强练习"))</f>
        <v/>
      </c>
    </row>
    <row r="813" spans="12:29" ht="16" hidden="1" x14ac:dyDescent="0.2">
      <c r="L813" t="str">
        <f t="shared" si="48"/>
        <v/>
      </c>
      <c r="M813" t="str">
        <f>IF(L813="","", IFERROR(VLOOKUP(L813, IF(D813="KET", 换算标准!$M:$N, IF(D813="PET", 换算标准!$S:$T, 换算标准!$AC:$AD)), 2, TRUE), 0))</f>
        <v/>
      </c>
      <c r="P813" t="str">
        <f t="shared" si="49"/>
        <v/>
      </c>
      <c r="Q813" t="str">
        <f>IF(P813="","", IFERROR(VLOOKUP(P813, IF(D813="KET", 换算标准!$O:$P, IF(D813="PET", 换算标准!$U:$V, 换算标准!$AG:$AH)), 2, TRUE), 0))</f>
        <v/>
      </c>
      <c r="W813" t="str">
        <f t="shared" si="50"/>
        <v/>
      </c>
      <c r="X813" t="str">
        <f>IF(W813="","", IFERROR(VLOOKUP(W813, IF(D813="KET", 换算标准!$Q:$R, IF(D813="PET", 换算标准!$W:$X, 换算标准!$AI:$AJ)), 2, TRUE), 0))</f>
        <v/>
      </c>
      <c r="Y813" t="str">
        <f t="shared" si="51"/>
        <v/>
      </c>
      <c r="Z813" t="str">
        <f>IF(Y813="","", IFERROR(VLOOKUP(Y813, 换算标准!$Z:$AA, 1, TRUE), ""))</f>
        <v/>
      </c>
      <c r="AA813" s="5" t="str">
        <f>IF(L813="","", "⚠️ 薄弱环节: "&amp;INDEX($E$1:$K$1, MATCH(MIN(E813:K813), E813:K813, 0))&amp;CHAR(10)&amp;"📉 考察能力: "&amp;IFERROR(VLOOKUP(TRIM(D813)&amp;"_"&amp;TRIM(INDEX($E$1:$K$1, MATCH(MIN(E813:K813), E813:K813, 0))), 技能库!$A:$F, 5, 0),"建议查阅考纲")&amp;CHAR(10)&amp;"💡 提升建议: "&amp;IFERROR(VLOOKUP(TRIM(D813)&amp;"_"&amp;TRIM(INDEX($E$1:$K$1, MATCH(MIN(E813:K813), E813:K813, 0))), 技能库!$A:$F, 6, 0),"请针对该题型加强练习"))</f>
        <v/>
      </c>
      <c r="AB813" s="5" t="str">
        <f>IF(P813="","", "⚠️ 薄弱环节: "&amp;INDEX($N$1:$O$1, MATCH(MIN(N813:O813), N813:O813, 0))&amp;CHAR(10)&amp;"📉 考察能力: "&amp;IFERROR(VLOOKUP(TRIM(D813)&amp;"_"&amp;TRIM(INDEX($N$1:$O$1, MATCH(MIN(N813:O813), N813:O813, 0))), 技能库!$A:$F, 5, 0),"建议查阅考纲")&amp;CHAR(10)&amp;"💡 提升建议: "&amp;IFERROR(VLOOKUP(TRIM(D813)&amp;"_"&amp;TRIM(INDEX($N$1:$O$1, MATCH(MIN(N813:O813), N813:O813, 0))), 技能库!$A:$F, 6, 0),"请针对该题型加强练习"))</f>
        <v/>
      </c>
      <c r="AC813" s="5" t="str">
        <f>IF(W813="","", "⚠️ 薄弱环节: "&amp;INDEX($R$1:$V$1, MATCH(MIN(R813:V813), R813:V813, 0))&amp;CHAR(10)&amp;"📉 考察能力: "&amp;IFERROR(VLOOKUP(TRIM(D813)&amp;"_"&amp;TRIM(INDEX($R$1:$V$1, MATCH(MIN(R813:V813), R813:V813, 0))), 技能库!$A:$F, 5, 0),"建议查阅考纲")&amp;CHAR(10)&amp;"💡 提升建议: "&amp;IFERROR(VLOOKUP(TRIM(D813)&amp;"_"&amp;TRIM(INDEX($R$1:$V$1, MATCH(MIN(R813:V813), R813:V813, 0))), 技能库!$A:$F, 6, 0),"请针对该题型加强练习"))</f>
        <v/>
      </c>
    </row>
    <row r="814" spans="12:29" ht="16" hidden="1" x14ac:dyDescent="0.2">
      <c r="L814" t="str">
        <f t="shared" si="48"/>
        <v/>
      </c>
      <c r="M814" t="str">
        <f>IF(L814="","", IFERROR(VLOOKUP(L814, IF(D814="KET", 换算标准!$M:$N, IF(D814="PET", 换算标准!$S:$T, 换算标准!$AC:$AD)), 2, TRUE), 0))</f>
        <v/>
      </c>
      <c r="P814" t="str">
        <f t="shared" si="49"/>
        <v/>
      </c>
      <c r="Q814" t="str">
        <f>IF(P814="","", IFERROR(VLOOKUP(P814, IF(D814="KET", 换算标准!$O:$P, IF(D814="PET", 换算标准!$U:$V, 换算标准!$AG:$AH)), 2, TRUE), 0))</f>
        <v/>
      </c>
      <c r="W814" t="str">
        <f t="shared" si="50"/>
        <v/>
      </c>
      <c r="X814" t="str">
        <f>IF(W814="","", IFERROR(VLOOKUP(W814, IF(D814="KET", 换算标准!$Q:$R, IF(D814="PET", 换算标准!$W:$X, 换算标准!$AI:$AJ)), 2, TRUE), 0))</f>
        <v/>
      </c>
      <c r="Y814" t="str">
        <f t="shared" si="51"/>
        <v/>
      </c>
      <c r="Z814" t="str">
        <f>IF(Y814="","", IFERROR(VLOOKUP(Y814, 换算标准!$Z:$AA, 1, TRUE), ""))</f>
        <v/>
      </c>
      <c r="AA814" s="5" t="str">
        <f>IF(L814="","", "⚠️ 薄弱环节: "&amp;INDEX($E$1:$K$1, MATCH(MIN(E814:K814), E814:K814, 0))&amp;CHAR(10)&amp;"📉 考察能力: "&amp;IFERROR(VLOOKUP(TRIM(D814)&amp;"_"&amp;TRIM(INDEX($E$1:$K$1, MATCH(MIN(E814:K814), E814:K814, 0))), 技能库!$A:$F, 5, 0),"建议查阅考纲")&amp;CHAR(10)&amp;"💡 提升建议: "&amp;IFERROR(VLOOKUP(TRIM(D814)&amp;"_"&amp;TRIM(INDEX($E$1:$K$1, MATCH(MIN(E814:K814), E814:K814, 0))), 技能库!$A:$F, 6, 0),"请针对该题型加强练习"))</f>
        <v/>
      </c>
      <c r="AB814" s="5" t="str">
        <f>IF(P814="","", "⚠️ 薄弱环节: "&amp;INDEX($N$1:$O$1, MATCH(MIN(N814:O814), N814:O814, 0))&amp;CHAR(10)&amp;"📉 考察能力: "&amp;IFERROR(VLOOKUP(TRIM(D814)&amp;"_"&amp;TRIM(INDEX($N$1:$O$1, MATCH(MIN(N814:O814), N814:O814, 0))), 技能库!$A:$F, 5, 0),"建议查阅考纲")&amp;CHAR(10)&amp;"💡 提升建议: "&amp;IFERROR(VLOOKUP(TRIM(D814)&amp;"_"&amp;TRIM(INDEX($N$1:$O$1, MATCH(MIN(N814:O814), N814:O814, 0))), 技能库!$A:$F, 6, 0),"请针对该题型加强练习"))</f>
        <v/>
      </c>
      <c r="AC814" s="5" t="str">
        <f>IF(W814="","", "⚠️ 薄弱环节: "&amp;INDEX($R$1:$V$1, MATCH(MIN(R814:V814), R814:V814, 0))&amp;CHAR(10)&amp;"📉 考察能力: "&amp;IFERROR(VLOOKUP(TRIM(D814)&amp;"_"&amp;TRIM(INDEX($R$1:$V$1, MATCH(MIN(R814:V814), R814:V814, 0))), 技能库!$A:$F, 5, 0),"建议查阅考纲")&amp;CHAR(10)&amp;"💡 提升建议: "&amp;IFERROR(VLOOKUP(TRIM(D814)&amp;"_"&amp;TRIM(INDEX($R$1:$V$1, MATCH(MIN(R814:V814), R814:V814, 0))), 技能库!$A:$F, 6, 0),"请针对该题型加强练习"))</f>
        <v/>
      </c>
    </row>
    <row r="815" spans="12:29" ht="16" hidden="1" x14ac:dyDescent="0.2">
      <c r="L815" t="str">
        <f t="shared" si="48"/>
        <v/>
      </c>
      <c r="M815" t="str">
        <f>IF(L815="","", IFERROR(VLOOKUP(L815, IF(D815="KET", 换算标准!$M:$N, IF(D815="PET", 换算标准!$S:$T, 换算标准!$AC:$AD)), 2, TRUE), 0))</f>
        <v/>
      </c>
      <c r="P815" t="str">
        <f t="shared" si="49"/>
        <v/>
      </c>
      <c r="Q815" t="str">
        <f>IF(P815="","", IFERROR(VLOOKUP(P815, IF(D815="KET", 换算标准!$O:$P, IF(D815="PET", 换算标准!$U:$V, 换算标准!$AG:$AH)), 2, TRUE), 0))</f>
        <v/>
      </c>
      <c r="W815" t="str">
        <f t="shared" si="50"/>
        <v/>
      </c>
      <c r="X815" t="str">
        <f>IF(W815="","", IFERROR(VLOOKUP(W815, IF(D815="KET", 换算标准!$Q:$R, IF(D815="PET", 换算标准!$W:$X, 换算标准!$AI:$AJ)), 2, TRUE), 0))</f>
        <v/>
      </c>
      <c r="Y815" t="str">
        <f t="shared" si="51"/>
        <v/>
      </c>
      <c r="Z815" t="str">
        <f>IF(Y815="","", IFERROR(VLOOKUP(Y815, 换算标准!$Z:$AA, 1, TRUE), ""))</f>
        <v/>
      </c>
      <c r="AA815" s="5" t="str">
        <f>IF(L815="","", "⚠️ 薄弱环节: "&amp;INDEX($E$1:$K$1, MATCH(MIN(E815:K815), E815:K815, 0))&amp;CHAR(10)&amp;"📉 考察能力: "&amp;IFERROR(VLOOKUP(TRIM(D815)&amp;"_"&amp;TRIM(INDEX($E$1:$K$1, MATCH(MIN(E815:K815), E815:K815, 0))), 技能库!$A:$F, 5, 0),"建议查阅考纲")&amp;CHAR(10)&amp;"💡 提升建议: "&amp;IFERROR(VLOOKUP(TRIM(D815)&amp;"_"&amp;TRIM(INDEX($E$1:$K$1, MATCH(MIN(E815:K815), E815:K815, 0))), 技能库!$A:$F, 6, 0),"请针对该题型加强练习"))</f>
        <v/>
      </c>
      <c r="AB815" s="5" t="str">
        <f>IF(P815="","", "⚠️ 薄弱环节: "&amp;INDEX($N$1:$O$1, MATCH(MIN(N815:O815), N815:O815, 0))&amp;CHAR(10)&amp;"📉 考察能力: "&amp;IFERROR(VLOOKUP(TRIM(D815)&amp;"_"&amp;TRIM(INDEX($N$1:$O$1, MATCH(MIN(N815:O815), N815:O815, 0))), 技能库!$A:$F, 5, 0),"建议查阅考纲")&amp;CHAR(10)&amp;"💡 提升建议: "&amp;IFERROR(VLOOKUP(TRIM(D815)&amp;"_"&amp;TRIM(INDEX($N$1:$O$1, MATCH(MIN(N815:O815), N815:O815, 0))), 技能库!$A:$F, 6, 0),"请针对该题型加强练习"))</f>
        <v/>
      </c>
      <c r="AC815" s="5" t="str">
        <f>IF(W815="","", "⚠️ 薄弱环节: "&amp;INDEX($R$1:$V$1, MATCH(MIN(R815:V815), R815:V815, 0))&amp;CHAR(10)&amp;"📉 考察能力: "&amp;IFERROR(VLOOKUP(TRIM(D815)&amp;"_"&amp;TRIM(INDEX($R$1:$V$1, MATCH(MIN(R815:V815), R815:V815, 0))), 技能库!$A:$F, 5, 0),"建议查阅考纲")&amp;CHAR(10)&amp;"💡 提升建议: "&amp;IFERROR(VLOOKUP(TRIM(D815)&amp;"_"&amp;TRIM(INDEX($R$1:$V$1, MATCH(MIN(R815:V815), R815:V815, 0))), 技能库!$A:$F, 6, 0),"请针对该题型加强练习"))</f>
        <v/>
      </c>
    </row>
    <row r="816" spans="12:29" ht="16" hidden="1" x14ac:dyDescent="0.2">
      <c r="L816" t="str">
        <f t="shared" si="48"/>
        <v/>
      </c>
      <c r="M816" t="str">
        <f>IF(L816="","", IFERROR(VLOOKUP(L816, IF(D816="KET", 换算标准!$M:$N, IF(D816="PET", 换算标准!$S:$T, 换算标准!$AC:$AD)), 2, TRUE), 0))</f>
        <v/>
      </c>
      <c r="P816" t="str">
        <f t="shared" si="49"/>
        <v/>
      </c>
      <c r="Q816" t="str">
        <f>IF(P816="","", IFERROR(VLOOKUP(P816, IF(D816="KET", 换算标准!$O:$P, IF(D816="PET", 换算标准!$U:$V, 换算标准!$AG:$AH)), 2, TRUE), 0))</f>
        <v/>
      </c>
      <c r="W816" t="str">
        <f t="shared" si="50"/>
        <v/>
      </c>
      <c r="X816" t="str">
        <f>IF(W816="","", IFERROR(VLOOKUP(W816, IF(D816="KET", 换算标准!$Q:$R, IF(D816="PET", 换算标准!$W:$X, 换算标准!$AI:$AJ)), 2, TRUE), 0))</f>
        <v/>
      </c>
      <c r="Y816" t="str">
        <f t="shared" si="51"/>
        <v/>
      </c>
      <c r="Z816" t="str">
        <f>IF(Y816="","", IFERROR(VLOOKUP(Y816, 换算标准!$Z:$AA, 1, TRUE), ""))</f>
        <v/>
      </c>
      <c r="AA816" s="5" t="str">
        <f>IF(L816="","", "⚠️ 薄弱环节: "&amp;INDEX($E$1:$K$1, MATCH(MIN(E816:K816), E816:K816, 0))&amp;CHAR(10)&amp;"📉 考察能力: "&amp;IFERROR(VLOOKUP(TRIM(D816)&amp;"_"&amp;TRIM(INDEX($E$1:$K$1, MATCH(MIN(E816:K816), E816:K816, 0))), 技能库!$A:$F, 5, 0),"建议查阅考纲")&amp;CHAR(10)&amp;"💡 提升建议: "&amp;IFERROR(VLOOKUP(TRIM(D816)&amp;"_"&amp;TRIM(INDEX($E$1:$K$1, MATCH(MIN(E816:K816), E816:K816, 0))), 技能库!$A:$F, 6, 0),"请针对该题型加强练习"))</f>
        <v/>
      </c>
      <c r="AB816" s="5" t="str">
        <f>IF(P816="","", "⚠️ 薄弱环节: "&amp;INDEX($N$1:$O$1, MATCH(MIN(N816:O816), N816:O816, 0))&amp;CHAR(10)&amp;"📉 考察能力: "&amp;IFERROR(VLOOKUP(TRIM(D816)&amp;"_"&amp;TRIM(INDEX($N$1:$O$1, MATCH(MIN(N816:O816), N816:O816, 0))), 技能库!$A:$F, 5, 0),"建议查阅考纲")&amp;CHAR(10)&amp;"💡 提升建议: "&amp;IFERROR(VLOOKUP(TRIM(D816)&amp;"_"&amp;TRIM(INDEX($N$1:$O$1, MATCH(MIN(N816:O816), N816:O816, 0))), 技能库!$A:$F, 6, 0),"请针对该题型加强练习"))</f>
        <v/>
      </c>
      <c r="AC816" s="5" t="str">
        <f>IF(W816="","", "⚠️ 薄弱环节: "&amp;INDEX($R$1:$V$1, MATCH(MIN(R816:V816), R816:V816, 0))&amp;CHAR(10)&amp;"📉 考察能力: "&amp;IFERROR(VLOOKUP(TRIM(D816)&amp;"_"&amp;TRIM(INDEX($R$1:$V$1, MATCH(MIN(R816:V816), R816:V816, 0))), 技能库!$A:$F, 5, 0),"建议查阅考纲")&amp;CHAR(10)&amp;"💡 提升建议: "&amp;IFERROR(VLOOKUP(TRIM(D816)&amp;"_"&amp;TRIM(INDEX($R$1:$V$1, MATCH(MIN(R816:V816), R816:V816, 0))), 技能库!$A:$F, 6, 0),"请针对该题型加强练习"))</f>
        <v/>
      </c>
    </row>
    <row r="817" spans="12:29" ht="16" hidden="1" x14ac:dyDescent="0.2">
      <c r="L817" t="str">
        <f t="shared" si="48"/>
        <v/>
      </c>
      <c r="M817" t="str">
        <f>IF(L817="","", IFERROR(VLOOKUP(L817, IF(D817="KET", 换算标准!$M:$N, IF(D817="PET", 换算标准!$S:$T, 换算标准!$AC:$AD)), 2, TRUE), 0))</f>
        <v/>
      </c>
      <c r="P817" t="str">
        <f t="shared" si="49"/>
        <v/>
      </c>
      <c r="Q817" t="str">
        <f>IF(P817="","", IFERROR(VLOOKUP(P817, IF(D817="KET", 换算标准!$O:$P, IF(D817="PET", 换算标准!$U:$V, 换算标准!$AG:$AH)), 2, TRUE), 0))</f>
        <v/>
      </c>
      <c r="W817" t="str">
        <f t="shared" si="50"/>
        <v/>
      </c>
      <c r="X817" t="str">
        <f>IF(W817="","", IFERROR(VLOOKUP(W817, IF(D817="KET", 换算标准!$Q:$R, IF(D817="PET", 换算标准!$W:$X, 换算标准!$AI:$AJ)), 2, TRUE), 0))</f>
        <v/>
      </c>
      <c r="Y817" t="str">
        <f t="shared" si="51"/>
        <v/>
      </c>
      <c r="Z817" t="str">
        <f>IF(Y817="","", IFERROR(VLOOKUP(Y817, 换算标准!$Z:$AA, 1, TRUE), ""))</f>
        <v/>
      </c>
      <c r="AA817" s="5" t="str">
        <f>IF(L817="","", "⚠️ 薄弱环节: "&amp;INDEX($E$1:$K$1, MATCH(MIN(E817:K817), E817:K817, 0))&amp;CHAR(10)&amp;"📉 考察能力: "&amp;IFERROR(VLOOKUP(TRIM(D817)&amp;"_"&amp;TRIM(INDEX($E$1:$K$1, MATCH(MIN(E817:K817), E817:K817, 0))), 技能库!$A:$F, 5, 0),"建议查阅考纲")&amp;CHAR(10)&amp;"💡 提升建议: "&amp;IFERROR(VLOOKUP(TRIM(D817)&amp;"_"&amp;TRIM(INDEX($E$1:$K$1, MATCH(MIN(E817:K817), E817:K817, 0))), 技能库!$A:$F, 6, 0),"请针对该题型加强练习"))</f>
        <v/>
      </c>
      <c r="AB817" s="5" t="str">
        <f>IF(P817="","", "⚠️ 薄弱环节: "&amp;INDEX($N$1:$O$1, MATCH(MIN(N817:O817), N817:O817, 0))&amp;CHAR(10)&amp;"📉 考察能力: "&amp;IFERROR(VLOOKUP(TRIM(D817)&amp;"_"&amp;TRIM(INDEX($N$1:$O$1, MATCH(MIN(N817:O817), N817:O817, 0))), 技能库!$A:$F, 5, 0),"建议查阅考纲")&amp;CHAR(10)&amp;"💡 提升建议: "&amp;IFERROR(VLOOKUP(TRIM(D817)&amp;"_"&amp;TRIM(INDEX($N$1:$O$1, MATCH(MIN(N817:O817), N817:O817, 0))), 技能库!$A:$F, 6, 0),"请针对该题型加强练习"))</f>
        <v/>
      </c>
      <c r="AC817" s="5" t="str">
        <f>IF(W817="","", "⚠️ 薄弱环节: "&amp;INDEX($R$1:$V$1, MATCH(MIN(R817:V817), R817:V817, 0))&amp;CHAR(10)&amp;"📉 考察能力: "&amp;IFERROR(VLOOKUP(TRIM(D817)&amp;"_"&amp;TRIM(INDEX($R$1:$V$1, MATCH(MIN(R817:V817), R817:V817, 0))), 技能库!$A:$F, 5, 0),"建议查阅考纲")&amp;CHAR(10)&amp;"💡 提升建议: "&amp;IFERROR(VLOOKUP(TRIM(D817)&amp;"_"&amp;TRIM(INDEX($R$1:$V$1, MATCH(MIN(R817:V817), R817:V817, 0))), 技能库!$A:$F, 6, 0),"请针对该题型加强练习"))</f>
        <v/>
      </c>
    </row>
    <row r="818" spans="12:29" ht="16" hidden="1" x14ac:dyDescent="0.2">
      <c r="L818" t="str">
        <f t="shared" si="48"/>
        <v/>
      </c>
      <c r="M818" t="str">
        <f>IF(L818="","", IFERROR(VLOOKUP(L818, IF(D818="KET", 换算标准!$M:$N, IF(D818="PET", 换算标准!$S:$T, 换算标准!$AC:$AD)), 2, TRUE), 0))</f>
        <v/>
      </c>
      <c r="P818" t="str">
        <f t="shared" si="49"/>
        <v/>
      </c>
      <c r="Q818" t="str">
        <f>IF(P818="","", IFERROR(VLOOKUP(P818, IF(D818="KET", 换算标准!$O:$P, IF(D818="PET", 换算标准!$U:$V, 换算标准!$AG:$AH)), 2, TRUE), 0))</f>
        <v/>
      </c>
      <c r="W818" t="str">
        <f t="shared" si="50"/>
        <v/>
      </c>
      <c r="X818" t="str">
        <f>IF(W818="","", IFERROR(VLOOKUP(W818, IF(D818="KET", 换算标准!$Q:$R, IF(D818="PET", 换算标准!$W:$X, 换算标准!$AI:$AJ)), 2, TRUE), 0))</f>
        <v/>
      </c>
      <c r="Y818" t="str">
        <f t="shared" si="51"/>
        <v/>
      </c>
      <c r="Z818" t="str">
        <f>IF(Y818="","", IFERROR(VLOOKUP(Y818, 换算标准!$Z:$AA, 1, TRUE), ""))</f>
        <v/>
      </c>
      <c r="AA818" s="5" t="str">
        <f>IF(L818="","", "⚠️ 薄弱环节: "&amp;INDEX($E$1:$K$1, MATCH(MIN(E818:K818), E818:K818, 0))&amp;CHAR(10)&amp;"📉 考察能力: "&amp;IFERROR(VLOOKUP(TRIM(D818)&amp;"_"&amp;TRIM(INDEX($E$1:$K$1, MATCH(MIN(E818:K818), E818:K818, 0))), 技能库!$A:$F, 5, 0),"建议查阅考纲")&amp;CHAR(10)&amp;"💡 提升建议: "&amp;IFERROR(VLOOKUP(TRIM(D818)&amp;"_"&amp;TRIM(INDEX($E$1:$K$1, MATCH(MIN(E818:K818), E818:K818, 0))), 技能库!$A:$F, 6, 0),"请针对该题型加强练习"))</f>
        <v/>
      </c>
      <c r="AB818" s="5" t="str">
        <f>IF(P818="","", "⚠️ 薄弱环节: "&amp;INDEX($N$1:$O$1, MATCH(MIN(N818:O818), N818:O818, 0))&amp;CHAR(10)&amp;"📉 考察能力: "&amp;IFERROR(VLOOKUP(TRIM(D818)&amp;"_"&amp;TRIM(INDEX($N$1:$O$1, MATCH(MIN(N818:O818), N818:O818, 0))), 技能库!$A:$F, 5, 0),"建议查阅考纲")&amp;CHAR(10)&amp;"💡 提升建议: "&amp;IFERROR(VLOOKUP(TRIM(D818)&amp;"_"&amp;TRIM(INDEX($N$1:$O$1, MATCH(MIN(N818:O818), N818:O818, 0))), 技能库!$A:$F, 6, 0),"请针对该题型加强练习"))</f>
        <v/>
      </c>
      <c r="AC818" s="5" t="str">
        <f>IF(W818="","", "⚠️ 薄弱环节: "&amp;INDEX($R$1:$V$1, MATCH(MIN(R818:V818), R818:V818, 0))&amp;CHAR(10)&amp;"📉 考察能力: "&amp;IFERROR(VLOOKUP(TRIM(D818)&amp;"_"&amp;TRIM(INDEX($R$1:$V$1, MATCH(MIN(R818:V818), R818:V818, 0))), 技能库!$A:$F, 5, 0),"建议查阅考纲")&amp;CHAR(10)&amp;"💡 提升建议: "&amp;IFERROR(VLOOKUP(TRIM(D818)&amp;"_"&amp;TRIM(INDEX($R$1:$V$1, MATCH(MIN(R818:V818), R818:V818, 0))), 技能库!$A:$F, 6, 0),"请针对该题型加强练习"))</f>
        <v/>
      </c>
    </row>
    <row r="819" spans="12:29" ht="16" hidden="1" x14ac:dyDescent="0.2">
      <c r="L819" t="str">
        <f t="shared" si="48"/>
        <v/>
      </c>
      <c r="M819" t="str">
        <f>IF(L819="","", IFERROR(VLOOKUP(L819, IF(D819="KET", 换算标准!$M:$N, IF(D819="PET", 换算标准!$S:$T, 换算标准!$AC:$AD)), 2, TRUE), 0))</f>
        <v/>
      </c>
      <c r="P819" t="str">
        <f t="shared" si="49"/>
        <v/>
      </c>
      <c r="Q819" t="str">
        <f>IF(P819="","", IFERROR(VLOOKUP(P819, IF(D819="KET", 换算标准!$O:$P, IF(D819="PET", 换算标准!$U:$V, 换算标准!$AG:$AH)), 2, TRUE), 0))</f>
        <v/>
      </c>
      <c r="W819" t="str">
        <f t="shared" si="50"/>
        <v/>
      </c>
      <c r="X819" t="str">
        <f>IF(W819="","", IFERROR(VLOOKUP(W819, IF(D819="KET", 换算标准!$Q:$R, IF(D819="PET", 换算标准!$W:$X, 换算标准!$AI:$AJ)), 2, TRUE), 0))</f>
        <v/>
      </c>
      <c r="Y819" t="str">
        <f t="shared" si="51"/>
        <v/>
      </c>
      <c r="Z819" t="str">
        <f>IF(Y819="","", IFERROR(VLOOKUP(Y819, 换算标准!$Z:$AA, 1, TRUE), ""))</f>
        <v/>
      </c>
      <c r="AA819" s="5" t="str">
        <f>IF(L819="","", "⚠️ 薄弱环节: "&amp;INDEX($E$1:$K$1, MATCH(MIN(E819:K819), E819:K819, 0))&amp;CHAR(10)&amp;"📉 考察能力: "&amp;IFERROR(VLOOKUP(TRIM(D819)&amp;"_"&amp;TRIM(INDEX($E$1:$K$1, MATCH(MIN(E819:K819), E819:K819, 0))), 技能库!$A:$F, 5, 0),"建议查阅考纲")&amp;CHAR(10)&amp;"💡 提升建议: "&amp;IFERROR(VLOOKUP(TRIM(D819)&amp;"_"&amp;TRIM(INDEX($E$1:$K$1, MATCH(MIN(E819:K819), E819:K819, 0))), 技能库!$A:$F, 6, 0),"请针对该题型加强练习"))</f>
        <v/>
      </c>
      <c r="AB819" s="5" t="str">
        <f>IF(P819="","", "⚠️ 薄弱环节: "&amp;INDEX($N$1:$O$1, MATCH(MIN(N819:O819), N819:O819, 0))&amp;CHAR(10)&amp;"📉 考察能力: "&amp;IFERROR(VLOOKUP(TRIM(D819)&amp;"_"&amp;TRIM(INDEX($N$1:$O$1, MATCH(MIN(N819:O819), N819:O819, 0))), 技能库!$A:$F, 5, 0),"建议查阅考纲")&amp;CHAR(10)&amp;"💡 提升建议: "&amp;IFERROR(VLOOKUP(TRIM(D819)&amp;"_"&amp;TRIM(INDEX($N$1:$O$1, MATCH(MIN(N819:O819), N819:O819, 0))), 技能库!$A:$F, 6, 0),"请针对该题型加强练习"))</f>
        <v/>
      </c>
      <c r="AC819" s="5" t="str">
        <f>IF(W819="","", "⚠️ 薄弱环节: "&amp;INDEX($R$1:$V$1, MATCH(MIN(R819:V819), R819:V819, 0))&amp;CHAR(10)&amp;"📉 考察能力: "&amp;IFERROR(VLOOKUP(TRIM(D819)&amp;"_"&amp;TRIM(INDEX($R$1:$V$1, MATCH(MIN(R819:V819), R819:V819, 0))), 技能库!$A:$F, 5, 0),"建议查阅考纲")&amp;CHAR(10)&amp;"💡 提升建议: "&amp;IFERROR(VLOOKUP(TRIM(D819)&amp;"_"&amp;TRIM(INDEX($R$1:$V$1, MATCH(MIN(R819:V819), R819:V819, 0))), 技能库!$A:$F, 6, 0),"请针对该题型加强练习"))</f>
        <v/>
      </c>
    </row>
    <row r="820" spans="12:29" ht="16" hidden="1" x14ac:dyDescent="0.2">
      <c r="L820" t="str">
        <f t="shared" si="48"/>
        <v/>
      </c>
      <c r="M820" t="str">
        <f>IF(L820="","", IFERROR(VLOOKUP(L820, IF(D820="KET", 换算标准!$M:$N, IF(D820="PET", 换算标准!$S:$T, 换算标准!$AC:$AD)), 2, TRUE), 0))</f>
        <v/>
      </c>
      <c r="P820" t="str">
        <f t="shared" si="49"/>
        <v/>
      </c>
      <c r="Q820" t="str">
        <f>IF(P820="","", IFERROR(VLOOKUP(P820, IF(D820="KET", 换算标准!$O:$P, IF(D820="PET", 换算标准!$U:$V, 换算标准!$AG:$AH)), 2, TRUE), 0))</f>
        <v/>
      </c>
      <c r="W820" t="str">
        <f t="shared" si="50"/>
        <v/>
      </c>
      <c r="X820" t="str">
        <f>IF(W820="","", IFERROR(VLOOKUP(W820, IF(D820="KET", 换算标准!$Q:$R, IF(D820="PET", 换算标准!$W:$X, 换算标准!$AI:$AJ)), 2, TRUE), 0))</f>
        <v/>
      </c>
      <c r="Y820" t="str">
        <f t="shared" si="51"/>
        <v/>
      </c>
      <c r="Z820" t="str">
        <f>IF(Y820="","", IFERROR(VLOOKUP(Y820, 换算标准!$Z:$AA, 1, TRUE), ""))</f>
        <v/>
      </c>
      <c r="AA820" s="5" t="str">
        <f>IF(L820="","", "⚠️ 薄弱环节: "&amp;INDEX($E$1:$K$1, MATCH(MIN(E820:K820), E820:K820, 0))&amp;CHAR(10)&amp;"📉 考察能力: "&amp;IFERROR(VLOOKUP(TRIM(D820)&amp;"_"&amp;TRIM(INDEX($E$1:$K$1, MATCH(MIN(E820:K820), E820:K820, 0))), 技能库!$A:$F, 5, 0),"建议查阅考纲")&amp;CHAR(10)&amp;"💡 提升建议: "&amp;IFERROR(VLOOKUP(TRIM(D820)&amp;"_"&amp;TRIM(INDEX($E$1:$K$1, MATCH(MIN(E820:K820), E820:K820, 0))), 技能库!$A:$F, 6, 0),"请针对该题型加强练习"))</f>
        <v/>
      </c>
      <c r="AB820" s="5" t="str">
        <f>IF(P820="","", "⚠️ 薄弱环节: "&amp;INDEX($N$1:$O$1, MATCH(MIN(N820:O820), N820:O820, 0))&amp;CHAR(10)&amp;"📉 考察能力: "&amp;IFERROR(VLOOKUP(TRIM(D820)&amp;"_"&amp;TRIM(INDEX($N$1:$O$1, MATCH(MIN(N820:O820), N820:O820, 0))), 技能库!$A:$F, 5, 0),"建议查阅考纲")&amp;CHAR(10)&amp;"💡 提升建议: "&amp;IFERROR(VLOOKUP(TRIM(D820)&amp;"_"&amp;TRIM(INDEX($N$1:$O$1, MATCH(MIN(N820:O820), N820:O820, 0))), 技能库!$A:$F, 6, 0),"请针对该题型加强练习"))</f>
        <v/>
      </c>
      <c r="AC820" s="5" t="str">
        <f>IF(W820="","", "⚠️ 薄弱环节: "&amp;INDEX($R$1:$V$1, MATCH(MIN(R820:V820), R820:V820, 0))&amp;CHAR(10)&amp;"📉 考察能力: "&amp;IFERROR(VLOOKUP(TRIM(D820)&amp;"_"&amp;TRIM(INDEX($R$1:$V$1, MATCH(MIN(R820:V820), R820:V820, 0))), 技能库!$A:$F, 5, 0),"建议查阅考纲")&amp;CHAR(10)&amp;"💡 提升建议: "&amp;IFERROR(VLOOKUP(TRIM(D820)&amp;"_"&amp;TRIM(INDEX($R$1:$V$1, MATCH(MIN(R820:V820), R820:V820, 0))), 技能库!$A:$F, 6, 0),"请针对该题型加强练习"))</f>
        <v/>
      </c>
    </row>
    <row r="821" spans="12:29" ht="16" hidden="1" x14ac:dyDescent="0.2">
      <c r="L821" t="str">
        <f t="shared" si="48"/>
        <v/>
      </c>
      <c r="M821" t="str">
        <f>IF(L821="","", IFERROR(VLOOKUP(L821, IF(D821="KET", 换算标准!$M:$N, IF(D821="PET", 换算标准!$S:$T, 换算标准!$AC:$AD)), 2, TRUE), 0))</f>
        <v/>
      </c>
      <c r="P821" t="str">
        <f t="shared" si="49"/>
        <v/>
      </c>
      <c r="Q821" t="str">
        <f>IF(P821="","", IFERROR(VLOOKUP(P821, IF(D821="KET", 换算标准!$O:$P, IF(D821="PET", 换算标准!$U:$V, 换算标准!$AG:$AH)), 2, TRUE), 0))</f>
        <v/>
      </c>
      <c r="W821" t="str">
        <f t="shared" si="50"/>
        <v/>
      </c>
      <c r="X821" t="str">
        <f>IF(W821="","", IFERROR(VLOOKUP(W821, IF(D821="KET", 换算标准!$Q:$R, IF(D821="PET", 换算标准!$W:$X, 换算标准!$AI:$AJ)), 2, TRUE), 0))</f>
        <v/>
      </c>
      <c r="Y821" t="str">
        <f t="shared" si="51"/>
        <v/>
      </c>
      <c r="Z821" t="str">
        <f>IF(Y821="","", IFERROR(VLOOKUP(Y821, 换算标准!$Z:$AA, 1, TRUE), ""))</f>
        <v/>
      </c>
      <c r="AA821" s="5" t="str">
        <f>IF(L821="","", "⚠️ 薄弱环节: "&amp;INDEX($E$1:$K$1, MATCH(MIN(E821:K821), E821:K821, 0))&amp;CHAR(10)&amp;"📉 考察能力: "&amp;IFERROR(VLOOKUP(TRIM(D821)&amp;"_"&amp;TRIM(INDEX($E$1:$K$1, MATCH(MIN(E821:K821), E821:K821, 0))), 技能库!$A:$F, 5, 0),"建议查阅考纲")&amp;CHAR(10)&amp;"💡 提升建议: "&amp;IFERROR(VLOOKUP(TRIM(D821)&amp;"_"&amp;TRIM(INDEX($E$1:$K$1, MATCH(MIN(E821:K821), E821:K821, 0))), 技能库!$A:$F, 6, 0),"请针对该题型加强练习"))</f>
        <v/>
      </c>
      <c r="AB821" s="5" t="str">
        <f>IF(P821="","", "⚠️ 薄弱环节: "&amp;INDEX($N$1:$O$1, MATCH(MIN(N821:O821), N821:O821, 0))&amp;CHAR(10)&amp;"📉 考察能力: "&amp;IFERROR(VLOOKUP(TRIM(D821)&amp;"_"&amp;TRIM(INDEX($N$1:$O$1, MATCH(MIN(N821:O821), N821:O821, 0))), 技能库!$A:$F, 5, 0),"建议查阅考纲")&amp;CHAR(10)&amp;"💡 提升建议: "&amp;IFERROR(VLOOKUP(TRIM(D821)&amp;"_"&amp;TRIM(INDEX($N$1:$O$1, MATCH(MIN(N821:O821), N821:O821, 0))), 技能库!$A:$F, 6, 0),"请针对该题型加强练习"))</f>
        <v/>
      </c>
      <c r="AC821" s="5" t="str">
        <f>IF(W821="","", "⚠️ 薄弱环节: "&amp;INDEX($R$1:$V$1, MATCH(MIN(R821:V821), R821:V821, 0))&amp;CHAR(10)&amp;"📉 考察能力: "&amp;IFERROR(VLOOKUP(TRIM(D821)&amp;"_"&amp;TRIM(INDEX($R$1:$V$1, MATCH(MIN(R821:V821), R821:V821, 0))), 技能库!$A:$F, 5, 0),"建议查阅考纲")&amp;CHAR(10)&amp;"💡 提升建议: "&amp;IFERROR(VLOOKUP(TRIM(D821)&amp;"_"&amp;TRIM(INDEX($R$1:$V$1, MATCH(MIN(R821:V821), R821:V821, 0))), 技能库!$A:$F, 6, 0),"请针对该题型加强练习"))</f>
        <v/>
      </c>
    </row>
    <row r="822" spans="12:29" ht="16" hidden="1" x14ac:dyDescent="0.2">
      <c r="L822" t="str">
        <f t="shared" si="48"/>
        <v/>
      </c>
      <c r="M822" t="str">
        <f>IF(L822="","", IFERROR(VLOOKUP(L822, IF(D822="KET", 换算标准!$M:$N, IF(D822="PET", 换算标准!$S:$T, 换算标准!$AC:$AD)), 2, TRUE), 0))</f>
        <v/>
      </c>
      <c r="P822" t="str">
        <f t="shared" si="49"/>
        <v/>
      </c>
      <c r="Q822" t="str">
        <f>IF(P822="","", IFERROR(VLOOKUP(P822, IF(D822="KET", 换算标准!$O:$P, IF(D822="PET", 换算标准!$U:$V, 换算标准!$AG:$AH)), 2, TRUE), 0))</f>
        <v/>
      </c>
      <c r="W822" t="str">
        <f t="shared" si="50"/>
        <v/>
      </c>
      <c r="X822" t="str">
        <f>IF(W822="","", IFERROR(VLOOKUP(W822, IF(D822="KET", 换算标准!$Q:$R, IF(D822="PET", 换算标准!$W:$X, 换算标准!$AI:$AJ)), 2, TRUE), 0))</f>
        <v/>
      </c>
      <c r="Y822" t="str">
        <f t="shared" si="51"/>
        <v/>
      </c>
      <c r="Z822" t="str">
        <f>IF(Y822="","", IFERROR(VLOOKUP(Y822, 换算标准!$Z:$AA, 1, TRUE), ""))</f>
        <v/>
      </c>
      <c r="AA822" s="5" t="str">
        <f>IF(L822="","", "⚠️ 薄弱环节: "&amp;INDEX($E$1:$K$1, MATCH(MIN(E822:K822), E822:K822, 0))&amp;CHAR(10)&amp;"📉 考察能力: "&amp;IFERROR(VLOOKUP(TRIM(D822)&amp;"_"&amp;TRIM(INDEX($E$1:$K$1, MATCH(MIN(E822:K822), E822:K822, 0))), 技能库!$A:$F, 5, 0),"建议查阅考纲")&amp;CHAR(10)&amp;"💡 提升建议: "&amp;IFERROR(VLOOKUP(TRIM(D822)&amp;"_"&amp;TRIM(INDEX($E$1:$K$1, MATCH(MIN(E822:K822), E822:K822, 0))), 技能库!$A:$F, 6, 0),"请针对该题型加强练习"))</f>
        <v/>
      </c>
      <c r="AB822" s="5" t="str">
        <f>IF(P822="","", "⚠️ 薄弱环节: "&amp;INDEX($N$1:$O$1, MATCH(MIN(N822:O822), N822:O822, 0))&amp;CHAR(10)&amp;"📉 考察能力: "&amp;IFERROR(VLOOKUP(TRIM(D822)&amp;"_"&amp;TRIM(INDEX($N$1:$O$1, MATCH(MIN(N822:O822), N822:O822, 0))), 技能库!$A:$F, 5, 0),"建议查阅考纲")&amp;CHAR(10)&amp;"💡 提升建议: "&amp;IFERROR(VLOOKUP(TRIM(D822)&amp;"_"&amp;TRIM(INDEX($N$1:$O$1, MATCH(MIN(N822:O822), N822:O822, 0))), 技能库!$A:$F, 6, 0),"请针对该题型加强练习"))</f>
        <v/>
      </c>
      <c r="AC822" s="5" t="str">
        <f>IF(W822="","", "⚠️ 薄弱环节: "&amp;INDEX($R$1:$V$1, MATCH(MIN(R822:V822), R822:V822, 0))&amp;CHAR(10)&amp;"📉 考察能力: "&amp;IFERROR(VLOOKUP(TRIM(D822)&amp;"_"&amp;TRIM(INDEX($R$1:$V$1, MATCH(MIN(R822:V822), R822:V822, 0))), 技能库!$A:$F, 5, 0),"建议查阅考纲")&amp;CHAR(10)&amp;"💡 提升建议: "&amp;IFERROR(VLOOKUP(TRIM(D822)&amp;"_"&amp;TRIM(INDEX($R$1:$V$1, MATCH(MIN(R822:V822), R822:V822, 0))), 技能库!$A:$F, 6, 0),"请针对该题型加强练习"))</f>
        <v/>
      </c>
    </row>
    <row r="823" spans="12:29" ht="16" hidden="1" x14ac:dyDescent="0.2">
      <c r="L823" t="str">
        <f t="shared" si="48"/>
        <v/>
      </c>
      <c r="M823" t="str">
        <f>IF(L823="","", IFERROR(VLOOKUP(L823, IF(D823="KET", 换算标准!$M:$N, IF(D823="PET", 换算标准!$S:$T, 换算标准!$AC:$AD)), 2, TRUE), 0))</f>
        <v/>
      </c>
      <c r="P823" t="str">
        <f t="shared" si="49"/>
        <v/>
      </c>
      <c r="Q823" t="str">
        <f>IF(P823="","", IFERROR(VLOOKUP(P823, IF(D823="KET", 换算标准!$O:$P, IF(D823="PET", 换算标准!$U:$V, 换算标准!$AG:$AH)), 2, TRUE), 0))</f>
        <v/>
      </c>
      <c r="W823" t="str">
        <f t="shared" si="50"/>
        <v/>
      </c>
      <c r="X823" t="str">
        <f>IF(W823="","", IFERROR(VLOOKUP(W823, IF(D823="KET", 换算标准!$Q:$R, IF(D823="PET", 换算标准!$W:$X, 换算标准!$AI:$AJ)), 2, TRUE), 0))</f>
        <v/>
      </c>
      <c r="Y823" t="str">
        <f t="shared" si="51"/>
        <v/>
      </c>
      <c r="Z823" t="str">
        <f>IF(Y823="","", IFERROR(VLOOKUP(Y823, 换算标准!$Z:$AA, 1, TRUE), ""))</f>
        <v/>
      </c>
      <c r="AA823" s="5" t="str">
        <f>IF(L823="","", "⚠️ 薄弱环节: "&amp;INDEX($E$1:$K$1, MATCH(MIN(E823:K823), E823:K823, 0))&amp;CHAR(10)&amp;"📉 考察能力: "&amp;IFERROR(VLOOKUP(TRIM(D823)&amp;"_"&amp;TRIM(INDEX($E$1:$K$1, MATCH(MIN(E823:K823), E823:K823, 0))), 技能库!$A:$F, 5, 0),"建议查阅考纲")&amp;CHAR(10)&amp;"💡 提升建议: "&amp;IFERROR(VLOOKUP(TRIM(D823)&amp;"_"&amp;TRIM(INDEX($E$1:$K$1, MATCH(MIN(E823:K823), E823:K823, 0))), 技能库!$A:$F, 6, 0),"请针对该题型加强练习"))</f>
        <v/>
      </c>
      <c r="AB823" s="5" t="str">
        <f>IF(P823="","", "⚠️ 薄弱环节: "&amp;INDEX($N$1:$O$1, MATCH(MIN(N823:O823), N823:O823, 0))&amp;CHAR(10)&amp;"📉 考察能力: "&amp;IFERROR(VLOOKUP(TRIM(D823)&amp;"_"&amp;TRIM(INDEX($N$1:$O$1, MATCH(MIN(N823:O823), N823:O823, 0))), 技能库!$A:$F, 5, 0),"建议查阅考纲")&amp;CHAR(10)&amp;"💡 提升建议: "&amp;IFERROR(VLOOKUP(TRIM(D823)&amp;"_"&amp;TRIM(INDEX($N$1:$O$1, MATCH(MIN(N823:O823), N823:O823, 0))), 技能库!$A:$F, 6, 0),"请针对该题型加强练习"))</f>
        <v/>
      </c>
      <c r="AC823" s="5" t="str">
        <f>IF(W823="","", "⚠️ 薄弱环节: "&amp;INDEX($R$1:$V$1, MATCH(MIN(R823:V823), R823:V823, 0))&amp;CHAR(10)&amp;"📉 考察能力: "&amp;IFERROR(VLOOKUP(TRIM(D823)&amp;"_"&amp;TRIM(INDEX($R$1:$V$1, MATCH(MIN(R823:V823), R823:V823, 0))), 技能库!$A:$F, 5, 0),"建议查阅考纲")&amp;CHAR(10)&amp;"💡 提升建议: "&amp;IFERROR(VLOOKUP(TRIM(D823)&amp;"_"&amp;TRIM(INDEX($R$1:$V$1, MATCH(MIN(R823:V823), R823:V823, 0))), 技能库!$A:$F, 6, 0),"请针对该题型加强练习"))</f>
        <v/>
      </c>
    </row>
    <row r="824" spans="12:29" ht="16" hidden="1" x14ac:dyDescent="0.2">
      <c r="L824" t="str">
        <f t="shared" si="48"/>
        <v/>
      </c>
      <c r="M824" t="str">
        <f>IF(L824="","", IFERROR(VLOOKUP(L824, IF(D824="KET", 换算标准!$M:$N, IF(D824="PET", 换算标准!$S:$T, 换算标准!$AC:$AD)), 2, TRUE), 0))</f>
        <v/>
      </c>
      <c r="P824" t="str">
        <f t="shared" si="49"/>
        <v/>
      </c>
      <c r="Q824" t="str">
        <f>IF(P824="","", IFERROR(VLOOKUP(P824, IF(D824="KET", 换算标准!$O:$P, IF(D824="PET", 换算标准!$U:$V, 换算标准!$AG:$AH)), 2, TRUE), 0))</f>
        <v/>
      </c>
      <c r="W824" t="str">
        <f t="shared" si="50"/>
        <v/>
      </c>
      <c r="X824" t="str">
        <f>IF(W824="","", IFERROR(VLOOKUP(W824, IF(D824="KET", 换算标准!$Q:$R, IF(D824="PET", 换算标准!$W:$X, 换算标准!$AI:$AJ)), 2, TRUE), 0))</f>
        <v/>
      </c>
      <c r="Y824" t="str">
        <f t="shared" si="51"/>
        <v/>
      </c>
      <c r="Z824" t="str">
        <f>IF(Y824="","", IFERROR(VLOOKUP(Y824, 换算标准!$Z:$AA, 1, TRUE), ""))</f>
        <v/>
      </c>
      <c r="AA824" s="5" t="str">
        <f>IF(L824="","", "⚠️ 薄弱环节: "&amp;INDEX($E$1:$K$1, MATCH(MIN(E824:K824), E824:K824, 0))&amp;CHAR(10)&amp;"📉 考察能力: "&amp;IFERROR(VLOOKUP(TRIM(D824)&amp;"_"&amp;TRIM(INDEX($E$1:$K$1, MATCH(MIN(E824:K824), E824:K824, 0))), 技能库!$A:$F, 5, 0),"建议查阅考纲")&amp;CHAR(10)&amp;"💡 提升建议: "&amp;IFERROR(VLOOKUP(TRIM(D824)&amp;"_"&amp;TRIM(INDEX($E$1:$K$1, MATCH(MIN(E824:K824), E824:K824, 0))), 技能库!$A:$F, 6, 0),"请针对该题型加强练习"))</f>
        <v/>
      </c>
      <c r="AB824" s="5" t="str">
        <f>IF(P824="","", "⚠️ 薄弱环节: "&amp;INDEX($N$1:$O$1, MATCH(MIN(N824:O824), N824:O824, 0))&amp;CHAR(10)&amp;"📉 考察能力: "&amp;IFERROR(VLOOKUP(TRIM(D824)&amp;"_"&amp;TRIM(INDEX($N$1:$O$1, MATCH(MIN(N824:O824), N824:O824, 0))), 技能库!$A:$F, 5, 0),"建议查阅考纲")&amp;CHAR(10)&amp;"💡 提升建议: "&amp;IFERROR(VLOOKUP(TRIM(D824)&amp;"_"&amp;TRIM(INDEX($N$1:$O$1, MATCH(MIN(N824:O824), N824:O824, 0))), 技能库!$A:$F, 6, 0),"请针对该题型加强练习"))</f>
        <v/>
      </c>
      <c r="AC824" s="5" t="str">
        <f>IF(W824="","", "⚠️ 薄弱环节: "&amp;INDEX($R$1:$V$1, MATCH(MIN(R824:V824), R824:V824, 0))&amp;CHAR(10)&amp;"📉 考察能力: "&amp;IFERROR(VLOOKUP(TRIM(D824)&amp;"_"&amp;TRIM(INDEX($R$1:$V$1, MATCH(MIN(R824:V824), R824:V824, 0))), 技能库!$A:$F, 5, 0),"建议查阅考纲")&amp;CHAR(10)&amp;"💡 提升建议: "&amp;IFERROR(VLOOKUP(TRIM(D824)&amp;"_"&amp;TRIM(INDEX($R$1:$V$1, MATCH(MIN(R824:V824), R824:V824, 0))), 技能库!$A:$F, 6, 0),"请针对该题型加强练习"))</f>
        <v/>
      </c>
    </row>
    <row r="825" spans="12:29" ht="16" hidden="1" x14ac:dyDescent="0.2">
      <c r="L825" t="str">
        <f t="shared" si="48"/>
        <v/>
      </c>
      <c r="M825" t="str">
        <f>IF(L825="","", IFERROR(VLOOKUP(L825, IF(D825="KET", 换算标准!$M:$N, IF(D825="PET", 换算标准!$S:$T, 换算标准!$AC:$AD)), 2, TRUE), 0))</f>
        <v/>
      </c>
      <c r="P825" t="str">
        <f t="shared" si="49"/>
        <v/>
      </c>
      <c r="Q825" t="str">
        <f>IF(P825="","", IFERROR(VLOOKUP(P825, IF(D825="KET", 换算标准!$O:$P, IF(D825="PET", 换算标准!$U:$V, 换算标准!$AG:$AH)), 2, TRUE), 0))</f>
        <v/>
      </c>
      <c r="W825" t="str">
        <f t="shared" si="50"/>
        <v/>
      </c>
      <c r="X825" t="str">
        <f>IF(W825="","", IFERROR(VLOOKUP(W825, IF(D825="KET", 换算标准!$Q:$R, IF(D825="PET", 换算标准!$W:$X, 换算标准!$AI:$AJ)), 2, TRUE), 0))</f>
        <v/>
      </c>
      <c r="Y825" t="str">
        <f t="shared" si="51"/>
        <v/>
      </c>
      <c r="Z825" t="str">
        <f>IF(Y825="","", IFERROR(VLOOKUP(Y825, 换算标准!$Z:$AA, 1, TRUE), ""))</f>
        <v/>
      </c>
      <c r="AA825" s="5" t="str">
        <f>IF(L825="","", "⚠️ 薄弱环节: "&amp;INDEX($E$1:$K$1, MATCH(MIN(E825:K825), E825:K825, 0))&amp;CHAR(10)&amp;"📉 考察能力: "&amp;IFERROR(VLOOKUP(TRIM(D825)&amp;"_"&amp;TRIM(INDEX($E$1:$K$1, MATCH(MIN(E825:K825), E825:K825, 0))), 技能库!$A:$F, 5, 0),"建议查阅考纲")&amp;CHAR(10)&amp;"💡 提升建议: "&amp;IFERROR(VLOOKUP(TRIM(D825)&amp;"_"&amp;TRIM(INDEX($E$1:$K$1, MATCH(MIN(E825:K825), E825:K825, 0))), 技能库!$A:$F, 6, 0),"请针对该题型加强练习"))</f>
        <v/>
      </c>
      <c r="AB825" s="5" t="str">
        <f>IF(P825="","", "⚠️ 薄弱环节: "&amp;INDEX($N$1:$O$1, MATCH(MIN(N825:O825), N825:O825, 0))&amp;CHAR(10)&amp;"📉 考察能力: "&amp;IFERROR(VLOOKUP(TRIM(D825)&amp;"_"&amp;TRIM(INDEX($N$1:$O$1, MATCH(MIN(N825:O825), N825:O825, 0))), 技能库!$A:$F, 5, 0),"建议查阅考纲")&amp;CHAR(10)&amp;"💡 提升建议: "&amp;IFERROR(VLOOKUP(TRIM(D825)&amp;"_"&amp;TRIM(INDEX($N$1:$O$1, MATCH(MIN(N825:O825), N825:O825, 0))), 技能库!$A:$F, 6, 0),"请针对该题型加强练习"))</f>
        <v/>
      </c>
      <c r="AC825" s="5" t="str">
        <f>IF(W825="","", "⚠️ 薄弱环节: "&amp;INDEX($R$1:$V$1, MATCH(MIN(R825:V825), R825:V825, 0))&amp;CHAR(10)&amp;"📉 考察能力: "&amp;IFERROR(VLOOKUP(TRIM(D825)&amp;"_"&amp;TRIM(INDEX($R$1:$V$1, MATCH(MIN(R825:V825), R825:V825, 0))), 技能库!$A:$F, 5, 0),"建议查阅考纲")&amp;CHAR(10)&amp;"💡 提升建议: "&amp;IFERROR(VLOOKUP(TRIM(D825)&amp;"_"&amp;TRIM(INDEX($R$1:$V$1, MATCH(MIN(R825:V825), R825:V825, 0))), 技能库!$A:$F, 6, 0),"请针对该题型加强练习"))</f>
        <v/>
      </c>
    </row>
    <row r="826" spans="12:29" ht="16" hidden="1" x14ac:dyDescent="0.2">
      <c r="L826" t="str">
        <f t="shared" si="48"/>
        <v/>
      </c>
      <c r="M826" t="str">
        <f>IF(L826="","", IFERROR(VLOOKUP(L826, IF(D826="KET", 换算标准!$M:$N, IF(D826="PET", 换算标准!$S:$T, 换算标准!$AC:$AD)), 2, TRUE), 0))</f>
        <v/>
      </c>
      <c r="P826" t="str">
        <f t="shared" si="49"/>
        <v/>
      </c>
      <c r="Q826" t="str">
        <f>IF(P826="","", IFERROR(VLOOKUP(P826, IF(D826="KET", 换算标准!$O:$P, IF(D826="PET", 换算标准!$U:$V, 换算标准!$AG:$AH)), 2, TRUE), 0))</f>
        <v/>
      </c>
      <c r="W826" t="str">
        <f t="shared" si="50"/>
        <v/>
      </c>
      <c r="X826" t="str">
        <f>IF(W826="","", IFERROR(VLOOKUP(W826, IF(D826="KET", 换算标准!$Q:$R, IF(D826="PET", 换算标准!$W:$X, 换算标准!$AI:$AJ)), 2, TRUE), 0))</f>
        <v/>
      </c>
      <c r="Y826" t="str">
        <f t="shared" si="51"/>
        <v/>
      </c>
      <c r="Z826" t="str">
        <f>IF(Y826="","", IFERROR(VLOOKUP(Y826, 换算标准!$Z:$AA, 1, TRUE), ""))</f>
        <v/>
      </c>
      <c r="AA826" s="5" t="str">
        <f>IF(L826="","", "⚠️ 薄弱环节: "&amp;INDEX($E$1:$K$1, MATCH(MIN(E826:K826), E826:K826, 0))&amp;CHAR(10)&amp;"📉 考察能力: "&amp;IFERROR(VLOOKUP(TRIM(D826)&amp;"_"&amp;TRIM(INDEX($E$1:$K$1, MATCH(MIN(E826:K826), E826:K826, 0))), 技能库!$A:$F, 5, 0),"建议查阅考纲")&amp;CHAR(10)&amp;"💡 提升建议: "&amp;IFERROR(VLOOKUP(TRIM(D826)&amp;"_"&amp;TRIM(INDEX($E$1:$K$1, MATCH(MIN(E826:K826), E826:K826, 0))), 技能库!$A:$F, 6, 0),"请针对该题型加强练习"))</f>
        <v/>
      </c>
      <c r="AB826" s="5" t="str">
        <f>IF(P826="","", "⚠️ 薄弱环节: "&amp;INDEX($N$1:$O$1, MATCH(MIN(N826:O826), N826:O826, 0))&amp;CHAR(10)&amp;"📉 考察能力: "&amp;IFERROR(VLOOKUP(TRIM(D826)&amp;"_"&amp;TRIM(INDEX($N$1:$O$1, MATCH(MIN(N826:O826), N826:O826, 0))), 技能库!$A:$F, 5, 0),"建议查阅考纲")&amp;CHAR(10)&amp;"💡 提升建议: "&amp;IFERROR(VLOOKUP(TRIM(D826)&amp;"_"&amp;TRIM(INDEX($N$1:$O$1, MATCH(MIN(N826:O826), N826:O826, 0))), 技能库!$A:$F, 6, 0),"请针对该题型加强练习"))</f>
        <v/>
      </c>
      <c r="AC826" s="5" t="str">
        <f>IF(W826="","", "⚠️ 薄弱环节: "&amp;INDEX($R$1:$V$1, MATCH(MIN(R826:V826), R826:V826, 0))&amp;CHAR(10)&amp;"📉 考察能力: "&amp;IFERROR(VLOOKUP(TRIM(D826)&amp;"_"&amp;TRIM(INDEX($R$1:$V$1, MATCH(MIN(R826:V826), R826:V826, 0))), 技能库!$A:$F, 5, 0),"建议查阅考纲")&amp;CHAR(10)&amp;"💡 提升建议: "&amp;IFERROR(VLOOKUP(TRIM(D826)&amp;"_"&amp;TRIM(INDEX($R$1:$V$1, MATCH(MIN(R826:V826), R826:V826, 0))), 技能库!$A:$F, 6, 0),"请针对该题型加强练习"))</f>
        <v/>
      </c>
    </row>
    <row r="827" spans="12:29" ht="16" hidden="1" x14ac:dyDescent="0.2">
      <c r="L827" t="str">
        <f t="shared" si="48"/>
        <v/>
      </c>
      <c r="M827" t="str">
        <f>IF(L827="","", IFERROR(VLOOKUP(L827, IF(D827="KET", 换算标准!$M:$N, IF(D827="PET", 换算标准!$S:$T, 换算标准!$AC:$AD)), 2, TRUE), 0))</f>
        <v/>
      </c>
      <c r="P827" t="str">
        <f t="shared" si="49"/>
        <v/>
      </c>
      <c r="Q827" t="str">
        <f>IF(P827="","", IFERROR(VLOOKUP(P827, IF(D827="KET", 换算标准!$O:$P, IF(D827="PET", 换算标准!$U:$V, 换算标准!$AG:$AH)), 2, TRUE), 0))</f>
        <v/>
      </c>
      <c r="W827" t="str">
        <f t="shared" si="50"/>
        <v/>
      </c>
      <c r="X827" t="str">
        <f>IF(W827="","", IFERROR(VLOOKUP(W827, IF(D827="KET", 换算标准!$Q:$R, IF(D827="PET", 换算标准!$W:$X, 换算标准!$AI:$AJ)), 2, TRUE), 0))</f>
        <v/>
      </c>
      <c r="Y827" t="str">
        <f t="shared" si="51"/>
        <v/>
      </c>
      <c r="Z827" t="str">
        <f>IF(Y827="","", IFERROR(VLOOKUP(Y827, 换算标准!$Z:$AA, 1, TRUE), ""))</f>
        <v/>
      </c>
      <c r="AA827" s="5" t="str">
        <f>IF(L827="","", "⚠️ 薄弱环节: "&amp;INDEX($E$1:$K$1, MATCH(MIN(E827:K827), E827:K827, 0))&amp;CHAR(10)&amp;"📉 考察能力: "&amp;IFERROR(VLOOKUP(TRIM(D827)&amp;"_"&amp;TRIM(INDEX($E$1:$K$1, MATCH(MIN(E827:K827), E827:K827, 0))), 技能库!$A:$F, 5, 0),"建议查阅考纲")&amp;CHAR(10)&amp;"💡 提升建议: "&amp;IFERROR(VLOOKUP(TRIM(D827)&amp;"_"&amp;TRIM(INDEX($E$1:$K$1, MATCH(MIN(E827:K827), E827:K827, 0))), 技能库!$A:$F, 6, 0),"请针对该题型加强练习"))</f>
        <v/>
      </c>
      <c r="AB827" s="5" t="str">
        <f>IF(P827="","", "⚠️ 薄弱环节: "&amp;INDEX($N$1:$O$1, MATCH(MIN(N827:O827), N827:O827, 0))&amp;CHAR(10)&amp;"📉 考察能力: "&amp;IFERROR(VLOOKUP(TRIM(D827)&amp;"_"&amp;TRIM(INDEX($N$1:$O$1, MATCH(MIN(N827:O827), N827:O827, 0))), 技能库!$A:$F, 5, 0),"建议查阅考纲")&amp;CHAR(10)&amp;"💡 提升建议: "&amp;IFERROR(VLOOKUP(TRIM(D827)&amp;"_"&amp;TRIM(INDEX($N$1:$O$1, MATCH(MIN(N827:O827), N827:O827, 0))), 技能库!$A:$F, 6, 0),"请针对该题型加强练习"))</f>
        <v/>
      </c>
      <c r="AC827" s="5" t="str">
        <f>IF(W827="","", "⚠️ 薄弱环节: "&amp;INDEX($R$1:$V$1, MATCH(MIN(R827:V827), R827:V827, 0))&amp;CHAR(10)&amp;"📉 考察能力: "&amp;IFERROR(VLOOKUP(TRIM(D827)&amp;"_"&amp;TRIM(INDEX($R$1:$V$1, MATCH(MIN(R827:V827), R827:V827, 0))), 技能库!$A:$F, 5, 0),"建议查阅考纲")&amp;CHAR(10)&amp;"💡 提升建议: "&amp;IFERROR(VLOOKUP(TRIM(D827)&amp;"_"&amp;TRIM(INDEX($R$1:$V$1, MATCH(MIN(R827:V827), R827:V827, 0))), 技能库!$A:$F, 6, 0),"请针对该题型加强练习"))</f>
        <v/>
      </c>
    </row>
    <row r="828" spans="12:29" ht="16" hidden="1" x14ac:dyDescent="0.2">
      <c r="L828" t="str">
        <f t="shared" si="48"/>
        <v/>
      </c>
      <c r="M828" t="str">
        <f>IF(L828="","", IFERROR(VLOOKUP(L828, IF(D828="KET", 换算标准!$M:$N, IF(D828="PET", 换算标准!$S:$T, 换算标准!$AC:$AD)), 2, TRUE), 0))</f>
        <v/>
      </c>
      <c r="P828" t="str">
        <f t="shared" si="49"/>
        <v/>
      </c>
      <c r="Q828" t="str">
        <f>IF(P828="","", IFERROR(VLOOKUP(P828, IF(D828="KET", 换算标准!$O:$P, IF(D828="PET", 换算标准!$U:$V, 换算标准!$AG:$AH)), 2, TRUE), 0))</f>
        <v/>
      </c>
      <c r="W828" t="str">
        <f t="shared" si="50"/>
        <v/>
      </c>
      <c r="X828" t="str">
        <f>IF(W828="","", IFERROR(VLOOKUP(W828, IF(D828="KET", 换算标准!$Q:$R, IF(D828="PET", 换算标准!$W:$X, 换算标准!$AI:$AJ)), 2, TRUE), 0))</f>
        <v/>
      </c>
      <c r="Y828" t="str">
        <f t="shared" si="51"/>
        <v/>
      </c>
      <c r="Z828" t="str">
        <f>IF(Y828="","", IFERROR(VLOOKUP(Y828, 换算标准!$Z:$AA, 1, TRUE), ""))</f>
        <v/>
      </c>
      <c r="AA828" s="5" t="str">
        <f>IF(L828="","", "⚠️ 薄弱环节: "&amp;INDEX($E$1:$K$1, MATCH(MIN(E828:K828), E828:K828, 0))&amp;CHAR(10)&amp;"📉 考察能力: "&amp;IFERROR(VLOOKUP(TRIM(D828)&amp;"_"&amp;TRIM(INDEX($E$1:$K$1, MATCH(MIN(E828:K828), E828:K828, 0))), 技能库!$A:$F, 5, 0),"建议查阅考纲")&amp;CHAR(10)&amp;"💡 提升建议: "&amp;IFERROR(VLOOKUP(TRIM(D828)&amp;"_"&amp;TRIM(INDEX($E$1:$K$1, MATCH(MIN(E828:K828), E828:K828, 0))), 技能库!$A:$F, 6, 0),"请针对该题型加强练习"))</f>
        <v/>
      </c>
      <c r="AB828" s="5" t="str">
        <f>IF(P828="","", "⚠️ 薄弱环节: "&amp;INDEX($N$1:$O$1, MATCH(MIN(N828:O828), N828:O828, 0))&amp;CHAR(10)&amp;"📉 考察能力: "&amp;IFERROR(VLOOKUP(TRIM(D828)&amp;"_"&amp;TRIM(INDEX($N$1:$O$1, MATCH(MIN(N828:O828), N828:O828, 0))), 技能库!$A:$F, 5, 0),"建议查阅考纲")&amp;CHAR(10)&amp;"💡 提升建议: "&amp;IFERROR(VLOOKUP(TRIM(D828)&amp;"_"&amp;TRIM(INDEX($N$1:$O$1, MATCH(MIN(N828:O828), N828:O828, 0))), 技能库!$A:$F, 6, 0),"请针对该题型加强练习"))</f>
        <v/>
      </c>
      <c r="AC828" s="5" t="str">
        <f>IF(W828="","", "⚠️ 薄弱环节: "&amp;INDEX($R$1:$V$1, MATCH(MIN(R828:V828), R828:V828, 0))&amp;CHAR(10)&amp;"📉 考察能力: "&amp;IFERROR(VLOOKUP(TRIM(D828)&amp;"_"&amp;TRIM(INDEX($R$1:$V$1, MATCH(MIN(R828:V828), R828:V828, 0))), 技能库!$A:$F, 5, 0),"建议查阅考纲")&amp;CHAR(10)&amp;"💡 提升建议: "&amp;IFERROR(VLOOKUP(TRIM(D828)&amp;"_"&amp;TRIM(INDEX($R$1:$V$1, MATCH(MIN(R828:V828), R828:V828, 0))), 技能库!$A:$F, 6, 0),"请针对该题型加强练习"))</f>
        <v/>
      </c>
    </row>
    <row r="829" spans="12:29" ht="16" hidden="1" x14ac:dyDescent="0.2">
      <c r="L829" t="str">
        <f t="shared" si="48"/>
        <v/>
      </c>
      <c r="M829" t="str">
        <f>IF(L829="","", IFERROR(VLOOKUP(L829, IF(D829="KET", 换算标准!$M:$N, IF(D829="PET", 换算标准!$S:$T, 换算标准!$AC:$AD)), 2, TRUE), 0))</f>
        <v/>
      </c>
      <c r="P829" t="str">
        <f t="shared" si="49"/>
        <v/>
      </c>
      <c r="Q829" t="str">
        <f>IF(P829="","", IFERROR(VLOOKUP(P829, IF(D829="KET", 换算标准!$O:$P, IF(D829="PET", 换算标准!$U:$V, 换算标准!$AG:$AH)), 2, TRUE), 0))</f>
        <v/>
      </c>
      <c r="W829" t="str">
        <f t="shared" si="50"/>
        <v/>
      </c>
      <c r="X829" t="str">
        <f>IF(W829="","", IFERROR(VLOOKUP(W829, IF(D829="KET", 换算标准!$Q:$R, IF(D829="PET", 换算标准!$W:$X, 换算标准!$AI:$AJ)), 2, TRUE), 0))</f>
        <v/>
      </c>
      <c r="Y829" t="str">
        <f t="shared" si="51"/>
        <v/>
      </c>
      <c r="Z829" t="str">
        <f>IF(Y829="","", IFERROR(VLOOKUP(Y829, 换算标准!$Z:$AA, 1, TRUE), ""))</f>
        <v/>
      </c>
      <c r="AA829" s="5" t="str">
        <f>IF(L829="","", "⚠️ 薄弱环节: "&amp;INDEX($E$1:$K$1, MATCH(MIN(E829:K829), E829:K829, 0))&amp;CHAR(10)&amp;"📉 考察能力: "&amp;IFERROR(VLOOKUP(TRIM(D829)&amp;"_"&amp;TRIM(INDEX($E$1:$K$1, MATCH(MIN(E829:K829), E829:K829, 0))), 技能库!$A:$F, 5, 0),"建议查阅考纲")&amp;CHAR(10)&amp;"💡 提升建议: "&amp;IFERROR(VLOOKUP(TRIM(D829)&amp;"_"&amp;TRIM(INDEX($E$1:$K$1, MATCH(MIN(E829:K829), E829:K829, 0))), 技能库!$A:$F, 6, 0),"请针对该题型加强练习"))</f>
        <v/>
      </c>
      <c r="AB829" s="5" t="str">
        <f>IF(P829="","", "⚠️ 薄弱环节: "&amp;INDEX($N$1:$O$1, MATCH(MIN(N829:O829), N829:O829, 0))&amp;CHAR(10)&amp;"📉 考察能力: "&amp;IFERROR(VLOOKUP(TRIM(D829)&amp;"_"&amp;TRIM(INDEX($N$1:$O$1, MATCH(MIN(N829:O829), N829:O829, 0))), 技能库!$A:$F, 5, 0),"建议查阅考纲")&amp;CHAR(10)&amp;"💡 提升建议: "&amp;IFERROR(VLOOKUP(TRIM(D829)&amp;"_"&amp;TRIM(INDEX($N$1:$O$1, MATCH(MIN(N829:O829), N829:O829, 0))), 技能库!$A:$F, 6, 0),"请针对该题型加强练习"))</f>
        <v/>
      </c>
      <c r="AC829" s="5" t="str">
        <f>IF(W829="","", "⚠️ 薄弱环节: "&amp;INDEX($R$1:$V$1, MATCH(MIN(R829:V829), R829:V829, 0))&amp;CHAR(10)&amp;"📉 考察能力: "&amp;IFERROR(VLOOKUP(TRIM(D829)&amp;"_"&amp;TRIM(INDEX($R$1:$V$1, MATCH(MIN(R829:V829), R829:V829, 0))), 技能库!$A:$F, 5, 0),"建议查阅考纲")&amp;CHAR(10)&amp;"💡 提升建议: "&amp;IFERROR(VLOOKUP(TRIM(D829)&amp;"_"&amp;TRIM(INDEX($R$1:$V$1, MATCH(MIN(R829:V829), R829:V829, 0))), 技能库!$A:$F, 6, 0),"请针对该题型加强练习"))</f>
        <v/>
      </c>
    </row>
    <row r="830" spans="12:29" ht="16" hidden="1" x14ac:dyDescent="0.2">
      <c r="L830" t="str">
        <f t="shared" si="48"/>
        <v/>
      </c>
      <c r="M830" t="str">
        <f>IF(L830="","", IFERROR(VLOOKUP(L830, IF(D830="KET", 换算标准!$M:$N, IF(D830="PET", 换算标准!$S:$T, 换算标准!$AC:$AD)), 2, TRUE), 0))</f>
        <v/>
      </c>
      <c r="P830" t="str">
        <f t="shared" si="49"/>
        <v/>
      </c>
      <c r="Q830" t="str">
        <f>IF(P830="","", IFERROR(VLOOKUP(P830, IF(D830="KET", 换算标准!$O:$P, IF(D830="PET", 换算标准!$U:$V, 换算标准!$AG:$AH)), 2, TRUE), 0))</f>
        <v/>
      </c>
      <c r="W830" t="str">
        <f t="shared" si="50"/>
        <v/>
      </c>
      <c r="X830" t="str">
        <f>IF(W830="","", IFERROR(VLOOKUP(W830, IF(D830="KET", 换算标准!$Q:$R, IF(D830="PET", 换算标准!$W:$X, 换算标准!$AI:$AJ)), 2, TRUE), 0))</f>
        <v/>
      </c>
      <c r="Y830" t="str">
        <f t="shared" si="51"/>
        <v/>
      </c>
      <c r="Z830" t="str">
        <f>IF(Y830="","", IFERROR(VLOOKUP(Y830, 换算标准!$Z:$AA, 1, TRUE), ""))</f>
        <v/>
      </c>
      <c r="AA830" s="5" t="str">
        <f>IF(L830="","", "⚠️ 薄弱环节: "&amp;INDEX($E$1:$K$1, MATCH(MIN(E830:K830), E830:K830, 0))&amp;CHAR(10)&amp;"📉 考察能力: "&amp;IFERROR(VLOOKUP(TRIM(D830)&amp;"_"&amp;TRIM(INDEX($E$1:$K$1, MATCH(MIN(E830:K830), E830:K830, 0))), 技能库!$A:$F, 5, 0),"建议查阅考纲")&amp;CHAR(10)&amp;"💡 提升建议: "&amp;IFERROR(VLOOKUP(TRIM(D830)&amp;"_"&amp;TRIM(INDEX($E$1:$K$1, MATCH(MIN(E830:K830), E830:K830, 0))), 技能库!$A:$F, 6, 0),"请针对该题型加强练习"))</f>
        <v/>
      </c>
      <c r="AB830" s="5" t="str">
        <f>IF(P830="","", "⚠️ 薄弱环节: "&amp;INDEX($N$1:$O$1, MATCH(MIN(N830:O830), N830:O830, 0))&amp;CHAR(10)&amp;"📉 考察能力: "&amp;IFERROR(VLOOKUP(TRIM(D830)&amp;"_"&amp;TRIM(INDEX($N$1:$O$1, MATCH(MIN(N830:O830), N830:O830, 0))), 技能库!$A:$F, 5, 0),"建议查阅考纲")&amp;CHAR(10)&amp;"💡 提升建议: "&amp;IFERROR(VLOOKUP(TRIM(D830)&amp;"_"&amp;TRIM(INDEX($N$1:$O$1, MATCH(MIN(N830:O830), N830:O830, 0))), 技能库!$A:$F, 6, 0),"请针对该题型加强练习"))</f>
        <v/>
      </c>
      <c r="AC830" s="5" t="str">
        <f>IF(W830="","", "⚠️ 薄弱环节: "&amp;INDEX($R$1:$V$1, MATCH(MIN(R830:V830), R830:V830, 0))&amp;CHAR(10)&amp;"📉 考察能力: "&amp;IFERROR(VLOOKUP(TRIM(D830)&amp;"_"&amp;TRIM(INDEX($R$1:$V$1, MATCH(MIN(R830:V830), R830:V830, 0))), 技能库!$A:$F, 5, 0),"建议查阅考纲")&amp;CHAR(10)&amp;"💡 提升建议: "&amp;IFERROR(VLOOKUP(TRIM(D830)&amp;"_"&amp;TRIM(INDEX($R$1:$V$1, MATCH(MIN(R830:V830), R830:V830, 0))), 技能库!$A:$F, 6, 0),"请针对该题型加强练习"))</f>
        <v/>
      </c>
    </row>
    <row r="831" spans="12:29" ht="16" hidden="1" x14ac:dyDescent="0.2">
      <c r="L831" t="str">
        <f t="shared" si="48"/>
        <v/>
      </c>
      <c r="M831" t="str">
        <f>IF(L831="","", IFERROR(VLOOKUP(L831, IF(D831="KET", 换算标准!$M:$N, IF(D831="PET", 换算标准!$S:$T, 换算标准!$AC:$AD)), 2, TRUE), 0))</f>
        <v/>
      </c>
      <c r="P831" t="str">
        <f t="shared" si="49"/>
        <v/>
      </c>
      <c r="Q831" t="str">
        <f>IF(P831="","", IFERROR(VLOOKUP(P831, IF(D831="KET", 换算标准!$O:$P, IF(D831="PET", 换算标准!$U:$V, 换算标准!$AG:$AH)), 2, TRUE), 0))</f>
        <v/>
      </c>
      <c r="W831" t="str">
        <f t="shared" si="50"/>
        <v/>
      </c>
      <c r="X831" t="str">
        <f>IF(W831="","", IFERROR(VLOOKUP(W831, IF(D831="KET", 换算标准!$Q:$R, IF(D831="PET", 换算标准!$W:$X, 换算标准!$AI:$AJ)), 2, TRUE), 0))</f>
        <v/>
      </c>
      <c r="Y831" t="str">
        <f t="shared" si="51"/>
        <v/>
      </c>
      <c r="Z831" t="str">
        <f>IF(Y831="","", IFERROR(VLOOKUP(Y831, 换算标准!$Z:$AA, 1, TRUE), ""))</f>
        <v/>
      </c>
      <c r="AA831" s="5" t="str">
        <f>IF(L831="","", "⚠️ 薄弱环节: "&amp;INDEX($E$1:$K$1, MATCH(MIN(E831:K831), E831:K831, 0))&amp;CHAR(10)&amp;"📉 考察能力: "&amp;IFERROR(VLOOKUP(TRIM(D831)&amp;"_"&amp;TRIM(INDEX($E$1:$K$1, MATCH(MIN(E831:K831), E831:K831, 0))), 技能库!$A:$F, 5, 0),"建议查阅考纲")&amp;CHAR(10)&amp;"💡 提升建议: "&amp;IFERROR(VLOOKUP(TRIM(D831)&amp;"_"&amp;TRIM(INDEX($E$1:$K$1, MATCH(MIN(E831:K831), E831:K831, 0))), 技能库!$A:$F, 6, 0),"请针对该题型加强练习"))</f>
        <v/>
      </c>
      <c r="AB831" s="5" t="str">
        <f>IF(P831="","", "⚠️ 薄弱环节: "&amp;INDEX($N$1:$O$1, MATCH(MIN(N831:O831), N831:O831, 0))&amp;CHAR(10)&amp;"📉 考察能力: "&amp;IFERROR(VLOOKUP(TRIM(D831)&amp;"_"&amp;TRIM(INDEX($N$1:$O$1, MATCH(MIN(N831:O831), N831:O831, 0))), 技能库!$A:$F, 5, 0),"建议查阅考纲")&amp;CHAR(10)&amp;"💡 提升建议: "&amp;IFERROR(VLOOKUP(TRIM(D831)&amp;"_"&amp;TRIM(INDEX($N$1:$O$1, MATCH(MIN(N831:O831), N831:O831, 0))), 技能库!$A:$F, 6, 0),"请针对该题型加强练习"))</f>
        <v/>
      </c>
      <c r="AC831" s="5" t="str">
        <f>IF(W831="","", "⚠️ 薄弱环节: "&amp;INDEX($R$1:$V$1, MATCH(MIN(R831:V831), R831:V831, 0))&amp;CHAR(10)&amp;"📉 考察能力: "&amp;IFERROR(VLOOKUP(TRIM(D831)&amp;"_"&amp;TRIM(INDEX($R$1:$V$1, MATCH(MIN(R831:V831), R831:V831, 0))), 技能库!$A:$F, 5, 0),"建议查阅考纲")&amp;CHAR(10)&amp;"💡 提升建议: "&amp;IFERROR(VLOOKUP(TRIM(D831)&amp;"_"&amp;TRIM(INDEX($R$1:$V$1, MATCH(MIN(R831:V831), R831:V831, 0))), 技能库!$A:$F, 6, 0),"请针对该题型加强练习"))</f>
        <v/>
      </c>
    </row>
    <row r="832" spans="12:29" ht="16" hidden="1" x14ac:dyDescent="0.2">
      <c r="L832" t="str">
        <f t="shared" si="48"/>
        <v/>
      </c>
      <c r="M832" t="str">
        <f>IF(L832="","", IFERROR(VLOOKUP(L832, IF(D832="KET", 换算标准!$M:$N, IF(D832="PET", 换算标准!$S:$T, 换算标准!$AC:$AD)), 2, TRUE), 0))</f>
        <v/>
      </c>
      <c r="P832" t="str">
        <f t="shared" si="49"/>
        <v/>
      </c>
      <c r="Q832" t="str">
        <f>IF(P832="","", IFERROR(VLOOKUP(P832, IF(D832="KET", 换算标准!$O:$P, IF(D832="PET", 换算标准!$U:$V, 换算标准!$AG:$AH)), 2, TRUE), 0))</f>
        <v/>
      </c>
      <c r="W832" t="str">
        <f t="shared" si="50"/>
        <v/>
      </c>
      <c r="X832" t="str">
        <f>IF(W832="","", IFERROR(VLOOKUP(W832, IF(D832="KET", 换算标准!$Q:$R, IF(D832="PET", 换算标准!$W:$X, 换算标准!$AI:$AJ)), 2, TRUE), 0))</f>
        <v/>
      </c>
      <c r="Y832" t="str">
        <f t="shared" si="51"/>
        <v/>
      </c>
      <c r="Z832" t="str">
        <f>IF(Y832="","", IFERROR(VLOOKUP(Y832, 换算标准!$Z:$AA, 1, TRUE), ""))</f>
        <v/>
      </c>
      <c r="AA832" s="5" t="str">
        <f>IF(L832="","", "⚠️ 薄弱环节: "&amp;INDEX($E$1:$K$1, MATCH(MIN(E832:K832), E832:K832, 0))&amp;CHAR(10)&amp;"📉 考察能力: "&amp;IFERROR(VLOOKUP(TRIM(D832)&amp;"_"&amp;TRIM(INDEX($E$1:$K$1, MATCH(MIN(E832:K832), E832:K832, 0))), 技能库!$A:$F, 5, 0),"建议查阅考纲")&amp;CHAR(10)&amp;"💡 提升建议: "&amp;IFERROR(VLOOKUP(TRIM(D832)&amp;"_"&amp;TRIM(INDEX($E$1:$K$1, MATCH(MIN(E832:K832), E832:K832, 0))), 技能库!$A:$F, 6, 0),"请针对该题型加强练习"))</f>
        <v/>
      </c>
      <c r="AB832" s="5" t="str">
        <f>IF(P832="","", "⚠️ 薄弱环节: "&amp;INDEX($N$1:$O$1, MATCH(MIN(N832:O832), N832:O832, 0))&amp;CHAR(10)&amp;"📉 考察能力: "&amp;IFERROR(VLOOKUP(TRIM(D832)&amp;"_"&amp;TRIM(INDEX($N$1:$O$1, MATCH(MIN(N832:O832), N832:O832, 0))), 技能库!$A:$F, 5, 0),"建议查阅考纲")&amp;CHAR(10)&amp;"💡 提升建议: "&amp;IFERROR(VLOOKUP(TRIM(D832)&amp;"_"&amp;TRIM(INDEX($N$1:$O$1, MATCH(MIN(N832:O832), N832:O832, 0))), 技能库!$A:$F, 6, 0),"请针对该题型加强练习"))</f>
        <v/>
      </c>
      <c r="AC832" s="5" t="str">
        <f>IF(W832="","", "⚠️ 薄弱环节: "&amp;INDEX($R$1:$V$1, MATCH(MIN(R832:V832), R832:V832, 0))&amp;CHAR(10)&amp;"📉 考察能力: "&amp;IFERROR(VLOOKUP(TRIM(D832)&amp;"_"&amp;TRIM(INDEX($R$1:$V$1, MATCH(MIN(R832:V832), R832:V832, 0))), 技能库!$A:$F, 5, 0),"建议查阅考纲")&amp;CHAR(10)&amp;"💡 提升建议: "&amp;IFERROR(VLOOKUP(TRIM(D832)&amp;"_"&amp;TRIM(INDEX($R$1:$V$1, MATCH(MIN(R832:V832), R832:V832, 0))), 技能库!$A:$F, 6, 0),"请针对该题型加强练习"))</f>
        <v/>
      </c>
    </row>
    <row r="833" spans="12:29" ht="16" hidden="1" x14ac:dyDescent="0.2">
      <c r="L833" t="str">
        <f t="shared" si="48"/>
        <v/>
      </c>
      <c r="M833" t="str">
        <f>IF(L833="","", IFERROR(VLOOKUP(L833, IF(D833="KET", 换算标准!$M:$N, IF(D833="PET", 换算标准!$S:$T, 换算标准!$AC:$AD)), 2, TRUE), 0))</f>
        <v/>
      </c>
      <c r="P833" t="str">
        <f t="shared" si="49"/>
        <v/>
      </c>
      <c r="Q833" t="str">
        <f>IF(P833="","", IFERROR(VLOOKUP(P833, IF(D833="KET", 换算标准!$O:$P, IF(D833="PET", 换算标准!$U:$V, 换算标准!$AG:$AH)), 2, TRUE), 0))</f>
        <v/>
      </c>
      <c r="W833" t="str">
        <f t="shared" si="50"/>
        <v/>
      </c>
      <c r="X833" t="str">
        <f>IF(W833="","", IFERROR(VLOOKUP(W833, IF(D833="KET", 换算标准!$Q:$R, IF(D833="PET", 换算标准!$W:$X, 换算标准!$AI:$AJ)), 2, TRUE), 0))</f>
        <v/>
      </c>
      <c r="Y833" t="str">
        <f t="shared" si="51"/>
        <v/>
      </c>
      <c r="Z833" t="str">
        <f>IF(Y833="","", IFERROR(VLOOKUP(Y833, 换算标准!$Z:$AA, 1, TRUE), ""))</f>
        <v/>
      </c>
      <c r="AA833" s="5" t="str">
        <f>IF(L833="","", "⚠️ 薄弱环节: "&amp;INDEX($E$1:$K$1, MATCH(MIN(E833:K833), E833:K833, 0))&amp;CHAR(10)&amp;"📉 考察能力: "&amp;IFERROR(VLOOKUP(TRIM(D833)&amp;"_"&amp;TRIM(INDEX($E$1:$K$1, MATCH(MIN(E833:K833), E833:K833, 0))), 技能库!$A:$F, 5, 0),"建议查阅考纲")&amp;CHAR(10)&amp;"💡 提升建议: "&amp;IFERROR(VLOOKUP(TRIM(D833)&amp;"_"&amp;TRIM(INDEX($E$1:$K$1, MATCH(MIN(E833:K833), E833:K833, 0))), 技能库!$A:$F, 6, 0),"请针对该题型加强练习"))</f>
        <v/>
      </c>
      <c r="AB833" s="5" t="str">
        <f>IF(P833="","", "⚠️ 薄弱环节: "&amp;INDEX($N$1:$O$1, MATCH(MIN(N833:O833), N833:O833, 0))&amp;CHAR(10)&amp;"📉 考察能力: "&amp;IFERROR(VLOOKUP(TRIM(D833)&amp;"_"&amp;TRIM(INDEX($N$1:$O$1, MATCH(MIN(N833:O833), N833:O833, 0))), 技能库!$A:$F, 5, 0),"建议查阅考纲")&amp;CHAR(10)&amp;"💡 提升建议: "&amp;IFERROR(VLOOKUP(TRIM(D833)&amp;"_"&amp;TRIM(INDEX($N$1:$O$1, MATCH(MIN(N833:O833), N833:O833, 0))), 技能库!$A:$F, 6, 0),"请针对该题型加强练习"))</f>
        <v/>
      </c>
      <c r="AC833" s="5" t="str">
        <f>IF(W833="","", "⚠️ 薄弱环节: "&amp;INDEX($R$1:$V$1, MATCH(MIN(R833:V833), R833:V833, 0))&amp;CHAR(10)&amp;"📉 考察能力: "&amp;IFERROR(VLOOKUP(TRIM(D833)&amp;"_"&amp;TRIM(INDEX($R$1:$V$1, MATCH(MIN(R833:V833), R833:V833, 0))), 技能库!$A:$F, 5, 0),"建议查阅考纲")&amp;CHAR(10)&amp;"💡 提升建议: "&amp;IFERROR(VLOOKUP(TRIM(D833)&amp;"_"&amp;TRIM(INDEX($R$1:$V$1, MATCH(MIN(R833:V833), R833:V833, 0))), 技能库!$A:$F, 6, 0),"请针对该题型加强练习"))</f>
        <v/>
      </c>
    </row>
    <row r="834" spans="12:29" ht="16" hidden="1" x14ac:dyDescent="0.2">
      <c r="L834" t="str">
        <f t="shared" ref="L834:L897" si="52">IF(COUNT(E834:K834)&gt;0, SUM(E834:K834), "")</f>
        <v/>
      </c>
      <c r="M834" t="str">
        <f>IF(L834="","", IFERROR(VLOOKUP(L834, IF(D834="KET", 换算标准!$M:$N, IF(D834="PET", 换算标准!$S:$T, 换算标准!$AC:$AD)), 2, TRUE), 0))</f>
        <v/>
      </c>
      <c r="P834" t="str">
        <f t="shared" ref="P834:P897" si="53">IF(COUNT(N834:O834)&gt;0, SUM(N834:O834), "")</f>
        <v/>
      </c>
      <c r="Q834" t="str">
        <f>IF(P834="","", IFERROR(VLOOKUP(P834, IF(D834="KET", 换算标准!$O:$P, IF(D834="PET", 换算标准!$U:$V, 换算标准!$AG:$AH)), 2, TRUE), 0))</f>
        <v/>
      </c>
      <c r="W834" t="str">
        <f t="shared" ref="W834:W897" si="54">IF(COUNT(R834:V834)&gt;0, SUM(R834:V834), "")</f>
        <v/>
      </c>
      <c r="X834" t="str">
        <f>IF(W834="","", IFERROR(VLOOKUP(W834, IF(D834="KET", 换算标准!$Q:$R, IF(D834="PET", 换算标准!$W:$X, 换算标准!$AI:$AJ)), 2, TRUE), 0))</f>
        <v/>
      </c>
      <c r="Y834" t="str">
        <f t="shared" ref="Y834:Y897" si="55">IF(COUNT(M834,Q834,X834)&gt;0, AVERAGE(M834,Q834,X834), "")</f>
        <v/>
      </c>
      <c r="Z834" t="str">
        <f>IF(Y834="","", IFERROR(VLOOKUP(Y834, 换算标准!$Z:$AA, 1, TRUE), ""))</f>
        <v/>
      </c>
      <c r="AA834" s="5" t="str">
        <f>IF(L834="","", "⚠️ 薄弱环节: "&amp;INDEX($E$1:$K$1, MATCH(MIN(E834:K834), E834:K834, 0))&amp;CHAR(10)&amp;"📉 考察能力: "&amp;IFERROR(VLOOKUP(TRIM(D834)&amp;"_"&amp;TRIM(INDEX($E$1:$K$1, MATCH(MIN(E834:K834), E834:K834, 0))), 技能库!$A:$F, 5, 0),"建议查阅考纲")&amp;CHAR(10)&amp;"💡 提升建议: "&amp;IFERROR(VLOOKUP(TRIM(D834)&amp;"_"&amp;TRIM(INDEX($E$1:$K$1, MATCH(MIN(E834:K834), E834:K834, 0))), 技能库!$A:$F, 6, 0),"请针对该题型加强练习"))</f>
        <v/>
      </c>
      <c r="AB834" s="5" t="str">
        <f>IF(P834="","", "⚠️ 薄弱环节: "&amp;INDEX($N$1:$O$1, MATCH(MIN(N834:O834), N834:O834, 0))&amp;CHAR(10)&amp;"📉 考察能力: "&amp;IFERROR(VLOOKUP(TRIM(D834)&amp;"_"&amp;TRIM(INDEX($N$1:$O$1, MATCH(MIN(N834:O834), N834:O834, 0))), 技能库!$A:$F, 5, 0),"建议查阅考纲")&amp;CHAR(10)&amp;"💡 提升建议: "&amp;IFERROR(VLOOKUP(TRIM(D834)&amp;"_"&amp;TRIM(INDEX($N$1:$O$1, MATCH(MIN(N834:O834), N834:O834, 0))), 技能库!$A:$F, 6, 0),"请针对该题型加强练习"))</f>
        <v/>
      </c>
      <c r="AC834" s="5" t="str">
        <f>IF(W834="","", "⚠️ 薄弱环节: "&amp;INDEX($R$1:$V$1, MATCH(MIN(R834:V834), R834:V834, 0))&amp;CHAR(10)&amp;"📉 考察能力: "&amp;IFERROR(VLOOKUP(TRIM(D834)&amp;"_"&amp;TRIM(INDEX($R$1:$V$1, MATCH(MIN(R834:V834), R834:V834, 0))), 技能库!$A:$F, 5, 0),"建议查阅考纲")&amp;CHAR(10)&amp;"💡 提升建议: "&amp;IFERROR(VLOOKUP(TRIM(D834)&amp;"_"&amp;TRIM(INDEX($R$1:$V$1, MATCH(MIN(R834:V834), R834:V834, 0))), 技能库!$A:$F, 6, 0),"请针对该题型加强练习"))</f>
        <v/>
      </c>
    </row>
    <row r="835" spans="12:29" ht="16" hidden="1" x14ac:dyDescent="0.2">
      <c r="L835" t="str">
        <f t="shared" si="52"/>
        <v/>
      </c>
      <c r="M835" t="str">
        <f>IF(L835="","", IFERROR(VLOOKUP(L835, IF(D835="KET", 换算标准!$M:$N, IF(D835="PET", 换算标准!$S:$T, 换算标准!$AC:$AD)), 2, TRUE), 0))</f>
        <v/>
      </c>
      <c r="P835" t="str">
        <f t="shared" si="53"/>
        <v/>
      </c>
      <c r="Q835" t="str">
        <f>IF(P835="","", IFERROR(VLOOKUP(P835, IF(D835="KET", 换算标准!$O:$P, IF(D835="PET", 换算标准!$U:$V, 换算标准!$AG:$AH)), 2, TRUE), 0))</f>
        <v/>
      </c>
      <c r="W835" t="str">
        <f t="shared" si="54"/>
        <v/>
      </c>
      <c r="X835" t="str">
        <f>IF(W835="","", IFERROR(VLOOKUP(W835, IF(D835="KET", 换算标准!$Q:$R, IF(D835="PET", 换算标准!$W:$X, 换算标准!$AI:$AJ)), 2, TRUE), 0))</f>
        <v/>
      </c>
      <c r="Y835" t="str">
        <f t="shared" si="55"/>
        <v/>
      </c>
      <c r="Z835" t="str">
        <f>IF(Y835="","", IFERROR(VLOOKUP(Y835, 换算标准!$Z:$AA, 1, TRUE), ""))</f>
        <v/>
      </c>
      <c r="AA835" s="5" t="str">
        <f>IF(L835="","", "⚠️ 薄弱环节: "&amp;INDEX($E$1:$K$1, MATCH(MIN(E835:K835), E835:K835, 0))&amp;CHAR(10)&amp;"📉 考察能力: "&amp;IFERROR(VLOOKUP(TRIM(D835)&amp;"_"&amp;TRIM(INDEX($E$1:$K$1, MATCH(MIN(E835:K835), E835:K835, 0))), 技能库!$A:$F, 5, 0),"建议查阅考纲")&amp;CHAR(10)&amp;"💡 提升建议: "&amp;IFERROR(VLOOKUP(TRIM(D835)&amp;"_"&amp;TRIM(INDEX($E$1:$K$1, MATCH(MIN(E835:K835), E835:K835, 0))), 技能库!$A:$F, 6, 0),"请针对该题型加强练习"))</f>
        <v/>
      </c>
      <c r="AB835" s="5" t="str">
        <f>IF(P835="","", "⚠️ 薄弱环节: "&amp;INDEX($N$1:$O$1, MATCH(MIN(N835:O835), N835:O835, 0))&amp;CHAR(10)&amp;"📉 考察能力: "&amp;IFERROR(VLOOKUP(TRIM(D835)&amp;"_"&amp;TRIM(INDEX($N$1:$O$1, MATCH(MIN(N835:O835), N835:O835, 0))), 技能库!$A:$F, 5, 0),"建议查阅考纲")&amp;CHAR(10)&amp;"💡 提升建议: "&amp;IFERROR(VLOOKUP(TRIM(D835)&amp;"_"&amp;TRIM(INDEX($N$1:$O$1, MATCH(MIN(N835:O835), N835:O835, 0))), 技能库!$A:$F, 6, 0),"请针对该题型加强练习"))</f>
        <v/>
      </c>
      <c r="AC835" s="5" t="str">
        <f>IF(W835="","", "⚠️ 薄弱环节: "&amp;INDEX($R$1:$V$1, MATCH(MIN(R835:V835), R835:V835, 0))&amp;CHAR(10)&amp;"📉 考察能力: "&amp;IFERROR(VLOOKUP(TRIM(D835)&amp;"_"&amp;TRIM(INDEX($R$1:$V$1, MATCH(MIN(R835:V835), R835:V835, 0))), 技能库!$A:$F, 5, 0),"建议查阅考纲")&amp;CHAR(10)&amp;"💡 提升建议: "&amp;IFERROR(VLOOKUP(TRIM(D835)&amp;"_"&amp;TRIM(INDEX($R$1:$V$1, MATCH(MIN(R835:V835), R835:V835, 0))), 技能库!$A:$F, 6, 0),"请针对该题型加强练习"))</f>
        <v/>
      </c>
    </row>
    <row r="836" spans="12:29" ht="16" hidden="1" x14ac:dyDescent="0.2">
      <c r="L836" t="str">
        <f t="shared" si="52"/>
        <v/>
      </c>
      <c r="M836" t="str">
        <f>IF(L836="","", IFERROR(VLOOKUP(L836, IF(D836="KET", 换算标准!$M:$N, IF(D836="PET", 换算标准!$S:$T, 换算标准!$AC:$AD)), 2, TRUE), 0))</f>
        <v/>
      </c>
      <c r="P836" t="str">
        <f t="shared" si="53"/>
        <v/>
      </c>
      <c r="Q836" t="str">
        <f>IF(P836="","", IFERROR(VLOOKUP(P836, IF(D836="KET", 换算标准!$O:$P, IF(D836="PET", 换算标准!$U:$V, 换算标准!$AG:$AH)), 2, TRUE), 0))</f>
        <v/>
      </c>
      <c r="W836" t="str">
        <f t="shared" si="54"/>
        <v/>
      </c>
      <c r="X836" t="str">
        <f>IF(W836="","", IFERROR(VLOOKUP(W836, IF(D836="KET", 换算标准!$Q:$R, IF(D836="PET", 换算标准!$W:$X, 换算标准!$AI:$AJ)), 2, TRUE), 0))</f>
        <v/>
      </c>
      <c r="Y836" t="str">
        <f t="shared" si="55"/>
        <v/>
      </c>
      <c r="Z836" t="str">
        <f>IF(Y836="","", IFERROR(VLOOKUP(Y836, 换算标准!$Z:$AA, 1, TRUE), ""))</f>
        <v/>
      </c>
      <c r="AA836" s="5" t="str">
        <f>IF(L836="","", "⚠️ 薄弱环节: "&amp;INDEX($E$1:$K$1, MATCH(MIN(E836:K836), E836:K836, 0))&amp;CHAR(10)&amp;"📉 考察能力: "&amp;IFERROR(VLOOKUP(TRIM(D836)&amp;"_"&amp;TRIM(INDEX($E$1:$K$1, MATCH(MIN(E836:K836), E836:K836, 0))), 技能库!$A:$F, 5, 0),"建议查阅考纲")&amp;CHAR(10)&amp;"💡 提升建议: "&amp;IFERROR(VLOOKUP(TRIM(D836)&amp;"_"&amp;TRIM(INDEX($E$1:$K$1, MATCH(MIN(E836:K836), E836:K836, 0))), 技能库!$A:$F, 6, 0),"请针对该题型加强练习"))</f>
        <v/>
      </c>
      <c r="AB836" s="5" t="str">
        <f>IF(P836="","", "⚠️ 薄弱环节: "&amp;INDEX($N$1:$O$1, MATCH(MIN(N836:O836), N836:O836, 0))&amp;CHAR(10)&amp;"📉 考察能力: "&amp;IFERROR(VLOOKUP(TRIM(D836)&amp;"_"&amp;TRIM(INDEX($N$1:$O$1, MATCH(MIN(N836:O836), N836:O836, 0))), 技能库!$A:$F, 5, 0),"建议查阅考纲")&amp;CHAR(10)&amp;"💡 提升建议: "&amp;IFERROR(VLOOKUP(TRIM(D836)&amp;"_"&amp;TRIM(INDEX($N$1:$O$1, MATCH(MIN(N836:O836), N836:O836, 0))), 技能库!$A:$F, 6, 0),"请针对该题型加强练习"))</f>
        <v/>
      </c>
      <c r="AC836" s="5" t="str">
        <f>IF(W836="","", "⚠️ 薄弱环节: "&amp;INDEX($R$1:$V$1, MATCH(MIN(R836:V836), R836:V836, 0))&amp;CHAR(10)&amp;"📉 考察能力: "&amp;IFERROR(VLOOKUP(TRIM(D836)&amp;"_"&amp;TRIM(INDEX($R$1:$V$1, MATCH(MIN(R836:V836), R836:V836, 0))), 技能库!$A:$F, 5, 0),"建议查阅考纲")&amp;CHAR(10)&amp;"💡 提升建议: "&amp;IFERROR(VLOOKUP(TRIM(D836)&amp;"_"&amp;TRIM(INDEX($R$1:$V$1, MATCH(MIN(R836:V836), R836:V836, 0))), 技能库!$A:$F, 6, 0),"请针对该题型加强练习"))</f>
        <v/>
      </c>
    </row>
    <row r="837" spans="12:29" ht="16" hidden="1" x14ac:dyDescent="0.2">
      <c r="L837" t="str">
        <f t="shared" si="52"/>
        <v/>
      </c>
      <c r="M837" t="str">
        <f>IF(L837="","", IFERROR(VLOOKUP(L837, IF(D837="KET", 换算标准!$M:$N, IF(D837="PET", 换算标准!$S:$T, 换算标准!$AC:$AD)), 2, TRUE), 0))</f>
        <v/>
      </c>
      <c r="P837" t="str">
        <f t="shared" si="53"/>
        <v/>
      </c>
      <c r="Q837" t="str">
        <f>IF(P837="","", IFERROR(VLOOKUP(P837, IF(D837="KET", 换算标准!$O:$P, IF(D837="PET", 换算标准!$U:$V, 换算标准!$AG:$AH)), 2, TRUE), 0))</f>
        <v/>
      </c>
      <c r="W837" t="str">
        <f t="shared" si="54"/>
        <v/>
      </c>
      <c r="X837" t="str">
        <f>IF(W837="","", IFERROR(VLOOKUP(W837, IF(D837="KET", 换算标准!$Q:$R, IF(D837="PET", 换算标准!$W:$X, 换算标准!$AI:$AJ)), 2, TRUE), 0))</f>
        <v/>
      </c>
      <c r="Y837" t="str">
        <f t="shared" si="55"/>
        <v/>
      </c>
      <c r="Z837" t="str">
        <f>IF(Y837="","", IFERROR(VLOOKUP(Y837, 换算标准!$Z:$AA, 1, TRUE), ""))</f>
        <v/>
      </c>
      <c r="AA837" s="5" t="str">
        <f>IF(L837="","", "⚠️ 薄弱环节: "&amp;INDEX($E$1:$K$1, MATCH(MIN(E837:K837), E837:K837, 0))&amp;CHAR(10)&amp;"📉 考察能力: "&amp;IFERROR(VLOOKUP(TRIM(D837)&amp;"_"&amp;TRIM(INDEX($E$1:$K$1, MATCH(MIN(E837:K837), E837:K837, 0))), 技能库!$A:$F, 5, 0),"建议查阅考纲")&amp;CHAR(10)&amp;"💡 提升建议: "&amp;IFERROR(VLOOKUP(TRIM(D837)&amp;"_"&amp;TRIM(INDEX($E$1:$K$1, MATCH(MIN(E837:K837), E837:K837, 0))), 技能库!$A:$F, 6, 0),"请针对该题型加强练习"))</f>
        <v/>
      </c>
      <c r="AB837" s="5" t="str">
        <f>IF(P837="","", "⚠️ 薄弱环节: "&amp;INDEX($N$1:$O$1, MATCH(MIN(N837:O837), N837:O837, 0))&amp;CHAR(10)&amp;"📉 考察能力: "&amp;IFERROR(VLOOKUP(TRIM(D837)&amp;"_"&amp;TRIM(INDEX($N$1:$O$1, MATCH(MIN(N837:O837), N837:O837, 0))), 技能库!$A:$F, 5, 0),"建议查阅考纲")&amp;CHAR(10)&amp;"💡 提升建议: "&amp;IFERROR(VLOOKUP(TRIM(D837)&amp;"_"&amp;TRIM(INDEX($N$1:$O$1, MATCH(MIN(N837:O837), N837:O837, 0))), 技能库!$A:$F, 6, 0),"请针对该题型加强练习"))</f>
        <v/>
      </c>
      <c r="AC837" s="5" t="str">
        <f>IF(W837="","", "⚠️ 薄弱环节: "&amp;INDEX($R$1:$V$1, MATCH(MIN(R837:V837), R837:V837, 0))&amp;CHAR(10)&amp;"📉 考察能力: "&amp;IFERROR(VLOOKUP(TRIM(D837)&amp;"_"&amp;TRIM(INDEX($R$1:$V$1, MATCH(MIN(R837:V837), R837:V837, 0))), 技能库!$A:$F, 5, 0),"建议查阅考纲")&amp;CHAR(10)&amp;"💡 提升建议: "&amp;IFERROR(VLOOKUP(TRIM(D837)&amp;"_"&amp;TRIM(INDEX($R$1:$V$1, MATCH(MIN(R837:V837), R837:V837, 0))), 技能库!$A:$F, 6, 0),"请针对该题型加强练习"))</f>
        <v/>
      </c>
    </row>
    <row r="838" spans="12:29" ht="16" hidden="1" x14ac:dyDescent="0.2">
      <c r="L838" t="str">
        <f t="shared" si="52"/>
        <v/>
      </c>
      <c r="M838" t="str">
        <f>IF(L838="","", IFERROR(VLOOKUP(L838, IF(D838="KET", 换算标准!$M:$N, IF(D838="PET", 换算标准!$S:$T, 换算标准!$AC:$AD)), 2, TRUE), 0))</f>
        <v/>
      </c>
      <c r="P838" t="str">
        <f t="shared" si="53"/>
        <v/>
      </c>
      <c r="Q838" t="str">
        <f>IF(P838="","", IFERROR(VLOOKUP(P838, IF(D838="KET", 换算标准!$O:$P, IF(D838="PET", 换算标准!$U:$V, 换算标准!$AG:$AH)), 2, TRUE), 0))</f>
        <v/>
      </c>
      <c r="W838" t="str">
        <f t="shared" si="54"/>
        <v/>
      </c>
      <c r="X838" t="str">
        <f>IF(W838="","", IFERROR(VLOOKUP(W838, IF(D838="KET", 换算标准!$Q:$R, IF(D838="PET", 换算标准!$W:$X, 换算标准!$AI:$AJ)), 2, TRUE), 0))</f>
        <v/>
      </c>
      <c r="Y838" t="str">
        <f t="shared" si="55"/>
        <v/>
      </c>
      <c r="Z838" t="str">
        <f>IF(Y838="","", IFERROR(VLOOKUP(Y838, 换算标准!$Z:$AA, 1, TRUE), ""))</f>
        <v/>
      </c>
      <c r="AA838" s="5" t="str">
        <f>IF(L838="","", "⚠️ 薄弱环节: "&amp;INDEX($E$1:$K$1, MATCH(MIN(E838:K838), E838:K838, 0))&amp;CHAR(10)&amp;"📉 考察能力: "&amp;IFERROR(VLOOKUP(TRIM(D838)&amp;"_"&amp;TRIM(INDEX($E$1:$K$1, MATCH(MIN(E838:K838), E838:K838, 0))), 技能库!$A:$F, 5, 0),"建议查阅考纲")&amp;CHAR(10)&amp;"💡 提升建议: "&amp;IFERROR(VLOOKUP(TRIM(D838)&amp;"_"&amp;TRIM(INDEX($E$1:$K$1, MATCH(MIN(E838:K838), E838:K838, 0))), 技能库!$A:$F, 6, 0),"请针对该题型加强练习"))</f>
        <v/>
      </c>
      <c r="AB838" s="5" t="str">
        <f>IF(P838="","", "⚠️ 薄弱环节: "&amp;INDEX($N$1:$O$1, MATCH(MIN(N838:O838), N838:O838, 0))&amp;CHAR(10)&amp;"📉 考察能力: "&amp;IFERROR(VLOOKUP(TRIM(D838)&amp;"_"&amp;TRIM(INDEX($N$1:$O$1, MATCH(MIN(N838:O838), N838:O838, 0))), 技能库!$A:$F, 5, 0),"建议查阅考纲")&amp;CHAR(10)&amp;"💡 提升建议: "&amp;IFERROR(VLOOKUP(TRIM(D838)&amp;"_"&amp;TRIM(INDEX($N$1:$O$1, MATCH(MIN(N838:O838), N838:O838, 0))), 技能库!$A:$F, 6, 0),"请针对该题型加强练习"))</f>
        <v/>
      </c>
      <c r="AC838" s="5" t="str">
        <f>IF(W838="","", "⚠️ 薄弱环节: "&amp;INDEX($R$1:$V$1, MATCH(MIN(R838:V838), R838:V838, 0))&amp;CHAR(10)&amp;"📉 考察能力: "&amp;IFERROR(VLOOKUP(TRIM(D838)&amp;"_"&amp;TRIM(INDEX($R$1:$V$1, MATCH(MIN(R838:V838), R838:V838, 0))), 技能库!$A:$F, 5, 0),"建议查阅考纲")&amp;CHAR(10)&amp;"💡 提升建议: "&amp;IFERROR(VLOOKUP(TRIM(D838)&amp;"_"&amp;TRIM(INDEX($R$1:$V$1, MATCH(MIN(R838:V838), R838:V838, 0))), 技能库!$A:$F, 6, 0),"请针对该题型加强练习"))</f>
        <v/>
      </c>
    </row>
    <row r="839" spans="12:29" ht="16" hidden="1" x14ac:dyDescent="0.2">
      <c r="L839" t="str">
        <f t="shared" si="52"/>
        <v/>
      </c>
      <c r="M839" t="str">
        <f>IF(L839="","", IFERROR(VLOOKUP(L839, IF(D839="KET", 换算标准!$M:$N, IF(D839="PET", 换算标准!$S:$T, 换算标准!$AC:$AD)), 2, TRUE), 0))</f>
        <v/>
      </c>
      <c r="P839" t="str">
        <f t="shared" si="53"/>
        <v/>
      </c>
      <c r="Q839" t="str">
        <f>IF(P839="","", IFERROR(VLOOKUP(P839, IF(D839="KET", 换算标准!$O:$P, IF(D839="PET", 换算标准!$U:$V, 换算标准!$AG:$AH)), 2, TRUE), 0))</f>
        <v/>
      </c>
      <c r="W839" t="str">
        <f t="shared" si="54"/>
        <v/>
      </c>
      <c r="X839" t="str">
        <f>IF(W839="","", IFERROR(VLOOKUP(W839, IF(D839="KET", 换算标准!$Q:$R, IF(D839="PET", 换算标准!$W:$X, 换算标准!$AI:$AJ)), 2, TRUE), 0))</f>
        <v/>
      </c>
      <c r="Y839" t="str">
        <f t="shared" si="55"/>
        <v/>
      </c>
      <c r="Z839" t="str">
        <f>IF(Y839="","", IFERROR(VLOOKUP(Y839, 换算标准!$Z:$AA, 1, TRUE), ""))</f>
        <v/>
      </c>
      <c r="AA839" s="5" t="str">
        <f>IF(L839="","", "⚠️ 薄弱环节: "&amp;INDEX($E$1:$K$1, MATCH(MIN(E839:K839), E839:K839, 0))&amp;CHAR(10)&amp;"📉 考察能力: "&amp;IFERROR(VLOOKUP(TRIM(D839)&amp;"_"&amp;TRIM(INDEX($E$1:$K$1, MATCH(MIN(E839:K839), E839:K839, 0))), 技能库!$A:$F, 5, 0),"建议查阅考纲")&amp;CHAR(10)&amp;"💡 提升建议: "&amp;IFERROR(VLOOKUP(TRIM(D839)&amp;"_"&amp;TRIM(INDEX($E$1:$K$1, MATCH(MIN(E839:K839), E839:K839, 0))), 技能库!$A:$F, 6, 0),"请针对该题型加强练习"))</f>
        <v/>
      </c>
      <c r="AB839" s="5" t="str">
        <f>IF(P839="","", "⚠️ 薄弱环节: "&amp;INDEX($N$1:$O$1, MATCH(MIN(N839:O839), N839:O839, 0))&amp;CHAR(10)&amp;"📉 考察能力: "&amp;IFERROR(VLOOKUP(TRIM(D839)&amp;"_"&amp;TRIM(INDEX($N$1:$O$1, MATCH(MIN(N839:O839), N839:O839, 0))), 技能库!$A:$F, 5, 0),"建议查阅考纲")&amp;CHAR(10)&amp;"💡 提升建议: "&amp;IFERROR(VLOOKUP(TRIM(D839)&amp;"_"&amp;TRIM(INDEX($N$1:$O$1, MATCH(MIN(N839:O839), N839:O839, 0))), 技能库!$A:$F, 6, 0),"请针对该题型加强练习"))</f>
        <v/>
      </c>
      <c r="AC839" s="5" t="str">
        <f>IF(W839="","", "⚠️ 薄弱环节: "&amp;INDEX($R$1:$V$1, MATCH(MIN(R839:V839), R839:V839, 0))&amp;CHAR(10)&amp;"📉 考察能力: "&amp;IFERROR(VLOOKUP(TRIM(D839)&amp;"_"&amp;TRIM(INDEX($R$1:$V$1, MATCH(MIN(R839:V839), R839:V839, 0))), 技能库!$A:$F, 5, 0),"建议查阅考纲")&amp;CHAR(10)&amp;"💡 提升建议: "&amp;IFERROR(VLOOKUP(TRIM(D839)&amp;"_"&amp;TRIM(INDEX($R$1:$V$1, MATCH(MIN(R839:V839), R839:V839, 0))), 技能库!$A:$F, 6, 0),"请针对该题型加强练习"))</f>
        <v/>
      </c>
    </row>
    <row r="840" spans="12:29" ht="16" hidden="1" x14ac:dyDescent="0.2">
      <c r="L840" t="str">
        <f t="shared" si="52"/>
        <v/>
      </c>
      <c r="M840" t="str">
        <f>IF(L840="","", IFERROR(VLOOKUP(L840, IF(D840="KET", 换算标准!$M:$N, IF(D840="PET", 换算标准!$S:$T, 换算标准!$AC:$AD)), 2, TRUE), 0))</f>
        <v/>
      </c>
      <c r="P840" t="str">
        <f t="shared" si="53"/>
        <v/>
      </c>
      <c r="Q840" t="str">
        <f>IF(P840="","", IFERROR(VLOOKUP(P840, IF(D840="KET", 换算标准!$O:$P, IF(D840="PET", 换算标准!$U:$V, 换算标准!$AG:$AH)), 2, TRUE), 0))</f>
        <v/>
      </c>
      <c r="W840" t="str">
        <f t="shared" si="54"/>
        <v/>
      </c>
      <c r="X840" t="str">
        <f>IF(W840="","", IFERROR(VLOOKUP(W840, IF(D840="KET", 换算标准!$Q:$R, IF(D840="PET", 换算标准!$W:$X, 换算标准!$AI:$AJ)), 2, TRUE), 0))</f>
        <v/>
      </c>
      <c r="Y840" t="str">
        <f t="shared" si="55"/>
        <v/>
      </c>
      <c r="Z840" t="str">
        <f>IF(Y840="","", IFERROR(VLOOKUP(Y840, 换算标准!$Z:$AA, 1, TRUE), ""))</f>
        <v/>
      </c>
      <c r="AA840" s="5" t="str">
        <f>IF(L840="","", "⚠️ 薄弱环节: "&amp;INDEX($E$1:$K$1, MATCH(MIN(E840:K840), E840:K840, 0))&amp;CHAR(10)&amp;"📉 考察能力: "&amp;IFERROR(VLOOKUP(TRIM(D840)&amp;"_"&amp;TRIM(INDEX($E$1:$K$1, MATCH(MIN(E840:K840), E840:K840, 0))), 技能库!$A:$F, 5, 0),"建议查阅考纲")&amp;CHAR(10)&amp;"💡 提升建议: "&amp;IFERROR(VLOOKUP(TRIM(D840)&amp;"_"&amp;TRIM(INDEX($E$1:$K$1, MATCH(MIN(E840:K840), E840:K840, 0))), 技能库!$A:$F, 6, 0),"请针对该题型加强练习"))</f>
        <v/>
      </c>
      <c r="AB840" s="5" t="str">
        <f>IF(P840="","", "⚠️ 薄弱环节: "&amp;INDEX($N$1:$O$1, MATCH(MIN(N840:O840), N840:O840, 0))&amp;CHAR(10)&amp;"📉 考察能力: "&amp;IFERROR(VLOOKUP(TRIM(D840)&amp;"_"&amp;TRIM(INDEX($N$1:$O$1, MATCH(MIN(N840:O840), N840:O840, 0))), 技能库!$A:$F, 5, 0),"建议查阅考纲")&amp;CHAR(10)&amp;"💡 提升建议: "&amp;IFERROR(VLOOKUP(TRIM(D840)&amp;"_"&amp;TRIM(INDEX($N$1:$O$1, MATCH(MIN(N840:O840), N840:O840, 0))), 技能库!$A:$F, 6, 0),"请针对该题型加强练习"))</f>
        <v/>
      </c>
      <c r="AC840" s="5" t="str">
        <f>IF(W840="","", "⚠️ 薄弱环节: "&amp;INDEX($R$1:$V$1, MATCH(MIN(R840:V840), R840:V840, 0))&amp;CHAR(10)&amp;"📉 考察能力: "&amp;IFERROR(VLOOKUP(TRIM(D840)&amp;"_"&amp;TRIM(INDEX($R$1:$V$1, MATCH(MIN(R840:V840), R840:V840, 0))), 技能库!$A:$F, 5, 0),"建议查阅考纲")&amp;CHAR(10)&amp;"💡 提升建议: "&amp;IFERROR(VLOOKUP(TRIM(D840)&amp;"_"&amp;TRIM(INDEX($R$1:$V$1, MATCH(MIN(R840:V840), R840:V840, 0))), 技能库!$A:$F, 6, 0),"请针对该题型加强练习"))</f>
        <v/>
      </c>
    </row>
    <row r="841" spans="12:29" ht="16" hidden="1" x14ac:dyDescent="0.2">
      <c r="L841" t="str">
        <f t="shared" si="52"/>
        <v/>
      </c>
      <c r="M841" t="str">
        <f>IF(L841="","", IFERROR(VLOOKUP(L841, IF(D841="KET", 换算标准!$M:$N, IF(D841="PET", 换算标准!$S:$T, 换算标准!$AC:$AD)), 2, TRUE), 0))</f>
        <v/>
      </c>
      <c r="P841" t="str">
        <f t="shared" si="53"/>
        <v/>
      </c>
      <c r="Q841" t="str">
        <f>IF(P841="","", IFERROR(VLOOKUP(P841, IF(D841="KET", 换算标准!$O:$P, IF(D841="PET", 换算标准!$U:$V, 换算标准!$AG:$AH)), 2, TRUE), 0))</f>
        <v/>
      </c>
      <c r="W841" t="str">
        <f t="shared" si="54"/>
        <v/>
      </c>
      <c r="X841" t="str">
        <f>IF(W841="","", IFERROR(VLOOKUP(W841, IF(D841="KET", 换算标准!$Q:$R, IF(D841="PET", 换算标准!$W:$X, 换算标准!$AI:$AJ)), 2, TRUE), 0))</f>
        <v/>
      </c>
      <c r="Y841" t="str">
        <f t="shared" si="55"/>
        <v/>
      </c>
      <c r="Z841" t="str">
        <f>IF(Y841="","", IFERROR(VLOOKUP(Y841, 换算标准!$Z:$AA, 1, TRUE), ""))</f>
        <v/>
      </c>
      <c r="AA841" s="5" t="str">
        <f>IF(L841="","", "⚠️ 薄弱环节: "&amp;INDEX($E$1:$K$1, MATCH(MIN(E841:K841), E841:K841, 0))&amp;CHAR(10)&amp;"📉 考察能力: "&amp;IFERROR(VLOOKUP(TRIM(D841)&amp;"_"&amp;TRIM(INDEX($E$1:$K$1, MATCH(MIN(E841:K841), E841:K841, 0))), 技能库!$A:$F, 5, 0),"建议查阅考纲")&amp;CHAR(10)&amp;"💡 提升建议: "&amp;IFERROR(VLOOKUP(TRIM(D841)&amp;"_"&amp;TRIM(INDEX($E$1:$K$1, MATCH(MIN(E841:K841), E841:K841, 0))), 技能库!$A:$F, 6, 0),"请针对该题型加强练习"))</f>
        <v/>
      </c>
      <c r="AB841" s="5" t="str">
        <f>IF(P841="","", "⚠️ 薄弱环节: "&amp;INDEX($N$1:$O$1, MATCH(MIN(N841:O841), N841:O841, 0))&amp;CHAR(10)&amp;"📉 考察能力: "&amp;IFERROR(VLOOKUP(TRIM(D841)&amp;"_"&amp;TRIM(INDEX($N$1:$O$1, MATCH(MIN(N841:O841), N841:O841, 0))), 技能库!$A:$F, 5, 0),"建议查阅考纲")&amp;CHAR(10)&amp;"💡 提升建议: "&amp;IFERROR(VLOOKUP(TRIM(D841)&amp;"_"&amp;TRIM(INDEX($N$1:$O$1, MATCH(MIN(N841:O841), N841:O841, 0))), 技能库!$A:$F, 6, 0),"请针对该题型加强练习"))</f>
        <v/>
      </c>
      <c r="AC841" s="5" t="str">
        <f>IF(W841="","", "⚠️ 薄弱环节: "&amp;INDEX($R$1:$V$1, MATCH(MIN(R841:V841), R841:V841, 0))&amp;CHAR(10)&amp;"📉 考察能力: "&amp;IFERROR(VLOOKUP(TRIM(D841)&amp;"_"&amp;TRIM(INDEX($R$1:$V$1, MATCH(MIN(R841:V841), R841:V841, 0))), 技能库!$A:$F, 5, 0),"建议查阅考纲")&amp;CHAR(10)&amp;"💡 提升建议: "&amp;IFERROR(VLOOKUP(TRIM(D841)&amp;"_"&amp;TRIM(INDEX($R$1:$V$1, MATCH(MIN(R841:V841), R841:V841, 0))), 技能库!$A:$F, 6, 0),"请针对该题型加强练习"))</f>
        <v/>
      </c>
    </row>
    <row r="842" spans="12:29" ht="16" hidden="1" x14ac:dyDescent="0.2">
      <c r="L842" t="str">
        <f t="shared" si="52"/>
        <v/>
      </c>
      <c r="M842" t="str">
        <f>IF(L842="","", IFERROR(VLOOKUP(L842, IF(D842="KET", 换算标准!$M:$N, IF(D842="PET", 换算标准!$S:$T, 换算标准!$AC:$AD)), 2, TRUE), 0))</f>
        <v/>
      </c>
      <c r="P842" t="str">
        <f t="shared" si="53"/>
        <v/>
      </c>
      <c r="Q842" t="str">
        <f>IF(P842="","", IFERROR(VLOOKUP(P842, IF(D842="KET", 换算标准!$O:$P, IF(D842="PET", 换算标准!$U:$V, 换算标准!$AG:$AH)), 2, TRUE), 0))</f>
        <v/>
      </c>
      <c r="W842" t="str">
        <f t="shared" si="54"/>
        <v/>
      </c>
      <c r="X842" t="str">
        <f>IF(W842="","", IFERROR(VLOOKUP(W842, IF(D842="KET", 换算标准!$Q:$R, IF(D842="PET", 换算标准!$W:$X, 换算标准!$AI:$AJ)), 2, TRUE), 0))</f>
        <v/>
      </c>
      <c r="Y842" t="str">
        <f t="shared" si="55"/>
        <v/>
      </c>
      <c r="Z842" t="str">
        <f>IF(Y842="","", IFERROR(VLOOKUP(Y842, 换算标准!$Z:$AA, 1, TRUE), ""))</f>
        <v/>
      </c>
      <c r="AA842" s="5" t="str">
        <f>IF(L842="","", "⚠️ 薄弱环节: "&amp;INDEX($E$1:$K$1, MATCH(MIN(E842:K842), E842:K842, 0))&amp;CHAR(10)&amp;"📉 考察能力: "&amp;IFERROR(VLOOKUP(TRIM(D842)&amp;"_"&amp;TRIM(INDEX($E$1:$K$1, MATCH(MIN(E842:K842), E842:K842, 0))), 技能库!$A:$F, 5, 0),"建议查阅考纲")&amp;CHAR(10)&amp;"💡 提升建议: "&amp;IFERROR(VLOOKUP(TRIM(D842)&amp;"_"&amp;TRIM(INDEX($E$1:$K$1, MATCH(MIN(E842:K842), E842:K842, 0))), 技能库!$A:$F, 6, 0),"请针对该题型加强练习"))</f>
        <v/>
      </c>
      <c r="AB842" s="5" t="str">
        <f>IF(P842="","", "⚠️ 薄弱环节: "&amp;INDEX($N$1:$O$1, MATCH(MIN(N842:O842), N842:O842, 0))&amp;CHAR(10)&amp;"📉 考察能力: "&amp;IFERROR(VLOOKUP(TRIM(D842)&amp;"_"&amp;TRIM(INDEX($N$1:$O$1, MATCH(MIN(N842:O842), N842:O842, 0))), 技能库!$A:$F, 5, 0),"建议查阅考纲")&amp;CHAR(10)&amp;"💡 提升建议: "&amp;IFERROR(VLOOKUP(TRIM(D842)&amp;"_"&amp;TRIM(INDEX($N$1:$O$1, MATCH(MIN(N842:O842), N842:O842, 0))), 技能库!$A:$F, 6, 0),"请针对该题型加强练习"))</f>
        <v/>
      </c>
      <c r="AC842" s="5" t="str">
        <f>IF(W842="","", "⚠️ 薄弱环节: "&amp;INDEX($R$1:$V$1, MATCH(MIN(R842:V842), R842:V842, 0))&amp;CHAR(10)&amp;"📉 考察能力: "&amp;IFERROR(VLOOKUP(TRIM(D842)&amp;"_"&amp;TRIM(INDEX($R$1:$V$1, MATCH(MIN(R842:V842), R842:V842, 0))), 技能库!$A:$F, 5, 0),"建议查阅考纲")&amp;CHAR(10)&amp;"💡 提升建议: "&amp;IFERROR(VLOOKUP(TRIM(D842)&amp;"_"&amp;TRIM(INDEX($R$1:$V$1, MATCH(MIN(R842:V842), R842:V842, 0))), 技能库!$A:$F, 6, 0),"请针对该题型加强练习"))</f>
        <v/>
      </c>
    </row>
    <row r="843" spans="12:29" ht="16" hidden="1" x14ac:dyDescent="0.2">
      <c r="L843" t="str">
        <f t="shared" si="52"/>
        <v/>
      </c>
      <c r="M843" t="str">
        <f>IF(L843="","", IFERROR(VLOOKUP(L843, IF(D843="KET", 换算标准!$M:$N, IF(D843="PET", 换算标准!$S:$T, 换算标准!$AC:$AD)), 2, TRUE), 0))</f>
        <v/>
      </c>
      <c r="P843" t="str">
        <f t="shared" si="53"/>
        <v/>
      </c>
      <c r="Q843" t="str">
        <f>IF(P843="","", IFERROR(VLOOKUP(P843, IF(D843="KET", 换算标准!$O:$P, IF(D843="PET", 换算标准!$U:$V, 换算标准!$AG:$AH)), 2, TRUE), 0))</f>
        <v/>
      </c>
      <c r="W843" t="str">
        <f t="shared" si="54"/>
        <v/>
      </c>
      <c r="X843" t="str">
        <f>IF(W843="","", IFERROR(VLOOKUP(W843, IF(D843="KET", 换算标准!$Q:$R, IF(D843="PET", 换算标准!$W:$X, 换算标准!$AI:$AJ)), 2, TRUE), 0))</f>
        <v/>
      </c>
      <c r="Y843" t="str">
        <f t="shared" si="55"/>
        <v/>
      </c>
      <c r="Z843" t="str">
        <f>IF(Y843="","", IFERROR(VLOOKUP(Y843, 换算标准!$Z:$AA, 1, TRUE), ""))</f>
        <v/>
      </c>
      <c r="AA843" s="5" t="str">
        <f>IF(L843="","", "⚠️ 薄弱环节: "&amp;INDEX($E$1:$K$1, MATCH(MIN(E843:K843), E843:K843, 0))&amp;CHAR(10)&amp;"📉 考察能力: "&amp;IFERROR(VLOOKUP(TRIM(D843)&amp;"_"&amp;TRIM(INDEX($E$1:$K$1, MATCH(MIN(E843:K843), E843:K843, 0))), 技能库!$A:$F, 5, 0),"建议查阅考纲")&amp;CHAR(10)&amp;"💡 提升建议: "&amp;IFERROR(VLOOKUP(TRIM(D843)&amp;"_"&amp;TRIM(INDEX($E$1:$K$1, MATCH(MIN(E843:K843), E843:K843, 0))), 技能库!$A:$F, 6, 0),"请针对该题型加强练习"))</f>
        <v/>
      </c>
      <c r="AB843" s="5" t="str">
        <f>IF(P843="","", "⚠️ 薄弱环节: "&amp;INDEX($N$1:$O$1, MATCH(MIN(N843:O843), N843:O843, 0))&amp;CHAR(10)&amp;"📉 考察能力: "&amp;IFERROR(VLOOKUP(TRIM(D843)&amp;"_"&amp;TRIM(INDEX($N$1:$O$1, MATCH(MIN(N843:O843), N843:O843, 0))), 技能库!$A:$F, 5, 0),"建议查阅考纲")&amp;CHAR(10)&amp;"💡 提升建议: "&amp;IFERROR(VLOOKUP(TRIM(D843)&amp;"_"&amp;TRIM(INDEX($N$1:$O$1, MATCH(MIN(N843:O843), N843:O843, 0))), 技能库!$A:$F, 6, 0),"请针对该题型加强练习"))</f>
        <v/>
      </c>
      <c r="AC843" s="5" t="str">
        <f>IF(W843="","", "⚠️ 薄弱环节: "&amp;INDEX($R$1:$V$1, MATCH(MIN(R843:V843), R843:V843, 0))&amp;CHAR(10)&amp;"📉 考察能力: "&amp;IFERROR(VLOOKUP(TRIM(D843)&amp;"_"&amp;TRIM(INDEX($R$1:$V$1, MATCH(MIN(R843:V843), R843:V843, 0))), 技能库!$A:$F, 5, 0),"建议查阅考纲")&amp;CHAR(10)&amp;"💡 提升建议: "&amp;IFERROR(VLOOKUP(TRIM(D843)&amp;"_"&amp;TRIM(INDEX($R$1:$V$1, MATCH(MIN(R843:V843), R843:V843, 0))), 技能库!$A:$F, 6, 0),"请针对该题型加强练习"))</f>
        <v/>
      </c>
    </row>
    <row r="844" spans="12:29" ht="16" hidden="1" x14ac:dyDescent="0.2">
      <c r="L844" t="str">
        <f t="shared" si="52"/>
        <v/>
      </c>
      <c r="M844" t="str">
        <f>IF(L844="","", IFERROR(VLOOKUP(L844, IF(D844="KET", 换算标准!$M:$N, IF(D844="PET", 换算标准!$S:$T, 换算标准!$AC:$AD)), 2, TRUE), 0))</f>
        <v/>
      </c>
      <c r="P844" t="str">
        <f t="shared" si="53"/>
        <v/>
      </c>
      <c r="Q844" t="str">
        <f>IF(P844="","", IFERROR(VLOOKUP(P844, IF(D844="KET", 换算标准!$O:$P, IF(D844="PET", 换算标准!$U:$V, 换算标准!$AG:$AH)), 2, TRUE), 0))</f>
        <v/>
      </c>
      <c r="W844" t="str">
        <f t="shared" si="54"/>
        <v/>
      </c>
      <c r="X844" t="str">
        <f>IF(W844="","", IFERROR(VLOOKUP(W844, IF(D844="KET", 换算标准!$Q:$R, IF(D844="PET", 换算标准!$W:$X, 换算标准!$AI:$AJ)), 2, TRUE), 0))</f>
        <v/>
      </c>
      <c r="Y844" t="str">
        <f t="shared" si="55"/>
        <v/>
      </c>
      <c r="Z844" t="str">
        <f>IF(Y844="","", IFERROR(VLOOKUP(Y844, 换算标准!$Z:$AA, 1, TRUE), ""))</f>
        <v/>
      </c>
      <c r="AA844" s="5" t="str">
        <f>IF(L844="","", "⚠️ 薄弱环节: "&amp;INDEX($E$1:$K$1, MATCH(MIN(E844:K844), E844:K844, 0))&amp;CHAR(10)&amp;"📉 考察能力: "&amp;IFERROR(VLOOKUP(TRIM(D844)&amp;"_"&amp;TRIM(INDEX($E$1:$K$1, MATCH(MIN(E844:K844), E844:K844, 0))), 技能库!$A:$F, 5, 0),"建议查阅考纲")&amp;CHAR(10)&amp;"💡 提升建议: "&amp;IFERROR(VLOOKUP(TRIM(D844)&amp;"_"&amp;TRIM(INDEX($E$1:$K$1, MATCH(MIN(E844:K844), E844:K844, 0))), 技能库!$A:$F, 6, 0),"请针对该题型加强练习"))</f>
        <v/>
      </c>
      <c r="AB844" s="5" t="str">
        <f>IF(P844="","", "⚠️ 薄弱环节: "&amp;INDEX($N$1:$O$1, MATCH(MIN(N844:O844), N844:O844, 0))&amp;CHAR(10)&amp;"📉 考察能力: "&amp;IFERROR(VLOOKUP(TRIM(D844)&amp;"_"&amp;TRIM(INDEX($N$1:$O$1, MATCH(MIN(N844:O844), N844:O844, 0))), 技能库!$A:$F, 5, 0),"建议查阅考纲")&amp;CHAR(10)&amp;"💡 提升建议: "&amp;IFERROR(VLOOKUP(TRIM(D844)&amp;"_"&amp;TRIM(INDEX($N$1:$O$1, MATCH(MIN(N844:O844), N844:O844, 0))), 技能库!$A:$F, 6, 0),"请针对该题型加强练习"))</f>
        <v/>
      </c>
      <c r="AC844" s="5" t="str">
        <f>IF(W844="","", "⚠️ 薄弱环节: "&amp;INDEX($R$1:$V$1, MATCH(MIN(R844:V844), R844:V844, 0))&amp;CHAR(10)&amp;"📉 考察能力: "&amp;IFERROR(VLOOKUP(TRIM(D844)&amp;"_"&amp;TRIM(INDEX($R$1:$V$1, MATCH(MIN(R844:V844), R844:V844, 0))), 技能库!$A:$F, 5, 0),"建议查阅考纲")&amp;CHAR(10)&amp;"💡 提升建议: "&amp;IFERROR(VLOOKUP(TRIM(D844)&amp;"_"&amp;TRIM(INDEX($R$1:$V$1, MATCH(MIN(R844:V844), R844:V844, 0))), 技能库!$A:$F, 6, 0),"请针对该题型加强练习"))</f>
        <v/>
      </c>
    </row>
    <row r="845" spans="12:29" ht="16" hidden="1" x14ac:dyDescent="0.2">
      <c r="L845" t="str">
        <f t="shared" si="52"/>
        <v/>
      </c>
      <c r="M845" t="str">
        <f>IF(L845="","", IFERROR(VLOOKUP(L845, IF(D845="KET", 换算标准!$M:$N, IF(D845="PET", 换算标准!$S:$T, 换算标准!$AC:$AD)), 2, TRUE), 0))</f>
        <v/>
      </c>
      <c r="P845" t="str">
        <f t="shared" si="53"/>
        <v/>
      </c>
      <c r="Q845" t="str">
        <f>IF(P845="","", IFERROR(VLOOKUP(P845, IF(D845="KET", 换算标准!$O:$P, IF(D845="PET", 换算标准!$U:$V, 换算标准!$AG:$AH)), 2, TRUE), 0))</f>
        <v/>
      </c>
      <c r="W845" t="str">
        <f t="shared" si="54"/>
        <v/>
      </c>
      <c r="X845" t="str">
        <f>IF(W845="","", IFERROR(VLOOKUP(W845, IF(D845="KET", 换算标准!$Q:$R, IF(D845="PET", 换算标准!$W:$X, 换算标准!$AI:$AJ)), 2, TRUE), 0))</f>
        <v/>
      </c>
      <c r="Y845" t="str">
        <f t="shared" si="55"/>
        <v/>
      </c>
      <c r="Z845" t="str">
        <f>IF(Y845="","", IFERROR(VLOOKUP(Y845, 换算标准!$Z:$AA, 1, TRUE), ""))</f>
        <v/>
      </c>
      <c r="AA845" s="5" t="str">
        <f>IF(L845="","", "⚠️ 薄弱环节: "&amp;INDEX($E$1:$K$1, MATCH(MIN(E845:K845), E845:K845, 0))&amp;CHAR(10)&amp;"📉 考察能力: "&amp;IFERROR(VLOOKUP(TRIM(D845)&amp;"_"&amp;TRIM(INDEX($E$1:$K$1, MATCH(MIN(E845:K845), E845:K845, 0))), 技能库!$A:$F, 5, 0),"建议查阅考纲")&amp;CHAR(10)&amp;"💡 提升建议: "&amp;IFERROR(VLOOKUP(TRIM(D845)&amp;"_"&amp;TRIM(INDEX($E$1:$K$1, MATCH(MIN(E845:K845), E845:K845, 0))), 技能库!$A:$F, 6, 0),"请针对该题型加强练习"))</f>
        <v/>
      </c>
      <c r="AB845" s="5" t="str">
        <f>IF(P845="","", "⚠️ 薄弱环节: "&amp;INDEX($N$1:$O$1, MATCH(MIN(N845:O845), N845:O845, 0))&amp;CHAR(10)&amp;"📉 考察能力: "&amp;IFERROR(VLOOKUP(TRIM(D845)&amp;"_"&amp;TRIM(INDEX($N$1:$O$1, MATCH(MIN(N845:O845), N845:O845, 0))), 技能库!$A:$F, 5, 0),"建议查阅考纲")&amp;CHAR(10)&amp;"💡 提升建议: "&amp;IFERROR(VLOOKUP(TRIM(D845)&amp;"_"&amp;TRIM(INDEX($N$1:$O$1, MATCH(MIN(N845:O845), N845:O845, 0))), 技能库!$A:$F, 6, 0),"请针对该题型加强练习"))</f>
        <v/>
      </c>
      <c r="AC845" s="5" t="str">
        <f>IF(W845="","", "⚠️ 薄弱环节: "&amp;INDEX($R$1:$V$1, MATCH(MIN(R845:V845), R845:V845, 0))&amp;CHAR(10)&amp;"📉 考察能力: "&amp;IFERROR(VLOOKUP(TRIM(D845)&amp;"_"&amp;TRIM(INDEX($R$1:$V$1, MATCH(MIN(R845:V845), R845:V845, 0))), 技能库!$A:$F, 5, 0),"建议查阅考纲")&amp;CHAR(10)&amp;"💡 提升建议: "&amp;IFERROR(VLOOKUP(TRIM(D845)&amp;"_"&amp;TRIM(INDEX($R$1:$V$1, MATCH(MIN(R845:V845), R845:V845, 0))), 技能库!$A:$F, 6, 0),"请针对该题型加强练习"))</f>
        <v/>
      </c>
    </row>
    <row r="846" spans="12:29" ht="16" hidden="1" x14ac:dyDescent="0.2">
      <c r="L846" t="str">
        <f t="shared" si="52"/>
        <v/>
      </c>
      <c r="M846" t="str">
        <f>IF(L846="","", IFERROR(VLOOKUP(L846, IF(D846="KET", 换算标准!$M:$N, IF(D846="PET", 换算标准!$S:$T, 换算标准!$AC:$AD)), 2, TRUE), 0))</f>
        <v/>
      </c>
      <c r="P846" t="str">
        <f t="shared" si="53"/>
        <v/>
      </c>
      <c r="Q846" t="str">
        <f>IF(P846="","", IFERROR(VLOOKUP(P846, IF(D846="KET", 换算标准!$O:$P, IF(D846="PET", 换算标准!$U:$V, 换算标准!$AG:$AH)), 2, TRUE), 0))</f>
        <v/>
      </c>
      <c r="W846" t="str">
        <f t="shared" si="54"/>
        <v/>
      </c>
      <c r="X846" t="str">
        <f>IF(W846="","", IFERROR(VLOOKUP(W846, IF(D846="KET", 换算标准!$Q:$R, IF(D846="PET", 换算标准!$W:$X, 换算标准!$AI:$AJ)), 2, TRUE), 0))</f>
        <v/>
      </c>
      <c r="Y846" t="str">
        <f t="shared" si="55"/>
        <v/>
      </c>
      <c r="Z846" t="str">
        <f>IF(Y846="","", IFERROR(VLOOKUP(Y846, 换算标准!$Z:$AA, 1, TRUE), ""))</f>
        <v/>
      </c>
      <c r="AA846" s="5" t="str">
        <f>IF(L846="","", "⚠️ 薄弱环节: "&amp;INDEX($E$1:$K$1, MATCH(MIN(E846:K846), E846:K846, 0))&amp;CHAR(10)&amp;"📉 考察能力: "&amp;IFERROR(VLOOKUP(TRIM(D846)&amp;"_"&amp;TRIM(INDEX($E$1:$K$1, MATCH(MIN(E846:K846), E846:K846, 0))), 技能库!$A:$F, 5, 0),"建议查阅考纲")&amp;CHAR(10)&amp;"💡 提升建议: "&amp;IFERROR(VLOOKUP(TRIM(D846)&amp;"_"&amp;TRIM(INDEX($E$1:$K$1, MATCH(MIN(E846:K846), E846:K846, 0))), 技能库!$A:$F, 6, 0),"请针对该题型加强练习"))</f>
        <v/>
      </c>
      <c r="AB846" s="5" t="str">
        <f>IF(P846="","", "⚠️ 薄弱环节: "&amp;INDEX($N$1:$O$1, MATCH(MIN(N846:O846), N846:O846, 0))&amp;CHAR(10)&amp;"📉 考察能力: "&amp;IFERROR(VLOOKUP(TRIM(D846)&amp;"_"&amp;TRIM(INDEX($N$1:$O$1, MATCH(MIN(N846:O846), N846:O846, 0))), 技能库!$A:$F, 5, 0),"建议查阅考纲")&amp;CHAR(10)&amp;"💡 提升建议: "&amp;IFERROR(VLOOKUP(TRIM(D846)&amp;"_"&amp;TRIM(INDEX($N$1:$O$1, MATCH(MIN(N846:O846), N846:O846, 0))), 技能库!$A:$F, 6, 0),"请针对该题型加强练习"))</f>
        <v/>
      </c>
      <c r="AC846" s="5" t="str">
        <f>IF(W846="","", "⚠️ 薄弱环节: "&amp;INDEX($R$1:$V$1, MATCH(MIN(R846:V846), R846:V846, 0))&amp;CHAR(10)&amp;"📉 考察能力: "&amp;IFERROR(VLOOKUP(TRIM(D846)&amp;"_"&amp;TRIM(INDEX($R$1:$V$1, MATCH(MIN(R846:V846), R846:V846, 0))), 技能库!$A:$F, 5, 0),"建议查阅考纲")&amp;CHAR(10)&amp;"💡 提升建议: "&amp;IFERROR(VLOOKUP(TRIM(D846)&amp;"_"&amp;TRIM(INDEX($R$1:$V$1, MATCH(MIN(R846:V846), R846:V846, 0))), 技能库!$A:$F, 6, 0),"请针对该题型加强练习"))</f>
        <v/>
      </c>
    </row>
    <row r="847" spans="12:29" ht="16" hidden="1" x14ac:dyDescent="0.2">
      <c r="L847" t="str">
        <f t="shared" si="52"/>
        <v/>
      </c>
      <c r="M847" t="str">
        <f>IF(L847="","", IFERROR(VLOOKUP(L847, IF(D847="KET", 换算标准!$M:$N, IF(D847="PET", 换算标准!$S:$T, 换算标准!$AC:$AD)), 2, TRUE), 0))</f>
        <v/>
      </c>
      <c r="P847" t="str">
        <f t="shared" si="53"/>
        <v/>
      </c>
      <c r="Q847" t="str">
        <f>IF(P847="","", IFERROR(VLOOKUP(P847, IF(D847="KET", 换算标准!$O:$P, IF(D847="PET", 换算标准!$U:$V, 换算标准!$AG:$AH)), 2, TRUE), 0))</f>
        <v/>
      </c>
      <c r="W847" t="str">
        <f t="shared" si="54"/>
        <v/>
      </c>
      <c r="X847" t="str">
        <f>IF(W847="","", IFERROR(VLOOKUP(W847, IF(D847="KET", 换算标准!$Q:$R, IF(D847="PET", 换算标准!$W:$X, 换算标准!$AI:$AJ)), 2, TRUE), 0))</f>
        <v/>
      </c>
      <c r="Y847" t="str">
        <f t="shared" si="55"/>
        <v/>
      </c>
      <c r="Z847" t="str">
        <f>IF(Y847="","", IFERROR(VLOOKUP(Y847, 换算标准!$Z:$AA, 1, TRUE), ""))</f>
        <v/>
      </c>
      <c r="AA847" s="5" t="str">
        <f>IF(L847="","", "⚠️ 薄弱环节: "&amp;INDEX($E$1:$K$1, MATCH(MIN(E847:K847), E847:K847, 0))&amp;CHAR(10)&amp;"📉 考察能力: "&amp;IFERROR(VLOOKUP(TRIM(D847)&amp;"_"&amp;TRIM(INDEX($E$1:$K$1, MATCH(MIN(E847:K847), E847:K847, 0))), 技能库!$A:$F, 5, 0),"建议查阅考纲")&amp;CHAR(10)&amp;"💡 提升建议: "&amp;IFERROR(VLOOKUP(TRIM(D847)&amp;"_"&amp;TRIM(INDEX($E$1:$K$1, MATCH(MIN(E847:K847), E847:K847, 0))), 技能库!$A:$F, 6, 0),"请针对该题型加强练习"))</f>
        <v/>
      </c>
      <c r="AB847" s="5" t="str">
        <f>IF(P847="","", "⚠️ 薄弱环节: "&amp;INDEX($N$1:$O$1, MATCH(MIN(N847:O847), N847:O847, 0))&amp;CHAR(10)&amp;"📉 考察能力: "&amp;IFERROR(VLOOKUP(TRIM(D847)&amp;"_"&amp;TRIM(INDEX($N$1:$O$1, MATCH(MIN(N847:O847), N847:O847, 0))), 技能库!$A:$F, 5, 0),"建议查阅考纲")&amp;CHAR(10)&amp;"💡 提升建议: "&amp;IFERROR(VLOOKUP(TRIM(D847)&amp;"_"&amp;TRIM(INDEX($N$1:$O$1, MATCH(MIN(N847:O847), N847:O847, 0))), 技能库!$A:$F, 6, 0),"请针对该题型加强练习"))</f>
        <v/>
      </c>
      <c r="AC847" s="5" t="str">
        <f>IF(W847="","", "⚠️ 薄弱环节: "&amp;INDEX($R$1:$V$1, MATCH(MIN(R847:V847), R847:V847, 0))&amp;CHAR(10)&amp;"📉 考察能力: "&amp;IFERROR(VLOOKUP(TRIM(D847)&amp;"_"&amp;TRIM(INDEX($R$1:$V$1, MATCH(MIN(R847:V847), R847:V847, 0))), 技能库!$A:$F, 5, 0),"建议查阅考纲")&amp;CHAR(10)&amp;"💡 提升建议: "&amp;IFERROR(VLOOKUP(TRIM(D847)&amp;"_"&amp;TRIM(INDEX($R$1:$V$1, MATCH(MIN(R847:V847), R847:V847, 0))), 技能库!$A:$F, 6, 0),"请针对该题型加强练习"))</f>
        <v/>
      </c>
    </row>
    <row r="848" spans="12:29" ht="16" hidden="1" x14ac:dyDescent="0.2">
      <c r="L848" t="str">
        <f t="shared" si="52"/>
        <v/>
      </c>
      <c r="M848" t="str">
        <f>IF(L848="","", IFERROR(VLOOKUP(L848, IF(D848="KET", 换算标准!$M:$N, IF(D848="PET", 换算标准!$S:$T, 换算标准!$AC:$AD)), 2, TRUE), 0))</f>
        <v/>
      </c>
      <c r="P848" t="str">
        <f t="shared" si="53"/>
        <v/>
      </c>
      <c r="Q848" t="str">
        <f>IF(P848="","", IFERROR(VLOOKUP(P848, IF(D848="KET", 换算标准!$O:$P, IF(D848="PET", 换算标准!$U:$V, 换算标准!$AG:$AH)), 2, TRUE), 0))</f>
        <v/>
      </c>
      <c r="W848" t="str">
        <f t="shared" si="54"/>
        <v/>
      </c>
      <c r="X848" t="str">
        <f>IF(W848="","", IFERROR(VLOOKUP(W848, IF(D848="KET", 换算标准!$Q:$R, IF(D848="PET", 换算标准!$W:$X, 换算标准!$AI:$AJ)), 2, TRUE), 0))</f>
        <v/>
      </c>
      <c r="Y848" t="str">
        <f t="shared" si="55"/>
        <v/>
      </c>
      <c r="Z848" t="str">
        <f>IF(Y848="","", IFERROR(VLOOKUP(Y848, 换算标准!$Z:$AA, 1, TRUE), ""))</f>
        <v/>
      </c>
      <c r="AA848" s="5" t="str">
        <f>IF(L848="","", "⚠️ 薄弱环节: "&amp;INDEX($E$1:$K$1, MATCH(MIN(E848:K848), E848:K848, 0))&amp;CHAR(10)&amp;"📉 考察能力: "&amp;IFERROR(VLOOKUP(TRIM(D848)&amp;"_"&amp;TRIM(INDEX($E$1:$K$1, MATCH(MIN(E848:K848), E848:K848, 0))), 技能库!$A:$F, 5, 0),"建议查阅考纲")&amp;CHAR(10)&amp;"💡 提升建议: "&amp;IFERROR(VLOOKUP(TRIM(D848)&amp;"_"&amp;TRIM(INDEX($E$1:$K$1, MATCH(MIN(E848:K848), E848:K848, 0))), 技能库!$A:$F, 6, 0),"请针对该题型加强练习"))</f>
        <v/>
      </c>
      <c r="AB848" s="5" t="str">
        <f>IF(P848="","", "⚠️ 薄弱环节: "&amp;INDEX($N$1:$O$1, MATCH(MIN(N848:O848), N848:O848, 0))&amp;CHAR(10)&amp;"📉 考察能力: "&amp;IFERROR(VLOOKUP(TRIM(D848)&amp;"_"&amp;TRIM(INDEX($N$1:$O$1, MATCH(MIN(N848:O848), N848:O848, 0))), 技能库!$A:$F, 5, 0),"建议查阅考纲")&amp;CHAR(10)&amp;"💡 提升建议: "&amp;IFERROR(VLOOKUP(TRIM(D848)&amp;"_"&amp;TRIM(INDEX($N$1:$O$1, MATCH(MIN(N848:O848), N848:O848, 0))), 技能库!$A:$F, 6, 0),"请针对该题型加强练习"))</f>
        <v/>
      </c>
      <c r="AC848" s="5" t="str">
        <f>IF(W848="","", "⚠️ 薄弱环节: "&amp;INDEX($R$1:$V$1, MATCH(MIN(R848:V848), R848:V848, 0))&amp;CHAR(10)&amp;"📉 考察能力: "&amp;IFERROR(VLOOKUP(TRIM(D848)&amp;"_"&amp;TRIM(INDEX($R$1:$V$1, MATCH(MIN(R848:V848), R848:V848, 0))), 技能库!$A:$F, 5, 0),"建议查阅考纲")&amp;CHAR(10)&amp;"💡 提升建议: "&amp;IFERROR(VLOOKUP(TRIM(D848)&amp;"_"&amp;TRIM(INDEX($R$1:$V$1, MATCH(MIN(R848:V848), R848:V848, 0))), 技能库!$A:$F, 6, 0),"请针对该题型加强练习"))</f>
        <v/>
      </c>
    </row>
    <row r="849" spans="12:29" ht="16" hidden="1" x14ac:dyDescent="0.2">
      <c r="L849" t="str">
        <f t="shared" si="52"/>
        <v/>
      </c>
      <c r="M849" t="str">
        <f>IF(L849="","", IFERROR(VLOOKUP(L849, IF(D849="KET", 换算标准!$M:$N, IF(D849="PET", 换算标准!$S:$T, 换算标准!$AC:$AD)), 2, TRUE), 0))</f>
        <v/>
      </c>
      <c r="P849" t="str">
        <f t="shared" si="53"/>
        <v/>
      </c>
      <c r="Q849" t="str">
        <f>IF(P849="","", IFERROR(VLOOKUP(P849, IF(D849="KET", 换算标准!$O:$P, IF(D849="PET", 换算标准!$U:$V, 换算标准!$AG:$AH)), 2, TRUE), 0))</f>
        <v/>
      </c>
      <c r="W849" t="str">
        <f t="shared" si="54"/>
        <v/>
      </c>
      <c r="X849" t="str">
        <f>IF(W849="","", IFERROR(VLOOKUP(W849, IF(D849="KET", 换算标准!$Q:$R, IF(D849="PET", 换算标准!$W:$X, 换算标准!$AI:$AJ)), 2, TRUE), 0))</f>
        <v/>
      </c>
      <c r="Y849" t="str">
        <f t="shared" si="55"/>
        <v/>
      </c>
      <c r="Z849" t="str">
        <f>IF(Y849="","", IFERROR(VLOOKUP(Y849, 换算标准!$Z:$AA, 1, TRUE), ""))</f>
        <v/>
      </c>
      <c r="AA849" s="5" t="str">
        <f>IF(L849="","", "⚠️ 薄弱环节: "&amp;INDEX($E$1:$K$1, MATCH(MIN(E849:K849), E849:K849, 0))&amp;CHAR(10)&amp;"📉 考察能力: "&amp;IFERROR(VLOOKUP(TRIM(D849)&amp;"_"&amp;TRIM(INDEX($E$1:$K$1, MATCH(MIN(E849:K849), E849:K849, 0))), 技能库!$A:$F, 5, 0),"建议查阅考纲")&amp;CHAR(10)&amp;"💡 提升建议: "&amp;IFERROR(VLOOKUP(TRIM(D849)&amp;"_"&amp;TRIM(INDEX($E$1:$K$1, MATCH(MIN(E849:K849), E849:K849, 0))), 技能库!$A:$F, 6, 0),"请针对该题型加强练习"))</f>
        <v/>
      </c>
      <c r="AB849" s="5" t="str">
        <f>IF(P849="","", "⚠️ 薄弱环节: "&amp;INDEX($N$1:$O$1, MATCH(MIN(N849:O849), N849:O849, 0))&amp;CHAR(10)&amp;"📉 考察能力: "&amp;IFERROR(VLOOKUP(TRIM(D849)&amp;"_"&amp;TRIM(INDEX($N$1:$O$1, MATCH(MIN(N849:O849), N849:O849, 0))), 技能库!$A:$F, 5, 0),"建议查阅考纲")&amp;CHAR(10)&amp;"💡 提升建议: "&amp;IFERROR(VLOOKUP(TRIM(D849)&amp;"_"&amp;TRIM(INDEX($N$1:$O$1, MATCH(MIN(N849:O849), N849:O849, 0))), 技能库!$A:$F, 6, 0),"请针对该题型加强练习"))</f>
        <v/>
      </c>
      <c r="AC849" s="5" t="str">
        <f>IF(W849="","", "⚠️ 薄弱环节: "&amp;INDEX($R$1:$V$1, MATCH(MIN(R849:V849), R849:V849, 0))&amp;CHAR(10)&amp;"📉 考察能力: "&amp;IFERROR(VLOOKUP(TRIM(D849)&amp;"_"&amp;TRIM(INDEX($R$1:$V$1, MATCH(MIN(R849:V849), R849:V849, 0))), 技能库!$A:$F, 5, 0),"建议查阅考纲")&amp;CHAR(10)&amp;"💡 提升建议: "&amp;IFERROR(VLOOKUP(TRIM(D849)&amp;"_"&amp;TRIM(INDEX($R$1:$V$1, MATCH(MIN(R849:V849), R849:V849, 0))), 技能库!$A:$F, 6, 0),"请针对该题型加强练习"))</f>
        <v/>
      </c>
    </row>
    <row r="850" spans="12:29" ht="16" hidden="1" x14ac:dyDescent="0.2">
      <c r="L850" t="str">
        <f t="shared" si="52"/>
        <v/>
      </c>
      <c r="M850" t="str">
        <f>IF(L850="","", IFERROR(VLOOKUP(L850, IF(D850="KET", 换算标准!$M:$N, IF(D850="PET", 换算标准!$S:$T, 换算标准!$AC:$AD)), 2, TRUE), 0))</f>
        <v/>
      </c>
      <c r="P850" t="str">
        <f t="shared" si="53"/>
        <v/>
      </c>
      <c r="Q850" t="str">
        <f>IF(P850="","", IFERROR(VLOOKUP(P850, IF(D850="KET", 换算标准!$O:$P, IF(D850="PET", 换算标准!$U:$V, 换算标准!$AG:$AH)), 2, TRUE), 0))</f>
        <v/>
      </c>
      <c r="W850" t="str">
        <f t="shared" si="54"/>
        <v/>
      </c>
      <c r="X850" t="str">
        <f>IF(W850="","", IFERROR(VLOOKUP(W850, IF(D850="KET", 换算标准!$Q:$R, IF(D850="PET", 换算标准!$W:$X, 换算标准!$AI:$AJ)), 2, TRUE), 0))</f>
        <v/>
      </c>
      <c r="Y850" t="str">
        <f t="shared" si="55"/>
        <v/>
      </c>
      <c r="Z850" t="str">
        <f>IF(Y850="","", IFERROR(VLOOKUP(Y850, 换算标准!$Z:$AA, 1, TRUE), ""))</f>
        <v/>
      </c>
      <c r="AA850" s="5" t="str">
        <f>IF(L850="","", "⚠️ 薄弱环节: "&amp;INDEX($E$1:$K$1, MATCH(MIN(E850:K850), E850:K850, 0))&amp;CHAR(10)&amp;"📉 考察能力: "&amp;IFERROR(VLOOKUP(TRIM(D850)&amp;"_"&amp;TRIM(INDEX($E$1:$K$1, MATCH(MIN(E850:K850), E850:K850, 0))), 技能库!$A:$F, 5, 0),"建议查阅考纲")&amp;CHAR(10)&amp;"💡 提升建议: "&amp;IFERROR(VLOOKUP(TRIM(D850)&amp;"_"&amp;TRIM(INDEX($E$1:$K$1, MATCH(MIN(E850:K850), E850:K850, 0))), 技能库!$A:$F, 6, 0),"请针对该题型加强练习"))</f>
        <v/>
      </c>
      <c r="AB850" s="5" t="str">
        <f>IF(P850="","", "⚠️ 薄弱环节: "&amp;INDEX($N$1:$O$1, MATCH(MIN(N850:O850), N850:O850, 0))&amp;CHAR(10)&amp;"📉 考察能力: "&amp;IFERROR(VLOOKUP(TRIM(D850)&amp;"_"&amp;TRIM(INDEX($N$1:$O$1, MATCH(MIN(N850:O850), N850:O850, 0))), 技能库!$A:$F, 5, 0),"建议查阅考纲")&amp;CHAR(10)&amp;"💡 提升建议: "&amp;IFERROR(VLOOKUP(TRIM(D850)&amp;"_"&amp;TRIM(INDEX($N$1:$O$1, MATCH(MIN(N850:O850), N850:O850, 0))), 技能库!$A:$F, 6, 0),"请针对该题型加强练习"))</f>
        <v/>
      </c>
      <c r="AC850" s="5" t="str">
        <f>IF(W850="","", "⚠️ 薄弱环节: "&amp;INDEX($R$1:$V$1, MATCH(MIN(R850:V850), R850:V850, 0))&amp;CHAR(10)&amp;"📉 考察能力: "&amp;IFERROR(VLOOKUP(TRIM(D850)&amp;"_"&amp;TRIM(INDEX($R$1:$V$1, MATCH(MIN(R850:V850), R850:V850, 0))), 技能库!$A:$F, 5, 0),"建议查阅考纲")&amp;CHAR(10)&amp;"💡 提升建议: "&amp;IFERROR(VLOOKUP(TRIM(D850)&amp;"_"&amp;TRIM(INDEX($R$1:$V$1, MATCH(MIN(R850:V850), R850:V850, 0))), 技能库!$A:$F, 6, 0),"请针对该题型加强练习"))</f>
        <v/>
      </c>
    </row>
    <row r="851" spans="12:29" ht="16" hidden="1" x14ac:dyDescent="0.2">
      <c r="L851" t="str">
        <f t="shared" si="52"/>
        <v/>
      </c>
      <c r="M851" t="str">
        <f>IF(L851="","", IFERROR(VLOOKUP(L851, IF(D851="KET", 换算标准!$M:$N, IF(D851="PET", 换算标准!$S:$T, 换算标准!$AC:$AD)), 2, TRUE), 0))</f>
        <v/>
      </c>
      <c r="P851" t="str">
        <f t="shared" si="53"/>
        <v/>
      </c>
      <c r="Q851" t="str">
        <f>IF(P851="","", IFERROR(VLOOKUP(P851, IF(D851="KET", 换算标准!$O:$P, IF(D851="PET", 换算标准!$U:$V, 换算标准!$AG:$AH)), 2, TRUE), 0))</f>
        <v/>
      </c>
      <c r="W851" t="str">
        <f t="shared" si="54"/>
        <v/>
      </c>
      <c r="X851" t="str">
        <f>IF(W851="","", IFERROR(VLOOKUP(W851, IF(D851="KET", 换算标准!$Q:$R, IF(D851="PET", 换算标准!$W:$X, 换算标准!$AI:$AJ)), 2, TRUE), 0))</f>
        <v/>
      </c>
      <c r="Y851" t="str">
        <f t="shared" si="55"/>
        <v/>
      </c>
      <c r="Z851" t="str">
        <f>IF(Y851="","", IFERROR(VLOOKUP(Y851, 换算标准!$Z:$AA, 1, TRUE), ""))</f>
        <v/>
      </c>
      <c r="AA851" s="5" t="str">
        <f>IF(L851="","", "⚠️ 薄弱环节: "&amp;INDEX($E$1:$K$1, MATCH(MIN(E851:K851), E851:K851, 0))&amp;CHAR(10)&amp;"📉 考察能力: "&amp;IFERROR(VLOOKUP(TRIM(D851)&amp;"_"&amp;TRIM(INDEX($E$1:$K$1, MATCH(MIN(E851:K851), E851:K851, 0))), 技能库!$A:$F, 5, 0),"建议查阅考纲")&amp;CHAR(10)&amp;"💡 提升建议: "&amp;IFERROR(VLOOKUP(TRIM(D851)&amp;"_"&amp;TRIM(INDEX($E$1:$K$1, MATCH(MIN(E851:K851), E851:K851, 0))), 技能库!$A:$F, 6, 0),"请针对该题型加强练习"))</f>
        <v/>
      </c>
      <c r="AB851" s="5" t="str">
        <f>IF(P851="","", "⚠️ 薄弱环节: "&amp;INDEX($N$1:$O$1, MATCH(MIN(N851:O851), N851:O851, 0))&amp;CHAR(10)&amp;"📉 考察能力: "&amp;IFERROR(VLOOKUP(TRIM(D851)&amp;"_"&amp;TRIM(INDEX($N$1:$O$1, MATCH(MIN(N851:O851), N851:O851, 0))), 技能库!$A:$F, 5, 0),"建议查阅考纲")&amp;CHAR(10)&amp;"💡 提升建议: "&amp;IFERROR(VLOOKUP(TRIM(D851)&amp;"_"&amp;TRIM(INDEX($N$1:$O$1, MATCH(MIN(N851:O851), N851:O851, 0))), 技能库!$A:$F, 6, 0),"请针对该题型加强练习"))</f>
        <v/>
      </c>
      <c r="AC851" s="5" t="str">
        <f>IF(W851="","", "⚠️ 薄弱环节: "&amp;INDEX($R$1:$V$1, MATCH(MIN(R851:V851), R851:V851, 0))&amp;CHAR(10)&amp;"📉 考察能力: "&amp;IFERROR(VLOOKUP(TRIM(D851)&amp;"_"&amp;TRIM(INDEX($R$1:$V$1, MATCH(MIN(R851:V851), R851:V851, 0))), 技能库!$A:$F, 5, 0),"建议查阅考纲")&amp;CHAR(10)&amp;"💡 提升建议: "&amp;IFERROR(VLOOKUP(TRIM(D851)&amp;"_"&amp;TRIM(INDEX($R$1:$V$1, MATCH(MIN(R851:V851), R851:V851, 0))), 技能库!$A:$F, 6, 0),"请针对该题型加强练习"))</f>
        <v/>
      </c>
    </row>
    <row r="852" spans="12:29" ht="16" hidden="1" x14ac:dyDescent="0.2">
      <c r="L852" t="str">
        <f t="shared" si="52"/>
        <v/>
      </c>
      <c r="M852" t="str">
        <f>IF(L852="","", IFERROR(VLOOKUP(L852, IF(D852="KET", 换算标准!$M:$N, IF(D852="PET", 换算标准!$S:$T, 换算标准!$AC:$AD)), 2, TRUE), 0))</f>
        <v/>
      </c>
      <c r="P852" t="str">
        <f t="shared" si="53"/>
        <v/>
      </c>
      <c r="Q852" t="str">
        <f>IF(P852="","", IFERROR(VLOOKUP(P852, IF(D852="KET", 换算标准!$O:$P, IF(D852="PET", 换算标准!$U:$V, 换算标准!$AG:$AH)), 2, TRUE), 0))</f>
        <v/>
      </c>
      <c r="W852" t="str">
        <f t="shared" si="54"/>
        <v/>
      </c>
      <c r="X852" t="str">
        <f>IF(W852="","", IFERROR(VLOOKUP(W852, IF(D852="KET", 换算标准!$Q:$R, IF(D852="PET", 换算标准!$W:$X, 换算标准!$AI:$AJ)), 2, TRUE), 0))</f>
        <v/>
      </c>
      <c r="Y852" t="str">
        <f t="shared" si="55"/>
        <v/>
      </c>
      <c r="Z852" t="str">
        <f>IF(Y852="","", IFERROR(VLOOKUP(Y852, 换算标准!$Z:$AA, 1, TRUE), ""))</f>
        <v/>
      </c>
      <c r="AA852" s="5" t="str">
        <f>IF(L852="","", "⚠️ 薄弱环节: "&amp;INDEX($E$1:$K$1, MATCH(MIN(E852:K852), E852:K852, 0))&amp;CHAR(10)&amp;"📉 考察能力: "&amp;IFERROR(VLOOKUP(TRIM(D852)&amp;"_"&amp;TRIM(INDEX($E$1:$K$1, MATCH(MIN(E852:K852), E852:K852, 0))), 技能库!$A:$F, 5, 0),"建议查阅考纲")&amp;CHAR(10)&amp;"💡 提升建议: "&amp;IFERROR(VLOOKUP(TRIM(D852)&amp;"_"&amp;TRIM(INDEX($E$1:$K$1, MATCH(MIN(E852:K852), E852:K852, 0))), 技能库!$A:$F, 6, 0),"请针对该题型加强练习"))</f>
        <v/>
      </c>
      <c r="AB852" s="5" t="str">
        <f>IF(P852="","", "⚠️ 薄弱环节: "&amp;INDEX($N$1:$O$1, MATCH(MIN(N852:O852), N852:O852, 0))&amp;CHAR(10)&amp;"📉 考察能力: "&amp;IFERROR(VLOOKUP(TRIM(D852)&amp;"_"&amp;TRIM(INDEX($N$1:$O$1, MATCH(MIN(N852:O852), N852:O852, 0))), 技能库!$A:$F, 5, 0),"建议查阅考纲")&amp;CHAR(10)&amp;"💡 提升建议: "&amp;IFERROR(VLOOKUP(TRIM(D852)&amp;"_"&amp;TRIM(INDEX($N$1:$O$1, MATCH(MIN(N852:O852), N852:O852, 0))), 技能库!$A:$F, 6, 0),"请针对该题型加强练习"))</f>
        <v/>
      </c>
      <c r="AC852" s="5" t="str">
        <f>IF(W852="","", "⚠️ 薄弱环节: "&amp;INDEX($R$1:$V$1, MATCH(MIN(R852:V852), R852:V852, 0))&amp;CHAR(10)&amp;"📉 考察能力: "&amp;IFERROR(VLOOKUP(TRIM(D852)&amp;"_"&amp;TRIM(INDEX($R$1:$V$1, MATCH(MIN(R852:V852), R852:V852, 0))), 技能库!$A:$F, 5, 0),"建议查阅考纲")&amp;CHAR(10)&amp;"💡 提升建议: "&amp;IFERROR(VLOOKUP(TRIM(D852)&amp;"_"&amp;TRIM(INDEX($R$1:$V$1, MATCH(MIN(R852:V852), R852:V852, 0))), 技能库!$A:$F, 6, 0),"请针对该题型加强练习"))</f>
        <v/>
      </c>
    </row>
    <row r="853" spans="12:29" ht="16" hidden="1" x14ac:dyDescent="0.2">
      <c r="L853" t="str">
        <f t="shared" si="52"/>
        <v/>
      </c>
      <c r="M853" t="str">
        <f>IF(L853="","", IFERROR(VLOOKUP(L853, IF(D853="KET", 换算标准!$M:$N, IF(D853="PET", 换算标准!$S:$T, 换算标准!$AC:$AD)), 2, TRUE), 0))</f>
        <v/>
      </c>
      <c r="P853" t="str">
        <f t="shared" si="53"/>
        <v/>
      </c>
      <c r="Q853" t="str">
        <f>IF(P853="","", IFERROR(VLOOKUP(P853, IF(D853="KET", 换算标准!$O:$P, IF(D853="PET", 换算标准!$U:$V, 换算标准!$AG:$AH)), 2, TRUE), 0))</f>
        <v/>
      </c>
      <c r="W853" t="str">
        <f t="shared" si="54"/>
        <v/>
      </c>
      <c r="X853" t="str">
        <f>IF(W853="","", IFERROR(VLOOKUP(W853, IF(D853="KET", 换算标准!$Q:$R, IF(D853="PET", 换算标准!$W:$X, 换算标准!$AI:$AJ)), 2, TRUE), 0))</f>
        <v/>
      </c>
      <c r="Y853" t="str">
        <f t="shared" si="55"/>
        <v/>
      </c>
      <c r="Z853" t="str">
        <f>IF(Y853="","", IFERROR(VLOOKUP(Y853, 换算标准!$Z:$AA, 1, TRUE), ""))</f>
        <v/>
      </c>
      <c r="AA853" s="5" t="str">
        <f>IF(L853="","", "⚠️ 薄弱环节: "&amp;INDEX($E$1:$K$1, MATCH(MIN(E853:K853), E853:K853, 0))&amp;CHAR(10)&amp;"📉 考察能力: "&amp;IFERROR(VLOOKUP(TRIM(D853)&amp;"_"&amp;TRIM(INDEX($E$1:$K$1, MATCH(MIN(E853:K853), E853:K853, 0))), 技能库!$A:$F, 5, 0),"建议查阅考纲")&amp;CHAR(10)&amp;"💡 提升建议: "&amp;IFERROR(VLOOKUP(TRIM(D853)&amp;"_"&amp;TRIM(INDEX($E$1:$K$1, MATCH(MIN(E853:K853), E853:K853, 0))), 技能库!$A:$F, 6, 0),"请针对该题型加强练习"))</f>
        <v/>
      </c>
      <c r="AB853" s="5" t="str">
        <f>IF(P853="","", "⚠️ 薄弱环节: "&amp;INDEX($N$1:$O$1, MATCH(MIN(N853:O853), N853:O853, 0))&amp;CHAR(10)&amp;"📉 考察能力: "&amp;IFERROR(VLOOKUP(TRIM(D853)&amp;"_"&amp;TRIM(INDEX($N$1:$O$1, MATCH(MIN(N853:O853), N853:O853, 0))), 技能库!$A:$F, 5, 0),"建议查阅考纲")&amp;CHAR(10)&amp;"💡 提升建议: "&amp;IFERROR(VLOOKUP(TRIM(D853)&amp;"_"&amp;TRIM(INDEX($N$1:$O$1, MATCH(MIN(N853:O853), N853:O853, 0))), 技能库!$A:$F, 6, 0),"请针对该题型加强练习"))</f>
        <v/>
      </c>
      <c r="AC853" s="5" t="str">
        <f>IF(W853="","", "⚠️ 薄弱环节: "&amp;INDEX($R$1:$V$1, MATCH(MIN(R853:V853), R853:V853, 0))&amp;CHAR(10)&amp;"📉 考察能力: "&amp;IFERROR(VLOOKUP(TRIM(D853)&amp;"_"&amp;TRIM(INDEX($R$1:$V$1, MATCH(MIN(R853:V853), R853:V853, 0))), 技能库!$A:$F, 5, 0),"建议查阅考纲")&amp;CHAR(10)&amp;"💡 提升建议: "&amp;IFERROR(VLOOKUP(TRIM(D853)&amp;"_"&amp;TRIM(INDEX($R$1:$V$1, MATCH(MIN(R853:V853), R853:V853, 0))), 技能库!$A:$F, 6, 0),"请针对该题型加强练习"))</f>
        <v/>
      </c>
    </row>
    <row r="854" spans="12:29" ht="16" hidden="1" x14ac:dyDescent="0.2">
      <c r="L854" t="str">
        <f t="shared" si="52"/>
        <v/>
      </c>
      <c r="M854" t="str">
        <f>IF(L854="","", IFERROR(VLOOKUP(L854, IF(D854="KET", 换算标准!$M:$N, IF(D854="PET", 换算标准!$S:$T, 换算标准!$AC:$AD)), 2, TRUE), 0))</f>
        <v/>
      </c>
      <c r="P854" t="str">
        <f t="shared" si="53"/>
        <v/>
      </c>
      <c r="Q854" t="str">
        <f>IF(P854="","", IFERROR(VLOOKUP(P854, IF(D854="KET", 换算标准!$O:$P, IF(D854="PET", 换算标准!$U:$V, 换算标准!$AG:$AH)), 2, TRUE), 0))</f>
        <v/>
      </c>
      <c r="W854" t="str">
        <f t="shared" si="54"/>
        <v/>
      </c>
      <c r="X854" t="str">
        <f>IF(W854="","", IFERROR(VLOOKUP(W854, IF(D854="KET", 换算标准!$Q:$R, IF(D854="PET", 换算标准!$W:$X, 换算标准!$AI:$AJ)), 2, TRUE), 0))</f>
        <v/>
      </c>
      <c r="Y854" t="str">
        <f t="shared" si="55"/>
        <v/>
      </c>
      <c r="Z854" t="str">
        <f>IF(Y854="","", IFERROR(VLOOKUP(Y854, 换算标准!$Z:$AA, 1, TRUE), ""))</f>
        <v/>
      </c>
      <c r="AA854" s="5" t="str">
        <f>IF(L854="","", "⚠️ 薄弱环节: "&amp;INDEX($E$1:$K$1, MATCH(MIN(E854:K854), E854:K854, 0))&amp;CHAR(10)&amp;"📉 考察能力: "&amp;IFERROR(VLOOKUP(TRIM(D854)&amp;"_"&amp;TRIM(INDEX($E$1:$K$1, MATCH(MIN(E854:K854), E854:K854, 0))), 技能库!$A:$F, 5, 0),"建议查阅考纲")&amp;CHAR(10)&amp;"💡 提升建议: "&amp;IFERROR(VLOOKUP(TRIM(D854)&amp;"_"&amp;TRIM(INDEX($E$1:$K$1, MATCH(MIN(E854:K854), E854:K854, 0))), 技能库!$A:$F, 6, 0),"请针对该题型加强练习"))</f>
        <v/>
      </c>
      <c r="AB854" s="5" t="str">
        <f>IF(P854="","", "⚠️ 薄弱环节: "&amp;INDEX($N$1:$O$1, MATCH(MIN(N854:O854), N854:O854, 0))&amp;CHAR(10)&amp;"📉 考察能力: "&amp;IFERROR(VLOOKUP(TRIM(D854)&amp;"_"&amp;TRIM(INDEX($N$1:$O$1, MATCH(MIN(N854:O854), N854:O854, 0))), 技能库!$A:$F, 5, 0),"建议查阅考纲")&amp;CHAR(10)&amp;"💡 提升建议: "&amp;IFERROR(VLOOKUP(TRIM(D854)&amp;"_"&amp;TRIM(INDEX($N$1:$O$1, MATCH(MIN(N854:O854), N854:O854, 0))), 技能库!$A:$F, 6, 0),"请针对该题型加强练习"))</f>
        <v/>
      </c>
      <c r="AC854" s="5" t="str">
        <f>IF(W854="","", "⚠️ 薄弱环节: "&amp;INDEX($R$1:$V$1, MATCH(MIN(R854:V854), R854:V854, 0))&amp;CHAR(10)&amp;"📉 考察能力: "&amp;IFERROR(VLOOKUP(TRIM(D854)&amp;"_"&amp;TRIM(INDEX($R$1:$V$1, MATCH(MIN(R854:V854), R854:V854, 0))), 技能库!$A:$F, 5, 0),"建议查阅考纲")&amp;CHAR(10)&amp;"💡 提升建议: "&amp;IFERROR(VLOOKUP(TRIM(D854)&amp;"_"&amp;TRIM(INDEX($R$1:$V$1, MATCH(MIN(R854:V854), R854:V854, 0))), 技能库!$A:$F, 6, 0),"请针对该题型加强练习"))</f>
        <v/>
      </c>
    </row>
    <row r="855" spans="12:29" ht="16" hidden="1" x14ac:dyDescent="0.2">
      <c r="L855" t="str">
        <f t="shared" si="52"/>
        <v/>
      </c>
      <c r="M855" t="str">
        <f>IF(L855="","", IFERROR(VLOOKUP(L855, IF(D855="KET", 换算标准!$M:$N, IF(D855="PET", 换算标准!$S:$T, 换算标准!$AC:$AD)), 2, TRUE), 0))</f>
        <v/>
      </c>
      <c r="P855" t="str">
        <f t="shared" si="53"/>
        <v/>
      </c>
      <c r="Q855" t="str">
        <f>IF(P855="","", IFERROR(VLOOKUP(P855, IF(D855="KET", 换算标准!$O:$P, IF(D855="PET", 换算标准!$U:$V, 换算标准!$AG:$AH)), 2, TRUE), 0))</f>
        <v/>
      </c>
      <c r="W855" t="str">
        <f t="shared" si="54"/>
        <v/>
      </c>
      <c r="X855" t="str">
        <f>IF(W855="","", IFERROR(VLOOKUP(W855, IF(D855="KET", 换算标准!$Q:$R, IF(D855="PET", 换算标准!$W:$X, 换算标准!$AI:$AJ)), 2, TRUE), 0))</f>
        <v/>
      </c>
      <c r="Y855" t="str">
        <f t="shared" si="55"/>
        <v/>
      </c>
      <c r="Z855" t="str">
        <f>IF(Y855="","", IFERROR(VLOOKUP(Y855, 换算标准!$Z:$AA, 1, TRUE), ""))</f>
        <v/>
      </c>
      <c r="AA855" s="5" t="str">
        <f>IF(L855="","", "⚠️ 薄弱环节: "&amp;INDEX($E$1:$K$1, MATCH(MIN(E855:K855), E855:K855, 0))&amp;CHAR(10)&amp;"📉 考察能力: "&amp;IFERROR(VLOOKUP(TRIM(D855)&amp;"_"&amp;TRIM(INDEX($E$1:$K$1, MATCH(MIN(E855:K855), E855:K855, 0))), 技能库!$A:$F, 5, 0),"建议查阅考纲")&amp;CHAR(10)&amp;"💡 提升建议: "&amp;IFERROR(VLOOKUP(TRIM(D855)&amp;"_"&amp;TRIM(INDEX($E$1:$K$1, MATCH(MIN(E855:K855), E855:K855, 0))), 技能库!$A:$F, 6, 0),"请针对该题型加强练习"))</f>
        <v/>
      </c>
      <c r="AB855" s="5" t="str">
        <f>IF(P855="","", "⚠️ 薄弱环节: "&amp;INDEX($N$1:$O$1, MATCH(MIN(N855:O855), N855:O855, 0))&amp;CHAR(10)&amp;"📉 考察能力: "&amp;IFERROR(VLOOKUP(TRIM(D855)&amp;"_"&amp;TRIM(INDEX($N$1:$O$1, MATCH(MIN(N855:O855), N855:O855, 0))), 技能库!$A:$F, 5, 0),"建议查阅考纲")&amp;CHAR(10)&amp;"💡 提升建议: "&amp;IFERROR(VLOOKUP(TRIM(D855)&amp;"_"&amp;TRIM(INDEX($N$1:$O$1, MATCH(MIN(N855:O855), N855:O855, 0))), 技能库!$A:$F, 6, 0),"请针对该题型加强练习"))</f>
        <v/>
      </c>
      <c r="AC855" s="5" t="str">
        <f>IF(W855="","", "⚠️ 薄弱环节: "&amp;INDEX($R$1:$V$1, MATCH(MIN(R855:V855), R855:V855, 0))&amp;CHAR(10)&amp;"📉 考察能力: "&amp;IFERROR(VLOOKUP(TRIM(D855)&amp;"_"&amp;TRIM(INDEX($R$1:$V$1, MATCH(MIN(R855:V855), R855:V855, 0))), 技能库!$A:$F, 5, 0),"建议查阅考纲")&amp;CHAR(10)&amp;"💡 提升建议: "&amp;IFERROR(VLOOKUP(TRIM(D855)&amp;"_"&amp;TRIM(INDEX($R$1:$V$1, MATCH(MIN(R855:V855), R855:V855, 0))), 技能库!$A:$F, 6, 0),"请针对该题型加强练习"))</f>
        <v/>
      </c>
    </row>
    <row r="856" spans="12:29" ht="16" hidden="1" x14ac:dyDescent="0.2">
      <c r="L856" t="str">
        <f t="shared" si="52"/>
        <v/>
      </c>
      <c r="M856" t="str">
        <f>IF(L856="","", IFERROR(VLOOKUP(L856, IF(D856="KET", 换算标准!$M:$N, IF(D856="PET", 换算标准!$S:$T, 换算标准!$AC:$AD)), 2, TRUE), 0))</f>
        <v/>
      </c>
      <c r="P856" t="str">
        <f t="shared" si="53"/>
        <v/>
      </c>
      <c r="Q856" t="str">
        <f>IF(P856="","", IFERROR(VLOOKUP(P856, IF(D856="KET", 换算标准!$O:$P, IF(D856="PET", 换算标准!$U:$V, 换算标准!$AG:$AH)), 2, TRUE), 0))</f>
        <v/>
      </c>
      <c r="W856" t="str">
        <f t="shared" si="54"/>
        <v/>
      </c>
      <c r="X856" t="str">
        <f>IF(W856="","", IFERROR(VLOOKUP(W856, IF(D856="KET", 换算标准!$Q:$R, IF(D856="PET", 换算标准!$W:$X, 换算标准!$AI:$AJ)), 2, TRUE), 0))</f>
        <v/>
      </c>
      <c r="Y856" t="str">
        <f t="shared" si="55"/>
        <v/>
      </c>
      <c r="Z856" t="str">
        <f>IF(Y856="","", IFERROR(VLOOKUP(Y856, 换算标准!$Z:$AA, 1, TRUE), ""))</f>
        <v/>
      </c>
      <c r="AA856" s="5" t="str">
        <f>IF(L856="","", "⚠️ 薄弱环节: "&amp;INDEX($E$1:$K$1, MATCH(MIN(E856:K856), E856:K856, 0))&amp;CHAR(10)&amp;"📉 考察能力: "&amp;IFERROR(VLOOKUP(TRIM(D856)&amp;"_"&amp;TRIM(INDEX($E$1:$K$1, MATCH(MIN(E856:K856), E856:K856, 0))), 技能库!$A:$F, 5, 0),"建议查阅考纲")&amp;CHAR(10)&amp;"💡 提升建议: "&amp;IFERROR(VLOOKUP(TRIM(D856)&amp;"_"&amp;TRIM(INDEX($E$1:$K$1, MATCH(MIN(E856:K856), E856:K856, 0))), 技能库!$A:$F, 6, 0),"请针对该题型加强练习"))</f>
        <v/>
      </c>
      <c r="AB856" s="5" t="str">
        <f>IF(P856="","", "⚠️ 薄弱环节: "&amp;INDEX($N$1:$O$1, MATCH(MIN(N856:O856), N856:O856, 0))&amp;CHAR(10)&amp;"📉 考察能力: "&amp;IFERROR(VLOOKUP(TRIM(D856)&amp;"_"&amp;TRIM(INDEX($N$1:$O$1, MATCH(MIN(N856:O856), N856:O856, 0))), 技能库!$A:$F, 5, 0),"建议查阅考纲")&amp;CHAR(10)&amp;"💡 提升建议: "&amp;IFERROR(VLOOKUP(TRIM(D856)&amp;"_"&amp;TRIM(INDEX($N$1:$O$1, MATCH(MIN(N856:O856), N856:O856, 0))), 技能库!$A:$F, 6, 0),"请针对该题型加强练习"))</f>
        <v/>
      </c>
      <c r="AC856" s="5" t="str">
        <f>IF(W856="","", "⚠️ 薄弱环节: "&amp;INDEX($R$1:$V$1, MATCH(MIN(R856:V856), R856:V856, 0))&amp;CHAR(10)&amp;"📉 考察能力: "&amp;IFERROR(VLOOKUP(TRIM(D856)&amp;"_"&amp;TRIM(INDEX($R$1:$V$1, MATCH(MIN(R856:V856), R856:V856, 0))), 技能库!$A:$F, 5, 0),"建议查阅考纲")&amp;CHAR(10)&amp;"💡 提升建议: "&amp;IFERROR(VLOOKUP(TRIM(D856)&amp;"_"&amp;TRIM(INDEX($R$1:$V$1, MATCH(MIN(R856:V856), R856:V856, 0))), 技能库!$A:$F, 6, 0),"请针对该题型加强练习"))</f>
        <v/>
      </c>
    </row>
    <row r="857" spans="12:29" ht="16" hidden="1" x14ac:dyDescent="0.2">
      <c r="L857" t="str">
        <f t="shared" si="52"/>
        <v/>
      </c>
      <c r="M857" t="str">
        <f>IF(L857="","", IFERROR(VLOOKUP(L857, IF(D857="KET", 换算标准!$M:$N, IF(D857="PET", 换算标准!$S:$T, 换算标准!$AC:$AD)), 2, TRUE), 0))</f>
        <v/>
      </c>
      <c r="P857" t="str">
        <f t="shared" si="53"/>
        <v/>
      </c>
      <c r="Q857" t="str">
        <f>IF(P857="","", IFERROR(VLOOKUP(P857, IF(D857="KET", 换算标准!$O:$P, IF(D857="PET", 换算标准!$U:$V, 换算标准!$AG:$AH)), 2, TRUE), 0))</f>
        <v/>
      </c>
      <c r="W857" t="str">
        <f t="shared" si="54"/>
        <v/>
      </c>
      <c r="X857" t="str">
        <f>IF(W857="","", IFERROR(VLOOKUP(W857, IF(D857="KET", 换算标准!$Q:$R, IF(D857="PET", 换算标准!$W:$X, 换算标准!$AI:$AJ)), 2, TRUE), 0))</f>
        <v/>
      </c>
      <c r="Y857" t="str">
        <f t="shared" si="55"/>
        <v/>
      </c>
      <c r="Z857" t="str">
        <f>IF(Y857="","", IFERROR(VLOOKUP(Y857, 换算标准!$Z:$AA, 1, TRUE), ""))</f>
        <v/>
      </c>
      <c r="AA857" s="5" t="str">
        <f>IF(L857="","", "⚠️ 薄弱环节: "&amp;INDEX($E$1:$K$1, MATCH(MIN(E857:K857), E857:K857, 0))&amp;CHAR(10)&amp;"📉 考察能力: "&amp;IFERROR(VLOOKUP(TRIM(D857)&amp;"_"&amp;TRIM(INDEX($E$1:$K$1, MATCH(MIN(E857:K857), E857:K857, 0))), 技能库!$A:$F, 5, 0),"建议查阅考纲")&amp;CHAR(10)&amp;"💡 提升建议: "&amp;IFERROR(VLOOKUP(TRIM(D857)&amp;"_"&amp;TRIM(INDEX($E$1:$K$1, MATCH(MIN(E857:K857), E857:K857, 0))), 技能库!$A:$F, 6, 0),"请针对该题型加强练习"))</f>
        <v/>
      </c>
      <c r="AB857" s="5" t="str">
        <f>IF(P857="","", "⚠️ 薄弱环节: "&amp;INDEX($N$1:$O$1, MATCH(MIN(N857:O857), N857:O857, 0))&amp;CHAR(10)&amp;"📉 考察能力: "&amp;IFERROR(VLOOKUP(TRIM(D857)&amp;"_"&amp;TRIM(INDEX($N$1:$O$1, MATCH(MIN(N857:O857), N857:O857, 0))), 技能库!$A:$F, 5, 0),"建议查阅考纲")&amp;CHAR(10)&amp;"💡 提升建议: "&amp;IFERROR(VLOOKUP(TRIM(D857)&amp;"_"&amp;TRIM(INDEX($N$1:$O$1, MATCH(MIN(N857:O857), N857:O857, 0))), 技能库!$A:$F, 6, 0),"请针对该题型加强练习"))</f>
        <v/>
      </c>
      <c r="AC857" s="5" t="str">
        <f>IF(W857="","", "⚠️ 薄弱环节: "&amp;INDEX($R$1:$V$1, MATCH(MIN(R857:V857), R857:V857, 0))&amp;CHAR(10)&amp;"📉 考察能力: "&amp;IFERROR(VLOOKUP(TRIM(D857)&amp;"_"&amp;TRIM(INDEX($R$1:$V$1, MATCH(MIN(R857:V857), R857:V857, 0))), 技能库!$A:$F, 5, 0),"建议查阅考纲")&amp;CHAR(10)&amp;"💡 提升建议: "&amp;IFERROR(VLOOKUP(TRIM(D857)&amp;"_"&amp;TRIM(INDEX($R$1:$V$1, MATCH(MIN(R857:V857), R857:V857, 0))), 技能库!$A:$F, 6, 0),"请针对该题型加强练习"))</f>
        <v/>
      </c>
    </row>
    <row r="858" spans="12:29" ht="16" hidden="1" x14ac:dyDescent="0.2">
      <c r="L858" t="str">
        <f t="shared" si="52"/>
        <v/>
      </c>
      <c r="M858" t="str">
        <f>IF(L858="","", IFERROR(VLOOKUP(L858, IF(D858="KET", 换算标准!$M:$N, IF(D858="PET", 换算标准!$S:$T, 换算标准!$AC:$AD)), 2, TRUE), 0))</f>
        <v/>
      </c>
      <c r="P858" t="str">
        <f t="shared" si="53"/>
        <v/>
      </c>
      <c r="Q858" t="str">
        <f>IF(P858="","", IFERROR(VLOOKUP(P858, IF(D858="KET", 换算标准!$O:$P, IF(D858="PET", 换算标准!$U:$V, 换算标准!$AG:$AH)), 2, TRUE), 0))</f>
        <v/>
      </c>
      <c r="W858" t="str">
        <f t="shared" si="54"/>
        <v/>
      </c>
      <c r="X858" t="str">
        <f>IF(W858="","", IFERROR(VLOOKUP(W858, IF(D858="KET", 换算标准!$Q:$R, IF(D858="PET", 换算标准!$W:$X, 换算标准!$AI:$AJ)), 2, TRUE), 0))</f>
        <v/>
      </c>
      <c r="Y858" t="str">
        <f t="shared" si="55"/>
        <v/>
      </c>
      <c r="Z858" t="str">
        <f>IF(Y858="","", IFERROR(VLOOKUP(Y858, 换算标准!$Z:$AA, 1, TRUE), ""))</f>
        <v/>
      </c>
      <c r="AA858" s="5" t="str">
        <f>IF(L858="","", "⚠️ 薄弱环节: "&amp;INDEX($E$1:$K$1, MATCH(MIN(E858:K858), E858:K858, 0))&amp;CHAR(10)&amp;"📉 考察能力: "&amp;IFERROR(VLOOKUP(TRIM(D858)&amp;"_"&amp;TRIM(INDEX($E$1:$K$1, MATCH(MIN(E858:K858), E858:K858, 0))), 技能库!$A:$F, 5, 0),"建议查阅考纲")&amp;CHAR(10)&amp;"💡 提升建议: "&amp;IFERROR(VLOOKUP(TRIM(D858)&amp;"_"&amp;TRIM(INDEX($E$1:$K$1, MATCH(MIN(E858:K858), E858:K858, 0))), 技能库!$A:$F, 6, 0),"请针对该题型加强练习"))</f>
        <v/>
      </c>
      <c r="AB858" s="5" t="str">
        <f>IF(P858="","", "⚠️ 薄弱环节: "&amp;INDEX($N$1:$O$1, MATCH(MIN(N858:O858), N858:O858, 0))&amp;CHAR(10)&amp;"📉 考察能力: "&amp;IFERROR(VLOOKUP(TRIM(D858)&amp;"_"&amp;TRIM(INDEX($N$1:$O$1, MATCH(MIN(N858:O858), N858:O858, 0))), 技能库!$A:$F, 5, 0),"建议查阅考纲")&amp;CHAR(10)&amp;"💡 提升建议: "&amp;IFERROR(VLOOKUP(TRIM(D858)&amp;"_"&amp;TRIM(INDEX($N$1:$O$1, MATCH(MIN(N858:O858), N858:O858, 0))), 技能库!$A:$F, 6, 0),"请针对该题型加强练习"))</f>
        <v/>
      </c>
      <c r="AC858" s="5" t="str">
        <f>IF(W858="","", "⚠️ 薄弱环节: "&amp;INDEX($R$1:$V$1, MATCH(MIN(R858:V858), R858:V858, 0))&amp;CHAR(10)&amp;"📉 考察能力: "&amp;IFERROR(VLOOKUP(TRIM(D858)&amp;"_"&amp;TRIM(INDEX($R$1:$V$1, MATCH(MIN(R858:V858), R858:V858, 0))), 技能库!$A:$F, 5, 0),"建议查阅考纲")&amp;CHAR(10)&amp;"💡 提升建议: "&amp;IFERROR(VLOOKUP(TRIM(D858)&amp;"_"&amp;TRIM(INDEX($R$1:$V$1, MATCH(MIN(R858:V858), R858:V858, 0))), 技能库!$A:$F, 6, 0),"请针对该题型加强练习"))</f>
        <v/>
      </c>
    </row>
    <row r="859" spans="12:29" ht="16" hidden="1" x14ac:dyDescent="0.2">
      <c r="L859" t="str">
        <f t="shared" si="52"/>
        <v/>
      </c>
      <c r="M859" t="str">
        <f>IF(L859="","", IFERROR(VLOOKUP(L859, IF(D859="KET", 换算标准!$M:$N, IF(D859="PET", 换算标准!$S:$T, 换算标准!$AC:$AD)), 2, TRUE), 0))</f>
        <v/>
      </c>
      <c r="P859" t="str">
        <f t="shared" si="53"/>
        <v/>
      </c>
      <c r="Q859" t="str">
        <f>IF(P859="","", IFERROR(VLOOKUP(P859, IF(D859="KET", 换算标准!$O:$P, IF(D859="PET", 换算标准!$U:$V, 换算标准!$AG:$AH)), 2, TRUE), 0))</f>
        <v/>
      </c>
      <c r="W859" t="str">
        <f t="shared" si="54"/>
        <v/>
      </c>
      <c r="X859" t="str">
        <f>IF(W859="","", IFERROR(VLOOKUP(W859, IF(D859="KET", 换算标准!$Q:$R, IF(D859="PET", 换算标准!$W:$X, 换算标准!$AI:$AJ)), 2, TRUE), 0))</f>
        <v/>
      </c>
      <c r="Y859" t="str">
        <f t="shared" si="55"/>
        <v/>
      </c>
      <c r="Z859" t="str">
        <f>IF(Y859="","", IFERROR(VLOOKUP(Y859, 换算标准!$Z:$AA, 1, TRUE), ""))</f>
        <v/>
      </c>
      <c r="AA859" s="5" t="str">
        <f>IF(L859="","", "⚠️ 薄弱环节: "&amp;INDEX($E$1:$K$1, MATCH(MIN(E859:K859), E859:K859, 0))&amp;CHAR(10)&amp;"📉 考察能力: "&amp;IFERROR(VLOOKUP(TRIM(D859)&amp;"_"&amp;TRIM(INDEX($E$1:$K$1, MATCH(MIN(E859:K859), E859:K859, 0))), 技能库!$A:$F, 5, 0),"建议查阅考纲")&amp;CHAR(10)&amp;"💡 提升建议: "&amp;IFERROR(VLOOKUP(TRIM(D859)&amp;"_"&amp;TRIM(INDEX($E$1:$K$1, MATCH(MIN(E859:K859), E859:K859, 0))), 技能库!$A:$F, 6, 0),"请针对该题型加强练习"))</f>
        <v/>
      </c>
      <c r="AB859" s="5" t="str">
        <f>IF(P859="","", "⚠️ 薄弱环节: "&amp;INDEX($N$1:$O$1, MATCH(MIN(N859:O859), N859:O859, 0))&amp;CHAR(10)&amp;"📉 考察能力: "&amp;IFERROR(VLOOKUP(TRIM(D859)&amp;"_"&amp;TRIM(INDEX($N$1:$O$1, MATCH(MIN(N859:O859), N859:O859, 0))), 技能库!$A:$F, 5, 0),"建议查阅考纲")&amp;CHAR(10)&amp;"💡 提升建议: "&amp;IFERROR(VLOOKUP(TRIM(D859)&amp;"_"&amp;TRIM(INDEX($N$1:$O$1, MATCH(MIN(N859:O859), N859:O859, 0))), 技能库!$A:$F, 6, 0),"请针对该题型加强练习"))</f>
        <v/>
      </c>
      <c r="AC859" s="5" t="str">
        <f>IF(W859="","", "⚠️ 薄弱环节: "&amp;INDEX($R$1:$V$1, MATCH(MIN(R859:V859), R859:V859, 0))&amp;CHAR(10)&amp;"📉 考察能力: "&amp;IFERROR(VLOOKUP(TRIM(D859)&amp;"_"&amp;TRIM(INDEX($R$1:$V$1, MATCH(MIN(R859:V859), R859:V859, 0))), 技能库!$A:$F, 5, 0),"建议查阅考纲")&amp;CHAR(10)&amp;"💡 提升建议: "&amp;IFERROR(VLOOKUP(TRIM(D859)&amp;"_"&amp;TRIM(INDEX($R$1:$V$1, MATCH(MIN(R859:V859), R859:V859, 0))), 技能库!$A:$F, 6, 0),"请针对该题型加强练习"))</f>
        <v/>
      </c>
    </row>
    <row r="860" spans="12:29" ht="16" hidden="1" x14ac:dyDescent="0.2">
      <c r="L860" t="str">
        <f t="shared" si="52"/>
        <v/>
      </c>
      <c r="M860" t="str">
        <f>IF(L860="","", IFERROR(VLOOKUP(L860, IF(D860="KET", 换算标准!$M:$N, IF(D860="PET", 换算标准!$S:$T, 换算标准!$AC:$AD)), 2, TRUE), 0))</f>
        <v/>
      </c>
      <c r="P860" t="str">
        <f t="shared" si="53"/>
        <v/>
      </c>
      <c r="Q860" t="str">
        <f>IF(P860="","", IFERROR(VLOOKUP(P860, IF(D860="KET", 换算标准!$O:$P, IF(D860="PET", 换算标准!$U:$V, 换算标准!$AG:$AH)), 2, TRUE), 0))</f>
        <v/>
      </c>
      <c r="W860" t="str">
        <f t="shared" si="54"/>
        <v/>
      </c>
      <c r="X860" t="str">
        <f>IF(W860="","", IFERROR(VLOOKUP(W860, IF(D860="KET", 换算标准!$Q:$R, IF(D860="PET", 换算标准!$W:$X, 换算标准!$AI:$AJ)), 2, TRUE), 0))</f>
        <v/>
      </c>
      <c r="Y860" t="str">
        <f t="shared" si="55"/>
        <v/>
      </c>
      <c r="Z860" t="str">
        <f>IF(Y860="","", IFERROR(VLOOKUP(Y860, 换算标准!$Z:$AA, 1, TRUE), ""))</f>
        <v/>
      </c>
      <c r="AA860" s="5" t="str">
        <f>IF(L860="","", "⚠️ 薄弱环节: "&amp;INDEX($E$1:$K$1, MATCH(MIN(E860:K860), E860:K860, 0))&amp;CHAR(10)&amp;"📉 考察能力: "&amp;IFERROR(VLOOKUP(TRIM(D860)&amp;"_"&amp;TRIM(INDEX($E$1:$K$1, MATCH(MIN(E860:K860), E860:K860, 0))), 技能库!$A:$F, 5, 0),"建议查阅考纲")&amp;CHAR(10)&amp;"💡 提升建议: "&amp;IFERROR(VLOOKUP(TRIM(D860)&amp;"_"&amp;TRIM(INDEX($E$1:$K$1, MATCH(MIN(E860:K860), E860:K860, 0))), 技能库!$A:$F, 6, 0),"请针对该题型加强练习"))</f>
        <v/>
      </c>
      <c r="AB860" s="5" t="str">
        <f>IF(P860="","", "⚠️ 薄弱环节: "&amp;INDEX($N$1:$O$1, MATCH(MIN(N860:O860), N860:O860, 0))&amp;CHAR(10)&amp;"📉 考察能力: "&amp;IFERROR(VLOOKUP(TRIM(D860)&amp;"_"&amp;TRIM(INDEX($N$1:$O$1, MATCH(MIN(N860:O860), N860:O860, 0))), 技能库!$A:$F, 5, 0),"建议查阅考纲")&amp;CHAR(10)&amp;"💡 提升建议: "&amp;IFERROR(VLOOKUP(TRIM(D860)&amp;"_"&amp;TRIM(INDEX($N$1:$O$1, MATCH(MIN(N860:O860), N860:O860, 0))), 技能库!$A:$F, 6, 0),"请针对该题型加强练习"))</f>
        <v/>
      </c>
      <c r="AC860" s="5" t="str">
        <f>IF(W860="","", "⚠️ 薄弱环节: "&amp;INDEX($R$1:$V$1, MATCH(MIN(R860:V860), R860:V860, 0))&amp;CHAR(10)&amp;"📉 考察能力: "&amp;IFERROR(VLOOKUP(TRIM(D860)&amp;"_"&amp;TRIM(INDEX($R$1:$V$1, MATCH(MIN(R860:V860), R860:V860, 0))), 技能库!$A:$F, 5, 0),"建议查阅考纲")&amp;CHAR(10)&amp;"💡 提升建议: "&amp;IFERROR(VLOOKUP(TRIM(D860)&amp;"_"&amp;TRIM(INDEX($R$1:$V$1, MATCH(MIN(R860:V860), R860:V860, 0))), 技能库!$A:$F, 6, 0),"请针对该题型加强练习"))</f>
        <v/>
      </c>
    </row>
    <row r="861" spans="12:29" ht="16" hidden="1" x14ac:dyDescent="0.2">
      <c r="L861" t="str">
        <f t="shared" si="52"/>
        <v/>
      </c>
      <c r="M861" t="str">
        <f>IF(L861="","", IFERROR(VLOOKUP(L861, IF(D861="KET", 换算标准!$M:$N, IF(D861="PET", 换算标准!$S:$T, 换算标准!$AC:$AD)), 2, TRUE), 0))</f>
        <v/>
      </c>
      <c r="P861" t="str">
        <f t="shared" si="53"/>
        <v/>
      </c>
      <c r="Q861" t="str">
        <f>IF(P861="","", IFERROR(VLOOKUP(P861, IF(D861="KET", 换算标准!$O:$P, IF(D861="PET", 换算标准!$U:$V, 换算标准!$AG:$AH)), 2, TRUE), 0))</f>
        <v/>
      </c>
      <c r="W861" t="str">
        <f t="shared" si="54"/>
        <v/>
      </c>
      <c r="X861" t="str">
        <f>IF(W861="","", IFERROR(VLOOKUP(W861, IF(D861="KET", 换算标准!$Q:$R, IF(D861="PET", 换算标准!$W:$X, 换算标准!$AI:$AJ)), 2, TRUE), 0))</f>
        <v/>
      </c>
      <c r="Y861" t="str">
        <f t="shared" si="55"/>
        <v/>
      </c>
      <c r="Z861" t="str">
        <f>IF(Y861="","", IFERROR(VLOOKUP(Y861, 换算标准!$Z:$AA, 1, TRUE), ""))</f>
        <v/>
      </c>
      <c r="AA861" s="5" t="str">
        <f>IF(L861="","", "⚠️ 薄弱环节: "&amp;INDEX($E$1:$K$1, MATCH(MIN(E861:K861), E861:K861, 0))&amp;CHAR(10)&amp;"📉 考察能力: "&amp;IFERROR(VLOOKUP(TRIM(D861)&amp;"_"&amp;TRIM(INDEX($E$1:$K$1, MATCH(MIN(E861:K861), E861:K861, 0))), 技能库!$A:$F, 5, 0),"建议查阅考纲")&amp;CHAR(10)&amp;"💡 提升建议: "&amp;IFERROR(VLOOKUP(TRIM(D861)&amp;"_"&amp;TRIM(INDEX($E$1:$K$1, MATCH(MIN(E861:K861), E861:K861, 0))), 技能库!$A:$F, 6, 0),"请针对该题型加强练习"))</f>
        <v/>
      </c>
      <c r="AB861" s="5" t="str">
        <f>IF(P861="","", "⚠️ 薄弱环节: "&amp;INDEX($N$1:$O$1, MATCH(MIN(N861:O861), N861:O861, 0))&amp;CHAR(10)&amp;"📉 考察能力: "&amp;IFERROR(VLOOKUP(TRIM(D861)&amp;"_"&amp;TRIM(INDEX($N$1:$O$1, MATCH(MIN(N861:O861), N861:O861, 0))), 技能库!$A:$F, 5, 0),"建议查阅考纲")&amp;CHAR(10)&amp;"💡 提升建议: "&amp;IFERROR(VLOOKUP(TRIM(D861)&amp;"_"&amp;TRIM(INDEX($N$1:$O$1, MATCH(MIN(N861:O861), N861:O861, 0))), 技能库!$A:$F, 6, 0),"请针对该题型加强练习"))</f>
        <v/>
      </c>
      <c r="AC861" s="5" t="str">
        <f>IF(W861="","", "⚠️ 薄弱环节: "&amp;INDEX($R$1:$V$1, MATCH(MIN(R861:V861), R861:V861, 0))&amp;CHAR(10)&amp;"📉 考察能力: "&amp;IFERROR(VLOOKUP(TRIM(D861)&amp;"_"&amp;TRIM(INDEX($R$1:$V$1, MATCH(MIN(R861:V861), R861:V861, 0))), 技能库!$A:$F, 5, 0),"建议查阅考纲")&amp;CHAR(10)&amp;"💡 提升建议: "&amp;IFERROR(VLOOKUP(TRIM(D861)&amp;"_"&amp;TRIM(INDEX($R$1:$V$1, MATCH(MIN(R861:V861), R861:V861, 0))), 技能库!$A:$F, 6, 0),"请针对该题型加强练习"))</f>
        <v/>
      </c>
    </row>
    <row r="862" spans="12:29" ht="16" hidden="1" x14ac:dyDescent="0.2">
      <c r="L862" t="str">
        <f t="shared" si="52"/>
        <v/>
      </c>
      <c r="M862" t="str">
        <f>IF(L862="","", IFERROR(VLOOKUP(L862, IF(D862="KET", 换算标准!$M:$N, IF(D862="PET", 换算标准!$S:$T, 换算标准!$AC:$AD)), 2, TRUE), 0))</f>
        <v/>
      </c>
      <c r="P862" t="str">
        <f t="shared" si="53"/>
        <v/>
      </c>
      <c r="Q862" t="str">
        <f>IF(P862="","", IFERROR(VLOOKUP(P862, IF(D862="KET", 换算标准!$O:$P, IF(D862="PET", 换算标准!$U:$V, 换算标准!$AG:$AH)), 2, TRUE), 0))</f>
        <v/>
      </c>
      <c r="W862" t="str">
        <f t="shared" si="54"/>
        <v/>
      </c>
      <c r="X862" t="str">
        <f>IF(W862="","", IFERROR(VLOOKUP(W862, IF(D862="KET", 换算标准!$Q:$R, IF(D862="PET", 换算标准!$W:$X, 换算标准!$AI:$AJ)), 2, TRUE), 0))</f>
        <v/>
      </c>
      <c r="Y862" t="str">
        <f t="shared" si="55"/>
        <v/>
      </c>
      <c r="Z862" t="str">
        <f>IF(Y862="","", IFERROR(VLOOKUP(Y862, 换算标准!$Z:$AA, 1, TRUE), ""))</f>
        <v/>
      </c>
      <c r="AA862" s="5" t="str">
        <f>IF(L862="","", "⚠️ 薄弱环节: "&amp;INDEX($E$1:$K$1, MATCH(MIN(E862:K862), E862:K862, 0))&amp;CHAR(10)&amp;"📉 考察能力: "&amp;IFERROR(VLOOKUP(TRIM(D862)&amp;"_"&amp;TRIM(INDEX($E$1:$K$1, MATCH(MIN(E862:K862), E862:K862, 0))), 技能库!$A:$F, 5, 0),"建议查阅考纲")&amp;CHAR(10)&amp;"💡 提升建议: "&amp;IFERROR(VLOOKUP(TRIM(D862)&amp;"_"&amp;TRIM(INDEX($E$1:$K$1, MATCH(MIN(E862:K862), E862:K862, 0))), 技能库!$A:$F, 6, 0),"请针对该题型加强练习"))</f>
        <v/>
      </c>
      <c r="AB862" s="5" t="str">
        <f>IF(P862="","", "⚠️ 薄弱环节: "&amp;INDEX($N$1:$O$1, MATCH(MIN(N862:O862), N862:O862, 0))&amp;CHAR(10)&amp;"📉 考察能力: "&amp;IFERROR(VLOOKUP(TRIM(D862)&amp;"_"&amp;TRIM(INDEX($N$1:$O$1, MATCH(MIN(N862:O862), N862:O862, 0))), 技能库!$A:$F, 5, 0),"建议查阅考纲")&amp;CHAR(10)&amp;"💡 提升建议: "&amp;IFERROR(VLOOKUP(TRIM(D862)&amp;"_"&amp;TRIM(INDEX($N$1:$O$1, MATCH(MIN(N862:O862), N862:O862, 0))), 技能库!$A:$F, 6, 0),"请针对该题型加强练习"))</f>
        <v/>
      </c>
      <c r="AC862" s="5" t="str">
        <f>IF(W862="","", "⚠️ 薄弱环节: "&amp;INDEX($R$1:$V$1, MATCH(MIN(R862:V862), R862:V862, 0))&amp;CHAR(10)&amp;"📉 考察能力: "&amp;IFERROR(VLOOKUP(TRIM(D862)&amp;"_"&amp;TRIM(INDEX($R$1:$V$1, MATCH(MIN(R862:V862), R862:V862, 0))), 技能库!$A:$F, 5, 0),"建议查阅考纲")&amp;CHAR(10)&amp;"💡 提升建议: "&amp;IFERROR(VLOOKUP(TRIM(D862)&amp;"_"&amp;TRIM(INDEX($R$1:$V$1, MATCH(MIN(R862:V862), R862:V862, 0))), 技能库!$A:$F, 6, 0),"请针对该题型加强练习"))</f>
        <v/>
      </c>
    </row>
    <row r="863" spans="12:29" ht="16" hidden="1" x14ac:dyDescent="0.2">
      <c r="L863" t="str">
        <f t="shared" si="52"/>
        <v/>
      </c>
      <c r="M863" t="str">
        <f>IF(L863="","", IFERROR(VLOOKUP(L863, IF(D863="KET", 换算标准!$M:$N, IF(D863="PET", 换算标准!$S:$T, 换算标准!$AC:$AD)), 2, TRUE), 0))</f>
        <v/>
      </c>
      <c r="P863" t="str">
        <f t="shared" si="53"/>
        <v/>
      </c>
      <c r="Q863" t="str">
        <f>IF(P863="","", IFERROR(VLOOKUP(P863, IF(D863="KET", 换算标准!$O:$P, IF(D863="PET", 换算标准!$U:$V, 换算标准!$AG:$AH)), 2, TRUE), 0))</f>
        <v/>
      </c>
      <c r="W863" t="str">
        <f t="shared" si="54"/>
        <v/>
      </c>
      <c r="X863" t="str">
        <f>IF(W863="","", IFERROR(VLOOKUP(W863, IF(D863="KET", 换算标准!$Q:$R, IF(D863="PET", 换算标准!$W:$X, 换算标准!$AI:$AJ)), 2, TRUE), 0))</f>
        <v/>
      </c>
      <c r="Y863" t="str">
        <f t="shared" si="55"/>
        <v/>
      </c>
      <c r="Z863" t="str">
        <f>IF(Y863="","", IFERROR(VLOOKUP(Y863, 换算标准!$Z:$AA, 1, TRUE), ""))</f>
        <v/>
      </c>
      <c r="AA863" s="5" t="str">
        <f>IF(L863="","", "⚠️ 薄弱环节: "&amp;INDEX($E$1:$K$1, MATCH(MIN(E863:K863), E863:K863, 0))&amp;CHAR(10)&amp;"📉 考察能力: "&amp;IFERROR(VLOOKUP(TRIM(D863)&amp;"_"&amp;TRIM(INDEX($E$1:$K$1, MATCH(MIN(E863:K863), E863:K863, 0))), 技能库!$A:$F, 5, 0),"建议查阅考纲")&amp;CHAR(10)&amp;"💡 提升建议: "&amp;IFERROR(VLOOKUP(TRIM(D863)&amp;"_"&amp;TRIM(INDEX($E$1:$K$1, MATCH(MIN(E863:K863), E863:K863, 0))), 技能库!$A:$F, 6, 0),"请针对该题型加强练习"))</f>
        <v/>
      </c>
      <c r="AB863" s="5" t="str">
        <f>IF(P863="","", "⚠️ 薄弱环节: "&amp;INDEX($N$1:$O$1, MATCH(MIN(N863:O863), N863:O863, 0))&amp;CHAR(10)&amp;"📉 考察能力: "&amp;IFERROR(VLOOKUP(TRIM(D863)&amp;"_"&amp;TRIM(INDEX($N$1:$O$1, MATCH(MIN(N863:O863), N863:O863, 0))), 技能库!$A:$F, 5, 0),"建议查阅考纲")&amp;CHAR(10)&amp;"💡 提升建议: "&amp;IFERROR(VLOOKUP(TRIM(D863)&amp;"_"&amp;TRIM(INDEX($N$1:$O$1, MATCH(MIN(N863:O863), N863:O863, 0))), 技能库!$A:$F, 6, 0),"请针对该题型加强练习"))</f>
        <v/>
      </c>
      <c r="AC863" s="5" t="str">
        <f>IF(W863="","", "⚠️ 薄弱环节: "&amp;INDEX($R$1:$V$1, MATCH(MIN(R863:V863), R863:V863, 0))&amp;CHAR(10)&amp;"📉 考察能力: "&amp;IFERROR(VLOOKUP(TRIM(D863)&amp;"_"&amp;TRIM(INDEX($R$1:$V$1, MATCH(MIN(R863:V863), R863:V863, 0))), 技能库!$A:$F, 5, 0),"建议查阅考纲")&amp;CHAR(10)&amp;"💡 提升建议: "&amp;IFERROR(VLOOKUP(TRIM(D863)&amp;"_"&amp;TRIM(INDEX($R$1:$V$1, MATCH(MIN(R863:V863), R863:V863, 0))), 技能库!$A:$F, 6, 0),"请针对该题型加强练习"))</f>
        <v/>
      </c>
    </row>
    <row r="864" spans="12:29" ht="16" hidden="1" x14ac:dyDescent="0.2">
      <c r="L864" t="str">
        <f t="shared" si="52"/>
        <v/>
      </c>
      <c r="M864" t="str">
        <f>IF(L864="","", IFERROR(VLOOKUP(L864, IF(D864="KET", 换算标准!$M:$N, IF(D864="PET", 换算标准!$S:$T, 换算标准!$AC:$AD)), 2, TRUE), 0))</f>
        <v/>
      </c>
      <c r="P864" t="str">
        <f t="shared" si="53"/>
        <v/>
      </c>
      <c r="Q864" t="str">
        <f>IF(P864="","", IFERROR(VLOOKUP(P864, IF(D864="KET", 换算标准!$O:$P, IF(D864="PET", 换算标准!$U:$V, 换算标准!$AG:$AH)), 2, TRUE), 0))</f>
        <v/>
      </c>
      <c r="W864" t="str">
        <f t="shared" si="54"/>
        <v/>
      </c>
      <c r="X864" t="str">
        <f>IF(W864="","", IFERROR(VLOOKUP(W864, IF(D864="KET", 换算标准!$Q:$R, IF(D864="PET", 换算标准!$W:$X, 换算标准!$AI:$AJ)), 2, TRUE), 0))</f>
        <v/>
      </c>
      <c r="Y864" t="str">
        <f t="shared" si="55"/>
        <v/>
      </c>
      <c r="Z864" t="str">
        <f>IF(Y864="","", IFERROR(VLOOKUP(Y864, 换算标准!$Z:$AA, 1, TRUE), ""))</f>
        <v/>
      </c>
      <c r="AA864" s="5" t="str">
        <f>IF(L864="","", "⚠️ 薄弱环节: "&amp;INDEX($E$1:$K$1, MATCH(MIN(E864:K864), E864:K864, 0))&amp;CHAR(10)&amp;"📉 考察能力: "&amp;IFERROR(VLOOKUP(TRIM(D864)&amp;"_"&amp;TRIM(INDEX($E$1:$K$1, MATCH(MIN(E864:K864), E864:K864, 0))), 技能库!$A:$F, 5, 0),"建议查阅考纲")&amp;CHAR(10)&amp;"💡 提升建议: "&amp;IFERROR(VLOOKUP(TRIM(D864)&amp;"_"&amp;TRIM(INDEX($E$1:$K$1, MATCH(MIN(E864:K864), E864:K864, 0))), 技能库!$A:$F, 6, 0),"请针对该题型加强练习"))</f>
        <v/>
      </c>
      <c r="AB864" s="5" t="str">
        <f>IF(P864="","", "⚠️ 薄弱环节: "&amp;INDEX($N$1:$O$1, MATCH(MIN(N864:O864), N864:O864, 0))&amp;CHAR(10)&amp;"📉 考察能力: "&amp;IFERROR(VLOOKUP(TRIM(D864)&amp;"_"&amp;TRIM(INDEX($N$1:$O$1, MATCH(MIN(N864:O864), N864:O864, 0))), 技能库!$A:$F, 5, 0),"建议查阅考纲")&amp;CHAR(10)&amp;"💡 提升建议: "&amp;IFERROR(VLOOKUP(TRIM(D864)&amp;"_"&amp;TRIM(INDEX($N$1:$O$1, MATCH(MIN(N864:O864), N864:O864, 0))), 技能库!$A:$F, 6, 0),"请针对该题型加强练习"))</f>
        <v/>
      </c>
      <c r="AC864" s="5" t="str">
        <f>IF(W864="","", "⚠️ 薄弱环节: "&amp;INDEX($R$1:$V$1, MATCH(MIN(R864:V864), R864:V864, 0))&amp;CHAR(10)&amp;"📉 考察能力: "&amp;IFERROR(VLOOKUP(TRIM(D864)&amp;"_"&amp;TRIM(INDEX($R$1:$V$1, MATCH(MIN(R864:V864), R864:V864, 0))), 技能库!$A:$F, 5, 0),"建议查阅考纲")&amp;CHAR(10)&amp;"💡 提升建议: "&amp;IFERROR(VLOOKUP(TRIM(D864)&amp;"_"&amp;TRIM(INDEX($R$1:$V$1, MATCH(MIN(R864:V864), R864:V864, 0))), 技能库!$A:$F, 6, 0),"请针对该题型加强练习"))</f>
        <v/>
      </c>
    </row>
    <row r="865" spans="12:29" ht="16" hidden="1" x14ac:dyDescent="0.2">
      <c r="L865" t="str">
        <f t="shared" si="52"/>
        <v/>
      </c>
      <c r="M865" t="str">
        <f>IF(L865="","", IFERROR(VLOOKUP(L865, IF(D865="KET", 换算标准!$M:$N, IF(D865="PET", 换算标准!$S:$T, 换算标准!$AC:$AD)), 2, TRUE), 0))</f>
        <v/>
      </c>
      <c r="P865" t="str">
        <f t="shared" si="53"/>
        <v/>
      </c>
      <c r="Q865" t="str">
        <f>IF(P865="","", IFERROR(VLOOKUP(P865, IF(D865="KET", 换算标准!$O:$P, IF(D865="PET", 换算标准!$U:$V, 换算标准!$AG:$AH)), 2, TRUE), 0))</f>
        <v/>
      </c>
      <c r="W865" t="str">
        <f t="shared" si="54"/>
        <v/>
      </c>
      <c r="X865" t="str">
        <f>IF(W865="","", IFERROR(VLOOKUP(W865, IF(D865="KET", 换算标准!$Q:$R, IF(D865="PET", 换算标准!$W:$X, 换算标准!$AI:$AJ)), 2, TRUE), 0))</f>
        <v/>
      </c>
      <c r="Y865" t="str">
        <f t="shared" si="55"/>
        <v/>
      </c>
      <c r="Z865" t="str">
        <f>IF(Y865="","", IFERROR(VLOOKUP(Y865, 换算标准!$Z:$AA, 1, TRUE), ""))</f>
        <v/>
      </c>
      <c r="AA865" s="5" t="str">
        <f>IF(L865="","", "⚠️ 薄弱环节: "&amp;INDEX($E$1:$K$1, MATCH(MIN(E865:K865), E865:K865, 0))&amp;CHAR(10)&amp;"📉 考察能力: "&amp;IFERROR(VLOOKUP(TRIM(D865)&amp;"_"&amp;TRIM(INDEX($E$1:$K$1, MATCH(MIN(E865:K865), E865:K865, 0))), 技能库!$A:$F, 5, 0),"建议查阅考纲")&amp;CHAR(10)&amp;"💡 提升建议: "&amp;IFERROR(VLOOKUP(TRIM(D865)&amp;"_"&amp;TRIM(INDEX($E$1:$K$1, MATCH(MIN(E865:K865), E865:K865, 0))), 技能库!$A:$F, 6, 0),"请针对该题型加强练习"))</f>
        <v/>
      </c>
      <c r="AB865" s="5" t="str">
        <f>IF(P865="","", "⚠️ 薄弱环节: "&amp;INDEX($N$1:$O$1, MATCH(MIN(N865:O865), N865:O865, 0))&amp;CHAR(10)&amp;"📉 考察能力: "&amp;IFERROR(VLOOKUP(TRIM(D865)&amp;"_"&amp;TRIM(INDEX($N$1:$O$1, MATCH(MIN(N865:O865), N865:O865, 0))), 技能库!$A:$F, 5, 0),"建议查阅考纲")&amp;CHAR(10)&amp;"💡 提升建议: "&amp;IFERROR(VLOOKUP(TRIM(D865)&amp;"_"&amp;TRIM(INDEX($N$1:$O$1, MATCH(MIN(N865:O865), N865:O865, 0))), 技能库!$A:$F, 6, 0),"请针对该题型加强练习"))</f>
        <v/>
      </c>
      <c r="AC865" s="5" t="str">
        <f>IF(W865="","", "⚠️ 薄弱环节: "&amp;INDEX($R$1:$V$1, MATCH(MIN(R865:V865), R865:V865, 0))&amp;CHAR(10)&amp;"📉 考察能力: "&amp;IFERROR(VLOOKUP(TRIM(D865)&amp;"_"&amp;TRIM(INDEX($R$1:$V$1, MATCH(MIN(R865:V865), R865:V865, 0))), 技能库!$A:$F, 5, 0),"建议查阅考纲")&amp;CHAR(10)&amp;"💡 提升建议: "&amp;IFERROR(VLOOKUP(TRIM(D865)&amp;"_"&amp;TRIM(INDEX($R$1:$V$1, MATCH(MIN(R865:V865), R865:V865, 0))), 技能库!$A:$F, 6, 0),"请针对该题型加强练习"))</f>
        <v/>
      </c>
    </row>
    <row r="866" spans="12:29" ht="16" hidden="1" x14ac:dyDescent="0.2">
      <c r="L866" t="str">
        <f t="shared" si="52"/>
        <v/>
      </c>
      <c r="M866" t="str">
        <f>IF(L866="","", IFERROR(VLOOKUP(L866, IF(D866="KET", 换算标准!$M:$N, IF(D866="PET", 换算标准!$S:$T, 换算标准!$AC:$AD)), 2, TRUE), 0))</f>
        <v/>
      </c>
      <c r="P866" t="str">
        <f t="shared" si="53"/>
        <v/>
      </c>
      <c r="Q866" t="str">
        <f>IF(P866="","", IFERROR(VLOOKUP(P866, IF(D866="KET", 换算标准!$O:$P, IF(D866="PET", 换算标准!$U:$V, 换算标准!$AG:$AH)), 2, TRUE), 0))</f>
        <v/>
      </c>
      <c r="W866" t="str">
        <f t="shared" si="54"/>
        <v/>
      </c>
      <c r="X866" t="str">
        <f>IF(W866="","", IFERROR(VLOOKUP(W866, IF(D866="KET", 换算标准!$Q:$R, IF(D866="PET", 换算标准!$W:$X, 换算标准!$AI:$AJ)), 2, TRUE), 0))</f>
        <v/>
      </c>
      <c r="Y866" t="str">
        <f t="shared" si="55"/>
        <v/>
      </c>
      <c r="Z866" t="str">
        <f>IF(Y866="","", IFERROR(VLOOKUP(Y866, 换算标准!$Z:$AA, 1, TRUE), ""))</f>
        <v/>
      </c>
      <c r="AA866" s="5" t="str">
        <f>IF(L866="","", "⚠️ 薄弱环节: "&amp;INDEX($E$1:$K$1, MATCH(MIN(E866:K866), E866:K866, 0))&amp;CHAR(10)&amp;"📉 考察能力: "&amp;IFERROR(VLOOKUP(TRIM(D866)&amp;"_"&amp;TRIM(INDEX($E$1:$K$1, MATCH(MIN(E866:K866), E866:K866, 0))), 技能库!$A:$F, 5, 0),"建议查阅考纲")&amp;CHAR(10)&amp;"💡 提升建议: "&amp;IFERROR(VLOOKUP(TRIM(D866)&amp;"_"&amp;TRIM(INDEX($E$1:$K$1, MATCH(MIN(E866:K866), E866:K866, 0))), 技能库!$A:$F, 6, 0),"请针对该题型加强练习"))</f>
        <v/>
      </c>
      <c r="AB866" s="5" t="str">
        <f>IF(P866="","", "⚠️ 薄弱环节: "&amp;INDEX($N$1:$O$1, MATCH(MIN(N866:O866), N866:O866, 0))&amp;CHAR(10)&amp;"📉 考察能力: "&amp;IFERROR(VLOOKUP(TRIM(D866)&amp;"_"&amp;TRIM(INDEX($N$1:$O$1, MATCH(MIN(N866:O866), N866:O866, 0))), 技能库!$A:$F, 5, 0),"建议查阅考纲")&amp;CHAR(10)&amp;"💡 提升建议: "&amp;IFERROR(VLOOKUP(TRIM(D866)&amp;"_"&amp;TRIM(INDEX($N$1:$O$1, MATCH(MIN(N866:O866), N866:O866, 0))), 技能库!$A:$F, 6, 0),"请针对该题型加强练习"))</f>
        <v/>
      </c>
      <c r="AC866" s="5" t="str">
        <f>IF(W866="","", "⚠️ 薄弱环节: "&amp;INDEX($R$1:$V$1, MATCH(MIN(R866:V866), R866:V866, 0))&amp;CHAR(10)&amp;"📉 考察能力: "&amp;IFERROR(VLOOKUP(TRIM(D866)&amp;"_"&amp;TRIM(INDEX($R$1:$V$1, MATCH(MIN(R866:V866), R866:V866, 0))), 技能库!$A:$F, 5, 0),"建议查阅考纲")&amp;CHAR(10)&amp;"💡 提升建议: "&amp;IFERROR(VLOOKUP(TRIM(D866)&amp;"_"&amp;TRIM(INDEX($R$1:$V$1, MATCH(MIN(R866:V866), R866:V866, 0))), 技能库!$A:$F, 6, 0),"请针对该题型加强练习"))</f>
        <v/>
      </c>
    </row>
    <row r="867" spans="12:29" ht="16" hidden="1" x14ac:dyDescent="0.2">
      <c r="L867" t="str">
        <f t="shared" si="52"/>
        <v/>
      </c>
      <c r="M867" t="str">
        <f>IF(L867="","", IFERROR(VLOOKUP(L867, IF(D867="KET", 换算标准!$M:$N, IF(D867="PET", 换算标准!$S:$T, 换算标准!$AC:$AD)), 2, TRUE), 0))</f>
        <v/>
      </c>
      <c r="P867" t="str">
        <f t="shared" si="53"/>
        <v/>
      </c>
      <c r="Q867" t="str">
        <f>IF(P867="","", IFERROR(VLOOKUP(P867, IF(D867="KET", 换算标准!$O:$P, IF(D867="PET", 换算标准!$U:$V, 换算标准!$AG:$AH)), 2, TRUE), 0))</f>
        <v/>
      </c>
      <c r="W867" t="str">
        <f t="shared" si="54"/>
        <v/>
      </c>
      <c r="X867" t="str">
        <f>IF(W867="","", IFERROR(VLOOKUP(W867, IF(D867="KET", 换算标准!$Q:$R, IF(D867="PET", 换算标准!$W:$X, 换算标准!$AI:$AJ)), 2, TRUE), 0))</f>
        <v/>
      </c>
      <c r="Y867" t="str">
        <f t="shared" si="55"/>
        <v/>
      </c>
      <c r="Z867" t="str">
        <f>IF(Y867="","", IFERROR(VLOOKUP(Y867, 换算标准!$Z:$AA, 1, TRUE), ""))</f>
        <v/>
      </c>
      <c r="AA867" s="5" t="str">
        <f>IF(L867="","", "⚠️ 薄弱环节: "&amp;INDEX($E$1:$K$1, MATCH(MIN(E867:K867), E867:K867, 0))&amp;CHAR(10)&amp;"📉 考察能力: "&amp;IFERROR(VLOOKUP(TRIM(D867)&amp;"_"&amp;TRIM(INDEX($E$1:$K$1, MATCH(MIN(E867:K867), E867:K867, 0))), 技能库!$A:$F, 5, 0),"建议查阅考纲")&amp;CHAR(10)&amp;"💡 提升建议: "&amp;IFERROR(VLOOKUP(TRIM(D867)&amp;"_"&amp;TRIM(INDEX($E$1:$K$1, MATCH(MIN(E867:K867), E867:K867, 0))), 技能库!$A:$F, 6, 0),"请针对该题型加强练习"))</f>
        <v/>
      </c>
      <c r="AB867" s="5" t="str">
        <f>IF(P867="","", "⚠️ 薄弱环节: "&amp;INDEX($N$1:$O$1, MATCH(MIN(N867:O867), N867:O867, 0))&amp;CHAR(10)&amp;"📉 考察能力: "&amp;IFERROR(VLOOKUP(TRIM(D867)&amp;"_"&amp;TRIM(INDEX($N$1:$O$1, MATCH(MIN(N867:O867), N867:O867, 0))), 技能库!$A:$F, 5, 0),"建议查阅考纲")&amp;CHAR(10)&amp;"💡 提升建议: "&amp;IFERROR(VLOOKUP(TRIM(D867)&amp;"_"&amp;TRIM(INDEX($N$1:$O$1, MATCH(MIN(N867:O867), N867:O867, 0))), 技能库!$A:$F, 6, 0),"请针对该题型加强练习"))</f>
        <v/>
      </c>
      <c r="AC867" s="5" t="str">
        <f>IF(W867="","", "⚠️ 薄弱环节: "&amp;INDEX($R$1:$V$1, MATCH(MIN(R867:V867), R867:V867, 0))&amp;CHAR(10)&amp;"📉 考察能力: "&amp;IFERROR(VLOOKUP(TRIM(D867)&amp;"_"&amp;TRIM(INDEX($R$1:$V$1, MATCH(MIN(R867:V867), R867:V867, 0))), 技能库!$A:$F, 5, 0),"建议查阅考纲")&amp;CHAR(10)&amp;"💡 提升建议: "&amp;IFERROR(VLOOKUP(TRIM(D867)&amp;"_"&amp;TRIM(INDEX($R$1:$V$1, MATCH(MIN(R867:V867), R867:V867, 0))), 技能库!$A:$F, 6, 0),"请针对该题型加强练习"))</f>
        <v/>
      </c>
    </row>
    <row r="868" spans="12:29" ht="16" hidden="1" x14ac:dyDescent="0.2">
      <c r="L868" t="str">
        <f t="shared" si="52"/>
        <v/>
      </c>
      <c r="M868" t="str">
        <f>IF(L868="","", IFERROR(VLOOKUP(L868, IF(D868="KET", 换算标准!$M:$N, IF(D868="PET", 换算标准!$S:$T, 换算标准!$AC:$AD)), 2, TRUE), 0))</f>
        <v/>
      </c>
      <c r="P868" t="str">
        <f t="shared" si="53"/>
        <v/>
      </c>
      <c r="Q868" t="str">
        <f>IF(P868="","", IFERROR(VLOOKUP(P868, IF(D868="KET", 换算标准!$O:$P, IF(D868="PET", 换算标准!$U:$V, 换算标准!$AG:$AH)), 2, TRUE), 0))</f>
        <v/>
      </c>
      <c r="W868" t="str">
        <f t="shared" si="54"/>
        <v/>
      </c>
      <c r="X868" t="str">
        <f>IF(W868="","", IFERROR(VLOOKUP(W868, IF(D868="KET", 换算标准!$Q:$R, IF(D868="PET", 换算标准!$W:$X, 换算标准!$AI:$AJ)), 2, TRUE), 0))</f>
        <v/>
      </c>
      <c r="Y868" t="str">
        <f t="shared" si="55"/>
        <v/>
      </c>
      <c r="Z868" t="str">
        <f>IF(Y868="","", IFERROR(VLOOKUP(Y868, 换算标准!$Z:$AA, 1, TRUE), ""))</f>
        <v/>
      </c>
      <c r="AA868" s="5" t="str">
        <f>IF(L868="","", "⚠️ 薄弱环节: "&amp;INDEX($E$1:$K$1, MATCH(MIN(E868:K868), E868:K868, 0))&amp;CHAR(10)&amp;"📉 考察能力: "&amp;IFERROR(VLOOKUP(TRIM(D868)&amp;"_"&amp;TRIM(INDEX($E$1:$K$1, MATCH(MIN(E868:K868), E868:K868, 0))), 技能库!$A:$F, 5, 0),"建议查阅考纲")&amp;CHAR(10)&amp;"💡 提升建议: "&amp;IFERROR(VLOOKUP(TRIM(D868)&amp;"_"&amp;TRIM(INDEX($E$1:$K$1, MATCH(MIN(E868:K868), E868:K868, 0))), 技能库!$A:$F, 6, 0),"请针对该题型加强练习"))</f>
        <v/>
      </c>
      <c r="AB868" s="5" t="str">
        <f>IF(P868="","", "⚠️ 薄弱环节: "&amp;INDEX($N$1:$O$1, MATCH(MIN(N868:O868), N868:O868, 0))&amp;CHAR(10)&amp;"📉 考察能力: "&amp;IFERROR(VLOOKUP(TRIM(D868)&amp;"_"&amp;TRIM(INDEX($N$1:$O$1, MATCH(MIN(N868:O868), N868:O868, 0))), 技能库!$A:$F, 5, 0),"建议查阅考纲")&amp;CHAR(10)&amp;"💡 提升建议: "&amp;IFERROR(VLOOKUP(TRIM(D868)&amp;"_"&amp;TRIM(INDEX($N$1:$O$1, MATCH(MIN(N868:O868), N868:O868, 0))), 技能库!$A:$F, 6, 0),"请针对该题型加强练习"))</f>
        <v/>
      </c>
      <c r="AC868" s="5" t="str">
        <f>IF(W868="","", "⚠️ 薄弱环节: "&amp;INDEX($R$1:$V$1, MATCH(MIN(R868:V868), R868:V868, 0))&amp;CHAR(10)&amp;"📉 考察能力: "&amp;IFERROR(VLOOKUP(TRIM(D868)&amp;"_"&amp;TRIM(INDEX($R$1:$V$1, MATCH(MIN(R868:V868), R868:V868, 0))), 技能库!$A:$F, 5, 0),"建议查阅考纲")&amp;CHAR(10)&amp;"💡 提升建议: "&amp;IFERROR(VLOOKUP(TRIM(D868)&amp;"_"&amp;TRIM(INDEX($R$1:$V$1, MATCH(MIN(R868:V868), R868:V868, 0))), 技能库!$A:$F, 6, 0),"请针对该题型加强练习"))</f>
        <v/>
      </c>
    </row>
    <row r="869" spans="12:29" ht="16" hidden="1" x14ac:dyDescent="0.2">
      <c r="L869" t="str">
        <f t="shared" si="52"/>
        <v/>
      </c>
      <c r="M869" t="str">
        <f>IF(L869="","", IFERROR(VLOOKUP(L869, IF(D869="KET", 换算标准!$M:$N, IF(D869="PET", 换算标准!$S:$T, 换算标准!$AC:$AD)), 2, TRUE), 0))</f>
        <v/>
      </c>
      <c r="P869" t="str">
        <f t="shared" si="53"/>
        <v/>
      </c>
      <c r="Q869" t="str">
        <f>IF(P869="","", IFERROR(VLOOKUP(P869, IF(D869="KET", 换算标准!$O:$P, IF(D869="PET", 换算标准!$U:$V, 换算标准!$AG:$AH)), 2, TRUE), 0))</f>
        <v/>
      </c>
      <c r="W869" t="str">
        <f t="shared" si="54"/>
        <v/>
      </c>
      <c r="X869" t="str">
        <f>IF(W869="","", IFERROR(VLOOKUP(W869, IF(D869="KET", 换算标准!$Q:$R, IF(D869="PET", 换算标准!$W:$X, 换算标准!$AI:$AJ)), 2, TRUE), 0))</f>
        <v/>
      </c>
      <c r="Y869" t="str">
        <f t="shared" si="55"/>
        <v/>
      </c>
      <c r="Z869" t="str">
        <f>IF(Y869="","", IFERROR(VLOOKUP(Y869, 换算标准!$Z:$AA, 1, TRUE), ""))</f>
        <v/>
      </c>
      <c r="AA869" s="5" t="str">
        <f>IF(L869="","", "⚠️ 薄弱环节: "&amp;INDEX($E$1:$K$1, MATCH(MIN(E869:K869), E869:K869, 0))&amp;CHAR(10)&amp;"📉 考察能力: "&amp;IFERROR(VLOOKUP(TRIM(D869)&amp;"_"&amp;TRIM(INDEX($E$1:$K$1, MATCH(MIN(E869:K869), E869:K869, 0))), 技能库!$A:$F, 5, 0),"建议查阅考纲")&amp;CHAR(10)&amp;"💡 提升建议: "&amp;IFERROR(VLOOKUP(TRIM(D869)&amp;"_"&amp;TRIM(INDEX($E$1:$K$1, MATCH(MIN(E869:K869), E869:K869, 0))), 技能库!$A:$F, 6, 0),"请针对该题型加强练习"))</f>
        <v/>
      </c>
      <c r="AB869" s="5" t="str">
        <f>IF(P869="","", "⚠️ 薄弱环节: "&amp;INDEX($N$1:$O$1, MATCH(MIN(N869:O869), N869:O869, 0))&amp;CHAR(10)&amp;"📉 考察能力: "&amp;IFERROR(VLOOKUP(TRIM(D869)&amp;"_"&amp;TRIM(INDEX($N$1:$O$1, MATCH(MIN(N869:O869), N869:O869, 0))), 技能库!$A:$F, 5, 0),"建议查阅考纲")&amp;CHAR(10)&amp;"💡 提升建议: "&amp;IFERROR(VLOOKUP(TRIM(D869)&amp;"_"&amp;TRIM(INDEX($N$1:$O$1, MATCH(MIN(N869:O869), N869:O869, 0))), 技能库!$A:$F, 6, 0),"请针对该题型加强练习"))</f>
        <v/>
      </c>
      <c r="AC869" s="5" t="str">
        <f>IF(W869="","", "⚠️ 薄弱环节: "&amp;INDEX($R$1:$V$1, MATCH(MIN(R869:V869), R869:V869, 0))&amp;CHAR(10)&amp;"📉 考察能力: "&amp;IFERROR(VLOOKUP(TRIM(D869)&amp;"_"&amp;TRIM(INDEX($R$1:$V$1, MATCH(MIN(R869:V869), R869:V869, 0))), 技能库!$A:$F, 5, 0),"建议查阅考纲")&amp;CHAR(10)&amp;"💡 提升建议: "&amp;IFERROR(VLOOKUP(TRIM(D869)&amp;"_"&amp;TRIM(INDEX($R$1:$V$1, MATCH(MIN(R869:V869), R869:V869, 0))), 技能库!$A:$F, 6, 0),"请针对该题型加强练习"))</f>
        <v/>
      </c>
    </row>
    <row r="870" spans="12:29" ht="16" hidden="1" x14ac:dyDescent="0.2">
      <c r="L870" t="str">
        <f t="shared" si="52"/>
        <v/>
      </c>
      <c r="M870" t="str">
        <f>IF(L870="","", IFERROR(VLOOKUP(L870, IF(D870="KET", 换算标准!$M:$N, IF(D870="PET", 换算标准!$S:$T, 换算标准!$AC:$AD)), 2, TRUE), 0))</f>
        <v/>
      </c>
      <c r="P870" t="str">
        <f t="shared" si="53"/>
        <v/>
      </c>
      <c r="Q870" t="str">
        <f>IF(P870="","", IFERROR(VLOOKUP(P870, IF(D870="KET", 换算标准!$O:$P, IF(D870="PET", 换算标准!$U:$V, 换算标准!$AG:$AH)), 2, TRUE), 0))</f>
        <v/>
      </c>
      <c r="W870" t="str">
        <f t="shared" si="54"/>
        <v/>
      </c>
      <c r="X870" t="str">
        <f>IF(W870="","", IFERROR(VLOOKUP(W870, IF(D870="KET", 换算标准!$Q:$R, IF(D870="PET", 换算标准!$W:$X, 换算标准!$AI:$AJ)), 2, TRUE), 0))</f>
        <v/>
      </c>
      <c r="Y870" t="str">
        <f t="shared" si="55"/>
        <v/>
      </c>
      <c r="Z870" t="str">
        <f>IF(Y870="","", IFERROR(VLOOKUP(Y870, 换算标准!$Z:$AA, 1, TRUE), ""))</f>
        <v/>
      </c>
      <c r="AA870" s="5" t="str">
        <f>IF(L870="","", "⚠️ 薄弱环节: "&amp;INDEX($E$1:$K$1, MATCH(MIN(E870:K870), E870:K870, 0))&amp;CHAR(10)&amp;"📉 考察能力: "&amp;IFERROR(VLOOKUP(TRIM(D870)&amp;"_"&amp;TRIM(INDEX($E$1:$K$1, MATCH(MIN(E870:K870), E870:K870, 0))), 技能库!$A:$F, 5, 0),"建议查阅考纲")&amp;CHAR(10)&amp;"💡 提升建议: "&amp;IFERROR(VLOOKUP(TRIM(D870)&amp;"_"&amp;TRIM(INDEX($E$1:$K$1, MATCH(MIN(E870:K870), E870:K870, 0))), 技能库!$A:$F, 6, 0),"请针对该题型加强练习"))</f>
        <v/>
      </c>
      <c r="AB870" s="5" t="str">
        <f>IF(P870="","", "⚠️ 薄弱环节: "&amp;INDEX($N$1:$O$1, MATCH(MIN(N870:O870), N870:O870, 0))&amp;CHAR(10)&amp;"📉 考察能力: "&amp;IFERROR(VLOOKUP(TRIM(D870)&amp;"_"&amp;TRIM(INDEX($N$1:$O$1, MATCH(MIN(N870:O870), N870:O870, 0))), 技能库!$A:$F, 5, 0),"建议查阅考纲")&amp;CHAR(10)&amp;"💡 提升建议: "&amp;IFERROR(VLOOKUP(TRIM(D870)&amp;"_"&amp;TRIM(INDEX($N$1:$O$1, MATCH(MIN(N870:O870), N870:O870, 0))), 技能库!$A:$F, 6, 0),"请针对该题型加强练习"))</f>
        <v/>
      </c>
      <c r="AC870" s="5" t="str">
        <f>IF(W870="","", "⚠️ 薄弱环节: "&amp;INDEX($R$1:$V$1, MATCH(MIN(R870:V870), R870:V870, 0))&amp;CHAR(10)&amp;"📉 考察能力: "&amp;IFERROR(VLOOKUP(TRIM(D870)&amp;"_"&amp;TRIM(INDEX($R$1:$V$1, MATCH(MIN(R870:V870), R870:V870, 0))), 技能库!$A:$F, 5, 0),"建议查阅考纲")&amp;CHAR(10)&amp;"💡 提升建议: "&amp;IFERROR(VLOOKUP(TRIM(D870)&amp;"_"&amp;TRIM(INDEX($R$1:$V$1, MATCH(MIN(R870:V870), R870:V870, 0))), 技能库!$A:$F, 6, 0),"请针对该题型加强练习"))</f>
        <v/>
      </c>
    </row>
    <row r="871" spans="12:29" ht="16" hidden="1" x14ac:dyDescent="0.2">
      <c r="L871" t="str">
        <f t="shared" si="52"/>
        <v/>
      </c>
      <c r="M871" t="str">
        <f>IF(L871="","", IFERROR(VLOOKUP(L871, IF(D871="KET", 换算标准!$M:$N, IF(D871="PET", 换算标准!$S:$T, 换算标准!$AC:$AD)), 2, TRUE), 0))</f>
        <v/>
      </c>
      <c r="P871" t="str">
        <f t="shared" si="53"/>
        <v/>
      </c>
      <c r="Q871" t="str">
        <f>IF(P871="","", IFERROR(VLOOKUP(P871, IF(D871="KET", 换算标准!$O:$P, IF(D871="PET", 换算标准!$U:$V, 换算标准!$AG:$AH)), 2, TRUE), 0))</f>
        <v/>
      </c>
      <c r="W871" t="str">
        <f t="shared" si="54"/>
        <v/>
      </c>
      <c r="X871" t="str">
        <f>IF(W871="","", IFERROR(VLOOKUP(W871, IF(D871="KET", 换算标准!$Q:$R, IF(D871="PET", 换算标准!$W:$X, 换算标准!$AI:$AJ)), 2, TRUE), 0))</f>
        <v/>
      </c>
      <c r="Y871" t="str">
        <f t="shared" si="55"/>
        <v/>
      </c>
      <c r="Z871" t="str">
        <f>IF(Y871="","", IFERROR(VLOOKUP(Y871, 换算标准!$Z:$AA, 1, TRUE), ""))</f>
        <v/>
      </c>
      <c r="AA871" s="5" t="str">
        <f>IF(L871="","", "⚠️ 薄弱环节: "&amp;INDEX($E$1:$K$1, MATCH(MIN(E871:K871), E871:K871, 0))&amp;CHAR(10)&amp;"📉 考察能力: "&amp;IFERROR(VLOOKUP(TRIM(D871)&amp;"_"&amp;TRIM(INDEX($E$1:$K$1, MATCH(MIN(E871:K871), E871:K871, 0))), 技能库!$A:$F, 5, 0),"建议查阅考纲")&amp;CHAR(10)&amp;"💡 提升建议: "&amp;IFERROR(VLOOKUP(TRIM(D871)&amp;"_"&amp;TRIM(INDEX($E$1:$K$1, MATCH(MIN(E871:K871), E871:K871, 0))), 技能库!$A:$F, 6, 0),"请针对该题型加强练习"))</f>
        <v/>
      </c>
      <c r="AB871" s="5" t="str">
        <f>IF(P871="","", "⚠️ 薄弱环节: "&amp;INDEX($N$1:$O$1, MATCH(MIN(N871:O871), N871:O871, 0))&amp;CHAR(10)&amp;"📉 考察能力: "&amp;IFERROR(VLOOKUP(TRIM(D871)&amp;"_"&amp;TRIM(INDEX($N$1:$O$1, MATCH(MIN(N871:O871), N871:O871, 0))), 技能库!$A:$F, 5, 0),"建议查阅考纲")&amp;CHAR(10)&amp;"💡 提升建议: "&amp;IFERROR(VLOOKUP(TRIM(D871)&amp;"_"&amp;TRIM(INDEX($N$1:$O$1, MATCH(MIN(N871:O871), N871:O871, 0))), 技能库!$A:$F, 6, 0),"请针对该题型加强练习"))</f>
        <v/>
      </c>
      <c r="AC871" s="5" t="str">
        <f>IF(W871="","", "⚠️ 薄弱环节: "&amp;INDEX($R$1:$V$1, MATCH(MIN(R871:V871), R871:V871, 0))&amp;CHAR(10)&amp;"📉 考察能力: "&amp;IFERROR(VLOOKUP(TRIM(D871)&amp;"_"&amp;TRIM(INDEX($R$1:$V$1, MATCH(MIN(R871:V871), R871:V871, 0))), 技能库!$A:$F, 5, 0),"建议查阅考纲")&amp;CHAR(10)&amp;"💡 提升建议: "&amp;IFERROR(VLOOKUP(TRIM(D871)&amp;"_"&amp;TRIM(INDEX($R$1:$V$1, MATCH(MIN(R871:V871), R871:V871, 0))), 技能库!$A:$F, 6, 0),"请针对该题型加强练习"))</f>
        <v/>
      </c>
    </row>
    <row r="872" spans="12:29" ht="16" hidden="1" x14ac:dyDescent="0.2">
      <c r="L872" t="str">
        <f t="shared" si="52"/>
        <v/>
      </c>
      <c r="M872" t="str">
        <f>IF(L872="","", IFERROR(VLOOKUP(L872, IF(D872="KET", 换算标准!$M:$N, IF(D872="PET", 换算标准!$S:$T, 换算标准!$AC:$AD)), 2, TRUE), 0))</f>
        <v/>
      </c>
      <c r="P872" t="str">
        <f t="shared" si="53"/>
        <v/>
      </c>
      <c r="Q872" t="str">
        <f>IF(P872="","", IFERROR(VLOOKUP(P872, IF(D872="KET", 换算标准!$O:$P, IF(D872="PET", 换算标准!$U:$V, 换算标准!$AG:$AH)), 2, TRUE), 0))</f>
        <v/>
      </c>
      <c r="W872" t="str">
        <f t="shared" si="54"/>
        <v/>
      </c>
      <c r="X872" t="str">
        <f>IF(W872="","", IFERROR(VLOOKUP(W872, IF(D872="KET", 换算标准!$Q:$R, IF(D872="PET", 换算标准!$W:$X, 换算标准!$AI:$AJ)), 2, TRUE), 0))</f>
        <v/>
      </c>
      <c r="Y872" t="str">
        <f t="shared" si="55"/>
        <v/>
      </c>
      <c r="Z872" t="str">
        <f>IF(Y872="","", IFERROR(VLOOKUP(Y872, 换算标准!$Z:$AA, 1, TRUE), ""))</f>
        <v/>
      </c>
      <c r="AA872" s="5" t="str">
        <f>IF(L872="","", "⚠️ 薄弱环节: "&amp;INDEX($E$1:$K$1, MATCH(MIN(E872:K872), E872:K872, 0))&amp;CHAR(10)&amp;"📉 考察能力: "&amp;IFERROR(VLOOKUP(TRIM(D872)&amp;"_"&amp;TRIM(INDEX($E$1:$K$1, MATCH(MIN(E872:K872), E872:K872, 0))), 技能库!$A:$F, 5, 0),"建议查阅考纲")&amp;CHAR(10)&amp;"💡 提升建议: "&amp;IFERROR(VLOOKUP(TRIM(D872)&amp;"_"&amp;TRIM(INDEX($E$1:$K$1, MATCH(MIN(E872:K872), E872:K872, 0))), 技能库!$A:$F, 6, 0),"请针对该题型加强练习"))</f>
        <v/>
      </c>
      <c r="AB872" s="5" t="str">
        <f>IF(P872="","", "⚠️ 薄弱环节: "&amp;INDEX($N$1:$O$1, MATCH(MIN(N872:O872), N872:O872, 0))&amp;CHAR(10)&amp;"📉 考察能力: "&amp;IFERROR(VLOOKUP(TRIM(D872)&amp;"_"&amp;TRIM(INDEX($N$1:$O$1, MATCH(MIN(N872:O872), N872:O872, 0))), 技能库!$A:$F, 5, 0),"建议查阅考纲")&amp;CHAR(10)&amp;"💡 提升建议: "&amp;IFERROR(VLOOKUP(TRIM(D872)&amp;"_"&amp;TRIM(INDEX($N$1:$O$1, MATCH(MIN(N872:O872), N872:O872, 0))), 技能库!$A:$F, 6, 0),"请针对该题型加强练习"))</f>
        <v/>
      </c>
      <c r="AC872" s="5" t="str">
        <f>IF(W872="","", "⚠️ 薄弱环节: "&amp;INDEX($R$1:$V$1, MATCH(MIN(R872:V872), R872:V872, 0))&amp;CHAR(10)&amp;"📉 考察能力: "&amp;IFERROR(VLOOKUP(TRIM(D872)&amp;"_"&amp;TRIM(INDEX($R$1:$V$1, MATCH(MIN(R872:V872), R872:V872, 0))), 技能库!$A:$F, 5, 0),"建议查阅考纲")&amp;CHAR(10)&amp;"💡 提升建议: "&amp;IFERROR(VLOOKUP(TRIM(D872)&amp;"_"&amp;TRIM(INDEX($R$1:$V$1, MATCH(MIN(R872:V872), R872:V872, 0))), 技能库!$A:$F, 6, 0),"请针对该题型加强练习"))</f>
        <v/>
      </c>
    </row>
    <row r="873" spans="12:29" ht="16" hidden="1" x14ac:dyDescent="0.2">
      <c r="L873" t="str">
        <f t="shared" si="52"/>
        <v/>
      </c>
      <c r="M873" t="str">
        <f>IF(L873="","", IFERROR(VLOOKUP(L873, IF(D873="KET", 换算标准!$M:$N, IF(D873="PET", 换算标准!$S:$T, 换算标准!$AC:$AD)), 2, TRUE), 0))</f>
        <v/>
      </c>
      <c r="P873" t="str">
        <f t="shared" si="53"/>
        <v/>
      </c>
      <c r="Q873" t="str">
        <f>IF(P873="","", IFERROR(VLOOKUP(P873, IF(D873="KET", 换算标准!$O:$P, IF(D873="PET", 换算标准!$U:$V, 换算标准!$AG:$AH)), 2, TRUE), 0))</f>
        <v/>
      </c>
      <c r="W873" t="str">
        <f t="shared" si="54"/>
        <v/>
      </c>
      <c r="X873" t="str">
        <f>IF(W873="","", IFERROR(VLOOKUP(W873, IF(D873="KET", 换算标准!$Q:$R, IF(D873="PET", 换算标准!$W:$X, 换算标准!$AI:$AJ)), 2, TRUE), 0))</f>
        <v/>
      </c>
      <c r="Y873" t="str">
        <f t="shared" si="55"/>
        <v/>
      </c>
      <c r="Z873" t="str">
        <f>IF(Y873="","", IFERROR(VLOOKUP(Y873, 换算标准!$Z:$AA, 1, TRUE), ""))</f>
        <v/>
      </c>
      <c r="AA873" s="5" t="str">
        <f>IF(L873="","", "⚠️ 薄弱环节: "&amp;INDEX($E$1:$K$1, MATCH(MIN(E873:K873), E873:K873, 0))&amp;CHAR(10)&amp;"📉 考察能力: "&amp;IFERROR(VLOOKUP(TRIM(D873)&amp;"_"&amp;TRIM(INDEX($E$1:$K$1, MATCH(MIN(E873:K873), E873:K873, 0))), 技能库!$A:$F, 5, 0),"建议查阅考纲")&amp;CHAR(10)&amp;"💡 提升建议: "&amp;IFERROR(VLOOKUP(TRIM(D873)&amp;"_"&amp;TRIM(INDEX($E$1:$K$1, MATCH(MIN(E873:K873), E873:K873, 0))), 技能库!$A:$F, 6, 0),"请针对该题型加强练习"))</f>
        <v/>
      </c>
      <c r="AB873" s="5" t="str">
        <f>IF(P873="","", "⚠️ 薄弱环节: "&amp;INDEX($N$1:$O$1, MATCH(MIN(N873:O873), N873:O873, 0))&amp;CHAR(10)&amp;"📉 考察能力: "&amp;IFERROR(VLOOKUP(TRIM(D873)&amp;"_"&amp;TRIM(INDEX($N$1:$O$1, MATCH(MIN(N873:O873), N873:O873, 0))), 技能库!$A:$F, 5, 0),"建议查阅考纲")&amp;CHAR(10)&amp;"💡 提升建议: "&amp;IFERROR(VLOOKUP(TRIM(D873)&amp;"_"&amp;TRIM(INDEX($N$1:$O$1, MATCH(MIN(N873:O873), N873:O873, 0))), 技能库!$A:$F, 6, 0),"请针对该题型加强练习"))</f>
        <v/>
      </c>
      <c r="AC873" s="5" t="str">
        <f>IF(W873="","", "⚠️ 薄弱环节: "&amp;INDEX($R$1:$V$1, MATCH(MIN(R873:V873), R873:V873, 0))&amp;CHAR(10)&amp;"📉 考察能力: "&amp;IFERROR(VLOOKUP(TRIM(D873)&amp;"_"&amp;TRIM(INDEX($R$1:$V$1, MATCH(MIN(R873:V873), R873:V873, 0))), 技能库!$A:$F, 5, 0),"建议查阅考纲")&amp;CHAR(10)&amp;"💡 提升建议: "&amp;IFERROR(VLOOKUP(TRIM(D873)&amp;"_"&amp;TRIM(INDEX($R$1:$V$1, MATCH(MIN(R873:V873), R873:V873, 0))), 技能库!$A:$F, 6, 0),"请针对该题型加强练习"))</f>
        <v/>
      </c>
    </row>
    <row r="874" spans="12:29" ht="16" hidden="1" x14ac:dyDescent="0.2">
      <c r="L874" t="str">
        <f t="shared" si="52"/>
        <v/>
      </c>
      <c r="M874" t="str">
        <f>IF(L874="","", IFERROR(VLOOKUP(L874, IF(D874="KET", 换算标准!$M:$N, IF(D874="PET", 换算标准!$S:$T, 换算标准!$AC:$AD)), 2, TRUE), 0))</f>
        <v/>
      </c>
      <c r="P874" t="str">
        <f t="shared" si="53"/>
        <v/>
      </c>
      <c r="Q874" t="str">
        <f>IF(P874="","", IFERROR(VLOOKUP(P874, IF(D874="KET", 换算标准!$O:$P, IF(D874="PET", 换算标准!$U:$V, 换算标准!$AG:$AH)), 2, TRUE), 0))</f>
        <v/>
      </c>
      <c r="W874" t="str">
        <f t="shared" si="54"/>
        <v/>
      </c>
      <c r="X874" t="str">
        <f>IF(W874="","", IFERROR(VLOOKUP(W874, IF(D874="KET", 换算标准!$Q:$R, IF(D874="PET", 换算标准!$W:$X, 换算标准!$AI:$AJ)), 2, TRUE), 0))</f>
        <v/>
      </c>
      <c r="Y874" t="str">
        <f t="shared" si="55"/>
        <v/>
      </c>
      <c r="Z874" t="str">
        <f>IF(Y874="","", IFERROR(VLOOKUP(Y874, 换算标准!$Z:$AA, 1, TRUE), ""))</f>
        <v/>
      </c>
      <c r="AA874" s="5" t="str">
        <f>IF(L874="","", "⚠️ 薄弱环节: "&amp;INDEX($E$1:$K$1, MATCH(MIN(E874:K874), E874:K874, 0))&amp;CHAR(10)&amp;"📉 考察能力: "&amp;IFERROR(VLOOKUP(TRIM(D874)&amp;"_"&amp;TRIM(INDEX($E$1:$K$1, MATCH(MIN(E874:K874), E874:K874, 0))), 技能库!$A:$F, 5, 0),"建议查阅考纲")&amp;CHAR(10)&amp;"💡 提升建议: "&amp;IFERROR(VLOOKUP(TRIM(D874)&amp;"_"&amp;TRIM(INDEX($E$1:$K$1, MATCH(MIN(E874:K874), E874:K874, 0))), 技能库!$A:$F, 6, 0),"请针对该题型加强练习"))</f>
        <v/>
      </c>
      <c r="AB874" s="5" t="str">
        <f>IF(P874="","", "⚠️ 薄弱环节: "&amp;INDEX($N$1:$O$1, MATCH(MIN(N874:O874), N874:O874, 0))&amp;CHAR(10)&amp;"📉 考察能力: "&amp;IFERROR(VLOOKUP(TRIM(D874)&amp;"_"&amp;TRIM(INDEX($N$1:$O$1, MATCH(MIN(N874:O874), N874:O874, 0))), 技能库!$A:$F, 5, 0),"建议查阅考纲")&amp;CHAR(10)&amp;"💡 提升建议: "&amp;IFERROR(VLOOKUP(TRIM(D874)&amp;"_"&amp;TRIM(INDEX($N$1:$O$1, MATCH(MIN(N874:O874), N874:O874, 0))), 技能库!$A:$F, 6, 0),"请针对该题型加强练习"))</f>
        <v/>
      </c>
      <c r="AC874" s="5" t="str">
        <f>IF(W874="","", "⚠️ 薄弱环节: "&amp;INDEX($R$1:$V$1, MATCH(MIN(R874:V874), R874:V874, 0))&amp;CHAR(10)&amp;"📉 考察能力: "&amp;IFERROR(VLOOKUP(TRIM(D874)&amp;"_"&amp;TRIM(INDEX($R$1:$V$1, MATCH(MIN(R874:V874), R874:V874, 0))), 技能库!$A:$F, 5, 0),"建议查阅考纲")&amp;CHAR(10)&amp;"💡 提升建议: "&amp;IFERROR(VLOOKUP(TRIM(D874)&amp;"_"&amp;TRIM(INDEX($R$1:$V$1, MATCH(MIN(R874:V874), R874:V874, 0))), 技能库!$A:$F, 6, 0),"请针对该题型加强练习"))</f>
        <v/>
      </c>
    </row>
    <row r="875" spans="12:29" ht="16" hidden="1" x14ac:dyDescent="0.2">
      <c r="L875" t="str">
        <f t="shared" si="52"/>
        <v/>
      </c>
      <c r="M875" t="str">
        <f>IF(L875="","", IFERROR(VLOOKUP(L875, IF(D875="KET", 换算标准!$M:$N, IF(D875="PET", 换算标准!$S:$T, 换算标准!$AC:$AD)), 2, TRUE), 0))</f>
        <v/>
      </c>
      <c r="P875" t="str">
        <f t="shared" si="53"/>
        <v/>
      </c>
      <c r="Q875" t="str">
        <f>IF(P875="","", IFERROR(VLOOKUP(P875, IF(D875="KET", 换算标准!$O:$P, IF(D875="PET", 换算标准!$U:$V, 换算标准!$AG:$AH)), 2, TRUE), 0))</f>
        <v/>
      </c>
      <c r="W875" t="str">
        <f t="shared" si="54"/>
        <v/>
      </c>
      <c r="X875" t="str">
        <f>IF(W875="","", IFERROR(VLOOKUP(W875, IF(D875="KET", 换算标准!$Q:$R, IF(D875="PET", 换算标准!$W:$X, 换算标准!$AI:$AJ)), 2, TRUE), 0))</f>
        <v/>
      </c>
      <c r="Y875" t="str">
        <f t="shared" si="55"/>
        <v/>
      </c>
      <c r="Z875" t="str">
        <f>IF(Y875="","", IFERROR(VLOOKUP(Y875, 换算标准!$Z:$AA, 1, TRUE), ""))</f>
        <v/>
      </c>
      <c r="AA875" s="5" t="str">
        <f>IF(L875="","", "⚠️ 薄弱环节: "&amp;INDEX($E$1:$K$1, MATCH(MIN(E875:K875), E875:K875, 0))&amp;CHAR(10)&amp;"📉 考察能力: "&amp;IFERROR(VLOOKUP(TRIM(D875)&amp;"_"&amp;TRIM(INDEX($E$1:$K$1, MATCH(MIN(E875:K875), E875:K875, 0))), 技能库!$A:$F, 5, 0),"建议查阅考纲")&amp;CHAR(10)&amp;"💡 提升建议: "&amp;IFERROR(VLOOKUP(TRIM(D875)&amp;"_"&amp;TRIM(INDEX($E$1:$K$1, MATCH(MIN(E875:K875), E875:K875, 0))), 技能库!$A:$F, 6, 0),"请针对该题型加强练习"))</f>
        <v/>
      </c>
      <c r="AB875" s="5" t="str">
        <f>IF(P875="","", "⚠️ 薄弱环节: "&amp;INDEX($N$1:$O$1, MATCH(MIN(N875:O875), N875:O875, 0))&amp;CHAR(10)&amp;"📉 考察能力: "&amp;IFERROR(VLOOKUP(TRIM(D875)&amp;"_"&amp;TRIM(INDEX($N$1:$O$1, MATCH(MIN(N875:O875), N875:O875, 0))), 技能库!$A:$F, 5, 0),"建议查阅考纲")&amp;CHAR(10)&amp;"💡 提升建议: "&amp;IFERROR(VLOOKUP(TRIM(D875)&amp;"_"&amp;TRIM(INDEX($N$1:$O$1, MATCH(MIN(N875:O875), N875:O875, 0))), 技能库!$A:$F, 6, 0),"请针对该题型加强练习"))</f>
        <v/>
      </c>
      <c r="AC875" s="5" t="str">
        <f>IF(W875="","", "⚠️ 薄弱环节: "&amp;INDEX($R$1:$V$1, MATCH(MIN(R875:V875), R875:V875, 0))&amp;CHAR(10)&amp;"📉 考察能力: "&amp;IFERROR(VLOOKUP(TRIM(D875)&amp;"_"&amp;TRIM(INDEX($R$1:$V$1, MATCH(MIN(R875:V875), R875:V875, 0))), 技能库!$A:$F, 5, 0),"建议查阅考纲")&amp;CHAR(10)&amp;"💡 提升建议: "&amp;IFERROR(VLOOKUP(TRIM(D875)&amp;"_"&amp;TRIM(INDEX($R$1:$V$1, MATCH(MIN(R875:V875), R875:V875, 0))), 技能库!$A:$F, 6, 0),"请针对该题型加强练习"))</f>
        <v/>
      </c>
    </row>
    <row r="876" spans="12:29" ht="16" hidden="1" x14ac:dyDescent="0.2">
      <c r="L876" t="str">
        <f t="shared" si="52"/>
        <v/>
      </c>
      <c r="M876" t="str">
        <f>IF(L876="","", IFERROR(VLOOKUP(L876, IF(D876="KET", 换算标准!$M:$N, IF(D876="PET", 换算标准!$S:$T, 换算标准!$AC:$AD)), 2, TRUE), 0))</f>
        <v/>
      </c>
      <c r="P876" t="str">
        <f t="shared" si="53"/>
        <v/>
      </c>
      <c r="Q876" t="str">
        <f>IF(P876="","", IFERROR(VLOOKUP(P876, IF(D876="KET", 换算标准!$O:$P, IF(D876="PET", 换算标准!$U:$V, 换算标准!$AG:$AH)), 2, TRUE), 0))</f>
        <v/>
      </c>
      <c r="W876" t="str">
        <f t="shared" si="54"/>
        <v/>
      </c>
      <c r="X876" t="str">
        <f>IF(W876="","", IFERROR(VLOOKUP(W876, IF(D876="KET", 换算标准!$Q:$R, IF(D876="PET", 换算标准!$W:$X, 换算标准!$AI:$AJ)), 2, TRUE), 0))</f>
        <v/>
      </c>
      <c r="Y876" t="str">
        <f t="shared" si="55"/>
        <v/>
      </c>
      <c r="Z876" t="str">
        <f>IF(Y876="","", IFERROR(VLOOKUP(Y876, 换算标准!$Z:$AA, 1, TRUE), ""))</f>
        <v/>
      </c>
      <c r="AA876" s="5" t="str">
        <f>IF(L876="","", "⚠️ 薄弱环节: "&amp;INDEX($E$1:$K$1, MATCH(MIN(E876:K876), E876:K876, 0))&amp;CHAR(10)&amp;"📉 考察能力: "&amp;IFERROR(VLOOKUP(TRIM(D876)&amp;"_"&amp;TRIM(INDEX($E$1:$K$1, MATCH(MIN(E876:K876), E876:K876, 0))), 技能库!$A:$F, 5, 0),"建议查阅考纲")&amp;CHAR(10)&amp;"💡 提升建议: "&amp;IFERROR(VLOOKUP(TRIM(D876)&amp;"_"&amp;TRIM(INDEX($E$1:$K$1, MATCH(MIN(E876:K876), E876:K876, 0))), 技能库!$A:$F, 6, 0),"请针对该题型加强练习"))</f>
        <v/>
      </c>
      <c r="AB876" s="5" t="str">
        <f>IF(P876="","", "⚠️ 薄弱环节: "&amp;INDEX($N$1:$O$1, MATCH(MIN(N876:O876), N876:O876, 0))&amp;CHAR(10)&amp;"📉 考察能力: "&amp;IFERROR(VLOOKUP(TRIM(D876)&amp;"_"&amp;TRIM(INDEX($N$1:$O$1, MATCH(MIN(N876:O876), N876:O876, 0))), 技能库!$A:$F, 5, 0),"建议查阅考纲")&amp;CHAR(10)&amp;"💡 提升建议: "&amp;IFERROR(VLOOKUP(TRIM(D876)&amp;"_"&amp;TRIM(INDEX($N$1:$O$1, MATCH(MIN(N876:O876), N876:O876, 0))), 技能库!$A:$F, 6, 0),"请针对该题型加强练习"))</f>
        <v/>
      </c>
      <c r="AC876" s="5" t="str">
        <f>IF(W876="","", "⚠️ 薄弱环节: "&amp;INDEX($R$1:$V$1, MATCH(MIN(R876:V876), R876:V876, 0))&amp;CHAR(10)&amp;"📉 考察能力: "&amp;IFERROR(VLOOKUP(TRIM(D876)&amp;"_"&amp;TRIM(INDEX($R$1:$V$1, MATCH(MIN(R876:V876), R876:V876, 0))), 技能库!$A:$F, 5, 0),"建议查阅考纲")&amp;CHAR(10)&amp;"💡 提升建议: "&amp;IFERROR(VLOOKUP(TRIM(D876)&amp;"_"&amp;TRIM(INDEX($R$1:$V$1, MATCH(MIN(R876:V876), R876:V876, 0))), 技能库!$A:$F, 6, 0),"请针对该题型加强练习"))</f>
        <v/>
      </c>
    </row>
    <row r="877" spans="12:29" ht="16" hidden="1" x14ac:dyDescent="0.2">
      <c r="L877" t="str">
        <f t="shared" si="52"/>
        <v/>
      </c>
      <c r="M877" t="str">
        <f>IF(L877="","", IFERROR(VLOOKUP(L877, IF(D877="KET", 换算标准!$M:$N, IF(D877="PET", 换算标准!$S:$T, 换算标准!$AC:$AD)), 2, TRUE), 0))</f>
        <v/>
      </c>
      <c r="P877" t="str">
        <f t="shared" si="53"/>
        <v/>
      </c>
      <c r="Q877" t="str">
        <f>IF(P877="","", IFERROR(VLOOKUP(P877, IF(D877="KET", 换算标准!$O:$P, IF(D877="PET", 换算标准!$U:$V, 换算标准!$AG:$AH)), 2, TRUE), 0))</f>
        <v/>
      </c>
      <c r="W877" t="str">
        <f t="shared" si="54"/>
        <v/>
      </c>
      <c r="X877" t="str">
        <f>IF(W877="","", IFERROR(VLOOKUP(W877, IF(D877="KET", 换算标准!$Q:$R, IF(D877="PET", 换算标准!$W:$X, 换算标准!$AI:$AJ)), 2, TRUE), 0))</f>
        <v/>
      </c>
      <c r="Y877" t="str">
        <f t="shared" si="55"/>
        <v/>
      </c>
      <c r="Z877" t="str">
        <f>IF(Y877="","", IFERROR(VLOOKUP(Y877, 换算标准!$Z:$AA, 1, TRUE), ""))</f>
        <v/>
      </c>
      <c r="AA877" s="5" t="str">
        <f>IF(L877="","", "⚠️ 薄弱环节: "&amp;INDEX($E$1:$K$1, MATCH(MIN(E877:K877), E877:K877, 0))&amp;CHAR(10)&amp;"📉 考察能力: "&amp;IFERROR(VLOOKUP(TRIM(D877)&amp;"_"&amp;TRIM(INDEX($E$1:$K$1, MATCH(MIN(E877:K877), E877:K877, 0))), 技能库!$A:$F, 5, 0),"建议查阅考纲")&amp;CHAR(10)&amp;"💡 提升建议: "&amp;IFERROR(VLOOKUP(TRIM(D877)&amp;"_"&amp;TRIM(INDEX($E$1:$K$1, MATCH(MIN(E877:K877), E877:K877, 0))), 技能库!$A:$F, 6, 0),"请针对该题型加强练习"))</f>
        <v/>
      </c>
      <c r="AB877" s="5" t="str">
        <f>IF(P877="","", "⚠️ 薄弱环节: "&amp;INDEX($N$1:$O$1, MATCH(MIN(N877:O877), N877:O877, 0))&amp;CHAR(10)&amp;"📉 考察能力: "&amp;IFERROR(VLOOKUP(TRIM(D877)&amp;"_"&amp;TRIM(INDEX($N$1:$O$1, MATCH(MIN(N877:O877), N877:O877, 0))), 技能库!$A:$F, 5, 0),"建议查阅考纲")&amp;CHAR(10)&amp;"💡 提升建议: "&amp;IFERROR(VLOOKUP(TRIM(D877)&amp;"_"&amp;TRIM(INDEX($N$1:$O$1, MATCH(MIN(N877:O877), N877:O877, 0))), 技能库!$A:$F, 6, 0),"请针对该题型加强练习"))</f>
        <v/>
      </c>
      <c r="AC877" s="5" t="str">
        <f>IF(W877="","", "⚠️ 薄弱环节: "&amp;INDEX($R$1:$V$1, MATCH(MIN(R877:V877), R877:V877, 0))&amp;CHAR(10)&amp;"📉 考察能力: "&amp;IFERROR(VLOOKUP(TRIM(D877)&amp;"_"&amp;TRIM(INDEX($R$1:$V$1, MATCH(MIN(R877:V877), R877:V877, 0))), 技能库!$A:$F, 5, 0),"建议查阅考纲")&amp;CHAR(10)&amp;"💡 提升建议: "&amp;IFERROR(VLOOKUP(TRIM(D877)&amp;"_"&amp;TRIM(INDEX($R$1:$V$1, MATCH(MIN(R877:V877), R877:V877, 0))), 技能库!$A:$F, 6, 0),"请针对该题型加强练习"))</f>
        <v/>
      </c>
    </row>
    <row r="878" spans="12:29" ht="16" hidden="1" x14ac:dyDescent="0.2">
      <c r="L878" t="str">
        <f t="shared" si="52"/>
        <v/>
      </c>
      <c r="M878" t="str">
        <f>IF(L878="","", IFERROR(VLOOKUP(L878, IF(D878="KET", 换算标准!$M:$N, IF(D878="PET", 换算标准!$S:$T, 换算标准!$AC:$AD)), 2, TRUE), 0))</f>
        <v/>
      </c>
      <c r="P878" t="str">
        <f t="shared" si="53"/>
        <v/>
      </c>
      <c r="Q878" t="str">
        <f>IF(P878="","", IFERROR(VLOOKUP(P878, IF(D878="KET", 换算标准!$O:$P, IF(D878="PET", 换算标准!$U:$V, 换算标准!$AG:$AH)), 2, TRUE), 0))</f>
        <v/>
      </c>
      <c r="W878" t="str">
        <f t="shared" si="54"/>
        <v/>
      </c>
      <c r="X878" t="str">
        <f>IF(W878="","", IFERROR(VLOOKUP(W878, IF(D878="KET", 换算标准!$Q:$R, IF(D878="PET", 换算标准!$W:$X, 换算标准!$AI:$AJ)), 2, TRUE), 0))</f>
        <v/>
      </c>
      <c r="Y878" t="str">
        <f t="shared" si="55"/>
        <v/>
      </c>
      <c r="Z878" t="str">
        <f>IF(Y878="","", IFERROR(VLOOKUP(Y878, 换算标准!$Z:$AA, 1, TRUE), ""))</f>
        <v/>
      </c>
      <c r="AA878" s="5" t="str">
        <f>IF(L878="","", "⚠️ 薄弱环节: "&amp;INDEX($E$1:$K$1, MATCH(MIN(E878:K878), E878:K878, 0))&amp;CHAR(10)&amp;"📉 考察能力: "&amp;IFERROR(VLOOKUP(TRIM(D878)&amp;"_"&amp;TRIM(INDEX($E$1:$K$1, MATCH(MIN(E878:K878), E878:K878, 0))), 技能库!$A:$F, 5, 0),"建议查阅考纲")&amp;CHAR(10)&amp;"💡 提升建议: "&amp;IFERROR(VLOOKUP(TRIM(D878)&amp;"_"&amp;TRIM(INDEX($E$1:$K$1, MATCH(MIN(E878:K878), E878:K878, 0))), 技能库!$A:$F, 6, 0),"请针对该题型加强练习"))</f>
        <v/>
      </c>
      <c r="AB878" s="5" t="str">
        <f>IF(P878="","", "⚠️ 薄弱环节: "&amp;INDEX($N$1:$O$1, MATCH(MIN(N878:O878), N878:O878, 0))&amp;CHAR(10)&amp;"📉 考察能力: "&amp;IFERROR(VLOOKUP(TRIM(D878)&amp;"_"&amp;TRIM(INDEX($N$1:$O$1, MATCH(MIN(N878:O878), N878:O878, 0))), 技能库!$A:$F, 5, 0),"建议查阅考纲")&amp;CHAR(10)&amp;"💡 提升建议: "&amp;IFERROR(VLOOKUP(TRIM(D878)&amp;"_"&amp;TRIM(INDEX($N$1:$O$1, MATCH(MIN(N878:O878), N878:O878, 0))), 技能库!$A:$F, 6, 0),"请针对该题型加强练习"))</f>
        <v/>
      </c>
      <c r="AC878" s="5" t="str">
        <f>IF(W878="","", "⚠️ 薄弱环节: "&amp;INDEX($R$1:$V$1, MATCH(MIN(R878:V878), R878:V878, 0))&amp;CHAR(10)&amp;"📉 考察能力: "&amp;IFERROR(VLOOKUP(TRIM(D878)&amp;"_"&amp;TRIM(INDEX($R$1:$V$1, MATCH(MIN(R878:V878), R878:V878, 0))), 技能库!$A:$F, 5, 0),"建议查阅考纲")&amp;CHAR(10)&amp;"💡 提升建议: "&amp;IFERROR(VLOOKUP(TRIM(D878)&amp;"_"&amp;TRIM(INDEX($R$1:$V$1, MATCH(MIN(R878:V878), R878:V878, 0))), 技能库!$A:$F, 6, 0),"请针对该题型加强练习"))</f>
        <v/>
      </c>
    </row>
    <row r="879" spans="12:29" ht="16" hidden="1" x14ac:dyDescent="0.2">
      <c r="L879" t="str">
        <f t="shared" si="52"/>
        <v/>
      </c>
      <c r="M879" t="str">
        <f>IF(L879="","", IFERROR(VLOOKUP(L879, IF(D879="KET", 换算标准!$M:$N, IF(D879="PET", 换算标准!$S:$T, 换算标准!$AC:$AD)), 2, TRUE), 0))</f>
        <v/>
      </c>
      <c r="P879" t="str">
        <f t="shared" si="53"/>
        <v/>
      </c>
      <c r="Q879" t="str">
        <f>IF(P879="","", IFERROR(VLOOKUP(P879, IF(D879="KET", 换算标准!$O:$P, IF(D879="PET", 换算标准!$U:$V, 换算标准!$AG:$AH)), 2, TRUE), 0))</f>
        <v/>
      </c>
      <c r="W879" t="str">
        <f t="shared" si="54"/>
        <v/>
      </c>
      <c r="X879" t="str">
        <f>IF(W879="","", IFERROR(VLOOKUP(W879, IF(D879="KET", 换算标准!$Q:$R, IF(D879="PET", 换算标准!$W:$X, 换算标准!$AI:$AJ)), 2, TRUE), 0))</f>
        <v/>
      </c>
      <c r="Y879" t="str">
        <f t="shared" si="55"/>
        <v/>
      </c>
      <c r="Z879" t="str">
        <f>IF(Y879="","", IFERROR(VLOOKUP(Y879, 换算标准!$Z:$AA, 1, TRUE), ""))</f>
        <v/>
      </c>
      <c r="AA879" s="5" t="str">
        <f>IF(L879="","", "⚠️ 薄弱环节: "&amp;INDEX($E$1:$K$1, MATCH(MIN(E879:K879), E879:K879, 0))&amp;CHAR(10)&amp;"📉 考察能力: "&amp;IFERROR(VLOOKUP(TRIM(D879)&amp;"_"&amp;TRIM(INDEX($E$1:$K$1, MATCH(MIN(E879:K879), E879:K879, 0))), 技能库!$A:$F, 5, 0),"建议查阅考纲")&amp;CHAR(10)&amp;"💡 提升建议: "&amp;IFERROR(VLOOKUP(TRIM(D879)&amp;"_"&amp;TRIM(INDEX($E$1:$K$1, MATCH(MIN(E879:K879), E879:K879, 0))), 技能库!$A:$F, 6, 0),"请针对该题型加强练习"))</f>
        <v/>
      </c>
      <c r="AB879" s="5" t="str">
        <f>IF(P879="","", "⚠️ 薄弱环节: "&amp;INDEX($N$1:$O$1, MATCH(MIN(N879:O879), N879:O879, 0))&amp;CHAR(10)&amp;"📉 考察能力: "&amp;IFERROR(VLOOKUP(TRIM(D879)&amp;"_"&amp;TRIM(INDEX($N$1:$O$1, MATCH(MIN(N879:O879), N879:O879, 0))), 技能库!$A:$F, 5, 0),"建议查阅考纲")&amp;CHAR(10)&amp;"💡 提升建议: "&amp;IFERROR(VLOOKUP(TRIM(D879)&amp;"_"&amp;TRIM(INDEX($N$1:$O$1, MATCH(MIN(N879:O879), N879:O879, 0))), 技能库!$A:$F, 6, 0),"请针对该题型加强练习"))</f>
        <v/>
      </c>
      <c r="AC879" s="5" t="str">
        <f>IF(W879="","", "⚠️ 薄弱环节: "&amp;INDEX($R$1:$V$1, MATCH(MIN(R879:V879), R879:V879, 0))&amp;CHAR(10)&amp;"📉 考察能力: "&amp;IFERROR(VLOOKUP(TRIM(D879)&amp;"_"&amp;TRIM(INDEX($R$1:$V$1, MATCH(MIN(R879:V879), R879:V879, 0))), 技能库!$A:$F, 5, 0),"建议查阅考纲")&amp;CHAR(10)&amp;"💡 提升建议: "&amp;IFERROR(VLOOKUP(TRIM(D879)&amp;"_"&amp;TRIM(INDEX($R$1:$V$1, MATCH(MIN(R879:V879), R879:V879, 0))), 技能库!$A:$F, 6, 0),"请针对该题型加强练习"))</f>
        <v/>
      </c>
    </row>
    <row r="880" spans="12:29" ht="16" hidden="1" x14ac:dyDescent="0.2">
      <c r="L880" t="str">
        <f t="shared" si="52"/>
        <v/>
      </c>
      <c r="M880" t="str">
        <f>IF(L880="","", IFERROR(VLOOKUP(L880, IF(D880="KET", 换算标准!$M:$N, IF(D880="PET", 换算标准!$S:$T, 换算标准!$AC:$AD)), 2, TRUE), 0))</f>
        <v/>
      </c>
      <c r="P880" t="str">
        <f t="shared" si="53"/>
        <v/>
      </c>
      <c r="Q880" t="str">
        <f>IF(P880="","", IFERROR(VLOOKUP(P880, IF(D880="KET", 换算标准!$O:$P, IF(D880="PET", 换算标准!$U:$V, 换算标准!$AG:$AH)), 2, TRUE), 0))</f>
        <v/>
      </c>
      <c r="W880" t="str">
        <f t="shared" si="54"/>
        <v/>
      </c>
      <c r="X880" t="str">
        <f>IF(W880="","", IFERROR(VLOOKUP(W880, IF(D880="KET", 换算标准!$Q:$R, IF(D880="PET", 换算标准!$W:$X, 换算标准!$AI:$AJ)), 2, TRUE), 0))</f>
        <v/>
      </c>
      <c r="Y880" t="str">
        <f t="shared" si="55"/>
        <v/>
      </c>
      <c r="Z880" t="str">
        <f>IF(Y880="","", IFERROR(VLOOKUP(Y880, 换算标准!$Z:$AA, 1, TRUE), ""))</f>
        <v/>
      </c>
      <c r="AA880" s="5" t="str">
        <f>IF(L880="","", "⚠️ 薄弱环节: "&amp;INDEX($E$1:$K$1, MATCH(MIN(E880:K880), E880:K880, 0))&amp;CHAR(10)&amp;"📉 考察能力: "&amp;IFERROR(VLOOKUP(TRIM(D880)&amp;"_"&amp;TRIM(INDEX($E$1:$K$1, MATCH(MIN(E880:K880), E880:K880, 0))), 技能库!$A:$F, 5, 0),"建议查阅考纲")&amp;CHAR(10)&amp;"💡 提升建议: "&amp;IFERROR(VLOOKUP(TRIM(D880)&amp;"_"&amp;TRIM(INDEX($E$1:$K$1, MATCH(MIN(E880:K880), E880:K880, 0))), 技能库!$A:$F, 6, 0),"请针对该题型加强练习"))</f>
        <v/>
      </c>
      <c r="AB880" s="5" t="str">
        <f>IF(P880="","", "⚠️ 薄弱环节: "&amp;INDEX($N$1:$O$1, MATCH(MIN(N880:O880), N880:O880, 0))&amp;CHAR(10)&amp;"📉 考察能力: "&amp;IFERROR(VLOOKUP(TRIM(D880)&amp;"_"&amp;TRIM(INDEX($N$1:$O$1, MATCH(MIN(N880:O880), N880:O880, 0))), 技能库!$A:$F, 5, 0),"建议查阅考纲")&amp;CHAR(10)&amp;"💡 提升建议: "&amp;IFERROR(VLOOKUP(TRIM(D880)&amp;"_"&amp;TRIM(INDEX($N$1:$O$1, MATCH(MIN(N880:O880), N880:O880, 0))), 技能库!$A:$F, 6, 0),"请针对该题型加强练习"))</f>
        <v/>
      </c>
      <c r="AC880" s="5" t="str">
        <f>IF(W880="","", "⚠️ 薄弱环节: "&amp;INDEX($R$1:$V$1, MATCH(MIN(R880:V880), R880:V880, 0))&amp;CHAR(10)&amp;"📉 考察能力: "&amp;IFERROR(VLOOKUP(TRIM(D880)&amp;"_"&amp;TRIM(INDEX($R$1:$V$1, MATCH(MIN(R880:V880), R880:V880, 0))), 技能库!$A:$F, 5, 0),"建议查阅考纲")&amp;CHAR(10)&amp;"💡 提升建议: "&amp;IFERROR(VLOOKUP(TRIM(D880)&amp;"_"&amp;TRIM(INDEX($R$1:$V$1, MATCH(MIN(R880:V880), R880:V880, 0))), 技能库!$A:$F, 6, 0),"请针对该题型加强练习"))</f>
        <v/>
      </c>
    </row>
    <row r="881" spans="12:29" ht="16" hidden="1" x14ac:dyDescent="0.2">
      <c r="L881" t="str">
        <f t="shared" si="52"/>
        <v/>
      </c>
      <c r="M881" t="str">
        <f>IF(L881="","", IFERROR(VLOOKUP(L881, IF(D881="KET", 换算标准!$M:$N, IF(D881="PET", 换算标准!$S:$T, 换算标准!$AC:$AD)), 2, TRUE), 0))</f>
        <v/>
      </c>
      <c r="P881" t="str">
        <f t="shared" si="53"/>
        <v/>
      </c>
      <c r="Q881" t="str">
        <f>IF(P881="","", IFERROR(VLOOKUP(P881, IF(D881="KET", 换算标准!$O:$P, IF(D881="PET", 换算标准!$U:$V, 换算标准!$AG:$AH)), 2, TRUE), 0))</f>
        <v/>
      </c>
      <c r="W881" t="str">
        <f t="shared" si="54"/>
        <v/>
      </c>
      <c r="X881" t="str">
        <f>IF(W881="","", IFERROR(VLOOKUP(W881, IF(D881="KET", 换算标准!$Q:$R, IF(D881="PET", 换算标准!$W:$X, 换算标准!$AI:$AJ)), 2, TRUE), 0))</f>
        <v/>
      </c>
      <c r="Y881" t="str">
        <f t="shared" si="55"/>
        <v/>
      </c>
      <c r="Z881" t="str">
        <f>IF(Y881="","", IFERROR(VLOOKUP(Y881, 换算标准!$Z:$AA, 1, TRUE), ""))</f>
        <v/>
      </c>
      <c r="AA881" s="5" t="str">
        <f>IF(L881="","", "⚠️ 薄弱环节: "&amp;INDEX($E$1:$K$1, MATCH(MIN(E881:K881), E881:K881, 0))&amp;CHAR(10)&amp;"📉 考察能力: "&amp;IFERROR(VLOOKUP(TRIM(D881)&amp;"_"&amp;TRIM(INDEX($E$1:$K$1, MATCH(MIN(E881:K881), E881:K881, 0))), 技能库!$A:$F, 5, 0),"建议查阅考纲")&amp;CHAR(10)&amp;"💡 提升建议: "&amp;IFERROR(VLOOKUP(TRIM(D881)&amp;"_"&amp;TRIM(INDEX($E$1:$K$1, MATCH(MIN(E881:K881), E881:K881, 0))), 技能库!$A:$F, 6, 0),"请针对该题型加强练习"))</f>
        <v/>
      </c>
      <c r="AB881" s="5" t="str">
        <f>IF(P881="","", "⚠️ 薄弱环节: "&amp;INDEX($N$1:$O$1, MATCH(MIN(N881:O881), N881:O881, 0))&amp;CHAR(10)&amp;"📉 考察能力: "&amp;IFERROR(VLOOKUP(TRIM(D881)&amp;"_"&amp;TRIM(INDEX($N$1:$O$1, MATCH(MIN(N881:O881), N881:O881, 0))), 技能库!$A:$F, 5, 0),"建议查阅考纲")&amp;CHAR(10)&amp;"💡 提升建议: "&amp;IFERROR(VLOOKUP(TRIM(D881)&amp;"_"&amp;TRIM(INDEX($N$1:$O$1, MATCH(MIN(N881:O881), N881:O881, 0))), 技能库!$A:$F, 6, 0),"请针对该题型加强练习"))</f>
        <v/>
      </c>
      <c r="AC881" s="5" t="str">
        <f>IF(W881="","", "⚠️ 薄弱环节: "&amp;INDEX($R$1:$V$1, MATCH(MIN(R881:V881), R881:V881, 0))&amp;CHAR(10)&amp;"📉 考察能力: "&amp;IFERROR(VLOOKUP(TRIM(D881)&amp;"_"&amp;TRIM(INDEX($R$1:$V$1, MATCH(MIN(R881:V881), R881:V881, 0))), 技能库!$A:$F, 5, 0),"建议查阅考纲")&amp;CHAR(10)&amp;"💡 提升建议: "&amp;IFERROR(VLOOKUP(TRIM(D881)&amp;"_"&amp;TRIM(INDEX($R$1:$V$1, MATCH(MIN(R881:V881), R881:V881, 0))), 技能库!$A:$F, 6, 0),"请针对该题型加强练习"))</f>
        <v/>
      </c>
    </row>
    <row r="882" spans="12:29" ht="16" hidden="1" x14ac:dyDescent="0.2">
      <c r="L882" t="str">
        <f t="shared" si="52"/>
        <v/>
      </c>
      <c r="M882" t="str">
        <f>IF(L882="","", IFERROR(VLOOKUP(L882, IF(D882="KET", 换算标准!$M:$N, IF(D882="PET", 换算标准!$S:$T, 换算标准!$AC:$AD)), 2, TRUE), 0))</f>
        <v/>
      </c>
      <c r="P882" t="str">
        <f t="shared" si="53"/>
        <v/>
      </c>
      <c r="Q882" t="str">
        <f>IF(P882="","", IFERROR(VLOOKUP(P882, IF(D882="KET", 换算标准!$O:$P, IF(D882="PET", 换算标准!$U:$V, 换算标准!$AG:$AH)), 2, TRUE), 0))</f>
        <v/>
      </c>
      <c r="W882" t="str">
        <f t="shared" si="54"/>
        <v/>
      </c>
      <c r="X882" t="str">
        <f>IF(W882="","", IFERROR(VLOOKUP(W882, IF(D882="KET", 换算标准!$Q:$R, IF(D882="PET", 换算标准!$W:$X, 换算标准!$AI:$AJ)), 2, TRUE), 0))</f>
        <v/>
      </c>
      <c r="Y882" t="str">
        <f t="shared" si="55"/>
        <v/>
      </c>
      <c r="Z882" t="str">
        <f>IF(Y882="","", IFERROR(VLOOKUP(Y882, 换算标准!$Z:$AA, 1, TRUE), ""))</f>
        <v/>
      </c>
      <c r="AA882" s="5" t="str">
        <f>IF(L882="","", "⚠️ 薄弱环节: "&amp;INDEX($E$1:$K$1, MATCH(MIN(E882:K882), E882:K882, 0))&amp;CHAR(10)&amp;"📉 考察能力: "&amp;IFERROR(VLOOKUP(TRIM(D882)&amp;"_"&amp;TRIM(INDEX($E$1:$K$1, MATCH(MIN(E882:K882), E882:K882, 0))), 技能库!$A:$F, 5, 0),"建议查阅考纲")&amp;CHAR(10)&amp;"💡 提升建议: "&amp;IFERROR(VLOOKUP(TRIM(D882)&amp;"_"&amp;TRIM(INDEX($E$1:$K$1, MATCH(MIN(E882:K882), E882:K882, 0))), 技能库!$A:$F, 6, 0),"请针对该题型加强练习"))</f>
        <v/>
      </c>
      <c r="AB882" s="5" t="str">
        <f>IF(P882="","", "⚠️ 薄弱环节: "&amp;INDEX($N$1:$O$1, MATCH(MIN(N882:O882), N882:O882, 0))&amp;CHAR(10)&amp;"📉 考察能力: "&amp;IFERROR(VLOOKUP(TRIM(D882)&amp;"_"&amp;TRIM(INDEX($N$1:$O$1, MATCH(MIN(N882:O882), N882:O882, 0))), 技能库!$A:$F, 5, 0),"建议查阅考纲")&amp;CHAR(10)&amp;"💡 提升建议: "&amp;IFERROR(VLOOKUP(TRIM(D882)&amp;"_"&amp;TRIM(INDEX($N$1:$O$1, MATCH(MIN(N882:O882), N882:O882, 0))), 技能库!$A:$F, 6, 0),"请针对该题型加强练习"))</f>
        <v/>
      </c>
      <c r="AC882" s="5" t="str">
        <f>IF(W882="","", "⚠️ 薄弱环节: "&amp;INDEX($R$1:$V$1, MATCH(MIN(R882:V882), R882:V882, 0))&amp;CHAR(10)&amp;"📉 考察能力: "&amp;IFERROR(VLOOKUP(TRIM(D882)&amp;"_"&amp;TRIM(INDEX($R$1:$V$1, MATCH(MIN(R882:V882), R882:V882, 0))), 技能库!$A:$F, 5, 0),"建议查阅考纲")&amp;CHAR(10)&amp;"💡 提升建议: "&amp;IFERROR(VLOOKUP(TRIM(D882)&amp;"_"&amp;TRIM(INDEX($R$1:$V$1, MATCH(MIN(R882:V882), R882:V882, 0))), 技能库!$A:$F, 6, 0),"请针对该题型加强练习"))</f>
        <v/>
      </c>
    </row>
    <row r="883" spans="12:29" ht="16" hidden="1" x14ac:dyDescent="0.2">
      <c r="L883" t="str">
        <f t="shared" si="52"/>
        <v/>
      </c>
      <c r="M883" t="str">
        <f>IF(L883="","", IFERROR(VLOOKUP(L883, IF(D883="KET", 换算标准!$M:$N, IF(D883="PET", 换算标准!$S:$T, 换算标准!$AC:$AD)), 2, TRUE), 0))</f>
        <v/>
      </c>
      <c r="P883" t="str">
        <f t="shared" si="53"/>
        <v/>
      </c>
      <c r="Q883" t="str">
        <f>IF(P883="","", IFERROR(VLOOKUP(P883, IF(D883="KET", 换算标准!$O:$P, IF(D883="PET", 换算标准!$U:$V, 换算标准!$AG:$AH)), 2, TRUE), 0))</f>
        <v/>
      </c>
      <c r="W883" t="str">
        <f t="shared" si="54"/>
        <v/>
      </c>
      <c r="X883" t="str">
        <f>IF(W883="","", IFERROR(VLOOKUP(W883, IF(D883="KET", 换算标准!$Q:$R, IF(D883="PET", 换算标准!$W:$X, 换算标准!$AI:$AJ)), 2, TRUE), 0))</f>
        <v/>
      </c>
      <c r="Y883" t="str">
        <f t="shared" si="55"/>
        <v/>
      </c>
      <c r="Z883" t="str">
        <f>IF(Y883="","", IFERROR(VLOOKUP(Y883, 换算标准!$Z:$AA, 1, TRUE), ""))</f>
        <v/>
      </c>
      <c r="AA883" s="5" t="str">
        <f>IF(L883="","", "⚠️ 薄弱环节: "&amp;INDEX($E$1:$K$1, MATCH(MIN(E883:K883), E883:K883, 0))&amp;CHAR(10)&amp;"📉 考察能力: "&amp;IFERROR(VLOOKUP(TRIM(D883)&amp;"_"&amp;TRIM(INDEX($E$1:$K$1, MATCH(MIN(E883:K883), E883:K883, 0))), 技能库!$A:$F, 5, 0),"建议查阅考纲")&amp;CHAR(10)&amp;"💡 提升建议: "&amp;IFERROR(VLOOKUP(TRIM(D883)&amp;"_"&amp;TRIM(INDEX($E$1:$K$1, MATCH(MIN(E883:K883), E883:K883, 0))), 技能库!$A:$F, 6, 0),"请针对该题型加强练习"))</f>
        <v/>
      </c>
      <c r="AB883" s="5" t="str">
        <f>IF(P883="","", "⚠️ 薄弱环节: "&amp;INDEX($N$1:$O$1, MATCH(MIN(N883:O883), N883:O883, 0))&amp;CHAR(10)&amp;"📉 考察能力: "&amp;IFERROR(VLOOKUP(TRIM(D883)&amp;"_"&amp;TRIM(INDEX($N$1:$O$1, MATCH(MIN(N883:O883), N883:O883, 0))), 技能库!$A:$F, 5, 0),"建议查阅考纲")&amp;CHAR(10)&amp;"💡 提升建议: "&amp;IFERROR(VLOOKUP(TRIM(D883)&amp;"_"&amp;TRIM(INDEX($N$1:$O$1, MATCH(MIN(N883:O883), N883:O883, 0))), 技能库!$A:$F, 6, 0),"请针对该题型加强练习"))</f>
        <v/>
      </c>
      <c r="AC883" s="5" t="str">
        <f>IF(W883="","", "⚠️ 薄弱环节: "&amp;INDEX($R$1:$V$1, MATCH(MIN(R883:V883), R883:V883, 0))&amp;CHAR(10)&amp;"📉 考察能力: "&amp;IFERROR(VLOOKUP(TRIM(D883)&amp;"_"&amp;TRIM(INDEX($R$1:$V$1, MATCH(MIN(R883:V883), R883:V883, 0))), 技能库!$A:$F, 5, 0),"建议查阅考纲")&amp;CHAR(10)&amp;"💡 提升建议: "&amp;IFERROR(VLOOKUP(TRIM(D883)&amp;"_"&amp;TRIM(INDEX($R$1:$V$1, MATCH(MIN(R883:V883), R883:V883, 0))), 技能库!$A:$F, 6, 0),"请针对该题型加强练习"))</f>
        <v/>
      </c>
    </row>
    <row r="884" spans="12:29" ht="16" hidden="1" x14ac:dyDescent="0.2">
      <c r="L884" t="str">
        <f t="shared" si="52"/>
        <v/>
      </c>
      <c r="M884" t="str">
        <f>IF(L884="","", IFERROR(VLOOKUP(L884, IF(D884="KET", 换算标准!$M:$N, IF(D884="PET", 换算标准!$S:$T, 换算标准!$AC:$AD)), 2, TRUE), 0))</f>
        <v/>
      </c>
      <c r="P884" t="str">
        <f t="shared" si="53"/>
        <v/>
      </c>
      <c r="Q884" t="str">
        <f>IF(P884="","", IFERROR(VLOOKUP(P884, IF(D884="KET", 换算标准!$O:$P, IF(D884="PET", 换算标准!$U:$V, 换算标准!$AG:$AH)), 2, TRUE), 0))</f>
        <v/>
      </c>
      <c r="W884" t="str">
        <f t="shared" si="54"/>
        <v/>
      </c>
      <c r="X884" t="str">
        <f>IF(W884="","", IFERROR(VLOOKUP(W884, IF(D884="KET", 换算标准!$Q:$R, IF(D884="PET", 换算标准!$W:$X, 换算标准!$AI:$AJ)), 2, TRUE), 0))</f>
        <v/>
      </c>
      <c r="Y884" t="str">
        <f t="shared" si="55"/>
        <v/>
      </c>
      <c r="Z884" t="str">
        <f>IF(Y884="","", IFERROR(VLOOKUP(Y884, 换算标准!$Z:$AA, 1, TRUE), ""))</f>
        <v/>
      </c>
      <c r="AA884" s="5" t="str">
        <f>IF(L884="","", "⚠️ 薄弱环节: "&amp;INDEX($E$1:$K$1, MATCH(MIN(E884:K884), E884:K884, 0))&amp;CHAR(10)&amp;"📉 考察能力: "&amp;IFERROR(VLOOKUP(TRIM(D884)&amp;"_"&amp;TRIM(INDEX($E$1:$K$1, MATCH(MIN(E884:K884), E884:K884, 0))), 技能库!$A:$F, 5, 0),"建议查阅考纲")&amp;CHAR(10)&amp;"💡 提升建议: "&amp;IFERROR(VLOOKUP(TRIM(D884)&amp;"_"&amp;TRIM(INDEX($E$1:$K$1, MATCH(MIN(E884:K884), E884:K884, 0))), 技能库!$A:$F, 6, 0),"请针对该题型加强练习"))</f>
        <v/>
      </c>
      <c r="AB884" s="5" t="str">
        <f>IF(P884="","", "⚠️ 薄弱环节: "&amp;INDEX($N$1:$O$1, MATCH(MIN(N884:O884), N884:O884, 0))&amp;CHAR(10)&amp;"📉 考察能力: "&amp;IFERROR(VLOOKUP(TRIM(D884)&amp;"_"&amp;TRIM(INDEX($N$1:$O$1, MATCH(MIN(N884:O884), N884:O884, 0))), 技能库!$A:$F, 5, 0),"建议查阅考纲")&amp;CHAR(10)&amp;"💡 提升建议: "&amp;IFERROR(VLOOKUP(TRIM(D884)&amp;"_"&amp;TRIM(INDEX($N$1:$O$1, MATCH(MIN(N884:O884), N884:O884, 0))), 技能库!$A:$F, 6, 0),"请针对该题型加强练习"))</f>
        <v/>
      </c>
      <c r="AC884" s="5" t="str">
        <f>IF(W884="","", "⚠️ 薄弱环节: "&amp;INDEX($R$1:$V$1, MATCH(MIN(R884:V884), R884:V884, 0))&amp;CHAR(10)&amp;"📉 考察能力: "&amp;IFERROR(VLOOKUP(TRIM(D884)&amp;"_"&amp;TRIM(INDEX($R$1:$V$1, MATCH(MIN(R884:V884), R884:V884, 0))), 技能库!$A:$F, 5, 0),"建议查阅考纲")&amp;CHAR(10)&amp;"💡 提升建议: "&amp;IFERROR(VLOOKUP(TRIM(D884)&amp;"_"&amp;TRIM(INDEX($R$1:$V$1, MATCH(MIN(R884:V884), R884:V884, 0))), 技能库!$A:$F, 6, 0),"请针对该题型加强练习"))</f>
        <v/>
      </c>
    </row>
    <row r="885" spans="12:29" ht="16" hidden="1" x14ac:dyDescent="0.2">
      <c r="L885" t="str">
        <f t="shared" si="52"/>
        <v/>
      </c>
      <c r="M885" t="str">
        <f>IF(L885="","", IFERROR(VLOOKUP(L885, IF(D885="KET", 换算标准!$M:$N, IF(D885="PET", 换算标准!$S:$T, 换算标准!$AC:$AD)), 2, TRUE), 0))</f>
        <v/>
      </c>
      <c r="P885" t="str">
        <f t="shared" si="53"/>
        <v/>
      </c>
      <c r="Q885" t="str">
        <f>IF(P885="","", IFERROR(VLOOKUP(P885, IF(D885="KET", 换算标准!$O:$P, IF(D885="PET", 换算标准!$U:$V, 换算标准!$AG:$AH)), 2, TRUE), 0))</f>
        <v/>
      </c>
      <c r="W885" t="str">
        <f t="shared" si="54"/>
        <v/>
      </c>
      <c r="X885" t="str">
        <f>IF(W885="","", IFERROR(VLOOKUP(W885, IF(D885="KET", 换算标准!$Q:$R, IF(D885="PET", 换算标准!$W:$X, 换算标准!$AI:$AJ)), 2, TRUE), 0))</f>
        <v/>
      </c>
      <c r="Y885" t="str">
        <f t="shared" si="55"/>
        <v/>
      </c>
      <c r="Z885" t="str">
        <f>IF(Y885="","", IFERROR(VLOOKUP(Y885, 换算标准!$Z:$AA, 1, TRUE), ""))</f>
        <v/>
      </c>
      <c r="AA885" s="5" t="str">
        <f>IF(L885="","", "⚠️ 薄弱环节: "&amp;INDEX($E$1:$K$1, MATCH(MIN(E885:K885), E885:K885, 0))&amp;CHAR(10)&amp;"📉 考察能力: "&amp;IFERROR(VLOOKUP(TRIM(D885)&amp;"_"&amp;TRIM(INDEX($E$1:$K$1, MATCH(MIN(E885:K885), E885:K885, 0))), 技能库!$A:$F, 5, 0),"建议查阅考纲")&amp;CHAR(10)&amp;"💡 提升建议: "&amp;IFERROR(VLOOKUP(TRIM(D885)&amp;"_"&amp;TRIM(INDEX($E$1:$K$1, MATCH(MIN(E885:K885), E885:K885, 0))), 技能库!$A:$F, 6, 0),"请针对该题型加强练习"))</f>
        <v/>
      </c>
      <c r="AB885" s="5" t="str">
        <f>IF(P885="","", "⚠️ 薄弱环节: "&amp;INDEX($N$1:$O$1, MATCH(MIN(N885:O885), N885:O885, 0))&amp;CHAR(10)&amp;"📉 考察能力: "&amp;IFERROR(VLOOKUP(TRIM(D885)&amp;"_"&amp;TRIM(INDEX($N$1:$O$1, MATCH(MIN(N885:O885), N885:O885, 0))), 技能库!$A:$F, 5, 0),"建议查阅考纲")&amp;CHAR(10)&amp;"💡 提升建议: "&amp;IFERROR(VLOOKUP(TRIM(D885)&amp;"_"&amp;TRIM(INDEX($N$1:$O$1, MATCH(MIN(N885:O885), N885:O885, 0))), 技能库!$A:$F, 6, 0),"请针对该题型加强练习"))</f>
        <v/>
      </c>
      <c r="AC885" s="5" t="str">
        <f>IF(W885="","", "⚠️ 薄弱环节: "&amp;INDEX($R$1:$V$1, MATCH(MIN(R885:V885), R885:V885, 0))&amp;CHAR(10)&amp;"📉 考察能力: "&amp;IFERROR(VLOOKUP(TRIM(D885)&amp;"_"&amp;TRIM(INDEX($R$1:$V$1, MATCH(MIN(R885:V885), R885:V885, 0))), 技能库!$A:$F, 5, 0),"建议查阅考纲")&amp;CHAR(10)&amp;"💡 提升建议: "&amp;IFERROR(VLOOKUP(TRIM(D885)&amp;"_"&amp;TRIM(INDEX($R$1:$V$1, MATCH(MIN(R885:V885), R885:V885, 0))), 技能库!$A:$F, 6, 0),"请针对该题型加强练习"))</f>
        <v/>
      </c>
    </row>
    <row r="886" spans="12:29" ht="16" hidden="1" x14ac:dyDescent="0.2">
      <c r="L886" t="str">
        <f t="shared" si="52"/>
        <v/>
      </c>
      <c r="M886" t="str">
        <f>IF(L886="","", IFERROR(VLOOKUP(L886, IF(D886="KET", 换算标准!$M:$N, IF(D886="PET", 换算标准!$S:$T, 换算标准!$AC:$AD)), 2, TRUE), 0))</f>
        <v/>
      </c>
      <c r="P886" t="str">
        <f t="shared" si="53"/>
        <v/>
      </c>
      <c r="Q886" t="str">
        <f>IF(P886="","", IFERROR(VLOOKUP(P886, IF(D886="KET", 换算标准!$O:$P, IF(D886="PET", 换算标准!$U:$V, 换算标准!$AG:$AH)), 2, TRUE), 0))</f>
        <v/>
      </c>
      <c r="W886" t="str">
        <f t="shared" si="54"/>
        <v/>
      </c>
      <c r="X886" t="str">
        <f>IF(W886="","", IFERROR(VLOOKUP(W886, IF(D886="KET", 换算标准!$Q:$R, IF(D886="PET", 换算标准!$W:$X, 换算标准!$AI:$AJ)), 2, TRUE), 0))</f>
        <v/>
      </c>
      <c r="Y886" t="str">
        <f t="shared" si="55"/>
        <v/>
      </c>
      <c r="Z886" t="str">
        <f>IF(Y886="","", IFERROR(VLOOKUP(Y886, 换算标准!$Z:$AA, 1, TRUE), ""))</f>
        <v/>
      </c>
      <c r="AA886" s="5" t="str">
        <f>IF(L886="","", "⚠️ 薄弱环节: "&amp;INDEX($E$1:$K$1, MATCH(MIN(E886:K886), E886:K886, 0))&amp;CHAR(10)&amp;"📉 考察能力: "&amp;IFERROR(VLOOKUP(TRIM(D886)&amp;"_"&amp;TRIM(INDEX($E$1:$K$1, MATCH(MIN(E886:K886), E886:K886, 0))), 技能库!$A:$F, 5, 0),"建议查阅考纲")&amp;CHAR(10)&amp;"💡 提升建议: "&amp;IFERROR(VLOOKUP(TRIM(D886)&amp;"_"&amp;TRIM(INDEX($E$1:$K$1, MATCH(MIN(E886:K886), E886:K886, 0))), 技能库!$A:$F, 6, 0),"请针对该题型加强练习"))</f>
        <v/>
      </c>
      <c r="AB886" s="5" t="str">
        <f>IF(P886="","", "⚠️ 薄弱环节: "&amp;INDEX($N$1:$O$1, MATCH(MIN(N886:O886), N886:O886, 0))&amp;CHAR(10)&amp;"📉 考察能力: "&amp;IFERROR(VLOOKUP(TRIM(D886)&amp;"_"&amp;TRIM(INDEX($N$1:$O$1, MATCH(MIN(N886:O886), N886:O886, 0))), 技能库!$A:$F, 5, 0),"建议查阅考纲")&amp;CHAR(10)&amp;"💡 提升建议: "&amp;IFERROR(VLOOKUP(TRIM(D886)&amp;"_"&amp;TRIM(INDEX($N$1:$O$1, MATCH(MIN(N886:O886), N886:O886, 0))), 技能库!$A:$F, 6, 0),"请针对该题型加强练习"))</f>
        <v/>
      </c>
      <c r="AC886" s="5" t="str">
        <f>IF(W886="","", "⚠️ 薄弱环节: "&amp;INDEX($R$1:$V$1, MATCH(MIN(R886:V886), R886:V886, 0))&amp;CHAR(10)&amp;"📉 考察能力: "&amp;IFERROR(VLOOKUP(TRIM(D886)&amp;"_"&amp;TRIM(INDEX($R$1:$V$1, MATCH(MIN(R886:V886), R886:V886, 0))), 技能库!$A:$F, 5, 0),"建议查阅考纲")&amp;CHAR(10)&amp;"💡 提升建议: "&amp;IFERROR(VLOOKUP(TRIM(D886)&amp;"_"&amp;TRIM(INDEX($R$1:$V$1, MATCH(MIN(R886:V886), R886:V886, 0))), 技能库!$A:$F, 6, 0),"请针对该题型加强练习"))</f>
        <v/>
      </c>
    </row>
    <row r="887" spans="12:29" ht="16" hidden="1" x14ac:dyDescent="0.2">
      <c r="L887" t="str">
        <f t="shared" si="52"/>
        <v/>
      </c>
      <c r="M887" t="str">
        <f>IF(L887="","", IFERROR(VLOOKUP(L887, IF(D887="KET", 换算标准!$M:$N, IF(D887="PET", 换算标准!$S:$T, 换算标准!$AC:$AD)), 2, TRUE), 0))</f>
        <v/>
      </c>
      <c r="P887" t="str">
        <f t="shared" si="53"/>
        <v/>
      </c>
      <c r="Q887" t="str">
        <f>IF(P887="","", IFERROR(VLOOKUP(P887, IF(D887="KET", 换算标准!$O:$P, IF(D887="PET", 换算标准!$U:$V, 换算标准!$AG:$AH)), 2, TRUE), 0))</f>
        <v/>
      </c>
      <c r="W887" t="str">
        <f t="shared" si="54"/>
        <v/>
      </c>
      <c r="X887" t="str">
        <f>IF(W887="","", IFERROR(VLOOKUP(W887, IF(D887="KET", 换算标准!$Q:$R, IF(D887="PET", 换算标准!$W:$X, 换算标准!$AI:$AJ)), 2, TRUE), 0))</f>
        <v/>
      </c>
      <c r="Y887" t="str">
        <f t="shared" si="55"/>
        <v/>
      </c>
      <c r="Z887" t="str">
        <f>IF(Y887="","", IFERROR(VLOOKUP(Y887, 换算标准!$Z:$AA, 1, TRUE), ""))</f>
        <v/>
      </c>
      <c r="AA887" s="5" t="str">
        <f>IF(L887="","", "⚠️ 薄弱环节: "&amp;INDEX($E$1:$K$1, MATCH(MIN(E887:K887), E887:K887, 0))&amp;CHAR(10)&amp;"📉 考察能力: "&amp;IFERROR(VLOOKUP(TRIM(D887)&amp;"_"&amp;TRIM(INDEX($E$1:$K$1, MATCH(MIN(E887:K887), E887:K887, 0))), 技能库!$A:$F, 5, 0),"建议查阅考纲")&amp;CHAR(10)&amp;"💡 提升建议: "&amp;IFERROR(VLOOKUP(TRIM(D887)&amp;"_"&amp;TRIM(INDEX($E$1:$K$1, MATCH(MIN(E887:K887), E887:K887, 0))), 技能库!$A:$F, 6, 0),"请针对该题型加强练习"))</f>
        <v/>
      </c>
      <c r="AB887" s="5" t="str">
        <f>IF(P887="","", "⚠️ 薄弱环节: "&amp;INDEX($N$1:$O$1, MATCH(MIN(N887:O887), N887:O887, 0))&amp;CHAR(10)&amp;"📉 考察能力: "&amp;IFERROR(VLOOKUP(TRIM(D887)&amp;"_"&amp;TRIM(INDEX($N$1:$O$1, MATCH(MIN(N887:O887), N887:O887, 0))), 技能库!$A:$F, 5, 0),"建议查阅考纲")&amp;CHAR(10)&amp;"💡 提升建议: "&amp;IFERROR(VLOOKUP(TRIM(D887)&amp;"_"&amp;TRIM(INDEX($N$1:$O$1, MATCH(MIN(N887:O887), N887:O887, 0))), 技能库!$A:$F, 6, 0),"请针对该题型加强练习"))</f>
        <v/>
      </c>
      <c r="AC887" s="5" t="str">
        <f>IF(W887="","", "⚠️ 薄弱环节: "&amp;INDEX($R$1:$V$1, MATCH(MIN(R887:V887), R887:V887, 0))&amp;CHAR(10)&amp;"📉 考察能力: "&amp;IFERROR(VLOOKUP(TRIM(D887)&amp;"_"&amp;TRIM(INDEX($R$1:$V$1, MATCH(MIN(R887:V887), R887:V887, 0))), 技能库!$A:$F, 5, 0),"建议查阅考纲")&amp;CHAR(10)&amp;"💡 提升建议: "&amp;IFERROR(VLOOKUP(TRIM(D887)&amp;"_"&amp;TRIM(INDEX($R$1:$V$1, MATCH(MIN(R887:V887), R887:V887, 0))), 技能库!$A:$F, 6, 0),"请针对该题型加强练习"))</f>
        <v/>
      </c>
    </row>
    <row r="888" spans="12:29" ht="16" hidden="1" x14ac:dyDescent="0.2">
      <c r="L888" t="str">
        <f t="shared" si="52"/>
        <v/>
      </c>
      <c r="M888" t="str">
        <f>IF(L888="","", IFERROR(VLOOKUP(L888, IF(D888="KET", 换算标准!$M:$N, IF(D888="PET", 换算标准!$S:$T, 换算标准!$AC:$AD)), 2, TRUE), 0))</f>
        <v/>
      </c>
      <c r="P888" t="str">
        <f t="shared" si="53"/>
        <v/>
      </c>
      <c r="Q888" t="str">
        <f>IF(P888="","", IFERROR(VLOOKUP(P888, IF(D888="KET", 换算标准!$O:$P, IF(D888="PET", 换算标准!$U:$V, 换算标准!$AG:$AH)), 2, TRUE), 0))</f>
        <v/>
      </c>
      <c r="W888" t="str">
        <f t="shared" si="54"/>
        <v/>
      </c>
      <c r="X888" t="str">
        <f>IF(W888="","", IFERROR(VLOOKUP(W888, IF(D888="KET", 换算标准!$Q:$R, IF(D888="PET", 换算标准!$W:$X, 换算标准!$AI:$AJ)), 2, TRUE), 0))</f>
        <v/>
      </c>
      <c r="Y888" t="str">
        <f t="shared" si="55"/>
        <v/>
      </c>
      <c r="Z888" t="str">
        <f>IF(Y888="","", IFERROR(VLOOKUP(Y888, 换算标准!$Z:$AA, 1, TRUE), ""))</f>
        <v/>
      </c>
      <c r="AA888" s="5" t="str">
        <f>IF(L888="","", "⚠️ 薄弱环节: "&amp;INDEX($E$1:$K$1, MATCH(MIN(E888:K888), E888:K888, 0))&amp;CHAR(10)&amp;"📉 考察能力: "&amp;IFERROR(VLOOKUP(TRIM(D888)&amp;"_"&amp;TRIM(INDEX($E$1:$K$1, MATCH(MIN(E888:K888), E888:K888, 0))), 技能库!$A:$F, 5, 0),"建议查阅考纲")&amp;CHAR(10)&amp;"💡 提升建议: "&amp;IFERROR(VLOOKUP(TRIM(D888)&amp;"_"&amp;TRIM(INDEX($E$1:$K$1, MATCH(MIN(E888:K888), E888:K888, 0))), 技能库!$A:$F, 6, 0),"请针对该题型加强练习"))</f>
        <v/>
      </c>
      <c r="AB888" s="5" t="str">
        <f>IF(P888="","", "⚠️ 薄弱环节: "&amp;INDEX($N$1:$O$1, MATCH(MIN(N888:O888), N888:O888, 0))&amp;CHAR(10)&amp;"📉 考察能力: "&amp;IFERROR(VLOOKUP(TRIM(D888)&amp;"_"&amp;TRIM(INDEX($N$1:$O$1, MATCH(MIN(N888:O888), N888:O888, 0))), 技能库!$A:$F, 5, 0),"建议查阅考纲")&amp;CHAR(10)&amp;"💡 提升建议: "&amp;IFERROR(VLOOKUP(TRIM(D888)&amp;"_"&amp;TRIM(INDEX($N$1:$O$1, MATCH(MIN(N888:O888), N888:O888, 0))), 技能库!$A:$F, 6, 0),"请针对该题型加强练习"))</f>
        <v/>
      </c>
      <c r="AC888" s="5" t="str">
        <f>IF(W888="","", "⚠️ 薄弱环节: "&amp;INDEX($R$1:$V$1, MATCH(MIN(R888:V888), R888:V888, 0))&amp;CHAR(10)&amp;"📉 考察能力: "&amp;IFERROR(VLOOKUP(TRIM(D888)&amp;"_"&amp;TRIM(INDEX($R$1:$V$1, MATCH(MIN(R888:V888), R888:V888, 0))), 技能库!$A:$F, 5, 0),"建议查阅考纲")&amp;CHAR(10)&amp;"💡 提升建议: "&amp;IFERROR(VLOOKUP(TRIM(D888)&amp;"_"&amp;TRIM(INDEX($R$1:$V$1, MATCH(MIN(R888:V888), R888:V888, 0))), 技能库!$A:$F, 6, 0),"请针对该题型加强练习"))</f>
        <v/>
      </c>
    </row>
    <row r="889" spans="12:29" ht="16" hidden="1" x14ac:dyDescent="0.2">
      <c r="L889" t="str">
        <f t="shared" si="52"/>
        <v/>
      </c>
      <c r="M889" t="str">
        <f>IF(L889="","", IFERROR(VLOOKUP(L889, IF(D889="KET", 换算标准!$M:$N, IF(D889="PET", 换算标准!$S:$T, 换算标准!$AC:$AD)), 2, TRUE), 0))</f>
        <v/>
      </c>
      <c r="P889" t="str">
        <f t="shared" si="53"/>
        <v/>
      </c>
      <c r="Q889" t="str">
        <f>IF(P889="","", IFERROR(VLOOKUP(P889, IF(D889="KET", 换算标准!$O:$P, IF(D889="PET", 换算标准!$U:$V, 换算标准!$AG:$AH)), 2, TRUE), 0))</f>
        <v/>
      </c>
      <c r="W889" t="str">
        <f t="shared" si="54"/>
        <v/>
      </c>
      <c r="X889" t="str">
        <f>IF(W889="","", IFERROR(VLOOKUP(W889, IF(D889="KET", 换算标准!$Q:$R, IF(D889="PET", 换算标准!$W:$X, 换算标准!$AI:$AJ)), 2, TRUE), 0))</f>
        <v/>
      </c>
      <c r="Y889" t="str">
        <f t="shared" si="55"/>
        <v/>
      </c>
      <c r="Z889" t="str">
        <f>IF(Y889="","", IFERROR(VLOOKUP(Y889, 换算标准!$Z:$AA, 1, TRUE), ""))</f>
        <v/>
      </c>
      <c r="AA889" s="5" t="str">
        <f>IF(L889="","", "⚠️ 薄弱环节: "&amp;INDEX($E$1:$K$1, MATCH(MIN(E889:K889), E889:K889, 0))&amp;CHAR(10)&amp;"📉 考察能力: "&amp;IFERROR(VLOOKUP(TRIM(D889)&amp;"_"&amp;TRIM(INDEX($E$1:$K$1, MATCH(MIN(E889:K889), E889:K889, 0))), 技能库!$A:$F, 5, 0),"建议查阅考纲")&amp;CHAR(10)&amp;"💡 提升建议: "&amp;IFERROR(VLOOKUP(TRIM(D889)&amp;"_"&amp;TRIM(INDEX($E$1:$K$1, MATCH(MIN(E889:K889), E889:K889, 0))), 技能库!$A:$F, 6, 0),"请针对该题型加强练习"))</f>
        <v/>
      </c>
      <c r="AB889" s="5" t="str">
        <f>IF(P889="","", "⚠️ 薄弱环节: "&amp;INDEX($N$1:$O$1, MATCH(MIN(N889:O889), N889:O889, 0))&amp;CHAR(10)&amp;"📉 考察能力: "&amp;IFERROR(VLOOKUP(TRIM(D889)&amp;"_"&amp;TRIM(INDEX($N$1:$O$1, MATCH(MIN(N889:O889), N889:O889, 0))), 技能库!$A:$F, 5, 0),"建议查阅考纲")&amp;CHAR(10)&amp;"💡 提升建议: "&amp;IFERROR(VLOOKUP(TRIM(D889)&amp;"_"&amp;TRIM(INDEX($N$1:$O$1, MATCH(MIN(N889:O889), N889:O889, 0))), 技能库!$A:$F, 6, 0),"请针对该题型加强练习"))</f>
        <v/>
      </c>
      <c r="AC889" s="5" t="str">
        <f>IF(W889="","", "⚠️ 薄弱环节: "&amp;INDEX($R$1:$V$1, MATCH(MIN(R889:V889), R889:V889, 0))&amp;CHAR(10)&amp;"📉 考察能力: "&amp;IFERROR(VLOOKUP(TRIM(D889)&amp;"_"&amp;TRIM(INDEX($R$1:$V$1, MATCH(MIN(R889:V889), R889:V889, 0))), 技能库!$A:$F, 5, 0),"建议查阅考纲")&amp;CHAR(10)&amp;"💡 提升建议: "&amp;IFERROR(VLOOKUP(TRIM(D889)&amp;"_"&amp;TRIM(INDEX($R$1:$V$1, MATCH(MIN(R889:V889), R889:V889, 0))), 技能库!$A:$F, 6, 0),"请针对该题型加强练习"))</f>
        <v/>
      </c>
    </row>
    <row r="890" spans="12:29" ht="16" hidden="1" x14ac:dyDescent="0.2">
      <c r="L890" t="str">
        <f t="shared" si="52"/>
        <v/>
      </c>
      <c r="M890" t="str">
        <f>IF(L890="","", IFERROR(VLOOKUP(L890, IF(D890="KET", 换算标准!$M:$N, IF(D890="PET", 换算标准!$S:$T, 换算标准!$AC:$AD)), 2, TRUE), 0))</f>
        <v/>
      </c>
      <c r="P890" t="str">
        <f t="shared" si="53"/>
        <v/>
      </c>
      <c r="Q890" t="str">
        <f>IF(P890="","", IFERROR(VLOOKUP(P890, IF(D890="KET", 换算标准!$O:$P, IF(D890="PET", 换算标准!$U:$V, 换算标准!$AG:$AH)), 2, TRUE), 0))</f>
        <v/>
      </c>
      <c r="W890" t="str">
        <f t="shared" si="54"/>
        <v/>
      </c>
      <c r="X890" t="str">
        <f>IF(W890="","", IFERROR(VLOOKUP(W890, IF(D890="KET", 换算标准!$Q:$R, IF(D890="PET", 换算标准!$W:$X, 换算标准!$AI:$AJ)), 2, TRUE), 0))</f>
        <v/>
      </c>
      <c r="Y890" t="str">
        <f t="shared" si="55"/>
        <v/>
      </c>
      <c r="Z890" t="str">
        <f>IF(Y890="","", IFERROR(VLOOKUP(Y890, 换算标准!$Z:$AA, 1, TRUE), ""))</f>
        <v/>
      </c>
      <c r="AA890" s="5" t="str">
        <f>IF(L890="","", "⚠️ 薄弱环节: "&amp;INDEX($E$1:$K$1, MATCH(MIN(E890:K890), E890:K890, 0))&amp;CHAR(10)&amp;"📉 考察能力: "&amp;IFERROR(VLOOKUP(TRIM(D890)&amp;"_"&amp;TRIM(INDEX($E$1:$K$1, MATCH(MIN(E890:K890), E890:K890, 0))), 技能库!$A:$F, 5, 0),"建议查阅考纲")&amp;CHAR(10)&amp;"💡 提升建议: "&amp;IFERROR(VLOOKUP(TRIM(D890)&amp;"_"&amp;TRIM(INDEX($E$1:$K$1, MATCH(MIN(E890:K890), E890:K890, 0))), 技能库!$A:$F, 6, 0),"请针对该题型加强练习"))</f>
        <v/>
      </c>
      <c r="AB890" s="5" t="str">
        <f>IF(P890="","", "⚠️ 薄弱环节: "&amp;INDEX($N$1:$O$1, MATCH(MIN(N890:O890), N890:O890, 0))&amp;CHAR(10)&amp;"📉 考察能力: "&amp;IFERROR(VLOOKUP(TRIM(D890)&amp;"_"&amp;TRIM(INDEX($N$1:$O$1, MATCH(MIN(N890:O890), N890:O890, 0))), 技能库!$A:$F, 5, 0),"建议查阅考纲")&amp;CHAR(10)&amp;"💡 提升建议: "&amp;IFERROR(VLOOKUP(TRIM(D890)&amp;"_"&amp;TRIM(INDEX($N$1:$O$1, MATCH(MIN(N890:O890), N890:O890, 0))), 技能库!$A:$F, 6, 0),"请针对该题型加强练习"))</f>
        <v/>
      </c>
      <c r="AC890" s="5" t="str">
        <f>IF(W890="","", "⚠️ 薄弱环节: "&amp;INDEX($R$1:$V$1, MATCH(MIN(R890:V890), R890:V890, 0))&amp;CHAR(10)&amp;"📉 考察能力: "&amp;IFERROR(VLOOKUP(TRIM(D890)&amp;"_"&amp;TRIM(INDEX($R$1:$V$1, MATCH(MIN(R890:V890), R890:V890, 0))), 技能库!$A:$F, 5, 0),"建议查阅考纲")&amp;CHAR(10)&amp;"💡 提升建议: "&amp;IFERROR(VLOOKUP(TRIM(D890)&amp;"_"&amp;TRIM(INDEX($R$1:$V$1, MATCH(MIN(R890:V890), R890:V890, 0))), 技能库!$A:$F, 6, 0),"请针对该题型加强练习"))</f>
        <v/>
      </c>
    </row>
    <row r="891" spans="12:29" ht="16" hidden="1" x14ac:dyDescent="0.2">
      <c r="L891" t="str">
        <f t="shared" si="52"/>
        <v/>
      </c>
      <c r="M891" t="str">
        <f>IF(L891="","", IFERROR(VLOOKUP(L891, IF(D891="KET", 换算标准!$M:$N, IF(D891="PET", 换算标准!$S:$T, 换算标准!$AC:$AD)), 2, TRUE), 0))</f>
        <v/>
      </c>
      <c r="P891" t="str">
        <f t="shared" si="53"/>
        <v/>
      </c>
      <c r="Q891" t="str">
        <f>IF(P891="","", IFERROR(VLOOKUP(P891, IF(D891="KET", 换算标准!$O:$P, IF(D891="PET", 换算标准!$U:$V, 换算标准!$AG:$AH)), 2, TRUE), 0))</f>
        <v/>
      </c>
      <c r="W891" t="str">
        <f t="shared" si="54"/>
        <v/>
      </c>
      <c r="X891" t="str">
        <f>IF(W891="","", IFERROR(VLOOKUP(W891, IF(D891="KET", 换算标准!$Q:$R, IF(D891="PET", 换算标准!$W:$X, 换算标准!$AI:$AJ)), 2, TRUE), 0))</f>
        <v/>
      </c>
      <c r="Y891" t="str">
        <f t="shared" si="55"/>
        <v/>
      </c>
      <c r="Z891" t="str">
        <f>IF(Y891="","", IFERROR(VLOOKUP(Y891, 换算标准!$Z:$AA, 1, TRUE), ""))</f>
        <v/>
      </c>
      <c r="AA891" s="5" t="str">
        <f>IF(L891="","", "⚠️ 薄弱环节: "&amp;INDEX($E$1:$K$1, MATCH(MIN(E891:K891), E891:K891, 0))&amp;CHAR(10)&amp;"📉 考察能力: "&amp;IFERROR(VLOOKUP(TRIM(D891)&amp;"_"&amp;TRIM(INDEX($E$1:$K$1, MATCH(MIN(E891:K891), E891:K891, 0))), 技能库!$A:$F, 5, 0),"建议查阅考纲")&amp;CHAR(10)&amp;"💡 提升建议: "&amp;IFERROR(VLOOKUP(TRIM(D891)&amp;"_"&amp;TRIM(INDEX($E$1:$K$1, MATCH(MIN(E891:K891), E891:K891, 0))), 技能库!$A:$F, 6, 0),"请针对该题型加强练习"))</f>
        <v/>
      </c>
      <c r="AB891" s="5" t="str">
        <f>IF(P891="","", "⚠️ 薄弱环节: "&amp;INDEX($N$1:$O$1, MATCH(MIN(N891:O891), N891:O891, 0))&amp;CHAR(10)&amp;"📉 考察能力: "&amp;IFERROR(VLOOKUP(TRIM(D891)&amp;"_"&amp;TRIM(INDEX($N$1:$O$1, MATCH(MIN(N891:O891), N891:O891, 0))), 技能库!$A:$F, 5, 0),"建议查阅考纲")&amp;CHAR(10)&amp;"💡 提升建议: "&amp;IFERROR(VLOOKUP(TRIM(D891)&amp;"_"&amp;TRIM(INDEX($N$1:$O$1, MATCH(MIN(N891:O891), N891:O891, 0))), 技能库!$A:$F, 6, 0),"请针对该题型加强练习"))</f>
        <v/>
      </c>
      <c r="AC891" s="5" t="str">
        <f>IF(W891="","", "⚠️ 薄弱环节: "&amp;INDEX($R$1:$V$1, MATCH(MIN(R891:V891), R891:V891, 0))&amp;CHAR(10)&amp;"📉 考察能力: "&amp;IFERROR(VLOOKUP(TRIM(D891)&amp;"_"&amp;TRIM(INDEX($R$1:$V$1, MATCH(MIN(R891:V891), R891:V891, 0))), 技能库!$A:$F, 5, 0),"建议查阅考纲")&amp;CHAR(10)&amp;"💡 提升建议: "&amp;IFERROR(VLOOKUP(TRIM(D891)&amp;"_"&amp;TRIM(INDEX($R$1:$V$1, MATCH(MIN(R891:V891), R891:V891, 0))), 技能库!$A:$F, 6, 0),"请针对该题型加强练习"))</f>
        <v/>
      </c>
    </row>
    <row r="892" spans="12:29" ht="16" hidden="1" x14ac:dyDescent="0.2">
      <c r="L892" t="str">
        <f t="shared" si="52"/>
        <v/>
      </c>
      <c r="M892" t="str">
        <f>IF(L892="","", IFERROR(VLOOKUP(L892, IF(D892="KET", 换算标准!$M:$N, IF(D892="PET", 换算标准!$S:$T, 换算标准!$AC:$AD)), 2, TRUE), 0))</f>
        <v/>
      </c>
      <c r="P892" t="str">
        <f t="shared" si="53"/>
        <v/>
      </c>
      <c r="Q892" t="str">
        <f>IF(P892="","", IFERROR(VLOOKUP(P892, IF(D892="KET", 换算标准!$O:$P, IF(D892="PET", 换算标准!$U:$V, 换算标准!$AG:$AH)), 2, TRUE), 0))</f>
        <v/>
      </c>
      <c r="W892" t="str">
        <f t="shared" si="54"/>
        <v/>
      </c>
      <c r="X892" t="str">
        <f>IF(W892="","", IFERROR(VLOOKUP(W892, IF(D892="KET", 换算标准!$Q:$R, IF(D892="PET", 换算标准!$W:$X, 换算标准!$AI:$AJ)), 2, TRUE), 0))</f>
        <v/>
      </c>
      <c r="Y892" t="str">
        <f t="shared" si="55"/>
        <v/>
      </c>
      <c r="Z892" t="str">
        <f>IF(Y892="","", IFERROR(VLOOKUP(Y892, 换算标准!$Z:$AA, 1, TRUE), ""))</f>
        <v/>
      </c>
      <c r="AA892" s="5" t="str">
        <f>IF(L892="","", "⚠️ 薄弱环节: "&amp;INDEX($E$1:$K$1, MATCH(MIN(E892:K892), E892:K892, 0))&amp;CHAR(10)&amp;"📉 考察能力: "&amp;IFERROR(VLOOKUP(TRIM(D892)&amp;"_"&amp;TRIM(INDEX($E$1:$K$1, MATCH(MIN(E892:K892), E892:K892, 0))), 技能库!$A:$F, 5, 0),"建议查阅考纲")&amp;CHAR(10)&amp;"💡 提升建议: "&amp;IFERROR(VLOOKUP(TRIM(D892)&amp;"_"&amp;TRIM(INDEX($E$1:$K$1, MATCH(MIN(E892:K892), E892:K892, 0))), 技能库!$A:$F, 6, 0),"请针对该题型加强练习"))</f>
        <v/>
      </c>
      <c r="AB892" s="5" t="str">
        <f>IF(P892="","", "⚠️ 薄弱环节: "&amp;INDEX($N$1:$O$1, MATCH(MIN(N892:O892), N892:O892, 0))&amp;CHAR(10)&amp;"📉 考察能力: "&amp;IFERROR(VLOOKUP(TRIM(D892)&amp;"_"&amp;TRIM(INDEX($N$1:$O$1, MATCH(MIN(N892:O892), N892:O892, 0))), 技能库!$A:$F, 5, 0),"建议查阅考纲")&amp;CHAR(10)&amp;"💡 提升建议: "&amp;IFERROR(VLOOKUP(TRIM(D892)&amp;"_"&amp;TRIM(INDEX($N$1:$O$1, MATCH(MIN(N892:O892), N892:O892, 0))), 技能库!$A:$F, 6, 0),"请针对该题型加强练习"))</f>
        <v/>
      </c>
      <c r="AC892" s="5" t="str">
        <f>IF(W892="","", "⚠️ 薄弱环节: "&amp;INDEX($R$1:$V$1, MATCH(MIN(R892:V892), R892:V892, 0))&amp;CHAR(10)&amp;"📉 考察能力: "&amp;IFERROR(VLOOKUP(TRIM(D892)&amp;"_"&amp;TRIM(INDEX($R$1:$V$1, MATCH(MIN(R892:V892), R892:V892, 0))), 技能库!$A:$F, 5, 0),"建议查阅考纲")&amp;CHAR(10)&amp;"💡 提升建议: "&amp;IFERROR(VLOOKUP(TRIM(D892)&amp;"_"&amp;TRIM(INDEX($R$1:$V$1, MATCH(MIN(R892:V892), R892:V892, 0))), 技能库!$A:$F, 6, 0),"请针对该题型加强练习"))</f>
        <v/>
      </c>
    </row>
    <row r="893" spans="12:29" ht="16" hidden="1" x14ac:dyDescent="0.2">
      <c r="L893" t="str">
        <f t="shared" si="52"/>
        <v/>
      </c>
      <c r="M893" t="str">
        <f>IF(L893="","", IFERROR(VLOOKUP(L893, IF(D893="KET", 换算标准!$M:$N, IF(D893="PET", 换算标准!$S:$T, 换算标准!$AC:$AD)), 2, TRUE), 0))</f>
        <v/>
      </c>
      <c r="P893" t="str">
        <f t="shared" si="53"/>
        <v/>
      </c>
      <c r="Q893" t="str">
        <f>IF(P893="","", IFERROR(VLOOKUP(P893, IF(D893="KET", 换算标准!$O:$P, IF(D893="PET", 换算标准!$U:$V, 换算标准!$AG:$AH)), 2, TRUE), 0))</f>
        <v/>
      </c>
      <c r="W893" t="str">
        <f t="shared" si="54"/>
        <v/>
      </c>
      <c r="X893" t="str">
        <f>IF(W893="","", IFERROR(VLOOKUP(W893, IF(D893="KET", 换算标准!$Q:$R, IF(D893="PET", 换算标准!$W:$X, 换算标准!$AI:$AJ)), 2, TRUE), 0))</f>
        <v/>
      </c>
      <c r="Y893" t="str">
        <f t="shared" si="55"/>
        <v/>
      </c>
      <c r="Z893" t="str">
        <f>IF(Y893="","", IFERROR(VLOOKUP(Y893, 换算标准!$Z:$AA, 1, TRUE), ""))</f>
        <v/>
      </c>
      <c r="AA893" s="5" t="str">
        <f>IF(L893="","", "⚠️ 薄弱环节: "&amp;INDEX($E$1:$K$1, MATCH(MIN(E893:K893), E893:K893, 0))&amp;CHAR(10)&amp;"📉 考察能力: "&amp;IFERROR(VLOOKUP(TRIM(D893)&amp;"_"&amp;TRIM(INDEX($E$1:$K$1, MATCH(MIN(E893:K893), E893:K893, 0))), 技能库!$A:$F, 5, 0),"建议查阅考纲")&amp;CHAR(10)&amp;"💡 提升建议: "&amp;IFERROR(VLOOKUP(TRIM(D893)&amp;"_"&amp;TRIM(INDEX($E$1:$K$1, MATCH(MIN(E893:K893), E893:K893, 0))), 技能库!$A:$F, 6, 0),"请针对该题型加强练习"))</f>
        <v/>
      </c>
      <c r="AB893" s="5" t="str">
        <f>IF(P893="","", "⚠️ 薄弱环节: "&amp;INDEX($N$1:$O$1, MATCH(MIN(N893:O893), N893:O893, 0))&amp;CHAR(10)&amp;"📉 考察能力: "&amp;IFERROR(VLOOKUP(TRIM(D893)&amp;"_"&amp;TRIM(INDEX($N$1:$O$1, MATCH(MIN(N893:O893), N893:O893, 0))), 技能库!$A:$F, 5, 0),"建议查阅考纲")&amp;CHAR(10)&amp;"💡 提升建议: "&amp;IFERROR(VLOOKUP(TRIM(D893)&amp;"_"&amp;TRIM(INDEX($N$1:$O$1, MATCH(MIN(N893:O893), N893:O893, 0))), 技能库!$A:$F, 6, 0),"请针对该题型加强练习"))</f>
        <v/>
      </c>
      <c r="AC893" s="5" t="str">
        <f>IF(W893="","", "⚠️ 薄弱环节: "&amp;INDEX($R$1:$V$1, MATCH(MIN(R893:V893), R893:V893, 0))&amp;CHAR(10)&amp;"📉 考察能力: "&amp;IFERROR(VLOOKUP(TRIM(D893)&amp;"_"&amp;TRIM(INDEX($R$1:$V$1, MATCH(MIN(R893:V893), R893:V893, 0))), 技能库!$A:$F, 5, 0),"建议查阅考纲")&amp;CHAR(10)&amp;"💡 提升建议: "&amp;IFERROR(VLOOKUP(TRIM(D893)&amp;"_"&amp;TRIM(INDEX($R$1:$V$1, MATCH(MIN(R893:V893), R893:V893, 0))), 技能库!$A:$F, 6, 0),"请针对该题型加强练习"))</f>
        <v/>
      </c>
    </row>
    <row r="894" spans="12:29" ht="16" hidden="1" x14ac:dyDescent="0.2">
      <c r="L894" t="str">
        <f t="shared" si="52"/>
        <v/>
      </c>
      <c r="M894" t="str">
        <f>IF(L894="","", IFERROR(VLOOKUP(L894, IF(D894="KET", 换算标准!$M:$N, IF(D894="PET", 换算标准!$S:$T, 换算标准!$AC:$AD)), 2, TRUE), 0))</f>
        <v/>
      </c>
      <c r="P894" t="str">
        <f t="shared" si="53"/>
        <v/>
      </c>
      <c r="Q894" t="str">
        <f>IF(P894="","", IFERROR(VLOOKUP(P894, IF(D894="KET", 换算标准!$O:$P, IF(D894="PET", 换算标准!$U:$V, 换算标准!$AG:$AH)), 2, TRUE), 0))</f>
        <v/>
      </c>
      <c r="W894" t="str">
        <f t="shared" si="54"/>
        <v/>
      </c>
      <c r="X894" t="str">
        <f>IF(W894="","", IFERROR(VLOOKUP(W894, IF(D894="KET", 换算标准!$Q:$R, IF(D894="PET", 换算标准!$W:$X, 换算标准!$AI:$AJ)), 2, TRUE), 0))</f>
        <v/>
      </c>
      <c r="Y894" t="str">
        <f t="shared" si="55"/>
        <v/>
      </c>
      <c r="Z894" t="str">
        <f>IF(Y894="","", IFERROR(VLOOKUP(Y894, 换算标准!$Z:$AA, 1, TRUE), ""))</f>
        <v/>
      </c>
      <c r="AA894" s="5" t="str">
        <f>IF(L894="","", "⚠️ 薄弱环节: "&amp;INDEX($E$1:$K$1, MATCH(MIN(E894:K894), E894:K894, 0))&amp;CHAR(10)&amp;"📉 考察能力: "&amp;IFERROR(VLOOKUP(TRIM(D894)&amp;"_"&amp;TRIM(INDEX($E$1:$K$1, MATCH(MIN(E894:K894), E894:K894, 0))), 技能库!$A:$F, 5, 0),"建议查阅考纲")&amp;CHAR(10)&amp;"💡 提升建议: "&amp;IFERROR(VLOOKUP(TRIM(D894)&amp;"_"&amp;TRIM(INDEX($E$1:$K$1, MATCH(MIN(E894:K894), E894:K894, 0))), 技能库!$A:$F, 6, 0),"请针对该题型加强练习"))</f>
        <v/>
      </c>
      <c r="AB894" s="5" t="str">
        <f>IF(P894="","", "⚠️ 薄弱环节: "&amp;INDEX($N$1:$O$1, MATCH(MIN(N894:O894), N894:O894, 0))&amp;CHAR(10)&amp;"📉 考察能力: "&amp;IFERROR(VLOOKUP(TRIM(D894)&amp;"_"&amp;TRIM(INDEX($N$1:$O$1, MATCH(MIN(N894:O894), N894:O894, 0))), 技能库!$A:$F, 5, 0),"建议查阅考纲")&amp;CHAR(10)&amp;"💡 提升建议: "&amp;IFERROR(VLOOKUP(TRIM(D894)&amp;"_"&amp;TRIM(INDEX($N$1:$O$1, MATCH(MIN(N894:O894), N894:O894, 0))), 技能库!$A:$F, 6, 0),"请针对该题型加强练习"))</f>
        <v/>
      </c>
      <c r="AC894" s="5" t="str">
        <f>IF(W894="","", "⚠️ 薄弱环节: "&amp;INDEX($R$1:$V$1, MATCH(MIN(R894:V894), R894:V894, 0))&amp;CHAR(10)&amp;"📉 考察能力: "&amp;IFERROR(VLOOKUP(TRIM(D894)&amp;"_"&amp;TRIM(INDEX($R$1:$V$1, MATCH(MIN(R894:V894), R894:V894, 0))), 技能库!$A:$F, 5, 0),"建议查阅考纲")&amp;CHAR(10)&amp;"💡 提升建议: "&amp;IFERROR(VLOOKUP(TRIM(D894)&amp;"_"&amp;TRIM(INDEX($R$1:$V$1, MATCH(MIN(R894:V894), R894:V894, 0))), 技能库!$A:$F, 6, 0),"请针对该题型加强练习"))</f>
        <v/>
      </c>
    </row>
    <row r="895" spans="12:29" ht="16" hidden="1" x14ac:dyDescent="0.2">
      <c r="L895" t="str">
        <f t="shared" si="52"/>
        <v/>
      </c>
      <c r="M895" t="str">
        <f>IF(L895="","", IFERROR(VLOOKUP(L895, IF(D895="KET", 换算标准!$M:$N, IF(D895="PET", 换算标准!$S:$T, 换算标准!$AC:$AD)), 2, TRUE), 0))</f>
        <v/>
      </c>
      <c r="P895" t="str">
        <f t="shared" si="53"/>
        <v/>
      </c>
      <c r="Q895" t="str">
        <f>IF(P895="","", IFERROR(VLOOKUP(P895, IF(D895="KET", 换算标准!$O:$P, IF(D895="PET", 换算标准!$U:$V, 换算标准!$AG:$AH)), 2, TRUE), 0))</f>
        <v/>
      </c>
      <c r="W895" t="str">
        <f t="shared" si="54"/>
        <v/>
      </c>
      <c r="X895" t="str">
        <f>IF(W895="","", IFERROR(VLOOKUP(W895, IF(D895="KET", 换算标准!$Q:$R, IF(D895="PET", 换算标准!$W:$X, 换算标准!$AI:$AJ)), 2, TRUE), 0))</f>
        <v/>
      </c>
      <c r="Y895" t="str">
        <f t="shared" si="55"/>
        <v/>
      </c>
      <c r="Z895" t="str">
        <f>IF(Y895="","", IFERROR(VLOOKUP(Y895, 换算标准!$Z:$AA, 1, TRUE), ""))</f>
        <v/>
      </c>
      <c r="AA895" s="5" t="str">
        <f>IF(L895="","", "⚠️ 薄弱环节: "&amp;INDEX($E$1:$K$1, MATCH(MIN(E895:K895), E895:K895, 0))&amp;CHAR(10)&amp;"📉 考察能力: "&amp;IFERROR(VLOOKUP(TRIM(D895)&amp;"_"&amp;TRIM(INDEX($E$1:$K$1, MATCH(MIN(E895:K895), E895:K895, 0))), 技能库!$A:$F, 5, 0),"建议查阅考纲")&amp;CHAR(10)&amp;"💡 提升建议: "&amp;IFERROR(VLOOKUP(TRIM(D895)&amp;"_"&amp;TRIM(INDEX($E$1:$K$1, MATCH(MIN(E895:K895), E895:K895, 0))), 技能库!$A:$F, 6, 0),"请针对该题型加强练习"))</f>
        <v/>
      </c>
      <c r="AB895" s="5" t="str">
        <f>IF(P895="","", "⚠️ 薄弱环节: "&amp;INDEX($N$1:$O$1, MATCH(MIN(N895:O895), N895:O895, 0))&amp;CHAR(10)&amp;"📉 考察能力: "&amp;IFERROR(VLOOKUP(TRIM(D895)&amp;"_"&amp;TRIM(INDEX($N$1:$O$1, MATCH(MIN(N895:O895), N895:O895, 0))), 技能库!$A:$F, 5, 0),"建议查阅考纲")&amp;CHAR(10)&amp;"💡 提升建议: "&amp;IFERROR(VLOOKUP(TRIM(D895)&amp;"_"&amp;TRIM(INDEX($N$1:$O$1, MATCH(MIN(N895:O895), N895:O895, 0))), 技能库!$A:$F, 6, 0),"请针对该题型加强练习"))</f>
        <v/>
      </c>
      <c r="AC895" s="5" t="str">
        <f>IF(W895="","", "⚠️ 薄弱环节: "&amp;INDEX($R$1:$V$1, MATCH(MIN(R895:V895), R895:V895, 0))&amp;CHAR(10)&amp;"📉 考察能力: "&amp;IFERROR(VLOOKUP(TRIM(D895)&amp;"_"&amp;TRIM(INDEX($R$1:$V$1, MATCH(MIN(R895:V895), R895:V895, 0))), 技能库!$A:$F, 5, 0),"建议查阅考纲")&amp;CHAR(10)&amp;"💡 提升建议: "&amp;IFERROR(VLOOKUP(TRIM(D895)&amp;"_"&amp;TRIM(INDEX($R$1:$V$1, MATCH(MIN(R895:V895), R895:V895, 0))), 技能库!$A:$F, 6, 0),"请针对该题型加强练习"))</f>
        <v/>
      </c>
    </row>
    <row r="896" spans="12:29" ht="16" hidden="1" x14ac:dyDescent="0.2">
      <c r="L896" t="str">
        <f t="shared" si="52"/>
        <v/>
      </c>
      <c r="M896" t="str">
        <f>IF(L896="","", IFERROR(VLOOKUP(L896, IF(D896="KET", 换算标准!$M:$N, IF(D896="PET", 换算标准!$S:$T, 换算标准!$AC:$AD)), 2, TRUE), 0))</f>
        <v/>
      </c>
      <c r="P896" t="str">
        <f t="shared" si="53"/>
        <v/>
      </c>
      <c r="Q896" t="str">
        <f>IF(P896="","", IFERROR(VLOOKUP(P896, IF(D896="KET", 换算标准!$O:$P, IF(D896="PET", 换算标准!$U:$V, 换算标准!$AG:$AH)), 2, TRUE), 0))</f>
        <v/>
      </c>
      <c r="W896" t="str">
        <f t="shared" si="54"/>
        <v/>
      </c>
      <c r="X896" t="str">
        <f>IF(W896="","", IFERROR(VLOOKUP(W896, IF(D896="KET", 换算标准!$Q:$R, IF(D896="PET", 换算标准!$W:$X, 换算标准!$AI:$AJ)), 2, TRUE), 0))</f>
        <v/>
      </c>
      <c r="Y896" t="str">
        <f t="shared" si="55"/>
        <v/>
      </c>
      <c r="Z896" t="str">
        <f>IF(Y896="","", IFERROR(VLOOKUP(Y896, 换算标准!$Z:$AA, 1, TRUE), ""))</f>
        <v/>
      </c>
      <c r="AA896" s="5" t="str">
        <f>IF(L896="","", "⚠️ 薄弱环节: "&amp;INDEX($E$1:$K$1, MATCH(MIN(E896:K896), E896:K896, 0))&amp;CHAR(10)&amp;"📉 考察能力: "&amp;IFERROR(VLOOKUP(TRIM(D896)&amp;"_"&amp;TRIM(INDEX($E$1:$K$1, MATCH(MIN(E896:K896), E896:K896, 0))), 技能库!$A:$F, 5, 0),"建议查阅考纲")&amp;CHAR(10)&amp;"💡 提升建议: "&amp;IFERROR(VLOOKUP(TRIM(D896)&amp;"_"&amp;TRIM(INDEX($E$1:$K$1, MATCH(MIN(E896:K896), E896:K896, 0))), 技能库!$A:$F, 6, 0),"请针对该题型加强练习"))</f>
        <v/>
      </c>
      <c r="AB896" s="5" t="str">
        <f>IF(P896="","", "⚠️ 薄弱环节: "&amp;INDEX($N$1:$O$1, MATCH(MIN(N896:O896), N896:O896, 0))&amp;CHAR(10)&amp;"📉 考察能力: "&amp;IFERROR(VLOOKUP(TRIM(D896)&amp;"_"&amp;TRIM(INDEX($N$1:$O$1, MATCH(MIN(N896:O896), N896:O896, 0))), 技能库!$A:$F, 5, 0),"建议查阅考纲")&amp;CHAR(10)&amp;"💡 提升建议: "&amp;IFERROR(VLOOKUP(TRIM(D896)&amp;"_"&amp;TRIM(INDEX($N$1:$O$1, MATCH(MIN(N896:O896), N896:O896, 0))), 技能库!$A:$F, 6, 0),"请针对该题型加强练习"))</f>
        <v/>
      </c>
      <c r="AC896" s="5" t="str">
        <f>IF(W896="","", "⚠️ 薄弱环节: "&amp;INDEX($R$1:$V$1, MATCH(MIN(R896:V896), R896:V896, 0))&amp;CHAR(10)&amp;"📉 考察能力: "&amp;IFERROR(VLOOKUP(TRIM(D896)&amp;"_"&amp;TRIM(INDEX($R$1:$V$1, MATCH(MIN(R896:V896), R896:V896, 0))), 技能库!$A:$F, 5, 0),"建议查阅考纲")&amp;CHAR(10)&amp;"💡 提升建议: "&amp;IFERROR(VLOOKUP(TRIM(D896)&amp;"_"&amp;TRIM(INDEX($R$1:$V$1, MATCH(MIN(R896:V896), R896:V896, 0))), 技能库!$A:$F, 6, 0),"请针对该题型加强练习"))</f>
        <v/>
      </c>
    </row>
    <row r="897" spans="12:29" ht="16" hidden="1" x14ac:dyDescent="0.2">
      <c r="L897" t="str">
        <f t="shared" si="52"/>
        <v/>
      </c>
      <c r="M897" t="str">
        <f>IF(L897="","", IFERROR(VLOOKUP(L897, IF(D897="KET", 换算标准!$M:$N, IF(D897="PET", 换算标准!$S:$T, 换算标准!$AC:$AD)), 2, TRUE), 0))</f>
        <v/>
      </c>
      <c r="P897" t="str">
        <f t="shared" si="53"/>
        <v/>
      </c>
      <c r="Q897" t="str">
        <f>IF(P897="","", IFERROR(VLOOKUP(P897, IF(D897="KET", 换算标准!$O:$P, IF(D897="PET", 换算标准!$U:$V, 换算标准!$AG:$AH)), 2, TRUE), 0))</f>
        <v/>
      </c>
      <c r="W897" t="str">
        <f t="shared" si="54"/>
        <v/>
      </c>
      <c r="X897" t="str">
        <f>IF(W897="","", IFERROR(VLOOKUP(W897, IF(D897="KET", 换算标准!$Q:$R, IF(D897="PET", 换算标准!$W:$X, 换算标准!$AI:$AJ)), 2, TRUE), 0))</f>
        <v/>
      </c>
      <c r="Y897" t="str">
        <f t="shared" si="55"/>
        <v/>
      </c>
      <c r="Z897" t="str">
        <f>IF(Y897="","", IFERROR(VLOOKUP(Y897, 换算标准!$Z:$AA, 1, TRUE), ""))</f>
        <v/>
      </c>
      <c r="AA897" s="5" t="str">
        <f>IF(L897="","", "⚠️ 薄弱环节: "&amp;INDEX($E$1:$K$1, MATCH(MIN(E897:K897), E897:K897, 0))&amp;CHAR(10)&amp;"📉 考察能力: "&amp;IFERROR(VLOOKUP(TRIM(D897)&amp;"_"&amp;TRIM(INDEX($E$1:$K$1, MATCH(MIN(E897:K897), E897:K897, 0))), 技能库!$A:$F, 5, 0),"建议查阅考纲")&amp;CHAR(10)&amp;"💡 提升建议: "&amp;IFERROR(VLOOKUP(TRIM(D897)&amp;"_"&amp;TRIM(INDEX($E$1:$K$1, MATCH(MIN(E897:K897), E897:K897, 0))), 技能库!$A:$F, 6, 0),"请针对该题型加强练习"))</f>
        <v/>
      </c>
      <c r="AB897" s="5" t="str">
        <f>IF(P897="","", "⚠️ 薄弱环节: "&amp;INDEX($N$1:$O$1, MATCH(MIN(N897:O897), N897:O897, 0))&amp;CHAR(10)&amp;"📉 考察能力: "&amp;IFERROR(VLOOKUP(TRIM(D897)&amp;"_"&amp;TRIM(INDEX($N$1:$O$1, MATCH(MIN(N897:O897), N897:O897, 0))), 技能库!$A:$F, 5, 0),"建议查阅考纲")&amp;CHAR(10)&amp;"💡 提升建议: "&amp;IFERROR(VLOOKUP(TRIM(D897)&amp;"_"&amp;TRIM(INDEX($N$1:$O$1, MATCH(MIN(N897:O897), N897:O897, 0))), 技能库!$A:$F, 6, 0),"请针对该题型加强练习"))</f>
        <v/>
      </c>
      <c r="AC897" s="5" t="str">
        <f>IF(W897="","", "⚠️ 薄弱环节: "&amp;INDEX($R$1:$V$1, MATCH(MIN(R897:V897), R897:V897, 0))&amp;CHAR(10)&amp;"📉 考察能力: "&amp;IFERROR(VLOOKUP(TRIM(D897)&amp;"_"&amp;TRIM(INDEX($R$1:$V$1, MATCH(MIN(R897:V897), R897:V897, 0))), 技能库!$A:$F, 5, 0),"建议查阅考纲")&amp;CHAR(10)&amp;"💡 提升建议: "&amp;IFERROR(VLOOKUP(TRIM(D897)&amp;"_"&amp;TRIM(INDEX($R$1:$V$1, MATCH(MIN(R897:V897), R897:V897, 0))), 技能库!$A:$F, 6, 0),"请针对该题型加强练习"))</f>
        <v/>
      </c>
    </row>
    <row r="898" spans="12:29" ht="16" hidden="1" x14ac:dyDescent="0.2">
      <c r="L898" t="str">
        <f t="shared" ref="L898:L961" si="56">IF(COUNT(E898:K898)&gt;0, SUM(E898:K898), "")</f>
        <v/>
      </c>
      <c r="M898" t="str">
        <f>IF(L898="","", IFERROR(VLOOKUP(L898, IF(D898="KET", 换算标准!$M:$N, IF(D898="PET", 换算标准!$S:$T, 换算标准!$AC:$AD)), 2, TRUE), 0))</f>
        <v/>
      </c>
      <c r="P898" t="str">
        <f t="shared" ref="P898:P961" si="57">IF(COUNT(N898:O898)&gt;0, SUM(N898:O898), "")</f>
        <v/>
      </c>
      <c r="Q898" t="str">
        <f>IF(P898="","", IFERROR(VLOOKUP(P898, IF(D898="KET", 换算标准!$O:$P, IF(D898="PET", 换算标准!$U:$V, 换算标准!$AG:$AH)), 2, TRUE), 0))</f>
        <v/>
      </c>
      <c r="W898" t="str">
        <f t="shared" ref="W898:W961" si="58">IF(COUNT(R898:V898)&gt;0, SUM(R898:V898), "")</f>
        <v/>
      </c>
      <c r="X898" t="str">
        <f>IF(W898="","", IFERROR(VLOOKUP(W898, IF(D898="KET", 换算标准!$Q:$R, IF(D898="PET", 换算标准!$W:$X, 换算标准!$AI:$AJ)), 2, TRUE), 0))</f>
        <v/>
      </c>
      <c r="Y898" t="str">
        <f t="shared" ref="Y898:Y961" si="59">IF(COUNT(M898,Q898,X898)&gt;0, AVERAGE(M898,Q898,X898), "")</f>
        <v/>
      </c>
      <c r="Z898" t="str">
        <f>IF(Y898="","", IFERROR(VLOOKUP(Y898, 换算标准!$Z:$AA, 1, TRUE), ""))</f>
        <v/>
      </c>
      <c r="AA898" s="5" t="str">
        <f>IF(L898="","", "⚠️ 薄弱环节: "&amp;INDEX($E$1:$K$1, MATCH(MIN(E898:K898), E898:K898, 0))&amp;CHAR(10)&amp;"📉 考察能力: "&amp;IFERROR(VLOOKUP(TRIM(D898)&amp;"_"&amp;TRIM(INDEX($E$1:$K$1, MATCH(MIN(E898:K898), E898:K898, 0))), 技能库!$A:$F, 5, 0),"建议查阅考纲")&amp;CHAR(10)&amp;"💡 提升建议: "&amp;IFERROR(VLOOKUP(TRIM(D898)&amp;"_"&amp;TRIM(INDEX($E$1:$K$1, MATCH(MIN(E898:K898), E898:K898, 0))), 技能库!$A:$F, 6, 0),"请针对该题型加强练习"))</f>
        <v/>
      </c>
      <c r="AB898" s="5" t="str">
        <f>IF(P898="","", "⚠️ 薄弱环节: "&amp;INDEX($N$1:$O$1, MATCH(MIN(N898:O898), N898:O898, 0))&amp;CHAR(10)&amp;"📉 考察能力: "&amp;IFERROR(VLOOKUP(TRIM(D898)&amp;"_"&amp;TRIM(INDEX($N$1:$O$1, MATCH(MIN(N898:O898), N898:O898, 0))), 技能库!$A:$F, 5, 0),"建议查阅考纲")&amp;CHAR(10)&amp;"💡 提升建议: "&amp;IFERROR(VLOOKUP(TRIM(D898)&amp;"_"&amp;TRIM(INDEX($N$1:$O$1, MATCH(MIN(N898:O898), N898:O898, 0))), 技能库!$A:$F, 6, 0),"请针对该题型加强练习"))</f>
        <v/>
      </c>
      <c r="AC898" s="5" t="str">
        <f>IF(W898="","", "⚠️ 薄弱环节: "&amp;INDEX($R$1:$V$1, MATCH(MIN(R898:V898), R898:V898, 0))&amp;CHAR(10)&amp;"📉 考察能力: "&amp;IFERROR(VLOOKUP(TRIM(D898)&amp;"_"&amp;TRIM(INDEX($R$1:$V$1, MATCH(MIN(R898:V898), R898:V898, 0))), 技能库!$A:$F, 5, 0),"建议查阅考纲")&amp;CHAR(10)&amp;"💡 提升建议: "&amp;IFERROR(VLOOKUP(TRIM(D898)&amp;"_"&amp;TRIM(INDEX($R$1:$V$1, MATCH(MIN(R898:V898), R898:V898, 0))), 技能库!$A:$F, 6, 0),"请针对该题型加强练习"))</f>
        <v/>
      </c>
    </row>
    <row r="899" spans="12:29" ht="16" hidden="1" x14ac:dyDescent="0.2">
      <c r="L899" t="str">
        <f t="shared" si="56"/>
        <v/>
      </c>
      <c r="M899" t="str">
        <f>IF(L899="","", IFERROR(VLOOKUP(L899, IF(D899="KET", 换算标准!$M:$N, IF(D899="PET", 换算标准!$S:$T, 换算标准!$AC:$AD)), 2, TRUE), 0))</f>
        <v/>
      </c>
      <c r="P899" t="str">
        <f t="shared" si="57"/>
        <v/>
      </c>
      <c r="Q899" t="str">
        <f>IF(P899="","", IFERROR(VLOOKUP(P899, IF(D899="KET", 换算标准!$O:$P, IF(D899="PET", 换算标准!$U:$V, 换算标准!$AG:$AH)), 2, TRUE), 0))</f>
        <v/>
      </c>
      <c r="W899" t="str">
        <f t="shared" si="58"/>
        <v/>
      </c>
      <c r="X899" t="str">
        <f>IF(W899="","", IFERROR(VLOOKUP(W899, IF(D899="KET", 换算标准!$Q:$R, IF(D899="PET", 换算标准!$W:$X, 换算标准!$AI:$AJ)), 2, TRUE), 0))</f>
        <v/>
      </c>
      <c r="Y899" t="str">
        <f t="shared" si="59"/>
        <v/>
      </c>
      <c r="Z899" t="str">
        <f>IF(Y899="","", IFERROR(VLOOKUP(Y899, 换算标准!$Z:$AA, 1, TRUE), ""))</f>
        <v/>
      </c>
      <c r="AA899" s="5" t="str">
        <f>IF(L899="","", "⚠️ 薄弱环节: "&amp;INDEX($E$1:$K$1, MATCH(MIN(E899:K899), E899:K899, 0))&amp;CHAR(10)&amp;"📉 考察能力: "&amp;IFERROR(VLOOKUP(TRIM(D899)&amp;"_"&amp;TRIM(INDEX($E$1:$K$1, MATCH(MIN(E899:K899), E899:K899, 0))), 技能库!$A:$F, 5, 0),"建议查阅考纲")&amp;CHAR(10)&amp;"💡 提升建议: "&amp;IFERROR(VLOOKUP(TRIM(D899)&amp;"_"&amp;TRIM(INDEX($E$1:$K$1, MATCH(MIN(E899:K899), E899:K899, 0))), 技能库!$A:$F, 6, 0),"请针对该题型加强练习"))</f>
        <v/>
      </c>
      <c r="AB899" s="5" t="str">
        <f>IF(P899="","", "⚠️ 薄弱环节: "&amp;INDEX($N$1:$O$1, MATCH(MIN(N899:O899), N899:O899, 0))&amp;CHAR(10)&amp;"📉 考察能力: "&amp;IFERROR(VLOOKUP(TRIM(D899)&amp;"_"&amp;TRIM(INDEX($N$1:$O$1, MATCH(MIN(N899:O899), N899:O899, 0))), 技能库!$A:$F, 5, 0),"建议查阅考纲")&amp;CHAR(10)&amp;"💡 提升建议: "&amp;IFERROR(VLOOKUP(TRIM(D899)&amp;"_"&amp;TRIM(INDEX($N$1:$O$1, MATCH(MIN(N899:O899), N899:O899, 0))), 技能库!$A:$F, 6, 0),"请针对该题型加强练习"))</f>
        <v/>
      </c>
      <c r="AC899" s="5" t="str">
        <f>IF(W899="","", "⚠️ 薄弱环节: "&amp;INDEX($R$1:$V$1, MATCH(MIN(R899:V899), R899:V899, 0))&amp;CHAR(10)&amp;"📉 考察能力: "&amp;IFERROR(VLOOKUP(TRIM(D899)&amp;"_"&amp;TRIM(INDEX($R$1:$V$1, MATCH(MIN(R899:V899), R899:V899, 0))), 技能库!$A:$F, 5, 0),"建议查阅考纲")&amp;CHAR(10)&amp;"💡 提升建议: "&amp;IFERROR(VLOOKUP(TRIM(D899)&amp;"_"&amp;TRIM(INDEX($R$1:$V$1, MATCH(MIN(R899:V899), R899:V899, 0))), 技能库!$A:$F, 6, 0),"请针对该题型加强练习"))</f>
        <v/>
      </c>
    </row>
    <row r="900" spans="12:29" ht="16" hidden="1" x14ac:dyDescent="0.2">
      <c r="L900" t="str">
        <f t="shared" si="56"/>
        <v/>
      </c>
      <c r="M900" t="str">
        <f>IF(L900="","", IFERROR(VLOOKUP(L900, IF(D900="KET", 换算标准!$M:$N, IF(D900="PET", 换算标准!$S:$T, 换算标准!$AC:$AD)), 2, TRUE), 0))</f>
        <v/>
      </c>
      <c r="P900" t="str">
        <f t="shared" si="57"/>
        <v/>
      </c>
      <c r="Q900" t="str">
        <f>IF(P900="","", IFERROR(VLOOKUP(P900, IF(D900="KET", 换算标准!$O:$P, IF(D900="PET", 换算标准!$U:$V, 换算标准!$AG:$AH)), 2, TRUE), 0))</f>
        <v/>
      </c>
      <c r="W900" t="str">
        <f t="shared" si="58"/>
        <v/>
      </c>
      <c r="X900" t="str">
        <f>IF(W900="","", IFERROR(VLOOKUP(W900, IF(D900="KET", 换算标准!$Q:$R, IF(D900="PET", 换算标准!$W:$X, 换算标准!$AI:$AJ)), 2, TRUE), 0))</f>
        <v/>
      </c>
      <c r="Y900" t="str">
        <f t="shared" si="59"/>
        <v/>
      </c>
      <c r="Z900" t="str">
        <f>IF(Y900="","", IFERROR(VLOOKUP(Y900, 换算标准!$Z:$AA, 1, TRUE), ""))</f>
        <v/>
      </c>
      <c r="AA900" s="5" t="str">
        <f>IF(L900="","", "⚠️ 薄弱环节: "&amp;INDEX($E$1:$K$1, MATCH(MIN(E900:K900), E900:K900, 0))&amp;CHAR(10)&amp;"📉 考察能力: "&amp;IFERROR(VLOOKUP(TRIM(D900)&amp;"_"&amp;TRIM(INDEX($E$1:$K$1, MATCH(MIN(E900:K900), E900:K900, 0))), 技能库!$A:$F, 5, 0),"建议查阅考纲")&amp;CHAR(10)&amp;"💡 提升建议: "&amp;IFERROR(VLOOKUP(TRIM(D900)&amp;"_"&amp;TRIM(INDEX($E$1:$K$1, MATCH(MIN(E900:K900), E900:K900, 0))), 技能库!$A:$F, 6, 0),"请针对该题型加强练习"))</f>
        <v/>
      </c>
      <c r="AB900" s="5" t="str">
        <f>IF(P900="","", "⚠️ 薄弱环节: "&amp;INDEX($N$1:$O$1, MATCH(MIN(N900:O900), N900:O900, 0))&amp;CHAR(10)&amp;"📉 考察能力: "&amp;IFERROR(VLOOKUP(TRIM(D900)&amp;"_"&amp;TRIM(INDEX($N$1:$O$1, MATCH(MIN(N900:O900), N900:O900, 0))), 技能库!$A:$F, 5, 0),"建议查阅考纲")&amp;CHAR(10)&amp;"💡 提升建议: "&amp;IFERROR(VLOOKUP(TRIM(D900)&amp;"_"&amp;TRIM(INDEX($N$1:$O$1, MATCH(MIN(N900:O900), N900:O900, 0))), 技能库!$A:$F, 6, 0),"请针对该题型加强练习"))</f>
        <v/>
      </c>
      <c r="AC900" s="5" t="str">
        <f>IF(W900="","", "⚠️ 薄弱环节: "&amp;INDEX($R$1:$V$1, MATCH(MIN(R900:V900), R900:V900, 0))&amp;CHAR(10)&amp;"📉 考察能力: "&amp;IFERROR(VLOOKUP(TRIM(D900)&amp;"_"&amp;TRIM(INDEX($R$1:$V$1, MATCH(MIN(R900:V900), R900:V900, 0))), 技能库!$A:$F, 5, 0),"建议查阅考纲")&amp;CHAR(10)&amp;"💡 提升建议: "&amp;IFERROR(VLOOKUP(TRIM(D900)&amp;"_"&amp;TRIM(INDEX($R$1:$V$1, MATCH(MIN(R900:V900), R900:V900, 0))), 技能库!$A:$F, 6, 0),"请针对该题型加强练习"))</f>
        <v/>
      </c>
    </row>
    <row r="901" spans="12:29" ht="16" hidden="1" x14ac:dyDescent="0.2">
      <c r="L901" t="str">
        <f t="shared" si="56"/>
        <v/>
      </c>
      <c r="M901" t="str">
        <f>IF(L901="","", IFERROR(VLOOKUP(L901, IF(D901="KET", 换算标准!$M:$N, IF(D901="PET", 换算标准!$S:$T, 换算标准!$AC:$AD)), 2, TRUE), 0))</f>
        <v/>
      </c>
      <c r="P901" t="str">
        <f t="shared" si="57"/>
        <v/>
      </c>
      <c r="Q901" t="str">
        <f>IF(P901="","", IFERROR(VLOOKUP(P901, IF(D901="KET", 换算标准!$O:$P, IF(D901="PET", 换算标准!$U:$V, 换算标准!$AG:$AH)), 2, TRUE), 0))</f>
        <v/>
      </c>
      <c r="W901" t="str">
        <f t="shared" si="58"/>
        <v/>
      </c>
      <c r="X901" t="str">
        <f>IF(W901="","", IFERROR(VLOOKUP(W901, IF(D901="KET", 换算标准!$Q:$R, IF(D901="PET", 换算标准!$W:$X, 换算标准!$AI:$AJ)), 2, TRUE), 0))</f>
        <v/>
      </c>
      <c r="Y901" t="str">
        <f t="shared" si="59"/>
        <v/>
      </c>
      <c r="Z901" t="str">
        <f>IF(Y901="","", IFERROR(VLOOKUP(Y901, 换算标准!$Z:$AA, 1, TRUE), ""))</f>
        <v/>
      </c>
      <c r="AA901" s="5" t="str">
        <f>IF(L901="","", "⚠️ 薄弱环节: "&amp;INDEX($E$1:$K$1, MATCH(MIN(E901:K901), E901:K901, 0))&amp;CHAR(10)&amp;"📉 考察能力: "&amp;IFERROR(VLOOKUP(TRIM(D901)&amp;"_"&amp;TRIM(INDEX($E$1:$K$1, MATCH(MIN(E901:K901), E901:K901, 0))), 技能库!$A:$F, 5, 0),"建议查阅考纲")&amp;CHAR(10)&amp;"💡 提升建议: "&amp;IFERROR(VLOOKUP(TRIM(D901)&amp;"_"&amp;TRIM(INDEX($E$1:$K$1, MATCH(MIN(E901:K901), E901:K901, 0))), 技能库!$A:$F, 6, 0),"请针对该题型加强练习"))</f>
        <v/>
      </c>
      <c r="AB901" s="5" t="str">
        <f>IF(P901="","", "⚠️ 薄弱环节: "&amp;INDEX($N$1:$O$1, MATCH(MIN(N901:O901), N901:O901, 0))&amp;CHAR(10)&amp;"📉 考察能力: "&amp;IFERROR(VLOOKUP(TRIM(D901)&amp;"_"&amp;TRIM(INDEX($N$1:$O$1, MATCH(MIN(N901:O901), N901:O901, 0))), 技能库!$A:$F, 5, 0),"建议查阅考纲")&amp;CHAR(10)&amp;"💡 提升建议: "&amp;IFERROR(VLOOKUP(TRIM(D901)&amp;"_"&amp;TRIM(INDEX($N$1:$O$1, MATCH(MIN(N901:O901), N901:O901, 0))), 技能库!$A:$F, 6, 0),"请针对该题型加强练习"))</f>
        <v/>
      </c>
      <c r="AC901" s="5" t="str">
        <f>IF(W901="","", "⚠️ 薄弱环节: "&amp;INDEX($R$1:$V$1, MATCH(MIN(R901:V901), R901:V901, 0))&amp;CHAR(10)&amp;"📉 考察能力: "&amp;IFERROR(VLOOKUP(TRIM(D901)&amp;"_"&amp;TRIM(INDEX($R$1:$V$1, MATCH(MIN(R901:V901), R901:V901, 0))), 技能库!$A:$F, 5, 0),"建议查阅考纲")&amp;CHAR(10)&amp;"💡 提升建议: "&amp;IFERROR(VLOOKUP(TRIM(D901)&amp;"_"&amp;TRIM(INDEX($R$1:$V$1, MATCH(MIN(R901:V901), R901:V901, 0))), 技能库!$A:$F, 6, 0),"请针对该题型加强练习"))</f>
        <v/>
      </c>
    </row>
    <row r="902" spans="12:29" ht="16" hidden="1" x14ac:dyDescent="0.2">
      <c r="L902" t="str">
        <f t="shared" si="56"/>
        <v/>
      </c>
      <c r="M902" t="str">
        <f>IF(L902="","", IFERROR(VLOOKUP(L902, IF(D902="KET", 换算标准!$M:$N, IF(D902="PET", 换算标准!$S:$T, 换算标准!$AC:$AD)), 2, TRUE), 0))</f>
        <v/>
      </c>
      <c r="P902" t="str">
        <f t="shared" si="57"/>
        <v/>
      </c>
      <c r="Q902" t="str">
        <f>IF(P902="","", IFERROR(VLOOKUP(P902, IF(D902="KET", 换算标准!$O:$P, IF(D902="PET", 换算标准!$U:$V, 换算标准!$AG:$AH)), 2, TRUE), 0))</f>
        <v/>
      </c>
      <c r="W902" t="str">
        <f t="shared" si="58"/>
        <v/>
      </c>
      <c r="X902" t="str">
        <f>IF(W902="","", IFERROR(VLOOKUP(W902, IF(D902="KET", 换算标准!$Q:$R, IF(D902="PET", 换算标准!$W:$X, 换算标准!$AI:$AJ)), 2, TRUE), 0))</f>
        <v/>
      </c>
      <c r="Y902" t="str">
        <f t="shared" si="59"/>
        <v/>
      </c>
      <c r="Z902" t="str">
        <f>IF(Y902="","", IFERROR(VLOOKUP(Y902, 换算标准!$Z:$AA, 1, TRUE), ""))</f>
        <v/>
      </c>
      <c r="AA902" s="5" t="str">
        <f>IF(L902="","", "⚠️ 薄弱环节: "&amp;INDEX($E$1:$K$1, MATCH(MIN(E902:K902), E902:K902, 0))&amp;CHAR(10)&amp;"📉 考察能力: "&amp;IFERROR(VLOOKUP(TRIM(D902)&amp;"_"&amp;TRIM(INDEX($E$1:$K$1, MATCH(MIN(E902:K902), E902:K902, 0))), 技能库!$A:$F, 5, 0),"建议查阅考纲")&amp;CHAR(10)&amp;"💡 提升建议: "&amp;IFERROR(VLOOKUP(TRIM(D902)&amp;"_"&amp;TRIM(INDEX($E$1:$K$1, MATCH(MIN(E902:K902), E902:K902, 0))), 技能库!$A:$F, 6, 0),"请针对该题型加强练习"))</f>
        <v/>
      </c>
      <c r="AB902" s="5" t="str">
        <f>IF(P902="","", "⚠️ 薄弱环节: "&amp;INDEX($N$1:$O$1, MATCH(MIN(N902:O902), N902:O902, 0))&amp;CHAR(10)&amp;"📉 考察能力: "&amp;IFERROR(VLOOKUP(TRIM(D902)&amp;"_"&amp;TRIM(INDEX($N$1:$O$1, MATCH(MIN(N902:O902), N902:O902, 0))), 技能库!$A:$F, 5, 0),"建议查阅考纲")&amp;CHAR(10)&amp;"💡 提升建议: "&amp;IFERROR(VLOOKUP(TRIM(D902)&amp;"_"&amp;TRIM(INDEX($N$1:$O$1, MATCH(MIN(N902:O902), N902:O902, 0))), 技能库!$A:$F, 6, 0),"请针对该题型加强练习"))</f>
        <v/>
      </c>
      <c r="AC902" s="5" t="str">
        <f>IF(W902="","", "⚠️ 薄弱环节: "&amp;INDEX($R$1:$V$1, MATCH(MIN(R902:V902), R902:V902, 0))&amp;CHAR(10)&amp;"📉 考察能力: "&amp;IFERROR(VLOOKUP(TRIM(D902)&amp;"_"&amp;TRIM(INDEX($R$1:$V$1, MATCH(MIN(R902:V902), R902:V902, 0))), 技能库!$A:$F, 5, 0),"建议查阅考纲")&amp;CHAR(10)&amp;"💡 提升建议: "&amp;IFERROR(VLOOKUP(TRIM(D902)&amp;"_"&amp;TRIM(INDEX($R$1:$V$1, MATCH(MIN(R902:V902), R902:V902, 0))), 技能库!$A:$F, 6, 0),"请针对该题型加强练习"))</f>
        <v/>
      </c>
    </row>
    <row r="903" spans="12:29" ht="16" hidden="1" x14ac:dyDescent="0.2">
      <c r="L903" t="str">
        <f t="shared" si="56"/>
        <v/>
      </c>
      <c r="M903" t="str">
        <f>IF(L903="","", IFERROR(VLOOKUP(L903, IF(D903="KET", 换算标准!$M:$N, IF(D903="PET", 换算标准!$S:$T, 换算标准!$AC:$AD)), 2, TRUE), 0))</f>
        <v/>
      </c>
      <c r="P903" t="str">
        <f t="shared" si="57"/>
        <v/>
      </c>
      <c r="Q903" t="str">
        <f>IF(P903="","", IFERROR(VLOOKUP(P903, IF(D903="KET", 换算标准!$O:$P, IF(D903="PET", 换算标准!$U:$V, 换算标准!$AG:$AH)), 2, TRUE), 0))</f>
        <v/>
      </c>
      <c r="W903" t="str">
        <f t="shared" si="58"/>
        <v/>
      </c>
      <c r="X903" t="str">
        <f>IF(W903="","", IFERROR(VLOOKUP(W903, IF(D903="KET", 换算标准!$Q:$R, IF(D903="PET", 换算标准!$W:$X, 换算标准!$AI:$AJ)), 2, TRUE), 0))</f>
        <v/>
      </c>
      <c r="Y903" t="str">
        <f t="shared" si="59"/>
        <v/>
      </c>
      <c r="Z903" t="str">
        <f>IF(Y903="","", IFERROR(VLOOKUP(Y903, 换算标准!$Z:$AA, 1, TRUE), ""))</f>
        <v/>
      </c>
      <c r="AA903" s="5" t="str">
        <f>IF(L903="","", "⚠️ 薄弱环节: "&amp;INDEX($E$1:$K$1, MATCH(MIN(E903:K903), E903:K903, 0))&amp;CHAR(10)&amp;"📉 考察能力: "&amp;IFERROR(VLOOKUP(TRIM(D903)&amp;"_"&amp;TRIM(INDEX($E$1:$K$1, MATCH(MIN(E903:K903), E903:K903, 0))), 技能库!$A:$F, 5, 0),"建议查阅考纲")&amp;CHAR(10)&amp;"💡 提升建议: "&amp;IFERROR(VLOOKUP(TRIM(D903)&amp;"_"&amp;TRIM(INDEX($E$1:$K$1, MATCH(MIN(E903:K903), E903:K903, 0))), 技能库!$A:$F, 6, 0),"请针对该题型加强练习"))</f>
        <v/>
      </c>
      <c r="AB903" s="5" t="str">
        <f>IF(P903="","", "⚠️ 薄弱环节: "&amp;INDEX($N$1:$O$1, MATCH(MIN(N903:O903), N903:O903, 0))&amp;CHAR(10)&amp;"📉 考察能力: "&amp;IFERROR(VLOOKUP(TRIM(D903)&amp;"_"&amp;TRIM(INDEX($N$1:$O$1, MATCH(MIN(N903:O903), N903:O903, 0))), 技能库!$A:$F, 5, 0),"建议查阅考纲")&amp;CHAR(10)&amp;"💡 提升建议: "&amp;IFERROR(VLOOKUP(TRIM(D903)&amp;"_"&amp;TRIM(INDEX($N$1:$O$1, MATCH(MIN(N903:O903), N903:O903, 0))), 技能库!$A:$F, 6, 0),"请针对该题型加强练习"))</f>
        <v/>
      </c>
      <c r="AC903" s="5" t="str">
        <f>IF(W903="","", "⚠️ 薄弱环节: "&amp;INDEX($R$1:$V$1, MATCH(MIN(R903:V903), R903:V903, 0))&amp;CHAR(10)&amp;"📉 考察能力: "&amp;IFERROR(VLOOKUP(TRIM(D903)&amp;"_"&amp;TRIM(INDEX($R$1:$V$1, MATCH(MIN(R903:V903), R903:V903, 0))), 技能库!$A:$F, 5, 0),"建议查阅考纲")&amp;CHAR(10)&amp;"💡 提升建议: "&amp;IFERROR(VLOOKUP(TRIM(D903)&amp;"_"&amp;TRIM(INDEX($R$1:$V$1, MATCH(MIN(R903:V903), R903:V903, 0))), 技能库!$A:$F, 6, 0),"请针对该题型加强练习"))</f>
        <v/>
      </c>
    </row>
    <row r="904" spans="12:29" ht="16" hidden="1" x14ac:dyDescent="0.2">
      <c r="L904" t="str">
        <f t="shared" si="56"/>
        <v/>
      </c>
      <c r="M904" t="str">
        <f>IF(L904="","", IFERROR(VLOOKUP(L904, IF(D904="KET", 换算标准!$M:$N, IF(D904="PET", 换算标准!$S:$T, 换算标准!$AC:$AD)), 2, TRUE), 0))</f>
        <v/>
      </c>
      <c r="P904" t="str">
        <f t="shared" si="57"/>
        <v/>
      </c>
      <c r="Q904" t="str">
        <f>IF(P904="","", IFERROR(VLOOKUP(P904, IF(D904="KET", 换算标准!$O:$P, IF(D904="PET", 换算标准!$U:$V, 换算标准!$AG:$AH)), 2, TRUE), 0))</f>
        <v/>
      </c>
      <c r="W904" t="str">
        <f t="shared" si="58"/>
        <v/>
      </c>
      <c r="X904" t="str">
        <f>IF(W904="","", IFERROR(VLOOKUP(W904, IF(D904="KET", 换算标准!$Q:$R, IF(D904="PET", 换算标准!$W:$X, 换算标准!$AI:$AJ)), 2, TRUE), 0))</f>
        <v/>
      </c>
      <c r="Y904" t="str">
        <f t="shared" si="59"/>
        <v/>
      </c>
      <c r="Z904" t="str">
        <f>IF(Y904="","", IFERROR(VLOOKUP(Y904, 换算标准!$Z:$AA, 1, TRUE), ""))</f>
        <v/>
      </c>
      <c r="AA904" s="5" t="str">
        <f>IF(L904="","", "⚠️ 薄弱环节: "&amp;INDEX($E$1:$K$1, MATCH(MIN(E904:K904), E904:K904, 0))&amp;CHAR(10)&amp;"📉 考察能力: "&amp;IFERROR(VLOOKUP(TRIM(D904)&amp;"_"&amp;TRIM(INDEX($E$1:$K$1, MATCH(MIN(E904:K904), E904:K904, 0))), 技能库!$A:$F, 5, 0),"建议查阅考纲")&amp;CHAR(10)&amp;"💡 提升建议: "&amp;IFERROR(VLOOKUP(TRIM(D904)&amp;"_"&amp;TRIM(INDEX($E$1:$K$1, MATCH(MIN(E904:K904), E904:K904, 0))), 技能库!$A:$F, 6, 0),"请针对该题型加强练习"))</f>
        <v/>
      </c>
      <c r="AB904" s="5" t="str">
        <f>IF(P904="","", "⚠️ 薄弱环节: "&amp;INDEX($N$1:$O$1, MATCH(MIN(N904:O904), N904:O904, 0))&amp;CHAR(10)&amp;"📉 考察能力: "&amp;IFERROR(VLOOKUP(TRIM(D904)&amp;"_"&amp;TRIM(INDEX($N$1:$O$1, MATCH(MIN(N904:O904), N904:O904, 0))), 技能库!$A:$F, 5, 0),"建议查阅考纲")&amp;CHAR(10)&amp;"💡 提升建议: "&amp;IFERROR(VLOOKUP(TRIM(D904)&amp;"_"&amp;TRIM(INDEX($N$1:$O$1, MATCH(MIN(N904:O904), N904:O904, 0))), 技能库!$A:$F, 6, 0),"请针对该题型加强练习"))</f>
        <v/>
      </c>
      <c r="AC904" s="5" t="str">
        <f>IF(W904="","", "⚠️ 薄弱环节: "&amp;INDEX($R$1:$V$1, MATCH(MIN(R904:V904), R904:V904, 0))&amp;CHAR(10)&amp;"📉 考察能力: "&amp;IFERROR(VLOOKUP(TRIM(D904)&amp;"_"&amp;TRIM(INDEX($R$1:$V$1, MATCH(MIN(R904:V904), R904:V904, 0))), 技能库!$A:$F, 5, 0),"建议查阅考纲")&amp;CHAR(10)&amp;"💡 提升建议: "&amp;IFERROR(VLOOKUP(TRIM(D904)&amp;"_"&amp;TRIM(INDEX($R$1:$V$1, MATCH(MIN(R904:V904), R904:V904, 0))), 技能库!$A:$F, 6, 0),"请针对该题型加强练习"))</f>
        <v/>
      </c>
    </row>
    <row r="905" spans="12:29" ht="16" hidden="1" x14ac:dyDescent="0.2">
      <c r="L905" t="str">
        <f t="shared" si="56"/>
        <v/>
      </c>
      <c r="M905" t="str">
        <f>IF(L905="","", IFERROR(VLOOKUP(L905, IF(D905="KET", 换算标准!$M:$N, IF(D905="PET", 换算标准!$S:$T, 换算标准!$AC:$AD)), 2, TRUE), 0))</f>
        <v/>
      </c>
      <c r="P905" t="str">
        <f t="shared" si="57"/>
        <v/>
      </c>
      <c r="Q905" t="str">
        <f>IF(P905="","", IFERROR(VLOOKUP(P905, IF(D905="KET", 换算标准!$O:$P, IF(D905="PET", 换算标准!$U:$V, 换算标准!$AG:$AH)), 2, TRUE), 0))</f>
        <v/>
      </c>
      <c r="W905" t="str">
        <f t="shared" si="58"/>
        <v/>
      </c>
      <c r="X905" t="str">
        <f>IF(W905="","", IFERROR(VLOOKUP(W905, IF(D905="KET", 换算标准!$Q:$R, IF(D905="PET", 换算标准!$W:$X, 换算标准!$AI:$AJ)), 2, TRUE), 0))</f>
        <v/>
      </c>
      <c r="Y905" t="str">
        <f t="shared" si="59"/>
        <v/>
      </c>
      <c r="Z905" t="str">
        <f>IF(Y905="","", IFERROR(VLOOKUP(Y905, 换算标准!$Z:$AA, 1, TRUE), ""))</f>
        <v/>
      </c>
      <c r="AA905" s="5" t="str">
        <f>IF(L905="","", "⚠️ 薄弱环节: "&amp;INDEX($E$1:$K$1, MATCH(MIN(E905:K905), E905:K905, 0))&amp;CHAR(10)&amp;"📉 考察能力: "&amp;IFERROR(VLOOKUP(TRIM(D905)&amp;"_"&amp;TRIM(INDEX($E$1:$K$1, MATCH(MIN(E905:K905), E905:K905, 0))), 技能库!$A:$F, 5, 0),"建议查阅考纲")&amp;CHAR(10)&amp;"💡 提升建议: "&amp;IFERROR(VLOOKUP(TRIM(D905)&amp;"_"&amp;TRIM(INDEX($E$1:$K$1, MATCH(MIN(E905:K905), E905:K905, 0))), 技能库!$A:$F, 6, 0),"请针对该题型加强练习"))</f>
        <v/>
      </c>
      <c r="AB905" s="5" t="str">
        <f>IF(P905="","", "⚠️ 薄弱环节: "&amp;INDEX($N$1:$O$1, MATCH(MIN(N905:O905), N905:O905, 0))&amp;CHAR(10)&amp;"📉 考察能力: "&amp;IFERROR(VLOOKUP(TRIM(D905)&amp;"_"&amp;TRIM(INDEX($N$1:$O$1, MATCH(MIN(N905:O905), N905:O905, 0))), 技能库!$A:$F, 5, 0),"建议查阅考纲")&amp;CHAR(10)&amp;"💡 提升建议: "&amp;IFERROR(VLOOKUP(TRIM(D905)&amp;"_"&amp;TRIM(INDEX($N$1:$O$1, MATCH(MIN(N905:O905), N905:O905, 0))), 技能库!$A:$F, 6, 0),"请针对该题型加强练习"))</f>
        <v/>
      </c>
      <c r="AC905" s="5" t="str">
        <f>IF(W905="","", "⚠️ 薄弱环节: "&amp;INDEX($R$1:$V$1, MATCH(MIN(R905:V905), R905:V905, 0))&amp;CHAR(10)&amp;"📉 考察能力: "&amp;IFERROR(VLOOKUP(TRIM(D905)&amp;"_"&amp;TRIM(INDEX($R$1:$V$1, MATCH(MIN(R905:V905), R905:V905, 0))), 技能库!$A:$F, 5, 0),"建议查阅考纲")&amp;CHAR(10)&amp;"💡 提升建议: "&amp;IFERROR(VLOOKUP(TRIM(D905)&amp;"_"&amp;TRIM(INDEX($R$1:$V$1, MATCH(MIN(R905:V905), R905:V905, 0))), 技能库!$A:$F, 6, 0),"请针对该题型加强练习"))</f>
        <v/>
      </c>
    </row>
    <row r="906" spans="12:29" ht="16" hidden="1" x14ac:dyDescent="0.2">
      <c r="L906" t="str">
        <f t="shared" si="56"/>
        <v/>
      </c>
      <c r="M906" t="str">
        <f>IF(L906="","", IFERROR(VLOOKUP(L906, IF(D906="KET", 换算标准!$M:$N, IF(D906="PET", 换算标准!$S:$T, 换算标准!$AC:$AD)), 2, TRUE), 0))</f>
        <v/>
      </c>
      <c r="P906" t="str">
        <f t="shared" si="57"/>
        <v/>
      </c>
      <c r="Q906" t="str">
        <f>IF(P906="","", IFERROR(VLOOKUP(P906, IF(D906="KET", 换算标准!$O:$P, IF(D906="PET", 换算标准!$U:$V, 换算标准!$AG:$AH)), 2, TRUE), 0))</f>
        <v/>
      </c>
      <c r="W906" t="str">
        <f t="shared" si="58"/>
        <v/>
      </c>
      <c r="X906" t="str">
        <f>IF(W906="","", IFERROR(VLOOKUP(W906, IF(D906="KET", 换算标准!$Q:$R, IF(D906="PET", 换算标准!$W:$X, 换算标准!$AI:$AJ)), 2, TRUE), 0))</f>
        <v/>
      </c>
      <c r="Y906" t="str">
        <f t="shared" si="59"/>
        <v/>
      </c>
      <c r="Z906" t="str">
        <f>IF(Y906="","", IFERROR(VLOOKUP(Y906, 换算标准!$Z:$AA, 1, TRUE), ""))</f>
        <v/>
      </c>
      <c r="AA906" s="5" t="str">
        <f>IF(L906="","", "⚠️ 薄弱环节: "&amp;INDEX($E$1:$K$1, MATCH(MIN(E906:K906), E906:K906, 0))&amp;CHAR(10)&amp;"📉 考察能力: "&amp;IFERROR(VLOOKUP(TRIM(D906)&amp;"_"&amp;TRIM(INDEX($E$1:$K$1, MATCH(MIN(E906:K906), E906:K906, 0))), 技能库!$A:$F, 5, 0),"建议查阅考纲")&amp;CHAR(10)&amp;"💡 提升建议: "&amp;IFERROR(VLOOKUP(TRIM(D906)&amp;"_"&amp;TRIM(INDEX($E$1:$K$1, MATCH(MIN(E906:K906), E906:K906, 0))), 技能库!$A:$F, 6, 0),"请针对该题型加强练习"))</f>
        <v/>
      </c>
      <c r="AB906" s="5" t="str">
        <f>IF(P906="","", "⚠️ 薄弱环节: "&amp;INDEX($N$1:$O$1, MATCH(MIN(N906:O906), N906:O906, 0))&amp;CHAR(10)&amp;"📉 考察能力: "&amp;IFERROR(VLOOKUP(TRIM(D906)&amp;"_"&amp;TRIM(INDEX($N$1:$O$1, MATCH(MIN(N906:O906), N906:O906, 0))), 技能库!$A:$F, 5, 0),"建议查阅考纲")&amp;CHAR(10)&amp;"💡 提升建议: "&amp;IFERROR(VLOOKUP(TRIM(D906)&amp;"_"&amp;TRIM(INDEX($N$1:$O$1, MATCH(MIN(N906:O906), N906:O906, 0))), 技能库!$A:$F, 6, 0),"请针对该题型加强练习"))</f>
        <v/>
      </c>
      <c r="AC906" s="5" t="str">
        <f>IF(W906="","", "⚠️ 薄弱环节: "&amp;INDEX($R$1:$V$1, MATCH(MIN(R906:V906), R906:V906, 0))&amp;CHAR(10)&amp;"📉 考察能力: "&amp;IFERROR(VLOOKUP(TRIM(D906)&amp;"_"&amp;TRIM(INDEX($R$1:$V$1, MATCH(MIN(R906:V906), R906:V906, 0))), 技能库!$A:$F, 5, 0),"建议查阅考纲")&amp;CHAR(10)&amp;"💡 提升建议: "&amp;IFERROR(VLOOKUP(TRIM(D906)&amp;"_"&amp;TRIM(INDEX($R$1:$V$1, MATCH(MIN(R906:V906), R906:V906, 0))), 技能库!$A:$F, 6, 0),"请针对该题型加强练习"))</f>
        <v/>
      </c>
    </row>
    <row r="907" spans="12:29" ht="16" hidden="1" x14ac:dyDescent="0.2">
      <c r="L907" t="str">
        <f t="shared" si="56"/>
        <v/>
      </c>
      <c r="M907" t="str">
        <f>IF(L907="","", IFERROR(VLOOKUP(L907, IF(D907="KET", 换算标准!$M:$N, IF(D907="PET", 换算标准!$S:$T, 换算标准!$AC:$AD)), 2, TRUE), 0))</f>
        <v/>
      </c>
      <c r="P907" t="str">
        <f t="shared" si="57"/>
        <v/>
      </c>
      <c r="Q907" t="str">
        <f>IF(P907="","", IFERROR(VLOOKUP(P907, IF(D907="KET", 换算标准!$O:$P, IF(D907="PET", 换算标准!$U:$V, 换算标准!$AG:$AH)), 2, TRUE), 0))</f>
        <v/>
      </c>
      <c r="W907" t="str">
        <f t="shared" si="58"/>
        <v/>
      </c>
      <c r="X907" t="str">
        <f>IF(W907="","", IFERROR(VLOOKUP(W907, IF(D907="KET", 换算标准!$Q:$R, IF(D907="PET", 换算标准!$W:$X, 换算标准!$AI:$AJ)), 2, TRUE), 0))</f>
        <v/>
      </c>
      <c r="Y907" t="str">
        <f t="shared" si="59"/>
        <v/>
      </c>
      <c r="Z907" t="str">
        <f>IF(Y907="","", IFERROR(VLOOKUP(Y907, 换算标准!$Z:$AA, 1, TRUE), ""))</f>
        <v/>
      </c>
      <c r="AA907" s="5" t="str">
        <f>IF(L907="","", "⚠️ 薄弱环节: "&amp;INDEX($E$1:$K$1, MATCH(MIN(E907:K907), E907:K907, 0))&amp;CHAR(10)&amp;"📉 考察能力: "&amp;IFERROR(VLOOKUP(TRIM(D907)&amp;"_"&amp;TRIM(INDEX($E$1:$K$1, MATCH(MIN(E907:K907), E907:K907, 0))), 技能库!$A:$F, 5, 0),"建议查阅考纲")&amp;CHAR(10)&amp;"💡 提升建议: "&amp;IFERROR(VLOOKUP(TRIM(D907)&amp;"_"&amp;TRIM(INDEX($E$1:$K$1, MATCH(MIN(E907:K907), E907:K907, 0))), 技能库!$A:$F, 6, 0),"请针对该题型加强练习"))</f>
        <v/>
      </c>
      <c r="AB907" s="5" t="str">
        <f>IF(P907="","", "⚠️ 薄弱环节: "&amp;INDEX($N$1:$O$1, MATCH(MIN(N907:O907), N907:O907, 0))&amp;CHAR(10)&amp;"📉 考察能力: "&amp;IFERROR(VLOOKUP(TRIM(D907)&amp;"_"&amp;TRIM(INDEX($N$1:$O$1, MATCH(MIN(N907:O907), N907:O907, 0))), 技能库!$A:$F, 5, 0),"建议查阅考纲")&amp;CHAR(10)&amp;"💡 提升建议: "&amp;IFERROR(VLOOKUP(TRIM(D907)&amp;"_"&amp;TRIM(INDEX($N$1:$O$1, MATCH(MIN(N907:O907), N907:O907, 0))), 技能库!$A:$F, 6, 0),"请针对该题型加强练习"))</f>
        <v/>
      </c>
      <c r="AC907" s="5" t="str">
        <f>IF(W907="","", "⚠️ 薄弱环节: "&amp;INDEX($R$1:$V$1, MATCH(MIN(R907:V907), R907:V907, 0))&amp;CHAR(10)&amp;"📉 考察能力: "&amp;IFERROR(VLOOKUP(TRIM(D907)&amp;"_"&amp;TRIM(INDEX($R$1:$V$1, MATCH(MIN(R907:V907), R907:V907, 0))), 技能库!$A:$F, 5, 0),"建议查阅考纲")&amp;CHAR(10)&amp;"💡 提升建议: "&amp;IFERROR(VLOOKUP(TRIM(D907)&amp;"_"&amp;TRIM(INDEX($R$1:$V$1, MATCH(MIN(R907:V907), R907:V907, 0))), 技能库!$A:$F, 6, 0),"请针对该题型加强练习"))</f>
        <v/>
      </c>
    </row>
    <row r="908" spans="12:29" ht="16" hidden="1" x14ac:dyDescent="0.2">
      <c r="L908" t="str">
        <f t="shared" si="56"/>
        <v/>
      </c>
      <c r="M908" t="str">
        <f>IF(L908="","", IFERROR(VLOOKUP(L908, IF(D908="KET", 换算标准!$M:$N, IF(D908="PET", 换算标准!$S:$T, 换算标准!$AC:$AD)), 2, TRUE), 0))</f>
        <v/>
      </c>
      <c r="P908" t="str">
        <f t="shared" si="57"/>
        <v/>
      </c>
      <c r="Q908" t="str">
        <f>IF(P908="","", IFERROR(VLOOKUP(P908, IF(D908="KET", 换算标准!$O:$P, IF(D908="PET", 换算标准!$U:$V, 换算标准!$AG:$AH)), 2, TRUE), 0))</f>
        <v/>
      </c>
      <c r="W908" t="str">
        <f t="shared" si="58"/>
        <v/>
      </c>
      <c r="X908" t="str">
        <f>IF(W908="","", IFERROR(VLOOKUP(W908, IF(D908="KET", 换算标准!$Q:$R, IF(D908="PET", 换算标准!$W:$X, 换算标准!$AI:$AJ)), 2, TRUE), 0))</f>
        <v/>
      </c>
      <c r="Y908" t="str">
        <f t="shared" si="59"/>
        <v/>
      </c>
      <c r="Z908" t="str">
        <f>IF(Y908="","", IFERROR(VLOOKUP(Y908, 换算标准!$Z:$AA, 1, TRUE), ""))</f>
        <v/>
      </c>
      <c r="AA908" s="5" t="str">
        <f>IF(L908="","", "⚠️ 薄弱环节: "&amp;INDEX($E$1:$K$1, MATCH(MIN(E908:K908), E908:K908, 0))&amp;CHAR(10)&amp;"📉 考察能力: "&amp;IFERROR(VLOOKUP(TRIM(D908)&amp;"_"&amp;TRIM(INDEX($E$1:$K$1, MATCH(MIN(E908:K908), E908:K908, 0))), 技能库!$A:$F, 5, 0),"建议查阅考纲")&amp;CHAR(10)&amp;"💡 提升建议: "&amp;IFERROR(VLOOKUP(TRIM(D908)&amp;"_"&amp;TRIM(INDEX($E$1:$K$1, MATCH(MIN(E908:K908), E908:K908, 0))), 技能库!$A:$F, 6, 0),"请针对该题型加强练习"))</f>
        <v/>
      </c>
      <c r="AB908" s="5" t="str">
        <f>IF(P908="","", "⚠️ 薄弱环节: "&amp;INDEX($N$1:$O$1, MATCH(MIN(N908:O908), N908:O908, 0))&amp;CHAR(10)&amp;"📉 考察能力: "&amp;IFERROR(VLOOKUP(TRIM(D908)&amp;"_"&amp;TRIM(INDEX($N$1:$O$1, MATCH(MIN(N908:O908), N908:O908, 0))), 技能库!$A:$F, 5, 0),"建议查阅考纲")&amp;CHAR(10)&amp;"💡 提升建议: "&amp;IFERROR(VLOOKUP(TRIM(D908)&amp;"_"&amp;TRIM(INDEX($N$1:$O$1, MATCH(MIN(N908:O908), N908:O908, 0))), 技能库!$A:$F, 6, 0),"请针对该题型加强练习"))</f>
        <v/>
      </c>
      <c r="AC908" s="5" t="str">
        <f>IF(W908="","", "⚠️ 薄弱环节: "&amp;INDEX($R$1:$V$1, MATCH(MIN(R908:V908), R908:V908, 0))&amp;CHAR(10)&amp;"📉 考察能力: "&amp;IFERROR(VLOOKUP(TRIM(D908)&amp;"_"&amp;TRIM(INDEX($R$1:$V$1, MATCH(MIN(R908:V908), R908:V908, 0))), 技能库!$A:$F, 5, 0),"建议查阅考纲")&amp;CHAR(10)&amp;"💡 提升建议: "&amp;IFERROR(VLOOKUP(TRIM(D908)&amp;"_"&amp;TRIM(INDEX($R$1:$V$1, MATCH(MIN(R908:V908), R908:V908, 0))), 技能库!$A:$F, 6, 0),"请针对该题型加强练习"))</f>
        <v/>
      </c>
    </row>
    <row r="909" spans="12:29" ht="16" hidden="1" x14ac:dyDescent="0.2">
      <c r="L909" t="str">
        <f t="shared" si="56"/>
        <v/>
      </c>
      <c r="M909" t="str">
        <f>IF(L909="","", IFERROR(VLOOKUP(L909, IF(D909="KET", 换算标准!$M:$N, IF(D909="PET", 换算标准!$S:$T, 换算标准!$AC:$AD)), 2, TRUE), 0))</f>
        <v/>
      </c>
      <c r="P909" t="str">
        <f t="shared" si="57"/>
        <v/>
      </c>
      <c r="Q909" t="str">
        <f>IF(P909="","", IFERROR(VLOOKUP(P909, IF(D909="KET", 换算标准!$O:$P, IF(D909="PET", 换算标准!$U:$V, 换算标准!$AG:$AH)), 2, TRUE), 0))</f>
        <v/>
      </c>
      <c r="W909" t="str">
        <f t="shared" si="58"/>
        <v/>
      </c>
      <c r="X909" t="str">
        <f>IF(W909="","", IFERROR(VLOOKUP(W909, IF(D909="KET", 换算标准!$Q:$R, IF(D909="PET", 换算标准!$W:$X, 换算标准!$AI:$AJ)), 2, TRUE), 0))</f>
        <v/>
      </c>
      <c r="Y909" t="str">
        <f t="shared" si="59"/>
        <v/>
      </c>
      <c r="Z909" t="str">
        <f>IF(Y909="","", IFERROR(VLOOKUP(Y909, 换算标准!$Z:$AA, 1, TRUE), ""))</f>
        <v/>
      </c>
      <c r="AA909" s="5" t="str">
        <f>IF(L909="","", "⚠️ 薄弱环节: "&amp;INDEX($E$1:$K$1, MATCH(MIN(E909:K909), E909:K909, 0))&amp;CHAR(10)&amp;"📉 考察能力: "&amp;IFERROR(VLOOKUP(TRIM(D909)&amp;"_"&amp;TRIM(INDEX($E$1:$K$1, MATCH(MIN(E909:K909), E909:K909, 0))), 技能库!$A:$F, 5, 0),"建议查阅考纲")&amp;CHAR(10)&amp;"💡 提升建议: "&amp;IFERROR(VLOOKUP(TRIM(D909)&amp;"_"&amp;TRIM(INDEX($E$1:$K$1, MATCH(MIN(E909:K909), E909:K909, 0))), 技能库!$A:$F, 6, 0),"请针对该题型加强练习"))</f>
        <v/>
      </c>
      <c r="AB909" s="5" t="str">
        <f>IF(P909="","", "⚠️ 薄弱环节: "&amp;INDEX($N$1:$O$1, MATCH(MIN(N909:O909), N909:O909, 0))&amp;CHAR(10)&amp;"📉 考察能力: "&amp;IFERROR(VLOOKUP(TRIM(D909)&amp;"_"&amp;TRIM(INDEX($N$1:$O$1, MATCH(MIN(N909:O909), N909:O909, 0))), 技能库!$A:$F, 5, 0),"建议查阅考纲")&amp;CHAR(10)&amp;"💡 提升建议: "&amp;IFERROR(VLOOKUP(TRIM(D909)&amp;"_"&amp;TRIM(INDEX($N$1:$O$1, MATCH(MIN(N909:O909), N909:O909, 0))), 技能库!$A:$F, 6, 0),"请针对该题型加强练习"))</f>
        <v/>
      </c>
      <c r="AC909" s="5" t="str">
        <f>IF(W909="","", "⚠️ 薄弱环节: "&amp;INDEX($R$1:$V$1, MATCH(MIN(R909:V909), R909:V909, 0))&amp;CHAR(10)&amp;"📉 考察能力: "&amp;IFERROR(VLOOKUP(TRIM(D909)&amp;"_"&amp;TRIM(INDEX($R$1:$V$1, MATCH(MIN(R909:V909), R909:V909, 0))), 技能库!$A:$F, 5, 0),"建议查阅考纲")&amp;CHAR(10)&amp;"💡 提升建议: "&amp;IFERROR(VLOOKUP(TRIM(D909)&amp;"_"&amp;TRIM(INDEX($R$1:$V$1, MATCH(MIN(R909:V909), R909:V909, 0))), 技能库!$A:$F, 6, 0),"请针对该题型加强练习"))</f>
        <v/>
      </c>
    </row>
    <row r="910" spans="12:29" ht="16" hidden="1" x14ac:dyDescent="0.2">
      <c r="L910" t="str">
        <f t="shared" si="56"/>
        <v/>
      </c>
      <c r="M910" t="str">
        <f>IF(L910="","", IFERROR(VLOOKUP(L910, IF(D910="KET", 换算标准!$M:$N, IF(D910="PET", 换算标准!$S:$T, 换算标准!$AC:$AD)), 2, TRUE), 0))</f>
        <v/>
      </c>
      <c r="P910" t="str">
        <f t="shared" si="57"/>
        <v/>
      </c>
      <c r="Q910" t="str">
        <f>IF(P910="","", IFERROR(VLOOKUP(P910, IF(D910="KET", 换算标准!$O:$P, IF(D910="PET", 换算标准!$U:$V, 换算标准!$AG:$AH)), 2, TRUE), 0))</f>
        <v/>
      </c>
      <c r="W910" t="str">
        <f t="shared" si="58"/>
        <v/>
      </c>
      <c r="X910" t="str">
        <f>IF(W910="","", IFERROR(VLOOKUP(W910, IF(D910="KET", 换算标准!$Q:$R, IF(D910="PET", 换算标准!$W:$X, 换算标准!$AI:$AJ)), 2, TRUE), 0))</f>
        <v/>
      </c>
      <c r="Y910" t="str">
        <f t="shared" si="59"/>
        <v/>
      </c>
      <c r="Z910" t="str">
        <f>IF(Y910="","", IFERROR(VLOOKUP(Y910, 换算标准!$Z:$AA, 1, TRUE), ""))</f>
        <v/>
      </c>
      <c r="AA910" s="5" t="str">
        <f>IF(L910="","", "⚠️ 薄弱环节: "&amp;INDEX($E$1:$K$1, MATCH(MIN(E910:K910), E910:K910, 0))&amp;CHAR(10)&amp;"📉 考察能力: "&amp;IFERROR(VLOOKUP(TRIM(D910)&amp;"_"&amp;TRIM(INDEX($E$1:$K$1, MATCH(MIN(E910:K910), E910:K910, 0))), 技能库!$A:$F, 5, 0),"建议查阅考纲")&amp;CHAR(10)&amp;"💡 提升建议: "&amp;IFERROR(VLOOKUP(TRIM(D910)&amp;"_"&amp;TRIM(INDEX($E$1:$K$1, MATCH(MIN(E910:K910), E910:K910, 0))), 技能库!$A:$F, 6, 0),"请针对该题型加强练习"))</f>
        <v/>
      </c>
      <c r="AB910" s="5" t="str">
        <f>IF(P910="","", "⚠️ 薄弱环节: "&amp;INDEX($N$1:$O$1, MATCH(MIN(N910:O910), N910:O910, 0))&amp;CHAR(10)&amp;"📉 考察能力: "&amp;IFERROR(VLOOKUP(TRIM(D910)&amp;"_"&amp;TRIM(INDEX($N$1:$O$1, MATCH(MIN(N910:O910), N910:O910, 0))), 技能库!$A:$F, 5, 0),"建议查阅考纲")&amp;CHAR(10)&amp;"💡 提升建议: "&amp;IFERROR(VLOOKUP(TRIM(D910)&amp;"_"&amp;TRIM(INDEX($N$1:$O$1, MATCH(MIN(N910:O910), N910:O910, 0))), 技能库!$A:$F, 6, 0),"请针对该题型加强练习"))</f>
        <v/>
      </c>
      <c r="AC910" s="5" t="str">
        <f>IF(W910="","", "⚠️ 薄弱环节: "&amp;INDEX($R$1:$V$1, MATCH(MIN(R910:V910), R910:V910, 0))&amp;CHAR(10)&amp;"📉 考察能力: "&amp;IFERROR(VLOOKUP(TRIM(D910)&amp;"_"&amp;TRIM(INDEX($R$1:$V$1, MATCH(MIN(R910:V910), R910:V910, 0))), 技能库!$A:$F, 5, 0),"建议查阅考纲")&amp;CHAR(10)&amp;"💡 提升建议: "&amp;IFERROR(VLOOKUP(TRIM(D910)&amp;"_"&amp;TRIM(INDEX($R$1:$V$1, MATCH(MIN(R910:V910), R910:V910, 0))), 技能库!$A:$F, 6, 0),"请针对该题型加强练习"))</f>
        <v/>
      </c>
    </row>
    <row r="911" spans="12:29" ht="16" hidden="1" x14ac:dyDescent="0.2">
      <c r="L911" t="str">
        <f t="shared" si="56"/>
        <v/>
      </c>
      <c r="M911" t="str">
        <f>IF(L911="","", IFERROR(VLOOKUP(L911, IF(D911="KET", 换算标准!$M:$N, IF(D911="PET", 换算标准!$S:$T, 换算标准!$AC:$AD)), 2, TRUE), 0))</f>
        <v/>
      </c>
      <c r="P911" t="str">
        <f t="shared" si="57"/>
        <v/>
      </c>
      <c r="Q911" t="str">
        <f>IF(P911="","", IFERROR(VLOOKUP(P911, IF(D911="KET", 换算标准!$O:$P, IF(D911="PET", 换算标准!$U:$V, 换算标准!$AG:$AH)), 2, TRUE), 0))</f>
        <v/>
      </c>
      <c r="W911" t="str">
        <f t="shared" si="58"/>
        <v/>
      </c>
      <c r="X911" t="str">
        <f>IF(W911="","", IFERROR(VLOOKUP(W911, IF(D911="KET", 换算标准!$Q:$R, IF(D911="PET", 换算标准!$W:$X, 换算标准!$AI:$AJ)), 2, TRUE), 0))</f>
        <v/>
      </c>
      <c r="Y911" t="str">
        <f t="shared" si="59"/>
        <v/>
      </c>
      <c r="Z911" t="str">
        <f>IF(Y911="","", IFERROR(VLOOKUP(Y911, 换算标准!$Z:$AA, 1, TRUE), ""))</f>
        <v/>
      </c>
      <c r="AA911" s="5" t="str">
        <f>IF(L911="","", "⚠️ 薄弱环节: "&amp;INDEX($E$1:$K$1, MATCH(MIN(E911:K911), E911:K911, 0))&amp;CHAR(10)&amp;"📉 考察能力: "&amp;IFERROR(VLOOKUP(TRIM(D911)&amp;"_"&amp;TRIM(INDEX($E$1:$K$1, MATCH(MIN(E911:K911), E911:K911, 0))), 技能库!$A:$F, 5, 0),"建议查阅考纲")&amp;CHAR(10)&amp;"💡 提升建议: "&amp;IFERROR(VLOOKUP(TRIM(D911)&amp;"_"&amp;TRIM(INDEX($E$1:$K$1, MATCH(MIN(E911:K911), E911:K911, 0))), 技能库!$A:$F, 6, 0),"请针对该题型加强练习"))</f>
        <v/>
      </c>
      <c r="AB911" s="5" t="str">
        <f>IF(P911="","", "⚠️ 薄弱环节: "&amp;INDEX($N$1:$O$1, MATCH(MIN(N911:O911), N911:O911, 0))&amp;CHAR(10)&amp;"📉 考察能力: "&amp;IFERROR(VLOOKUP(TRIM(D911)&amp;"_"&amp;TRIM(INDEX($N$1:$O$1, MATCH(MIN(N911:O911), N911:O911, 0))), 技能库!$A:$F, 5, 0),"建议查阅考纲")&amp;CHAR(10)&amp;"💡 提升建议: "&amp;IFERROR(VLOOKUP(TRIM(D911)&amp;"_"&amp;TRIM(INDEX($N$1:$O$1, MATCH(MIN(N911:O911), N911:O911, 0))), 技能库!$A:$F, 6, 0),"请针对该题型加强练习"))</f>
        <v/>
      </c>
      <c r="AC911" s="5" t="str">
        <f>IF(W911="","", "⚠️ 薄弱环节: "&amp;INDEX($R$1:$V$1, MATCH(MIN(R911:V911), R911:V911, 0))&amp;CHAR(10)&amp;"📉 考察能力: "&amp;IFERROR(VLOOKUP(TRIM(D911)&amp;"_"&amp;TRIM(INDEX($R$1:$V$1, MATCH(MIN(R911:V911), R911:V911, 0))), 技能库!$A:$F, 5, 0),"建议查阅考纲")&amp;CHAR(10)&amp;"💡 提升建议: "&amp;IFERROR(VLOOKUP(TRIM(D911)&amp;"_"&amp;TRIM(INDEX($R$1:$V$1, MATCH(MIN(R911:V911), R911:V911, 0))), 技能库!$A:$F, 6, 0),"请针对该题型加强练习"))</f>
        <v/>
      </c>
    </row>
    <row r="912" spans="12:29" ht="16" hidden="1" x14ac:dyDescent="0.2">
      <c r="L912" t="str">
        <f t="shared" si="56"/>
        <v/>
      </c>
      <c r="M912" t="str">
        <f>IF(L912="","", IFERROR(VLOOKUP(L912, IF(D912="KET", 换算标准!$M:$N, IF(D912="PET", 换算标准!$S:$T, 换算标准!$AC:$AD)), 2, TRUE), 0))</f>
        <v/>
      </c>
      <c r="P912" t="str">
        <f t="shared" si="57"/>
        <v/>
      </c>
      <c r="Q912" t="str">
        <f>IF(P912="","", IFERROR(VLOOKUP(P912, IF(D912="KET", 换算标准!$O:$P, IF(D912="PET", 换算标准!$U:$V, 换算标准!$AG:$AH)), 2, TRUE), 0))</f>
        <v/>
      </c>
      <c r="W912" t="str">
        <f t="shared" si="58"/>
        <v/>
      </c>
      <c r="X912" t="str">
        <f>IF(W912="","", IFERROR(VLOOKUP(W912, IF(D912="KET", 换算标准!$Q:$R, IF(D912="PET", 换算标准!$W:$X, 换算标准!$AI:$AJ)), 2, TRUE), 0))</f>
        <v/>
      </c>
      <c r="Y912" t="str">
        <f t="shared" si="59"/>
        <v/>
      </c>
      <c r="Z912" t="str">
        <f>IF(Y912="","", IFERROR(VLOOKUP(Y912, 换算标准!$Z:$AA, 1, TRUE), ""))</f>
        <v/>
      </c>
      <c r="AA912" s="5" t="str">
        <f>IF(L912="","", "⚠️ 薄弱环节: "&amp;INDEX($E$1:$K$1, MATCH(MIN(E912:K912), E912:K912, 0))&amp;CHAR(10)&amp;"📉 考察能力: "&amp;IFERROR(VLOOKUP(TRIM(D912)&amp;"_"&amp;TRIM(INDEX($E$1:$K$1, MATCH(MIN(E912:K912), E912:K912, 0))), 技能库!$A:$F, 5, 0),"建议查阅考纲")&amp;CHAR(10)&amp;"💡 提升建议: "&amp;IFERROR(VLOOKUP(TRIM(D912)&amp;"_"&amp;TRIM(INDEX($E$1:$K$1, MATCH(MIN(E912:K912), E912:K912, 0))), 技能库!$A:$F, 6, 0),"请针对该题型加强练习"))</f>
        <v/>
      </c>
      <c r="AB912" s="5" t="str">
        <f>IF(P912="","", "⚠️ 薄弱环节: "&amp;INDEX($N$1:$O$1, MATCH(MIN(N912:O912), N912:O912, 0))&amp;CHAR(10)&amp;"📉 考察能力: "&amp;IFERROR(VLOOKUP(TRIM(D912)&amp;"_"&amp;TRIM(INDEX($N$1:$O$1, MATCH(MIN(N912:O912), N912:O912, 0))), 技能库!$A:$F, 5, 0),"建议查阅考纲")&amp;CHAR(10)&amp;"💡 提升建议: "&amp;IFERROR(VLOOKUP(TRIM(D912)&amp;"_"&amp;TRIM(INDEX($N$1:$O$1, MATCH(MIN(N912:O912), N912:O912, 0))), 技能库!$A:$F, 6, 0),"请针对该题型加强练习"))</f>
        <v/>
      </c>
      <c r="AC912" s="5" t="str">
        <f>IF(W912="","", "⚠️ 薄弱环节: "&amp;INDEX($R$1:$V$1, MATCH(MIN(R912:V912), R912:V912, 0))&amp;CHAR(10)&amp;"📉 考察能力: "&amp;IFERROR(VLOOKUP(TRIM(D912)&amp;"_"&amp;TRIM(INDEX($R$1:$V$1, MATCH(MIN(R912:V912), R912:V912, 0))), 技能库!$A:$F, 5, 0),"建议查阅考纲")&amp;CHAR(10)&amp;"💡 提升建议: "&amp;IFERROR(VLOOKUP(TRIM(D912)&amp;"_"&amp;TRIM(INDEX($R$1:$V$1, MATCH(MIN(R912:V912), R912:V912, 0))), 技能库!$A:$F, 6, 0),"请针对该题型加强练习"))</f>
        <v/>
      </c>
    </row>
    <row r="913" spans="12:29" ht="16" hidden="1" x14ac:dyDescent="0.2">
      <c r="L913" t="str">
        <f t="shared" si="56"/>
        <v/>
      </c>
      <c r="M913" t="str">
        <f>IF(L913="","", IFERROR(VLOOKUP(L913, IF(D913="KET", 换算标准!$M:$N, IF(D913="PET", 换算标准!$S:$T, 换算标准!$AC:$AD)), 2, TRUE), 0))</f>
        <v/>
      </c>
      <c r="P913" t="str">
        <f t="shared" si="57"/>
        <v/>
      </c>
      <c r="Q913" t="str">
        <f>IF(P913="","", IFERROR(VLOOKUP(P913, IF(D913="KET", 换算标准!$O:$P, IF(D913="PET", 换算标准!$U:$V, 换算标准!$AG:$AH)), 2, TRUE), 0))</f>
        <v/>
      </c>
      <c r="W913" t="str">
        <f t="shared" si="58"/>
        <v/>
      </c>
      <c r="X913" t="str">
        <f>IF(W913="","", IFERROR(VLOOKUP(W913, IF(D913="KET", 换算标准!$Q:$R, IF(D913="PET", 换算标准!$W:$X, 换算标准!$AI:$AJ)), 2, TRUE), 0))</f>
        <v/>
      </c>
      <c r="Y913" t="str">
        <f t="shared" si="59"/>
        <v/>
      </c>
      <c r="Z913" t="str">
        <f>IF(Y913="","", IFERROR(VLOOKUP(Y913, 换算标准!$Z:$AA, 1, TRUE), ""))</f>
        <v/>
      </c>
      <c r="AA913" s="5" t="str">
        <f>IF(L913="","", "⚠️ 薄弱环节: "&amp;INDEX($E$1:$K$1, MATCH(MIN(E913:K913), E913:K913, 0))&amp;CHAR(10)&amp;"📉 考察能力: "&amp;IFERROR(VLOOKUP(TRIM(D913)&amp;"_"&amp;TRIM(INDEX($E$1:$K$1, MATCH(MIN(E913:K913), E913:K913, 0))), 技能库!$A:$F, 5, 0),"建议查阅考纲")&amp;CHAR(10)&amp;"💡 提升建议: "&amp;IFERROR(VLOOKUP(TRIM(D913)&amp;"_"&amp;TRIM(INDEX($E$1:$K$1, MATCH(MIN(E913:K913), E913:K913, 0))), 技能库!$A:$F, 6, 0),"请针对该题型加强练习"))</f>
        <v/>
      </c>
      <c r="AB913" s="5" t="str">
        <f>IF(P913="","", "⚠️ 薄弱环节: "&amp;INDEX($N$1:$O$1, MATCH(MIN(N913:O913), N913:O913, 0))&amp;CHAR(10)&amp;"📉 考察能力: "&amp;IFERROR(VLOOKUP(TRIM(D913)&amp;"_"&amp;TRIM(INDEX($N$1:$O$1, MATCH(MIN(N913:O913), N913:O913, 0))), 技能库!$A:$F, 5, 0),"建议查阅考纲")&amp;CHAR(10)&amp;"💡 提升建议: "&amp;IFERROR(VLOOKUP(TRIM(D913)&amp;"_"&amp;TRIM(INDEX($N$1:$O$1, MATCH(MIN(N913:O913), N913:O913, 0))), 技能库!$A:$F, 6, 0),"请针对该题型加强练习"))</f>
        <v/>
      </c>
      <c r="AC913" s="5" t="str">
        <f>IF(W913="","", "⚠️ 薄弱环节: "&amp;INDEX($R$1:$V$1, MATCH(MIN(R913:V913), R913:V913, 0))&amp;CHAR(10)&amp;"📉 考察能力: "&amp;IFERROR(VLOOKUP(TRIM(D913)&amp;"_"&amp;TRIM(INDEX($R$1:$V$1, MATCH(MIN(R913:V913), R913:V913, 0))), 技能库!$A:$F, 5, 0),"建议查阅考纲")&amp;CHAR(10)&amp;"💡 提升建议: "&amp;IFERROR(VLOOKUP(TRIM(D913)&amp;"_"&amp;TRIM(INDEX($R$1:$V$1, MATCH(MIN(R913:V913), R913:V913, 0))), 技能库!$A:$F, 6, 0),"请针对该题型加强练习"))</f>
        <v/>
      </c>
    </row>
    <row r="914" spans="12:29" ht="16" hidden="1" x14ac:dyDescent="0.2">
      <c r="L914" t="str">
        <f t="shared" si="56"/>
        <v/>
      </c>
      <c r="M914" t="str">
        <f>IF(L914="","", IFERROR(VLOOKUP(L914, IF(D914="KET", 换算标准!$M:$N, IF(D914="PET", 换算标准!$S:$T, 换算标准!$AC:$AD)), 2, TRUE), 0))</f>
        <v/>
      </c>
      <c r="P914" t="str">
        <f t="shared" si="57"/>
        <v/>
      </c>
      <c r="Q914" t="str">
        <f>IF(P914="","", IFERROR(VLOOKUP(P914, IF(D914="KET", 换算标准!$O:$P, IF(D914="PET", 换算标准!$U:$V, 换算标准!$AG:$AH)), 2, TRUE), 0))</f>
        <v/>
      </c>
      <c r="W914" t="str">
        <f t="shared" si="58"/>
        <v/>
      </c>
      <c r="X914" t="str">
        <f>IF(W914="","", IFERROR(VLOOKUP(W914, IF(D914="KET", 换算标准!$Q:$R, IF(D914="PET", 换算标准!$W:$X, 换算标准!$AI:$AJ)), 2, TRUE), 0))</f>
        <v/>
      </c>
      <c r="Y914" t="str">
        <f t="shared" si="59"/>
        <v/>
      </c>
      <c r="Z914" t="str">
        <f>IF(Y914="","", IFERROR(VLOOKUP(Y914, 换算标准!$Z:$AA, 1, TRUE), ""))</f>
        <v/>
      </c>
      <c r="AA914" s="5" t="str">
        <f>IF(L914="","", "⚠️ 薄弱环节: "&amp;INDEX($E$1:$K$1, MATCH(MIN(E914:K914), E914:K914, 0))&amp;CHAR(10)&amp;"📉 考察能力: "&amp;IFERROR(VLOOKUP(TRIM(D914)&amp;"_"&amp;TRIM(INDEX($E$1:$K$1, MATCH(MIN(E914:K914), E914:K914, 0))), 技能库!$A:$F, 5, 0),"建议查阅考纲")&amp;CHAR(10)&amp;"💡 提升建议: "&amp;IFERROR(VLOOKUP(TRIM(D914)&amp;"_"&amp;TRIM(INDEX($E$1:$K$1, MATCH(MIN(E914:K914), E914:K914, 0))), 技能库!$A:$F, 6, 0),"请针对该题型加强练习"))</f>
        <v/>
      </c>
      <c r="AB914" s="5" t="str">
        <f>IF(P914="","", "⚠️ 薄弱环节: "&amp;INDEX($N$1:$O$1, MATCH(MIN(N914:O914), N914:O914, 0))&amp;CHAR(10)&amp;"📉 考察能力: "&amp;IFERROR(VLOOKUP(TRIM(D914)&amp;"_"&amp;TRIM(INDEX($N$1:$O$1, MATCH(MIN(N914:O914), N914:O914, 0))), 技能库!$A:$F, 5, 0),"建议查阅考纲")&amp;CHAR(10)&amp;"💡 提升建议: "&amp;IFERROR(VLOOKUP(TRIM(D914)&amp;"_"&amp;TRIM(INDEX($N$1:$O$1, MATCH(MIN(N914:O914), N914:O914, 0))), 技能库!$A:$F, 6, 0),"请针对该题型加强练习"))</f>
        <v/>
      </c>
      <c r="AC914" s="5" t="str">
        <f>IF(W914="","", "⚠️ 薄弱环节: "&amp;INDEX($R$1:$V$1, MATCH(MIN(R914:V914), R914:V914, 0))&amp;CHAR(10)&amp;"📉 考察能力: "&amp;IFERROR(VLOOKUP(TRIM(D914)&amp;"_"&amp;TRIM(INDEX($R$1:$V$1, MATCH(MIN(R914:V914), R914:V914, 0))), 技能库!$A:$F, 5, 0),"建议查阅考纲")&amp;CHAR(10)&amp;"💡 提升建议: "&amp;IFERROR(VLOOKUP(TRIM(D914)&amp;"_"&amp;TRIM(INDEX($R$1:$V$1, MATCH(MIN(R914:V914), R914:V914, 0))), 技能库!$A:$F, 6, 0),"请针对该题型加强练习"))</f>
        <v/>
      </c>
    </row>
    <row r="915" spans="12:29" ht="16" hidden="1" x14ac:dyDescent="0.2">
      <c r="L915" t="str">
        <f t="shared" si="56"/>
        <v/>
      </c>
      <c r="M915" t="str">
        <f>IF(L915="","", IFERROR(VLOOKUP(L915, IF(D915="KET", 换算标准!$M:$N, IF(D915="PET", 换算标准!$S:$T, 换算标准!$AC:$AD)), 2, TRUE), 0))</f>
        <v/>
      </c>
      <c r="P915" t="str">
        <f t="shared" si="57"/>
        <v/>
      </c>
      <c r="Q915" t="str">
        <f>IF(P915="","", IFERROR(VLOOKUP(P915, IF(D915="KET", 换算标准!$O:$P, IF(D915="PET", 换算标准!$U:$V, 换算标准!$AG:$AH)), 2, TRUE), 0))</f>
        <v/>
      </c>
      <c r="W915" t="str">
        <f t="shared" si="58"/>
        <v/>
      </c>
      <c r="X915" t="str">
        <f>IF(W915="","", IFERROR(VLOOKUP(W915, IF(D915="KET", 换算标准!$Q:$R, IF(D915="PET", 换算标准!$W:$X, 换算标准!$AI:$AJ)), 2, TRUE), 0))</f>
        <v/>
      </c>
      <c r="Y915" t="str">
        <f t="shared" si="59"/>
        <v/>
      </c>
      <c r="Z915" t="str">
        <f>IF(Y915="","", IFERROR(VLOOKUP(Y915, 换算标准!$Z:$AA, 1, TRUE), ""))</f>
        <v/>
      </c>
      <c r="AA915" s="5" t="str">
        <f>IF(L915="","", "⚠️ 薄弱环节: "&amp;INDEX($E$1:$K$1, MATCH(MIN(E915:K915), E915:K915, 0))&amp;CHAR(10)&amp;"📉 考察能力: "&amp;IFERROR(VLOOKUP(TRIM(D915)&amp;"_"&amp;TRIM(INDEX($E$1:$K$1, MATCH(MIN(E915:K915), E915:K915, 0))), 技能库!$A:$F, 5, 0),"建议查阅考纲")&amp;CHAR(10)&amp;"💡 提升建议: "&amp;IFERROR(VLOOKUP(TRIM(D915)&amp;"_"&amp;TRIM(INDEX($E$1:$K$1, MATCH(MIN(E915:K915), E915:K915, 0))), 技能库!$A:$F, 6, 0),"请针对该题型加强练习"))</f>
        <v/>
      </c>
      <c r="AB915" s="5" t="str">
        <f>IF(P915="","", "⚠️ 薄弱环节: "&amp;INDEX($N$1:$O$1, MATCH(MIN(N915:O915), N915:O915, 0))&amp;CHAR(10)&amp;"📉 考察能力: "&amp;IFERROR(VLOOKUP(TRIM(D915)&amp;"_"&amp;TRIM(INDEX($N$1:$O$1, MATCH(MIN(N915:O915), N915:O915, 0))), 技能库!$A:$F, 5, 0),"建议查阅考纲")&amp;CHAR(10)&amp;"💡 提升建议: "&amp;IFERROR(VLOOKUP(TRIM(D915)&amp;"_"&amp;TRIM(INDEX($N$1:$O$1, MATCH(MIN(N915:O915), N915:O915, 0))), 技能库!$A:$F, 6, 0),"请针对该题型加强练习"))</f>
        <v/>
      </c>
      <c r="AC915" s="5" t="str">
        <f>IF(W915="","", "⚠️ 薄弱环节: "&amp;INDEX($R$1:$V$1, MATCH(MIN(R915:V915), R915:V915, 0))&amp;CHAR(10)&amp;"📉 考察能力: "&amp;IFERROR(VLOOKUP(TRIM(D915)&amp;"_"&amp;TRIM(INDEX($R$1:$V$1, MATCH(MIN(R915:V915), R915:V915, 0))), 技能库!$A:$F, 5, 0),"建议查阅考纲")&amp;CHAR(10)&amp;"💡 提升建议: "&amp;IFERROR(VLOOKUP(TRIM(D915)&amp;"_"&amp;TRIM(INDEX($R$1:$V$1, MATCH(MIN(R915:V915), R915:V915, 0))), 技能库!$A:$F, 6, 0),"请针对该题型加强练习"))</f>
        <v/>
      </c>
    </row>
    <row r="916" spans="12:29" ht="16" hidden="1" x14ac:dyDescent="0.2">
      <c r="L916" t="str">
        <f t="shared" si="56"/>
        <v/>
      </c>
      <c r="M916" t="str">
        <f>IF(L916="","", IFERROR(VLOOKUP(L916, IF(D916="KET", 换算标准!$M:$N, IF(D916="PET", 换算标准!$S:$T, 换算标准!$AC:$AD)), 2, TRUE), 0))</f>
        <v/>
      </c>
      <c r="P916" t="str">
        <f t="shared" si="57"/>
        <v/>
      </c>
      <c r="Q916" t="str">
        <f>IF(P916="","", IFERROR(VLOOKUP(P916, IF(D916="KET", 换算标准!$O:$P, IF(D916="PET", 换算标准!$U:$V, 换算标准!$AG:$AH)), 2, TRUE), 0))</f>
        <v/>
      </c>
      <c r="W916" t="str">
        <f t="shared" si="58"/>
        <v/>
      </c>
      <c r="X916" t="str">
        <f>IF(W916="","", IFERROR(VLOOKUP(W916, IF(D916="KET", 换算标准!$Q:$R, IF(D916="PET", 换算标准!$W:$X, 换算标准!$AI:$AJ)), 2, TRUE), 0))</f>
        <v/>
      </c>
      <c r="Y916" t="str">
        <f t="shared" si="59"/>
        <v/>
      </c>
      <c r="Z916" t="str">
        <f>IF(Y916="","", IFERROR(VLOOKUP(Y916, 换算标准!$Z:$AA, 1, TRUE), ""))</f>
        <v/>
      </c>
      <c r="AA916" s="5" t="str">
        <f>IF(L916="","", "⚠️ 薄弱环节: "&amp;INDEX($E$1:$K$1, MATCH(MIN(E916:K916), E916:K916, 0))&amp;CHAR(10)&amp;"📉 考察能力: "&amp;IFERROR(VLOOKUP(TRIM(D916)&amp;"_"&amp;TRIM(INDEX($E$1:$K$1, MATCH(MIN(E916:K916), E916:K916, 0))), 技能库!$A:$F, 5, 0),"建议查阅考纲")&amp;CHAR(10)&amp;"💡 提升建议: "&amp;IFERROR(VLOOKUP(TRIM(D916)&amp;"_"&amp;TRIM(INDEX($E$1:$K$1, MATCH(MIN(E916:K916), E916:K916, 0))), 技能库!$A:$F, 6, 0),"请针对该题型加强练习"))</f>
        <v/>
      </c>
      <c r="AB916" s="5" t="str">
        <f>IF(P916="","", "⚠️ 薄弱环节: "&amp;INDEX($N$1:$O$1, MATCH(MIN(N916:O916), N916:O916, 0))&amp;CHAR(10)&amp;"📉 考察能力: "&amp;IFERROR(VLOOKUP(TRIM(D916)&amp;"_"&amp;TRIM(INDEX($N$1:$O$1, MATCH(MIN(N916:O916), N916:O916, 0))), 技能库!$A:$F, 5, 0),"建议查阅考纲")&amp;CHAR(10)&amp;"💡 提升建议: "&amp;IFERROR(VLOOKUP(TRIM(D916)&amp;"_"&amp;TRIM(INDEX($N$1:$O$1, MATCH(MIN(N916:O916), N916:O916, 0))), 技能库!$A:$F, 6, 0),"请针对该题型加强练习"))</f>
        <v/>
      </c>
      <c r="AC916" s="5" t="str">
        <f>IF(W916="","", "⚠️ 薄弱环节: "&amp;INDEX($R$1:$V$1, MATCH(MIN(R916:V916), R916:V916, 0))&amp;CHAR(10)&amp;"📉 考察能力: "&amp;IFERROR(VLOOKUP(TRIM(D916)&amp;"_"&amp;TRIM(INDEX($R$1:$V$1, MATCH(MIN(R916:V916), R916:V916, 0))), 技能库!$A:$F, 5, 0),"建议查阅考纲")&amp;CHAR(10)&amp;"💡 提升建议: "&amp;IFERROR(VLOOKUP(TRIM(D916)&amp;"_"&amp;TRIM(INDEX($R$1:$V$1, MATCH(MIN(R916:V916), R916:V916, 0))), 技能库!$A:$F, 6, 0),"请针对该题型加强练习"))</f>
        <v/>
      </c>
    </row>
    <row r="917" spans="12:29" ht="16" hidden="1" x14ac:dyDescent="0.2">
      <c r="L917" t="str">
        <f t="shared" si="56"/>
        <v/>
      </c>
      <c r="M917" t="str">
        <f>IF(L917="","", IFERROR(VLOOKUP(L917, IF(D917="KET", 换算标准!$M:$N, IF(D917="PET", 换算标准!$S:$T, 换算标准!$AC:$AD)), 2, TRUE), 0))</f>
        <v/>
      </c>
      <c r="P917" t="str">
        <f t="shared" si="57"/>
        <v/>
      </c>
      <c r="Q917" t="str">
        <f>IF(P917="","", IFERROR(VLOOKUP(P917, IF(D917="KET", 换算标准!$O:$P, IF(D917="PET", 换算标准!$U:$V, 换算标准!$AG:$AH)), 2, TRUE), 0))</f>
        <v/>
      </c>
      <c r="W917" t="str">
        <f t="shared" si="58"/>
        <v/>
      </c>
      <c r="X917" t="str">
        <f>IF(W917="","", IFERROR(VLOOKUP(W917, IF(D917="KET", 换算标准!$Q:$R, IF(D917="PET", 换算标准!$W:$X, 换算标准!$AI:$AJ)), 2, TRUE), 0))</f>
        <v/>
      </c>
      <c r="Y917" t="str">
        <f t="shared" si="59"/>
        <v/>
      </c>
      <c r="Z917" t="str">
        <f>IF(Y917="","", IFERROR(VLOOKUP(Y917, 换算标准!$Z:$AA, 1, TRUE), ""))</f>
        <v/>
      </c>
      <c r="AA917" s="5" t="str">
        <f>IF(L917="","", "⚠️ 薄弱环节: "&amp;INDEX($E$1:$K$1, MATCH(MIN(E917:K917), E917:K917, 0))&amp;CHAR(10)&amp;"📉 考察能力: "&amp;IFERROR(VLOOKUP(TRIM(D917)&amp;"_"&amp;TRIM(INDEX($E$1:$K$1, MATCH(MIN(E917:K917), E917:K917, 0))), 技能库!$A:$F, 5, 0),"建议查阅考纲")&amp;CHAR(10)&amp;"💡 提升建议: "&amp;IFERROR(VLOOKUP(TRIM(D917)&amp;"_"&amp;TRIM(INDEX($E$1:$K$1, MATCH(MIN(E917:K917), E917:K917, 0))), 技能库!$A:$F, 6, 0),"请针对该题型加强练习"))</f>
        <v/>
      </c>
      <c r="AB917" s="5" t="str">
        <f>IF(P917="","", "⚠️ 薄弱环节: "&amp;INDEX($N$1:$O$1, MATCH(MIN(N917:O917), N917:O917, 0))&amp;CHAR(10)&amp;"📉 考察能力: "&amp;IFERROR(VLOOKUP(TRIM(D917)&amp;"_"&amp;TRIM(INDEX($N$1:$O$1, MATCH(MIN(N917:O917), N917:O917, 0))), 技能库!$A:$F, 5, 0),"建议查阅考纲")&amp;CHAR(10)&amp;"💡 提升建议: "&amp;IFERROR(VLOOKUP(TRIM(D917)&amp;"_"&amp;TRIM(INDEX($N$1:$O$1, MATCH(MIN(N917:O917), N917:O917, 0))), 技能库!$A:$F, 6, 0),"请针对该题型加强练习"))</f>
        <v/>
      </c>
      <c r="AC917" s="5" t="str">
        <f>IF(W917="","", "⚠️ 薄弱环节: "&amp;INDEX($R$1:$V$1, MATCH(MIN(R917:V917), R917:V917, 0))&amp;CHAR(10)&amp;"📉 考察能力: "&amp;IFERROR(VLOOKUP(TRIM(D917)&amp;"_"&amp;TRIM(INDEX($R$1:$V$1, MATCH(MIN(R917:V917), R917:V917, 0))), 技能库!$A:$F, 5, 0),"建议查阅考纲")&amp;CHAR(10)&amp;"💡 提升建议: "&amp;IFERROR(VLOOKUP(TRIM(D917)&amp;"_"&amp;TRIM(INDEX($R$1:$V$1, MATCH(MIN(R917:V917), R917:V917, 0))), 技能库!$A:$F, 6, 0),"请针对该题型加强练习"))</f>
        <v/>
      </c>
    </row>
    <row r="918" spans="12:29" ht="16" hidden="1" x14ac:dyDescent="0.2">
      <c r="L918" t="str">
        <f t="shared" si="56"/>
        <v/>
      </c>
      <c r="M918" t="str">
        <f>IF(L918="","", IFERROR(VLOOKUP(L918, IF(D918="KET", 换算标准!$M:$N, IF(D918="PET", 换算标准!$S:$T, 换算标准!$AC:$AD)), 2, TRUE), 0))</f>
        <v/>
      </c>
      <c r="P918" t="str">
        <f t="shared" si="57"/>
        <v/>
      </c>
      <c r="Q918" t="str">
        <f>IF(P918="","", IFERROR(VLOOKUP(P918, IF(D918="KET", 换算标准!$O:$P, IF(D918="PET", 换算标准!$U:$V, 换算标准!$AG:$AH)), 2, TRUE), 0))</f>
        <v/>
      </c>
      <c r="W918" t="str">
        <f t="shared" si="58"/>
        <v/>
      </c>
      <c r="X918" t="str">
        <f>IF(W918="","", IFERROR(VLOOKUP(W918, IF(D918="KET", 换算标准!$Q:$R, IF(D918="PET", 换算标准!$W:$X, 换算标准!$AI:$AJ)), 2, TRUE), 0))</f>
        <v/>
      </c>
      <c r="Y918" t="str">
        <f t="shared" si="59"/>
        <v/>
      </c>
      <c r="Z918" t="str">
        <f>IF(Y918="","", IFERROR(VLOOKUP(Y918, 换算标准!$Z:$AA, 1, TRUE), ""))</f>
        <v/>
      </c>
      <c r="AA918" s="5" t="str">
        <f>IF(L918="","", "⚠️ 薄弱环节: "&amp;INDEX($E$1:$K$1, MATCH(MIN(E918:K918), E918:K918, 0))&amp;CHAR(10)&amp;"📉 考察能力: "&amp;IFERROR(VLOOKUP(TRIM(D918)&amp;"_"&amp;TRIM(INDEX($E$1:$K$1, MATCH(MIN(E918:K918), E918:K918, 0))), 技能库!$A:$F, 5, 0),"建议查阅考纲")&amp;CHAR(10)&amp;"💡 提升建议: "&amp;IFERROR(VLOOKUP(TRIM(D918)&amp;"_"&amp;TRIM(INDEX($E$1:$K$1, MATCH(MIN(E918:K918), E918:K918, 0))), 技能库!$A:$F, 6, 0),"请针对该题型加强练习"))</f>
        <v/>
      </c>
      <c r="AB918" s="5" t="str">
        <f>IF(P918="","", "⚠️ 薄弱环节: "&amp;INDEX($N$1:$O$1, MATCH(MIN(N918:O918), N918:O918, 0))&amp;CHAR(10)&amp;"📉 考察能力: "&amp;IFERROR(VLOOKUP(TRIM(D918)&amp;"_"&amp;TRIM(INDEX($N$1:$O$1, MATCH(MIN(N918:O918), N918:O918, 0))), 技能库!$A:$F, 5, 0),"建议查阅考纲")&amp;CHAR(10)&amp;"💡 提升建议: "&amp;IFERROR(VLOOKUP(TRIM(D918)&amp;"_"&amp;TRIM(INDEX($N$1:$O$1, MATCH(MIN(N918:O918), N918:O918, 0))), 技能库!$A:$F, 6, 0),"请针对该题型加强练习"))</f>
        <v/>
      </c>
      <c r="AC918" s="5" t="str">
        <f>IF(W918="","", "⚠️ 薄弱环节: "&amp;INDEX($R$1:$V$1, MATCH(MIN(R918:V918), R918:V918, 0))&amp;CHAR(10)&amp;"📉 考察能力: "&amp;IFERROR(VLOOKUP(TRIM(D918)&amp;"_"&amp;TRIM(INDEX($R$1:$V$1, MATCH(MIN(R918:V918), R918:V918, 0))), 技能库!$A:$F, 5, 0),"建议查阅考纲")&amp;CHAR(10)&amp;"💡 提升建议: "&amp;IFERROR(VLOOKUP(TRIM(D918)&amp;"_"&amp;TRIM(INDEX($R$1:$V$1, MATCH(MIN(R918:V918), R918:V918, 0))), 技能库!$A:$F, 6, 0),"请针对该题型加强练习"))</f>
        <v/>
      </c>
    </row>
    <row r="919" spans="12:29" ht="16" hidden="1" x14ac:dyDescent="0.2">
      <c r="L919" t="str">
        <f t="shared" si="56"/>
        <v/>
      </c>
      <c r="M919" t="str">
        <f>IF(L919="","", IFERROR(VLOOKUP(L919, IF(D919="KET", 换算标准!$M:$N, IF(D919="PET", 换算标准!$S:$T, 换算标准!$AC:$AD)), 2, TRUE), 0))</f>
        <v/>
      </c>
      <c r="P919" t="str">
        <f t="shared" si="57"/>
        <v/>
      </c>
      <c r="Q919" t="str">
        <f>IF(P919="","", IFERROR(VLOOKUP(P919, IF(D919="KET", 换算标准!$O:$P, IF(D919="PET", 换算标准!$U:$V, 换算标准!$AG:$AH)), 2, TRUE), 0))</f>
        <v/>
      </c>
      <c r="W919" t="str">
        <f t="shared" si="58"/>
        <v/>
      </c>
      <c r="X919" t="str">
        <f>IF(W919="","", IFERROR(VLOOKUP(W919, IF(D919="KET", 换算标准!$Q:$R, IF(D919="PET", 换算标准!$W:$X, 换算标准!$AI:$AJ)), 2, TRUE), 0))</f>
        <v/>
      </c>
      <c r="Y919" t="str">
        <f t="shared" si="59"/>
        <v/>
      </c>
      <c r="Z919" t="str">
        <f>IF(Y919="","", IFERROR(VLOOKUP(Y919, 换算标准!$Z:$AA, 1, TRUE), ""))</f>
        <v/>
      </c>
      <c r="AA919" s="5" t="str">
        <f>IF(L919="","", "⚠️ 薄弱环节: "&amp;INDEX($E$1:$K$1, MATCH(MIN(E919:K919), E919:K919, 0))&amp;CHAR(10)&amp;"📉 考察能力: "&amp;IFERROR(VLOOKUP(TRIM(D919)&amp;"_"&amp;TRIM(INDEX($E$1:$K$1, MATCH(MIN(E919:K919), E919:K919, 0))), 技能库!$A:$F, 5, 0),"建议查阅考纲")&amp;CHAR(10)&amp;"💡 提升建议: "&amp;IFERROR(VLOOKUP(TRIM(D919)&amp;"_"&amp;TRIM(INDEX($E$1:$K$1, MATCH(MIN(E919:K919), E919:K919, 0))), 技能库!$A:$F, 6, 0),"请针对该题型加强练习"))</f>
        <v/>
      </c>
      <c r="AB919" s="5" t="str">
        <f>IF(P919="","", "⚠️ 薄弱环节: "&amp;INDEX($N$1:$O$1, MATCH(MIN(N919:O919), N919:O919, 0))&amp;CHAR(10)&amp;"📉 考察能力: "&amp;IFERROR(VLOOKUP(TRIM(D919)&amp;"_"&amp;TRIM(INDEX($N$1:$O$1, MATCH(MIN(N919:O919), N919:O919, 0))), 技能库!$A:$F, 5, 0),"建议查阅考纲")&amp;CHAR(10)&amp;"💡 提升建议: "&amp;IFERROR(VLOOKUP(TRIM(D919)&amp;"_"&amp;TRIM(INDEX($N$1:$O$1, MATCH(MIN(N919:O919), N919:O919, 0))), 技能库!$A:$F, 6, 0),"请针对该题型加强练习"))</f>
        <v/>
      </c>
      <c r="AC919" s="5" t="str">
        <f>IF(W919="","", "⚠️ 薄弱环节: "&amp;INDEX($R$1:$V$1, MATCH(MIN(R919:V919), R919:V919, 0))&amp;CHAR(10)&amp;"📉 考察能力: "&amp;IFERROR(VLOOKUP(TRIM(D919)&amp;"_"&amp;TRIM(INDEX($R$1:$V$1, MATCH(MIN(R919:V919), R919:V919, 0))), 技能库!$A:$F, 5, 0),"建议查阅考纲")&amp;CHAR(10)&amp;"💡 提升建议: "&amp;IFERROR(VLOOKUP(TRIM(D919)&amp;"_"&amp;TRIM(INDEX($R$1:$V$1, MATCH(MIN(R919:V919), R919:V919, 0))), 技能库!$A:$F, 6, 0),"请针对该题型加强练习"))</f>
        <v/>
      </c>
    </row>
    <row r="920" spans="12:29" ht="16" hidden="1" x14ac:dyDescent="0.2">
      <c r="L920" t="str">
        <f t="shared" si="56"/>
        <v/>
      </c>
      <c r="M920" t="str">
        <f>IF(L920="","", IFERROR(VLOOKUP(L920, IF(D920="KET", 换算标准!$M:$N, IF(D920="PET", 换算标准!$S:$T, 换算标准!$AC:$AD)), 2, TRUE), 0))</f>
        <v/>
      </c>
      <c r="P920" t="str">
        <f t="shared" si="57"/>
        <v/>
      </c>
      <c r="Q920" t="str">
        <f>IF(P920="","", IFERROR(VLOOKUP(P920, IF(D920="KET", 换算标准!$O:$P, IF(D920="PET", 换算标准!$U:$V, 换算标准!$AG:$AH)), 2, TRUE), 0))</f>
        <v/>
      </c>
      <c r="W920" t="str">
        <f t="shared" si="58"/>
        <v/>
      </c>
      <c r="X920" t="str">
        <f>IF(W920="","", IFERROR(VLOOKUP(W920, IF(D920="KET", 换算标准!$Q:$R, IF(D920="PET", 换算标准!$W:$X, 换算标准!$AI:$AJ)), 2, TRUE), 0))</f>
        <v/>
      </c>
      <c r="Y920" t="str">
        <f t="shared" si="59"/>
        <v/>
      </c>
      <c r="Z920" t="str">
        <f>IF(Y920="","", IFERROR(VLOOKUP(Y920, 换算标准!$Z:$AA, 1, TRUE), ""))</f>
        <v/>
      </c>
      <c r="AA920" s="5" t="str">
        <f>IF(L920="","", "⚠️ 薄弱环节: "&amp;INDEX($E$1:$K$1, MATCH(MIN(E920:K920), E920:K920, 0))&amp;CHAR(10)&amp;"📉 考察能力: "&amp;IFERROR(VLOOKUP(TRIM(D920)&amp;"_"&amp;TRIM(INDEX($E$1:$K$1, MATCH(MIN(E920:K920), E920:K920, 0))), 技能库!$A:$F, 5, 0),"建议查阅考纲")&amp;CHAR(10)&amp;"💡 提升建议: "&amp;IFERROR(VLOOKUP(TRIM(D920)&amp;"_"&amp;TRIM(INDEX($E$1:$K$1, MATCH(MIN(E920:K920), E920:K920, 0))), 技能库!$A:$F, 6, 0),"请针对该题型加强练习"))</f>
        <v/>
      </c>
      <c r="AB920" s="5" t="str">
        <f>IF(P920="","", "⚠️ 薄弱环节: "&amp;INDEX($N$1:$O$1, MATCH(MIN(N920:O920), N920:O920, 0))&amp;CHAR(10)&amp;"📉 考察能力: "&amp;IFERROR(VLOOKUP(TRIM(D920)&amp;"_"&amp;TRIM(INDEX($N$1:$O$1, MATCH(MIN(N920:O920), N920:O920, 0))), 技能库!$A:$F, 5, 0),"建议查阅考纲")&amp;CHAR(10)&amp;"💡 提升建议: "&amp;IFERROR(VLOOKUP(TRIM(D920)&amp;"_"&amp;TRIM(INDEX($N$1:$O$1, MATCH(MIN(N920:O920), N920:O920, 0))), 技能库!$A:$F, 6, 0),"请针对该题型加强练习"))</f>
        <v/>
      </c>
      <c r="AC920" s="5" t="str">
        <f>IF(W920="","", "⚠️ 薄弱环节: "&amp;INDEX($R$1:$V$1, MATCH(MIN(R920:V920), R920:V920, 0))&amp;CHAR(10)&amp;"📉 考察能力: "&amp;IFERROR(VLOOKUP(TRIM(D920)&amp;"_"&amp;TRIM(INDEX($R$1:$V$1, MATCH(MIN(R920:V920), R920:V920, 0))), 技能库!$A:$F, 5, 0),"建议查阅考纲")&amp;CHAR(10)&amp;"💡 提升建议: "&amp;IFERROR(VLOOKUP(TRIM(D920)&amp;"_"&amp;TRIM(INDEX($R$1:$V$1, MATCH(MIN(R920:V920), R920:V920, 0))), 技能库!$A:$F, 6, 0),"请针对该题型加强练习"))</f>
        <v/>
      </c>
    </row>
    <row r="921" spans="12:29" ht="16" hidden="1" x14ac:dyDescent="0.2">
      <c r="L921" t="str">
        <f t="shared" si="56"/>
        <v/>
      </c>
      <c r="M921" t="str">
        <f>IF(L921="","", IFERROR(VLOOKUP(L921, IF(D921="KET", 换算标准!$M:$N, IF(D921="PET", 换算标准!$S:$T, 换算标准!$AC:$AD)), 2, TRUE), 0))</f>
        <v/>
      </c>
      <c r="P921" t="str">
        <f t="shared" si="57"/>
        <v/>
      </c>
      <c r="Q921" t="str">
        <f>IF(P921="","", IFERROR(VLOOKUP(P921, IF(D921="KET", 换算标准!$O:$P, IF(D921="PET", 换算标准!$U:$V, 换算标准!$AG:$AH)), 2, TRUE), 0))</f>
        <v/>
      </c>
      <c r="W921" t="str">
        <f t="shared" si="58"/>
        <v/>
      </c>
      <c r="X921" t="str">
        <f>IF(W921="","", IFERROR(VLOOKUP(W921, IF(D921="KET", 换算标准!$Q:$R, IF(D921="PET", 换算标准!$W:$X, 换算标准!$AI:$AJ)), 2, TRUE), 0))</f>
        <v/>
      </c>
      <c r="Y921" t="str">
        <f t="shared" si="59"/>
        <v/>
      </c>
      <c r="Z921" t="str">
        <f>IF(Y921="","", IFERROR(VLOOKUP(Y921, 换算标准!$Z:$AA, 1, TRUE), ""))</f>
        <v/>
      </c>
      <c r="AA921" s="5" t="str">
        <f>IF(L921="","", "⚠️ 薄弱环节: "&amp;INDEX($E$1:$K$1, MATCH(MIN(E921:K921), E921:K921, 0))&amp;CHAR(10)&amp;"📉 考察能力: "&amp;IFERROR(VLOOKUP(TRIM(D921)&amp;"_"&amp;TRIM(INDEX($E$1:$K$1, MATCH(MIN(E921:K921), E921:K921, 0))), 技能库!$A:$F, 5, 0),"建议查阅考纲")&amp;CHAR(10)&amp;"💡 提升建议: "&amp;IFERROR(VLOOKUP(TRIM(D921)&amp;"_"&amp;TRIM(INDEX($E$1:$K$1, MATCH(MIN(E921:K921), E921:K921, 0))), 技能库!$A:$F, 6, 0),"请针对该题型加强练习"))</f>
        <v/>
      </c>
      <c r="AB921" s="5" t="str">
        <f>IF(P921="","", "⚠️ 薄弱环节: "&amp;INDEX($N$1:$O$1, MATCH(MIN(N921:O921), N921:O921, 0))&amp;CHAR(10)&amp;"📉 考察能力: "&amp;IFERROR(VLOOKUP(TRIM(D921)&amp;"_"&amp;TRIM(INDEX($N$1:$O$1, MATCH(MIN(N921:O921), N921:O921, 0))), 技能库!$A:$F, 5, 0),"建议查阅考纲")&amp;CHAR(10)&amp;"💡 提升建议: "&amp;IFERROR(VLOOKUP(TRIM(D921)&amp;"_"&amp;TRIM(INDEX($N$1:$O$1, MATCH(MIN(N921:O921), N921:O921, 0))), 技能库!$A:$F, 6, 0),"请针对该题型加强练习"))</f>
        <v/>
      </c>
      <c r="AC921" s="5" t="str">
        <f>IF(W921="","", "⚠️ 薄弱环节: "&amp;INDEX($R$1:$V$1, MATCH(MIN(R921:V921), R921:V921, 0))&amp;CHAR(10)&amp;"📉 考察能力: "&amp;IFERROR(VLOOKUP(TRIM(D921)&amp;"_"&amp;TRIM(INDEX($R$1:$V$1, MATCH(MIN(R921:V921), R921:V921, 0))), 技能库!$A:$F, 5, 0),"建议查阅考纲")&amp;CHAR(10)&amp;"💡 提升建议: "&amp;IFERROR(VLOOKUP(TRIM(D921)&amp;"_"&amp;TRIM(INDEX($R$1:$V$1, MATCH(MIN(R921:V921), R921:V921, 0))), 技能库!$A:$F, 6, 0),"请针对该题型加强练习"))</f>
        <v/>
      </c>
    </row>
    <row r="922" spans="12:29" ht="16" hidden="1" x14ac:dyDescent="0.2">
      <c r="L922" t="str">
        <f t="shared" si="56"/>
        <v/>
      </c>
      <c r="M922" t="str">
        <f>IF(L922="","", IFERROR(VLOOKUP(L922, IF(D922="KET", 换算标准!$M:$N, IF(D922="PET", 换算标准!$S:$T, 换算标准!$AC:$AD)), 2, TRUE), 0))</f>
        <v/>
      </c>
      <c r="P922" t="str">
        <f t="shared" si="57"/>
        <v/>
      </c>
      <c r="Q922" t="str">
        <f>IF(P922="","", IFERROR(VLOOKUP(P922, IF(D922="KET", 换算标准!$O:$P, IF(D922="PET", 换算标准!$U:$V, 换算标准!$AG:$AH)), 2, TRUE), 0))</f>
        <v/>
      </c>
      <c r="W922" t="str">
        <f t="shared" si="58"/>
        <v/>
      </c>
      <c r="X922" t="str">
        <f>IF(W922="","", IFERROR(VLOOKUP(W922, IF(D922="KET", 换算标准!$Q:$R, IF(D922="PET", 换算标准!$W:$X, 换算标准!$AI:$AJ)), 2, TRUE), 0))</f>
        <v/>
      </c>
      <c r="Y922" t="str">
        <f t="shared" si="59"/>
        <v/>
      </c>
      <c r="Z922" t="str">
        <f>IF(Y922="","", IFERROR(VLOOKUP(Y922, 换算标准!$Z:$AA, 1, TRUE), ""))</f>
        <v/>
      </c>
      <c r="AA922" s="5" t="str">
        <f>IF(L922="","", "⚠️ 薄弱环节: "&amp;INDEX($E$1:$K$1, MATCH(MIN(E922:K922), E922:K922, 0))&amp;CHAR(10)&amp;"📉 考察能力: "&amp;IFERROR(VLOOKUP(TRIM(D922)&amp;"_"&amp;TRIM(INDEX($E$1:$K$1, MATCH(MIN(E922:K922), E922:K922, 0))), 技能库!$A:$F, 5, 0),"建议查阅考纲")&amp;CHAR(10)&amp;"💡 提升建议: "&amp;IFERROR(VLOOKUP(TRIM(D922)&amp;"_"&amp;TRIM(INDEX($E$1:$K$1, MATCH(MIN(E922:K922), E922:K922, 0))), 技能库!$A:$F, 6, 0),"请针对该题型加强练习"))</f>
        <v/>
      </c>
      <c r="AB922" s="5" t="str">
        <f>IF(P922="","", "⚠️ 薄弱环节: "&amp;INDEX($N$1:$O$1, MATCH(MIN(N922:O922), N922:O922, 0))&amp;CHAR(10)&amp;"📉 考察能力: "&amp;IFERROR(VLOOKUP(TRIM(D922)&amp;"_"&amp;TRIM(INDEX($N$1:$O$1, MATCH(MIN(N922:O922), N922:O922, 0))), 技能库!$A:$F, 5, 0),"建议查阅考纲")&amp;CHAR(10)&amp;"💡 提升建议: "&amp;IFERROR(VLOOKUP(TRIM(D922)&amp;"_"&amp;TRIM(INDEX($N$1:$O$1, MATCH(MIN(N922:O922), N922:O922, 0))), 技能库!$A:$F, 6, 0),"请针对该题型加强练习"))</f>
        <v/>
      </c>
      <c r="AC922" s="5" t="str">
        <f>IF(W922="","", "⚠️ 薄弱环节: "&amp;INDEX($R$1:$V$1, MATCH(MIN(R922:V922), R922:V922, 0))&amp;CHAR(10)&amp;"📉 考察能力: "&amp;IFERROR(VLOOKUP(TRIM(D922)&amp;"_"&amp;TRIM(INDEX($R$1:$V$1, MATCH(MIN(R922:V922), R922:V922, 0))), 技能库!$A:$F, 5, 0),"建议查阅考纲")&amp;CHAR(10)&amp;"💡 提升建议: "&amp;IFERROR(VLOOKUP(TRIM(D922)&amp;"_"&amp;TRIM(INDEX($R$1:$V$1, MATCH(MIN(R922:V922), R922:V922, 0))), 技能库!$A:$F, 6, 0),"请针对该题型加强练习"))</f>
        <v/>
      </c>
    </row>
    <row r="923" spans="12:29" ht="16" hidden="1" x14ac:dyDescent="0.2">
      <c r="L923" t="str">
        <f t="shared" si="56"/>
        <v/>
      </c>
      <c r="M923" t="str">
        <f>IF(L923="","", IFERROR(VLOOKUP(L923, IF(D923="KET", 换算标准!$M:$N, IF(D923="PET", 换算标准!$S:$T, 换算标准!$AC:$AD)), 2, TRUE), 0))</f>
        <v/>
      </c>
      <c r="P923" t="str">
        <f t="shared" si="57"/>
        <v/>
      </c>
      <c r="Q923" t="str">
        <f>IF(P923="","", IFERROR(VLOOKUP(P923, IF(D923="KET", 换算标准!$O:$P, IF(D923="PET", 换算标准!$U:$V, 换算标准!$AG:$AH)), 2, TRUE), 0))</f>
        <v/>
      </c>
      <c r="W923" t="str">
        <f t="shared" si="58"/>
        <v/>
      </c>
      <c r="X923" t="str">
        <f>IF(W923="","", IFERROR(VLOOKUP(W923, IF(D923="KET", 换算标准!$Q:$R, IF(D923="PET", 换算标准!$W:$X, 换算标准!$AI:$AJ)), 2, TRUE), 0))</f>
        <v/>
      </c>
      <c r="Y923" t="str">
        <f t="shared" si="59"/>
        <v/>
      </c>
      <c r="Z923" t="str">
        <f>IF(Y923="","", IFERROR(VLOOKUP(Y923, 换算标准!$Z:$AA, 1, TRUE), ""))</f>
        <v/>
      </c>
      <c r="AA923" s="5" t="str">
        <f>IF(L923="","", "⚠️ 薄弱环节: "&amp;INDEX($E$1:$K$1, MATCH(MIN(E923:K923), E923:K923, 0))&amp;CHAR(10)&amp;"📉 考察能力: "&amp;IFERROR(VLOOKUP(TRIM(D923)&amp;"_"&amp;TRIM(INDEX($E$1:$K$1, MATCH(MIN(E923:K923), E923:K923, 0))), 技能库!$A:$F, 5, 0),"建议查阅考纲")&amp;CHAR(10)&amp;"💡 提升建议: "&amp;IFERROR(VLOOKUP(TRIM(D923)&amp;"_"&amp;TRIM(INDEX($E$1:$K$1, MATCH(MIN(E923:K923), E923:K923, 0))), 技能库!$A:$F, 6, 0),"请针对该题型加强练习"))</f>
        <v/>
      </c>
      <c r="AB923" s="5" t="str">
        <f>IF(P923="","", "⚠️ 薄弱环节: "&amp;INDEX($N$1:$O$1, MATCH(MIN(N923:O923), N923:O923, 0))&amp;CHAR(10)&amp;"📉 考察能力: "&amp;IFERROR(VLOOKUP(TRIM(D923)&amp;"_"&amp;TRIM(INDEX($N$1:$O$1, MATCH(MIN(N923:O923), N923:O923, 0))), 技能库!$A:$F, 5, 0),"建议查阅考纲")&amp;CHAR(10)&amp;"💡 提升建议: "&amp;IFERROR(VLOOKUP(TRIM(D923)&amp;"_"&amp;TRIM(INDEX($N$1:$O$1, MATCH(MIN(N923:O923), N923:O923, 0))), 技能库!$A:$F, 6, 0),"请针对该题型加强练习"))</f>
        <v/>
      </c>
      <c r="AC923" s="5" t="str">
        <f>IF(W923="","", "⚠️ 薄弱环节: "&amp;INDEX($R$1:$V$1, MATCH(MIN(R923:V923), R923:V923, 0))&amp;CHAR(10)&amp;"📉 考察能力: "&amp;IFERROR(VLOOKUP(TRIM(D923)&amp;"_"&amp;TRIM(INDEX($R$1:$V$1, MATCH(MIN(R923:V923), R923:V923, 0))), 技能库!$A:$F, 5, 0),"建议查阅考纲")&amp;CHAR(10)&amp;"💡 提升建议: "&amp;IFERROR(VLOOKUP(TRIM(D923)&amp;"_"&amp;TRIM(INDEX($R$1:$V$1, MATCH(MIN(R923:V923), R923:V923, 0))), 技能库!$A:$F, 6, 0),"请针对该题型加强练习"))</f>
        <v/>
      </c>
    </row>
    <row r="924" spans="12:29" ht="16" hidden="1" x14ac:dyDescent="0.2">
      <c r="L924" t="str">
        <f t="shared" si="56"/>
        <v/>
      </c>
      <c r="M924" t="str">
        <f>IF(L924="","", IFERROR(VLOOKUP(L924, IF(D924="KET", 换算标准!$M:$N, IF(D924="PET", 换算标准!$S:$T, 换算标准!$AC:$AD)), 2, TRUE), 0))</f>
        <v/>
      </c>
      <c r="P924" t="str">
        <f t="shared" si="57"/>
        <v/>
      </c>
      <c r="Q924" t="str">
        <f>IF(P924="","", IFERROR(VLOOKUP(P924, IF(D924="KET", 换算标准!$O:$P, IF(D924="PET", 换算标准!$U:$V, 换算标准!$AG:$AH)), 2, TRUE), 0))</f>
        <v/>
      </c>
      <c r="W924" t="str">
        <f t="shared" si="58"/>
        <v/>
      </c>
      <c r="X924" t="str">
        <f>IF(W924="","", IFERROR(VLOOKUP(W924, IF(D924="KET", 换算标准!$Q:$R, IF(D924="PET", 换算标准!$W:$X, 换算标准!$AI:$AJ)), 2, TRUE), 0))</f>
        <v/>
      </c>
      <c r="Y924" t="str">
        <f t="shared" si="59"/>
        <v/>
      </c>
      <c r="Z924" t="str">
        <f>IF(Y924="","", IFERROR(VLOOKUP(Y924, 换算标准!$Z:$AA, 1, TRUE), ""))</f>
        <v/>
      </c>
      <c r="AA924" s="5" t="str">
        <f>IF(L924="","", "⚠️ 薄弱环节: "&amp;INDEX($E$1:$K$1, MATCH(MIN(E924:K924), E924:K924, 0))&amp;CHAR(10)&amp;"📉 考察能力: "&amp;IFERROR(VLOOKUP(TRIM(D924)&amp;"_"&amp;TRIM(INDEX($E$1:$K$1, MATCH(MIN(E924:K924), E924:K924, 0))), 技能库!$A:$F, 5, 0),"建议查阅考纲")&amp;CHAR(10)&amp;"💡 提升建议: "&amp;IFERROR(VLOOKUP(TRIM(D924)&amp;"_"&amp;TRIM(INDEX($E$1:$K$1, MATCH(MIN(E924:K924), E924:K924, 0))), 技能库!$A:$F, 6, 0),"请针对该题型加强练习"))</f>
        <v/>
      </c>
      <c r="AB924" s="5" t="str">
        <f>IF(P924="","", "⚠️ 薄弱环节: "&amp;INDEX($N$1:$O$1, MATCH(MIN(N924:O924), N924:O924, 0))&amp;CHAR(10)&amp;"📉 考察能力: "&amp;IFERROR(VLOOKUP(TRIM(D924)&amp;"_"&amp;TRIM(INDEX($N$1:$O$1, MATCH(MIN(N924:O924), N924:O924, 0))), 技能库!$A:$F, 5, 0),"建议查阅考纲")&amp;CHAR(10)&amp;"💡 提升建议: "&amp;IFERROR(VLOOKUP(TRIM(D924)&amp;"_"&amp;TRIM(INDEX($N$1:$O$1, MATCH(MIN(N924:O924), N924:O924, 0))), 技能库!$A:$F, 6, 0),"请针对该题型加强练习"))</f>
        <v/>
      </c>
      <c r="AC924" s="5" t="str">
        <f>IF(W924="","", "⚠️ 薄弱环节: "&amp;INDEX($R$1:$V$1, MATCH(MIN(R924:V924), R924:V924, 0))&amp;CHAR(10)&amp;"📉 考察能力: "&amp;IFERROR(VLOOKUP(TRIM(D924)&amp;"_"&amp;TRIM(INDEX($R$1:$V$1, MATCH(MIN(R924:V924), R924:V924, 0))), 技能库!$A:$F, 5, 0),"建议查阅考纲")&amp;CHAR(10)&amp;"💡 提升建议: "&amp;IFERROR(VLOOKUP(TRIM(D924)&amp;"_"&amp;TRIM(INDEX($R$1:$V$1, MATCH(MIN(R924:V924), R924:V924, 0))), 技能库!$A:$F, 6, 0),"请针对该题型加强练习"))</f>
        <v/>
      </c>
    </row>
    <row r="925" spans="12:29" ht="16" hidden="1" x14ac:dyDescent="0.2">
      <c r="L925" t="str">
        <f t="shared" si="56"/>
        <v/>
      </c>
      <c r="M925" t="str">
        <f>IF(L925="","", IFERROR(VLOOKUP(L925, IF(D925="KET", 换算标准!$M:$N, IF(D925="PET", 换算标准!$S:$T, 换算标准!$AC:$AD)), 2, TRUE), 0))</f>
        <v/>
      </c>
      <c r="P925" t="str">
        <f t="shared" si="57"/>
        <v/>
      </c>
      <c r="Q925" t="str">
        <f>IF(P925="","", IFERROR(VLOOKUP(P925, IF(D925="KET", 换算标准!$O:$P, IF(D925="PET", 换算标准!$U:$V, 换算标准!$AG:$AH)), 2, TRUE), 0))</f>
        <v/>
      </c>
      <c r="W925" t="str">
        <f t="shared" si="58"/>
        <v/>
      </c>
      <c r="X925" t="str">
        <f>IF(W925="","", IFERROR(VLOOKUP(W925, IF(D925="KET", 换算标准!$Q:$R, IF(D925="PET", 换算标准!$W:$X, 换算标准!$AI:$AJ)), 2, TRUE), 0))</f>
        <v/>
      </c>
      <c r="Y925" t="str">
        <f t="shared" si="59"/>
        <v/>
      </c>
      <c r="Z925" t="str">
        <f>IF(Y925="","", IFERROR(VLOOKUP(Y925, 换算标准!$Z:$AA, 1, TRUE), ""))</f>
        <v/>
      </c>
      <c r="AA925" s="5" t="str">
        <f>IF(L925="","", "⚠️ 薄弱环节: "&amp;INDEX($E$1:$K$1, MATCH(MIN(E925:K925), E925:K925, 0))&amp;CHAR(10)&amp;"📉 考察能力: "&amp;IFERROR(VLOOKUP(TRIM(D925)&amp;"_"&amp;TRIM(INDEX($E$1:$K$1, MATCH(MIN(E925:K925), E925:K925, 0))), 技能库!$A:$F, 5, 0),"建议查阅考纲")&amp;CHAR(10)&amp;"💡 提升建议: "&amp;IFERROR(VLOOKUP(TRIM(D925)&amp;"_"&amp;TRIM(INDEX($E$1:$K$1, MATCH(MIN(E925:K925), E925:K925, 0))), 技能库!$A:$F, 6, 0),"请针对该题型加强练习"))</f>
        <v/>
      </c>
      <c r="AB925" s="5" t="str">
        <f>IF(P925="","", "⚠️ 薄弱环节: "&amp;INDEX($N$1:$O$1, MATCH(MIN(N925:O925), N925:O925, 0))&amp;CHAR(10)&amp;"📉 考察能力: "&amp;IFERROR(VLOOKUP(TRIM(D925)&amp;"_"&amp;TRIM(INDEX($N$1:$O$1, MATCH(MIN(N925:O925), N925:O925, 0))), 技能库!$A:$F, 5, 0),"建议查阅考纲")&amp;CHAR(10)&amp;"💡 提升建议: "&amp;IFERROR(VLOOKUP(TRIM(D925)&amp;"_"&amp;TRIM(INDEX($N$1:$O$1, MATCH(MIN(N925:O925), N925:O925, 0))), 技能库!$A:$F, 6, 0),"请针对该题型加强练习"))</f>
        <v/>
      </c>
      <c r="AC925" s="5" t="str">
        <f>IF(W925="","", "⚠️ 薄弱环节: "&amp;INDEX($R$1:$V$1, MATCH(MIN(R925:V925), R925:V925, 0))&amp;CHAR(10)&amp;"📉 考察能力: "&amp;IFERROR(VLOOKUP(TRIM(D925)&amp;"_"&amp;TRIM(INDEX($R$1:$V$1, MATCH(MIN(R925:V925), R925:V925, 0))), 技能库!$A:$F, 5, 0),"建议查阅考纲")&amp;CHAR(10)&amp;"💡 提升建议: "&amp;IFERROR(VLOOKUP(TRIM(D925)&amp;"_"&amp;TRIM(INDEX($R$1:$V$1, MATCH(MIN(R925:V925), R925:V925, 0))), 技能库!$A:$F, 6, 0),"请针对该题型加强练习"))</f>
        <v/>
      </c>
    </row>
    <row r="926" spans="12:29" ht="16" hidden="1" x14ac:dyDescent="0.2">
      <c r="L926" t="str">
        <f t="shared" si="56"/>
        <v/>
      </c>
      <c r="M926" t="str">
        <f>IF(L926="","", IFERROR(VLOOKUP(L926, IF(D926="KET", 换算标准!$M:$N, IF(D926="PET", 换算标准!$S:$T, 换算标准!$AC:$AD)), 2, TRUE), 0))</f>
        <v/>
      </c>
      <c r="P926" t="str">
        <f t="shared" si="57"/>
        <v/>
      </c>
      <c r="Q926" t="str">
        <f>IF(P926="","", IFERROR(VLOOKUP(P926, IF(D926="KET", 换算标准!$O:$P, IF(D926="PET", 换算标准!$U:$V, 换算标准!$AG:$AH)), 2, TRUE), 0))</f>
        <v/>
      </c>
      <c r="W926" t="str">
        <f t="shared" si="58"/>
        <v/>
      </c>
      <c r="X926" t="str">
        <f>IF(W926="","", IFERROR(VLOOKUP(W926, IF(D926="KET", 换算标准!$Q:$R, IF(D926="PET", 换算标准!$W:$X, 换算标准!$AI:$AJ)), 2, TRUE), 0))</f>
        <v/>
      </c>
      <c r="Y926" t="str">
        <f t="shared" si="59"/>
        <v/>
      </c>
      <c r="Z926" t="str">
        <f>IF(Y926="","", IFERROR(VLOOKUP(Y926, 换算标准!$Z:$AA, 1, TRUE), ""))</f>
        <v/>
      </c>
      <c r="AA926" s="5" t="str">
        <f>IF(L926="","", "⚠️ 薄弱环节: "&amp;INDEX($E$1:$K$1, MATCH(MIN(E926:K926), E926:K926, 0))&amp;CHAR(10)&amp;"📉 考察能力: "&amp;IFERROR(VLOOKUP(TRIM(D926)&amp;"_"&amp;TRIM(INDEX($E$1:$K$1, MATCH(MIN(E926:K926), E926:K926, 0))), 技能库!$A:$F, 5, 0),"建议查阅考纲")&amp;CHAR(10)&amp;"💡 提升建议: "&amp;IFERROR(VLOOKUP(TRIM(D926)&amp;"_"&amp;TRIM(INDEX($E$1:$K$1, MATCH(MIN(E926:K926), E926:K926, 0))), 技能库!$A:$F, 6, 0),"请针对该题型加强练习"))</f>
        <v/>
      </c>
      <c r="AB926" s="5" t="str">
        <f>IF(P926="","", "⚠️ 薄弱环节: "&amp;INDEX($N$1:$O$1, MATCH(MIN(N926:O926), N926:O926, 0))&amp;CHAR(10)&amp;"📉 考察能力: "&amp;IFERROR(VLOOKUP(TRIM(D926)&amp;"_"&amp;TRIM(INDEX($N$1:$O$1, MATCH(MIN(N926:O926), N926:O926, 0))), 技能库!$A:$F, 5, 0),"建议查阅考纲")&amp;CHAR(10)&amp;"💡 提升建议: "&amp;IFERROR(VLOOKUP(TRIM(D926)&amp;"_"&amp;TRIM(INDEX($N$1:$O$1, MATCH(MIN(N926:O926), N926:O926, 0))), 技能库!$A:$F, 6, 0),"请针对该题型加强练习"))</f>
        <v/>
      </c>
      <c r="AC926" s="5" t="str">
        <f>IF(W926="","", "⚠️ 薄弱环节: "&amp;INDEX($R$1:$V$1, MATCH(MIN(R926:V926), R926:V926, 0))&amp;CHAR(10)&amp;"📉 考察能力: "&amp;IFERROR(VLOOKUP(TRIM(D926)&amp;"_"&amp;TRIM(INDEX($R$1:$V$1, MATCH(MIN(R926:V926), R926:V926, 0))), 技能库!$A:$F, 5, 0),"建议查阅考纲")&amp;CHAR(10)&amp;"💡 提升建议: "&amp;IFERROR(VLOOKUP(TRIM(D926)&amp;"_"&amp;TRIM(INDEX($R$1:$V$1, MATCH(MIN(R926:V926), R926:V926, 0))), 技能库!$A:$F, 6, 0),"请针对该题型加强练习"))</f>
        <v/>
      </c>
    </row>
    <row r="927" spans="12:29" ht="16" hidden="1" x14ac:dyDescent="0.2">
      <c r="L927" t="str">
        <f t="shared" si="56"/>
        <v/>
      </c>
      <c r="M927" t="str">
        <f>IF(L927="","", IFERROR(VLOOKUP(L927, IF(D927="KET", 换算标准!$M:$N, IF(D927="PET", 换算标准!$S:$T, 换算标准!$AC:$AD)), 2, TRUE), 0))</f>
        <v/>
      </c>
      <c r="P927" t="str">
        <f t="shared" si="57"/>
        <v/>
      </c>
      <c r="Q927" t="str">
        <f>IF(P927="","", IFERROR(VLOOKUP(P927, IF(D927="KET", 换算标准!$O:$P, IF(D927="PET", 换算标准!$U:$V, 换算标准!$AG:$AH)), 2, TRUE), 0))</f>
        <v/>
      </c>
      <c r="W927" t="str">
        <f t="shared" si="58"/>
        <v/>
      </c>
      <c r="X927" t="str">
        <f>IF(W927="","", IFERROR(VLOOKUP(W927, IF(D927="KET", 换算标准!$Q:$R, IF(D927="PET", 换算标准!$W:$X, 换算标准!$AI:$AJ)), 2, TRUE), 0))</f>
        <v/>
      </c>
      <c r="Y927" t="str">
        <f t="shared" si="59"/>
        <v/>
      </c>
      <c r="Z927" t="str">
        <f>IF(Y927="","", IFERROR(VLOOKUP(Y927, 换算标准!$Z:$AA, 1, TRUE), ""))</f>
        <v/>
      </c>
      <c r="AA927" s="5" t="str">
        <f>IF(L927="","", "⚠️ 薄弱环节: "&amp;INDEX($E$1:$K$1, MATCH(MIN(E927:K927), E927:K927, 0))&amp;CHAR(10)&amp;"📉 考察能力: "&amp;IFERROR(VLOOKUP(TRIM(D927)&amp;"_"&amp;TRIM(INDEX($E$1:$K$1, MATCH(MIN(E927:K927), E927:K927, 0))), 技能库!$A:$F, 5, 0),"建议查阅考纲")&amp;CHAR(10)&amp;"💡 提升建议: "&amp;IFERROR(VLOOKUP(TRIM(D927)&amp;"_"&amp;TRIM(INDEX($E$1:$K$1, MATCH(MIN(E927:K927), E927:K927, 0))), 技能库!$A:$F, 6, 0),"请针对该题型加强练习"))</f>
        <v/>
      </c>
      <c r="AB927" s="5" t="str">
        <f>IF(P927="","", "⚠️ 薄弱环节: "&amp;INDEX($N$1:$O$1, MATCH(MIN(N927:O927), N927:O927, 0))&amp;CHAR(10)&amp;"📉 考察能力: "&amp;IFERROR(VLOOKUP(TRIM(D927)&amp;"_"&amp;TRIM(INDEX($N$1:$O$1, MATCH(MIN(N927:O927), N927:O927, 0))), 技能库!$A:$F, 5, 0),"建议查阅考纲")&amp;CHAR(10)&amp;"💡 提升建议: "&amp;IFERROR(VLOOKUP(TRIM(D927)&amp;"_"&amp;TRIM(INDEX($N$1:$O$1, MATCH(MIN(N927:O927), N927:O927, 0))), 技能库!$A:$F, 6, 0),"请针对该题型加强练习"))</f>
        <v/>
      </c>
      <c r="AC927" s="5" t="str">
        <f>IF(W927="","", "⚠️ 薄弱环节: "&amp;INDEX($R$1:$V$1, MATCH(MIN(R927:V927), R927:V927, 0))&amp;CHAR(10)&amp;"📉 考察能力: "&amp;IFERROR(VLOOKUP(TRIM(D927)&amp;"_"&amp;TRIM(INDEX($R$1:$V$1, MATCH(MIN(R927:V927), R927:V927, 0))), 技能库!$A:$F, 5, 0),"建议查阅考纲")&amp;CHAR(10)&amp;"💡 提升建议: "&amp;IFERROR(VLOOKUP(TRIM(D927)&amp;"_"&amp;TRIM(INDEX($R$1:$V$1, MATCH(MIN(R927:V927), R927:V927, 0))), 技能库!$A:$F, 6, 0),"请针对该题型加强练习"))</f>
        <v/>
      </c>
    </row>
    <row r="928" spans="12:29" ht="16" hidden="1" x14ac:dyDescent="0.2">
      <c r="L928" t="str">
        <f t="shared" si="56"/>
        <v/>
      </c>
      <c r="M928" t="str">
        <f>IF(L928="","", IFERROR(VLOOKUP(L928, IF(D928="KET", 换算标准!$M:$N, IF(D928="PET", 换算标准!$S:$T, 换算标准!$AC:$AD)), 2, TRUE), 0))</f>
        <v/>
      </c>
      <c r="P928" t="str">
        <f t="shared" si="57"/>
        <v/>
      </c>
      <c r="Q928" t="str">
        <f>IF(P928="","", IFERROR(VLOOKUP(P928, IF(D928="KET", 换算标准!$O:$P, IF(D928="PET", 换算标准!$U:$V, 换算标准!$AG:$AH)), 2, TRUE), 0))</f>
        <v/>
      </c>
      <c r="W928" t="str">
        <f t="shared" si="58"/>
        <v/>
      </c>
      <c r="X928" t="str">
        <f>IF(W928="","", IFERROR(VLOOKUP(W928, IF(D928="KET", 换算标准!$Q:$R, IF(D928="PET", 换算标准!$W:$X, 换算标准!$AI:$AJ)), 2, TRUE), 0))</f>
        <v/>
      </c>
      <c r="Y928" t="str">
        <f t="shared" si="59"/>
        <v/>
      </c>
      <c r="Z928" t="str">
        <f>IF(Y928="","", IFERROR(VLOOKUP(Y928, 换算标准!$Z:$AA, 1, TRUE), ""))</f>
        <v/>
      </c>
      <c r="AA928" s="5" t="str">
        <f>IF(L928="","", "⚠️ 薄弱环节: "&amp;INDEX($E$1:$K$1, MATCH(MIN(E928:K928), E928:K928, 0))&amp;CHAR(10)&amp;"📉 考察能力: "&amp;IFERROR(VLOOKUP(TRIM(D928)&amp;"_"&amp;TRIM(INDEX($E$1:$K$1, MATCH(MIN(E928:K928), E928:K928, 0))), 技能库!$A:$F, 5, 0),"建议查阅考纲")&amp;CHAR(10)&amp;"💡 提升建议: "&amp;IFERROR(VLOOKUP(TRIM(D928)&amp;"_"&amp;TRIM(INDEX($E$1:$K$1, MATCH(MIN(E928:K928), E928:K928, 0))), 技能库!$A:$F, 6, 0),"请针对该题型加强练习"))</f>
        <v/>
      </c>
      <c r="AB928" s="5" t="str">
        <f>IF(P928="","", "⚠️ 薄弱环节: "&amp;INDEX($N$1:$O$1, MATCH(MIN(N928:O928), N928:O928, 0))&amp;CHAR(10)&amp;"📉 考察能力: "&amp;IFERROR(VLOOKUP(TRIM(D928)&amp;"_"&amp;TRIM(INDEX($N$1:$O$1, MATCH(MIN(N928:O928), N928:O928, 0))), 技能库!$A:$F, 5, 0),"建议查阅考纲")&amp;CHAR(10)&amp;"💡 提升建议: "&amp;IFERROR(VLOOKUP(TRIM(D928)&amp;"_"&amp;TRIM(INDEX($N$1:$O$1, MATCH(MIN(N928:O928), N928:O928, 0))), 技能库!$A:$F, 6, 0),"请针对该题型加强练习"))</f>
        <v/>
      </c>
      <c r="AC928" s="5" t="str">
        <f>IF(W928="","", "⚠️ 薄弱环节: "&amp;INDEX($R$1:$V$1, MATCH(MIN(R928:V928), R928:V928, 0))&amp;CHAR(10)&amp;"📉 考察能力: "&amp;IFERROR(VLOOKUP(TRIM(D928)&amp;"_"&amp;TRIM(INDEX($R$1:$V$1, MATCH(MIN(R928:V928), R928:V928, 0))), 技能库!$A:$F, 5, 0),"建议查阅考纲")&amp;CHAR(10)&amp;"💡 提升建议: "&amp;IFERROR(VLOOKUP(TRIM(D928)&amp;"_"&amp;TRIM(INDEX($R$1:$V$1, MATCH(MIN(R928:V928), R928:V928, 0))), 技能库!$A:$F, 6, 0),"请针对该题型加强练习"))</f>
        <v/>
      </c>
    </row>
    <row r="929" spans="12:29" ht="16" hidden="1" x14ac:dyDescent="0.2">
      <c r="L929" t="str">
        <f t="shared" si="56"/>
        <v/>
      </c>
      <c r="M929" t="str">
        <f>IF(L929="","", IFERROR(VLOOKUP(L929, IF(D929="KET", 换算标准!$M:$N, IF(D929="PET", 换算标准!$S:$T, 换算标准!$AC:$AD)), 2, TRUE), 0))</f>
        <v/>
      </c>
      <c r="P929" t="str">
        <f t="shared" si="57"/>
        <v/>
      </c>
      <c r="Q929" t="str">
        <f>IF(P929="","", IFERROR(VLOOKUP(P929, IF(D929="KET", 换算标准!$O:$P, IF(D929="PET", 换算标准!$U:$V, 换算标准!$AG:$AH)), 2, TRUE), 0))</f>
        <v/>
      </c>
      <c r="W929" t="str">
        <f t="shared" si="58"/>
        <v/>
      </c>
      <c r="X929" t="str">
        <f>IF(W929="","", IFERROR(VLOOKUP(W929, IF(D929="KET", 换算标准!$Q:$R, IF(D929="PET", 换算标准!$W:$X, 换算标准!$AI:$AJ)), 2, TRUE), 0))</f>
        <v/>
      </c>
      <c r="Y929" t="str">
        <f t="shared" si="59"/>
        <v/>
      </c>
      <c r="Z929" t="str">
        <f>IF(Y929="","", IFERROR(VLOOKUP(Y929, 换算标准!$Z:$AA, 1, TRUE), ""))</f>
        <v/>
      </c>
      <c r="AA929" s="5" t="str">
        <f>IF(L929="","", "⚠️ 薄弱环节: "&amp;INDEX($E$1:$K$1, MATCH(MIN(E929:K929), E929:K929, 0))&amp;CHAR(10)&amp;"📉 考察能力: "&amp;IFERROR(VLOOKUP(TRIM(D929)&amp;"_"&amp;TRIM(INDEX($E$1:$K$1, MATCH(MIN(E929:K929), E929:K929, 0))), 技能库!$A:$F, 5, 0),"建议查阅考纲")&amp;CHAR(10)&amp;"💡 提升建议: "&amp;IFERROR(VLOOKUP(TRIM(D929)&amp;"_"&amp;TRIM(INDEX($E$1:$K$1, MATCH(MIN(E929:K929), E929:K929, 0))), 技能库!$A:$F, 6, 0),"请针对该题型加强练习"))</f>
        <v/>
      </c>
      <c r="AB929" s="5" t="str">
        <f>IF(P929="","", "⚠️ 薄弱环节: "&amp;INDEX($N$1:$O$1, MATCH(MIN(N929:O929), N929:O929, 0))&amp;CHAR(10)&amp;"📉 考察能力: "&amp;IFERROR(VLOOKUP(TRIM(D929)&amp;"_"&amp;TRIM(INDEX($N$1:$O$1, MATCH(MIN(N929:O929), N929:O929, 0))), 技能库!$A:$F, 5, 0),"建议查阅考纲")&amp;CHAR(10)&amp;"💡 提升建议: "&amp;IFERROR(VLOOKUP(TRIM(D929)&amp;"_"&amp;TRIM(INDEX($N$1:$O$1, MATCH(MIN(N929:O929), N929:O929, 0))), 技能库!$A:$F, 6, 0),"请针对该题型加强练习"))</f>
        <v/>
      </c>
      <c r="AC929" s="5" t="str">
        <f>IF(W929="","", "⚠️ 薄弱环节: "&amp;INDEX($R$1:$V$1, MATCH(MIN(R929:V929), R929:V929, 0))&amp;CHAR(10)&amp;"📉 考察能力: "&amp;IFERROR(VLOOKUP(TRIM(D929)&amp;"_"&amp;TRIM(INDEX($R$1:$V$1, MATCH(MIN(R929:V929), R929:V929, 0))), 技能库!$A:$F, 5, 0),"建议查阅考纲")&amp;CHAR(10)&amp;"💡 提升建议: "&amp;IFERROR(VLOOKUP(TRIM(D929)&amp;"_"&amp;TRIM(INDEX($R$1:$V$1, MATCH(MIN(R929:V929), R929:V929, 0))), 技能库!$A:$F, 6, 0),"请针对该题型加强练习"))</f>
        <v/>
      </c>
    </row>
    <row r="930" spans="12:29" ht="16" hidden="1" x14ac:dyDescent="0.2">
      <c r="L930" t="str">
        <f t="shared" si="56"/>
        <v/>
      </c>
      <c r="M930" t="str">
        <f>IF(L930="","", IFERROR(VLOOKUP(L930, IF(D930="KET", 换算标准!$M:$N, IF(D930="PET", 换算标准!$S:$T, 换算标准!$AC:$AD)), 2, TRUE), 0))</f>
        <v/>
      </c>
      <c r="P930" t="str">
        <f t="shared" si="57"/>
        <v/>
      </c>
      <c r="Q930" t="str">
        <f>IF(P930="","", IFERROR(VLOOKUP(P930, IF(D930="KET", 换算标准!$O:$P, IF(D930="PET", 换算标准!$U:$V, 换算标准!$AG:$AH)), 2, TRUE), 0))</f>
        <v/>
      </c>
      <c r="W930" t="str">
        <f t="shared" si="58"/>
        <v/>
      </c>
      <c r="X930" t="str">
        <f>IF(W930="","", IFERROR(VLOOKUP(W930, IF(D930="KET", 换算标准!$Q:$R, IF(D930="PET", 换算标准!$W:$X, 换算标准!$AI:$AJ)), 2, TRUE), 0))</f>
        <v/>
      </c>
      <c r="Y930" t="str">
        <f t="shared" si="59"/>
        <v/>
      </c>
      <c r="Z930" t="str">
        <f>IF(Y930="","", IFERROR(VLOOKUP(Y930, 换算标准!$Z:$AA, 1, TRUE), ""))</f>
        <v/>
      </c>
      <c r="AA930" s="5" t="str">
        <f>IF(L930="","", "⚠️ 薄弱环节: "&amp;INDEX($E$1:$K$1, MATCH(MIN(E930:K930), E930:K930, 0))&amp;CHAR(10)&amp;"📉 考察能力: "&amp;IFERROR(VLOOKUP(TRIM(D930)&amp;"_"&amp;TRIM(INDEX($E$1:$K$1, MATCH(MIN(E930:K930), E930:K930, 0))), 技能库!$A:$F, 5, 0),"建议查阅考纲")&amp;CHAR(10)&amp;"💡 提升建议: "&amp;IFERROR(VLOOKUP(TRIM(D930)&amp;"_"&amp;TRIM(INDEX($E$1:$K$1, MATCH(MIN(E930:K930), E930:K930, 0))), 技能库!$A:$F, 6, 0),"请针对该题型加强练习"))</f>
        <v/>
      </c>
      <c r="AB930" s="5" t="str">
        <f>IF(P930="","", "⚠️ 薄弱环节: "&amp;INDEX($N$1:$O$1, MATCH(MIN(N930:O930), N930:O930, 0))&amp;CHAR(10)&amp;"📉 考察能力: "&amp;IFERROR(VLOOKUP(TRIM(D930)&amp;"_"&amp;TRIM(INDEX($N$1:$O$1, MATCH(MIN(N930:O930), N930:O930, 0))), 技能库!$A:$F, 5, 0),"建议查阅考纲")&amp;CHAR(10)&amp;"💡 提升建议: "&amp;IFERROR(VLOOKUP(TRIM(D930)&amp;"_"&amp;TRIM(INDEX($N$1:$O$1, MATCH(MIN(N930:O930), N930:O930, 0))), 技能库!$A:$F, 6, 0),"请针对该题型加强练习"))</f>
        <v/>
      </c>
      <c r="AC930" s="5" t="str">
        <f>IF(W930="","", "⚠️ 薄弱环节: "&amp;INDEX($R$1:$V$1, MATCH(MIN(R930:V930), R930:V930, 0))&amp;CHAR(10)&amp;"📉 考察能力: "&amp;IFERROR(VLOOKUP(TRIM(D930)&amp;"_"&amp;TRIM(INDEX($R$1:$V$1, MATCH(MIN(R930:V930), R930:V930, 0))), 技能库!$A:$F, 5, 0),"建议查阅考纲")&amp;CHAR(10)&amp;"💡 提升建议: "&amp;IFERROR(VLOOKUP(TRIM(D930)&amp;"_"&amp;TRIM(INDEX($R$1:$V$1, MATCH(MIN(R930:V930), R930:V930, 0))), 技能库!$A:$F, 6, 0),"请针对该题型加强练习"))</f>
        <v/>
      </c>
    </row>
    <row r="931" spans="12:29" ht="16" hidden="1" x14ac:dyDescent="0.2">
      <c r="L931" t="str">
        <f t="shared" si="56"/>
        <v/>
      </c>
      <c r="M931" t="str">
        <f>IF(L931="","", IFERROR(VLOOKUP(L931, IF(D931="KET", 换算标准!$M:$N, IF(D931="PET", 换算标准!$S:$T, 换算标准!$AC:$AD)), 2, TRUE), 0))</f>
        <v/>
      </c>
      <c r="P931" t="str">
        <f t="shared" si="57"/>
        <v/>
      </c>
      <c r="Q931" t="str">
        <f>IF(P931="","", IFERROR(VLOOKUP(P931, IF(D931="KET", 换算标准!$O:$P, IF(D931="PET", 换算标准!$U:$V, 换算标准!$AG:$AH)), 2, TRUE), 0))</f>
        <v/>
      </c>
      <c r="W931" t="str">
        <f t="shared" si="58"/>
        <v/>
      </c>
      <c r="X931" t="str">
        <f>IF(W931="","", IFERROR(VLOOKUP(W931, IF(D931="KET", 换算标准!$Q:$R, IF(D931="PET", 换算标准!$W:$X, 换算标准!$AI:$AJ)), 2, TRUE), 0))</f>
        <v/>
      </c>
      <c r="Y931" t="str">
        <f t="shared" si="59"/>
        <v/>
      </c>
      <c r="Z931" t="str">
        <f>IF(Y931="","", IFERROR(VLOOKUP(Y931, 换算标准!$Z:$AA, 1, TRUE), ""))</f>
        <v/>
      </c>
      <c r="AA931" s="5" t="str">
        <f>IF(L931="","", "⚠️ 薄弱环节: "&amp;INDEX($E$1:$K$1, MATCH(MIN(E931:K931), E931:K931, 0))&amp;CHAR(10)&amp;"📉 考察能力: "&amp;IFERROR(VLOOKUP(TRIM(D931)&amp;"_"&amp;TRIM(INDEX($E$1:$K$1, MATCH(MIN(E931:K931), E931:K931, 0))), 技能库!$A:$F, 5, 0),"建议查阅考纲")&amp;CHAR(10)&amp;"💡 提升建议: "&amp;IFERROR(VLOOKUP(TRIM(D931)&amp;"_"&amp;TRIM(INDEX($E$1:$K$1, MATCH(MIN(E931:K931), E931:K931, 0))), 技能库!$A:$F, 6, 0),"请针对该题型加强练习"))</f>
        <v/>
      </c>
      <c r="AB931" s="5" t="str">
        <f>IF(P931="","", "⚠️ 薄弱环节: "&amp;INDEX($N$1:$O$1, MATCH(MIN(N931:O931), N931:O931, 0))&amp;CHAR(10)&amp;"📉 考察能力: "&amp;IFERROR(VLOOKUP(TRIM(D931)&amp;"_"&amp;TRIM(INDEX($N$1:$O$1, MATCH(MIN(N931:O931), N931:O931, 0))), 技能库!$A:$F, 5, 0),"建议查阅考纲")&amp;CHAR(10)&amp;"💡 提升建议: "&amp;IFERROR(VLOOKUP(TRIM(D931)&amp;"_"&amp;TRIM(INDEX($N$1:$O$1, MATCH(MIN(N931:O931), N931:O931, 0))), 技能库!$A:$F, 6, 0),"请针对该题型加强练习"))</f>
        <v/>
      </c>
      <c r="AC931" s="5" t="str">
        <f>IF(W931="","", "⚠️ 薄弱环节: "&amp;INDEX($R$1:$V$1, MATCH(MIN(R931:V931), R931:V931, 0))&amp;CHAR(10)&amp;"📉 考察能力: "&amp;IFERROR(VLOOKUP(TRIM(D931)&amp;"_"&amp;TRIM(INDEX($R$1:$V$1, MATCH(MIN(R931:V931), R931:V931, 0))), 技能库!$A:$F, 5, 0),"建议查阅考纲")&amp;CHAR(10)&amp;"💡 提升建议: "&amp;IFERROR(VLOOKUP(TRIM(D931)&amp;"_"&amp;TRIM(INDEX($R$1:$V$1, MATCH(MIN(R931:V931), R931:V931, 0))), 技能库!$A:$F, 6, 0),"请针对该题型加强练习"))</f>
        <v/>
      </c>
    </row>
    <row r="932" spans="12:29" ht="16" hidden="1" x14ac:dyDescent="0.2">
      <c r="L932" t="str">
        <f t="shared" si="56"/>
        <v/>
      </c>
      <c r="M932" t="str">
        <f>IF(L932="","", IFERROR(VLOOKUP(L932, IF(D932="KET", 换算标准!$M:$N, IF(D932="PET", 换算标准!$S:$T, 换算标准!$AC:$AD)), 2, TRUE), 0))</f>
        <v/>
      </c>
      <c r="P932" t="str">
        <f t="shared" si="57"/>
        <v/>
      </c>
      <c r="Q932" t="str">
        <f>IF(P932="","", IFERROR(VLOOKUP(P932, IF(D932="KET", 换算标准!$O:$P, IF(D932="PET", 换算标准!$U:$V, 换算标准!$AG:$AH)), 2, TRUE), 0))</f>
        <v/>
      </c>
      <c r="W932" t="str">
        <f t="shared" si="58"/>
        <v/>
      </c>
      <c r="X932" t="str">
        <f>IF(W932="","", IFERROR(VLOOKUP(W932, IF(D932="KET", 换算标准!$Q:$R, IF(D932="PET", 换算标准!$W:$X, 换算标准!$AI:$AJ)), 2, TRUE), 0))</f>
        <v/>
      </c>
      <c r="Y932" t="str">
        <f t="shared" si="59"/>
        <v/>
      </c>
      <c r="Z932" t="str">
        <f>IF(Y932="","", IFERROR(VLOOKUP(Y932, 换算标准!$Z:$AA, 1, TRUE), ""))</f>
        <v/>
      </c>
      <c r="AA932" s="5" t="str">
        <f>IF(L932="","", "⚠️ 薄弱环节: "&amp;INDEX($E$1:$K$1, MATCH(MIN(E932:K932), E932:K932, 0))&amp;CHAR(10)&amp;"📉 考察能力: "&amp;IFERROR(VLOOKUP(TRIM(D932)&amp;"_"&amp;TRIM(INDEX($E$1:$K$1, MATCH(MIN(E932:K932), E932:K932, 0))), 技能库!$A:$F, 5, 0),"建议查阅考纲")&amp;CHAR(10)&amp;"💡 提升建议: "&amp;IFERROR(VLOOKUP(TRIM(D932)&amp;"_"&amp;TRIM(INDEX($E$1:$K$1, MATCH(MIN(E932:K932), E932:K932, 0))), 技能库!$A:$F, 6, 0),"请针对该题型加强练习"))</f>
        <v/>
      </c>
      <c r="AB932" s="5" t="str">
        <f>IF(P932="","", "⚠️ 薄弱环节: "&amp;INDEX($N$1:$O$1, MATCH(MIN(N932:O932), N932:O932, 0))&amp;CHAR(10)&amp;"📉 考察能力: "&amp;IFERROR(VLOOKUP(TRIM(D932)&amp;"_"&amp;TRIM(INDEX($N$1:$O$1, MATCH(MIN(N932:O932), N932:O932, 0))), 技能库!$A:$F, 5, 0),"建议查阅考纲")&amp;CHAR(10)&amp;"💡 提升建议: "&amp;IFERROR(VLOOKUP(TRIM(D932)&amp;"_"&amp;TRIM(INDEX($N$1:$O$1, MATCH(MIN(N932:O932), N932:O932, 0))), 技能库!$A:$F, 6, 0),"请针对该题型加强练习"))</f>
        <v/>
      </c>
      <c r="AC932" s="5" t="str">
        <f>IF(W932="","", "⚠️ 薄弱环节: "&amp;INDEX($R$1:$V$1, MATCH(MIN(R932:V932), R932:V932, 0))&amp;CHAR(10)&amp;"📉 考察能力: "&amp;IFERROR(VLOOKUP(TRIM(D932)&amp;"_"&amp;TRIM(INDEX($R$1:$V$1, MATCH(MIN(R932:V932), R932:V932, 0))), 技能库!$A:$F, 5, 0),"建议查阅考纲")&amp;CHAR(10)&amp;"💡 提升建议: "&amp;IFERROR(VLOOKUP(TRIM(D932)&amp;"_"&amp;TRIM(INDEX($R$1:$V$1, MATCH(MIN(R932:V932), R932:V932, 0))), 技能库!$A:$F, 6, 0),"请针对该题型加强练习"))</f>
        <v/>
      </c>
    </row>
    <row r="933" spans="12:29" ht="16" hidden="1" x14ac:dyDescent="0.2">
      <c r="L933" t="str">
        <f t="shared" si="56"/>
        <v/>
      </c>
      <c r="M933" t="str">
        <f>IF(L933="","", IFERROR(VLOOKUP(L933, IF(D933="KET", 换算标准!$M:$N, IF(D933="PET", 换算标准!$S:$T, 换算标准!$AC:$AD)), 2, TRUE), 0))</f>
        <v/>
      </c>
      <c r="P933" t="str">
        <f t="shared" si="57"/>
        <v/>
      </c>
      <c r="Q933" t="str">
        <f>IF(P933="","", IFERROR(VLOOKUP(P933, IF(D933="KET", 换算标准!$O:$P, IF(D933="PET", 换算标准!$U:$V, 换算标准!$AG:$AH)), 2, TRUE), 0))</f>
        <v/>
      </c>
      <c r="W933" t="str">
        <f t="shared" si="58"/>
        <v/>
      </c>
      <c r="X933" t="str">
        <f>IF(W933="","", IFERROR(VLOOKUP(W933, IF(D933="KET", 换算标准!$Q:$R, IF(D933="PET", 换算标准!$W:$X, 换算标准!$AI:$AJ)), 2, TRUE), 0))</f>
        <v/>
      </c>
      <c r="Y933" t="str">
        <f t="shared" si="59"/>
        <v/>
      </c>
      <c r="Z933" t="str">
        <f>IF(Y933="","", IFERROR(VLOOKUP(Y933, 换算标准!$Z:$AA, 1, TRUE), ""))</f>
        <v/>
      </c>
      <c r="AA933" s="5" t="str">
        <f>IF(L933="","", "⚠️ 薄弱环节: "&amp;INDEX($E$1:$K$1, MATCH(MIN(E933:K933), E933:K933, 0))&amp;CHAR(10)&amp;"📉 考察能力: "&amp;IFERROR(VLOOKUP(TRIM(D933)&amp;"_"&amp;TRIM(INDEX($E$1:$K$1, MATCH(MIN(E933:K933), E933:K933, 0))), 技能库!$A:$F, 5, 0),"建议查阅考纲")&amp;CHAR(10)&amp;"💡 提升建议: "&amp;IFERROR(VLOOKUP(TRIM(D933)&amp;"_"&amp;TRIM(INDEX($E$1:$K$1, MATCH(MIN(E933:K933), E933:K933, 0))), 技能库!$A:$F, 6, 0),"请针对该题型加强练习"))</f>
        <v/>
      </c>
      <c r="AB933" s="5" t="str">
        <f>IF(P933="","", "⚠️ 薄弱环节: "&amp;INDEX($N$1:$O$1, MATCH(MIN(N933:O933), N933:O933, 0))&amp;CHAR(10)&amp;"📉 考察能力: "&amp;IFERROR(VLOOKUP(TRIM(D933)&amp;"_"&amp;TRIM(INDEX($N$1:$O$1, MATCH(MIN(N933:O933), N933:O933, 0))), 技能库!$A:$F, 5, 0),"建议查阅考纲")&amp;CHAR(10)&amp;"💡 提升建议: "&amp;IFERROR(VLOOKUP(TRIM(D933)&amp;"_"&amp;TRIM(INDEX($N$1:$O$1, MATCH(MIN(N933:O933), N933:O933, 0))), 技能库!$A:$F, 6, 0),"请针对该题型加强练习"))</f>
        <v/>
      </c>
      <c r="AC933" s="5" t="str">
        <f>IF(W933="","", "⚠️ 薄弱环节: "&amp;INDEX($R$1:$V$1, MATCH(MIN(R933:V933), R933:V933, 0))&amp;CHAR(10)&amp;"📉 考察能力: "&amp;IFERROR(VLOOKUP(TRIM(D933)&amp;"_"&amp;TRIM(INDEX($R$1:$V$1, MATCH(MIN(R933:V933), R933:V933, 0))), 技能库!$A:$F, 5, 0),"建议查阅考纲")&amp;CHAR(10)&amp;"💡 提升建议: "&amp;IFERROR(VLOOKUP(TRIM(D933)&amp;"_"&amp;TRIM(INDEX($R$1:$V$1, MATCH(MIN(R933:V933), R933:V933, 0))), 技能库!$A:$F, 6, 0),"请针对该题型加强练习"))</f>
        <v/>
      </c>
    </row>
    <row r="934" spans="12:29" ht="16" hidden="1" x14ac:dyDescent="0.2">
      <c r="L934" t="str">
        <f t="shared" si="56"/>
        <v/>
      </c>
      <c r="M934" t="str">
        <f>IF(L934="","", IFERROR(VLOOKUP(L934, IF(D934="KET", 换算标准!$M:$N, IF(D934="PET", 换算标准!$S:$T, 换算标准!$AC:$AD)), 2, TRUE), 0))</f>
        <v/>
      </c>
      <c r="P934" t="str">
        <f t="shared" si="57"/>
        <v/>
      </c>
      <c r="Q934" t="str">
        <f>IF(P934="","", IFERROR(VLOOKUP(P934, IF(D934="KET", 换算标准!$O:$P, IF(D934="PET", 换算标准!$U:$V, 换算标准!$AG:$AH)), 2, TRUE), 0))</f>
        <v/>
      </c>
      <c r="W934" t="str">
        <f t="shared" si="58"/>
        <v/>
      </c>
      <c r="X934" t="str">
        <f>IF(W934="","", IFERROR(VLOOKUP(W934, IF(D934="KET", 换算标准!$Q:$R, IF(D934="PET", 换算标准!$W:$X, 换算标准!$AI:$AJ)), 2, TRUE), 0))</f>
        <v/>
      </c>
      <c r="Y934" t="str">
        <f t="shared" si="59"/>
        <v/>
      </c>
      <c r="Z934" t="str">
        <f>IF(Y934="","", IFERROR(VLOOKUP(Y934, 换算标准!$Z:$AA, 1, TRUE), ""))</f>
        <v/>
      </c>
      <c r="AA934" s="5" t="str">
        <f>IF(L934="","", "⚠️ 薄弱环节: "&amp;INDEX($E$1:$K$1, MATCH(MIN(E934:K934), E934:K934, 0))&amp;CHAR(10)&amp;"📉 考察能力: "&amp;IFERROR(VLOOKUP(TRIM(D934)&amp;"_"&amp;TRIM(INDEX($E$1:$K$1, MATCH(MIN(E934:K934), E934:K934, 0))), 技能库!$A:$F, 5, 0),"建议查阅考纲")&amp;CHAR(10)&amp;"💡 提升建议: "&amp;IFERROR(VLOOKUP(TRIM(D934)&amp;"_"&amp;TRIM(INDEX($E$1:$K$1, MATCH(MIN(E934:K934), E934:K934, 0))), 技能库!$A:$F, 6, 0),"请针对该题型加强练习"))</f>
        <v/>
      </c>
      <c r="AB934" s="5" t="str">
        <f>IF(P934="","", "⚠️ 薄弱环节: "&amp;INDEX($N$1:$O$1, MATCH(MIN(N934:O934), N934:O934, 0))&amp;CHAR(10)&amp;"📉 考察能力: "&amp;IFERROR(VLOOKUP(TRIM(D934)&amp;"_"&amp;TRIM(INDEX($N$1:$O$1, MATCH(MIN(N934:O934), N934:O934, 0))), 技能库!$A:$F, 5, 0),"建议查阅考纲")&amp;CHAR(10)&amp;"💡 提升建议: "&amp;IFERROR(VLOOKUP(TRIM(D934)&amp;"_"&amp;TRIM(INDEX($N$1:$O$1, MATCH(MIN(N934:O934), N934:O934, 0))), 技能库!$A:$F, 6, 0),"请针对该题型加强练习"))</f>
        <v/>
      </c>
      <c r="AC934" s="5" t="str">
        <f>IF(W934="","", "⚠️ 薄弱环节: "&amp;INDEX($R$1:$V$1, MATCH(MIN(R934:V934), R934:V934, 0))&amp;CHAR(10)&amp;"📉 考察能力: "&amp;IFERROR(VLOOKUP(TRIM(D934)&amp;"_"&amp;TRIM(INDEX($R$1:$V$1, MATCH(MIN(R934:V934), R934:V934, 0))), 技能库!$A:$F, 5, 0),"建议查阅考纲")&amp;CHAR(10)&amp;"💡 提升建议: "&amp;IFERROR(VLOOKUP(TRIM(D934)&amp;"_"&amp;TRIM(INDEX($R$1:$V$1, MATCH(MIN(R934:V934), R934:V934, 0))), 技能库!$A:$F, 6, 0),"请针对该题型加强练习"))</f>
        <v/>
      </c>
    </row>
    <row r="935" spans="12:29" ht="16" hidden="1" x14ac:dyDescent="0.2">
      <c r="L935" t="str">
        <f t="shared" si="56"/>
        <v/>
      </c>
      <c r="M935" t="str">
        <f>IF(L935="","", IFERROR(VLOOKUP(L935, IF(D935="KET", 换算标准!$M:$N, IF(D935="PET", 换算标准!$S:$T, 换算标准!$AC:$AD)), 2, TRUE), 0))</f>
        <v/>
      </c>
      <c r="P935" t="str">
        <f t="shared" si="57"/>
        <v/>
      </c>
      <c r="Q935" t="str">
        <f>IF(P935="","", IFERROR(VLOOKUP(P935, IF(D935="KET", 换算标准!$O:$P, IF(D935="PET", 换算标准!$U:$V, 换算标准!$AG:$AH)), 2, TRUE), 0))</f>
        <v/>
      </c>
      <c r="W935" t="str">
        <f t="shared" si="58"/>
        <v/>
      </c>
      <c r="X935" t="str">
        <f>IF(W935="","", IFERROR(VLOOKUP(W935, IF(D935="KET", 换算标准!$Q:$R, IF(D935="PET", 换算标准!$W:$X, 换算标准!$AI:$AJ)), 2, TRUE), 0))</f>
        <v/>
      </c>
      <c r="Y935" t="str">
        <f t="shared" si="59"/>
        <v/>
      </c>
      <c r="Z935" t="str">
        <f>IF(Y935="","", IFERROR(VLOOKUP(Y935, 换算标准!$Z:$AA, 1, TRUE), ""))</f>
        <v/>
      </c>
      <c r="AA935" s="5" t="str">
        <f>IF(L935="","", "⚠️ 薄弱环节: "&amp;INDEX($E$1:$K$1, MATCH(MIN(E935:K935), E935:K935, 0))&amp;CHAR(10)&amp;"📉 考察能力: "&amp;IFERROR(VLOOKUP(TRIM(D935)&amp;"_"&amp;TRIM(INDEX($E$1:$K$1, MATCH(MIN(E935:K935), E935:K935, 0))), 技能库!$A:$F, 5, 0),"建议查阅考纲")&amp;CHAR(10)&amp;"💡 提升建议: "&amp;IFERROR(VLOOKUP(TRIM(D935)&amp;"_"&amp;TRIM(INDEX($E$1:$K$1, MATCH(MIN(E935:K935), E935:K935, 0))), 技能库!$A:$F, 6, 0),"请针对该题型加强练习"))</f>
        <v/>
      </c>
      <c r="AB935" s="5" t="str">
        <f>IF(P935="","", "⚠️ 薄弱环节: "&amp;INDEX($N$1:$O$1, MATCH(MIN(N935:O935), N935:O935, 0))&amp;CHAR(10)&amp;"📉 考察能力: "&amp;IFERROR(VLOOKUP(TRIM(D935)&amp;"_"&amp;TRIM(INDEX($N$1:$O$1, MATCH(MIN(N935:O935), N935:O935, 0))), 技能库!$A:$F, 5, 0),"建议查阅考纲")&amp;CHAR(10)&amp;"💡 提升建议: "&amp;IFERROR(VLOOKUP(TRIM(D935)&amp;"_"&amp;TRIM(INDEX($N$1:$O$1, MATCH(MIN(N935:O935), N935:O935, 0))), 技能库!$A:$F, 6, 0),"请针对该题型加强练习"))</f>
        <v/>
      </c>
      <c r="AC935" s="5" t="str">
        <f>IF(W935="","", "⚠️ 薄弱环节: "&amp;INDEX($R$1:$V$1, MATCH(MIN(R935:V935), R935:V935, 0))&amp;CHAR(10)&amp;"📉 考察能力: "&amp;IFERROR(VLOOKUP(TRIM(D935)&amp;"_"&amp;TRIM(INDEX($R$1:$V$1, MATCH(MIN(R935:V935), R935:V935, 0))), 技能库!$A:$F, 5, 0),"建议查阅考纲")&amp;CHAR(10)&amp;"💡 提升建议: "&amp;IFERROR(VLOOKUP(TRIM(D935)&amp;"_"&amp;TRIM(INDEX($R$1:$V$1, MATCH(MIN(R935:V935), R935:V935, 0))), 技能库!$A:$F, 6, 0),"请针对该题型加强练习"))</f>
        <v/>
      </c>
    </row>
    <row r="936" spans="12:29" ht="16" hidden="1" x14ac:dyDescent="0.2">
      <c r="L936" t="str">
        <f t="shared" si="56"/>
        <v/>
      </c>
      <c r="M936" t="str">
        <f>IF(L936="","", IFERROR(VLOOKUP(L936, IF(D936="KET", 换算标准!$M:$N, IF(D936="PET", 换算标准!$S:$T, 换算标准!$AC:$AD)), 2, TRUE), 0))</f>
        <v/>
      </c>
      <c r="P936" t="str">
        <f t="shared" si="57"/>
        <v/>
      </c>
      <c r="Q936" t="str">
        <f>IF(P936="","", IFERROR(VLOOKUP(P936, IF(D936="KET", 换算标准!$O:$P, IF(D936="PET", 换算标准!$U:$V, 换算标准!$AG:$AH)), 2, TRUE), 0))</f>
        <v/>
      </c>
      <c r="W936" t="str">
        <f t="shared" si="58"/>
        <v/>
      </c>
      <c r="X936" t="str">
        <f>IF(W936="","", IFERROR(VLOOKUP(W936, IF(D936="KET", 换算标准!$Q:$R, IF(D936="PET", 换算标准!$W:$X, 换算标准!$AI:$AJ)), 2, TRUE), 0))</f>
        <v/>
      </c>
      <c r="Y936" t="str">
        <f t="shared" si="59"/>
        <v/>
      </c>
      <c r="Z936" t="str">
        <f>IF(Y936="","", IFERROR(VLOOKUP(Y936, 换算标准!$Z:$AA, 1, TRUE), ""))</f>
        <v/>
      </c>
      <c r="AA936" s="5" t="str">
        <f>IF(L936="","", "⚠️ 薄弱环节: "&amp;INDEX($E$1:$K$1, MATCH(MIN(E936:K936), E936:K936, 0))&amp;CHAR(10)&amp;"📉 考察能力: "&amp;IFERROR(VLOOKUP(TRIM(D936)&amp;"_"&amp;TRIM(INDEX($E$1:$K$1, MATCH(MIN(E936:K936), E936:K936, 0))), 技能库!$A:$F, 5, 0),"建议查阅考纲")&amp;CHAR(10)&amp;"💡 提升建议: "&amp;IFERROR(VLOOKUP(TRIM(D936)&amp;"_"&amp;TRIM(INDEX($E$1:$K$1, MATCH(MIN(E936:K936), E936:K936, 0))), 技能库!$A:$F, 6, 0),"请针对该题型加强练习"))</f>
        <v/>
      </c>
      <c r="AB936" s="5" t="str">
        <f>IF(P936="","", "⚠️ 薄弱环节: "&amp;INDEX($N$1:$O$1, MATCH(MIN(N936:O936), N936:O936, 0))&amp;CHAR(10)&amp;"📉 考察能力: "&amp;IFERROR(VLOOKUP(TRIM(D936)&amp;"_"&amp;TRIM(INDEX($N$1:$O$1, MATCH(MIN(N936:O936), N936:O936, 0))), 技能库!$A:$F, 5, 0),"建议查阅考纲")&amp;CHAR(10)&amp;"💡 提升建议: "&amp;IFERROR(VLOOKUP(TRIM(D936)&amp;"_"&amp;TRIM(INDEX($N$1:$O$1, MATCH(MIN(N936:O936), N936:O936, 0))), 技能库!$A:$F, 6, 0),"请针对该题型加强练习"))</f>
        <v/>
      </c>
      <c r="AC936" s="5" t="str">
        <f>IF(W936="","", "⚠️ 薄弱环节: "&amp;INDEX($R$1:$V$1, MATCH(MIN(R936:V936), R936:V936, 0))&amp;CHAR(10)&amp;"📉 考察能力: "&amp;IFERROR(VLOOKUP(TRIM(D936)&amp;"_"&amp;TRIM(INDEX($R$1:$V$1, MATCH(MIN(R936:V936), R936:V936, 0))), 技能库!$A:$F, 5, 0),"建议查阅考纲")&amp;CHAR(10)&amp;"💡 提升建议: "&amp;IFERROR(VLOOKUP(TRIM(D936)&amp;"_"&amp;TRIM(INDEX($R$1:$V$1, MATCH(MIN(R936:V936), R936:V936, 0))), 技能库!$A:$F, 6, 0),"请针对该题型加强练习"))</f>
        <v/>
      </c>
    </row>
    <row r="937" spans="12:29" ht="16" hidden="1" x14ac:dyDescent="0.2">
      <c r="L937" t="str">
        <f t="shared" si="56"/>
        <v/>
      </c>
      <c r="M937" t="str">
        <f>IF(L937="","", IFERROR(VLOOKUP(L937, IF(D937="KET", 换算标准!$M:$N, IF(D937="PET", 换算标准!$S:$T, 换算标准!$AC:$AD)), 2, TRUE), 0))</f>
        <v/>
      </c>
      <c r="P937" t="str">
        <f t="shared" si="57"/>
        <v/>
      </c>
      <c r="Q937" t="str">
        <f>IF(P937="","", IFERROR(VLOOKUP(P937, IF(D937="KET", 换算标准!$O:$P, IF(D937="PET", 换算标准!$U:$V, 换算标准!$AG:$AH)), 2, TRUE), 0))</f>
        <v/>
      </c>
      <c r="W937" t="str">
        <f t="shared" si="58"/>
        <v/>
      </c>
      <c r="X937" t="str">
        <f>IF(W937="","", IFERROR(VLOOKUP(W937, IF(D937="KET", 换算标准!$Q:$R, IF(D937="PET", 换算标准!$W:$X, 换算标准!$AI:$AJ)), 2, TRUE), 0))</f>
        <v/>
      </c>
      <c r="Y937" t="str">
        <f t="shared" si="59"/>
        <v/>
      </c>
      <c r="Z937" t="str">
        <f>IF(Y937="","", IFERROR(VLOOKUP(Y937, 换算标准!$Z:$AA, 1, TRUE), ""))</f>
        <v/>
      </c>
      <c r="AA937" s="5" t="str">
        <f>IF(L937="","", "⚠️ 薄弱环节: "&amp;INDEX($E$1:$K$1, MATCH(MIN(E937:K937), E937:K937, 0))&amp;CHAR(10)&amp;"📉 考察能力: "&amp;IFERROR(VLOOKUP(TRIM(D937)&amp;"_"&amp;TRIM(INDEX($E$1:$K$1, MATCH(MIN(E937:K937), E937:K937, 0))), 技能库!$A:$F, 5, 0),"建议查阅考纲")&amp;CHAR(10)&amp;"💡 提升建议: "&amp;IFERROR(VLOOKUP(TRIM(D937)&amp;"_"&amp;TRIM(INDEX($E$1:$K$1, MATCH(MIN(E937:K937), E937:K937, 0))), 技能库!$A:$F, 6, 0),"请针对该题型加强练习"))</f>
        <v/>
      </c>
      <c r="AB937" s="5" t="str">
        <f>IF(P937="","", "⚠️ 薄弱环节: "&amp;INDEX($N$1:$O$1, MATCH(MIN(N937:O937), N937:O937, 0))&amp;CHAR(10)&amp;"📉 考察能力: "&amp;IFERROR(VLOOKUP(TRIM(D937)&amp;"_"&amp;TRIM(INDEX($N$1:$O$1, MATCH(MIN(N937:O937), N937:O937, 0))), 技能库!$A:$F, 5, 0),"建议查阅考纲")&amp;CHAR(10)&amp;"💡 提升建议: "&amp;IFERROR(VLOOKUP(TRIM(D937)&amp;"_"&amp;TRIM(INDEX($N$1:$O$1, MATCH(MIN(N937:O937), N937:O937, 0))), 技能库!$A:$F, 6, 0),"请针对该题型加强练习"))</f>
        <v/>
      </c>
      <c r="AC937" s="5" t="str">
        <f>IF(W937="","", "⚠️ 薄弱环节: "&amp;INDEX($R$1:$V$1, MATCH(MIN(R937:V937), R937:V937, 0))&amp;CHAR(10)&amp;"📉 考察能力: "&amp;IFERROR(VLOOKUP(TRIM(D937)&amp;"_"&amp;TRIM(INDEX($R$1:$V$1, MATCH(MIN(R937:V937), R937:V937, 0))), 技能库!$A:$F, 5, 0),"建议查阅考纲")&amp;CHAR(10)&amp;"💡 提升建议: "&amp;IFERROR(VLOOKUP(TRIM(D937)&amp;"_"&amp;TRIM(INDEX($R$1:$V$1, MATCH(MIN(R937:V937), R937:V937, 0))), 技能库!$A:$F, 6, 0),"请针对该题型加强练习"))</f>
        <v/>
      </c>
    </row>
    <row r="938" spans="12:29" ht="16" hidden="1" x14ac:dyDescent="0.2">
      <c r="L938" t="str">
        <f t="shared" si="56"/>
        <v/>
      </c>
      <c r="M938" t="str">
        <f>IF(L938="","", IFERROR(VLOOKUP(L938, IF(D938="KET", 换算标准!$M:$N, IF(D938="PET", 换算标准!$S:$T, 换算标准!$AC:$AD)), 2, TRUE), 0))</f>
        <v/>
      </c>
      <c r="P938" t="str">
        <f t="shared" si="57"/>
        <v/>
      </c>
      <c r="Q938" t="str">
        <f>IF(P938="","", IFERROR(VLOOKUP(P938, IF(D938="KET", 换算标准!$O:$P, IF(D938="PET", 换算标准!$U:$V, 换算标准!$AG:$AH)), 2, TRUE), 0))</f>
        <v/>
      </c>
      <c r="W938" t="str">
        <f t="shared" si="58"/>
        <v/>
      </c>
      <c r="X938" t="str">
        <f>IF(W938="","", IFERROR(VLOOKUP(W938, IF(D938="KET", 换算标准!$Q:$R, IF(D938="PET", 换算标准!$W:$X, 换算标准!$AI:$AJ)), 2, TRUE), 0))</f>
        <v/>
      </c>
      <c r="Y938" t="str">
        <f t="shared" si="59"/>
        <v/>
      </c>
      <c r="Z938" t="str">
        <f>IF(Y938="","", IFERROR(VLOOKUP(Y938, 换算标准!$Z:$AA, 1, TRUE), ""))</f>
        <v/>
      </c>
      <c r="AA938" s="5" t="str">
        <f>IF(L938="","", "⚠️ 薄弱环节: "&amp;INDEX($E$1:$K$1, MATCH(MIN(E938:K938), E938:K938, 0))&amp;CHAR(10)&amp;"📉 考察能力: "&amp;IFERROR(VLOOKUP(TRIM(D938)&amp;"_"&amp;TRIM(INDEX($E$1:$K$1, MATCH(MIN(E938:K938), E938:K938, 0))), 技能库!$A:$F, 5, 0),"建议查阅考纲")&amp;CHAR(10)&amp;"💡 提升建议: "&amp;IFERROR(VLOOKUP(TRIM(D938)&amp;"_"&amp;TRIM(INDEX($E$1:$K$1, MATCH(MIN(E938:K938), E938:K938, 0))), 技能库!$A:$F, 6, 0),"请针对该题型加强练习"))</f>
        <v/>
      </c>
      <c r="AB938" s="5" t="str">
        <f>IF(P938="","", "⚠️ 薄弱环节: "&amp;INDEX($N$1:$O$1, MATCH(MIN(N938:O938), N938:O938, 0))&amp;CHAR(10)&amp;"📉 考察能力: "&amp;IFERROR(VLOOKUP(TRIM(D938)&amp;"_"&amp;TRIM(INDEX($N$1:$O$1, MATCH(MIN(N938:O938), N938:O938, 0))), 技能库!$A:$F, 5, 0),"建议查阅考纲")&amp;CHAR(10)&amp;"💡 提升建议: "&amp;IFERROR(VLOOKUP(TRIM(D938)&amp;"_"&amp;TRIM(INDEX($N$1:$O$1, MATCH(MIN(N938:O938), N938:O938, 0))), 技能库!$A:$F, 6, 0),"请针对该题型加强练习"))</f>
        <v/>
      </c>
      <c r="AC938" s="5" t="str">
        <f>IF(W938="","", "⚠️ 薄弱环节: "&amp;INDEX($R$1:$V$1, MATCH(MIN(R938:V938), R938:V938, 0))&amp;CHAR(10)&amp;"📉 考察能力: "&amp;IFERROR(VLOOKUP(TRIM(D938)&amp;"_"&amp;TRIM(INDEX($R$1:$V$1, MATCH(MIN(R938:V938), R938:V938, 0))), 技能库!$A:$F, 5, 0),"建议查阅考纲")&amp;CHAR(10)&amp;"💡 提升建议: "&amp;IFERROR(VLOOKUP(TRIM(D938)&amp;"_"&amp;TRIM(INDEX($R$1:$V$1, MATCH(MIN(R938:V938), R938:V938, 0))), 技能库!$A:$F, 6, 0),"请针对该题型加强练习"))</f>
        <v/>
      </c>
    </row>
    <row r="939" spans="12:29" ht="16" hidden="1" x14ac:dyDescent="0.2">
      <c r="L939" t="str">
        <f t="shared" si="56"/>
        <v/>
      </c>
      <c r="M939" t="str">
        <f>IF(L939="","", IFERROR(VLOOKUP(L939, IF(D939="KET", 换算标准!$M:$N, IF(D939="PET", 换算标准!$S:$T, 换算标准!$AC:$AD)), 2, TRUE), 0))</f>
        <v/>
      </c>
      <c r="P939" t="str">
        <f t="shared" si="57"/>
        <v/>
      </c>
      <c r="Q939" t="str">
        <f>IF(P939="","", IFERROR(VLOOKUP(P939, IF(D939="KET", 换算标准!$O:$P, IF(D939="PET", 换算标准!$U:$V, 换算标准!$AG:$AH)), 2, TRUE), 0))</f>
        <v/>
      </c>
      <c r="W939" t="str">
        <f t="shared" si="58"/>
        <v/>
      </c>
      <c r="X939" t="str">
        <f>IF(W939="","", IFERROR(VLOOKUP(W939, IF(D939="KET", 换算标准!$Q:$R, IF(D939="PET", 换算标准!$W:$X, 换算标准!$AI:$AJ)), 2, TRUE), 0))</f>
        <v/>
      </c>
      <c r="Y939" t="str">
        <f t="shared" si="59"/>
        <v/>
      </c>
      <c r="Z939" t="str">
        <f>IF(Y939="","", IFERROR(VLOOKUP(Y939, 换算标准!$Z:$AA, 1, TRUE), ""))</f>
        <v/>
      </c>
      <c r="AA939" s="5" t="str">
        <f>IF(L939="","", "⚠️ 薄弱环节: "&amp;INDEX($E$1:$K$1, MATCH(MIN(E939:K939), E939:K939, 0))&amp;CHAR(10)&amp;"📉 考察能力: "&amp;IFERROR(VLOOKUP(TRIM(D939)&amp;"_"&amp;TRIM(INDEX($E$1:$K$1, MATCH(MIN(E939:K939), E939:K939, 0))), 技能库!$A:$F, 5, 0),"建议查阅考纲")&amp;CHAR(10)&amp;"💡 提升建议: "&amp;IFERROR(VLOOKUP(TRIM(D939)&amp;"_"&amp;TRIM(INDEX($E$1:$K$1, MATCH(MIN(E939:K939), E939:K939, 0))), 技能库!$A:$F, 6, 0),"请针对该题型加强练习"))</f>
        <v/>
      </c>
      <c r="AB939" s="5" t="str">
        <f>IF(P939="","", "⚠️ 薄弱环节: "&amp;INDEX($N$1:$O$1, MATCH(MIN(N939:O939), N939:O939, 0))&amp;CHAR(10)&amp;"📉 考察能力: "&amp;IFERROR(VLOOKUP(TRIM(D939)&amp;"_"&amp;TRIM(INDEX($N$1:$O$1, MATCH(MIN(N939:O939), N939:O939, 0))), 技能库!$A:$F, 5, 0),"建议查阅考纲")&amp;CHAR(10)&amp;"💡 提升建议: "&amp;IFERROR(VLOOKUP(TRIM(D939)&amp;"_"&amp;TRIM(INDEX($N$1:$O$1, MATCH(MIN(N939:O939), N939:O939, 0))), 技能库!$A:$F, 6, 0),"请针对该题型加强练习"))</f>
        <v/>
      </c>
      <c r="AC939" s="5" t="str">
        <f>IF(W939="","", "⚠️ 薄弱环节: "&amp;INDEX($R$1:$V$1, MATCH(MIN(R939:V939), R939:V939, 0))&amp;CHAR(10)&amp;"📉 考察能力: "&amp;IFERROR(VLOOKUP(TRIM(D939)&amp;"_"&amp;TRIM(INDEX($R$1:$V$1, MATCH(MIN(R939:V939), R939:V939, 0))), 技能库!$A:$F, 5, 0),"建议查阅考纲")&amp;CHAR(10)&amp;"💡 提升建议: "&amp;IFERROR(VLOOKUP(TRIM(D939)&amp;"_"&amp;TRIM(INDEX($R$1:$V$1, MATCH(MIN(R939:V939), R939:V939, 0))), 技能库!$A:$F, 6, 0),"请针对该题型加强练习"))</f>
        <v/>
      </c>
    </row>
    <row r="940" spans="12:29" ht="16" hidden="1" x14ac:dyDescent="0.2">
      <c r="L940" t="str">
        <f t="shared" si="56"/>
        <v/>
      </c>
      <c r="M940" t="str">
        <f>IF(L940="","", IFERROR(VLOOKUP(L940, IF(D940="KET", 换算标准!$M:$N, IF(D940="PET", 换算标准!$S:$T, 换算标准!$AC:$AD)), 2, TRUE), 0))</f>
        <v/>
      </c>
      <c r="P940" t="str">
        <f t="shared" si="57"/>
        <v/>
      </c>
      <c r="Q940" t="str">
        <f>IF(P940="","", IFERROR(VLOOKUP(P940, IF(D940="KET", 换算标准!$O:$P, IF(D940="PET", 换算标准!$U:$V, 换算标准!$AG:$AH)), 2, TRUE), 0))</f>
        <v/>
      </c>
      <c r="W940" t="str">
        <f t="shared" si="58"/>
        <v/>
      </c>
      <c r="X940" t="str">
        <f>IF(W940="","", IFERROR(VLOOKUP(W940, IF(D940="KET", 换算标准!$Q:$R, IF(D940="PET", 换算标准!$W:$X, 换算标准!$AI:$AJ)), 2, TRUE), 0))</f>
        <v/>
      </c>
      <c r="Y940" t="str">
        <f t="shared" si="59"/>
        <v/>
      </c>
      <c r="Z940" t="str">
        <f>IF(Y940="","", IFERROR(VLOOKUP(Y940, 换算标准!$Z:$AA, 1, TRUE), ""))</f>
        <v/>
      </c>
      <c r="AA940" s="5" t="str">
        <f>IF(L940="","", "⚠️ 薄弱环节: "&amp;INDEX($E$1:$K$1, MATCH(MIN(E940:K940), E940:K940, 0))&amp;CHAR(10)&amp;"📉 考察能力: "&amp;IFERROR(VLOOKUP(TRIM(D940)&amp;"_"&amp;TRIM(INDEX($E$1:$K$1, MATCH(MIN(E940:K940), E940:K940, 0))), 技能库!$A:$F, 5, 0),"建议查阅考纲")&amp;CHAR(10)&amp;"💡 提升建议: "&amp;IFERROR(VLOOKUP(TRIM(D940)&amp;"_"&amp;TRIM(INDEX($E$1:$K$1, MATCH(MIN(E940:K940), E940:K940, 0))), 技能库!$A:$F, 6, 0),"请针对该题型加强练习"))</f>
        <v/>
      </c>
      <c r="AB940" s="5" t="str">
        <f>IF(P940="","", "⚠️ 薄弱环节: "&amp;INDEX($N$1:$O$1, MATCH(MIN(N940:O940), N940:O940, 0))&amp;CHAR(10)&amp;"📉 考察能力: "&amp;IFERROR(VLOOKUP(TRIM(D940)&amp;"_"&amp;TRIM(INDEX($N$1:$O$1, MATCH(MIN(N940:O940), N940:O940, 0))), 技能库!$A:$F, 5, 0),"建议查阅考纲")&amp;CHAR(10)&amp;"💡 提升建议: "&amp;IFERROR(VLOOKUP(TRIM(D940)&amp;"_"&amp;TRIM(INDEX($N$1:$O$1, MATCH(MIN(N940:O940), N940:O940, 0))), 技能库!$A:$F, 6, 0),"请针对该题型加强练习"))</f>
        <v/>
      </c>
      <c r="AC940" s="5" t="str">
        <f>IF(W940="","", "⚠️ 薄弱环节: "&amp;INDEX($R$1:$V$1, MATCH(MIN(R940:V940), R940:V940, 0))&amp;CHAR(10)&amp;"📉 考察能力: "&amp;IFERROR(VLOOKUP(TRIM(D940)&amp;"_"&amp;TRIM(INDEX($R$1:$V$1, MATCH(MIN(R940:V940), R940:V940, 0))), 技能库!$A:$F, 5, 0),"建议查阅考纲")&amp;CHAR(10)&amp;"💡 提升建议: "&amp;IFERROR(VLOOKUP(TRIM(D940)&amp;"_"&amp;TRIM(INDEX($R$1:$V$1, MATCH(MIN(R940:V940), R940:V940, 0))), 技能库!$A:$F, 6, 0),"请针对该题型加强练习"))</f>
        <v/>
      </c>
    </row>
    <row r="941" spans="12:29" ht="16" hidden="1" x14ac:dyDescent="0.2">
      <c r="L941" t="str">
        <f t="shared" si="56"/>
        <v/>
      </c>
      <c r="M941" t="str">
        <f>IF(L941="","", IFERROR(VLOOKUP(L941, IF(D941="KET", 换算标准!$M:$N, IF(D941="PET", 换算标准!$S:$T, 换算标准!$AC:$AD)), 2, TRUE), 0))</f>
        <v/>
      </c>
      <c r="P941" t="str">
        <f t="shared" si="57"/>
        <v/>
      </c>
      <c r="Q941" t="str">
        <f>IF(P941="","", IFERROR(VLOOKUP(P941, IF(D941="KET", 换算标准!$O:$P, IF(D941="PET", 换算标准!$U:$V, 换算标准!$AG:$AH)), 2, TRUE), 0))</f>
        <v/>
      </c>
      <c r="W941" t="str">
        <f t="shared" si="58"/>
        <v/>
      </c>
      <c r="X941" t="str">
        <f>IF(W941="","", IFERROR(VLOOKUP(W941, IF(D941="KET", 换算标准!$Q:$R, IF(D941="PET", 换算标准!$W:$X, 换算标准!$AI:$AJ)), 2, TRUE), 0))</f>
        <v/>
      </c>
      <c r="Y941" t="str">
        <f t="shared" si="59"/>
        <v/>
      </c>
      <c r="Z941" t="str">
        <f>IF(Y941="","", IFERROR(VLOOKUP(Y941, 换算标准!$Z:$AA, 1, TRUE), ""))</f>
        <v/>
      </c>
      <c r="AA941" s="5" t="str">
        <f>IF(L941="","", "⚠️ 薄弱环节: "&amp;INDEX($E$1:$K$1, MATCH(MIN(E941:K941), E941:K941, 0))&amp;CHAR(10)&amp;"📉 考察能力: "&amp;IFERROR(VLOOKUP(TRIM(D941)&amp;"_"&amp;TRIM(INDEX($E$1:$K$1, MATCH(MIN(E941:K941), E941:K941, 0))), 技能库!$A:$F, 5, 0),"建议查阅考纲")&amp;CHAR(10)&amp;"💡 提升建议: "&amp;IFERROR(VLOOKUP(TRIM(D941)&amp;"_"&amp;TRIM(INDEX($E$1:$K$1, MATCH(MIN(E941:K941), E941:K941, 0))), 技能库!$A:$F, 6, 0),"请针对该题型加强练习"))</f>
        <v/>
      </c>
      <c r="AB941" s="5" t="str">
        <f>IF(P941="","", "⚠️ 薄弱环节: "&amp;INDEX($N$1:$O$1, MATCH(MIN(N941:O941), N941:O941, 0))&amp;CHAR(10)&amp;"📉 考察能力: "&amp;IFERROR(VLOOKUP(TRIM(D941)&amp;"_"&amp;TRIM(INDEX($N$1:$O$1, MATCH(MIN(N941:O941), N941:O941, 0))), 技能库!$A:$F, 5, 0),"建议查阅考纲")&amp;CHAR(10)&amp;"💡 提升建议: "&amp;IFERROR(VLOOKUP(TRIM(D941)&amp;"_"&amp;TRIM(INDEX($N$1:$O$1, MATCH(MIN(N941:O941), N941:O941, 0))), 技能库!$A:$F, 6, 0),"请针对该题型加强练习"))</f>
        <v/>
      </c>
      <c r="AC941" s="5" t="str">
        <f>IF(W941="","", "⚠️ 薄弱环节: "&amp;INDEX($R$1:$V$1, MATCH(MIN(R941:V941), R941:V941, 0))&amp;CHAR(10)&amp;"📉 考察能力: "&amp;IFERROR(VLOOKUP(TRIM(D941)&amp;"_"&amp;TRIM(INDEX($R$1:$V$1, MATCH(MIN(R941:V941), R941:V941, 0))), 技能库!$A:$F, 5, 0),"建议查阅考纲")&amp;CHAR(10)&amp;"💡 提升建议: "&amp;IFERROR(VLOOKUP(TRIM(D941)&amp;"_"&amp;TRIM(INDEX($R$1:$V$1, MATCH(MIN(R941:V941), R941:V941, 0))), 技能库!$A:$F, 6, 0),"请针对该题型加强练习"))</f>
        <v/>
      </c>
    </row>
    <row r="942" spans="12:29" ht="16" hidden="1" x14ac:dyDescent="0.2">
      <c r="L942" t="str">
        <f t="shared" si="56"/>
        <v/>
      </c>
      <c r="M942" t="str">
        <f>IF(L942="","", IFERROR(VLOOKUP(L942, IF(D942="KET", 换算标准!$M:$N, IF(D942="PET", 换算标准!$S:$T, 换算标准!$AC:$AD)), 2, TRUE), 0))</f>
        <v/>
      </c>
      <c r="P942" t="str">
        <f t="shared" si="57"/>
        <v/>
      </c>
      <c r="Q942" t="str">
        <f>IF(P942="","", IFERROR(VLOOKUP(P942, IF(D942="KET", 换算标准!$O:$P, IF(D942="PET", 换算标准!$U:$V, 换算标准!$AG:$AH)), 2, TRUE), 0))</f>
        <v/>
      </c>
      <c r="W942" t="str">
        <f t="shared" si="58"/>
        <v/>
      </c>
      <c r="X942" t="str">
        <f>IF(W942="","", IFERROR(VLOOKUP(W942, IF(D942="KET", 换算标准!$Q:$R, IF(D942="PET", 换算标准!$W:$X, 换算标准!$AI:$AJ)), 2, TRUE), 0))</f>
        <v/>
      </c>
      <c r="Y942" t="str">
        <f t="shared" si="59"/>
        <v/>
      </c>
      <c r="Z942" t="str">
        <f>IF(Y942="","", IFERROR(VLOOKUP(Y942, 换算标准!$Z:$AA, 1, TRUE), ""))</f>
        <v/>
      </c>
      <c r="AA942" s="5" t="str">
        <f>IF(L942="","", "⚠️ 薄弱环节: "&amp;INDEX($E$1:$K$1, MATCH(MIN(E942:K942), E942:K942, 0))&amp;CHAR(10)&amp;"📉 考察能力: "&amp;IFERROR(VLOOKUP(TRIM(D942)&amp;"_"&amp;TRIM(INDEX($E$1:$K$1, MATCH(MIN(E942:K942), E942:K942, 0))), 技能库!$A:$F, 5, 0),"建议查阅考纲")&amp;CHAR(10)&amp;"💡 提升建议: "&amp;IFERROR(VLOOKUP(TRIM(D942)&amp;"_"&amp;TRIM(INDEX($E$1:$K$1, MATCH(MIN(E942:K942), E942:K942, 0))), 技能库!$A:$F, 6, 0),"请针对该题型加强练习"))</f>
        <v/>
      </c>
      <c r="AB942" s="5" t="str">
        <f>IF(P942="","", "⚠️ 薄弱环节: "&amp;INDEX($N$1:$O$1, MATCH(MIN(N942:O942), N942:O942, 0))&amp;CHAR(10)&amp;"📉 考察能力: "&amp;IFERROR(VLOOKUP(TRIM(D942)&amp;"_"&amp;TRIM(INDEX($N$1:$O$1, MATCH(MIN(N942:O942), N942:O942, 0))), 技能库!$A:$F, 5, 0),"建议查阅考纲")&amp;CHAR(10)&amp;"💡 提升建议: "&amp;IFERROR(VLOOKUP(TRIM(D942)&amp;"_"&amp;TRIM(INDEX($N$1:$O$1, MATCH(MIN(N942:O942), N942:O942, 0))), 技能库!$A:$F, 6, 0),"请针对该题型加强练习"))</f>
        <v/>
      </c>
      <c r="AC942" s="5" t="str">
        <f>IF(W942="","", "⚠️ 薄弱环节: "&amp;INDEX($R$1:$V$1, MATCH(MIN(R942:V942), R942:V942, 0))&amp;CHAR(10)&amp;"📉 考察能力: "&amp;IFERROR(VLOOKUP(TRIM(D942)&amp;"_"&amp;TRIM(INDEX($R$1:$V$1, MATCH(MIN(R942:V942), R942:V942, 0))), 技能库!$A:$F, 5, 0),"建议查阅考纲")&amp;CHAR(10)&amp;"💡 提升建议: "&amp;IFERROR(VLOOKUP(TRIM(D942)&amp;"_"&amp;TRIM(INDEX($R$1:$V$1, MATCH(MIN(R942:V942), R942:V942, 0))), 技能库!$A:$F, 6, 0),"请针对该题型加强练习"))</f>
        <v/>
      </c>
    </row>
    <row r="943" spans="12:29" ht="16" hidden="1" x14ac:dyDescent="0.2">
      <c r="L943" t="str">
        <f t="shared" si="56"/>
        <v/>
      </c>
      <c r="M943" t="str">
        <f>IF(L943="","", IFERROR(VLOOKUP(L943, IF(D943="KET", 换算标准!$M:$N, IF(D943="PET", 换算标准!$S:$T, 换算标准!$AC:$AD)), 2, TRUE), 0))</f>
        <v/>
      </c>
      <c r="P943" t="str">
        <f t="shared" si="57"/>
        <v/>
      </c>
      <c r="Q943" t="str">
        <f>IF(P943="","", IFERROR(VLOOKUP(P943, IF(D943="KET", 换算标准!$O:$P, IF(D943="PET", 换算标准!$U:$V, 换算标准!$AG:$AH)), 2, TRUE), 0))</f>
        <v/>
      </c>
      <c r="W943" t="str">
        <f t="shared" si="58"/>
        <v/>
      </c>
      <c r="X943" t="str">
        <f>IF(W943="","", IFERROR(VLOOKUP(W943, IF(D943="KET", 换算标准!$Q:$R, IF(D943="PET", 换算标准!$W:$X, 换算标准!$AI:$AJ)), 2, TRUE), 0))</f>
        <v/>
      </c>
      <c r="Y943" t="str">
        <f t="shared" si="59"/>
        <v/>
      </c>
      <c r="Z943" t="str">
        <f>IF(Y943="","", IFERROR(VLOOKUP(Y943, 换算标准!$Z:$AA, 1, TRUE), ""))</f>
        <v/>
      </c>
      <c r="AA943" s="5" t="str">
        <f>IF(L943="","", "⚠️ 薄弱环节: "&amp;INDEX($E$1:$K$1, MATCH(MIN(E943:K943), E943:K943, 0))&amp;CHAR(10)&amp;"📉 考察能力: "&amp;IFERROR(VLOOKUP(TRIM(D943)&amp;"_"&amp;TRIM(INDEX($E$1:$K$1, MATCH(MIN(E943:K943), E943:K943, 0))), 技能库!$A:$F, 5, 0),"建议查阅考纲")&amp;CHAR(10)&amp;"💡 提升建议: "&amp;IFERROR(VLOOKUP(TRIM(D943)&amp;"_"&amp;TRIM(INDEX($E$1:$K$1, MATCH(MIN(E943:K943), E943:K943, 0))), 技能库!$A:$F, 6, 0),"请针对该题型加强练习"))</f>
        <v/>
      </c>
      <c r="AB943" s="5" t="str">
        <f>IF(P943="","", "⚠️ 薄弱环节: "&amp;INDEX($N$1:$O$1, MATCH(MIN(N943:O943), N943:O943, 0))&amp;CHAR(10)&amp;"📉 考察能力: "&amp;IFERROR(VLOOKUP(TRIM(D943)&amp;"_"&amp;TRIM(INDEX($N$1:$O$1, MATCH(MIN(N943:O943), N943:O943, 0))), 技能库!$A:$F, 5, 0),"建议查阅考纲")&amp;CHAR(10)&amp;"💡 提升建议: "&amp;IFERROR(VLOOKUP(TRIM(D943)&amp;"_"&amp;TRIM(INDEX($N$1:$O$1, MATCH(MIN(N943:O943), N943:O943, 0))), 技能库!$A:$F, 6, 0),"请针对该题型加强练习"))</f>
        <v/>
      </c>
      <c r="AC943" s="5" t="str">
        <f>IF(W943="","", "⚠️ 薄弱环节: "&amp;INDEX($R$1:$V$1, MATCH(MIN(R943:V943), R943:V943, 0))&amp;CHAR(10)&amp;"📉 考察能力: "&amp;IFERROR(VLOOKUP(TRIM(D943)&amp;"_"&amp;TRIM(INDEX($R$1:$V$1, MATCH(MIN(R943:V943), R943:V943, 0))), 技能库!$A:$F, 5, 0),"建议查阅考纲")&amp;CHAR(10)&amp;"💡 提升建议: "&amp;IFERROR(VLOOKUP(TRIM(D943)&amp;"_"&amp;TRIM(INDEX($R$1:$V$1, MATCH(MIN(R943:V943), R943:V943, 0))), 技能库!$A:$F, 6, 0),"请针对该题型加强练习"))</f>
        <v/>
      </c>
    </row>
    <row r="944" spans="12:29" ht="16" hidden="1" x14ac:dyDescent="0.2">
      <c r="L944" t="str">
        <f t="shared" si="56"/>
        <v/>
      </c>
      <c r="M944" t="str">
        <f>IF(L944="","", IFERROR(VLOOKUP(L944, IF(D944="KET", 换算标准!$M:$N, IF(D944="PET", 换算标准!$S:$T, 换算标准!$AC:$AD)), 2, TRUE), 0))</f>
        <v/>
      </c>
      <c r="P944" t="str">
        <f t="shared" si="57"/>
        <v/>
      </c>
      <c r="Q944" t="str">
        <f>IF(P944="","", IFERROR(VLOOKUP(P944, IF(D944="KET", 换算标准!$O:$P, IF(D944="PET", 换算标准!$U:$V, 换算标准!$AG:$AH)), 2, TRUE), 0))</f>
        <v/>
      </c>
      <c r="W944" t="str">
        <f t="shared" si="58"/>
        <v/>
      </c>
      <c r="X944" t="str">
        <f>IF(W944="","", IFERROR(VLOOKUP(W944, IF(D944="KET", 换算标准!$Q:$R, IF(D944="PET", 换算标准!$W:$X, 换算标准!$AI:$AJ)), 2, TRUE), 0))</f>
        <v/>
      </c>
      <c r="Y944" t="str">
        <f t="shared" si="59"/>
        <v/>
      </c>
      <c r="Z944" t="str">
        <f>IF(Y944="","", IFERROR(VLOOKUP(Y944, 换算标准!$Z:$AA, 1, TRUE), ""))</f>
        <v/>
      </c>
      <c r="AA944" s="5" t="str">
        <f>IF(L944="","", "⚠️ 薄弱环节: "&amp;INDEX($E$1:$K$1, MATCH(MIN(E944:K944), E944:K944, 0))&amp;CHAR(10)&amp;"📉 考察能力: "&amp;IFERROR(VLOOKUP(TRIM(D944)&amp;"_"&amp;TRIM(INDEX($E$1:$K$1, MATCH(MIN(E944:K944), E944:K944, 0))), 技能库!$A:$F, 5, 0),"建议查阅考纲")&amp;CHAR(10)&amp;"💡 提升建议: "&amp;IFERROR(VLOOKUP(TRIM(D944)&amp;"_"&amp;TRIM(INDEX($E$1:$K$1, MATCH(MIN(E944:K944), E944:K944, 0))), 技能库!$A:$F, 6, 0),"请针对该题型加强练习"))</f>
        <v/>
      </c>
      <c r="AB944" s="5" t="str">
        <f>IF(P944="","", "⚠️ 薄弱环节: "&amp;INDEX($N$1:$O$1, MATCH(MIN(N944:O944), N944:O944, 0))&amp;CHAR(10)&amp;"📉 考察能力: "&amp;IFERROR(VLOOKUP(TRIM(D944)&amp;"_"&amp;TRIM(INDEX($N$1:$O$1, MATCH(MIN(N944:O944), N944:O944, 0))), 技能库!$A:$F, 5, 0),"建议查阅考纲")&amp;CHAR(10)&amp;"💡 提升建议: "&amp;IFERROR(VLOOKUP(TRIM(D944)&amp;"_"&amp;TRIM(INDEX($N$1:$O$1, MATCH(MIN(N944:O944), N944:O944, 0))), 技能库!$A:$F, 6, 0),"请针对该题型加强练习"))</f>
        <v/>
      </c>
      <c r="AC944" s="5" t="str">
        <f>IF(W944="","", "⚠️ 薄弱环节: "&amp;INDEX($R$1:$V$1, MATCH(MIN(R944:V944), R944:V944, 0))&amp;CHAR(10)&amp;"📉 考察能力: "&amp;IFERROR(VLOOKUP(TRIM(D944)&amp;"_"&amp;TRIM(INDEX($R$1:$V$1, MATCH(MIN(R944:V944), R944:V944, 0))), 技能库!$A:$F, 5, 0),"建议查阅考纲")&amp;CHAR(10)&amp;"💡 提升建议: "&amp;IFERROR(VLOOKUP(TRIM(D944)&amp;"_"&amp;TRIM(INDEX($R$1:$V$1, MATCH(MIN(R944:V944), R944:V944, 0))), 技能库!$A:$F, 6, 0),"请针对该题型加强练习"))</f>
        <v/>
      </c>
    </row>
    <row r="945" spans="12:29" ht="16" hidden="1" x14ac:dyDescent="0.2">
      <c r="L945" t="str">
        <f t="shared" si="56"/>
        <v/>
      </c>
      <c r="M945" t="str">
        <f>IF(L945="","", IFERROR(VLOOKUP(L945, IF(D945="KET", 换算标准!$M:$N, IF(D945="PET", 换算标准!$S:$T, 换算标准!$AC:$AD)), 2, TRUE), 0))</f>
        <v/>
      </c>
      <c r="P945" t="str">
        <f t="shared" si="57"/>
        <v/>
      </c>
      <c r="Q945" t="str">
        <f>IF(P945="","", IFERROR(VLOOKUP(P945, IF(D945="KET", 换算标准!$O:$P, IF(D945="PET", 换算标准!$U:$V, 换算标准!$AG:$AH)), 2, TRUE), 0))</f>
        <v/>
      </c>
      <c r="W945" t="str">
        <f t="shared" si="58"/>
        <v/>
      </c>
      <c r="X945" t="str">
        <f>IF(W945="","", IFERROR(VLOOKUP(W945, IF(D945="KET", 换算标准!$Q:$R, IF(D945="PET", 换算标准!$W:$X, 换算标准!$AI:$AJ)), 2, TRUE), 0))</f>
        <v/>
      </c>
      <c r="Y945" t="str">
        <f t="shared" si="59"/>
        <v/>
      </c>
      <c r="Z945" t="str">
        <f>IF(Y945="","", IFERROR(VLOOKUP(Y945, 换算标准!$Z:$AA, 1, TRUE), ""))</f>
        <v/>
      </c>
      <c r="AA945" s="5" t="str">
        <f>IF(L945="","", "⚠️ 薄弱环节: "&amp;INDEX($E$1:$K$1, MATCH(MIN(E945:K945), E945:K945, 0))&amp;CHAR(10)&amp;"📉 考察能力: "&amp;IFERROR(VLOOKUP(TRIM(D945)&amp;"_"&amp;TRIM(INDEX($E$1:$K$1, MATCH(MIN(E945:K945), E945:K945, 0))), 技能库!$A:$F, 5, 0),"建议查阅考纲")&amp;CHAR(10)&amp;"💡 提升建议: "&amp;IFERROR(VLOOKUP(TRIM(D945)&amp;"_"&amp;TRIM(INDEX($E$1:$K$1, MATCH(MIN(E945:K945), E945:K945, 0))), 技能库!$A:$F, 6, 0),"请针对该题型加强练习"))</f>
        <v/>
      </c>
      <c r="AB945" s="5" t="str">
        <f>IF(P945="","", "⚠️ 薄弱环节: "&amp;INDEX($N$1:$O$1, MATCH(MIN(N945:O945), N945:O945, 0))&amp;CHAR(10)&amp;"📉 考察能力: "&amp;IFERROR(VLOOKUP(TRIM(D945)&amp;"_"&amp;TRIM(INDEX($N$1:$O$1, MATCH(MIN(N945:O945), N945:O945, 0))), 技能库!$A:$F, 5, 0),"建议查阅考纲")&amp;CHAR(10)&amp;"💡 提升建议: "&amp;IFERROR(VLOOKUP(TRIM(D945)&amp;"_"&amp;TRIM(INDEX($N$1:$O$1, MATCH(MIN(N945:O945), N945:O945, 0))), 技能库!$A:$F, 6, 0),"请针对该题型加强练习"))</f>
        <v/>
      </c>
      <c r="AC945" s="5" t="str">
        <f>IF(W945="","", "⚠️ 薄弱环节: "&amp;INDEX($R$1:$V$1, MATCH(MIN(R945:V945), R945:V945, 0))&amp;CHAR(10)&amp;"📉 考察能力: "&amp;IFERROR(VLOOKUP(TRIM(D945)&amp;"_"&amp;TRIM(INDEX($R$1:$V$1, MATCH(MIN(R945:V945), R945:V945, 0))), 技能库!$A:$F, 5, 0),"建议查阅考纲")&amp;CHAR(10)&amp;"💡 提升建议: "&amp;IFERROR(VLOOKUP(TRIM(D945)&amp;"_"&amp;TRIM(INDEX($R$1:$V$1, MATCH(MIN(R945:V945), R945:V945, 0))), 技能库!$A:$F, 6, 0),"请针对该题型加强练习"))</f>
        <v/>
      </c>
    </row>
    <row r="946" spans="12:29" ht="16" hidden="1" x14ac:dyDescent="0.2">
      <c r="L946" t="str">
        <f t="shared" si="56"/>
        <v/>
      </c>
      <c r="M946" t="str">
        <f>IF(L946="","", IFERROR(VLOOKUP(L946, IF(D946="KET", 换算标准!$M:$N, IF(D946="PET", 换算标准!$S:$T, 换算标准!$AC:$AD)), 2, TRUE), 0))</f>
        <v/>
      </c>
      <c r="P946" t="str">
        <f t="shared" si="57"/>
        <v/>
      </c>
      <c r="Q946" t="str">
        <f>IF(P946="","", IFERROR(VLOOKUP(P946, IF(D946="KET", 换算标准!$O:$P, IF(D946="PET", 换算标准!$U:$V, 换算标准!$AG:$AH)), 2, TRUE), 0))</f>
        <v/>
      </c>
      <c r="W946" t="str">
        <f t="shared" si="58"/>
        <v/>
      </c>
      <c r="X946" t="str">
        <f>IF(W946="","", IFERROR(VLOOKUP(W946, IF(D946="KET", 换算标准!$Q:$R, IF(D946="PET", 换算标准!$W:$X, 换算标准!$AI:$AJ)), 2, TRUE), 0))</f>
        <v/>
      </c>
      <c r="Y946" t="str">
        <f t="shared" si="59"/>
        <v/>
      </c>
      <c r="Z946" t="str">
        <f>IF(Y946="","", IFERROR(VLOOKUP(Y946, 换算标准!$Z:$AA, 1, TRUE), ""))</f>
        <v/>
      </c>
      <c r="AA946" s="5" t="str">
        <f>IF(L946="","", "⚠️ 薄弱环节: "&amp;INDEX($E$1:$K$1, MATCH(MIN(E946:K946), E946:K946, 0))&amp;CHAR(10)&amp;"📉 考察能力: "&amp;IFERROR(VLOOKUP(TRIM(D946)&amp;"_"&amp;TRIM(INDEX($E$1:$K$1, MATCH(MIN(E946:K946), E946:K946, 0))), 技能库!$A:$F, 5, 0),"建议查阅考纲")&amp;CHAR(10)&amp;"💡 提升建议: "&amp;IFERROR(VLOOKUP(TRIM(D946)&amp;"_"&amp;TRIM(INDEX($E$1:$K$1, MATCH(MIN(E946:K946), E946:K946, 0))), 技能库!$A:$F, 6, 0),"请针对该题型加强练习"))</f>
        <v/>
      </c>
      <c r="AB946" s="5" t="str">
        <f>IF(P946="","", "⚠️ 薄弱环节: "&amp;INDEX($N$1:$O$1, MATCH(MIN(N946:O946), N946:O946, 0))&amp;CHAR(10)&amp;"📉 考察能力: "&amp;IFERROR(VLOOKUP(TRIM(D946)&amp;"_"&amp;TRIM(INDEX($N$1:$O$1, MATCH(MIN(N946:O946), N946:O946, 0))), 技能库!$A:$F, 5, 0),"建议查阅考纲")&amp;CHAR(10)&amp;"💡 提升建议: "&amp;IFERROR(VLOOKUP(TRIM(D946)&amp;"_"&amp;TRIM(INDEX($N$1:$O$1, MATCH(MIN(N946:O946), N946:O946, 0))), 技能库!$A:$F, 6, 0),"请针对该题型加强练习"))</f>
        <v/>
      </c>
      <c r="AC946" s="5" t="str">
        <f>IF(W946="","", "⚠️ 薄弱环节: "&amp;INDEX($R$1:$V$1, MATCH(MIN(R946:V946), R946:V946, 0))&amp;CHAR(10)&amp;"📉 考察能力: "&amp;IFERROR(VLOOKUP(TRIM(D946)&amp;"_"&amp;TRIM(INDEX($R$1:$V$1, MATCH(MIN(R946:V946), R946:V946, 0))), 技能库!$A:$F, 5, 0),"建议查阅考纲")&amp;CHAR(10)&amp;"💡 提升建议: "&amp;IFERROR(VLOOKUP(TRIM(D946)&amp;"_"&amp;TRIM(INDEX($R$1:$V$1, MATCH(MIN(R946:V946), R946:V946, 0))), 技能库!$A:$F, 6, 0),"请针对该题型加强练习"))</f>
        <v/>
      </c>
    </row>
    <row r="947" spans="12:29" ht="16" hidden="1" x14ac:dyDescent="0.2">
      <c r="L947" t="str">
        <f t="shared" si="56"/>
        <v/>
      </c>
      <c r="M947" t="str">
        <f>IF(L947="","", IFERROR(VLOOKUP(L947, IF(D947="KET", 换算标准!$M:$N, IF(D947="PET", 换算标准!$S:$T, 换算标准!$AC:$AD)), 2, TRUE), 0))</f>
        <v/>
      </c>
      <c r="P947" t="str">
        <f t="shared" si="57"/>
        <v/>
      </c>
      <c r="Q947" t="str">
        <f>IF(P947="","", IFERROR(VLOOKUP(P947, IF(D947="KET", 换算标准!$O:$P, IF(D947="PET", 换算标准!$U:$V, 换算标准!$AG:$AH)), 2, TRUE), 0))</f>
        <v/>
      </c>
      <c r="W947" t="str">
        <f t="shared" si="58"/>
        <v/>
      </c>
      <c r="X947" t="str">
        <f>IF(W947="","", IFERROR(VLOOKUP(W947, IF(D947="KET", 换算标准!$Q:$R, IF(D947="PET", 换算标准!$W:$X, 换算标准!$AI:$AJ)), 2, TRUE), 0))</f>
        <v/>
      </c>
      <c r="Y947" t="str">
        <f t="shared" si="59"/>
        <v/>
      </c>
      <c r="Z947" t="str">
        <f>IF(Y947="","", IFERROR(VLOOKUP(Y947, 换算标准!$Z:$AA, 1, TRUE), ""))</f>
        <v/>
      </c>
      <c r="AA947" s="5" t="str">
        <f>IF(L947="","", "⚠️ 薄弱环节: "&amp;INDEX($E$1:$K$1, MATCH(MIN(E947:K947), E947:K947, 0))&amp;CHAR(10)&amp;"📉 考察能力: "&amp;IFERROR(VLOOKUP(TRIM(D947)&amp;"_"&amp;TRIM(INDEX($E$1:$K$1, MATCH(MIN(E947:K947), E947:K947, 0))), 技能库!$A:$F, 5, 0),"建议查阅考纲")&amp;CHAR(10)&amp;"💡 提升建议: "&amp;IFERROR(VLOOKUP(TRIM(D947)&amp;"_"&amp;TRIM(INDEX($E$1:$K$1, MATCH(MIN(E947:K947), E947:K947, 0))), 技能库!$A:$F, 6, 0),"请针对该题型加强练习"))</f>
        <v/>
      </c>
      <c r="AB947" s="5" t="str">
        <f>IF(P947="","", "⚠️ 薄弱环节: "&amp;INDEX($N$1:$O$1, MATCH(MIN(N947:O947), N947:O947, 0))&amp;CHAR(10)&amp;"📉 考察能力: "&amp;IFERROR(VLOOKUP(TRIM(D947)&amp;"_"&amp;TRIM(INDEX($N$1:$O$1, MATCH(MIN(N947:O947), N947:O947, 0))), 技能库!$A:$F, 5, 0),"建议查阅考纲")&amp;CHAR(10)&amp;"💡 提升建议: "&amp;IFERROR(VLOOKUP(TRIM(D947)&amp;"_"&amp;TRIM(INDEX($N$1:$O$1, MATCH(MIN(N947:O947), N947:O947, 0))), 技能库!$A:$F, 6, 0),"请针对该题型加强练习"))</f>
        <v/>
      </c>
      <c r="AC947" s="5" t="str">
        <f>IF(W947="","", "⚠️ 薄弱环节: "&amp;INDEX($R$1:$V$1, MATCH(MIN(R947:V947), R947:V947, 0))&amp;CHAR(10)&amp;"📉 考察能力: "&amp;IFERROR(VLOOKUP(TRIM(D947)&amp;"_"&amp;TRIM(INDEX($R$1:$V$1, MATCH(MIN(R947:V947), R947:V947, 0))), 技能库!$A:$F, 5, 0),"建议查阅考纲")&amp;CHAR(10)&amp;"💡 提升建议: "&amp;IFERROR(VLOOKUP(TRIM(D947)&amp;"_"&amp;TRIM(INDEX($R$1:$V$1, MATCH(MIN(R947:V947), R947:V947, 0))), 技能库!$A:$F, 6, 0),"请针对该题型加强练习"))</f>
        <v/>
      </c>
    </row>
    <row r="948" spans="12:29" ht="16" hidden="1" x14ac:dyDescent="0.2">
      <c r="L948" t="str">
        <f t="shared" si="56"/>
        <v/>
      </c>
      <c r="M948" t="str">
        <f>IF(L948="","", IFERROR(VLOOKUP(L948, IF(D948="KET", 换算标准!$M:$N, IF(D948="PET", 换算标准!$S:$T, 换算标准!$AC:$AD)), 2, TRUE), 0))</f>
        <v/>
      </c>
      <c r="P948" t="str">
        <f t="shared" si="57"/>
        <v/>
      </c>
      <c r="Q948" t="str">
        <f>IF(P948="","", IFERROR(VLOOKUP(P948, IF(D948="KET", 换算标准!$O:$P, IF(D948="PET", 换算标准!$U:$V, 换算标准!$AG:$AH)), 2, TRUE), 0))</f>
        <v/>
      </c>
      <c r="W948" t="str">
        <f t="shared" si="58"/>
        <v/>
      </c>
      <c r="X948" t="str">
        <f>IF(W948="","", IFERROR(VLOOKUP(W948, IF(D948="KET", 换算标准!$Q:$R, IF(D948="PET", 换算标准!$W:$X, 换算标准!$AI:$AJ)), 2, TRUE), 0))</f>
        <v/>
      </c>
      <c r="Y948" t="str">
        <f t="shared" si="59"/>
        <v/>
      </c>
      <c r="Z948" t="str">
        <f>IF(Y948="","", IFERROR(VLOOKUP(Y948, 换算标准!$Z:$AA, 1, TRUE), ""))</f>
        <v/>
      </c>
      <c r="AA948" s="5" t="str">
        <f>IF(L948="","", "⚠️ 薄弱环节: "&amp;INDEX($E$1:$K$1, MATCH(MIN(E948:K948), E948:K948, 0))&amp;CHAR(10)&amp;"📉 考察能力: "&amp;IFERROR(VLOOKUP(TRIM(D948)&amp;"_"&amp;TRIM(INDEX($E$1:$K$1, MATCH(MIN(E948:K948), E948:K948, 0))), 技能库!$A:$F, 5, 0),"建议查阅考纲")&amp;CHAR(10)&amp;"💡 提升建议: "&amp;IFERROR(VLOOKUP(TRIM(D948)&amp;"_"&amp;TRIM(INDEX($E$1:$K$1, MATCH(MIN(E948:K948), E948:K948, 0))), 技能库!$A:$F, 6, 0),"请针对该题型加强练习"))</f>
        <v/>
      </c>
      <c r="AB948" s="5" t="str">
        <f>IF(P948="","", "⚠️ 薄弱环节: "&amp;INDEX($N$1:$O$1, MATCH(MIN(N948:O948), N948:O948, 0))&amp;CHAR(10)&amp;"📉 考察能力: "&amp;IFERROR(VLOOKUP(TRIM(D948)&amp;"_"&amp;TRIM(INDEX($N$1:$O$1, MATCH(MIN(N948:O948), N948:O948, 0))), 技能库!$A:$F, 5, 0),"建议查阅考纲")&amp;CHAR(10)&amp;"💡 提升建议: "&amp;IFERROR(VLOOKUP(TRIM(D948)&amp;"_"&amp;TRIM(INDEX($N$1:$O$1, MATCH(MIN(N948:O948), N948:O948, 0))), 技能库!$A:$F, 6, 0),"请针对该题型加强练习"))</f>
        <v/>
      </c>
      <c r="AC948" s="5" t="str">
        <f>IF(W948="","", "⚠️ 薄弱环节: "&amp;INDEX($R$1:$V$1, MATCH(MIN(R948:V948), R948:V948, 0))&amp;CHAR(10)&amp;"📉 考察能力: "&amp;IFERROR(VLOOKUP(TRIM(D948)&amp;"_"&amp;TRIM(INDEX($R$1:$V$1, MATCH(MIN(R948:V948), R948:V948, 0))), 技能库!$A:$F, 5, 0),"建议查阅考纲")&amp;CHAR(10)&amp;"💡 提升建议: "&amp;IFERROR(VLOOKUP(TRIM(D948)&amp;"_"&amp;TRIM(INDEX($R$1:$V$1, MATCH(MIN(R948:V948), R948:V948, 0))), 技能库!$A:$F, 6, 0),"请针对该题型加强练习"))</f>
        <v/>
      </c>
    </row>
    <row r="949" spans="12:29" ht="16" hidden="1" x14ac:dyDescent="0.2">
      <c r="L949" t="str">
        <f t="shared" si="56"/>
        <v/>
      </c>
      <c r="M949" t="str">
        <f>IF(L949="","", IFERROR(VLOOKUP(L949, IF(D949="KET", 换算标准!$M:$N, IF(D949="PET", 换算标准!$S:$T, 换算标准!$AC:$AD)), 2, TRUE), 0))</f>
        <v/>
      </c>
      <c r="P949" t="str">
        <f t="shared" si="57"/>
        <v/>
      </c>
      <c r="Q949" t="str">
        <f>IF(P949="","", IFERROR(VLOOKUP(P949, IF(D949="KET", 换算标准!$O:$P, IF(D949="PET", 换算标准!$U:$V, 换算标准!$AG:$AH)), 2, TRUE), 0))</f>
        <v/>
      </c>
      <c r="W949" t="str">
        <f t="shared" si="58"/>
        <v/>
      </c>
      <c r="X949" t="str">
        <f>IF(W949="","", IFERROR(VLOOKUP(W949, IF(D949="KET", 换算标准!$Q:$R, IF(D949="PET", 换算标准!$W:$X, 换算标准!$AI:$AJ)), 2, TRUE), 0))</f>
        <v/>
      </c>
      <c r="Y949" t="str">
        <f t="shared" si="59"/>
        <v/>
      </c>
      <c r="Z949" t="str">
        <f>IF(Y949="","", IFERROR(VLOOKUP(Y949, 换算标准!$Z:$AA, 1, TRUE), ""))</f>
        <v/>
      </c>
      <c r="AA949" s="5" t="str">
        <f>IF(L949="","", "⚠️ 薄弱环节: "&amp;INDEX($E$1:$K$1, MATCH(MIN(E949:K949), E949:K949, 0))&amp;CHAR(10)&amp;"📉 考察能力: "&amp;IFERROR(VLOOKUP(TRIM(D949)&amp;"_"&amp;TRIM(INDEX($E$1:$K$1, MATCH(MIN(E949:K949), E949:K949, 0))), 技能库!$A:$F, 5, 0),"建议查阅考纲")&amp;CHAR(10)&amp;"💡 提升建议: "&amp;IFERROR(VLOOKUP(TRIM(D949)&amp;"_"&amp;TRIM(INDEX($E$1:$K$1, MATCH(MIN(E949:K949), E949:K949, 0))), 技能库!$A:$F, 6, 0),"请针对该题型加强练习"))</f>
        <v/>
      </c>
      <c r="AB949" s="5" t="str">
        <f>IF(P949="","", "⚠️ 薄弱环节: "&amp;INDEX($N$1:$O$1, MATCH(MIN(N949:O949), N949:O949, 0))&amp;CHAR(10)&amp;"📉 考察能力: "&amp;IFERROR(VLOOKUP(TRIM(D949)&amp;"_"&amp;TRIM(INDEX($N$1:$O$1, MATCH(MIN(N949:O949), N949:O949, 0))), 技能库!$A:$F, 5, 0),"建议查阅考纲")&amp;CHAR(10)&amp;"💡 提升建议: "&amp;IFERROR(VLOOKUP(TRIM(D949)&amp;"_"&amp;TRIM(INDEX($N$1:$O$1, MATCH(MIN(N949:O949), N949:O949, 0))), 技能库!$A:$F, 6, 0),"请针对该题型加强练习"))</f>
        <v/>
      </c>
      <c r="AC949" s="5" t="str">
        <f>IF(W949="","", "⚠️ 薄弱环节: "&amp;INDEX($R$1:$V$1, MATCH(MIN(R949:V949), R949:V949, 0))&amp;CHAR(10)&amp;"📉 考察能力: "&amp;IFERROR(VLOOKUP(TRIM(D949)&amp;"_"&amp;TRIM(INDEX($R$1:$V$1, MATCH(MIN(R949:V949), R949:V949, 0))), 技能库!$A:$F, 5, 0),"建议查阅考纲")&amp;CHAR(10)&amp;"💡 提升建议: "&amp;IFERROR(VLOOKUP(TRIM(D949)&amp;"_"&amp;TRIM(INDEX($R$1:$V$1, MATCH(MIN(R949:V949), R949:V949, 0))), 技能库!$A:$F, 6, 0),"请针对该题型加强练习"))</f>
        <v/>
      </c>
    </row>
    <row r="950" spans="12:29" ht="16" hidden="1" x14ac:dyDescent="0.2">
      <c r="L950" t="str">
        <f t="shared" si="56"/>
        <v/>
      </c>
      <c r="M950" t="str">
        <f>IF(L950="","", IFERROR(VLOOKUP(L950, IF(D950="KET", 换算标准!$M:$N, IF(D950="PET", 换算标准!$S:$T, 换算标准!$AC:$AD)), 2, TRUE), 0))</f>
        <v/>
      </c>
      <c r="P950" t="str">
        <f t="shared" si="57"/>
        <v/>
      </c>
      <c r="Q950" t="str">
        <f>IF(P950="","", IFERROR(VLOOKUP(P950, IF(D950="KET", 换算标准!$O:$P, IF(D950="PET", 换算标准!$U:$V, 换算标准!$AG:$AH)), 2, TRUE), 0))</f>
        <v/>
      </c>
      <c r="W950" t="str">
        <f t="shared" si="58"/>
        <v/>
      </c>
      <c r="X950" t="str">
        <f>IF(W950="","", IFERROR(VLOOKUP(W950, IF(D950="KET", 换算标准!$Q:$R, IF(D950="PET", 换算标准!$W:$X, 换算标准!$AI:$AJ)), 2, TRUE), 0))</f>
        <v/>
      </c>
      <c r="Y950" t="str">
        <f t="shared" si="59"/>
        <v/>
      </c>
      <c r="Z950" t="str">
        <f>IF(Y950="","", IFERROR(VLOOKUP(Y950, 换算标准!$Z:$AA, 1, TRUE), ""))</f>
        <v/>
      </c>
      <c r="AA950" s="5" t="str">
        <f>IF(L950="","", "⚠️ 薄弱环节: "&amp;INDEX($E$1:$K$1, MATCH(MIN(E950:K950), E950:K950, 0))&amp;CHAR(10)&amp;"📉 考察能力: "&amp;IFERROR(VLOOKUP(TRIM(D950)&amp;"_"&amp;TRIM(INDEX($E$1:$K$1, MATCH(MIN(E950:K950), E950:K950, 0))), 技能库!$A:$F, 5, 0),"建议查阅考纲")&amp;CHAR(10)&amp;"💡 提升建议: "&amp;IFERROR(VLOOKUP(TRIM(D950)&amp;"_"&amp;TRIM(INDEX($E$1:$K$1, MATCH(MIN(E950:K950), E950:K950, 0))), 技能库!$A:$F, 6, 0),"请针对该题型加强练习"))</f>
        <v/>
      </c>
      <c r="AB950" s="5" t="str">
        <f>IF(P950="","", "⚠️ 薄弱环节: "&amp;INDEX($N$1:$O$1, MATCH(MIN(N950:O950), N950:O950, 0))&amp;CHAR(10)&amp;"📉 考察能力: "&amp;IFERROR(VLOOKUP(TRIM(D950)&amp;"_"&amp;TRIM(INDEX($N$1:$O$1, MATCH(MIN(N950:O950), N950:O950, 0))), 技能库!$A:$F, 5, 0),"建议查阅考纲")&amp;CHAR(10)&amp;"💡 提升建议: "&amp;IFERROR(VLOOKUP(TRIM(D950)&amp;"_"&amp;TRIM(INDEX($N$1:$O$1, MATCH(MIN(N950:O950), N950:O950, 0))), 技能库!$A:$F, 6, 0),"请针对该题型加强练习"))</f>
        <v/>
      </c>
      <c r="AC950" s="5" t="str">
        <f>IF(W950="","", "⚠️ 薄弱环节: "&amp;INDEX($R$1:$V$1, MATCH(MIN(R950:V950), R950:V950, 0))&amp;CHAR(10)&amp;"📉 考察能力: "&amp;IFERROR(VLOOKUP(TRIM(D950)&amp;"_"&amp;TRIM(INDEX($R$1:$V$1, MATCH(MIN(R950:V950), R950:V950, 0))), 技能库!$A:$F, 5, 0),"建议查阅考纲")&amp;CHAR(10)&amp;"💡 提升建议: "&amp;IFERROR(VLOOKUP(TRIM(D950)&amp;"_"&amp;TRIM(INDEX($R$1:$V$1, MATCH(MIN(R950:V950), R950:V950, 0))), 技能库!$A:$F, 6, 0),"请针对该题型加强练习"))</f>
        <v/>
      </c>
    </row>
    <row r="951" spans="12:29" ht="16" hidden="1" x14ac:dyDescent="0.2">
      <c r="L951" t="str">
        <f t="shared" si="56"/>
        <v/>
      </c>
      <c r="M951" t="str">
        <f>IF(L951="","", IFERROR(VLOOKUP(L951, IF(D951="KET", 换算标准!$M:$N, IF(D951="PET", 换算标准!$S:$T, 换算标准!$AC:$AD)), 2, TRUE), 0))</f>
        <v/>
      </c>
      <c r="P951" t="str">
        <f t="shared" si="57"/>
        <v/>
      </c>
      <c r="Q951" t="str">
        <f>IF(P951="","", IFERROR(VLOOKUP(P951, IF(D951="KET", 换算标准!$O:$P, IF(D951="PET", 换算标准!$U:$V, 换算标准!$AG:$AH)), 2, TRUE), 0))</f>
        <v/>
      </c>
      <c r="W951" t="str">
        <f t="shared" si="58"/>
        <v/>
      </c>
      <c r="X951" t="str">
        <f>IF(W951="","", IFERROR(VLOOKUP(W951, IF(D951="KET", 换算标准!$Q:$R, IF(D951="PET", 换算标准!$W:$X, 换算标准!$AI:$AJ)), 2, TRUE), 0))</f>
        <v/>
      </c>
      <c r="Y951" t="str">
        <f t="shared" si="59"/>
        <v/>
      </c>
      <c r="Z951" t="str">
        <f>IF(Y951="","", IFERROR(VLOOKUP(Y951, 换算标准!$Z:$AA, 1, TRUE), ""))</f>
        <v/>
      </c>
      <c r="AA951" s="5" t="str">
        <f>IF(L951="","", "⚠️ 薄弱环节: "&amp;INDEX($E$1:$K$1, MATCH(MIN(E951:K951), E951:K951, 0))&amp;CHAR(10)&amp;"📉 考察能力: "&amp;IFERROR(VLOOKUP(TRIM(D951)&amp;"_"&amp;TRIM(INDEX($E$1:$K$1, MATCH(MIN(E951:K951), E951:K951, 0))), 技能库!$A:$F, 5, 0),"建议查阅考纲")&amp;CHAR(10)&amp;"💡 提升建议: "&amp;IFERROR(VLOOKUP(TRIM(D951)&amp;"_"&amp;TRIM(INDEX($E$1:$K$1, MATCH(MIN(E951:K951), E951:K951, 0))), 技能库!$A:$F, 6, 0),"请针对该题型加强练习"))</f>
        <v/>
      </c>
      <c r="AB951" s="5" t="str">
        <f>IF(P951="","", "⚠️ 薄弱环节: "&amp;INDEX($N$1:$O$1, MATCH(MIN(N951:O951), N951:O951, 0))&amp;CHAR(10)&amp;"📉 考察能力: "&amp;IFERROR(VLOOKUP(TRIM(D951)&amp;"_"&amp;TRIM(INDEX($N$1:$O$1, MATCH(MIN(N951:O951), N951:O951, 0))), 技能库!$A:$F, 5, 0),"建议查阅考纲")&amp;CHAR(10)&amp;"💡 提升建议: "&amp;IFERROR(VLOOKUP(TRIM(D951)&amp;"_"&amp;TRIM(INDEX($N$1:$O$1, MATCH(MIN(N951:O951), N951:O951, 0))), 技能库!$A:$F, 6, 0),"请针对该题型加强练习"))</f>
        <v/>
      </c>
      <c r="AC951" s="5" t="str">
        <f>IF(W951="","", "⚠️ 薄弱环节: "&amp;INDEX($R$1:$V$1, MATCH(MIN(R951:V951), R951:V951, 0))&amp;CHAR(10)&amp;"📉 考察能力: "&amp;IFERROR(VLOOKUP(TRIM(D951)&amp;"_"&amp;TRIM(INDEX($R$1:$V$1, MATCH(MIN(R951:V951), R951:V951, 0))), 技能库!$A:$F, 5, 0),"建议查阅考纲")&amp;CHAR(10)&amp;"💡 提升建议: "&amp;IFERROR(VLOOKUP(TRIM(D951)&amp;"_"&amp;TRIM(INDEX($R$1:$V$1, MATCH(MIN(R951:V951), R951:V951, 0))), 技能库!$A:$F, 6, 0),"请针对该题型加强练习"))</f>
        <v/>
      </c>
    </row>
    <row r="952" spans="12:29" ht="16" hidden="1" x14ac:dyDescent="0.2">
      <c r="L952" t="str">
        <f t="shared" si="56"/>
        <v/>
      </c>
      <c r="M952" t="str">
        <f>IF(L952="","", IFERROR(VLOOKUP(L952, IF(D952="KET", 换算标准!$M:$N, IF(D952="PET", 换算标准!$S:$T, 换算标准!$AC:$AD)), 2, TRUE), 0))</f>
        <v/>
      </c>
      <c r="P952" t="str">
        <f t="shared" si="57"/>
        <v/>
      </c>
      <c r="Q952" t="str">
        <f>IF(P952="","", IFERROR(VLOOKUP(P952, IF(D952="KET", 换算标准!$O:$P, IF(D952="PET", 换算标准!$U:$V, 换算标准!$AG:$AH)), 2, TRUE), 0))</f>
        <v/>
      </c>
      <c r="W952" t="str">
        <f t="shared" si="58"/>
        <v/>
      </c>
      <c r="X952" t="str">
        <f>IF(W952="","", IFERROR(VLOOKUP(W952, IF(D952="KET", 换算标准!$Q:$R, IF(D952="PET", 换算标准!$W:$X, 换算标准!$AI:$AJ)), 2, TRUE), 0))</f>
        <v/>
      </c>
      <c r="Y952" t="str">
        <f t="shared" si="59"/>
        <v/>
      </c>
      <c r="Z952" t="str">
        <f>IF(Y952="","", IFERROR(VLOOKUP(Y952, 换算标准!$Z:$AA, 1, TRUE), ""))</f>
        <v/>
      </c>
      <c r="AA952" s="5" t="str">
        <f>IF(L952="","", "⚠️ 薄弱环节: "&amp;INDEX($E$1:$K$1, MATCH(MIN(E952:K952), E952:K952, 0))&amp;CHAR(10)&amp;"📉 考察能力: "&amp;IFERROR(VLOOKUP(TRIM(D952)&amp;"_"&amp;TRIM(INDEX($E$1:$K$1, MATCH(MIN(E952:K952), E952:K952, 0))), 技能库!$A:$F, 5, 0),"建议查阅考纲")&amp;CHAR(10)&amp;"💡 提升建议: "&amp;IFERROR(VLOOKUP(TRIM(D952)&amp;"_"&amp;TRIM(INDEX($E$1:$K$1, MATCH(MIN(E952:K952), E952:K952, 0))), 技能库!$A:$F, 6, 0),"请针对该题型加强练习"))</f>
        <v/>
      </c>
      <c r="AB952" s="5" t="str">
        <f>IF(P952="","", "⚠️ 薄弱环节: "&amp;INDEX($N$1:$O$1, MATCH(MIN(N952:O952), N952:O952, 0))&amp;CHAR(10)&amp;"📉 考察能力: "&amp;IFERROR(VLOOKUP(TRIM(D952)&amp;"_"&amp;TRIM(INDEX($N$1:$O$1, MATCH(MIN(N952:O952), N952:O952, 0))), 技能库!$A:$F, 5, 0),"建议查阅考纲")&amp;CHAR(10)&amp;"💡 提升建议: "&amp;IFERROR(VLOOKUP(TRIM(D952)&amp;"_"&amp;TRIM(INDEX($N$1:$O$1, MATCH(MIN(N952:O952), N952:O952, 0))), 技能库!$A:$F, 6, 0),"请针对该题型加强练习"))</f>
        <v/>
      </c>
      <c r="AC952" s="5" t="str">
        <f>IF(W952="","", "⚠️ 薄弱环节: "&amp;INDEX($R$1:$V$1, MATCH(MIN(R952:V952), R952:V952, 0))&amp;CHAR(10)&amp;"📉 考察能力: "&amp;IFERROR(VLOOKUP(TRIM(D952)&amp;"_"&amp;TRIM(INDEX($R$1:$V$1, MATCH(MIN(R952:V952), R952:V952, 0))), 技能库!$A:$F, 5, 0),"建议查阅考纲")&amp;CHAR(10)&amp;"💡 提升建议: "&amp;IFERROR(VLOOKUP(TRIM(D952)&amp;"_"&amp;TRIM(INDEX($R$1:$V$1, MATCH(MIN(R952:V952), R952:V952, 0))), 技能库!$A:$F, 6, 0),"请针对该题型加强练习"))</f>
        <v/>
      </c>
    </row>
    <row r="953" spans="12:29" ht="16" hidden="1" x14ac:dyDescent="0.2">
      <c r="L953" t="str">
        <f t="shared" si="56"/>
        <v/>
      </c>
      <c r="M953" t="str">
        <f>IF(L953="","", IFERROR(VLOOKUP(L953, IF(D953="KET", 换算标准!$M:$N, IF(D953="PET", 换算标准!$S:$T, 换算标准!$AC:$AD)), 2, TRUE), 0))</f>
        <v/>
      </c>
      <c r="P953" t="str">
        <f t="shared" si="57"/>
        <v/>
      </c>
      <c r="Q953" t="str">
        <f>IF(P953="","", IFERROR(VLOOKUP(P953, IF(D953="KET", 换算标准!$O:$P, IF(D953="PET", 换算标准!$U:$V, 换算标准!$AG:$AH)), 2, TRUE), 0))</f>
        <v/>
      </c>
      <c r="W953" t="str">
        <f t="shared" si="58"/>
        <v/>
      </c>
      <c r="X953" t="str">
        <f>IF(W953="","", IFERROR(VLOOKUP(W953, IF(D953="KET", 换算标准!$Q:$R, IF(D953="PET", 换算标准!$W:$X, 换算标准!$AI:$AJ)), 2, TRUE), 0))</f>
        <v/>
      </c>
      <c r="Y953" t="str">
        <f t="shared" si="59"/>
        <v/>
      </c>
      <c r="Z953" t="str">
        <f>IF(Y953="","", IFERROR(VLOOKUP(Y953, 换算标准!$Z:$AA, 1, TRUE), ""))</f>
        <v/>
      </c>
      <c r="AA953" s="5" t="str">
        <f>IF(L953="","", "⚠️ 薄弱环节: "&amp;INDEX($E$1:$K$1, MATCH(MIN(E953:K953), E953:K953, 0))&amp;CHAR(10)&amp;"📉 考察能力: "&amp;IFERROR(VLOOKUP(TRIM(D953)&amp;"_"&amp;TRIM(INDEX($E$1:$K$1, MATCH(MIN(E953:K953), E953:K953, 0))), 技能库!$A:$F, 5, 0),"建议查阅考纲")&amp;CHAR(10)&amp;"💡 提升建议: "&amp;IFERROR(VLOOKUP(TRIM(D953)&amp;"_"&amp;TRIM(INDEX($E$1:$K$1, MATCH(MIN(E953:K953), E953:K953, 0))), 技能库!$A:$F, 6, 0),"请针对该题型加强练习"))</f>
        <v/>
      </c>
      <c r="AB953" s="5" t="str">
        <f>IF(P953="","", "⚠️ 薄弱环节: "&amp;INDEX($N$1:$O$1, MATCH(MIN(N953:O953), N953:O953, 0))&amp;CHAR(10)&amp;"📉 考察能力: "&amp;IFERROR(VLOOKUP(TRIM(D953)&amp;"_"&amp;TRIM(INDEX($N$1:$O$1, MATCH(MIN(N953:O953), N953:O953, 0))), 技能库!$A:$F, 5, 0),"建议查阅考纲")&amp;CHAR(10)&amp;"💡 提升建议: "&amp;IFERROR(VLOOKUP(TRIM(D953)&amp;"_"&amp;TRIM(INDEX($N$1:$O$1, MATCH(MIN(N953:O953), N953:O953, 0))), 技能库!$A:$F, 6, 0),"请针对该题型加强练习"))</f>
        <v/>
      </c>
      <c r="AC953" s="5" t="str">
        <f>IF(W953="","", "⚠️ 薄弱环节: "&amp;INDEX($R$1:$V$1, MATCH(MIN(R953:V953), R953:V953, 0))&amp;CHAR(10)&amp;"📉 考察能力: "&amp;IFERROR(VLOOKUP(TRIM(D953)&amp;"_"&amp;TRIM(INDEX($R$1:$V$1, MATCH(MIN(R953:V953), R953:V953, 0))), 技能库!$A:$F, 5, 0),"建议查阅考纲")&amp;CHAR(10)&amp;"💡 提升建议: "&amp;IFERROR(VLOOKUP(TRIM(D953)&amp;"_"&amp;TRIM(INDEX($R$1:$V$1, MATCH(MIN(R953:V953), R953:V953, 0))), 技能库!$A:$F, 6, 0),"请针对该题型加强练习"))</f>
        <v/>
      </c>
    </row>
    <row r="954" spans="12:29" ht="16" hidden="1" x14ac:dyDescent="0.2">
      <c r="L954" t="str">
        <f t="shared" si="56"/>
        <v/>
      </c>
      <c r="M954" t="str">
        <f>IF(L954="","", IFERROR(VLOOKUP(L954, IF(D954="KET", 换算标准!$M:$N, IF(D954="PET", 换算标准!$S:$T, 换算标准!$AC:$AD)), 2, TRUE), 0))</f>
        <v/>
      </c>
      <c r="P954" t="str">
        <f t="shared" si="57"/>
        <v/>
      </c>
      <c r="Q954" t="str">
        <f>IF(P954="","", IFERROR(VLOOKUP(P954, IF(D954="KET", 换算标准!$O:$P, IF(D954="PET", 换算标准!$U:$V, 换算标准!$AG:$AH)), 2, TRUE), 0))</f>
        <v/>
      </c>
      <c r="W954" t="str">
        <f t="shared" si="58"/>
        <v/>
      </c>
      <c r="X954" t="str">
        <f>IF(W954="","", IFERROR(VLOOKUP(W954, IF(D954="KET", 换算标准!$Q:$R, IF(D954="PET", 换算标准!$W:$X, 换算标准!$AI:$AJ)), 2, TRUE), 0))</f>
        <v/>
      </c>
      <c r="Y954" t="str">
        <f t="shared" si="59"/>
        <v/>
      </c>
      <c r="Z954" t="str">
        <f>IF(Y954="","", IFERROR(VLOOKUP(Y954, 换算标准!$Z:$AA, 1, TRUE), ""))</f>
        <v/>
      </c>
      <c r="AA954" s="5" t="str">
        <f>IF(L954="","", "⚠️ 薄弱环节: "&amp;INDEX($E$1:$K$1, MATCH(MIN(E954:K954), E954:K954, 0))&amp;CHAR(10)&amp;"📉 考察能力: "&amp;IFERROR(VLOOKUP(TRIM(D954)&amp;"_"&amp;TRIM(INDEX($E$1:$K$1, MATCH(MIN(E954:K954), E954:K954, 0))), 技能库!$A:$F, 5, 0),"建议查阅考纲")&amp;CHAR(10)&amp;"💡 提升建议: "&amp;IFERROR(VLOOKUP(TRIM(D954)&amp;"_"&amp;TRIM(INDEX($E$1:$K$1, MATCH(MIN(E954:K954), E954:K954, 0))), 技能库!$A:$F, 6, 0),"请针对该题型加强练习"))</f>
        <v/>
      </c>
      <c r="AB954" s="5" t="str">
        <f>IF(P954="","", "⚠️ 薄弱环节: "&amp;INDEX($N$1:$O$1, MATCH(MIN(N954:O954), N954:O954, 0))&amp;CHAR(10)&amp;"📉 考察能力: "&amp;IFERROR(VLOOKUP(TRIM(D954)&amp;"_"&amp;TRIM(INDEX($N$1:$O$1, MATCH(MIN(N954:O954), N954:O954, 0))), 技能库!$A:$F, 5, 0),"建议查阅考纲")&amp;CHAR(10)&amp;"💡 提升建议: "&amp;IFERROR(VLOOKUP(TRIM(D954)&amp;"_"&amp;TRIM(INDEX($N$1:$O$1, MATCH(MIN(N954:O954), N954:O954, 0))), 技能库!$A:$F, 6, 0),"请针对该题型加强练习"))</f>
        <v/>
      </c>
      <c r="AC954" s="5" t="str">
        <f>IF(W954="","", "⚠️ 薄弱环节: "&amp;INDEX($R$1:$V$1, MATCH(MIN(R954:V954), R954:V954, 0))&amp;CHAR(10)&amp;"📉 考察能力: "&amp;IFERROR(VLOOKUP(TRIM(D954)&amp;"_"&amp;TRIM(INDEX($R$1:$V$1, MATCH(MIN(R954:V954), R954:V954, 0))), 技能库!$A:$F, 5, 0),"建议查阅考纲")&amp;CHAR(10)&amp;"💡 提升建议: "&amp;IFERROR(VLOOKUP(TRIM(D954)&amp;"_"&amp;TRIM(INDEX($R$1:$V$1, MATCH(MIN(R954:V954), R954:V954, 0))), 技能库!$A:$F, 6, 0),"请针对该题型加强练习"))</f>
        <v/>
      </c>
    </row>
    <row r="955" spans="12:29" ht="16" hidden="1" x14ac:dyDescent="0.2">
      <c r="L955" t="str">
        <f t="shared" si="56"/>
        <v/>
      </c>
      <c r="M955" t="str">
        <f>IF(L955="","", IFERROR(VLOOKUP(L955, IF(D955="KET", 换算标准!$M:$N, IF(D955="PET", 换算标准!$S:$T, 换算标准!$AC:$AD)), 2, TRUE), 0))</f>
        <v/>
      </c>
      <c r="P955" t="str">
        <f t="shared" si="57"/>
        <v/>
      </c>
      <c r="Q955" t="str">
        <f>IF(P955="","", IFERROR(VLOOKUP(P955, IF(D955="KET", 换算标准!$O:$P, IF(D955="PET", 换算标准!$U:$V, 换算标准!$AG:$AH)), 2, TRUE), 0))</f>
        <v/>
      </c>
      <c r="W955" t="str">
        <f t="shared" si="58"/>
        <v/>
      </c>
      <c r="X955" t="str">
        <f>IF(W955="","", IFERROR(VLOOKUP(W955, IF(D955="KET", 换算标准!$Q:$R, IF(D955="PET", 换算标准!$W:$X, 换算标准!$AI:$AJ)), 2, TRUE), 0))</f>
        <v/>
      </c>
      <c r="Y955" t="str">
        <f t="shared" si="59"/>
        <v/>
      </c>
      <c r="Z955" t="str">
        <f>IF(Y955="","", IFERROR(VLOOKUP(Y955, 换算标准!$Z:$AA, 1, TRUE), ""))</f>
        <v/>
      </c>
      <c r="AA955" s="5" t="str">
        <f>IF(L955="","", "⚠️ 薄弱环节: "&amp;INDEX($E$1:$K$1, MATCH(MIN(E955:K955), E955:K955, 0))&amp;CHAR(10)&amp;"📉 考察能力: "&amp;IFERROR(VLOOKUP(TRIM(D955)&amp;"_"&amp;TRIM(INDEX($E$1:$K$1, MATCH(MIN(E955:K955), E955:K955, 0))), 技能库!$A:$F, 5, 0),"建议查阅考纲")&amp;CHAR(10)&amp;"💡 提升建议: "&amp;IFERROR(VLOOKUP(TRIM(D955)&amp;"_"&amp;TRIM(INDEX($E$1:$K$1, MATCH(MIN(E955:K955), E955:K955, 0))), 技能库!$A:$F, 6, 0),"请针对该题型加强练习"))</f>
        <v/>
      </c>
      <c r="AB955" s="5" t="str">
        <f>IF(P955="","", "⚠️ 薄弱环节: "&amp;INDEX($N$1:$O$1, MATCH(MIN(N955:O955), N955:O955, 0))&amp;CHAR(10)&amp;"📉 考察能力: "&amp;IFERROR(VLOOKUP(TRIM(D955)&amp;"_"&amp;TRIM(INDEX($N$1:$O$1, MATCH(MIN(N955:O955), N955:O955, 0))), 技能库!$A:$F, 5, 0),"建议查阅考纲")&amp;CHAR(10)&amp;"💡 提升建议: "&amp;IFERROR(VLOOKUP(TRIM(D955)&amp;"_"&amp;TRIM(INDEX($N$1:$O$1, MATCH(MIN(N955:O955), N955:O955, 0))), 技能库!$A:$F, 6, 0),"请针对该题型加强练习"))</f>
        <v/>
      </c>
      <c r="AC955" s="5" t="str">
        <f>IF(W955="","", "⚠️ 薄弱环节: "&amp;INDEX($R$1:$V$1, MATCH(MIN(R955:V955), R955:V955, 0))&amp;CHAR(10)&amp;"📉 考察能力: "&amp;IFERROR(VLOOKUP(TRIM(D955)&amp;"_"&amp;TRIM(INDEX($R$1:$V$1, MATCH(MIN(R955:V955), R955:V955, 0))), 技能库!$A:$F, 5, 0),"建议查阅考纲")&amp;CHAR(10)&amp;"💡 提升建议: "&amp;IFERROR(VLOOKUP(TRIM(D955)&amp;"_"&amp;TRIM(INDEX($R$1:$V$1, MATCH(MIN(R955:V955), R955:V955, 0))), 技能库!$A:$F, 6, 0),"请针对该题型加强练习"))</f>
        <v/>
      </c>
    </row>
    <row r="956" spans="12:29" ht="16" hidden="1" x14ac:dyDescent="0.2">
      <c r="L956" t="str">
        <f t="shared" si="56"/>
        <v/>
      </c>
      <c r="M956" t="str">
        <f>IF(L956="","", IFERROR(VLOOKUP(L956, IF(D956="KET", 换算标准!$M:$N, IF(D956="PET", 换算标准!$S:$T, 换算标准!$AC:$AD)), 2, TRUE), 0))</f>
        <v/>
      </c>
      <c r="P956" t="str">
        <f t="shared" si="57"/>
        <v/>
      </c>
      <c r="Q956" t="str">
        <f>IF(P956="","", IFERROR(VLOOKUP(P956, IF(D956="KET", 换算标准!$O:$P, IF(D956="PET", 换算标准!$U:$V, 换算标准!$AG:$AH)), 2, TRUE), 0))</f>
        <v/>
      </c>
      <c r="W956" t="str">
        <f t="shared" si="58"/>
        <v/>
      </c>
      <c r="X956" t="str">
        <f>IF(W956="","", IFERROR(VLOOKUP(W956, IF(D956="KET", 换算标准!$Q:$R, IF(D956="PET", 换算标准!$W:$X, 换算标准!$AI:$AJ)), 2, TRUE), 0))</f>
        <v/>
      </c>
      <c r="Y956" t="str">
        <f t="shared" si="59"/>
        <v/>
      </c>
      <c r="Z956" t="str">
        <f>IF(Y956="","", IFERROR(VLOOKUP(Y956, 换算标准!$Z:$AA, 1, TRUE), ""))</f>
        <v/>
      </c>
      <c r="AA956" s="5" t="str">
        <f>IF(L956="","", "⚠️ 薄弱环节: "&amp;INDEX($E$1:$K$1, MATCH(MIN(E956:K956), E956:K956, 0))&amp;CHAR(10)&amp;"📉 考察能力: "&amp;IFERROR(VLOOKUP(TRIM(D956)&amp;"_"&amp;TRIM(INDEX($E$1:$K$1, MATCH(MIN(E956:K956), E956:K956, 0))), 技能库!$A:$F, 5, 0),"建议查阅考纲")&amp;CHAR(10)&amp;"💡 提升建议: "&amp;IFERROR(VLOOKUP(TRIM(D956)&amp;"_"&amp;TRIM(INDEX($E$1:$K$1, MATCH(MIN(E956:K956), E956:K956, 0))), 技能库!$A:$F, 6, 0),"请针对该题型加强练习"))</f>
        <v/>
      </c>
      <c r="AB956" s="5" t="str">
        <f>IF(P956="","", "⚠️ 薄弱环节: "&amp;INDEX($N$1:$O$1, MATCH(MIN(N956:O956), N956:O956, 0))&amp;CHAR(10)&amp;"📉 考察能力: "&amp;IFERROR(VLOOKUP(TRIM(D956)&amp;"_"&amp;TRIM(INDEX($N$1:$O$1, MATCH(MIN(N956:O956), N956:O956, 0))), 技能库!$A:$F, 5, 0),"建议查阅考纲")&amp;CHAR(10)&amp;"💡 提升建议: "&amp;IFERROR(VLOOKUP(TRIM(D956)&amp;"_"&amp;TRIM(INDEX($N$1:$O$1, MATCH(MIN(N956:O956), N956:O956, 0))), 技能库!$A:$F, 6, 0),"请针对该题型加强练习"))</f>
        <v/>
      </c>
      <c r="AC956" s="5" t="str">
        <f>IF(W956="","", "⚠️ 薄弱环节: "&amp;INDEX($R$1:$V$1, MATCH(MIN(R956:V956), R956:V956, 0))&amp;CHAR(10)&amp;"📉 考察能力: "&amp;IFERROR(VLOOKUP(TRIM(D956)&amp;"_"&amp;TRIM(INDEX($R$1:$V$1, MATCH(MIN(R956:V956), R956:V956, 0))), 技能库!$A:$F, 5, 0),"建议查阅考纲")&amp;CHAR(10)&amp;"💡 提升建议: "&amp;IFERROR(VLOOKUP(TRIM(D956)&amp;"_"&amp;TRIM(INDEX($R$1:$V$1, MATCH(MIN(R956:V956), R956:V956, 0))), 技能库!$A:$F, 6, 0),"请针对该题型加强练习"))</f>
        <v/>
      </c>
    </row>
    <row r="957" spans="12:29" ht="16" hidden="1" x14ac:dyDescent="0.2">
      <c r="L957" t="str">
        <f t="shared" si="56"/>
        <v/>
      </c>
      <c r="M957" t="str">
        <f>IF(L957="","", IFERROR(VLOOKUP(L957, IF(D957="KET", 换算标准!$M:$N, IF(D957="PET", 换算标准!$S:$T, 换算标准!$AC:$AD)), 2, TRUE), 0))</f>
        <v/>
      </c>
      <c r="P957" t="str">
        <f t="shared" si="57"/>
        <v/>
      </c>
      <c r="Q957" t="str">
        <f>IF(P957="","", IFERROR(VLOOKUP(P957, IF(D957="KET", 换算标准!$O:$P, IF(D957="PET", 换算标准!$U:$V, 换算标准!$AG:$AH)), 2, TRUE), 0))</f>
        <v/>
      </c>
      <c r="W957" t="str">
        <f t="shared" si="58"/>
        <v/>
      </c>
      <c r="X957" t="str">
        <f>IF(W957="","", IFERROR(VLOOKUP(W957, IF(D957="KET", 换算标准!$Q:$R, IF(D957="PET", 换算标准!$W:$X, 换算标准!$AI:$AJ)), 2, TRUE), 0))</f>
        <v/>
      </c>
      <c r="Y957" t="str">
        <f t="shared" si="59"/>
        <v/>
      </c>
      <c r="Z957" t="str">
        <f>IF(Y957="","", IFERROR(VLOOKUP(Y957, 换算标准!$Z:$AA, 1, TRUE), ""))</f>
        <v/>
      </c>
      <c r="AA957" s="5" t="str">
        <f>IF(L957="","", "⚠️ 薄弱环节: "&amp;INDEX($E$1:$K$1, MATCH(MIN(E957:K957), E957:K957, 0))&amp;CHAR(10)&amp;"📉 考察能力: "&amp;IFERROR(VLOOKUP(TRIM(D957)&amp;"_"&amp;TRIM(INDEX($E$1:$K$1, MATCH(MIN(E957:K957), E957:K957, 0))), 技能库!$A:$F, 5, 0),"建议查阅考纲")&amp;CHAR(10)&amp;"💡 提升建议: "&amp;IFERROR(VLOOKUP(TRIM(D957)&amp;"_"&amp;TRIM(INDEX($E$1:$K$1, MATCH(MIN(E957:K957), E957:K957, 0))), 技能库!$A:$F, 6, 0),"请针对该题型加强练习"))</f>
        <v/>
      </c>
      <c r="AB957" s="5" t="str">
        <f>IF(P957="","", "⚠️ 薄弱环节: "&amp;INDEX($N$1:$O$1, MATCH(MIN(N957:O957), N957:O957, 0))&amp;CHAR(10)&amp;"📉 考察能力: "&amp;IFERROR(VLOOKUP(TRIM(D957)&amp;"_"&amp;TRIM(INDEX($N$1:$O$1, MATCH(MIN(N957:O957), N957:O957, 0))), 技能库!$A:$F, 5, 0),"建议查阅考纲")&amp;CHAR(10)&amp;"💡 提升建议: "&amp;IFERROR(VLOOKUP(TRIM(D957)&amp;"_"&amp;TRIM(INDEX($N$1:$O$1, MATCH(MIN(N957:O957), N957:O957, 0))), 技能库!$A:$F, 6, 0),"请针对该题型加强练习"))</f>
        <v/>
      </c>
      <c r="AC957" s="5" t="str">
        <f>IF(W957="","", "⚠️ 薄弱环节: "&amp;INDEX($R$1:$V$1, MATCH(MIN(R957:V957), R957:V957, 0))&amp;CHAR(10)&amp;"📉 考察能力: "&amp;IFERROR(VLOOKUP(TRIM(D957)&amp;"_"&amp;TRIM(INDEX($R$1:$V$1, MATCH(MIN(R957:V957), R957:V957, 0))), 技能库!$A:$F, 5, 0),"建议查阅考纲")&amp;CHAR(10)&amp;"💡 提升建议: "&amp;IFERROR(VLOOKUP(TRIM(D957)&amp;"_"&amp;TRIM(INDEX($R$1:$V$1, MATCH(MIN(R957:V957), R957:V957, 0))), 技能库!$A:$F, 6, 0),"请针对该题型加强练习"))</f>
        <v/>
      </c>
    </row>
    <row r="958" spans="12:29" ht="16" hidden="1" x14ac:dyDescent="0.2">
      <c r="L958" t="str">
        <f t="shared" si="56"/>
        <v/>
      </c>
      <c r="M958" t="str">
        <f>IF(L958="","", IFERROR(VLOOKUP(L958, IF(D958="KET", 换算标准!$M:$N, IF(D958="PET", 换算标准!$S:$T, 换算标准!$AC:$AD)), 2, TRUE), 0))</f>
        <v/>
      </c>
      <c r="P958" t="str">
        <f t="shared" si="57"/>
        <v/>
      </c>
      <c r="Q958" t="str">
        <f>IF(P958="","", IFERROR(VLOOKUP(P958, IF(D958="KET", 换算标准!$O:$P, IF(D958="PET", 换算标准!$U:$V, 换算标准!$AG:$AH)), 2, TRUE), 0))</f>
        <v/>
      </c>
      <c r="W958" t="str">
        <f t="shared" si="58"/>
        <v/>
      </c>
      <c r="X958" t="str">
        <f>IF(W958="","", IFERROR(VLOOKUP(W958, IF(D958="KET", 换算标准!$Q:$R, IF(D958="PET", 换算标准!$W:$X, 换算标准!$AI:$AJ)), 2, TRUE), 0))</f>
        <v/>
      </c>
      <c r="Y958" t="str">
        <f t="shared" si="59"/>
        <v/>
      </c>
      <c r="Z958" t="str">
        <f>IF(Y958="","", IFERROR(VLOOKUP(Y958, 换算标准!$Z:$AA, 1, TRUE), ""))</f>
        <v/>
      </c>
      <c r="AA958" s="5" t="str">
        <f>IF(L958="","", "⚠️ 薄弱环节: "&amp;INDEX($E$1:$K$1, MATCH(MIN(E958:K958), E958:K958, 0))&amp;CHAR(10)&amp;"📉 考察能力: "&amp;IFERROR(VLOOKUP(TRIM(D958)&amp;"_"&amp;TRIM(INDEX($E$1:$K$1, MATCH(MIN(E958:K958), E958:K958, 0))), 技能库!$A:$F, 5, 0),"建议查阅考纲")&amp;CHAR(10)&amp;"💡 提升建议: "&amp;IFERROR(VLOOKUP(TRIM(D958)&amp;"_"&amp;TRIM(INDEX($E$1:$K$1, MATCH(MIN(E958:K958), E958:K958, 0))), 技能库!$A:$F, 6, 0),"请针对该题型加强练习"))</f>
        <v/>
      </c>
      <c r="AB958" s="5" t="str">
        <f>IF(P958="","", "⚠️ 薄弱环节: "&amp;INDEX($N$1:$O$1, MATCH(MIN(N958:O958), N958:O958, 0))&amp;CHAR(10)&amp;"📉 考察能力: "&amp;IFERROR(VLOOKUP(TRIM(D958)&amp;"_"&amp;TRIM(INDEX($N$1:$O$1, MATCH(MIN(N958:O958), N958:O958, 0))), 技能库!$A:$F, 5, 0),"建议查阅考纲")&amp;CHAR(10)&amp;"💡 提升建议: "&amp;IFERROR(VLOOKUP(TRIM(D958)&amp;"_"&amp;TRIM(INDEX($N$1:$O$1, MATCH(MIN(N958:O958), N958:O958, 0))), 技能库!$A:$F, 6, 0),"请针对该题型加强练习"))</f>
        <v/>
      </c>
      <c r="AC958" s="5" t="str">
        <f>IF(W958="","", "⚠️ 薄弱环节: "&amp;INDEX($R$1:$V$1, MATCH(MIN(R958:V958), R958:V958, 0))&amp;CHAR(10)&amp;"📉 考察能力: "&amp;IFERROR(VLOOKUP(TRIM(D958)&amp;"_"&amp;TRIM(INDEX($R$1:$V$1, MATCH(MIN(R958:V958), R958:V958, 0))), 技能库!$A:$F, 5, 0),"建议查阅考纲")&amp;CHAR(10)&amp;"💡 提升建议: "&amp;IFERROR(VLOOKUP(TRIM(D958)&amp;"_"&amp;TRIM(INDEX($R$1:$V$1, MATCH(MIN(R958:V958), R958:V958, 0))), 技能库!$A:$F, 6, 0),"请针对该题型加强练习"))</f>
        <v/>
      </c>
    </row>
    <row r="959" spans="12:29" ht="16" hidden="1" x14ac:dyDescent="0.2">
      <c r="L959" t="str">
        <f t="shared" si="56"/>
        <v/>
      </c>
      <c r="M959" t="str">
        <f>IF(L959="","", IFERROR(VLOOKUP(L959, IF(D959="KET", 换算标准!$M:$N, IF(D959="PET", 换算标准!$S:$T, 换算标准!$AC:$AD)), 2, TRUE), 0))</f>
        <v/>
      </c>
      <c r="P959" t="str">
        <f t="shared" si="57"/>
        <v/>
      </c>
      <c r="Q959" t="str">
        <f>IF(P959="","", IFERROR(VLOOKUP(P959, IF(D959="KET", 换算标准!$O:$P, IF(D959="PET", 换算标准!$U:$V, 换算标准!$AG:$AH)), 2, TRUE), 0))</f>
        <v/>
      </c>
      <c r="W959" t="str">
        <f t="shared" si="58"/>
        <v/>
      </c>
      <c r="X959" t="str">
        <f>IF(W959="","", IFERROR(VLOOKUP(W959, IF(D959="KET", 换算标准!$Q:$R, IF(D959="PET", 换算标准!$W:$X, 换算标准!$AI:$AJ)), 2, TRUE), 0))</f>
        <v/>
      </c>
      <c r="Y959" t="str">
        <f t="shared" si="59"/>
        <v/>
      </c>
      <c r="Z959" t="str">
        <f>IF(Y959="","", IFERROR(VLOOKUP(Y959, 换算标准!$Z:$AA, 1, TRUE), ""))</f>
        <v/>
      </c>
      <c r="AA959" s="5" t="str">
        <f>IF(L959="","", "⚠️ 薄弱环节: "&amp;INDEX($E$1:$K$1, MATCH(MIN(E959:K959), E959:K959, 0))&amp;CHAR(10)&amp;"📉 考察能力: "&amp;IFERROR(VLOOKUP(TRIM(D959)&amp;"_"&amp;TRIM(INDEX($E$1:$K$1, MATCH(MIN(E959:K959), E959:K959, 0))), 技能库!$A:$F, 5, 0),"建议查阅考纲")&amp;CHAR(10)&amp;"💡 提升建议: "&amp;IFERROR(VLOOKUP(TRIM(D959)&amp;"_"&amp;TRIM(INDEX($E$1:$K$1, MATCH(MIN(E959:K959), E959:K959, 0))), 技能库!$A:$F, 6, 0),"请针对该题型加强练习"))</f>
        <v/>
      </c>
      <c r="AB959" s="5" t="str">
        <f>IF(P959="","", "⚠️ 薄弱环节: "&amp;INDEX($N$1:$O$1, MATCH(MIN(N959:O959), N959:O959, 0))&amp;CHAR(10)&amp;"📉 考察能力: "&amp;IFERROR(VLOOKUP(TRIM(D959)&amp;"_"&amp;TRIM(INDEX($N$1:$O$1, MATCH(MIN(N959:O959), N959:O959, 0))), 技能库!$A:$F, 5, 0),"建议查阅考纲")&amp;CHAR(10)&amp;"💡 提升建议: "&amp;IFERROR(VLOOKUP(TRIM(D959)&amp;"_"&amp;TRIM(INDEX($N$1:$O$1, MATCH(MIN(N959:O959), N959:O959, 0))), 技能库!$A:$F, 6, 0),"请针对该题型加强练习"))</f>
        <v/>
      </c>
      <c r="AC959" s="5" t="str">
        <f>IF(W959="","", "⚠️ 薄弱环节: "&amp;INDEX($R$1:$V$1, MATCH(MIN(R959:V959), R959:V959, 0))&amp;CHAR(10)&amp;"📉 考察能力: "&amp;IFERROR(VLOOKUP(TRIM(D959)&amp;"_"&amp;TRIM(INDEX($R$1:$V$1, MATCH(MIN(R959:V959), R959:V959, 0))), 技能库!$A:$F, 5, 0),"建议查阅考纲")&amp;CHAR(10)&amp;"💡 提升建议: "&amp;IFERROR(VLOOKUP(TRIM(D959)&amp;"_"&amp;TRIM(INDEX($R$1:$V$1, MATCH(MIN(R959:V959), R959:V959, 0))), 技能库!$A:$F, 6, 0),"请针对该题型加强练习"))</f>
        <v/>
      </c>
    </row>
    <row r="960" spans="12:29" ht="16" hidden="1" x14ac:dyDescent="0.2">
      <c r="L960" t="str">
        <f t="shared" si="56"/>
        <v/>
      </c>
      <c r="M960" t="str">
        <f>IF(L960="","", IFERROR(VLOOKUP(L960, IF(D960="KET", 换算标准!$M:$N, IF(D960="PET", 换算标准!$S:$T, 换算标准!$AC:$AD)), 2, TRUE), 0))</f>
        <v/>
      </c>
      <c r="P960" t="str">
        <f t="shared" si="57"/>
        <v/>
      </c>
      <c r="Q960" t="str">
        <f>IF(P960="","", IFERROR(VLOOKUP(P960, IF(D960="KET", 换算标准!$O:$P, IF(D960="PET", 换算标准!$U:$V, 换算标准!$AG:$AH)), 2, TRUE), 0))</f>
        <v/>
      </c>
      <c r="W960" t="str">
        <f t="shared" si="58"/>
        <v/>
      </c>
      <c r="X960" t="str">
        <f>IF(W960="","", IFERROR(VLOOKUP(W960, IF(D960="KET", 换算标准!$Q:$R, IF(D960="PET", 换算标准!$W:$X, 换算标准!$AI:$AJ)), 2, TRUE), 0))</f>
        <v/>
      </c>
      <c r="Y960" t="str">
        <f t="shared" si="59"/>
        <v/>
      </c>
      <c r="Z960" t="str">
        <f>IF(Y960="","", IFERROR(VLOOKUP(Y960, 换算标准!$Z:$AA, 1, TRUE), ""))</f>
        <v/>
      </c>
      <c r="AA960" s="5" t="str">
        <f>IF(L960="","", "⚠️ 薄弱环节: "&amp;INDEX($E$1:$K$1, MATCH(MIN(E960:K960), E960:K960, 0))&amp;CHAR(10)&amp;"📉 考察能力: "&amp;IFERROR(VLOOKUP(TRIM(D960)&amp;"_"&amp;TRIM(INDEX($E$1:$K$1, MATCH(MIN(E960:K960), E960:K960, 0))), 技能库!$A:$F, 5, 0),"建议查阅考纲")&amp;CHAR(10)&amp;"💡 提升建议: "&amp;IFERROR(VLOOKUP(TRIM(D960)&amp;"_"&amp;TRIM(INDEX($E$1:$K$1, MATCH(MIN(E960:K960), E960:K960, 0))), 技能库!$A:$F, 6, 0),"请针对该题型加强练习"))</f>
        <v/>
      </c>
      <c r="AB960" s="5" t="str">
        <f>IF(P960="","", "⚠️ 薄弱环节: "&amp;INDEX($N$1:$O$1, MATCH(MIN(N960:O960), N960:O960, 0))&amp;CHAR(10)&amp;"📉 考察能力: "&amp;IFERROR(VLOOKUP(TRIM(D960)&amp;"_"&amp;TRIM(INDEX($N$1:$O$1, MATCH(MIN(N960:O960), N960:O960, 0))), 技能库!$A:$F, 5, 0),"建议查阅考纲")&amp;CHAR(10)&amp;"💡 提升建议: "&amp;IFERROR(VLOOKUP(TRIM(D960)&amp;"_"&amp;TRIM(INDEX($N$1:$O$1, MATCH(MIN(N960:O960), N960:O960, 0))), 技能库!$A:$F, 6, 0),"请针对该题型加强练习"))</f>
        <v/>
      </c>
      <c r="AC960" s="5" t="str">
        <f>IF(W960="","", "⚠️ 薄弱环节: "&amp;INDEX($R$1:$V$1, MATCH(MIN(R960:V960), R960:V960, 0))&amp;CHAR(10)&amp;"📉 考察能力: "&amp;IFERROR(VLOOKUP(TRIM(D960)&amp;"_"&amp;TRIM(INDEX($R$1:$V$1, MATCH(MIN(R960:V960), R960:V960, 0))), 技能库!$A:$F, 5, 0),"建议查阅考纲")&amp;CHAR(10)&amp;"💡 提升建议: "&amp;IFERROR(VLOOKUP(TRIM(D960)&amp;"_"&amp;TRIM(INDEX($R$1:$V$1, MATCH(MIN(R960:V960), R960:V960, 0))), 技能库!$A:$F, 6, 0),"请针对该题型加强练习"))</f>
        <v/>
      </c>
    </row>
    <row r="961" spans="12:29" ht="16" hidden="1" x14ac:dyDescent="0.2">
      <c r="L961" t="str">
        <f t="shared" si="56"/>
        <v/>
      </c>
      <c r="M961" t="str">
        <f>IF(L961="","", IFERROR(VLOOKUP(L961, IF(D961="KET", 换算标准!$M:$N, IF(D961="PET", 换算标准!$S:$T, 换算标准!$AC:$AD)), 2, TRUE), 0))</f>
        <v/>
      </c>
      <c r="P961" t="str">
        <f t="shared" si="57"/>
        <v/>
      </c>
      <c r="Q961" t="str">
        <f>IF(P961="","", IFERROR(VLOOKUP(P961, IF(D961="KET", 换算标准!$O:$P, IF(D961="PET", 换算标准!$U:$V, 换算标准!$AG:$AH)), 2, TRUE), 0))</f>
        <v/>
      </c>
      <c r="W961" t="str">
        <f t="shared" si="58"/>
        <v/>
      </c>
      <c r="X961" t="str">
        <f>IF(W961="","", IFERROR(VLOOKUP(W961, IF(D961="KET", 换算标准!$Q:$R, IF(D961="PET", 换算标准!$W:$X, 换算标准!$AI:$AJ)), 2, TRUE), 0))</f>
        <v/>
      </c>
      <c r="Y961" t="str">
        <f t="shared" si="59"/>
        <v/>
      </c>
      <c r="Z961" t="str">
        <f>IF(Y961="","", IFERROR(VLOOKUP(Y961, 换算标准!$Z:$AA, 1, TRUE), ""))</f>
        <v/>
      </c>
      <c r="AA961" s="5" t="str">
        <f>IF(L961="","", "⚠️ 薄弱环节: "&amp;INDEX($E$1:$K$1, MATCH(MIN(E961:K961), E961:K961, 0))&amp;CHAR(10)&amp;"📉 考察能力: "&amp;IFERROR(VLOOKUP(TRIM(D961)&amp;"_"&amp;TRIM(INDEX($E$1:$K$1, MATCH(MIN(E961:K961), E961:K961, 0))), 技能库!$A:$F, 5, 0),"建议查阅考纲")&amp;CHAR(10)&amp;"💡 提升建议: "&amp;IFERROR(VLOOKUP(TRIM(D961)&amp;"_"&amp;TRIM(INDEX($E$1:$K$1, MATCH(MIN(E961:K961), E961:K961, 0))), 技能库!$A:$F, 6, 0),"请针对该题型加强练习"))</f>
        <v/>
      </c>
      <c r="AB961" s="5" t="str">
        <f>IF(P961="","", "⚠️ 薄弱环节: "&amp;INDEX($N$1:$O$1, MATCH(MIN(N961:O961), N961:O961, 0))&amp;CHAR(10)&amp;"📉 考察能力: "&amp;IFERROR(VLOOKUP(TRIM(D961)&amp;"_"&amp;TRIM(INDEX($N$1:$O$1, MATCH(MIN(N961:O961), N961:O961, 0))), 技能库!$A:$F, 5, 0),"建议查阅考纲")&amp;CHAR(10)&amp;"💡 提升建议: "&amp;IFERROR(VLOOKUP(TRIM(D961)&amp;"_"&amp;TRIM(INDEX($N$1:$O$1, MATCH(MIN(N961:O961), N961:O961, 0))), 技能库!$A:$F, 6, 0),"请针对该题型加强练习"))</f>
        <v/>
      </c>
      <c r="AC961" s="5" t="str">
        <f>IF(W961="","", "⚠️ 薄弱环节: "&amp;INDEX($R$1:$V$1, MATCH(MIN(R961:V961), R961:V961, 0))&amp;CHAR(10)&amp;"📉 考察能力: "&amp;IFERROR(VLOOKUP(TRIM(D961)&amp;"_"&amp;TRIM(INDEX($R$1:$V$1, MATCH(MIN(R961:V961), R961:V961, 0))), 技能库!$A:$F, 5, 0),"建议查阅考纲")&amp;CHAR(10)&amp;"💡 提升建议: "&amp;IFERROR(VLOOKUP(TRIM(D961)&amp;"_"&amp;TRIM(INDEX($R$1:$V$1, MATCH(MIN(R961:V961), R961:V961, 0))), 技能库!$A:$F, 6, 0),"请针对该题型加强练习"))</f>
        <v/>
      </c>
    </row>
    <row r="962" spans="12:29" ht="16" hidden="1" x14ac:dyDescent="0.2">
      <c r="L962" t="str">
        <f t="shared" ref="L962:L1028" si="60">IF(COUNT(E962:K962)&gt;0, SUM(E962:K962), "")</f>
        <v/>
      </c>
      <c r="M962" t="str">
        <f>IF(L962="","", IFERROR(VLOOKUP(L962, IF(D962="KET", 换算标准!$M:$N, IF(D962="PET", 换算标准!$S:$T, 换算标准!$AC:$AD)), 2, TRUE), 0))</f>
        <v/>
      </c>
      <c r="P962" t="str">
        <f t="shared" ref="P962:P1028" si="61">IF(COUNT(N962:O962)&gt;0, SUM(N962:O962), "")</f>
        <v/>
      </c>
      <c r="Q962" t="str">
        <f>IF(P962="","", IFERROR(VLOOKUP(P962, IF(D962="KET", 换算标准!$O:$P, IF(D962="PET", 换算标准!$U:$V, 换算标准!$AG:$AH)), 2, TRUE), 0))</f>
        <v/>
      </c>
      <c r="W962" t="str">
        <f t="shared" ref="W962:W1026" si="62">IF(COUNT(R962:V962)&gt;0, SUM(R962:V962), "")</f>
        <v/>
      </c>
      <c r="X962" t="str">
        <f>IF(W962="","", IFERROR(VLOOKUP(W962, IF(D962="KET", 换算标准!$Q:$R, IF(D962="PET", 换算标准!$W:$X, 换算标准!$AI:$AJ)), 2, TRUE), 0))</f>
        <v/>
      </c>
      <c r="Y962" t="str">
        <f t="shared" ref="Y962:Y1026" si="63">IF(COUNT(M962,Q962,X962)&gt;0, AVERAGE(M962,Q962,X962), "")</f>
        <v/>
      </c>
      <c r="Z962" t="str">
        <f>IF(Y962="","", IFERROR(VLOOKUP(Y962, 换算标准!$Z:$AA, 1, TRUE), ""))</f>
        <v/>
      </c>
      <c r="AA962" s="5" t="str">
        <f>IF(L962="","", "⚠️ 薄弱环节: "&amp;INDEX($E$1:$K$1, MATCH(MIN(E962:K962), E962:K962, 0))&amp;CHAR(10)&amp;"📉 考察能力: "&amp;IFERROR(VLOOKUP(TRIM(D962)&amp;"_"&amp;TRIM(INDEX($E$1:$K$1, MATCH(MIN(E962:K962), E962:K962, 0))), 技能库!$A:$F, 5, 0),"建议查阅考纲")&amp;CHAR(10)&amp;"💡 提升建议: "&amp;IFERROR(VLOOKUP(TRIM(D962)&amp;"_"&amp;TRIM(INDEX($E$1:$K$1, MATCH(MIN(E962:K962), E962:K962, 0))), 技能库!$A:$F, 6, 0),"请针对该题型加强练习"))</f>
        <v/>
      </c>
      <c r="AB962" s="5" t="str">
        <f>IF(P962="","", "⚠️ 薄弱环节: "&amp;INDEX($N$1:$O$1, MATCH(MIN(N962:O962), N962:O962, 0))&amp;CHAR(10)&amp;"📉 考察能力: "&amp;IFERROR(VLOOKUP(TRIM(D962)&amp;"_"&amp;TRIM(INDEX($N$1:$O$1, MATCH(MIN(N962:O962), N962:O962, 0))), 技能库!$A:$F, 5, 0),"建议查阅考纲")&amp;CHAR(10)&amp;"💡 提升建议: "&amp;IFERROR(VLOOKUP(TRIM(D962)&amp;"_"&amp;TRIM(INDEX($N$1:$O$1, MATCH(MIN(N962:O962), N962:O962, 0))), 技能库!$A:$F, 6, 0),"请针对该题型加强练习"))</f>
        <v/>
      </c>
      <c r="AC962" s="5" t="str">
        <f>IF(W962="","", "⚠️ 薄弱环节: "&amp;INDEX($R$1:$V$1, MATCH(MIN(R962:V962), R962:V962, 0))&amp;CHAR(10)&amp;"📉 考察能力: "&amp;IFERROR(VLOOKUP(TRIM(D962)&amp;"_"&amp;TRIM(INDEX($R$1:$V$1, MATCH(MIN(R962:V962), R962:V962, 0))), 技能库!$A:$F, 5, 0),"建议查阅考纲")&amp;CHAR(10)&amp;"💡 提升建议: "&amp;IFERROR(VLOOKUP(TRIM(D962)&amp;"_"&amp;TRIM(INDEX($R$1:$V$1, MATCH(MIN(R962:V962), R962:V962, 0))), 技能库!$A:$F, 6, 0),"请针对该题型加强练习"))</f>
        <v/>
      </c>
    </row>
    <row r="963" spans="12:29" ht="16" hidden="1" x14ac:dyDescent="0.2">
      <c r="L963" t="str">
        <f t="shared" si="60"/>
        <v/>
      </c>
      <c r="M963" t="str">
        <f>IF(L963="","", IFERROR(VLOOKUP(L963, IF(D963="KET", 换算标准!$M:$N, IF(D963="PET", 换算标准!$S:$T, 换算标准!$AC:$AD)), 2, TRUE), 0))</f>
        <v/>
      </c>
      <c r="P963" t="str">
        <f t="shared" si="61"/>
        <v/>
      </c>
      <c r="Q963" t="str">
        <f>IF(P963="","", IFERROR(VLOOKUP(P963, IF(D963="KET", 换算标准!$O:$P, IF(D963="PET", 换算标准!$U:$V, 换算标准!$AG:$AH)), 2, TRUE), 0))</f>
        <v/>
      </c>
      <c r="W963" t="str">
        <f t="shared" si="62"/>
        <v/>
      </c>
      <c r="X963" t="str">
        <f>IF(W963="","", IFERROR(VLOOKUP(W963, IF(D963="KET", 换算标准!$Q:$R, IF(D963="PET", 换算标准!$W:$X, 换算标准!$AI:$AJ)), 2, TRUE), 0))</f>
        <v/>
      </c>
      <c r="Y963" t="str">
        <f t="shared" si="63"/>
        <v/>
      </c>
      <c r="Z963" t="str">
        <f>IF(Y963="","", IFERROR(VLOOKUP(Y963, 换算标准!$Z:$AA, 1, TRUE), ""))</f>
        <v/>
      </c>
      <c r="AA963" s="5" t="str">
        <f>IF(L963="","", "⚠️ 薄弱环节: "&amp;INDEX($E$1:$K$1, MATCH(MIN(E963:K963), E963:K963, 0))&amp;CHAR(10)&amp;"📉 考察能力: "&amp;IFERROR(VLOOKUP(TRIM(D963)&amp;"_"&amp;TRIM(INDEX($E$1:$K$1, MATCH(MIN(E963:K963), E963:K963, 0))), 技能库!$A:$F, 5, 0),"建议查阅考纲")&amp;CHAR(10)&amp;"💡 提升建议: "&amp;IFERROR(VLOOKUP(TRIM(D963)&amp;"_"&amp;TRIM(INDEX($E$1:$K$1, MATCH(MIN(E963:K963), E963:K963, 0))), 技能库!$A:$F, 6, 0),"请针对该题型加强练习"))</f>
        <v/>
      </c>
      <c r="AB963" s="5" t="str">
        <f>IF(P963="","", "⚠️ 薄弱环节: "&amp;INDEX($N$1:$O$1, MATCH(MIN(N963:O963), N963:O963, 0))&amp;CHAR(10)&amp;"📉 考察能力: "&amp;IFERROR(VLOOKUP(TRIM(D963)&amp;"_"&amp;TRIM(INDEX($N$1:$O$1, MATCH(MIN(N963:O963), N963:O963, 0))), 技能库!$A:$F, 5, 0),"建议查阅考纲")&amp;CHAR(10)&amp;"💡 提升建议: "&amp;IFERROR(VLOOKUP(TRIM(D963)&amp;"_"&amp;TRIM(INDEX($N$1:$O$1, MATCH(MIN(N963:O963), N963:O963, 0))), 技能库!$A:$F, 6, 0),"请针对该题型加强练习"))</f>
        <v/>
      </c>
      <c r="AC963" s="5" t="str">
        <f>IF(W963="","", "⚠️ 薄弱环节: "&amp;INDEX($R$1:$V$1, MATCH(MIN(R963:V963), R963:V963, 0))&amp;CHAR(10)&amp;"📉 考察能力: "&amp;IFERROR(VLOOKUP(TRIM(D963)&amp;"_"&amp;TRIM(INDEX($R$1:$V$1, MATCH(MIN(R963:V963), R963:V963, 0))), 技能库!$A:$F, 5, 0),"建议查阅考纲")&amp;CHAR(10)&amp;"💡 提升建议: "&amp;IFERROR(VLOOKUP(TRIM(D963)&amp;"_"&amp;TRIM(INDEX($R$1:$V$1, MATCH(MIN(R963:V963), R963:V963, 0))), 技能库!$A:$F, 6, 0),"请针对该题型加强练习"))</f>
        <v/>
      </c>
    </row>
    <row r="964" spans="12:29" ht="16" hidden="1" x14ac:dyDescent="0.2">
      <c r="L964" t="str">
        <f t="shared" si="60"/>
        <v/>
      </c>
      <c r="M964" t="str">
        <f>IF(L964="","", IFERROR(VLOOKUP(L964, IF(D964="KET", 换算标准!$M:$N, IF(D964="PET", 换算标准!$S:$T, 换算标准!$AC:$AD)), 2, TRUE), 0))</f>
        <v/>
      </c>
      <c r="P964" t="str">
        <f t="shared" si="61"/>
        <v/>
      </c>
      <c r="Q964" t="str">
        <f>IF(P964="","", IFERROR(VLOOKUP(P964, IF(D964="KET", 换算标准!$O:$P, IF(D964="PET", 换算标准!$U:$V, 换算标准!$AG:$AH)), 2, TRUE), 0))</f>
        <v/>
      </c>
      <c r="W964" t="str">
        <f t="shared" si="62"/>
        <v/>
      </c>
      <c r="X964" t="str">
        <f>IF(W964="","", IFERROR(VLOOKUP(W964, IF(D964="KET", 换算标准!$Q:$R, IF(D964="PET", 换算标准!$W:$X, 换算标准!$AI:$AJ)), 2, TRUE), 0))</f>
        <v/>
      </c>
      <c r="Y964" t="str">
        <f t="shared" si="63"/>
        <v/>
      </c>
      <c r="Z964" t="str">
        <f>IF(Y964="","", IFERROR(VLOOKUP(Y964, 换算标准!$Z:$AA, 1, TRUE), ""))</f>
        <v/>
      </c>
      <c r="AA964" s="5" t="str">
        <f>IF(L964="","", "⚠️ 薄弱环节: "&amp;INDEX($E$1:$K$1, MATCH(MIN(E964:K964), E964:K964, 0))&amp;CHAR(10)&amp;"📉 考察能力: "&amp;IFERROR(VLOOKUP(TRIM(D964)&amp;"_"&amp;TRIM(INDEX($E$1:$K$1, MATCH(MIN(E964:K964), E964:K964, 0))), 技能库!$A:$F, 5, 0),"建议查阅考纲")&amp;CHAR(10)&amp;"💡 提升建议: "&amp;IFERROR(VLOOKUP(TRIM(D964)&amp;"_"&amp;TRIM(INDEX($E$1:$K$1, MATCH(MIN(E964:K964), E964:K964, 0))), 技能库!$A:$F, 6, 0),"请针对该题型加强练习"))</f>
        <v/>
      </c>
      <c r="AB964" s="5" t="str">
        <f>IF(P964="","", "⚠️ 薄弱环节: "&amp;INDEX($N$1:$O$1, MATCH(MIN(N964:O964), N964:O964, 0))&amp;CHAR(10)&amp;"📉 考察能力: "&amp;IFERROR(VLOOKUP(TRIM(D964)&amp;"_"&amp;TRIM(INDEX($N$1:$O$1, MATCH(MIN(N964:O964), N964:O964, 0))), 技能库!$A:$F, 5, 0),"建议查阅考纲")&amp;CHAR(10)&amp;"💡 提升建议: "&amp;IFERROR(VLOOKUP(TRIM(D964)&amp;"_"&amp;TRIM(INDEX($N$1:$O$1, MATCH(MIN(N964:O964), N964:O964, 0))), 技能库!$A:$F, 6, 0),"请针对该题型加强练习"))</f>
        <v/>
      </c>
      <c r="AC964" s="5" t="str">
        <f>IF(W964="","", "⚠️ 薄弱环节: "&amp;INDEX($R$1:$V$1, MATCH(MIN(R964:V964), R964:V964, 0))&amp;CHAR(10)&amp;"📉 考察能力: "&amp;IFERROR(VLOOKUP(TRIM(D964)&amp;"_"&amp;TRIM(INDEX($R$1:$V$1, MATCH(MIN(R964:V964), R964:V964, 0))), 技能库!$A:$F, 5, 0),"建议查阅考纲")&amp;CHAR(10)&amp;"💡 提升建议: "&amp;IFERROR(VLOOKUP(TRIM(D964)&amp;"_"&amp;TRIM(INDEX($R$1:$V$1, MATCH(MIN(R964:V964), R964:V964, 0))), 技能库!$A:$F, 6, 0),"请针对该题型加强练习"))</f>
        <v/>
      </c>
    </row>
    <row r="965" spans="12:29" ht="16" hidden="1" x14ac:dyDescent="0.2">
      <c r="L965" t="str">
        <f t="shared" si="60"/>
        <v/>
      </c>
      <c r="M965" t="str">
        <f>IF(L965="","", IFERROR(VLOOKUP(L965, IF(D965="KET", 换算标准!$M:$N, IF(D965="PET", 换算标准!$S:$T, 换算标准!$AC:$AD)), 2, TRUE), 0))</f>
        <v/>
      </c>
      <c r="P965" t="str">
        <f t="shared" si="61"/>
        <v/>
      </c>
      <c r="Q965" t="str">
        <f>IF(P965="","", IFERROR(VLOOKUP(P965, IF(D965="KET", 换算标准!$O:$P, IF(D965="PET", 换算标准!$U:$V, 换算标准!$AG:$AH)), 2, TRUE), 0))</f>
        <v/>
      </c>
      <c r="W965" t="str">
        <f t="shared" si="62"/>
        <v/>
      </c>
      <c r="X965" t="str">
        <f>IF(W965="","", IFERROR(VLOOKUP(W965, IF(D965="KET", 换算标准!$Q:$R, IF(D965="PET", 换算标准!$W:$X, 换算标准!$AI:$AJ)), 2, TRUE), 0))</f>
        <v/>
      </c>
      <c r="Y965" t="str">
        <f t="shared" si="63"/>
        <v/>
      </c>
      <c r="Z965" t="str">
        <f>IF(Y965="","", IFERROR(VLOOKUP(Y965, 换算标准!$Z:$AA, 1, TRUE), ""))</f>
        <v/>
      </c>
      <c r="AA965" s="5" t="str">
        <f>IF(L965="","", "⚠️ 薄弱环节: "&amp;INDEX($E$1:$K$1, MATCH(MIN(E965:K965), E965:K965, 0))&amp;CHAR(10)&amp;"📉 考察能力: "&amp;IFERROR(VLOOKUP(TRIM(D965)&amp;"_"&amp;TRIM(INDEX($E$1:$K$1, MATCH(MIN(E965:K965), E965:K965, 0))), 技能库!$A:$F, 5, 0),"建议查阅考纲")&amp;CHAR(10)&amp;"💡 提升建议: "&amp;IFERROR(VLOOKUP(TRIM(D965)&amp;"_"&amp;TRIM(INDEX($E$1:$K$1, MATCH(MIN(E965:K965), E965:K965, 0))), 技能库!$A:$F, 6, 0),"请针对该题型加强练习"))</f>
        <v/>
      </c>
      <c r="AB965" s="5" t="str">
        <f>IF(P965="","", "⚠️ 薄弱环节: "&amp;INDEX($N$1:$O$1, MATCH(MIN(N965:O965), N965:O965, 0))&amp;CHAR(10)&amp;"📉 考察能力: "&amp;IFERROR(VLOOKUP(TRIM(D965)&amp;"_"&amp;TRIM(INDEX($N$1:$O$1, MATCH(MIN(N965:O965), N965:O965, 0))), 技能库!$A:$F, 5, 0),"建议查阅考纲")&amp;CHAR(10)&amp;"💡 提升建议: "&amp;IFERROR(VLOOKUP(TRIM(D965)&amp;"_"&amp;TRIM(INDEX($N$1:$O$1, MATCH(MIN(N965:O965), N965:O965, 0))), 技能库!$A:$F, 6, 0),"请针对该题型加强练习"))</f>
        <v/>
      </c>
      <c r="AC965" s="5" t="str">
        <f>IF(W965="","", "⚠️ 薄弱环节: "&amp;INDEX($R$1:$V$1, MATCH(MIN(R965:V965), R965:V965, 0))&amp;CHAR(10)&amp;"📉 考察能力: "&amp;IFERROR(VLOOKUP(TRIM(D965)&amp;"_"&amp;TRIM(INDEX($R$1:$V$1, MATCH(MIN(R965:V965), R965:V965, 0))), 技能库!$A:$F, 5, 0),"建议查阅考纲")&amp;CHAR(10)&amp;"💡 提升建议: "&amp;IFERROR(VLOOKUP(TRIM(D965)&amp;"_"&amp;TRIM(INDEX($R$1:$V$1, MATCH(MIN(R965:V965), R965:V965, 0))), 技能库!$A:$F, 6, 0),"请针对该题型加强练习"))</f>
        <v/>
      </c>
    </row>
    <row r="966" spans="12:29" ht="16" hidden="1" x14ac:dyDescent="0.2">
      <c r="L966" t="str">
        <f t="shared" si="60"/>
        <v/>
      </c>
      <c r="M966" t="str">
        <f>IF(L966="","", IFERROR(VLOOKUP(L966, IF(D966="KET", 换算标准!$M:$N, IF(D966="PET", 换算标准!$S:$T, 换算标准!$AC:$AD)), 2, TRUE), 0))</f>
        <v/>
      </c>
      <c r="P966" t="str">
        <f t="shared" si="61"/>
        <v/>
      </c>
      <c r="Q966" t="str">
        <f>IF(P966="","", IFERROR(VLOOKUP(P966, IF(D966="KET", 换算标准!$O:$P, IF(D966="PET", 换算标准!$U:$V, 换算标准!$AG:$AH)), 2, TRUE), 0))</f>
        <v/>
      </c>
      <c r="W966" t="str">
        <f t="shared" si="62"/>
        <v/>
      </c>
      <c r="X966" t="str">
        <f>IF(W966="","", IFERROR(VLOOKUP(W966, IF(D966="KET", 换算标准!$Q:$R, IF(D966="PET", 换算标准!$W:$X, 换算标准!$AI:$AJ)), 2, TRUE), 0))</f>
        <v/>
      </c>
      <c r="Y966" t="str">
        <f t="shared" si="63"/>
        <v/>
      </c>
      <c r="Z966" t="str">
        <f>IF(Y966="","", IFERROR(VLOOKUP(Y966, 换算标准!$Z:$AA, 1, TRUE), ""))</f>
        <v/>
      </c>
      <c r="AA966" s="5" t="str">
        <f>IF(L966="","", "⚠️ 薄弱环节: "&amp;INDEX($E$1:$K$1, MATCH(MIN(E966:K966), E966:K966, 0))&amp;CHAR(10)&amp;"📉 考察能力: "&amp;IFERROR(VLOOKUP(TRIM(D966)&amp;"_"&amp;TRIM(INDEX($E$1:$K$1, MATCH(MIN(E966:K966), E966:K966, 0))), 技能库!$A:$F, 5, 0),"建议查阅考纲")&amp;CHAR(10)&amp;"💡 提升建议: "&amp;IFERROR(VLOOKUP(TRIM(D966)&amp;"_"&amp;TRIM(INDEX($E$1:$K$1, MATCH(MIN(E966:K966), E966:K966, 0))), 技能库!$A:$F, 6, 0),"请针对该题型加强练习"))</f>
        <v/>
      </c>
      <c r="AB966" s="5" t="str">
        <f>IF(P966="","", "⚠️ 薄弱环节: "&amp;INDEX($N$1:$O$1, MATCH(MIN(N966:O966), N966:O966, 0))&amp;CHAR(10)&amp;"📉 考察能力: "&amp;IFERROR(VLOOKUP(TRIM(D966)&amp;"_"&amp;TRIM(INDEX($N$1:$O$1, MATCH(MIN(N966:O966), N966:O966, 0))), 技能库!$A:$F, 5, 0),"建议查阅考纲")&amp;CHAR(10)&amp;"💡 提升建议: "&amp;IFERROR(VLOOKUP(TRIM(D966)&amp;"_"&amp;TRIM(INDEX($N$1:$O$1, MATCH(MIN(N966:O966), N966:O966, 0))), 技能库!$A:$F, 6, 0),"请针对该题型加强练习"))</f>
        <v/>
      </c>
      <c r="AC966" s="5" t="str">
        <f>IF(W966="","", "⚠️ 薄弱环节: "&amp;INDEX($R$1:$V$1, MATCH(MIN(R966:V966), R966:V966, 0))&amp;CHAR(10)&amp;"📉 考察能力: "&amp;IFERROR(VLOOKUP(TRIM(D966)&amp;"_"&amp;TRIM(INDEX($R$1:$V$1, MATCH(MIN(R966:V966), R966:V966, 0))), 技能库!$A:$F, 5, 0),"建议查阅考纲")&amp;CHAR(10)&amp;"💡 提升建议: "&amp;IFERROR(VLOOKUP(TRIM(D966)&amp;"_"&amp;TRIM(INDEX($R$1:$V$1, MATCH(MIN(R966:V966), R966:V966, 0))), 技能库!$A:$F, 6, 0),"请针对该题型加强练习"))</f>
        <v/>
      </c>
    </row>
    <row r="967" spans="12:29" ht="16" hidden="1" x14ac:dyDescent="0.2">
      <c r="L967" t="str">
        <f t="shared" si="60"/>
        <v/>
      </c>
      <c r="M967" t="str">
        <f>IF(L967="","", IFERROR(VLOOKUP(L967, IF(D967="KET", 换算标准!$M:$N, IF(D967="PET", 换算标准!$S:$T, 换算标准!$AC:$AD)), 2, TRUE), 0))</f>
        <v/>
      </c>
      <c r="P967" t="str">
        <f t="shared" si="61"/>
        <v/>
      </c>
      <c r="Q967" t="str">
        <f>IF(P967="","", IFERROR(VLOOKUP(P967, IF(D967="KET", 换算标准!$O:$P, IF(D967="PET", 换算标准!$U:$V, 换算标准!$AG:$AH)), 2, TRUE), 0))</f>
        <v/>
      </c>
      <c r="W967" t="str">
        <f t="shared" si="62"/>
        <v/>
      </c>
      <c r="X967" t="str">
        <f>IF(W967="","", IFERROR(VLOOKUP(W967, IF(D967="KET", 换算标准!$Q:$R, IF(D967="PET", 换算标准!$W:$X, 换算标准!$AI:$AJ)), 2, TRUE), 0))</f>
        <v/>
      </c>
      <c r="Y967" t="str">
        <f t="shared" si="63"/>
        <v/>
      </c>
      <c r="Z967" t="str">
        <f>IF(Y967="","", IFERROR(VLOOKUP(Y967, 换算标准!$Z:$AA, 1, TRUE), ""))</f>
        <v/>
      </c>
      <c r="AA967" s="5" t="str">
        <f>IF(L967="","", "⚠️ 薄弱环节: "&amp;INDEX($E$1:$K$1, MATCH(MIN(E967:K967), E967:K967, 0))&amp;CHAR(10)&amp;"📉 考察能力: "&amp;IFERROR(VLOOKUP(TRIM(D967)&amp;"_"&amp;TRIM(INDEX($E$1:$K$1, MATCH(MIN(E967:K967), E967:K967, 0))), 技能库!$A:$F, 5, 0),"建议查阅考纲")&amp;CHAR(10)&amp;"💡 提升建议: "&amp;IFERROR(VLOOKUP(TRIM(D967)&amp;"_"&amp;TRIM(INDEX($E$1:$K$1, MATCH(MIN(E967:K967), E967:K967, 0))), 技能库!$A:$F, 6, 0),"请针对该题型加强练习"))</f>
        <v/>
      </c>
      <c r="AB967" s="5" t="str">
        <f>IF(P967="","", "⚠️ 薄弱环节: "&amp;INDEX($N$1:$O$1, MATCH(MIN(N967:O967), N967:O967, 0))&amp;CHAR(10)&amp;"📉 考察能力: "&amp;IFERROR(VLOOKUP(TRIM(D967)&amp;"_"&amp;TRIM(INDEX($N$1:$O$1, MATCH(MIN(N967:O967), N967:O967, 0))), 技能库!$A:$F, 5, 0),"建议查阅考纲")&amp;CHAR(10)&amp;"💡 提升建议: "&amp;IFERROR(VLOOKUP(TRIM(D967)&amp;"_"&amp;TRIM(INDEX($N$1:$O$1, MATCH(MIN(N967:O967), N967:O967, 0))), 技能库!$A:$F, 6, 0),"请针对该题型加强练习"))</f>
        <v/>
      </c>
      <c r="AC967" s="5" t="str">
        <f>IF(W967="","", "⚠️ 薄弱环节: "&amp;INDEX($R$1:$V$1, MATCH(MIN(R967:V967), R967:V967, 0))&amp;CHAR(10)&amp;"📉 考察能力: "&amp;IFERROR(VLOOKUP(TRIM(D967)&amp;"_"&amp;TRIM(INDEX($R$1:$V$1, MATCH(MIN(R967:V967), R967:V967, 0))), 技能库!$A:$F, 5, 0),"建议查阅考纲")&amp;CHAR(10)&amp;"💡 提升建议: "&amp;IFERROR(VLOOKUP(TRIM(D967)&amp;"_"&amp;TRIM(INDEX($R$1:$V$1, MATCH(MIN(R967:V967), R967:V967, 0))), 技能库!$A:$F, 6, 0),"请针对该题型加强练习"))</f>
        <v/>
      </c>
    </row>
    <row r="968" spans="12:29" ht="16" hidden="1" x14ac:dyDescent="0.2">
      <c r="L968" t="str">
        <f t="shared" si="60"/>
        <v/>
      </c>
      <c r="M968" t="str">
        <f>IF(L968="","", IFERROR(VLOOKUP(L968, IF(D968="KET", 换算标准!$M:$N, IF(D968="PET", 换算标准!$S:$T, 换算标准!$AC:$AD)), 2, TRUE), 0))</f>
        <v/>
      </c>
      <c r="P968" t="str">
        <f t="shared" si="61"/>
        <v/>
      </c>
      <c r="Q968" t="str">
        <f>IF(P968="","", IFERROR(VLOOKUP(P968, IF(D968="KET", 换算标准!$O:$P, IF(D968="PET", 换算标准!$U:$V, 换算标准!$AG:$AH)), 2, TRUE), 0))</f>
        <v/>
      </c>
      <c r="W968" t="str">
        <f t="shared" si="62"/>
        <v/>
      </c>
      <c r="X968" t="str">
        <f>IF(W968="","", IFERROR(VLOOKUP(W968, IF(D968="KET", 换算标准!$Q:$R, IF(D968="PET", 换算标准!$W:$X, 换算标准!$AI:$AJ)), 2, TRUE), 0))</f>
        <v/>
      </c>
      <c r="Y968" t="str">
        <f t="shared" si="63"/>
        <v/>
      </c>
      <c r="Z968" t="str">
        <f>IF(Y968="","", IFERROR(VLOOKUP(Y968, 换算标准!$Z:$AA, 1, TRUE), ""))</f>
        <v/>
      </c>
      <c r="AA968" s="5" t="str">
        <f>IF(L968="","", "⚠️ 薄弱环节: "&amp;INDEX($E$1:$K$1, MATCH(MIN(E968:K968), E968:K968, 0))&amp;CHAR(10)&amp;"📉 考察能力: "&amp;IFERROR(VLOOKUP(TRIM(D968)&amp;"_"&amp;TRIM(INDEX($E$1:$K$1, MATCH(MIN(E968:K968), E968:K968, 0))), 技能库!$A:$F, 5, 0),"建议查阅考纲")&amp;CHAR(10)&amp;"💡 提升建议: "&amp;IFERROR(VLOOKUP(TRIM(D968)&amp;"_"&amp;TRIM(INDEX($E$1:$K$1, MATCH(MIN(E968:K968), E968:K968, 0))), 技能库!$A:$F, 6, 0),"请针对该题型加强练习"))</f>
        <v/>
      </c>
      <c r="AB968" s="5" t="str">
        <f>IF(P968="","", "⚠️ 薄弱环节: "&amp;INDEX($N$1:$O$1, MATCH(MIN(N968:O968), N968:O968, 0))&amp;CHAR(10)&amp;"📉 考察能力: "&amp;IFERROR(VLOOKUP(TRIM(D968)&amp;"_"&amp;TRIM(INDEX($N$1:$O$1, MATCH(MIN(N968:O968), N968:O968, 0))), 技能库!$A:$F, 5, 0),"建议查阅考纲")&amp;CHAR(10)&amp;"💡 提升建议: "&amp;IFERROR(VLOOKUP(TRIM(D968)&amp;"_"&amp;TRIM(INDEX($N$1:$O$1, MATCH(MIN(N968:O968), N968:O968, 0))), 技能库!$A:$F, 6, 0),"请针对该题型加强练习"))</f>
        <v/>
      </c>
      <c r="AC968" s="5" t="str">
        <f>IF(W968="","", "⚠️ 薄弱环节: "&amp;INDEX($R$1:$V$1, MATCH(MIN(R968:V968), R968:V968, 0))&amp;CHAR(10)&amp;"📉 考察能力: "&amp;IFERROR(VLOOKUP(TRIM(D968)&amp;"_"&amp;TRIM(INDEX($R$1:$V$1, MATCH(MIN(R968:V968), R968:V968, 0))), 技能库!$A:$F, 5, 0),"建议查阅考纲")&amp;CHAR(10)&amp;"💡 提升建议: "&amp;IFERROR(VLOOKUP(TRIM(D968)&amp;"_"&amp;TRIM(INDEX($R$1:$V$1, MATCH(MIN(R968:V968), R968:V968, 0))), 技能库!$A:$F, 6, 0),"请针对该题型加强练习"))</f>
        <v/>
      </c>
    </row>
    <row r="969" spans="12:29" ht="16" hidden="1" x14ac:dyDescent="0.2">
      <c r="L969" t="str">
        <f t="shared" si="60"/>
        <v/>
      </c>
      <c r="M969" t="str">
        <f>IF(L969="","", IFERROR(VLOOKUP(L969, IF(D969="KET", 换算标准!$M:$N, IF(D969="PET", 换算标准!$S:$T, 换算标准!$AC:$AD)), 2, TRUE), 0))</f>
        <v/>
      </c>
      <c r="P969" t="str">
        <f t="shared" si="61"/>
        <v/>
      </c>
      <c r="Q969" t="str">
        <f>IF(P969="","", IFERROR(VLOOKUP(P969, IF(D969="KET", 换算标准!$O:$P, IF(D969="PET", 换算标准!$U:$V, 换算标准!$AG:$AH)), 2, TRUE), 0))</f>
        <v/>
      </c>
      <c r="W969" t="str">
        <f t="shared" si="62"/>
        <v/>
      </c>
      <c r="X969" t="str">
        <f>IF(W969="","", IFERROR(VLOOKUP(W969, IF(D969="KET", 换算标准!$Q:$R, IF(D969="PET", 换算标准!$W:$X, 换算标准!$AI:$AJ)), 2, TRUE), 0))</f>
        <v/>
      </c>
      <c r="Y969" t="str">
        <f t="shared" si="63"/>
        <v/>
      </c>
      <c r="Z969" t="str">
        <f>IF(Y969="","", IFERROR(VLOOKUP(Y969, 换算标准!$Z:$AA, 1, TRUE), ""))</f>
        <v/>
      </c>
      <c r="AA969" s="5" t="str">
        <f>IF(L969="","", "⚠️ 薄弱环节: "&amp;INDEX($E$1:$K$1, MATCH(MIN(E969:K969), E969:K969, 0))&amp;CHAR(10)&amp;"📉 考察能力: "&amp;IFERROR(VLOOKUP(TRIM(D969)&amp;"_"&amp;TRIM(INDEX($E$1:$K$1, MATCH(MIN(E969:K969), E969:K969, 0))), 技能库!$A:$F, 5, 0),"建议查阅考纲")&amp;CHAR(10)&amp;"💡 提升建议: "&amp;IFERROR(VLOOKUP(TRIM(D969)&amp;"_"&amp;TRIM(INDEX($E$1:$K$1, MATCH(MIN(E969:K969), E969:K969, 0))), 技能库!$A:$F, 6, 0),"请针对该题型加强练习"))</f>
        <v/>
      </c>
      <c r="AB969" s="5" t="str">
        <f>IF(P969="","", "⚠️ 薄弱环节: "&amp;INDEX($N$1:$O$1, MATCH(MIN(N969:O969), N969:O969, 0))&amp;CHAR(10)&amp;"📉 考察能力: "&amp;IFERROR(VLOOKUP(TRIM(D969)&amp;"_"&amp;TRIM(INDEX($N$1:$O$1, MATCH(MIN(N969:O969), N969:O969, 0))), 技能库!$A:$F, 5, 0),"建议查阅考纲")&amp;CHAR(10)&amp;"💡 提升建议: "&amp;IFERROR(VLOOKUP(TRIM(D969)&amp;"_"&amp;TRIM(INDEX($N$1:$O$1, MATCH(MIN(N969:O969), N969:O969, 0))), 技能库!$A:$F, 6, 0),"请针对该题型加强练习"))</f>
        <v/>
      </c>
      <c r="AC969" s="5" t="str">
        <f>IF(W969="","", "⚠️ 薄弱环节: "&amp;INDEX($R$1:$V$1, MATCH(MIN(R969:V969), R969:V969, 0))&amp;CHAR(10)&amp;"📉 考察能力: "&amp;IFERROR(VLOOKUP(TRIM(D969)&amp;"_"&amp;TRIM(INDEX($R$1:$V$1, MATCH(MIN(R969:V969), R969:V969, 0))), 技能库!$A:$F, 5, 0),"建议查阅考纲")&amp;CHAR(10)&amp;"💡 提升建议: "&amp;IFERROR(VLOOKUP(TRIM(D969)&amp;"_"&amp;TRIM(INDEX($R$1:$V$1, MATCH(MIN(R969:V969), R969:V969, 0))), 技能库!$A:$F, 6, 0),"请针对该题型加强练习"))</f>
        <v/>
      </c>
    </row>
    <row r="970" spans="12:29" ht="16" hidden="1" x14ac:dyDescent="0.2">
      <c r="L970" t="str">
        <f t="shared" si="60"/>
        <v/>
      </c>
      <c r="M970" t="str">
        <f>IF(L970="","", IFERROR(VLOOKUP(L970, IF(D970="KET", 换算标准!$M:$N, IF(D970="PET", 换算标准!$S:$T, 换算标准!$AC:$AD)), 2, TRUE), 0))</f>
        <v/>
      </c>
      <c r="P970" t="str">
        <f t="shared" si="61"/>
        <v/>
      </c>
      <c r="Q970" t="str">
        <f>IF(P970="","", IFERROR(VLOOKUP(P970, IF(D970="KET", 换算标准!$O:$P, IF(D970="PET", 换算标准!$U:$V, 换算标准!$AG:$AH)), 2, TRUE), 0))</f>
        <v/>
      </c>
      <c r="W970" t="str">
        <f t="shared" si="62"/>
        <v/>
      </c>
      <c r="X970" t="str">
        <f>IF(W970="","", IFERROR(VLOOKUP(W970, IF(D970="KET", 换算标准!$Q:$R, IF(D970="PET", 换算标准!$W:$X, 换算标准!$AI:$AJ)), 2, TRUE), 0))</f>
        <v/>
      </c>
      <c r="Y970" t="str">
        <f t="shared" si="63"/>
        <v/>
      </c>
      <c r="Z970" t="str">
        <f>IF(Y970="","", IFERROR(VLOOKUP(Y970, 换算标准!$Z:$AA, 1, TRUE), ""))</f>
        <v/>
      </c>
      <c r="AA970" s="5" t="str">
        <f>IF(L970="","", "⚠️ 薄弱环节: "&amp;INDEX($E$1:$K$1, MATCH(MIN(E970:K970), E970:K970, 0))&amp;CHAR(10)&amp;"📉 考察能力: "&amp;IFERROR(VLOOKUP(TRIM(D970)&amp;"_"&amp;TRIM(INDEX($E$1:$K$1, MATCH(MIN(E970:K970), E970:K970, 0))), 技能库!$A:$F, 5, 0),"建议查阅考纲")&amp;CHAR(10)&amp;"💡 提升建议: "&amp;IFERROR(VLOOKUP(TRIM(D970)&amp;"_"&amp;TRIM(INDEX($E$1:$K$1, MATCH(MIN(E970:K970), E970:K970, 0))), 技能库!$A:$F, 6, 0),"请针对该题型加强练习"))</f>
        <v/>
      </c>
      <c r="AB970" s="5" t="str">
        <f>IF(P970="","", "⚠️ 薄弱环节: "&amp;INDEX($N$1:$O$1, MATCH(MIN(N970:O970), N970:O970, 0))&amp;CHAR(10)&amp;"📉 考察能力: "&amp;IFERROR(VLOOKUP(TRIM(D970)&amp;"_"&amp;TRIM(INDEX($N$1:$O$1, MATCH(MIN(N970:O970), N970:O970, 0))), 技能库!$A:$F, 5, 0),"建议查阅考纲")&amp;CHAR(10)&amp;"💡 提升建议: "&amp;IFERROR(VLOOKUP(TRIM(D970)&amp;"_"&amp;TRIM(INDEX($N$1:$O$1, MATCH(MIN(N970:O970), N970:O970, 0))), 技能库!$A:$F, 6, 0),"请针对该题型加强练习"))</f>
        <v/>
      </c>
      <c r="AC970" s="5" t="str">
        <f>IF(W970="","", "⚠️ 薄弱环节: "&amp;INDEX($R$1:$V$1, MATCH(MIN(R970:V970), R970:V970, 0))&amp;CHAR(10)&amp;"📉 考察能力: "&amp;IFERROR(VLOOKUP(TRIM(D970)&amp;"_"&amp;TRIM(INDEX($R$1:$V$1, MATCH(MIN(R970:V970), R970:V970, 0))), 技能库!$A:$F, 5, 0),"建议查阅考纲")&amp;CHAR(10)&amp;"💡 提升建议: "&amp;IFERROR(VLOOKUP(TRIM(D970)&amp;"_"&amp;TRIM(INDEX($R$1:$V$1, MATCH(MIN(R970:V970), R970:V970, 0))), 技能库!$A:$F, 6, 0),"请针对该题型加强练习"))</f>
        <v/>
      </c>
    </row>
    <row r="971" spans="12:29" ht="16" hidden="1" x14ac:dyDescent="0.2">
      <c r="L971" t="str">
        <f t="shared" si="60"/>
        <v/>
      </c>
      <c r="M971" t="str">
        <f>IF(L971="","", IFERROR(VLOOKUP(L971, IF(D971="KET", 换算标准!$M:$N, IF(D971="PET", 换算标准!$S:$T, 换算标准!$AC:$AD)), 2, TRUE), 0))</f>
        <v/>
      </c>
      <c r="P971" t="str">
        <f t="shared" si="61"/>
        <v/>
      </c>
      <c r="Q971" t="str">
        <f>IF(P971="","", IFERROR(VLOOKUP(P971, IF(D971="KET", 换算标准!$O:$P, IF(D971="PET", 换算标准!$U:$V, 换算标准!$AG:$AH)), 2, TRUE), 0))</f>
        <v/>
      </c>
      <c r="W971" t="str">
        <f t="shared" si="62"/>
        <v/>
      </c>
      <c r="X971" t="str">
        <f>IF(W971="","", IFERROR(VLOOKUP(W971, IF(D971="KET", 换算标准!$Q:$R, IF(D971="PET", 换算标准!$W:$X, 换算标准!$AI:$AJ)), 2, TRUE), 0))</f>
        <v/>
      </c>
      <c r="Y971" t="str">
        <f t="shared" si="63"/>
        <v/>
      </c>
      <c r="Z971" t="str">
        <f>IF(Y971="","", IFERROR(VLOOKUP(Y971, 换算标准!$Z:$AA, 1, TRUE), ""))</f>
        <v/>
      </c>
      <c r="AA971" s="5" t="str">
        <f>IF(L971="","", "⚠️ 薄弱环节: "&amp;INDEX($E$1:$K$1, MATCH(MIN(E971:K971), E971:K971, 0))&amp;CHAR(10)&amp;"📉 考察能力: "&amp;IFERROR(VLOOKUP(TRIM(D971)&amp;"_"&amp;TRIM(INDEX($E$1:$K$1, MATCH(MIN(E971:K971), E971:K971, 0))), 技能库!$A:$F, 5, 0),"建议查阅考纲")&amp;CHAR(10)&amp;"💡 提升建议: "&amp;IFERROR(VLOOKUP(TRIM(D971)&amp;"_"&amp;TRIM(INDEX($E$1:$K$1, MATCH(MIN(E971:K971), E971:K971, 0))), 技能库!$A:$F, 6, 0),"请针对该题型加强练习"))</f>
        <v/>
      </c>
      <c r="AB971" s="5" t="str">
        <f>IF(P971="","", "⚠️ 薄弱环节: "&amp;INDEX($N$1:$O$1, MATCH(MIN(N971:O971), N971:O971, 0))&amp;CHAR(10)&amp;"📉 考察能力: "&amp;IFERROR(VLOOKUP(TRIM(D971)&amp;"_"&amp;TRIM(INDEX($N$1:$O$1, MATCH(MIN(N971:O971), N971:O971, 0))), 技能库!$A:$F, 5, 0),"建议查阅考纲")&amp;CHAR(10)&amp;"💡 提升建议: "&amp;IFERROR(VLOOKUP(TRIM(D971)&amp;"_"&amp;TRIM(INDEX($N$1:$O$1, MATCH(MIN(N971:O971), N971:O971, 0))), 技能库!$A:$F, 6, 0),"请针对该题型加强练习"))</f>
        <v/>
      </c>
      <c r="AC971" s="5" t="str">
        <f>IF(W971="","", "⚠️ 薄弱环节: "&amp;INDEX($R$1:$V$1, MATCH(MIN(R971:V971), R971:V971, 0))&amp;CHAR(10)&amp;"📉 考察能力: "&amp;IFERROR(VLOOKUP(TRIM(D971)&amp;"_"&amp;TRIM(INDEX($R$1:$V$1, MATCH(MIN(R971:V971), R971:V971, 0))), 技能库!$A:$F, 5, 0),"建议查阅考纲")&amp;CHAR(10)&amp;"💡 提升建议: "&amp;IFERROR(VLOOKUP(TRIM(D971)&amp;"_"&amp;TRIM(INDEX($R$1:$V$1, MATCH(MIN(R971:V971), R971:V971, 0))), 技能库!$A:$F, 6, 0),"请针对该题型加强练习"))</f>
        <v/>
      </c>
    </row>
    <row r="972" spans="12:29" ht="16" hidden="1" x14ac:dyDescent="0.2">
      <c r="L972" t="str">
        <f t="shared" si="60"/>
        <v/>
      </c>
      <c r="M972" t="str">
        <f>IF(L972="","", IFERROR(VLOOKUP(L972, IF(D972="KET", 换算标准!$M:$N, IF(D972="PET", 换算标准!$S:$T, 换算标准!$AC:$AD)), 2, TRUE), 0))</f>
        <v/>
      </c>
      <c r="P972" t="str">
        <f t="shared" si="61"/>
        <v/>
      </c>
      <c r="Q972" t="str">
        <f>IF(P972="","", IFERROR(VLOOKUP(P972, IF(D972="KET", 换算标准!$O:$P, IF(D972="PET", 换算标准!$U:$V, 换算标准!$AG:$AH)), 2, TRUE), 0))</f>
        <v/>
      </c>
      <c r="W972" t="str">
        <f t="shared" si="62"/>
        <v/>
      </c>
      <c r="X972" t="str">
        <f>IF(W972="","", IFERROR(VLOOKUP(W972, IF(D972="KET", 换算标准!$Q:$R, IF(D972="PET", 换算标准!$W:$X, 换算标准!$AI:$AJ)), 2, TRUE), 0))</f>
        <v/>
      </c>
      <c r="Y972" t="str">
        <f t="shared" si="63"/>
        <v/>
      </c>
      <c r="Z972" t="str">
        <f>IF(Y972="","", IFERROR(VLOOKUP(Y972, 换算标准!$Z:$AA, 1, TRUE), ""))</f>
        <v/>
      </c>
      <c r="AA972" s="5" t="str">
        <f>IF(L972="","", "⚠️ 薄弱环节: "&amp;INDEX($E$1:$K$1, MATCH(MIN(E972:K972), E972:K972, 0))&amp;CHAR(10)&amp;"📉 考察能力: "&amp;IFERROR(VLOOKUP(TRIM(D972)&amp;"_"&amp;TRIM(INDEX($E$1:$K$1, MATCH(MIN(E972:K972), E972:K972, 0))), 技能库!$A:$F, 5, 0),"建议查阅考纲")&amp;CHAR(10)&amp;"💡 提升建议: "&amp;IFERROR(VLOOKUP(TRIM(D972)&amp;"_"&amp;TRIM(INDEX($E$1:$K$1, MATCH(MIN(E972:K972), E972:K972, 0))), 技能库!$A:$F, 6, 0),"请针对该题型加强练习"))</f>
        <v/>
      </c>
      <c r="AB972" s="5" t="str">
        <f>IF(P972="","", "⚠️ 薄弱环节: "&amp;INDEX($N$1:$O$1, MATCH(MIN(N972:O972), N972:O972, 0))&amp;CHAR(10)&amp;"📉 考察能力: "&amp;IFERROR(VLOOKUP(TRIM(D972)&amp;"_"&amp;TRIM(INDEX($N$1:$O$1, MATCH(MIN(N972:O972), N972:O972, 0))), 技能库!$A:$F, 5, 0),"建议查阅考纲")&amp;CHAR(10)&amp;"💡 提升建议: "&amp;IFERROR(VLOOKUP(TRIM(D972)&amp;"_"&amp;TRIM(INDEX($N$1:$O$1, MATCH(MIN(N972:O972), N972:O972, 0))), 技能库!$A:$F, 6, 0),"请针对该题型加强练习"))</f>
        <v/>
      </c>
      <c r="AC972" s="5" t="str">
        <f>IF(W972="","", "⚠️ 薄弱环节: "&amp;INDEX($R$1:$V$1, MATCH(MIN(R972:V972), R972:V972, 0))&amp;CHAR(10)&amp;"📉 考察能力: "&amp;IFERROR(VLOOKUP(TRIM(D972)&amp;"_"&amp;TRIM(INDEX($R$1:$V$1, MATCH(MIN(R972:V972), R972:V972, 0))), 技能库!$A:$F, 5, 0),"建议查阅考纲")&amp;CHAR(10)&amp;"💡 提升建议: "&amp;IFERROR(VLOOKUP(TRIM(D972)&amp;"_"&amp;TRIM(INDEX($R$1:$V$1, MATCH(MIN(R972:V972), R972:V972, 0))), 技能库!$A:$F, 6, 0),"请针对该题型加强练习"))</f>
        <v/>
      </c>
    </row>
    <row r="973" spans="12:29" ht="16" hidden="1" x14ac:dyDescent="0.2">
      <c r="L973" t="str">
        <f t="shared" si="60"/>
        <v/>
      </c>
      <c r="M973" t="str">
        <f>IF(L973="","", IFERROR(VLOOKUP(L973, IF(D973="KET", 换算标准!$M:$N, IF(D973="PET", 换算标准!$S:$T, 换算标准!$AC:$AD)), 2, TRUE), 0))</f>
        <v/>
      </c>
      <c r="P973" t="str">
        <f t="shared" si="61"/>
        <v/>
      </c>
      <c r="Q973" t="str">
        <f>IF(P973="","", IFERROR(VLOOKUP(P973, IF(D973="KET", 换算标准!$O:$P, IF(D973="PET", 换算标准!$U:$V, 换算标准!$AG:$AH)), 2, TRUE), 0))</f>
        <v/>
      </c>
      <c r="W973" t="str">
        <f t="shared" si="62"/>
        <v/>
      </c>
      <c r="X973" t="str">
        <f>IF(W973="","", IFERROR(VLOOKUP(W973, IF(D973="KET", 换算标准!$Q:$R, IF(D973="PET", 换算标准!$W:$X, 换算标准!$AI:$AJ)), 2, TRUE), 0))</f>
        <v/>
      </c>
      <c r="Y973" t="str">
        <f t="shared" si="63"/>
        <v/>
      </c>
      <c r="Z973" t="str">
        <f>IF(Y973="","", IFERROR(VLOOKUP(Y973, 换算标准!$Z:$AA, 1, TRUE), ""))</f>
        <v/>
      </c>
      <c r="AA973" s="5" t="str">
        <f>IF(L973="","", "⚠️ 薄弱环节: "&amp;INDEX($E$1:$K$1, MATCH(MIN(E973:K973), E973:K973, 0))&amp;CHAR(10)&amp;"📉 考察能力: "&amp;IFERROR(VLOOKUP(TRIM(D973)&amp;"_"&amp;TRIM(INDEX($E$1:$K$1, MATCH(MIN(E973:K973), E973:K973, 0))), 技能库!$A:$F, 5, 0),"建议查阅考纲")&amp;CHAR(10)&amp;"💡 提升建议: "&amp;IFERROR(VLOOKUP(TRIM(D973)&amp;"_"&amp;TRIM(INDEX($E$1:$K$1, MATCH(MIN(E973:K973), E973:K973, 0))), 技能库!$A:$F, 6, 0),"请针对该题型加强练习"))</f>
        <v/>
      </c>
      <c r="AB973" s="5" t="str">
        <f>IF(P973="","", "⚠️ 薄弱环节: "&amp;INDEX($N$1:$O$1, MATCH(MIN(N973:O973), N973:O973, 0))&amp;CHAR(10)&amp;"📉 考察能力: "&amp;IFERROR(VLOOKUP(TRIM(D973)&amp;"_"&amp;TRIM(INDEX($N$1:$O$1, MATCH(MIN(N973:O973), N973:O973, 0))), 技能库!$A:$F, 5, 0),"建议查阅考纲")&amp;CHAR(10)&amp;"💡 提升建议: "&amp;IFERROR(VLOOKUP(TRIM(D973)&amp;"_"&amp;TRIM(INDEX($N$1:$O$1, MATCH(MIN(N973:O973), N973:O973, 0))), 技能库!$A:$F, 6, 0),"请针对该题型加强练习"))</f>
        <v/>
      </c>
      <c r="AC973" s="5" t="str">
        <f>IF(W973="","", "⚠️ 薄弱环节: "&amp;INDEX($R$1:$V$1, MATCH(MIN(R973:V973), R973:V973, 0))&amp;CHAR(10)&amp;"📉 考察能力: "&amp;IFERROR(VLOOKUP(TRIM(D973)&amp;"_"&amp;TRIM(INDEX($R$1:$V$1, MATCH(MIN(R973:V973), R973:V973, 0))), 技能库!$A:$F, 5, 0),"建议查阅考纲")&amp;CHAR(10)&amp;"💡 提升建议: "&amp;IFERROR(VLOOKUP(TRIM(D973)&amp;"_"&amp;TRIM(INDEX($R$1:$V$1, MATCH(MIN(R973:V973), R973:V973, 0))), 技能库!$A:$F, 6, 0),"请针对该题型加强练习"))</f>
        <v/>
      </c>
    </row>
    <row r="974" spans="12:29" ht="16" hidden="1" x14ac:dyDescent="0.2">
      <c r="L974" t="str">
        <f t="shared" si="60"/>
        <v/>
      </c>
      <c r="M974" t="str">
        <f>IF(L974="","", IFERROR(VLOOKUP(L974, IF(D974="KET", 换算标准!$M:$N, IF(D974="PET", 换算标准!$S:$T, 换算标准!$AC:$AD)), 2, TRUE), 0))</f>
        <v/>
      </c>
      <c r="P974" t="str">
        <f t="shared" si="61"/>
        <v/>
      </c>
      <c r="Q974" t="str">
        <f>IF(P974="","", IFERROR(VLOOKUP(P974, IF(D974="KET", 换算标准!$O:$P, IF(D974="PET", 换算标准!$U:$V, 换算标准!$AG:$AH)), 2, TRUE), 0))</f>
        <v/>
      </c>
      <c r="W974" t="str">
        <f t="shared" si="62"/>
        <v/>
      </c>
      <c r="X974" t="str">
        <f>IF(W974="","", IFERROR(VLOOKUP(W974, IF(D974="KET", 换算标准!$Q:$R, IF(D974="PET", 换算标准!$W:$X, 换算标准!$AI:$AJ)), 2, TRUE), 0))</f>
        <v/>
      </c>
      <c r="Y974" t="str">
        <f t="shared" si="63"/>
        <v/>
      </c>
      <c r="Z974" t="str">
        <f>IF(Y974="","", IFERROR(VLOOKUP(Y974, 换算标准!$Z:$AA, 1, TRUE), ""))</f>
        <v/>
      </c>
      <c r="AA974" s="5" t="str">
        <f>IF(L974="","", "⚠️ 薄弱环节: "&amp;INDEX($E$1:$K$1, MATCH(MIN(E974:K974), E974:K974, 0))&amp;CHAR(10)&amp;"📉 考察能力: "&amp;IFERROR(VLOOKUP(TRIM(D974)&amp;"_"&amp;TRIM(INDEX($E$1:$K$1, MATCH(MIN(E974:K974), E974:K974, 0))), 技能库!$A:$F, 5, 0),"建议查阅考纲")&amp;CHAR(10)&amp;"💡 提升建议: "&amp;IFERROR(VLOOKUP(TRIM(D974)&amp;"_"&amp;TRIM(INDEX($E$1:$K$1, MATCH(MIN(E974:K974), E974:K974, 0))), 技能库!$A:$F, 6, 0),"请针对该题型加强练习"))</f>
        <v/>
      </c>
      <c r="AB974" s="5" t="str">
        <f>IF(P974="","", "⚠️ 薄弱环节: "&amp;INDEX($N$1:$O$1, MATCH(MIN(N974:O974), N974:O974, 0))&amp;CHAR(10)&amp;"📉 考察能力: "&amp;IFERROR(VLOOKUP(TRIM(D974)&amp;"_"&amp;TRIM(INDEX($N$1:$O$1, MATCH(MIN(N974:O974), N974:O974, 0))), 技能库!$A:$F, 5, 0),"建议查阅考纲")&amp;CHAR(10)&amp;"💡 提升建议: "&amp;IFERROR(VLOOKUP(TRIM(D974)&amp;"_"&amp;TRIM(INDEX($N$1:$O$1, MATCH(MIN(N974:O974), N974:O974, 0))), 技能库!$A:$F, 6, 0),"请针对该题型加强练习"))</f>
        <v/>
      </c>
      <c r="AC974" s="5" t="str">
        <f>IF(W974="","", "⚠️ 薄弱环节: "&amp;INDEX($R$1:$V$1, MATCH(MIN(R974:V974), R974:V974, 0))&amp;CHAR(10)&amp;"📉 考察能力: "&amp;IFERROR(VLOOKUP(TRIM(D974)&amp;"_"&amp;TRIM(INDEX($R$1:$V$1, MATCH(MIN(R974:V974), R974:V974, 0))), 技能库!$A:$F, 5, 0),"建议查阅考纲")&amp;CHAR(10)&amp;"💡 提升建议: "&amp;IFERROR(VLOOKUP(TRIM(D974)&amp;"_"&amp;TRIM(INDEX($R$1:$V$1, MATCH(MIN(R974:V974), R974:V974, 0))), 技能库!$A:$F, 6, 0),"请针对该题型加强练习"))</f>
        <v/>
      </c>
    </row>
    <row r="975" spans="12:29" ht="16" hidden="1" x14ac:dyDescent="0.2">
      <c r="L975" t="str">
        <f t="shared" si="60"/>
        <v/>
      </c>
      <c r="M975" t="str">
        <f>IF(L975="","", IFERROR(VLOOKUP(L975, IF(D975="KET", 换算标准!$M:$N, IF(D975="PET", 换算标准!$S:$T, 换算标准!$AC:$AD)), 2, TRUE), 0))</f>
        <v/>
      </c>
      <c r="P975" t="str">
        <f t="shared" si="61"/>
        <v/>
      </c>
      <c r="Q975" t="str">
        <f>IF(P975="","", IFERROR(VLOOKUP(P975, IF(D975="KET", 换算标准!$O:$P, IF(D975="PET", 换算标准!$U:$V, 换算标准!$AG:$AH)), 2, TRUE), 0))</f>
        <v/>
      </c>
      <c r="W975" t="str">
        <f t="shared" si="62"/>
        <v/>
      </c>
      <c r="X975" t="str">
        <f>IF(W975="","", IFERROR(VLOOKUP(W975, IF(D975="KET", 换算标准!$Q:$R, IF(D975="PET", 换算标准!$W:$X, 换算标准!$AI:$AJ)), 2, TRUE), 0))</f>
        <v/>
      </c>
      <c r="Y975" t="str">
        <f t="shared" si="63"/>
        <v/>
      </c>
      <c r="Z975" t="str">
        <f>IF(Y975="","", IFERROR(VLOOKUP(Y975, 换算标准!$Z:$AA, 1, TRUE), ""))</f>
        <v/>
      </c>
      <c r="AA975" s="5" t="str">
        <f>IF(L975="","", "⚠️ 薄弱环节: "&amp;INDEX($E$1:$K$1, MATCH(MIN(E975:K975), E975:K975, 0))&amp;CHAR(10)&amp;"📉 考察能力: "&amp;IFERROR(VLOOKUP(TRIM(D975)&amp;"_"&amp;TRIM(INDEX($E$1:$K$1, MATCH(MIN(E975:K975), E975:K975, 0))), 技能库!$A:$F, 5, 0),"建议查阅考纲")&amp;CHAR(10)&amp;"💡 提升建议: "&amp;IFERROR(VLOOKUP(TRIM(D975)&amp;"_"&amp;TRIM(INDEX($E$1:$K$1, MATCH(MIN(E975:K975), E975:K975, 0))), 技能库!$A:$F, 6, 0),"请针对该题型加强练习"))</f>
        <v/>
      </c>
      <c r="AB975" s="5" t="str">
        <f>IF(P975="","", "⚠️ 薄弱环节: "&amp;INDEX($N$1:$O$1, MATCH(MIN(N975:O975), N975:O975, 0))&amp;CHAR(10)&amp;"📉 考察能力: "&amp;IFERROR(VLOOKUP(TRIM(D975)&amp;"_"&amp;TRIM(INDEX($N$1:$O$1, MATCH(MIN(N975:O975), N975:O975, 0))), 技能库!$A:$F, 5, 0),"建议查阅考纲")&amp;CHAR(10)&amp;"💡 提升建议: "&amp;IFERROR(VLOOKUP(TRIM(D975)&amp;"_"&amp;TRIM(INDEX($N$1:$O$1, MATCH(MIN(N975:O975), N975:O975, 0))), 技能库!$A:$F, 6, 0),"请针对该题型加强练习"))</f>
        <v/>
      </c>
      <c r="AC975" s="5" t="str">
        <f>IF(W975="","", "⚠️ 薄弱环节: "&amp;INDEX($R$1:$V$1, MATCH(MIN(R975:V975), R975:V975, 0))&amp;CHAR(10)&amp;"📉 考察能力: "&amp;IFERROR(VLOOKUP(TRIM(D975)&amp;"_"&amp;TRIM(INDEX($R$1:$V$1, MATCH(MIN(R975:V975), R975:V975, 0))), 技能库!$A:$F, 5, 0),"建议查阅考纲")&amp;CHAR(10)&amp;"💡 提升建议: "&amp;IFERROR(VLOOKUP(TRIM(D975)&amp;"_"&amp;TRIM(INDEX($R$1:$V$1, MATCH(MIN(R975:V975), R975:V975, 0))), 技能库!$A:$F, 6, 0),"请针对该题型加强练习"))</f>
        <v/>
      </c>
    </row>
    <row r="976" spans="12:29" ht="16" hidden="1" x14ac:dyDescent="0.2">
      <c r="L976" t="str">
        <f t="shared" si="60"/>
        <v/>
      </c>
      <c r="M976" t="str">
        <f>IF(L976="","", IFERROR(VLOOKUP(L976, IF(D976="KET", 换算标准!$M:$N, IF(D976="PET", 换算标准!$S:$T, 换算标准!$AC:$AD)), 2, TRUE), 0))</f>
        <v/>
      </c>
      <c r="P976" t="str">
        <f t="shared" si="61"/>
        <v/>
      </c>
      <c r="Q976" t="str">
        <f>IF(P976="","", IFERROR(VLOOKUP(P976, IF(D976="KET", 换算标准!$O:$P, IF(D976="PET", 换算标准!$U:$V, 换算标准!$AG:$AH)), 2, TRUE), 0))</f>
        <v/>
      </c>
      <c r="W976" t="str">
        <f t="shared" si="62"/>
        <v/>
      </c>
      <c r="X976" t="str">
        <f>IF(W976="","", IFERROR(VLOOKUP(W976, IF(D976="KET", 换算标准!$Q:$R, IF(D976="PET", 换算标准!$W:$X, 换算标准!$AI:$AJ)), 2, TRUE), 0))</f>
        <v/>
      </c>
      <c r="Y976" t="str">
        <f t="shared" si="63"/>
        <v/>
      </c>
      <c r="Z976" t="str">
        <f>IF(Y976="","", IFERROR(VLOOKUP(Y976, 换算标准!$Z:$AA, 1, TRUE), ""))</f>
        <v/>
      </c>
      <c r="AA976" s="5" t="str">
        <f>IF(L976="","", "⚠️ 薄弱环节: "&amp;INDEX($E$1:$K$1, MATCH(MIN(E976:K976), E976:K976, 0))&amp;CHAR(10)&amp;"📉 考察能力: "&amp;IFERROR(VLOOKUP(TRIM(D976)&amp;"_"&amp;TRIM(INDEX($E$1:$K$1, MATCH(MIN(E976:K976), E976:K976, 0))), 技能库!$A:$F, 5, 0),"建议查阅考纲")&amp;CHAR(10)&amp;"💡 提升建议: "&amp;IFERROR(VLOOKUP(TRIM(D976)&amp;"_"&amp;TRIM(INDEX($E$1:$K$1, MATCH(MIN(E976:K976), E976:K976, 0))), 技能库!$A:$F, 6, 0),"请针对该题型加强练习"))</f>
        <v/>
      </c>
      <c r="AB976" s="5" t="str">
        <f>IF(P976="","", "⚠️ 薄弱环节: "&amp;INDEX($N$1:$O$1, MATCH(MIN(N976:O976), N976:O976, 0))&amp;CHAR(10)&amp;"📉 考察能力: "&amp;IFERROR(VLOOKUP(TRIM(D976)&amp;"_"&amp;TRIM(INDEX($N$1:$O$1, MATCH(MIN(N976:O976), N976:O976, 0))), 技能库!$A:$F, 5, 0),"建议查阅考纲")&amp;CHAR(10)&amp;"💡 提升建议: "&amp;IFERROR(VLOOKUP(TRIM(D976)&amp;"_"&amp;TRIM(INDEX($N$1:$O$1, MATCH(MIN(N976:O976), N976:O976, 0))), 技能库!$A:$F, 6, 0),"请针对该题型加强练习"))</f>
        <v/>
      </c>
      <c r="AC976" s="5" t="str">
        <f>IF(W976="","", "⚠️ 薄弱环节: "&amp;INDEX($R$1:$V$1, MATCH(MIN(R976:V976), R976:V976, 0))&amp;CHAR(10)&amp;"📉 考察能力: "&amp;IFERROR(VLOOKUP(TRIM(D976)&amp;"_"&amp;TRIM(INDEX($R$1:$V$1, MATCH(MIN(R976:V976), R976:V976, 0))), 技能库!$A:$F, 5, 0),"建议查阅考纲")&amp;CHAR(10)&amp;"💡 提升建议: "&amp;IFERROR(VLOOKUP(TRIM(D976)&amp;"_"&amp;TRIM(INDEX($R$1:$V$1, MATCH(MIN(R976:V976), R976:V976, 0))), 技能库!$A:$F, 6, 0),"请针对该题型加强练习"))</f>
        <v/>
      </c>
    </row>
    <row r="977" spans="12:29" ht="16" hidden="1" x14ac:dyDescent="0.2">
      <c r="L977" t="str">
        <f t="shared" si="60"/>
        <v/>
      </c>
      <c r="M977" t="str">
        <f>IF(L977="","", IFERROR(VLOOKUP(L977, IF(D977="KET", 换算标准!$M:$N, IF(D977="PET", 换算标准!$S:$T, 换算标准!$AC:$AD)), 2, TRUE), 0))</f>
        <v/>
      </c>
      <c r="P977" t="str">
        <f t="shared" si="61"/>
        <v/>
      </c>
      <c r="Q977" t="str">
        <f>IF(P977="","", IFERROR(VLOOKUP(P977, IF(D977="KET", 换算标准!$O:$P, IF(D977="PET", 换算标准!$U:$V, 换算标准!$AG:$AH)), 2, TRUE), 0))</f>
        <v/>
      </c>
      <c r="W977" t="str">
        <f t="shared" si="62"/>
        <v/>
      </c>
      <c r="X977" t="str">
        <f>IF(W977="","", IFERROR(VLOOKUP(W977, IF(D977="KET", 换算标准!$Q:$R, IF(D977="PET", 换算标准!$W:$X, 换算标准!$AI:$AJ)), 2, TRUE), 0))</f>
        <v/>
      </c>
      <c r="Y977" t="str">
        <f t="shared" si="63"/>
        <v/>
      </c>
      <c r="Z977" t="str">
        <f>IF(Y977="","", IFERROR(VLOOKUP(Y977, 换算标准!$Z:$AA, 1, TRUE), ""))</f>
        <v/>
      </c>
      <c r="AA977" s="5" t="str">
        <f>IF(L977="","", "⚠️ 薄弱环节: "&amp;INDEX($E$1:$K$1, MATCH(MIN(E977:K977), E977:K977, 0))&amp;CHAR(10)&amp;"📉 考察能力: "&amp;IFERROR(VLOOKUP(TRIM(D977)&amp;"_"&amp;TRIM(INDEX($E$1:$K$1, MATCH(MIN(E977:K977), E977:K977, 0))), 技能库!$A:$F, 5, 0),"建议查阅考纲")&amp;CHAR(10)&amp;"💡 提升建议: "&amp;IFERROR(VLOOKUP(TRIM(D977)&amp;"_"&amp;TRIM(INDEX($E$1:$K$1, MATCH(MIN(E977:K977), E977:K977, 0))), 技能库!$A:$F, 6, 0),"请针对该题型加强练习"))</f>
        <v/>
      </c>
      <c r="AB977" s="5" t="str">
        <f>IF(P977="","", "⚠️ 薄弱环节: "&amp;INDEX($N$1:$O$1, MATCH(MIN(N977:O977), N977:O977, 0))&amp;CHAR(10)&amp;"📉 考察能力: "&amp;IFERROR(VLOOKUP(TRIM(D977)&amp;"_"&amp;TRIM(INDEX($N$1:$O$1, MATCH(MIN(N977:O977), N977:O977, 0))), 技能库!$A:$F, 5, 0),"建议查阅考纲")&amp;CHAR(10)&amp;"💡 提升建议: "&amp;IFERROR(VLOOKUP(TRIM(D977)&amp;"_"&amp;TRIM(INDEX($N$1:$O$1, MATCH(MIN(N977:O977), N977:O977, 0))), 技能库!$A:$F, 6, 0),"请针对该题型加强练习"))</f>
        <v/>
      </c>
      <c r="AC977" s="5" t="str">
        <f>IF(W977="","", "⚠️ 薄弱环节: "&amp;INDEX($R$1:$V$1, MATCH(MIN(R977:V977), R977:V977, 0))&amp;CHAR(10)&amp;"📉 考察能力: "&amp;IFERROR(VLOOKUP(TRIM(D977)&amp;"_"&amp;TRIM(INDEX($R$1:$V$1, MATCH(MIN(R977:V977), R977:V977, 0))), 技能库!$A:$F, 5, 0),"建议查阅考纲")&amp;CHAR(10)&amp;"💡 提升建议: "&amp;IFERROR(VLOOKUP(TRIM(D977)&amp;"_"&amp;TRIM(INDEX($R$1:$V$1, MATCH(MIN(R977:V977), R977:V977, 0))), 技能库!$A:$F, 6, 0),"请针对该题型加强练习"))</f>
        <v/>
      </c>
    </row>
    <row r="978" spans="12:29" ht="16" hidden="1" x14ac:dyDescent="0.2">
      <c r="L978" t="str">
        <f t="shared" si="60"/>
        <v/>
      </c>
      <c r="M978" t="str">
        <f>IF(L978="","", IFERROR(VLOOKUP(L978, IF(D978="KET", 换算标准!$M:$N, IF(D978="PET", 换算标准!$S:$T, 换算标准!$AC:$AD)), 2, TRUE), 0))</f>
        <v/>
      </c>
      <c r="P978" t="str">
        <f t="shared" si="61"/>
        <v/>
      </c>
      <c r="Q978" t="str">
        <f>IF(P978="","", IFERROR(VLOOKUP(P978, IF(D978="KET", 换算标准!$O:$P, IF(D978="PET", 换算标准!$U:$V, 换算标准!$AG:$AH)), 2, TRUE), 0))</f>
        <v/>
      </c>
      <c r="W978" t="str">
        <f t="shared" si="62"/>
        <v/>
      </c>
      <c r="X978" t="str">
        <f>IF(W978="","", IFERROR(VLOOKUP(W978, IF(D978="KET", 换算标准!$Q:$R, IF(D978="PET", 换算标准!$W:$X, 换算标准!$AI:$AJ)), 2, TRUE), 0))</f>
        <v/>
      </c>
      <c r="Y978" t="str">
        <f t="shared" si="63"/>
        <v/>
      </c>
      <c r="Z978" t="str">
        <f>IF(Y978="","", IFERROR(VLOOKUP(Y978, 换算标准!$Z:$AA, 1, TRUE), ""))</f>
        <v/>
      </c>
      <c r="AA978" s="5" t="str">
        <f>IF(L978="","", "⚠️ 薄弱环节: "&amp;INDEX($E$1:$K$1, MATCH(MIN(E978:K978), E978:K978, 0))&amp;CHAR(10)&amp;"📉 考察能力: "&amp;IFERROR(VLOOKUP(TRIM(D978)&amp;"_"&amp;TRIM(INDEX($E$1:$K$1, MATCH(MIN(E978:K978), E978:K978, 0))), 技能库!$A:$F, 5, 0),"建议查阅考纲")&amp;CHAR(10)&amp;"💡 提升建议: "&amp;IFERROR(VLOOKUP(TRIM(D978)&amp;"_"&amp;TRIM(INDEX($E$1:$K$1, MATCH(MIN(E978:K978), E978:K978, 0))), 技能库!$A:$F, 6, 0),"请针对该题型加强练习"))</f>
        <v/>
      </c>
      <c r="AB978" s="5" t="str">
        <f>IF(P978="","", "⚠️ 薄弱环节: "&amp;INDEX($N$1:$O$1, MATCH(MIN(N978:O978), N978:O978, 0))&amp;CHAR(10)&amp;"📉 考察能力: "&amp;IFERROR(VLOOKUP(TRIM(D978)&amp;"_"&amp;TRIM(INDEX($N$1:$O$1, MATCH(MIN(N978:O978), N978:O978, 0))), 技能库!$A:$F, 5, 0),"建议查阅考纲")&amp;CHAR(10)&amp;"💡 提升建议: "&amp;IFERROR(VLOOKUP(TRIM(D978)&amp;"_"&amp;TRIM(INDEX($N$1:$O$1, MATCH(MIN(N978:O978), N978:O978, 0))), 技能库!$A:$F, 6, 0),"请针对该题型加强练习"))</f>
        <v/>
      </c>
      <c r="AC978" s="5" t="str">
        <f>IF(W978="","", "⚠️ 薄弱环节: "&amp;INDEX($R$1:$V$1, MATCH(MIN(R978:V978), R978:V978, 0))&amp;CHAR(10)&amp;"📉 考察能力: "&amp;IFERROR(VLOOKUP(TRIM(D978)&amp;"_"&amp;TRIM(INDEX($R$1:$V$1, MATCH(MIN(R978:V978), R978:V978, 0))), 技能库!$A:$F, 5, 0),"建议查阅考纲")&amp;CHAR(10)&amp;"💡 提升建议: "&amp;IFERROR(VLOOKUP(TRIM(D978)&amp;"_"&amp;TRIM(INDEX($R$1:$V$1, MATCH(MIN(R978:V978), R978:V978, 0))), 技能库!$A:$F, 6, 0),"请针对该题型加强练习"))</f>
        <v/>
      </c>
    </row>
    <row r="979" spans="12:29" ht="16" hidden="1" x14ac:dyDescent="0.2">
      <c r="L979" t="str">
        <f t="shared" si="60"/>
        <v/>
      </c>
      <c r="M979" t="str">
        <f>IF(L979="","", IFERROR(VLOOKUP(L979, IF(D979="KET", 换算标准!$M:$N, IF(D979="PET", 换算标准!$S:$T, 换算标准!$AC:$AD)), 2, TRUE), 0))</f>
        <v/>
      </c>
      <c r="P979" t="str">
        <f t="shared" si="61"/>
        <v/>
      </c>
      <c r="Q979" t="str">
        <f>IF(P979="","", IFERROR(VLOOKUP(P979, IF(D979="KET", 换算标准!$O:$P, IF(D979="PET", 换算标准!$U:$V, 换算标准!$AG:$AH)), 2, TRUE), 0))</f>
        <v/>
      </c>
      <c r="W979" t="str">
        <f t="shared" si="62"/>
        <v/>
      </c>
      <c r="X979" t="str">
        <f>IF(W979="","", IFERROR(VLOOKUP(W979, IF(D979="KET", 换算标准!$Q:$R, IF(D979="PET", 换算标准!$W:$X, 换算标准!$AI:$AJ)), 2, TRUE), 0))</f>
        <v/>
      </c>
      <c r="Y979" t="str">
        <f t="shared" si="63"/>
        <v/>
      </c>
      <c r="Z979" t="str">
        <f>IF(Y979="","", IFERROR(VLOOKUP(Y979, 换算标准!$Z:$AA, 1, TRUE), ""))</f>
        <v/>
      </c>
      <c r="AA979" s="5" t="str">
        <f>IF(L979="","", "⚠️ 薄弱环节: "&amp;INDEX($E$1:$K$1, MATCH(MIN(E979:K979), E979:K979, 0))&amp;CHAR(10)&amp;"📉 考察能力: "&amp;IFERROR(VLOOKUP(TRIM(D979)&amp;"_"&amp;TRIM(INDEX($E$1:$K$1, MATCH(MIN(E979:K979), E979:K979, 0))), 技能库!$A:$F, 5, 0),"建议查阅考纲")&amp;CHAR(10)&amp;"💡 提升建议: "&amp;IFERROR(VLOOKUP(TRIM(D979)&amp;"_"&amp;TRIM(INDEX($E$1:$K$1, MATCH(MIN(E979:K979), E979:K979, 0))), 技能库!$A:$F, 6, 0),"请针对该题型加强练习"))</f>
        <v/>
      </c>
      <c r="AB979" s="5" t="str">
        <f>IF(P979="","", "⚠️ 薄弱环节: "&amp;INDEX($N$1:$O$1, MATCH(MIN(N979:O979), N979:O979, 0))&amp;CHAR(10)&amp;"📉 考察能力: "&amp;IFERROR(VLOOKUP(TRIM(D979)&amp;"_"&amp;TRIM(INDEX($N$1:$O$1, MATCH(MIN(N979:O979), N979:O979, 0))), 技能库!$A:$F, 5, 0),"建议查阅考纲")&amp;CHAR(10)&amp;"💡 提升建议: "&amp;IFERROR(VLOOKUP(TRIM(D979)&amp;"_"&amp;TRIM(INDEX($N$1:$O$1, MATCH(MIN(N979:O979), N979:O979, 0))), 技能库!$A:$F, 6, 0),"请针对该题型加强练习"))</f>
        <v/>
      </c>
      <c r="AC979" s="5" t="str">
        <f>IF(W979="","", "⚠️ 薄弱环节: "&amp;INDEX($R$1:$V$1, MATCH(MIN(R979:V979), R979:V979, 0))&amp;CHAR(10)&amp;"📉 考察能力: "&amp;IFERROR(VLOOKUP(TRIM(D979)&amp;"_"&amp;TRIM(INDEX($R$1:$V$1, MATCH(MIN(R979:V979), R979:V979, 0))), 技能库!$A:$F, 5, 0),"建议查阅考纲")&amp;CHAR(10)&amp;"💡 提升建议: "&amp;IFERROR(VLOOKUP(TRIM(D979)&amp;"_"&amp;TRIM(INDEX($R$1:$V$1, MATCH(MIN(R979:V979), R979:V979, 0))), 技能库!$A:$F, 6, 0),"请针对该题型加强练习"))</f>
        <v/>
      </c>
    </row>
    <row r="980" spans="12:29" ht="16" hidden="1" x14ac:dyDescent="0.2">
      <c r="L980" t="str">
        <f t="shared" si="60"/>
        <v/>
      </c>
      <c r="M980" t="str">
        <f>IF(L980="","", IFERROR(VLOOKUP(L980, IF(D980="KET", 换算标准!$M:$N, IF(D980="PET", 换算标准!$S:$T, 换算标准!$AC:$AD)), 2, TRUE), 0))</f>
        <v/>
      </c>
      <c r="P980" t="str">
        <f t="shared" si="61"/>
        <v/>
      </c>
      <c r="Q980" t="str">
        <f>IF(P980="","", IFERROR(VLOOKUP(P980, IF(D980="KET", 换算标准!$O:$P, IF(D980="PET", 换算标准!$U:$V, 换算标准!$AG:$AH)), 2, TRUE), 0))</f>
        <v/>
      </c>
      <c r="W980" t="str">
        <f t="shared" si="62"/>
        <v/>
      </c>
      <c r="X980" t="str">
        <f>IF(W980="","", IFERROR(VLOOKUP(W980, IF(D980="KET", 换算标准!$Q:$R, IF(D980="PET", 换算标准!$W:$X, 换算标准!$AI:$AJ)), 2, TRUE), 0))</f>
        <v/>
      </c>
      <c r="Y980" t="str">
        <f t="shared" si="63"/>
        <v/>
      </c>
      <c r="Z980" t="str">
        <f>IF(Y980="","", IFERROR(VLOOKUP(Y980, 换算标准!$Z:$AA, 1, TRUE), ""))</f>
        <v/>
      </c>
      <c r="AA980" s="5" t="str">
        <f>IF(L980="","", "⚠️ 薄弱环节: "&amp;INDEX($E$1:$K$1, MATCH(MIN(E980:K980), E980:K980, 0))&amp;CHAR(10)&amp;"📉 考察能力: "&amp;IFERROR(VLOOKUP(TRIM(D980)&amp;"_"&amp;TRIM(INDEX($E$1:$K$1, MATCH(MIN(E980:K980), E980:K980, 0))), 技能库!$A:$F, 5, 0),"建议查阅考纲")&amp;CHAR(10)&amp;"💡 提升建议: "&amp;IFERROR(VLOOKUP(TRIM(D980)&amp;"_"&amp;TRIM(INDEX($E$1:$K$1, MATCH(MIN(E980:K980), E980:K980, 0))), 技能库!$A:$F, 6, 0),"请针对该题型加强练习"))</f>
        <v/>
      </c>
      <c r="AB980" s="5" t="str">
        <f>IF(P980="","", "⚠️ 薄弱环节: "&amp;INDEX($N$1:$O$1, MATCH(MIN(N980:O980), N980:O980, 0))&amp;CHAR(10)&amp;"📉 考察能力: "&amp;IFERROR(VLOOKUP(TRIM(D980)&amp;"_"&amp;TRIM(INDEX($N$1:$O$1, MATCH(MIN(N980:O980), N980:O980, 0))), 技能库!$A:$F, 5, 0),"建议查阅考纲")&amp;CHAR(10)&amp;"💡 提升建议: "&amp;IFERROR(VLOOKUP(TRIM(D980)&amp;"_"&amp;TRIM(INDEX($N$1:$O$1, MATCH(MIN(N980:O980), N980:O980, 0))), 技能库!$A:$F, 6, 0),"请针对该题型加强练习"))</f>
        <v/>
      </c>
      <c r="AC980" s="5" t="str">
        <f>IF(W980="","", "⚠️ 薄弱环节: "&amp;INDEX($R$1:$V$1, MATCH(MIN(R980:V980), R980:V980, 0))&amp;CHAR(10)&amp;"📉 考察能力: "&amp;IFERROR(VLOOKUP(TRIM(D980)&amp;"_"&amp;TRIM(INDEX($R$1:$V$1, MATCH(MIN(R980:V980), R980:V980, 0))), 技能库!$A:$F, 5, 0),"建议查阅考纲")&amp;CHAR(10)&amp;"💡 提升建议: "&amp;IFERROR(VLOOKUP(TRIM(D980)&amp;"_"&amp;TRIM(INDEX($R$1:$V$1, MATCH(MIN(R980:V980), R980:V980, 0))), 技能库!$A:$F, 6, 0),"请针对该题型加强练习"))</f>
        <v/>
      </c>
    </row>
    <row r="981" spans="12:29" ht="16" hidden="1" x14ac:dyDescent="0.2">
      <c r="L981" t="str">
        <f t="shared" si="60"/>
        <v/>
      </c>
      <c r="M981" t="str">
        <f>IF(L981="","", IFERROR(VLOOKUP(L981, IF(D981="KET", 换算标准!$M:$N, IF(D981="PET", 换算标准!$S:$T, 换算标准!$AC:$AD)), 2, TRUE), 0))</f>
        <v/>
      </c>
      <c r="P981" t="str">
        <f t="shared" si="61"/>
        <v/>
      </c>
      <c r="Q981" t="str">
        <f>IF(P981="","", IFERROR(VLOOKUP(P981, IF(D981="KET", 换算标准!$O:$P, IF(D981="PET", 换算标准!$U:$V, 换算标准!$AG:$AH)), 2, TRUE), 0))</f>
        <v/>
      </c>
      <c r="W981" t="str">
        <f t="shared" si="62"/>
        <v/>
      </c>
      <c r="X981" t="str">
        <f>IF(W981="","", IFERROR(VLOOKUP(W981, IF(D981="KET", 换算标准!$Q:$R, IF(D981="PET", 换算标准!$W:$X, 换算标准!$AI:$AJ)), 2, TRUE), 0))</f>
        <v/>
      </c>
      <c r="Y981" t="str">
        <f t="shared" si="63"/>
        <v/>
      </c>
      <c r="Z981" t="str">
        <f>IF(Y981="","", IFERROR(VLOOKUP(Y981, 换算标准!$Z:$AA, 1, TRUE), ""))</f>
        <v/>
      </c>
      <c r="AA981" s="5" t="str">
        <f>IF(L981="","", "⚠️ 薄弱环节: "&amp;INDEX($E$1:$K$1, MATCH(MIN(E981:K981), E981:K981, 0))&amp;CHAR(10)&amp;"📉 考察能力: "&amp;IFERROR(VLOOKUP(TRIM(D981)&amp;"_"&amp;TRIM(INDEX($E$1:$K$1, MATCH(MIN(E981:K981), E981:K981, 0))), 技能库!$A:$F, 5, 0),"建议查阅考纲")&amp;CHAR(10)&amp;"💡 提升建议: "&amp;IFERROR(VLOOKUP(TRIM(D981)&amp;"_"&amp;TRIM(INDEX($E$1:$K$1, MATCH(MIN(E981:K981), E981:K981, 0))), 技能库!$A:$F, 6, 0),"请针对该题型加强练习"))</f>
        <v/>
      </c>
      <c r="AB981" s="5" t="str">
        <f>IF(P981="","", "⚠️ 薄弱环节: "&amp;INDEX($N$1:$O$1, MATCH(MIN(N981:O981), N981:O981, 0))&amp;CHAR(10)&amp;"📉 考察能力: "&amp;IFERROR(VLOOKUP(TRIM(D981)&amp;"_"&amp;TRIM(INDEX($N$1:$O$1, MATCH(MIN(N981:O981), N981:O981, 0))), 技能库!$A:$F, 5, 0),"建议查阅考纲")&amp;CHAR(10)&amp;"💡 提升建议: "&amp;IFERROR(VLOOKUP(TRIM(D981)&amp;"_"&amp;TRIM(INDEX($N$1:$O$1, MATCH(MIN(N981:O981), N981:O981, 0))), 技能库!$A:$F, 6, 0),"请针对该题型加强练习"))</f>
        <v/>
      </c>
      <c r="AC981" s="5" t="str">
        <f>IF(W981="","", "⚠️ 薄弱环节: "&amp;INDEX($R$1:$V$1, MATCH(MIN(R981:V981), R981:V981, 0))&amp;CHAR(10)&amp;"📉 考察能力: "&amp;IFERROR(VLOOKUP(TRIM(D981)&amp;"_"&amp;TRIM(INDEX($R$1:$V$1, MATCH(MIN(R981:V981), R981:V981, 0))), 技能库!$A:$F, 5, 0),"建议查阅考纲")&amp;CHAR(10)&amp;"💡 提升建议: "&amp;IFERROR(VLOOKUP(TRIM(D981)&amp;"_"&amp;TRIM(INDEX($R$1:$V$1, MATCH(MIN(R981:V981), R981:V981, 0))), 技能库!$A:$F, 6, 0),"请针对该题型加强练习"))</f>
        <v/>
      </c>
    </row>
    <row r="982" spans="12:29" ht="16" hidden="1" x14ac:dyDescent="0.2">
      <c r="L982" t="str">
        <f t="shared" si="60"/>
        <v/>
      </c>
      <c r="M982" t="str">
        <f>IF(L982="","", IFERROR(VLOOKUP(L982, IF(D982="KET", 换算标准!$M:$N, IF(D982="PET", 换算标准!$S:$T, 换算标准!$AC:$AD)), 2, TRUE), 0))</f>
        <v/>
      </c>
      <c r="P982" t="str">
        <f t="shared" si="61"/>
        <v/>
      </c>
      <c r="Q982" t="str">
        <f>IF(P982="","", IFERROR(VLOOKUP(P982, IF(D982="KET", 换算标准!$O:$P, IF(D982="PET", 换算标准!$U:$V, 换算标准!$AG:$AH)), 2, TRUE), 0))</f>
        <v/>
      </c>
      <c r="W982" t="str">
        <f t="shared" si="62"/>
        <v/>
      </c>
      <c r="X982" t="str">
        <f>IF(W982="","", IFERROR(VLOOKUP(W982, IF(D982="KET", 换算标准!$Q:$R, IF(D982="PET", 换算标准!$W:$X, 换算标准!$AI:$AJ)), 2, TRUE), 0))</f>
        <v/>
      </c>
      <c r="Y982" t="str">
        <f t="shared" si="63"/>
        <v/>
      </c>
      <c r="Z982" t="str">
        <f>IF(Y982="","", IFERROR(VLOOKUP(Y982, 换算标准!$Z:$AA, 1, TRUE), ""))</f>
        <v/>
      </c>
      <c r="AA982" s="5" t="str">
        <f>IF(L982="","", "⚠️ 薄弱环节: "&amp;INDEX($E$1:$K$1, MATCH(MIN(E982:K982), E982:K982, 0))&amp;CHAR(10)&amp;"📉 考察能力: "&amp;IFERROR(VLOOKUP(TRIM(D982)&amp;"_"&amp;TRIM(INDEX($E$1:$K$1, MATCH(MIN(E982:K982), E982:K982, 0))), 技能库!$A:$F, 5, 0),"建议查阅考纲")&amp;CHAR(10)&amp;"💡 提升建议: "&amp;IFERROR(VLOOKUP(TRIM(D982)&amp;"_"&amp;TRIM(INDEX($E$1:$K$1, MATCH(MIN(E982:K982), E982:K982, 0))), 技能库!$A:$F, 6, 0),"请针对该题型加强练习"))</f>
        <v/>
      </c>
      <c r="AB982" s="5" t="str">
        <f>IF(P982="","", "⚠️ 薄弱环节: "&amp;INDEX($N$1:$O$1, MATCH(MIN(N982:O982), N982:O982, 0))&amp;CHAR(10)&amp;"📉 考察能力: "&amp;IFERROR(VLOOKUP(TRIM(D982)&amp;"_"&amp;TRIM(INDEX($N$1:$O$1, MATCH(MIN(N982:O982), N982:O982, 0))), 技能库!$A:$F, 5, 0),"建议查阅考纲")&amp;CHAR(10)&amp;"💡 提升建议: "&amp;IFERROR(VLOOKUP(TRIM(D982)&amp;"_"&amp;TRIM(INDEX($N$1:$O$1, MATCH(MIN(N982:O982), N982:O982, 0))), 技能库!$A:$F, 6, 0),"请针对该题型加强练习"))</f>
        <v/>
      </c>
      <c r="AC982" s="5" t="str">
        <f>IF(W982="","", "⚠️ 薄弱环节: "&amp;INDEX($R$1:$V$1, MATCH(MIN(R982:V982), R982:V982, 0))&amp;CHAR(10)&amp;"📉 考察能力: "&amp;IFERROR(VLOOKUP(TRIM(D982)&amp;"_"&amp;TRIM(INDEX($R$1:$V$1, MATCH(MIN(R982:V982), R982:V982, 0))), 技能库!$A:$F, 5, 0),"建议查阅考纲")&amp;CHAR(10)&amp;"💡 提升建议: "&amp;IFERROR(VLOOKUP(TRIM(D982)&amp;"_"&amp;TRIM(INDEX($R$1:$V$1, MATCH(MIN(R982:V982), R982:V982, 0))), 技能库!$A:$F, 6, 0),"请针对该题型加强练习"))</f>
        <v/>
      </c>
    </row>
    <row r="983" spans="12:29" ht="16" hidden="1" x14ac:dyDescent="0.2">
      <c r="L983" t="str">
        <f t="shared" si="60"/>
        <v/>
      </c>
      <c r="M983" t="str">
        <f>IF(L983="","", IFERROR(VLOOKUP(L983, IF(D983="KET", 换算标准!$M:$N, IF(D983="PET", 换算标准!$S:$T, 换算标准!$AC:$AD)), 2, TRUE), 0))</f>
        <v/>
      </c>
      <c r="P983" t="str">
        <f t="shared" si="61"/>
        <v/>
      </c>
      <c r="Q983" t="str">
        <f>IF(P983="","", IFERROR(VLOOKUP(P983, IF(D983="KET", 换算标准!$O:$P, IF(D983="PET", 换算标准!$U:$V, 换算标准!$AG:$AH)), 2, TRUE), 0))</f>
        <v/>
      </c>
      <c r="W983" t="str">
        <f t="shared" si="62"/>
        <v/>
      </c>
      <c r="X983" t="str">
        <f>IF(W983="","", IFERROR(VLOOKUP(W983, IF(D983="KET", 换算标准!$Q:$R, IF(D983="PET", 换算标准!$W:$X, 换算标准!$AI:$AJ)), 2, TRUE), 0))</f>
        <v/>
      </c>
      <c r="Y983" t="str">
        <f t="shared" si="63"/>
        <v/>
      </c>
      <c r="Z983" t="str">
        <f>IF(Y983="","", IFERROR(VLOOKUP(Y983, 换算标准!$Z:$AA, 1, TRUE), ""))</f>
        <v/>
      </c>
      <c r="AA983" s="5" t="str">
        <f>IF(L983="","", "⚠️ 薄弱环节: "&amp;INDEX($E$1:$K$1, MATCH(MIN(E983:K983), E983:K983, 0))&amp;CHAR(10)&amp;"📉 考察能力: "&amp;IFERROR(VLOOKUP(TRIM(D983)&amp;"_"&amp;TRIM(INDEX($E$1:$K$1, MATCH(MIN(E983:K983), E983:K983, 0))), 技能库!$A:$F, 5, 0),"建议查阅考纲")&amp;CHAR(10)&amp;"💡 提升建议: "&amp;IFERROR(VLOOKUP(TRIM(D983)&amp;"_"&amp;TRIM(INDEX($E$1:$K$1, MATCH(MIN(E983:K983), E983:K983, 0))), 技能库!$A:$F, 6, 0),"请针对该题型加强练习"))</f>
        <v/>
      </c>
      <c r="AB983" s="5" t="str">
        <f>IF(P983="","", "⚠️ 薄弱环节: "&amp;INDEX($N$1:$O$1, MATCH(MIN(N983:O983), N983:O983, 0))&amp;CHAR(10)&amp;"📉 考察能力: "&amp;IFERROR(VLOOKUP(TRIM(D983)&amp;"_"&amp;TRIM(INDEX($N$1:$O$1, MATCH(MIN(N983:O983), N983:O983, 0))), 技能库!$A:$F, 5, 0),"建议查阅考纲")&amp;CHAR(10)&amp;"💡 提升建议: "&amp;IFERROR(VLOOKUP(TRIM(D983)&amp;"_"&amp;TRIM(INDEX($N$1:$O$1, MATCH(MIN(N983:O983), N983:O983, 0))), 技能库!$A:$F, 6, 0),"请针对该题型加强练习"))</f>
        <v/>
      </c>
      <c r="AC983" s="5" t="str">
        <f>IF(W983="","", "⚠️ 薄弱环节: "&amp;INDEX($R$1:$V$1, MATCH(MIN(R983:V983), R983:V983, 0))&amp;CHAR(10)&amp;"📉 考察能力: "&amp;IFERROR(VLOOKUP(TRIM(D983)&amp;"_"&amp;TRIM(INDEX($R$1:$V$1, MATCH(MIN(R983:V983), R983:V983, 0))), 技能库!$A:$F, 5, 0),"建议查阅考纲")&amp;CHAR(10)&amp;"💡 提升建议: "&amp;IFERROR(VLOOKUP(TRIM(D983)&amp;"_"&amp;TRIM(INDEX($R$1:$V$1, MATCH(MIN(R983:V983), R983:V983, 0))), 技能库!$A:$F, 6, 0),"请针对该题型加强练习"))</f>
        <v/>
      </c>
    </row>
    <row r="984" spans="12:29" ht="16" hidden="1" x14ac:dyDescent="0.2">
      <c r="L984" t="str">
        <f t="shared" si="60"/>
        <v/>
      </c>
      <c r="M984" t="str">
        <f>IF(L984="","", IFERROR(VLOOKUP(L984, IF(D984="KET", 换算标准!$M:$N, IF(D984="PET", 换算标准!$S:$T, 换算标准!$AC:$AD)), 2, TRUE), 0))</f>
        <v/>
      </c>
      <c r="P984" t="str">
        <f t="shared" si="61"/>
        <v/>
      </c>
      <c r="Q984" t="str">
        <f>IF(P984="","", IFERROR(VLOOKUP(P984, IF(D984="KET", 换算标准!$O:$P, IF(D984="PET", 换算标准!$U:$V, 换算标准!$AG:$AH)), 2, TRUE), 0))</f>
        <v/>
      </c>
      <c r="W984" t="str">
        <f t="shared" si="62"/>
        <v/>
      </c>
      <c r="X984" t="str">
        <f>IF(W984="","", IFERROR(VLOOKUP(W984, IF(D984="KET", 换算标准!$Q:$R, IF(D984="PET", 换算标准!$W:$X, 换算标准!$AI:$AJ)), 2, TRUE), 0))</f>
        <v/>
      </c>
      <c r="Y984" t="str">
        <f t="shared" si="63"/>
        <v/>
      </c>
      <c r="Z984" t="str">
        <f>IF(Y984="","", IFERROR(VLOOKUP(Y984, 换算标准!$Z:$AA, 1, TRUE), ""))</f>
        <v/>
      </c>
      <c r="AA984" s="5" t="str">
        <f>IF(L984="","", "⚠️ 薄弱环节: "&amp;INDEX($E$1:$K$1, MATCH(MIN(E984:K984), E984:K984, 0))&amp;CHAR(10)&amp;"📉 考察能力: "&amp;IFERROR(VLOOKUP(TRIM(D984)&amp;"_"&amp;TRIM(INDEX($E$1:$K$1, MATCH(MIN(E984:K984), E984:K984, 0))), 技能库!$A:$F, 5, 0),"建议查阅考纲")&amp;CHAR(10)&amp;"💡 提升建议: "&amp;IFERROR(VLOOKUP(TRIM(D984)&amp;"_"&amp;TRIM(INDEX($E$1:$K$1, MATCH(MIN(E984:K984), E984:K984, 0))), 技能库!$A:$F, 6, 0),"请针对该题型加强练习"))</f>
        <v/>
      </c>
      <c r="AB984" s="5" t="str">
        <f>IF(P984="","", "⚠️ 薄弱环节: "&amp;INDEX($N$1:$O$1, MATCH(MIN(N984:O984), N984:O984, 0))&amp;CHAR(10)&amp;"📉 考察能力: "&amp;IFERROR(VLOOKUP(TRIM(D984)&amp;"_"&amp;TRIM(INDEX($N$1:$O$1, MATCH(MIN(N984:O984), N984:O984, 0))), 技能库!$A:$F, 5, 0),"建议查阅考纲")&amp;CHAR(10)&amp;"💡 提升建议: "&amp;IFERROR(VLOOKUP(TRIM(D984)&amp;"_"&amp;TRIM(INDEX($N$1:$O$1, MATCH(MIN(N984:O984), N984:O984, 0))), 技能库!$A:$F, 6, 0),"请针对该题型加强练习"))</f>
        <v/>
      </c>
      <c r="AC984" s="5" t="str">
        <f>IF(W984="","", "⚠️ 薄弱环节: "&amp;INDEX($R$1:$V$1, MATCH(MIN(R984:V984), R984:V984, 0))&amp;CHAR(10)&amp;"📉 考察能力: "&amp;IFERROR(VLOOKUP(TRIM(D984)&amp;"_"&amp;TRIM(INDEX($R$1:$V$1, MATCH(MIN(R984:V984), R984:V984, 0))), 技能库!$A:$F, 5, 0),"建议查阅考纲")&amp;CHAR(10)&amp;"💡 提升建议: "&amp;IFERROR(VLOOKUP(TRIM(D984)&amp;"_"&amp;TRIM(INDEX($R$1:$V$1, MATCH(MIN(R984:V984), R984:V984, 0))), 技能库!$A:$F, 6, 0),"请针对该题型加强练习"))</f>
        <v/>
      </c>
    </row>
    <row r="985" spans="12:29" ht="16" hidden="1" x14ac:dyDescent="0.2">
      <c r="L985" t="str">
        <f t="shared" si="60"/>
        <v/>
      </c>
      <c r="M985" t="str">
        <f>IF(L985="","", IFERROR(VLOOKUP(L985, IF(D985="KET", 换算标准!$M:$N, IF(D985="PET", 换算标准!$S:$T, 换算标准!$AC:$AD)), 2, TRUE), 0))</f>
        <v/>
      </c>
      <c r="P985" t="str">
        <f t="shared" si="61"/>
        <v/>
      </c>
      <c r="Q985" t="str">
        <f>IF(P985="","", IFERROR(VLOOKUP(P985, IF(D985="KET", 换算标准!$O:$P, IF(D985="PET", 换算标准!$U:$V, 换算标准!$AG:$AH)), 2, TRUE), 0))</f>
        <v/>
      </c>
      <c r="W985" t="str">
        <f t="shared" si="62"/>
        <v/>
      </c>
      <c r="X985" t="str">
        <f>IF(W985="","", IFERROR(VLOOKUP(W985, IF(D985="KET", 换算标准!$Q:$R, IF(D985="PET", 换算标准!$W:$X, 换算标准!$AI:$AJ)), 2, TRUE), 0))</f>
        <v/>
      </c>
      <c r="Y985" t="str">
        <f t="shared" si="63"/>
        <v/>
      </c>
      <c r="Z985" t="str">
        <f>IF(Y985="","", IFERROR(VLOOKUP(Y985, 换算标准!$Z:$AA, 1, TRUE), ""))</f>
        <v/>
      </c>
      <c r="AA985" s="5" t="str">
        <f>IF(L985="","", "⚠️ 薄弱环节: "&amp;INDEX($E$1:$K$1, MATCH(MIN(E985:K985), E985:K985, 0))&amp;CHAR(10)&amp;"📉 考察能力: "&amp;IFERROR(VLOOKUP(TRIM(D985)&amp;"_"&amp;TRIM(INDEX($E$1:$K$1, MATCH(MIN(E985:K985), E985:K985, 0))), 技能库!$A:$F, 5, 0),"建议查阅考纲")&amp;CHAR(10)&amp;"💡 提升建议: "&amp;IFERROR(VLOOKUP(TRIM(D985)&amp;"_"&amp;TRIM(INDEX($E$1:$K$1, MATCH(MIN(E985:K985), E985:K985, 0))), 技能库!$A:$F, 6, 0),"请针对该题型加强练习"))</f>
        <v/>
      </c>
      <c r="AB985" s="5" t="str">
        <f>IF(P985="","", "⚠️ 薄弱环节: "&amp;INDEX($N$1:$O$1, MATCH(MIN(N985:O985), N985:O985, 0))&amp;CHAR(10)&amp;"📉 考察能力: "&amp;IFERROR(VLOOKUP(TRIM(D985)&amp;"_"&amp;TRIM(INDEX($N$1:$O$1, MATCH(MIN(N985:O985), N985:O985, 0))), 技能库!$A:$F, 5, 0),"建议查阅考纲")&amp;CHAR(10)&amp;"💡 提升建议: "&amp;IFERROR(VLOOKUP(TRIM(D985)&amp;"_"&amp;TRIM(INDEX($N$1:$O$1, MATCH(MIN(N985:O985), N985:O985, 0))), 技能库!$A:$F, 6, 0),"请针对该题型加强练习"))</f>
        <v/>
      </c>
      <c r="AC985" s="5" t="str">
        <f>IF(W985="","", "⚠️ 薄弱环节: "&amp;INDEX($R$1:$V$1, MATCH(MIN(R985:V985), R985:V985, 0))&amp;CHAR(10)&amp;"📉 考察能力: "&amp;IFERROR(VLOOKUP(TRIM(D985)&amp;"_"&amp;TRIM(INDEX($R$1:$V$1, MATCH(MIN(R985:V985), R985:V985, 0))), 技能库!$A:$F, 5, 0),"建议查阅考纲")&amp;CHAR(10)&amp;"💡 提升建议: "&amp;IFERROR(VLOOKUP(TRIM(D985)&amp;"_"&amp;TRIM(INDEX($R$1:$V$1, MATCH(MIN(R985:V985), R985:V985, 0))), 技能库!$A:$F, 6, 0),"请针对该题型加强练习"))</f>
        <v/>
      </c>
    </row>
    <row r="986" spans="12:29" ht="16" hidden="1" x14ac:dyDescent="0.2">
      <c r="L986" t="str">
        <f t="shared" si="60"/>
        <v/>
      </c>
      <c r="M986" t="str">
        <f>IF(L986="","", IFERROR(VLOOKUP(L986, IF(D986="KET", 换算标准!$M:$N, IF(D986="PET", 换算标准!$S:$T, 换算标准!$AC:$AD)), 2, TRUE), 0))</f>
        <v/>
      </c>
      <c r="P986" t="str">
        <f t="shared" si="61"/>
        <v/>
      </c>
      <c r="Q986" t="str">
        <f>IF(P986="","", IFERROR(VLOOKUP(P986, IF(D986="KET", 换算标准!$O:$P, IF(D986="PET", 换算标准!$U:$V, 换算标准!$AG:$AH)), 2, TRUE), 0))</f>
        <v/>
      </c>
      <c r="W986" t="str">
        <f t="shared" si="62"/>
        <v/>
      </c>
      <c r="X986" t="str">
        <f>IF(W986="","", IFERROR(VLOOKUP(W986, IF(D986="KET", 换算标准!$Q:$R, IF(D986="PET", 换算标准!$W:$X, 换算标准!$AI:$AJ)), 2, TRUE), 0))</f>
        <v/>
      </c>
      <c r="Y986" t="str">
        <f t="shared" si="63"/>
        <v/>
      </c>
      <c r="Z986" t="str">
        <f>IF(Y986="","", IFERROR(VLOOKUP(Y986, 换算标准!$Z:$AA, 1, TRUE), ""))</f>
        <v/>
      </c>
      <c r="AA986" s="5" t="str">
        <f>IF(L986="","", "⚠️ 薄弱环节: "&amp;INDEX($E$1:$K$1, MATCH(MIN(E986:K986), E986:K986, 0))&amp;CHAR(10)&amp;"📉 考察能力: "&amp;IFERROR(VLOOKUP(TRIM(D986)&amp;"_"&amp;TRIM(INDEX($E$1:$K$1, MATCH(MIN(E986:K986), E986:K986, 0))), 技能库!$A:$F, 5, 0),"建议查阅考纲")&amp;CHAR(10)&amp;"💡 提升建议: "&amp;IFERROR(VLOOKUP(TRIM(D986)&amp;"_"&amp;TRIM(INDEX($E$1:$K$1, MATCH(MIN(E986:K986), E986:K986, 0))), 技能库!$A:$F, 6, 0),"请针对该题型加强练习"))</f>
        <v/>
      </c>
      <c r="AB986" s="5" t="str">
        <f>IF(P986="","", "⚠️ 薄弱环节: "&amp;INDEX($N$1:$O$1, MATCH(MIN(N986:O986), N986:O986, 0))&amp;CHAR(10)&amp;"📉 考察能力: "&amp;IFERROR(VLOOKUP(TRIM(D986)&amp;"_"&amp;TRIM(INDEX($N$1:$O$1, MATCH(MIN(N986:O986), N986:O986, 0))), 技能库!$A:$F, 5, 0),"建议查阅考纲")&amp;CHAR(10)&amp;"💡 提升建议: "&amp;IFERROR(VLOOKUP(TRIM(D986)&amp;"_"&amp;TRIM(INDEX($N$1:$O$1, MATCH(MIN(N986:O986), N986:O986, 0))), 技能库!$A:$F, 6, 0),"请针对该题型加强练习"))</f>
        <v/>
      </c>
      <c r="AC986" s="5" t="str">
        <f>IF(W986="","", "⚠️ 薄弱环节: "&amp;INDEX($R$1:$V$1, MATCH(MIN(R986:V986), R986:V986, 0))&amp;CHAR(10)&amp;"📉 考察能力: "&amp;IFERROR(VLOOKUP(TRIM(D986)&amp;"_"&amp;TRIM(INDEX($R$1:$V$1, MATCH(MIN(R986:V986), R986:V986, 0))), 技能库!$A:$F, 5, 0),"建议查阅考纲")&amp;CHAR(10)&amp;"💡 提升建议: "&amp;IFERROR(VLOOKUP(TRIM(D986)&amp;"_"&amp;TRIM(INDEX($R$1:$V$1, MATCH(MIN(R986:V986), R986:V986, 0))), 技能库!$A:$F, 6, 0),"请针对该题型加强练习"))</f>
        <v/>
      </c>
    </row>
    <row r="987" spans="12:29" ht="16" hidden="1" x14ac:dyDescent="0.2">
      <c r="L987" t="str">
        <f t="shared" si="60"/>
        <v/>
      </c>
      <c r="M987" t="str">
        <f>IF(L987="","", IFERROR(VLOOKUP(L987, IF(D987="KET", 换算标准!$M:$N, IF(D987="PET", 换算标准!$S:$T, 换算标准!$AC:$AD)), 2, TRUE), 0))</f>
        <v/>
      </c>
      <c r="P987" t="str">
        <f t="shared" si="61"/>
        <v/>
      </c>
      <c r="Q987" t="str">
        <f>IF(P987="","", IFERROR(VLOOKUP(P987, IF(D987="KET", 换算标准!$O:$P, IF(D987="PET", 换算标准!$U:$V, 换算标准!$AG:$AH)), 2, TRUE), 0))</f>
        <v/>
      </c>
      <c r="W987" t="str">
        <f t="shared" si="62"/>
        <v/>
      </c>
      <c r="X987" t="str">
        <f>IF(W987="","", IFERROR(VLOOKUP(W987, IF(D987="KET", 换算标准!$Q:$R, IF(D987="PET", 换算标准!$W:$X, 换算标准!$AI:$AJ)), 2, TRUE), 0))</f>
        <v/>
      </c>
      <c r="Y987" t="str">
        <f t="shared" si="63"/>
        <v/>
      </c>
      <c r="Z987" t="str">
        <f>IF(Y987="","", IFERROR(VLOOKUP(Y987, 换算标准!$Z:$AA, 1, TRUE), ""))</f>
        <v/>
      </c>
      <c r="AA987" s="5" t="str">
        <f>IF(L987="","", "⚠️ 薄弱环节: "&amp;INDEX($E$1:$K$1, MATCH(MIN(E987:K987), E987:K987, 0))&amp;CHAR(10)&amp;"📉 考察能力: "&amp;IFERROR(VLOOKUP(TRIM(D987)&amp;"_"&amp;TRIM(INDEX($E$1:$K$1, MATCH(MIN(E987:K987), E987:K987, 0))), 技能库!$A:$F, 5, 0),"建议查阅考纲")&amp;CHAR(10)&amp;"💡 提升建议: "&amp;IFERROR(VLOOKUP(TRIM(D987)&amp;"_"&amp;TRIM(INDEX($E$1:$K$1, MATCH(MIN(E987:K987), E987:K987, 0))), 技能库!$A:$F, 6, 0),"请针对该题型加强练习"))</f>
        <v/>
      </c>
      <c r="AB987" s="5" t="str">
        <f>IF(P987="","", "⚠️ 薄弱环节: "&amp;INDEX($N$1:$O$1, MATCH(MIN(N987:O987), N987:O987, 0))&amp;CHAR(10)&amp;"📉 考察能力: "&amp;IFERROR(VLOOKUP(TRIM(D987)&amp;"_"&amp;TRIM(INDEX($N$1:$O$1, MATCH(MIN(N987:O987), N987:O987, 0))), 技能库!$A:$F, 5, 0),"建议查阅考纲")&amp;CHAR(10)&amp;"💡 提升建议: "&amp;IFERROR(VLOOKUP(TRIM(D987)&amp;"_"&amp;TRIM(INDEX($N$1:$O$1, MATCH(MIN(N987:O987), N987:O987, 0))), 技能库!$A:$F, 6, 0),"请针对该题型加强练习"))</f>
        <v/>
      </c>
      <c r="AC987" s="5" t="str">
        <f>IF(W987="","", "⚠️ 薄弱环节: "&amp;INDEX($R$1:$V$1, MATCH(MIN(R987:V987), R987:V987, 0))&amp;CHAR(10)&amp;"📉 考察能力: "&amp;IFERROR(VLOOKUP(TRIM(D987)&amp;"_"&amp;TRIM(INDEX($R$1:$V$1, MATCH(MIN(R987:V987), R987:V987, 0))), 技能库!$A:$F, 5, 0),"建议查阅考纲")&amp;CHAR(10)&amp;"💡 提升建议: "&amp;IFERROR(VLOOKUP(TRIM(D987)&amp;"_"&amp;TRIM(INDEX($R$1:$V$1, MATCH(MIN(R987:V987), R987:V987, 0))), 技能库!$A:$F, 6, 0),"请针对该题型加强练习"))</f>
        <v/>
      </c>
    </row>
    <row r="988" spans="12:29" ht="16" hidden="1" x14ac:dyDescent="0.2">
      <c r="L988" t="str">
        <f t="shared" si="60"/>
        <v/>
      </c>
      <c r="M988" t="str">
        <f>IF(L988="","", IFERROR(VLOOKUP(L988, IF(D988="KET", 换算标准!$M:$N, IF(D988="PET", 换算标准!$S:$T, 换算标准!$AC:$AD)), 2, TRUE), 0))</f>
        <v/>
      </c>
      <c r="P988" t="str">
        <f t="shared" si="61"/>
        <v/>
      </c>
      <c r="Q988" t="str">
        <f>IF(P988="","", IFERROR(VLOOKUP(P988, IF(D988="KET", 换算标准!$O:$P, IF(D988="PET", 换算标准!$U:$V, 换算标准!$AG:$AH)), 2, TRUE), 0))</f>
        <v/>
      </c>
      <c r="W988" t="str">
        <f t="shared" si="62"/>
        <v/>
      </c>
      <c r="X988" t="str">
        <f>IF(W988="","", IFERROR(VLOOKUP(W988, IF(D988="KET", 换算标准!$Q:$R, IF(D988="PET", 换算标准!$W:$X, 换算标准!$AI:$AJ)), 2, TRUE), 0))</f>
        <v/>
      </c>
      <c r="Y988" t="str">
        <f t="shared" si="63"/>
        <v/>
      </c>
      <c r="Z988" t="str">
        <f>IF(Y988="","", IFERROR(VLOOKUP(Y988, 换算标准!$Z:$AA, 1, TRUE), ""))</f>
        <v/>
      </c>
      <c r="AA988" s="5" t="str">
        <f>IF(L988="","", "⚠️ 薄弱环节: "&amp;INDEX($E$1:$K$1, MATCH(MIN(E988:K988), E988:K988, 0))&amp;CHAR(10)&amp;"📉 考察能力: "&amp;IFERROR(VLOOKUP(TRIM(D988)&amp;"_"&amp;TRIM(INDEX($E$1:$K$1, MATCH(MIN(E988:K988), E988:K988, 0))), 技能库!$A:$F, 5, 0),"建议查阅考纲")&amp;CHAR(10)&amp;"💡 提升建议: "&amp;IFERROR(VLOOKUP(TRIM(D988)&amp;"_"&amp;TRIM(INDEX($E$1:$K$1, MATCH(MIN(E988:K988), E988:K988, 0))), 技能库!$A:$F, 6, 0),"请针对该题型加强练习"))</f>
        <v/>
      </c>
      <c r="AB988" s="5" t="str">
        <f>IF(P988="","", "⚠️ 薄弱环节: "&amp;INDEX($N$1:$O$1, MATCH(MIN(N988:O988), N988:O988, 0))&amp;CHAR(10)&amp;"📉 考察能力: "&amp;IFERROR(VLOOKUP(TRIM(D988)&amp;"_"&amp;TRIM(INDEX($N$1:$O$1, MATCH(MIN(N988:O988), N988:O988, 0))), 技能库!$A:$F, 5, 0),"建议查阅考纲")&amp;CHAR(10)&amp;"💡 提升建议: "&amp;IFERROR(VLOOKUP(TRIM(D988)&amp;"_"&amp;TRIM(INDEX($N$1:$O$1, MATCH(MIN(N988:O988), N988:O988, 0))), 技能库!$A:$F, 6, 0),"请针对该题型加强练习"))</f>
        <v/>
      </c>
      <c r="AC988" s="5" t="str">
        <f>IF(W988="","", "⚠️ 薄弱环节: "&amp;INDEX($R$1:$V$1, MATCH(MIN(R988:V988), R988:V988, 0))&amp;CHAR(10)&amp;"📉 考察能力: "&amp;IFERROR(VLOOKUP(TRIM(D988)&amp;"_"&amp;TRIM(INDEX($R$1:$V$1, MATCH(MIN(R988:V988), R988:V988, 0))), 技能库!$A:$F, 5, 0),"建议查阅考纲")&amp;CHAR(10)&amp;"💡 提升建议: "&amp;IFERROR(VLOOKUP(TRIM(D988)&amp;"_"&amp;TRIM(INDEX($R$1:$V$1, MATCH(MIN(R988:V988), R988:V988, 0))), 技能库!$A:$F, 6, 0),"请针对该题型加强练习"))</f>
        <v/>
      </c>
    </row>
    <row r="989" spans="12:29" ht="16" hidden="1" x14ac:dyDescent="0.2">
      <c r="L989" t="str">
        <f t="shared" si="60"/>
        <v/>
      </c>
      <c r="M989" t="str">
        <f>IF(L989="","", IFERROR(VLOOKUP(L989, IF(D989="KET", 换算标准!$M:$N, IF(D989="PET", 换算标准!$S:$T, 换算标准!$AC:$AD)), 2, TRUE), 0))</f>
        <v/>
      </c>
      <c r="P989" t="str">
        <f t="shared" si="61"/>
        <v/>
      </c>
      <c r="Q989" t="str">
        <f>IF(P989="","", IFERROR(VLOOKUP(P989, IF(D989="KET", 换算标准!$O:$P, IF(D989="PET", 换算标准!$U:$V, 换算标准!$AG:$AH)), 2, TRUE), 0))</f>
        <v/>
      </c>
      <c r="W989" t="str">
        <f t="shared" si="62"/>
        <v/>
      </c>
      <c r="X989" t="str">
        <f>IF(W989="","", IFERROR(VLOOKUP(W989, IF(D989="KET", 换算标准!$Q:$R, IF(D989="PET", 换算标准!$W:$X, 换算标准!$AI:$AJ)), 2, TRUE), 0))</f>
        <v/>
      </c>
      <c r="Y989" t="str">
        <f t="shared" si="63"/>
        <v/>
      </c>
      <c r="Z989" t="str">
        <f>IF(Y989="","", IFERROR(VLOOKUP(Y989, 换算标准!$Z:$AA, 1, TRUE), ""))</f>
        <v/>
      </c>
      <c r="AA989" s="5" t="str">
        <f>IF(L989="","", "⚠️ 薄弱环节: "&amp;INDEX($E$1:$K$1, MATCH(MIN(E989:K989), E989:K989, 0))&amp;CHAR(10)&amp;"📉 考察能力: "&amp;IFERROR(VLOOKUP(TRIM(D989)&amp;"_"&amp;TRIM(INDEX($E$1:$K$1, MATCH(MIN(E989:K989), E989:K989, 0))), 技能库!$A:$F, 5, 0),"建议查阅考纲")&amp;CHAR(10)&amp;"💡 提升建议: "&amp;IFERROR(VLOOKUP(TRIM(D989)&amp;"_"&amp;TRIM(INDEX($E$1:$K$1, MATCH(MIN(E989:K989), E989:K989, 0))), 技能库!$A:$F, 6, 0),"请针对该题型加强练习"))</f>
        <v/>
      </c>
      <c r="AB989" s="5" t="str">
        <f>IF(P989="","", "⚠️ 薄弱环节: "&amp;INDEX($N$1:$O$1, MATCH(MIN(N989:O989), N989:O989, 0))&amp;CHAR(10)&amp;"📉 考察能力: "&amp;IFERROR(VLOOKUP(TRIM(D989)&amp;"_"&amp;TRIM(INDEX($N$1:$O$1, MATCH(MIN(N989:O989), N989:O989, 0))), 技能库!$A:$F, 5, 0),"建议查阅考纲")&amp;CHAR(10)&amp;"💡 提升建议: "&amp;IFERROR(VLOOKUP(TRIM(D989)&amp;"_"&amp;TRIM(INDEX($N$1:$O$1, MATCH(MIN(N989:O989), N989:O989, 0))), 技能库!$A:$F, 6, 0),"请针对该题型加强练习"))</f>
        <v/>
      </c>
      <c r="AC989" s="5" t="str">
        <f>IF(W989="","", "⚠️ 薄弱环节: "&amp;INDEX($R$1:$V$1, MATCH(MIN(R989:V989), R989:V989, 0))&amp;CHAR(10)&amp;"📉 考察能力: "&amp;IFERROR(VLOOKUP(TRIM(D989)&amp;"_"&amp;TRIM(INDEX($R$1:$V$1, MATCH(MIN(R989:V989), R989:V989, 0))), 技能库!$A:$F, 5, 0),"建议查阅考纲")&amp;CHAR(10)&amp;"💡 提升建议: "&amp;IFERROR(VLOOKUP(TRIM(D989)&amp;"_"&amp;TRIM(INDEX($R$1:$V$1, MATCH(MIN(R989:V989), R989:V989, 0))), 技能库!$A:$F, 6, 0),"请针对该题型加强练习"))</f>
        <v/>
      </c>
    </row>
    <row r="990" spans="12:29" ht="16" hidden="1" x14ac:dyDescent="0.2">
      <c r="L990" t="str">
        <f t="shared" si="60"/>
        <v/>
      </c>
      <c r="M990" t="str">
        <f>IF(L990="","", IFERROR(VLOOKUP(L990, IF(D990="KET", 换算标准!$M:$N, IF(D990="PET", 换算标准!$S:$T, 换算标准!$AC:$AD)), 2, TRUE), 0))</f>
        <v/>
      </c>
      <c r="P990" t="str">
        <f t="shared" si="61"/>
        <v/>
      </c>
      <c r="Q990" t="str">
        <f>IF(P990="","", IFERROR(VLOOKUP(P990, IF(D990="KET", 换算标准!$O:$P, IF(D990="PET", 换算标准!$U:$V, 换算标准!$AG:$AH)), 2, TRUE), 0))</f>
        <v/>
      </c>
      <c r="W990" t="str">
        <f t="shared" si="62"/>
        <v/>
      </c>
      <c r="X990" t="str">
        <f>IF(W990="","", IFERROR(VLOOKUP(W990, IF(D990="KET", 换算标准!$Q:$R, IF(D990="PET", 换算标准!$W:$X, 换算标准!$AI:$AJ)), 2, TRUE), 0))</f>
        <v/>
      </c>
      <c r="Y990" t="str">
        <f t="shared" si="63"/>
        <v/>
      </c>
      <c r="Z990" t="str">
        <f>IF(Y990="","", IFERROR(VLOOKUP(Y990, 换算标准!$Z:$AA, 1, TRUE), ""))</f>
        <v/>
      </c>
      <c r="AA990" s="5" t="str">
        <f>IF(L990="","", "⚠️ 薄弱环节: "&amp;INDEX($E$1:$K$1, MATCH(MIN(E990:K990), E990:K990, 0))&amp;CHAR(10)&amp;"📉 考察能力: "&amp;IFERROR(VLOOKUP(TRIM(D990)&amp;"_"&amp;TRIM(INDEX($E$1:$K$1, MATCH(MIN(E990:K990), E990:K990, 0))), 技能库!$A:$F, 5, 0),"建议查阅考纲")&amp;CHAR(10)&amp;"💡 提升建议: "&amp;IFERROR(VLOOKUP(TRIM(D990)&amp;"_"&amp;TRIM(INDEX($E$1:$K$1, MATCH(MIN(E990:K990), E990:K990, 0))), 技能库!$A:$F, 6, 0),"请针对该题型加强练习"))</f>
        <v/>
      </c>
      <c r="AB990" s="5" t="str">
        <f>IF(P990="","", "⚠️ 薄弱环节: "&amp;INDEX($N$1:$O$1, MATCH(MIN(N990:O990), N990:O990, 0))&amp;CHAR(10)&amp;"📉 考察能力: "&amp;IFERROR(VLOOKUP(TRIM(D990)&amp;"_"&amp;TRIM(INDEX($N$1:$O$1, MATCH(MIN(N990:O990), N990:O990, 0))), 技能库!$A:$F, 5, 0),"建议查阅考纲")&amp;CHAR(10)&amp;"💡 提升建议: "&amp;IFERROR(VLOOKUP(TRIM(D990)&amp;"_"&amp;TRIM(INDEX($N$1:$O$1, MATCH(MIN(N990:O990), N990:O990, 0))), 技能库!$A:$F, 6, 0),"请针对该题型加强练习"))</f>
        <v/>
      </c>
      <c r="AC990" s="5" t="str">
        <f>IF(W990="","", "⚠️ 薄弱环节: "&amp;INDEX($R$1:$V$1, MATCH(MIN(R990:V990), R990:V990, 0))&amp;CHAR(10)&amp;"📉 考察能力: "&amp;IFERROR(VLOOKUP(TRIM(D990)&amp;"_"&amp;TRIM(INDEX($R$1:$V$1, MATCH(MIN(R990:V990), R990:V990, 0))), 技能库!$A:$F, 5, 0),"建议查阅考纲")&amp;CHAR(10)&amp;"💡 提升建议: "&amp;IFERROR(VLOOKUP(TRIM(D990)&amp;"_"&amp;TRIM(INDEX($R$1:$V$1, MATCH(MIN(R990:V990), R990:V990, 0))), 技能库!$A:$F, 6, 0),"请针对该题型加强练习"))</f>
        <v/>
      </c>
    </row>
    <row r="991" spans="12:29" ht="16" hidden="1" x14ac:dyDescent="0.2">
      <c r="L991" t="str">
        <f t="shared" si="60"/>
        <v/>
      </c>
      <c r="M991" t="str">
        <f>IF(L991="","", IFERROR(VLOOKUP(L991, IF(D991="KET", 换算标准!$M:$N, IF(D991="PET", 换算标准!$S:$T, 换算标准!$AC:$AD)), 2, TRUE), 0))</f>
        <v/>
      </c>
      <c r="P991" t="str">
        <f t="shared" si="61"/>
        <v/>
      </c>
      <c r="Q991" t="str">
        <f>IF(P991="","", IFERROR(VLOOKUP(P991, IF(D991="KET", 换算标准!$O:$P, IF(D991="PET", 换算标准!$U:$V, 换算标准!$AG:$AH)), 2, TRUE), 0))</f>
        <v/>
      </c>
      <c r="W991" t="str">
        <f t="shared" si="62"/>
        <v/>
      </c>
      <c r="X991" t="str">
        <f>IF(W991="","", IFERROR(VLOOKUP(W991, IF(D991="KET", 换算标准!$Q:$R, IF(D991="PET", 换算标准!$W:$X, 换算标准!$AI:$AJ)), 2, TRUE), 0))</f>
        <v/>
      </c>
      <c r="Y991" t="str">
        <f t="shared" si="63"/>
        <v/>
      </c>
      <c r="Z991" t="str">
        <f>IF(Y991="","", IFERROR(VLOOKUP(Y991, 换算标准!$Z:$AA, 1, TRUE), ""))</f>
        <v/>
      </c>
      <c r="AA991" s="5" t="str">
        <f>IF(L991="","", "⚠️ 薄弱环节: "&amp;INDEX($E$1:$K$1, MATCH(MIN(E991:K991), E991:K991, 0))&amp;CHAR(10)&amp;"📉 考察能力: "&amp;IFERROR(VLOOKUP(TRIM(D991)&amp;"_"&amp;TRIM(INDEX($E$1:$K$1, MATCH(MIN(E991:K991), E991:K991, 0))), 技能库!$A:$F, 5, 0),"建议查阅考纲")&amp;CHAR(10)&amp;"💡 提升建议: "&amp;IFERROR(VLOOKUP(TRIM(D991)&amp;"_"&amp;TRIM(INDEX($E$1:$K$1, MATCH(MIN(E991:K991), E991:K991, 0))), 技能库!$A:$F, 6, 0),"请针对该题型加强练习"))</f>
        <v/>
      </c>
      <c r="AB991" s="5" t="str">
        <f>IF(P991="","", "⚠️ 薄弱环节: "&amp;INDEX($N$1:$O$1, MATCH(MIN(N991:O991), N991:O991, 0))&amp;CHAR(10)&amp;"📉 考察能力: "&amp;IFERROR(VLOOKUP(TRIM(D991)&amp;"_"&amp;TRIM(INDEX($N$1:$O$1, MATCH(MIN(N991:O991), N991:O991, 0))), 技能库!$A:$F, 5, 0),"建议查阅考纲")&amp;CHAR(10)&amp;"💡 提升建议: "&amp;IFERROR(VLOOKUP(TRIM(D991)&amp;"_"&amp;TRIM(INDEX($N$1:$O$1, MATCH(MIN(N991:O991), N991:O991, 0))), 技能库!$A:$F, 6, 0),"请针对该题型加强练习"))</f>
        <v/>
      </c>
      <c r="AC991" s="5" t="str">
        <f>IF(W991="","", "⚠️ 薄弱环节: "&amp;INDEX($R$1:$V$1, MATCH(MIN(R991:V991), R991:V991, 0))&amp;CHAR(10)&amp;"📉 考察能力: "&amp;IFERROR(VLOOKUP(TRIM(D991)&amp;"_"&amp;TRIM(INDEX($R$1:$V$1, MATCH(MIN(R991:V991), R991:V991, 0))), 技能库!$A:$F, 5, 0),"建议查阅考纲")&amp;CHAR(10)&amp;"💡 提升建议: "&amp;IFERROR(VLOOKUP(TRIM(D991)&amp;"_"&amp;TRIM(INDEX($R$1:$V$1, MATCH(MIN(R991:V991), R991:V991, 0))), 技能库!$A:$F, 6, 0),"请针对该题型加强练习"))</f>
        <v/>
      </c>
    </row>
    <row r="992" spans="12:29" ht="16" hidden="1" x14ac:dyDescent="0.2">
      <c r="L992" t="str">
        <f t="shared" si="60"/>
        <v/>
      </c>
      <c r="M992" t="str">
        <f>IF(L992="","", IFERROR(VLOOKUP(L992, IF(D992="KET", 换算标准!$M:$N, IF(D992="PET", 换算标准!$S:$T, 换算标准!$AC:$AD)), 2, TRUE), 0))</f>
        <v/>
      </c>
      <c r="P992" t="str">
        <f t="shared" si="61"/>
        <v/>
      </c>
      <c r="Q992" t="str">
        <f>IF(P992="","", IFERROR(VLOOKUP(P992, IF(D992="KET", 换算标准!$O:$P, IF(D992="PET", 换算标准!$U:$V, 换算标准!$AG:$AH)), 2, TRUE), 0))</f>
        <v/>
      </c>
      <c r="W992" t="str">
        <f t="shared" si="62"/>
        <v/>
      </c>
      <c r="X992" t="str">
        <f>IF(W992="","", IFERROR(VLOOKUP(W992, IF(D992="KET", 换算标准!$Q:$R, IF(D992="PET", 换算标准!$W:$X, 换算标准!$AI:$AJ)), 2, TRUE), 0))</f>
        <v/>
      </c>
      <c r="Y992" t="str">
        <f t="shared" si="63"/>
        <v/>
      </c>
      <c r="Z992" t="str">
        <f>IF(Y992="","", IFERROR(VLOOKUP(Y992, 换算标准!$Z:$AA, 1, TRUE), ""))</f>
        <v/>
      </c>
      <c r="AA992" s="5" t="str">
        <f>IF(L992="","", "⚠️ 薄弱环节: "&amp;INDEX($E$1:$K$1, MATCH(MIN(E992:K992), E992:K992, 0))&amp;CHAR(10)&amp;"📉 考察能力: "&amp;IFERROR(VLOOKUP(TRIM(D992)&amp;"_"&amp;TRIM(INDEX($E$1:$K$1, MATCH(MIN(E992:K992), E992:K992, 0))), 技能库!$A:$F, 5, 0),"建议查阅考纲")&amp;CHAR(10)&amp;"💡 提升建议: "&amp;IFERROR(VLOOKUP(TRIM(D992)&amp;"_"&amp;TRIM(INDEX($E$1:$K$1, MATCH(MIN(E992:K992), E992:K992, 0))), 技能库!$A:$F, 6, 0),"请针对该题型加强练习"))</f>
        <v/>
      </c>
      <c r="AB992" s="5" t="str">
        <f>IF(P992="","", "⚠️ 薄弱环节: "&amp;INDEX($N$1:$O$1, MATCH(MIN(N992:O992), N992:O992, 0))&amp;CHAR(10)&amp;"📉 考察能力: "&amp;IFERROR(VLOOKUP(TRIM(D992)&amp;"_"&amp;TRIM(INDEX($N$1:$O$1, MATCH(MIN(N992:O992), N992:O992, 0))), 技能库!$A:$F, 5, 0),"建议查阅考纲")&amp;CHAR(10)&amp;"💡 提升建议: "&amp;IFERROR(VLOOKUP(TRIM(D992)&amp;"_"&amp;TRIM(INDEX($N$1:$O$1, MATCH(MIN(N992:O992), N992:O992, 0))), 技能库!$A:$F, 6, 0),"请针对该题型加强练习"))</f>
        <v/>
      </c>
      <c r="AC992" s="5" t="str">
        <f>IF(W992="","", "⚠️ 薄弱环节: "&amp;INDEX($R$1:$V$1, MATCH(MIN(R992:V992), R992:V992, 0))&amp;CHAR(10)&amp;"📉 考察能力: "&amp;IFERROR(VLOOKUP(TRIM(D992)&amp;"_"&amp;TRIM(INDEX($R$1:$V$1, MATCH(MIN(R992:V992), R992:V992, 0))), 技能库!$A:$F, 5, 0),"建议查阅考纲")&amp;CHAR(10)&amp;"💡 提升建议: "&amp;IFERROR(VLOOKUP(TRIM(D992)&amp;"_"&amp;TRIM(INDEX($R$1:$V$1, MATCH(MIN(R992:V992), R992:V992, 0))), 技能库!$A:$F, 6, 0),"请针对该题型加强练习"))</f>
        <v/>
      </c>
    </row>
    <row r="993" spans="1:30" ht="16" hidden="1" x14ac:dyDescent="0.2">
      <c r="L993" t="str">
        <f t="shared" si="60"/>
        <v/>
      </c>
      <c r="M993" t="str">
        <f>IF(L993="","", IFERROR(VLOOKUP(L993, IF(D993="KET", 换算标准!$M:$N, IF(D993="PET", 换算标准!$S:$T, 换算标准!$AC:$AD)), 2, TRUE), 0))</f>
        <v/>
      </c>
      <c r="P993" t="str">
        <f t="shared" si="61"/>
        <v/>
      </c>
      <c r="Q993" t="str">
        <f>IF(P993="","", IFERROR(VLOOKUP(P993, IF(D993="KET", 换算标准!$O:$P, IF(D993="PET", 换算标准!$U:$V, 换算标准!$AG:$AH)), 2, TRUE), 0))</f>
        <v/>
      </c>
      <c r="W993" t="str">
        <f t="shared" si="62"/>
        <v/>
      </c>
      <c r="X993" t="str">
        <f>IF(W993="","", IFERROR(VLOOKUP(W993, IF(D993="KET", 换算标准!$Q:$R, IF(D993="PET", 换算标准!$W:$X, 换算标准!$AI:$AJ)), 2, TRUE), 0))</f>
        <v/>
      </c>
      <c r="Y993" t="str">
        <f t="shared" si="63"/>
        <v/>
      </c>
      <c r="Z993" t="str">
        <f>IF(Y993="","", IFERROR(VLOOKUP(Y993, 换算标准!$Z:$AA, 1, TRUE), ""))</f>
        <v/>
      </c>
      <c r="AA993" s="5" t="str">
        <f>IF(L993="","", "⚠️ 薄弱环节: "&amp;INDEX($E$1:$K$1, MATCH(MIN(E993:K993), E993:K993, 0))&amp;CHAR(10)&amp;"📉 考察能力: "&amp;IFERROR(VLOOKUP(TRIM(D993)&amp;"_"&amp;TRIM(INDEX($E$1:$K$1, MATCH(MIN(E993:K993), E993:K993, 0))), 技能库!$A:$F, 5, 0),"建议查阅考纲")&amp;CHAR(10)&amp;"💡 提升建议: "&amp;IFERROR(VLOOKUP(TRIM(D993)&amp;"_"&amp;TRIM(INDEX($E$1:$K$1, MATCH(MIN(E993:K993), E993:K993, 0))), 技能库!$A:$F, 6, 0),"请针对该题型加强练习"))</f>
        <v/>
      </c>
      <c r="AB993" s="5" t="str">
        <f>IF(P993="","", "⚠️ 薄弱环节: "&amp;INDEX($N$1:$O$1, MATCH(MIN(N993:O993), N993:O993, 0))&amp;CHAR(10)&amp;"📉 考察能力: "&amp;IFERROR(VLOOKUP(TRIM(D993)&amp;"_"&amp;TRIM(INDEX($N$1:$O$1, MATCH(MIN(N993:O993), N993:O993, 0))), 技能库!$A:$F, 5, 0),"建议查阅考纲")&amp;CHAR(10)&amp;"💡 提升建议: "&amp;IFERROR(VLOOKUP(TRIM(D993)&amp;"_"&amp;TRIM(INDEX($N$1:$O$1, MATCH(MIN(N993:O993), N993:O993, 0))), 技能库!$A:$F, 6, 0),"请针对该题型加强练习"))</f>
        <v/>
      </c>
      <c r="AC993" s="5" t="str">
        <f>IF(W993="","", "⚠️ 薄弱环节: "&amp;INDEX($R$1:$V$1, MATCH(MIN(R993:V993), R993:V993, 0))&amp;CHAR(10)&amp;"📉 考察能力: "&amp;IFERROR(VLOOKUP(TRIM(D993)&amp;"_"&amp;TRIM(INDEX($R$1:$V$1, MATCH(MIN(R993:V993), R993:V993, 0))), 技能库!$A:$F, 5, 0),"建议查阅考纲")&amp;CHAR(10)&amp;"💡 提升建议: "&amp;IFERROR(VLOOKUP(TRIM(D993)&amp;"_"&amp;TRIM(INDEX($R$1:$V$1, MATCH(MIN(R993:V993), R993:V993, 0))), 技能库!$A:$F, 6, 0),"请针对该题型加强练习"))</f>
        <v/>
      </c>
    </row>
    <row r="994" spans="1:30" ht="16" hidden="1" x14ac:dyDescent="0.2">
      <c r="L994" t="str">
        <f t="shared" si="60"/>
        <v/>
      </c>
      <c r="M994" t="str">
        <f>IF(L994="","", IFERROR(VLOOKUP(L994, IF(D994="KET", 换算标准!$M:$N, IF(D994="PET", 换算标准!$S:$T, 换算标准!$AC:$AD)), 2, TRUE), 0))</f>
        <v/>
      </c>
      <c r="P994" t="str">
        <f t="shared" si="61"/>
        <v/>
      </c>
      <c r="Q994" t="str">
        <f>IF(P994="","", IFERROR(VLOOKUP(P994, IF(D994="KET", 换算标准!$O:$P, IF(D994="PET", 换算标准!$U:$V, 换算标准!$AG:$AH)), 2, TRUE), 0))</f>
        <v/>
      </c>
      <c r="W994" t="str">
        <f t="shared" si="62"/>
        <v/>
      </c>
      <c r="X994" t="str">
        <f>IF(W994="","", IFERROR(VLOOKUP(W994, IF(D994="KET", 换算标准!$Q:$R, IF(D994="PET", 换算标准!$W:$X, 换算标准!$AI:$AJ)), 2, TRUE), 0))</f>
        <v/>
      </c>
      <c r="Y994" t="str">
        <f t="shared" si="63"/>
        <v/>
      </c>
      <c r="Z994" t="str">
        <f>IF(Y994="","", IFERROR(VLOOKUP(Y994, 换算标准!$Z:$AA, 1, TRUE), ""))</f>
        <v/>
      </c>
      <c r="AA994" s="5" t="str">
        <f>IF(L994="","", "⚠️ 薄弱环节: "&amp;INDEX($E$1:$K$1, MATCH(MIN(E994:K994), E994:K994, 0))&amp;CHAR(10)&amp;"📉 考察能力: "&amp;IFERROR(VLOOKUP(TRIM(D994)&amp;"_"&amp;TRIM(INDEX($E$1:$K$1, MATCH(MIN(E994:K994), E994:K994, 0))), 技能库!$A:$F, 5, 0),"建议查阅考纲")&amp;CHAR(10)&amp;"💡 提升建议: "&amp;IFERROR(VLOOKUP(TRIM(D994)&amp;"_"&amp;TRIM(INDEX($E$1:$K$1, MATCH(MIN(E994:K994), E994:K994, 0))), 技能库!$A:$F, 6, 0),"请针对该题型加强练习"))</f>
        <v/>
      </c>
      <c r="AB994" s="5" t="str">
        <f>IF(P994="","", "⚠️ 薄弱环节: "&amp;INDEX($N$1:$O$1, MATCH(MIN(N994:O994), N994:O994, 0))&amp;CHAR(10)&amp;"📉 考察能力: "&amp;IFERROR(VLOOKUP(TRIM(D994)&amp;"_"&amp;TRIM(INDEX($N$1:$O$1, MATCH(MIN(N994:O994), N994:O994, 0))), 技能库!$A:$F, 5, 0),"建议查阅考纲")&amp;CHAR(10)&amp;"💡 提升建议: "&amp;IFERROR(VLOOKUP(TRIM(D994)&amp;"_"&amp;TRIM(INDEX($N$1:$O$1, MATCH(MIN(N994:O994), N994:O994, 0))), 技能库!$A:$F, 6, 0),"请针对该题型加强练习"))</f>
        <v/>
      </c>
      <c r="AC994" s="5" t="str">
        <f>IF(W994="","", "⚠️ 薄弱环节: "&amp;INDEX($R$1:$V$1, MATCH(MIN(R994:V994), R994:V994, 0))&amp;CHAR(10)&amp;"📉 考察能力: "&amp;IFERROR(VLOOKUP(TRIM(D994)&amp;"_"&amp;TRIM(INDEX($R$1:$V$1, MATCH(MIN(R994:V994), R994:V994, 0))), 技能库!$A:$F, 5, 0),"建议查阅考纲")&amp;CHAR(10)&amp;"💡 提升建议: "&amp;IFERROR(VLOOKUP(TRIM(D994)&amp;"_"&amp;TRIM(INDEX($R$1:$V$1, MATCH(MIN(R994:V994), R994:V994, 0))), 技能库!$A:$F, 6, 0),"请针对该题型加强练习"))</f>
        <v/>
      </c>
    </row>
    <row r="995" spans="1:30" ht="16" hidden="1" x14ac:dyDescent="0.2">
      <c r="L995" t="str">
        <f t="shared" si="60"/>
        <v/>
      </c>
      <c r="M995" t="str">
        <f>IF(L995="","", IFERROR(VLOOKUP(L995, IF(D995="KET", 换算标准!$M:$N, IF(D995="PET", 换算标准!$S:$T, 换算标准!$AC:$AD)), 2, TRUE), 0))</f>
        <v/>
      </c>
      <c r="P995" t="str">
        <f t="shared" si="61"/>
        <v/>
      </c>
      <c r="Q995" t="str">
        <f>IF(P995="","", IFERROR(VLOOKUP(P995, IF(D995="KET", 换算标准!$O:$P, IF(D995="PET", 换算标准!$U:$V, 换算标准!$AG:$AH)), 2, TRUE), 0))</f>
        <v/>
      </c>
      <c r="W995" t="str">
        <f t="shared" si="62"/>
        <v/>
      </c>
      <c r="X995" t="str">
        <f>IF(W995="","", IFERROR(VLOOKUP(W995, IF(D995="KET", 换算标准!$Q:$R, IF(D995="PET", 换算标准!$W:$X, 换算标准!$AI:$AJ)), 2, TRUE), 0))</f>
        <v/>
      </c>
      <c r="Y995" t="str">
        <f t="shared" si="63"/>
        <v/>
      </c>
      <c r="Z995" t="str">
        <f>IF(Y995="","", IFERROR(VLOOKUP(Y995, 换算标准!$Z:$AA, 1, TRUE), ""))</f>
        <v/>
      </c>
      <c r="AA995" s="5" t="str">
        <f>IF(L995="","", "⚠️ 薄弱环节: "&amp;INDEX($E$1:$K$1, MATCH(MIN(E995:K995), E995:K995, 0))&amp;CHAR(10)&amp;"📉 考察能力: "&amp;IFERROR(VLOOKUP(TRIM(D995)&amp;"_"&amp;TRIM(INDEX($E$1:$K$1, MATCH(MIN(E995:K995), E995:K995, 0))), 技能库!$A:$F, 5, 0),"建议查阅考纲")&amp;CHAR(10)&amp;"💡 提升建议: "&amp;IFERROR(VLOOKUP(TRIM(D995)&amp;"_"&amp;TRIM(INDEX($E$1:$K$1, MATCH(MIN(E995:K995), E995:K995, 0))), 技能库!$A:$F, 6, 0),"请针对该题型加强练习"))</f>
        <v/>
      </c>
      <c r="AB995" s="5" t="str">
        <f>IF(P995="","", "⚠️ 薄弱环节: "&amp;INDEX($N$1:$O$1, MATCH(MIN(N995:O995), N995:O995, 0))&amp;CHAR(10)&amp;"📉 考察能力: "&amp;IFERROR(VLOOKUP(TRIM(D995)&amp;"_"&amp;TRIM(INDEX($N$1:$O$1, MATCH(MIN(N995:O995), N995:O995, 0))), 技能库!$A:$F, 5, 0),"建议查阅考纲")&amp;CHAR(10)&amp;"💡 提升建议: "&amp;IFERROR(VLOOKUP(TRIM(D995)&amp;"_"&amp;TRIM(INDEX($N$1:$O$1, MATCH(MIN(N995:O995), N995:O995, 0))), 技能库!$A:$F, 6, 0),"请针对该题型加强练习"))</f>
        <v/>
      </c>
      <c r="AC995" s="5" t="str">
        <f>IF(W995="","", "⚠️ 薄弱环节: "&amp;INDEX($R$1:$V$1, MATCH(MIN(R995:V995), R995:V995, 0))&amp;CHAR(10)&amp;"📉 考察能力: "&amp;IFERROR(VLOOKUP(TRIM(D995)&amp;"_"&amp;TRIM(INDEX($R$1:$V$1, MATCH(MIN(R995:V995), R995:V995, 0))), 技能库!$A:$F, 5, 0),"建议查阅考纲")&amp;CHAR(10)&amp;"💡 提升建议: "&amp;IFERROR(VLOOKUP(TRIM(D995)&amp;"_"&amp;TRIM(INDEX($R$1:$V$1, MATCH(MIN(R995:V995), R995:V995, 0))), 技能库!$A:$F, 6, 0),"请针对该题型加强练习"))</f>
        <v/>
      </c>
    </row>
    <row r="996" spans="1:30" ht="16" hidden="1" x14ac:dyDescent="0.2">
      <c r="L996" t="str">
        <f t="shared" si="60"/>
        <v/>
      </c>
      <c r="M996" t="str">
        <f>IF(L996="","", IFERROR(VLOOKUP(L996, IF(D996="KET", 换算标准!$M:$N, IF(D996="PET", 换算标准!$S:$T, 换算标准!$AC:$AD)), 2, TRUE), 0))</f>
        <v/>
      </c>
      <c r="P996" t="str">
        <f t="shared" si="61"/>
        <v/>
      </c>
      <c r="Q996" t="str">
        <f>IF(P996="","", IFERROR(VLOOKUP(P996, IF(D996="KET", 换算标准!$O:$P, IF(D996="PET", 换算标准!$U:$V, 换算标准!$AG:$AH)), 2, TRUE), 0))</f>
        <v/>
      </c>
      <c r="W996" t="str">
        <f t="shared" si="62"/>
        <v/>
      </c>
      <c r="X996" t="str">
        <f>IF(W996="","", IFERROR(VLOOKUP(W996, IF(D996="KET", 换算标准!$Q:$R, IF(D996="PET", 换算标准!$W:$X, 换算标准!$AI:$AJ)), 2, TRUE), 0))</f>
        <v/>
      </c>
      <c r="Y996" t="str">
        <f t="shared" si="63"/>
        <v/>
      </c>
      <c r="Z996" t="str">
        <f>IF(Y996="","", IFERROR(VLOOKUP(Y996, 换算标准!$Z:$AA, 1, TRUE), ""))</f>
        <v/>
      </c>
      <c r="AA996" s="5" t="str">
        <f>IF(L996="","", "⚠️ 薄弱环节: "&amp;INDEX($E$1:$K$1, MATCH(MIN(E996:K996), E996:K996, 0))&amp;CHAR(10)&amp;"📉 考察能力: "&amp;IFERROR(VLOOKUP(TRIM(D996)&amp;"_"&amp;TRIM(INDEX($E$1:$K$1, MATCH(MIN(E996:K996), E996:K996, 0))), 技能库!$A:$F, 5, 0),"建议查阅考纲")&amp;CHAR(10)&amp;"💡 提升建议: "&amp;IFERROR(VLOOKUP(TRIM(D996)&amp;"_"&amp;TRIM(INDEX($E$1:$K$1, MATCH(MIN(E996:K996), E996:K996, 0))), 技能库!$A:$F, 6, 0),"请针对该题型加强练习"))</f>
        <v/>
      </c>
      <c r="AB996" s="5" t="str">
        <f>IF(P996="","", "⚠️ 薄弱环节: "&amp;INDEX($N$1:$O$1, MATCH(MIN(N996:O996), N996:O996, 0))&amp;CHAR(10)&amp;"📉 考察能力: "&amp;IFERROR(VLOOKUP(TRIM(D996)&amp;"_"&amp;TRIM(INDEX($N$1:$O$1, MATCH(MIN(N996:O996), N996:O996, 0))), 技能库!$A:$F, 5, 0),"建议查阅考纲")&amp;CHAR(10)&amp;"💡 提升建议: "&amp;IFERROR(VLOOKUP(TRIM(D996)&amp;"_"&amp;TRIM(INDEX($N$1:$O$1, MATCH(MIN(N996:O996), N996:O996, 0))), 技能库!$A:$F, 6, 0),"请针对该题型加强练习"))</f>
        <v/>
      </c>
      <c r="AC996" s="5" t="str">
        <f>IF(W996="","", "⚠️ 薄弱环节: "&amp;INDEX($R$1:$V$1, MATCH(MIN(R996:V996), R996:V996, 0))&amp;CHAR(10)&amp;"📉 考察能力: "&amp;IFERROR(VLOOKUP(TRIM(D996)&amp;"_"&amp;TRIM(INDEX($R$1:$V$1, MATCH(MIN(R996:V996), R996:V996, 0))), 技能库!$A:$F, 5, 0),"建议查阅考纲")&amp;CHAR(10)&amp;"💡 提升建议: "&amp;IFERROR(VLOOKUP(TRIM(D996)&amp;"_"&amp;TRIM(INDEX($R$1:$V$1, MATCH(MIN(R996:V996), R996:V996, 0))), 技能库!$A:$F, 6, 0),"请针对该题型加强练习"))</f>
        <v/>
      </c>
    </row>
    <row r="997" spans="1:30" ht="16" hidden="1" x14ac:dyDescent="0.2">
      <c r="L997" t="str">
        <f t="shared" si="60"/>
        <v/>
      </c>
      <c r="M997" t="str">
        <f>IF(L997="","", IFERROR(VLOOKUP(L997, IF(D997="KET", 换算标准!$M:$N, IF(D997="PET", 换算标准!$S:$T, 换算标准!$AC:$AD)), 2, TRUE), 0))</f>
        <v/>
      </c>
      <c r="P997" t="str">
        <f t="shared" si="61"/>
        <v/>
      </c>
      <c r="Q997" t="str">
        <f>IF(P997="","", IFERROR(VLOOKUP(P997, IF(D997="KET", 换算标准!$O:$P, IF(D997="PET", 换算标准!$U:$V, 换算标准!$AG:$AH)), 2, TRUE), 0))</f>
        <v/>
      </c>
      <c r="W997" t="str">
        <f t="shared" si="62"/>
        <v/>
      </c>
      <c r="X997" t="str">
        <f>IF(W997="","", IFERROR(VLOOKUP(W997, IF(D997="KET", 换算标准!$Q:$R, IF(D997="PET", 换算标准!$W:$X, 换算标准!$AI:$AJ)), 2, TRUE), 0))</f>
        <v/>
      </c>
      <c r="Y997" t="str">
        <f t="shared" si="63"/>
        <v/>
      </c>
      <c r="Z997" t="str">
        <f>IF(Y997="","", IFERROR(VLOOKUP(Y997, 换算标准!$Z:$AA, 1, TRUE), ""))</f>
        <v/>
      </c>
      <c r="AA997" s="5" t="str">
        <f>IF(L997="","", "⚠️ 薄弱环节: "&amp;INDEX($E$1:$K$1, MATCH(MIN(E997:K997), E997:K997, 0))&amp;CHAR(10)&amp;"📉 考察能力: "&amp;IFERROR(VLOOKUP(TRIM(D997)&amp;"_"&amp;TRIM(INDEX($E$1:$K$1, MATCH(MIN(E997:K997), E997:K997, 0))), 技能库!$A:$F, 5, 0),"建议查阅考纲")&amp;CHAR(10)&amp;"💡 提升建议: "&amp;IFERROR(VLOOKUP(TRIM(D997)&amp;"_"&amp;TRIM(INDEX($E$1:$K$1, MATCH(MIN(E997:K997), E997:K997, 0))), 技能库!$A:$F, 6, 0),"请针对该题型加强练习"))</f>
        <v/>
      </c>
      <c r="AB997" s="5" t="str">
        <f>IF(P997="","", "⚠️ 薄弱环节: "&amp;INDEX($N$1:$O$1, MATCH(MIN(N997:O997), N997:O997, 0))&amp;CHAR(10)&amp;"📉 考察能力: "&amp;IFERROR(VLOOKUP(TRIM(D997)&amp;"_"&amp;TRIM(INDEX($N$1:$O$1, MATCH(MIN(N997:O997), N997:O997, 0))), 技能库!$A:$F, 5, 0),"建议查阅考纲")&amp;CHAR(10)&amp;"💡 提升建议: "&amp;IFERROR(VLOOKUP(TRIM(D997)&amp;"_"&amp;TRIM(INDEX($N$1:$O$1, MATCH(MIN(N997:O997), N997:O997, 0))), 技能库!$A:$F, 6, 0),"请针对该题型加强练习"))</f>
        <v/>
      </c>
      <c r="AC997" s="5" t="str">
        <f>IF(W997="","", "⚠️ 薄弱环节: "&amp;INDEX($R$1:$V$1, MATCH(MIN(R997:V997), R997:V997, 0))&amp;CHAR(10)&amp;"📉 考察能力: "&amp;IFERROR(VLOOKUP(TRIM(D997)&amp;"_"&amp;TRIM(INDEX($R$1:$V$1, MATCH(MIN(R997:V997), R997:V997, 0))), 技能库!$A:$F, 5, 0),"建议查阅考纲")&amp;CHAR(10)&amp;"💡 提升建议: "&amp;IFERROR(VLOOKUP(TRIM(D997)&amp;"_"&amp;TRIM(INDEX($R$1:$V$1, MATCH(MIN(R997:V997), R997:V997, 0))), 技能库!$A:$F, 6, 0),"请针对该题型加强练习"))</f>
        <v/>
      </c>
    </row>
    <row r="998" spans="1:30" ht="16" hidden="1" x14ac:dyDescent="0.2">
      <c r="L998" t="str">
        <f t="shared" si="60"/>
        <v/>
      </c>
      <c r="M998" t="str">
        <f>IF(L998="","", IFERROR(VLOOKUP(L998, IF(D998="KET", 换算标准!$M:$N, IF(D998="PET", 换算标准!$S:$T, 换算标准!$AC:$AD)), 2, TRUE), 0))</f>
        <v/>
      </c>
      <c r="P998" t="str">
        <f t="shared" si="61"/>
        <v/>
      </c>
      <c r="Q998" t="str">
        <f>IF(P998="","", IFERROR(VLOOKUP(P998, IF(D998="KET", 换算标准!$O:$P, IF(D998="PET", 换算标准!$U:$V, 换算标准!$AG:$AH)), 2, TRUE), 0))</f>
        <v/>
      </c>
      <c r="W998" t="str">
        <f t="shared" si="62"/>
        <v/>
      </c>
      <c r="X998" t="str">
        <f>IF(W998="","", IFERROR(VLOOKUP(W998, IF(D998="KET", 换算标准!$Q:$R, IF(D998="PET", 换算标准!$W:$X, 换算标准!$AI:$AJ)), 2, TRUE), 0))</f>
        <v/>
      </c>
      <c r="Y998" t="str">
        <f t="shared" si="63"/>
        <v/>
      </c>
      <c r="Z998" t="str">
        <f>IF(Y998="","", IFERROR(VLOOKUP(Y998, 换算标准!$Z:$AA, 1, TRUE), ""))</f>
        <v/>
      </c>
      <c r="AA998" s="5" t="str">
        <f>IF(L998="","", "⚠️ 薄弱环节: "&amp;INDEX($E$1:$K$1, MATCH(MIN(E998:K998), E998:K998, 0))&amp;CHAR(10)&amp;"📉 考察能力: "&amp;IFERROR(VLOOKUP(TRIM(D998)&amp;"_"&amp;TRIM(INDEX($E$1:$K$1, MATCH(MIN(E998:K998), E998:K998, 0))), 技能库!$A:$F, 5, 0),"建议查阅考纲")&amp;CHAR(10)&amp;"💡 提升建议: "&amp;IFERROR(VLOOKUP(TRIM(D998)&amp;"_"&amp;TRIM(INDEX($E$1:$K$1, MATCH(MIN(E998:K998), E998:K998, 0))), 技能库!$A:$F, 6, 0),"请针对该题型加强练习"))</f>
        <v/>
      </c>
      <c r="AB998" s="5" t="str">
        <f>IF(P998="","", "⚠️ 薄弱环节: "&amp;INDEX($N$1:$O$1, MATCH(MIN(N998:O998), N998:O998, 0))&amp;CHAR(10)&amp;"📉 考察能力: "&amp;IFERROR(VLOOKUP(TRIM(D998)&amp;"_"&amp;TRIM(INDEX($N$1:$O$1, MATCH(MIN(N998:O998), N998:O998, 0))), 技能库!$A:$F, 5, 0),"建议查阅考纲")&amp;CHAR(10)&amp;"💡 提升建议: "&amp;IFERROR(VLOOKUP(TRIM(D998)&amp;"_"&amp;TRIM(INDEX($N$1:$O$1, MATCH(MIN(N998:O998), N998:O998, 0))), 技能库!$A:$F, 6, 0),"请针对该题型加强练习"))</f>
        <v/>
      </c>
      <c r="AC998" s="5" t="str">
        <f>IF(W998="","", "⚠️ 薄弱环节: "&amp;INDEX($R$1:$V$1, MATCH(MIN(R998:V998), R998:V998, 0))&amp;CHAR(10)&amp;"📉 考察能力: "&amp;IFERROR(VLOOKUP(TRIM(D998)&amp;"_"&amp;TRIM(INDEX($R$1:$V$1, MATCH(MIN(R998:V998), R998:V998, 0))), 技能库!$A:$F, 5, 0),"建议查阅考纲")&amp;CHAR(10)&amp;"💡 提升建议: "&amp;IFERROR(VLOOKUP(TRIM(D998)&amp;"_"&amp;TRIM(INDEX($R$1:$V$1, MATCH(MIN(R998:V998), R998:V998, 0))), 技能库!$A:$F, 6, 0),"请针对该题型加强练习"))</f>
        <v/>
      </c>
    </row>
    <row r="999" spans="1:30" ht="16" hidden="1" x14ac:dyDescent="0.2">
      <c r="L999" t="str">
        <f t="shared" si="60"/>
        <v/>
      </c>
      <c r="M999" t="str">
        <f>IF(L999="","", IFERROR(VLOOKUP(L999, IF(D999="KET", 换算标准!$M:$N, IF(D999="PET", 换算标准!$S:$T, 换算标准!$AC:$AD)), 2, TRUE), 0))</f>
        <v/>
      </c>
      <c r="P999" t="str">
        <f t="shared" si="61"/>
        <v/>
      </c>
      <c r="Q999" t="str">
        <f>IF(P999="","", IFERROR(VLOOKUP(P999, IF(D999="KET", 换算标准!$O:$P, IF(D999="PET", 换算标准!$U:$V, 换算标准!$AG:$AH)), 2, TRUE), 0))</f>
        <v/>
      </c>
      <c r="W999" t="str">
        <f t="shared" si="62"/>
        <v/>
      </c>
      <c r="X999" t="str">
        <f>IF(W999="","", IFERROR(VLOOKUP(W999, IF(D999="KET", 换算标准!$Q:$R, IF(D999="PET", 换算标准!$W:$X, 换算标准!$AI:$AJ)), 2, TRUE), 0))</f>
        <v/>
      </c>
      <c r="Y999" t="str">
        <f t="shared" si="63"/>
        <v/>
      </c>
      <c r="Z999" t="str">
        <f>IF(Y999="","", IFERROR(VLOOKUP(Y999, 换算标准!$Z:$AA, 1, TRUE), ""))</f>
        <v/>
      </c>
      <c r="AA999" s="5" t="str">
        <f>IF(L999="","", "⚠️ 薄弱环节: "&amp;INDEX($E$1:$K$1, MATCH(MIN(E999:K999), E999:K999, 0))&amp;CHAR(10)&amp;"📉 考察能力: "&amp;IFERROR(VLOOKUP(TRIM(D999)&amp;"_"&amp;TRIM(INDEX($E$1:$K$1, MATCH(MIN(E999:K999), E999:K999, 0))), 技能库!$A:$F, 5, 0),"建议查阅考纲")&amp;CHAR(10)&amp;"💡 提升建议: "&amp;IFERROR(VLOOKUP(TRIM(D999)&amp;"_"&amp;TRIM(INDEX($E$1:$K$1, MATCH(MIN(E999:K999), E999:K999, 0))), 技能库!$A:$F, 6, 0),"请针对该题型加强练习"))</f>
        <v/>
      </c>
      <c r="AB999" s="5" t="str">
        <f>IF(P999="","", "⚠️ 薄弱环节: "&amp;INDEX($N$1:$O$1, MATCH(MIN(N999:O999), N999:O999, 0))&amp;CHAR(10)&amp;"📉 考察能力: "&amp;IFERROR(VLOOKUP(TRIM(D999)&amp;"_"&amp;TRIM(INDEX($N$1:$O$1, MATCH(MIN(N999:O999), N999:O999, 0))), 技能库!$A:$F, 5, 0),"建议查阅考纲")&amp;CHAR(10)&amp;"💡 提升建议: "&amp;IFERROR(VLOOKUP(TRIM(D999)&amp;"_"&amp;TRIM(INDEX($N$1:$O$1, MATCH(MIN(N999:O999), N999:O999, 0))), 技能库!$A:$F, 6, 0),"请针对该题型加强练习"))</f>
        <v/>
      </c>
      <c r="AC999" s="5" t="str">
        <f>IF(W999="","", "⚠️ 薄弱环节: "&amp;INDEX($R$1:$V$1, MATCH(MIN(R999:V999), R999:V999, 0))&amp;CHAR(10)&amp;"📉 考察能力: "&amp;IFERROR(VLOOKUP(TRIM(D999)&amp;"_"&amp;TRIM(INDEX($R$1:$V$1, MATCH(MIN(R999:V999), R999:V999, 0))), 技能库!$A:$F, 5, 0),"建议查阅考纲")&amp;CHAR(10)&amp;"💡 提升建议: "&amp;IFERROR(VLOOKUP(TRIM(D999)&amp;"_"&amp;TRIM(INDEX($R$1:$V$1, MATCH(MIN(R999:V999), R999:V999, 0))), 技能库!$A:$F, 6, 0),"请针对该题型加强练习"))</f>
        <v/>
      </c>
    </row>
    <row r="1000" spans="1:30" ht="16" hidden="1" x14ac:dyDescent="0.2">
      <c r="L1000" t="str">
        <f t="shared" si="60"/>
        <v/>
      </c>
      <c r="M1000" t="str">
        <f>IF(L1000="","", IFERROR(VLOOKUP(L1000, IF(D1000="KET", 换算标准!$M:$N, IF(D1000="PET", 换算标准!$S:$T, 换算标准!$AC:$AD)), 2, TRUE), 0))</f>
        <v/>
      </c>
      <c r="P1000" t="str">
        <f t="shared" si="61"/>
        <v/>
      </c>
      <c r="Q1000" t="str">
        <f>IF(P1000="","", IFERROR(VLOOKUP(P1000, IF(D1000="KET", 换算标准!$O:$P, IF(D1000="PET", 换算标准!$U:$V, 换算标准!$AG:$AH)), 2, TRUE), 0))</f>
        <v/>
      </c>
      <c r="W1000" t="str">
        <f t="shared" si="62"/>
        <v/>
      </c>
      <c r="X1000" t="str">
        <f>IF(W1000="","", IFERROR(VLOOKUP(W1000, IF(D1000="KET", 换算标准!$Q:$R, IF(D1000="PET", 换算标准!$W:$X, 换算标准!$AI:$AJ)), 2, TRUE), 0))</f>
        <v/>
      </c>
      <c r="Y1000" t="str">
        <f t="shared" si="63"/>
        <v/>
      </c>
      <c r="Z1000" t="str">
        <f>IF(Y1000="","", IFERROR(VLOOKUP(Y1000, 换算标准!$Z:$AA, 1, TRUE), ""))</f>
        <v/>
      </c>
      <c r="AA1000" s="5" t="str">
        <f>IF(L1000="","", "⚠️ 薄弱环节: "&amp;INDEX($E$1:$K$1, MATCH(MIN(E1000:K1000), E1000:K1000, 0))&amp;CHAR(10)&amp;"📉 考察能力: "&amp;IFERROR(VLOOKUP(TRIM(D1000)&amp;"_"&amp;TRIM(INDEX($E$1:$K$1, MATCH(MIN(E1000:K1000), E1000:K1000, 0))), 技能库!$A:$F, 5, 0),"建议查阅考纲")&amp;CHAR(10)&amp;"💡 提升建议: "&amp;IFERROR(VLOOKUP(TRIM(D1000)&amp;"_"&amp;TRIM(INDEX($E$1:$K$1, MATCH(MIN(E1000:K1000), E1000:K1000, 0))), 技能库!$A:$F, 6, 0),"请针对该题型加强练习"))</f>
        <v/>
      </c>
      <c r="AB1000" s="5" t="str">
        <f>IF(P1000="","", "⚠️ 薄弱环节: "&amp;INDEX($N$1:$O$1, MATCH(MIN(N1000:O1000), N1000:O1000, 0))&amp;CHAR(10)&amp;"📉 考察能力: "&amp;IFERROR(VLOOKUP(TRIM(D1000)&amp;"_"&amp;TRIM(INDEX($N$1:$O$1, MATCH(MIN(N1000:O1000), N1000:O1000, 0))), 技能库!$A:$F, 5, 0),"建议查阅考纲")&amp;CHAR(10)&amp;"💡 提升建议: "&amp;IFERROR(VLOOKUP(TRIM(D1000)&amp;"_"&amp;TRIM(INDEX($N$1:$O$1, MATCH(MIN(N1000:O1000), N1000:O1000, 0))), 技能库!$A:$F, 6, 0),"请针对该题型加强练习"))</f>
        <v/>
      </c>
      <c r="AC1000" s="5" t="str">
        <f>IF(W1000="","", "⚠️ 薄弱环节: "&amp;INDEX($R$1:$V$1, MATCH(MIN(R1000:V1000), R1000:V1000, 0))&amp;CHAR(10)&amp;"📉 考察能力: "&amp;IFERROR(VLOOKUP(TRIM(D1000)&amp;"_"&amp;TRIM(INDEX($R$1:$V$1, MATCH(MIN(R1000:V1000), R1000:V1000, 0))), 技能库!$A:$F, 5, 0),"建议查阅考纲")&amp;CHAR(10)&amp;"💡 提升建议: "&amp;IFERROR(VLOOKUP(TRIM(D1000)&amp;"_"&amp;TRIM(INDEX($R$1:$V$1, MATCH(MIN(R1000:V1000), R1000:V1000, 0))), 技能库!$A:$F, 6, 0),"请针对该题型加强练习"))</f>
        <v/>
      </c>
    </row>
    <row r="1001" spans="1:30" ht="18" customHeight="1" x14ac:dyDescent="0.2">
      <c r="L1001" t="str">
        <f t="shared" si="60"/>
        <v/>
      </c>
      <c r="M1001" t="str">
        <f>IF(L1001="","", IFERROR(VLOOKUP(L1001, IF(D1001="KET", 换算标准!$M:$N, IF(D1001="PET", 换算标准!$S:$T, 换算标准!$AC:$AD)), 2, TRUE), 0))</f>
        <v/>
      </c>
      <c r="N1001">
        <v>0</v>
      </c>
      <c r="O1001">
        <v>0</v>
      </c>
      <c r="P1001">
        <f t="shared" si="61"/>
        <v>0</v>
      </c>
      <c r="W1001" t="str">
        <f t="shared" si="62"/>
        <v/>
      </c>
      <c r="X1001" t="str">
        <f>IF(W1001="","", IFERROR(VLOOKUP(W1001, IF(D1001="KET", 换算标准!$Q:$R, IF(D1001="PET", 换算标准!$W:$X, 换算标准!$AI:$AJ)), 2, TRUE), 0))</f>
        <v/>
      </c>
      <c r="Y1001" t="str">
        <f t="shared" si="63"/>
        <v/>
      </c>
      <c r="AA1001" s="5" t="str">
        <f>IF(L1001="","", "⚠️ 薄弱环节: "&amp;INDEX($E$1:$K$1, MATCH(MIN(E1001:K1001), E1001:K1001, 0))&amp;CHAR(10)&amp;"📉 考察能力: "&amp;IFERROR(VLOOKUP(TRIM(D1001)&amp;"_"&amp;TRIM(INDEX($E$1:$K$1, MATCH(MIN(E1001:K1001), E1001:K1001, 0))), 技能库!$A:$F, 5, 0),"建议查阅考纲")&amp;CHAR(10)&amp;"💡 提升建议: "&amp;IFERROR(VLOOKUP(TRIM(D1001)&amp;"_"&amp;TRIM(INDEX($E$1:$K$1, MATCH(MIN(E1001:K1001), E1001:K1001, 0))), 技能库!$A:$F, 6, 0),"请针对该题型加强练习"))</f>
        <v/>
      </c>
      <c r="AB1001" s="5" t="str">
        <f>IF(P1001="","", "⚠️ 薄弱环节: "&amp;INDEX($N$1:$O$1, MATCH(MIN(N1001:O1001), N1001:O1001, 0))&amp;CHAR(10)&amp;"📉 考察能力: "&amp;IFERROR(VLOOKUP(TRIM(D1001)&amp;"_"&amp;TRIM(INDEX($N$1:$O$1, MATCH(MIN(N1001:O1001), N1001:O1001, 0))), 技能库!$A:$F, 5, 0),"建议查阅考纲")&amp;CHAR(10)&amp;"💡 提升建议: "&amp;IFERROR(VLOOKUP(TRIM(D1001)&amp;"_"&amp;TRIM(INDEX($N$1:$O$1, MATCH(MIN(N1001:O1001), N1001:O1001, 0))), 技能库!$A:$F, 6, 0),"请针对该题型加强练习"))</f>
        <v>⚠️ 薄弱环节: W-Pt1
📉 考察能力: 建议查阅考纲
💡 提升建议: 请针对该题型加强练习</v>
      </c>
      <c r="AC1001" s="5" t="str">
        <f>IF(W1001="","", "⚠️ 薄弱环节: "&amp;INDEX($R$1:$V$1, MATCH(MIN(R1001:V1001), R1001:V1001, 0))&amp;CHAR(10)&amp;"📉 考察能力: "&amp;IFERROR(VLOOKUP(TRIM(D1001)&amp;"_"&amp;TRIM(INDEX($R$1:$V$1, MATCH(MIN(R1001:V1001), R1001:V1001, 0))), 技能库!$A:$F, 5, 0),"建议查阅考纲")&amp;CHAR(10)&amp;"💡 提升建议: "&amp;IFERROR(VLOOKUP(TRIM(D1001)&amp;"_"&amp;TRIM(INDEX($R$1:$V$1, MATCH(MIN(R1001:V1001), R1001:V1001, 0))), 技能库!$A:$F, 6, 0),"请针对该题型加强练习"))</f>
        <v/>
      </c>
    </row>
    <row r="1002" spans="1:30" ht="18" customHeight="1" x14ac:dyDescent="0.2"/>
    <row r="1003" spans="1:30" ht="18" customHeight="1" x14ac:dyDescent="0.2">
      <c r="L1003" t="str">
        <f t="shared" si="60"/>
        <v/>
      </c>
      <c r="M1003" t="str">
        <f>IF(L1003="","", IFERROR(VLOOKUP(L1003, IF(D1003="KET", 换算标准!$M:$N, IF(D1003="PET", 换算标准!$S:$T, 换算标准!$AC:$AD)), 2, TRUE), 0))</f>
        <v/>
      </c>
      <c r="Q1003" t="str">
        <f>IF(P1003="","", IFERROR(VLOOKUP(P1003, IF(D1003="KET", 换算标准!$O:$P, IF(D1003="PET", 换算标准!$U:$V, 换算标准!$AG:$AH)), 2, TRUE), 0))</f>
        <v/>
      </c>
      <c r="W1003" t="str">
        <f t="shared" si="62"/>
        <v/>
      </c>
      <c r="X1003" t="str">
        <f>IF(W1003="","", IFERROR(VLOOKUP(W1003, IF(D1003="KET", 换算标准!$Q:$R, IF(D1003="PET", 换算标准!$W:$X, 换算标准!$AI:$AJ)), 2, TRUE), 0))</f>
        <v/>
      </c>
      <c r="Y1003" t="str">
        <f t="shared" si="63"/>
        <v/>
      </c>
      <c r="AA1003" s="5" t="str">
        <f>IF(L1003="","", "⚠️ 薄弱环节: "&amp;INDEX($E$1:$K$1, MATCH(MIN(E1003:K1003), E1003:K1003, 0))&amp;CHAR(10)&amp;"📉 考察能力: "&amp;IFERROR(VLOOKUP(TRIM(D1003)&amp;"_"&amp;TRIM(INDEX($E$1:$K$1, MATCH(MIN(E1003:K1003), E1003:K1003, 0))), 技能库!$A:$F, 5, 0),"建议查阅考纲")&amp;CHAR(10)&amp;"💡 提升建议: "&amp;IFERROR(VLOOKUP(TRIM(D1003)&amp;"_"&amp;TRIM(INDEX($E$1:$K$1, MATCH(MIN(E1003:K1003), E1003:K1003, 0))), 技能库!$A:$F, 6, 0),"请针对该题型加强练习"))</f>
        <v/>
      </c>
      <c r="AB1003" s="5" t="str">
        <f>IF(P1003="","", "⚠️ 薄弱环节: "&amp;INDEX($N$1:$O$1, MATCH(MIN(N1003:O1003), N1003:O1003, 0))&amp;CHAR(10)&amp;"📉 考察能力: "&amp;IFERROR(VLOOKUP(TRIM(D1003)&amp;"_"&amp;TRIM(INDEX($N$1:$O$1, MATCH(MIN(N1003:O1003), N1003:O1003, 0))), 技能库!$A:$F, 5, 0),"建议查阅考纲")&amp;CHAR(10)&amp;"💡 提升建议: "&amp;IFERROR(VLOOKUP(TRIM(D1003)&amp;"_"&amp;TRIM(INDEX($N$1:$O$1, MATCH(MIN(N1003:O1003), N1003:O1003, 0))), 技能库!$A:$F, 6, 0),"请针对该题型加强练习"))</f>
        <v/>
      </c>
      <c r="AC1003" s="5" t="str">
        <f>IF(W1003="","", "⚠️ 薄弱环节: "&amp;INDEX($R$1:$V$1, MATCH(MIN(R1003:V1003), R1003:V1003, 0))&amp;CHAR(10)&amp;"📉 考察能力: "&amp;IFERROR(VLOOKUP(TRIM(D1003)&amp;"_"&amp;TRIM(INDEX($R$1:$V$1, MATCH(MIN(R1003:V1003), R1003:V1003, 0))), 技能库!$A:$F, 5, 0),"建议查阅考纲")&amp;CHAR(10)&amp;"💡 提升建议: "&amp;IFERROR(VLOOKUP(TRIM(D1003)&amp;"_"&amp;TRIM(INDEX($R$1:$V$1, MATCH(MIN(R1003:V1003), R1003:V1003, 0))), 技能库!$A:$F, 6, 0),"请针对该题型加强练习"))</f>
        <v/>
      </c>
    </row>
    <row r="1004" spans="1:30" ht="18" customHeight="1" x14ac:dyDescent="0.2">
      <c r="L1004" t="str">
        <f t="shared" si="60"/>
        <v/>
      </c>
      <c r="M1004" t="str">
        <f>IF(L1004="","", IFERROR(VLOOKUP(L1004, IF(D1004="KET", 换算标准!$M:$N, IF(D1004="PET", 换算标准!$S:$T, 换算标准!$AC:$AD)), 2, TRUE), 0))</f>
        <v/>
      </c>
      <c r="Q1004" t="str">
        <f>IF(P1004="","", IFERROR(VLOOKUP(P1004, IF(D1004="KET", 换算标准!$O:$P, IF(D1004="PET", 换算标准!$U:$V, 换算标准!$AG:$AH)), 2, TRUE), 0))</f>
        <v/>
      </c>
      <c r="W1004" t="str">
        <f t="shared" si="62"/>
        <v/>
      </c>
      <c r="X1004" t="str">
        <f>IF(W1004="","", IFERROR(VLOOKUP(W1004, IF(D1004="KET", 换算标准!$Q:$R, IF(D1004="PET", 换算标准!$W:$X, 换算标准!$AI:$AJ)), 2, TRUE), 0))</f>
        <v/>
      </c>
      <c r="Y1004" t="str">
        <f t="shared" si="63"/>
        <v/>
      </c>
      <c r="AA1004" s="5" t="str">
        <f>IF(L1004="","", "⚠️ 薄弱环节: "&amp;INDEX($E$1:$K$1, MATCH(MIN(E1004:K1004), E1004:K1004, 0))&amp;CHAR(10)&amp;"📉 考察能力: "&amp;IFERROR(VLOOKUP(TRIM(D1004)&amp;"_"&amp;TRIM(INDEX($E$1:$K$1, MATCH(MIN(E1004:K1004), E1004:K1004, 0))), 技能库!$A:$F, 5, 0),"建议查阅考纲")&amp;CHAR(10)&amp;"💡 提升建议: "&amp;IFERROR(VLOOKUP(TRIM(D1004)&amp;"_"&amp;TRIM(INDEX($E$1:$K$1, MATCH(MIN(E1004:K1004), E1004:K1004, 0))), 技能库!$A:$F, 6, 0),"请针对该题型加强练习"))</f>
        <v/>
      </c>
      <c r="AB1004" s="5" t="str">
        <f>IF(P1004="","", "⚠️ 薄弱环节: "&amp;INDEX($N$1:$O$1, MATCH(MIN(N1004:O1004), N1004:O1004, 0))&amp;CHAR(10)&amp;"📉 考察能力: "&amp;IFERROR(VLOOKUP(TRIM(D1004)&amp;"_"&amp;TRIM(INDEX($N$1:$O$1, MATCH(MIN(N1004:O1004), N1004:O1004, 0))), 技能库!$A:$F, 5, 0),"建议查阅考纲")&amp;CHAR(10)&amp;"💡 提升建议: "&amp;IFERROR(VLOOKUP(TRIM(D1004)&amp;"_"&amp;TRIM(INDEX($N$1:$O$1, MATCH(MIN(N1004:O1004), N1004:O1004, 0))), 技能库!$A:$F, 6, 0),"请针对该题型加强练习"))</f>
        <v/>
      </c>
      <c r="AC1004" s="5" t="str">
        <f>IF(W1004="","", "⚠️ 薄弱环节: "&amp;INDEX($R$1:$V$1, MATCH(MIN(R1004:V1004), R1004:V1004, 0))&amp;CHAR(10)&amp;"📉 考察能力: "&amp;IFERROR(VLOOKUP(TRIM(D1004)&amp;"_"&amp;TRIM(INDEX($R$1:$V$1, MATCH(MIN(R1004:V1004), R1004:V1004, 0))), 技能库!$A:$F, 5, 0),"建议查阅考纲")&amp;CHAR(10)&amp;"💡 提升建议: "&amp;IFERROR(VLOOKUP(TRIM(D1004)&amp;"_"&amp;TRIM(INDEX($R$1:$V$1, MATCH(MIN(R1004:V1004), R1004:V1004, 0))), 技能库!$A:$F, 6, 0),"请针对该题型加强练习"))</f>
        <v/>
      </c>
    </row>
    <row r="1005" spans="1:30" ht="18" customHeight="1" x14ac:dyDescent="0.2">
      <c r="A1005">
        <v>305</v>
      </c>
      <c r="B1005" t="s">
        <v>317</v>
      </c>
      <c r="C1005" t="s">
        <v>318</v>
      </c>
      <c r="D1005" t="s">
        <v>15</v>
      </c>
      <c r="E1005">
        <v>4</v>
      </c>
      <c r="F1005">
        <v>1</v>
      </c>
      <c r="I1005">
        <v>2</v>
      </c>
      <c r="J1005">
        <v>3</v>
      </c>
      <c r="L1005">
        <f t="shared" si="60"/>
        <v>10</v>
      </c>
      <c r="M1005">
        <f>IF(L1005="","", IFERROR(VLOOKUP(L1005, IF(D1005="KET", 换算标准!$M:$N, IF(D1005="PET", 换算标准!$S:$T, 换算标准!$AC:$AD)), 2, TRUE), 0))</f>
        <v>0</v>
      </c>
      <c r="N1005">
        <v>0</v>
      </c>
      <c r="O1005">
        <v>0</v>
      </c>
      <c r="P1005">
        <f t="shared" si="61"/>
        <v>0</v>
      </c>
      <c r="Q1005">
        <f>IF(P1005="","", IFERROR(VLOOKUP(P1005, IF(D1005="KET", 换算标准!$O:$P, IF(D1005="PET", 换算标准!$U:$V, 换算标准!$AG:$AH)), 2, TRUE), 0))</f>
        <v>0</v>
      </c>
      <c r="R1005">
        <v>4</v>
      </c>
      <c r="S1005">
        <v>2</v>
      </c>
      <c r="T1005">
        <v>1</v>
      </c>
      <c r="U1005">
        <v>3</v>
      </c>
      <c r="W1005">
        <f t="shared" si="62"/>
        <v>10</v>
      </c>
      <c r="X1005">
        <f>IF(W1005="","", IFERROR(VLOOKUP(W1005, IF(D1005="KET", 换算标准!$Q:$R, IF(D1005="PET", 换算标准!$W:$X, 换算标准!$AI:$AJ)), 2, TRUE), 0))</f>
        <v>0</v>
      </c>
      <c r="Y1005">
        <f t="shared" si="63"/>
        <v>0</v>
      </c>
      <c r="AA1005" s="5" t="str">
        <f>IF(L1005="","", "⚠️ 薄弱环节: "&amp;INDEX($E$1:$K$1, MATCH(MIN(E1005:K1005), E1005:K1005, 0))&amp;CHAR(10)&amp;"📉 考察能力: "&amp;IFERROR(VLOOKUP(TRIM(D1005)&amp;"_"&amp;TRIM(INDEX($E$1:$K$1, MATCH(MIN(E1005:K1005), E1005:K1005, 0))), 技能库!$A:$F, 5, 0),"建议查阅考纲")&amp;CHAR(10)&amp;"💡 提升建议: "&amp;IFERROR(VLOOKUP(TRIM(D1005)&amp;"_"&amp;TRIM(INDEX($E$1:$K$1, MATCH(MIN(E1005:K1005), E1005:K1005, 0))), 技能库!$A:$F, 6, 0),"请针对该题型加强练习"))</f>
        <v>⚠️ 薄弱环节: R-Pt2
📉 考察能力: [阅读] 人物与描述匹配
💡 提升建议: 阅读量大，练习划关键词，寻找完全匹配项。</v>
      </c>
      <c r="AB1005" s="5" t="str">
        <f>IF(P1005="","", "⚠️ 薄弱环节: "&amp;INDEX($N$1:$O$1, MATCH(MIN(N1005:O1005), N1005:O1005, 0))&amp;CHAR(10)&amp;"📉 考察能力: "&amp;IFERROR(VLOOKUP(TRIM(D1005)&amp;"_"&amp;TRIM(INDEX($N$1:$O$1, MATCH(MIN(N1005:O1005), N1005:O1005, 0))), 技能库!$A:$F, 5, 0),"建议查阅考纲")&amp;CHAR(10)&amp;"💡 提升建议: "&amp;IFERROR(VLOOKUP(TRIM(D1005)&amp;"_"&amp;TRIM(INDEX($N$1:$O$1, MATCH(MIN(N1005:O1005), N1005:O1005, 0))), 技能库!$A:$F, 6, 0),"请针对该题型加强练习"))</f>
        <v>⚠️ 薄弱环节: W-Pt1
📉 考察能力: [写作] 邮件回复 (100词)
💡 提升建议: 必须回应4个要点，注意语气的得体和内容的扩展。</v>
      </c>
      <c r="AC1005" s="5" t="str">
        <f>IF(W1005="","", "⚠️ 薄弱环节: "&amp;INDEX($R$1:$V$1, MATCH(MIN(R1005:V1005), R1005:V1005, 0))&amp;CHAR(10)&amp;"📉 考察能力: "&amp;IFERROR(VLOOKUP(TRIM(D1005)&amp;"_"&amp;TRIM(INDEX($R$1:$V$1, MATCH(MIN(R1005:V1005), R1005:V1005, 0))), 技能库!$A:$F, 5, 0),"建议查阅考纲")&amp;CHAR(10)&amp;"💡 提升建议: "&amp;IFERROR(VLOOKUP(TRIM(D1005)&amp;"_"&amp;TRIM(INDEX($R$1:$V$1, MATCH(MIN(R1005:V1005), R1005:V1005, 0))), 技能库!$A:$F, 6, 0),"请针对该题型加强练习"))</f>
        <v>⚠️ 薄弱环节: L-Pt3
📉 考察能力: [听力] 填空 (长独白)
💡 提升建议: 听懂说明性文字，捕捉并准确拼写关键名词或数字。</v>
      </c>
      <c r="AD1005" s="6">
        <v>46126</v>
      </c>
    </row>
    <row r="1006" spans="1:30" ht="18" customHeight="1" x14ac:dyDescent="0.2">
      <c r="A1006">
        <v>301</v>
      </c>
      <c r="B1006" t="s">
        <v>317</v>
      </c>
      <c r="C1006" t="s">
        <v>319</v>
      </c>
      <c r="D1006" t="s">
        <v>15</v>
      </c>
      <c r="E1006">
        <v>3</v>
      </c>
      <c r="F1006">
        <v>2</v>
      </c>
      <c r="G1006">
        <v>2</v>
      </c>
      <c r="L1006">
        <f t="shared" si="60"/>
        <v>7</v>
      </c>
      <c r="M1006">
        <f>IF(L1006="","", IFERROR(VLOOKUP(L1006, IF(D1006="KET", 换算标准!$M:$N, IF(D1006="PET", 换算标准!$S:$T, 换算标准!$AC:$AD)), 2, TRUE), 0))</f>
        <v>0</v>
      </c>
      <c r="N1006">
        <v>0</v>
      </c>
      <c r="O1006">
        <v>0</v>
      </c>
      <c r="P1006">
        <f t="shared" si="61"/>
        <v>0</v>
      </c>
      <c r="Q1006">
        <f>IF(P1006="","", IFERROR(VLOOKUP(P1006, IF(D1006="KET", 换算标准!$O:$P, IF(D1006="PET", 换算标准!$U:$V, 换算标准!$AG:$AH)), 2, TRUE), 0))</f>
        <v>0</v>
      </c>
      <c r="R1006">
        <v>7</v>
      </c>
      <c r="S1006">
        <v>5</v>
      </c>
      <c r="T1006">
        <v>3</v>
      </c>
      <c r="U1006">
        <v>6</v>
      </c>
      <c r="W1006">
        <f t="shared" si="62"/>
        <v>21</v>
      </c>
      <c r="X1006">
        <f>IF(W1006="","", IFERROR(VLOOKUP(W1006, IF(D1006="KET", 换算标准!$Q:$R, IF(D1006="PET", 换算标准!$W:$X, 换算标准!$AI:$AJ)), 2, TRUE), 0))</f>
        <v>152</v>
      </c>
      <c r="Y1006">
        <f t="shared" si="63"/>
        <v>50.666666666666664</v>
      </c>
      <c r="AA1006" s="5" t="str">
        <f>IF(L1006="","", "⚠️ 薄弱环节: "&amp;INDEX($E$1:$K$1, MATCH(MIN(E1006:K1006), E1006:K1006, 0))&amp;CHAR(10)&amp;"📉 考察能力: "&amp;IFERROR(VLOOKUP(TRIM(D1006)&amp;"_"&amp;TRIM(INDEX($E$1:$K$1, MATCH(MIN(E1006:K1006), E1006:K1006, 0))), 技能库!$A:$F, 5, 0),"建议查阅考纲")&amp;CHAR(10)&amp;"💡 提升建议: "&amp;IFERROR(VLOOKUP(TRIM(D1006)&amp;"_"&amp;TRIM(INDEX($E$1:$K$1, MATCH(MIN(E1006:K1006), E1006:K1006, 0))), 技能库!$A:$F, 6, 0),"请针对该题型加强练习"))</f>
        <v>⚠️ 薄弱环节: R-Pt2
📉 考察能力: [阅读] 人物与描述匹配
💡 提升建议: 阅读量大，练习划关键词，寻找完全匹配项。</v>
      </c>
      <c r="AB1006" s="5" t="str">
        <f>IF(P1006="","", "⚠️ 薄弱环节: "&amp;INDEX($N$1:$O$1, MATCH(MIN(N1006:O1006), N1006:O1006, 0))&amp;CHAR(10)&amp;"📉 考察能力: "&amp;IFERROR(VLOOKUP(TRIM(D1006)&amp;"_"&amp;TRIM(INDEX($N$1:$O$1, MATCH(MIN(N1006:O1006), N1006:O1006, 0))), 技能库!$A:$F, 5, 0),"建议查阅考纲")&amp;CHAR(10)&amp;"💡 提升建议: "&amp;IFERROR(VLOOKUP(TRIM(D1006)&amp;"_"&amp;TRIM(INDEX($N$1:$O$1, MATCH(MIN(N1006:O1006), N1006:O1006, 0))), 技能库!$A:$F, 6, 0),"请针对该题型加强练习"))</f>
        <v>⚠️ 薄弱环节: W-Pt1
📉 考察能力: [写作] 邮件回复 (100词)
💡 提升建议: 必须回应4个要点，注意语气的得体和内容的扩展。</v>
      </c>
      <c r="AC1006" s="5" t="str">
        <f>IF(W1006="","", "⚠️ 薄弱环节: "&amp;INDEX($R$1:$V$1, MATCH(MIN(R1006:V1006), R1006:V1006, 0))&amp;CHAR(10)&amp;"📉 考察能力: "&amp;IFERROR(VLOOKUP(TRIM(D1006)&amp;"_"&amp;TRIM(INDEX($R$1:$V$1, MATCH(MIN(R1006:V1006), R1006:V1006, 0))), 技能库!$A:$F, 5, 0),"建议查阅考纲")&amp;CHAR(10)&amp;"💡 提升建议: "&amp;IFERROR(VLOOKUP(TRIM(D1006)&amp;"_"&amp;TRIM(INDEX($R$1:$V$1, MATCH(MIN(R1006:V1006), R1006:V1006, 0))), 技能库!$A:$F, 6, 0),"请针对该题型加强练习"))</f>
        <v>⚠️ 薄弱环节: L-Pt3
📉 考察能力: [听力] 填空 (长独白)
💡 提升建议: 听懂说明性文字，捕捉并准确拼写关键名词或数字。</v>
      </c>
      <c r="AD1006" s="6">
        <v>46126</v>
      </c>
    </row>
    <row r="1007" spans="1:30" ht="18" customHeight="1" x14ac:dyDescent="0.2">
      <c r="A1007">
        <v>303</v>
      </c>
      <c r="B1007" t="s">
        <v>317</v>
      </c>
      <c r="C1007" t="s">
        <v>320</v>
      </c>
      <c r="D1007" t="s">
        <v>15</v>
      </c>
      <c r="E1007">
        <v>2</v>
      </c>
      <c r="F1007">
        <v>1</v>
      </c>
      <c r="G1007">
        <v>1</v>
      </c>
      <c r="H1007">
        <v>0</v>
      </c>
      <c r="L1007">
        <f t="shared" si="60"/>
        <v>4</v>
      </c>
      <c r="M1007">
        <f>IF(L1007="","", IFERROR(VLOOKUP(L1007, IF(D1007="KET", 换算标准!$M:$N, IF(D1007="PET", 换算标准!$S:$T, 换算标准!$AC:$AD)), 2, TRUE), 0))</f>
        <v>0</v>
      </c>
      <c r="N1007">
        <v>0</v>
      </c>
      <c r="O1007">
        <v>0</v>
      </c>
      <c r="P1007">
        <f t="shared" si="61"/>
        <v>0</v>
      </c>
      <c r="Q1007">
        <f>IF(P1007="","", IFERROR(VLOOKUP(P1007, IF(D1007="KET", 换算标准!$O:$P, IF(D1007="PET", 换算标准!$U:$V, 换算标准!$AG:$AH)), 2, TRUE), 0))</f>
        <v>0</v>
      </c>
      <c r="R1007">
        <v>5</v>
      </c>
      <c r="S1007">
        <v>4</v>
      </c>
      <c r="T1007">
        <v>3</v>
      </c>
      <c r="U1007">
        <v>3</v>
      </c>
      <c r="W1007">
        <f t="shared" si="62"/>
        <v>15</v>
      </c>
      <c r="X1007">
        <f>IF(W1007="","", IFERROR(VLOOKUP(W1007, IF(D1007="KET", 换算标准!$Q:$R, IF(D1007="PET", 换算标准!$W:$X, 换算标准!$AI:$AJ)), 2, TRUE), 0))</f>
        <v>131</v>
      </c>
      <c r="Y1007">
        <f t="shared" si="63"/>
        <v>43.666666666666664</v>
      </c>
      <c r="AA1007" s="5" t="str">
        <f>IF(L1007="","", "⚠️ 薄弱环节: "&amp;INDEX($E$1:$K$1, MATCH(MIN(E1007:K1007), E1007:K1007, 0))&amp;CHAR(10)&amp;"📉 考察能力: "&amp;IFERROR(VLOOKUP(TRIM(D1007)&amp;"_"&amp;TRIM(INDEX($E$1:$K$1, MATCH(MIN(E1007:K1007), E1007:K1007, 0))), 技能库!$A:$F, 5, 0),"建议查阅考纲")&amp;CHAR(10)&amp;"💡 提升建议: "&amp;IFERROR(VLOOKUP(TRIM(D1007)&amp;"_"&amp;TRIM(INDEX($E$1:$K$1, MATCH(MIN(E1007:K1007), E1007:K1007, 0))), 技能库!$A:$F, 6, 0),"请针对该题型加强练习"))</f>
        <v>⚠️ 薄弱环节: R-Pt4
📉 考察能力: [阅读] 句子还原 (填空)
💡 提升建议: 逻辑性极强，需关注代词指代和上下文逻辑连接词。</v>
      </c>
      <c r="AB1007" s="5" t="str">
        <f>IF(P1007="","", "⚠️ 薄弱环节: "&amp;INDEX($N$1:$O$1, MATCH(MIN(N1007:O1007), N1007:O1007, 0))&amp;CHAR(10)&amp;"📉 考察能力: "&amp;IFERROR(VLOOKUP(TRIM(D1007)&amp;"_"&amp;TRIM(INDEX($N$1:$O$1, MATCH(MIN(N1007:O1007), N1007:O1007, 0))), 技能库!$A:$F, 5, 0),"建议查阅考纲")&amp;CHAR(10)&amp;"💡 提升建议: "&amp;IFERROR(VLOOKUP(TRIM(D1007)&amp;"_"&amp;TRIM(INDEX($N$1:$O$1, MATCH(MIN(N1007:O1007), N1007:O1007, 0))), 技能库!$A:$F, 6, 0),"请针对该题型加强练习"))</f>
        <v>⚠️ 薄弱环节: W-Pt1
📉 考察能力: [写作] 邮件回复 (100词)
💡 提升建议: 必须回应4个要点，注意语气的得体和内容的扩展。</v>
      </c>
      <c r="AC1007" s="5" t="str">
        <f>IF(W1007="","", "⚠️ 薄弱环节: "&amp;INDEX($R$1:$V$1, MATCH(MIN(R1007:V1007), R1007:V1007, 0))&amp;CHAR(10)&amp;"📉 考察能力: "&amp;IFERROR(VLOOKUP(TRIM(D1007)&amp;"_"&amp;TRIM(INDEX($R$1:$V$1, MATCH(MIN(R1007:V1007), R1007:V1007, 0))), 技能库!$A:$F, 5, 0),"建议查阅考纲")&amp;CHAR(10)&amp;"💡 提升建议: "&amp;IFERROR(VLOOKUP(TRIM(D1007)&amp;"_"&amp;TRIM(INDEX($R$1:$V$1, MATCH(MIN(R1007:V1007), R1007:V1007, 0))), 技能库!$A:$F, 6, 0),"请针对该题型加强练习"))</f>
        <v>⚠️ 薄弱环节: L-Pt3
📉 考察能力: [听力] 填空 (长独白)
💡 提升建议: 听懂说明性文字，捕捉并准确拼写关键名词或数字。</v>
      </c>
      <c r="AD1007" s="6">
        <v>46126</v>
      </c>
    </row>
    <row r="1008" spans="1:30" ht="18" customHeight="1" x14ac:dyDescent="0.2">
      <c r="A1008">
        <v>303</v>
      </c>
      <c r="B1008" t="s">
        <v>317</v>
      </c>
      <c r="C1008" t="s">
        <v>321</v>
      </c>
      <c r="D1008" t="s">
        <v>15</v>
      </c>
      <c r="E1008">
        <v>5</v>
      </c>
      <c r="F1008">
        <v>4</v>
      </c>
      <c r="G1008">
        <v>2</v>
      </c>
      <c r="H1008">
        <v>0</v>
      </c>
      <c r="I1008">
        <v>6</v>
      </c>
      <c r="J1008">
        <v>5</v>
      </c>
      <c r="L1008">
        <f t="shared" si="60"/>
        <v>22</v>
      </c>
      <c r="M1008">
        <f>IF(L1008="","", IFERROR(VLOOKUP(L1008, IF(D1008="KET", 换算标准!$M:$N, IF(D1008="PET", 换算标准!$S:$T, 换算标准!$AC:$AD)), 2, TRUE), 0))</f>
        <v>138</v>
      </c>
      <c r="N1008">
        <v>0</v>
      </c>
      <c r="O1008">
        <v>0</v>
      </c>
      <c r="P1008">
        <f t="shared" si="61"/>
        <v>0</v>
      </c>
      <c r="Q1008">
        <f>IF(P1008="","", IFERROR(VLOOKUP(P1008, IF(D1008="KET", 换算标准!$O:$P, IF(D1008="PET", 换算标准!$U:$V, 换算标准!$AG:$AH)), 2, TRUE), 0))</f>
        <v>0</v>
      </c>
      <c r="R1008">
        <v>5</v>
      </c>
      <c r="S1008">
        <v>5</v>
      </c>
      <c r="T1008">
        <v>6</v>
      </c>
      <c r="U1008">
        <v>6</v>
      </c>
      <c r="W1008">
        <f t="shared" si="62"/>
        <v>22</v>
      </c>
      <c r="X1008">
        <f>IF(W1008="","", IFERROR(VLOOKUP(W1008, IF(D1008="KET", 换算标准!$Q:$R, IF(D1008="PET", 换算标准!$W:$X, 换算标准!$AI:$AJ)), 2, TRUE), 0))</f>
        <v>156</v>
      </c>
      <c r="Y1008">
        <f t="shared" si="63"/>
        <v>98</v>
      </c>
      <c r="AA1008" s="5" t="str">
        <f>IF(L1008="","", "⚠️ 薄弱环节: "&amp;INDEX($E$1:$K$1, MATCH(MIN(E1008:K1008), E1008:K1008, 0))&amp;CHAR(10)&amp;"📉 考察能力: "&amp;IFERROR(VLOOKUP(TRIM(D1008)&amp;"_"&amp;TRIM(INDEX($E$1:$K$1, MATCH(MIN(E1008:K1008), E1008:K1008, 0))), 技能库!$A:$F, 5, 0),"建议查阅考纲")&amp;CHAR(10)&amp;"💡 提升建议: "&amp;IFERROR(VLOOKUP(TRIM(D1008)&amp;"_"&amp;TRIM(INDEX($E$1:$K$1, MATCH(MIN(E1008:K1008), E1008:K1008, 0))), 技能库!$A:$F, 6, 0),"请针对该题型加强练习"))</f>
        <v>⚠️ 薄弱环节: R-Pt4
📉 考察能力: [阅读] 句子还原 (填空)
💡 提升建议: 逻辑性极强，需关注代词指代和上下文逻辑连接词。</v>
      </c>
      <c r="AB1008" s="5" t="str">
        <f>IF(P1008="","", "⚠️ 薄弱环节: "&amp;INDEX($N$1:$O$1, MATCH(MIN(N1008:O1008), N1008:O1008, 0))&amp;CHAR(10)&amp;"📉 考察能力: "&amp;IFERROR(VLOOKUP(TRIM(D1008)&amp;"_"&amp;TRIM(INDEX($N$1:$O$1, MATCH(MIN(N1008:O1008), N1008:O1008, 0))), 技能库!$A:$F, 5, 0),"建议查阅考纲")&amp;CHAR(10)&amp;"💡 提升建议: "&amp;IFERROR(VLOOKUP(TRIM(D1008)&amp;"_"&amp;TRIM(INDEX($N$1:$O$1, MATCH(MIN(N1008:O1008), N1008:O1008, 0))), 技能库!$A:$F, 6, 0),"请针对该题型加强练习"))</f>
        <v>⚠️ 薄弱环节: W-Pt1
📉 考察能力: [写作] 邮件回复 (100词)
💡 提升建议: 必须回应4个要点，注意语气的得体和内容的扩展。</v>
      </c>
      <c r="AC1008" s="5" t="str">
        <f>IF(W1008="","", "⚠️ 薄弱环节: "&amp;INDEX($R$1:$V$1, MATCH(MIN(R1008:V1008), R1008:V1008, 0))&amp;CHAR(10)&amp;"📉 考察能力: "&amp;IFERROR(VLOOKUP(TRIM(D1008)&amp;"_"&amp;TRIM(INDEX($R$1:$V$1, MATCH(MIN(R1008:V1008), R1008:V1008, 0))), 技能库!$A:$F, 5, 0),"建议查阅考纲")&amp;CHAR(10)&amp;"💡 提升建议: "&amp;IFERROR(VLOOKUP(TRIM(D1008)&amp;"_"&amp;TRIM(INDEX($R$1:$V$1, MATCH(MIN(R1008:V1008), R1008:V1008, 0))), 技能库!$A:$F, 6, 0),"请针对该题型加强练习"))</f>
        <v>⚠️ 薄弱环节: L-Pt1
📉 考察能力: [听力] 多选 (关键图片)
💡 提升建议: 听懂具体细节，排除极具迷惑性的干扰信息。</v>
      </c>
      <c r="AD1008" s="6">
        <v>46126</v>
      </c>
    </row>
    <row r="1009" spans="1:30" ht="18" customHeight="1" x14ac:dyDescent="0.2">
      <c r="A1009">
        <v>301</v>
      </c>
      <c r="B1009" t="s">
        <v>317</v>
      </c>
      <c r="C1009" t="s">
        <v>322</v>
      </c>
      <c r="D1009" t="s">
        <v>15</v>
      </c>
      <c r="E1009">
        <v>4</v>
      </c>
      <c r="F1009">
        <v>0</v>
      </c>
      <c r="G1009">
        <v>4</v>
      </c>
      <c r="J1009">
        <v>3</v>
      </c>
      <c r="L1009">
        <f t="shared" si="60"/>
        <v>11</v>
      </c>
      <c r="M1009">
        <f>IF(L1009="","", IFERROR(VLOOKUP(L1009, IF(D1009="KET", 换算标准!$M:$N, IF(D1009="PET", 换算标准!$S:$T, 换算标准!$AC:$AD)), 2, TRUE), 0))</f>
        <v>0</v>
      </c>
      <c r="N1009">
        <v>0</v>
      </c>
      <c r="O1009">
        <v>0</v>
      </c>
      <c r="P1009">
        <f t="shared" si="61"/>
        <v>0</v>
      </c>
      <c r="Q1009">
        <f>IF(P1009="","", IFERROR(VLOOKUP(P1009, IF(D1009="KET", 换算标准!$O:$P, IF(D1009="PET", 换算标准!$U:$V, 换算标准!$AG:$AH)), 2, TRUE), 0))</f>
        <v>0</v>
      </c>
      <c r="R1009">
        <v>7</v>
      </c>
      <c r="S1009">
        <v>5</v>
      </c>
      <c r="T1009">
        <v>6</v>
      </c>
      <c r="U1009">
        <v>5</v>
      </c>
      <c r="W1009">
        <f t="shared" si="62"/>
        <v>23</v>
      </c>
      <c r="X1009">
        <f>IF(W1009="","", IFERROR(VLOOKUP(W1009, IF(D1009="KET", 换算标准!$Q:$R, IF(D1009="PET", 换算标准!$W:$X, 换算标准!$AI:$AJ)), 2, TRUE), 0))</f>
        <v>160</v>
      </c>
      <c r="Y1009">
        <f t="shared" si="63"/>
        <v>53.333333333333336</v>
      </c>
      <c r="AA1009" s="5" t="str">
        <f>IF(L1009="","", "⚠️ 薄弱环节: "&amp;INDEX($E$1:$K$1, MATCH(MIN(E1009:K1009), E1009:K1009, 0))&amp;CHAR(10)&amp;"📉 考察能力: "&amp;IFERROR(VLOOKUP(TRIM(D1009)&amp;"_"&amp;TRIM(INDEX($E$1:$K$1, MATCH(MIN(E1009:K1009), E1009:K1009, 0))), 技能库!$A:$F, 5, 0),"建议查阅考纲")&amp;CHAR(10)&amp;"💡 提升建议: "&amp;IFERROR(VLOOKUP(TRIM(D1009)&amp;"_"&amp;TRIM(INDEX($E$1:$K$1, MATCH(MIN(E1009:K1009), E1009:K1009, 0))), 技能库!$A:$F, 6, 0),"请针对该题型加强练习"))</f>
        <v>⚠️ 薄弱环节: R-Pt2
📉 考察能力: [阅读] 人物与描述匹配
💡 提升建议: 阅读量大，练习划关键词，寻找完全匹配项。</v>
      </c>
      <c r="AB1009" s="5" t="str">
        <f>IF(P1009="","", "⚠️ 薄弱环节: "&amp;INDEX($N$1:$O$1, MATCH(MIN(N1009:O1009), N1009:O1009, 0))&amp;CHAR(10)&amp;"📉 考察能力: "&amp;IFERROR(VLOOKUP(TRIM(D1009)&amp;"_"&amp;TRIM(INDEX($N$1:$O$1, MATCH(MIN(N1009:O1009), N1009:O1009, 0))), 技能库!$A:$F, 5, 0),"建议查阅考纲")&amp;CHAR(10)&amp;"💡 提升建议: "&amp;IFERROR(VLOOKUP(TRIM(D1009)&amp;"_"&amp;TRIM(INDEX($N$1:$O$1, MATCH(MIN(N1009:O1009), N1009:O1009, 0))), 技能库!$A:$F, 6, 0),"请针对该题型加强练习"))</f>
        <v>⚠️ 薄弱环节: W-Pt1
📉 考察能力: [写作] 邮件回复 (100词)
💡 提升建议: 必须回应4个要点，注意语气的得体和内容的扩展。</v>
      </c>
      <c r="AC1009" s="5" t="str">
        <f>IF(W1009="","", "⚠️ 薄弱环节: "&amp;INDEX($R$1:$V$1, MATCH(MIN(R1009:V1009), R1009:V1009, 0))&amp;CHAR(10)&amp;"📉 考察能力: "&amp;IFERROR(VLOOKUP(TRIM(D1009)&amp;"_"&amp;TRIM(INDEX($R$1:$V$1, MATCH(MIN(R1009:V1009), R1009:V1009, 0))), 技能库!$A:$F, 5, 0),"建议查阅考纲")&amp;CHAR(10)&amp;"💡 提升建议: "&amp;IFERROR(VLOOKUP(TRIM(D1009)&amp;"_"&amp;TRIM(INDEX($R$1:$V$1, MATCH(MIN(R1009:V1009), R1009:V1009, 0))), 技能库!$A:$F, 6, 0),"请针对该题型加强练习"))</f>
        <v>⚠️ 薄弱环节: L-Pt2
📉 考察能力: [听力] 多选 (短对话)
💡 提升建议: 听懂说话人的态度、观点和意图。</v>
      </c>
      <c r="AD1009" s="6">
        <v>46126</v>
      </c>
    </row>
    <row r="1010" spans="1:30" ht="18" customHeight="1" x14ac:dyDescent="0.2">
      <c r="A1010">
        <v>305</v>
      </c>
      <c r="B1010" t="s">
        <v>317</v>
      </c>
      <c r="C1010" t="s">
        <v>323</v>
      </c>
      <c r="D1010" t="s">
        <v>15</v>
      </c>
      <c r="E1010">
        <v>4</v>
      </c>
      <c r="G1010">
        <v>3</v>
      </c>
      <c r="L1010">
        <f t="shared" si="60"/>
        <v>7</v>
      </c>
      <c r="M1010">
        <f>IF(L1010="","", IFERROR(VLOOKUP(L1010, IF(D1010="KET", 换算标准!$M:$N, IF(D1010="PET", 换算标准!$S:$T, 换算标准!$AC:$AD)), 2, TRUE), 0))</f>
        <v>0</v>
      </c>
      <c r="N1010">
        <v>0</v>
      </c>
      <c r="O1010">
        <v>0</v>
      </c>
      <c r="P1010">
        <f t="shared" si="61"/>
        <v>0</v>
      </c>
      <c r="Q1010">
        <f>IF(P1010="","", IFERROR(VLOOKUP(P1010, IF(D1010="KET", 换算标准!$O:$P, IF(D1010="PET", 换算标准!$U:$V, 换算标准!$AG:$AH)), 2, TRUE), 0))</f>
        <v>0</v>
      </c>
      <c r="R1010">
        <v>5</v>
      </c>
      <c r="S1010">
        <v>4</v>
      </c>
      <c r="T1010">
        <v>5</v>
      </c>
      <c r="U1010">
        <v>4</v>
      </c>
      <c r="W1010">
        <f t="shared" si="62"/>
        <v>18</v>
      </c>
      <c r="X1010">
        <f>IF(W1010="","", IFERROR(VLOOKUP(W1010, IF(D1010="KET", 换算标准!$Q:$R, IF(D1010="PET", 换算标准!$W:$X, 换算标准!$AI:$AJ)), 2, TRUE), 0))</f>
        <v>140</v>
      </c>
      <c r="Y1010">
        <f t="shared" si="63"/>
        <v>46.666666666666664</v>
      </c>
      <c r="AA1010" s="5" t="str">
        <f>IF(L1010="","", "⚠️ 薄弱环节: "&amp;INDEX($E$1:$K$1, MATCH(MIN(E1010:K1010), E1010:K1010, 0))&amp;CHAR(10)&amp;"📉 考察能力: "&amp;IFERROR(VLOOKUP(TRIM(D1010)&amp;"_"&amp;TRIM(INDEX($E$1:$K$1, MATCH(MIN(E1010:K1010), E1010:K1010, 0))), 技能库!$A:$F, 5, 0),"建议查阅考纲")&amp;CHAR(10)&amp;"💡 提升建议: "&amp;IFERROR(VLOOKUP(TRIM(D1010)&amp;"_"&amp;TRIM(INDEX($E$1:$K$1, MATCH(MIN(E1010:K1010), E1010:K1010, 0))), 技能库!$A:$F, 6, 0),"请针对该题型加强练习"))</f>
        <v>⚠️ 薄弱环节: R-Pt3
📉 考察能力: [阅读] 长文理解 (多选)
💡 提升建议: 深入理解文章结构，区分事实与观点。</v>
      </c>
      <c r="AB1010" s="5" t="str">
        <f>IF(P1010="","", "⚠️ 薄弱环节: "&amp;INDEX($N$1:$O$1, MATCH(MIN(N1010:O1010), N1010:O1010, 0))&amp;CHAR(10)&amp;"📉 考察能力: "&amp;IFERROR(VLOOKUP(TRIM(D1010)&amp;"_"&amp;TRIM(INDEX($N$1:$O$1, MATCH(MIN(N1010:O1010), N1010:O1010, 0))), 技能库!$A:$F, 5, 0),"建议查阅考纲")&amp;CHAR(10)&amp;"💡 提升建议: "&amp;IFERROR(VLOOKUP(TRIM(D1010)&amp;"_"&amp;TRIM(INDEX($N$1:$O$1, MATCH(MIN(N1010:O1010), N1010:O1010, 0))), 技能库!$A:$F, 6, 0),"请针对该题型加强练习"))</f>
        <v>⚠️ 薄弱环节: W-Pt1
📉 考察能力: [写作] 邮件回复 (100词)
💡 提升建议: 必须回应4个要点，注意语气的得体和内容的扩展。</v>
      </c>
      <c r="AC1010" s="5" t="str">
        <f>IF(W1010="","", "⚠️ 薄弱环节: "&amp;INDEX($R$1:$V$1, MATCH(MIN(R1010:V1010), R1010:V1010, 0))&amp;CHAR(10)&amp;"📉 考察能力: "&amp;IFERROR(VLOOKUP(TRIM(D1010)&amp;"_"&amp;TRIM(INDEX($R$1:$V$1, MATCH(MIN(R1010:V1010), R1010:V1010, 0))), 技能库!$A:$F, 5, 0),"建议查阅考纲")&amp;CHAR(10)&amp;"💡 提升建议: "&amp;IFERROR(VLOOKUP(TRIM(D1010)&amp;"_"&amp;TRIM(INDEX($R$1:$V$1, MATCH(MIN(R1010:V1010), R1010:V1010, 0))), 技能库!$A:$F, 6, 0),"请针对该题型加强练习"))</f>
        <v>⚠️ 薄弱环节: L-Pt2
📉 考察能力: [听力] 多选 (短对话)
💡 提升建议: 听懂说话人的态度、观点和意图。</v>
      </c>
      <c r="AD1010" s="6">
        <v>46126</v>
      </c>
    </row>
    <row r="1011" spans="1:30" ht="18" customHeight="1" x14ac:dyDescent="0.2">
      <c r="A1011">
        <v>305</v>
      </c>
      <c r="B1011" t="s">
        <v>317</v>
      </c>
      <c r="C1011" t="s">
        <v>328</v>
      </c>
      <c r="D1011" t="s">
        <v>15</v>
      </c>
      <c r="E1011">
        <v>2</v>
      </c>
      <c r="F1011">
        <v>1</v>
      </c>
      <c r="G1011">
        <v>1</v>
      </c>
      <c r="L1011">
        <f t="shared" si="60"/>
        <v>4</v>
      </c>
      <c r="M1011">
        <f>IF(L1011="","", IFERROR(VLOOKUP(L1011, IF(D1011="KET", 换算标准!$M:$N, IF(D1011="PET", 换算标准!$S:$T, 换算标准!$AC:$AD)), 2, TRUE), 0))</f>
        <v>0</v>
      </c>
      <c r="N1011">
        <v>0</v>
      </c>
      <c r="O1011">
        <v>0</v>
      </c>
      <c r="P1011">
        <f t="shared" si="61"/>
        <v>0</v>
      </c>
      <c r="Q1011">
        <f>IF(P1011="","", IFERROR(VLOOKUP(P1011, IF(D1011="KET", 换算标准!$O:$P, IF(D1011="PET", 换算标准!$U:$V, 换算标准!$AG:$AH)), 2, TRUE), 0))</f>
        <v>0</v>
      </c>
      <c r="R1011">
        <v>3</v>
      </c>
      <c r="S1011">
        <v>4</v>
      </c>
      <c r="T1011">
        <v>4</v>
      </c>
      <c r="U1011">
        <v>4</v>
      </c>
      <c r="W1011">
        <f t="shared" ref="W1011" si="64">IF(COUNT(R1011:V1011)&gt;0, SUM(R1011:V1011), "")</f>
        <v>15</v>
      </c>
      <c r="X1011">
        <f>IF(W1011="","", IFERROR(VLOOKUP(W1011, IF(D1011="KET", 换算标准!$Q:$R, IF(D1011="PET", 换算标准!$W:$X, 换算标准!$AI:$AJ)), 2, TRUE), 0))</f>
        <v>131</v>
      </c>
      <c r="Y1011">
        <f t="shared" ref="Y1011" si="65">IF(COUNT(M1011,Q1011,X1011)&gt;0, AVERAGE(M1011,Q1011,X1011), "")</f>
        <v>43.666666666666664</v>
      </c>
      <c r="AA1011" s="5" t="str">
        <f>IF(L1011="","", "⚠️ 薄弱环节: "&amp;INDEX($E$1:$K$1, MATCH(MIN(E1011:K1011), E1011:K1011, 0))&amp;CHAR(10)&amp;"📉 考察能力: "&amp;IFERROR(VLOOKUP(TRIM(D1011)&amp;"_"&amp;TRIM(INDEX($E$1:$K$1, MATCH(MIN(E1011:K1011), E1011:K1011, 0))), 技能库!$A:$F, 5, 0),"建议查阅考纲")&amp;CHAR(10)&amp;"💡 提升建议: "&amp;IFERROR(VLOOKUP(TRIM(D1011)&amp;"_"&amp;TRIM(INDEX($E$1:$K$1, MATCH(MIN(E1011:K1011), E1011:K1011, 0))), 技能库!$A:$F, 6, 0),"请针对该题型加强练习"))</f>
        <v>⚠️ 薄弱环节: R-Pt2
📉 考察能力: [阅读] 人物与描述匹配
💡 提升建议: 阅读量大，练习划关键词，寻找完全匹配项。</v>
      </c>
      <c r="AB1011" s="5" t="str">
        <f>IF(P1011="","", "⚠️ 薄弱环节: "&amp;INDEX($N$1:$O$1, MATCH(MIN(N1011:O1011), N1011:O1011, 0))&amp;CHAR(10)&amp;"📉 考察能力: "&amp;IFERROR(VLOOKUP(TRIM(D1011)&amp;"_"&amp;TRIM(INDEX($N$1:$O$1, MATCH(MIN(N1011:O1011), N1011:O1011, 0))), 技能库!$A:$F, 5, 0),"建议查阅考纲")&amp;CHAR(10)&amp;"💡 提升建议: "&amp;IFERROR(VLOOKUP(TRIM(D1011)&amp;"_"&amp;TRIM(INDEX($N$1:$O$1, MATCH(MIN(N1011:O1011), N1011:O1011, 0))), 技能库!$A:$F, 6, 0),"请针对该题型加强练习"))</f>
        <v>⚠️ 薄弱环节: W-Pt1
📉 考察能力: [写作] 邮件回复 (100词)
💡 提升建议: 必须回应4个要点，注意语气的得体和内容的扩展。</v>
      </c>
      <c r="AC1011" s="5" t="str">
        <f>IF(W1011="","", "⚠️ 薄弱环节: "&amp;INDEX($R$1:$V$1, MATCH(MIN(R1011:V1011), R1011:V1011, 0))&amp;CHAR(10)&amp;"📉 考察能力: "&amp;IFERROR(VLOOKUP(TRIM(D1011)&amp;"_"&amp;TRIM(INDEX($R$1:$V$1, MATCH(MIN(R1011:V1011), R1011:V1011, 0))), 技能库!$A:$F, 5, 0),"建议查阅考纲")&amp;CHAR(10)&amp;"💡 提升建议: "&amp;IFERROR(VLOOKUP(TRIM(D1011)&amp;"_"&amp;TRIM(INDEX($R$1:$V$1, MATCH(MIN(R1011:V1011), R1011:V1011, 0))), 技能库!$A:$F, 6, 0),"请针对该题型加强练习"))</f>
        <v>⚠️ 薄弱环节: L-Pt1
📉 考察能力: [听力] 多选 (关键图片)
💡 提升建议: 听懂具体细节，排除极具迷惑性的干扰信息。</v>
      </c>
      <c r="AD1011" s="6">
        <v>46126</v>
      </c>
    </row>
    <row r="1012" spans="1:30" ht="18" customHeight="1" x14ac:dyDescent="0.2">
      <c r="A1012">
        <v>301</v>
      </c>
      <c r="B1012" t="s">
        <v>317</v>
      </c>
      <c r="C1012" t="s">
        <v>324</v>
      </c>
      <c r="D1012" t="s">
        <v>164</v>
      </c>
      <c r="E1012">
        <v>5</v>
      </c>
      <c r="F1012">
        <v>4</v>
      </c>
      <c r="G1012">
        <v>3</v>
      </c>
      <c r="H1012">
        <v>4</v>
      </c>
      <c r="I1012">
        <v>4</v>
      </c>
      <c r="L1012">
        <f t="shared" si="60"/>
        <v>20</v>
      </c>
      <c r="M1012">
        <f>IF(L1012="","", IFERROR(VLOOKUP(L1012, IF(D1012="KET", 换算标准!$M:$N, IF(D1012="PET", 换算标准!$S:$T, 换算标准!$AC:$AD)), 2, TRUE), 0))</f>
        <v>120</v>
      </c>
      <c r="N1012">
        <v>0</v>
      </c>
      <c r="O1012">
        <v>0</v>
      </c>
      <c r="P1012">
        <f t="shared" si="61"/>
        <v>0</v>
      </c>
      <c r="Q1012">
        <f>IF(P1012="","", IFERROR(VLOOKUP(P1012, IF(D1012="KET", 换算标准!$O:$P, IF(D1012="PET", 换算标准!$U:$V, 换算标准!$AG:$AH)), 2, TRUE), 0))</f>
        <v>0</v>
      </c>
      <c r="R1012">
        <v>4</v>
      </c>
      <c r="S1012">
        <v>3</v>
      </c>
      <c r="T1012">
        <v>3</v>
      </c>
      <c r="U1012">
        <v>2</v>
      </c>
      <c r="V1012">
        <v>2</v>
      </c>
      <c r="W1012">
        <f t="shared" si="62"/>
        <v>14</v>
      </c>
      <c r="X1012">
        <f>IF(W1012="","", IFERROR(VLOOKUP(W1012, IF(D1012="KET", 换算标准!$Q:$R, IF(D1012="PET", 换算标准!$W:$X, 换算标准!$AI:$AJ)), 2, TRUE), 0))</f>
        <v>110</v>
      </c>
      <c r="Y1012">
        <f t="shared" si="63"/>
        <v>76.666666666666671</v>
      </c>
      <c r="AA1012" s="5" t="str">
        <f>IF(L1012="","", "⚠️ 薄弱环节: "&amp;INDEX($E$1:$K$1, MATCH(MIN(E1012:K1012), E1012:K1012, 0))&amp;CHAR(10)&amp;"📉 考察能力: "&amp;IFERROR(VLOOKUP(TRIM(D1012)&amp;"_"&amp;TRIM(INDEX($E$1:$K$1, MATCH(MIN(E1012:K1012), E1012:K1012, 0))), 技能库!$A:$F, 5, 0),"建议查阅考纲")&amp;CHAR(10)&amp;"💡 提升建议: "&amp;IFERROR(VLOOKUP(TRIM(D1012)&amp;"_"&amp;TRIM(INDEX($E$1:$K$1, MATCH(MIN(E1012:K1012), E1012:K1012, 0))), 技能库!$A:$F, 6, 0),"请针对该题型加强练习"))</f>
        <v>⚠️ 薄弱环节: R-Pt3
📉 考察能力: [阅读] 长文主旨理解
💡 提升建议: 提升长难句阅读能力，关注段落大意和作者态度。</v>
      </c>
      <c r="AB1012" s="5" t="str">
        <f>IF(P1012="","", "⚠️ 薄弱环节: "&amp;INDEX($N$1:$O$1, MATCH(MIN(N1012:O1012), N1012:O1012, 0))&amp;CHAR(10)&amp;"📉 考察能力: "&amp;IFERROR(VLOOKUP(TRIM(D1012)&amp;"_"&amp;TRIM(INDEX($N$1:$O$1, MATCH(MIN(N1012:O1012), N1012:O1012, 0))), 技能库!$A:$F, 5, 0),"建议查阅考纲")&amp;CHAR(10)&amp;"💡 提升建议: "&amp;IFERROR(VLOOKUP(TRIM(D1012)&amp;"_"&amp;TRIM(INDEX($N$1:$O$1, MATCH(MIN(N1012:O1012), N1012:O1012,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12" s="5" t="str">
        <f>IF(W1012="","", "⚠️ 薄弱环节: "&amp;INDEX($R$1:$V$1, MATCH(MIN(R1012:V1012), R1012:V1012, 0))&amp;CHAR(10)&amp;"📉 考察能力: "&amp;IFERROR(VLOOKUP(TRIM(D1012)&amp;"_"&amp;TRIM(INDEX($R$1:$V$1, MATCH(MIN(R1012:V1012), R1012:V1012, 0))), 技能库!$A:$F, 5, 0),"建议查阅考纲")&amp;CHAR(10)&amp;"💡 提升建议: "&amp;IFERROR(VLOOKUP(TRIM(D1012)&amp;"_"&amp;TRIM(INDEX($R$1:$V$1, MATCH(MIN(R1012:V1012), R1012:V1012, 0))), 技能库!$A:$F, 6, 0),"请针对该题型加强练习"))</f>
        <v>⚠️ 薄弱环节: L-Pt4
📉 考察能力: [听力] 听主旨/观点
💡 提升建议: 不要纠结个别词，听懂说话人的主要意图或感受。</v>
      </c>
      <c r="AD1012" s="6">
        <v>46126</v>
      </c>
    </row>
    <row r="1013" spans="1:30" ht="18" customHeight="1" x14ac:dyDescent="0.2">
      <c r="A1013">
        <v>305</v>
      </c>
      <c r="B1013" t="s">
        <v>317</v>
      </c>
      <c r="C1013" t="s">
        <v>325</v>
      </c>
      <c r="D1013" t="s">
        <v>164</v>
      </c>
      <c r="E1013">
        <v>5</v>
      </c>
      <c r="F1013">
        <v>6</v>
      </c>
      <c r="G1013">
        <v>4</v>
      </c>
      <c r="H1013">
        <v>6</v>
      </c>
      <c r="I1013">
        <v>6</v>
      </c>
      <c r="L1013">
        <f t="shared" si="60"/>
        <v>27</v>
      </c>
      <c r="M1013">
        <f>IF(L1013="","", IFERROR(VLOOKUP(L1013, IF(D1013="KET", 换算标准!$M:$N, IF(D1013="PET", 换算标准!$S:$T, 换算标准!$AC:$AD)), 2, TRUE), 0))</f>
        <v>137</v>
      </c>
      <c r="N1013">
        <v>14</v>
      </c>
      <c r="O1013">
        <v>0</v>
      </c>
      <c r="P1013">
        <f t="shared" si="61"/>
        <v>14</v>
      </c>
      <c r="Q1013">
        <f>IF(P1013="","", IFERROR(VLOOKUP(P1013, IF(D1013="KET", 换算标准!$O:$P, IF(D1013="PET", 换算标准!$U:$V, 换算标准!$AG:$AH)), 2, TRUE), 0))</f>
        <v>108</v>
      </c>
      <c r="R1013">
        <v>3</v>
      </c>
      <c r="S1013">
        <v>5</v>
      </c>
      <c r="T1013">
        <v>5</v>
      </c>
      <c r="U1013">
        <v>5</v>
      </c>
      <c r="V1013">
        <v>5</v>
      </c>
      <c r="W1013">
        <f t="shared" si="62"/>
        <v>23</v>
      </c>
      <c r="X1013">
        <f>IF(W1013="","", IFERROR(VLOOKUP(W1013, IF(D1013="KET", 换算标准!$Q:$R, IF(D1013="PET", 换算标准!$W:$X, 换算标准!$AI:$AJ)), 2, TRUE), 0))</f>
        <v>140</v>
      </c>
      <c r="Y1013">
        <f t="shared" si="63"/>
        <v>128.33333333333334</v>
      </c>
      <c r="AA1013" s="5" t="str">
        <f>IF(L1013="","", "⚠️ 薄弱环节: "&amp;INDEX($E$1:$K$1, MATCH(MIN(E1013:K1013), E1013:K1013, 0))&amp;CHAR(10)&amp;"📉 考察能力: "&amp;IFERROR(VLOOKUP(TRIM(D1013)&amp;"_"&amp;TRIM(INDEX($E$1:$K$1, MATCH(MIN(E1013:K1013), E1013:K1013, 0))), 技能库!$A:$F, 5, 0),"建议查阅考纲")&amp;CHAR(10)&amp;"💡 提升建议: "&amp;IFERROR(VLOOKUP(TRIM(D1013)&amp;"_"&amp;TRIM(INDEX($E$1:$K$1, MATCH(MIN(E1013:K1013), E1013:K1013, 0))), 技能库!$A:$F, 6, 0),"请针对该题型加强练习"))</f>
        <v>⚠️ 薄弱环节: R-Pt3
📉 考察能力: [阅读] 长文主旨理解
💡 提升建议: 提升长难句阅读能力，关注段落大意和作者态度。</v>
      </c>
      <c r="AB1013" s="5" t="str">
        <f>IF(P1013="","", "⚠️ 薄弱环节: "&amp;INDEX($N$1:$O$1, MATCH(MIN(N1013:O1013), N1013:O1013, 0))&amp;CHAR(10)&amp;"📉 考察能力: "&amp;IFERROR(VLOOKUP(TRIM(D1013)&amp;"_"&amp;TRIM(INDEX($N$1:$O$1, MATCH(MIN(N1013:O1013), N1013:O1013, 0))), 技能库!$A:$F, 5, 0),"建议查阅考纲")&amp;CHAR(10)&amp;"💡 提升建议: "&amp;IFERROR(VLOOKUP(TRIM(D1013)&amp;"_"&amp;TRIM(INDEX($N$1:$O$1, MATCH(MIN(N1013:O1013), N1013:O1013, 0))), 技能库!$A:$F, 6, 0),"请针对该题型加强练习"))</f>
        <v>⚠️ 薄弱环节: W-Pt2
📉 考察能力: [写作] 看图写故事
💡 提升建议: 运用 linking words (so, because) 串联图片，注意过去时态。</v>
      </c>
      <c r="AC1013" s="5" t="str">
        <f>IF(W1013="","", "⚠️ 薄弱环节: "&amp;INDEX($R$1:$V$1, MATCH(MIN(R1013:V1013), R1013:V1013, 0))&amp;CHAR(10)&amp;"📉 考察能力: "&amp;IFERROR(VLOOKUP(TRIM(D1013)&amp;"_"&amp;TRIM(INDEX($R$1:$V$1, MATCH(MIN(R1013:V1013), R1013:V1013, 0))), 技能库!$A:$F, 5, 0),"建议查阅考纲")&amp;CHAR(10)&amp;"💡 提升建议: "&amp;IFERROR(VLOOKUP(TRIM(D1013)&amp;"_"&amp;TRIM(INDEX($R$1:$V$1, MATCH(MIN(R1013:V1013), R1013:V1013,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013" s="6">
        <v>46126</v>
      </c>
    </row>
    <row r="1014" spans="1:30" ht="18" customHeight="1" x14ac:dyDescent="0.2">
      <c r="A1014">
        <v>301</v>
      </c>
      <c r="B1014" t="s">
        <v>317</v>
      </c>
      <c r="C1014" t="s">
        <v>326</v>
      </c>
      <c r="D1014" t="s">
        <v>164</v>
      </c>
      <c r="E1014">
        <v>6</v>
      </c>
      <c r="F1014">
        <v>6</v>
      </c>
      <c r="G1014">
        <v>5</v>
      </c>
      <c r="H1014">
        <v>5</v>
      </c>
      <c r="I1014">
        <v>3</v>
      </c>
      <c r="L1014">
        <f t="shared" si="60"/>
        <v>25</v>
      </c>
      <c r="M1014">
        <f>IF(L1014="","", IFERROR(VLOOKUP(L1014, IF(D1014="KET", 换算标准!$M:$N, IF(D1014="PET", 换算标准!$S:$T, 换算标准!$AC:$AD)), 2, TRUE), 0))</f>
        <v>133</v>
      </c>
      <c r="N1014">
        <v>13</v>
      </c>
      <c r="O1014">
        <v>0</v>
      </c>
      <c r="P1014">
        <f t="shared" si="61"/>
        <v>13</v>
      </c>
      <c r="Q1014">
        <f>IF(P1014="","", IFERROR(VLOOKUP(P1014, IF(D1014="KET", 换算标准!$O:$P, IF(D1014="PET", 换算标准!$U:$V, 换算标准!$AG:$AH)), 2, TRUE), 0))</f>
        <v>105</v>
      </c>
      <c r="R1014">
        <v>5</v>
      </c>
      <c r="S1014">
        <v>2</v>
      </c>
      <c r="T1014">
        <v>3</v>
      </c>
      <c r="U1014">
        <v>3</v>
      </c>
      <c r="V1014">
        <v>2</v>
      </c>
      <c r="W1014">
        <f t="shared" si="62"/>
        <v>15</v>
      </c>
      <c r="X1014">
        <f>IF(W1014="","", IFERROR(VLOOKUP(W1014, IF(D1014="KET", 换算标准!$Q:$R, IF(D1014="PET", 换算标准!$W:$X, 换算标准!$AI:$AJ)), 2, TRUE), 0))</f>
        <v>113</v>
      </c>
      <c r="Y1014">
        <f t="shared" si="63"/>
        <v>117</v>
      </c>
      <c r="AA1014" s="5" t="str">
        <f>IF(L1014="","", "⚠️ 薄弱环节: "&amp;INDEX($E$1:$K$1, MATCH(MIN(E1014:K1014), E1014:K1014, 0))&amp;CHAR(10)&amp;"📉 考察能力: "&amp;IFERROR(VLOOKUP(TRIM(D1014)&amp;"_"&amp;TRIM(INDEX($E$1:$K$1, MATCH(MIN(E1014:K1014), E1014:K1014, 0))), 技能库!$A:$F, 5, 0),"建议查阅考纲")&amp;CHAR(10)&amp;"💡 提升建议: "&amp;IFERROR(VLOOKUP(TRIM(D1014)&amp;"_"&amp;TRIM(INDEX($E$1:$K$1, MATCH(MIN(E1014:K1014), E1014:K1014,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1014" s="5" t="str">
        <f>IF(P1014="","", "⚠️ 薄弱环节: "&amp;INDEX($N$1:$O$1, MATCH(MIN(N1014:O1014), N1014:O1014, 0))&amp;CHAR(10)&amp;"📉 考察能力: "&amp;IFERROR(VLOOKUP(TRIM(D1014)&amp;"_"&amp;TRIM(INDEX($N$1:$O$1, MATCH(MIN(N1014:O1014), N1014:O1014, 0))), 技能库!$A:$F, 5, 0),"建议查阅考纲")&amp;CHAR(10)&amp;"💡 提升建议: "&amp;IFERROR(VLOOKUP(TRIM(D1014)&amp;"_"&amp;TRIM(INDEX($N$1:$O$1, MATCH(MIN(N1014:O1014), N1014:O1014, 0))), 技能库!$A:$F, 6, 0),"请针对该题型加强练习"))</f>
        <v>⚠️ 薄弱环节: W-Pt2
📉 考察能力: [写作] 看图写故事
💡 提升建议: 运用 linking words (so, because) 串联图片，注意过去时态。</v>
      </c>
      <c r="AC1014" s="5" t="str">
        <f>IF(W1014="","", "⚠️ 薄弱环节: "&amp;INDEX($R$1:$V$1, MATCH(MIN(R1014:V1014), R1014:V1014, 0))&amp;CHAR(10)&amp;"📉 考察能力: "&amp;IFERROR(VLOOKUP(TRIM(D1014)&amp;"_"&amp;TRIM(INDEX($R$1:$V$1, MATCH(MIN(R1014:V1014), R1014:V1014, 0))), 技能库!$A:$F, 5, 0),"建议查阅考纲")&amp;CHAR(10)&amp;"💡 提升建议: "&amp;IFERROR(VLOOKUP(TRIM(D1014)&amp;"_"&amp;TRIM(INDEX($R$1:$V$1, MATCH(MIN(R1014:V1014), R1014:V1014, 0))), 技能库!$A:$F, 6, 0),"请针对该题型加强练习"))</f>
        <v>⚠️ 薄弱环节: L-Pt2
📉 考察能力: [听力] 填空 (信息记录)
💡 提升建议: 强化数字、价格、日期、拼写的听写训练。</v>
      </c>
      <c r="AD1014" s="6">
        <v>46126</v>
      </c>
    </row>
    <row r="1015" spans="1:30" ht="18" customHeight="1" x14ac:dyDescent="0.2">
      <c r="A1015">
        <v>307</v>
      </c>
      <c r="B1015" t="s">
        <v>317</v>
      </c>
      <c r="C1015" t="s">
        <v>327</v>
      </c>
      <c r="D1015" t="s">
        <v>164</v>
      </c>
      <c r="E1015">
        <v>5</v>
      </c>
      <c r="F1015">
        <v>3</v>
      </c>
      <c r="G1015">
        <v>3</v>
      </c>
      <c r="H1015">
        <v>3</v>
      </c>
      <c r="I1015">
        <v>3</v>
      </c>
      <c r="L1015">
        <f t="shared" si="60"/>
        <v>17</v>
      </c>
      <c r="M1015">
        <f>IF(L1015="","", IFERROR(VLOOKUP(L1015, IF(D1015="KET", 换算标准!$M:$N, IF(D1015="PET", 换算标准!$S:$T, 换算标准!$AC:$AD)), 2, TRUE), 0))</f>
        <v>111</v>
      </c>
      <c r="N1015">
        <v>0</v>
      </c>
      <c r="O1015">
        <v>0</v>
      </c>
      <c r="P1015">
        <f t="shared" si="61"/>
        <v>0</v>
      </c>
      <c r="Q1015">
        <f>IF(P1015="","", IFERROR(VLOOKUP(P1015, IF(D1015="KET", 换算标准!$O:$P, IF(D1015="PET", 换算标准!$U:$V, 换算标准!$AG:$AH)), 2, TRUE), 0))</f>
        <v>0</v>
      </c>
      <c r="R1015">
        <v>4</v>
      </c>
      <c r="S1015">
        <v>3</v>
      </c>
      <c r="T1015">
        <v>1</v>
      </c>
      <c r="U1015">
        <v>4</v>
      </c>
      <c r="V1015">
        <v>2</v>
      </c>
      <c r="W1015">
        <f t="shared" si="62"/>
        <v>14</v>
      </c>
      <c r="X1015">
        <f>IF(W1015="","", IFERROR(VLOOKUP(W1015, IF(D1015="KET", 换算标准!$Q:$R, IF(D1015="PET", 换算标准!$W:$X, 换算标准!$AI:$AJ)), 2, TRUE), 0))</f>
        <v>110</v>
      </c>
      <c r="Y1015">
        <f t="shared" si="63"/>
        <v>73.666666666666671</v>
      </c>
      <c r="AA1015" s="5" t="str">
        <f>IF(L1015="","", "⚠️ 薄弱环节: "&amp;INDEX($E$1:$K$1, MATCH(MIN(E1015:K1015), E1015:K1015, 0))&amp;CHAR(10)&amp;"📉 考察能力: "&amp;IFERROR(VLOOKUP(TRIM(D1015)&amp;"_"&amp;TRIM(INDEX($E$1:$K$1, MATCH(MIN(E1015:K1015), E1015:K1015, 0))), 技能库!$A:$F, 5, 0),"建议查阅考纲")&amp;CHAR(10)&amp;"💡 提升建议: "&amp;IFERROR(VLOOKUP(TRIM(D1015)&amp;"_"&amp;TRIM(INDEX($E$1:$K$1, MATCH(MIN(E1015:K1015), E1015:K1015, 0))), 技能库!$A:$F, 6, 0),"请针对该题型加强练习"))</f>
        <v>⚠️ 薄弱环节: R-Pt2
📉 考察能力: [阅读] 三选一匹配 (细节)
💡 提升建议: 练习快速定位，注意题目描述与原文细节的对应。</v>
      </c>
      <c r="AB1015" s="5" t="str">
        <f>IF(P1015="","", "⚠️ 薄弱环节: "&amp;INDEX($N$1:$O$1, MATCH(MIN(N1015:O1015), N1015:O1015, 0))&amp;CHAR(10)&amp;"📉 考察能力: "&amp;IFERROR(VLOOKUP(TRIM(D1015)&amp;"_"&amp;TRIM(INDEX($N$1:$O$1, MATCH(MIN(N1015:O1015), N1015:O1015, 0))), 技能库!$A:$F, 5, 0),"建议查阅考纲")&amp;CHAR(10)&amp;"💡 提升建议: "&amp;IFERROR(VLOOKUP(TRIM(D1015)&amp;"_"&amp;TRIM(INDEX($N$1:$O$1, MATCH(MIN(N1015:O1015), N1015:O1015,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15" s="5" t="str">
        <f>IF(W1015="","", "⚠️ 薄弱环节: "&amp;INDEX($R$1:$V$1, MATCH(MIN(R1015:V1015), R1015:V1015, 0))&amp;CHAR(10)&amp;"📉 考察能力: "&amp;IFERROR(VLOOKUP(TRIM(D1015)&amp;"_"&amp;TRIM(INDEX($R$1:$V$1, MATCH(MIN(R1015:V1015), R1015:V1015, 0))), 技能库!$A:$F, 5, 0),"建议查阅考纲")&amp;CHAR(10)&amp;"💡 提升建议: "&amp;IFERROR(VLOOKUP(TRIM(D1015)&amp;"_"&amp;TRIM(INDEX($R$1:$V$1, MATCH(MIN(R1015:V1015), R1015:V1015, 0))), 技能库!$A:$F, 6, 0),"请针对该题型加强练习"))</f>
        <v>⚠️ 薄弱环节: L-Pt3
📉 考察能力: [听力] 长对话 (具体信息)
💡 提升建议: 听懂对话中的观点和态度，注意同义转换。</v>
      </c>
      <c r="AD1015" s="6">
        <v>46126</v>
      </c>
    </row>
    <row r="1016" spans="1:30" ht="18" customHeight="1" x14ac:dyDescent="0.2">
      <c r="A1016">
        <v>305</v>
      </c>
      <c r="B1016" t="s">
        <v>317</v>
      </c>
      <c r="C1016" t="s">
        <v>329</v>
      </c>
      <c r="D1016" t="s">
        <v>164</v>
      </c>
      <c r="E1016">
        <v>4</v>
      </c>
      <c r="F1016">
        <v>4</v>
      </c>
      <c r="G1016">
        <v>3</v>
      </c>
      <c r="H1016">
        <v>4</v>
      </c>
      <c r="L1016">
        <f t="shared" si="60"/>
        <v>15</v>
      </c>
      <c r="M1016">
        <f>IF(L1016="","", IFERROR(VLOOKUP(L1016, IF(D1016="KET", 换算标准!$M:$N, IF(D1016="PET", 换算标准!$S:$T, 换算标准!$AC:$AD)), 2, TRUE), 0))</f>
        <v>105</v>
      </c>
      <c r="N1016">
        <v>0</v>
      </c>
      <c r="O1016">
        <v>0</v>
      </c>
      <c r="P1016">
        <f t="shared" si="61"/>
        <v>0</v>
      </c>
      <c r="Q1016">
        <f>IF(P1016="","", IFERROR(VLOOKUP(P1016, IF(D1016="KET", 换算标准!$O:$P, IF(D1016="PET", 换算标准!$U:$V, 换算标准!$AG:$AH)), 2, TRUE), 0))</f>
        <v>0</v>
      </c>
      <c r="R1016">
        <v>4</v>
      </c>
      <c r="S1016">
        <v>4</v>
      </c>
      <c r="T1016">
        <v>3</v>
      </c>
      <c r="U1016">
        <v>1</v>
      </c>
      <c r="V1016">
        <v>3</v>
      </c>
      <c r="W1016">
        <f t="shared" si="62"/>
        <v>15</v>
      </c>
      <c r="X1016">
        <f>IF(W1016="","", IFERROR(VLOOKUP(W1016, IF(D1016="KET", 换算标准!$Q:$R, IF(D1016="PET", 换算标准!$W:$X, 换算标准!$AI:$AJ)), 2, TRUE), 0))</f>
        <v>113</v>
      </c>
      <c r="Y1016">
        <f t="shared" si="63"/>
        <v>72.666666666666671</v>
      </c>
      <c r="AA1016" s="5" t="str">
        <f>IF(L1016="","", "⚠️ 薄弱环节: "&amp;INDEX($E$1:$K$1, MATCH(MIN(E1016:K1016), E1016:K1016, 0))&amp;CHAR(10)&amp;"📉 考察能力: "&amp;IFERROR(VLOOKUP(TRIM(D1016)&amp;"_"&amp;TRIM(INDEX($E$1:$K$1, MATCH(MIN(E1016:K1016), E1016:K1016, 0))), 技能库!$A:$F, 5, 0),"建议查阅考纲")&amp;CHAR(10)&amp;"💡 提升建议: "&amp;IFERROR(VLOOKUP(TRIM(D1016)&amp;"_"&amp;TRIM(INDEX($E$1:$K$1, MATCH(MIN(E1016:K1016), E1016:K1016, 0))), 技能库!$A:$F, 6, 0),"请针对该题型加强练习"))</f>
        <v>⚠️ 薄弱环节: R-Pt3
📉 考察能力: [阅读] 长文主旨理解
💡 提升建议: 提升长难句阅读能力，关注段落大意和作者态度。</v>
      </c>
      <c r="AB1016" s="5" t="str">
        <f>IF(P1016="","", "⚠️ 薄弱环节: "&amp;INDEX($N$1:$O$1, MATCH(MIN(N1016:O1016), N1016:O1016, 0))&amp;CHAR(10)&amp;"📉 考察能力: "&amp;IFERROR(VLOOKUP(TRIM(D1016)&amp;"_"&amp;TRIM(INDEX($N$1:$O$1, MATCH(MIN(N1016:O1016), N1016:O1016, 0))), 技能库!$A:$F, 5, 0),"建议查阅考纲")&amp;CHAR(10)&amp;"💡 提升建议: "&amp;IFERROR(VLOOKUP(TRIM(D1016)&amp;"_"&amp;TRIM(INDEX($N$1:$O$1, MATCH(MIN(N1016:O1016), N1016:O1016,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16" s="5" t="str">
        <f>IF(W1016="","", "⚠️ 薄弱环节: "&amp;INDEX($R$1:$V$1, MATCH(MIN(R1016:V1016), R1016:V1016, 0))&amp;CHAR(10)&amp;"📉 考察能力: "&amp;IFERROR(VLOOKUP(TRIM(D1016)&amp;"_"&amp;TRIM(INDEX($R$1:$V$1, MATCH(MIN(R1016:V1016), R1016:V1016, 0))), 技能库!$A:$F, 5, 0),"建议查阅考纲")&amp;CHAR(10)&amp;"💡 提升建议: "&amp;IFERROR(VLOOKUP(TRIM(D1016)&amp;"_"&amp;TRIM(INDEX($R$1:$V$1, MATCH(MIN(R1016:V1016), R1016:V1016, 0))), 技能库!$A:$F, 6, 0),"请针对该题型加强练习"))</f>
        <v>⚠️ 薄弱环节: L-Pt4
📉 考察能力: [听力] 听主旨/观点
💡 提升建议: 不要纠结个别词，听懂说话人的主要意图或感受。</v>
      </c>
      <c r="AD1016" s="6">
        <v>46126</v>
      </c>
    </row>
    <row r="1017" spans="1:30" ht="18" customHeight="1" x14ac:dyDescent="0.2">
      <c r="A1017">
        <v>305</v>
      </c>
      <c r="B1017" t="s">
        <v>317</v>
      </c>
      <c r="C1017" t="s">
        <v>330</v>
      </c>
      <c r="D1017" t="s">
        <v>164</v>
      </c>
      <c r="E1017">
        <v>6</v>
      </c>
      <c r="F1017">
        <v>5</v>
      </c>
      <c r="G1017">
        <v>3</v>
      </c>
      <c r="H1017">
        <v>5</v>
      </c>
      <c r="L1017">
        <f t="shared" si="60"/>
        <v>19</v>
      </c>
      <c r="M1017">
        <f>IF(L1017="","", IFERROR(VLOOKUP(L1017, IF(D1017="KET", 换算标准!$M:$N, IF(D1017="PET", 换算标准!$S:$T, 换算标准!$AC:$AD)), 2, TRUE), 0))</f>
        <v>117</v>
      </c>
      <c r="N1017">
        <v>0</v>
      </c>
      <c r="O1017">
        <v>0</v>
      </c>
      <c r="P1017">
        <f t="shared" si="61"/>
        <v>0</v>
      </c>
      <c r="Q1017">
        <f>IF(P1017="","", IFERROR(VLOOKUP(P1017, IF(D1017="KET", 换算标准!$O:$P, IF(D1017="PET", 换算标准!$U:$V, 换算标准!$AG:$AH)), 2, TRUE), 0))</f>
        <v>0</v>
      </c>
      <c r="R1017">
        <v>4</v>
      </c>
      <c r="S1017">
        <v>4</v>
      </c>
      <c r="T1017">
        <v>5</v>
      </c>
      <c r="U1017">
        <v>4</v>
      </c>
      <c r="V1017">
        <v>4</v>
      </c>
      <c r="W1017">
        <f t="shared" si="62"/>
        <v>21</v>
      </c>
      <c r="X1017">
        <f>IF(W1017="","", IFERROR(VLOOKUP(W1017, IF(D1017="KET", 换算标准!$Q:$R, IF(D1017="PET", 换算标准!$W:$X, 换算标准!$AI:$AJ)), 2, TRUE), 0))</f>
        <v>133</v>
      </c>
      <c r="Y1017">
        <f t="shared" si="63"/>
        <v>83.333333333333329</v>
      </c>
      <c r="AA1017" s="5" t="str">
        <f>IF(L1017="","", "⚠️ 薄弱环节: "&amp;INDEX($E$1:$K$1, MATCH(MIN(E1017:K1017), E1017:K1017, 0))&amp;CHAR(10)&amp;"📉 考察能力: "&amp;IFERROR(VLOOKUP(TRIM(D1017)&amp;"_"&amp;TRIM(INDEX($E$1:$K$1, MATCH(MIN(E1017:K1017), E1017:K1017, 0))), 技能库!$A:$F, 5, 0),"建议查阅考纲")&amp;CHAR(10)&amp;"💡 提升建议: "&amp;IFERROR(VLOOKUP(TRIM(D1017)&amp;"_"&amp;TRIM(INDEX($E$1:$K$1, MATCH(MIN(E1017:K1017), E1017:K1017, 0))), 技能库!$A:$F, 6, 0),"请针对该题型加强练习"))</f>
        <v>⚠️ 薄弱环节: R-Pt3
📉 考察能力: [阅读] 长文主旨理解
💡 提升建议: 提升长难句阅读能力，关注段落大意和作者态度。</v>
      </c>
      <c r="AB1017" s="5" t="str">
        <f>IF(P1017="","", "⚠️ 薄弱环节: "&amp;INDEX($N$1:$O$1, MATCH(MIN(N1017:O1017), N1017:O1017, 0))&amp;CHAR(10)&amp;"📉 考察能力: "&amp;IFERROR(VLOOKUP(TRIM(D1017)&amp;"_"&amp;TRIM(INDEX($N$1:$O$1, MATCH(MIN(N1017:O1017), N1017:O1017, 0))), 技能库!$A:$F, 5, 0),"建议查阅考纲")&amp;CHAR(10)&amp;"💡 提升建议: "&amp;IFERROR(VLOOKUP(TRIM(D1017)&amp;"_"&amp;TRIM(INDEX($N$1:$O$1, MATCH(MIN(N1017:O1017), N1017:O1017,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17" s="5" t="str">
        <f>IF(W1017="","", "⚠️ 薄弱环节: "&amp;INDEX($R$1:$V$1, MATCH(MIN(R1017:V1017), R1017:V1017, 0))&amp;CHAR(10)&amp;"📉 考察能力: "&amp;IFERROR(VLOOKUP(TRIM(D1017)&amp;"_"&amp;TRIM(INDEX($R$1:$V$1, MATCH(MIN(R1017:V1017), R1017:V1017, 0))), 技能库!$A:$F, 5, 0),"建议查阅考纲")&amp;CHAR(10)&amp;"💡 提升建议: "&amp;IFERROR(VLOOKUP(TRIM(D1017)&amp;"_"&amp;TRIM(INDEX($R$1:$V$1, MATCH(MIN(R1017:V1017), R1017:V1017,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017" s="6">
        <v>46126</v>
      </c>
    </row>
    <row r="1018" spans="1:30" ht="18" customHeight="1" x14ac:dyDescent="0.2">
      <c r="A1018">
        <v>301</v>
      </c>
      <c r="B1018" t="s">
        <v>317</v>
      </c>
      <c r="C1018" t="s">
        <v>331</v>
      </c>
      <c r="D1018" t="s">
        <v>164</v>
      </c>
      <c r="E1018">
        <v>5</v>
      </c>
      <c r="F1018">
        <v>1</v>
      </c>
      <c r="G1018">
        <v>4</v>
      </c>
      <c r="H1018">
        <v>6</v>
      </c>
      <c r="L1018">
        <f t="shared" si="60"/>
        <v>16</v>
      </c>
      <c r="M1018">
        <f>IF(L1018="","", IFERROR(VLOOKUP(L1018, IF(D1018="KET", 换算标准!$M:$N, IF(D1018="PET", 换算标准!$S:$T, 换算标准!$AC:$AD)), 2, TRUE), 0))</f>
        <v>108</v>
      </c>
      <c r="N1018">
        <v>0</v>
      </c>
      <c r="O1018">
        <v>0</v>
      </c>
      <c r="P1018">
        <f t="shared" si="61"/>
        <v>0</v>
      </c>
      <c r="Q1018">
        <f>IF(P1018="","", IFERROR(VLOOKUP(P1018, IF(D1018="KET", 换算标准!$O:$P, IF(D1018="PET", 换算标准!$U:$V, 换算标准!$AG:$AH)), 2, TRUE), 0))</f>
        <v>0</v>
      </c>
      <c r="R1018">
        <v>4</v>
      </c>
      <c r="S1018">
        <v>3</v>
      </c>
      <c r="T1018">
        <v>3</v>
      </c>
      <c r="U1018">
        <v>4</v>
      </c>
      <c r="V1018">
        <v>3</v>
      </c>
      <c r="W1018">
        <f t="shared" si="62"/>
        <v>17</v>
      </c>
      <c r="X1018">
        <f>IF(W1018="","", IFERROR(VLOOKUP(W1018, IF(D1018="KET", 换算标准!$Q:$R, IF(D1018="PET", 换算标准!$W:$X, 换算标准!$AI:$AJ)), 2, TRUE), 0))</f>
        <v>120</v>
      </c>
      <c r="Y1018">
        <f t="shared" si="63"/>
        <v>76</v>
      </c>
      <c r="AA1018" s="5" t="str">
        <f>IF(L1018="","", "⚠️ 薄弱环节: "&amp;INDEX($E$1:$K$1, MATCH(MIN(E1018:K1018), E1018:K1018, 0))&amp;CHAR(10)&amp;"📉 考察能力: "&amp;IFERROR(VLOOKUP(TRIM(D1018)&amp;"_"&amp;TRIM(INDEX($E$1:$K$1, MATCH(MIN(E1018:K1018), E1018:K1018, 0))), 技能库!$A:$F, 5, 0),"建议查阅考纲")&amp;CHAR(10)&amp;"💡 提升建议: "&amp;IFERROR(VLOOKUP(TRIM(D1018)&amp;"_"&amp;TRIM(INDEX($E$1:$K$1, MATCH(MIN(E1018:K1018), E1018:K1018, 0))), 技能库!$A:$F, 6, 0),"请针对该题型加强练习"))</f>
        <v>⚠️ 薄弱环节: R-Pt2
📉 考察能力: [阅读] 三选一匹配 (细节)
💡 提升建议: 练习快速定位，注意题目描述与原文细节的对应。</v>
      </c>
      <c r="AB1018" s="5" t="str">
        <f>IF(P1018="","", "⚠️ 薄弱环节: "&amp;INDEX($N$1:$O$1, MATCH(MIN(N1018:O1018), N1018:O1018, 0))&amp;CHAR(10)&amp;"📉 考察能力: "&amp;IFERROR(VLOOKUP(TRIM(D1018)&amp;"_"&amp;TRIM(INDEX($N$1:$O$1, MATCH(MIN(N1018:O1018), N1018:O1018, 0))), 技能库!$A:$F, 5, 0),"建议查阅考纲")&amp;CHAR(10)&amp;"💡 提升建议: "&amp;IFERROR(VLOOKUP(TRIM(D1018)&amp;"_"&amp;TRIM(INDEX($N$1:$O$1, MATCH(MIN(N1018:O1018), N1018:O1018,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18" s="5" t="str">
        <f>IF(W1018="","", "⚠️ 薄弱环节: "&amp;INDEX($R$1:$V$1, MATCH(MIN(R1018:V1018), R1018:V1018, 0))&amp;CHAR(10)&amp;"📉 考察能力: "&amp;IFERROR(VLOOKUP(TRIM(D1018)&amp;"_"&amp;TRIM(INDEX($R$1:$V$1, MATCH(MIN(R1018:V1018), R1018:V1018, 0))), 技能库!$A:$F, 5, 0),"建议查阅考纲")&amp;CHAR(10)&amp;"💡 提升建议: "&amp;IFERROR(VLOOKUP(TRIM(D1018)&amp;"_"&amp;TRIM(INDEX($R$1:$V$1, MATCH(MIN(R1018:V1018), R1018:V1018, 0))), 技能库!$A:$F, 6, 0),"请针对该题型加强练习"))</f>
        <v>⚠️ 薄弱环节: L-Pt2
📉 考察能力: [听力] 填空 (信息记录)
💡 提升建议: 强化数字、价格、日期、拼写的听写训练。</v>
      </c>
      <c r="AD1018" s="6">
        <v>46126</v>
      </c>
    </row>
    <row r="1019" spans="1:30" ht="18" customHeight="1" x14ac:dyDescent="0.2">
      <c r="A1019">
        <v>303</v>
      </c>
      <c r="B1019" t="s">
        <v>317</v>
      </c>
      <c r="C1019" t="s">
        <v>332</v>
      </c>
      <c r="D1019" t="s">
        <v>164</v>
      </c>
      <c r="E1019">
        <v>3</v>
      </c>
      <c r="F1019">
        <v>4</v>
      </c>
      <c r="G1019">
        <v>3</v>
      </c>
      <c r="H1019">
        <v>3</v>
      </c>
      <c r="I1019">
        <v>6</v>
      </c>
      <c r="L1019">
        <f t="shared" si="60"/>
        <v>19</v>
      </c>
      <c r="M1019">
        <f>IF(L1019="","", IFERROR(VLOOKUP(L1019, IF(D1019="KET", 换算标准!$M:$N, IF(D1019="PET", 换算标准!$S:$T, 换算标准!$AC:$AD)), 2, TRUE), 0))</f>
        <v>117</v>
      </c>
      <c r="N1019">
        <v>0</v>
      </c>
      <c r="O1019">
        <v>0</v>
      </c>
      <c r="P1019">
        <f t="shared" si="61"/>
        <v>0</v>
      </c>
      <c r="Q1019">
        <f>IF(P1019="","", IFERROR(VLOOKUP(P1019, IF(D1019="KET", 换算标准!$O:$P, IF(D1019="PET", 换算标准!$U:$V, 换算标准!$AG:$AH)), 2, TRUE), 0))</f>
        <v>0</v>
      </c>
      <c r="R1019">
        <v>2</v>
      </c>
      <c r="S1019">
        <v>2</v>
      </c>
      <c r="T1019">
        <v>4</v>
      </c>
      <c r="U1019">
        <v>5</v>
      </c>
      <c r="V1019">
        <v>5</v>
      </c>
      <c r="W1019">
        <f t="shared" si="62"/>
        <v>18</v>
      </c>
      <c r="X1019">
        <f>IF(W1019="","", IFERROR(VLOOKUP(W1019, IF(D1019="KET", 换算标准!$Q:$R, IF(D1019="PET", 换算标准!$W:$X, 换算标准!$AI:$AJ)), 2, TRUE), 0))</f>
        <v>123</v>
      </c>
      <c r="Y1019">
        <f t="shared" si="63"/>
        <v>80</v>
      </c>
      <c r="AA1019" s="5" t="str">
        <f>IF(L1019="","", "⚠️ 薄弱环节: "&amp;INDEX($E$1:$K$1, MATCH(MIN(E1019:K1019), E1019:K1019, 0))&amp;CHAR(10)&amp;"📉 考察能力: "&amp;IFERROR(VLOOKUP(TRIM(D1019)&amp;"_"&amp;TRIM(INDEX($E$1:$K$1, MATCH(MIN(E1019:K1019), E1019:K1019, 0))), 技能库!$A:$F, 5, 0),"建议查阅考纲")&amp;CHAR(10)&amp;"💡 提升建议: "&amp;IFERROR(VLOOKUP(TRIM(D1019)&amp;"_"&amp;TRIM(INDEX($E$1:$K$1, MATCH(MIN(E1019:K1019), E1019:K1019,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1019" s="5" t="str">
        <f>IF(P1019="","", "⚠️ 薄弱环节: "&amp;INDEX($N$1:$O$1, MATCH(MIN(N1019:O1019), N1019:O1019, 0))&amp;CHAR(10)&amp;"📉 考察能力: "&amp;IFERROR(VLOOKUP(TRIM(D1019)&amp;"_"&amp;TRIM(INDEX($N$1:$O$1, MATCH(MIN(N1019:O1019), N1019:O1019, 0))), 技能库!$A:$F, 5, 0),"建议查阅考纲")&amp;CHAR(10)&amp;"💡 提升建议: "&amp;IFERROR(VLOOKUP(TRIM(D1019)&amp;"_"&amp;TRIM(INDEX($N$1:$O$1, MATCH(MIN(N1019:O1019), N1019:O1019,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19" s="5" t="str">
        <f>IF(W1019="","", "⚠️ 薄弱环节: "&amp;INDEX($R$1:$V$1, MATCH(MIN(R1019:V1019), R1019:V1019, 0))&amp;CHAR(10)&amp;"📉 考察能力: "&amp;IFERROR(VLOOKUP(TRIM(D1019)&amp;"_"&amp;TRIM(INDEX($R$1:$V$1, MATCH(MIN(R1019:V1019), R1019:V1019, 0))), 技能库!$A:$F, 5, 0),"建议查阅考纲")&amp;CHAR(10)&amp;"💡 提升建议: "&amp;IFERROR(VLOOKUP(TRIM(D1019)&amp;"_"&amp;TRIM(INDEX($R$1:$V$1, MATCH(MIN(R1019:V1019), R1019:V1019,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019" s="6">
        <v>46126</v>
      </c>
    </row>
    <row r="1020" spans="1:30" ht="18" customHeight="1" x14ac:dyDescent="0.2">
      <c r="A1020">
        <v>303</v>
      </c>
      <c r="B1020" t="s">
        <v>317</v>
      </c>
      <c r="C1020" t="s">
        <v>333</v>
      </c>
      <c r="D1020" t="s">
        <v>164</v>
      </c>
      <c r="E1020">
        <v>3</v>
      </c>
      <c r="F1020">
        <v>2</v>
      </c>
      <c r="G1020">
        <v>3</v>
      </c>
      <c r="H1020">
        <v>1</v>
      </c>
      <c r="L1020">
        <f t="shared" si="60"/>
        <v>9</v>
      </c>
      <c r="M1020">
        <f>IF(L1020="","", IFERROR(VLOOKUP(L1020, IF(D1020="KET", 换算标准!$M:$N, IF(D1020="PET", 换算标准!$S:$T, 换算标准!$AC:$AD)), 2, TRUE), 0))</f>
        <v>0</v>
      </c>
      <c r="N1020">
        <v>0</v>
      </c>
      <c r="O1020">
        <v>0</v>
      </c>
      <c r="P1020">
        <f t="shared" si="61"/>
        <v>0</v>
      </c>
      <c r="Q1020">
        <f>IF(P1020="","", IFERROR(VLOOKUP(P1020, IF(D1020="KET", 换算标准!$O:$P, IF(D1020="PET", 换算标准!$U:$V, 换算标准!$AG:$AH)), 2, TRUE), 0))</f>
        <v>0</v>
      </c>
      <c r="R1020">
        <v>3</v>
      </c>
      <c r="S1020">
        <v>1</v>
      </c>
      <c r="T1020">
        <v>0</v>
      </c>
      <c r="U1020">
        <v>1</v>
      </c>
      <c r="V1020">
        <v>1</v>
      </c>
      <c r="W1020">
        <f t="shared" si="62"/>
        <v>6</v>
      </c>
      <c r="X1020">
        <f>IF(W1020="","", IFERROR(VLOOKUP(W1020, IF(D1020="KET", 换算标准!$Q:$R, IF(D1020="PET", 换算标准!$W:$X, 换算标准!$AI:$AJ)), 2, TRUE), 0))</f>
        <v>0</v>
      </c>
      <c r="Y1020">
        <f t="shared" si="63"/>
        <v>0</v>
      </c>
      <c r="AA1020" s="5" t="str">
        <f>IF(L1020="","", "⚠️ 薄弱环节: "&amp;INDEX($E$1:$K$1, MATCH(MIN(E1020:K1020), E1020:K1020, 0))&amp;CHAR(10)&amp;"📉 考察能力: "&amp;IFERROR(VLOOKUP(TRIM(D1020)&amp;"_"&amp;TRIM(INDEX($E$1:$K$1, MATCH(MIN(E1020:K1020), E1020:K1020, 0))), 技能库!$A:$F, 5, 0),"建议查阅考纲")&amp;CHAR(10)&amp;"💡 提升建议: "&amp;IFERROR(VLOOKUP(TRIM(D1020)&amp;"_"&amp;TRIM(INDEX($E$1:$K$1, MATCH(MIN(E1020:K1020), E1020:K1020, 0))), 技能库!$A:$F, 6, 0),"请针对该题型加强练习"))</f>
        <v>⚠️ 薄弱环节: R-Pt4
📉 考察能力: [阅读] 完形填空 (词汇)
💡 提升建议: 积累名词、形容词、动词的常见搭配及近义词辨析。</v>
      </c>
      <c r="AB1020" s="5" t="str">
        <f>IF(P1020="","", "⚠️ 薄弱环节: "&amp;INDEX($N$1:$O$1, MATCH(MIN(N1020:O1020), N1020:O1020, 0))&amp;CHAR(10)&amp;"📉 考察能力: "&amp;IFERROR(VLOOKUP(TRIM(D1020)&amp;"_"&amp;TRIM(INDEX($N$1:$O$1, MATCH(MIN(N1020:O1020), N1020:O1020, 0))), 技能库!$A:$F, 5, 0),"建议查阅考纲")&amp;CHAR(10)&amp;"💡 提升建议: "&amp;IFERROR(VLOOKUP(TRIM(D1020)&amp;"_"&amp;TRIM(INDEX($N$1:$O$1, MATCH(MIN(N1020:O1020), N1020:O1020,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20" s="5" t="str">
        <f>IF(W1020="","", "⚠️ 薄弱环节: "&amp;INDEX($R$1:$V$1, MATCH(MIN(R1020:V1020), R1020:V1020, 0))&amp;CHAR(10)&amp;"📉 考察能力: "&amp;IFERROR(VLOOKUP(TRIM(D1020)&amp;"_"&amp;TRIM(INDEX($R$1:$V$1, MATCH(MIN(R1020:V1020), R1020:V1020, 0))), 技能库!$A:$F, 5, 0),"建议查阅考纲")&amp;CHAR(10)&amp;"💡 提升建议: "&amp;IFERROR(VLOOKUP(TRIM(D1020)&amp;"_"&amp;TRIM(INDEX($R$1:$V$1, MATCH(MIN(R1020:V1020), R1020:V1020, 0))), 技能库!$A:$F, 6, 0),"请针对该题型加强练习"))</f>
        <v>⚠️ 薄弱环节: L-Pt3
📉 考察能力: [听力] 长对话 (具体信息)
💡 提升建议: 听懂对话中的观点和态度，注意同义转换。</v>
      </c>
      <c r="AD1020" s="6">
        <v>46126</v>
      </c>
    </row>
    <row r="1021" spans="1:30" ht="18" customHeight="1" x14ac:dyDescent="0.2">
      <c r="A1021">
        <v>305</v>
      </c>
      <c r="B1021" t="s">
        <v>317</v>
      </c>
      <c r="C1021" t="s">
        <v>334</v>
      </c>
      <c r="D1021" t="s">
        <v>164</v>
      </c>
      <c r="E1021">
        <v>5</v>
      </c>
      <c r="F1021">
        <v>4</v>
      </c>
      <c r="G1021">
        <v>3</v>
      </c>
      <c r="H1021">
        <v>4</v>
      </c>
      <c r="I1021">
        <v>2</v>
      </c>
      <c r="L1021">
        <f t="shared" si="60"/>
        <v>18</v>
      </c>
      <c r="M1021">
        <f>IF(L1021="","", IFERROR(VLOOKUP(L1021, IF(D1021="KET", 换算标准!$M:$N, IF(D1021="PET", 换算标准!$S:$T, 换算标准!$AC:$AD)), 2, TRUE), 0))</f>
        <v>114</v>
      </c>
      <c r="N1021">
        <v>13</v>
      </c>
      <c r="O1021">
        <v>0</v>
      </c>
      <c r="P1021">
        <f t="shared" si="61"/>
        <v>13</v>
      </c>
      <c r="Q1021">
        <f>IF(P1021="","", IFERROR(VLOOKUP(P1021, IF(D1021="KET", 换算标准!$O:$P, IF(D1021="PET", 换算标准!$U:$V, 换算标准!$AG:$AH)), 2, TRUE), 0))</f>
        <v>105</v>
      </c>
      <c r="R1021">
        <v>2</v>
      </c>
      <c r="S1021">
        <v>4</v>
      </c>
      <c r="T1021">
        <v>5</v>
      </c>
      <c r="U1021">
        <v>4</v>
      </c>
      <c r="V1021">
        <v>2</v>
      </c>
      <c r="W1021">
        <f t="shared" si="62"/>
        <v>17</v>
      </c>
      <c r="X1021">
        <f>IF(W1021="","", IFERROR(VLOOKUP(W1021, IF(D1021="KET", 换算标准!$Q:$R, IF(D1021="PET", 换算标准!$W:$X, 换算标准!$AI:$AJ)), 2, TRUE), 0))</f>
        <v>120</v>
      </c>
      <c r="Y1021">
        <f t="shared" si="63"/>
        <v>113</v>
      </c>
      <c r="AA1021" s="5" t="str">
        <f>IF(L1021="","", "⚠️ 薄弱环节: "&amp;INDEX($E$1:$K$1, MATCH(MIN(E1021:K1021), E1021:K1021, 0))&amp;CHAR(10)&amp;"📉 考察能力: "&amp;IFERROR(VLOOKUP(TRIM(D1021)&amp;"_"&amp;TRIM(INDEX($E$1:$K$1, MATCH(MIN(E1021:K1021), E1021:K1021, 0))), 技能库!$A:$F, 5, 0),"建议查阅考纲")&amp;CHAR(10)&amp;"💡 提升建议: "&amp;IFERROR(VLOOKUP(TRIM(D1021)&amp;"_"&amp;TRIM(INDEX($E$1:$K$1, MATCH(MIN(E1021:K1021), E1021:K1021,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1021" s="5" t="str">
        <f>IF(P1021="","", "⚠️ 薄弱环节: "&amp;INDEX($N$1:$O$1, MATCH(MIN(N1021:O1021), N1021:O1021, 0))&amp;CHAR(10)&amp;"📉 考察能力: "&amp;IFERROR(VLOOKUP(TRIM(D1021)&amp;"_"&amp;TRIM(INDEX($N$1:$O$1, MATCH(MIN(N1021:O1021), N1021:O1021, 0))), 技能库!$A:$F, 5, 0),"建议查阅考纲")&amp;CHAR(10)&amp;"💡 提升建议: "&amp;IFERROR(VLOOKUP(TRIM(D1021)&amp;"_"&amp;TRIM(INDEX($N$1:$O$1, MATCH(MIN(N1021:O1021), N1021:O1021, 0))), 技能库!$A:$F, 6, 0),"请针对该题型加强练习"))</f>
        <v>⚠️ 薄弱环节: W-Pt2
📉 考察能力: [写作] 看图写故事
💡 提升建议: 运用 linking words (so, because) 串联图片，注意过去时态。</v>
      </c>
      <c r="AC1021" s="5" t="str">
        <f>IF(W1021="","", "⚠️ 薄弱环节: "&amp;INDEX($R$1:$V$1, MATCH(MIN(R1021:V1021), R1021:V1021, 0))&amp;CHAR(10)&amp;"📉 考察能力: "&amp;IFERROR(VLOOKUP(TRIM(D1021)&amp;"_"&amp;TRIM(INDEX($R$1:$V$1, MATCH(MIN(R1021:V1021), R1021:V1021, 0))), 技能库!$A:$F, 5, 0),"建议查阅考纲")&amp;CHAR(10)&amp;"💡 提升建议: "&amp;IFERROR(VLOOKUP(TRIM(D1021)&amp;"_"&amp;TRIM(INDEX($R$1:$V$1, MATCH(MIN(R1021:V1021), R1021:V1021,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021" s="6">
        <v>46126</v>
      </c>
    </row>
    <row r="1022" spans="1:30" ht="16" customHeight="1" x14ac:dyDescent="0.2">
      <c r="A1022">
        <v>303</v>
      </c>
      <c r="B1022" t="s">
        <v>317</v>
      </c>
      <c r="C1022" t="s">
        <v>335</v>
      </c>
      <c r="D1022" t="s">
        <v>164</v>
      </c>
      <c r="E1022">
        <v>5</v>
      </c>
      <c r="F1022">
        <v>4</v>
      </c>
      <c r="G1022">
        <v>4</v>
      </c>
      <c r="H1022">
        <v>4</v>
      </c>
      <c r="I1022">
        <v>4</v>
      </c>
      <c r="L1022">
        <f t="shared" si="60"/>
        <v>21</v>
      </c>
      <c r="M1022">
        <f>IF(L1022="","", IFERROR(VLOOKUP(L1022, IF(D1022="KET", 换算标准!$M:$N, IF(D1022="PET", 换算标准!$S:$T, 换算标准!$AC:$AD)), 2, TRUE), 0))</f>
        <v>122</v>
      </c>
      <c r="N1022">
        <v>15</v>
      </c>
      <c r="O1022">
        <v>0</v>
      </c>
      <c r="P1022">
        <f t="shared" si="61"/>
        <v>15</v>
      </c>
      <c r="Q1022">
        <f>IF(P1022="","", IFERROR(VLOOKUP(P1022, IF(D1022="KET", 换算标准!$O:$P, IF(D1022="PET", 换算标准!$U:$V, 换算标准!$AG:$AH)), 2, TRUE), 0))</f>
        <v>111</v>
      </c>
      <c r="R1022">
        <v>5</v>
      </c>
      <c r="S1022">
        <v>3</v>
      </c>
      <c r="T1022">
        <v>4</v>
      </c>
      <c r="U1022">
        <v>5</v>
      </c>
      <c r="V1022">
        <v>3</v>
      </c>
      <c r="W1022">
        <f t="shared" si="62"/>
        <v>20</v>
      </c>
      <c r="X1022">
        <f>IF(W1022="","", IFERROR(VLOOKUP(W1022, IF(D1022="KET", 换算标准!$Q:$R, IF(D1022="PET", 换算标准!$W:$X, 换算标准!$AI:$AJ)), 2, TRUE), 0))</f>
        <v>130</v>
      </c>
      <c r="Y1022">
        <f t="shared" si="63"/>
        <v>121</v>
      </c>
      <c r="AA1022" s="5" t="str">
        <f>IF(L1022="","", "⚠️ 薄弱环节: "&amp;INDEX($E$1:$K$1, MATCH(MIN(E1022:K1022), E1022:K1022, 0))&amp;CHAR(10)&amp;"📉 考察能力: "&amp;IFERROR(VLOOKUP(TRIM(D1022)&amp;"_"&amp;TRIM(INDEX($E$1:$K$1, MATCH(MIN(E1022:K1022), E1022:K1022, 0))), 技能库!$A:$F, 5, 0),"建议查阅考纲")&amp;CHAR(10)&amp;"💡 提升建议: "&amp;IFERROR(VLOOKUP(TRIM(D1022)&amp;"_"&amp;TRIM(INDEX($E$1:$K$1, MATCH(MIN(E1022:K1022), E1022:K1022, 0))), 技能库!$A:$F, 6, 0),"请针对该题型加强练习"))</f>
        <v>⚠️ 薄弱环节: R-Pt2
📉 考察能力: [阅读] 三选一匹配 (细节)
💡 提升建议: 练习快速定位，注意题目描述与原文细节的对应。</v>
      </c>
      <c r="AB1022" s="5" t="str">
        <f>IF(P1022="","", "⚠️ 薄弱环节: "&amp;INDEX($N$1:$O$1, MATCH(MIN(N1022:O1022), N1022:O1022, 0))&amp;CHAR(10)&amp;"📉 考察能力: "&amp;IFERROR(VLOOKUP(TRIM(D1022)&amp;"_"&amp;TRIM(INDEX($N$1:$O$1, MATCH(MIN(N1022:O1022), N1022:O1022, 0))), 技能库!$A:$F, 5, 0),"建议查阅考纲")&amp;CHAR(10)&amp;"💡 提升建议: "&amp;IFERROR(VLOOKUP(TRIM(D1022)&amp;"_"&amp;TRIM(INDEX($N$1:$O$1, MATCH(MIN(N1022:O1022), N1022:O1022, 0))), 技能库!$A:$F, 6, 0),"请针对该题型加强练习"))</f>
        <v>⚠️ 薄弱环节: W-Pt2
📉 考察能力: [写作] 看图写故事
💡 提升建议: 运用 linking words (so, because) 串联图片，注意过去时态。</v>
      </c>
      <c r="AC1022" s="5" t="str">
        <f>IF(W1022="","", "⚠️ 薄弱环节: "&amp;INDEX($R$1:$V$1, MATCH(MIN(R1022:V1022), R1022:V1022, 0))&amp;CHAR(10)&amp;"📉 考察能力: "&amp;IFERROR(VLOOKUP(TRIM(D1022)&amp;"_"&amp;TRIM(INDEX($R$1:$V$1, MATCH(MIN(R1022:V1022), R1022:V1022, 0))), 技能库!$A:$F, 5, 0),"建议查阅考纲")&amp;CHAR(10)&amp;"💡 提升建议: "&amp;IFERROR(VLOOKUP(TRIM(D1022)&amp;"_"&amp;TRIM(INDEX($R$1:$V$1, MATCH(MIN(R1022:V1022), R1022:V1022, 0))), 技能库!$A:$F, 6, 0),"请针对该题型加强练习"))</f>
        <v>⚠️ 薄弱环节: L-Pt2
📉 考察能力: [听力] 填空 (信息记录)
💡 提升建议: 强化数字、价格、日期、拼写的听写训练。</v>
      </c>
      <c r="AD1022" s="6">
        <v>46126</v>
      </c>
    </row>
    <row r="1023" spans="1:30" ht="18" customHeight="1" x14ac:dyDescent="0.2">
      <c r="A1023">
        <v>303</v>
      </c>
      <c r="B1023" t="s">
        <v>317</v>
      </c>
      <c r="C1023" t="s">
        <v>336</v>
      </c>
      <c r="D1023" t="s">
        <v>164</v>
      </c>
      <c r="E1023">
        <v>1</v>
      </c>
      <c r="F1023">
        <v>3</v>
      </c>
      <c r="G1023">
        <v>2</v>
      </c>
      <c r="H1023">
        <v>4</v>
      </c>
      <c r="I1023">
        <v>4</v>
      </c>
      <c r="L1023">
        <f t="shared" si="60"/>
        <v>14</v>
      </c>
      <c r="M1023">
        <f>IF(L1023="","", IFERROR(VLOOKUP(L1023, IF(D1023="KET", 换算标准!$M:$N, IF(D1023="PET", 换算标准!$S:$T, 换算标准!$AC:$AD)), 2, TRUE), 0))</f>
        <v>102</v>
      </c>
      <c r="N1023">
        <v>9</v>
      </c>
      <c r="O1023">
        <v>9</v>
      </c>
      <c r="P1023">
        <f t="shared" si="61"/>
        <v>18</v>
      </c>
      <c r="Q1023">
        <f>IF(P1023="","", IFERROR(VLOOKUP(P1023, IF(D1023="KET", 换算标准!$O:$P, IF(D1023="PET", 换算标准!$U:$V, 换算标准!$AG:$AH)), 2, TRUE), 0))</f>
        <v>120</v>
      </c>
      <c r="R1023">
        <v>3</v>
      </c>
      <c r="S1023">
        <v>2</v>
      </c>
      <c r="T1023">
        <v>2</v>
      </c>
      <c r="U1023">
        <v>2</v>
      </c>
      <c r="V1023">
        <v>2</v>
      </c>
      <c r="W1023">
        <f t="shared" si="62"/>
        <v>11</v>
      </c>
      <c r="X1023">
        <f>IF(W1023="","", IFERROR(VLOOKUP(W1023, IF(D1023="KET", 换算标准!$Q:$R, IF(D1023="PET", 换算标准!$W:$X, 换算标准!$AI:$AJ)), 2, TRUE), 0))</f>
        <v>100</v>
      </c>
      <c r="Y1023">
        <f t="shared" si="63"/>
        <v>107.33333333333333</v>
      </c>
      <c r="AA1023" s="5" t="str">
        <f>IF(L1023="","", "⚠️ 薄弱环节: "&amp;INDEX($E$1:$K$1, MATCH(MIN(E1023:K1023), E1023:K1023, 0))&amp;CHAR(10)&amp;"📉 考察能力: "&amp;IFERROR(VLOOKUP(TRIM(D1023)&amp;"_"&amp;TRIM(INDEX($E$1:$K$1, MATCH(MIN(E1023:K1023), E1023:K1023, 0))), 技能库!$A:$F, 5, 0),"建议查阅考纲")&amp;CHAR(10)&amp;"💡 提升建议: "&amp;IFERROR(VLOOKUP(TRIM(D1023)&amp;"_"&amp;TRIM(INDEX($E$1:$K$1, MATCH(MIN(E1023:K1023), E1023:K1023, 0))), 技能库!$A:$F, 6, 0),"请针对该题型加强练习"))</f>
        <v>⚠️ 薄弱环节: R-Pt1
📉 考察能力: [阅读] 短讯息主旨理解
💡 提升建议: 关注生活中的标识、短信，练习找出关键词的同义替换。</v>
      </c>
      <c r="AB1023" s="5" t="str">
        <f>IF(P1023="","", "⚠️ 薄弱环节: "&amp;INDEX($N$1:$O$1, MATCH(MIN(N1023:O1023), N1023:O1023, 0))&amp;CHAR(10)&amp;"📉 考察能力: "&amp;IFERROR(VLOOKUP(TRIM(D1023)&amp;"_"&amp;TRIM(INDEX($N$1:$O$1, MATCH(MIN(N1023:O1023), N1023:O1023, 0))), 技能库!$A:$F, 5, 0),"建议查阅考纲")&amp;CHAR(10)&amp;"💡 提升建议: "&amp;IFERROR(VLOOKUP(TRIM(D1023)&amp;"_"&amp;TRIM(INDEX($N$1:$O$1, MATCH(MIN(N1023:O1023), N1023:O1023,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23" s="5" t="str">
        <f>IF(W1023="","", "⚠️ 薄弱环节: "&amp;INDEX($R$1:$V$1, MATCH(MIN(R1023:V1023), R1023:V1023, 0))&amp;CHAR(10)&amp;"📉 考察能力: "&amp;IFERROR(VLOOKUP(TRIM(D1023)&amp;"_"&amp;TRIM(INDEX($R$1:$V$1, MATCH(MIN(R1023:V1023), R1023:V1023, 0))), 技能库!$A:$F, 5, 0),"建议查阅考纲")&amp;CHAR(10)&amp;"💡 提升建议: "&amp;IFERROR(VLOOKUP(TRIM(D1023)&amp;"_"&amp;TRIM(INDEX($R$1:$V$1, MATCH(MIN(R1023:V1023), R1023:V1023, 0))), 技能库!$A:$F, 6, 0),"请针对该题型加强练习"))</f>
        <v>⚠️ 薄弱环节: L-Pt2
📉 考察能力: [听力] 填空 (信息记录)
💡 提升建议: 强化数字、价格、日期、拼写的听写训练。</v>
      </c>
      <c r="AD1023" s="6">
        <v>46126</v>
      </c>
    </row>
    <row r="1024" spans="1:30" ht="18" customHeight="1" x14ac:dyDescent="0.2">
      <c r="A1024">
        <v>303</v>
      </c>
      <c r="B1024" t="s">
        <v>317</v>
      </c>
      <c r="C1024" t="s">
        <v>337</v>
      </c>
      <c r="D1024" t="s">
        <v>164</v>
      </c>
      <c r="E1024">
        <v>5</v>
      </c>
      <c r="F1024">
        <v>4</v>
      </c>
      <c r="G1024">
        <v>5</v>
      </c>
      <c r="H1024">
        <v>5</v>
      </c>
      <c r="I1024">
        <v>3</v>
      </c>
      <c r="L1024">
        <f t="shared" si="60"/>
        <v>22</v>
      </c>
      <c r="M1024">
        <f>IF(L1024="","", IFERROR(VLOOKUP(L1024, IF(D1024="KET", 换算标准!$M:$N, IF(D1024="PET", 换算标准!$S:$T, 换算标准!$AC:$AD)), 2, TRUE), 0))</f>
        <v>125</v>
      </c>
      <c r="N1024">
        <v>0</v>
      </c>
      <c r="O1024">
        <v>0</v>
      </c>
      <c r="P1024">
        <f t="shared" si="61"/>
        <v>0</v>
      </c>
      <c r="Q1024">
        <f>IF(P1024="","", IFERROR(VLOOKUP(P1024, IF(D1024="KET", 换算标准!$O:$P, IF(D1024="PET", 换算标准!$U:$V, 换算标准!$AG:$AH)), 2, TRUE), 0))</f>
        <v>0</v>
      </c>
      <c r="R1024">
        <v>3</v>
      </c>
      <c r="S1024">
        <v>3</v>
      </c>
      <c r="T1024">
        <v>1</v>
      </c>
      <c r="U1024">
        <v>5</v>
      </c>
      <c r="V1024">
        <v>5</v>
      </c>
      <c r="W1024">
        <f t="shared" si="62"/>
        <v>17</v>
      </c>
      <c r="X1024">
        <f>IF(W1024="","", IFERROR(VLOOKUP(W1024, IF(D1024="KET", 换算标准!$Q:$R, IF(D1024="PET", 换算标准!$W:$X, 换算标准!$AI:$AJ)), 2, TRUE), 0))</f>
        <v>120</v>
      </c>
      <c r="Y1024">
        <f t="shared" si="63"/>
        <v>81.666666666666671</v>
      </c>
      <c r="AA1024" s="5" t="str">
        <f>IF(L1024="","", "⚠️ 薄弱环节: "&amp;INDEX($E$1:$K$1, MATCH(MIN(E1024:K1024), E1024:K1024, 0))&amp;CHAR(10)&amp;"📉 考察能力: "&amp;IFERROR(VLOOKUP(TRIM(D1024)&amp;"_"&amp;TRIM(INDEX($E$1:$K$1, MATCH(MIN(E1024:K1024), E1024:K1024, 0))), 技能库!$A:$F, 5, 0),"建议查阅考纲")&amp;CHAR(10)&amp;"💡 提升建议: "&amp;IFERROR(VLOOKUP(TRIM(D1024)&amp;"_"&amp;TRIM(INDEX($E$1:$K$1, MATCH(MIN(E1024:K1024), E1024:K1024, 0))), 技能库!$A:$F, 6, 0),"请针对该题型加强练习"))</f>
        <v>⚠️ 薄弱环节: R-Pt5
📉 考察能力: [阅读] 开放式填空 (语法)
💡 提升建议: 纯语法考核，重点强化介词、代词、连词和时态助动词。</v>
      </c>
      <c r="AB1024" s="5" t="str">
        <f>IF(P1024="","", "⚠️ 薄弱环节: "&amp;INDEX($N$1:$O$1, MATCH(MIN(N1024:O1024), N1024:O1024, 0))&amp;CHAR(10)&amp;"📉 考察能力: "&amp;IFERROR(VLOOKUP(TRIM(D1024)&amp;"_"&amp;TRIM(INDEX($N$1:$O$1, MATCH(MIN(N1024:O1024), N1024:O1024, 0))), 技能库!$A:$F, 5, 0),"建议查阅考纲")&amp;CHAR(10)&amp;"💡 提升建议: "&amp;IFERROR(VLOOKUP(TRIM(D1024)&amp;"_"&amp;TRIM(INDEX($N$1:$O$1, MATCH(MIN(N1024:O1024), N1024:O1024,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24" s="5" t="str">
        <f>IF(W1024="","", "⚠️ 薄弱环节: "&amp;INDEX($R$1:$V$1, MATCH(MIN(R1024:V1024), R1024:V1024, 0))&amp;CHAR(10)&amp;"📉 考察能力: "&amp;IFERROR(VLOOKUP(TRIM(D1024)&amp;"_"&amp;TRIM(INDEX($R$1:$V$1, MATCH(MIN(R1024:V1024), R1024:V1024, 0))), 技能库!$A:$F, 5, 0),"建议查阅考纲")&amp;CHAR(10)&amp;"💡 提升建议: "&amp;IFERROR(VLOOKUP(TRIM(D1024)&amp;"_"&amp;TRIM(INDEX($R$1:$V$1, MATCH(MIN(R1024:V1024), R1024:V1024, 0))), 技能库!$A:$F, 6, 0),"请针对该题型加强练习"))</f>
        <v>⚠️ 薄弱环节: L-Pt3
📉 考察能力: [听力] 长对话 (具体信息)
💡 提升建议: 听懂对话中的观点和态度，注意同义转换。</v>
      </c>
      <c r="AD1024" s="6">
        <v>46126</v>
      </c>
    </row>
    <row r="1025" spans="1:30" ht="18" customHeight="1" x14ac:dyDescent="0.2">
      <c r="A1025">
        <v>303</v>
      </c>
      <c r="B1025" t="s">
        <v>317</v>
      </c>
      <c r="C1025" t="s">
        <v>367</v>
      </c>
      <c r="D1025" t="s">
        <v>164</v>
      </c>
      <c r="E1025">
        <v>6</v>
      </c>
      <c r="F1025">
        <v>3</v>
      </c>
      <c r="G1025">
        <v>4</v>
      </c>
      <c r="H1025">
        <v>6</v>
      </c>
      <c r="I1025">
        <v>5</v>
      </c>
      <c r="L1025">
        <f t="shared" si="60"/>
        <v>24</v>
      </c>
      <c r="M1025">
        <f>IF(L1025="","", IFERROR(VLOOKUP(L1025, IF(D1025="KET", 换算标准!$M:$N, IF(D1025="PET", 换算标准!$S:$T, 换算标准!$AC:$AD)), 2, TRUE), 0))</f>
        <v>130</v>
      </c>
      <c r="N1025">
        <v>0</v>
      </c>
      <c r="O1025">
        <v>0</v>
      </c>
      <c r="P1025">
        <f t="shared" si="61"/>
        <v>0</v>
      </c>
      <c r="Q1025">
        <f>IF(P1025="","", IFERROR(VLOOKUP(P1025, IF(D1025="KET", 换算标准!$O:$P, IF(D1025="PET", 换算标准!$U:$V, 换算标准!$AG:$AH)), 2, TRUE), 0))</f>
        <v>0</v>
      </c>
      <c r="R1025">
        <v>3</v>
      </c>
      <c r="S1025">
        <v>3</v>
      </c>
      <c r="T1025">
        <v>3</v>
      </c>
      <c r="U1025">
        <v>3</v>
      </c>
      <c r="V1025">
        <v>3</v>
      </c>
      <c r="W1025">
        <f t="shared" si="62"/>
        <v>15</v>
      </c>
      <c r="X1025">
        <f>IF(W1025="","", IFERROR(VLOOKUP(W1025, IF(D1025="KET", 换算标准!$Q:$R, IF(D1025="PET", 换算标准!$W:$X, 换算标准!$AI:$AJ)), 2, TRUE), 0))</f>
        <v>113</v>
      </c>
      <c r="Y1025">
        <f t="shared" si="63"/>
        <v>81</v>
      </c>
      <c r="AA1025" s="5" t="str">
        <f>IF(L1025="","", "⚠️ 薄弱环节: "&amp;INDEX($E$1:$K$1, MATCH(MIN(E1025:K1025), E1025:K1025, 0))&amp;CHAR(10)&amp;"📉 考察能力: "&amp;IFERROR(VLOOKUP(TRIM(D1025)&amp;"_"&amp;TRIM(INDEX($E$1:$K$1, MATCH(MIN(E1025:K1025), E1025:K1025, 0))), 技能库!$A:$F, 5, 0),"建议查阅考纲")&amp;CHAR(10)&amp;"💡 提升建议: "&amp;IFERROR(VLOOKUP(TRIM(D1025)&amp;"_"&amp;TRIM(INDEX($E$1:$K$1, MATCH(MIN(E1025:K1025), E1025:K1025, 0))), 技能库!$A:$F, 6, 0),"请针对该题型加强练习"))</f>
        <v>⚠️ 薄弱环节: R-Pt2
📉 考察能力: [阅读] 三选一匹配 (细节)
💡 提升建议: 练习快速定位，注意题目描述与原文细节的对应。</v>
      </c>
      <c r="AB1025" s="5" t="str">
        <f>IF(P1025="","", "⚠️ 薄弱环节: "&amp;INDEX($N$1:$O$1, MATCH(MIN(N1025:O1025), N1025:O1025, 0))&amp;CHAR(10)&amp;"📉 考察能力: "&amp;IFERROR(VLOOKUP(TRIM(D1025)&amp;"_"&amp;TRIM(INDEX($N$1:$O$1, MATCH(MIN(N1025:O1025), N1025:O1025, 0))), 技能库!$A:$F, 5, 0),"建议查阅考纲")&amp;CHAR(10)&amp;"💡 提升建议: "&amp;IFERROR(VLOOKUP(TRIM(D1025)&amp;"_"&amp;TRIM(INDEX($N$1:$O$1, MATCH(MIN(N1025:O1025), N1025:O1025, 0))), 技能库!$A:$F, 6, 0),"请针对该题型加强练习"))</f>
        <v>⚠️ 薄弱环节: W-Pt1
📉 考察能力: [写作] 短邮件/便条
💡 提升建议: 必须覆盖所有3个要点，注意语域恰当，无拼写语法错误。</v>
      </c>
      <c r="AC1025" s="5" t="str">
        <f>IF(W1025="","", "⚠️ 薄弱环节: "&amp;INDEX($R$1:$V$1, MATCH(MIN(R1025:V1025), R1025:V1025, 0))&amp;CHAR(10)&amp;"📉 考察能力: "&amp;IFERROR(VLOOKUP(TRIM(D1025)&amp;"_"&amp;TRIM(INDEX($R$1:$V$1, MATCH(MIN(R1025:V1025), R1025:V1025, 0))), 技能库!$A:$F, 5, 0),"建议查阅考纲")&amp;CHAR(10)&amp;"💡 提升建议: "&amp;IFERROR(VLOOKUP(TRIM(D1025)&amp;"_"&amp;TRIM(INDEX($R$1:$V$1, MATCH(MIN(R1025:V1025), R1025:V1025,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025" s="6">
        <v>46126</v>
      </c>
    </row>
    <row r="1026" spans="1:30" ht="18" customHeight="1" x14ac:dyDescent="0.2">
      <c r="A1026">
        <v>303</v>
      </c>
      <c r="B1026" t="s">
        <v>317</v>
      </c>
      <c r="C1026" t="s">
        <v>366</v>
      </c>
      <c r="D1026" t="s">
        <v>164</v>
      </c>
      <c r="E1026">
        <v>4</v>
      </c>
      <c r="F1026">
        <v>4</v>
      </c>
      <c r="G1026">
        <v>2</v>
      </c>
      <c r="H1026">
        <v>2</v>
      </c>
      <c r="I1026">
        <v>2</v>
      </c>
      <c r="L1026">
        <f t="shared" si="60"/>
        <v>14</v>
      </c>
      <c r="M1026">
        <f>IF(L1026="","", IFERROR(VLOOKUP(L1026, IF(D1026="KET", 换算标准!$M:$N, IF(D1026="PET", 换算标准!$S:$T, 换算标准!$AC:$AD)), 2, TRUE), 0))</f>
        <v>102</v>
      </c>
      <c r="N1026">
        <v>0</v>
      </c>
      <c r="O1026">
        <v>0</v>
      </c>
      <c r="P1026">
        <f t="shared" si="61"/>
        <v>0</v>
      </c>
      <c r="Q1026">
        <f>IF(P1026="","", IFERROR(VLOOKUP(P1026, IF(D1026="KET", 换算标准!$O:$P, IF(D1026="PET", 换算标准!$U:$V, 换算标准!$AG:$AH)), 2, TRUE), 0))</f>
        <v>0</v>
      </c>
      <c r="R1026">
        <v>2</v>
      </c>
      <c r="S1026">
        <v>3</v>
      </c>
      <c r="T1026">
        <v>4</v>
      </c>
      <c r="U1026">
        <v>5</v>
      </c>
      <c r="V1026">
        <v>5</v>
      </c>
      <c r="W1026">
        <f t="shared" si="62"/>
        <v>19</v>
      </c>
      <c r="X1026">
        <f>IF(W1026="","", IFERROR(VLOOKUP(W1026, IF(D1026="KET", 换算标准!$Q:$R, IF(D1026="PET", 换算标准!$W:$X, 换算标准!$AI:$AJ)), 2, TRUE), 0))</f>
        <v>126</v>
      </c>
      <c r="Y1026">
        <f t="shared" si="63"/>
        <v>76</v>
      </c>
      <c r="AA1026" s="5" t="str">
        <f>IF(L1026="","", "⚠️ 薄弱环节: "&amp;INDEX($E$1:$K$1, MATCH(MIN(E1026:K1026), E1026:K1026, 0))&amp;CHAR(10)&amp;"📉 考察能力: "&amp;IFERROR(VLOOKUP(TRIM(D1026)&amp;"_"&amp;TRIM(INDEX($E$1:$K$1, MATCH(MIN(E1026:K1026), E1026:K1026, 0))), 技能库!$A:$F, 5, 0),"建议查阅考纲")&amp;CHAR(10)&amp;"💡 提升建议: "&amp;IFERROR(VLOOKUP(TRIM(D1026)&amp;"_"&amp;TRIM(INDEX($E$1:$K$1, MATCH(MIN(E1026:K1026), E1026:K1026, 0))), 技能库!$A:$F, 6, 0),"请针对该题型加强练习"))</f>
        <v>⚠️ 薄弱环节: R-Pt3
📉 考察能力: [阅读] 长文主旨理解
💡 提升建议: 提升长难句阅读能力，关注段落大意和作者态度。</v>
      </c>
      <c r="AB1026" s="5"/>
      <c r="AC1026" s="5" t="str">
        <f>IF(W1026="","", "⚠️ 薄弱环节: "&amp;INDEX($R$1:$V$1, MATCH(MIN(R1026:V1026), R1026:V1026, 0))&amp;CHAR(10)&amp;"📉 考察能力: "&amp;IFERROR(VLOOKUP(TRIM(D1026)&amp;"_"&amp;TRIM(INDEX($R$1:$V$1, MATCH(MIN(R1026:V1026), R1026:V1026, 0))), 技能库!$A:$F, 5, 0),"建议查阅考纲")&amp;CHAR(10)&amp;"💡 提升建议: "&amp;IFERROR(VLOOKUP(TRIM(D1026)&amp;"_"&amp;TRIM(INDEX($R$1:$V$1, MATCH(MIN(R1026:V1026), R1026:V1026, 0))), 技能库!$A:$F, 6, 0),"请针对该题型加强练习"))</f>
        <v>⚠️ 薄弱环节: L-Pt1
📉 考察能力: [听力] 多选 (关键信息)
💡 提升建议: 警惕干扰项，通常听到的第一个选项是错误的，听完整再选。</v>
      </c>
      <c r="AD1026" s="6">
        <v>46126</v>
      </c>
    </row>
    <row r="1027" spans="1:30" ht="18" customHeight="1" x14ac:dyDescent="0.2">
      <c r="A1027">
        <v>303</v>
      </c>
      <c r="B1027" t="s">
        <v>317</v>
      </c>
      <c r="C1027" t="s">
        <v>343</v>
      </c>
      <c r="D1027" t="s">
        <v>164</v>
      </c>
      <c r="E1027">
        <v>5</v>
      </c>
      <c r="F1027">
        <v>6</v>
      </c>
      <c r="G1027">
        <v>4</v>
      </c>
      <c r="H1027">
        <v>5</v>
      </c>
      <c r="I1027">
        <v>4</v>
      </c>
      <c r="L1027">
        <f t="shared" si="60"/>
        <v>24</v>
      </c>
      <c r="M1027">
        <f>IF(L1027="","", IFERROR(VLOOKUP(L1027, IF(D1027="KET", 换算标准!$M:$N, IF(D1027="PET", 换算标准!$S:$T, 换算标准!$AC:$AD)), 2, TRUE), 0))</f>
        <v>130</v>
      </c>
      <c r="N1027">
        <v>12</v>
      </c>
      <c r="O1027">
        <v>0</v>
      </c>
      <c r="P1027">
        <f t="shared" si="61"/>
        <v>12</v>
      </c>
      <c r="Q1027">
        <f>IF(P1027="","", IFERROR(VLOOKUP(P1027, IF(D1027="KET", 换算标准!$O:$P, IF(D1027="PET", 换算标准!$U:$V, 换算标准!$AG:$AH)), 2, TRUE), 0))</f>
        <v>102</v>
      </c>
      <c r="R1027">
        <v>4</v>
      </c>
      <c r="S1027">
        <v>4</v>
      </c>
      <c r="T1027">
        <v>1</v>
      </c>
      <c r="U1027">
        <v>4</v>
      </c>
      <c r="V1027">
        <v>4</v>
      </c>
      <c r="W1027">
        <f t="shared" ref="W1027:W1029" si="66">IF(COUNT(R1027:V1027)&gt;0, SUM(R1027:V1027), "")</f>
        <v>17</v>
      </c>
      <c r="X1027">
        <f>IF(W1027="","", IFERROR(VLOOKUP(W1027, IF(D1027="KET", 换算标准!$Q:$R, IF(D1027="PET", 换算标准!$W:$X, 换算标准!$AI:$AJ)), 2, TRUE), 0))</f>
        <v>120</v>
      </c>
      <c r="Y1027">
        <f t="shared" ref="Y1027" si="67">IF(COUNT(M1027,Q1027,X1027)&gt;0, AVERAGE(M1027,Q1027,X1027), "")</f>
        <v>117.33333333333333</v>
      </c>
      <c r="AB1027" s="5"/>
      <c r="AC1027" s="5" t="str">
        <f>IF(W1027="","", "⚠️ 薄弱环节: "&amp;INDEX($R$1:$V$1, MATCH(MIN(R1027:V1027), R1027:V1027, 0))&amp;CHAR(10)&amp;"📉 考察能力: "&amp;IFERROR(VLOOKUP(TRIM(D1027)&amp;"_"&amp;TRIM(INDEX($R$1:$V$1, MATCH(MIN(R1027:V1027), R1027:V1027, 0))), 技能库!$A:$F, 5, 0),"建议查阅考纲")&amp;CHAR(10)&amp;"💡 提升建议: "&amp;IFERROR(VLOOKUP(TRIM(D1027)&amp;"_"&amp;TRIM(INDEX($R$1:$V$1, MATCH(MIN(R1027:V1027), R1027:V1027, 0))), 技能库!$A:$F, 6, 0),"请针对该题型加强练习"))</f>
        <v>⚠️ 薄弱环节: L-Pt3
📉 考察能力: [听力] 长对话 (具体信息)
💡 提升建议: 听懂对话中的观点和态度，注意同义转换。</v>
      </c>
      <c r="AD1027" s="6">
        <v>46126</v>
      </c>
    </row>
    <row r="1028" spans="1:30" x14ac:dyDescent="0.2">
      <c r="L1028" t="str">
        <f t="shared" si="60"/>
        <v/>
      </c>
      <c r="M1028" t="str">
        <f>IF(L1028="","", IFERROR(VLOOKUP(L1028, IF(D1028="KET", 换算标准!$M:$N, IF(D1028="PET", 换算标准!$S:$T, 换算标准!$AC:$AD)), 2, TRUE), 0))</f>
        <v/>
      </c>
      <c r="P1028" t="str">
        <f t="shared" si="61"/>
        <v/>
      </c>
      <c r="Q1028" t="str">
        <f>IF(P1028="","", IFERROR(VLOOKUP(P1028, IF(D1028="KET", 换算标准!$O:$P, IF(D1028="PET", 换算标准!$U:$V, 换算标准!$AG:$AH)), 2, TRUE), 0))</f>
        <v/>
      </c>
      <c r="W1028" t="str">
        <f t="shared" si="66"/>
        <v/>
      </c>
      <c r="X1028" t="str">
        <f>IF(W1028="","", IFERROR(VLOOKUP(W1028, IF(D1028="KET", 换算标准!$Q:$R, IF(D1028="PET", 换算标准!$W:$X, 换算标准!$AI:$AJ)), 2, TRUE), 0))</f>
        <v/>
      </c>
      <c r="AB1028" s="5"/>
    </row>
    <row r="1029" spans="1:30" x14ac:dyDescent="0.2">
      <c r="A1029">
        <v>307</v>
      </c>
      <c r="B1029" t="s">
        <v>338</v>
      </c>
      <c r="C1029" t="s">
        <v>339</v>
      </c>
      <c r="D1029" t="s">
        <v>164</v>
      </c>
      <c r="L1029" t="str">
        <f t="shared" ref="L1029:L1030" si="68">IF(COUNT(E1029:K1029)&gt;0, SUM(E1029:K1029), "")</f>
        <v/>
      </c>
      <c r="M1029" t="str">
        <f>IF(L1029="","", IFERROR(VLOOKUP(L1029, IF(D1029="KET", 换算标准!$M:$N, IF(D1029="PET", 换算标准!$S:$T, 换算标准!$AC:$AD)), 2, TRUE), 0))</f>
        <v/>
      </c>
      <c r="P1029" t="str">
        <f t="shared" ref="P1029:P1030" si="69">IF(COUNT(N1029:O1029)&gt;0, SUM(N1029:O1029), "")</f>
        <v/>
      </c>
      <c r="Q1029" t="str">
        <f>IF(P1029="","", IFERROR(VLOOKUP(P1029, IF(D1029="KET", 换算标准!$O:$P, IF(D1029="PET", 换算标准!$U:$V, 换算标准!$AG:$AH)), 2, TRUE), 0))</f>
        <v/>
      </c>
      <c r="W1029" t="str">
        <f t="shared" si="66"/>
        <v/>
      </c>
      <c r="X1029" t="str">
        <f>IF(W1029="","", IFERROR(VLOOKUP(W1029, IF(D1029="KET", 换算标准!$Q:$R, IF(D1029="PET", 换算标准!$W:$X, 换算标准!$AI:$AJ)), 2, TRUE), 0))</f>
        <v/>
      </c>
    </row>
    <row r="1030" spans="1:30" x14ac:dyDescent="0.2">
      <c r="A1030">
        <v>305</v>
      </c>
      <c r="B1030" t="s">
        <v>338</v>
      </c>
      <c r="C1030" t="s">
        <v>340</v>
      </c>
      <c r="D1030" t="s">
        <v>164</v>
      </c>
      <c r="L1030" t="str">
        <f t="shared" si="68"/>
        <v/>
      </c>
      <c r="M1030" t="str">
        <f>IF(L1030="","", IFERROR(VLOOKUP(L1030, IF(D1030="KET", 换算标准!$M:$N, IF(D1030="PET", 换算标准!$S:$T, 换算标准!$AC:$AD)), 2, TRUE), 0))</f>
        <v/>
      </c>
      <c r="P1030" t="str">
        <f t="shared" si="69"/>
        <v/>
      </c>
      <c r="Q1030" t="str">
        <f>IF(P1030="","", IFERROR(VLOOKUP(P1030, IF(D1030="KET", 换算标准!$O:$P, IF(D1030="PET", 换算标准!$U:$V, 换算标准!$AG:$AH)), 2, TRUE), 0))</f>
        <v/>
      </c>
    </row>
    <row r="1031" spans="1:30" x14ac:dyDescent="0.2">
      <c r="A1031">
        <v>301</v>
      </c>
      <c r="B1031" t="s">
        <v>338</v>
      </c>
      <c r="C1031" t="s">
        <v>341</v>
      </c>
      <c r="D1031" t="s">
        <v>164</v>
      </c>
      <c r="Q1031" t="str">
        <f>IF(P1031="","", IFERROR(VLOOKUP(P1031, IF(D1031="KET", 换算标准!$O:$P, IF(D1031="PET", 换算标准!$U:$V, 换算标准!$AG:$AH)), 2, TRUE), 0))</f>
        <v/>
      </c>
      <c r="R1031">
        <v>5</v>
      </c>
      <c r="S1031">
        <v>2</v>
      </c>
      <c r="T1031">
        <v>3</v>
      </c>
      <c r="U1031">
        <v>5</v>
      </c>
      <c r="V1031">
        <v>3</v>
      </c>
      <c r="W1031">
        <f t="shared" ref="W1031:W1036" si="70">IF(COUNT(R1031:V1031)&gt;0, SUM(R1031:V1031), "")</f>
        <v>18</v>
      </c>
      <c r="X1031">
        <f>IF(W1031="","", IFERROR(VLOOKUP(W1031, IF(D1031="KET", 换算标准!$Q:$R, IF(D1031="PET", 换算标准!$W:$X, 换算标准!$AI:$AJ)), 2, TRUE), 0))</f>
        <v>123</v>
      </c>
    </row>
    <row r="1032" spans="1:30" x14ac:dyDescent="0.2">
      <c r="A1032">
        <v>305</v>
      </c>
      <c r="B1032" t="s">
        <v>338</v>
      </c>
      <c r="C1032" t="s">
        <v>342</v>
      </c>
      <c r="D1032" t="s">
        <v>164</v>
      </c>
      <c r="W1032" t="str">
        <f t="shared" si="70"/>
        <v/>
      </c>
      <c r="X1032" t="str">
        <f>IF(W1032="","", IFERROR(VLOOKUP(W1032, IF(D1032="KET", 换算标准!$Q:$R, IF(D1032="PET", 换算标准!$W:$X, 换算标准!$AI:$AJ)), 2, TRUE), 0))</f>
        <v/>
      </c>
    </row>
    <row r="1033" spans="1:30" x14ac:dyDescent="0.2">
      <c r="A1033">
        <v>301</v>
      </c>
      <c r="B1033" t="s">
        <v>338</v>
      </c>
      <c r="C1033" t="s">
        <v>344</v>
      </c>
      <c r="D1033" t="s">
        <v>164</v>
      </c>
      <c r="W1033" t="str">
        <f t="shared" si="70"/>
        <v/>
      </c>
      <c r="X1033" t="str">
        <f>IF(W1033="","", IFERROR(VLOOKUP(W1033, IF(D1033="KET", 换算标准!$Q:$R, IF(D1033="PET", 换算标准!$W:$X, 换算标准!$AI:$AJ)), 2, TRUE), 0))</f>
        <v/>
      </c>
    </row>
    <row r="1034" spans="1:30" x14ac:dyDescent="0.2">
      <c r="A1034">
        <v>301</v>
      </c>
      <c r="B1034" t="s">
        <v>338</v>
      </c>
      <c r="C1034" t="s">
        <v>345</v>
      </c>
      <c r="D1034" t="s">
        <v>164</v>
      </c>
      <c r="W1034" t="str">
        <f t="shared" si="70"/>
        <v/>
      </c>
      <c r="X1034" t="str">
        <f>IF(W1034="","", IFERROR(VLOOKUP(W1034, IF(D1034="KET", 换算标准!$Q:$R, IF(D1034="PET", 换算标准!$W:$X, 换算标准!$AI:$AJ)), 2, TRUE), 0))</f>
        <v/>
      </c>
    </row>
    <row r="1035" spans="1:30" x14ac:dyDescent="0.2">
      <c r="A1035">
        <v>303</v>
      </c>
      <c r="B1035" t="s">
        <v>338</v>
      </c>
      <c r="C1035" t="s">
        <v>346</v>
      </c>
      <c r="D1035" t="s">
        <v>164</v>
      </c>
      <c r="W1035" t="str">
        <f t="shared" si="70"/>
        <v/>
      </c>
      <c r="X1035" t="str">
        <f>IF(W1035="","", IFERROR(VLOOKUP(W1035, IF(D1035="KET", 换算标准!$Q:$R, IF(D1035="PET", 换算标准!$W:$X, 换算标准!$AI:$AJ)), 2, TRUE), 0))</f>
        <v/>
      </c>
    </row>
    <row r="1036" spans="1:30" x14ac:dyDescent="0.2">
      <c r="W1036" t="str">
        <f t="shared" si="70"/>
        <v/>
      </c>
      <c r="X1036" t="str">
        <f>IF(W1036="","", IFERROR(VLOOKUP(W1036, IF(D1036="KET", 换算标准!$Q:$R, IF(D1036="PET", 换算标准!$W:$X, 换算标准!$AI:$AJ)), 2, TRUE), 0))</f>
        <v/>
      </c>
    </row>
  </sheetData>
  <autoFilter ref="A1:AC1000" xr:uid="{00000000-0009-0000-0000-000004000000}">
    <filterColumn colId="1">
      <filters>
        <filter val="A1"/>
      </filters>
    </filterColumn>
  </autoFilter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B1049"/>
  <sheetViews>
    <sheetView zoomScale="81" workbookViewId="0">
      <pane ySplit="1" topLeftCell="A15" activePane="bottomLeft" state="frozen"/>
      <selection pane="bottomLeft" activeCell="E1006" sqref="E1006:I1029"/>
    </sheetView>
  </sheetViews>
  <sheetFormatPr baseColWidth="10" defaultColWidth="8.83203125" defaultRowHeight="18" customHeight="1" x14ac:dyDescent="0.2"/>
  <cols>
    <col min="3" max="3" width="15.6640625" customWidth="1"/>
  </cols>
  <sheetData>
    <row r="1" spans="1:28" ht="18" customHeight="1" x14ac:dyDescent="0.2">
      <c r="A1" s="4" t="s">
        <v>289</v>
      </c>
      <c r="B1" s="4" t="s">
        <v>290</v>
      </c>
      <c r="C1" s="4" t="s">
        <v>291</v>
      </c>
      <c r="D1" s="4" t="s">
        <v>80</v>
      </c>
      <c r="E1" s="4" t="s">
        <v>87</v>
      </c>
      <c r="F1" s="4" t="s">
        <v>91</v>
      </c>
      <c r="G1" s="4" t="s">
        <v>95</v>
      </c>
      <c r="H1" s="4" t="s">
        <v>99</v>
      </c>
      <c r="I1" s="4" t="s">
        <v>103</v>
      </c>
      <c r="J1" s="4" t="s">
        <v>347</v>
      </c>
      <c r="K1" s="4" t="s">
        <v>348</v>
      </c>
      <c r="L1" s="4" t="s">
        <v>349</v>
      </c>
      <c r="M1" s="4" t="s">
        <v>107</v>
      </c>
      <c r="N1" s="4" t="s">
        <v>111</v>
      </c>
      <c r="O1" s="4" t="s">
        <v>115</v>
      </c>
      <c r="P1" s="4" t="s">
        <v>119</v>
      </c>
      <c r="Q1" s="4" t="s">
        <v>123</v>
      </c>
      <c r="R1" s="4" t="s">
        <v>127</v>
      </c>
      <c r="S1" s="4" t="s">
        <v>131</v>
      </c>
      <c r="T1" s="4" t="s">
        <v>350</v>
      </c>
      <c r="U1" s="4" t="s">
        <v>351</v>
      </c>
      <c r="V1" s="4" t="s">
        <v>352</v>
      </c>
      <c r="W1" s="4" t="s">
        <v>353</v>
      </c>
      <c r="X1" s="4" t="s">
        <v>299</v>
      </c>
      <c r="Y1" s="4" t="s">
        <v>48</v>
      </c>
      <c r="Z1" s="4" t="s">
        <v>302</v>
      </c>
      <c r="AA1" s="4" t="s">
        <v>354</v>
      </c>
      <c r="AB1" s="4" t="s">
        <v>303</v>
      </c>
    </row>
    <row r="2" spans="1:28" ht="18" hidden="1" customHeight="1" x14ac:dyDescent="0.2">
      <c r="A2">
        <v>304</v>
      </c>
      <c r="B2" t="s">
        <v>13</v>
      </c>
      <c r="C2" t="s">
        <v>355</v>
      </c>
      <c r="D2" t="s">
        <v>135</v>
      </c>
      <c r="E2">
        <v>4</v>
      </c>
      <c r="F2">
        <v>2</v>
      </c>
      <c r="G2">
        <v>5</v>
      </c>
      <c r="H2">
        <v>5</v>
      </c>
      <c r="I2">
        <v>5</v>
      </c>
      <c r="J2">
        <f t="shared" ref="J2:J65" si="0">IF(COUNT(E2:I2)&gt;0, SUM(E2:I2), "")</f>
        <v>21</v>
      </c>
      <c r="K2">
        <f>IF(J2="","", IFERROR(VLOOKUP(J2, IF(D2="Movers", 换算标准!$C:$D, 换算标准!$I:$J), 2, TRUE), 0))</f>
        <v>5</v>
      </c>
      <c r="M2">
        <v>8</v>
      </c>
      <c r="N2">
        <v>2</v>
      </c>
      <c r="O2">
        <v>6</v>
      </c>
      <c r="P2">
        <v>6</v>
      </c>
      <c r="Q2">
        <v>4</v>
      </c>
      <c r="R2">
        <v>0</v>
      </c>
      <c r="S2">
        <v>0</v>
      </c>
      <c r="T2">
        <f t="shared" ref="T2:T65" si="1">IF(COUNT(M2:S2)&gt;0, SUM(M2:S2), "")</f>
        <v>26</v>
      </c>
      <c r="U2">
        <f>IF(T2="","", IFERROR(VLOOKUP(T2, IF(D2="Movers", 换算标准!$A:$B, 换算标准!$G:$H), 2, TRUE), 0))</f>
        <v>3</v>
      </c>
      <c r="V2" t="s">
        <v>70</v>
      </c>
      <c r="W2">
        <f t="shared" ref="W2:W65" si="2">IF(AND(K2&lt;&gt;"", U2&lt;&gt;""), K2+U2, "")</f>
        <v>8</v>
      </c>
      <c r="Z2" s="5" t="str">
        <f>IF(J2="","", IF(K2&lt;=3, "⚠️ 薄弱环节: "&amp;INDEX($E$1:$I$1, MATCH(MIN(E2:I2), E2:I2, 0))&amp;CHAR(10)&amp;"📉 考察能力: "&amp;IFERROR(VLOOKUP(TRIM(D2)&amp;"_"&amp;TRIM(INDEX($E$1:$I$1, MATCH(MIN(E2:I2), E2:I2, 0))), 技能库!$A:$F, 5, 0),"建议查阅考纲")&amp;CHAR(10)&amp;"💡 提升建议: "&amp;IFERROR(VLOOKUP(TRIM(D2)&amp;"_"&amp;TRIM(INDEX($E$1:$I$1, MATCH(MIN(E2:I2), E2:I2, 0))), 技能库!$A:$F, 6, 0),"请针对该题型加强练习"), "🎉 表现优异，无明显弱项！"))</f>
        <v>🎉 表现优异，无明显弱项！</v>
      </c>
      <c r="AA2" s="5" t="str">
        <f>IF(T2="","", IF(U2&lt;=3, "⚠️ 薄弱环节: "&amp;INDEX($M$1:$S$1, MATCH(MIN(M2:S2), M2:S2, 0))&amp;CHAR(10)&amp;"📉 考察能力: "&amp;IFERROR(VLOOKUP(TRIM(D2)&amp;"_"&amp;TRIM(INDEX($M$1:$S$1, MATCH(MIN(M2:S2), M2:S2, 0))), 技能库!$A:$F, 5, 0),"建议查阅考纲")&amp;CHAR(10)&amp;"💡 提升建议: "&amp;IFERROR(VLOOKUP(TRIM(D2)&amp;"_"&amp;TRIM(INDEX($M$1:$S$1, MATCH(MIN(M2:S2), M2:S2,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" t="s">
        <v>304</v>
      </c>
    </row>
    <row r="3" spans="1:28" ht="18" hidden="1" customHeight="1" x14ac:dyDescent="0.2">
      <c r="A3">
        <v>302</v>
      </c>
      <c r="B3" t="s">
        <v>13</v>
      </c>
      <c r="C3" t="s">
        <v>356</v>
      </c>
      <c r="D3" t="s">
        <v>135</v>
      </c>
      <c r="E3">
        <v>4</v>
      </c>
      <c r="F3">
        <v>1</v>
      </c>
      <c r="G3">
        <v>4</v>
      </c>
      <c r="H3">
        <v>4</v>
      </c>
      <c r="I3">
        <v>5</v>
      </c>
      <c r="J3">
        <f t="shared" si="0"/>
        <v>18</v>
      </c>
      <c r="K3">
        <f>IF(J3="","", IFERROR(VLOOKUP(J3, IF(D3="Movers", 换算标准!$C:$D, 换算标准!$I:$J), 2, TRUE), 0))</f>
        <v>4</v>
      </c>
      <c r="M3">
        <v>7</v>
      </c>
      <c r="N3">
        <v>2</v>
      </c>
      <c r="O3">
        <v>3</v>
      </c>
      <c r="P3">
        <v>7</v>
      </c>
      <c r="Q3">
        <v>4</v>
      </c>
      <c r="R3">
        <v>1</v>
      </c>
      <c r="S3">
        <v>4</v>
      </c>
      <c r="T3">
        <f t="shared" si="1"/>
        <v>28</v>
      </c>
      <c r="U3">
        <f>IF(T3="","", IFERROR(VLOOKUP(T3, IF(D3="Movers", 换算标准!$A:$B, 换算标准!$G:$H), 2, TRUE), 0))</f>
        <v>3</v>
      </c>
      <c r="V3" t="s">
        <v>70</v>
      </c>
      <c r="W3">
        <f t="shared" si="2"/>
        <v>7</v>
      </c>
      <c r="Z3" s="5" t="str">
        <f>IF(J3="","", IF(K3&lt;=3, "⚠️ 薄弱环节: "&amp;INDEX($E$1:$I$1, MATCH(MIN(E3:I3), E3:I3, 0))&amp;CHAR(10)&amp;"📉 考察能力: "&amp;IFERROR(VLOOKUP(TRIM(D3)&amp;"_"&amp;TRIM(INDEX($E$1:$I$1, MATCH(MIN(E3:I3), E3:I3, 0))), 技能库!$A:$F, 5, 0),"建议查阅考纲")&amp;CHAR(10)&amp;"💡 提升建议: "&amp;IFERROR(VLOOKUP(TRIM(D3)&amp;"_"&amp;TRIM(INDEX($E$1:$I$1, MATCH(MIN(E3:I3), E3:I3, 0))), 技能库!$A:$F, 6, 0),"请针对该题型加强练习"), "🎉 表现优异，无明显弱项！"))</f>
        <v>🎉 表现优异，无明显弱项！</v>
      </c>
      <c r="AA3" s="5" t="str">
        <f>IF(T3="","", IF(U3&lt;=3, "⚠️ 薄弱环节: "&amp;INDEX($M$1:$S$1, MATCH(MIN(M3:S3), M3:S3, 0))&amp;CHAR(10)&amp;"📉 考察能力: "&amp;IFERROR(VLOOKUP(TRIM(D3)&amp;"_"&amp;TRIM(INDEX($M$1:$S$1, MATCH(MIN(M3:S3), M3:S3, 0))), 技能库!$A:$F, 5, 0),"建议查阅考纲")&amp;CHAR(10)&amp;"💡 提升建议: "&amp;IFERROR(VLOOKUP(TRIM(D3)&amp;"_"&amp;TRIM(INDEX($M$1:$S$1, MATCH(MIN(M3:S3), M3:S3,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3" t="s">
        <v>304</v>
      </c>
    </row>
    <row r="4" spans="1:28" ht="18" hidden="1" customHeight="1" x14ac:dyDescent="0.2">
      <c r="A4">
        <v>304</v>
      </c>
      <c r="B4" t="s">
        <v>13</v>
      </c>
      <c r="C4" t="s">
        <v>357</v>
      </c>
      <c r="D4" t="s">
        <v>135</v>
      </c>
      <c r="E4">
        <v>4</v>
      </c>
      <c r="F4">
        <v>1</v>
      </c>
      <c r="G4">
        <v>3</v>
      </c>
      <c r="H4">
        <v>5</v>
      </c>
      <c r="I4">
        <v>5</v>
      </c>
      <c r="J4">
        <f t="shared" si="0"/>
        <v>18</v>
      </c>
      <c r="K4">
        <f>IF(J4="","", IFERROR(VLOOKUP(J4, IF(D4="Movers", 换算标准!$C:$D, 换算标准!$I:$J), 2, TRUE), 0))</f>
        <v>4</v>
      </c>
      <c r="M4">
        <v>4</v>
      </c>
      <c r="N4">
        <v>5</v>
      </c>
      <c r="O4">
        <v>4</v>
      </c>
      <c r="P4">
        <v>3</v>
      </c>
      <c r="Q4">
        <v>1</v>
      </c>
      <c r="R4">
        <v>0</v>
      </c>
      <c r="S4">
        <v>4</v>
      </c>
      <c r="T4">
        <f t="shared" si="1"/>
        <v>21</v>
      </c>
      <c r="U4">
        <f>IF(T4="","", IFERROR(VLOOKUP(T4, IF(D4="Movers", 换算标准!$A:$B, 换算标准!$G:$H), 2, TRUE), 0))</f>
        <v>2</v>
      </c>
      <c r="V4" t="s">
        <v>68</v>
      </c>
      <c r="W4">
        <f t="shared" si="2"/>
        <v>6</v>
      </c>
      <c r="Z4" s="5" t="str">
        <f>IF(J4="","", IF(K4&lt;=3, "⚠️ 薄弱环节: "&amp;INDEX($E$1:$I$1, MATCH(MIN(E4:I4), E4:I4, 0))&amp;CHAR(10)&amp;"📉 考察能力: "&amp;IFERROR(VLOOKUP(TRIM(D4)&amp;"_"&amp;TRIM(INDEX($E$1:$I$1, MATCH(MIN(E4:I4), E4:I4, 0))), 技能库!$A:$F, 5, 0),"建议查阅考纲")&amp;CHAR(10)&amp;"💡 提升建议: "&amp;IFERROR(VLOOKUP(TRIM(D4)&amp;"_"&amp;TRIM(INDEX($E$1:$I$1, MATCH(MIN(E4:I4), E4:I4, 0))), 技能库!$A:$F, 6, 0),"请针对该题型加强练习"), "🎉 表现优异，无明显弱项！"))</f>
        <v>🎉 表现优异，无明显弱项！</v>
      </c>
      <c r="AA4" s="5" t="str">
        <f>IF(T4="","", IF(U4&lt;=3, "⚠️ 薄弱环节: "&amp;INDEX($M$1:$S$1, MATCH(MIN(M4:S4), M4:S4, 0))&amp;CHAR(10)&amp;"📉 考察能力: "&amp;IFERROR(VLOOKUP(TRIM(D4)&amp;"_"&amp;TRIM(INDEX($M$1:$S$1, MATCH(MIN(M4:S4), M4:S4, 0))), 技能库!$A:$F, 5, 0),"建议查阅考纲")&amp;CHAR(10)&amp;"💡 提升建议: "&amp;IFERROR(VLOOKUP(TRIM(D4)&amp;"_"&amp;TRIM(INDEX($M$1:$S$1, MATCH(MIN(M4:S4), M4:S4,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4" t="s">
        <v>304</v>
      </c>
    </row>
    <row r="5" spans="1:28" ht="18" hidden="1" customHeight="1" x14ac:dyDescent="0.2">
      <c r="A5">
        <v>302</v>
      </c>
      <c r="B5" t="s">
        <v>13</v>
      </c>
      <c r="C5" t="s">
        <v>358</v>
      </c>
      <c r="D5" t="s">
        <v>135</v>
      </c>
      <c r="E5">
        <v>5</v>
      </c>
      <c r="F5">
        <v>1</v>
      </c>
      <c r="G5">
        <v>2</v>
      </c>
      <c r="H5">
        <v>4</v>
      </c>
      <c r="I5">
        <v>5</v>
      </c>
      <c r="J5">
        <f t="shared" si="0"/>
        <v>17</v>
      </c>
      <c r="K5">
        <f>IF(J5="","", IFERROR(VLOOKUP(J5, IF(D5="Movers", 换算标准!$C:$D, 换算标准!$I:$J), 2, TRUE), 0))</f>
        <v>3</v>
      </c>
      <c r="M5">
        <v>8</v>
      </c>
      <c r="N5">
        <v>2</v>
      </c>
      <c r="O5">
        <v>6</v>
      </c>
      <c r="P5">
        <v>8</v>
      </c>
      <c r="Q5">
        <v>5</v>
      </c>
      <c r="R5">
        <v>1</v>
      </c>
      <c r="S5">
        <v>4</v>
      </c>
      <c r="T5">
        <f t="shared" si="1"/>
        <v>34</v>
      </c>
      <c r="U5">
        <f>IF(T5="","", IFERROR(VLOOKUP(T5, IF(D5="Movers", 换算标准!$A:$B, 换算标准!$G:$H), 2, TRUE), 0))</f>
        <v>3</v>
      </c>
      <c r="V5" t="s">
        <v>70</v>
      </c>
      <c r="W5">
        <f t="shared" si="2"/>
        <v>6</v>
      </c>
      <c r="Z5" s="5" t="str">
        <f>IF(J5="","", IF(K5&lt;=3, "⚠️ 薄弱环节: "&amp;INDEX($E$1:$I$1, MATCH(MIN(E5:I5), E5:I5, 0))&amp;CHAR(10)&amp;"📉 考察能力: "&amp;IFERROR(VLOOKUP(TRIM(D5)&amp;"_"&amp;TRIM(INDEX($E$1:$I$1, MATCH(MIN(E5:I5), E5:I5, 0))), 技能库!$A:$F, 5, 0),"建议查阅考纲")&amp;CHAR(10)&amp;"💡 提升建议: "&amp;IFERROR(VLOOKUP(TRIM(D5)&amp;"_"&amp;TRIM(INDEX($E$1:$I$1, MATCH(MIN(E5:I5), E5:I5, 0))), 技能库!$A:$F, 6, 0),"请针对该题型加强练习"), "🎉 表现优异，无明显弱项！"))</f>
        <v>⚠️ 薄弱环节: L-Pt2
📉 考察能力: [听力] 听取细节并填空
💡 提升建议: 信息量增加，注意快速书写，拼写必须准确。</v>
      </c>
      <c r="AA5" s="5" t="str">
        <f>IF(T5="","", IF(U5&lt;=3, "⚠️ 薄弱环节: "&amp;INDEX($M$1:$S$1, MATCH(MIN(M5:S5), M5:S5, 0))&amp;CHAR(10)&amp;"📉 考察能力: "&amp;IFERROR(VLOOKUP(TRIM(D5)&amp;"_"&amp;TRIM(INDEX($M$1:$S$1, MATCH(MIN(M5:S5), M5:S5, 0))), 技能库!$A:$F, 5, 0),"建议查阅考纲")&amp;CHAR(10)&amp;"💡 提升建议: "&amp;IFERROR(VLOOKUP(TRIM(D5)&amp;"_"&amp;TRIM(INDEX($M$1:$S$1, MATCH(MIN(M5:S5), M5:S5,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5" t="s">
        <v>304</v>
      </c>
    </row>
    <row r="6" spans="1:28" ht="18" hidden="1" customHeight="1" x14ac:dyDescent="0.2">
      <c r="A6">
        <v>306</v>
      </c>
      <c r="B6" t="s">
        <v>13</v>
      </c>
      <c r="C6" t="s">
        <v>359</v>
      </c>
      <c r="D6" t="s">
        <v>135</v>
      </c>
      <c r="E6">
        <v>5</v>
      </c>
      <c r="F6">
        <v>1</v>
      </c>
      <c r="G6">
        <v>5</v>
      </c>
      <c r="H6">
        <v>5</v>
      </c>
      <c r="I6">
        <v>5</v>
      </c>
      <c r="J6">
        <f t="shared" si="0"/>
        <v>21</v>
      </c>
      <c r="K6">
        <f>IF(J6="","", IFERROR(VLOOKUP(J6, IF(D6="Movers", 换算标准!$C:$D, 换算标准!$I:$J), 2, TRUE), 0))</f>
        <v>5</v>
      </c>
      <c r="M6">
        <v>9</v>
      </c>
      <c r="N6">
        <v>1</v>
      </c>
      <c r="O6">
        <v>6</v>
      </c>
      <c r="P6">
        <v>10</v>
      </c>
      <c r="Q6">
        <v>3</v>
      </c>
      <c r="R6">
        <v>2</v>
      </c>
      <c r="S6">
        <v>4</v>
      </c>
      <c r="T6">
        <f t="shared" si="1"/>
        <v>35</v>
      </c>
      <c r="U6">
        <f>IF(T6="","", IFERROR(VLOOKUP(T6, IF(D6="Movers", 换算标准!$A:$B, 换算标准!$G:$H), 2, TRUE), 0))</f>
        <v>3</v>
      </c>
      <c r="V6" t="s">
        <v>70</v>
      </c>
      <c r="W6">
        <f t="shared" si="2"/>
        <v>8</v>
      </c>
      <c r="Z6" s="5" t="str">
        <f>IF(J6="","", IF(K6&lt;=3, "⚠️ 薄弱环节: "&amp;INDEX($E$1:$I$1, MATCH(MIN(E6:I6), E6:I6, 0))&amp;CHAR(10)&amp;"📉 考察能力: "&amp;IFERROR(VLOOKUP(TRIM(D6)&amp;"_"&amp;TRIM(INDEX($E$1:$I$1, MATCH(MIN(E6:I6), E6:I6, 0))), 技能库!$A:$F, 5, 0),"建议查阅考纲")&amp;CHAR(10)&amp;"💡 提升建议: "&amp;IFERROR(VLOOKUP(TRIM(D6)&amp;"_"&amp;TRIM(INDEX($E$1:$I$1, MATCH(MIN(E6:I6), E6:I6, 0))), 技能库!$A:$F, 6, 0),"请针对该题型加强练习"), "🎉 表现优异，无明显弱项！"))</f>
        <v>🎉 表现优异，无明显弱项！</v>
      </c>
      <c r="AA6" s="5" t="str">
        <f>IF(T6="","", IF(U6&lt;=3, "⚠️ 薄弱环节: "&amp;INDEX($M$1:$S$1, MATCH(MIN(M6:S6), M6:S6, 0))&amp;CHAR(10)&amp;"📉 考察能力: "&amp;IFERROR(VLOOKUP(TRIM(D6)&amp;"_"&amp;TRIM(INDEX($M$1:$S$1, MATCH(MIN(M6:S6), M6:S6, 0))), 技能库!$A:$F, 5, 0),"建议查阅考纲")&amp;CHAR(10)&amp;"💡 提升建议: "&amp;IFERROR(VLOOKUP(TRIM(D6)&amp;"_"&amp;TRIM(INDEX($M$1:$S$1, MATCH(MIN(M6:S6), M6:S6, 0))), 技能库!$A:$F, 6, 0),"请针对该题型加强练习"), "🎉 表现优异，无明显弱项！"))</f>
        <v>⚠️ 薄弱环节: RW-Pt2
📉 考察能力: [读写] 补全对话
💡 提升建议: 逻辑性增强，需根据前言后语推断缺失的句子。</v>
      </c>
      <c r="AB6" t="s">
        <v>304</v>
      </c>
    </row>
    <row r="7" spans="1:28" ht="18" hidden="1" customHeight="1" x14ac:dyDescent="0.2">
      <c r="A7">
        <v>304</v>
      </c>
      <c r="B7" t="s">
        <v>13</v>
      </c>
      <c r="C7" t="s">
        <v>360</v>
      </c>
      <c r="D7" t="s">
        <v>135</v>
      </c>
      <c r="E7">
        <v>5</v>
      </c>
      <c r="F7">
        <v>1</v>
      </c>
      <c r="G7">
        <v>5</v>
      </c>
      <c r="H7">
        <v>5</v>
      </c>
      <c r="I7">
        <v>4</v>
      </c>
      <c r="J7">
        <f t="shared" si="0"/>
        <v>20</v>
      </c>
      <c r="K7">
        <f>IF(J7="","", IFERROR(VLOOKUP(J7, IF(D7="Movers", 换算标准!$C:$D, 换算标准!$I:$J), 2, TRUE), 0))</f>
        <v>4</v>
      </c>
      <c r="M7">
        <v>8</v>
      </c>
      <c r="N7">
        <v>2</v>
      </c>
      <c r="O7">
        <v>0</v>
      </c>
      <c r="P7">
        <v>8</v>
      </c>
      <c r="Q7">
        <v>0</v>
      </c>
      <c r="R7">
        <v>2</v>
      </c>
      <c r="S7">
        <v>4</v>
      </c>
      <c r="T7">
        <f t="shared" si="1"/>
        <v>24</v>
      </c>
      <c r="U7">
        <f>IF(T7="","", IFERROR(VLOOKUP(T7, IF(D7="Movers", 换算标准!$A:$B, 换算标准!$G:$H), 2, TRUE), 0))</f>
        <v>3</v>
      </c>
      <c r="V7" t="s">
        <v>70</v>
      </c>
      <c r="W7">
        <f t="shared" si="2"/>
        <v>7</v>
      </c>
      <c r="Z7" s="5" t="str">
        <f>IF(J7="","", IF(K7&lt;=3, "⚠️ 薄弱环节: "&amp;INDEX($E$1:$I$1, MATCH(MIN(E7:I7), E7:I7, 0))&amp;CHAR(10)&amp;"📉 考察能力: "&amp;IFERROR(VLOOKUP(TRIM(D7)&amp;"_"&amp;TRIM(INDEX($E$1:$I$1, MATCH(MIN(E7:I7), E7:I7, 0))), 技能库!$A:$F, 5, 0),"建议查阅考纲")&amp;CHAR(10)&amp;"💡 提升建议: "&amp;IFERROR(VLOOKUP(TRIM(D7)&amp;"_"&amp;TRIM(INDEX($E$1:$I$1, MATCH(MIN(E7:I7), E7:I7, 0))), 技能库!$A:$F, 6, 0),"请针对该题型加强练习"), "🎉 表现优异，无明显弱项！"))</f>
        <v>🎉 表现优异，无明显弱项！</v>
      </c>
      <c r="AA7" s="5" t="str">
        <f>IF(T7="","", IF(U7&lt;=3, "⚠️ 薄弱环节: "&amp;INDEX($M$1:$S$1, MATCH(MIN(M7:S7), M7:S7, 0))&amp;CHAR(10)&amp;"📉 考察能力: "&amp;IFERROR(VLOOKUP(TRIM(D7)&amp;"_"&amp;TRIM(INDEX($M$1:$S$1, MATCH(MIN(M7:S7), M7:S7, 0))), 技能库!$A:$F, 5, 0),"建议查阅考纲")&amp;CHAR(10)&amp;"💡 提升建议: "&amp;IFERROR(VLOOKUP(TRIM(D7)&amp;"_"&amp;TRIM(INDEX($M$1:$S$1, MATCH(MIN(M7:S7), M7:S7, 0))), 技能库!$A:$F, 6, 0),"请针对该题型加强练习"), "🎉 表现优异，无明显弱项！"))</f>
        <v>⚠️ 薄弱环节: RW-Pt3
📉 考察能力: [读写] 完形填空 (选词)
💡 提升建议: 考察词汇辨析和固定搭配，注意上下文连贯性。</v>
      </c>
      <c r="AB7" t="s">
        <v>304</v>
      </c>
    </row>
    <row r="8" spans="1:28" ht="18" hidden="1" customHeight="1" x14ac:dyDescent="0.2">
      <c r="A8">
        <v>304</v>
      </c>
      <c r="B8" t="s">
        <v>13</v>
      </c>
      <c r="C8" t="s">
        <v>361</v>
      </c>
      <c r="D8" t="s">
        <v>135</v>
      </c>
      <c r="E8">
        <v>5</v>
      </c>
      <c r="F8">
        <v>2</v>
      </c>
      <c r="G8">
        <v>4</v>
      </c>
      <c r="H8">
        <v>4</v>
      </c>
      <c r="I8">
        <v>5</v>
      </c>
      <c r="J8">
        <f t="shared" si="0"/>
        <v>20</v>
      </c>
      <c r="K8">
        <f>IF(J8="","", IFERROR(VLOOKUP(J8, IF(D8="Movers", 换算标准!$C:$D, 换算标准!$I:$J), 2, TRUE), 0))</f>
        <v>4</v>
      </c>
      <c r="M8">
        <v>4</v>
      </c>
      <c r="N8">
        <v>2</v>
      </c>
      <c r="O8">
        <v>6</v>
      </c>
      <c r="P8">
        <v>8</v>
      </c>
      <c r="Q8">
        <v>0</v>
      </c>
      <c r="R8">
        <v>1</v>
      </c>
      <c r="S8">
        <v>3</v>
      </c>
      <c r="T8">
        <f t="shared" si="1"/>
        <v>24</v>
      </c>
      <c r="U8">
        <f>IF(T8="","", IFERROR(VLOOKUP(T8, IF(D8="Movers", 换算标准!$A:$B, 换算标准!$G:$H), 2, TRUE), 0))</f>
        <v>3</v>
      </c>
      <c r="V8" t="s">
        <v>70</v>
      </c>
      <c r="W8">
        <f t="shared" si="2"/>
        <v>7</v>
      </c>
      <c r="Z8" s="5" t="str">
        <f>IF(J8="","", IF(K8&lt;=3, "⚠️ 薄弱环节: "&amp;INDEX($E$1:$I$1, MATCH(MIN(E8:I8), E8:I8, 0))&amp;CHAR(10)&amp;"📉 考察能力: "&amp;IFERROR(VLOOKUP(TRIM(D8)&amp;"_"&amp;TRIM(INDEX($E$1:$I$1, MATCH(MIN(E8:I8), E8:I8, 0))), 技能库!$A:$F, 5, 0),"建议查阅考纲")&amp;CHAR(10)&amp;"💡 提升建议: "&amp;IFERROR(VLOOKUP(TRIM(D8)&amp;"_"&amp;TRIM(INDEX($E$1:$I$1, MATCH(MIN(E8:I8), E8:I8, 0))), 技能库!$A:$F, 6, 0),"请针对该题型加强练习"), "🎉 表现优异，无明显弱项！"))</f>
        <v>🎉 表现优异，无明显弱项！</v>
      </c>
      <c r="AA8" s="5" t="str">
        <f>IF(T8="","", IF(U8&lt;=3, "⚠️ 薄弱环节: "&amp;INDEX($M$1:$S$1, MATCH(MIN(M8:S8), M8:S8, 0))&amp;CHAR(10)&amp;"📉 考察能力: "&amp;IFERROR(VLOOKUP(TRIM(D8)&amp;"_"&amp;TRIM(INDEX($M$1:$S$1, MATCH(MIN(M8:S8), M8:S8, 0))), 技能库!$A:$F, 5, 0),"建议查阅考纲")&amp;CHAR(10)&amp;"💡 提升建议: "&amp;IFERROR(VLOOKUP(TRIM(D8)&amp;"_"&amp;TRIM(INDEX($M$1:$S$1, MATCH(MIN(M8:S8), M8:S8, 0))), 技能库!$A:$F, 6, 0),"请针对该题型加强练习"), "🎉 表现优异，无明显弱项！"))</f>
        <v>⚠️ 薄弱环节: RW-Pt5
📉 考察能力: [读写] 阅读故事补全句子
💡 提升建议: 概括能力要求提升，需归纳文章信息来填空。</v>
      </c>
      <c r="AB8" t="s">
        <v>304</v>
      </c>
    </row>
    <row r="9" spans="1:28" ht="18" hidden="1" customHeight="1" x14ac:dyDescent="0.2">
      <c r="A9">
        <v>304</v>
      </c>
      <c r="B9" t="s">
        <v>13</v>
      </c>
      <c r="C9" t="s">
        <v>362</v>
      </c>
      <c r="D9" t="s">
        <v>135</v>
      </c>
      <c r="E9">
        <v>5</v>
      </c>
      <c r="F9">
        <v>3</v>
      </c>
      <c r="G9">
        <v>4</v>
      </c>
      <c r="H9">
        <v>4</v>
      </c>
      <c r="I9">
        <v>5</v>
      </c>
      <c r="J9">
        <f t="shared" si="0"/>
        <v>21</v>
      </c>
      <c r="K9">
        <f>IF(J9="","", IFERROR(VLOOKUP(J9, IF(D9="Movers", 换算标准!$C:$D, 换算标准!$I:$J), 2, TRUE), 0))</f>
        <v>5</v>
      </c>
      <c r="M9">
        <v>6</v>
      </c>
      <c r="N9">
        <v>2</v>
      </c>
      <c r="O9">
        <v>6</v>
      </c>
      <c r="P9">
        <v>9</v>
      </c>
      <c r="Q9">
        <v>3</v>
      </c>
      <c r="R9">
        <v>1</v>
      </c>
      <c r="S9">
        <v>4</v>
      </c>
      <c r="T9">
        <f t="shared" si="1"/>
        <v>31</v>
      </c>
      <c r="U9">
        <f>IF(T9="","", IFERROR(VLOOKUP(T9, IF(D9="Movers", 换算标准!$A:$B, 换算标准!$G:$H), 2, TRUE), 0))</f>
        <v>3</v>
      </c>
      <c r="V9" t="s">
        <v>70</v>
      </c>
      <c r="W9">
        <f t="shared" si="2"/>
        <v>8</v>
      </c>
      <c r="Z9" s="5" t="str">
        <f>IF(J9="","", IF(K9&lt;=3, "⚠️ 薄弱环节: "&amp;INDEX($E$1:$I$1, MATCH(MIN(E9:I9), E9:I9, 0))&amp;CHAR(10)&amp;"📉 考察能力: "&amp;IFERROR(VLOOKUP(TRIM(D9)&amp;"_"&amp;TRIM(INDEX($E$1:$I$1, MATCH(MIN(E9:I9), E9:I9, 0))), 技能库!$A:$F, 5, 0),"建议查阅考纲")&amp;CHAR(10)&amp;"💡 提升建议: "&amp;IFERROR(VLOOKUP(TRIM(D9)&amp;"_"&amp;TRIM(INDEX($E$1:$I$1, MATCH(MIN(E9:I9), E9:I9, 0))), 技能库!$A:$F, 6, 0),"请针对该题型加强练习"), "🎉 表现优异，无明显弱项！"))</f>
        <v>🎉 表现优异，无明显弱项！</v>
      </c>
      <c r="AA9" s="5" t="str">
        <f>IF(T9="","", IF(U9&lt;=3, "⚠️ 薄弱环节: "&amp;INDEX($M$1:$S$1, MATCH(MIN(M9:S9), M9:S9, 0))&amp;CHAR(10)&amp;"📉 考察能力: "&amp;IFERROR(VLOOKUP(TRIM(D9)&amp;"_"&amp;TRIM(INDEX($M$1:$S$1, MATCH(MIN(M9:S9), M9:S9, 0))), 技能库!$A:$F, 5, 0),"建议查阅考纲")&amp;CHAR(10)&amp;"💡 提升建议: "&amp;IFERROR(VLOOKUP(TRIM(D9)&amp;"_"&amp;TRIM(INDEX($M$1:$S$1, MATCH(MIN(M9:S9), M9:S9,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9" t="s">
        <v>304</v>
      </c>
    </row>
    <row r="10" spans="1:28" ht="18" hidden="1" customHeight="1" x14ac:dyDescent="0.2">
      <c r="A10">
        <v>302</v>
      </c>
      <c r="B10" t="s">
        <v>13</v>
      </c>
      <c r="C10" t="s">
        <v>363</v>
      </c>
      <c r="D10" t="s">
        <v>135</v>
      </c>
      <c r="E10">
        <v>3</v>
      </c>
      <c r="F10">
        <v>1</v>
      </c>
      <c r="G10">
        <v>5</v>
      </c>
      <c r="H10">
        <v>5</v>
      </c>
      <c r="I10">
        <v>5</v>
      </c>
      <c r="J10">
        <f t="shared" si="0"/>
        <v>19</v>
      </c>
      <c r="K10">
        <f>IF(J10="","", IFERROR(VLOOKUP(J10, IF(D10="Movers", 换算标准!$C:$D, 换算标准!$I:$J), 2, TRUE), 0))</f>
        <v>4</v>
      </c>
      <c r="M10">
        <v>6</v>
      </c>
      <c r="N10">
        <v>5</v>
      </c>
      <c r="O10">
        <v>4</v>
      </c>
      <c r="P10">
        <v>9</v>
      </c>
      <c r="Q10">
        <v>1</v>
      </c>
      <c r="R10">
        <v>1</v>
      </c>
      <c r="S10">
        <v>4</v>
      </c>
      <c r="T10">
        <f t="shared" si="1"/>
        <v>30</v>
      </c>
      <c r="U10">
        <f>IF(T10="","", IFERROR(VLOOKUP(T10, IF(D10="Movers", 换算标准!$A:$B, 换算标准!$G:$H), 2, TRUE), 0))</f>
        <v>3</v>
      </c>
      <c r="V10" t="s">
        <v>70</v>
      </c>
      <c r="W10">
        <f t="shared" si="2"/>
        <v>7</v>
      </c>
      <c r="Z10" s="5" t="str">
        <f>IF(J10="","", IF(K10&lt;=3, "⚠️ 薄弱环节: "&amp;INDEX($E$1:$I$1, MATCH(MIN(E10:I10), E10:I10, 0))&amp;CHAR(10)&amp;"📉 考察能力: "&amp;IFERROR(VLOOKUP(TRIM(D10)&amp;"_"&amp;TRIM(INDEX($E$1:$I$1, MATCH(MIN(E10:I10), E10:I10, 0))), 技能库!$A:$F, 5, 0),"建议查阅考纲")&amp;CHAR(10)&amp;"💡 提升建议: "&amp;IFERROR(VLOOKUP(TRIM(D10)&amp;"_"&amp;TRIM(INDEX($E$1:$I$1, MATCH(MIN(E10:I10), E10:I10, 0))), 技能库!$A:$F, 6, 0),"请针对该题型加强练习"), "🎉 表现优异，无明显弱项！"))</f>
        <v>🎉 表现优异，无明显弱项！</v>
      </c>
      <c r="AA10" s="5" t="str">
        <f>IF(T10="","", IF(U10&lt;=3, "⚠️ 薄弱环节: "&amp;INDEX($M$1:$S$1, MATCH(MIN(M10:S10), M10:S10, 0))&amp;CHAR(10)&amp;"📉 考察能力: "&amp;IFERROR(VLOOKUP(TRIM(D10)&amp;"_"&amp;TRIM(INDEX($M$1:$S$1, MATCH(MIN(M10:S10), M10:S10, 0))), 技能库!$A:$F, 5, 0),"建议查阅考纲")&amp;CHAR(10)&amp;"💡 提升建议: "&amp;IFERROR(VLOOKUP(TRIM(D10)&amp;"_"&amp;TRIM(INDEX($M$1:$S$1, MATCH(MIN(M10:S10), M10:S10, 0))), 技能库!$A:$F, 6, 0),"请针对该题型加强练习"), "🎉 表现优异，无明显弱项！"))</f>
        <v>⚠️ 薄弱环节: RW-Pt5
📉 考察能力: [读写] 阅读故事补全句子
💡 提升建议: 概括能力要求提升，需归纳文章信息来填空。</v>
      </c>
      <c r="AB10" t="s">
        <v>304</v>
      </c>
    </row>
    <row r="11" spans="1:28" ht="18" hidden="1" customHeight="1" x14ac:dyDescent="0.2">
      <c r="A11">
        <v>304</v>
      </c>
      <c r="B11" t="s">
        <v>13</v>
      </c>
      <c r="C11" t="s">
        <v>364</v>
      </c>
      <c r="D11" t="s">
        <v>135</v>
      </c>
      <c r="E11">
        <v>5</v>
      </c>
      <c r="F11">
        <v>2</v>
      </c>
      <c r="G11">
        <v>4</v>
      </c>
      <c r="H11">
        <v>5</v>
      </c>
      <c r="I11">
        <v>5</v>
      </c>
      <c r="J11">
        <f t="shared" si="0"/>
        <v>21</v>
      </c>
      <c r="K11">
        <f>IF(J11="","", IFERROR(VLOOKUP(J11, IF(D11="Movers", 换算标准!$C:$D, 换算标准!$I:$J), 2, TRUE), 0))</f>
        <v>5</v>
      </c>
      <c r="M11">
        <v>9</v>
      </c>
      <c r="N11">
        <v>2</v>
      </c>
      <c r="O11">
        <v>4</v>
      </c>
      <c r="P11">
        <v>9</v>
      </c>
      <c r="Q11">
        <v>3</v>
      </c>
      <c r="R11">
        <v>2</v>
      </c>
      <c r="S11">
        <v>5</v>
      </c>
      <c r="T11">
        <f t="shared" si="1"/>
        <v>34</v>
      </c>
      <c r="U11">
        <f>IF(T11="","", IFERROR(VLOOKUP(T11, IF(D11="Movers", 换算标准!$A:$B, 换算标准!$G:$H), 2, TRUE), 0))</f>
        <v>3</v>
      </c>
      <c r="V11" t="s">
        <v>70</v>
      </c>
      <c r="W11">
        <f t="shared" si="2"/>
        <v>8</v>
      </c>
      <c r="Z11" s="5" t="str">
        <f>IF(J11="","", IF(K11&lt;=3, "⚠️ 薄弱环节: "&amp;INDEX($E$1:$I$1, MATCH(MIN(E11:I11), E11:I11, 0))&amp;CHAR(10)&amp;"📉 考察能力: "&amp;IFERROR(VLOOKUP(TRIM(D11)&amp;"_"&amp;TRIM(INDEX($E$1:$I$1, MATCH(MIN(E11:I11), E11:I11, 0))), 技能库!$A:$F, 5, 0),"建议查阅考纲")&amp;CHAR(10)&amp;"💡 提升建议: "&amp;IFERROR(VLOOKUP(TRIM(D11)&amp;"_"&amp;TRIM(INDEX($E$1:$I$1, MATCH(MIN(E11:I11), E11:I11, 0))), 技能库!$A:$F, 6, 0),"请针对该题型加强练习"), "🎉 表现优异，无明显弱项！"))</f>
        <v>🎉 表现优异，无明显弱项！</v>
      </c>
      <c r="AA11" s="5" t="str">
        <f>IF(T11="","", IF(U11&lt;=3, "⚠️ 薄弱环节: "&amp;INDEX($M$1:$S$1, MATCH(MIN(M11:S11), M11:S11, 0))&amp;CHAR(10)&amp;"📉 考察能力: "&amp;IFERROR(VLOOKUP(TRIM(D11)&amp;"_"&amp;TRIM(INDEX($M$1:$S$1, MATCH(MIN(M11:S11), M11:S11, 0))), 技能库!$A:$F, 5, 0),"建议查阅考纲")&amp;CHAR(10)&amp;"💡 提升建议: "&amp;IFERROR(VLOOKUP(TRIM(D11)&amp;"_"&amp;TRIM(INDEX($M$1:$S$1, MATCH(MIN(M11:S11), M11:S11, 0))), 技能库!$A:$F, 6, 0),"请针对该题型加强练习"), "🎉 表现优异，无明显弱项！"))</f>
        <v>⚠️ 薄弱环节: RW-Pt2
📉 考察能力: [读写] 补全对话
💡 提升建议: 逻辑性增强，需根据前言后语推断缺失的句子。</v>
      </c>
      <c r="AB11" t="s">
        <v>304</v>
      </c>
    </row>
    <row r="12" spans="1:28" ht="18" hidden="1" customHeight="1" x14ac:dyDescent="0.2">
      <c r="A12">
        <v>307</v>
      </c>
      <c r="B12" t="s">
        <v>317</v>
      </c>
      <c r="C12" t="s">
        <v>365</v>
      </c>
      <c r="D12" t="s">
        <v>135</v>
      </c>
      <c r="E12">
        <v>5</v>
      </c>
      <c r="F12">
        <v>1</v>
      </c>
      <c r="G12">
        <v>4</v>
      </c>
      <c r="H12">
        <v>5</v>
      </c>
      <c r="I12">
        <v>3</v>
      </c>
      <c r="J12">
        <f t="shared" si="0"/>
        <v>18</v>
      </c>
      <c r="K12">
        <f>IF(J12="","", IFERROR(VLOOKUP(J12, IF(D12="Movers", 换算标准!$C:$D, 换算标准!$I:$J), 2, TRUE), 0))</f>
        <v>4</v>
      </c>
      <c r="M12">
        <v>6</v>
      </c>
      <c r="N12">
        <v>5</v>
      </c>
      <c r="O12">
        <v>5</v>
      </c>
      <c r="P12">
        <v>9</v>
      </c>
      <c r="Q12">
        <v>0</v>
      </c>
      <c r="R12">
        <v>0</v>
      </c>
      <c r="S12">
        <v>3</v>
      </c>
      <c r="T12">
        <f t="shared" si="1"/>
        <v>28</v>
      </c>
      <c r="U12">
        <f>IF(T12="","", IFERROR(VLOOKUP(T12, IF(D12="Movers", 换算标准!$A:$B, 换算标准!$G:$H), 2, TRUE), 0))</f>
        <v>3</v>
      </c>
      <c r="V12" t="s">
        <v>70</v>
      </c>
      <c r="W12">
        <f t="shared" si="2"/>
        <v>7</v>
      </c>
      <c r="Z12" s="5" t="str">
        <f>IF(J12="","", IF(K12&lt;=3, "⚠️ 薄弱环节: "&amp;INDEX($E$1:$I$1, MATCH(MIN(E12:I12), E12:I12, 0))&amp;CHAR(10)&amp;"📉 考察能力: "&amp;IFERROR(VLOOKUP(TRIM(D12)&amp;"_"&amp;TRIM(INDEX($E$1:$I$1, MATCH(MIN(E12:I12), E12:I12, 0))), 技能库!$A:$F, 5, 0),"建议查阅考纲")&amp;CHAR(10)&amp;"💡 提升建议: "&amp;IFERROR(VLOOKUP(TRIM(D12)&amp;"_"&amp;TRIM(INDEX($E$1:$I$1, MATCH(MIN(E12:I12), E12:I12, 0))), 技能库!$A:$F, 6, 0),"请针对该题型加强练习"), "🎉 表现优异，无明显弱项！"))</f>
        <v>🎉 表现优异，无明显弱项！</v>
      </c>
      <c r="AA12" s="5" t="str">
        <f>IF(T12="","", IF(U12&lt;=3, "⚠️ 薄弱环节: "&amp;INDEX($M$1:$S$1, MATCH(MIN(M12:S12), M12:S12, 0))&amp;CHAR(10)&amp;"📉 考察能力: "&amp;IFERROR(VLOOKUP(TRIM(D12)&amp;"_"&amp;TRIM(INDEX($M$1:$S$1, MATCH(MIN(M12:S12), M12:S12, 0))), 技能库!$A:$F, 5, 0),"建议查阅考纲")&amp;CHAR(10)&amp;"💡 提升建议: "&amp;IFERROR(VLOOKUP(TRIM(D12)&amp;"_"&amp;TRIM(INDEX($M$1:$S$1, MATCH(MIN(M12:S12), M12:S12, 0))), 技能库!$A:$F, 6, 0),"请针对该题型加强练习"), "🎉 表现优异，无明显弱项！"))</f>
        <v>⚠️ 薄弱环节: RW-Pt5
📉 考察能力: [读写] 阅读故事补全句子
💡 提升建议: 概括能力要求提升，需归纳文章信息来填空。</v>
      </c>
      <c r="AB12" s="6">
        <v>45915</v>
      </c>
    </row>
    <row r="13" spans="1:28" ht="18" hidden="1" customHeight="1" x14ac:dyDescent="0.2">
      <c r="A13">
        <v>303</v>
      </c>
      <c r="B13" t="s">
        <v>317</v>
      </c>
      <c r="C13" t="s">
        <v>366</v>
      </c>
      <c r="D13" t="s">
        <v>135</v>
      </c>
      <c r="E13">
        <v>5</v>
      </c>
      <c r="F13">
        <v>2</v>
      </c>
      <c r="G13">
        <v>5</v>
      </c>
      <c r="H13">
        <v>5</v>
      </c>
      <c r="I13">
        <v>5</v>
      </c>
      <c r="J13">
        <f t="shared" si="0"/>
        <v>22</v>
      </c>
      <c r="K13">
        <f>IF(J13="","", IFERROR(VLOOKUP(J13, IF(D13="Movers", 换算标准!$C:$D, 换算标准!$I:$J), 2, TRUE), 0))</f>
        <v>5</v>
      </c>
      <c r="M13">
        <v>6</v>
      </c>
      <c r="N13">
        <v>1</v>
      </c>
      <c r="O13">
        <v>6</v>
      </c>
      <c r="P13">
        <v>8</v>
      </c>
      <c r="Q13">
        <v>3</v>
      </c>
      <c r="R13">
        <v>0</v>
      </c>
      <c r="S13">
        <v>3</v>
      </c>
      <c r="T13">
        <f t="shared" si="1"/>
        <v>27</v>
      </c>
      <c r="U13">
        <f>IF(T13="","", IFERROR(VLOOKUP(T13, IF(D13="Movers", 换算标准!$A:$B, 换算标准!$G:$H), 2, TRUE), 0))</f>
        <v>3</v>
      </c>
      <c r="V13" t="s">
        <v>70</v>
      </c>
      <c r="W13">
        <f t="shared" si="2"/>
        <v>8</v>
      </c>
      <c r="Z13" s="5" t="str">
        <f>IF(J13="","", IF(K13&lt;=3, "⚠️ 薄弱环节: "&amp;INDEX($E$1:$I$1, MATCH(MIN(E13:I13), E13:I13, 0))&amp;CHAR(10)&amp;"📉 考察能力: "&amp;IFERROR(VLOOKUP(TRIM(D13)&amp;"_"&amp;TRIM(INDEX($E$1:$I$1, MATCH(MIN(E13:I13), E13:I13, 0))), 技能库!$A:$F, 5, 0),"建议查阅考纲")&amp;CHAR(10)&amp;"💡 提升建议: "&amp;IFERROR(VLOOKUP(TRIM(D13)&amp;"_"&amp;TRIM(INDEX($E$1:$I$1, MATCH(MIN(E13:I13), E13:I13, 0))), 技能库!$A:$F, 6, 0),"请针对该题型加强练习"), "🎉 表现优异，无明显弱项！"))</f>
        <v>🎉 表现优异，无明显弱项！</v>
      </c>
      <c r="AA13" s="5" t="str">
        <f>IF(T13="","", IF(U13&lt;=3, "⚠️ 薄弱环节: "&amp;INDEX($M$1:$S$1, MATCH(MIN(M13:S13), M13:S13, 0))&amp;CHAR(10)&amp;"📉 考察能力: "&amp;IFERROR(VLOOKUP(TRIM(D13)&amp;"_"&amp;TRIM(INDEX($M$1:$S$1, MATCH(MIN(M13:S13), M13:S13, 0))), 技能库!$A:$F, 5, 0),"建议查阅考纲")&amp;CHAR(10)&amp;"💡 提升建议: "&amp;IFERROR(VLOOKUP(TRIM(D13)&amp;"_"&amp;TRIM(INDEX($M$1:$S$1, MATCH(MIN(M13:S13), M13:S13,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3" s="6">
        <v>45915</v>
      </c>
    </row>
    <row r="14" spans="1:28" ht="18" hidden="1" customHeight="1" x14ac:dyDescent="0.2">
      <c r="A14">
        <v>303</v>
      </c>
      <c r="B14" t="s">
        <v>317</v>
      </c>
      <c r="C14" t="s">
        <v>367</v>
      </c>
      <c r="D14" t="s">
        <v>135</v>
      </c>
      <c r="E14">
        <v>5</v>
      </c>
      <c r="F14">
        <v>4</v>
      </c>
      <c r="G14">
        <v>4</v>
      </c>
      <c r="H14">
        <v>5</v>
      </c>
      <c r="I14">
        <v>5</v>
      </c>
      <c r="J14">
        <f t="shared" si="0"/>
        <v>23</v>
      </c>
      <c r="K14">
        <f>IF(J14="","", IFERROR(VLOOKUP(J14, IF(D14="Movers", 换算标准!$C:$D, 换算标准!$I:$J), 2, TRUE), 0))</f>
        <v>5</v>
      </c>
      <c r="M14">
        <v>8</v>
      </c>
      <c r="N14">
        <v>2</v>
      </c>
      <c r="O14">
        <v>4</v>
      </c>
      <c r="P14">
        <v>8</v>
      </c>
      <c r="Q14">
        <v>0</v>
      </c>
      <c r="R14">
        <v>2</v>
      </c>
      <c r="S14">
        <v>3</v>
      </c>
      <c r="T14">
        <f t="shared" si="1"/>
        <v>27</v>
      </c>
      <c r="U14">
        <f>IF(T14="","", IFERROR(VLOOKUP(T14, IF(D14="Movers", 换算标准!$A:$B, 换算标准!$G:$H), 2, TRUE), 0))</f>
        <v>3</v>
      </c>
      <c r="V14" t="s">
        <v>70</v>
      </c>
      <c r="W14">
        <f t="shared" si="2"/>
        <v>8</v>
      </c>
      <c r="Z14" s="5" t="str">
        <f>IF(J14="","", IF(K14&lt;=3, "⚠️ 薄弱环节: "&amp;INDEX($E$1:$I$1, MATCH(MIN(E14:I14), E14:I14, 0))&amp;CHAR(10)&amp;"📉 考察能力: "&amp;IFERROR(VLOOKUP(TRIM(D14)&amp;"_"&amp;TRIM(INDEX($E$1:$I$1, MATCH(MIN(E14:I14), E14:I14, 0))), 技能库!$A:$F, 5, 0),"建议查阅考纲")&amp;CHAR(10)&amp;"💡 提升建议: "&amp;IFERROR(VLOOKUP(TRIM(D14)&amp;"_"&amp;TRIM(INDEX($E$1:$I$1, MATCH(MIN(E14:I14), E14:I14, 0))), 技能库!$A:$F, 6, 0),"请针对该题型加强练习"), "🎉 表现优异，无明显弱项！"))</f>
        <v>🎉 表现优异，无明显弱项！</v>
      </c>
      <c r="AA14" s="5" t="str">
        <f>IF(T14="","", IF(U14&lt;=3, "⚠️ 薄弱环节: "&amp;INDEX($M$1:$S$1, MATCH(MIN(M14:S14), M14:S14, 0))&amp;CHAR(10)&amp;"📉 考察能力: "&amp;IFERROR(VLOOKUP(TRIM(D14)&amp;"_"&amp;TRIM(INDEX($M$1:$S$1, MATCH(MIN(M14:S14), M14:S14, 0))), 技能库!$A:$F, 5, 0),"建议查阅考纲")&amp;CHAR(10)&amp;"💡 提升建议: "&amp;IFERROR(VLOOKUP(TRIM(D14)&amp;"_"&amp;TRIM(INDEX($M$1:$S$1, MATCH(MIN(M14:S14), M14:S14, 0))), 技能库!$A:$F, 6, 0),"请针对该题型加强练习"), "🎉 表现优异，无明显弱项！"))</f>
        <v>⚠️ 薄弱环节: RW-Pt5
📉 考察能力: [读写] 阅读故事补全句子
💡 提升建议: 概括能力要求提升，需归纳文章信息来填空。</v>
      </c>
      <c r="AB14" s="6">
        <v>45915</v>
      </c>
    </row>
    <row r="15" spans="1:28" ht="18" customHeight="1" x14ac:dyDescent="0.2">
      <c r="A15">
        <v>301</v>
      </c>
      <c r="B15" t="s">
        <v>338</v>
      </c>
      <c r="C15" t="s">
        <v>368</v>
      </c>
      <c r="D15" t="s">
        <v>135</v>
      </c>
      <c r="E15">
        <v>5</v>
      </c>
      <c r="F15">
        <v>1</v>
      </c>
      <c r="G15">
        <v>4</v>
      </c>
      <c r="H15">
        <v>5</v>
      </c>
      <c r="I15">
        <v>3</v>
      </c>
      <c r="J15">
        <f t="shared" si="0"/>
        <v>18</v>
      </c>
      <c r="K15">
        <f>IF(J15="","", IFERROR(VLOOKUP(J15, IF(D15="Movers", 换算标准!$C:$D, 换算标准!$I:$J), 2, TRUE), 0))</f>
        <v>4</v>
      </c>
      <c r="M15">
        <v>6</v>
      </c>
      <c r="N15">
        <v>2</v>
      </c>
      <c r="O15">
        <v>5</v>
      </c>
      <c r="P15">
        <v>4</v>
      </c>
      <c r="Q15">
        <v>2</v>
      </c>
      <c r="R15">
        <v>1</v>
      </c>
      <c r="S15">
        <v>0</v>
      </c>
      <c r="T15">
        <f t="shared" si="1"/>
        <v>20</v>
      </c>
      <c r="U15">
        <f>IF(T15="","", IFERROR(VLOOKUP(T15, IF(D15="Movers", 换算标准!$A:$B, 换算标准!$G:$H), 2, TRUE), 0))</f>
        <v>2</v>
      </c>
      <c r="V15" t="s">
        <v>68</v>
      </c>
      <c r="W15">
        <f t="shared" si="2"/>
        <v>6</v>
      </c>
      <c r="Z15" s="5" t="str">
        <f>IF(J15="","", IF(K15&lt;=3, "⚠️ 薄弱环节: "&amp;INDEX($E$1:$I$1, MATCH(MIN(E15:I15), E15:I15, 0))&amp;CHAR(10)&amp;"📉 考察能力: "&amp;IFERROR(VLOOKUP(TRIM(D15)&amp;"_"&amp;TRIM(INDEX($E$1:$I$1, MATCH(MIN(E15:I15), E15:I15, 0))), 技能库!$A:$F, 5, 0),"建议查阅考纲")&amp;CHAR(10)&amp;"💡 提升建议: "&amp;IFERROR(VLOOKUP(TRIM(D15)&amp;"_"&amp;TRIM(INDEX($E$1:$I$1, MATCH(MIN(E15:I15), E15:I15, 0))), 技能库!$A:$F, 6, 0),"请针对该题型加强练习"), "🎉 表现优异，无明显弱项！"))</f>
        <v>🎉 表现优异，无明显弱项！</v>
      </c>
      <c r="AA15" s="5" t="str">
        <f>IF(T15="","", IF(U15&lt;=3, "⚠️ 薄弱环节: "&amp;INDEX($M$1:$S$1, MATCH(MIN(M15:S15), M15:S15, 0))&amp;CHAR(10)&amp;"📉 考察能力: "&amp;IFERROR(VLOOKUP(TRIM(D15)&amp;"_"&amp;TRIM(INDEX($M$1:$S$1, MATCH(MIN(M15:S15), M15:S15, 0))), 技能库!$A:$F, 5, 0),"建议查阅考纲")&amp;CHAR(10)&amp;"💡 提升建议: "&amp;IFERROR(VLOOKUP(TRIM(D15)&amp;"_"&amp;TRIM(INDEX($M$1:$S$1, MATCH(MIN(M15:S15), M15:S15, 0))), 技能库!$A:$F, 6, 0),"请针对该题型加强练习"), "🎉 表现优异，无明显弱项！"))</f>
        <v>⚠️ 薄弱环节: RW-Pt7
📉 考察能力: [读写] 看图写作文
💡 提升建议: 观察三幅图，运用连接词编写一个有逻辑的短故事 (20词+)。</v>
      </c>
      <c r="AB15" t="s">
        <v>304</v>
      </c>
    </row>
    <row r="16" spans="1:28" ht="18" customHeight="1" x14ac:dyDescent="0.2">
      <c r="A16">
        <v>303</v>
      </c>
      <c r="B16" t="s">
        <v>338</v>
      </c>
      <c r="C16" t="s">
        <v>369</v>
      </c>
      <c r="D16" t="s">
        <v>135</v>
      </c>
      <c r="E16">
        <v>5</v>
      </c>
      <c r="F16">
        <v>2</v>
      </c>
      <c r="G16">
        <v>5</v>
      </c>
      <c r="H16">
        <v>5</v>
      </c>
      <c r="I16">
        <v>5</v>
      </c>
      <c r="J16">
        <f t="shared" si="0"/>
        <v>22</v>
      </c>
      <c r="K16">
        <f>IF(J16="","", IFERROR(VLOOKUP(J16, IF(D16="Movers", 换算标准!$C:$D, 换算标准!$I:$J), 2, TRUE), 0))</f>
        <v>5</v>
      </c>
      <c r="M16">
        <v>8</v>
      </c>
      <c r="N16">
        <v>4</v>
      </c>
      <c r="O16">
        <v>5</v>
      </c>
      <c r="P16">
        <v>9</v>
      </c>
      <c r="Q16">
        <v>3</v>
      </c>
      <c r="R16">
        <v>1</v>
      </c>
      <c r="S16">
        <v>4</v>
      </c>
      <c r="T16">
        <f t="shared" si="1"/>
        <v>34</v>
      </c>
      <c r="U16">
        <f>IF(T16="","", IFERROR(VLOOKUP(T16, IF(D16="Movers", 换算标准!$A:$B, 换算标准!$G:$H), 2, TRUE), 0))</f>
        <v>3</v>
      </c>
      <c r="V16" t="s">
        <v>70</v>
      </c>
      <c r="W16">
        <f t="shared" si="2"/>
        <v>8</v>
      </c>
      <c r="Z16" s="5" t="str">
        <f>IF(J16="","", IF(K16&lt;=3, "⚠️ 薄弱环节: "&amp;INDEX($E$1:$I$1, MATCH(MIN(E16:I16), E16:I16, 0))&amp;CHAR(10)&amp;"📉 考察能力: "&amp;IFERROR(VLOOKUP(TRIM(D16)&amp;"_"&amp;TRIM(INDEX($E$1:$I$1, MATCH(MIN(E16:I16), E16:I16, 0))), 技能库!$A:$F, 5, 0),"建议查阅考纲")&amp;CHAR(10)&amp;"💡 提升建议: "&amp;IFERROR(VLOOKUP(TRIM(D16)&amp;"_"&amp;TRIM(INDEX($E$1:$I$1, MATCH(MIN(E16:I16), E16:I16, 0))), 技能库!$A:$F, 6, 0),"请针对该题型加强练习"), "🎉 表现优异，无明显弱项！"))</f>
        <v>🎉 表现优异，无明显弱项！</v>
      </c>
      <c r="AA16" s="5" t="str">
        <f>IF(T16="","", IF(U16&lt;=3, "⚠️ 薄弱环节: "&amp;INDEX($M$1:$S$1, MATCH(MIN(M16:S16), M16:S16, 0))&amp;CHAR(10)&amp;"📉 考察能力: "&amp;IFERROR(VLOOKUP(TRIM(D16)&amp;"_"&amp;TRIM(INDEX($M$1:$S$1, MATCH(MIN(M16:S16), M16:S16, 0))), 技能库!$A:$F, 5, 0),"建议查阅考纲")&amp;CHAR(10)&amp;"💡 提升建议: "&amp;IFERROR(VLOOKUP(TRIM(D16)&amp;"_"&amp;TRIM(INDEX($M$1:$S$1, MATCH(MIN(M16:S16), M16:S16,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6" t="s">
        <v>304</v>
      </c>
    </row>
    <row r="17" spans="1:28" ht="18" customHeight="1" x14ac:dyDescent="0.2">
      <c r="A17">
        <v>303</v>
      </c>
      <c r="B17" t="s">
        <v>338</v>
      </c>
      <c r="C17" t="s">
        <v>370</v>
      </c>
      <c r="D17" t="s">
        <v>135</v>
      </c>
      <c r="E17">
        <v>5</v>
      </c>
      <c r="F17">
        <v>2</v>
      </c>
      <c r="G17">
        <v>5</v>
      </c>
      <c r="H17">
        <v>5</v>
      </c>
      <c r="I17">
        <v>5</v>
      </c>
      <c r="J17">
        <f t="shared" si="0"/>
        <v>22</v>
      </c>
      <c r="K17">
        <f>IF(J17="","", IFERROR(VLOOKUP(J17, IF(D17="Movers", 换算标准!$C:$D, 换算标准!$I:$J), 2, TRUE), 0))</f>
        <v>5</v>
      </c>
      <c r="M17">
        <v>6</v>
      </c>
      <c r="N17">
        <v>2</v>
      </c>
      <c r="O17">
        <v>4</v>
      </c>
      <c r="P17">
        <v>10</v>
      </c>
      <c r="Q17">
        <v>3</v>
      </c>
      <c r="R17">
        <v>2</v>
      </c>
      <c r="S17">
        <v>4</v>
      </c>
      <c r="T17">
        <f t="shared" si="1"/>
        <v>31</v>
      </c>
      <c r="U17">
        <f>IF(T17="","", IFERROR(VLOOKUP(T17, IF(D17="Movers", 换算标准!$A:$B, 换算标准!$G:$H), 2, TRUE), 0))</f>
        <v>3</v>
      </c>
      <c r="V17" t="s">
        <v>70</v>
      </c>
      <c r="W17">
        <f t="shared" si="2"/>
        <v>8</v>
      </c>
      <c r="Z17" s="5" t="str">
        <f>IF(J17="","", IF(K17&lt;=3, "⚠️ 薄弱环节: "&amp;INDEX($E$1:$I$1, MATCH(MIN(E17:I17), E17:I17, 0))&amp;CHAR(10)&amp;"📉 考察能力: "&amp;IFERROR(VLOOKUP(TRIM(D17)&amp;"_"&amp;TRIM(INDEX($E$1:$I$1, MATCH(MIN(E17:I17), E17:I17, 0))), 技能库!$A:$F, 5, 0),"建议查阅考纲")&amp;CHAR(10)&amp;"💡 提升建议: "&amp;IFERROR(VLOOKUP(TRIM(D17)&amp;"_"&amp;TRIM(INDEX($E$1:$I$1, MATCH(MIN(E17:I17), E17:I17, 0))), 技能库!$A:$F, 6, 0),"请针对该题型加强练习"), "🎉 表现优异，无明显弱项！"))</f>
        <v>🎉 表现优异，无明显弱项！</v>
      </c>
      <c r="AA17" s="5" t="str">
        <f>IF(T17="","", IF(U17&lt;=3, "⚠️ 薄弱环节: "&amp;INDEX($M$1:$S$1, MATCH(MIN(M17:S17), M17:S17, 0))&amp;CHAR(10)&amp;"📉 考察能力: "&amp;IFERROR(VLOOKUP(TRIM(D17)&amp;"_"&amp;TRIM(INDEX($M$1:$S$1, MATCH(MIN(M17:S17), M17:S17, 0))), 技能库!$A:$F, 5, 0),"建议查阅考纲")&amp;CHAR(10)&amp;"💡 提升建议: "&amp;IFERROR(VLOOKUP(TRIM(D17)&amp;"_"&amp;TRIM(INDEX($M$1:$S$1, MATCH(MIN(M17:S17), M17:S17, 0))), 技能库!$A:$F, 6, 0),"请针对该题型加强练习"), "🎉 表现优异，无明显弱项！"))</f>
        <v>⚠️ 薄弱环节: RW-Pt2
📉 考察能力: [读写] 补全对话
💡 提升建议: 逻辑性增强，需根据前言后语推断缺失的句子。</v>
      </c>
      <c r="AB17" t="s">
        <v>304</v>
      </c>
    </row>
    <row r="18" spans="1:28" ht="18" customHeight="1" x14ac:dyDescent="0.2">
      <c r="A18">
        <v>303</v>
      </c>
      <c r="B18" t="s">
        <v>338</v>
      </c>
      <c r="C18" t="s">
        <v>371</v>
      </c>
      <c r="D18" t="s">
        <v>135</v>
      </c>
      <c r="E18">
        <v>5</v>
      </c>
      <c r="F18">
        <v>3</v>
      </c>
      <c r="G18">
        <v>4</v>
      </c>
      <c r="H18">
        <v>5</v>
      </c>
      <c r="I18">
        <v>5</v>
      </c>
      <c r="J18">
        <f t="shared" si="0"/>
        <v>22</v>
      </c>
      <c r="K18">
        <f>IF(J18="","", IFERROR(VLOOKUP(J18, IF(D18="Movers", 换算标准!$C:$D, 换算标准!$I:$J), 2, TRUE), 0))</f>
        <v>5</v>
      </c>
      <c r="M18">
        <v>5</v>
      </c>
      <c r="N18">
        <v>1</v>
      </c>
      <c r="O18">
        <v>3</v>
      </c>
      <c r="P18">
        <v>7</v>
      </c>
      <c r="Q18">
        <v>4</v>
      </c>
      <c r="R18">
        <v>1</v>
      </c>
      <c r="S18">
        <v>3</v>
      </c>
      <c r="T18">
        <f t="shared" si="1"/>
        <v>24</v>
      </c>
      <c r="U18">
        <f>IF(T18="","", IFERROR(VLOOKUP(T18, IF(D18="Movers", 换算标准!$A:$B, 换算标准!$G:$H), 2, TRUE), 0))</f>
        <v>3</v>
      </c>
      <c r="V18" t="s">
        <v>70</v>
      </c>
      <c r="W18">
        <f t="shared" si="2"/>
        <v>8</v>
      </c>
      <c r="Z18" s="5" t="str">
        <f>IF(J18="","", IF(K18&lt;=3, "⚠️ 薄弱环节: "&amp;INDEX($E$1:$I$1, MATCH(MIN(E18:I18), E18:I18, 0))&amp;CHAR(10)&amp;"📉 考察能力: "&amp;IFERROR(VLOOKUP(TRIM(D18)&amp;"_"&amp;TRIM(INDEX($E$1:$I$1, MATCH(MIN(E18:I18), E18:I18, 0))), 技能库!$A:$F, 5, 0),"建议查阅考纲")&amp;CHAR(10)&amp;"💡 提升建议: "&amp;IFERROR(VLOOKUP(TRIM(D18)&amp;"_"&amp;TRIM(INDEX($E$1:$I$1, MATCH(MIN(E18:I18), E18:I18, 0))), 技能库!$A:$F, 6, 0),"请针对该题型加强练习"), "🎉 表现优异，无明显弱项！"))</f>
        <v>🎉 表现优异，无明显弱项！</v>
      </c>
      <c r="AA18" s="5" t="str">
        <f>IF(T18="","", IF(U18&lt;=3, "⚠️ 薄弱环节: "&amp;INDEX($M$1:$S$1, MATCH(MIN(M18:S18), M18:S18, 0))&amp;CHAR(10)&amp;"📉 考察能力: "&amp;IFERROR(VLOOKUP(TRIM(D18)&amp;"_"&amp;TRIM(INDEX($M$1:$S$1, MATCH(MIN(M18:S18), M18:S18, 0))), 技能库!$A:$F, 5, 0),"建议查阅考纲")&amp;CHAR(10)&amp;"💡 提升建议: "&amp;IFERROR(VLOOKUP(TRIM(D18)&amp;"_"&amp;TRIM(INDEX($M$1:$S$1, MATCH(MIN(M18:S18), M18:S18, 0))), 技能库!$A:$F, 6, 0),"请针对该题型加强练习"), "🎉 表现优异，无明显弱项！"))</f>
        <v>⚠️ 薄弱环节: RW-Pt2
📉 考察能力: [读写] 补全对话
💡 提升建议: 逻辑性增强，需根据前言后语推断缺失的句子。</v>
      </c>
      <c r="AB18" t="s">
        <v>304</v>
      </c>
    </row>
    <row r="19" spans="1:28" ht="18" customHeight="1" x14ac:dyDescent="0.2">
      <c r="A19">
        <v>303</v>
      </c>
      <c r="B19" t="s">
        <v>338</v>
      </c>
      <c r="C19" t="s">
        <v>372</v>
      </c>
      <c r="D19" t="s">
        <v>135</v>
      </c>
      <c r="E19">
        <v>5</v>
      </c>
      <c r="F19">
        <v>0</v>
      </c>
      <c r="G19">
        <v>5</v>
      </c>
      <c r="H19">
        <v>4</v>
      </c>
      <c r="I19">
        <v>5</v>
      </c>
      <c r="J19">
        <f t="shared" si="0"/>
        <v>19</v>
      </c>
      <c r="K19">
        <f>IF(J19="","", IFERROR(VLOOKUP(J19, IF(D19="Movers", 换算标准!$C:$D, 换算标准!$I:$J), 2, TRUE), 0))</f>
        <v>4</v>
      </c>
      <c r="M19">
        <v>3</v>
      </c>
      <c r="N19">
        <v>2</v>
      </c>
      <c r="O19">
        <v>4</v>
      </c>
      <c r="P19">
        <v>9</v>
      </c>
      <c r="Q19">
        <v>2</v>
      </c>
      <c r="R19">
        <v>0</v>
      </c>
      <c r="S19">
        <v>4</v>
      </c>
      <c r="T19">
        <f t="shared" si="1"/>
        <v>24</v>
      </c>
      <c r="U19">
        <f>IF(T19="","", IFERROR(VLOOKUP(T19, IF(D19="Movers", 换算标准!$A:$B, 换算标准!$G:$H), 2, TRUE), 0))</f>
        <v>3</v>
      </c>
      <c r="V19" t="s">
        <v>70</v>
      </c>
      <c r="W19">
        <f t="shared" si="2"/>
        <v>7</v>
      </c>
      <c r="Z19" s="5" t="str">
        <f>IF(J19="","", IF(K19&lt;=3, "⚠️ 薄弱环节: "&amp;INDEX($E$1:$I$1, MATCH(MIN(E19:I19), E19:I19, 0))&amp;CHAR(10)&amp;"📉 考察能力: "&amp;IFERROR(VLOOKUP(TRIM(D19)&amp;"_"&amp;TRIM(INDEX($E$1:$I$1, MATCH(MIN(E19:I19), E19:I19, 0))), 技能库!$A:$F, 5, 0),"建议查阅考纲")&amp;CHAR(10)&amp;"💡 提升建议: "&amp;IFERROR(VLOOKUP(TRIM(D19)&amp;"_"&amp;TRIM(INDEX($E$1:$I$1, MATCH(MIN(E19:I19), E19:I19, 0))), 技能库!$A:$F, 6, 0),"请针对该题型加强练习"), "🎉 表现优异，无明显弱项！"))</f>
        <v>🎉 表现优异，无明显弱项！</v>
      </c>
      <c r="AA19" s="5" t="str">
        <f>IF(T19="","", IF(U19&lt;=3, "⚠️ 薄弱环节: "&amp;INDEX($M$1:$S$1, MATCH(MIN(M19:S19), M19:S19, 0))&amp;CHAR(10)&amp;"📉 考察能力: "&amp;IFERROR(VLOOKUP(TRIM(D19)&amp;"_"&amp;TRIM(INDEX($M$1:$S$1, MATCH(MIN(M19:S19), M19:S19, 0))), 技能库!$A:$F, 5, 0),"建议查阅考纲")&amp;CHAR(10)&amp;"💡 提升建议: "&amp;IFERROR(VLOOKUP(TRIM(D19)&amp;"_"&amp;TRIM(INDEX($M$1:$S$1, MATCH(MIN(M19:S19), M19:S19,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9" t="s">
        <v>304</v>
      </c>
    </row>
    <row r="20" spans="1:28" ht="18" customHeight="1" x14ac:dyDescent="0.2">
      <c r="A20">
        <v>305</v>
      </c>
      <c r="B20" t="s">
        <v>338</v>
      </c>
      <c r="C20" t="s">
        <v>373</v>
      </c>
      <c r="D20" t="s">
        <v>135</v>
      </c>
      <c r="E20">
        <v>5</v>
      </c>
      <c r="F20">
        <v>3</v>
      </c>
      <c r="G20">
        <v>5</v>
      </c>
      <c r="H20">
        <v>5</v>
      </c>
      <c r="I20">
        <v>3</v>
      </c>
      <c r="J20">
        <f t="shared" si="0"/>
        <v>21</v>
      </c>
      <c r="K20">
        <f>IF(J20="","", IFERROR(VLOOKUP(J20, IF(D20="Movers", 换算标准!$C:$D, 换算标准!$I:$J), 2, TRUE), 0))</f>
        <v>5</v>
      </c>
      <c r="M20">
        <v>10</v>
      </c>
      <c r="N20">
        <v>5</v>
      </c>
      <c r="O20">
        <v>5</v>
      </c>
      <c r="P20">
        <v>9</v>
      </c>
      <c r="Q20">
        <v>2</v>
      </c>
      <c r="R20">
        <v>0</v>
      </c>
      <c r="S20">
        <v>3</v>
      </c>
      <c r="T20">
        <f t="shared" si="1"/>
        <v>34</v>
      </c>
      <c r="U20">
        <f>IF(T20="","", IFERROR(VLOOKUP(T20, IF(D20="Movers", 换算标准!$A:$B, 换算标准!$G:$H), 2, TRUE), 0))</f>
        <v>3</v>
      </c>
      <c r="V20" t="s">
        <v>70</v>
      </c>
      <c r="W20">
        <f t="shared" si="2"/>
        <v>8</v>
      </c>
      <c r="Z20" s="5" t="str">
        <f>IF(J20="","", IF(K20&lt;=3, "⚠️ 薄弱环节: "&amp;INDEX($E$1:$I$1, MATCH(MIN(E20:I20), E20:I20, 0))&amp;CHAR(10)&amp;"📉 考察能力: "&amp;IFERROR(VLOOKUP(TRIM(D20)&amp;"_"&amp;TRIM(INDEX($E$1:$I$1, MATCH(MIN(E20:I20), E20:I20, 0))), 技能库!$A:$F, 5, 0),"建议查阅考纲")&amp;CHAR(10)&amp;"💡 提升建议: "&amp;IFERROR(VLOOKUP(TRIM(D20)&amp;"_"&amp;TRIM(INDEX($E$1:$I$1, MATCH(MIN(E20:I20), E20:I20, 0))), 技能库!$A:$F, 6, 0),"请针对该题型加强练习"), "🎉 表现优异，无明显弱项！"))</f>
        <v>🎉 表现优异，无明显弱项！</v>
      </c>
      <c r="AA20" s="5" t="str">
        <f>IF(T20="","", IF(U20&lt;=3, "⚠️ 薄弱环节: "&amp;INDEX($M$1:$S$1, MATCH(MIN(M20:S20), M20:S20, 0))&amp;CHAR(10)&amp;"📉 考察能力: "&amp;IFERROR(VLOOKUP(TRIM(D20)&amp;"_"&amp;TRIM(INDEX($M$1:$S$1, MATCH(MIN(M20:S20), M20:S20, 0))), 技能库!$A:$F, 5, 0),"建议查阅考纲")&amp;CHAR(10)&amp;"💡 提升建议: "&amp;IFERROR(VLOOKUP(TRIM(D20)&amp;"_"&amp;TRIM(INDEX($M$1:$S$1, MATCH(MIN(M20:S20), M20:S20,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0" t="s">
        <v>304</v>
      </c>
    </row>
    <row r="21" spans="1:28" ht="18" customHeight="1" x14ac:dyDescent="0.2">
      <c r="A21">
        <v>307</v>
      </c>
      <c r="B21" t="s">
        <v>338</v>
      </c>
      <c r="C21" t="s">
        <v>374</v>
      </c>
      <c r="D21" t="s">
        <v>135</v>
      </c>
      <c r="E21">
        <v>5</v>
      </c>
      <c r="F21">
        <v>3</v>
      </c>
      <c r="G21">
        <v>5</v>
      </c>
      <c r="H21">
        <v>5</v>
      </c>
      <c r="I21">
        <v>5</v>
      </c>
      <c r="J21">
        <f t="shared" si="0"/>
        <v>23</v>
      </c>
      <c r="K21">
        <f>IF(J21="","", IFERROR(VLOOKUP(J21, IF(D21="Movers", 换算标准!$C:$D, 换算标准!$I:$J), 2, TRUE), 0))</f>
        <v>5</v>
      </c>
      <c r="M21">
        <v>5</v>
      </c>
      <c r="N21">
        <v>2</v>
      </c>
      <c r="O21">
        <v>4</v>
      </c>
      <c r="P21">
        <v>7</v>
      </c>
      <c r="Q21">
        <v>5</v>
      </c>
      <c r="R21">
        <v>0</v>
      </c>
      <c r="S21">
        <v>0</v>
      </c>
      <c r="T21">
        <f t="shared" si="1"/>
        <v>23</v>
      </c>
      <c r="U21">
        <f>IF(T21="","", IFERROR(VLOOKUP(T21, IF(D21="Movers", 换算标准!$A:$B, 换算标准!$G:$H), 2, TRUE), 0))</f>
        <v>2</v>
      </c>
      <c r="V21" t="s">
        <v>68</v>
      </c>
      <c r="W21">
        <f t="shared" si="2"/>
        <v>7</v>
      </c>
      <c r="Z21" s="5" t="str">
        <f>IF(J21="","", IF(K21&lt;=3, "⚠️ 薄弱环节: "&amp;INDEX($E$1:$I$1, MATCH(MIN(E21:I21), E21:I21, 0))&amp;CHAR(10)&amp;"📉 考察能力: "&amp;IFERROR(VLOOKUP(TRIM(D21)&amp;"_"&amp;TRIM(INDEX($E$1:$I$1, MATCH(MIN(E21:I21), E21:I21, 0))), 技能库!$A:$F, 5, 0),"建议查阅考纲")&amp;CHAR(10)&amp;"💡 提升建议: "&amp;IFERROR(VLOOKUP(TRIM(D21)&amp;"_"&amp;TRIM(INDEX($E$1:$I$1, MATCH(MIN(E21:I21), E21:I21, 0))), 技能库!$A:$F, 6, 0),"请针对该题型加强练习"), "🎉 表现优异，无明显弱项！"))</f>
        <v>🎉 表现优异，无明显弱项！</v>
      </c>
      <c r="AA21" s="5" t="str">
        <f>IF(T21="","", IF(U21&lt;=3, "⚠️ 薄弱环节: "&amp;INDEX($M$1:$S$1, MATCH(MIN(M21:S21), M21:S21, 0))&amp;CHAR(10)&amp;"📉 考察能力: "&amp;IFERROR(VLOOKUP(TRIM(D21)&amp;"_"&amp;TRIM(INDEX($M$1:$S$1, MATCH(MIN(M21:S21), M21:S21, 0))), 技能库!$A:$F, 5, 0),"建议查阅考纲")&amp;CHAR(10)&amp;"💡 提升建议: "&amp;IFERROR(VLOOKUP(TRIM(D21)&amp;"_"&amp;TRIM(INDEX($M$1:$S$1, MATCH(MIN(M21:S21), M21:S21,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1" t="s">
        <v>304</v>
      </c>
    </row>
    <row r="22" spans="1:28" ht="18" customHeight="1" x14ac:dyDescent="0.2">
      <c r="A22">
        <v>301</v>
      </c>
      <c r="B22" t="s">
        <v>338</v>
      </c>
      <c r="C22" t="s">
        <v>375</v>
      </c>
      <c r="D22" t="s">
        <v>135</v>
      </c>
      <c r="E22">
        <v>4</v>
      </c>
      <c r="F22">
        <v>1</v>
      </c>
      <c r="G22">
        <v>3</v>
      </c>
      <c r="H22">
        <v>5</v>
      </c>
      <c r="I22">
        <v>3</v>
      </c>
      <c r="J22">
        <f t="shared" si="0"/>
        <v>16</v>
      </c>
      <c r="K22">
        <f>IF(J22="","", IFERROR(VLOOKUP(J22, IF(D22="Movers", 换算标准!$C:$D, 换算标准!$I:$J), 2, TRUE), 0))</f>
        <v>3</v>
      </c>
      <c r="M22">
        <v>6</v>
      </c>
      <c r="N22">
        <v>4</v>
      </c>
      <c r="O22">
        <v>6</v>
      </c>
      <c r="P22">
        <v>7</v>
      </c>
      <c r="Q22">
        <v>3</v>
      </c>
      <c r="R22">
        <v>2</v>
      </c>
      <c r="S22">
        <v>3</v>
      </c>
      <c r="T22">
        <f t="shared" si="1"/>
        <v>31</v>
      </c>
      <c r="U22">
        <f>IF(T22="","", IFERROR(VLOOKUP(T22, IF(D22="Movers", 换算标准!$A:$B, 换算标准!$G:$H), 2, TRUE), 0))</f>
        <v>3</v>
      </c>
      <c r="V22" t="s">
        <v>70</v>
      </c>
      <c r="W22">
        <f t="shared" si="2"/>
        <v>6</v>
      </c>
      <c r="Z22" s="5" t="str">
        <f>IF(J22="","", IF(K22&lt;=3, "⚠️ 薄弱环节: "&amp;INDEX($E$1:$I$1, MATCH(MIN(E22:I22), E22:I22, 0))&amp;CHAR(10)&amp;"📉 考察能力: "&amp;IFERROR(VLOOKUP(TRIM(D22)&amp;"_"&amp;TRIM(INDEX($E$1:$I$1, MATCH(MIN(E22:I22), E22:I22, 0))), 技能库!$A:$F, 5, 0),"建议查阅考纲")&amp;CHAR(10)&amp;"💡 提升建议: "&amp;IFERROR(VLOOKUP(TRIM(D22)&amp;"_"&amp;TRIM(INDEX($E$1:$I$1, MATCH(MIN(E22:I22), E22:I22, 0))), 技能库!$A:$F, 6, 0),"请针对该题型加强练习"), "🎉 表现优异，无明显弱项！"))</f>
        <v>⚠️ 薄弱环节: L-Pt2
📉 考察能力: [听力] 听取细节并填空
💡 提升建议: 信息量增加，注意快速书写，拼写必须准确。</v>
      </c>
      <c r="AA22" s="5" t="str">
        <f>IF(T22="","", IF(U22&lt;=3, "⚠️ 薄弱环节: "&amp;INDEX($M$1:$S$1, MATCH(MIN(M22:S22), M22:S22, 0))&amp;CHAR(10)&amp;"📉 考察能力: "&amp;IFERROR(VLOOKUP(TRIM(D22)&amp;"_"&amp;TRIM(INDEX($M$1:$S$1, MATCH(MIN(M22:S22), M22:S22, 0))), 技能库!$A:$F, 5, 0),"建议查阅考纲")&amp;CHAR(10)&amp;"💡 提升建议: "&amp;IFERROR(VLOOKUP(TRIM(D22)&amp;"_"&amp;TRIM(INDEX($M$1:$S$1, MATCH(MIN(M22:S22), M22:S22,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2" t="s">
        <v>304</v>
      </c>
    </row>
    <row r="23" spans="1:28" ht="18" customHeight="1" x14ac:dyDescent="0.2">
      <c r="A23">
        <v>303</v>
      </c>
      <c r="B23" t="s">
        <v>338</v>
      </c>
      <c r="C23" t="s">
        <v>376</v>
      </c>
      <c r="D23" t="s">
        <v>135</v>
      </c>
      <c r="E23">
        <v>5</v>
      </c>
      <c r="F23">
        <v>0</v>
      </c>
      <c r="G23">
        <v>4</v>
      </c>
      <c r="H23">
        <v>4</v>
      </c>
      <c r="I23">
        <v>5</v>
      </c>
      <c r="J23">
        <f t="shared" si="0"/>
        <v>18</v>
      </c>
      <c r="K23">
        <f>IF(J23="","", IFERROR(VLOOKUP(J23, IF(D23="Movers", 换算标准!$C:$D, 换算标准!$I:$J), 2, TRUE), 0))</f>
        <v>4</v>
      </c>
      <c r="M23">
        <v>6</v>
      </c>
      <c r="N23">
        <v>3</v>
      </c>
      <c r="O23">
        <v>5</v>
      </c>
      <c r="P23">
        <v>7</v>
      </c>
      <c r="Q23">
        <v>2</v>
      </c>
      <c r="R23">
        <v>1</v>
      </c>
      <c r="S23">
        <v>0</v>
      </c>
      <c r="T23">
        <f t="shared" si="1"/>
        <v>24</v>
      </c>
      <c r="U23">
        <f>IF(T23="","", IFERROR(VLOOKUP(T23, IF(D23="Movers", 换算标准!$A:$B, 换算标准!$G:$H), 2, TRUE), 0))</f>
        <v>3</v>
      </c>
      <c r="V23" t="s">
        <v>70</v>
      </c>
      <c r="W23">
        <f t="shared" si="2"/>
        <v>7</v>
      </c>
      <c r="Z23" s="5" t="str">
        <f>IF(J23="","", IF(K23&lt;=3, "⚠️ 薄弱环节: "&amp;INDEX($E$1:$I$1, MATCH(MIN(E23:I23), E23:I23, 0))&amp;CHAR(10)&amp;"📉 考察能力: "&amp;IFERROR(VLOOKUP(TRIM(D23)&amp;"_"&amp;TRIM(INDEX($E$1:$I$1, MATCH(MIN(E23:I23), E23:I23, 0))), 技能库!$A:$F, 5, 0),"建议查阅考纲")&amp;CHAR(10)&amp;"💡 提升建议: "&amp;IFERROR(VLOOKUP(TRIM(D23)&amp;"_"&amp;TRIM(INDEX($E$1:$I$1, MATCH(MIN(E23:I23), E23:I23, 0))), 技能库!$A:$F, 6, 0),"请针对该题型加强练习"), "🎉 表现优异，无明显弱项！"))</f>
        <v>🎉 表现优异，无明显弱项！</v>
      </c>
      <c r="AA23" s="5" t="str">
        <f>IF(T23="","", IF(U23&lt;=3, "⚠️ 薄弱环节: "&amp;INDEX($M$1:$S$1, MATCH(MIN(M23:S23), M23:S23, 0))&amp;CHAR(10)&amp;"📉 考察能力: "&amp;IFERROR(VLOOKUP(TRIM(D23)&amp;"_"&amp;TRIM(INDEX($M$1:$S$1, MATCH(MIN(M23:S23), M23:S23, 0))), 技能库!$A:$F, 5, 0),"建议查阅考纲")&amp;CHAR(10)&amp;"💡 提升建议: "&amp;IFERROR(VLOOKUP(TRIM(D23)&amp;"_"&amp;TRIM(INDEX($M$1:$S$1, MATCH(MIN(M23:S23), M23:S23, 0))), 技能库!$A:$F, 6, 0),"请针对该题型加强练习"), "🎉 表现优异，无明显弱项！"))</f>
        <v>⚠️ 薄弱环节: RW-Pt7
📉 考察能力: [读写] 看图写作文
💡 提升建议: 观察三幅图，运用连接词编写一个有逻辑的短故事 (20词+)。</v>
      </c>
      <c r="AB23" t="s">
        <v>304</v>
      </c>
    </row>
    <row r="24" spans="1:28" ht="18" customHeight="1" x14ac:dyDescent="0.2">
      <c r="A24">
        <v>307</v>
      </c>
      <c r="B24" t="s">
        <v>338</v>
      </c>
      <c r="C24" t="s">
        <v>377</v>
      </c>
      <c r="D24" t="s">
        <v>135</v>
      </c>
      <c r="E24">
        <v>5</v>
      </c>
      <c r="F24">
        <v>1</v>
      </c>
      <c r="G24">
        <v>4</v>
      </c>
      <c r="H24">
        <v>5</v>
      </c>
      <c r="I24">
        <v>5</v>
      </c>
      <c r="J24">
        <f t="shared" si="0"/>
        <v>20</v>
      </c>
      <c r="K24">
        <f>IF(J24="","", IFERROR(VLOOKUP(J24, IF(D24="Movers", 换算标准!$C:$D, 换算标准!$I:$J), 2, TRUE), 0))</f>
        <v>4</v>
      </c>
      <c r="M24">
        <v>7</v>
      </c>
      <c r="N24">
        <v>5</v>
      </c>
      <c r="O24">
        <v>6</v>
      </c>
      <c r="P24">
        <v>9</v>
      </c>
      <c r="Q24">
        <v>5</v>
      </c>
      <c r="R24">
        <v>0</v>
      </c>
      <c r="S24">
        <v>3</v>
      </c>
      <c r="T24">
        <f t="shared" si="1"/>
        <v>35</v>
      </c>
      <c r="U24">
        <f>IF(T24="","", IFERROR(VLOOKUP(T24, IF(D24="Movers", 换算标准!$A:$B, 换算标准!$G:$H), 2, TRUE), 0))</f>
        <v>3</v>
      </c>
      <c r="V24" t="s">
        <v>70</v>
      </c>
      <c r="W24">
        <f t="shared" si="2"/>
        <v>7</v>
      </c>
      <c r="Z24" s="5" t="str">
        <f>IF(J24="","", IF(K24&lt;=3, "⚠️ 薄弱环节: "&amp;INDEX($E$1:$I$1, MATCH(MIN(E24:I24), E24:I24, 0))&amp;CHAR(10)&amp;"📉 考察能力: "&amp;IFERROR(VLOOKUP(TRIM(D24)&amp;"_"&amp;TRIM(INDEX($E$1:$I$1, MATCH(MIN(E24:I24), E24:I24, 0))), 技能库!$A:$F, 5, 0),"建议查阅考纲")&amp;CHAR(10)&amp;"💡 提升建议: "&amp;IFERROR(VLOOKUP(TRIM(D24)&amp;"_"&amp;TRIM(INDEX($E$1:$I$1, MATCH(MIN(E24:I24), E24:I24, 0))), 技能库!$A:$F, 6, 0),"请针对该题型加强练习"), "🎉 表现优异，无明显弱项！"))</f>
        <v>🎉 表现优异，无明显弱项！</v>
      </c>
      <c r="AA24" s="5" t="str">
        <f>IF(T24="","", IF(U24&lt;=3, "⚠️ 薄弱环节: "&amp;INDEX($M$1:$S$1, MATCH(MIN(M24:S24), M24:S24, 0))&amp;CHAR(10)&amp;"📉 考察能力: "&amp;IFERROR(VLOOKUP(TRIM(D24)&amp;"_"&amp;TRIM(INDEX($M$1:$S$1, MATCH(MIN(M24:S24), M24:S24, 0))), 技能库!$A:$F, 5, 0),"建议查阅考纲")&amp;CHAR(10)&amp;"💡 提升建议: "&amp;IFERROR(VLOOKUP(TRIM(D24)&amp;"_"&amp;TRIM(INDEX($M$1:$S$1, MATCH(MIN(M24:S24), M24:S24,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4" t="s">
        <v>304</v>
      </c>
    </row>
    <row r="25" spans="1:28" ht="18" customHeight="1" x14ac:dyDescent="0.2">
      <c r="A25">
        <v>303</v>
      </c>
      <c r="B25" t="s">
        <v>338</v>
      </c>
      <c r="C25" t="s">
        <v>378</v>
      </c>
      <c r="D25" t="s">
        <v>135</v>
      </c>
      <c r="E25">
        <v>2</v>
      </c>
      <c r="F25">
        <v>0</v>
      </c>
      <c r="G25">
        <v>4</v>
      </c>
      <c r="H25">
        <v>5</v>
      </c>
      <c r="I25">
        <v>5</v>
      </c>
      <c r="J25">
        <f t="shared" si="0"/>
        <v>16</v>
      </c>
      <c r="K25">
        <f>IF(J25="","", IFERROR(VLOOKUP(J25, IF(D25="Movers", 换算标准!$C:$D, 换算标准!$I:$J), 2, TRUE), 0))</f>
        <v>3</v>
      </c>
      <c r="M25">
        <v>4</v>
      </c>
      <c r="N25">
        <v>3</v>
      </c>
      <c r="O25">
        <v>5</v>
      </c>
      <c r="P25">
        <v>8</v>
      </c>
      <c r="Q25">
        <v>3</v>
      </c>
      <c r="R25">
        <v>0</v>
      </c>
      <c r="S25">
        <v>2</v>
      </c>
      <c r="T25">
        <f t="shared" si="1"/>
        <v>25</v>
      </c>
      <c r="U25">
        <f>IF(T25="","", IFERROR(VLOOKUP(T25, IF(D25="Movers", 换算标准!$A:$B, 换算标准!$G:$H), 2, TRUE), 0))</f>
        <v>3</v>
      </c>
      <c r="V25" t="s">
        <v>70</v>
      </c>
      <c r="W25">
        <f t="shared" si="2"/>
        <v>6</v>
      </c>
      <c r="Z25" s="5" t="str">
        <f>IF(J25="","", IF(K25&lt;=3, "⚠️ 薄弱环节: "&amp;INDEX($E$1:$I$1, MATCH(MIN(E25:I25), E25:I25, 0))&amp;CHAR(10)&amp;"📉 考察能力: "&amp;IFERROR(VLOOKUP(TRIM(D25)&amp;"_"&amp;TRIM(INDEX($E$1:$I$1, MATCH(MIN(E25:I25), E25:I25, 0))), 技能库!$A:$F, 5, 0),"建议查阅考纲")&amp;CHAR(10)&amp;"💡 提升建议: "&amp;IFERROR(VLOOKUP(TRIM(D25)&amp;"_"&amp;TRIM(INDEX($E$1:$I$1, MATCH(MIN(E25:I25), E25:I25, 0))), 技能库!$A:$F, 6, 0),"请针对该题型加强练习"), "🎉 表现优异，无明显弱项！"))</f>
        <v>⚠️ 薄弱环节: L-Pt2
📉 考察能力: [听力] 听取细节并填空
💡 提升建议: 信息量增加，注意快速书写，拼写必须准确。</v>
      </c>
      <c r="AA25" s="5" t="str">
        <f>IF(T25="","", IF(U25&lt;=3, "⚠️ 薄弱环节: "&amp;INDEX($M$1:$S$1, MATCH(MIN(M25:S25), M25:S25, 0))&amp;CHAR(10)&amp;"📉 考察能力: "&amp;IFERROR(VLOOKUP(TRIM(D25)&amp;"_"&amp;TRIM(INDEX($M$1:$S$1, MATCH(MIN(M25:S25), M25:S25, 0))), 技能库!$A:$F, 5, 0),"建议查阅考纲")&amp;CHAR(10)&amp;"💡 提升建议: "&amp;IFERROR(VLOOKUP(TRIM(D25)&amp;"_"&amp;TRIM(INDEX($M$1:$S$1, MATCH(MIN(M25:S25), M25:S25,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5" t="s">
        <v>304</v>
      </c>
    </row>
    <row r="26" spans="1:28" ht="18" customHeight="1" x14ac:dyDescent="0.2">
      <c r="A26">
        <v>307</v>
      </c>
      <c r="B26" t="s">
        <v>338</v>
      </c>
      <c r="C26" t="s">
        <v>379</v>
      </c>
      <c r="D26" t="s">
        <v>135</v>
      </c>
      <c r="E26">
        <v>4</v>
      </c>
      <c r="F26">
        <v>1</v>
      </c>
      <c r="G26">
        <v>1</v>
      </c>
      <c r="H26">
        <v>4</v>
      </c>
      <c r="I26">
        <v>5</v>
      </c>
      <c r="J26">
        <f t="shared" si="0"/>
        <v>15</v>
      </c>
      <c r="K26">
        <f>IF(J26="","", IFERROR(VLOOKUP(J26, IF(D26="Movers", 换算标准!$C:$D, 换算标准!$I:$J), 2, TRUE), 0))</f>
        <v>3</v>
      </c>
      <c r="M26">
        <v>6</v>
      </c>
      <c r="N26">
        <v>2</v>
      </c>
      <c r="O26">
        <v>4</v>
      </c>
      <c r="P26">
        <v>6</v>
      </c>
      <c r="Q26">
        <v>3</v>
      </c>
      <c r="R26">
        <v>0</v>
      </c>
      <c r="S26">
        <v>3</v>
      </c>
      <c r="T26">
        <f t="shared" si="1"/>
        <v>24</v>
      </c>
      <c r="U26">
        <f>IF(T26="","", IFERROR(VLOOKUP(T26, IF(D26="Movers", 换算标准!$A:$B, 换算标准!$G:$H), 2, TRUE), 0))</f>
        <v>3</v>
      </c>
      <c r="V26" t="s">
        <v>70</v>
      </c>
      <c r="W26">
        <f t="shared" si="2"/>
        <v>6</v>
      </c>
      <c r="Z26" s="5" t="str">
        <f>IF(J26="","", IF(K26&lt;=3, "⚠️ 薄弱环节: "&amp;INDEX($E$1:$I$1, MATCH(MIN(E26:I26), E26:I26, 0))&amp;CHAR(10)&amp;"📉 考察能力: "&amp;IFERROR(VLOOKUP(TRIM(D26)&amp;"_"&amp;TRIM(INDEX($E$1:$I$1, MATCH(MIN(E26:I26), E26:I26, 0))), 技能库!$A:$F, 5, 0),"建议查阅考纲")&amp;CHAR(10)&amp;"💡 提升建议: "&amp;IFERROR(VLOOKUP(TRIM(D26)&amp;"_"&amp;TRIM(INDEX($E$1:$I$1, MATCH(MIN(E26:I26), E26:I26, 0))), 技能库!$A:$F, 6, 0),"请针对该题型加强练习"), "🎉 表现优异，无明显弱项！"))</f>
        <v>⚠️ 薄弱环节: L-Pt2
📉 考察能力: [听力] 听取细节并填空
💡 提升建议: 信息量增加，注意快速书写，拼写必须准确。</v>
      </c>
      <c r="AA26" s="5" t="str">
        <f>IF(T26="","", IF(U26&lt;=3, "⚠️ 薄弱环节: "&amp;INDEX($M$1:$S$1, MATCH(MIN(M26:S26), M26:S26, 0))&amp;CHAR(10)&amp;"📉 考察能力: "&amp;IFERROR(VLOOKUP(TRIM(D26)&amp;"_"&amp;TRIM(INDEX($M$1:$S$1, MATCH(MIN(M26:S26), M26:S26, 0))), 技能库!$A:$F, 5, 0),"建议查阅考纲")&amp;CHAR(10)&amp;"💡 提升建议: "&amp;IFERROR(VLOOKUP(TRIM(D26)&amp;"_"&amp;TRIM(INDEX($M$1:$S$1, MATCH(MIN(M26:S26), M26:S26,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26" t="s">
        <v>304</v>
      </c>
    </row>
    <row r="27" spans="1:28" ht="18" customHeight="1" x14ac:dyDescent="0.2">
      <c r="A27">
        <v>303</v>
      </c>
      <c r="B27" t="s">
        <v>338</v>
      </c>
      <c r="C27" t="s">
        <v>380</v>
      </c>
      <c r="D27" t="s">
        <v>86</v>
      </c>
      <c r="E27">
        <v>5</v>
      </c>
      <c r="F27">
        <v>1</v>
      </c>
      <c r="G27">
        <v>4</v>
      </c>
      <c r="H27">
        <v>1</v>
      </c>
      <c r="I27">
        <v>5</v>
      </c>
      <c r="J27">
        <f t="shared" si="0"/>
        <v>16</v>
      </c>
      <c r="K27">
        <f>IF(J27="","", IFERROR(VLOOKUP(J27, IF(D27="Movers", 换算标准!$C:$D, 换算标准!$I:$J), 2, TRUE), 0))</f>
        <v>3</v>
      </c>
      <c r="M27">
        <v>5</v>
      </c>
      <c r="N27">
        <v>2</v>
      </c>
      <c r="O27">
        <v>5</v>
      </c>
      <c r="P27">
        <v>2</v>
      </c>
      <c r="Q27">
        <v>3</v>
      </c>
      <c r="R27">
        <v>0</v>
      </c>
      <c r="T27">
        <f t="shared" si="1"/>
        <v>17</v>
      </c>
      <c r="U27">
        <f>IF(T27="","", IFERROR(VLOOKUP(T27, IF(D27="Movers", 换算标准!$A:$B, 换算标准!$G:$H), 2, TRUE), 0))</f>
        <v>1</v>
      </c>
      <c r="V27" t="s">
        <v>64</v>
      </c>
      <c r="W27">
        <f t="shared" si="2"/>
        <v>4</v>
      </c>
      <c r="Z27" s="5" t="str">
        <f>IF(J27="","", IF(K27&lt;=3, "⚠️ 薄弱环节: "&amp;INDEX($E$1:$I$1, MATCH(MIN(E27:I27), E27:I27, 0))&amp;CHAR(10)&amp;"📉 考察能力: "&amp;IFERROR(VLOOKUP(TRIM(D27)&amp;"_"&amp;TRIM(INDEX($E$1:$I$1, MATCH(MIN(E27:I27), E27:I27, 0))), 技能库!$A:$F, 5, 0),"建议查阅考纲")&amp;CHAR(10)&amp;"💡 提升建议: "&amp;IFERROR(VLOOKUP(TRIM(D27)&amp;"_"&amp;TRIM(INDEX($E$1:$I$1, MATCH(MIN(E27:I27), E27:I27,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27" s="5" t="str">
        <f>IF(T27="","", IF(U27&lt;=3, "⚠️ 薄弱环节: "&amp;INDEX($M$1:$S$1, MATCH(MIN(M27:S27), M27:S27, 0))&amp;CHAR(10)&amp;"📉 考察能力: "&amp;IFERROR(VLOOKUP(TRIM(D27)&amp;"_"&amp;TRIM(INDEX($M$1:$S$1, MATCH(MIN(M27:S27), M27:S27, 0))), 技能库!$A:$F, 5, 0),"建议查阅考纲")&amp;CHAR(10)&amp;"💡 提升建议: "&amp;IFERROR(VLOOKUP(TRIM(D27)&amp;"_"&amp;TRIM(INDEX($M$1:$S$1, MATCH(MIN(M27:S27), M27:S27, 0))), 技能库!$A:$F, 6, 0),"请针对该题型加强练习"), "🎉 表现优异，无明显弱项！"))</f>
        <v>⚠️ 薄弱环节: RW-Pt6
📉 考察能力: [读写] 看图写句子
💡 提升建议: 仔细观察图片，回答问题并写完整的句子，注意拼写。</v>
      </c>
      <c r="AB27" t="s">
        <v>304</v>
      </c>
    </row>
    <row r="28" spans="1:28" ht="18" customHeight="1" x14ac:dyDescent="0.2">
      <c r="A28">
        <v>303</v>
      </c>
      <c r="B28" t="s">
        <v>338</v>
      </c>
      <c r="C28" t="s">
        <v>381</v>
      </c>
      <c r="D28" t="s">
        <v>86</v>
      </c>
      <c r="E28">
        <v>5</v>
      </c>
      <c r="F28">
        <v>2</v>
      </c>
      <c r="G28">
        <v>5</v>
      </c>
      <c r="H28">
        <v>2</v>
      </c>
      <c r="I28">
        <v>4</v>
      </c>
      <c r="J28">
        <f t="shared" si="0"/>
        <v>18</v>
      </c>
      <c r="K28">
        <f>IF(J28="","", IFERROR(VLOOKUP(J28, IF(D28="Movers", 换算标准!$C:$D, 换算标准!$I:$J), 2, TRUE), 0))</f>
        <v>4</v>
      </c>
      <c r="M28">
        <v>5</v>
      </c>
      <c r="N28">
        <v>5</v>
      </c>
      <c r="O28">
        <v>6</v>
      </c>
      <c r="P28">
        <v>5</v>
      </c>
      <c r="Q28">
        <v>5</v>
      </c>
      <c r="R28">
        <v>6</v>
      </c>
      <c r="T28">
        <f t="shared" si="1"/>
        <v>32</v>
      </c>
      <c r="U28">
        <f>IF(T28="","", IFERROR(VLOOKUP(T28, IF(D28="Movers", 换算标准!$A:$B, 换算标准!$G:$H), 2, TRUE), 0))</f>
        <v>4</v>
      </c>
      <c r="V28" t="s">
        <v>68</v>
      </c>
      <c r="W28">
        <f t="shared" si="2"/>
        <v>8</v>
      </c>
      <c r="Z28" s="5" t="str">
        <f>IF(J28="","", IF(K28&lt;=3, "⚠️ 薄弱环节: "&amp;INDEX($E$1:$I$1, MATCH(MIN(E28:I28), E28:I28, 0))&amp;CHAR(10)&amp;"📉 考察能力: "&amp;IFERROR(VLOOKUP(TRIM(D28)&amp;"_"&amp;TRIM(INDEX($E$1:$I$1, MATCH(MIN(E28:I28), E28:I28, 0))), 技能库!$A:$F, 5, 0),"建议查阅考纲")&amp;CHAR(10)&amp;"💡 提升建议: "&amp;IFERROR(VLOOKUP(TRIM(D28)&amp;"_"&amp;TRIM(INDEX($E$1:$I$1, MATCH(MIN(E28:I28), E28:I28, 0))), 技能库!$A:$F, 6, 0),"请针对该题型加强练习"), "🎉 表现优异，无明显弱项！"))</f>
        <v>🎉 表现优异，无明显弱项！</v>
      </c>
      <c r="AA28" s="5" t="str">
        <f>IF(T28="","", IF(U28&lt;=3, "⚠️ 薄弱环节: "&amp;INDEX($M$1:$S$1, MATCH(MIN(M28:S28), M28:S28, 0))&amp;CHAR(10)&amp;"📉 考察能力: "&amp;IFERROR(VLOOKUP(TRIM(D28)&amp;"_"&amp;TRIM(INDEX($M$1:$S$1, MATCH(MIN(M28:S28), M28:S28, 0))), 技能库!$A:$F, 5, 0),"建议查阅考纲")&amp;CHAR(10)&amp;"💡 提升建议: "&amp;IFERROR(VLOOKUP(TRIM(D28)&amp;"_"&amp;TRIM(INDEX($M$1:$S$1, MATCH(MIN(M28:S28), M28:S28, 0))), 技能库!$A:$F, 6, 0),"请针对该题型加强练习"), "🎉 表现优异，无明显弱项！"))</f>
        <v>🎉 表现优异，无明显弱项！</v>
      </c>
      <c r="AB28" t="s">
        <v>304</v>
      </c>
    </row>
    <row r="29" spans="1:28" ht="18" customHeight="1" x14ac:dyDescent="0.2">
      <c r="A29">
        <v>301</v>
      </c>
      <c r="B29" t="s">
        <v>338</v>
      </c>
      <c r="C29" t="s">
        <v>382</v>
      </c>
      <c r="D29" t="s">
        <v>86</v>
      </c>
      <c r="E29">
        <v>5</v>
      </c>
      <c r="F29">
        <v>2</v>
      </c>
      <c r="G29">
        <v>5</v>
      </c>
      <c r="H29">
        <v>2</v>
      </c>
      <c r="I29">
        <v>5</v>
      </c>
      <c r="J29">
        <f t="shared" si="0"/>
        <v>19</v>
      </c>
      <c r="K29">
        <f>IF(J29="","", IFERROR(VLOOKUP(J29, IF(D29="Movers", 换算标准!$C:$D, 换算标准!$I:$J), 2, TRUE), 0))</f>
        <v>4</v>
      </c>
      <c r="M29">
        <v>5</v>
      </c>
      <c r="N29">
        <v>6</v>
      </c>
      <c r="O29">
        <v>6</v>
      </c>
      <c r="P29">
        <v>4</v>
      </c>
      <c r="Q29">
        <v>4</v>
      </c>
      <c r="R29">
        <v>4</v>
      </c>
      <c r="T29">
        <f t="shared" si="1"/>
        <v>29</v>
      </c>
      <c r="U29">
        <f>IF(T29="","", IFERROR(VLOOKUP(T29, IF(D29="Movers", 换算标准!$A:$B, 换算标准!$G:$H), 2, TRUE), 0))</f>
        <v>4</v>
      </c>
      <c r="V29" t="s">
        <v>68</v>
      </c>
      <c r="W29">
        <f t="shared" si="2"/>
        <v>8</v>
      </c>
      <c r="Z29" s="5" t="str">
        <f>IF(J29="","", IF(K29&lt;=3, "⚠️ 薄弱环节: "&amp;INDEX($E$1:$I$1, MATCH(MIN(E29:I29), E29:I29, 0))&amp;CHAR(10)&amp;"📉 考察能力: "&amp;IFERROR(VLOOKUP(TRIM(D29)&amp;"_"&amp;TRIM(INDEX($E$1:$I$1, MATCH(MIN(E29:I29), E29:I29, 0))), 技能库!$A:$F, 5, 0),"建议查阅考纲")&amp;CHAR(10)&amp;"💡 提升建议: "&amp;IFERROR(VLOOKUP(TRIM(D29)&amp;"_"&amp;TRIM(INDEX($E$1:$I$1, MATCH(MIN(E29:I29), E29:I29, 0))), 技能库!$A:$F, 6, 0),"请针对该题型加强练习"), "🎉 表现优异，无明显弱项！"))</f>
        <v>🎉 表现优异，无明显弱项！</v>
      </c>
      <c r="AA29" s="5" t="str">
        <f>IF(T29="","", IF(U29&lt;=3, "⚠️ 薄弱环节: "&amp;INDEX($M$1:$S$1, MATCH(MIN(M29:S29), M29:S29, 0))&amp;CHAR(10)&amp;"📉 考察能力: "&amp;IFERROR(VLOOKUP(TRIM(D29)&amp;"_"&amp;TRIM(INDEX($M$1:$S$1, MATCH(MIN(M29:S29), M29:S29, 0))), 技能库!$A:$F, 5, 0),"建议查阅考纲")&amp;CHAR(10)&amp;"💡 提升建议: "&amp;IFERROR(VLOOKUP(TRIM(D29)&amp;"_"&amp;TRIM(INDEX($M$1:$S$1, MATCH(MIN(M29:S29), M29:S29, 0))), 技能库!$A:$F, 6, 0),"请针对该题型加强练习"), "🎉 表现优异，无明显弱项！"))</f>
        <v>🎉 表现优异，无明显弱项！</v>
      </c>
      <c r="AB29" t="s">
        <v>304</v>
      </c>
    </row>
    <row r="30" spans="1:28" ht="18" customHeight="1" x14ac:dyDescent="0.2">
      <c r="A30">
        <v>303</v>
      </c>
      <c r="B30" t="s">
        <v>338</v>
      </c>
      <c r="C30" t="s">
        <v>383</v>
      </c>
      <c r="D30" t="s">
        <v>86</v>
      </c>
      <c r="E30">
        <v>4</v>
      </c>
      <c r="F30">
        <v>2</v>
      </c>
      <c r="G30">
        <v>4</v>
      </c>
      <c r="H30">
        <v>2</v>
      </c>
      <c r="I30">
        <v>5</v>
      </c>
      <c r="J30">
        <f t="shared" si="0"/>
        <v>17</v>
      </c>
      <c r="K30">
        <f>IF(J30="","", IFERROR(VLOOKUP(J30, IF(D30="Movers", 换算标准!$C:$D, 换算标准!$I:$J), 2, TRUE), 0))</f>
        <v>3</v>
      </c>
      <c r="M30">
        <v>2</v>
      </c>
      <c r="N30">
        <v>5</v>
      </c>
      <c r="O30">
        <v>5</v>
      </c>
      <c r="P30">
        <v>4</v>
      </c>
      <c r="Q30">
        <v>1</v>
      </c>
      <c r="R30">
        <v>4</v>
      </c>
      <c r="T30">
        <f t="shared" si="1"/>
        <v>21</v>
      </c>
      <c r="U30">
        <f>IF(T30="","", IFERROR(VLOOKUP(T30, IF(D30="Movers", 换算标准!$A:$B, 换算标准!$G:$H), 2, TRUE), 0))</f>
        <v>2</v>
      </c>
      <c r="V30" t="s">
        <v>67</v>
      </c>
      <c r="W30">
        <f t="shared" si="2"/>
        <v>5</v>
      </c>
      <c r="Z30" s="5" t="str">
        <f>IF(J30="","", IF(K30&lt;=3, "⚠️ 薄弱环节: "&amp;INDEX($E$1:$I$1, MATCH(MIN(E30:I30), E30:I30, 0))&amp;CHAR(10)&amp;"📉 考察能力: "&amp;IFERROR(VLOOKUP(TRIM(D30)&amp;"_"&amp;TRIM(INDEX($E$1:$I$1, MATCH(MIN(E30:I30), E30:I30, 0))), 技能库!$A:$F, 5, 0),"建议查阅考纲")&amp;CHAR(10)&amp;"💡 提升建议: "&amp;IFERROR(VLOOKUP(TRIM(D30)&amp;"_"&amp;TRIM(INDEX($E$1:$I$1, MATCH(MIN(E30:I30), E30:I30,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0" s="5" t="str">
        <f>IF(T30="","", IF(U30&lt;=3, "⚠️ 薄弱环节: "&amp;INDEX($M$1:$S$1, MATCH(MIN(M30:S30), M30:S30, 0))&amp;CHAR(10)&amp;"📉 考察能力: "&amp;IFERROR(VLOOKUP(TRIM(D30)&amp;"_"&amp;TRIM(INDEX($M$1:$S$1, MATCH(MIN(M30:S30), M30:S30, 0))), 技能库!$A:$F, 5, 0),"建议查阅考纲")&amp;CHAR(10)&amp;"💡 提升建议: "&amp;IFERROR(VLOOKUP(TRIM(D30)&amp;"_"&amp;TRIM(INDEX($M$1:$S$1, MATCH(MIN(M30:S30), M30:S30,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  <c r="AB30" t="s">
        <v>304</v>
      </c>
    </row>
    <row r="31" spans="1:28" ht="18" hidden="1" customHeight="1" x14ac:dyDescent="0.2">
      <c r="A31">
        <v>305</v>
      </c>
      <c r="B31" t="s">
        <v>384</v>
      </c>
      <c r="C31" t="s">
        <v>385</v>
      </c>
      <c r="D31" t="s">
        <v>386</v>
      </c>
      <c r="E31">
        <v>3</v>
      </c>
      <c r="F31">
        <v>0</v>
      </c>
      <c r="G31">
        <v>5</v>
      </c>
      <c r="H31">
        <v>5</v>
      </c>
      <c r="I31">
        <v>5</v>
      </c>
      <c r="J31">
        <f t="shared" si="0"/>
        <v>18</v>
      </c>
      <c r="K31">
        <f>IF(J31="","", IFERROR(VLOOKUP(J31, IF(D31="Movers", 换算标准!$C:$D, 换算标准!$I:$J), 2, TRUE), 0))</f>
        <v>4</v>
      </c>
      <c r="M31">
        <v>5</v>
      </c>
      <c r="N31">
        <v>2</v>
      </c>
      <c r="O31">
        <v>6</v>
      </c>
      <c r="P31">
        <v>3</v>
      </c>
      <c r="Q31">
        <v>1</v>
      </c>
      <c r="R31">
        <v>0</v>
      </c>
      <c r="S31">
        <v>1</v>
      </c>
      <c r="T31">
        <f t="shared" si="1"/>
        <v>18</v>
      </c>
      <c r="U31">
        <f>IF(T31="","", IFERROR(VLOOKUP(T31, IF(D31="Movers", 换算标准!$A:$B, 换算标准!$G:$H), 2, TRUE), 0))</f>
        <v>2</v>
      </c>
      <c r="V31" t="s">
        <v>68</v>
      </c>
      <c r="W31">
        <f t="shared" si="2"/>
        <v>6</v>
      </c>
      <c r="Z31" s="5" t="str">
        <f>IF(J31="","", IF(K31&lt;=3, "⚠️ 薄弱环节: "&amp;INDEX($E$1:$I$1, MATCH(MIN(E31:I31), E31:I31, 0))&amp;CHAR(10)&amp;"📉 考察能力: "&amp;IFERROR(VLOOKUP(TRIM(D31)&amp;"_"&amp;TRIM(INDEX($E$1:$I$1, MATCH(MIN(E31:I31), E31:I31, 0))), 技能库!$A:$F, 5, 0),"建议查阅考纲")&amp;CHAR(10)&amp;"💡 提升建议: "&amp;IFERROR(VLOOKUP(TRIM(D31)&amp;"_"&amp;TRIM(INDEX($E$1:$I$1, MATCH(MIN(E31:I31), E31:I31, 0))), 技能库!$A:$F, 6, 0),"请针对该题型加强练习"), "🎉 表现优异，无明显弱项！"))</f>
        <v>🎉 表现优异，无明显弱项！</v>
      </c>
      <c r="AA31" s="5" t="str">
        <f>IF(T31="","", IF(U31&lt;=3, "⚠️ 薄弱环节: "&amp;INDEX($M$1:$S$1, MATCH(MIN(M31:S31), M31:S31, 0))&amp;CHAR(10)&amp;"📉 考察能力: "&amp;IFERROR(VLOOKUP(TRIM(D31)&amp;"_"&amp;TRIM(INDEX($M$1:$S$1, MATCH(MIN(M31:S31), M31:S31, 0))), 技能库!$A:$F, 5, 0),"建议查阅考纲")&amp;CHAR(10)&amp;"💡 提升建议: "&amp;IFERROR(VLOOKUP(TRIM(D31)&amp;"_"&amp;TRIM(INDEX($M$1:$S$1, MATCH(MIN(M31:S31), M31:S31,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31" t="s">
        <v>304</v>
      </c>
    </row>
    <row r="32" spans="1:28" ht="18" hidden="1" customHeight="1" x14ac:dyDescent="0.2">
      <c r="A32">
        <v>301</v>
      </c>
      <c r="B32" t="s">
        <v>384</v>
      </c>
      <c r="C32" t="s">
        <v>387</v>
      </c>
      <c r="D32" t="s">
        <v>86</v>
      </c>
      <c r="E32">
        <v>5</v>
      </c>
      <c r="F32">
        <v>1</v>
      </c>
      <c r="G32">
        <v>1</v>
      </c>
      <c r="H32">
        <v>3</v>
      </c>
      <c r="I32">
        <v>2</v>
      </c>
      <c r="J32">
        <f t="shared" si="0"/>
        <v>12</v>
      </c>
      <c r="K32">
        <f>IF(J32="","", IFERROR(VLOOKUP(J32, IF(D32="Movers", 换算标准!$C:$D, 换算标准!$I:$J), 2, TRUE), 0))</f>
        <v>2</v>
      </c>
      <c r="M32">
        <v>4</v>
      </c>
      <c r="N32">
        <v>4</v>
      </c>
      <c r="O32">
        <v>2</v>
      </c>
      <c r="P32">
        <v>3</v>
      </c>
      <c r="Q32">
        <v>0</v>
      </c>
      <c r="R32">
        <v>0</v>
      </c>
      <c r="T32">
        <f t="shared" si="1"/>
        <v>13</v>
      </c>
      <c r="U32">
        <f>IF(T32="","", IFERROR(VLOOKUP(T32, IF(D32="Movers", 换算标准!$A:$B, 换算标准!$G:$H), 2, TRUE), 0))</f>
        <v>1</v>
      </c>
      <c r="V32" t="s">
        <v>64</v>
      </c>
      <c r="W32">
        <f t="shared" si="2"/>
        <v>3</v>
      </c>
      <c r="Z32" s="5" t="str">
        <f>IF(J32="","", IF(K32&lt;=3, "⚠️ 薄弱环节: "&amp;INDEX($E$1:$I$1, MATCH(MIN(E32:I32), E32:I32, 0))&amp;CHAR(10)&amp;"📉 考察能力: "&amp;IFERROR(VLOOKUP(TRIM(D32)&amp;"_"&amp;TRIM(INDEX($E$1:$I$1, MATCH(MIN(E32:I32), E32:I32, 0))), 技能库!$A:$F, 5, 0),"建议查阅考纲")&amp;CHAR(10)&amp;"💡 提升建议: "&amp;IFERROR(VLOOKUP(TRIM(D32)&amp;"_"&amp;TRIM(INDEX($E$1:$I$1, MATCH(MIN(E32:I32), E32:I32,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2" s="5" t="str">
        <f>IF(T32="","", IF(U32&lt;=3, "⚠️ 薄弱环节: "&amp;INDEX($M$1:$S$1, MATCH(MIN(M32:S32), M32:S32, 0))&amp;CHAR(10)&amp;"📉 考察能力: "&amp;IFERROR(VLOOKUP(TRIM(D32)&amp;"_"&amp;TRIM(INDEX($M$1:$S$1, MATCH(MIN(M32:S32), M32:S32, 0))), 技能库!$A:$F, 5, 0),"建议查阅考纲")&amp;CHAR(10)&amp;"💡 提升建议: "&amp;IFERROR(VLOOKUP(TRIM(D32)&amp;"_"&amp;TRIM(INDEX($M$1:$S$1, MATCH(MIN(M32:S32), M32:S32,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  <c r="AB32" t="s">
        <v>304</v>
      </c>
    </row>
    <row r="33" spans="1:28" ht="18" hidden="1" customHeight="1" x14ac:dyDescent="0.2">
      <c r="A33">
        <v>301</v>
      </c>
      <c r="B33" t="s">
        <v>384</v>
      </c>
      <c r="C33" t="s">
        <v>388</v>
      </c>
      <c r="D33" t="s">
        <v>86</v>
      </c>
      <c r="E33">
        <v>5</v>
      </c>
      <c r="F33">
        <v>0</v>
      </c>
      <c r="G33">
        <v>1</v>
      </c>
      <c r="H33">
        <v>3</v>
      </c>
      <c r="I33">
        <v>0</v>
      </c>
      <c r="J33">
        <f t="shared" si="0"/>
        <v>9</v>
      </c>
      <c r="K33">
        <f>IF(J33="","", IFERROR(VLOOKUP(J33, IF(D33="Movers", 换算标准!$C:$D, 换算标准!$I:$J), 2, TRUE), 0))</f>
        <v>1</v>
      </c>
      <c r="M33">
        <v>1</v>
      </c>
      <c r="N33">
        <v>4</v>
      </c>
      <c r="O33">
        <v>0</v>
      </c>
      <c r="P33">
        <v>0</v>
      </c>
      <c r="Q33">
        <v>0</v>
      </c>
      <c r="R33">
        <v>0</v>
      </c>
      <c r="T33">
        <f t="shared" si="1"/>
        <v>5</v>
      </c>
      <c r="U33">
        <f>IF(T33="","", IFERROR(VLOOKUP(T33, IF(D33="Movers", 换算标准!$A:$B, 换算标准!$G:$H), 2, TRUE), 0))</f>
        <v>1</v>
      </c>
      <c r="V33" t="s">
        <v>64</v>
      </c>
      <c r="W33">
        <f t="shared" si="2"/>
        <v>2</v>
      </c>
      <c r="Z33" s="5" t="str">
        <f>IF(J33="","", IF(K33&lt;=3, "⚠️ 薄弱环节: "&amp;INDEX($E$1:$I$1, MATCH(MIN(E33:I33), E33:I33, 0))&amp;CHAR(10)&amp;"📉 考察能力: "&amp;IFERROR(VLOOKUP(TRIM(D33)&amp;"_"&amp;TRIM(INDEX($E$1:$I$1, MATCH(MIN(E33:I33), E33:I33, 0))), 技能库!$A:$F, 5, 0),"建议查阅考纲")&amp;CHAR(10)&amp;"💡 提升建议: "&amp;IFERROR(VLOOKUP(TRIM(D33)&amp;"_"&amp;TRIM(INDEX($E$1:$I$1, MATCH(MIN(E33:I33), E33:I33,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3" s="5" t="str">
        <f>IF(T33="","", IF(U33&lt;=3, "⚠️ 薄弱环节: "&amp;INDEX($M$1:$S$1, MATCH(MIN(M33:S33), M33:S33, 0))&amp;CHAR(10)&amp;"📉 考察能力: "&amp;IFERROR(VLOOKUP(TRIM(D33)&amp;"_"&amp;TRIM(INDEX($M$1:$S$1, MATCH(MIN(M33:S33), M33:S33, 0))), 技能库!$A:$F, 5, 0),"建议查阅考纲")&amp;CHAR(10)&amp;"💡 提升建议: "&amp;IFERROR(VLOOKUP(TRIM(D33)&amp;"_"&amp;TRIM(INDEX($M$1:$S$1, MATCH(MIN(M33:S33), M33:S33, 0))), 技能库!$A:$F, 6, 0),"请针对该题型加强练习"), "🎉 表现优异，无明显弱项！"))</f>
        <v>⚠️ 薄弱环节: RW-Pt3
📉 考察能力: [读写] 完形填空 (选词)
💡 提升建议: 通读全文掌握大意，根据词性判断空格处应填名词还是动词。</v>
      </c>
      <c r="AB33" t="s">
        <v>304</v>
      </c>
    </row>
    <row r="34" spans="1:28" ht="18" hidden="1" customHeight="1" x14ac:dyDescent="0.2">
      <c r="A34">
        <v>301</v>
      </c>
      <c r="B34" t="s">
        <v>384</v>
      </c>
      <c r="C34" t="s">
        <v>389</v>
      </c>
      <c r="D34" t="s">
        <v>86</v>
      </c>
      <c r="E34">
        <v>3</v>
      </c>
      <c r="F34">
        <v>0</v>
      </c>
      <c r="G34">
        <v>0</v>
      </c>
      <c r="H34">
        <v>0</v>
      </c>
      <c r="I34">
        <v>1</v>
      </c>
      <c r="J34">
        <f t="shared" si="0"/>
        <v>4</v>
      </c>
      <c r="K34">
        <f>IF(J34="","", IFERROR(VLOOKUP(J34, IF(D34="Movers", 换算标准!$C:$D, 换算标准!$I:$J), 2, TRUE), 0))</f>
        <v>1</v>
      </c>
      <c r="M34">
        <v>2</v>
      </c>
      <c r="N34">
        <v>2</v>
      </c>
      <c r="O34">
        <v>2</v>
      </c>
      <c r="P34">
        <v>0</v>
      </c>
      <c r="Q34">
        <v>0</v>
      </c>
      <c r="R34">
        <v>0</v>
      </c>
      <c r="T34">
        <f t="shared" si="1"/>
        <v>6</v>
      </c>
      <c r="U34">
        <f>IF(T34="","", IFERROR(VLOOKUP(T34, IF(D34="Movers", 换算标准!$A:$B, 换算标准!$G:$H), 2, TRUE), 0))</f>
        <v>1</v>
      </c>
      <c r="V34" t="s">
        <v>64</v>
      </c>
      <c r="W34">
        <f t="shared" si="2"/>
        <v>2</v>
      </c>
      <c r="Z34" s="5" t="str">
        <f>IF(J34="","", IF(K34&lt;=3, "⚠️ 薄弱环节: "&amp;INDEX($E$1:$I$1, MATCH(MIN(E34:I34), E34:I34, 0))&amp;CHAR(10)&amp;"📉 考察能力: "&amp;IFERROR(VLOOKUP(TRIM(D34)&amp;"_"&amp;TRIM(INDEX($E$1:$I$1, MATCH(MIN(E34:I34), E34:I34, 0))), 技能库!$A:$F, 5, 0),"建议查阅考纲")&amp;CHAR(10)&amp;"💡 提升建议: "&amp;IFERROR(VLOOKUP(TRIM(D34)&amp;"_"&amp;TRIM(INDEX($E$1:$I$1, MATCH(MIN(E34:I34), E34:I34,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4" s="5" t="str">
        <f>IF(T34="","", IF(U34&lt;=3, "⚠️ 薄弱环节: "&amp;INDEX($M$1:$S$1, MATCH(MIN(M34:S34), M34:S34, 0))&amp;CHAR(10)&amp;"📉 考察能力: "&amp;IFERROR(VLOOKUP(TRIM(D34)&amp;"_"&amp;TRIM(INDEX($M$1:$S$1, MATCH(MIN(M34:S34), M34:S34, 0))), 技能库!$A:$F, 5, 0),"建议查阅考纲")&amp;CHAR(10)&amp;"💡 提升建议: "&amp;IFERROR(VLOOKUP(TRIM(D34)&amp;"_"&amp;TRIM(INDEX($M$1:$S$1, MATCH(MIN(M34:S34), M34:S34,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  <c r="AB34" t="s">
        <v>304</v>
      </c>
    </row>
    <row r="35" spans="1:28" ht="18" hidden="1" customHeight="1" x14ac:dyDescent="0.2">
      <c r="A35">
        <v>301</v>
      </c>
      <c r="B35" t="s">
        <v>384</v>
      </c>
      <c r="C35" t="s">
        <v>390</v>
      </c>
      <c r="D35" t="s">
        <v>86</v>
      </c>
      <c r="E35">
        <v>4</v>
      </c>
      <c r="F35">
        <v>0</v>
      </c>
      <c r="G35">
        <v>0</v>
      </c>
      <c r="H35">
        <v>0</v>
      </c>
      <c r="I35">
        <v>1</v>
      </c>
      <c r="J35">
        <f t="shared" si="0"/>
        <v>5</v>
      </c>
      <c r="K35">
        <f>IF(J35="","", IFERROR(VLOOKUP(J35, IF(D35="Movers", 换算标准!$C:$D, 换算标准!$I:$J), 2, TRUE), 0))</f>
        <v>1</v>
      </c>
      <c r="M35">
        <v>2</v>
      </c>
      <c r="N35">
        <v>2</v>
      </c>
      <c r="O35">
        <v>0</v>
      </c>
      <c r="P35">
        <v>0</v>
      </c>
      <c r="Q35">
        <v>0</v>
      </c>
      <c r="R35">
        <v>0</v>
      </c>
      <c r="T35">
        <f t="shared" si="1"/>
        <v>4</v>
      </c>
      <c r="U35">
        <f>IF(T35="","", IFERROR(VLOOKUP(T35, IF(D35="Movers", 换算标准!$A:$B, 换算标准!$G:$H), 2, TRUE), 0))</f>
        <v>1</v>
      </c>
      <c r="V35" t="s">
        <v>64</v>
      </c>
      <c r="W35">
        <f t="shared" si="2"/>
        <v>2</v>
      </c>
      <c r="Z35" s="5" t="str">
        <f>IF(J35="","", IF(K35&lt;=3, "⚠️ 薄弱环节: "&amp;INDEX($E$1:$I$1, MATCH(MIN(E35:I35), E35:I35, 0))&amp;CHAR(10)&amp;"📉 考察能力: "&amp;IFERROR(VLOOKUP(TRIM(D35)&amp;"_"&amp;TRIM(INDEX($E$1:$I$1, MATCH(MIN(E35:I35), E35:I35, 0))), 技能库!$A:$F, 5, 0),"建议查阅考纲")&amp;CHAR(10)&amp;"💡 提升建议: "&amp;IFERROR(VLOOKUP(TRIM(D35)&amp;"_"&amp;TRIM(INDEX($E$1:$I$1, MATCH(MIN(E35:I35), E35:I35,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5" s="5" t="str">
        <f>IF(T35="","", IF(U35&lt;=3, "⚠️ 薄弱环节: "&amp;INDEX($M$1:$S$1, MATCH(MIN(M35:S35), M35:S35, 0))&amp;CHAR(10)&amp;"📉 考察能力: "&amp;IFERROR(VLOOKUP(TRIM(D35)&amp;"_"&amp;TRIM(INDEX($M$1:$S$1, MATCH(MIN(M35:S35), M35:S35, 0))), 技能库!$A:$F, 5, 0),"建议查阅考纲")&amp;CHAR(10)&amp;"💡 提升建议: "&amp;IFERROR(VLOOKUP(TRIM(D35)&amp;"_"&amp;TRIM(INDEX($M$1:$S$1, MATCH(MIN(M35:S35), M35:S35, 0))), 技能库!$A:$F, 6, 0),"请针对该题型加强练习"), "🎉 表现优异，无明显弱项！"))</f>
        <v>⚠️ 薄弱环节: RW-Pt3
📉 考察能力: [读写] 完形填空 (选词)
💡 提升建议: 通读全文掌握大意，根据词性判断空格处应填名词还是动词。</v>
      </c>
      <c r="AB35" t="s">
        <v>304</v>
      </c>
    </row>
    <row r="36" spans="1:28" ht="18" hidden="1" customHeight="1" x14ac:dyDescent="0.2">
      <c r="A36">
        <v>301</v>
      </c>
      <c r="B36" t="s">
        <v>384</v>
      </c>
      <c r="C36" t="s">
        <v>391</v>
      </c>
      <c r="D36" t="s">
        <v>86</v>
      </c>
      <c r="E36">
        <v>3</v>
      </c>
      <c r="F36">
        <v>1</v>
      </c>
      <c r="G36">
        <v>1</v>
      </c>
      <c r="H36">
        <v>3</v>
      </c>
      <c r="I36">
        <v>1</v>
      </c>
      <c r="J36">
        <f t="shared" si="0"/>
        <v>9</v>
      </c>
      <c r="K36">
        <f>IF(J36="","", IFERROR(VLOOKUP(J36, IF(D36="Movers", 换算标准!$C:$D, 换算标准!$I:$J), 2, TRUE), 0))</f>
        <v>1</v>
      </c>
      <c r="M36">
        <v>2</v>
      </c>
      <c r="N36">
        <v>0</v>
      </c>
      <c r="O36">
        <v>2</v>
      </c>
      <c r="P36">
        <v>2</v>
      </c>
      <c r="Q36">
        <v>1</v>
      </c>
      <c r="R36">
        <v>0</v>
      </c>
      <c r="T36">
        <f t="shared" si="1"/>
        <v>7</v>
      </c>
      <c r="U36">
        <f>IF(T36="","", IFERROR(VLOOKUP(T36, IF(D36="Movers", 换算标准!$A:$B, 换算标准!$G:$H), 2, TRUE), 0))</f>
        <v>1</v>
      </c>
      <c r="V36" t="s">
        <v>64</v>
      </c>
      <c r="W36">
        <f t="shared" si="2"/>
        <v>2</v>
      </c>
      <c r="Z36" s="5" t="str">
        <f>IF(J36="","", IF(K36&lt;=3, "⚠️ 薄弱环节: "&amp;INDEX($E$1:$I$1, MATCH(MIN(E36:I36), E36:I36, 0))&amp;CHAR(10)&amp;"📉 考察能力: "&amp;IFERROR(VLOOKUP(TRIM(D36)&amp;"_"&amp;TRIM(INDEX($E$1:$I$1, MATCH(MIN(E36:I36), E36:I36, 0))), 技能库!$A:$F, 5, 0),"建议查阅考纲")&amp;CHAR(10)&amp;"💡 提升建议: "&amp;IFERROR(VLOOKUP(TRIM(D36)&amp;"_"&amp;TRIM(INDEX($E$1:$I$1, MATCH(MIN(E36:I36), E36:I36,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6" s="5" t="str">
        <f>IF(T36="","", IF(U36&lt;=3, "⚠️ 薄弱环节: "&amp;INDEX($M$1:$S$1, MATCH(MIN(M36:S36), M36:S36, 0))&amp;CHAR(10)&amp;"📉 考察能力: "&amp;IFERROR(VLOOKUP(TRIM(D36)&amp;"_"&amp;TRIM(INDEX($M$1:$S$1, MATCH(MIN(M36:S36), M36:S36, 0))), 技能库!$A:$F, 5, 0),"建议查阅考纲")&amp;CHAR(10)&amp;"💡 提升建议: "&amp;IFERROR(VLOOKUP(TRIM(D36)&amp;"_"&amp;TRIM(INDEX($M$1:$S$1, MATCH(MIN(M36:S36), M36:S36,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  <c r="AB36" t="s">
        <v>304</v>
      </c>
    </row>
    <row r="37" spans="1:28" ht="18" hidden="1" customHeight="1" x14ac:dyDescent="0.2">
      <c r="A37">
        <v>301</v>
      </c>
      <c r="B37" t="s">
        <v>384</v>
      </c>
      <c r="C37" t="s">
        <v>392</v>
      </c>
      <c r="D37" t="s">
        <v>86</v>
      </c>
      <c r="E37">
        <v>4</v>
      </c>
      <c r="F37">
        <v>2</v>
      </c>
      <c r="G37">
        <v>3</v>
      </c>
      <c r="H37">
        <v>1</v>
      </c>
      <c r="I37">
        <v>4</v>
      </c>
      <c r="J37">
        <f t="shared" si="0"/>
        <v>14</v>
      </c>
      <c r="K37">
        <f>IF(J37="","", IFERROR(VLOOKUP(J37, IF(D37="Movers", 换算标准!$C:$D, 换算标准!$I:$J), 2, TRUE), 0))</f>
        <v>3</v>
      </c>
      <c r="M37">
        <v>3</v>
      </c>
      <c r="N37">
        <v>4</v>
      </c>
      <c r="O37">
        <v>4</v>
      </c>
      <c r="P37">
        <v>1</v>
      </c>
      <c r="Q37">
        <v>2</v>
      </c>
      <c r="R37">
        <v>1</v>
      </c>
      <c r="T37">
        <f t="shared" si="1"/>
        <v>15</v>
      </c>
      <c r="U37">
        <f>IF(T37="","", IFERROR(VLOOKUP(T37, IF(D37="Movers", 换算标准!$A:$B, 换算标准!$G:$H), 2, TRUE), 0))</f>
        <v>1</v>
      </c>
      <c r="V37" t="s">
        <v>64</v>
      </c>
      <c r="W37">
        <f t="shared" si="2"/>
        <v>4</v>
      </c>
      <c r="Z37" s="5" t="str">
        <f>IF(J37="","", IF(K37&lt;=3, "⚠️ 薄弱环节: "&amp;INDEX($E$1:$I$1, MATCH(MIN(E37:I37), E37:I37, 0))&amp;CHAR(10)&amp;"📉 考察能力: "&amp;IFERROR(VLOOKUP(TRIM(D37)&amp;"_"&amp;TRIM(INDEX($E$1:$I$1, MATCH(MIN(E37:I37), E37:I37, 0))), 技能库!$A:$F, 5, 0),"建议查阅考纲")&amp;CHAR(10)&amp;"💡 提升建议: "&amp;IFERROR(VLOOKUP(TRIM(D37)&amp;"_"&amp;TRIM(INDEX($E$1:$I$1, MATCH(MIN(E37:I37), E37:I37, 0))), 技能库!$A:$F, 6, 0),"请针对该题型加强练习"), "🎉 表现优异，无明显弱项！"))</f>
        <v>⚠️ 薄弱环节: L-Pt4
📉 考察能力: [听力] 听取细节 (选择题)
💡 提升建议: 每个小题都是一个小故事，注意听转折词 (but, no)。</v>
      </c>
      <c r="AA37" s="5" t="str">
        <f>IF(T37="","", IF(U37&lt;=3, "⚠️ 薄弱环节: "&amp;INDEX($M$1:$S$1, MATCH(MIN(M37:S37), M37:S37, 0))&amp;CHAR(10)&amp;"📉 考察能力: "&amp;IFERROR(VLOOKUP(TRIM(D37)&amp;"_"&amp;TRIM(INDEX($M$1:$S$1, MATCH(MIN(M37:S37), M37:S37, 0))), 技能库!$A:$F, 5, 0),"建议查阅考纲")&amp;CHAR(10)&amp;"💡 提升建议: "&amp;IFERROR(VLOOKUP(TRIM(D37)&amp;"_"&amp;TRIM(INDEX($M$1:$S$1, MATCH(MIN(M37:S37), M37:S37,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  <c r="AB37" t="s">
        <v>304</v>
      </c>
    </row>
    <row r="38" spans="1:28" ht="18" hidden="1" customHeight="1" x14ac:dyDescent="0.2">
      <c r="A38">
        <v>303</v>
      </c>
      <c r="B38" t="s">
        <v>384</v>
      </c>
      <c r="C38" t="s">
        <v>393</v>
      </c>
      <c r="D38" t="s">
        <v>86</v>
      </c>
      <c r="E38">
        <v>5</v>
      </c>
      <c r="F38">
        <v>2</v>
      </c>
      <c r="G38">
        <v>3</v>
      </c>
      <c r="H38">
        <v>2</v>
      </c>
      <c r="I38">
        <v>3</v>
      </c>
      <c r="J38">
        <f t="shared" si="0"/>
        <v>15</v>
      </c>
      <c r="K38">
        <f>IF(J38="","", IFERROR(VLOOKUP(J38, IF(D38="Movers", 换算标准!$C:$D, 换算标准!$I:$J), 2, TRUE), 0))</f>
        <v>3</v>
      </c>
      <c r="M38">
        <v>5</v>
      </c>
      <c r="N38">
        <v>1</v>
      </c>
      <c r="O38">
        <v>0</v>
      </c>
      <c r="P38">
        <v>1</v>
      </c>
      <c r="Q38">
        <v>0</v>
      </c>
      <c r="R38">
        <v>0</v>
      </c>
      <c r="T38">
        <f t="shared" si="1"/>
        <v>7</v>
      </c>
      <c r="U38">
        <f>IF(T38="","", IFERROR(VLOOKUP(T38, IF(D38="Movers", 换算标准!$A:$B, 换算标准!$G:$H), 2, TRUE), 0))</f>
        <v>1</v>
      </c>
      <c r="V38" t="s">
        <v>64</v>
      </c>
      <c r="W38">
        <f t="shared" si="2"/>
        <v>4</v>
      </c>
      <c r="Z38" s="5" t="str">
        <f>IF(J38="","", IF(K38&lt;=3, "⚠️ 薄弱环节: "&amp;INDEX($E$1:$I$1, MATCH(MIN(E38:I38), E38:I38, 0))&amp;CHAR(10)&amp;"📉 考察能力: "&amp;IFERROR(VLOOKUP(TRIM(D38)&amp;"_"&amp;TRIM(INDEX($E$1:$I$1, MATCH(MIN(E38:I38), E38:I38, 0))), 技能库!$A:$F, 5, 0),"建议查阅考纲")&amp;CHAR(10)&amp;"💡 提升建议: "&amp;IFERROR(VLOOKUP(TRIM(D38)&amp;"_"&amp;TRIM(INDEX($E$1:$I$1, MATCH(MIN(E38:I38), E38:I38,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38" s="5" t="str">
        <f>IF(T38="","", IF(U38&lt;=3, "⚠️ 薄弱环节: "&amp;INDEX($M$1:$S$1, MATCH(MIN(M38:S38), M38:S38, 0))&amp;CHAR(10)&amp;"📉 考察能力: "&amp;IFERROR(VLOOKUP(TRIM(D38)&amp;"_"&amp;TRIM(INDEX($M$1:$S$1, MATCH(MIN(M38:S38), M38:S38, 0))), 技能库!$A:$F, 5, 0),"建议查阅考纲")&amp;CHAR(10)&amp;"💡 提升建议: "&amp;IFERROR(VLOOKUP(TRIM(D38)&amp;"_"&amp;TRIM(INDEX($M$1:$S$1, MATCH(MIN(M38:S38), M38:S38, 0))), 技能库!$A:$F, 6, 0),"请针对该题型加强练习"), "🎉 表现优异，无明显弱项！"))</f>
        <v>⚠️ 薄弱环节: RW-Pt3
📉 考察能力: [读写] 完形填空 (选词)
💡 提升建议: 通读全文掌握大意，根据词性判断空格处应填名词还是动词。</v>
      </c>
      <c r="AB38" t="s">
        <v>304</v>
      </c>
    </row>
    <row r="39" spans="1:28" ht="18" hidden="1" customHeight="1" x14ac:dyDescent="0.2">
      <c r="A39">
        <v>303</v>
      </c>
      <c r="B39" t="s">
        <v>384</v>
      </c>
      <c r="C39" t="s">
        <v>394</v>
      </c>
      <c r="D39" t="s">
        <v>86</v>
      </c>
      <c r="E39">
        <v>5</v>
      </c>
      <c r="F39">
        <v>2</v>
      </c>
      <c r="G39">
        <v>5</v>
      </c>
      <c r="H39">
        <v>3</v>
      </c>
      <c r="I39">
        <v>3</v>
      </c>
      <c r="J39">
        <f t="shared" si="0"/>
        <v>18</v>
      </c>
      <c r="K39">
        <f>IF(J39="","", IFERROR(VLOOKUP(J39, IF(D39="Movers", 换算标准!$C:$D, 换算标准!$I:$J), 2, TRUE), 0))</f>
        <v>4</v>
      </c>
      <c r="M39">
        <v>2</v>
      </c>
      <c r="N39">
        <v>4</v>
      </c>
      <c r="O39">
        <v>4</v>
      </c>
      <c r="P39">
        <v>3</v>
      </c>
      <c r="Q39">
        <v>3</v>
      </c>
      <c r="R39">
        <v>0</v>
      </c>
      <c r="T39">
        <f t="shared" si="1"/>
        <v>16</v>
      </c>
      <c r="U39">
        <f>IF(T39="","", IFERROR(VLOOKUP(T39, IF(D39="Movers", 换算标准!$A:$B, 换算标准!$G:$H), 2, TRUE), 0))</f>
        <v>1</v>
      </c>
      <c r="V39" t="s">
        <v>64</v>
      </c>
      <c r="W39">
        <f t="shared" si="2"/>
        <v>5</v>
      </c>
      <c r="Z39" s="5" t="str">
        <f>IF(J39="","", IF(K39&lt;=3, "⚠️ 薄弱环节: "&amp;INDEX($E$1:$I$1, MATCH(MIN(E39:I39), E39:I39, 0))&amp;CHAR(10)&amp;"📉 考察能力: "&amp;IFERROR(VLOOKUP(TRIM(D39)&amp;"_"&amp;TRIM(INDEX($E$1:$I$1, MATCH(MIN(E39:I39), E39:I39, 0))), 技能库!$A:$F, 5, 0),"建议查阅考纲")&amp;CHAR(10)&amp;"💡 提升建议: "&amp;IFERROR(VLOOKUP(TRIM(D39)&amp;"_"&amp;TRIM(INDEX($E$1:$I$1, MATCH(MIN(E39:I39), E39:I39, 0))), 技能库!$A:$F, 6, 0),"请针对该题型加强练习"), "🎉 表现优异，无明显弱项！"))</f>
        <v>🎉 表现优异，无明显弱项！</v>
      </c>
      <c r="AA39" s="5" t="str">
        <f>IF(T39="","", IF(U39&lt;=3, "⚠️ 薄弱环节: "&amp;INDEX($M$1:$S$1, MATCH(MIN(M39:S39), M39:S39, 0))&amp;CHAR(10)&amp;"📉 考察能力: "&amp;IFERROR(VLOOKUP(TRIM(D39)&amp;"_"&amp;TRIM(INDEX($M$1:$S$1, MATCH(MIN(M39:S39), M39:S39, 0))), 技能库!$A:$F, 5, 0),"建议查阅考纲")&amp;CHAR(10)&amp;"💡 提升建议: "&amp;IFERROR(VLOOKUP(TRIM(D39)&amp;"_"&amp;TRIM(INDEX($M$1:$S$1, MATCH(MIN(M39:S39), M39:S39, 0))), 技能库!$A:$F, 6, 0),"请针对该题型加强练习"), "🎉 表现优异，无明显弱项！"))</f>
        <v>⚠️ 薄弱环节: RW-Pt6
📉 考察能力: [读写] 看图写句子
💡 提升建议: 仔细观察图片，回答问题并写完整的句子，注意拼写。</v>
      </c>
      <c r="AB39" t="s">
        <v>304</v>
      </c>
    </row>
    <row r="40" spans="1:28" ht="18" hidden="1" customHeight="1" x14ac:dyDescent="0.2">
      <c r="A40">
        <v>303</v>
      </c>
      <c r="B40" t="s">
        <v>384</v>
      </c>
      <c r="C40" t="s">
        <v>395</v>
      </c>
      <c r="D40" t="s">
        <v>86</v>
      </c>
      <c r="E40">
        <v>5</v>
      </c>
      <c r="F40">
        <v>1</v>
      </c>
      <c r="G40">
        <v>0</v>
      </c>
      <c r="H40">
        <v>3</v>
      </c>
      <c r="I40">
        <v>3</v>
      </c>
      <c r="J40">
        <f t="shared" si="0"/>
        <v>12</v>
      </c>
      <c r="K40">
        <f>IF(J40="","", IFERROR(VLOOKUP(J40, IF(D40="Movers", 换算标准!$C:$D, 换算标准!$I:$J), 2, TRUE), 0))</f>
        <v>2</v>
      </c>
      <c r="M40">
        <v>3</v>
      </c>
      <c r="N40">
        <v>3</v>
      </c>
      <c r="O40">
        <v>5</v>
      </c>
      <c r="P40">
        <v>3</v>
      </c>
      <c r="Q40">
        <v>1</v>
      </c>
      <c r="R40">
        <v>1</v>
      </c>
      <c r="T40">
        <f t="shared" si="1"/>
        <v>16</v>
      </c>
      <c r="U40">
        <f>IF(T40="","", IFERROR(VLOOKUP(T40, IF(D40="Movers", 换算标准!$A:$B, 换算标准!$G:$H), 2, TRUE), 0))</f>
        <v>1</v>
      </c>
      <c r="V40" t="s">
        <v>64</v>
      </c>
      <c r="W40">
        <f t="shared" si="2"/>
        <v>3</v>
      </c>
      <c r="Z40" s="5" t="str">
        <f>IF(J40="","", IF(K40&lt;=3, "⚠️ 薄弱环节: "&amp;INDEX($E$1:$I$1, MATCH(MIN(E40:I40), E40:I40, 0))&amp;CHAR(10)&amp;"📉 考察能力: "&amp;IFERROR(VLOOKUP(TRIM(D40)&amp;"_"&amp;TRIM(INDEX($E$1:$I$1, MATCH(MIN(E40:I40), E40:I40, 0))), 技能库!$A:$F, 5, 0),"建议查阅考纲")&amp;CHAR(10)&amp;"💡 提升建议: "&amp;IFERROR(VLOOKUP(TRIM(D40)&amp;"_"&amp;TRIM(INDEX($E$1:$I$1, MATCH(MIN(E40:I40), E40:I40, 0))), 技能库!$A:$F, 6, 0),"请针对该题型加强练习"), "🎉 表现优异，无明显弱项！"))</f>
        <v>⚠️ 薄弱环节: L-Pt3
📉 考察能力: [听力] 图片匹配 (星期/活动)
💡 提升建议: 听完整的句子，注意区分过去几天做了什么，留意干扰项。</v>
      </c>
      <c r="AA40" s="5" t="str">
        <f>IF(T40="","", IF(U40&lt;=3, "⚠️ 薄弱环节: "&amp;INDEX($M$1:$S$1, MATCH(MIN(M40:S40), M40:S40, 0))&amp;CHAR(10)&amp;"📉 考察能力: "&amp;IFERROR(VLOOKUP(TRIM(D40)&amp;"_"&amp;TRIM(INDEX($M$1:$S$1, MATCH(MIN(M40:S40), M40:S40, 0))), 技能库!$A:$F, 5, 0),"建议查阅考纲")&amp;CHAR(10)&amp;"💡 提升建议: "&amp;IFERROR(VLOOKUP(TRIM(D40)&amp;"_"&amp;TRIM(INDEX($M$1:$S$1, MATCH(MIN(M40:S40), M40:S40,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  <c r="AB40" t="s">
        <v>304</v>
      </c>
    </row>
    <row r="41" spans="1:28" ht="18" hidden="1" customHeight="1" x14ac:dyDescent="0.2">
      <c r="A41">
        <v>305</v>
      </c>
      <c r="B41" t="s">
        <v>384</v>
      </c>
      <c r="C41" t="s">
        <v>396</v>
      </c>
      <c r="D41" t="s">
        <v>86</v>
      </c>
      <c r="E41">
        <v>3</v>
      </c>
      <c r="F41">
        <v>1</v>
      </c>
      <c r="G41">
        <v>1</v>
      </c>
      <c r="H41">
        <v>1</v>
      </c>
      <c r="I41">
        <v>1</v>
      </c>
      <c r="J41">
        <f t="shared" si="0"/>
        <v>7</v>
      </c>
      <c r="K41">
        <f>IF(J41="","", IFERROR(VLOOKUP(J41, IF(D41="Movers", 换算标准!$C:$D, 换算标准!$I:$J), 2, TRUE), 0))</f>
        <v>1</v>
      </c>
      <c r="M41">
        <v>3</v>
      </c>
      <c r="N41">
        <v>3</v>
      </c>
      <c r="O41">
        <v>3</v>
      </c>
      <c r="P41">
        <v>0</v>
      </c>
      <c r="Q41">
        <v>0</v>
      </c>
      <c r="R41">
        <v>0</v>
      </c>
      <c r="T41">
        <f t="shared" si="1"/>
        <v>9</v>
      </c>
      <c r="U41">
        <f>IF(T41="","", IFERROR(VLOOKUP(T41, IF(D41="Movers", 换算标准!$A:$B, 换算标准!$G:$H), 2, TRUE), 0))</f>
        <v>1</v>
      </c>
      <c r="V41" t="s">
        <v>64</v>
      </c>
      <c r="W41">
        <f t="shared" si="2"/>
        <v>2</v>
      </c>
      <c r="Z41" s="5" t="str">
        <f>IF(J41="","", IF(K41&lt;=3, "⚠️ 薄弱环节: "&amp;INDEX($E$1:$I$1, MATCH(MIN(E41:I41), E41:I41, 0))&amp;CHAR(10)&amp;"📉 考察能力: "&amp;IFERROR(VLOOKUP(TRIM(D41)&amp;"_"&amp;TRIM(INDEX($E$1:$I$1, MATCH(MIN(E41:I41), E41:I41, 0))), 技能库!$A:$F, 5, 0),"建议查阅考纲")&amp;CHAR(10)&amp;"💡 提升建议: "&amp;IFERROR(VLOOKUP(TRIM(D41)&amp;"_"&amp;TRIM(INDEX($E$1:$I$1, MATCH(MIN(E41:I41), E41:I41,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41" s="5" t="str">
        <f>IF(T41="","", IF(U41&lt;=3, "⚠️ 薄弱环节: "&amp;INDEX($M$1:$S$1, MATCH(MIN(M41:S41), M41:S41, 0))&amp;CHAR(10)&amp;"📉 考察能力: "&amp;IFERROR(VLOOKUP(TRIM(D41)&amp;"_"&amp;TRIM(INDEX($M$1:$S$1, MATCH(MIN(M41:S41), M41:S41, 0))), 技能库!$A:$F, 5, 0),"建议查阅考纲")&amp;CHAR(10)&amp;"💡 提升建议: "&amp;IFERROR(VLOOKUP(TRIM(D41)&amp;"_"&amp;TRIM(INDEX($M$1:$S$1, MATCH(MIN(M41:S41), M41:S41,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  <c r="AB41" t="s">
        <v>304</v>
      </c>
    </row>
    <row r="42" spans="1:28" ht="18" hidden="1" customHeight="1" x14ac:dyDescent="0.2">
      <c r="A42">
        <v>305</v>
      </c>
      <c r="B42" t="s">
        <v>384</v>
      </c>
      <c r="C42" t="s">
        <v>397</v>
      </c>
      <c r="D42" t="s">
        <v>86</v>
      </c>
      <c r="E42">
        <v>5</v>
      </c>
      <c r="F42">
        <v>2</v>
      </c>
      <c r="G42">
        <v>3</v>
      </c>
      <c r="H42">
        <v>4</v>
      </c>
      <c r="I42">
        <v>2</v>
      </c>
      <c r="J42">
        <f t="shared" si="0"/>
        <v>16</v>
      </c>
      <c r="K42">
        <f>IF(J42="","", IFERROR(VLOOKUP(J42, IF(D42="Movers", 换算标准!$C:$D, 换算标准!$I:$J), 2, TRUE), 0))</f>
        <v>3</v>
      </c>
      <c r="M42">
        <v>5</v>
      </c>
      <c r="N42">
        <v>4</v>
      </c>
      <c r="O42">
        <v>3</v>
      </c>
      <c r="P42">
        <v>2</v>
      </c>
      <c r="Q42">
        <v>3</v>
      </c>
      <c r="R42">
        <v>3</v>
      </c>
      <c r="T42">
        <f t="shared" si="1"/>
        <v>20</v>
      </c>
      <c r="U42">
        <f>IF(T42="","", IFERROR(VLOOKUP(T42, IF(D42="Movers", 换算标准!$A:$B, 换算标准!$G:$H), 2, TRUE), 0))</f>
        <v>2</v>
      </c>
      <c r="V42" t="s">
        <v>67</v>
      </c>
      <c r="W42">
        <f t="shared" si="2"/>
        <v>5</v>
      </c>
      <c r="Z42" s="5" t="str">
        <f>IF(J42="","", IF(K42&lt;=3, "⚠️ 薄弱环节: "&amp;INDEX($E$1:$I$1, MATCH(MIN(E42:I42), E42:I42, 0))&amp;CHAR(10)&amp;"📉 考察能力: "&amp;IFERROR(VLOOKUP(TRIM(D42)&amp;"_"&amp;TRIM(INDEX($E$1:$I$1, MATCH(MIN(E42:I42), E42:I42, 0))), 技能库!$A:$F, 5, 0),"建议查阅考纲")&amp;CHAR(10)&amp;"💡 提升建议: "&amp;IFERROR(VLOOKUP(TRIM(D42)&amp;"_"&amp;TRIM(INDEX($E$1:$I$1, MATCH(MIN(E42:I42), E42:I42,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42" s="5" t="str">
        <f>IF(T42="","", IF(U42&lt;=3, "⚠️ 薄弱环节: "&amp;INDEX($M$1:$S$1, MATCH(MIN(M42:S42), M42:S42, 0))&amp;CHAR(10)&amp;"📉 考察能力: "&amp;IFERROR(VLOOKUP(TRIM(D42)&amp;"_"&amp;TRIM(INDEX($M$1:$S$1, MATCH(MIN(M42:S42), M42:S42, 0))), 技能库!$A:$F, 5, 0),"建议查阅考纲")&amp;CHAR(10)&amp;"💡 提升建议: "&amp;IFERROR(VLOOKUP(TRIM(D42)&amp;"_"&amp;TRIM(INDEX($M$1:$S$1, MATCH(MIN(M42:S42), M42:S42,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  <c r="AB42" t="s">
        <v>304</v>
      </c>
    </row>
    <row r="43" spans="1:28" ht="18" hidden="1" customHeight="1" x14ac:dyDescent="0.2">
      <c r="A43">
        <v>305</v>
      </c>
      <c r="B43" t="s">
        <v>384</v>
      </c>
      <c r="C43" t="s">
        <v>398</v>
      </c>
      <c r="D43" t="s">
        <v>86</v>
      </c>
      <c r="E43">
        <v>5</v>
      </c>
      <c r="F43">
        <v>0</v>
      </c>
      <c r="G43">
        <v>0</v>
      </c>
      <c r="H43">
        <v>1</v>
      </c>
      <c r="I43">
        <v>1</v>
      </c>
      <c r="J43">
        <f t="shared" si="0"/>
        <v>7</v>
      </c>
      <c r="K43">
        <f>IF(J43="","", IFERROR(VLOOKUP(J43, IF(D43="Movers", 换算标准!$C:$D, 换算标准!$I:$J), 2, TRUE), 0))</f>
        <v>1</v>
      </c>
      <c r="M43">
        <v>4</v>
      </c>
      <c r="N43">
        <v>0</v>
      </c>
      <c r="O43">
        <v>1</v>
      </c>
      <c r="P43">
        <v>0</v>
      </c>
      <c r="Q43">
        <v>0</v>
      </c>
      <c r="R43">
        <v>0</v>
      </c>
      <c r="T43">
        <f t="shared" si="1"/>
        <v>5</v>
      </c>
      <c r="U43">
        <f>IF(T43="","", IFERROR(VLOOKUP(T43, IF(D43="Movers", 换算标准!$A:$B, 换算标准!$G:$H), 2, TRUE), 0))</f>
        <v>1</v>
      </c>
      <c r="V43" t="s">
        <v>64</v>
      </c>
      <c r="W43">
        <f t="shared" si="2"/>
        <v>2</v>
      </c>
      <c r="Z43" s="5" t="str">
        <f>IF(J43="","", IF(K43&lt;=3, "⚠️ 薄弱环节: "&amp;INDEX($E$1:$I$1, MATCH(MIN(E43:I43), E43:I43, 0))&amp;CHAR(10)&amp;"📉 考察能力: "&amp;IFERROR(VLOOKUP(TRIM(D43)&amp;"_"&amp;TRIM(INDEX($E$1:$I$1, MATCH(MIN(E43:I43), E43:I43, 0))), 技能库!$A:$F, 5, 0),"建议查阅考纲")&amp;CHAR(10)&amp;"💡 提升建议: "&amp;IFERROR(VLOOKUP(TRIM(D43)&amp;"_"&amp;TRIM(INDEX($E$1:$I$1, MATCH(MIN(E43:I43), E43:I43,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43" s="5" t="str">
        <f>IF(T43="","", IF(U43&lt;=3, "⚠️ 薄弱环节: "&amp;INDEX($M$1:$S$1, MATCH(MIN(M43:S43), M43:S43, 0))&amp;CHAR(10)&amp;"📉 考察能力: "&amp;IFERROR(VLOOKUP(TRIM(D43)&amp;"_"&amp;TRIM(INDEX($M$1:$S$1, MATCH(MIN(M43:S43), M43:S43, 0))), 技能库!$A:$F, 5, 0),"建议查阅考纲")&amp;CHAR(10)&amp;"💡 提升建议: "&amp;IFERROR(VLOOKUP(TRIM(D43)&amp;"_"&amp;TRIM(INDEX($M$1:$S$1, MATCH(MIN(M43:S43), M43:S43,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  <c r="AB43" t="s">
        <v>304</v>
      </c>
    </row>
    <row r="44" spans="1:28" ht="18" hidden="1" customHeight="1" x14ac:dyDescent="0.2">
      <c r="A44">
        <v>305</v>
      </c>
      <c r="B44" t="s">
        <v>384</v>
      </c>
      <c r="C44" t="s">
        <v>399</v>
      </c>
      <c r="D44" t="s">
        <v>86</v>
      </c>
      <c r="E44">
        <v>3</v>
      </c>
      <c r="F44">
        <v>2</v>
      </c>
      <c r="G44">
        <v>0</v>
      </c>
      <c r="H44">
        <v>2</v>
      </c>
      <c r="I44">
        <v>3</v>
      </c>
      <c r="J44">
        <f t="shared" si="0"/>
        <v>10</v>
      </c>
      <c r="K44">
        <f>IF(J44="","", IFERROR(VLOOKUP(J44, IF(D44="Movers", 换算标准!$C:$D, 换算标准!$I:$J), 2, TRUE), 0))</f>
        <v>1</v>
      </c>
      <c r="M44">
        <v>2</v>
      </c>
      <c r="N44">
        <v>1</v>
      </c>
      <c r="O44">
        <v>2</v>
      </c>
      <c r="P44">
        <v>1</v>
      </c>
      <c r="Q44">
        <v>0</v>
      </c>
      <c r="R44">
        <v>0</v>
      </c>
      <c r="T44">
        <f t="shared" si="1"/>
        <v>6</v>
      </c>
      <c r="U44">
        <f>IF(T44="","", IFERROR(VLOOKUP(T44, IF(D44="Movers", 换算标准!$A:$B, 换算标准!$G:$H), 2, TRUE), 0))</f>
        <v>1</v>
      </c>
      <c r="V44" t="s">
        <v>64</v>
      </c>
      <c r="W44">
        <f t="shared" si="2"/>
        <v>2</v>
      </c>
      <c r="Z44" s="5" t="str">
        <f>IF(J44="","", IF(K44&lt;=3, "⚠️ 薄弱环节: "&amp;INDEX($E$1:$I$1, MATCH(MIN(E44:I44), E44:I44, 0))&amp;CHAR(10)&amp;"📉 考察能力: "&amp;IFERROR(VLOOKUP(TRIM(D44)&amp;"_"&amp;TRIM(INDEX($E$1:$I$1, MATCH(MIN(E44:I44), E44:I44, 0))), 技能库!$A:$F, 5, 0),"建议查阅考纲")&amp;CHAR(10)&amp;"💡 提升建议: "&amp;IFERROR(VLOOKUP(TRIM(D44)&amp;"_"&amp;TRIM(INDEX($E$1:$I$1, MATCH(MIN(E44:I44), E44:I44, 0))), 技能库!$A:$F, 6, 0),"请针对该题型加强练习"), "🎉 表现优异，无明显弱项！"))</f>
        <v>⚠️ 薄弱环节: L-Pt3
📉 考察能力: [听力] 图片匹配 (星期/活动)
💡 提升建议: 听完整的句子，注意区分过去几天做了什么，留意干扰项。</v>
      </c>
      <c r="AA44" s="5" t="str">
        <f>IF(T44="","", IF(U44&lt;=3, "⚠️ 薄弱环节: "&amp;INDEX($M$1:$S$1, MATCH(MIN(M44:S44), M44:S44, 0))&amp;CHAR(10)&amp;"📉 考察能力: "&amp;IFERROR(VLOOKUP(TRIM(D44)&amp;"_"&amp;TRIM(INDEX($M$1:$S$1, MATCH(MIN(M44:S44), M44:S44, 0))), 技能库!$A:$F, 5, 0),"建议查阅考纲")&amp;CHAR(10)&amp;"💡 提升建议: "&amp;IFERROR(VLOOKUP(TRIM(D44)&amp;"_"&amp;TRIM(INDEX($M$1:$S$1, MATCH(MIN(M44:S44), M44:S44,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  <c r="AB44" t="s">
        <v>304</v>
      </c>
    </row>
    <row r="45" spans="1:28" ht="18" hidden="1" customHeight="1" x14ac:dyDescent="0.2">
      <c r="A45">
        <v>305</v>
      </c>
      <c r="B45" t="s">
        <v>384</v>
      </c>
      <c r="C45" t="s">
        <v>400</v>
      </c>
      <c r="D45" t="s">
        <v>86</v>
      </c>
      <c r="E45">
        <v>4</v>
      </c>
      <c r="F45">
        <v>0</v>
      </c>
      <c r="G45">
        <v>2</v>
      </c>
      <c r="H45">
        <v>2</v>
      </c>
      <c r="I45">
        <v>5</v>
      </c>
      <c r="J45">
        <f t="shared" si="0"/>
        <v>13</v>
      </c>
      <c r="K45">
        <f>IF(J45="","", IFERROR(VLOOKUP(J45, IF(D45="Movers", 换算标准!$C:$D, 换算标准!$I:$J), 2, TRUE), 0))</f>
        <v>2</v>
      </c>
      <c r="M45">
        <v>4</v>
      </c>
      <c r="N45">
        <v>0</v>
      </c>
      <c r="O45">
        <v>1</v>
      </c>
      <c r="P45">
        <v>0</v>
      </c>
      <c r="Q45">
        <v>0</v>
      </c>
      <c r="R45">
        <v>1</v>
      </c>
      <c r="T45">
        <f t="shared" si="1"/>
        <v>6</v>
      </c>
      <c r="U45">
        <f>IF(T45="","", IFERROR(VLOOKUP(T45, IF(D45="Movers", 换算标准!$A:$B, 换算标准!$G:$H), 2, TRUE), 0))</f>
        <v>1</v>
      </c>
      <c r="V45" t="s">
        <v>64</v>
      </c>
      <c r="W45">
        <f t="shared" si="2"/>
        <v>3</v>
      </c>
      <c r="Z45" s="5" t="str">
        <f>IF(J45="","", IF(K45&lt;=3, "⚠️ 薄弱环节: "&amp;INDEX($E$1:$I$1, MATCH(MIN(E45:I45), E45:I45, 0))&amp;CHAR(10)&amp;"📉 考察能力: "&amp;IFERROR(VLOOKUP(TRIM(D45)&amp;"_"&amp;TRIM(INDEX($E$1:$I$1, MATCH(MIN(E45:I45), E45:I45, 0))), 技能库!$A:$F, 5, 0),"建议查阅考纲")&amp;CHAR(10)&amp;"💡 提升建议: "&amp;IFERROR(VLOOKUP(TRIM(D45)&amp;"_"&amp;TRIM(INDEX($E$1:$I$1, MATCH(MIN(E45:I45), E45:I45,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45" s="5" t="str">
        <f>IF(T45="","", IF(U45&lt;=3, "⚠️ 薄弱环节: "&amp;INDEX($M$1:$S$1, MATCH(MIN(M45:S45), M45:S45, 0))&amp;CHAR(10)&amp;"📉 考察能力: "&amp;IFERROR(VLOOKUP(TRIM(D45)&amp;"_"&amp;TRIM(INDEX($M$1:$S$1, MATCH(MIN(M45:S45), M45:S45, 0))), 技能库!$A:$F, 5, 0),"建议查阅考纲")&amp;CHAR(10)&amp;"💡 提升建议: "&amp;IFERROR(VLOOKUP(TRIM(D45)&amp;"_"&amp;TRIM(INDEX($M$1:$S$1, MATCH(MIN(M45:S45), M45:S45,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  <c r="AB45" t="s">
        <v>304</v>
      </c>
    </row>
    <row r="46" spans="1:28" ht="18" hidden="1" customHeight="1" x14ac:dyDescent="0.2">
      <c r="A46">
        <v>305</v>
      </c>
      <c r="B46" t="s">
        <v>384</v>
      </c>
      <c r="C46" t="s">
        <v>401</v>
      </c>
      <c r="D46" t="s">
        <v>86</v>
      </c>
      <c r="E46">
        <v>5</v>
      </c>
      <c r="F46">
        <v>0</v>
      </c>
      <c r="G46">
        <v>3</v>
      </c>
      <c r="H46">
        <v>0</v>
      </c>
      <c r="I46">
        <v>2</v>
      </c>
      <c r="J46">
        <f t="shared" si="0"/>
        <v>10</v>
      </c>
      <c r="K46">
        <f>IF(J46="","", IFERROR(VLOOKUP(J46, IF(D46="Movers", 换算标准!$C:$D, 换算标准!$I:$J), 2, TRUE), 0))</f>
        <v>1</v>
      </c>
      <c r="M46">
        <v>4</v>
      </c>
      <c r="N46">
        <v>0</v>
      </c>
      <c r="O46">
        <v>0</v>
      </c>
      <c r="P46">
        <v>1</v>
      </c>
      <c r="Q46">
        <v>0</v>
      </c>
      <c r="R46">
        <v>0</v>
      </c>
      <c r="T46">
        <f t="shared" si="1"/>
        <v>5</v>
      </c>
      <c r="U46">
        <f>IF(T46="","", IFERROR(VLOOKUP(T46, IF(D46="Movers", 换算标准!$A:$B, 换算标准!$G:$H), 2, TRUE), 0))</f>
        <v>1</v>
      </c>
      <c r="V46" t="s">
        <v>64</v>
      </c>
      <c r="W46">
        <f t="shared" si="2"/>
        <v>2</v>
      </c>
      <c r="Z46" s="5" t="str">
        <f>IF(J46="","", IF(K46&lt;=3, "⚠️ 薄弱环节: "&amp;INDEX($E$1:$I$1, MATCH(MIN(E46:I46), E46:I46, 0))&amp;CHAR(10)&amp;"📉 考察能力: "&amp;IFERROR(VLOOKUP(TRIM(D46)&amp;"_"&amp;TRIM(INDEX($E$1:$I$1, MATCH(MIN(E46:I46), E46:I46, 0))), 技能库!$A:$F, 5, 0),"建议查阅考纲")&amp;CHAR(10)&amp;"💡 提升建议: "&amp;IFERROR(VLOOKUP(TRIM(D46)&amp;"_"&amp;TRIM(INDEX($E$1:$I$1, MATCH(MIN(E46:I46), E46:I46,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46" s="5" t="str">
        <f>IF(T46="","", IF(U46&lt;=3, "⚠️ 薄弱环节: "&amp;INDEX($M$1:$S$1, MATCH(MIN(M46:S46), M46:S46, 0))&amp;CHAR(10)&amp;"📉 考察能力: "&amp;IFERROR(VLOOKUP(TRIM(D46)&amp;"_"&amp;TRIM(INDEX($M$1:$S$1, MATCH(MIN(M46:S46), M46:S46, 0))), 技能库!$A:$F, 5, 0),"建议查阅考纲")&amp;CHAR(10)&amp;"💡 提升建议: "&amp;IFERROR(VLOOKUP(TRIM(D46)&amp;"_"&amp;TRIM(INDEX($M$1:$S$1, MATCH(MIN(M46:S46), M46:S46,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  <c r="AB46" t="s">
        <v>304</v>
      </c>
    </row>
    <row r="47" spans="1:28" ht="18" hidden="1" customHeight="1" x14ac:dyDescent="0.2">
      <c r="A47">
        <v>305</v>
      </c>
      <c r="B47" t="s">
        <v>384</v>
      </c>
      <c r="C47" t="s">
        <v>402</v>
      </c>
      <c r="D47" t="s">
        <v>86</v>
      </c>
      <c r="E47">
        <v>5</v>
      </c>
      <c r="F47">
        <v>3</v>
      </c>
      <c r="G47">
        <v>3</v>
      </c>
      <c r="H47">
        <v>2</v>
      </c>
      <c r="I47">
        <v>5</v>
      </c>
      <c r="J47">
        <f t="shared" si="0"/>
        <v>18</v>
      </c>
      <c r="K47">
        <f>IF(J47="","", IFERROR(VLOOKUP(J47, IF(D47="Movers", 换算标准!$C:$D, 换算标准!$I:$J), 2, TRUE), 0))</f>
        <v>4</v>
      </c>
      <c r="M47">
        <v>5</v>
      </c>
      <c r="N47">
        <v>5</v>
      </c>
      <c r="O47">
        <v>5</v>
      </c>
      <c r="P47">
        <v>3</v>
      </c>
      <c r="Q47">
        <v>2</v>
      </c>
      <c r="R47">
        <v>7</v>
      </c>
      <c r="T47">
        <f t="shared" si="1"/>
        <v>27</v>
      </c>
      <c r="U47">
        <f>IF(T47="","", IFERROR(VLOOKUP(T47, IF(D47="Movers", 换算标准!$A:$B, 换算标准!$G:$H), 2, TRUE), 0))</f>
        <v>3</v>
      </c>
      <c r="V47" t="s">
        <v>65</v>
      </c>
      <c r="W47">
        <f t="shared" si="2"/>
        <v>7</v>
      </c>
      <c r="Z47" s="5" t="str">
        <f>IF(J47="","", IF(K47&lt;=3, "⚠️ 薄弱环节: "&amp;INDEX($E$1:$I$1, MATCH(MIN(E47:I47), E47:I47, 0))&amp;CHAR(10)&amp;"📉 考察能力: "&amp;IFERROR(VLOOKUP(TRIM(D47)&amp;"_"&amp;TRIM(INDEX($E$1:$I$1, MATCH(MIN(E47:I47), E47:I47, 0))), 技能库!$A:$F, 5, 0),"建议查阅考纲")&amp;CHAR(10)&amp;"💡 提升建议: "&amp;IFERROR(VLOOKUP(TRIM(D47)&amp;"_"&amp;TRIM(INDEX($E$1:$I$1, MATCH(MIN(E47:I47), E47:I47, 0))), 技能库!$A:$F, 6, 0),"请针对该题型加强练习"), "🎉 表现优异，无明显弱项！"))</f>
        <v>🎉 表现优异，无明显弱项！</v>
      </c>
      <c r="AA47" s="5" t="str">
        <f>IF(T47="","", IF(U47&lt;=3, "⚠️ 薄弱环节: "&amp;INDEX($M$1:$S$1, MATCH(MIN(M47:S47), M47:S47, 0))&amp;CHAR(10)&amp;"📉 考察能力: "&amp;IFERROR(VLOOKUP(TRIM(D47)&amp;"_"&amp;TRIM(INDEX($M$1:$S$1, MATCH(MIN(M47:S47), M47:S47, 0))), 技能库!$A:$F, 5, 0),"建议查阅考纲")&amp;CHAR(10)&amp;"💡 提升建议: "&amp;IFERROR(VLOOKUP(TRIM(D47)&amp;"_"&amp;TRIM(INDEX($M$1:$S$1, MATCH(MIN(M47:S47), M47:S47,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  <c r="AB47" t="s">
        <v>304</v>
      </c>
    </row>
    <row r="48" spans="1:28" ht="18" hidden="1" customHeight="1" x14ac:dyDescent="0.2">
      <c r="A48">
        <v>307</v>
      </c>
      <c r="B48" t="s">
        <v>384</v>
      </c>
      <c r="C48" t="s">
        <v>403</v>
      </c>
      <c r="D48" t="s">
        <v>86</v>
      </c>
      <c r="E48">
        <v>3</v>
      </c>
      <c r="F48">
        <v>0</v>
      </c>
      <c r="G48">
        <v>2</v>
      </c>
      <c r="H48">
        <v>2</v>
      </c>
      <c r="I48">
        <v>2</v>
      </c>
      <c r="J48">
        <f t="shared" si="0"/>
        <v>9</v>
      </c>
      <c r="K48">
        <f>IF(J48="","", IFERROR(VLOOKUP(J48, IF(D48="Movers", 换算标准!$C:$D, 换算标准!$I:$J), 2, TRUE), 0))</f>
        <v>1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T48">
        <f t="shared" si="1"/>
        <v>2</v>
      </c>
      <c r="U48">
        <f>IF(T48="","", IFERROR(VLOOKUP(T48, IF(D48="Movers", 换算标准!$A:$B, 换算标准!$G:$H), 2, TRUE), 0))</f>
        <v>1</v>
      </c>
      <c r="V48" t="s">
        <v>64</v>
      </c>
      <c r="W48">
        <f t="shared" si="2"/>
        <v>2</v>
      </c>
      <c r="Z48" s="5" t="str">
        <f>IF(J48="","", IF(K48&lt;=3, "⚠️ 薄弱环节: "&amp;INDEX($E$1:$I$1, MATCH(MIN(E48:I48), E48:I48, 0))&amp;CHAR(10)&amp;"📉 考察能力: "&amp;IFERROR(VLOOKUP(TRIM(D48)&amp;"_"&amp;TRIM(INDEX($E$1:$I$1, MATCH(MIN(E48:I48), E48:I48, 0))), 技能库!$A:$F, 5, 0),"建议查阅考纲")&amp;CHAR(10)&amp;"💡 提升建议: "&amp;IFERROR(VLOOKUP(TRIM(D48)&amp;"_"&amp;TRIM(INDEX($E$1:$I$1, MATCH(MIN(E48:I48), E48:I48,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48" s="5" t="str">
        <f>IF(T48="","", IF(U48&lt;=3, "⚠️ 薄弱环节: "&amp;INDEX($M$1:$S$1, MATCH(MIN(M48:S48), M48:S48, 0))&amp;CHAR(10)&amp;"📉 考察能力: "&amp;IFERROR(VLOOKUP(TRIM(D48)&amp;"_"&amp;TRIM(INDEX($M$1:$S$1, MATCH(MIN(M48:S48), M48:S48, 0))), 技能库!$A:$F, 5, 0),"建议查阅考纲")&amp;CHAR(10)&amp;"💡 提升建议: "&amp;IFERROR(VLOOKUP(TRIM(D48)&amp;"_"&amp;TRIM(INDEX($M$1:$S$1, MATCH(MIN(M48:S48), M48:S48,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  <c r="AB48" t="s">
        <v>304</v>
      </c>
    </row>
    <row r="49" spans="1:28" ht="18" hidden="1" customHeight="1" x14ac:dyDescent="0.2">
      <c r="A49">
        <v>307</v>
      </c>
      <c r="B49" t="s">
        <v>384</v>
      </c>
      <c r="C49" t="s">
        <v>404</v>
      </c>
      <c r="D49" t="s">
        <v>86</v>
      </c>
      <c r="E49">
        <v>5</v>
      </c>
      <c r="F49">
        <v>2</v>
      </c>
      <c r="G49">
        <v>3</v>
      </c>
      <c r="H49">
        <v>2</v>
      </c>
      <c r="I49">
        <v>1</v>
      </c>
      <c r="J49">
        <f t="shared" si="0"/>
        <v>13</v>
      </c>
      <c r="K49">
        <f>IF(J49="","", IFERROR(VLOOKUP(J49, IF(D49="Movers", 换算标准!$C:$D, 换算标准!$I:$J), 2, TRUE), 0))</f>
        <v>2</v>
      </c>
      <c r="M49">
        <v>3</v>
      </c>
      <c r="N49">
        <v>3</v>
      </c>
      <c r="O49">
        <v>1</v>
      </c>
      <c r="P49">
        <v>0</v>
      </c>
      <c r="Q49">
        <v>0</v>
      </c>
      <c r="R49">
        <v>1</v>
      </c>
      <c r="T49">
        <f t="shared" si="1"/>
        <v>8</v>
      </c>
      <c r="U49">
        <f>IF(T49="","", IFERROR(VLOOKUP(T49, IF(D49="Movers", 换算标准!$A:$B, 换算标准!$G:$H), 2, TRUE), 0))</f>
        <v>1</v>
      </c>
      <c r="V49" t="s">
        <v>64</v>
      </c>
      <c r="W49">
        <f t="shared" si="2"/>
        <v>3</v>
      </c>
      <c r="Z49" s="5" t="str">
        <f>IF(J49="","", IF(K49&lt;=3, "⚠️ 薄弱环节: "&amp;INDEX($E$1:$I$1, MATCH(MIN(E49:I49), E49:I49, 0))&amp;CHAR(10)&amp;"📉 考察能力: "&amp;IFERROR(VLOOKUP(TRIM(D49)&amp;"_"&amp;TRIM(INDEX($E$1:$I$1, MATCH(MIN(E49:I49), E49:I49, 0))), 技能库!$A:$F, 5, 0),"建议查阅考纲")&amp;CHAR(10)&amp;"💡 提升建议: "&amp;IFERROR(VLOOKUP(TRIM(D49)&amp;"_"&amp;TRIM(INDEX($E$1:$I$1, MATCH(MIN(E49:I49), E49:I49, 0))), 技能库!$A:$F, 6, 0),"请针对该题型加强练习"), "🎉 表现优异，无明显弱项！"))</f>
        <v>⚠️ 薄弱环节: L-Pt5
📉 考察能力: [听力] 听音涂色与书写
💡 提升建议: 区分位置介词，准确找到需要涂色的物体，只涂色不画画。</v>
      </c>
      <c r="AA49" s="5" t="str">
        <f>IF(T49="","", IF(U49&lt;=3, "⚠️ 薄弱环节: "&amp;INDEX($M$1:$S$1, MATCH(MIN(M49:S49), M49:S49, 0))&amp;CHAR(10)&amp;"📉 考察能力: "&amp;IFERROR(VLOOKUP(TRIM(D49)&amp;"_"&amp;TRIM(INDEX($M$1:$S$1, MATCH(MIN(M49:S49), M49:S49, 0))), 技能库!$A:$F, 5, 0),"建议查阅考纲")&amp;CHAR(10)&amp;"💡 提升建议: "&amp;IFERROR(VLOOKUP(TRIM(D49)&amp;"_"&amp;TRIM(INDEX($M$1:$S$1, MATCH(MIN(M49:S49), M49:S49,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  <c r="AB49" t="s">
        <v>304</v>
      </c>
    </row>
    <row r="50" spans="1:28" ht="18" hidden="1" customHeight="1" x14ac:dyDescent="0.2">
      <c r="A50">
        <v>307</v>
      </c>
      <c r="B50" t="s">
        <v>384</v>
      </c>
      <c r="C50" t="s">
        <v>405</v>
      </c>
      <c r="D50" t="s">
        <v>86</v>
      </c>
      <c r="E50">
        <v>4</v>
      </c>
      <c r="F50">
        <v>1</v>
      </c>
      <c r="G50">
        <v>3</v>
      </c>
      <c r="H50">
        <v>2</v>
      </c>
      <c r="I50">
        <v>5</v>
      </c>
      <c r="J50">
        <f t="shared" si="0"/>
        <v>15</v>
      </c>
      <c r="K50">
        <f>IF(J50="","", IFERROR(VLOOKUP(J50, IF(D50="Movers", 换算标准!$C:$D, 换算标准!$I:$J), 2, TRUE), 0))</f>
        <v>3</v>
      </c>
      <c r="M50">
        <v>2</v>
      </c>
      <c r="N50">
        <v>1</v>
      </c>
      <c r="O50">
        <v>3</v>
      </c>
      <c r="P50">
        <v>1</v>
      </c>
      <c r="Q50">
        <v>1</v>
      </c>
      <c r="R50">
        <v>5</v>
      </c>
      <c r="T50">
        <f t="shared" si="1"/>
        <v>13</v>
      </c>
      <c r="U50">
        <f>IF(T50="","", IFERROR(VLOOKUP(T50, IF(D50="Movers", 换算标准!$A:$B, 换算标准!$G:$H), 2, TRUE), 0))</f>
        <v>1</v>
      </c>
      <c r="V50" t="s">
        <v>64</v>
      </c>
      <c r="W50">
        <f t="shared" si="2"/>
        <v>4</v>
      </c>
      <c r="Z50" s="5" t="str">
        <f>IF(J50="","", IF(K50&lt;=3, "⚠️ 薄弱环节: "&amp;INDEX($E$1:$I$1, MATCH(MIN(E50:I50), E50:I50, 0))&amp;CHAR(10)&amp;"📉 考察能力: "&amp;IFERROR(VLOOKUP(TRIM(D50)&amp;"_"&amp;TRIM(INDEX($E$1:$I$1, MATCH(MIN(E50:I50), E50:I50, 0))), 技能库!$A:$F, 5, 0),"建议查阅考纲")&amp;CHAR(10)&amp;"💡 提升建议: "&amp;IFERROR(VLOOKUP(TRIM(D50)&amp;"_"&amp;TRIM(INDEX($E$1:$I$1, MATCH(MIN(E50:I50), E50:I50,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50" s="5" t="str">
        <f>IF(T50="","", IF(U50&lt;=3, "⚠️ 薄弱环节: "&amp;INDEX($M$1:$S$1, MATCH(MIN(M50:S50), M50:S50, 0))&amp;CHAR(10)&amp;"📉 考察能力: "&amp;IFERROR(VLOOKUP(TRIM(D50)&amp;"_"&amp;TRIM(INDEX($M$1:$S$1, MATCH(MIN(M50:S50), M50:S50, 0))), 技能库!$A:$F, 5, 0),"建议查阅考纲")&amp;CHAR(10)&amp;"💡 提升建议: "&amp;IFERROR(VLOOKUP(TRIM(D50)&amp;"_"&amp;TRIM(INDEX($M$1:$S$1, MATCH(MIN(M50:S50), M50:S50,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  <c r="AB50" t="s">
        <v>304</v>
      </c>
    </row>
    <row r="51" spans="1:28" ht="18" hidden="1" customHeight="1" x14ac:dyDescent="0.2">
      <c r="A51">
        <v>307</v>
      </c>
      <c r="B51" t="s">
        <v>384</v>
      </c>
      <c r="C51" t="s">
        <v>406</v>
      </c>
      <c r="D51" t="s">
        <v>86</v>
      </c>
      <c r="E51">
        <v>3</v>
      </c>
      <c r="F51">
        <v>2</v>
      </c>
      <c r="G51">
        <v>1</v>
      </c>
      <c r="H51">
        <v>2</v>
      </c>
      <c r="I51">
        <v>0</v>
      </c>
      <c r="J51">
        <f t="shared" si="0"/>
        <v>8</v>
      </c>
      <c r="K51">
        <f>IF(J51="","", IFERROR(VLOOKUP(J51, IF(D51="Movers", 换算标准!$C:$D, 换算标准!$I:$J), 2, TRUE), 0))</f>
        <v>1</v>
      </c>
      <c r="M51">
        <v>0</v>
      </c>
      <c r="N51">
        <v>2</v>
      </c>
      <c r="O51">
        <v>0</v>
      </c>
      <c r="P51">
        <v>2</v>
      </c>
      <c r="Q51">
        <v>2</v>
      </c>
      <c r="R51">
        <v>0</v>
      </c>
      <c r="T51">
        <f t="shared" si="1"/>
        <v>6</v>
      </c>
      <c r="U51">
        <f>IF(T51="","", IFERROR(VLOOKUP(T51, IF(D51="Movers", 换算标准!$A:$B, 换算标准!$G:$H), 2, TRUE), 0))</f>
        <v>1</v>
      </c>
      <c r="V51" t="s">
        <v>64</v>
      </c>
      <c r="W51">
        <f t="shared" si="2"/>
        <v>2</v>
      </c>
      <c r="Z51" s="5" t="str">
        <f>IF(J51="","", IF(K51&lt;=3, "⚠️ 薄弱环节: "&amp;INDEX($E$1:$I$1, MATCH(MIN(E51:I51), E51:I51, 0))&amp;CHAR(10)&amp;"📉 考察能力: "&amp;IFERROR(VLOOKUP(TRIM(D51)&amp;"_"&amp;TRIM(INDEX($E$1:$I$1, MATCH(MIN(E51:I51), E51:I51, 0))), 技能库!$A:$F, 5, 0),"建议查阅考纲")&amp;CHAR(10)&amp;"💡 提升建议: "&amp;IFERROR(VLOOKUP(TRIM(D51)&amp;"_"&amp;TRIM(INDEX($E$1:$I$1, MATCH(MIN(E51:I51), E51:I51, 0))), 技能库!$A:$F, 6, 0),"请针对该题型加强练习"), "🎉 表现优异，无明显弱项！"))</f>
        <v>⚠️ 薄弱环节: L-Pt5
📉 考察能力: [听力] 听音涂色与书写
💡 提升建议: 区分位置介词，准确找到需要涂色的物体，只涂色不画画。</v>
      </c>
      <c r="AA51" s="5" t="str">
        <f>IF(T51="","", IF(U51&lt;=3, "⚠️ 薄弱环节: "&amp;INDEX($M$1:$S$1, MATCH(MIN(M51:S51), M51:S51, 0))&amp;CHAR(10)&amp;"📉 考察能力: "&amp;IFERROR(VLOOKUP(TRIM(D51)&amp;"_"&amp;TRIM(INDEX($M$1:$S$1, MATCH(MIN(M51:S51), M51:S51, 0))), 技能库!$A:$F, 5, 0),"建议查阅考纲")&amp;CHAR(10)&amp;"💡 提升建议: "&amp;IFERROR(VLOOKUP(TRIM(D51)&amp;"_"&amp;TRIM(INDEX($M$1:$S$1, MATCH(MIN(M51:S51), M51:S51, 0))), 技能库!$A:$F, 6, 0),"请针对该题型加强练习"), "🎉 表现优异，无明显弱项！"))</f>
        <v>⚠️ 薄弱环节: RW-Pt1
📉 考察能力: [读写] 词汇定义匹配
💡 提升建议: 积累名词定义，注意区分功能相似的物品 (如不同种类的动物)。</v>
      </c>
      <c r="AB51" t="s">
        <v>304</v>
      </c>
    </row>
    <row r="52" spans="1:28" ht="18" hidden="1" customHeight="1" x14ac:dyDescent="0.2">
      <c r="A52">
        <v>307</v>
      </c>
      <c r="B52" t="s">
        <v>384</v>
      </c>
      <c r="C52" t="s">
        <v>407</v>
      </c>
      <c r="D52" t="s">
        <v>86</v>
      </c>
      <c r="E52">
        <v>5</v>
      </c>
      <c r="F52">
        <v>1</v>
      </c>
      <c r="G52">
        <v>5</v>
      </c>
      <c r="H52">
        <v>2</v>
      </c>
      <c r="I52">
        <v>4</v>
      </c>
      <c r="J52">
        <f t="shared" si="0"/>
        <v>17</v>
      </c>
      <c r="K52">
        <f>IF(J52="","", IFERROR(VLOOKUP(J52, IF(D52="Movers", 换算标准!$C:$D, 换算标准!$I:$J), 2, TRUE), 0))</f>
        <v>3</v>
      </c>
      <c r="M52">
        <v>3</v>
      </c>
      <c r="N52">
        <v>3</v>
      </c>
      <c r="O52">
        <v>2</v>
      </c>
      <c r="P52">
        <v>0</v>
      </c>
      <c r="Q52">
        <v>2</v>
      </c>
      <c r="R52">
        <v>0</v>
      </c>
      <c r="T52">
        <f t="shared" si="1"/>
        <v>10</v>
      </c>
      <c r="U52">
        <f>IF(T52="","", IFERROR(VLOOKUP(T52, IF(D52="Movers", 换算标准!$A:$B, 换算标准!$G:$H), 2, TRUE), 0))</f>
        <v>1</v>
      </c>
      <c r="V52" t="s">
        <v>64</v>
      </c>
      <c r="W52">
        <f t="shared" si="2"/>
        <v>4</v>
      </c>
      <c r="Z52" s="5" t="str">
        <f>IF(J52="","", IF(K52&lt;=3, "⚠️ 薄弱环节: "&amp;INDEX($E$1:$I$1, MATCH(MIN(E52:I52), E52:I52, 0))&amp;CHAR(10)&amp;"📉 考察能力: "&amp;IFERROR(VLOOKUP(TRIM(D52)&amp;"_"&amp;TRIM(INDEX($E$1:$I$1, MATCH(MIN(E52:I52), E52:I52, 0))), 技能库!$A:$F, 5, 0),"建议查阅考纲")&amp;CHAR(10)&amp;"💡 提升建议: "&amp;IFERROR(VLOOKUP(TRIM(D52)&amp;"_"&amp;TRIM(INDEX($E$1:$I$1, MATCH(MIN(E52:I52), E52:I52,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52" s="5" t="str">
        <f>IF(T52="","", IF(U52&lt;=3, "⚠️ 薄弱环节: "&amp;INDEX($M$1:$S$1, MATCH(MIN(M52:S52), M52:S52, 0))&amp;CHAR(10)&amp;"📉 考察能力: "&amp;IFERROR(VLOOKUP(TRIM(D52)&amp;"_"&amp;TRIM(INDEX($M$1:$S$1, MATCH(MIN(M52:S52), M52:S52, 0))), 技能库!$A:$F, 5, 0),"建议查阅考纲")&amp;CHAR(10)&amp;"💡 提升建议: "&amp;IFERROR(VLOOKUP(TRIM(D52)&amp;"_"&amp;TRIM(INDEX($M$1:$S$1, MATCH(MIN(M52:S52), M52:S52,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  <c r="AB52" t="s">
        <v>304</v>
      </c>
    </row>
    <row r="53" spans="1:28" ht="18" hidden="1" customHeight="1" x14ac:dyDescent="0.2">
      <c r="A53">
        <v>307</v>
      </c>
      <c r="B53" t="s">
        <v>384</v>
      </c>
      <c r="C53" t="s">
        <v>408</v>
      </c>
      <c r="D53" t="s">
        <v>409</v>
      </c>
      <c r="E53">
        <v>1</v>
      </c>
      <c r="F53">
        <v>2</v>
      </c>
      <c r="G53">
        <v>0</v>
      </c>
      <c r="H53">
        <v>0</v>
      </c>
      <c r="J53">
        <f t="shared" si="0"/>
        <v>3</v>
      </c>
      <c r="K53">
        <f>IF(J53="","", IFERROR(VLOOKUP(J53, IF(D53="Movers", 换算标准!$C:$D, 换算标准!$I:$J), 2, TRUE), 0))</f>
        <v>1</v>
      </c>
      <c r="M53">
        <v>4</v>
      </c>
      <c r="N53">
        <v>0</v>
      </c>
      <c r="O53">
        <v>0</v>
      </c>
      <c r="P53">
        <v>0</v>
      </c>
      <c r="T53">
        <f t="shared" si="1"/>
        <v>4</v>
      </c>
      <c r="U53">
        <f>IF(T53="","", IFERROR(VLOOKUP(T53, IF(D53="Movers", 换算标准!$A:$B, 换算标准!$G:$H), 2, TRUE), 0))</f>
        <v>1</v>
      </c>
      <c r="V53" t="s">
        <v>65</v>
      </c>
      <c r="W53">
        <f t="shared" si="2"/>
        <v>2</v>
      </c>
      <c r="Z53" s="5" t="str">
        <f>IF(J53="","", IF(K53&lt;=3, "⚠️ 薄弱环节: "&amp;INDEX($E$1:$I$1, MATCH(MIN(E53:I53), E53:I53, 0))&amp;CHAR(10)&amp;"📉 考察能力: "&amp;IFERROR(VLOOKUP(TRIM(D53)&amp;"_"&amp;TRIM(INDEX($E$1:$I$1, MATCH(MIN(E53:I53), E53:I53, 0))), 技能库!$A:$F, 5, 0),"建议查阅考纲")&amp;CHAR(10)&amp;"💡 提升建议: "&amp;IFERROR(VLOOKUP(TRIM(D53)&amp;"_"&amp;TRIM(INDEX($E$1:$I$1, MATCH(MIN(E53:I53), E53:I53, 0))), 技能库!$A:$F, 6, 0),"请针对该题型加强练习"), "🎉 表现优异，无明显弱项！"))</f>
        <v>⚠️ 薄弱环节: L-Pt3
📉 考察能力: 建议查阅考纲
💡 提升建议: 请针对该题型加强练习</v>
      </c>
      <c r="AA53" s="5" t="str">
        <f>IF(T53="","", IF(U53&lt;=3, "⚠️ 薄弱环节: "&amp;INDEX($M$1:$S$1, MATCH(MIN(M53:S53), M53:S53, 0))&amp;CHAR(10)&amp;"📉 考察能力: "&amp;IFERROR(VLOOKUP(TRIM(D53)&amp;"_"&amp;TRIM(INDEX($M$1:$S$1, MATCH(MIN(M53:S53), M53:S53, 0))), 技能库!$A:$F, 5, 0),"建议查阅考纲")&amp;CHAR(10)&amp;"💡 提升建议: "&amp;IFERROR(VLOOKUP(TRIM(D53)&amp;"_"&amp;TRIM(INDEX($M$1:$S$1, MATCH(MIN(M53:S53), M53:S53, 0))), 技能库!$A:$F, 6, 0),"请针对该题型加强练习"), "🎉 表现优异，无明显弱项！"))</f>
        <v>⚠️ 薄弱环节: RW-Pt2
📉 考察能力: 建议查阅考纲
💡 提升建议: 请针对该题型加强练习</v>
      </c>
      <c r="AB53" t="s">
        <v>304</v>
      </c>
    </row>
    <row r="54" spans="1:28" ht="18" hidden="1" customHeight="1" x14ac:dyDescent="0.2">
      <c r="J54" t="str">
        <f t="shared" si="0"/>
        <v/>
      </c>
      <c r="K54" t="str">
        <f>IF(J54="","", IFERROR(VLOOKUP(J54, IF(D54="Movers", 换算标准!$C:$D, 换算标准!$I:$J), 2, TRUE), 0))</f>
        <v/>
      </c>
      <c r="T54" t="str">
        <f t="shared" si="1"/>
        <v/>
      </c>
      <c r="U54" t="str">
        <f>IF(T54="","", IFERROR(VLOOKUP(T54, IF(D54="Movers", 换算标准!$A:$B, 换算标准!$G:$H), 2, TRUE), 0))</f>
        <v/>
      </c>
      <c r="V54" t="s">
        <v>65</v>
      </c>
      <c r="W54" t="str">
        <f t="shared" si="2"/>
        <v/>
      </c>
      <c r="Z54" s="5" t="str">
        <f>IF(J54="","", IF(K54&lt;=3, "⚠️ 薄弱环节: "&amp;INDEX($E$1:$I$1, MATCH(MIN(E54:I54), E54:I54, 0))&amp;CHAR(10)&amp;"📉 考察能力: "&amp;IFERROR(VLOOKUP(TRIM(D54)&amp;"_"&amp;TRIM(INDEX($E$1:$I$1, MATCH(MIN(E54:I54), E54:I54, 0))), 技能库!$A:$F, 5, 0),"建议查阅考纲")&amp;CHAR(10)&amp;"💡 提升建议: "&amp;IFERROR(VLOOKUP(TRIM(D54)&amp;"_"&amp;TRIM(INDEX($E$1:$I$1, MATCH(MIN(E54:I54), E54:I54, 0))), 技能库!$A:$F, 6, 0),"请针对该题型加强练习"), "🎉 表现优异，无明显弱项！"))</f>
        <v/>
      </c>
      <c r="AA54" s="5" t="str">
        <f>IF(T54="","", IF(U54&lt;=3, "⚠️ 薄弱环节: "&amp;INDEX($M$1:$S$1, MATCH(MIN(M54:S54), M54:S54, 0))&amp;CHAR(10)&amp;"📉 考察能力: "&amp;IFERROR(VLOOKUP(TRIM(D54)&amp;"_"&amp;TRIM(INDEX($M$1:$S$1, MATCH(MIN(M54:S54), M54:S54, 0))), 技能库!$A:$F, 5, 0),"建议查阅考纲")&amp;CHAR(10)&amp;"💡 提升建议: "&amp;IFERROR(VLOOKUP(TRIM(D54)&amp;"_"&amp;TRIM(INDEX($M$1:$S$1, MATCH(MIN(M54:S54), M54:S54, 0))), 技能库!$A:$F, 6, 0),"请针对该题型加强练习"), "🎉 表现优异，无明显弱项！"))</f>
        <v/>
      </c>
      <c r="AB54" t="s">
        <v>304</v>
      </c>
    </row>
    <row r="55" spans="1:28" ht="18" hidden="1" customHeight="1" x14ac:dyDescent="0.2">
      <c r="J55" t="str">
        <f t="shared" si="0"/>
        <v/>
      </c>
      <c r="K55" t="str">
        <f>IF(J55="","", IFERROR(VLOOKUP(J55, IF(D55="Movers", 换算标准!$C:$D, 换算标准!$I:$J), 2, TRUE), 0))</f>
        <v/>
      </c>
      <c r="T55" t="str">
        <f t="shared" si="1"/>
        <v/>
      </c>
      <c r="U55" t="str">
        <f>IF(T55="","", IFERROR(VLOOKUP(T55, IF(D55="Movers", 换算标准!$A:$B, 换算标准!$G:$H), 2, TRUE), 0))</f>
        <v/>
      </c>
      <c r="V55" t="s">
        <v>65</v>
      </c>
      <c r="W55" t="str">
        <f t="shared" si="2"/>
        <v/>
      </c>
      <c r="Z55" s="5" t="str">
        <f>IF(J55="","", IF(K55&lt;=3, "⚠️ 薄弱环节: "&amp;INDEX($E$1:$I$1, MATCH(MIN(E55:I55), E55:I55, 0))&amp;CHAR(10)&amp;"📉 考察能力: "&amp;IFERROR(VLOOKUP(TRIM(D55)&amp;"_"&amp;TRIM(INDEX($E$1:$I$1, MATCH(MIN(E55:I55), E55:I55, 0))), 技能库!$A:$F, 5, 0),"建议查阅考纲")&amp;CHAR(10)&amp;"💡 提升建议: "&amp;IFERROR(VLOOKUP(TRIM(D55)&amp;"_"&amp;TRIM(INDEX($E$1:$I$1, MATCH(MIN(E55:I55), E55:I55, 0))), 技能库!$A:$F, 6, 0),"请针对该题型加强练习"), "🎉 表现优异，无明显弱项！"))</f>
        <v/>
      </c>
      <c r="AA55" s="5" t="str">
        <f>IF(T55="","", IF(U55&lt;=3, "⚠️ 薄弱环节: "&amp;INDEX($M$1:$S$1, MATCH(MIN(M55:S55), M55:S55, 0))&amp;CHAR(10)&amp;"📉 考察能力: "&amp;IFERROR(VLOOKUP(TRIM(D55)&amp;"_"&amp;TRIM(INDEX($M$1:$S$1, MATCH(MIN(M55:S55), M55:S55, 0))), 技能库!$A:$F, 5, 0),"建议查阅考纲")&amp;CHAR(10)&amp;"💡 提升建议: "&amp;IFERROR(VLOOKUP(TRIM(D55)&amp;"_"&amp;TRIM(INDEX($M$1:$S$1, MATCH(MIN(M55:S55), M55:S55, 0))), 技能库!$A:$F, 6, 0),"请针对该题型加强练习"), "🎉 表现优异，无明显弱项！"))</f>
        <v/>
      </c>
      <c r="AB55" t="s">
        <v>304</v>
      </c>
    </row>
    <row r="56" spans="1:28" ht="18" hidden="1" customHeight="1" x14ac:dyDescent="0.2">
      <c r="J56" t="str">
        <f t="shared" si="0"/>
        <v/>
      </c>
      <c r="K56" t="str">
        <f>IF(J56="","", IFERROR(VLOOKUP(J56, IF(D56="Movers", 换算标准!$C:$D, 换算标准!$I:$J), 2, TRUE), 0))</f>
        <v/>
      </c>
      <c r="T56" t="str">
        <f t="shared" si="1"/>
        <v/>
      </c>
      <c r="U56" t="str">
        <f>IF(T56="","", IFERROR(VLOOKUP(T56, IF(D56="Movers", 换算标准!$A:$B, 换算标准!$G:$H), 2, TRUE), 0))</f>
        <v/>
      </c>
      <c r="V56" t="s">
        <v>65</v>
      </c>
      <c r="W56" t="str">
        <f t="shared" si="2"/>
        <v/>
      </c>
      <c r="Z56" s="5" t="str">
        <f>IF(J56="","", IF(K56&lt;=3, "⚠️ 薄弱环节: "&amp;INDEX($E$1:$I$1, MATCH(MIN(E56:I56), E56:I56, 0))&amp;CHAR(10)&amp;"📉 考察能力: "&amp;IFERROR(VLOOKUP(TRIM(D56)&amp;"_"&amp;TRIM(INDEX($E$1:$I$1, MATCH(MIN(E56:I56), E56:I56, 0))), 技能库!$A:$F, 5, 0),"建议查阅考纲")&amp;CHAR(10)&amp;"💡 提升建议: "&amp;IFERROR(VLOOKUP(TRIM(D56)&amp;"_"&amp;TRIM(INDEX($E$1:$I$1, MATCH(MIN(E56:I56), E56:I56, 0))), 技能库!$A:$F, 6, 0),"请针对该题型加强练习"), "🎉 表现优异，无明显弱项！"))</f>
        <v/>
      </c>
      <c r="AA56" s="5" t="str">
        <f>IF(T56="","", IF(U56&lt;=3, "⚠️ 薄弱环节: "&amp;INDEX($M$1:$S$1, MATCH(MIN(M56:S56), M56:S56, 0))&amp;CHAR(10)&amp;"📉 考察能力: "&amp;IFERROR(VLOOKUP(TRIM(D56)&amp;"_"&amp;TRIM(INDEX($M$1:$S$1, MATCH(MIN(M56:S56), M56:S56, 0))), 技能库!$A:$F, 5, 0),"建议查阅考纲")&amp;CHAR(10)&amp;"💡 提升建议: "&amp;IFERROR(VLOOKUP(TRIM(D56)&amp;"_"&amp;TRIM(INDEX($M$1:$S$1, MATCH(MIN(M56:S56), M56:S56, 0))), 技能库!$A:$F, 6, 0),"请针对该题型加强练习"), "🎉 表现优异，无明显弱项！"))</f>
        <v/>
      </c>
      <c r="AB56" t="s">
        <v>304</v>
      </c>
    </row>
    <row r="57" spans="1:28" ht="18" hidden="1" customHeight="1" x14ac:dyDescent="0.2">
      <c r="J57" t="str">
        <f t="shared" si="0"/>
        <v/>
      </c>
      <c r="K57" t="str">
        <f>IF(J57="","", IFERROR(VLOOKUP(J57, IF(D57="Movers", 换算标准!$C:$D, 换算标准!$I:$J), 2, TRUE), 0))</f>
        <v/>
      </c>
      <c r="T57" t="str">
        <f t="shared" si="1"/>
        <v/>
      </c>
      <c r="U57" t="str">
        <f>IF(T57="","", IFERROR(VLOOKUP(T57, IF(D57="Movers", 换算标准!$A:$B, 换算标准!$G:$H), 2, TRUE), 0))</f>
        <v/>
      </c>
      <c r="V57" t="s">
        <v>65</v>
      </c>
      <c r="W57" t="str">
        <f t="shared" si="2"/>
        <v/>
      </c>
      <c r="Z57" s="5" t="str">
        <f>IF(J57="","", IF(K57&lt;=3, "⚠️ 薄弱环节: "&amp;INDEX($E$1:$I$1, MATCH(MIN(E57:I57), E57:I57, 0))&amp;CHAR(10)&amp;"📉 考察能力: "&amp;IFERROR(VLOOKUP(TRIM(D57)&amp;"_"&amp;TRIM(INDEX($E$1:$I$1, MATCH(MIN(E57:I57), E57:I57, 0))), 技能库!$A:$F, 5, 0),"建议查阅考纲")&amp;CHAR(10)&amp;"💡 提升建议: "&amp;IFERROR(VLOOKUP(TRIM(D57)&amp;"_"&amp;TRIM(INDEX($E$1:$I$1, MATCH(MIN(E57:I57), E57:I57, 0))), 技能库!$A:$F, 6, 0),"请针对该题型加强练习"), "🎉 表现优异，无明显弱项！"))</f>
        <v/>
      </c>
      <c r="AA57" s="5" t="str">
        <f>IF(T57="","", IF(U57&lt;=3, "⚠️ 薄弱环节: "&amp;INDEX($M$1:$S$1, MATCH(MIN(M57:S57), M57:S57, 0))&amp;CHAR(10)&amp;"📉 考察能力: "&amp;IFERROR(VLOOKUP(TRIM(D57)&amp;"_"&amp;TRIM(INDEX($M$1:$S$1, MATCH(MIN(M57:S57), M57:S57, 0))), 技能库!$A:$F, 5, 0),"建议查阅考纲")&amp;CHAR(10)&amp;"💡 提升建议: "&amp;IFERROR(VLOOKUP(TRIM(D57)&amp;"_"&amp;TRIM(INDEX($M$1:$S$1, MATCH(MIN(M57:S57), M57:S57, 0))), 技能库!$A:$F, 6, 0),"请针对该题型加强练习"), "🎉 表现优异，无明显弱项！"))</f>
        <v/>
      </c>
      <c r="AB57" t="s">
        <v>304</v>
      </c>
    </row>
    <row r="58" spans="1:28" ht="18" hidden="1" customHeight="1" x14ac:dyDescent="0.2">
      <c r="J58" t="str">
        <f t="shared" si="0"/>
        <v/>
      </c>
      <c r="K58" t="str">
        <f>IF(J58="","", IFERROR(VLOOKUP(J58, IF(D58="Movers", 换算标准!$C:$D, 换算标准!$I:$J), 2, TRUE), 0))</f>
        <v/>
      </c>
      <c r="T58" t="str">
        <f t="shared" si="1"/>
        <v/>
      </c>
      <c r="U58" t="str">
        <f>IF(T58="","", IFERROR(VLOOKUP(T58, IF(D58="Movers", 换算标准!$A:$B, 换算标准!$G:$H), 2, TRUE), 0))</f>
        <v/>
      </c>
      <c r="V58" t="s">
        <v>65</v>
      </c>
      <c r="W58" t="str">
        <f t="shared" si="2"/>
        <v/>
      </c>
      <c r="Z58" s="5" t="str">
        <f>IF(J58="","", IF(K58&lt;=3, "⚠️ 薄弱环节: "&amp;INDEX($E$1:$I$1, MATCH(MIN(E58:I58), E58:I58, 0))&amp;CHAR(10)&amp;"📉 考察能力: "&amp;IFERROR(VLOOKUP(TRIM(D58)&amp;"_"&amp;TRIM(INDEX($E$1:$I$1, MATCH(MIN(E58:I58), E58:I58, 0))), 技能库!$A:$F, 5, 0),"建议查阅考纲")&amp;CHAR(10)&amp;"💡 提升建议: "&amp;IFERROR(VLOOKUP(TRIM(D58)&amp;"_"&amp;TRIM(INDEX($E$1:$I$1, MATCH(MIN(E58:I58), E58:I58, 0))), 技能库!$A:$F, 6, 0),"请针对该题型加强练习"), "🎉 表现优异，无明显弱项！"))</f>
        <v/>
      </c>
      <c r="AA58" s="5" t="str">
        <f>IF(T58="","", IF(U58&lt;=3, "⚠️ 薄弱环节: "&amp;INDEX($M$1:$S$1, MATCH(MIN(M58:S58), M58:S58, 0))&amp;CHAR(10)&amp;"📉 考察能力: "&amp;IFERROR(VLOOKUP(TRIM(D58)&amp;"_"&amp;TRIM(INDEX($M$1:$S$1, MATCH(MIN(M58:S58), M58:S58, 0))), 技能库!$A:$F, 5, 0),"建议查阅考纲")&amp;CHAR(10)&amp;"💡 提升建议: "&amp;IFERROR(VLOOKUP(TRIM(D58)&amp;"_"&amp;TRIM(INDEX($M$1:$S$1, MATCH(MIN(M58:S58), M58:S58, 0))), 技能库!$A:$F, 6, 0),"请针对该题型加强练习"), "🎉 表现优异，无明显弱项！"))</f>
        <v/>
      </c>
      <c r="AB58" t="s">
        <v>304</v>
      </c>
    </row>
    <row r="59" spans="1:28" ht="18" hidden="1" customHeight="1" x14ac:dyDescent="0.2">
      <c r="J59" t="str">
        <f t="shared" si="0"/>
        <v/>
      </c>
      <c r="K59" t="str">
        <f>IF(J59="","", IFERROR(VLOOKUP(J59, IF(D59="Movers", 换算标准!$C:$D, 换算标准!$I:$J), 2, TRUE), 0))</f>
        <v/>
      </c>
      <c r="T59" t="str">
        <f t="shared" si="1"/>
        <v/>
      </c>
      <c r="U59" t="str">
        <f>IF(T59="","", IFERROR(VLOOKUP(T59, IF(D59="Movers", 换算标准!$A:$B, 换算标准!$G:$H), 2, TRUE), 0))</f>
        <v/>
      </c>
      <c r="V59" t="s">
        <v>65</v>
      </c>
      <c r="W59" t="str">
        <f t="shared" si="2"/>
        <v/>
      </c>
      <c r="Z59" s="5" t="str">
        <f>IF(J59="","", IF(K59&lt;=3, "⚠️ 薄弱环节: "&amp;INDEX($E$1:$I$1, MATCH(MIN(E59:I59), E59:I59, 0))&amp;CHAR(10)&amp;"📉 考察能力: "&amp;IFERROR(VLOOKUP(TRIM(D59)&amp;"_"&amp;TRIM(INDEX($E$1:$I$1, MATCH(MIN(E59:I59), E59:I59, 0))), 技能库!$A:$F, 5, 0),"建议查阅考纲")&amp;CHAR(10)&amp;"💡 提升建议: "&amp;IFERROR(VLOOKUP(TRIM(D59)&amp;"_"&amp;TRIM(INDEX($E$1:$I$1, MATCH(MIN(E59:I59), E59:I59, 0))), 技能库!$A:$F, 6, 0),"请针对该题型加强练习"), "🎉 表现优异，无明显弱项！"))</f>
        <v/>
      </c>
      <c r="AA59" s="5" t="str">
        <f>IF(T59="","", IF(U59&lt;=3, "⚠️ 薄弱环节: "&amp;INDEX($M$1:$S$1, MATCH(MIN(M59:S59), M59:S59, 0))&amp;CHAR(10)&amp;"📉 考察能力: "&amp;IFERROR(VLOOKUP(TRIM(D59)&amp;"_"&amp;TRIM(INDEX($M$1:$S$1, MATCH(MIN(M59:S59), M59:S59, 0))), 技能库!$A:$F, 5, 0),"建议查阅考纲")&amp;CHAR(10)&amp;"💡 提升建议: "&amp;IFERROR(VLOOKUP(TRIM(D59)&amp;"_"&amp;TRIM(INDEX($M$1:$S$1, MATCH(MIN(M59:S59), M59:S59, 0))), 技能库!$A:$F, 6, 0),"请针对该题型加强练习"), "🎉 表现优异，无明显弱项！"))</f>
        <v/>
      </c>
      <c r="AB59" t="s">
        <v>304</v>
      </c>
    </row>
    <row r="60" spans="1:28" ht="18" hidden="1" customHeight="1" x14ac:dyDescent="0.2">
      <c r="J60" t="str">
        <f t="shared" si="0"/>
        <v/>
      </c>
      <c r="K60" t="str">
        <f>IF(J60="","", IFERROR(VLOOKUP(J60, IF(D60="Movers", 换算标准!$C:$D, 换算标准!$I:$J), 2, TRUE), 0))</f>
        <v/>
      </c>
      <c r="T60" t="str">
        <f t="shared" si="1"/>
        <v/>
      </c>
      <c r="U60" t="str">
        <f>IF(T60="","", IFERROR(VLOOKUP(T60, IF(D60="Movers", 换算标准!$A:$B, 换算标准!$G:$H), 2, TRUE), 0))</f>
        <v/>
      </c>
      <c r="V60" t="s">
        <v>65</v>
      </c>
      <c r="W60" t="str">
        <f t="shared" si="2"/>
        <v/>
      </c>
      <c r="Z60" s="5" t="str">
        <f>IF(J60="","", IF(K60&lt;=3, "⚠️ 薄弱环节: "&amp;INDEX($E$1:$I$1, MATCH(MIN(E60:I60), E60:I60, 0))&amp;CHAR(10)&amp;"📉 考察能力: "&amp;IFERROR(VLOOKUP(TRIM(D60)&amp;"_"&amp;TRIM(INDEX($E$1:$I$1, MATCH(MIN(E60:I60), E60:I60, 0))), 技能库!$A:$F, 5, 0),"建议查阅考纲")&amp;CHAR(10)&amp;"💡 提升建议: "&amp;IFERROR(VLOOKUP(TRIM(D60)&amp;"_"&amp;TRIM(INDEX($E$1:$I$1, MATCH(MIN(E60:I60), E60:I60, 0))), 技能库!$A:$F, 6, 0),"请针对该题型加强练习"), "🎉 表现优异，无明显弱项！"))</f>
        <v/>
      </c>
      <c r="AA60" s="5" t="str">
        <f>IF(T60="","", IF(U60&lt;=3, "⚠️ 薄弱环节: "&amp;INDEX($M$1:$S$1, MATCH(MIN(M60:S60), M60:S60, 0))&amp;CHAR(10)&amp;"📉 考察能力: "&amp;IFERROR(VLOOKUP(TRIM(D60)&amp;"_"&amp;TRIM(INDEX($M$1:$S$1, MATCH(MIN(M60:S60), M60:S60, 0))), 技能库!$A:$F, 5, 0),"建议查阅考纲")&amp;CHAR(10)&amp;"💡 提升建议: "&amp;IFERROR(VLOOKUP(TRIM(D60)&amp;"_"&amp;TRIM(INDEX($M$1:$S$1, MATCH(MIN(M60:S60), M60:S60, 0))), 技能库!$A:$F, 6, 0),"请针对该题型加强练习"), "🎉 表现优异，无明显弱项！"))</f>
        <v/>
      </c>
      <c r="AB60" t="s">
        <v>304</v>
      </c>
    </row>
    <row r="61" spans="1:28" ht="18" hidden="1" customHeight="1" x14ac:dyDescent="0.2">
      <c r="J61" t="str">
        <f t="shared" si="0"/>
        <v/>
      </c>
      <c r="K61" t="str">
        <f>IF(J61="","", IFERROR(VLOOKUP(J61, IF(D61="Movers", 换算标准!$C:$D, 换算标准!$I:$J), 2, TRUE), 0))</f>
        <v/>
      </c>
      <c r="T61" t="str">
        <f t="shared" si="1"/>
        <v/>
      </c>
      <c r="U61" t="str">
        <f>IF(T61="","", IFERROR(VLOOKUP(T61, IF(D61="Movers", 换算标准!$A:$B, 换算标准!$G:$H), 2, TRUE), 0))</f>
        <v/>
      </c>
      <c r="V61" t="s">
        <v>65</v>
      </c>
      <c r="W61" t="str">
        <f t="shared" si="2"/>
        <v/>
      </c>
      <c r="Z61" s="5" t="str">
        <f>IF(J61="","", IF(K61&lt;=3, "⚠️ 薄弱环节: "&amp;INDEX($E$1:$I$1, MATCH(MIN(E61:I61), E61:I61, 0))&amp;CHAR(10)&amp;"📉 考察能力: "&amp;IFERROR(VLOOKUP(TRIM(D61)&amp;"_"&amp;TRIM(INDEX($E$1:$I$1, MATCH(MIN(E61:I61), E61:I61, 0))), 技能库!$A:$F, 5, 0),"建议查阅考纲")&amp;CHAR(10)&amp;"💡 提升建议: "&amp;IFERROR(VLOOKUP(TRIM(D61)&amp;"_"&amp;TRIM(INDEX($E$1:$I$1, MATCH(MIN(E61:I61), E61:I61, 0))), 技能库!$A:$F, 6, 0),"请针对该题型加强练习"), "🎉 表现优异，无明显弱项！"))</f>
        <v/>
      </c>
      <c r="AA61" s="5" t="str">
        <f>IF(T61="","", IF(U61&lt;=3, "⚠️ 薄弱环节: "&amp;INDEX($M$1:$S$1, MATCH(MIN(M61:S61), M61:S61, 0))&amp;CHAR(10)&amp;"📉 考察能力: "&amp;IFERROR(VLOOKUP(TRIM(D61)&amp;"_"&amp;TRIM(INDEX($M$1:$S$1, MATCH(MIN(M61:S61), M61:S61, 0))), 技能库!$A:$F, 5, 0),"建议查阅考纲")&amp;CHAR(10)&amp;"💡 提升建议: "&amp;IFERROR(VLOOKUP(TRIM(D61)&amp;"_"&amp;TRIM(INDEX($M$1:$S$1, MATCH(MIN(M61:S61), M61:S61, 0))), 技能库!$A:$F, 6, 0),"请针对该题型加强练习"), "🎉 表现优异，无明显弱项！"))</f>
        <v/>
      </c>
      <c r="AB61" t="s">
        <v>304</v>
      </c>
    </row>
    <row r="62" spans="1:28" ht="18" hidden="1" customHeight="1" x14ac:dyDescent="0.2">
      <c r="J62" t="str">
        <f t="shared" si="0"/>
        <v/>
      </c>
      <c r="K62" t="str">
        <f>IF(J62="","", IFERROR(VLOOKUP(J62, IF(D62="Movers", 换算标准!$C:$D, 换算标准!$I:$J), 2, TRUE), 0))</f>
        <v/>
      </c>
      <c r="T62" t="str">
        <f t="shared" si="1"/>
        <v/>
      </c>
      <c r="U62" t="str">
        <f>IF(T62="","", IFERROR(VLOOKUP(T62, IF(D62="Movers", 换算标准!$A:$B, 换算标准!$G:$H), 2, TRUE), 0))</f>
        <v/>
      </c>
      <c r="V62" t="s">
        <v>65</v>
      </c>
      <c r="W62" t="str">
        <f t="shared" si="2"/>
        <v/>
      </c>
      <c r="Z62" s="5" t="str">
        <f>IF(J62="","", IF(K62&lt;=3, "⚠️ 薄弱环节: "&amp;INDEX($E$1:$I$1, MATCH(MIN(E62:I62), E62:I62, 0))&amp;CHAR(10)&amp;"📉 考察能力: "&amp;IFERROR(VLOOKUP(TRIM(D62)&amp;"_"&amp;TRIM(INDEX($E$1:$I$1, MATCH(MIN(E62:I62), E62:I62, 0))), 技能库!$A:$F, 5, 0),"建议查阅考纲")&amp;CHAR(10)&amp;"💡 提升建议: "&amp;IFERROR(VLOOKUP(TRIM(D62)&amp;"_"&amp;TRIM(INDEX($E$1:$I$1, MATCH(MIN(E62:I62), E62:I62, 0))), 技能库!$A:$F, 6, 0),"请针对该题型加强练习"), "🎉 表现优异，无明显弱项！"))</f>
        <v/>
      </c>
      <c r="AA62" s="5" t="str">
        <f>IF(T62="","", IF(U62&lt;=3, "⚠️ 薄弱环节: "&amp;INDEX($M$1:$S$1, MATCH(MIN(M62:S62), M62:S62, 0))&amp;CHAR(10)&amp;"📉 考察能力: "&amp;IFERROR(VLOOKUP(TRIM(D62)&amp;"_"&amp;TRIM(INDEX($M$1:$S$1, MATCH(MIN(M62:S62), M62:S62, 0))), 技能库!$A:$F, 5, 0),"建议查阅考纲")&amp;CHAR(10)&amp;"💡 提升建议: "&amp;IFERROR(VLOOKUP(TRIM(D62)&amp;"_"&amp;TRIM(INDEX($M$1:$S$1, MATCH(MIN(M62:S62), M62:S62, 0))), 技能库!$A:$F, 6, 0),"请针对该题型加强练习"), "🎉 表现优异，无明显弱项！"))</f>
        <v/>
      </c>
      <c r="AB62" t="s">
        <v>304</v>
      </c>
    </row>
    <row r="63" spans="1:28" ht="18" hidden="1" customHeight="1" x14ac:dyDescent="0.2">
      <c r="J63" t="str">
        <f t="shared" si="0"/>
        <v/>
      </c>
      <c r="K63" t="str">
        <f>IF(J63="","", IFERROR(VLOOKUP(J63, IF(D63="Movers", 换算标准!$C:$D, 换算标准!$I:$J), 2, TRUE), 0))</f>
        <v/>
      </c>
      <c r="T63" t="str">
        <f t="shared" si="1"/>
        <v/>
      </c>
      <c r="U63" t="str">
        <f>IF(T63="","", IFERROR(VLOOKUP(T63, IF(D63="Movers", 换算标准!$A:$B, 换算标准!$G:$H), 2, TRUE), 0))</f>
        <v/>
      </c>
      <c r="V63" t="s">
        <v>65</v>
      </c>
      <c r="W63" t="str">
        <f t="shared" si="2"/>
        <v/>
      </c>
      <c r="Z63" s="5" t="str">
        <f>IF(J63="","", IF(K63&lt;=3, "⚠️ 薄弱环节: "&amp;INDEX($E$1:$I$1, MATCH(MIN(E63:I63), E63:I63, 0))&amp;CHAR(10)&amp;"📉 考察能力: "&amp;IFERROR(VLOOKUP(TRIM(D63)&amp;"_"&amp;TRIM(INDEX($E$1:$I$1, MATCH(MIN(E63:I63), E63:I63, 0))), 技能库!$A:$F, 5, 0),"建议查阅考纲")&amp;CHAR(10)&amp;"💡 提升建议: "&amp;IFERROR(VLOOKUP(TRIM(D63)&amp;"_"&amp;TRIM(INDEX($E$1:$I$1, MATCH(MIN(E63:I63), E63:I63, 0))), 技能库!$A:$F, 6, 0),"请针对该题型加强练习"), "🎉 表现优异，无明显弱项！"))</f>
        <v/>
      </c>
      <c r="AA63" s="5" t="str">
        <f>IF(T63="","", IF(U63&lt;=3, "⚠️ 薄弱环节: "&amp;INDEX($M$1:$S$1, MATCH(MIN(M63:S63), M63:S63, 0))&amp;CHAR(10)&amp;"📉 考察能力: "&amp;IFERROR(VLOOKUP(TRIM(D63)&amp;"_"&amp;TRIM(INDEX($M$1:$S$1, MATCH(MIN(M63:S63), M63:S63, 0))), 技能库!$A:$F, 5, 0),"建议查阅考纲")&amp;CHAR(10)&amp;"💡 提升建议: "&amp;IFERROR(VLOOKUP(TRIM(D63)&amp;"_"&amp;TRIM(INDEX($M$1:$S$1, MATCH(MIN(M63:S63), M63:S63, 0))), 技能库!$A:$F, 6, 0),"请针对该题型加强练习"), "🎉 表现优异，无明显弱项！"))</f>
        <v/>
      </c>
      <c r="AB63" t="s">
        <v>304</v>
      </c>
    </row>
    <row r="64" spans="1:28" ht="18" hidden="1" customHeight="1" x14ac:dyDescent="0.2">
      <c r="J64" t="str">
        <f t="shared" si="0"/>
        <v/>
      </c>
      <c r="K64" t="str">
        <f>IF(J64="","", IFERROR(VLOOKUP(J64, IF(D64="Movers", 换算标准!$C:$D, 换算标准!$I:$J), 2, TRUE), 0))</f>
        <v/>
      </c>
      <c r="T64" t="str">
        <f t="shared" si="1"/>
        <v/>
      </c>
      <c r="U64" t="str">
        <f>IF(T64="","", IFERROR(VLOOKUP(T64, IF(D64="Movers", 换算标准!$A:$B, 换算标准!$G:$H), 2, TRUE), 0))</f>
        <v/>
      </c>
      <c r="V64" t="s">
        <v>65</v>
      </c>
      <c r="W64" t="str">
        <f t="shared" si="2"/>
        <v/>
      </c>
      <c r="Z64" s="5" t="str">
        <f>IF(J64="","", IF(K64&lt;=3, "⚠️ 薄弱环节: "&amp;INDEX($E$1:$I$1, MATCH(MIN(E64:I64), E64:I64, 0))&amp;CHAR(10)&amp;"📉 考察能力: "&amp;IFERROR(VLOOKUP(TRIM(D64)&amp;"_"&amp;TRIM(INDEX($E$1:$I$1, MATCH(MIN(E64:I64), E64:I64, 0))), 技能库!$A:$F, 5, 0),"建议查阅考纲")&amp;CHAR(10)&amp;"💡 提升建议: "&amp;IFERROR(VLOOKUP(TRIM(D64)&amp;"_"&amp;TRIM(INDEX($E$1:$I$1, MATCH(MIN(E64:I64), E64:I64, 0))), 技能库!$A:$F, 6, 0),"请针对该题型加强练习"), "🎉 表现优异，无明显弱项！"))</f>
        <v/>
      </c>
      <c r="AA64" s="5" t="str">
        <f>IF(T64="","", IF(U64&lt;=3, "⚠️ 薄弱环节: "&amp;INDEX($M$1:$S$1, MATCH(MIN(M64:S64), M64:S64, 0))&amp;CHAR(10)&amp;"📉 考察能力: "&amp;IFERROR(VLOOKUP(TRIM(D64)&amp;"_"&amp;TRIM(INDEX($M$1:$S$1, MATCH(MIN(M64:S64), M64:S64, 0))), 技能库!$A:$F, 5, 0),"建议查阅考纲")&amp;CHAR(10)&amp;"💡 提升建议: "&amp;IFERROR(VLOOKUP(TRIM(D64)&amp;"_"&amp;TRIM(INDEX($M$1:$S$1, MATCH(MIN(M64:S64), M64:S64, 0))), 技能库!$A:$F, 6, 0),"请针对该题型加强练习"), "🎉 表现优异，无明显弱项！"))</f>
        <v/>
      </c>
      <c r="AB64" t="s">
        <v>304</v>
      </c>
    </row>
    <row r="65" spans="10:28" ht="18" hidden="1" customHeight="1" x14ac:dyDescent="0.2">
      <c r="J65" t="str">
        <f t="shared" si="0"/>
        <v/>
      </c>
      <c r="K65" t="str">
        <f>IF(J65="","", IFERROR(VLOOKUP(J65, IF(D65="Movers", 换算标准!$C:$D, 换算标准!$I:$J), 2, TRUE), 0))</f>
        <v/>
      </c>
      <c r="T65" t="str">
        <f t="shared" si="1"/>
        <v/>
      </c>
      <c r="U65" t="str">
        <f>IF(T65="","", IFERROR(VLOOKUP(T65, IF(D65="Movers", 换算标准!$A:$B, 换算标准!$G:$H), 2, TRUE), 0))</f>
        <v/>
      </c>
      <c r="V65" t="s">
        <v>65</v>
      </c>
      <c r="W65" t="str">
        <f t="shared" si="2"/>
        <v/>
      </c>
      <c r="Z65" s="5" t="str">
        <f>IF(J65="","", IF(K65&lt;=3, "⚠️ 薄弱环节: "&amp;INDEX($E$1:$I$1, MATCH(MIN(E65:I65), E65:I65, 0))&amp;CHAR(10)&amp;"📉 考察能力: "&amp;IFERROR(VLOOKUP(TRIM(D65)&amp;"_"&amp;TRIM(INDEX($E$1:$I$1, MATCH(MIN(E65:I65), E65:I65, 0))), 技能库!$A:$F, 5, 0),"建议查阅考纲")&amp;CHAR(10)&amp;"💡 提升建议: "&amp;IFERROR(VLOOKUP(TRIM(D65)&amp;"_"&amp;TRIM(INDEX($E$1:$I$1, MATCH(MIN(E65:I65), E65:I65, 0))), 技能库!$A:$F, 6, 0),"请针对该题型加强练习"), "🎉 表现优异，无明显弱项！"))</f>
        <v/>
      </c>
      <c r="AA65" s="5" t="str">
        <f>IF(T65="","", IF(U65&lt;=3, "⚠️ 薄弱环节: "&amp;INDEX($M$1:$S$1, MATCH(MIN(M65:S65), M65:S65, 0))&amp;CHAR(10)&amp;"📉 考察能力: "&amp;IFERROR(VLOOKUP(TRIM(D65)&amp;"_"&amp;TRIM(INDEX($M$1:$S$1, MATCH(MIN(M65:S65), M65:S65, 0))), 技能库!$A:$F, 5, 0),"建议查阅考纲")&amp;CHAR(10)&amp;"💡 提升建议: "&amp;IFERROR(VLOOKUP(TRIM(D65)&amp;"_"&amp;TRIM(INDEX($M$1:$S$1, MATCH(MIN(M65:S65), M65:S65, 0))), 技能库!$A:$F, 6, 0),"请针对该题型加强练习"), "🎉 表现优异，无明显弱项！"))</f>
        <v/>
      </c>
      <c r="AB65" t="s">
        <v>304</v>
      </c>
    </row>
    <row r="66" spans="10:28" ht="18" hidden="1" customHeight="1" x14ac:dyDescent="0.2">
      <c r="J66" t="str">
        <f t="shared" ref="J66:J129" si="3">IF(COUNT(E66:I66)&gt;0, SUM(E66:I66), "")</f>
        <v/>
      </c>
      <c r="K66" t="str">
        <f>IF(J66="","", IFERROR(VLOOKUP(J66, IF(D66="Movers", 换算标准!$C:$D, 换算标准!$I:$J), 2, TRUE), 0))</f>
        <v/>
      </c>
      <c r="T66" t="str">
        <f t="shared" ref="T66:T129" si="4">IF(COUNT(M66:S66)&gt;0, SUM(M66:S66), "")</f>
        <v/>
      </c>
      <c r="U66" t="str">
        <f>IF(T66="","", IFERROR(VLOOKUP(T66, IF(D66="Movers", 换算标准!$A:$B, 换算标准!$G:$H), 2, TRUE), 0))</f>
        <v/>
      </c>
      <c r="V66" t="s">
        <v>65</v>
      </c>
      <c r="W66" t="str">
        <f t="shared" ref="W66:W129" si="5">IF(AND(K66&lt;&gt;"", U66&lt;&gt;""), K66+U66, "")</f>
        <v/>
      </c>
      <c r="Z66" s="5" t="str">
        <f>IF(J66="","", IF(K66&lt;=3, "⚠️ 薄弱环节: "&amp;INDEX($E$1:$I$1, MATCH(MIN(E66:I66), E66:I66, 0))&amp;CHAR(10)&amp;"📉 考察能力: "&amp;IFERROR(VLOOKUP(TRIM(D66)&amp;"_"&amp;TRIM(INDEX($E$1:$I$1, MATCH(MIN(E66:I66), E66:I66, 0))), 技能库!$A:$F, 5, 0),"建议查阅考纲")&amp;CHAR(10)&amp;"💡 提升建议: "&amp;IFERROR(VLOOKUP(TRIM(D66)&amp;"_"&amp;TRIM(INDEX($E$1:$I$1, MATCH(MIN(E66:I66), E66:I66, 0))), 技能库!$A:$F, 6, 0),"请针对该题型加强练习"), "🎉 表现优异，无明显弱项！"))</f>
        <v/>
      </c>
      <c r="AA66" s="5" t="str">
        <f>IF(T66="","", IF(U66&lt;=3, "⚠️ 薄弱环节: "&amp;INDEX($M$1:$S$1, MATCH(MIN(M66:S66), M66:S66, 0))&amp;CHAR(10)&amp;"📉 考察能力: "&amp;IFERROR(VLOOKUP(TRIM(D66)&amp;"_"&amp;TRIM(INDEX($M$1:$S$1, MATCH(MIN(M66:S66), M66:S66, 0))), 技能库!$A:$F, 5, 0),"建议查阅考纲")&amp;CHAR(10)&amp;"💡 提升建议: "&amp;IFERROR(VLOOKUP(TRIM(D66)&amp;"_"&amp;TRIM(INDEX($M$1:$S$1, MATCH(MIN(M66:S66), M66:S66, 0))), 技能库!$A:$F, 6, 0),"请针对该题型加强练习"), "🎉 表现优异，无明显弱项！"))</f>
        <v/>
      </c>
      <c r="AB66" t="s">
        <v>304</v>
      </c>
    </row>
    <row r="67" spans="10:28" ht="18" hidden="1" customHeight="1" x14ac:dyDescent="0.2">
      <c r="J67" t="str">
        <f t="shared" si="3"/>
        <v/>
      </c>
      <c r="K67" t="str">
        <f>IF(J67="","", IFERROR(VLOOKUP(J67, IF(D67="Movers", 换算标准!$C:$D, 换算标准!$I:$J), 2, TRUE), 0))</f>
        <v/>
      </c>
      <c r="T67" t="str">
        <f t="shared" si="4"/>
        <v/>
      </c>
      <c r="U67" t="str">
        <f>IF(T67="","", IFERROR(VLOOKUP(T67, IF(D67="Movers", 换算标准!$A:$B, 换算标准!$G:$H), 2, TRUE), 0))</f>
        <v/>
      </c>
      <c r="V67" t="s">
        <v>65</v>
      </c>
      <c r="W67" t="str">
        <f t="shared" si="5"/>
        <v/>
      </c>
      <c r="Z67" s="5" t="str">
        <f>IF(J67="","", IF(K67&lt;=3, "⚠️ 薄弱环节: "&amp;INDEX($E$1:$I$1, MATCH(MIN(E67:I67), E67:I67, 0))&amp;CHAR(10)&amp;"📉 考察能力: "&amp;IFERROR(VLOOKUP(TRIM(D67)&amp;"_"&amp;TRIM(INDEX($E$1:$I$1, MATCH(MIN(E67:I67), E67:I67, 0))), 技能库!$A:$F, 5, 0),"建议查阅考纲")&amp;CHAR(10)&amp;"💡 提升建议: "&amp;IFERROR(VLOOKUP(TRIM(D67)&amp;"_"&amp;TRIM(INDEX($E$1:$I$1, MATCH(MIN(E67:I67), E67:I67, 0))), 技能库!$A:$F, 6, 0),"请针对该题型加强练习"), "🎉 表现优异，无明显弱项！"))</f>
        <v/>
      </c>
      <c r="AA67" s="5" t="str">
        <f>IF(T67="","", IF(U67&lt;=3, "⚠️ 薄弱环节: "&amp;INDEX($M$1:$S$1, MATCH(MIN(M67:S67), M67:S67, 0))&amp;CHAR(10)&amp;"📉 考察能力: "&amp;IFERROR(VLOOKUP(TRIM(D67)&amp;"_"&amp;TRIM(INDEX($M$1:$S$1, MATCH(MIN(M67:S67), M67:S67, 0))), 技能库!$A:$F, 5, 0),"建议查阅考纲")&amp;CHAR(10)&amp;"💡 提升建议: "&amp;IFERROR(VLOOKUP(TRIM(D67)&amp;"_"&amp;TRIM(INDEX($M$1:$S$1, MATCH(MIN(M67:S67), M67:S67, 0))), 技能库!$A:$F, 6, 0),"请针对该题型加强练习"), "🎉 表现优异，无明显弱项！"))</f>
        <v/>
      </c>
      <c r="AB67" t="s">
        <v>304</v>
      </c>
    </row>
    <row r="68" spans="10:28" ht="18" hidden="1" customHeight="1" x14ac:dyDescent="0.2">
      <c r="J68" t="str">
        <f t="shared" si="3"/>
        <v/>
      </c>
      <c r="K68" t="str">
        <f>IF(J68="","", IFERROR(VLOOKUP(J68, IF(D68="Movers", 换算标准!$C:$D, 换算标准!$I:$J), 2, TRUE), 0))</f>
        <v/>
      </c>
      <c r="T68" t="str">
        <f t="shared" si="4"/>
        <v/>
      </c>
      <c r="U68" t="str">
        <f>IF(T68="","", IFERROR(VLOOKUP(T68, IF(D68="Movers", 换算标准!$A:$B, 换算标准!$G:$H), 2, TRUE), 0))</f>
        <v/>
      </c>
      <c r="V68" t="s">
        <v>65</v>
      </c>
      <c r="W68" t="str">
        <f t="shared" si="5"/>
        <v/>
      </c>
      <c r="Z68" s="5" t="str">
        <f>IF(J68="","", IF(K68&lt;=3, "⚠️ 薄弱环节: "&amp;INDEX($E$1:$I$1, MATCH(MIN(E68:I68), E68:I68, 0))&amp;CHAR(10)&amp;"📉 考察能力: "&amp;IFERROR(VLOOKUP(TRIM(D68)&amp;"_"&amp;TRIM(INDEX($E$1:$I$1, MATCH(MIN(E68:I68), E68:I68, 0))), 技能库!$A:$F, 5, 0),"建议查阅考纲")&amp;CHAR(10)&amp;"💡 提升建议: "&amp;IFERROR(VLOOKUP(TRIM(D68)&amp;"_"&amp;TRIM(INDEX($E$1:$I$1, MATCH(MIN(E68:I68), E68:I68, 0))), 技能库!$A:$F, 6, 0),"请针对该题型加强练习"), "🎉 表现优异，无明显弱项！"))</f>
        <v/>
      </c>
      <c r="AA68" s="5" t="str">
        <f>IF(T68="","", IF(U68&lt;=3, "⚠️ 薄弱环节: "&amp;INDEX($M$1:$S$1, MATCH(MIN(M68:S68), M68:S68, 0))&amp;CHAR(10)&amp;"📉 考察能力: "&amp;IFERROR(VLOOKUP(TRIM(D68)&amp;"_"&amp;TRIM(INDEX($M$1:$S$1, MATCH(MIN(M68:S68), M68:S68, 0))), 技能库!$A:$F, 5, 0),"建议查阅考纲")&amp;CHAR(10)&amp;"💡 提升建议: "&amp;IFERROR(VLOOKUP(TRIM(D68)&amp;"_"&amp;TRIM(INDEX($M$1:$S$1, MATCH(MIN(M68:S68), M68:S68, 0))), 技能库!$A:$F, 6, 0),"请针对该题型加强练习"), "🎉 表现优异，无明显弱项！"))</f>
        <v/>
      </c>
      <c r="AB68" t="s">
        <v>304</v>
      </c>
    </row>
    <row r="69" spans="10:28" ht="18" hidden="1" customHeight="1" x14ac:dyDescent="0.2">
      <c r="J69" t="str">
        <f t="shared" si="3"/>
        <v/>
      </c>
      <c r="K69" t="str">
        <f>IF(J69="","", IFERROR(VLOOKUP(J69, IF(D69="Movers", 换算标准!$C:$D, 换算标准!$I:$J), 2, TRUE), 0))</f>
        <v/>
      </c>
      <c r="T69" t="str">
        <f t="shared" si="4"/>
        <v/>
      </c>
      <c r="U69" t="str">
        <f>IF(T69="","", IFERROR(VLOOKUP(T69, IF(D69="Movers", 换算标准!$A:$B, 换算标准!$G:$H), 2, TRUE), 0))</f>
        <v/>
      </c>
      <c r="V69" t="s">
        <v>65</v>
      </c>
      <c r="W69" t="str">
        <f t="shared" si="5"/>
        <v/>
      </c>
      <c r="Z69" s="5" t="str">
        <f>IF(J69="","", IF(K69&lt;=3, "⚠️ 薄弱环节: "&amp;INDEX($E$1:$I$1, MATCH(MIN(E69:I69), E69:I69, 0))&amp;CHAR(10)&amp;"📉 考察能力: "&amp;IFERROR(VLOOKUP(TRIM(D69)&amp;"_"&amp;TRIM(INDEX($E$1:$I$1, MATCH(MIN(E69:I69), E69:I69, 0))), 技能库!$A:$F, 5, 0),"建议查阅考纲")&amp;CHAR(10)&amp;"💡 提升建议: "&amp;IFERROR(VLOOKUP(TRIM(D69)&amp;"_"&amp;TRIM(INDEX($E$1:$I$1, MATCH(MIN(E69:I69), E69:I69, 0))), 技能库!$A:$F, 6, 0),"请针对该题型加强练习"), "🎉 表现优异，无明显弱项！"))</f>
        <v/>
      </c>
      <c r="AA69" s="5" t="str">
        <f>IF(T69="","", IF(U69&lt;=3, "⚠️ 薄弱环节: "&amp;INDEX($M$1:$S$1, MATCH(MIN(M69:S69), M69:S69, 0))&amp;CHAR(10)&amp;"📉 考察能力: "&amp;IFERROR(VLOOKUP(TRIM(D69)&amp;"_"&amp;TRIM(INDEX($M$1:$S$1, MATCH(MIN(M69:S69), M69:S69, 0))), 技能库!$A:$F, 5, 0),"建议查阅考纲")&amp;CHAR(10)&amp;"💡 提升建议: "&amp;IFERROR(VLOOKUP(TRIM(D69)&amp;"_"&amp;TRIM(INDEX($M$1:$S$1, MATCH(MIN(M69:S69), M69:S69, 0))), 技能库!$A:$F, 6, 0),"请针对该题型加强练习"), "🎉 表现优异，无明显弱项！"))</f>
        <v/>
      </c>
      <c r="AB69" t="s">
        <v>304</v>
      </c>
    </row>
    <row r="70" spans="10:28" ht="18" hidden="1" customHeight="1" x14ac:dyDescent="0.2">
      <c r="J70" t="str">
        <f t="shared" si="3"/>
        <v/>
      </c>
      <c r="K70" t="str">
        <f>IF(J70="","", IFERROR(VLOOKUP(J70, IF(D70="Movers", 换算标准!$C:$D, 换算标准!$I:$J), 2, TRUE), 0))</f>
        <v/>
      </c>
      <c r="T70" t="str">
        <f t="shared" si="4"/>
        <v/>
      </c>
      <c r="U70" t="str">
        <f>IF(T70="","", IFERROR(VLOOKUP(T70, IF(D70="Movers", 换算标准!$A:$B, 换算标准!$G:$H), 2, TRUE), 0))</f>
        <v/>
      </c>
      <c r="V70" t="s">
        <v>65</v>
      </c>
      <c r="W70" t="str">
        <f t="shared" si="5"/>
        <v/>
      </c>
      <c r="Z70" s="5" t="str">
        <f>IF(J70="","", IF(K70&lt;=3, "⚠️ 薄弱环节: "&amp;INDEX($E$1:$I$1, MATCH(MIN(E70:I70), E70:I70, 0))&amp;CHAR(10)&amp;"📉 考察能力: "&amp;IFERROR(VLOOKUP(TRIM(D70)&amp;"_"&amp;TRIM(INDEX($E$1:$I$1, MATCH(MIN(E70:I70), E70:I70, 0))), 技能库!$A:$F, 5, 0),"建议查阅考纲")&amp;CHAR(10)&amp;"💡 提升建议: "&amp;IFERROR(VLOOKUP(TRIM(D70)&amp;"_"&amp;TRIM(INDEX($E$1:$I$1, MATCH(MIN(E70:I70), E70:I70, 0))), 技能库!$A:$F, 6, 0),"请针对该题型加强练习"), "🎉 表现优异，无明显弱项！"))</f>
        <v/>
      </c>
      <c r="AA70" s="5" t="str">
        <f>IF(T70="","", IF(U70&lt;=3, "⚠️ 薄弱环节: "&amp;INDEX($M$1:$S$1, MATCH(MIN(M70:S70), M70:S70, 0))&amp;CHAR(10)&amp;"📉 考察能力: "&amp;IFERROR(VLOOKUP(TRIM(D70)&amp;"_"&amp;TRIM(INDEX($M$1:$S$1, MATCH(MIN(M70:S70), M70:S70, 0))), 技能库!$A:$F, 5, 0),"建议查阅考纲")&amp;CHAR(10)&amp;"💡 提升建议: "&amp;IFERROR(VLOOKUP(TRIM(D70)&amp;"_"&amp;TRIM(INDEX($M$1:$S$1, MATCH(MIN(M70:S70), M70:S70, 0))), 技能库!$A:$F, 6, 0),"请针对该题型加强练习"), "🎉 表现优异，无明显弱项！"))</f>
        <v/>
      </c>
      <c r="AB70" t="s">
        <v>304</v>
      </c>
    </row>
    <row r="71" spans="10:28" ht="18" hidden="1" customHeight="1" x14ac:dyDescent="0.2">
      <c r="J71" t="str">
        <f t="shared" si="3"/>
        <v/>
      </c>
      <c r="K71" t="str">
        <f>IF(J71="","", IFERROR(VLOOKUP(J71, IF(D71="Movers", 换算标准!$C:$D, 换算标准!$I:$J), 2, TRUE), 0))</f>
        <v/>
      </c>
      <c r="T71" t="str">
        <f t="shared" si="4"/>
        <v/>
      </c>
      <c r="U71" t="str">
        <f>IF(T71="","", IFERROR(VLOOKUP(T71, IF(D71="Movers", 换算标准!$A:$B, 换算标准!$G:$H), 2, TRUE), 0))</f>
        <v/>
      </c>
      <c r="V71" t="s">
        <v>65</v>
      </c>
      <c r="W71" t="str">
        <f t="shared" si="5"/>
        <v/>
      </c>
      <c r="Z71" s="5" t="str">
        <f>IF(J71="","", IF(K71&lt;=3, "⚠️ 薄弱环节: "&amp;INDEX($E$1:$I$1, MATCH(MIN(E71:I71), E71:I71, 0))&amp;CHAR(10)&amp;"📉 考察能力: "&amp;IFERROR(VLOOKUP(TRIM(D71)&amp;"_"&amp;TRIM(INDEX($E$1:$I$1, MATCH(MIN(E71:I71), E71:I71, 0))), 技能库!$A:$F, 5, 0),"建议查阅考纲")&amp;CHAR(10)&amp;"💡 提升建议: "&amp;IFERROR(VLOOKUP(TRIM(D71)&amp;"_"&amp;TRIM(INDEX($E$1:$I$1, MATCH(MIN(E71:I71), E71:I71, 0))), 技能库!$A:$F, 6, 0),"请针对该题型加强练习"), "🎉 表现优异，无明显弱项！"))</f>
        <v/>
      </c>
      <c r="AA71" s="5" t="str">
        <f>IF(T71="","", IF(U71&lt;=3, "⚠️ 薄弱环节: "&amp;INDEX($M$1:$S$1, MATCH(MIN(M71:S71), M71:S71, 0))&amp;CHAR(10)&amp;"📉 考察能力: "&amp;IFERROR(VLOOKUP(TRIM(D71)&amp;"_"&amp;TRIM(INDEX($M$1:$S$1, MATCH(MIN(M71:S71), M71:S71, 0))), 技能库!$A:$F, 5, 0),"建议查阅考纲")&amp;CHAR(10)&amp;"💡 提升建议: "&amp;IFERROR(VLOOKUP(TRIM(D71)&amp;"_"&amp;TRIM(INDEX($M$1:$S$1, MATCH(MIN(M71:S71), M71:S71, 0))), 技能库!$A:$F, 6, 0),"请针对该题型加强练习"), "🎉 表现优异，无明显弱项！"))</f>
        <v/>
      </c>
      <c r="AB71" t="s">
        <v>304</v>
      </c>
    </row>
    <row r="72" spans="10:28" ht="18" hidden="1" customHeight="1" x14ac:dyDescent="0.2">
      <c r="J72" t="str">
        <f t="shared" si="3"/>
        <v/>
      </c>
      <c r="K72" t="str">
        <f>IF(J72="","", IFERROR(VLOOKUP(J72, IF(D72="Movers", 换算标准!$C:$D, 换算标准!$I:$J), 2, TRUE), 0))</f>
        <v/>
      </c>
      <c r="T72" t="str">
        <f t="shared" si="4"/>
        <v/>
      </c>
      <c r="U72" t="str">
        <f>IF(T72="","", IFERROR(VLOOKUP(T72, IF(D72="Movers", 换算标准!$A:$B, 换算标准!$G:$H), 2, TRUE), 0))</f>
        <v/>
      </c>
      <c r="V72" t="s">
        <v>65</v>
      </c>
      <c r="W72" t="str">
        <f t="shared" si="5"/>
        <v/>
      </c>
      <c r="Z72" s="5" t="str">
        <f>IF(J72="","", IF(K72&lt;=3, "⚠️ 薄弱环节: "&amp;INDEX($E$1:$I$1, MATCH(MIN(E72:I72), E72:I72, 0))&amp;CHAR(10)&amp;"📉 考察能力: "&amp;IFERROR(VLOOKUP(TRIM(D72)&amp;"_"&amp;TRIM(INDEX($E$1:$I$1, MATCH(MIN(E72:I72), E72:I72, 0))), 技能库!$A:$F, 5, 0),"建议查阅考纲")&amp;CHAR(10)&amp;"💡 提升建议: "&amp;IFERROR(VLOOKUP(TRIM(D72)&amp;"_"&amp;TRIM(INDEX($E$1:$I$1, MATCH(MIN(E72:I72), E72:I72, 0))), 技能库!$A:$F, 6, 0),"请针对该题型加强练习"), "🎉 表现优异，无明显弱项！"))</f>
        <v/>
      </c>
      <c r="AA72" s="5" t="str">
        <f>IF(T72="","", IF(U72&lt;=3, "⚠️ 薄弱环节: "&amp;INDEX($M$1:$S$1, MATCH(MIN(M72:S72), M72:S72, 0))&amp;CHAR(10)&amp;"📉 考察能力: "&amp;IFERROR(VLOOKUP(TRIM(D72)&amp;"_"&amp;TRIM(INDEX($M$1:$S$1, MATCH(MIN(M72:S72), M72:S72, 0))), 技能库!$A:$F, 5, 0),"建议查阅考纲")&amp;CHAR(10)&amp;"💡 提升建议: "&amp;IFERROR(VLOOKUP(TRIM(D72)&amp;"_"&amp;TRIM(INDEX($M$1:$S$1, MATCH(MIN(M72:S72), M72:S72, 0))), 技能库!$A:$F, 6, 0),"请针对该题型加强练习"), "🎉 表现优异，无明显弱项！"))</f>
        <v/>
      </c>
      <c r="AB72" t="s">
        <v>304</v>
      </c>
    </row>
    <row r="73" spans="10:28" ht="18" hidden="1" customHeight="1" x14ac:dyDescent="0.2">
      <c r="J73" t="str">
        <f t="shared" si="3"/>
        <v/>
      </c>
      <c r="K73" t="str">
        <f>IF(J73="","", IFERROR(VLOOKUP(J73, IF(D73="Movers", 换算标准!$C:$D, 换算标准!$I:$J), 2, TRUE), 0))</f>
        <v/>
      </c>
      <c r="T73" t="str">
        <f t="shared" si="4"/>
        <v/>
      </c>
      <c r="U73" t="str">
        <f>IF(T73="","", IFERROR(VLOOKUP(T73, IF(D73="Movers", 换算标准!$A:$B, 换算标准!$G:$H), 2, TRUE), 0))</f>
        <v/>
      </c>
      <c r="V73" t="s">
        <v>65</v>
      </c>
      <c r="W73" t="str">
        <f t="shared" si="5"/>
        <v/>
      </c>
      <c r="Z73" s="5" t="str">
        <f>IF(J73="","", IF(K73&lt;=3, "⚠️ 薄弱环节: "&amp;INDEX($E$1:$I$1, MATCH(MIN(E73:I73), E73:I73, 0))&amp;CHAR(10)&amp;"📉 考察能力: "&amp;IFERROR(VLOOKUP(TRIM(D73)&amp;"_"&amp;TRIM(INDEX($E$1:$I$1, MATCH(MIN(E73:I73), E73:I73, 0))), 技能库!$A:$F, 5, 0),"建议查阅考纲")&amp;CHAR(10)&amp;"💡 提升建议: "&amp;IFERROR(VLOOKUP(TRIM(D73)&amp;"_"&amp;TRIM(INDEX($E$1:$I$1, MATCH(MIN(E73:I73), E73:I73, 0))), 技能库!$A:$F, 6, 0),"请针对该题型加强练习"), "🎉 表现优异，无明显弱项！"))</f>
        <v/>
      </c>
      <c r="AA73" s="5" t="str">
        <f>IF(T73="","", IF(U73&lt;=3, "⚠️ 薄弱环节: "&amp;INDEX($M$1:$S$1, MATCH(MIN(M73:S73), M73:S73, 0))&amp;CHAR(10)&amp;"📉 考察能力: "&amp;IFERROR(VLOOKUP(TRIM(D73)&amp;"_"&amp;TRIM(INDEX($M$1:$S$1, MATCH(MIN(M73:S73), M73:S73, 0))), 技能库!$A:$F, 5, 0),"建议查阅考纲")&amp;CHAR(10)&amp;"💡 提升建议: "&amp;IFERROR(VLOOKUP(TRIM(D73)&amp;"_"&amp;TRIM(INDEX($M$1:$S$1, MATCH(MIN(M73:S73), M73:S73, 0))), 技能库!$A:$F, 6, 0),"请针对该题型加强练习"), "🎉 表现优异，无明显弱项！"))</f>
        <v/>
      </c>
      <c r="AB73" t="s">
        <v>304</v>
      </c>
    </row>
    <row r="74" spans="10:28" ht="18" hidden="1" customHeight="1" x14ac:dyDescent="0.2">
      <c r="J74" t="str">
        <f t="shared" si="3"/>
        <v/>
      </c>
      <c r="K74" t="str">
        <f>IF(J74="","", IFERROR(VLOOKUP(J74, IF(D74="Movers", 换算标准!$C:$D, 换算标准!$I:$J), 2, TRUE), 0))</f>
        <v/>
      </c>
      <c r="T74" t="str">
        <f t="shared" si="4"/>
        <v/>
      </c>
      <c r="U74" t="str">
        <f>IF(T74="","", IFERROR(VLOOKUP(T74, IF(D74="Movers", 换算标准!$A:$B, 换算标准!$G:$H), 2, TRUE), 0))</f>
        <v/>
      </c>
      <c r="V74" t="s">
        <v>65</v>
      </c>
      <c r="W74" t="str">
        <f t="shared" si="5"/>
        <v/>
      </c>
      <c r="Z74" s="5" t="str">
        <f>IF(J74="","", IF(K74&lt;=3, "⚠️ 薄弱环节: "&amp;INDEX($E$1:$I$1, MATCH(MIN(E74:I74), E74:I74, 0))&amp;CHAR(10)&amp;"📉 考察能力: "&amp;IFERROR(VLOOKUP(TRIM(D74)&amp;"_"&amp;TRIM(INDEX($E$1:$I$1, MATCH(MIN(E74:I74), E74:I74, 0))), 技能库!$A:$F, 5, 0),"建议查阅考纲")&amp;CHAR(10)&amp;"💡 提升建议: "&amp;IFERROR(VLOOKUP(TRIM(D74)&amp;"_"&amp;TRIM(INDEX($E$1:$I$1, MATCH(MIN(E74:I74), E74:I74, 0))), 技能库!$A:$F, 6, 0),"请针对该题型加强练习"), "🎉 表现优异，无明显弱项！"))</f>
        <v/>
      </c>
      <c r="AA74" s="5" t="str">
        <f>IF(T74="","", IF(U74&lt;=3, "⚠️ 薄弱环节: "&amp;INDEX($M$1:$S$1, MATCH(MIN(M74:S74), M74:S74, 0))&amp;CHAR(10)&amp;"📉 考察能力: "&amp;IFERROR(VLOOKUP(TRIM(D74)&amp;"_"&amp;TRIM(INDEX($M$1:$S$1, MATCH(MIN(M74:S74), M74:S74, 0))), 技能库!$A:$F, 5, 0),"建议查阅考纲")&amp;CHAR(10)&amp;"💡 提升建议: "&amp;IFERROR(VLOOKUP(TRIM(D74)&amp;"_"&amp;TRIM(INDEX($M$1:$S$1, MATCH(MIN(M74:S74), M74:S74, 0))), 技能库!$A:$F, 6, 0),"请针对该题型加强练习"), "🎉 表现优异，无明显弱项！"))</f>
        <v/>
      </c>
      <c r="AB74" t="s">
        <v>304</v>
      </c>
    </row>
    <row r="75" spans="10:28" ht="18" hidden="1" customHeight="1" x14ac:dyDescent="0.2">
      <c r="J75" t="str">
        <f t="shared" si="3"/>
        <v/>
      </c>
      <c r="K75" t="str">
        <f>IF(J75="","", IFERROR(VLOOKUP(J75, IF(D75="Movers", 换算标准!$C:$D, 换算标准!$I:$J), 2, TRUE), 0))</f>
        <v/>
      </c>
      <c r="T75" t="str">
        <f t="shared" si="4"/>
        <v/>
      </c>
      <c r="U75" t="str">
        <f>IF(T75="","", IFERROR(VLOOKUP(T75, IF(D75="Movers", 换算标准!$A:$B, 换算标准!$G:$H), 2, TRUE), 0))</f>
        <v/>
      </c>
      <c r="V75" t="s">
        <v>65</v>
      </c>
      <c r="W75" t="str">
        <f t="shared" si="5"/>
        <v/>
      </c>
      <c r="Z75" s="5" t="str">
        <f>IF(J75="","", IF(K75&lt;=3, "⚠️ 薄弱环节: "&amp;INDEX($E$1:$I$1, MATCH(MIN(E75:I75), E75:I75, 0))&amp;CHAR(10)&amp;"📉 考察能力: "&amp;IFERROR(VLOOKUP(TRIM(D75)&amp;"_"&amp;TRIM(INDEX($E$1:$I$1, MATCH(MIN(E75:I75), E75:I75, 0))), 技能库!$A:$F, 5, 0),"建议查阅考纲")&amp;CHAR(10)&amp;"💡 提升建议: "&amp;IFERROR(VLOOKUP(TRIM(D75)&amp;"_"&amp;TRIM(INDEX($E$1:$I$1, MATCH(MIN(E75:I75), E75:I75, 0))), 技能库!$A:$F, 6, 0),"请针对该题型加强练习"), "🎉 表现优异，无明显弱项！"))</f>
        <v/>
      </c>
      <c r="AA75" s="5" t="str">
        <f>IF(T75="","", IF(U75&lt;=3, "⚠️ 薄弱环节: "&amp;INDEX($M$1:$S$1, MATCH(MIN(M75:S75), M75:S75, 0))&amp;CHAR(10)&amp;"📉 考察能力: "&amp;IFERROR(VLOOKUP(TRIM(D75)&amp;"_"&amp;TRIM(INDEX($M$1:$S$1, MATCH(MIN(M75:S75), M75:S75, 0))), 技能库!$A:$F, 5, 0),"建议查阅考纲")&amp;CHAR(10)&amp;"💡 提升建议: "&amp;IFERROR(VLOOKUP(TRIM(D75)&amp;"_"&amp;TRIM(INDEX($M$1:$S$1, MATCH(MIN(M75:S75), M75:S75, 0))), 技能库!$A:$F, 6, 0),"请针对该题型加强练习"), "🎉 表现优异，无明显弱项！"))</f>
        <v/>
      </c>
      <c r="AB75" t="s">
        <v>304</v>
      </c>
    </row>
    <row r="76" spans="10:28" ht="18" hidden="1" customHeight="1" x14ac:dyDescent="0.2">
      <c r="J76" t="str">
        <f t="shared" si="3"/>
        <v/>
      </c>
      <c r="K76" t="str">
        <f>IF(J76="","", IFERROR(VLOOKUP(J76, IF(D76="Movers", 换算标准!$C:$D, 换算标准!$I:$J), 2, TRUE), 0))</f>
        <v/>
      </c>
      <c r="T76" t="str">
        <f t="shared" si="4"/>
        <v/>
      </c>
      <c r="U76" t="str">
        <f>IF(T76="","", IFERROR(VLOOKUP(T76, IF(D76="Movers", 换算标准!$A:$B, 换算标准!$G:$H), 2, TRUE), 0))</f>
        <v/>
      </c>
      <c r="V76" t="s">
        <v>65</v>
      </c>
      <c r="W76" t="str">
        <f t="shared" si="5"/>
        <v/>
      </c>
      <c r="Z76" s="5" t="str">
        <f>IF(J76="","", IF(K76&lt;=3, "⚠️ 薄弱环节: "&amp;INDEX($E$1:$I$1, MATCH(MIN(E76:I76), E76:I76, 0))&amp;CHAR(10)&amp;"📉 考察能力: "&amp;IFERROR(VLOOKUP(TRIM(D76)&amp;"_"&amp;TRIM(INDEX($E$1:$I$1, MATCH(MIN(E76:I76), E76:I76, 0))), 技能库!$A:$F, 5, 0),"建议查阅考纲")&amp;CHAR(10)&amp;"💡 提升建议: "&amp;IFERROR(VLOOKUP(TRIM(D76)&amp;"_"&amp;TRIM(INDEX($E$1:$I$1, MATCH(MIN(E76:I76), E76:I76, 0))), 技能库!$A:$F, 6, 0),"请针对该题型加强练习"), "🎉 表现优异，无明显弱项！"))</f>
        <v/>
      </c>
      <c r="AA76" s="5" t="str">
        <f>IF(T76="","", IF(U76&lt;=3, "⚠️ 薄弱环节: "&amp;INDEX($M$1:$S$1, MATCH(MIN(M76:S76), M76:S76, 0))&amp;CHAR(10)&amp;"📉 考察能力: "&amp;IFERROR(VLOOKUP(TRIM(D76)&amp;"_"&amp;TRIM(INDEX($M$1:$S$1, MATCH(MIN(M76:S76), M76:S76, 0))), 技能库!$A:$F, 5, 0),"建议查阅考纲")&amp;CHAR(10)&amp;"💡 提升建议: "&amp;IFERROR(VLOOKUP(TRIM(D76)&amp;"_"&amp;TRIM(INDEX($M$1:$S$1, MATCH(MIN(M76:S76), M76:S76, 0))), 技能库!$A:$F, 6, 0),"请针对该题型加强练习"), "🎉 表现优异，无明显弱项！"))</f>
        <v/>
      </c>
      <c r="AB76" t="s">
        <v>304</v>
      </c>
    </row>
    <row r="77" spans="10:28" ht="18" hidden="1" customHeight="1" x14ac:dyDescent="0.2">
      <c r="J77" t="str">
        <f t="shared" si="3"/>
        <v/>
      </c>
      <c r="K77" t="str">
        <f>IF(J77="","", IFERROR(VLOOKUP(J77, IF(D77="Movers", 换算标准!$C:$D, 换算标准!$I:$J), 2, TRUE), 0))</f>
        <v/>
      </c>
      <c r="T77" t="str">
        <f t="shared" si="4"/>
        <v/>
      </c>
      <c r="U77" t="str">
        <f>IF(T77="","", IFERROR(VLOOKUP(T77, IF(D77="Movers", 换算标准!$A:$B, 换算标准!$G:$H), 2, TRUE), 0))</f>
        <v/>
      </c>
      <c r="V77" t="s">
        <v>65</v>
      </c>
      <c r="W77" t="str">
        <f t="shared" si="5"/>
        <v/>
      </c>
      <c r="Z77" s="5" t="str">
        <f>IF(J77="","", IF(K77&lt;=3, "⚠️ 薄弱环节: "&amp;INDEX($E$1:$I$1, MATCH(MIN(E77:I77), E77:I77, 0))&amp;CHAR(10)&amp;"📉 考察能力: "&amp;IFERROR(VLOOKUP(TRIM(D77)&amp;"_"&amp;TRIM(INDEX($E$1:$I$1, MATCH(MIN(E77:I77), E77:I77, 0))), 技能库!$A:$F, 5, 0),"建议查阅考纲")&amp;CHAR(10)&amp;"💡 提升建议: "&amp;IFERROR(VLOOKUP(TRIM(D77)&amp;"_"&amp;TRIM(INDEX($E$1:$I$1, MATCH(MIN(E77:I77), E77:I77, 0))), 技能库!$A:$F, 6, 0),"请针对该题型加强练习"), "🎉 表现优异，无明显弱项！"))</f>
        <v/>
      </c>
      <c r="AA77" s="5" t="str">
        <f>IF(T77="","", IF(U77&lt;=3, "⚠️ 薄弱环节: "&amp;INDEX($M$1:$S$1, MATCH(MIN(M77:S77), M77:S77, 0))&amp;CHAR(10)&amp;"📉 考察能力: "&amp;IFERROR(VLOOKUP(TRIM(D77)&amp;"_"&amp;TRIM(INDEX($M$1:$S$1, MATCH(MIN(M77:S77), M77:S77, 0))), 技能库!$A:$F, 5, 0),"建议查阅考纲")&amp;CHAR(10)&amp;"💡 提升建议: "&amp;IFERROR(VLOOKUP(TRIM(D77)&amp;"_"&amp;TRIM(INDEX($M$1:$S$1, MATCH(MIN(M77:S77), M77:S77, 0))), 技能库!$A:$F, 6, 0),"请针对该题型加强练习"), "🎉 表现优异，无明显弱项！"))</f>
        <v/>
      </c>
      <c r="AB77" t="s">
        <v>304</v>
      </c>
    </row>
    <row r="78" spans="10:28" ht="18" hidden="1" customHeight="1" x14ac:dyDescent="0.2">
      <c r="J78" t="str">
        <f t="shared" si="3"/>
        <v/>
      </c>
      <c r="K78" t="str">
        <f>IF(J78="","", IFERROR(VLOOKUP(J78, IF(D78="Movers", 换算标准!$C:$D, 换算标准!$I:$J), 2, TRUE), 0))</f>
        <v/>
      </c>
      <c r="T78" t="str">
        <f t="shared" si="4"/>
        <v/>
      </c>
      <c r="U78" t="str">
        <f>IF(T78="","", IFERROR(VLOOKUP(T78, IF(D78="Movers", 换算标准!$A:$B, 换算标准!$G:$H), 2, TRUE), 0))</f>
        <v/>
      </c>
      <c r="V78" t="s">
        <v>416</v>
      </c>
      <c r="W78" t="str">
        <f t="shared" si="5"/>
        <v/>
      </c>
      <c r="Z78" s="5" t="str">
        <f>IF(J78="","", IF(K78&lt;=3, "⚠️ 薄弱环节: "&amp;INDEX($E$1:$I$1, MATCH(MIN(E78:I78), E78:I78, 0))&amp;CHAR(10)&amp;"📉 考察能力: "&amp;IFERROR(VLOOKUP(TRIM(D78)&amp;"_"&amp;TRIM(INDEX($E$1:$I$1, MATCH(MIN(E78:I78), E78:I78, 0))), 技能库!$A:$F, 5, 0),"建议查阅考纲")&amp;CHAR(10)&amp;"💡 提升建议: "&amp;IFERROR(VLOOKUP(TRIM(D78)&amp;"_"&amp;TRIM(INDEX($E$1:$I$1, MATCH(MIN(E78:I78), E78:I78, 0))), 技能库!$A:$F, 6, 0),"请针对该题型加强练习"), "🎉 表现优异，无明显弱项！"))</f>
        <v/>
      </c>
      <c r="AA78" s="5" t="str">
        <f>IF(T78="","", IF(U78&lt;=3, "⚠️ 薄弱环节: "&amp;INDEX($M$1:$S$1, MATCH(MIN(M78:S78), M78:S78, 0))&amp;CHAR(10)&amp;"📉 考察能力: "&amp;IFERROR(VLOOKUP(TRIM(D78)&amp;"_"&amp;TRIM(INDEX($M$1:$S$1, MATCH(MIN(M78:S78), M78:S78, 0))), 技能库!$A:$F, 5, 0),"建议查阅考纲")&amp;CHAR(10)&amp;"💡 提升建议: "&amp;IFERROR(VLOOKUP(TRIM(D78)&amp;"_"&amp;TRIM(INDEX($M$1:$S$1, MATCH(MIN(M78:S78), M78:S78, 0))), 技能库!$A:$F, 6, 0),"请针对该题型加强练习"), "🎉 表现优异，无明显弱项！"))</f>
        <v/>
      </c>
      <c r="AB78" t="s">
        <v>304</v>
      </c>
    </row>
    <row r="79" spans="10:28" ht="18" hidden="1" customHeight="1" x14ac:dyDescent="0.2">
      <c r="J79" t="str">
        <f t="shared" si="3"/>
        <v/>
      </c>
      <c r="K79" t="str">
        <f>IF(J79="","", IFERROR(VLOOKUP(J79, IF(D79="Movers", 换算标准!$C:$D, 换算标准!$I:$J), 2, TRUE), 0))</f>
        <v/>
      </c>
      <c r="T79" t="str">
        <f t="shared" si="4"/>
        <v/>
      </c>
      <c r="U79" t="str">
        <f>IF(T79="","", IFERROR(VLOOKUP(T79, IF(D79="Movers", 换算标准!$A:$B, 换算标准!$G:$H), 2, TRUE), 0))</f>
        <v/>
      </c>
      <c r="V79" t="s">
        <v>417</v>
      </c>
      <c r="W79" t="str">
        <f t="shared" si="5"/>
        <v/>
      </c>
      <c r="Z79" s="5" t="str">
        <f>IF(J79="","", IF(K79&lt;=3, "⚠️ 薄弱环节: "&amp;INDEX($E$1:$I$1, MATCH(MIN(E79:I79), E79:I79, 0))&amp;CHAR(10)&amp;"📉 考察能力: "&amp;IFERROR(VLOOKUP(TRIM(D79)&amp;"_"&amp;TRIM(INDEX($E$1:$I$1, MATCH(MIN(E79:I79), E79:I79, 0))), 技能库!$A:$F, 5, 0),"建议查阅考纲")&amp;CHAR(10)&amp;"💡 提升建议: "&amp;IFERROR(VLOOKUP(TRIM(D79)&amp;"_"&amp;TRIM(INDEX($E$1:$I$1, MATCH(MIN(E79:I79), E79:I79, 0))), 技能库!$A:$F, 6, 0),"请针对该题型加强练习"), "🎉 表现优异，无明显弱项！"))</f>
        <v/>
      </c>
      <c r="AA79" s="5" t="str">
        <f>IF(T79="","", IF(U79&lt;=3, "⚠️ 薄弱环节: "&amp;INDEX($M$1:$S$1, MATCH(MIN(M79:S79), M79:S79, 0))&amp;CHAR(10)&amp;"📉 考察能力: "&amp;IFERROR(VLOOKUP(TRIM(D79)&amp;"_"&amp;TRIM(INDEX($M$1:$S$1, MATCH(MIN(M79:S79), M79:S79, 0))), 技能库!$A:$F, 5, 0),"建议查阅考纲")&amp;CHAR(10)&amp;"💡 提升建议: "&amp;IFERROR(VLOOKUP(TRIM(D79)&amp;"_"&amp;TRIM(INDEX($M$1:$S$1, MATCH(MIN(M79:S79), M79:S79, 0))), 技能库!$A:$F, 6, 0),"请针对该题型加强练习"), "🎉 表现优异，无明显弱项！"))</f>
        <v/>
      </c>
      <c r="AB79" t="s">
        <v>304</v>
      </c>
    </row>
    <row r="80" spans="10:28" ht="18" hidden="1" customHeight="1" x14ac:dyDescent="0.2">
      <c r="J80" t="str">
        <f t="shared" si="3"/>
        <v/>
      </c>
      <c r="K80" t="str">
        <f>IF(J80="","", IFERROR(VLOOKUP(J80, IF(D80="Movers", 换算标准!$C:$D, 换算标准!$I:$J), 2, TRUE), 0))</f>
        <v/>
      </c>
      <c r="T80" t="str">
        <f t="shared" si="4"/>
        <v/>
      </c>
      <c r="U80" t="str">
        <f>IF(T80="","", IFERROR(VLOOKUP(T80, IF(D80="Movers", 换算标准!$A:$B, 换算标准!$G:$H), 2, TRUE), 0))</f>
        <v/>
      </c>
      <c r="V80" t="s">
        <v>418</v>
      </c>
      <c r="W80" t="str">
        <f t="shared" si="5"/>
        <v/>
      </c>
      <c r="Z80" s="5" t="str">
        <f>IF(J80="","", IF(K80&lt;=3, "⚠️ 薄弱环节: "&amp;INDEX($E$1:$I$1, MATCH(MIN(E80:I80), E80:I80, 0))&amp;CHAR(10)&amp;"📉 考察能力: "&amp;IFERROR(VLOOKUP(TRIM(D80)&amp;"_"&amp;TRIM(INDEX($E$1:$I$1, MATCH(MIN(E80:I80), E80:I80, 0))), 技能库!$A:$F, 5, 0),"建议查阅考纲")&amp;CHAR(10)&amp;"💡 提升建议: "&amp;IFERROR(VLOOKUP(TRIM(D80)&amp;"_"&amp;TRIM(INDEX($E$1:$I$1, MATCH(MIN(E80:I80), E80:I80, 0))), 技能库!$A:$F, 6, 0),"请针对该题型加强练习"), "🎉 表现优异，无明显弱项！"))</f>
        <v/>
      </c>
      <c r="AA80" s="5" t="str">
        <f>IF(T80="","", IF(U80&lt;=3, "⚠️ 薄弱环节: "&amp;INDEX($M$1:$S$1, MATCH(MIN(M80:S80), M80:S80, 0))&amp;CHAR(10)&amp;"📉 考察能力: "&amp;IFERROR(VLOOKUP(TRIM(D80)&amp;"_"&amp;TRIM(INDEX($M$1:$S$1, MATCH(MIN(M80:S80), M80:S80, 0))), 技能库!$A:$F, 5, 0),"建议查阅考纲")&amp;CHAR(10)&amp;"💡 提升建议: "&amp;IFERROR(VLOOKUP(TRIM(D80)&amp;"_"&amp;TRIM(INDEX($M$1:$S$1, MATCH(MIN(M80:S80), M80:S80, 0))), 技能库!$A:$F, 6, 0),"请针对该题型加强练习"), "🎉 表现优异，无明显弱项！"))</f>
        <v/>
      </c>
      <c r="AB80" t="s">
        <v>304</v>
      </c>
    </row>
    <row r="81" spans="10:28" ht="18" hidden="1" customHeight="1" x14ac:dyDescent="0.2">
      <c r="J81" t="str">
        <f t="shared" si="3"/>
        <v/>
      </c>
      <c r="K81" t="str">
        <f>IF(J81="","", IFERROR(VLOOKUP(J81, IF(D81="Movers", 换算标准!$C:$D, 换算标准!$I:$J), 2, TRUE), 0))</f>
        <v/>
      </c>
      <c r="T81" t="str">
        <f t="shared" si="4"/>
        <v/>
      </c>
      <c r="U81" t="str">
        <f>IF(T81="","", IFERROR(VLOOKUP(T81, IF(D81="Movers", 换算标准!$A:$B, 换算标准!$G:$H), 2, TRUE), 0))</f>
        <v/>
      </c>
      <c r="V81" t="s">
        <v>419</v>
      </c>
      <c r="W81" t="str">
        <f t="shared" si="5"/>
        <v/>
      </c>
      <c r="Z81" s="5" t="str">
        <f>IF(J81="","", IF(K81&lt;=3, "⚠️ 薄弱环节: "&amp;INDEX($E$1:$I$1, MATCH(MIN(E81:I81), E81:I81, 0))&amp;CHAR(10)&amp;"📉 考察能力: "&amp;IFERROR(VLOOKUP(TRIM(D81)&amp;"_"&amp;TRIM(INDEX($E$1:$I$1, MATCH(MIN(E81:I81), E81:I81, 0))), 技能库!$A:$F, 5, 0),"建议查阅考纲")&amp;CHAR(10)&amp;"💡 提升建议: "&amp;IFERROR(VLOOKUP(TRIM(D81)&amp;"_"&amp;TRIM(INDEX($E$1:$I$1, MATCH(MIN(E81:I81), E81:I81, 0))), 技能库!$A:$F, 6, 0),"请针对该题型加强练习"), "🎉 表现优异，无明显弱项！"))</f>
        <v/>
      </c>
      <c r="AA81" s="5" t="str">
        <f>IF(T81="","", IF(U81&lt;=3, "⚠️ 薄弱环节: "&amp;INDEX($M$1:$S$1, MATCH(MIN(M81:S81), M81:S81, 0))&amp;CHAR(10)&amp;"📉 考察能力: "&amp;IFERROR(VLOOKUP(TRIM(D81)&amp;"_"&amp;TRIM(INDEX($M$1:$S$1, MATCH(MIN(M81:S81), M81:S81, 0))), 技能库!$A:$F, 5, 0),"建议查阅考纲")&amp;CHAR(10)&amp;"💡 提升建议: "&amp;IFERROR(VLOOKUP(TRIM(D81)&amp;"_"&amp;TRIM(INDEX($M$1:$S$1, MATCH(MIN(M81:S81), M81:S81, 0))), 技能库!$A:$F, 6, 0),"请针对该题型加强练习"), "🎉 表现优异，无明显弱项！"))</f>
        <v/>
      </c>
      <c r="AB81" t="s">
        <v>304</v>
      </c>
    </row>
    <row r="82" spans="10:28" ht="18" hidden="1" customHeight="1" x14ac:dyDescent="0.2">
      <c r="J82" t="str">
        <f t="shared" si="3"/>
        <v/>
      </c>
      <c r="K82" t="str">
        <f>IF(J82="","", IFERROR(VLOOKUP(J82, IF(D82="Movers", 换算标准!$C:$D, 换算标准!$I:$J), 2, TRUE), 0))</f>
        <v/>
      </c>
      <c r="T82" t="str">
        <f t="shared" si="4"/>
        <v/>
      </c>
      <c r="U82" t="str">
        <f>IF(T82="","", IFERROR(VLOOKUP(T82, IF(D82="Movers", 换算标准!$A:$B, 换算标准!$G:$H), 2, TRUE), 0))</f>
        <v/>
      </c>
      <c r="V82" t="s">
        <v>420</v>
      </c>
      <c r="W82" t="str">
        <f t="shared" si="5"/>
        <v/>
      </c>
      <c r="Z82" s="5" t="str">
        <f>IF(J82="","", IF(K82&lt;=3, "⚠️ 薄弱环节: "&amp;INDEX($E$1:$I$1, MATCH(MIN(E82:I82), E82:I82, 0))&amp;CHAR(10)&amp;"📉 考察能力: "&amp;IFERROR(VLOOKUP(TRIM(D82)&amp;"_"&amp;TRIM(INDEX($E$1:$I$1, MATCH(MIN(E82:I82), E82:I82, 0))), 技能库!$A:$F, 5, 0),"建议查阅考纲")&amp;CHAR(10)&amp;"💡 提升建议: "&amp;IFERROR(VLOOKUP(TRIM(D82)&amp;"_"&amp;TRIM(INDEX($E$1:$I$1, MATCH(MIN(E82:I82), E82:I82, 0))), 技能库!$A:$F, 6, 0),"请针对该题型加强练习"), "🎉 表现优异，无明显弱项！"))</f>
        <v/>
      </c>
      <c r="AA82" s="5" t="str">
        <f>IF(T82="","", IF(U82&lt;=3, "⚠️ 薄弱环节: "&amp;INDEX($M$1:$S$1, MATCH(MIN(M82:S82), M82:S82, 0))&amp;CHAR(10)&amp;"📉 考察能力: "&amp;IFERROR(VLOOKUP(TRIM(D82)&amp;"_"&amp;TRIM(INDEX($M$1:$S$1, MATCH(MIN(M82:S82), M82:S82, 0))), 技能库!$A:$F, 5, 0),"建议查阅考纲")&amp;CHAR(10)&amp;"💡 提升建议: "&amp;IFERROR(VLOOKUP(TRIM(D82)&amp;"_"&amp;TRIM(INDEX($M$1:$S$1, MATCH(MIN(M82:S82), M82:S82, 0))), 技能库!$A:$F, 6, 0),"请针对该题型加强练习"), "🎉 表现优异，无明显弱项！"))</f>
        <v/>
      </c>
      <c r="AB82" t="s">
        <v>304</v>
      </c>
    </row>
    <row r="83" spans="10:28" ht="18" hidden="1" customHeight="1" x14ac:dyDescent="0.2">
      <c r="J83" t="str">
        <f t="shared" si="3"/>
        <v/>
      </c>
      <c r="K83" t="str">
        <f>IF(J83="","", IFERROR(VLOOKUP(J83, IF(D83="Movers", 换算标准!$C:$D, 换算标准!$I:$J), 2, TRUE), 0))</f>
        <v/>
      </c>
      <c r="T83" t="str">
        <f t="shared" si="4"/>
        <v/>
      </c>
      <c r="U83" t="str">
        <f>IF(T83="","", IFERROR(VLOOKUP(T83, IF(D83="Movers", 换算标准!$A:$B, 换算标准!$G:$H), 2, TRUE), 0))</f>
        <v/>
      </c>
      <c r="V83" t="s">
        <v>65</v>
      </c>
      <c r="W83" t="str">
        <f t="shared" si="5"/>
        <v/>
      </c>
      <c r="Z83" s="5" t="str">
        <f>IF(J83="","", IF(K83&lt;=3, "⚠️ 薄弱环节: "&amp;INDEX($E$1:$I$1, MATCH(MIN(E83:I83), E83:I83, 0))&amp;CHAR(10)&amp;"📉 考察能力: "&amp;IFERROR(VLOOKUP(TRIM(D83)&amp;"_"&amp;TRIM(INDEX($E$1:$I$1, MATCH(MIN(E83:I83), E83:I83, 0))), 技能库!$A:$F, 5, 0),"建议查阅考纲")&amp;CHAR(10)&amp;"💡 提升建议: "&amp;IFERROR(VLOOKUP(TRIM(D83)&amp;"_"&amp;TRIM(INDEX($E$1:$I$1, MATCH(MIN(E83:I83), E83:I83, 0))), 技能库!$A:$F, 6, 0),"请针对该题型加强练习"), "🎉 表现优异，无明显弱项！"))</f>
        <v/>
      </c>
      <c r="AA83" s="5" t="str">
        <f>IF(T83="","", IF(U83&lt;=3, "⚠️ 薄弱环节: "&amp;INDEX($M$1:$S$1, MATCH(MIN(M83:S83), M83:S83, 0))&amp;CHAR(10)&amp;"📉 考察能力: "&amp;IFERROR(VLOOKUP(TRIM(D83)&amp;"_"&amp;TRIM(INDEX($M$1:$S$1, MATCH(MIN(M83:S83), M83:S83, 0))), 技能库!$A:$F, 5, 0),"建议查阅考纲")&amp;CHAR(10)&amp;"💡 提升建议: "&amp;IFERROR(VLOOKUP(TRIM(D83)&amp;"_"&amp;TRIM(INDEX($M$1:$S$1, MATCH(MIN(M83:S83), M83:S83, 0))), 技能库!$A:$F, 6, 0),"请针对该题型加强练习"), "🎉 表现优异，无明显弱项！"))</f>
        <v/>
      </c>
      <c r="AB83" t="s">
        <v>304</v>
      </c>
    </row>
    <row r="84" spans="10:28" ht="18" hidden="1" customHeight="1" x14ac:dyDescent="0.2">
      <c r="J84" t="str">
        <f t="shared" si="3"/>
        <v/>
      </c>
      <c r="K84" t="str">
        <f>IF(J84="","", IFERROR(VLOOKUP(J84, IF(D84="Movers", 换算标准!$C:$D, 换算标准!$I:$J), 2, TRUE), 0))</f>
        <v/>
      </c>
      <c r="T84" t="str">
        <f t="shared" si="4"/>
        <v/>
      </c>
      <c r="U84" t="str">
        <f>IF(T84="","", IFERROR(VLOOKUP(T84, IF(D84="Movers", 换算标准!$A:$B, 换算标准!$G:$H), 2, TRUE), 0))</f>
        <v/>
      </c>
      <c r="V84" t="s">
        <v>65</v>
      </c>
      <c r="W84" t="str">
        <f t="shared" si="5"/>
        <v/>
      </c>
      <c r="Z84" s="5" t="str">
        <f>IF(J84="","", IF(K84&lt;=3, "⚠️ 薄弱环节: "&amp;INDEX($E$1:$I$1, MATCH(MIN(E84:I84), E84:I84, 0))&amp;CHAR(10)&amp;"📉 考察能力: "&amp;IFERROR(VLOOKUP(TRIM(D84)&amp;"_"&amp;TRIM(INDEX($E$1:$I$1, MATCH(MIN(E84:I84), E84:I84, 0))), 技能库!$A:$F, 5, 0),"建议查阅考纲")&amp;CHAR(10)&amp;"💡 提升建议: "&amp;IFERROR(VLOOKUP(TRIM(D84)&amp;"_"&amp;TRIM(INDEX($E$1:$I$1, MATCH(MIN(E84:I84), E84:I84, 0))), 技能库!$A:$F, 6, 0),"请针对该题型加强练习"), "🎉 表现优异，无明显弱项！"))</f>
        <v/>
      </c>
      <c r="AA84" s="5" t="str">
        <f>IF(T84="","", IF(U84&lt;=3, "⚠️ 薄弱环节: "&amp;INDEX($M$1:$S$1, MATCH(MIN(M84:S84), M84:S84, 0))&amp;CHAR(10)&amp;"📉 考察能力: "&amp;IFERROR(VLOOKUP(TRIM(D84)&amp;"_"&amp;TRIM(INDEX($M$1:$S$1, MATCH(MIN(M84:S84), M84:S84, 0))), 技能库!$A:$F, 5, 0),"建议查阅考纲")&amp;CHAR(10)&amp;"💡 提升建议: "&amp;IFERROR(VLOOKUP(TRIM(D84)&amp;"_"&amp;TRIM(INDEX($M$1:$S$1, MATCH(MIN(M84:S84), M84:S84, 0))), 技能库!$A:$F, 6, 0),"请针对该题型加强练习"), "🎉 表现优异，无明显弱项！"))</f>
        <v/>
      </c>
      <c r="AB84" t="s">
        <v>304</v>
      </c>
    </row>
    <row r="85" spans="10:28" ht="18" hidden="1" customHeight="1" x14ac:dyDescent="0.2">
      <c r="J85" t="str">
        <f t="shared" si="3"/>
        <v/>
      </c>
      <c r="K85" t="str">
        <f>IF(J85="","", IFERROR(VLOOKUP(J85, IF(D85="Movers", 换算标准!$C:$D, 换算标准!$I:$J), 2, TRUE), 0))</f>
        <v/>
      </c>
      <c r="T85" t="str">
        <f t="shared" si="4"/>
        <v/>
      </c>
      <c r="U85" t="str">
        <f>IF(T85="","", IFERROR(VLOOKUP(T85, IF(D85="Movers", 换算标准!$A:$B, 换算标准!$G:$H), 2, TRUE), 0))</f>
        <v/>
      </c>
      <c r="V85" t="s">
        <v>65</v>
      </c>
      <c r="W85" t="str">
        <f t="shared" si="5"/>
        <v/>
      </c>
      <c r="Z85" s="5" t="str">
        <f>IF(J85="","", IF(K85&lt;=3, "⚠️ 薄弱环节: "&amp;INDEX($E$1:$I$1, MATCH(MIN(E85:I85), E85:I85, 0))&amp;CHAR(10)&amp;"📉 考察能力: "&amp;IFERROR(VLOOKUP(TRIM(D85)&amp;"_"&amp;TRIM(INDEX($E$1:$I$1, MATCH(MIN(E85:I85), E85:I85, 0))), 技能库!$A:$F, 5, 0),"建议查阅考纲")&amp;CHAR(10)&amp;"💡 提升建议: "&amp;IFERROR(VLOOKUP(TRIM(D85)&amp;"_"&amp;TRIM(INDEX($E$1:$I$1, MATCH(MIN(E85:I85), E85:I85, 0))), 技能库!$A:$F, 6, 0),"请针对该题型加强练习"), "🎉 表现优异，无明显弱项！"))</f>
        <v/>
      </c>
      <c r="AA85" s="5" t="str">
        <f>IF(T85="","", IF(U85&lt;=3, "⚠️ 薄弱环节: "&amp;INDEX($M$1:$S$1, MATCH(MIN(M85:S85), M85:S85, 0))&amp;CHAR(10)&amp;"📉 考察能力: "&amp;IFERROR(VLOOKUP(TRIM(D85)&amp;"_"&amp;TRIM(INDEX($M$1:$S$1, MATCH(MIN(M85:S85), M85:S85, 0))), 技能库!$A:$F, 5, 0),"建议查阅考纲")&amp;CHAR(10)&amp;"💡 提升建议: "&amp;IFERROR(VLOOKUP(TRIM(D85)&amp;"_"&amp;TRIM(INDEX($M$1:$S$1, MATCH(MIN(M85:S85), M85:S85, 0))), 技能库!$A:$F, 6, 0),"请针对该题型加强练习"), "🎉 表现优异，无明显弱项！"))</f>
        <v/>
      </c>
      <c r="AB85" t="s">
        <v>304</v>
      </c>
    </row>
    <row r="86" spans="10:28" ht="18" hidden="1" customHeight="1" x14ac:dyDescent="0.2">
      <c r="J86" t="str">
        <f t="shared" si="3"/>
        <v/>
      </c>
      <c r="K86" t="str">
        <f>IF(J86="","", IFERROR(VLOOKUP(J86, IF(D86="Movers", 换算标准!$C:$D, 换算标准!$I:$J), 2, TRUE), 0))</f>
        <v/>
      </c>
      <c r="T86" t="str">
        <f t="shared" si="4"/>
        <v/>
      </c>
      <c r="U86" t="str">
        <f>IF(T86="","", IFERROR(VLOOKUP(T86, IF(D86="Movers", 换算标准!$A:$B, 换算标准!$G:$H), 2, TRUE), 0))</f>
        <v/>
      </c>
      <c r="V86" t="s">
        <v>65</v>
      </c>
      <c r="W86" t="str">
        <f t="shared" si="5"/>
        <v/>
      </c>
      <c r="Z86" s="5" t="str">
        <f>IF(J86="","", IF(K86&lt;=3, "⚠️ 薄弱环节: "&amp;INDEX($E$1:$I$1, MATCH(MIN(E86:I86), E86:I86, 0))&amp;CHAR(10)&amp;"📉 考察能力: "&amp;IFERROR(VLOOKUP(TRIM(D86)&amp;"_"&amp;TRIM(INDEX($E$1:$I$1, MATCH(MIN(E86:I86), E86:I86, 0))), 技能库!$A:$F, 5, 0),"建议查阅考纲")&amp;CHAR(10)&amp;"💡 提升建议: "&amp;IFERROR(VLOOKUP(TRIM(D86)&amp;"_"&amp;TRIM(INDEX($E$1:$I$1, MATCH(MIN(E86:I86), E86:I86, 0))), 技能库!$A:$F, 6, 0),"请针对该题型加强练习"), "🎉 表现优异，无明显弱项！"))</f>
        <v/>
      </c>
      <c r="AA86" s="5" t="str">
        <f>IF(T86="","", IF(U86&lt;=3, "⚠️ 薄弱环节: "&amp;INDEX($M$1:$S$1, MATCH(MIN(M86:S86), M86:S86, 0))&amp;CHAR(10)&amp;"📉 考察能力: "&amp;IFERROR(VLOOKUP(TRIM(D86)&amp;"_"&amp;TRIM(INDEX($M$1:$S$1, MATCH(MIN(M86:S86), M86:S86, 0))), 技能库!$A:$F, 5, 0),"建议查阅考纲")&amp;CHAR(10)&amp;"💡 提升建议: "&amp;IFERROR(VLOOKUP(TRIM(D86)&amp;"_"&amp;TRIM(INDEX($M$1:$S$1, MATCH(MIN(M86:S86), M86:S86, 0))), 技能库!$A:$F, 6, 0),"请针对该题型加强练习"), "🎉 表现优异，无明显弱项！"))</f>
        <v/>
      </c>
      <c r="AB86" t="s">
        <v>304</v>
      </c>
    </row>
    <row r="87" spans="10:28" ht="18" hidden="1" customHeight="1" x14ac:dyDescent="0.2">
      <c r="J87" t="str">
        <f t="shared" si="3"/>
        <v/>
      </c>
      <c r="K87" t="str">
        <f>IF(J87="","", IFERROR(VLOOKUP(J87, IF(D87="Movers", 换算标准!$C:$D, 换算标准!$I:$J), 2, TRUE), 0))</f>
        <v/>
      </c>
      <c r="T87" t="str">
        <f t="shared" si="4"/>
        <v/>
      </c>
      <c r="U87" t="str">
        <f>IF(T87="","", IFERROR(VLOOKUP(T87, IF(D87="Movers", 换算标准!$A:$B, 换算标准!$G:$H), 2, TRUE), 0))</f>
        <v/>
      </c>
      <c r="V87" t="s">
        <v>65</v>
      </c>
      <c r="W87" t="str">
        <f t="shared" si="5"/>
        <v/>
      </c>
      <c r="Z87" s="5" t="str">
        <f>IF(J87="","", IF(K87&lt;=3, "⚠️ 薄弱环节: "&amp;INDEX($E$1:$I$1, MATCH(MIN(E87:I87), E87:I87, 0))&amp;CHAR(10)&amp;"📉 考察能力: "&amp;IFERROR(VLOOKUP(TRIM(D87)&amp;"_"&amp;TRIM(INDEX($E$1:$I$1, MATCH(MIN(E87:I87), E87:I87, 0))), 技能库!$A:$F, 5, 0),"建议查阅考纲")&amp;CHAR(10)&amp;"💡 提升建议: "&amp;IFERROR(VLOOKUP(TRIM(D87)&amp;"_"&amp;TRIM(INDEX($E$1:$I$1, MATCH(MIN(E87:I87), E87:I87, 0))), 技能库!$A:$F, 6, 0),"请针对该题型加强练习"), "🎉 表现优异，无明显弱项！"))</f>
        <v/>
      </c>
      <c r="AA87" s="5" t="str">
        <f>IF(T87="","", IF(U87&lt;=3, "⚠️ 薄弱环节: "&amp;INDEX($M$1:$S$1, MATCH(MIN(M87:S87), M87:S87, 0))&amp;CHAR(10)&amp;"📉 考察能力: "&amp;IFERROR(VLOOKUP(TRIM(D87)&amp;"_"&amp;TRIM(INDEX($M$1:$S$1, MATCH(MIN(M87:S87), M87:S87, 0))), 技能库!$A:$F, 5, 0),"建议查阅考纲")&amp;CHAR(10)&amp;"💡 提升建议: "&amp;IFERROR(VLOOKUP(TRIM(D87)&amp;"_"&amp;TRIM(INDEX($M$1:$S$1, MATCH(MIN(M87:S87), M87:S87, 0))), 技能库!$A:$F, 6, 0),"请针对该题型加强练习"), "🎉 表现优异，无明显弱项！"))</f>
        <v/>
      </c>
      <c r="AB87" t="s">
        <v>304</v>
      </c>
    </row>
    <row r="88" spans="10:28" ht="18" hidden="1" customHeight="1" x14ac:dyDescent="0.2">
      <c r="J88" t="str">
        <f t="shared" si="3"/>
        <v/>
      </c>
      <c r="K88" t="str">
        <f>IF(J88="","", IFERROR(VLOOKUP(J88, IF(D88="Movers", 换算标准!$C:$D, 换算标准!$I:$J), 2, TRUE), 0))</f>
        <v/>
      </c>
      <c r="T88" t="str">
        <f t="shared" si="4"/>
        <v/>
      </c>
      <c r="U88" t="str">
        <f>IF(T88="","", IFERROR(VLOOKUP(T88, IF(D88="Movers", 换算标准!$A:$B, 换算标准!$G:$H), 2, TRUE), 0))</f>
        <v/>
      </c>
      <c r="V88" t="s">
        <v>65</v>
      </c>
      <c r="W88" t="str">
        <f t="shared" si="5"/>
        <v/>
      </c>
      <c r="Z88" s="5" t="str">
        <f>IF(J88="","", IF(K88&lt;=3, "⚠️ 薄弱环节: "&amp;INDEX($E$1:$I$1, MATCH(MIN(E88:I88), E88:I88, 0))&amp;CHAR(10)&amp;"📉 考察能力: "&amp;IFERROR(VLOOKUP(TRIM(D88)&amp;"_"&amp;TRIM(INDEX($E$1:$I$1, MATCH(MIN(E88:I88), E88:I88, 0))), 技能库!$A:$F, 5, 0),"建议查阅考纲")&amp;CHAR(10)&amp;"💡 提升建议: "&amp;IFERROR(VLOOKUP(TRIM(D88)&amp;"_"&amp;TRIM(INDEX($E$1:$I$1, MATCH(MIN(E88:I88), E88:I88, 0))), 技能库!$A:$F, 6, 0),"请针对该题型加强练习"), "🎉 表现优异，无明显弱项！"))</f>
        <v/>
      </c>
      <c r="AA88" s="5" t="str">
        <f>IF(T88="","", IF(U88&lt;=3, "⚠️ 薄弱环节: "&amp;INDEX($M$1:$S$1, MATCH(MIN(M88:S88), M88:S88, 0))&amp;CHAR(10)&amp;"📉 考察能力: "&amp;IFERROR(VLOOKUP(TRIM(D88)&amp;"_"&amp;TRIM(INDEX($M$1:$S$1, MATCH(MIN(M88:S88), M88:S88, 0))), 技能库!$A:$F, 5, 0),"建议查阅考纲")&amp;CHAR(10)&amp;"💡 提升建议: "&amp;IFERROR(VLOOKUP(TRIM(D88)&amp;"_"&amp;TRIM(INDEX($M$1:$S$1, MATCH(MIN(M88:S88), M88:S88, 0))), 技能库!$A:$F, 6, 0),"请针对该题型加强练习"), "🎉 表现优异，无明显弱项！"))</f>
        <v/>
      </c>
      <c r="AB88" t="s">
        <v>304</v>
      </c>
    </row>
    <row r="89" spans="10:28" ht="18" hidden="1" customHeight="1" x14ac:dyDescent="0.2">
      <c r="J89" t="str">
        <f t="shared" si="3"/>
        <v/>
      </c>
      <c r="K89" t="str">
        <f>IF(J89="","", IFERROR(VLOOKUP(J89, IF(D89="Movers", 换算标准!$C:$D, 换算标准!$I:$J), 2, TRUE), 0))</f>
        <v/>
      </c>
      <c r="T89" t="str">
        <f t="shared" si="4"/>
        <v/>
      </c>
      <c r="U89" t="str">
        <f>IF(T89="","", IFERROR(VLOOKUP(T89, IF(D89="Movers", 换算标准!$A:$B, 换算标准!$G:$H), 2, TRUE), 0))</f>
        <v/>
      </c>
      <c r="V89" t="s">
        <v>65</v>
      </c>
      <c r="W89" t="str">
        <f t="shared" si="5"/>
        <v/>
      </c>
      <c r="Z89" s="5" t="str">
        <f>IF(J89="","", IF(K89&lt;=3, "⚠️ 薄弱环节: "&amp;INDEX($E$1:$I$1, MATCH(MIN(E89:I89), E89:I89, 0))&amp;CHAR(10)&amp;"📉 考察能力: "&amp;IFERROR(VLOOKUP(TRIM(D89)&amp;"_"&amp;TRIM(INDEX($E$1:$I$1, MATCH(MIN(E89:I89), E89:I89, 0))), 技能库!$A:$F, 5, 0),"建议查阅考纲")&amp;CHAR(10)&amp;"💡 提升建议: "&amp;IFERROR(VLOOKUP(TRIM(D89)&amp;"_"&amp;TRIM(INDEX($E$1:$I$1, MATCH(MIN(E89:I89), E89:I89, 0))), 技能库!$A:$F, 6, 0),"请针对该题型加强练习"), "🎉 表现优异，无明显弱项！"))</f>
        <v/>
      </c>
      <c r="AA89" s="5" t="str">
        <f>IF(T89="","", IF(U89&lt;=3, "⚠️ 薄弱环节: "&amp;INDEX($M$1:$S$1, MATCH(MIN(M89:S89), M89:S89, 0))&amp;CHAR(10)&amp;"📉 考察能力: "&amp;IFERROR(VLOOKUP(TRIM(D89)&amp;"_"&amp;TRIM(INDEX($M$1:$S$1, MATCH(MIN(M89:S89), M89:S89, 0))), 技能库!$A:$F, 5, 0),"建议查阅考纲")&amp;CHAR(10)&amp;"💡 提升建议: "&amp;IFERROR(VLOOKUP(TRIM(D89)&amp;"_"&amp;TRIM(INDEX($M$1:$S$1, MATCH(MIN(M89:S89), M89:S89, 0))), 技能库!$A:$F, 6, 0),"请针对该题型加强练习"), "🎉 表现优异，无明显弱项！"))</f>
        <v/>
      </c>
      <c r="AB89" t="s">
        <v>304</v>
      </c>
    </row>
    <row r="90" spans="10:28" ht="18" hidden="1" customHeight="1" x14ac:dyDescent="0.2">
      <c r="J90" t="str">
        <f t="shared" si="3"/>
        <v/>
      </c>
      <c r="K90" t="str">
        <f>IF(J90="","", IFERROR(VLOOKUP(J90, IF(D90="Movers", 换算标准!$C:$D, 换算标准!$I:$J), 2, TRUE), 0))</f>
        <v/>
      </c>
      <c r="T90" t="str">
        <f t="shared" si="4"/>
        <v/>
      </c>
      <c r="U90" t="str">
        <f>IF(T90="","", IFERROR(VLOOKUP(T90, IF(D90="Movers", 换算标准!$A:$B, 换算标准!$G:$H), 2, TRUE), 0))</f>
        <v/>
      </c>
      <c r="V90" t="s">
        <v>65</v>
      </c>
      <c r="W90" t="str">
        <f t="shared" si="5"/>
        <v/>
      </c>
      <c r="Z90" s="5" t="str">
        <f>IF(J90="","", IF(K90&lt;=3, "⚠️ 薄弱环节: "&amp;INDEX($E$1:$I$1, MATCH(MIN(E90:I90), E90:I90, 0))&amp;CHAR(10)&amp;"📉 考察能力: "&amp;IFERROR(VLOOKUP(TRIM(D90)&amp;"_"&amp;TRIM(INDEX($E$1:$I$1, MATCH(MIN(E90:I90), E90:I90, 0))), 技能库!$A:$F, 5, 0),"建议查阅考纲")&amp;CHAR(10)&amp;"💡 提升建议: "&amp;IFERROR(VLOOKUP(TRIM(D90)&amp;"_"&amp;TRIM(INDEX($E$1:$I$1, MATCH(MIN(E90:I90), E90:I90, 0))), 技能库!$A:$F, 6, 0),"请针对该题型加强练习"), "🎉 表现优异，无明显弱项！"))</f>
        <v/>
      </c>
      <c r="AA90" s="5" t="str">
        <f>IF(T90="","", IF(U90&lt;=3, "⚠️ 薄弱环节: "&amp;INDEX($M$1:$S$1, MATCH(MIN(M90:S90), M90:S90, 0))&amp;CHAR(10)&amp;"📉 考察能力: "&amp;IFERROR(VLOOKUP(TRIM(D90)&amp;"_"&amp;TRIM(INDEX($M$1:$S$1, MATCH(MIN(M90:S90), M90:S90, 0))), 技能库!$A:$F, 5, 0),"建议查阅考纲")&amp;CHAR(10)&amp;"💡 提升建议: "&amp;IFERROR(VLOOKUP(TRIM(D90)&amp;"_"&amp;TRIM(INDEX($M$1:$S$1, MATCH(MIN(M90:S90), M90:S90, 0))), 技能库!$A:$F, 6, 0),"请针对该题型加强练习"), "🎉 表现优异，无明显弱项！"))</f>
        <v/>
      </c>
      <c r="AB90" t="s">
        <v>304</v>
      </c>
    </row>
    <row r="91" spans="10:28" ht="18" hidden="1" customHeight="1" x14ac:dyDescent="0.2">
      <c r="J91" t="str">
        <f t="shared" si="3"/>
        <v/>
      </c>
      <c r="K91" t="str">
        <f>IF(J91="","", IFERROR(VLOOKUP(J91, IF(D91="Movers", 换算标准!$C:$D, 换算标准!$I:$J), 2, TRUE), 0))</f>
        <v/>
      </c>
      <c r="T91" t="str">
        <f t="shared" si="4"/>
        <v/>
      </c>
      <c r="U91" t="str">
        <f>IF(T91="","", IFERROR(VLOOKUP(T91, IF(D91="Movers", 换算标准!$A:$B, 换算标准!$G:$H), 2, TRUE), 0))</f>
        <v/>
      </c>
      <c r="V91" t="s">
        <v>65</v>
      </c>
      <c r="W91" t="str">
        <f t="shared" si="5"/>
        <v/>
      </c>
      <c r="Z91" s="5" t="str">
        <f>IF(J91="","", IF(K91&lt;=3, "⚠️ 薄弱环节: "&amp;INDEX($E$1:$I$1, MATCH(MIN(E91:I91), E91:I91, 0))&amp;CHAR(10)&amp;"📉 考察能力: "&amp;IFERROR(VLOOKUP(TRIM(D91)&amp;"_"&amp;TRIM(INDEX($E$1:$I$1, MATCH(MIN(E91:I91), E91:I91, 0))), 技能库!$A:$F, 5, 0),"建议查阅考纲")&amp;CHAR(10)&amp;"💡 提升建议: "&amp;IFERROR(VLOOKUP(TRIM(D91)&amp;"_"&amp;TRIM(INDEX($E$1:$I$1, MATCH(MIN(E91:I91), E91:I91, 0))), 技能库!$A:$F, 6, 0),"请针对该题型加强练习"), "🎉 表现优异，无明显弱项！"))</f>
        <v/>
      </c>
      <c r="AA91" s="5" t="str">
        <f>IF(T91="","", IF(U91&lt;=3, "⚠️ 薄弱环节: "&amp;INDEX($M$1:$S$1, MATCH(MIN(M91:S91), M91:S91, 0))&amp;CHAR(10)&amp;"📉 考察能力: "&amp;IFERROR(VLOOKUP(TRIM(D91)&amp;"_"&amp;TRIM(INDEX($M$1:$S$1, MATCH(MIN(M91:S91), M91:S91, 0))), 技能库!$A:$F, 5, 0),"建议查阅考纲")&amp;CHAR(10)&amp;"💡 提升建议: "&amp;IFERROR(VLOOKUP(TRIM(D91)&amp;"_"&amp;TRIM(INDEX($M$1:$S$1, MATCH(MIN(M91:S91), M91:S91, 0))), 技能库!$A:$F, 6, 0),"请针对该题型加强练习"), "🎉 表现优异，无明显弱项！"))</f>
        <v/>
      </c>
      <c r="AB91" t="s">
        <v>304</v>
      </c>
    </row>
    <row r="92" spans="10:28" ht="18" hidden="1" customHeight="1" x14ac:dyDescent="0.2">
      <c r="J92" t="str">
        <f t="shared" si="3"/>
        <v/>
      </c>
      <c r="K92" t="str">
        <f>IF(J92="","", IFERROR(VLOOKUP(J92, IF(D92="Movers", 换算标准!$C:$D, 换算标准!$I:$J), 2, TRUE), 0))</f>
        <v/>
      </c>
      <c r="T92" t="str">
        <f t="shared" si="4"/>
        <v/>
      </c>
      <c r="U92" t="str">
        <f>IF(T92="","", IFERROR(VLOOKUP(T92, IF(D92="Movers", 换算标准!$A:$B, 换算标准!$G:$H), 2, TRUE), 0))</f>
        <v/>
      </c>
      <c r="V92" t="s">
        <v>65</v>
      </c>
      <c r="W92" t="str">
        <f t="shared" si="5"/>
        <v/>
      </c>
      <c r="Z92" s="5" t="str">
        <f>IF(J92="","", IF(K92&lt;=3, "⚠️ 薄弱环节: "&amp;INDEX($E$1:$I$1, MATCH(MIN(E92:I92), E92:I92, 0))&amp;CHAR(10)&amp;"📉 考察能力: "&amp;IFERROR(VLOOKUP(TRIM(D92)&amp;"_"&amp;TRIM(INDEX($E$1:$I$1, MATCH(MIN(E92:I92), E92:I92, 0))), 技能库!$A:$F, 5, 0),"建议查阅考纲")&amp;CHAR(10)&amp;"💡 提升建议: "&amp;IFERROR(VLOOKUP(TRIM(D92)&amp;"_"&amp;TRIM(INDEX($E$1:$I$1, MATCH(MIN(E92:I92), E92:I92, 0))), 技能库!$A:$F, 6, 0),"请针对该题型加强练习"), "🎉 表现优异，无明显弱项！"))</f>
        <v/>
      </c>
      <c r="AA92" s="5" t="str">
        <f>IF(T92="","", IF(U92&lt;=3, "⚠️ 薄弱环节: "&amp;INDEX($M$1:$S$1, MATCH(MIN(M92:S92), M92:S92, 0))&amp;CHAR(10)&amp;"📉 考察能力: "&amp;IFERROR(VLOOKUP(TRIM(D92)&amp;"_"&amp;TRIM(INDEX($M$1:$S$1, MATCH(MIN(M92:S92), M92:S92, 0))), 技能库!$A:$F, 5, 0),"建议查阅考纲")&amp;CHAR(10)&amp;"💡 提升建议: "&amp;IFERROR(VLOOKUP(TRIM(D92)&amp;"_"&amp;TRIM(INDEX($M$1:$S$1, MATCH(MIN(M92:S92), M92:S92, 0))), 技能库!$A:$F, 6, 0),"请针对该题型加强练习"), "🎉 表现优异，无明显弱项！"))</f>
        <v/>
      </c>
      <c r="AB92" t="s">
        <v>304</v>
      </c>
    </row>
    <row r="93" spans="10:28" ht="18" hidden="1" customHeight="1" x14ac:dyDescent="0.2">
      <c r="J93" t="str">
        <f t="shared" si="3"/>
        <v/>
      </c>
      <c r="K93" t="str">
        <f>IF(J93="","", IFERROR(VLOOKUP(J93, IF(D93="Movers", 换算标准!$C:$D, 换算标准!$I:$J), 2, TRUE), 0))</f>
        <v/>
      </c>
      <c r="T93" t="str">
        <f t="shared" si="4"/>
        <v/>
      </c>
      <c r="U93" t="str">
        <f>IF(T93="","", IFERROR(VLOOKUP(T93, IF(D93="Movers", 换算标准!$A:$B, 换算标准!$G:$H), 2, TRUE), 0))</f>
        <v/>
      </c>
      <c r="V93" t="s">
        <v>65</v>
      </c>
      <c r="W93" t="str">
        <f t="shared" si="5"/>
        <v/>
      </c>
      <c r="Z93" s="5" t="str">
        <f>IF(J93="","", IF(K93&lt;=3, "⚠️ 薄弱环节: "&amp;INDEX($E$1:$I$1, MATCH(MIN(E93:I93), E93:I93, 0))&amp;CHAR(10)&amp;"📉 考察能力: "&amp;IFERROR(VLOOKUP(TRIM(D93)&amp;"_"&amp;TRIM(INDEX($E$1:$I$1, MATCH(MIN(E93:I93), E93:I93, 0))), 技能库!$A:$F, 5, 0),"建议查阅考纲")&amp;CHAR(10)&amp;"💡 提升建议: "&amp;IFERROR(VLOOKUP(TRIM(D93)&amp;"_"&amp;TRIM(INDEX($E$1:$I$1, MATCH(MIN(E93:I93), E93:I93, 0))), 技能库!$A:$F, 6, 0),"请针对该题型加强练习"), "🎉 表现优异，无明显弱项！"))</f>
        <v/>
      </c>
      <c r="AA93" s="5" t="str">
        <f>IF(T93="","", IF(U93&lt;=3, "⚠️ 薄弱环节: "&amp;INDEX($M$1:$S$1, MATCH(MIN(M93:S93), M93:S93, 0))&amp;CHAR(10)&amp;"📉 考察能力: "&amp;IFERROR(VLOOKUP(TRIM(D93)&amp;"_"&amp;TRIM(INDEX($M$1:$S$1, MATCH(MIN(M93:S93), M93:S93, 0))), 技能库!$A:$F, 5, 0),"建议查阅考纲")&amp;CHAR(10)&amp;"💡 提升建议: "&amp;IFERROR(VLOOKUP(TRIM(D93)&amp;"_"&amp;TRIM(INDEX($M$1:$S$1, MATCH(MIN(M93:S93), M93:S93, 0))), 技能库!$A:$F, 6, 0),"请针对该题型加强练习"), "🎉 表现优异，无明显弱项！"))</f>
        <v/>
      </c>
      <c r="AB93" t="s">
        <v>304</v>
      </c>
    </row>
    <row r="94" spans="10:28" ht="18" hidden="1" customHeight="1" x14ac:dyDescent="0.2">
      <c r="J94" t="str">
        <f t="shared" si="3"/>
        <v/>
      </c>
      <c r="K94" t="str">
        <f>IF(J94="","", IFERROR(VLOOKUP(J94, IF(D94="Movers", 换算标准!$C:$D, 换算标准!$I:$J), 2, TRUE), 0))</f>
        <v/>
      </c>
      <c r="T94" t="str">
        <f t="shared" si="4"/>
        <v/>
      </c>
      <c r="U94" t="str">
        <f>IF(T94="","", IFERROR(VLOOKUP(T94, IF(D94="Movers", 换算标准!$A:$B, 换算标准!$G:$H), 2, TRUE), 0))</f>
        <v/>
      </c>
      <c r="V94" t="s">
        <v>65</v>
      </c>
      <c r="W94" t="str">
        <f t="shared" si="5"/>
        <v/>
      </c>
      <c r="Z94" s="5" t="str">
        <f>IF(J94="","", IF(K94&lt;=3, "⚠️ 薄弱环节: "&amp;INDEX($E$1:$I$1, MATCH(MIN(E94:I94), E94:I94, 0))&amp;CHAR(10)&amp;"📉 考察能力: "&amp;IFERROR(VLOOKUP(TRIM(D94)&amp;"_"&amp;TRIM(INDEX($E$1:$I$1, MATCH(MIN(E94:I94), E94:I94, 0))), 技能库!$A:$F, 5, 0),"建议查阅考纲")&amp;CHAR(10)&amp;"💡 提升建议: "&amp;IFERROR(VLOOKUP(TRIM(D94)&amp;"_"&amp;TRIM(INDEX($E$1:$I$1, MATCH(MIN(E94:I94), E94:I94, 0))), 技能库!$A:$F, 6, 0),"请针对该题型加强练习"), "🎉 表现优异，无明显弱项！"))</f>
        <v/>
      </c>
      <c r="AA94" s="5" t="str">
        <f>IF(T94="","", IF(U94&lt;=3, "⚠️ 薄弱环节: "&amp;INDEX($M$1:$S$1, MATCH(MIN(M94:S94), M94:S94, 0))&amp;CHAR(10)&amp;"📉 考察能力: "&amp;IFERROR(VLOOKUP(TRIM(D94)&amp;"_"&amp;TRIM(INDEX($M$1:$S$1, MATCH(MIN(M94:S94), M94:S94, 0))), 技能库!$A:$F, 5, 0),"建议查阅考纲")&amp;CHAR(10)&amp;"💡 提升建议: "&amp;IFERROR(VLOOKUP(TRIM(D94)&amp;"_"&amp;TRIM(INDEX($M$1:$S$1, MATCH(MIN(M94:S94), M94:S94, 0))), 技能库!$A:$F, 6, 0),"请针对该题型加强练习"), "🎉 表现优异，无明显弱项！"))</f>
        <v/>
      </c>
      <c r="AB94" t="s">
        <v>304</v>
      </c>
    </row>
    <row r="95" spans="10:28" ht="18" hidden="1" customHeight="1" x14ac:dyDescent="0.2">
      <c r="J95" t="str">
        <f t="shared" si="3"/>
        <v/>
      </c>
      <c r="K95" t="str">
        <f>IF(J95="","", IFERROR(VLOOKUP(J95, IF(D95="Movers", 换算标准!$C:$D, 换算标准!$I:$J), 2, TRUE), 0))</f>
        <v/>
      </c>
      <c r="T95" t="str">
        <f t="shared" si="4"/>
        <v/>
      </c>
      <c r="U95" t="str">
        <f>IF(T95="","", IFERROR(VLOOKUP(T95, IF(D95="Movers", 换算标准!$A:$B, 换算标准!$G:$H), 2, TRUE), 0))</f>
        <v/>
      </c>
      <c r="V95" t="s">
        <v>65</v>
      </c>
      <c r="W95" t="str">
        <f t="shared" si="5"/>
        <v/>
      </c>
      <c r="Z95" s="5" t="str">
        <f>IF(J95="","", IF(K95&lt;=3, "⚠️ 薄弱环节: "&amp;INDEX($E$1:$I$1, MATCH(MIN(E95:I95), E95:I95, 0))&amp;CHAR(10)&amp;"📉 考察能力: "&amp;IFERROR(VLOOKUP(TRIM(D95)&amp;"_"&amp;TRIM(INDEX($E$1:$I$1, MATCH(MIN(E95:I95), E95:I95, 0))), 技能库!$A:$F, 5, 0),"建议查阅考纲")&amp;CHAR(10)&amp;"💡 提升建议: "&amp;IFERROR(VLOOKUP(TRIM(D95)&amp;"_"&amp;TRIM(INDEX($E$1:$I$1, MATCH(MIN(E95:I95), E95:I95, 0))), 技能库!$A:$F, 6, 0),"请针对该题型加强练习"), "🎉 表现优异，无明显弱项！"))</f>
        <v/>
      </c>
      <c r="AA95" s="5" t="str">
        <f>IF(T95="","", IF(U95&lt;=3, "⚠️ 薄弱环节: "&amp;INDEX($M$1:$S$1, MATCH(MIN(M95:S95), M95:S95, 0))&amp;CHAR(10)&amp;"📉 考察能力: "&amp;IFERROR(VLOOKUP(TRIM(D95)&amp;"_"&amp;TRIM(INDEX($M$1:$S$1, MATCH(MIN(M95:S95), M95:S95, 0))), 技能库!$A:$F, 5, 0),"建议查阅考纲")&amp;CHAR(10)&amp;"💡 提升建议: "&amp;IFERROR(VLOOKUP(TRIM(D95)&amp;"_"&amp;TRIM(INDEX($M$1:$S$1, MATCH(MIN(M95:S95), M95:S95, 0))), 技能库!$A:$F, 6, 0),"请针对该题型加强练习"), "🎉 表现优异，无明显弱项！"))</f>
        <v/>
      </c>
      <c r="AB95" t="s">
        <v>304</v>
      </c>
    </row>
    <row r="96" spans="10:28" ht="18" hidden="1" customHeight="1" x14ac:dyDescent="0.2">
      <c r="J96" t="str">
        <f t="shared" si="3"/>
        <v/>
      </c>
      <c r="K96" t="str">
        <f>IF(J96="","", IFERROR(VLOOKUP(J96, IF(D96="Movers", 换算标准!$C:$D, 换算标准!$I:$J), 2, TRUE), 0))</f>
        <v/>
      </c>
      <c r="T96" t="str">
        <f t="shared" si="4"/>
        <v/>
      </c>
      <c r="U96" t="str">
        <f>IF(T96="","", IFERROR(VLOOKUP(T96, IF(D96="Movers", 换算标准!$A:$B, 换算标准!$G:$H), 2, TRUE), 0))</f>
        <v/>
      </c>
      <c r="V96" t="s">
        <v>65</v>
      </c>
      <c r="W96" t="str">
        <f t="shared" si="5"/>
        <v/>
      </c>
      <c r="Z96" s="5" t="str">
        <f>IF(J96="","", IF(K96&lt;=3, "⚠️ 薄弱环节: "&amp;INDEX($E$1:$I$1, MATCH(MIN(E96:I96), E96:I96, 0))&amp;CHAR(10)&amp;"📉 考察能力: "&amp;IFERROR(VLOOKUP(TRIM(D96)&amp;"_"&amp;TRIM(INDEX($E$1:$I$1, MATCH(MIN(E96:I96), E96:I96, 0))), 技能库!$A:$F, 5, 0),"建议查阅考纲")&amp;CHAR(10)&amp;"💡 提升建议: "&amp;IFERROR(VLOOKUP(TRIM(D96)&amp;"_"&amp;TRIM(INDEX($E$1:$I$1, MATCH(MIN(E96:I96), E96:I96, 0))), 技能库!$A:$F, 6, 0),"请针对该题型加强练习"), "🎉 表现优异，无明显弱项！"))</f>
        <v/>
      </c>
      <c r="AA96" s="5" t="str">
        <f>IF(T96="","", IF(U96&lt;=3, "⚠️ 薄弱环节: "&amp;INDEX($M$1:$S$1, MATCH(MIN(M96:S96), M96:S96, 0))&amp;CHAR(10)&amp;"📉 考察能力: "&amp;IFERROR(VLOOKUP(TRIM(D96)&amp;"_"&amp;TRIM(INDEX($M$1:$S$1, MATCH(MIN(M96:S96), M96:S96, 0))), 技能库!$A:$F, 5, 0),"建议查阅考纲")&amp;CHAR(10)&amp;"💡 提升建议: "&amp;IFERROR(VLOOKUP(TRIM(D96)&amp;"_"&amp;TRIM(INDEX($M$1:$S$1, MATCH(MIN(M96:S96), M96:S96, 0))), 技能库!$A:$F, 6, 0),"请针对该题型加强练习"), "🎉 表现优异，无明显弱项！"))</f>
        <v/>
      </c>
      <c r="AB96" t="s">
        <v>304</v>
      </c>
    </row>
    <row r="97" spans="10:28" ht="18" hidden="1" customHeight="1" x14ac:dyDescent="0.2">
      <c r="J97" t="str">
        <f t="shared" si="3"/>
        <v/>
      </c>
      <c r="K97" t="str">
        <f>IF(J97="","", IFERROR(VLOOKUP(J97, IF(D97="Movers", 换算标准!$C:$D, 换算标准!$I:$J), 2, TRUE), 0))</f>
        <v/>
      </c>
      <c r="T97" t="str">
        <f t="shared" si="4"/>
        <v/>
      </c>
      <c r="U97" t="str">
        <f>IF(T97="","", IFERROR(VLOOKUP(T97, IF(D97="Movers", 换算标准!$A:$B, 换算标准!$G:$H), 2, TRUE), 0))</f>
        <v/>
      </c>
      <c r="V97" t="s">
        <v>65</v>
      </c>
      <c r="W97" t="str">
        <f t="shared" si="5"/>
        <v/>
      </c>
      <c r="Z97" s="5" t="str">
        <f>IF(J97="","", IF(K97&lt;=3, "⚠️ 薄弱环节: "&amp;INDEX($E$1:$I$1, MATCH(MIN(E97:I97), E97:I97, 0))&amp;CHAR(10)&amp;"📉 考察能力: "&amp;IFERROR(VLOOKUP(TRIM(D97)&amp;"_"&amp;TRIM(INDEX($E$1:$I$1, MATCH(MIN(E97:I97), E97:I97, 0))), 技能库!$A:$F, 5, 0),"建议查阅考纲")&amp;CHAR(10)&amp;"💡 提升建议: "&amp;IFERROR(VLOOKUP(TRIM(D97)&amp;"_"&amp;TRIM(INDEX($E$1:$I$1, MATCH(MIN(E97:I97), E97:I97, 0))), 技能库!$A:$F, 6, 0),"请针对该题型加强练习"), "🎉 表现优异，无明显弱项！"))</f>
        <v/>
      </c>
      <c r="AA97" s="5" t="str">
        <f>IF(T97="","", IF(U97&lt;=3, "⚠️ 薄弱环节: "&amp;INDEX($M$1:$S$1, MATCH(MIN(M97:S97), M97:S97, 0))&amp;CHAR(10)&amp;"📉 考察能力: "&amp;IFERROR(VLOOKUP(TRIM(D97)&amp;"_"&amp;TRIM(INDEX($M$1:$S$1, MATCH(MIN(M97:S97), M97:S97, 0))), 技能库!$A:$F, 5, 0),"建议查阅考纲")&amp;CHAR(10)&amp;"💡 提升建议: "&amp;IFERROR(VLOOKUP(TRIM(D97)&amp;"_"&amp;TRIM(INDEX($M$1:$S$1, MATCH(MIN(M97:S97), M97:S97, 0))), 技能库!$A:$F, 6, 0),"请针对该题型加强练习"), "🎉 表现优异，无明显弱项！"))</f>
        <v/>
      </c>
      <c r="AB97" t="s">
        <v>304</v>
      </c>
    </row>
    <row r="98" spans="10:28" ht="18" hidden="1" customHeight="1" x14ac:dyDescent="0.2">
      <c r="J98" t="str">
        <f t="shared" si="3"/>
        <v/>
      </c>
      <c r="K98" t="str">
        <f>IF(J98="","", IFERROR(VLOOKUP(J98, IF(D98="Movers", 换算标准!$C:$D, 换算标准!$I:$J), 2, TRUE), 0))</f>
        <v/>
      </c>
      <c r="T98" t="str">
        <f t="shared" si="4"/>
        <v/>
      </c>
      <c r="U98" t="str">
        <f>IF(T98="","", IFERROR(VLOOKUP(T98, IF(D98="Movers", 换算标准!$A:$B, 换算标准!$G:$H), 2, TRUE), 0))</f>
        <v/>
      </c>
      <c r="V98" t="s">
        <v>65</v>
      </c>
      <c r="W98" t="str">
        <f t="shared" si="5"/>
        <v/>
      </c>
      <c r="Z98" s="5" t="str">
        <f>IF(J98="","", IF(K98&lt;=3, "⚠️ 薄弱环节: "&amp;INDEX($E$1:$I$1, MATCH(MIN(E98:I98), E98:I98, 0))&amp;CHAR(10)&amp;"📉 考察能力: "&amp;IFERROR(VLOOKUP(TRIM(D98)&amp;"_"&amp;TRIM(INDEX($E$1:$I$1, MATCH(MIN(E98:I98), E98:I98, 0))), 技能库!$A:$F, 5, 0),"建议查阅考纲")&amp;CHAR(10)&amp;"💡 提升建议: "&amp;IFERROR(VLOOKUP(TRIM(D98)&amp;"_"&amp;TRIM(INDEX($E$1:$I$1, MATCH(MIN(E98:I98), E98:I98, 0))), 技能库!$A:$F, 6, 0),"请针对该题型加强练习"), "🎉 表现优异，无明显弱项！"))</f>
        <v/>
      </c>
      <c r="AA98" s="5" t="str">
        <f>IF(T98="","", IF(U98&lt;=3, "⚠️ 薄弱环节: "&amp;INDEX($M$1:$S$1, MATCH(MIN(M98:S98), M98:S98, 0))&amp;CHAR(10)&amp;"📉 考察能力: "&amp;IFERROR(VLOOKUP(TRIM(D98)&amp;"_"&amp;TRIM(INDEX($M$1:$S$1, MATCH(MIN(M98:S98), M98:S98, 0))), 技能库!$A:$F, 5, 0),"建议查阅考纲")&amp;CHAR(10)&amp;"💡 提升建议: "&amp;IFERROR(VLOOKUP(TRIM(D98)&amp;"_"&amp;TRIM(INDEX($M$1:$S$1, MATCH(MIN(M98:S98), M98:S98, 0))), 技能库!$A:$F, 6, 0),"请针对该题型加强练习"), "🎉 表现优异，无明显弱项！"))</f>
        <v/>
      </c>
      <c r="AB98" t="s">
        <v>304</v>
      </c>
    </row>
    <row r="99" spans="10:28" ht="18" hidden="1" customHeight="1" x14ac:dyDescent="0.2">
      <c r="J99" t="str">
        <f t="shared" si="3"/>
        <v/>
      </c>
      <c r="K99" t="str">
        <f>IF(J99="","", IFERROR(VLOOKUP(J99, IF(D99="Movers", 换算标准!$C:$D, 换算标准!$I:$J), 2, TRUE), 0))</f>
        <v/>
      </c>
      <c r="T99" t="str">
        <f t="shared" si="4"/>
        <v/>
      </c>
      <c r="U99" t="str">
        <f>IF(T99="","", IFERROR(VLOOKUP(T99, IF(D99="Movers", 换算标准!$A:$B, 换算标准!$G:$H), 2, TRUE), 0))</f>
        <v/>
      </c>
      <c r="V99" t="s">
        <v>65</v>
      </c>
      <c r="W99" t="str">
        <f t="shared" si="5"/>
        <v/>
      </c>
      <c r="Z99" s="5" t="str">
        <f>IF(J99="","", IF(K99&lt;=3, "⚠️ 薄弱环节: "&amp;INDEX($E$1:$I$1, MATCH(MIN(E99:I99), E99:I99, 0))&amp;CHAR(10)&amp;"📉 考察能力: "&amp;IFERROR(VLOOKUP(TRIM(D99)&amp;"_"&amp;TRIM(INDEX($E$1:$I$1, MATCH(MIN(E99:I99), E99:I99, 0))), 技能库!$A:$F, 5, 0),"建议查阅考纲")&amp;CHAR(10)&amp;"💡 提升建议: "&amp;IFERROR(VLOOKUP(TRIM(D99)&amp;"_"&amp;TRIM(INDEX($E$1:$I$1, MATCH(MIN(E99:I99), E99:I99, 0))), 技能库!$A:$F, 6, 0),"请针对该题型加强练习"), "🎉 表现优异，无明显弱项！"))</f>
        <v/>
      </c>
      <c r="AA99" s="5" t="str">
        <f>IF(T99="","", IF(U99&lt;=3, "⚠️ 薄弱环节: "&amp;INDEX($M$1:$S$1, MATCH(MIN(M99:S99), M99:S99, 0))&amp;CHAR(10)&amp;"📉 考察能力: "&amp;IFERROR(VLOOKUP(TRIM(D99)&amp;"_"&amp;TRIM(INDEX($M$1:$S$1, MATCH(MIN(M99:S99), M99:S99, 0))), 技能库!$A:$F, 5, 0),"建议查阅考纲")&amp;CHAR(10)&amp;"💡 提升建议: "&amp;IFERROR(VLOOKUP(TRIM(D99)&amp;"_"&amp;TRIM(INDEX($M$1:$S$1, MATCH(MIN(M99:S99), M99:S99, 0))), 技能库!$A:$F, 6, 0),"请针对该题型加强练习"), "🎉 表现优异，无明显弱项！"))</f>
        <v/>
      </c>
      <c r="AB99" t="s">
        <v>304</v>
      </c>
    </row>
    <row r="100" spans="10:28" ht="18" hidden="1" customHeight="1" x14ac:dyDescent="0.2">
      <c r="J100" t="str">
        <f t="shared" si="3"/>
        <v/>
      </c>
      <c r="K100" t="str">
        <f>IF(J100="","", IFERROR(VLOOKUP(J100, IF(D100="Movers", 换算标准!$C:$D, 换算标准!$I:$J), 2, TRUE), 0))</f>
        <v/>
      </c>
      <c r="T100" t="str">
        <f t="shared" si="4"/>
        <v/>
      </c>
      <c r="U100" t="str">
        <f>IF(T100="","", IFERROR(VLOOKUP(T100, IF(D100="Movers", 换算标准!$A:$B, 换算标准!$G:$H), 2, TRUE), 0))</f>
        <v/>
      </c>
      <c r="V100" t="s">
        <v>65</v>
      </c>
      <c r="W100" t="str">
        <f t="shared" si="5"/>
        <v/>
      </c>
      <c r="Z100" s="5" t="str">
        <f>IF(J100="","", IF(K100&lt;=3, "⚠️ 薄弱环节: "&amp;INDEX($E$1:$I$1, MATCH(MIN(E100:I100), E100:I100, 0))&amp;CHAR(10)&amp;"📉 考察能力: "&amp;IFERROR(VLOOKUP(TRIM(D100)&amp;"_"&amp;TRIM(INDEX($E$1:$I$1, MATCH(MIN(E100:I100), E100:I100, 0))), 技能库!$A:$F, 5, 0),"建议查阅考纲")&amp;CHAR(10)&amp;"💡 提升建议: "&amp;IFERROR(VLOOKUP(TRIM(D100)&amp;"_"&amp;TRIM(INDEX($E$1:$I$1, MATCH(MIN(E100:I100), E100:I100, 0))), 技能库!$A:$F, 6, 0),"请针对该题型加强练习"), "🎉 表现优异，无明显弱项！"))</f>
        <v/>
      </c>
      <c r="AA100" s="5" t="str">
        <f>IF(T100="","", IF(U100&lt;=3, "⚠️ 薄弱环节: "&amp;INDEX($M$1:$S$1, MATCH(MIN(M100:S100), M100:S100, 0))&amp;CHAR(10)&amp;"📉 考察能力: "&amp;IFERROR(VLOOKUP(TRIM(D100)&amp;"_"&amp;TRIM(INDEX($M$1:$S$1, MATCH(MIN(M100:S100), M100:S100, 0))), 技能库!$A:$F, 5, 0),"建议查阅考纲")&amp;CHAR(10)&amp;"💡 提升建议: "&amp;IFERROR(VLOOKUP(TRIM(D100)&amp;"_"&amp;TRIM(INDEX($M$1:$S$1, MATCH(MIN(M100:S100), M100:S100, 0))), 技能库!$A:$F, 6, 0),"请针对该题型加强练习"), "🎉 表现优异，无明显弱项！"))</f>
        <v/>
      </c>
      <c r="AB100" t="s">
        <v>304</v>
      </c>
    </row>
    <row r="101" spans="10:28" ht="18" hidden="1" customHeight="1" x14ac:dyDescent="0.2">
      <c r="J101" t="str">
        <f t="shared" si="3"/>
        <v/>
      </c>
      <c r="K101" t="str">
        <f>IF(J101="","", IFERROR(VLOOKUP(J101, IF(D101="Movers", 换算标准!$C:$D, 换算标准!$I:$J), 2, TRUE), 0))</f>
        <v/>
      </c>
      <c r="T101" t="str">
        <f t="shared" si="4"/>
        <v/>
      </c>
      <c r="U101" t="str">
        <f>IF(T101="","", IFERROR(VLOOKUP(T101, IF(D101="Movers", 换算标准!$A:$B, 换算标准!$G:$H), 2, TRUE), 0))</f>
        <v/>
      </c>
      <c r="V101" t="s">
        <v>65</v>
      </c>
      <c r="W101" t="str">
        <f t="shared" si="5"/>
        <v/>
      </c>
      <c r="Z101" s="5" t="str">
        <f>IF(J101="","", IF(K101&lt;=3, "⚠️ 薄弱环节: "&amp;INDEX($E$1:$I$1, MATCH(MIN(E101:I101), E101:I101, 0))&amp;CHAR(10)&amp;"📉 考察能力: "&amp;IFERROR(VLOOKUP(TRIM(D101)&amp;"_"&amp;TRIM(INDEX($E$1:$I$1, MATCH(MIN(E101:I101), E101:I101, 0))), 技能库!$A:$F, 5, 0),"建议查阅考纲")&amp;CHAR(10)&amp;"💡 提升建议: "&amp;IFERROR(VLOOKUP(TRIM(D101)&amp;"_"&amp;TRIM(INDEX($E$1:$I$1, MATCH(MIN(E101:I101), E101:I101, 0))), 技能库!$A:$F, 6, 0),"请针对该题型加强练习"), "🎉 表现优异，无明显弱项！"))</f>
        <v/>
      </c>
      <c r="AA101" s="5" t="str">
        <f>IF(T101="","", IF(U101&lt;=3, "⚠️ 薄弱环节: "&amp;INDEX($M$1:$S$1, MATCH(MIN(M101:S101), M101:S101, 0))&amp;CHAR(10)&amp;"📉 考察能力: "&amp;IFERROR(VLOOKUP(TRIM(D101)&amp;"_"&amp;TRIM(INDEX($M$1:$S$1, MATCH(MIN(M101:S101), M101:S101, 0))), 技能库!$A:$F, 5, 0),"建议查阅考纲")&amp;CHAR(10)&amp;"💡 提升建议: "&amp;IFERROR(VLOOKUP(TRIM(D101)&amp;"_"&amp;TRIM(INDEX($M$1:$S$1, MATCH(MIN(M101:S101), M101:S101, 0))), 技能库!$A:$F, 6, 0),"请针对该题型加强练习"), "🎉 表现优异，无明显弱项！"))</f>
        <v/>
      </c>
      <c r="AB101" t="s">
        <v>304</v>
      </c>
    </row>
    <row r="102" spans="10:28" ht="18" hidden="1" customHeight="1" x14ac:dyDescent="0.2">
      <c r="J102" t="str">
        <f t="shared" si="3"/>
        <v/>
      </c>
      <c r="K102" t="str">
        <f>IF(J102="","", IFERROR(VLOOKUP(J102, IF(D102="Movers", 换算标准!$C:$D, 换算标准!$I:$J), 2, TRUE), 0))</f>
        <v/>
      </c>
      <c r="T102" t="str">
        <f t="shared" si="4"/>
        <v/>
      </c>
      <c r="U102" t="str">
        <f>IF(T102="","", IFERROR(VLOOKUP(T102, IF(D102="Movers", 换算标准!$A:$B, 换算标准!$G:$H), 2, TRUE), 0))</f>
        <v/>
      </c>
      <c r="V102" t="s">
        <v>65</v>
      </c>
      <c r="W102" t="str">
        <f t="shared" si="5"/>
        <v/>
      </c>
      <c r="Z102" s="5" t="str">
        <f>IF(J102="","", IF(K102&lt;=3, "⚠️ 薄弱环节: "&amp;INDEX($E$1:$I$1, MATCH(MIN(E102:I102), E102:I102, 0))&amp;CHAR(10)&amp;"📉 考察能力: "&amp;IFERROR(VLOOKUP(TRIM(D102)&amp;"_"&amp;TRIM(INDEX($E$1:$I$1, MATCH(MIN(E102:I102), E102:I102, 0))), 技能库!$A:$F, 5, 0),"建议查阅考纲")&amp;CHAR(10)&amp;"💡 提升建议: "&amp;IFERROR(VLOOKUP(TRIM(D102)&amp;"_"&amp;TRIM(INDEX($E$1:$I$1, MATCH(MIN(E102:I102), E102:I102, 0))), 技能库!$A:$F, 6, 0),"请针对该题型加强练习"), "🎉 表现优异，无明显弱项！"))</f>
        <v/>
      </c>
      <c r="AA102" s="5" t="str">
        <f>IF(T102="","", IF(U102&lt;=3, "⚠️ 薄弱环节: "&amp;INDEX($M$1:$S$1, MATCH(MIN(M102:S102), M102:S102, 0))&amp;CHAR(10)&amp;"📉 考察能力: "&amp;IFERROR(VLOOKUP(TRIM(D102)&amp;"_"&amp;TRIM(INDEX($M$1:$S$1, MATCH(MIN(M102:S102), M102:S102, 0))), 技能库!$A:$F, 5, 0),"建议查阅考纲")&amp;CHAR(10)&amp;"💡 提升建议: "&amp;IFERROR(VLOOKUP(TRIM(D102)&amp;"_"&amp;TRIM(INDEX($M$1:$S$1, MATCH(MIN(M102:S102), M102:S102, 0))), 技能库!$A:$F, 6, 0),"请针对该题型加强练习"), "🎉 表现优异，无明显弱项！"))</f>
        <v/>
      </c>
      <c r="AB102" t="s">
        <v>304</v>
      </c>
    </row>
    <row r="103" spans="10:28" ht="18" hidden="1" customHeight="1" x14ac:dyDescent="0.2">
      <c r="J103" t="str">
        <f t="shared" si="3"/>
        <v/>
      </c>
      <c r="K103" t="str">
        <f>IF(J103="","", IFERROR(VLOOKUP(J103, IF(D103="Movers", 换算标准!$C:$D, 换算标准!$I:$J), 2, TRUE), 0))</f>
        <v/>
      </c>
      <c r="T103" t="str">
        <f t="shared" si="4"/>
        <v/>
      </c>
      <c r="U103" t="str">
        <f>IF(T103="","", IFERROR(VLOOKUP(T103, IF(D103="Movers", 换算标准!$A:$B, 换算标准!$G:$H), 2, TRUE), 0))</f>
        <v/>
      </c>
      <c r="V103" t="s">
        <v>65</v>
      </c>
      <c r="W103" t="str">
        <f t="shared" si="5"/>
        <v/>
      </c>
      <c r="Z103" s="5" t="str">
        <f>IF(J103="","", IF(K103&lt;=3, "⚠️ 薄弱环节: "&amp;INDEX($E$1:$I$1, MATCH(MIN(E103:I103), E103:I103, 0))&amp;CHAR(10)&amp;"📉 考察能力: "&amp;IFERROR(VLOOKUP(TRIM(D103)&amp;"_"&amp;TRIM(INDEX($E$1:$I$1, MATCH(MIN(E103:I103), E103:I103, 0))), 技能库!$A:$F, 5, 0),"建议查阅考纲")&amp;CHAR(10)&amp;"💡 提升建议: "&amp;IFERROR(VLOOKUP(TRIM(D103)&amp;"_"&amp;TRIM(INDEX($E$1:$I$1, MATCH(MIN(E103:I103), E103:I103, 0))), 技能库!$A:$F, 6, 0),"请针对该题型加强练习"), "🎉 表现优异，无明显弱项！"))</f>
        <v/>
      </c>
      <c r="AA103" s="5" t="str">
        <f>IF(T103="","", IF(U103&lt;=3, "⚠️ 薄弱环节: "&amp;INDEX($M$1:$S$1, MATCH(MIN(M103:S103), M103:S103, 0))&amp;CHAR(10)&amp;"📉 考察能力: "&amp;IFERROR(VLOOKUP(TRIM(D103)&amp;"_"&amp;TRIM(INDEX($M$1:$S$1, MATCH(MIN(M103:S103), M103:S103, 0))), 技能库!$A:$F, 5, 0),"建议查阅考纲")&amp;CHAR(10)&amp;"💡 提升建议: "&amp;IFERROR(VLOOKUP(TRIM(D103)&amp;"_"&amp;TRIM(INDEX($M$1:$S$1, MATCH(MIN(M103:S103), M103:S103, 0))), 技能库!$A:$F, 6, 0),"请针对该题型加强练习"), "🎉 表现优异，无明显弱项！"))</f>
        <v/>
      </c>
      <c r="AB103" t="s">
        <v>304</v>
      </c>
    </row>
    <row r="104" spans="10:28" ht="18" hidden="1" customHeight="1" x14ac:dyDescent="0.2">
      <c r="J104" t="str">
        <f t="shared" si="3"/>
        <v/>
      </c>
      <c r="K104" t="str">
        <f>IF(J104="","", IFERROR(VLOOKUP(J104, IF(D104="Movers", 换算标准!$C:$D, 换算标准!$I:$J), 2, TRUE), 0))</f>
        <v/>
      </c>
      <c r="T104" t="str">
        <f t="shared" si="4"/>
        <v/>
      </c>
      <c r="U104" t="str">
        <f>IF(T104="","", IFERROR(VLOOKUP(T104, IF(D104="Movers", 换算标准!$A:$B, 换算标准!$G:$H), 2, TRUE), 0))</f>
        <v/>
      </c>
      <c r="V104" t="s">
        <v>65</v>
      </c>
      <c r="W104" t="str">
        <f t="shared" si="5"/>
        <v/>
      </c>
      <c r="Z104" s="5" t="str">
        <f>IF(J104="","", IF(K104&lt;=3, "⚠️ 薄弱环节: "&amp;INDEX($E$1:$I$1, MATCH(MIN(E104:I104), E104:I104, 0))&amp;CHAR(10)&amp;"📉 考察能力: "&amp;IFERROR(VLOOKUP(TRIM(D104)&amp;"_"&amp;TRIM(INDEX($E$1:$I$1, MATCH(MIN(E104:I104), E104:I104, 0))), 技能库!$A:$F, 5, 0),"建议查阅考纲")&amp;CHAR(10)&amp;"💡 提升建议: "&amp;IFERROR(VLOOKUP(TRIM(D104)&amp;"_"&amp;TRIM(INDEX($E$1:$I$1, MATCH(MIN(E104:I104), E104:I104, 0))), 技能库!$A:$F, 6, 0),"请针对该题型加强练习"), "🎉 表现优异，无明显弱项！"))</f>
        <v/>
      </c>
      <c r="AA104" s="5" t="str">
        <f>IF(T104="","", IF(U104&lt;=3, "⚠️ 薄弱环节: "&amp;INDEX($M$1:$S$1, MATCH(MIN(M104:S104), M104:S104, 0))&amp;CHAR(10)&amp;"📉 考察能力: "&amp;IFERROR(VLOOKUP(TRIM(D104)&amp;"_"&amp;TRIM(INDEX($M$1:$S$1, MATCH(MIN(M104:S104), M104:S104, 0))), 技能库!$A:$F, 5, 0),"建议查阅考纲")&amp;CHAR(10)&amp;"💡 提升建议: "&amp;IFERROR(VLOOKUP(TRIM(D104)&amp;"_"&amp;TRIM(INDEX($M$1:$S$1, MATCH(MIN(M104:S104), M104:S104, 0))), 技能库!$A:$F, 6, 0),"请针对该题型加强练习"), "🎉 表现优异，无明显弱项！"))</f>
        <v/>
      </c>
      <c r="AB104" t="s">
        <v>304</v>
      </c>
    </row>
    <row r="105" spans="10:28" ht="18" hidden="1" customHeight="1" x14ac:dyDescent="0.2">
      <c r="J105" t="str">
        <f t="shared" si="3"/>
        <v/>
      </c>
      <c r="K105" t="str">
        <f>IF(J105="","", IFERROR(VLOOKUP(J105, IF(D105="Movers", 换算标准!$C:$D, 换算标准!$I:$J), 2, TRUE), 0))</f>
        <v/>
      </c>
      <c r="T105" t="str">
        <f t="shared" si="4"/>
        <v/>
      </c>
      <c r="U105" t="str">
        <f>IF(T105="","", IFERROR(VLOOKUP(T105, IF(D105="Movers", 换算标准!$A:$B, 换算标准!$G:$H), 2, TRUE), 0))</f>
        <v/>
      </c>
      <c r="V105" t="s">
        <v>65</v>
      </c>
      <c r="W105" t="str">
        <f t="shared" si="5"/>
        <v/>
      </c>
      <c r="Z105" s="5" t="str">
        <f>IF(J105="","", IF(K105&lt;=3, "⚠️ 薄弱环节: "&amp;INDEX($E$1:$I$1, MATCH(MIN(E105:I105), E105:I105, 0))&amp;CHAR(10)&amp;"📉 考察能力: "&amp;IFERROR(VLOOKUP(TRIM(D105)&amp;"_"&amp;TRIM(INDEX($E$1:$I$1, MATCH(MIN(E105:I105), E105:I105, 0))), 技能库!$A:$F, 5, 0),"建议查阅考纲")&amp;CHAR(10)&amp;"💡 提升建议: "&amp;IFERROR(VLOOKUP(TRIM(D105)&amp;"_"&amp;TRIM(INDEX($E$1:$I$1, MATCH(MIN(E105:I105), E105:I105, 0))), 技能库!$A:$F, 6, 0),"请针对该题型加强练习"), "🎉 表现优异，无明显弱项！"))</f>
        <v/>
      </c>
      <c r="AA105" s="5" t="str">
        <f>IF(T105="","", IF(U105&lt;=3, "⚠️ 薄弱环节: "&amp;INDEX($M$1:$S$1, MATCH(MIN(M105:S105), M105:S105, 0))&amp;CHAR(10)&amp;"📉 考察能力: "&amp;IFERROR(VLOOKUP(TRIM(D105)&amp;"_"&amp;TRIM(INDEX($M$1:$S$1, MATCH(MIN(M105:S105), M105:S105, 0))), 技能库!$A:$F, 5, 0),"建议查阅考纲")&amp;CHAR(10)&amp;"💡 提升建议: "&amp;IFERROR(VLOOKUP(TRIM(D105)&amp;"_"&amp;TRIM(INDEX($M$1:$S$1, MATCH(MIN(M105:S105), M105:S105, 0))), 技能库!$A:$F, 6, 0),"请针对该题型加强练习"), "🎉 表现优异，无明显弱项！"))</f>
        <v/>
      </c>
      <c r="AB105" t="s">
        <v>304</v>
      </c>
    </row>
    <row r="106" spans="10:28" ht="18" hidden="1" customHeight="1" x14ac:dyDescent="0.2">
      <c r="J106" t="str">
        <f t="shared" si="3"/>
        <v/>
      </c>
      <c r="K106" t="str">
        <f>IF(J106="","", IFERROR(VLOOKUP(J106, IF(D106="Movers", 换算标准!$C:$D, 换算标准!$I:$J), 2, TRUE), 0))</f>
        <v/>
      </c>
      <c r="T106" t="str">
        <f t="shared" si="4"/>
        <v/>
      </c>
      <c r="U106" t="str">
        <f>IF(T106="","", IFERROR(VLOOKUP(T106, IF(D106="Movers", 换算标准!$A:$B, 换算标准!$G:$H), 2, TRUE), 0))</f>
        <v/>
      </c>
      <c r="V106" t="s">
        <v>65</v>
      </c>
      <c r="W106" t="str">
        <f t="shared" si="5"/>
        <v/>
      </c>
      <c r="Z106" s="5" t="str">
        <f>IF(J106="","", IF(K106&lt;=3, "⚠️ 薄弱环节: "&amp;INDEX($E$1:$I$1, MATCH(MIN(E106:I106), E106:I106, 0))&amp;CHAR(10)&amp;"📉 考察能力: "&amp;IFERROR(VLOOKUP(TRIM(D106)&amp;"_"&amp;TRIM(INDEX($E$1:$I$1, MATCH(MIN(E106:I106), E106:I106, 0))), 技能库!$A:$F, 5, 0),"建议查阅考纲")&amp;CHAR(10)&amp;"💡 提升建议: "&amp;IFERROR(VLOOKUP(TRIM(D106)&amp;"_"&amp;TRIM(INDEX($E$1:$I$1, MATCH(MIN(E106:I106), E106:I106, 0))), 技能库!$A:$F, 6, 0),"请针对该题型加强练习"), "🎉 表现优异，无明显弱项！"))</f>
        <v/>
      </c>
      <c r="AA106" s="5" t="str">
        <f>IF(T106="","", IF(U106&lt;=3, "⚠️ 薄弱环节: "&amp;INDEX($M$1:$S$1, MATCH(MIN(M106:S106), M106:S106, 0))&amp;CHAR(10)&amp;"📉 考察能力: "&amp;IFERROR(VLOOKUP(TRIM(D106)&amp;"_"&amp;TRIM(INDEX($M$1:$S$1, MATCH(MIN(M106:S106), M106:S106, 0))), 技能库!$A:$F, 5, 0),"建议查阅考纲")&amp;CHAR(10)&amp;"💡 提升建议: "&amp;IFERROR(VLOOKUP(TRIM(D106)&amp;"_"&amp;TRIM(INDEX($M$1:$S$1, MATCH(MIN(M106:S106), M106:S106, 0))), 技能库!$A:$F, 6, 0),"请针对该题型加强练习"), "🎉 表现优异，无明显弱项！"))</f>
        <v/>
      </c>
      <c r="AB106" t="s">
        <v>304</v>
      </c>
    </row>
    <row r="107" spans="10:28" ht="18" hidden="1" customHeight="1" x14ac:dyDescent="0.2">
      <c r="J107" t="str">
        <f t="shared" si="3"/>
        <v/>
      </c>
      <c r="K107" t="str">
        <f>IF(J107="","", IFERROR(VLOOKUP(J107, IF(D107="Movers", 换算标准!$C:$D, 换算标准!$I:$J), 2, TRUE), 0))</f>
        <v/>
      </c>
      <c r="T107" t="str">
        <f t="shared" si="4"/>
        <v/>
      </c>
      <c r="U107" t="str">
        <f>IF(T107="","", IFERROR(VLOOKUP(T107, IF(D107="Movers", 换算标准!$A:$B, 换算标准!$G:$H), 2, TRUE), 0))</f>
        <v/>
      </c>
      <c r="V107" t="s">
        <v>65</v>
      </c>
      <c r="W107" t="str">
        <f t="shared" si="5"/>
        <v/>
      </c>
      <c r="Z107" s="5" t="str">
        <f>IF(J107="","", IF(K107&lt;=3, "⚠️ 薄弱环节: "&amp;INDEX($E$1:$I$1, MATCH(MIN(E107:I107), E107:I107, 0))&amp;CHAR(10)&amp;"📉 考察能力: "&amp;IFERROR(VLOOKUP(TRIM(D107)&amp;"_"&amp;TRIM(INDEX($E$1:$I$1, MATCH(MIN(E107:I107), E107:I107, 0))), 技能库!$A:$F, 5, 0),"建议查阅考纲")&amp;CHAR(10)&amp;"💡 提升建议: "&amp;IFERROR(VLOOKUP(TRIM(D107)&amp;"_"&amp;TRIM(INDEX($E$1:$I$1, MATCH(MIN(E107:I107), E107:I107, 0))), 技能库!$A:$F, 6, 0),"请针对该题型加强练习"), "🎉 表现优异，无明显弱项！"))</f>
        <v/>
      </c>
      <c r="AA107" s="5" t="str">
        <f>IF(T107="","", IF(U107&lt;=3, "⚠️ 薄弱环节: "&amp;INDEX($M$1:$S$1, MATCH(MIN(M107:S107), M107:S107, 0))&amp;CHAR(10)&amp;"📉 考察能力: "&amp;IFERROR(VLOOKUP(TRIM(D107)&amp;"_"&amp;TRIM(INDEX($M$1:$S$1, MATCH(MIN(M107:S107), M107:S107, 0))), 技能库!$A:$F, 5, 0),"建议查阅考纲")&amp;CHAR(10)&amp;"💡 提升建议: "&amp;IFERROR(VLOOKUP(TRIM(D107)&amp;"_"&amp;TRIM(INDEX($M$1:$S$1, MATCH(MIN(M107:S107), M107:S107, 0))), 技能库!$A:$F, 6, 0),"请针对该题型加强练习"), "🎉 表现优异，无明显弱项！"))</f>
        <v/>
      </c>
      <c r="AB107" t="s">
        <v>304</v>
      </c>
    </row>
    <row r="108" spans="10:28" ht="18" hidden="1" customHeight="1" x14ac:dyDescent="0.2">
      <c r="J108" t="str">
        <f t="shared" si="3"/>
        <v/>
      </c>
      <c r="K108" t="str">
        <f>IF(J108="","", IFERROR(VLOOKUP(J108, IF(D108="Movers", 换算标准!$C:$D, 换算标准!$I:$J), 2, TRUE), 0))</f>
        <v/>
      </c>
      <c r="T108" t="str">
        <f t="shared" si="4"/>
        <v/>
      </c>
      <c r="U108" t="str">
        <f>IF(T108="","", IFERROR(VLOOKUP(T108, IF(D108="Movers", 换算标准!$A:$B, 换算标准!$G:$H), 2, TRUE), 0))</f>
        <v/>
      </c>
      <c r="V108" t="s">
        <v>65</v>
      </c>
      <c r="W108" t="str">
        <f t="shared" si="5"/>
        <v/>
      </c>
      <c r="Z108" s="5" t="str">
        <f>IF(J108="","", IF(K108&lt;=3, "⚠️ 薄弱环节: "&amp;INDEX($E$1:$I$1, MATCH(MIN(E108:I108), E108:I108, 0))&amp;CHAR(10)&amp;"📉 考察能力: "&amp;IFERROR(VLOOKUP(TRIM(D108)&amp;"_"&amp;TRIM(INDEX($E$1:$I$1, MATCH(MIN(E108:I108), E108:I108, 0))), 技能库!$A:$F, 5, 0),"建议查阅考纲")&amp;CHAR(10)&amp;"💡 提升建议: "&amp;IFERROR(VLOOKUP(TRIM(D108)&amp;"_"&amp;TRIM(INDEX($E$1:$I$1, MATCH(MIN(E108:I108), E108:I108, 0))), 技能库!$A:$F, 6, 0),"请针对该题型加强练习"), "🎉 表现优异，无明显弱项！"))</f>
        <v/>
      </c>
      <c r="AA108" s="5" t="str">
        <f>IF(T108="","", IF(U108&lt;=3, "⚠️ 薄弱环节: "&amp;INDEX($M$1:$S$1, MATCH(MIN(M108:S108), M108:S108, 0))&amp;CHAR(10)&amp;"📉 考察能力: "&amp;IFERROR(VLOOKUP(TRIM(D108)&amp;"_"&amp;TRIM(INDEX($M$1:$S$1, MATCH(MIN(M108:S108), M108:S108, 0))), 技能库!$A:$F, 5, 0),"建议查阅考纲")&amp;CHAR(10)&amp;"💡 提升建议: "&amp;IFERROR(VLOOKUP(TRIM(D108)&amp;"_"&amp;TRIM(INDEX($M$1:$S$1, MATCH(MIN(M108:S108), M108:S108, 0))), 技能库!$A:$F, 6, 0),"请针对该题型加强练习"), "🎉 表现优异，无明显弱项！"))</f>
        <v/>
      </c>
      <c r="AB108" t="s">
        <v>304</v>
      </c>
    </row>
    <row r="109" spans="10:28" ht="18" hidden="1" customHeight="1" x14ac:dyDescent="0.2">
      <c r="J109" t="str">
        <f t="shared" si="3"/>
        <v/>
      </c>
      <c r="K109" t="str">
        <f>IF(J109="","", IFERROR(VLOOKUP(J109, IF(D109="Movers", 换算标准!$C:$D, 换算标准!$I:$J), 2, TRUE), 0))</f>
        <v/>
      </c>
      <c r="T109" t="str">
        <f t="shared" si="4"/>
        <v/>
      </c>
      <c r="U109" t="str">
        <f>IF(T109="","", IFERROR(VLOOKUP(T109, IF(D109="Movers", 换算标准!$A:$B, 换算标准!$G:$H), 2, TRUE), 0))</f>
        <v/>
      </c>
      <c r="V109" t="s">
        <v>65</v>
      </c>
      <c r="W109" t="str">
        <f t="shared" si="5"/>
        <v/>
      </c>
      <c r="Z109" s="5" t="str">
        <f>IF(J109="","", IF(K109&lt;=3, "⚠️ 薄弱环节: "&amp;INDEX($E$1:$I$1, MATCH(MIN(E109:I109), E109:I109, 0))&amp;CHAR(10)&amp;"📉 考察能力: "&amp;IFERROR(VLOOKUP(TRIM(D109)&amp;"_"&amp;TRIM(INDEX($E$1:$I$1, MATCH(MIN(E109:I109), E109:I109, 0))), 技能库!$A:$F, 5, 0),"建议查阅考纲")&amp;CHAR(10)&amp;"💡 提升建议: "&amp;IFERROR(VLOOKUP(TRIM(D109)&amp;"_"&amp;TRIM(INDEX($E$1:$I$1, MATCH(MIN(E109:I109), E109:I109, 0))), 技能库!$A:$F, 6, 0),"请针对该题型加强练习"), "🎉 表现优异，无明显弱项！"))</f>
        <v/>
      </c>
      <c r="AA109" s="5" t="str">
        <f>IF(T109="","", IF(U109&lt;=3, "⚠️ 薄弱环节: "&amp;INDEX($M$1:$S$1, MATCH(MIN(M109:S109), M109:S109, 0))&amp;CHAR(10)&amp;"📉 考察能力: "&amp;IFERROR(VLOOKUP(TRIM(D109)&amp;"_"&amp;TRIM(INDEX($M$1:$S$1, MATCH(MIN(M109:S109), M109:S109, 0))), 技能库!$A:$F, 5, 0),"建议查阅考纲")&amp;CHAR(10)&amp;"💡 提升建议: "&amp;IFERROR(VLOOKUP(TRIM(D109)&amp;"_"&amp;TRIM(INDEX($M$1:$S$1, MATCH(MIN(M109:S109), M109:S109, 0))), 技能库!$A:$F, 6, 0),"请针对该题型加强练习"), "🎉 表现优异，无明显弱项！"))</f>
        <v/>
      </c>
      <c r="AB109" t="s">
        <v>304</v>
      </c>
    </row>
    <row r="110" spans="10:28" ht="18" hidden="1" customHeight="1" x14ac:dyDescent="0.2">
      <c r="J110" t="str">
        <f t="shared" si="3"/>
        <v/>
      </c>
      <c r="K110" t="str">
        <f>IF(J110="","", IFERROR(VLOOKUP(J110, IF(D110="Movers", 换算标准!$C:$D, 换算标准!$I:$J), 2, TRUE), 0))</f>
        <v/>
      </c>
      <c r="T110" t="str">
        <f t="shared" si="4"/>
        <v/>
      </c>
      <c r="U110" t="str">
        <f>IF(T110="","", IFERROR(VLOOKUP(T110, IF(D110="Movers", 换算标准!$A:$B, 换算标准!$G:$H), 2, TRUE), 0))</f>
        <v/>
      </c>
      <c r="V110" t="s">
        <v>65</v>
      </c>
      <c r="W110" t="str">
        <f t="shared" si="5"/>
        <v/>
      </c>
      <c r="Z110" s="5" t="str">
        <f>IF(J110="","", IF(K110&lt;=3, "⚠️ 薄弱环节: "&amp;INDEX($E$1:$I$1, MATCH(MIN(E110:I110), E110:I110, 0))&amp;CHAR(10)&amp;"📉 考察能力: "&amp;IFERROR(VLOOKUP(TRIM(D110)&amp;"_"&amp;TRIM(INDEX($E$1:$I$1, MATCH(MIN(E110:I110), E110:I110, 0))), 技能库!$A:$F, 5, 0),"建议查阅考纲")&amp;CHAR(10)&amp;"💡 提升建议: "&amp;IFERROR(VLOOKUP(TRIM(D110)&amp;"_"&amp;TRIM(INDEX($E$1:$I$1, MATCH(MIN(E110:I110), E110:I110, 0))), 技能库!$A:$F, 6, 0),"请针对该题型加强练习"), "🎉 表现优异，无明显弱项！"))</f>
        <v/>
      </c>
      <c r="AA110" s="5" t="str">
        <f>IF(T110="","", IF(U110&lt;=3, "⚠️ 薄弱环节: "&amp;INDEX($M$1:$S$1, MATCH(MIN(M110:S110), M110:S110, 0))&amp;CHAR(10)&amp;"📉 考察能力: "&amp;IFERROR(VLOOKUP(TRIM(D110)&amp;"_"&amp;TRIM(INDEX($M$1:$S$1, MATCH(MIN(M110:S110), M110:S110, 0))), 技能库!$A:$F, 5, 0),"建议查阅考纲")&amp;CHAR(10)&amp;"💡 提升建议: "&amp;IFERROR(VLOOKUP(TRIM(D110)&amp;"_"&amp;TRIM(INDEX($M$1:$S$1, MATCH(MIN(M110:S110), M110:S110, 0))), 技能库!$A:$F, 6, 0),"请针对该题型加强练习"), "🎉 表现优异，无明显弱项！"))</f>
        <v/>
      </c>
      <c r="AB110" t="s">
        <v>304</v>
      </c>
    </row>
    <row r="111" spans="10:28" ht="18" hidden="1" customHeight="1" x14ac:dyDescent="0.2">
      <c r="J111" t="str">
        <f t="shared" si="3"/>
        <v/>
      </c>
      <c r="K111" t="str">
        <f>IF(J111="","", IFERROR(VLOOKUP(J111, IF(D111="Movers", 换算标准!$C:$D, 换算标准!$I:$J), 2, TRUE), 0))</f>
        <v/>
      </c>
      <c r="T111" t="str">
        <f t="shared" si="4"/>
        <v/>
      </c>
      <c r="U111" t="str">
        <f>IF(T111="","", IFERROR(VLOOKUP(T111, IF(D111="Movers", 换算标准!$A:$B, 换算标准!$G:$H), 2, TRUE), 0))</f>
        <v/>
      </c>
      <c r="V111" t="s">
        <v>65</v>
      </c>
      <c r="W111" t="str">
        <f t="shared" si="5"/>
        <v/>
      </c>
      <c r="Z111" s="5" t="str">
        <f>IF(J111="","", IF(K111&lt;=3, "⚠️ 薄弱环节: "&amp;INDEX($E$1:$I$1, MATCH(MIN(E111:I111), E111:I111, 0))&amp;CHAR(10)&amp;"📉 考察能力: "&amp;IFERROR(VLOOKUP(TRIM(D111)&amp;"_"&amp;TRIM(INDEX($E$1:$I$1, MATCH(MIN(E111:I111), E111:I111, 0))), 技能库!$A:$F, 5, 0),"建议查阅考纲")&amp;CHAR(10)&amp;"💡 提升建议: "&amp;IFERROR(VLOOKUP(TRIM(D111)&amp;"_"&amp;TRIM(INDEX($E$1:$I$1, MATCH(MIN(E111:I111), E111:I111, 0))), 技能库!$A:$F, 6, 0),"请针对该题型加强练习"), "🎉 表现优异，无明显弱项！"))</f>
        <v/>
      </c>
      <c r="AA111" s="5" t="str">
        <f>IF(T111="","", IF(U111&lt;=3, "⚠️ 薄弱环节: "&amp;INDEX($M$1:$S$1, MATCH(MIN(M111:S111), M111:S111, 0))&amp;CHAR(10)&amp;"📉 考察能力: "&amp;IFERROR(VLOOKUP(TRIM(D111)&amp;"_"&amp;TRIM(INDEX($M$1:$S$1, MATCH(MIN(M111:S111), M111:S111, 0))), 技能库!$A:$F, 5, 0),"建议查阅考纲")&amp;CHAR(10)&amp;"💡 提升建议: "&amp;IFERROR(VLOOKUP(TRIM(D111)&amp;"_"&amp;TRIM(INDEX($M$1:$S$1, MATCH(MIN(M111:S111), M111:S111, 0))), 技能库!$A:$F, 6, 0),"请针对该题型加强练习"), "🎉 表现优异，无明显弱项！"))</f>
        <v/>
      </c>
      <c r="AB111" t="s">
        <v>304</v>
      </c>
    </row>
    <row r="112" spans="10:28" ht="18" hidden="1" customHeight="1" x14ac:dyDescent="0.2">
      <c r="J112" t="str">
        <f t="shared" si="3"/>
        <v/>
      </c>
      <c r="K112" t="str">
        <f>IF(J112="","", IFERROR(VLOOKUP(J112, IF(D112="Movers", 换算标准!$C:$D, 换算标准!$I:$J), 2, TRUE), 0))</f>
        <v/>
      </c>
      <c r="T112" t="str">
        <f t="shared" si="4"/>
        <v/>
      </c>
      <c r="U112" t="str">
        <f>IF(T112="","", IFERROR(VLOOKUP(T112, IF(D112="Movers", 换算标准!$A:$B, 换算标准!$G:$H), 2, TRUE), 0))</f>
        <v/>
      </c>
      <c r="V112" t="s">
        <v>65</v>
      </c>
      <c r="W112" t="str">
        <f t="shared" si="5"/>
        <v/>
      </c>
      <c r="Z112" s="5" t="str">
        <f>IF(J112="","", IF(K112&lt;=3, "⚠️ 薄弱环节: "&amp;INDEX($E$1:$I$1, MATCH(MIN(E112:I112), E112:I112, 0))&amp;CHAR(10)&amp;"📉 考察能力: "&amp;IFERROR(VLOOKUP(TRIM(D112)&amp;"_"&amp;TRIM(INDEX($E$1:$I$1, MATCH(MIN(E112:I112), E112:I112, 0))), 技能库!$A:$F, 5, 0),"建议查阅考纲")&amp;CHAR(10)&amp;"💡 提升建议: "&amp;IFERROR(VLOOKUP(TRIM(D112)&amp;"_"&amp;TRIM(INDEX($E$1:$I$1, MATCH(MIN(E112:I112), E112:I112, 0))), 技能库!$A:$F, 6, 0),"请针对该题型加强练习"), "🎉 表现优异，无明显弱项！"))</f>
        <v/>
      </c>
      <c r="AA112" s="5" t="str">
        <f>IF(T112="","", IF(U112&lt;=3, "⚠️ 薄弱环节: "&amp;INDEX($M$1:$S$1, MATCH(MIN(M112:S112), M112:S112, 0))&amp;CHAR(10)&amp;"📉 考察能力: "&amp;IFERROR(VLOOKUP(TRIM(D112)&amp;"_"&amp;TRIM(INDEX($M$1:$S$1, MATCH(MIN(M112:S112), M112:S112, 0))), 技能库!$A:$F, 5, 0),"建议查阅考纲")&amp;CHAR(10)&amp;"💡 提升建议: "&amp;IFERROR(VLOOKUP(TRIM(D112)&amp;"_"&amp;TRIM(INDEX($M$1:$S$1, MATCH(MIN(M112:S112), M112:S112, 0))), 技能库!$A:$F, 6, 0),"请针对该题型加强练习"), "🎉 表现优异，无明显弱项！"))</f>
        <v/>
      </c>
      <c r="AB112" t="s">
        <v>304</v>
      </c>
    </row>
    <row r="113" spans="10:28" ht="18" hidden="1" customHeight="1" x14ac:dyDescent="0.2">
      <c r="J113" t="str">
        <f t="shared" si="3"/>
        <v/>
      </c>
      <c r="K113" t="str">
        <f>IF(J113="","", IFERROR(VLOOKUP(J113, IF(D113="Movers", 换算标准!$C:$D, 换算标准!$I:$J), 2, TRUE), 0))</f>
        <v/>
      </c>
      <c r="T113" t="str">
        <f t="shared" si="4"/>
        <v/>
      </c>
      <c r="U113" t="str">
        <f>IF(T113="","", IFERROR(VLOOKUP(T113, IF(D113="Movers", 换算标准!$A:$B, 换算标准!$G:$H), 2, TRUE), 0))</f>
        <v/>
      </c>
      <c r="V113" t="s">
        <v>65</v>
      </c>
      <c r="W113" t="str">
        <f t="shared" si="5"/>
        <v/>
      </c>
      <c r="Z113" s="5" t="str">
        <f>IF(J113="","", IF(K113&lt;=3, "⚠️ 薄弱环节: "&amp;INDEX($E$1:$I$1, MATCH(MIN(E113:I113), E113:I113, 0))&amp;CHAR(10)&amp;"📉 考察能力: "&amp;IFERROR(VLOOKUP(TRIM(D113)&amp;"_"&amp;TRIM(INDEX($E$1:$I$1, MATCH(MIN(E113:I113), E113:I113, 0))), 技能库!$A:$F, 5, 0),"建议查阅考纲")&amp;CHAR(10)&amp;"💡 提升建议: "&amp;IFERROR(VLOOKUP(TRIM(D113)&amp;"_"&amp;TRIM(INDEX($E$1:$I$1, MATCH(MIN(E113:I113), E113:I113, 0))), 技能库!$A:$F, 6, 0),"请针对该题型加强练习"), "🎉 表现优异，无明显弱项！"))</f>
        <v/>
      </c>
      <c r="AA113" s="5" t="str">
        <f>IF(T113="","", IF(U113&lt;=3, "⚠️ 薄弱环节: "&amp;INDEX($M$1:$S$1, MATCH(MIN(M113:S113), M113:S113, 0))&amp;CHAR(10)&amp;"📉 考察能力: "&amp;IFERROR(VLOOKUP(TRIM(D113)&amp;"_"&amp;TRIM(INDEX($M$1:$S$1, MATCH(MIN(M113:S113), M113:S113, 0))), 技能库!$A:$F, 5, 0),"建议查阅考纲")&amp;CHAR(10)&amp;"💡 提升建议: "&amp;IFERROR(VLOOKUP(TRIM(D113)&amp;"_"&amp;TRIM(INDEX($M$1:$S$1, MATCH(MIN(M113:S113), M113:S113, 0))), 技能库!$A:$F, 6, 0),"请针对该题型加强练习"), "🎉 表现优异，无明显弱项！"))</f>
        <v/>
      </c>
      <c r="AB113" t="s">
        <v>304</v>
      </c>
    </row>
    <row r="114" spans="10:28" ht="18" hidden="1" customHeight="1" x14ac:dyDescent="0.2">
      <c r="J114" t="str">
        <f t="shared" si="3"/>
        <v/>
      </c>
      <c r="K114" t="str">
        <f>IF(J114="","", IFERROR(VLOOKUP(J114, IF(D114="Movers", 换算标准!$C:$D, 换算标准!$I:$J), 2, TRUE), 0))</f>
        <v/>
      </c>
      <c r="T114" t="str">
        <f t="shared" si="4"/>
        <v/>
      </c>
      <c r="U114" t="str">
        <f>IF(T114="","", IFERROR(VLOOKUP(T114, IF(D114="Movers", 换算标准!$A:$B, 换算标准!$G:$H), 2, TRUE), 0))</f>
        <v/>
      </c>
      <c r="V114" t="s">
        <v>65</v>
      </c>
      <c r="W114" t="str">
        <f t="shared" si="5"/>
        <v/>
      </c>
      <c r="Z114" s="5" t="str">
        <f>IF(J114="","", IF(K114&lt;=3, "⚠️ 薄弱环节: "&amp;INDEX($E$1:$I$1, MATCH(MIN(E114:I114), E114:I114, 0))&amp;CHAR(10)&amp;"📉 考察能力: "&amp;IFERROR(VLOOKUP(TRIM(D114)&amp;"_"&amp;TRIM(INDEX($E$1:$I$1, MATCH(MIN(E114:I114), E114:I114, 0))), 技能库!$A:$F, 5, 0),"建议查阅考纲")&amp;CHAR(10)&amp;"💡 提升建议: "&amp;IFERROR(VLOOKUP(TRIM(D114)&amp;"_"&amp;TRIM(INDEX($E$1:$I$1, MATCH(MIN(E114:I114), E114:I114, 0))), 技能库!$A:$F, 6, 0),"请针对该题型加强练习"), "🎉 表现优异，无明显弱项！"))</f>
        <v/>
      </c>
      <c r="AA114" s="5" t="str">
        <f>IF(T114="","", IF(U114&lt;=3, "⚠️ 薄弱环节: "&amp;INDEX($M$1:$S$1, MATCH(MIN(M114:S114), M114:S114, 0))&amp;CHAR(10)&amp;"📉 考察能力: "&amp;IFERROR(VLOOKUP(TRIM(D114)&amp;"_"&amp;TRIM(INDEX($M$1:$S$1, MATCH(MIN(M114:S114), M114:S114, 0))), 技能库!$A:$F, 5, 0),"建议查阅考纲")&amp;CHAR(10)&amp;"💡 提升建议: "&amp;IFERROR(VLOOKUP(TRIM(D114)&amp;"_"&amp;TRIM(INDEX($M$1:$S$1, MATCH(MIN(M114:S114), M114:S114, 0))), 技能库!$A:$F, 6, 0),"请针对该题型加强练习"), "🎉 表现优异，无明显弱项！"))</f>
        <v/>
      </c>
      <c r="AB114" t="s">
        <v>304</v>
      </c>
    </row>
    <row r="115" spans="10:28" ht="18" hidden="1" customHeight="1" x14ac:dyDescent="0.2">
      <c r="J115" t="str">
        <f t="shared" si="3"/>
        <v/>
      </c>
      <c r="K115" t="str">
        <f>IF(J115="","", IFERROR(VLOOKUP(J115, IF(D115="Movers", 换算标准!$C:$D, 换算标准!$I:$J), 2, TRUE), 0))</f>
        <v/>
      </c>
      <c r="T115" t="str">
        <f t="shared" si="4"/>
        <v/>
      </c>
      <c r="U115" t="str">
        <f>IF(T115="","", IFERROR(VLOOKUP(T115, IF(D115="Movers", 换算标准!$A:$B, 换算标准!$G:$H), 2, TRUE), 0))</f>
        <v/>
      </c>
      <c r="V115" t="s">
        <v>65</v>
      </c>
      <c r="W115" t="str">
        <f t="shared" si="5"/>
        <v/>
      </c>
      <c r="Z115" s="5" t="str">
        <f>IF(J115="","", IF(K115&lt;=3, "⚠️ 薄弱环节: "&amp;INDEX($E$1:$I$1, MATCH(MIN(E115:I115), E115:I115, 0))&amp;CHAR(10)&amp;"📉 考察能力: "&amp;IFERROR(VLOOKUP(TRIM(D115)&amp;"_"&amp;TRIM(INDEX($E$1:$I$1, MATCH(MIN(E115:I115), E115:I115, 0))), 技能库!$A:$F, 5, 0),"建议查阅考纲")&amp;CHAR(10)&amp;"💡 提升建议: "&amp;IFERROR(VLOOKUP(TRIM(D115)&amp;"_"&amp;TRIM(INDEX($E$1:$I$1, MATCH(MIN(E115:I115), E115:I115, 0))), 技能库!$A:$F, 6, 0),"请针对该题型加强练习"), "🎉 表现优异，无明显弱项！"))</f>
        <v/>
      </c>
      <c r="AA115" s="5" t="str">
        <f>IF(T115="","", IF(U115&lt;=3, "⚠️ 薄弱环节: "&amp;INDEX($M$1:$S$1, MATCH(MIN(M115:S115), M115:S115, 0))&amp;CHAR(10)&amp;"📉 考察能力: "&amp;IFERROR(VLOOKUP(TRIM(D115)&amp;"_"&amp;TRIM(INDEX($M$1:$S$1, MATCH(MIN(M115:S115), M115:S115, 0))), 技能库!$A:$F, 5, 0),"建议查阅考纲")&amp;CHAR(10)&amp;"💡 提升建议: "&amp;IFERROR(VLOOKUP(TRIM(D115)&amp;"_"&amp;TRIM(INDEX($M$1:$S$1, MATCH(MIN(M115:S115), M115:S115, 0))), 技能库!$A:$F, 6, 0),"请针对该题型加强练习"), "🎉 表现优异，无明显弱项！"))</f>
        <v/>
      </c>
      <c r="AB115" t="s">
        <v>304</v>
      </c>
    </row>
    <row r="116" spans="10:28" ht="18" hidden="1" customHeight="1" x14ac:dyDescent="0.2">
      <c r="J116" t="str">
        <f t="shared" si="3"/>
        <v/>
      </c>
      <c r="K116" t="str">
        <f>IF(J116="","", IFERROR(VLOOKUP(J116, IF(D116="Movers", 换算标准!$C:$D, 换算标准!$I:$J), 2, TRUE), 0))</f>
        <v/>
      </c>
      <c r="T116" t="str">
        <f t="shared" si="4"/>
        <v/>
      </c>
      <c r="U116" t="str">
        <f>IF(T116="","", IFERROR(VLOOKUP(T116, IF(D116="Movers", 换算标准!$A:$B, 换算标准!$G:$H), 2, TRUE), 0))</f>
        <v/>
      </c>
      <c r="V116" t="s">
        <v>65</v>
      </c>
      <c r="W116" t="str">
        <f t="shared" si="5"/>
        <v/>
      </c>
      <c r="Z116" s="5" t="str">
        <f>IF(J116="","", IF(K116&lt;=3, "⚠️ 薄弱环节: "&amp;INDEX($E$1:$I$1, MATCH(MIN(E116:I116), E116:I116, 0))&amp;CHAR(10)&amp;"📉 考察能力: "&amp;IFERROR(VLOOKUP(TRIM(D116)&amp;"_"&amp;TRIM(INDEX($E$1:$I$1, MATCH(MIN(E116:I116), E116:I116, 0))), 技能库!$A:$F, 5, 0),"建议查阅考纲")&amp;CHAR(10)&amp;"💡 提升建议: "&amp;IFERROR(VLOOKUP(TRIM(D116)&amp;"_"&amp;TRIM(INDEX($E$1:$I$1, MATCH(MIN(E116:I116), E116:I116, 0))), 技能库!$A:$F, 6, 0),"请针对该题型加强练习"), "🎉 表现优异，无明显弱项！"))</f>
        <v/>
      </c>
      <c r="AA116" s="5" t="str">
        <f>IF(T116="","", IF(U116&lt;=3, "⚠️ 薄弱环节: "&amp;INDEX($M$1:$S$1, MATCH(MIN(M116:S116), M116:S116, 0))&amp;CHAR(10)&amp;"📉 考察能力: "&amp;IFERROR(VLOOKUP(TRIM(D116)&amp;"_"&amp;TRIM(INDEX($M$1:$S$1, MATCH(MIN(M116:S116), M116:S116, 0))), 技能库!$A:$F, 5, 0),"建议查阅考纲")&amp;CHAR(10)&amp;"💡 提升建议: "&amp;IFERROR(VLOOKUP(TRIM(D116)&amp;"_"&amp;TRIM(INDEX($M$1:$S$1, MATCH(MIN(M116:S116), M116:S116, 0))), 技能库!$A:$F, 6, 0),"请针对该题型加强练习"), "🎉 表现优异，无明显弱项！"))</f>
        <v/>
      </c>
      <c r="AB116" t="s">
        <v>304</v>
      </c>
    </row>
    <row r="117" spans="10:28" ht="18" hidden="1" customHeight="1" x14ac:dyDescent="0.2">
      <c r="J117" t="str">
        <f t="shared" si="3"/>
        <v/>
      </c>
      <c r="K117" t="str">
        <f>IF(J117="","", IFERROR(VLOOKUP(J117, IF(D117="Movers", 换算标准!$C:$D, 换算标准!$I:$J), 2, TRUE), 0))</f>
        <v/>
      </c>
      <c r="T117" t="str">
        <f t="shared" si="4"/>
        <v/>
      </c>
      <c r="U117" t="str">
        <f>IF(T117="","", IFERROR(VLOOKUP(T117, IF(D117="Movers", 换算标准!$A:$B, 换算标准!$G:$H), 2, TRUE), 0))</f>
        <v/>
      </c>
      <c r="V117" t="s">
        <v>65</v>
      </c>
      <c r="W117" t="str">
        <f t="shared" si="5"/>
        <v/>
      </c>
      <c r="Z117" s="5" t="str">
        <f>IF(J117="","", IF(K117&lt;=3, "⚠️ 薄弱环节: "&amp;INDEX($E$1:$I$1, MATCH(MIN(E117:I117), E117:I117, 0))&amp;CHAR(10)&amp;"📉 考察能力: "&amp;IFERROR(VLOOKUP(TRIM(D117)&amp;"_"&amp;TRIM(INDEX($E$1:$I$1, MATCH(MIN(E117:I117), E117:I117, 0))), 技能库!$A:$F, 5, 0),"建议查阅考纲")&amp;CHAR(10)&amp;"💡 提升建议: "&amp;IFERROR(VLOOKUP(TRIM(D117)&amp;"_"&amp;TRIM(INDEX($E$1:$I$1, MATCH(MIN(E117:I117), E117:I117, 0))), 技能库!$A:$F, 6, 0),"请针对该题型加强练习"), "🎉 表现优异，无明显弱项！"))</f>
        <v/>
      </c>
      <c r="AA117" s="5" t="str">
        <f>IF(T117="","", IF(U117&lt;=3, "⚠️ 薄弱环节: "&amp;INDEX($M$1:$S$1, MATCH(MIN(M117:S117), M117:S117, 0))&amp;CHAR(10)&amp;"📉 考察能力: "&amp;IFERROR(VLOOKUP(TRIM(D117)&amp;"_"&amp;TRIM(INDEX($M$1:$S$1, MATCH(MIN(M117:S117), M117:S117, 0))), 技能库!$A:$F, 5, 0),"建议查阅考纲")&amp;CHAR(10)&amp;"💡 提升建议: "&amp;IFERROR(VLOOKUP(TRIM(D117)&amp;"_"&amp;TRIM(INDEX($M$1:$S$1, MATCH(MIN(M117:S117), M117:S117, 0))), 技能库!$A:$F, 6, 0),"请针对该题型加强练习"), "🎉 表现优异，无明显弱项！"))</f>
        <v/>
      </c>
      <c r="AB117" t="s">
        <v>304</v>
      </c>
    </row>
    <row r="118" spans="10:28" ht="18" hidden="1" customHeight="1" x14ac:dyDescent="0.2">
      <c r="J118" t="str">
        <f t="shared" si="3"/>
        <v/>
      </c>
      <c r="K118" t="str">
        <f>IF(J118="","", IFERROR(VLOOKUP(J118, IF(D118="Movers", 换算标准!$C:$D, 换算标准!$I:$J), 2, TRUE), 0))</f>
        <v/>
      </c>
      <c r="T118" t="str">
        <f t="shared" si="4"/>
        <v/>
      </c>
      <c r="U118" t="str">
        <f>IF(T118="","", IFERROR(VLOOKUP(T118, IF(D118="Movers", 换算标准!$A:$B, 换算标准!$G:$H), 2, TRUE), 0))</f>
        <v/>
      </c>
      <c r="V118" t="s">
        <v>65</v>
      </c>
      <c r="W118" t="str">
        <f t="shared" si="5"/>
        <v/>
      </c>
      <c r="Z118" s="5" t="str">
        <f>IF(J118="","", IF(K118&lt;=3, "⚠️ 薄弱环节: "&amp;INDEX($E$1:$I$1, MATCH(MIN(E118:I118), E118:I118, 0))&amp;CHAR(10)&amp;"📉 考察能力: "&amp;IFERROR(VLOOKUP(TRIM(D118)&amp;"_"&amp;TRIM(INDEX($E$1:$I$1, MATCH(MIN(E118:I118), E118:I118, 0))), 技能库!$A:$F, 5, 0),"建议查阅考纲")&amp;CHAR(10)&amp;"💡 提升建议: "&amp;IFERROR(VLOOKUP(TRIM(D118)&amp;"_"&amp;TRIM(INDEX($E$1:$I$1, MATCH(MIN(E118:I118), E118:I118, 0))), 技能库!$A:$F, 6, 0),"请针对该题型加强练习"), "🎉 表现优异，无明显弱项！"))</f>
        <v/>
      </c>
      <c r="AA118" s="5" t="str">
        <f>IF(T118="","", IF(U118&lt;=3, "⚠️ 薄弱环节: "&amp;INDEX($M$1:$S$1, MATCH(MIN(M118:S118), M118:S118, 0))&amp;CHAR(10)&amp;"📉 考察能力: "&amp;IFERROR(VLOOKUP(TRIM(D118)&amp;"_"&amp;TRIM(INDEX($M$1:$S$1, MATCH(MIN(M118:S118), M118:S118, 0))), 技能库!$A:$F, 5, 0),"建议查阅考纲")&amp;CHAR(10)&amp;"💡 提升建议: "&amp;IFERROR(VLOOKUP(TRIM(D118)&amp;"_"&amp;TRIM(INDEX($M$1:$S$1, MATCH(MIN(M118:S118), M118:S118, 0))), 技能库!$A:$F, 6, 0),"请针对该题型加强练习"), "🎉 表现优异，无明显弱项！"))</f>
        <v/>
      </c>
      <c r="AB118" t="s">
        <v>304</v>
      </c>
    </row>
    <row r="119" spans="10:28" ht="18" hidden="1" customHeight="1" x14ac:dyDescent="0.2">
      <c r="J119" t="str">
        <f t="shared" si="3"/>
        <v/>
      </c>
      <c r="K119" t="str">
        <f>IF(J119="","", IFERROR(VLOOKUP(J119, IF(D119="Movers", 换算标准!$C:$D, 换算标准!$I:$J), 2, TRUE), 0))</f>
        <v/>
      </c>
      <c r="T119" t="str">
        <f t="shared" si="4"/>
        <v/>
      </c>
      <c r="U119" t="str">
        <f>IF(T119="","", IFERROR(VLOOKUP(T119, IF(D119="Movers", 换算标准!$A:$B, 换算标准!$G:$H), 2, TRUE), 0))</f>
        <v/>
      </c>
      <c r="V119" t="s">
        <v>65</v>
      </c>
      <c r="W119" t="str">
        <f t="shared" si="5"/>
        <v/>
      </c>
      <c r="Z119" s="5" t="str">
        <f>IF(J119="","", IF(K119&lt;=3, "⚠️ 薄弱环节: "&amp;INDEX($E$1:$I$1, MATCH(MIN(E119:I119), E119:I119, 0))&amp;CHAR(10)&amp;"📉 考察能力: "&amp;IFERROR(VLOOKUP(TRIM(D119)&amp;"_"&amp;TRIM(INDEX($E$1:$I$1, MATCH(MIN(E119:I119), E119:I119, 0))), 技能库!$A:$F, 5, 0),"建议查阅考纲")&amp;CHAR(10)&amp;"💡 提升建议: "&amp;IFERROR(VLOOKUP(TRIM(D119)&amp;"_"&amp;TRIM(INDEX($E$1:$I$1, MATCH(MIN(E119:I119), E119:I119, 0))), 技能库!$A:$F, 6, 0),"请针对该题型加强练习"), "🎉 表现优异，无明显弱项！"))</f>
        <v/>
      </c>
      <c r="AA119" s="5" t="str">
        <f>IF(T119="","", IF(U119&lt;=3, "⚠️ 薄弱环节: "&amp;INDEX($M$1:$S$1, MATCH(MIN(M119:S119), M119:S119, 0))&amp;CHAR(10)&amp;"📉 考察能力: "&amp;IFERROR(VLOOKUP(TRIM(D119)&amp;"_"&amp;TRIM(INDEX($M$1:$S$1, MATCH(MIN(M119:S119), M119:S119, 0))), 技能库!$A:$F, 5, 0),"建议查阅考纲")&amp;CHAR(10)&amp;"💡 提升建议: "&amp;IFERROR(VLOOKUP(TRIM(D119)&amp;"_"&amp;TRIM(INDEX($M$1:$S$1, MATCH(MIN(M119:S119), M119:S119, 0))), 技能库!$A:$F, 6, 0),"请针对该题型加强练习"), "🎉 表现优异，无明显弱项！"))</f>
        <v/>
      </c>
      <c r="AB119" t="s">
        <v>304</v>
      </c>
    </row>
    <row r="120" spans="10:28" ht="18" hidden="1" customHeight="1" x14ac:dyDescent="0.2">
      <c r="J120" t="str">
        <f t="shared" si="3"/>
        <v/>
      </c>
      <c r="K120" t="str">
        <f>IF(J120="","", IFERROR(VLOOKUP(J120, IF(D120="Movers", 换算标准!$C:$D, 换算标准!$I:$J), 2, TRUE), 0))</f>
        <v/>
      </c>
      <c r="T120" t="str">
        <f t="shared" si="4"/>
        <v/>
      </c>
      <c r="U120" t="str">
        <f>IF(T120="","", IFERROR(VLOOKUP(T120, IF(D120="Movers", 换算标准!$A:$B, 换算标准!$G:$H), 2, TRUE), 0))</f>
        <v/>
      </c>
      <c r="V120" t="s">
        <v>65</v>
      </c>
      <c r="W120" t="str">
        <f t="shared" si="5"/>
        <v/>
      </c>
      <c r="Z120" s="5" t="str">
        <f>IF(J120="","", IF(K120&lt;=3, "⚠️ 薄弱环节: "&amp;INDEX($E$1:$I$1, MATCH(MIN(E120:I120), E120:I120, 0))&amp;CHAR(10)&amp;"📉 考察能力: "&amp;IFERROR(VLOOKUP(TRIM(D120)&amp;"_"&amp;TRIM(INDEX($E$1:$I$1, MATCH(MIN(E120:I120), E120:I120, 0))), 技能库!$A:$F, 5, 0),"建议查阅考纲")&amp;CHAR(10)&amp;"💡 提升建议: "&amp;IFERROR(VLOOKUP(TRIM(D120)&amp;"_"&amp;TRIM(INDEX($E$1:$I$1, MATCH(MIN(E120:I120), E120:I120, 0))), 技能库!$A:$F, 6, 0),"请针对该题型加强练习"), "🎉 表现优异，无明显弱项！"))</f>
        <v/>
      </c>
      <c r="AA120" s="5" t="str">
        <f>IF(T120="","", IF(U120&lt;=3, "⚠️ 薄弱环节: "&amp;INDEX($M$1:$S$1, MATCH(MIN(M120:S120), M120:S120, 0))&amp;CHAR(10)&amp;"📉 考察能力: "&amp;IFERROR(VLOOKUP(TRIM(D120)&amp;"_"&amp;TRIM(INDEX($M$1:$S$1, MATCH(MIN(M120:S120), M120:S120, 0))), 技能库!$A:$F, 5, 0),"建议查阅考纲")&amp;CHAR(10)&amp;"💡 提升建议: "&amp;IFERROR(VLOOKUP(TRIM(D120)&amp;"_"&amp;TRIM(INDEX($M$1:$S$1, MATCH(MIN(M120:S120), M120:S120, 0))), 技能库!$A:$F, 6, 0),"请针对该题型加强练习"), "🎉 表现优异，无明显弱项！"))</f>
        <v/>
      </c>
      <c r="AB120" t="s">
        <v>304</v>
      </c>
    </row>
    <row r="121" spans="10:28" ht="18" hidden="1" customHeight="1" x14ac:dyDescent="0.2">
      <c r="J121" t="str">
        <f t="shared" si="3"/>
        <v/>
      </c>
      <c r="K121" t="str">
        <f>IF(J121="","", IFERROR(VLOOKUP(J121, IF(D121="Movers", 换算标准!$C:$D, 换算标准!$I:$J), 2, TRUE), 0))</f>
        <v/>
      </c>
      <c r="L121" t="s">
        <v>65</v>
      </c>
      <c r="T121" t="str">
        <f t="shared" si="4"/>
        <v/>
      </c>
      <c r="U121" t="str">
        <f>IF(T121="","", IFERROR(VLOOKUP(T121, IF(D121="Movers", 换算标准!$A:$B, 换算标准!$G:$H), 2, TRUE), 0))</f>
        <v/>
      </c>
      <c r="V121" t="s">
        <v>65</v>
      </c>
      <c r="W121" t="str">
        <f t="shared" si="5"/>
        <v/>
      </c>
      <c r="Z121" s="5" t="str">
        <f>IF(J121="","", IF(K121&lt;=3, "⚠️ 薄弱环节: "&amp;INDEX($E$1:$I$1, MATCH(MIN(E121:I121), E121:I121, 0))&amp;CHAR(10)&amp;"📉 考察能力: "&amp;IFERROR(VLOOKUP(TRIM(D121)&amp;"_"&amp;TRIM(INDEX($E$1:$I$1, MATCH(MIN(E121:I121), E121:I121, 0))), 技能库!$A:$F, 5, 0),"建议查阅考纲")&amp;CHAR(10)&amp;"💡 提升建议: "&amp;IFERROR(VLOOKUP(TRIM(D121)&amp;"_"&amp;TRIM(INDEX($E$1:$I$1, MATCH(MIN(E121:I121), E121:I121, 0))), 技能库!$A:$F, 6, 0),"请针对该题型加强练习"), "🎉 表现优异，无明显弱项！"))</f>
        <v/>
      </c>
      <c r="AA121" s="5" t="str">
        <f>IF(T121="","", IF(U121&lt;=3, "⚠️ 薄弱环节: "&amp;INDEX($M$1:$S$1, MATCH(MIN(M121:S121), M121:S121, 0))&amp;CHAR(10)&amp;"📉 考察能力: "&amp;IFERROR(VLOOKUP(TRIM(D121)&amp;"_"&amp;TRIM(INDEX($M$1:$S$1, MATCH(MIN(M121:S121), M121:S121, 0))), 技能库!$A:$F, 5, 0),"建议查阅考纲")&amp;CHAR(10)&amp;"💡 提升建议: "&amp;IFERROR(VLOOKUP(TRIM(D121)&amp;"_"&amp;TRIM(INDEX($M$1:$S$1, MATCH(MIN(M121:S121), M121:S121, 0))), 技能库!$A:$F, 6, 0),"请针对该题型加强练习"), "🎉 表现优异，无明显弱项！"))</f>
        <v/>
      </c>
      <c r="AB121" t="s">
        <v>304</v>
      </c>
    </row>
    <row r="122" spans="10:28" ht="18" hidden="1" customHeight="1" x14ac:dyDescent="0.2">
      <c r="J122" t="str">
        <f t="shared" si="3"/>
        <v/>
      </c>
      <c r="K122" t="str">
        <f>IF(J122="","", IFERROR(VLOOKUP(J122, IF(D122="Movers", 换算标准!$C:$D, 换算标准!$I:$J), 2, TRUE), 0))</f>
        <v/>
      </c>
      <c r="L122" t="s">
        <v>65</v>
      </c>
      <c r="T122" t="str">
        <f t="shared" si="4"/>
        <v/>
      </c>
      <c r="U122" t="str">
        <f>IF(T122="","", IFERROR(VLOOKUP(T122, IF(D122="Movers", 换算标准!$A:$B, 换算标准!$G:$H), 2, TRUE), 0))</f>
        <v/>
      </c>
      <c r="V122" t="s">
        <v>65</v>
      </c>
      <c r="W122" t="str">
        <f t="shared" si="5"/>
        <v/>
      </c>
      <c r="Z122" s="5" t="str">
        <f>IF(J122="","", IF(K122&lt;=3, "⚠️ 薄弱环节: "&amp;INDEX($E$1:$I$1, MATCH(MIN(E122:I122), E122:I122, 0))&amp;CHAR(10)&amp;"📉 考察能力: "&amp;IFERROR(VLOOKUP(TRIM(D122)&amp;"_"&amp;TRIM(INDEX($E$1:$I$1, MATCH(MIN(E122:I122), E122:I122, 0))), 技能库!$A:$F, 5, 0),"建议查阅考纲")&amp;CHAR(10)&amp;"💡 提升建议: "&amp;IFERROR(VLOOKUP(TRIM(D122)&amp;"_"&amp;TRIM(INDEX($E$1:$I$1, MATCH(MIN(E122:I122), E122:I122, 0))), 技能库!$A:$F, 6, 0),"请针对该题型加强练习"), "🎉 表现优异，无明显弱项！"))</f>
        <v/>
      </c>
      <c r="AA122" s="5" t="str">
        <f>IF(T122="","", IF(U122&lt;=3, "⚠️ 薄弱环节: "&amp;INDEX($M$1:$S$1, MATCH(MIN(M122:S122), M122:S122, 0))&amp;CHAR(10)&amp;"📉 考察能力: "&amp;IFERROR(VLOOKUP(TRIM(D122)&amp;"_"&amp;TRIM(INDEX($M$1:$S$1, MATCH(MIN(M122:S122), M122:S122, 0))), 技能库!$A:$F, 5, 0),"建议查阅考纲")&amp;CHAR(10)&amp;"💡 提升建议: "&amp;IFERROR(VLOOKUP(TRIM(D122)&amp;"_"&amp;TRIM(INDEX($M$1:$S$1, MATCH(MIN(M122:S122), M122:S122, 0))), 技能库!$A:$F, 6, 0),"请针对该题型加强练习"), "🎉 表现优异，无明显弱项！"))</f>
        <v/>
      </c>
      <c r="AB122" t="s">
        <v>304</v>
      </c>
    </row>
    <row r="123" spans="10:28" ht="18" hidden="1" customHeight="1" x14ac:dyDescent="0.2">
      <c r="J123" t="str">
        <f t="shared" si="3"/>
        <v/>
      </c>
      <c r="K123" t="str">
        <f>IF(J123="","", IFERROR(VLOOKUP(J123, IF(D123="Movers", 换算标准!$C:$D, 换算标准!$I:$J), 2, TRUE), 0))</f>
        <v/>
      </c>
      <c r="L123" t="s">
        <v>65</v>
      </c>
      <c r="T123" t="str">
        <f t="shared" si="4"/>
        <v/>
      </c>
      <c r="U123" t="str">
        <f>IF(T123="","", IFERROR(VLOOKUP(T123, IF(D123="Movers", 换算标准!$A:$B, 换算标准!$G:$H), 2, TRUE), 0))</f>
        <v/>
      </c>
      <c r="V123" t="s">
        <v>65</v>
      </c>
      <c r="W123" t="str">
        <f t="shared" si="5"/>
        <v/>
      </c>
      <c r="Z123" s="5" t="str">
        <f>IF(J123="","", IF(K123&lt;=3, "⚠️ 薄弱环节: "&amp;INDEX($E$1:$I$1, MATCH(MIN(E123:I123), E123:I123, 0))&amp;CHAR(10)&amp;"📉 考察能力: "&amp;IFERROR(VLOOKUP(TRIM(D123)&amp;"_"&amp;TRIM(INDEX($E$1:$I$1, MATCH(MIN(E123:I123), E123:I123, 0))), 技能库!$A:$F, 5, 0),"建议查阅考纲")&amp;CHAR(10)&amp;"💡 提升建议: "&amp;IFERROR(VLOOKUP(TRIM(D123)&amp;"_"&amp;TRIM(INDEX($E$1:$I$1, MATCH(MIN(E123:I123), E123:I123, 0))), 技能库!$A:$F, 6, 0),"请针对该题型加强练习"), "🎉 表现优异，无明显弱项！"))</f>
        <v/>
      </c>
      <c r="AA123" s="5" t="str">
        <f>IF(T123="","", IF(U123&lt;=3, "⚠️ 薄弱环节: "&amp;INDEX($M$1:$S$1, MATCH(MIN(M123:S123), M123:S123, 0))&amp;CHAR(10)&amp;"📉 考察能力: "&amp;IFERROR(VLOOKUP(TRIM(D123)&amp;"_"&amp;TRIM(INDEX($M$1:$S$1, MATCH(MIN(M123:S123), M123:S123, 0))), 技能库!$A:$F, 5, 0),"建议查阅考纲")&amp;CHAR(10)&amp;"💡 提升建议: "&amp;IFERROR(VLOOKUP(TRIM(D123)&amp;"_"&amp;TRIM(INDEX($M$1:$S$1, MATCH(MIN(M123:S123), M123:S123, 0))), 技能库!$A:$F, 6, 0),"请针对该题型加强练习"), "🎉 表现优异，无明显弱项！"))</f>
        <v/>
      </c>
      <c r="AB123" t="s">
        <v>304</v>
      </c>
    </row>
    <row r="124" spans="10:28" ht="18" hidden="1" customHeight="1" x14ac:dyDescent="0.2">
      <c r="J124" t="str">
        <f t="shared" si="3"/>
        <v/>
      </c>
      <c r="K124" t="str">
        <f>IF(J124="","", IFERROR(VLOOKUP(J124, IF(D124="Movers", 换算标准!$C:$D, 换算标准!$I:$J), 2, TRUE), 0))</f>
        <v/>
      </c>
      <c r="L124" t="s">
        <v>65</v>
      </c>
      <c r="T124" t="str">
        <f t="shared" si="4"/>
        <v/>
      </c>
      <c r="U124" t="str">
        <f>IF(T124="","", IFERROR(VLOOKUP(T124, IF(D124="Movers", 换算标准!$A:$B, 换算标准!$G:$H), 2, TRUE), 0))</f>
        <v/>
      </c>
      <c r="V124" t="s">
        <v>65</v>
      </c>
      <c r="W124" t="str">
        <f t="shared" si="5"/>
        <v/>
      </c>
      <c r="Z124" s="5" t="str">
        <f>IF(J124="","", IF(K124&lt;=3, "⚠️ 薄弱环节: "&amp;INDEX($E$1:$I$1, MATCH(MIN(E124:I124), E124:I124, 0))&amp;CHAR(10)&amp;"📉 考察能力: "&amp;IFERROR(VLOOKUP(TRIM(D124)&amp;"_"&amp;TRIM(INDEX($E$1:$I$1, MATCH(MIN(E124:I124), E124:I124, 0))), 技能库!$A:$F, 5, 0),"建议查阅考纲")&amp;CHAR(10)&amp;"💡 提升建议: "&amp;IFERROR(VLOOKUP(TRIM(D124)&amp;"_"&amp;TRIM(INDEX($E$1:$I$1, MATCH(MIN(E124:I124), E124:I124, 0))), 技能库!$A:$F, 6, 0),"请针对该题型加强练习"), "🎉 表现优异，无明显弱项！"))</f>
        <v/>
      </c>
      <c r="AA124" s="5" t="str">
        <f>IF(T124="","", IF(U124&lt;=3, "⚠️ 薄弱环节: "&amp;INDEX($M$1:$S$1, MATCH(MIN(M124:S124), M124:S124, 0))&amp;CHAR(10)&amp;"📉 考察能力: "&amp;IFERROR(VLOOKUP(TRIM(D124)&amp;"_"&amp;TRIM(INDEX($M$1:$S$1, MATCH(MIN(M124:S124), M124:S124, 0))), 技能库!$A:$F, 5, 0),"建议查阅考纲")&amp;CHAR(10)&amp;"💡 提升建议: "&amp;IFERROR(VLOOKUP(TRIM(D124)&amp;"_"&amp;TRIM(INDEX($M$1:$S$1, MATCH(MIN(M124:S124), M124:S124, 0))), 技能库!$A:$F, 6, 0),"请针对该题型加强练习"), "🎉 表现优异，无明显弱项！"))</f>
        <v/>
      </c>
      <c r="AB124" t="s">
        <v>304</v>
      </c>
    </row>
    <row r="125" spans="10:28" ht="18" hidden="1" customHeight="1" x14ac:dyDescent="0.2">
      <c r="J125" t="str">
        <f t="shared" si="3"/>
        <v/>
      </c>
      <c r="K125" t="str">
        <f>IF(J125="","", IFERROR(VLOOKUP(J125, IF(D125="Movers", 换算标准!$C:$D, 换算标准!$I:$J), 2, TRUE), 0))</f>
        <v/>
      </c>
      <c r="L125" t="s">
        <v>65</v>
      </c>
      <c r="T125" t="str">
        <f t="shared" si="4"/>
        <v/>
      </c>
      <c r="U125" t="str">
        <f>IF(T125="","", IFERROR(VLOOKUP(T125, IF(D125="Movers", 换算标准!$A:$B, 换算标准!$G:$H), 2, TRUE), 0))</f>
        <v/>
      </c>
      <c r="V125" t="s">
        <v>65</v>
      </c>
      <c r="W125" t="str">
        <f t="shared" si="5"/>
        <v/>
      </c>
      <c r="Z125" s="5" t="str">
        <f>IF(J125="","", IF(K125&lt;=3, "⚠️ 薄弱环节: "&amp;INDEX($E$1:$I$1, MATCH(MIN(E125:I125), E125:I125, 0))&amp;CHAR(10)&amp;"📉 考察能力: "&amp;IFERROR(VLOOKUP(TRIM(D125)&amp;"_"&amp;TRIM(INDEX($E$1:$I$1, MATCH(MIN(E125:I125), E125:I125, 0))), 技能库!$A:$F, 5, 0),"建议查阅考纲")&amp;CHAR(10)&amp;"💡 提升建议: "&amp;IFERROR(VLOOKUP(TRIM(D125)&amp;"_"&amp;TRIM(INDEX($E$1:$I$1, MATCH(MIN(E125:I125), E125:I125, 0))), 技能库!$A:$F, 6, 0),"请针对该题型加强练习"), "🎉 表现优异，无明显弱项！"))</f>
        <v/>
      </c>
      <c r="AA125" s="5" t="str">
        <f>IF(T125="","", IF(U125&lt;=3, "⚠️ 薄弱环节: "&amp;INDEX($M$1:$S$1, MATCH(MIN(M125:S125), M125:S125, 0))&amp;CHAR(10)&amp;"📉 考察能力: "&amp;IFERROR(VLOOKUP(TRIM(D125)&amp;"_"&amp;TRIM(INDEX($M$1:$S$1, MATCH(MIN(M125:S125), M125:S125, 0))), 技能库!$A:$F, 5, 0),"建议查阅考纲")&amp;CHAR(10)&amp;"💡 提升建议: "&amp;IFERROR(VLOOKUP(TRIM(D125)&amp;"_"&amp;TRIM(INDEX($M$1:$S$1, MATCH(MIN(M125:S125), M125:S125, 0))), 技能库!$A:$F, 6, 0),"请针对该题型加强练习"), "🎉 表现优异，无明显弱项！"))</f>
        <v/>
      </c>
      <c r="AB125" t="s">
        <v>304</v>
      </c>
    </row>
    <row r="126" spans="10:28" ht="18" hidden="1" customHeight="1" x14ac:dyDescent="0.2">
      <c r="J126" t="str">
        <f t="shared" si="3"/>
        <v/>
      </c>
      <c r="K126" t="str">
        <f>IF(J126="","", IFERROR(VLOOKUP(J126, IF(D126="Movers", 换算标准!$C:$D, 换算标准!$I:$J), 2, TRUE), 0))</f>
        <v/>
      </c>
      <c r="L126" t="s">
        <v>65</v>
      </c>
      <c r="T126" t="str">
        <f t="shared" si="4"/>
        <v/>
      </c>
      <c r="U126" t="str">
        <f>IF(T126="","", IFERROR(VLOOKUP(T126, IF(D126="Movers", 换算标准!$A:$B, 换算标准!$G:$H), 2, TRUE), 0))</f>
        <v/>
      </c>
      <c r="V126" t="s">
        <v>65</v>
      </c>
      <c r="W126" t="str">
        <f t="shared" si="5"/>
        <v/>
      </c>
      <c r="Z126" s="5" t="str">
        <f>IF(J126="","", IF(K126&lt;=3, "⚠️ 薄弱环节: "&amp;INDEX($E$1:$I$1, MATCH(MIN(E126:I126), E126:I126, 0))&amp;CHAR(10)&amp;"📉 考察能力: "&amp;IFERROR(VLOOKUP(TRIM(D126)&amp;"_"&amp;TRIM(INDEX($E$1:$I$1, MATCH(MIN(E126:I126), E126:I126, 0))), 技能库!$A:$F, 5, 0),"建议查阅考纲")&amp;CHAR(10)&amp;"💡 提升建议: "&amp;IFERROR(VLOOKUP(TRIM(D126)&amp;"_"&amp;TRIM(INDEX($E$1:$I$1, MATCH(MIN(E126:I126), E126:I126, 0))), 技能库!$A:$F, 6, 0),"请针对该题型加强练习"), "🎉 表现优异，无明显弱项！"))</f>
        <v/>
      </c>
      <c r="AA126" s="5" t="str">
        <f>IF(T126="","", IF(U126&lt;=3, "⚠️ 薄弱环节: "&amp;INDEX($M$1:$S$1, MATCH(MIN(M126:S126), M126:S126, 0))&amp;CHAR(10)&amp;"📉 考察能力: "&amp;IFERROR(VLOOKUP(TRIM(D126)&amp;"_"&amp;TRIM(INDEX($M$1:$S$1, MATCH(MIN(M126:S126), M126:S126, 0))), 技能库!$A:$F, 5, 0),"建议查阅考纲")&amp;CHAR(10)&amp;"💡 提升建议: "&amp;IFERROR(VLOOKUP(TRIM(D126)&amp;"_"&amp;TRIM(INDEX($M$1:$S$1, MATCH(MIN(M126:S126), M126:S126, 0))), 技能库!$A:$F, 6, 0),"请针对该题型加强练习"), "🎉 表现优异，无明显弱项！"))</f>
        <v/>
      </c>
      <c r="AB126" t="s">
        <v>304</v>
      </c>
    </row>
    <row r="127" spans="10:28" ht="18" hidden="1" customHeight="1" x14ac:dyDescent="0.2">
      <c r="J127" t="str">
        <f t="shared" si="3"/>
        <v/>
      </c>
      <c r="K127" t="str">
        <f>IF(J127="","", IFERROR(VLOOKUP(J127, IF(D127="Movers", 换算标准!$C:$D, 换算标准!$I:$J), 2, TRUE), 0))</f>
        <v/>
      </c>
      <c r="L127" t="s">
        <v>65</v>
      </c>
      <c r="T127" t="str">
        <f t="shared" si="4"/>
        <v/>
      </c>
      <c r="U127" t="str">
        <f>IF(T127="","", IFERROR(VLOOKUP(T127, IF(D127="Movers", 换算标准!$A:$B, 换算标准!$G:$H), 2, TRUE), 0))</f>
        <v/>
      </c>
      <c r="V127" t="s">
        <v>65</v>
      </c>
      <c r="W127" t="str">
        <f t="shared" si="5"/>
        <v/>
      </c>
      <c r="Z127" s="5" t="str">
        <f>IF(J127="","", IF(K127&lt;=3, "⚠️ 薄弱环节: "&amp;INDEX($E$1:$I$1, MATCH(MIN(E127:I127), E127:I127, 0))&amp;CHAR(10)&amp;"📉 考察能力: "&amp;IFERROR(VLOOKUP(TRIM(D127)&amp;"_"&amp;TRIM(INDEX($E$1:$I$1, MATCH(MIN(E127:I127), E127:I127, 0))), 技能库!$A:$F, 5, 0),"建议查阅考纲")&amp;CHAR(10)&amp;"💡 提升建议: "&amp;IFERROR(VLOOKUP(TRIM(D127)&amp;"_"&amp;TRIM(INDEX($E$1:$I$1, MATCH(MIN(E127:I127), E127:I127, 0))), 技能库!$A:$F, 6, 0),"请针对该题型加强练习"), "🎉 表现优异，无明显弱项！"))</f>
        <v/>
      </c>
      <c r="AA127" s="5" t="str">
        <f>IF(T127="","", IF(U127&lt;=3, "⚠️ 薄弱环节: "&amp;INDEX($M$1:$S$1, MATCH(MIN(M127:S127), M127:S127, 0))&amp;CHAR(10)&amp;"📉 考察能力: "&amp;IFERROR(VLOOKUP(TRIM(D127)&amp;"_"&amp;TRIM(INDEX($M$1:$S$1, MATCH(MIN(M127:S127), M127:S127, 0))), 技能库!$A:$F, 5, 0),"建议查阅考纲")&amp;CHAR(10)&amp;"💡 提升建议: "&amp;IFERROR(VLOOKUP(TRIM(D127)&amp;"_"&amp;TRIM(INDEX($M$1:$S$1, MATCH(MIN(M127:S127), M127:S127, 0))), 技能库!$A:$F, 6, 0),"请针对该题型加强练习"), "🎉 表现优异，无明显弱项！"))</f>
        <v/>
      </c>
      <c r="AB127" t="s">
        <v>304</v>
      </c>
    </row>
    <row r="128" spans="10:28" ht="18" hidden="1" customHeight="1" x14ac:dyDescent="0.2">
      <c r="J128" t="str">
        <f t="shared" si="3"/>
        <v/>
      </c>
      <c r="K128" t="str">
        <f>IF(J128="","", IFERROR(VLOOKUP(J128, IF(D128="Movers", 换算标准!$C:$D, 换算标准!$I:$J), 2, TRUE), 0))</f>
        <v/>
      </c>
      <c r="L128" t="s">
        <v>65</v>
      </c>
      <c r="T128" t="str">
        <f t="shared" si="4"/>
        <v/>
      </c>
      <c r="U128" t="str">
        <f>IF(T128="","", IFERROR(VLOOKUP(T128, IF(D128="Movers", 换算标准!$A:$B, 换算标准!$G:$H), 2, TRUE), 0))</f>
        <v/>
      </c>
      <c r="V128" t="s">
        <v>65</v>
      </c>
      <c r="W128" t="str">
        <f t="shared" si="5"/>
        <v/>
      </c>
      <c r="Z128" s="5" t="str">
        <f>IF(J128="","", IF(K128&lt;=3, "⚠️ 薄弱环节: "&amp;INDEX($E$1:$I$1, MATCH(MIN(E128:I128), E128:I128, 0))&amp;CHAR(10)&amp;"📉 考察能力: "&amp;IFERROR(VLOOKUP(TRIM(D128)&amp;"_"&amp;TRIM(INDEX($E$1:$I$1, MATCH(MIN(E128:I128), E128:I128, 0))), 技能库!$A:$F, 5, 0),"建议查阅考纲")&amp;CHAR(10)&amp;"💡 提升建议: "&amp;IFERROR(VLOOKUP(TRIM(D128)&amp;"_"&amp;TRIM(INDEX($E$1:$I$1, MATCH(MIN(E128:I128), E128:I128, 0))), 技能库!$A:$F, 6, 0),"请针对该题型加强练习"), "🎉 表现优异，无明显弱项！"))</f>
        <v/>
      </c>
      <c r="AA128" s="5" t="str">
        <f>IF(T128="","", IF(U128&lt;=3, "⚠️ 薄弱环节: "&amp;INDEX($M$1:$S$1, MATCH(MIN(M128:S128), M128:S128, 0))&amp;CHAR(10)&amp;"📉 考察能力: "&amp;IFERROR(VLOOKUP(TRIM(D128)&amp;"_"&amp;TRIM(INDEX($M$1:$S$1, MATCH(MIN(M128:S128), M128:S128, 0))), 技能库!$A:$F, 5, 0),"建议查阅考纲")&amp;CHAR(10)&amp;"💡 提升建议: "&amp;IFERROR(VLOOKUP(TRIM(D128)&amp;"_"&amp;TRIM(INDEX($M$1:$S$1, MATCH(MIN(M128:S128), M128:S128, 0))), 技能库!$A:$F, 6, 0),"请针对该题型加强练习"), "🎉 表现优异，无明显弱项！"))</f>
        <v/>
      </c>
      <c r="AB128" t="s">
        <v>304</v>
      </c>
    </row>
    <row r="129" spans="10:28" ht="18" hidden="1" customHeight="1" x14ac:dyDescent="0.2">
      <c r="J129" t="str">
        <f t="shared" si="3"/>
        <v/>
      </c>
      <c r="K129" t="str">
        <f>IF(J129="","", IFERROR(VLOOKUP(J129, IF(D129="Movers", 换算标准!$C:$D, 换算标准!$I:$J), 2, TRUE), 0))</f>
        <v/>
      </c>
      <c r="L129" t="s">
        <v>65</v>
      </c>
      <c r="T129" t="str">
        <f t="shared" si="4"/>
        <v/>
      </c>
      <c r="U129" t="str">
        <f>IF(T129="","", IFERROR(VLOOKUP(T129, IF(D129="Movers", 换算标准!$A:$B, 换算标准!$G:$H), 2, TRUE), 0))</f>
        <v/>
      </c>
      <c r="V129" t="s">
        <v>65</v>
      </c>
      <c r="W129" t="str">
        <f t="shared" si="5"/>
        <v/>
      </c>
      <c r="Z129" s="5" t="str">
        <f>IF(J129="","", IF(K129&lt;=3, "⚠️ 薄弱环节: "&amp;INDEX($E$1:$I$1, MATCH(MIN(E129:I129), E129:I129, 0))&amp;CHAR(10)&amp;"📉 考察能力: "&amp;IFERROR(VLOOKUP(TRIM(D129)&amp;"_"&amp;TRIM(INDEX($E$1:$I$1, MATCH(MIN(E129:I129), E129:I129, 0))), 技能库!$A:$F, 5, 0),"建议查阅考纲")&amp;CHAR(10)&amp;"💡 提升建议: "&amp;IFERROR(VLOOKUP(TRIM(D129)&amp;"_"&amp;TRIM(INDEX($E$1:$I$1, MATCH(MIN(E129:I129), E129:I129, 0))), 技能库!$A:$F, 6, 0),"请针对该题型加强练习"), "🎉 表现优异，无明显弱项！"))</f>
        <v/>
      </c>
      <c r="AA129" s="5" t="str">
        <f>IF(T129="","", IF(U129&lt;=3, "⚠️ 薄弱环节: "&amp;INDEX($M$1:$S$1, MATCH(MIN(M129:S129), M129:S129, 0))&amp;CHAR(10)&amp;"📉 考察能力: "&amp;IFERROR(VLOOKUP(TRIM(D129)&amp;"_"&amp;TRIM(INDEX($M$1:$S$1, MATCH(MIN(M129:S129), M129:S129, 0))), 技能库!$A:$F, 5, 0),"建议查阅考纲")&amp;CHAR(10)&amp;"💡 提升建议: "&amp;IFERROR(VLOOKUP(TRIM(D129)&amp;"_"&amp;TRIM(INDEX($M$1:$S$1, MATCH(MIN(M129:S129), M129:S129, 0))), 技能库!$A:$F, 6, 0),"请针对该题型加强练习"), "🎉 表现优异，无明显弱项！"))</f>
        <v/>
      </c>
      <c r="AB129" t="s">
        <v>304</v>
      </c>
    </row>
    <row r="130" spans="10:28" ht="18" hidden="1" customHeight="1" x14ac:dyDescent="0.2">
      <c r="J130" t="str">
        <f t="shared" ref="J130:J193" si="6">IF(COUNT(E130:I130)&gt;0, SUM(E130:I130), "")</f>
        <v/>
      </c>
      <c r="K130" t="str">
        <f>IF(J130="","", IFERROR(VLOOKUP(J130, IF(D130="Movers", 换算标准!$C:$D, 换算标准!$I:$J), 2, TRUE), 0))</f>
        <v/>
      </c>
      <c r="L130" t="s">
        <v>65</v>
      </c>
      <c r="T130" t="str">
        <f t="shared" ref="T130:T193" si="7">IF(COUNT(M130:S130)&gt;0, SUM(M130:S130), "")</f>
        <v/>
      </c>
      <c r="U130" t="str">
        <f>IF(T130="","", IFERROR(VLOOKUP(T130, IF(D130="Movers", 换算标准!$A:$B, 换算标准!$G:$H), 2, TRUE), 0))</f>
        <v/>
      </c>
      <c r="V130" t="s">
        <v>65</v>
      </c>
      <c r="W130" t="str">
        <f t="shared" ref="W130:W193" si="8">IF(AND(K130&lt;&gt;"", U130&lt;&gt;""), K130+U130, "")</f>
        <v/>
      </c>
      <c r="Z130" s="5" t="str">
        <f>IF(J130="","", IF(K130&lt;=3, "⚠️ 薄弱环节: "&amp;INDEX($E$1:$I$1, MATCH(MIN(E130:I130), E130:I130, 0))&amp;CHAR(10)&amp;"📉 考察能力: "&amp;IFERROR(VLOOKUP(TRIM(D130)&amp;"_"&amp;TRIM(INDEX($E$1:$I$1, MATCH(MIN(E130:I130), E130:I130, 0))), 技能库!$A:$F, 5, 0),"建议查阅考纲")&amp;CHAR(10)&amp;"💡 提升建议: "&amp;IFERROR(VLOOKUP(TRIM(D130)&amp;"_"&amp;TRIM(INDEX($E$1:$I$1, MATCH(MIN(E130:I130), E130:I130, 0))), 技能库!$A:$F, 6, 0),"请针对该题型加强练习"), "🎉 表现优异，无明显弱项！"))</f>
        <v/>
      </c>
      <c r="AA130" s="5" t="str">
        <f>IF(T130="","", IF(U130&lt;=3, "⚠️ 薄弱环节: "&amp;INDEX($M$1:$S$1, MATCH(MIN(M130:S130), M130:S130, 0))&amp;CHAR(10)&amp;"📉 考察能力: "&amp;IFERROR(VLOOKUP(TRIM(D130)&amp;"_"&amp;TRIM(INDEX($M$1:$S$1, MATCH(MIN(M130:S130), M130:S130, 0))), 技能库!$A:$F, 5, 0),"建议查阅考纲")&amp;CHAR(10)&amp;"💡 提升建议: "&amp;IFERROR(VLOOKUP(TRIM(D130)&amp;"_"&amp;TRIM(INDEX($M$1:$S$1, MATCH(MIN(M130:S130), M130:S130, 0))), 技能库!$A:$F, 6, 0),"请针对该题型加强练习"), "🎉 表现优异，无明显弱项！"))</f>
        <v/>
      </c>
      <c r="AB130" t="s">
        <v>304</v>
      </c>
    </row>
    <row r="131" spans="10:28" ht="18" hidden="1" customHeight="1" x14ac:dyDescent="0.2">
      <c r="J131" t="str">
        <f t="shared" si="6"/>
        <v/>
      </c>
      <c r="K131" t="str">
        <f>IF(J131="","", IFERROR(VLOOKUP(J131, IF(D131="Movers", 换算标准!$C:$D, 换算标准!$I:$J), 2, TRUE), 0))</f>
        <v/>
      </c>
      <c r="L131" t="s">
        <v>65</v>
      </c>
      <c r="T131" t="str">
        <f t="shared" si="7"/>
        <v/>
      </c>
      <c r="U131" t="str">
        <f>IF(T131="","", IFERROR(VLOOKUP(T131, IF(D131="Movers", 换算标准!$A:$B, 换算标准!$G:$H), 2, TRUE), 0))</f>
        <v/>
      </c>
      <c r="V131" t="s">
        <v>65</v>
      </c>
      <c r="W131" t="str">
        <f t="shared" si="8"/>
        <v/>
      </c>
      <c r="Z131" s="5" t="str">
        <f>IF(J131="","", IF(K131&lt;=3, "⚠️ 薄弱环节: "&amp;INDEX($E$1:$I$1, MATCH(MIN(E131:I131), E131:I131, 0))&amp;CHAR(10)&amp;"📉 考察能力: "&amp;IFERROR(VLOOKUP(TRIM(D131)&amp;"_"&amp;TRIM(INDEX($E$1:$I$1, MATCH(MIN(E131:I131), E131:I131, 0))), 技能库!$A:$F, 5, 0),"建议查阅考纲")&amp;CHAR(10)&amp;"💡 提升建议: "&amp;IFERROR(VLOOKUP(TRIM(D131)&amp;"_"&amp;TRIM(INDEX($E$1:$I$1, MATCH(MIN(E131:I131), E131:I131, 0))), 技能库!$A:$F, 6, 0),"请针对该题型加强练习"), "🎉 表现优异，无明显弱项！"))</f>
        <v/>
      </c>
      <c r="AA131" s="5" t="str">
        <f>IF(T131="","", IF(U131&lt;=3, "⚠️ 薄弱环节: "&amp;INDEX($M$1:$S$1, MATCH(MIN(M131:S131), M131:S131, 0))&amp;CHAR(10)&amp;"📉 考察能力: "&amp;IFERROR(VLOOKUP(TRIM(D131)&amp;"_"&amp;TRIM(INDEX($M$1:$S$1, MATCH(MIN(M131:S131), M131:S131, 0))), 技能库!$A:$F, 5, 0),"建议查阅考纲")&amp;CHAR(10)&amp;"💡 提升建议: "&amp;IFERROR(VLOOKUP(TRIM(D131)&amp;"_"&amp;TRIM(INDEX($M$1:$S$1, MATCH(MIN(M131:S131), M131:S131, 0))), 技能库!$A:$F, 6, 0),"请针对该题型加强练习"), "🎉 表现优异，无明显弱项！"))</f>
        <v/>
      </c>
      <c r="AB131" t="s">
        <v>304</v>
      </c>
    </row>
    <row r="132" spans="10:28" ht="18" hidden="1" customHeight="1" x14ac:dyDescent="0.2">
      <c r="J132" t="str">
        <f t="shared" si="6"/>
        <v/>
      </c>
      <c r="K132" t="str">
        <f>IF(J132="","", IFERROR(VLOOKUP(J132, IF(D132="Movers", 换算标准!$C:$D, 换算标准!$I:$J), 2, TRUE), 0))</f>
        <v/>
      </c>
      <c r="L132" t="s">
        <v>65</v>
      </c>
      <c r="T132" t="str">
        <f t="shared" si="7"/>
        <v/>
      </c>
      <c r="U132" t="str">
        <f>IF(T132="","", IFERROR(VLOOKUP(T132, IF(D132="Movers", 换算标准!$A:$B, 换算标准!$G:$H), 2, TRUE), 0))</f>
        <v/>
      </c>
      <c r="V132" t="s">
        <v>65</v>
      </c>
      <c r="W132" t="str">
        <f t="shared" si="8"/>
        <v/>
      </c>
      <c r="Z132" s="5" t="str">
        <f>IF(J132="","", IF(K132&lt;=3, "⚠️ 薄弱环节: "&amp;INDEX($E$1:$I$1, MATCH(MIN(E132:I132), E132:I132, 0))&amp;CHAR(10)&amp;"📉 考察能力: "&amp;IFERROR(VLOOKUP(TRIM(D132)&amp;"_"&amp;TRIM(INDEX($E$1:$I$1, MATCH(MIN(E132:I132), E132:I132, 0))), 技能库!$A:$F, 5, 0),"建议查阅考纲")&amp;CHAR(10)&amp;"💡 提升建议: "&amp;IFERROR(VLOOKUP(TRIM(D132)&amp;"_"&amp;TRIM(INDEX($E$1:$I$1, MATCH(MIN(E132:I132), E132:I132, 0))), 技能库!$A:$F, 6, 0),"请针对该题型加强练习"), "🎉 表现优异，无明显弱项！"))</f>
        <v/>
      </c>
      <c r="AA132" s="5" t="str">
        <f>IF(T132="","", IF(U132&lt;=3, "⚠️ 薄弱环节: "&amp;INDEX($M$1:$S$1, MATCH(MIN(M132:S132), M132:S132, 0))&amp;CHAR(10)&amp;"📉 考察能力: "&amp;IFERROR(VLOOKUP(TRIM(D132)&amp;"_"&amp;TRIM(INDEX($M$1:$S$1, MATCH(MIN(M132:S132), M132:S132, 0))), 技能库!$A:$F, 5, 0),"建议查阅考纲")&amp;CHAR(10)&amp;"💡 提升建议: "&amp;IFERROR(VLOOKUP(TRIM(D132)&amp;"_"&amp;TRIM(INDEX($M$1:$S$1, MATCH(MIN(M132:S132), M132:S132, 0))), 技能库!$A:$F, 6, 0),"请针对该题型加强练习"), "🎉 表现优异，无明显弱项！"))</f>
        <v/>
      </c>
      <c r="AB132" t="s">
        <v>304</v>
      </c>
    </row>
    <row r="133" spans="10:28" ht="18" hidden="1" customHeight="1" x14ac:dyDescent="0.2">
      <c r="J133" t="str">
        <f t="shared" si="6"/>
        <v/>
      </c>
      <c r="K133" t="str">
        <f>IF(J133="","", IFERROR(VLOOKUP(J133, IF(D133="Movers", 换算标准!$C:$D, 换算标准!$I:$J), 2, TRUE), 0))</f>
        <v/>
      </c>
      <c r="L133" t="s">
        <v>65</v>
      </c>
      <c r="T133" t="str">
        <f t="shared" si="7"/>
        <v/>
      </c>
      <c r="U133" t="str">
        <f>IF(T133="","", IFERROR(VLOOKUP(T133, IF(D133="Movers", 换算标准!$A:$B, 换算标准!$G:$H), 2, TRUE), 0))</f>
        <v/>
      </c>
      <c r="V133" t="s">
        <v>65</v>
      </c>
      <c r="W133" t="str">
        <f t="shared" si="8"/>
        <v/>
      </c>
      <c r="Z133" s="5" t="str">
        <f>IF(J133="","", IF(K133&lt;=3, "⚠️ 薄弱环节: "&amp;INDEX($E$1:$I$1, MATCH(MIN(E133:I133), E133:I133, 0))&amp;CHAR(10)&amp;"📉 考察能力: "&amp;IFERROR(VLOOKUP(TRIM(D133)&amp;"_"&amp;TRIM(INDEX($E$1:$I$1, MATCH(MIN(E133:I133), E133:I133, 0))), 技能库!$A:$F, 5, 0),"建议查阅考纲")&amp;CHAR(10)&amp;"💡 提升建议: "&amp;IFERROR(VLOOKUP(TRIM(D133)&amp;"_"&amp;TRIM(INDEX($E$1:$I$1, MATCH(MIN(E133:I133), E133:I133, 0))), 技能库!$A:$F, 6, 0),"请针对该题型加强练习"), "🎉 表现优异，无明显弱项！"))</f>
        <v/>
      </c>
      <c r="AA133" s="5" t="str">
        <f>IF(T133="","", IF(U133&lt;=3, "⚠️ 薄弱环节: "&amp;INDEX($M$1:$S$1, MATCH(MIN(M133:S133), M133:S133, 0))&amp;CHAR(10)&amp;"📉 考察能力: "&amp;IFERROR(VLOOKUP(TRIM(D133)&amp;"_"&amp;TRIM(INDEX($M$1:$S$1, MATCH(MIN(M133:S133), M133:S133, 0))), 技能库!$A:$F, 5, 0),"建议查阅考纲")&amp;CHAR(10)&amp;"💡 提升建议: "&amp;IFERROR(VLOOKUP(TRIM(D133)&amp;"_"&amp;TRIM(INDEX($M$1:$S$1, MATCH(MIN(M133:S133), M133:S133, 0))), 技能库!$A:$F, 6, 0),"请针对该题型加强练习"), "🎉 表现优异，无明显弱项！"))</f>
        <v/>
      </c>
      <c r="AB133" t="s">
        <v>304</v>
      </c>
    </row>
    <row r="134" spans="10:28" ht="18" hidden="1" customHeight="1" x14ac:dyDescent="0.2">
      <c r="J134" t="str">
        <f t="shared" si="6"/>
        <v/>
      </c>
      <c r="K134" t="str">
        <f>IF(J134="","", IFERROR(VLOOKUP(J134, IF(D134="Movers", 换算标准!$C:$D, 换算标准!$I:$J), 2, TRUE), 0))</f>
        <v/>
      </c>
      <c r="L134" t="s">
        <v>65</v>
      </c>
      <c r="T134" t="str">
        <f t="shared" si="7"/>
        <v/>
      </c>
      <c r="U134" t="str">
        <f>IF(T134="","", IFERROR(VLOOKUP(T134, IF(D134="Movers", 换算标准!$A:$B, 换算标准!$G:$H), 2, TRUE), 0))</f>
        <v/>
      </c>
      <c r="V134" t="s">
        <v>65</v>
      </c>
      <c r="W134" t="str">
        <f t="shared" si="8"/>
        <v/>
      </c>
      <c r="Z134" s="5" t="str">
        <f>IF(J134="","", IF(K134&lt;=3, "⚠️ 薄弱环节: "&amp;INDEX($E$1:$I$1, MATCH(MIN(E134:I134), E134:I134, 0))&amp;CHAR(10)&amp;"📉 考察能力: "&amp;IFERROR(VLOOKUP(TRIM(D134)&amp;"_"&amp;TRIM(INDEX($E$1:$I$1, MATCH(MIN(E134:I134), E134:I134, 0))), 技能库!$A:$F, 5, 0),"建议查阅考纲")&amp;CHAR(10)&amp;"💡 提升建议: "&amp;IFERROR(VLOOKUP(TRIM(D134)&amp;"_"&amp;TRIM(INDEX($E$1:$I$1, MATCH(MIN(E134:I134), E134:I134, 0))), 技能库!$A:$F, 6, 0),"请针对该题型加强练习"), "🎉 表现优异，无明显弱项！"))</f>
        <v/>
      </c>
      <c r="AA134" s="5" t="str">
        <f>IF(T134="","", IF(U134&lt;=3, "⚠️ 薄弱环节: "&amp;INDEX($M$1:$S$1, MATCH(MIN(M134:S134), M134:S134, 0))&amp;CHAR(10)&amp;"📉 考察能力: "&amp;IFERROR(VLOOKUP(TRIM(D134)&amp;"_"&amp;TRIM(INDEX($M$1:$S$1, MATCH(MIN(M134:S134), M134:S134, 0))), 技能库!$A:$F, 5, 0),"建议查阅考纲")&amp;CHAR(10)&amp;"💡 提升建议: "&amp;IFERROR(VLOOKUP(TRIM(D134)&amp;"_"&amp;TRIM(INDEX($M$1:$S$1, MATCH(MIN(M134:S134), M134:S134, 0))), 技能库!$A:$F, 6, 0),"请针对该题型加强练习"), "🎉 表现优异，无明显弱项！"))</f>
        <v/>
      </c>
      <c r="AB134" t="s">
        <v>304</v>
      </c>
    </row>
    <row r="135" spans="10:28" ht="18" hidden="1" customHeight="1" x14ac:dyDescent="0.2">
      <c r="J135" t="str">
        <f t="shared" si="6"/>
        <v/>
      </c>
      <c r="K135" t="str">
        <f>IF(J135="","", IFERROR(VLOOKUP(J135, IF(D135="Movers", 换算标准!$C:$D, 换算标准!$I:$J), 2, TRUE), 0))</f>
        <v/>
      </c>
      <c r="L135" t="s">
        <v>65</v>
      </c>
      <c r="T135" t="str">
        <f t="shared" si="7"/>
        <v/>
      </c>
      <c r="U135" t="str">
        <f>IF(T135="","", IFERROR(VLOOKUP(T135, IF(D135="Movers", 换算标准!$A:$B, 换算标准!$G:$H), 2, TRUE), 0))</f>
        <v/>
      </c>
      <c r="V135" t="s">
        <v>65</v>
      </c>
      <c r="W135" t="str">
        <f t="shared" si="8"/>
        <v/>
      </c>
      <c r="Z135" s="5" t="str">
        <f>IF(J135="","", IF(K135&lt;=3, "⚠️ 薄弱环节: "&amp;INDEX($E$1:$I$1, MATCH(MIN(E135:I135), E135:I135, 0))&amp;CHAR(10)&amp;"📉 考察能力: "&amp;IFERROR(VLOOKUP(TRIM(D135)&amp;"_"&amp;TRIM(INDEX($E$1:$I$1, MATCH(MIN(E135:I135), E135:I135, 0))), 技能库!$A:$F, 5, 0),"建议查阅考纲")&amp;CHAR(10)&amp;"💡 提升建议: "&amp;IFERROR(VLOOKUP(TRIM(D135)&amp;"_"&amp;TRIM(INDEX($E$1:$I$1, MATCH(MIN(E135:I135), E135:I135, 0))), 技能库!$A:$F, 6, 0),"请针对该题型加强练习"), "🎉 表现优异，无明显弱项！"))</f>
        <v/>
      </c>
      <c r="AA135" s="5" t="str">
        <f>IF(T135="","", IF(U135&lt;=3, "⚠️ 薄弱环节: "&amp;INDEX($M$1:$S$1, MATCH(MIN(M135:S135), M135:S135, 0))&amp;CHAR(10)&amp;"📉 考察能力: "&amp;IFERROR(VLOOKUP(TRIM(D135)&amp;"_"&amp;TRIM(INDEX($M$1:$S$1, MATCH(MIN(M135:S135), M135:S135, 0))), 技能库!$A:$F, 5, 0),"建议查阅考纲")&amp;CHAR(10)&amp;"💡 提升建议: "&amp;IFERROR(VLOOKUP(TRIM(D135)&amp;"_"&amp;TRIM(INDEX($M$1:$S$1, MATCH(MIN(M135:S135), M135:S135, 0))), 技能库!$A:$F, 6, 0),"请针对该题型加强练习"), "🎉 表现优异，无明显弱项！"))</f>
        <v/>
      </c>
      <c r="AB135" t="s">
        <v>304</v>
      </c>
    </row>
    <row r="136" spans="10:28" ht="18" hidden="1" customHeight="1" x14ac:dyDescent="0.2">
      <c r="J136" t="str">
        <f t="shared" si="6"/>
        <v/>
      </c>
      <c r="K136" t="str">
        <f>IF(J136="","", IFERROR(VLOOKUP(J136, IF(D136="Movers", 换算标准!$C:$D, 换算标准!$I:$J), 2, TRUE), 0))</f>
        <v/>
      </c>
      <c r="L136" t="s">
        <v>65</v>
      </c>
      <c r="T136" t="str">
        <f t="shared" si="7"/>
        <v/>
      </c>
      <c r="U136" t="str">
        <f>IF(T136="","", IFERROR(VLOOKUP(T136, IF(D136="Movers", 换算标准!$A:$B, 换算标准!$G:$H), 2, TRUE), 0))</f>
        <v/>
      </c>
      <c r="V136" t="s">
        <v>65</v>
      </c>
      <c r="W136" t="str">
        <f t="shared" si="8"/>
        <v/>
      </c>
      <c r="Z136" s="5" t="str">
        <f>IF(J136="","", IF(K136&lt;=3, "⚠️ 薄弱环节: "&amp;INDEX($E$1:$I$1, MATCH(MIN(E136:I136), E136:I136, 0))&amp;CHAR(10)&amp;"📉 考察能力: "&amp;IFERROR(VLOOKUP(TRIM(D136)&amp;"_"&amp;TRIM(INDEX($E$1:$I$1, MATCH(MIN(E136:I136), E136:I136, 0))), 技能库!$A:$F, 5, 0),"建议查阅考纲")&amp;CHAR(10)&amp;"💡 提升建议: "&amp;IFERROR(VLOOKUP(TRIM(D136)&amp;"_"&amp;TRIM(INDEX($E$1:$I$1, MATCH(MIN(E136:I136), E136:I136, 0))), 技能库!$A:$F, 6, 0),"请针对该题型加强练习"), "🎉 表现优异，无明显弱项！"))</f>
        <v/>
      </c>
      <c r="AA136" s="5" t="str">
        <f>IF(T136="","", IF(U136&lt;=3, "⚠️ 薄弱环节: "&amp;INDEX($M$1:$S$1, MATCH(MIN(M136:S136), M136:S136, 0))&amp;CHAR(10)&amp;"📉 考察能力: "&amp;IFERROR(VLOOKUP(TRIM(D136)&amp;"_"&amp;TRIM(INDEX($M$1:$S$1, MATCH(MIN(M136:S136), M136:S136, 0))), 技能库!$A:$F, 5, 0),"建议查阅考纲")&amp;CHAR(10)&amp;"💡 提升建议: "&amp;IFERROR(VLOOKUP(TRIM(D136)&amp;"_"&amp;TRIM(INDEX($M$1:$S$1, MATCH(MIN(M136:S136), M136:S136, 0))), 技能库!$A:$F, 6, 0),"请针对该题型加强练习"), "🎉 表现优异，无明显弱项！"))</f>
        <v/>
      </c>
      <c r="AB136" t="s">
        <v>304</v>
      </c>
    </row>
    <row r="137" spans="10:28" ht="18" hidden="1" customHeight="1" x14ac:dyDescent="0.2">
      <c r="J137" t="str">
        <f t="shared" si="6"/>
        <v/>
      </c>
      <c r="K137" t="str">
        <f>IF(J137="","", IFERROR(VLOOKUP(J137, IF(D137="Movers", 换算标准!$C:$D, 换算标准!$I:$J), 2, TRUE), 0))</f>
        <v/>
      </c>
      <c r="L137" t="s">
        <v>65</v>
      </c>
      <c r="T137" t="str">
        <f t="shared" si="7"/>
        <v/>
      </c>
      <c r="U137" t="str">
        <f>IF(T137="","", IFERROR(VLOOKUP(T137, IF(D137="Movers", 换算标准!$A:$B, 换算标准!$G:$H), 2, TRUE), 0))</f>
        <v/>
      </c>
      <c r="V137" t="s">
        <v>65</v>
      </c>
      <c r="W137" t="str">
        <f t="shared" si="8"/>
        <v/>
      </c>
      <c r="Z137" s="5" t="str">
        <f>IF(J137="","", IF(K137&lt;=3, "⚠️ 薄弱环节: "&amp;INDEX($E$1:$I$1, MATCH(MIN(E137:I137), E137:I137, 0))&amp;CHAR(10)&amp;"📉 考察能力: "&amp;IFERROR(VLOOKUP(TRIM(D137)&amp;"_"&amp;TRIM(INDEX($E$1:$I$1, MATCH(MIN(E137:I137), E137:I137, 0))), 技能库!$A:$F, 5, 0),"建议查阅考纲")&amp;CHAR(10)&amp;"💡 提升建议: "&amp;IFERROR(VLOOKUP(TRIM(D137)&amp;"_"&amp;TRIM(INDEX($E$1:$I$1, MATCH(MIN(E137:I137), E137:I137, 0))), 技能库!$A:$F, 6, 0),"请针对该题型加强练习"), "🎉 表现优异，无明显弱项！"))</f>
        <v/>
      </c>
      <c r="AA137" s="5" t="str">
        <f>IF(T137="","", IF(U137&lt;=3, "⚠️ 薄弱环节: "&amp;INDEX($M$1:$S$1, MATCH(MIN(M137:S137), M137:S137, 0))&amp;CHAR(10)&amp;"📉 考察能力: "&amp;IFERROR(VLOOKUP(TRIM(D137)&amp;"_"&amp;TRIM(INDEX($M$1:$S$1, MATCH(MIN(M137:S137), M137:S137, 0))), 技能库!$A:$F, 5, 0),"建议查阅考纲")&amp;CHAR(10)&amp;"💡 提升建议: "&amp;IFERROR(VLOOKUP(TRIM(D137)&amp;"_"&amp;TRIM(INDEX($M$1:$S$1, MATCH(MIN(M137:S137), M137:S137, 0))), 技能库!$A:$F, 6, 0),"请针对该题型加强练习"), "🎉 表现优异，无明显弱项！"))</f>
        <v/>
      </c>
      <c r="AB137" t="s">
        <v>304</v>
      </c>
    </row>
    <row r="138" spans="10:28" ht="18" hidden="1" customHeight="1" x14ac:dyDescent="0.2">
      <c r="J138" t="str">
        <f t="shared" si="6"/>
        <v/>
      </c>
      <c r="K138" t="str">
        <f>IF(J138="","", IFERROR(VLOOKUP(J138, IF(D138="Movers", 换算标准!$C:$D, 换算标准!$I:$J), 2, TRUE), 0))</f>
        <v/>
      </c>
      <c r="L138" t="s">
        <v>65</v>
      </c>
      <c r="T138" t="str">
        <f t="shared" si="7"/>
        <v/>
      </c>
      <c r="U138" t="str">
        <f>IF(T138="","", IFERROR(VLOOKUP(T138, IF(D138="Movers", 换算标准!$A:$B, 换算标准!$G:$H), 2, TRUE), 0))</f>
        <v/>
      </c>
      <c r="V138" t="s">
        <v>65</v>
      </c>
      <c r="W138" t="str">
        <f t="shared" si="8"/>
        <v/>
      </c>
      <c r="Z138" s="5" t="str">
        <f>IF(J138="","", IF(K138&lt;=3, "⚠️ 薄弱环节: "&amp;INDEX($E$1:$I$1, MATCH(MIN(E138:I138), E138:I138, 0))&amp;CHAR(10)&amp;"📉 考察能力: "&amp;IFERROR(VLOOKUP(TRIM(D138)&amp;"_"&amp;TRIM(INDEX($E$1:$I$1, MATCH(MIN(E138:I138), E138:I138, 0))), 技能库!$A:$F, 5, 0),"建议查阅考纲")&amp;CHAR(10)&amp;"💡 提升建议: "&amp;IFERROR(VLOOKUP(TRIM(D138)&amp;"_"&amp;TRIM(INDEX($E$1:$I$1, MATCH(MIN(E138:I138), E138:I138, 0))), 技能库!$A:$F, 6, 0),"请针对该题型加强练习"), "🎉 表现优异，无明显弱项！"))</f>
        <v/>
      </c>
      <c r="AA138" s="5" t="str">
        <f>IF(T138="","", IF(U138&lt;=3, "⚠️ 薄弱环节: "&amp;INDEX($M$1:$S$1, MATCH(MIN(M138:S138), M138:S138, 0))&amp;CHAR(10)&amp;"📉 考察能力: "&amp;IFERROR(VLOOKUP(TRIM(D138)&amp;"_"&amp;TRIM(INDEX($M$1:$S$1, MATCH(MIN(M138:S138), M138:S138, 0))), 技能库!$A:$F, 5, 0),"建议查阅考纲")&amp;CHAR(10)&amp;"💡 提升建议: "&amp;IFERROR(VLOOKUP(TRIM(D138)&amp;"_"&amp;TRIM(INDEX($M$1:$S$1, MATCH(MIN(M138:S138), M138:S138, 0))), 技能库!$A:$F, 6, 0),"请针对该题型加强练习"), "🎉 表现优异，无明显弱项！"))</f>
        <v/>
      </c>
      <c r="AB138" t="s">
        <v>304</v>
      </c>
    </row>
    <row r="139" spans="10:28" ht="18" hidden="1" customHeight="1" x14ac:dyDescent="0.2">
      <c r="J139" t="str">
        <f t="shared" si="6"/>
        <v/>
      </c>
      <c r="K139" t="str">
        <f>IF(J139="","", IFERROR(VLOOKUP(J139, IF(D139="Movers", 换算标准!$C:$D, 换算标准!$I:$J), 2, TRUE), 0))</f>
        <v/>
      </c>
      <c r="L139" t="s">
        <v>65</v>
      </c>
      <c r="T139" t="str">
        <f t="shared" si="7"/>
        <v/>
      </c>
      <c r="U139" t="str">
        <f>IF(T139="","", IFERROR(VLOOKUP(T139, IF(D139="Movers", 换算标准!$A:$B, 换算标准!$G:$H), 2, TRUE), 0))</f>
        <v/>
      </c>
      <c r="V139" t="s">
        <v>65</v>
      </c>
      <c r="W139" t="str">
        <f t="shared" si="8"/>
        <v/>
      </c>
      <c r="Z139" s="5" t="str">
        <f>IF(J139="","", IF(K139&lt;=3, "⚠️ 薄弱环节: "&amp;INDEX($E$1:$I$1, MATCH(MIN(E139:I139), E139:I139, 0))&amp;CHAR(10)&amp;"📉 考察能力: "&amp;IFERROR(VLOOKUP(TRIM(D139)&amp;"_"&amp;TRIM(INDEX($E$1:$I$1, MATCH(MIN(E139:I139), E139:I139, 0))), 技能库!$A:$F, 5, 0),"建议查阅考纲")&amp;CHAR(10)&amp;"💡 提升建议: "&amp;IFERROR(VLOOKUP(TRIM(D139)&amp;"_"&amp;TRIM(INDEX($E$1:$I$1, MATCH(MIN(E139:I139), E139:I139, 0))), 技能库!$A:$F, 6, 0),"请针对该题型加强练习"), "🎉 表现优异，无明显弱项！"))</f>
        <v/>
      </c>
      <c r="AA139" s="5" t="str">
        <f>IF(T139="","", IF(U139&lt;=3, "⚠️ 薄弱环节: "&amp;INDEX($M$1:$S$1, MATCH(MIN(M139:S139), M139:S139, 0))&amp;CHAR(10)&amp;"📉 考察能力: "&amp;IFERROR(VLOOKUP(TRIM(D139)&amp;"_"&amp;TRIM(INDEX($M$1:$S$1, MATCH(MIN(M139:S139), M139:S139, 0))), 技能库!$A:$F, 5, 0),"建议查阅考纲")&amp;CHAR(10)&amp;"💡 提升建议: "&amp;IFERROR(VLOOKUP(TRIM(D139)&amp;"_"&amp;TRIM(INDEX($M$1:$S$1, MATCH(MIN(M139:S139), M139:S139, 0))), 技能库!$A:$F, 6, 0),"请针对该题型加强练习"), "🎉 表现优异，无明显弱项！"))</f>
        <v/>
      </c>
      <c r="AB139" t="s">
        <v>304</v>
      </c>
    </row>
    <row r="140" spans="10:28" ht="18" hidden="1" customHeight="1" x14ac:dyDescent="0.2">
      <c r="J140" t="str">
        <f t="shared" si="6"/>
        <v/>
      </c>
      <c r="K140" t="str">
        <f>IF(J140="","", IFERROR(VLOOKUP(J140, IF(D140="Movers", 换算标准!$C:$D, 换算标准!$I:$J), 2, TRUE), 0))</f>
        <v/>
      </c>
      <c r="L140" t="s">
        <v>65</v>
      </c>
      <c r="T140" t="str">
        <f t="shared" si="7"/>
        <v/>
      </c>
      <c r="U140" t="str">
        <f>IF(T140="","", IFERROR(VLOOKUP(T140, IF(D140="Movers", 换算标准!$A:$B, 换算标准!$G:$H), 2, TRUE), 0))</f>
        <v/>
      </c>
      <c r="V140" t="s">
        <v>65</v>
      </c>
      <c r="W140" t="str">
        <f t="shared" si="8"/>
        <v/>
      </c>
      <c r="Z140" s="5" t="str">
        <f>IF(J140="","", IF(K140&lt;=3, "⚠️ 薄弱环节: "&amp;INDEX($E$1:$I$1, MATCH(MIN(E140:I140), E140:I140, 0))&amp;CHAR(10)&amp;"📉 考察能力: "&amp;IFERROR(VLOOKUP(TRIM(D140)&amp;"_"&amp;TRIM(INDEX($E$1:$I$1, MATCH(MIN(E140:I140), E140:I140, 0))), 技能库!$A:$F, 5, 0),"建议查阅考纲")&amp;CHAR(10)&amp;"💡 提升建议: "&amp;IFERROR(VLOOKUP(TRIM(D140)&amp;"_"&amp;TRIM(INDEX($E$1:$I$1, MATCH(MIN(E140:I140), E140:I140, 0))), 技能库!$A:$F, 6, 0),"请针对该题型加强练习"), "🎉 表现优异，无明显弱项！"))</f>
        <v/>
      </c>
      <c r="AA140" s="5" t="str">
        <f>IF(T140="","", IF(U140&lt;=3, "⚠️ 薄弱环节: "&amp;INDEX($M$1:$S$1, MATCH(MIN(M140:S140), M140:S140, 0))&amp;CHAR(10)&amp;"📉 考察能力: "&amp;IFERROR(VLOOKUP(TRIM(D140)&amp;"_"&amp;TRIM(INDEX($M$1:$S$1, MATCH(MIN(M140:S140), M140:S140, 0))), 技能库!$A:$F, 5, 0),"建议查阅考纲")&amp;CHAR(10)&amp;"💡 提升建议: "&amp;IFERROR(VLOOKUP(TRIM(D140)&amp;"_"&amp;TRIM(INDEX($M$1:$S$1, MATCH(MIN(M140:S140), M140:S140, 0))), 技能库!$A:$F, 6, 0),"请针对该题型加强练习"), "🎉 表现优异，无明显弱项！"))</f>
        <v/>
      </c>
      <c r="AB140" t="s">
        <v>304</v>
      </c>
    </row>
    <row r="141" spans="10:28" ht="18" hidden="1" customHeight="1" x14ac:dyDescent="0.2">
      <c r="J141" t="str">
        <f t="shared" si="6"/>
        <v/>
      </c>
      <c r="K141" t="str">
        <f>IF(J141="","", IFERROR(VLOOKUP(J141, IF(D141="Movers", 换算标准!$C:$D, 换算标准!$I:$J), 2, TRUE), 0))</f>
        <v/>
      </c>
      <c r="L141" t="s">
        <v>65</v>
      </c>
      <c r="T141" t="str">
        <f t="shared" si="7"/>
        <v/>
      </c>
      <c r="U141" t="str">
        <f>IF(T141="","", IFERROR(VLOOKUP(T141, IF(D141="Movers", 换算标准!$A:$B, 换算标准!$G:$H), 2, TRUE), 0))</f>
        <v/>
      </c>
      <c r="V141" t="s">
        <v>65</v>
      </c>
      <c r="W141" t="str">
        <f t="shared" si="8"/>
        <v/>
      </c>
      <c r="Z141" s="5" t="str">
        <f>IF(J141="","", IF(K141&lt;=3, "⚠️ 薄弱环节: "&amp;INDEX($E$1:$I$1, MATCH(MIN(E141:I141), E141:I141, 0))&amp;CHAR(10)&amp;"📉 考察能力: "&amp;IFERROR(VLOOKUP(TRIM(D141)&amp;"_"&amp;TRIM(INDEX($E$1:$I$1, MATCH(MIN(E141:I141), E141:I141, 0))), 技能库!$A:$F, 5, 0),"建议查阅考纲")&amp;CHAR(10)&amp;"💡 提升建议: "&amp;IFERROR(VLOOKUP(TRIM(D141)&amp;"_"&amp;TRIM(INDEX($E$1:$I$1, MATCH(MIN(E141:I141), E141:I141, 0))), 技能库!$A:$F, 6, 0),"请针对该题型加强练习"), "🎉 表现优异，无明显弱项！"))</f>
        <v/>
      </c>
      <c r="AA141" s="5" t="str">
        <f>IF(T141="","", IF(U141&lt;=3, "⚠️ 薄弱环节: "&amp;INDEX($M$1:$S$1, MATCH(MIN(M141:S141), M141:S141, 0))&amp;CHAR(10)&amp;"📉 考察能力: "&amp;IFERROR(VLOOKUP(TRIM(D141)&amp;"_"&amp;TRIM(INDEX($M$1:$S$1, MATCH(MIN(M141:S141), M141:S141, 0))), 技能库!$A:$F, 5, 0),"建议查阅考纲")&amp;CHAR(10)&amp;"💡 提升建议: "&amp;IFERROR(VLOOKUP(TRIM(D141)&amp;"_"&amp;TRIM(INDEX($M$1:$S$1, MATCH(MIN(M141:S141), M141:S141, 0))), 技能库!$A:$F, 6, 0),"请针对该题型加强练习"), "🎉 表现优异，无明显弱项！"))</f>
        <v/>
      </c>
      <c r="AB141" t="s">
        <v>304</v>
      </c>
    </row>
    <row r="142" spans="10:28" ht="18" hidden="1" customHeight="1" x14ac:dyDescent="0.2">
      <c r="J142" t="str">
        <f t="shared" si="6"/>
        <v/>
      </c>
      <c r="K142" t="str">
        <f>IF(J142="","", IFERROR(VLOOKUP(J142, IF(D142="Movers", 换算标准!$C:$D, 换算标准!$I:$J), 2, TRUE), 0))</f>
        <v/>
      </c>
      <c r="L142" t="s">
        <v>65</v>
      </c>
      <c r="T142" t="str">
        <f t="shared" si="7"/>
        <v/>
      </c>
      <c r="U142" t="str">
        <f>IF(T142="","", IFERROR(VLOOKUP(T142, IF(D142="Movers", 换算标准!$A:$B, 换算标准!$G:$H), 2, TRUE), 0))</f>
        <v/>
      </c>
      <c r="V142" t="s">
        <v>65</v>
      </c>
      <c r="W142" t="str">
        <f t="shared" si="8"/>
        <v/>
      </c>
      <c r="Z142" s="5" t="str">
        <f>IF(J142="","", IF(K142&lt;=3, "⚠️ 薄弱环节: "&amp;INDEX($E$1:$I$1, MATCH(MIN(E142:I142), E142:I142, 0))&amp;CHAR(10)&amp;"📉 考察能力: "&amp;IFERROR(VLOOKUP(TRIM(D142)&amp;"_"&amp;TRIM(INDEX($E$1:$I$1, MATCH(MIN(E142:I142), E142:I142, 0))), 技能库!$A:$F, 5, 0),"建议查阅考纲")&amp;CHAR(10)&amp;"💡 提升建议: "&amp;IFERROR(VLOOKUP(TRIM(D142)&amp;"_"&amp;TRIM(INDEX($E$1:$I$1, MATCH(MIN(E142:I142), E142:I142, 0))), 技能库!$A:$F, 6, 0),"请针对该题型加强练习"), "🎉 表现优异，无明显弱项！"))</f>
        <v/>
      </c>
      <c r="AA142" s="5" t="str">
        <f>IF(T142="","", IF(U142&lt;=3, "⚠️ 薄弱环节: "&amp;INDEX($M$1:$S$1, MATCH(MIN(M142:S142), M142:S142, 0))&amp;CHAR(10)&amp;"📉 考察能力: "&amp;IFERROR(VLOOKUP(TRIM(D142)&amp;"_"&amp;TRIM(INDEX($M$1:$S$1, MATCH(MIN(M142:S142), M142:S142, 0))), 技能库!$A:$F, 5, 0),"建议查阅考纲")&amp;CHAR(10)&amp;"💡 提升建议: "&amp;IFERROR(VLOOKUP(TRIM(D142)&amp;"_"&amp;TRIM(INDEX($M$1:$S$1, MATCH(MIN(M142:S142), M142:S142, 0))), 技能库!$A:$F, 6, 0),"请针对该题型加强练习"), "🎉 表现优异，无明显弱项！"))</f>
        <v/>
      </c>
      <c r="AB142" t="s">
        <v>304</v>
      </c>
    </row>
    <row r="143" spans="10:28" ht="18" hidden="1" customHeight="1" x14ac:dyDescent="0.2">
      <c r="J143" t="str">
        <f t="shared" si="6"/>
        <v/>
      </c>
      <c r="K143" t="str">
        <f>IF(J143="","", IFERROR(VLOOKUP(J143, IF(D143="Movers", 换算标准!$C:$D, 换算标准!$I:$J), 2, TRUE), 0))</f>
        <v/>
      </c>
      <c r="L143" t="s">
        <v>65</v>
      </c>
      <c r="T143" t="str">
        <f t="shared" si="7"/>
        <v/>
      </c>
      <c r="U143" t="str">
        <f>IF(T143="","", IFERROR(VLOOKUP(T143, IF(D143="Movers", 换算标准!$A:$B, 换算标准!$G:$H), 2, TRUE), 0))</f>
        <v/>
      </c>
      <c r="V143" t="s">
        <v>65</v>
      </c>
      <c r="W143" t="str">
        <f t="shared" si="8"/>
        <v/>
      </c>
      <c r="Z143" s="5" t="str">
        <f>IF(J143="","", IF(K143&lt;=3, "⚠️ 薄弱环节: "&amp;INDEX($E$1:$I$1, MATCH(MIN(E143:I143), E143:I143, 0))&amp;CHAR(10)&amp;"📉 考察能力: "&amp;IFERROR(VLOOKUP(TRIM(D143)&amp;"_"&amp;TRIM(INDEX($E$1:$I$1, MATCH(MIN(E143:I143), E143:I143, 0))), 技能库!$A:$F, 5, 0),"建议查阅考纲")&amp;CHAR(10)&amp;"💡 提升建议: "&amp;IFERROR(VLOOKUP(TRIM(D143)&amp;"_"&amp;TRIM(INDEX($E$1:$I$1, MATCH(MIN(E143:I143), E143:I143, 0))), 技能库!$A:$F, 6, 0),"请针对该题型加强练习"), "🎉 表现优异，无明显弱项！"))</f>
        <v/>
      </c>
      <c r="AA143" s="5" t="str">
        <f>IF(T143="","", IF(U143&lt;=3, "⚠️ 薄弱环节: "&amp;INDEX($M$1:$S$1, MATCH(MIN(M143:S143), M143:S143, 0))&amp;CHAR(10)&amp;"📉 考察能力: "&amp;IFERROR(VLOOKUP(TRIM(D143)&amp;"_"&amp;TRIM(INDEX($M$1:$S$1, MATCH(MIN(M143:S143), M143:S143, 0))), 技能库!$A:$F, 5, 0),"建议查阅考纲")&amp;CHAR(10)&amp;"💡 提升建议: "&amp;IFERROR(VLOOKUP(TRIM(D143)&amp;"_"&amp;TRIM(INDEX($M$1:$S$1, MATCH(MIN(M143:S143), M143:S143, 0))), 技能库!$A:$F, 6, 0),"请针对该题型加强练习"), "🎉 表现优异，无明显弱项！"))</f>
        <v/>
      </c>
      <c r="AB143" t="s">
        <v>304</v>
      </c>
    </row>
    <row r="144" spans="10:28" ht="18" hidden="1" customHeight="1" x14ac:dyDescent="0.2">
      <c r="J144" t="str">
        <f t="shared" si="6"/>
        <v/>
      </c>
      <c r="K144" t="str">
        <f>IF(J144="","", IFERROR(VLOOKUP(J144, IF(D144="Movers", 换算标准!$C:$D, 换算标准!$I:$J), 2, TRUE), 0))</f>
        <v/>
      </c>
      <c r="L144" t="s">
        <v>65</v>
      </c>
      <c r="T144" t="str">
        <f t="shared" si="7"/>
        <v/>
      </c>
      <c r="U144" t="str">
        <f>IF(T144="","", IFERROR(VLOOKUP(T144, IF(D144="Movers", 换算标准!$A:$B, 换算标准!$G:$H), 2, TRUE), 0))</f>
        <v/>
      </c>
      <c r="V144" t="s">
        <v>65</v>
      </c>
      <c r="W144" t="str">
        <f t="shared" si="8"/>
        <v/>
      </c>
      <c r="Z144" s="5" t="str">
        <f>IF(J144="","", IF(K144&lt;=3, "⚠️ 薄弱环节: "&amp;INDEX($E$1:$I$1, MATCH(MIN(E144:I144), E144:I144, 0))&amp;CHAR(10)&amp;"📉 考察能力: "&amp;IFERROR(VLOOKUP(TRIM(D144)&amp;"_"&amp;TRIM(INDEX($E$1:$I$1, MATCH(MIN(E144:I144), E144:I144, 0))), 技能库!$A:$F, 5, 0),"建议查阅考纲")&amp;CHAR(10)&amp;"💡 提升建议: "&amp;IFERROR(VLOOKUP(TRIM(D144)&amp;"_"&amp;TRIM(INDEX($E$1:$I$1, MATCH(MIN(E144:I144), E144:I144, 0))), 技能库!$A:$F, 6, 0),"请针对该题型加强练习"), "🎉 表现优异，无明显弱项！"))</f>
        <v/>
      </c>
      <c r="AA144" s="5" t="str">
        <f>IF(T144="","", IF(U144&lt;=3, "⚠️ 薄弱环节: "&amp;INDEX($M$1:$S$1, MATCH(MIN(M144:S144), M144:S144, 0))&amp;CHAR(10)&amp;"📉 考察能力: "&amp;IFERROR(VLOOKUP(TRIM(D144)&amp;"_"&amp;TRIM(INDEX($M$1:$S$1, MATCH(MIN(M144:S144), M144:S144, 0))), 技能库!$A:$F, 5, 0),"建议查阅考纲")&amp;CHAR(10)&amp;"💡 提升建议: "&amp;IFERROR(VLOOKUP(TRIM(D144)&amp;"_"&amp;TRIM(INDEX($M$1:$S$1, MATCH(MIN(M144:S144), M144:S144, 0))), 技能库!$A:$F, 6, 0),"请针对该题型加强练习"), "🎉 表现优异，无明显弱项！"))</f>
        <v/>
      </c>
      <c r="AB144" t="s">
        <v>304</v>
      </c>
    </row>
    <row r="145" spans="10:28" ht="18" hidden="1" customHeight="1" x14ac:dyDescent="0.2">
      <c r="J145" t="str">
        <f t="shared" si="6"/>
        <v/>
      </c>
      <c r="K145" t="str">
        <f>IF(J145="","", IFERROR(VLOOKUP(J145, IF(D145="Movers", 换算标准!$C:$D, 换算标准!$I:$J), 2, TRUE), 0))</f>
        <v/>
      </c>
      <c r="L145" t="s">
        <v>65</v>
      </c>
      <c r="T145" t="str">
        <f t="shared" si="7"/>
        <v/>
      </c>
      <c r="U145" t="str">
        <f>IF(T145="","", IFERROR(VLOOKUP(T145, IF(D145="Movers", 换算标准!$A:$B, 换算标准!$G:$H), 2, TRUE), 0))</f>
        <v/>
      </c>
      <c r="V145" t="s">
        <v>65</v>
      </c>
      <c r="W145" t="str">
        <f t="shared" si="8"/>
        <v/>
      </c>
      <c r="Z145" s="5" t="str">
        <f>IF(J145="","", IF(K145&lt;=3, "⚠️ 薄弱环节: "&amp;INDEX($E$1:$I$1, MATCH(MIN(E145:I145), E145:I145, 0))&amp;CHAR(10)&amp;"📉 考察能力: "&amp;IFERROR(VLOOKUP(TRIM(D145)&amp;"_"&amp;TRIM(INDEX($E$1:$I$1, MATCH(MIN(E145:I145), E145:I145, 0))), 技能库!$A:$F, 5, 0),"建议查阅考纲")&amp;CHAR(10)&amp;"💡 提升建议: "&amp;IFERROR(VLOOKUP(TRIM(D145)&amp;"_"&amp;TRIM(INDEX($E$1:$I$1, MATCH(MIN(E145:I145), E145:I145, 0))), 技能库!$A:$F, 6, 0),"请针对该题型加强练习"), "🎉 表现优异，无明显弱项！"))</f>
        <v/>
      </c>
      <c r="AA145" s="5" t="str">
        <f>IF(T145="","", IF(U145&lt;=3, "⚠️ 薄弱环节: "&amp;INDEX($M$1:$S$1, MATCH(MIN(M145:S145), M145:S145, 0))&amp;CHAR(10)&amp;"📉 考察能力: "&amp;IFERROR(VLOOKUP(TRIM(D145)&amp;"_"&amp;TRIM(INDEX($M$1:$S$1, MATCH(MIN(M145:S145), M145:S145, 0))), 技能库!$A:$F, 5, 0),"建议查阅考纲")&amp;CHAR(10)&amp;"💡 提升建议: "&amp;IFERROR(VLOOKUP(TRIM(D145)&amp;"_"&amp;TRIM(INDEX($M$1:$S$1, MATCH(MIN(M145:S145), M145:S145, 0))), 技能库!$A:$F, 6, 0),"请针对该题型加强练习"), "🎉 表现优异，无明显弱项！"))</f>
        <v/>
      </c>
      <c r="AB145" t="s">
        <v>304</v>
      </c>
    </row>
    <row r="146" spans="10:28" ht="18" hidden="1" customHeight="1" x14ac:dyDescent="0.2">
      <c r="J146" t="str">
        <f t="shared" si="6"/>
        <v/>
      </c>
      <c r="K146" t="str">
        <f>IF(J146="","", IFERROR(VLOOKUP(J146, IF(D146="Movers", 换算标准!$C:$D, 换算标准!$I:$J), 2, TRUE), 0))</f>
        <v/>
      </c>
      <c r="L146" t="s">
        <v>65</v>
      </c>
      <c r="T146" t="str">
        <f t="shared" si="7"/>
        <v/>
      </c>
      <c r="U146" t="str">
        <f>IF(T146="","", IFERROR(VLOOKUP(T146, IF(D146="Movers", 换算标准!$A:$B, 换算标准!$G:$H), 2, TRUE), 0))</f>
        <v/>
      </c>
      <c r="V146" t="s">
        <v>65</v>
      </c>
      <c r="W146" t="str">
        <f t="shared" si="8"/>
        <v/>
      </c>
      <c r="Z146" s="5" t="str">
        <f>IF(J146="","", IF(K146&lt;=3, "⚠️ 薄弱环节: "&amp;INDEX($E$1:$I$1, MATCH(MIN(E146:I146), E146:I146, 0))&amp;CHAR(10)&amp;"📉 考察能力: "&amp;IFERROR(VLOOKUP(TRIM(D146)&amp;"_"&amp;TRIM(INDEX($E$1:$I$1, MATCH(MIN(E146:I146), E146:I146, 0))), 技能库!$A:$F, 5, 0),"建议查阅考纲")&amp;CHAR(10)&amp;"💡 提升建议: "&amp;IFERROR(VLOOKUP(TRIM(D146)&amp;"_"&amp;TRIM(INDEX($E$1:$I$1, MATCH(MIN(E146:I146), E146:I146, 0))), 技能库!$A:$F, 6, 0),"请针对该题型加强练习"), "🎉 表现优异，无明显弱项！"))</f>
        <v/>
      </c>
      <c r="AA146" s="5" t="str">
        <f>IF(T146="","", IF(U146&lt;=3, "⚠️ 薄弱环节: "&amp;INDEX($M$1:$S$1, MATCH(MIN(M146:S146), M146:S146, 0))&amp;CHAR(10)&amp;"📉 考察能力: "&amp;IFERROR(VLOOKUP(TRIM(D146)&amp;"_"&amp;TRIM(INDEX($M$1:$S$1, MATCH(MIN(M146:S146), M146:S146, 0))), 技能库!$A:$F, 5, 0),"建议查阅考纲")&amp;CHAR(10)&amp;"💡 提升建议: "&amp;IFERROR(VLOOKUP(TRIM(D146)&amp;"_"&amp;TRIM(INDEX($M$1:$S$1, MATCH(MIN(M146:S146), M146:S146, 0))), 技能库!$A:$F, 6, 0),"请针对该题型加强练习"), "🎉 表现优异，无明显弱项！"))</f>
        <v/>
      </c>
      <c r="AB146" t="s">
        <v>304</v>
      </c>
    </row>
    <row r="147" spans="10:28" ht="18" hidden="1" customHeight="1" x14ac:dyDescent="0.2">
      <c r="J147" t="str">
        <f t="shared" si="6"/>
        <v/>
      </c>
      <c r="K147" t="str">
        <f>IF(J147="","", IFERROR(VLOOKUP(J147, IF(D147="Movers", 换算标准!$C:$D, 换算标准!$I:$J), 2, TRUE), 0))</f>
        <v/>
      </c>
      <c r="L147" t="s">
        <v>65</v>
      </c>
      <c r="T147" t="str">
        <f t="shared" si="7"/>
        <v/>
      </c>
      <c r="U147" t="str">
        <f>IF(T147="","", IFERROR(VLOOKUP(T147, IF(D147="Movers", 换算标准!$A:$B, 换算标准!$G:$H), 2, TRUE), 0))</f>
        <v/>
      </c>
      <c r="V147" t="s">
        <v>65</v>
      </c>
      <c r="W147" t="str">
        <f t="shared" si="8"/>
        <v/>
      </c>
      <c r="Z147" s="5" t="str">
        <f>IF(J147="","", IF(K147&lt;=3, "⚠️ 薄弱环节: "&amp;INDEX($E$1:$I$1, MATCH(MIN(E147:I147), E147:I147, 0))&amp;CHAR(10)&amp;"📉 考察能力: "&amp;IFERROR(VLOOKUP(TRIM(D147)&amp;"_"&amp;TRIM(INDEX($E$1:$I$1, MATCH(MIN(E147:I147), E147:I147, 0))), 技能库!$A:$F, 5, 0),"建议查阅考纲")&amp;CHAR(10)&amp;"💡 提升建议: "&amp;IFERROR(VLOOKUP(TRIM(D147)&amp;"_"&amp;TRIM(INDEX($E$1:$I$1, MATCH(MIN(E147:I147), E147:I147, 0))), 技能库!$A:$F, 6, 0),"请针对该题型加强练习"), "🎉 表现优异，无明显弱项！"))</f>
        <v/>
      </c>
      <c r="AA147" s="5" t="str">
        <f>IF(T147="","", IF(U147&lt;=3, "⚠️ 薄弱环节: "&amp;INDEX($M$1:$S$1, MATCH(MIN(M147:S147), M147:S147, 0))&amp;CHAR(10)&amp;"📉 考察能力: "&amp;IFERROR(VLOOKUP(TRIM(D147)&amp;"_"&amp;TRIM(INDEX($M$1:$S$1, MATCH(MIN(M147:S147), M147:S147, 0))), 技能库!$A:$F, 5, 0),"建议查阅考纲")&amp;CHAR(10)&amp;"💡 提升建议: "&amp;IFERROR(VLOOKUP(TRIM(D147)&amp;"_"&amp;TRIM(INDEX($M$1:$S$1, MATCH(MIN(M147:S147), M147:S147, 0))), 技能库!$A:$F, 6, 0),"请针对该题型加强练习"), "🎉 表现优异，无明显弱项！"))</f>
        <v/>
      </c>
      <c r="AB147" t="s">
        <v>304</v>
      </c>
    </row>
    <row r="148" spans="10:28" ht="18" hidden="1" customHeight="1" x14ac:dyDescent="0.2">
      <c r="J148" t="str">
        <f t="shared" si="6"/>
        <v/>
      </c>
      <c r="K148" t="str">
        <f>IF(J148="","", IFERROR(VLOOKUP(J148, IF(D148="Movers", 换算标准!$C:$D, 换算标准!$I:$J), 2, TRUE), 0))</f>
        <v/>
      </c>
      <c r="L148" t="s">
        <v>65</v>
      </c>
      <c r="T148" t="str">
        <f t="shared" si="7"/>
        <v/>
      </c>
      <c r="U148" t="str">
        <f>IF(T148="","", IFERROR(VLOOKUP(T148, IF(D148="Movers", 换算标准!$A:$B, 换算标准!$G:$H), 2, TRUE), 0))</f>
        <v/>
      </c>
      <c r="V148" t="s">
        <v>65</v>
      </c>
      <c r="W148" t="str">
        <f t="shared" si="8"/>
        <v/>
      </c>
      <c r="Z148" s="5" t="str">
        <f>IF(J148="","", IF(K148&lt;=3, "⚠️ 薄弱环节: "&amp;INDEX($E$1:$I$1, MATCH(MIN(E148:I148), E148:I148, 0))&amp;CHAR(10)&amp;"📉 考察能力: "&amp;IFERROR(VLOOKUP(TRIM(D148)&amp;"_"&amp;TRIM(INDEX($E$1:$I$1, MATCH(MIN(E148:I148), E148:I148, 0))), 技能库!$A:$F, 5, 0),"建议查阅考纲")&amp;CHAR(10)&amp;"💡 提升建议: "&amp;IFERROR(VLOOKUP(TRIM(D148)&amp;"_"&amp;TRIM(INDEX($E$1:$I$1, MATCH(MIN(E148:I148), E148:I148, 0))), 技能库!$A:$F, 6, 0),"请针对该题型加强练习"), "🎉 表现优异，无明显弱项！"))</f>
        <v/>
      </c>
      <c r="AA148" s="5" t="str">
        <f>IF(T148="","", IF(U148&lt;=3, "⚠️ 薄弱环节: "&amp;INDEX($M$1:$S$1, MATCH(MIN(M148:S148), M148:S148, 0))&amp;CHAR(10)&amp;"📉 考察能力: "&amp;IFERROR(VLOOKUP(TRIM(D148)&amp;"_"&amp;TRIM(INDEX($M$1:$S$1, MATCH(MIN(M148:S148), M148:S148, 0))), 技能库!$A:$F, 5, 0),"建议查阅考纲")&amp;CHAR(10)&amp;"💡 提升建议: "&amp;IFERROR(VLOOKUP(TRIM(D148)&amp;"_"&amp;TRIM(INDEX($M$1:$S$1, MATCH(MIN(M148:S148), M148:S148, 0))), 技能库!$A:$F, 6, 0),"请针对该题型加强练习"), "🎉 表现优异，无明显弱项！"))</f>
        <v/>
      </c>
      <c r="AB148" t="s">
        <v>304</v>
      </c>
    </row>
    <row r="149" spans="10:28" ht="18" hidden="1" customHeight="1" x14ac:dyDescent="0.2">
      <c r="J149" t="str">
        <f t="shared" si="6"/>
        <v/>
      </c>
      <c r="K149" t="str">
        <f>IF(J149="","", IFERROR(VLOOKUP(J149, IF(D149="Movers", 换算标准!$C:$D, 换算标准!$I:$J), 2, TRUE), 0))</f>
        <v/>
      </c>
      <c r="L149" t="s">
        <v>65</v>
      </c>
      <c r="T149" t="str">
        <f t="shared" si="7"/>
        <v/>
      </c>
      <c r="U149" t="str">
        <f>IF(T149="","", IFERROR(VLOOKUP(T149, IF(D149="Movers", 换算标准!$A:$B, 换算标准!$G:$H), 2, TRUE), 0))</f>
        <v/>
      </c>
      <c r="V149" t="s">
        <v>65</v>
      </c>
      <c r="W149" t="str">
        <f t="shared" si="8"/>
        <v/>
      </c>
      <c r="Z149" s="5" t="str">
        <f>IF(J149="","", IF(K149&lt;=3, "⚠️ 薄弱环节: "&amp;INDEX($E$1:$I$1, MATCH(MIN(E149:I149), E149:I149, 0))&amp;CHAR(10)&amp;"📉 考察能力: "&amp;IFERROR(VLOOKUP(TRIM(D149)&amp;"_"&amp;TRIM(INDEX($E$1:$I$1, MATCH(MIN(E149:I149), E149:I149, 0))), 技能库!$A:$F, 5, 0),"建议查阅考纲")&amp;CHAR(10)&amp;"💡 提升建议: "&amp;IFERROR(VLOOKUP(TRIM(D149)&amp;"_"&amp;TRIM(INDEX($E$1:$I$1, MATCH(MIN(E149:I149), E149:I149, 0))), 技能库!$A:$F, 6, 0),"请针对该题型加强练习"), "🎉 表现优异，无明显弱项！"))</f>
        <v/>
      </c>
      <c r="AA149" s="5" t="str">
        <f>IF(T149="","", IF(U149&lt;=3, "⚠️ 薄弱环节: "&amp;INDEX($M$1:$S$1, MATCH(MIN(M149:S149), M149:S149, 0))&amp;CHAR(10)&amp;"📉 考察能力: "&amp;IFERROR(VLOOKUP(TRIM(D149)&amp;"_"&amp;TRIM(INDEX($M$1:$S$1, MATCH(MIN(M149:S149), M149:S149, 0))), 技能库!$A:$F, 5, 0),"建议查阅考纲")&amp;CHAR(10)&amp;"💡 提升建议: "&amp;IFERROR(VLOOKUP(TRIM(D149)&amp;"_"&amp;TRIM(INDEX($M$1:$S$1, MATCH(MIN(M149:S149), M149:S149, 0))), 技能库!$A:$F, 6, 0),"请针对该题型加强练习"), "🎉 表现优异，无明显弱项！"))</f>
        <v/>
      </c>
      <c r="AB149" t="s">
        <v>304</v>
      </c>
    </row>
    <row r="150" spans="10:28" ht="18" hidden="1" customHeight="1" x14ac:dyDescent="0.2">
      <c r="J150" t="str">
        <f t="shared" si="6"/>
        <v/>
      </c>
      <c r="K150" t="str">
        <f>IF(J150="","", IFERROR(VLOOKUP(J150, IF(D150="Movers", 换算标准!$C:$D, 换算标准!$I:$J), 2, TRUE), 0))</f>
        <v/>
      </c>
      <c r="L150" t="s">
        <v>65</v>
      </c>
      <c r="T150" t="str">
        <f t="shared" si="7"/>
        <v/>
      </c>
      <c r="U150" t="str">
        <f>IF(T150="","", IFERROR(VLOOKUP(T150, IF(D150="Movers", 换算标准!$A:$B, 换算标准!$G:$H), 2, TRUE), 0))</f>
        <v/>
      </c>
      <c r="V150" t="s">
        <v>65</v>
      </c>
      <c r="W150" t="str">
        <f t="shared" si="8"/>
        <v/>
      </c>
      <c r="Z150" s="5" t="str">
        <f>IF(J150="","", IF(K150&lt;=3, "⚠️ 薄弱环节: "&amp;INDEX($E$1:$I$1, MATCH(MIN(E150:I150), E150:I150, 0))&amp;CHAR(10)&amp;"📉 考察能力: "&amp;IFERROR(VLOOKUP(TRIM(D150)&amp;"_"&amp;TRIM(INDEX($E$1:$I$1, MATCH(MIN(E150:I150), E150:I150, 0))), 技能库!$A:$F, 5, 0),"建议查阅考纲")&amp;CHAR(10)&amp;"💡 提升建议: "&amp;IFERROR(VLOOKUP(TRIM(D150)&amp;"_"&amp;TRIM(INDEX($E$1:$I$1, MATCH(MIN(E150:I150), E150:I150, 0))), 技能库!$A:$F, 6, 0),"请针对该题型加强练习"), "🎉 表现优异，无明显弱项！"))</f>
        <v/>
      </c>
      <c r="AA150" s="5" t="str">
        <f>IF(T150="","", IF(U150&lt;=3, "⚠️ 薄弱环节: "&amp;INDEX($M$1:$S$1, MATCH(MIN(M150:S150), M150:S150, 0))&amp;CHAR(10)&amp;"📉 考察能力: "&amp;IFERROR(VLOOKUP(TRIM(D150)&amp;"_"&amp;TRIM(INDEX($M$1:$S$1, MATCH(MIN(M150:S150), M150:S150, 0))), 技能库!$A:$F, 5, 0),"建议查阅考纲")&amp;CHAR(10)&amp;"💡 提升建议: "&amp;IFERROR(VLOOKUP(TRIM(D150)&amp;"_"&amp;TRIM(INDEX($M$1:$S$1, MATCH(MIN(M150:S150), M150:S150, 0))), 技能库!$A:$F, 6, 0),"请针对该题型加强练习"), "🎉 表现优异，无明显弱项！"))</f>
        <v/>
      </c>
      <c r="AB150" t="s">
        <v>304</v>
      </c>
    </row>
    <row r="151" spans="10:28" ht="18" hidden="1" customHeight="1" x14ac:dyDescent="0.2">
      <c r="J151" t="str">
        <f t="shared" si="6"/>
        <v/>
      </c>
      <c r="K151" t="str">
        <f>IF(J151="","", IFERROR(VLOOKUP(J151, IF(D151="Movers", 换算标准!$C:$D, 换算标准!$I:$J), 2, TRUE), 0))</f>
        <v/>
      </c>
      <c r="L151" t="s">
        <v>65</v>
      </c>
      <c r="T151" t="str">
        <f t="shared" si="7"/>
        <v/>
      </c>
      <c r="U151" t="str">
        <f>IF(T151="","", IFERROR(VLOOKUP(T151, IF(D151="Movers", 换算标准!$A:$B, 换算标准!$G:$H), 2, TRUE), 0))</f>
        <v/>
      </c>
      <c r="V151" t="s">
        <v>65</v>
      </c>
      <c r="W151" t="str">
        <f t="shared" si="8"/>
        <v/>
      </c>
      <c r="Z151" s="5" t="str">
        <f>IF(J151="","", IF(K151&lt;=3, "⚠️ 薄弱环节: "&amp;INDEX($E$1:$I$1, MATCH(MIN(E151:I151), E151:I151, 0))&amp;CHAR(10)&amp;"📉 考察能力: "&amp;IFERROR(VLOOKUP(TRIM(D151)&amp;"_"&amp;TRIM(INDEX($E$1:$I$1, MATCH(MIN(E151:I151), E151:I151, 0))), 技能库!$A:$F, 5, 0),"建议查阅考纲")&amp;CHAR(10)&amp;"💡 提升建议: "&amp;IFERROR(VLOOKUP(TRIM(D151)&amp;"_"&amp;TRIM(INDEX($E$1:$I$1, MATCH(MIN(E151:I151), E151:I151, 0))), 技能库!$A:$F, 6, 0),"请针对该题型加强练习"), "🎉 表现优异，无明显弱项！"))</f>
        <v/>
      </c>
      <c r="AA151" s="5" t="str">
        <f>IF(T151="","", IF(U151&lt;=3, "⚠️ 薄弱环节: "&amp;INDEX($M$1:$S$1, MATCH(MIN(M151:S151), M151:S151, 0))&amp;CHAR(10)&amp;"📉 考察能力: "&amp;IFERROR(VLOOKUP(TRIM(D151)&amp;"_"&amp;TRIM(INDEX($M$1:$S$1, MATCH(MIN(M151:S151), M151:S151, 0))), 技能库!$A:$F, 5, 0),"建议查阅考纲")&amp;CHAR(10)&amp;"💡 提升建议: "&amp;IFERROR(VLOOKUP(TRIM(D151)&amp;"_"&amp;TRIM(INDEX($M$1:$S$1, MATCH(MIN(M151:S151), M151:S151, 0))), 技能库!$A:$F, 6, 0),"请针对该题型加强练习"), "🎉 表现优异，无明显弱项！"))</f>
        <v/>
      </c>
      <c r="AB151" t="s">
        <v>304</v>
      </c>
    </row>
    <row r="152" spans="10:28" ht="18" hidden="1" customHeight="1" x14ac:dyDescent="0.2">
      <c r="J152" t="str">
        <f t="shared" si="6"/>
        <v/>
      </c>
      <c r="K152" t="str">
        <f>IF(J152="","", IFERROR(VLOOKUP(J152, IF(D152="Movers", 换算标准!$C:$D, 换算标准!$I:$J), 2, TRUE), 0))</f>
        <v/>
      </c>
      <c r="L152" t="s">
        <v>65</v>
      </c>
      <c r="T152" t="str">
        <f t="shared" si="7"/>
        <v/>
      </c>
      <c r="U152" t="str">
        <f>IF(T152="","", IFERROR(VLOOKUP(T152, IF(D152="Movers", 换算标准!$A:$B, 换算标准!$G:$H), 2, TRUE), 0))</f>
        <v/>
      </c>
      <c r="V152" t="s">
        <v>65</v>
      </c>
      <c r="W152" t="str">
        <f t="shared" si="8"/>
        <v/>
      </c>
      <c r="Z152" s="5" t="str">
        <f>IF(J152="","", IF(K152&lt;=3, "⚠️ 薄弱环节: "&amp;INDEX($E$1:$I$1, MATCH(MIN(E152:I152), E152:I152, 0))&amp;CHAR(10)&amp;"📉 考察能力: "&amp;IFERROR(VLOOKUP(TRIM(D152)&amp;"_"&amp;TRIM(INDEX($E$1:$I$1, MATCH(MIN(E152:I152), E152:I152, 0))), 技能库!$A:$F, 5, 0),"建议查阅考纲")&amp;CHAR(10)&amp;"💡 提升建议: "&amp;IFERROR(VLOOKUP(TRIM(D152)&amp;"_"&amp;TRIM(INDEX($E$1:$I$1, MATCH(MIN(E152:I152), E152:I152, 0))), 技能库!$A:$F, 6, 0),"请针对该题型加强练习"), "🎉 表现优异，无明显弱项！"))</f>
        <v/>
      </c>
      <c r="AA152" s="5" t="str">
        <f>IF(T152="","", IF(U152&lt;=3, "⚠️ 薄弱环节: "&amp;INDEX($M$1:$S$1, MATCH(MIN(M152:S152), M152:S152, 0))&amp;CHAR(10)&amp;"📉 考察能力: "&amp;IFERROR(VLOOKUP(TRIM(D152)&amp;"_"&amp;TRIM(INDEX($M$1:$S$1, MATCH(MIN(M152:S152), M152:S152, 0))), 技能库!$A:$F, 5, 0),"建议查阅考纲")&amp;CHAR(10)&amp;"💡 提升建议: "&amp;IFERROR(VLOOKUP(TRIM(D152)&amp;"_"&amp;TRIM(INDEX($M$1:$S$1, MATCH(MIN(M152:S152), M152:S152, 0))), 技能库!$A:$F, 6, 0),"请针对该题型加强练习"), "🎉 表现优异，无明显弱项！"))</f>
        <v/>
      </c>
      <c r="AB152" t="s">
        <v>304</v>
      </c>
    </row>
    <row r="153" spans="10:28" ht="18" hidden="1" customHeight="1" x14ac:dyDescent="0.2">
      <c r="J153" t="str">
        <f t="shared" si="6"/>
        <v/>
      </c>
      <c r="K153" t="str">
        <f>IF(J153="","", IFERROR(VLOOKUP(J153, IF(D153="Movers", 换算标准!$C:$D, 换算标准!$I:$J), 2, TRUE), 0))</f>
        <v/>
      </c>
      <c r="L153" t="s">
        <v>65</v>
      </c>
      <c r="T153" t="str">
        <f t="shared" si="7"/>
        <v/>
      </c>
      <c r="U153" t="str">
        <f>IF(T153="","", IFERROR(VLOOKUP(T153, IF(D153="Movers", 换算标准!$A:$B, 换算标准!$G:$H), 2, TRUE), 0))</f>
        <v/>
      </c>
      <c r="V153" t="s">
        <v>65</v>
      </c>
      <c r="W153" t="str">
        <f t="shared" si="8"/>
        <v/>
      </c>
      <c r="Z153" s="5" t="str">
        <f>IF(J153="","", IF(K153&lt;=3, "⚠️ 薄弱环节: "&amp;INDEX($E$1:$I$1, MATCH(MIN(E153:I153), E153:I153, 0))&amp;CHAR(10)&amp;"📉 考察能力: "&amp;IFERROR(VLOOKUP(TRIM(D153)&amp;"_"&amp;TRIM(INDEX($E$1:$I$1, MATCH(MIN(E153:I153), E153:I153, 0))), 技能库!$A:$F, 5, 0),"建议查阅考纲")&amp;CHAR(10)&amp;"💡 提升建议: "&amp;IFERROR(VLOOKUP(TRIM(D153)&amp;"_"&amp;TRIM(INDEX($E$1:$I$1, MATCH(MIN(E153:I153), E153:I153, 0))), 技能库!$A:$F, 6, 0),"请针对该题型加强练习"), "🎉 表现优异，无明显弱项！"))</f>
        <v/>
      </c>
      <c r="AA153" s="5" t="str">
        <f>IF(T153="","", IF(U153&lt;=3, "⚠️ 薄弱环节: "&amp;INDEX($M$1:$S$1, MATCH(MIN(M153:S153), M153:S153, 0))&amp;CHAR(10)&amp;"📉 考察能力: "&amp;IFERROR(VLOOKUP(TRIM(D153)&amp;"_"&amp;TRIM(INDEX($M$1:$S$1, MATCH(MIN(M153:S153), M153:S153, 0))), 技能库!$A:$F, 5, 0),"建议查阅考纲")&amp;CHAR(10)&amp;"💡 提升建议: "&amp;IFERROR(VLOOKUP(TRIM(D153)&amp;"_"&amp;TRIM(INDEX($M$1:$S$1, MATCH(MIN(M153:S153), M153:S153, 0))), 技能库!$A:$F, 6, 0),"请针对该题型加强练习"), "🎉 表现优异，无明显弱项！"))</f>
        <v/>
      </c>
      <c r="AB153" t="s">
        <v>304</v>
      </c>
    </row>
    <row r="154" spans="10:28" ht="18" hidden="1" customHeight="1" x14ac:dyDescent="0.2">
      <c r="J154" t="str">
        <f t="shared" si="6"/>
        <v/>
      </c>
      <c r="K154" t="str">
        <f>IF(J154="","", IFERROR(VLOOKUP(J154, IF(D154="Movers", 换算标准!$C:$D, 换算标准!$I:$J), 2, TRUE), 0))</f>
        <v/>
      </c>
      <c r="L154" t="s">
        <v>65</v>
      </c>
      <c r="T154" t="str">
        <f t="shared" si="7"/>
        <v/>
      </c>
      <c r="U154" t="str">
        <f>IF(T154="","", IFERROR(VLOOKUP(T154, IF(D154="Movers", 换算标准!$A:$B, 换算标准!$G:$H), 2, TRUE), 0))</f>
        <v/>
      </c>
      <c r="V154" t="s">
        <v>65</v>
      </c>
      <c r="W154" t="str">
        <f t="shared" si="8"/>
        <v/>
      </c>
      <c r="Z154" s="5" t="str">
        <f>IF(J154="","", IF(K154&lt;=3, "⚠️ 薄弱环节: "&amp;INDEX($E$1:$I$1, MATCH(MIN(E154:I154), E154:I154, 0))&amp;CHAR(10)&amp;"📉 考察能力: "&amp;IFERROR(VLOOKUP(TRIM(D154)&amp;"_"&amp;TRIM(INDEX($E$1:$I$1, MATCH(MIN(E154:I154), E154:I154, 0))), 技能库!$A:$F, 5, 0),"建议查阅考纲")&amp;CHAR(10)&amp;"💡 提升建议: "&amp;IFERROR(VLOOKUP(TRIM(D154)&amp;"_"&amp;TRIM(INDEX($E$1:$I$1, MATCH(MIN(E154:I154), E154:I154, 0))), 技能库!$A:$F, 6, 0),"请针对该题型加强练习"), "🎉 表现优异，无明显弱项！"))</f>
        <v/>
      </c>
      <c r="AA154" s="5" t="str">
        <f>IF(T154="","", IF(U154&lt;=3, "⚠️ 薄弱环节: "&amp;INDEX($M$1:$S$1, MATCH(MIN(M154:S154), M154:S154, 0))&amp;CHAR(10)&amp;"📉 考察能力: "&amp;IFERROR(VLOOKUP(TRIM(D154)&amp;"_"&amp;TRIM(INDEX($M$1:$S$1, MATCH(MIN(M154:S154), M154:S154, 0))), 技能库!$A:$F, 5, 0),"建议查阅考纲")&amp;CHAR(10)&amp;"💡 提升建议: "&amp;IFERROR(VLOOKUP(TRIM(D154)&amp;"_"&amp;TRIM(INDEX($M$1:$S$1, MATCH(MIN(M154:S154), M154:S154, 0))), 技能库!$A:$F, 6, 0),"请针对该题型加强练习"), "🎉 表现优异，无明显弱项！"))</f>
        <v/>
      </c>
      <c r="AB154" t="s">
        <v>304</v>
      </c>
    </row>
    <row r="155" spans="10:28" ht="18" hidden="1" customHeight="1" x14ac:dyDescent="0.2">
      <c r="J155" t="str">
        <f t="shared" si="6"/>
        <v/>
      </c>
      <c r="K155" t="str">
        <f>IF(J155="","", IFERROR(VLOOKUP(J155, IF(D155="Movers", 换算标准!$C:$D, 换算标准!$I:$J), 2, TRUE), 0))</f>
        <v/>
      </c>
      <c r="L155" t="s">
        <v>65</v>
      </c>
      <c r="T155" t="str">
        <f t="shared" si="7"/>
        <v/>
      </c>
      <c r="U155" t="str">
        <f>IF(T155="","", IFERROR(VLOOKUP(T155, IF(D155="Movers", 换算标准!$A:$B, 换算标准!$G:$H), 2, TRUE), 0))</f>
        <v/>
      </c>
      <c r="V155" t="s">
        <v>65</v>
      </c>
      <c r="W155" t="str">
        <f t="shared" si="8"/>
        <v/>
      </c>
      <c r="Z155" s="5" t="str">
        <f>IF(J155="","", IF(K155&lt;=3, "⚠️ 薄弱环节: "&amp;INDEX($E$1:$I$1, MATCH(MIN(E155:I155), E155:I155, 0))&amp;CHAR(10)&amp;"📉 考察能力: "&amp;IFERROR(VLOOKUP(TRIM(D155)&amp;"_"&amp;TRIM(INDEX($E$1:$I$1, MATCH(MIN(E155:I155), E155:I155, 0))), 技能库!$A:$F, 5, 0),"建议查阅考纲")&amp;CHAR(10)&amp;"💡 提升建议: "&amp;IFERROR(VLOOKUP(TRIM(D155)&amp;"_"&amp;TRIM(INDEX($E$1:$I$1, MATCH(MIN(E155:I155), E155:I155, 0))), 技能库!$A:$F, 6, 0),"请针对该题型加强练习"), "🎉 表现优异，无明显弱项！"))</f>
        <v/>
      </c>
      <c r="AA155" s="5" t="str">
        <f>IF(T155="","", IF(U155&lt;=3, "⚠️ 薄弱环节: "&amp;INDEX($M$1:$S$1, MATCH(MIN(M155:S155), M155:S155, 0))&amp;CHAR(10)&amp;"📉 考察能力: "&amp;IFERROR(VLOOKUP(TRIM(D155)&amp;"_"&amp;TRIM(INDEX($M$1:$S$1, MATCH(MIN(M155:S155), M155:S155, 0))), 技能库!$A:$F, 5, 0),"建议查阅考纲")&amp;CHAR(10)&amp;"💡 提升建议: "&amp;IFERROR(VLOOKUP(TRIM(D155)&amp;"_"&amp;TRIM(INDEX($M$1:$S$1, MATCH(MIN(M155:S155), M155:S155, 0))), 技能库!$A:$F, 6, 0),"请针对该题型加强练习"), "🎉 表现优异，无明显弱项！"))</f>
        <v/>
      </c>
      <c r="AB155" t="s">
        <v>304</v>
      </c>
    </row>
    <row r="156" spans="10:28" ht="18" hidden="1" customHeight="1" x14ac:dyDescent="0.2">
      <c r="J156" t="str">
        <f t="shared" si="6"/>
        <v/>
      </c>
      <c r="K156" t="str">
        <f>IF(J156="","", IFERROR(VLOOKUP(J156, IF(D156="Movers", 换算标准!$C:$D, 换算标准!$I:$J), 2, TRUE), 0))</f>
        <v/>
      </c>
      <c r="L156" t="s">
        <v>65</v>
      </c>
      <c r="T156" t="str">
        <f t="shared" si="7"/>
        <v/>
      </c>
      <c r="U156" t="str">
        <f>IF(T156="","", IFERROR(VLOOKUP(T156, IF(D156="Movers", 换算标准!$A:$B, 换算标准!$G:$H), 2, TRUE), 0))</f>
        <v/>
      </c>
      <c r="V156" t="s">
        <v>65</v>
      </c>
      <c r="W156" t="str">
        <f t="shared" si="8"/>
        <v/>
      </c>
      <c r="Z156" s="5" t="str">
        <f>IF(J156="","", IF(K156&lt;=3, "⚠️ 薄弱环节: "&amp;INDEX($E$1:$I$1, MATCH(MIN(E156:I156), E156:I156, 0))&amp;CHAR(10)&amp;"📉 考察能力: "&amp;IFERROR(VLOOKUP(TRIM(D156)&amp;"_"&amp;TRIM(INDEX($E$1:$I$1, MATCH(MIN(E156:I156), E156:I156, 0))), 技能库!$A:$F, 5, 0),"建议查阅考纲")&amp;CHAR(10)&amp;"💡 提升建议: "&amp;IFERROR(VLOOKUP(TRIM(D156)&amp;"_"&amp;TRIM(INDEX($E$1:$I$1, MATCH(MIN(E156:I156), E156:I156, 0))), 技能库!$A:$F, 6, 0),"请针对该题型加强练习"), "🎉 表现优异，无明显弱项！"))</f>
        <v/>
      </c>
      <c r="AA156" s="5" t="str">
        <f>IF(T156="","", IF(U156&lt;=3, "⚠️ 薄弱环节: "&amp;INDEX($M$1:$S$1, MATCH(MIN(M156:S156), M156:S156, 0))&amp;CHAR(10)&amp;"📉 考察能力: "&amp;IFERROR(VLOOKUP(TRIM(D156)&amp;"_"&amp;TRIM(INDEX($M$1:$S$1, MATCH(MIN(M156:S156), M156:S156, 0))), 技能库!$A:$F, 5, 0),"建议查阅考纲")&amp;CHAR(10)&amp;"💡 提升建议: "&amp;IFERROR(VLOOKUP(TRIM(D156)&amp;"_"&amp;TRIM(INDEX($M$1:$S$1, MATCH(MIN(M156:S156), M156:S156, 0))), 技能库!$A:$F, 6, 0),"请针对该题型加强练习"), "🎉 表现优异，无明显弱项！"))</f>
        <v/>
      </c>
      <c r="AB156" t="s">
        <v>304</v>
      </c>
    </row>
    <row r="157" spans="10:28" ht="18" hidden="1" customHeight="1" x14ac:dyDescent="0.2">
      <c r="J157" t="str">
        <f t="shared" si="6"/>
        <v/>
      </c>
      <c r="K157" t="str">
        <f>IF(J157="","", IFERROR(VLOOKUP(J157, IF(D157="Movers", 换算标准!$C:$D, 换算标准!$I:$J), 2, TRUE), 0))</f>
        <v/>
      </c>
      <c r="L157" t="s">
        <v>65</v>
      </c>
      <c r="T157" t="str">
        <f t="shared" si="7"/>
        <v/>
      </c>
      <c r="U157" t="str">
        <f>IF(T157="","", IFERROR(VLOOKUP(T157, IF(D157="Movers", 换算标准!$A:$B, 换算标准!$G:$H), 2, TRUE), 0))</f>
        <v/>
      </c>
      <c r="V157" t="s">
        <v>65</v>
      </c>
      <c r="W157" t="str">
        <f t="shared" si="8"/>
        <v/>
      </c>
      <c r="Z157" s="5" t="str">
        <f>IF(J157="","", IF(K157&lt;=3, "⚠️ 薄弱环节: "&amp;INDEX($E$1:$I$1, MATCH(MIN(E157:I157), E157:I157, 0))&amp;CHAR(10)&amp;"📉 考察能力: "&amp;IFERROR(VLOOKUP(TRIM(D157)&amp;"_"&amp;TRIM(INDEX($E$1:$I$1, MATCH(MIN(E157:I157), E157:I157, 0))), 技能库!$A:$F, 5, 0),"建议查阅考纲")&amp;CHAR(10)&amp;"💡 提升建议: "&amp;IFERROR(VLOOKUP(TRIM(D157)&amp;"_"&amp;TRIM(INDEX($E$1:$I$1, MATCH(MIN(E157:I157), E157:I157, 0))), 技能库!$A:$F, 6, 0),"请针对该题型加强练习"), "🎉 表现优异，无明显弱项！"))</f>
        <v/>
      </c>
      <c r="AA157" s="5" t="str">
        <f>IF(T157="","", IF(U157&lt;=3, "⚠️ 薄弱环节: "&amp;INDEX($M$1:$S$1, MATCH(MIN(M157:S157), M157:S157, 0))&amp;CHAR(10)&amp;"📉 考察能力: "&amp;IFERROR(VLOOKUP(TRIM(D157)&amp;"_"&amp;TRIM(INDEX($M$1:$S$1, MATCH(MIN(M157:S157), M157:S157, 0))), 技能库!$A:$F, 5, 0),"建议查阅考纲")&amp;CHAR(10)&amp;"💡 提升建议: "&amp;IFERROR(VLOOKUP(TRIM(D157)&amp;"_"&amp;TRIM(INDEX($M$1:$S$1, MATCH(MIN(M157:S157), M157:S157, 0))), 技能库!$A:$F, 6, 0),"请针对该题型加强练习"), "🎉 表现优异，无明显弱项！"))</f>
        <v/>
      </c>
      <c r="AB157" t="s">
        <v>304</v>
      </c>
    </row>
    <row r="158" spans="10:28" ht="18" hidden="1" customHeight="1" x14ac:dyDescent="0.2">
      <c r="J158" t="str">
        <f t="shared" si="6"/>
        <v/>
      </c>
      <c r="K158" t="str">
        <f>IF(J158="","", IFERROR(VLOOKUP(J158, IF(D158="Movers", 换算标准!$C:$D, 换算标准!$I:$J), 2, TRUE), 0))</f>
        <v/>
      </c>
      <c r="L158" t="s">
        <v>65</v>
      </c>
      <c r="T158" t="str">
        <f t="shared" si="7"/>
        <v/>
      </c>
      <c r="U158" t="str">
        <f>IF(T158="","", IFERROR(VLOOKUP(T158, IF(D158="Movers", 换算标准!$A:$B, 换算标准!$G:$H), 2, TRUE), 0))</f>
        <v/>
      </c>
      <c r="V158" t="s">
        <v>65</v>
      </c>
      <c r="W158" t="str">
        <f t="shared" si="8"/>
        <v/>
      </c>
      <c r="Z158" s="5" t="str">
        <f>IF(J158="","", IF(K158&lt;=3, "⚠️ 薄弱环节: "&amp;INDEX($E$1:$I$1, MATCH(MIN(E158:I158), E158:I158, 0))&amp;CHAR(10)&amp;"📉 考察能力: "&amp;IFERROR(VLOOKUP(TRIM(D158)&amp;"_"&amp;TRIM(INDEX($E$1:$I$1, MATCH(MIN(E158:I158), E158:I158, 0))), 技能库!$A:$F, 5, 0),"建议查阅考纲")&amp;CHAR(10)&amp;"💡 提升建议: "&amp;IFERROR(VLOOKUP(TRIM(D158)&amp;"_"&amp;TRIM(INDEX($E$1:$I$1, MATCH(MIN(E158:I158), E158:I158, 0))), 技能库!$A:$F, 6, 0),"请针对该题型加强练习"), "🎉 表现优异，无明显弱项！"))</f>
        <v/>
      </c>
      <c r="AA158" s="5" t="str">
        <f>IF(T158="","", IF(U158&lt;=3, "⚠️ 薄弱环节: "&amp;INDEX($M$1:$S$1, MATCH(MIN(M158:S158), M158:S158, 0))&amp;CHAR(10)&amp;"📉 考察能力: "&amp;IFERROR(VLOOKUP(TRIM(D158)&amp;"_"&amp;TRIM(INDEX($M$1:$S$1, MATCH(MIN(M158:S158), M158:S158, 0))), 技能库!$A:$F, 5, 0),"建议查阅考纲")&amp;CHAR(10)&amp;"💡 提升建议: "&amp;IFERROR(VLOOKUP(TRIM(D158)&amp;"_"&amp;TRIM(INDEX($M$1:$S$1, MATCH(MIN(M158:S158), M158:S158, 0))), 技能库!$A:$F, 6, 0),"请针对该题型加强练习"), "🎉 表现优异，无明显弱项！"))</f>
        <v/>
      </c>
      <c r="AB158" t="s">
        <v>304</v>
      </c>
    </row>
    <row r="159" spans="10:28" ht="18" hidden="1" customHeight="1" x14ac:dyDescent="0.2">
      <c r="J159" t="str">
        <f t="shared" si="6"/>
        <v/>
      </c>
      <c r="K159" t="str">
        <f>IF(J159="","", IFERROR(VLOOKUP(J159, IF(D159="Movers", 换算标准!$C:$D, 换算标准!$I:$J), 2, TRUE), 0))</f>
        <v/>
      </c>
      <c r="L159" t="s">
        <v>65</v>
      </c>
      <c r="T159" t="str">
        <f t="shared" si="7"/>
        <v/>
      </c>
      <c r="U159" t="str">
        <f>IF(T159="","", IFERROR(VLOOKUP(T159, IF(D159="Movers", 换算标准!$A:$B, 换算标准!$G:$H), 2, TRUE), 0))</f>
        <v/>
      </c>
      <c r="V159" t="s">
        <v>65</v>
      </c>
      <c r="W159" t="str">
        <f t="shared" si="8"/>
        <v/>
      </c>
      <c r="Z159" s="5" t="str">
        <f>IF(J159="","", IF(K159&lt;=3, "⚠️ 薄弱环节: "&amp;INDEX($E$1:$I$1, MATCH(MIN(E159:I159), E159:I159, 0))&amp;CHAR(10)&amp;"📉 考察能力: "&amp;IFERROR(VLOOKUP(TRIM(D159)&amp;"_"&amp;TRIM(INDEX($E$1:$I$1, MATCH(MIN(E159:I159), E159:I159, 0))), 技能库!$A:$F, 5, 0),"建议查阅考纲")&amp;CHAR(10)&amp;"💡 提升建议: "&amp;IFERROR(VLOOKUP(TRIM(D159)&amp;"_"&amp;TRIM(INDEX($E$1:$I$1, MATCH(MIN(E159:I159), E159:I159, 0))), 技能库!$A:$F, 6, 0),"请针对该题型加强练习"), "🎉 表现优异，无明显弱项！"))</f>
        <v/>
      </c>
      <c r="AA159" s="5" t="str">
        <f>IF(T159="","", IF(U159&lt;=3, "⚠️ 薄弱环节: "&amp;INDEX($M$1:$S$1, MATCH(MIN(M159:S159), M159:S159, 0))&amp;CHAR(10)&amp;"📉 考察能力: "&amp;IFERROR(VLOOKUP(TRIM(D159)&amp;"_"&amp;TRIM(INDEX($M$1:$S$1, MATCH(MIN(M159:S159), M159:S159, 0))), 技能库!$A:$F, 5, 0),"建议查阅考纲")&amp;CHAR(10)&amp;"💡 提升建议: "&amp;IFERROR(VLOOKUP(TRIM(D159)&amp;"_"&amp;TRIM(INDEX($M$1:$S$1, MATCH(MIN(M159:S159), M159:S159, 0))), 技能库!$A:$F, 6, 0),"请针对该题型加强练习"), "🎉 表现优异，无明显弱项！"))</f>
        <v/>
      </c>
      <c r="AB159" t="s">
        <v>304</v>
      </c>
    </row>
    <row r="160" spans="10:28" ht="18" hidden="1" customHeight="1" x14ac:dyDescent="0.2">
      <c r="J160" t="str">
        <f t="shared" si="6"/>
        <v/>
      </c>
      <c r="K160" t="str">
        <f>IF(J160="","", IFERROR(VLOOKUP(J160, IF(D160="Movers", 换算标准!$C:$D, 换算标准!$I:$J), 2, TRUE), 0))</f>
        <v/>
      </c>
      <c r="L160" t="s">
        <v>65</v>
      </c>
      <c r="T160" t="str">
        <f t="shared" si="7"/>
        <v/>
      </c>
      <c r="U160" t="str">
        <f>IF(T160="","", IFERROR(VLOOKUP(T160, IF(D160="Movers", 换算标准!$A:$B, 换算标准!$G:$H), 2, TRUE), 0))</f>
        <v/>
      </c>
      <c r="V160" t="s">
        <v>65</v>
      </c>
      <c r="W160" t="str">
        <f t="shared" si="8"/>
        <v/>
      </c>
      <c r="Z160" s="5" t="str">
        <f>IF(J160="","", IF(K160&lt;=3, "⚠️ 薄弱环节: "&amp;INDEX($E$1:$I$1, MATCH(MIN(E160:I160), E160:I160, 0))&amp;CHAR(10)&amp;"📉 考察能力: "&amp;IFERROR(VLOOKUP(TRIM(D160)&amp;"_"&amp;TRIM(INDEX($E$1:$I$1, MATCH(MIN(E160:I160), E160:I160, 0))), 技能库!$A:$F, 5, 0),"建议查阅考纲")&amp;CHAR(10)&amp;"💡 提升建议: "&amp;IFERROR(VLOOKUP(TRIM(D160)&amp;"_"&amp;TRIM(INDEX($E$1:$I$1, MATCH(MIN(E160:I160), E160:I160, 0))), 技能库!$A:$F, 6, 0),"请针对该题型加强练习"), "🎉 表现优异，无明显弱项！"))</f>
        <v/>
      </c>
      <c r="AA160" s="5" t="str">
        <f>IF(T160="","", IF(U160&lt;=3, "⚠️ 薄弱环节: "&amp;INDEX($M$1:$S$1, MATCH(MIN(M160:S160), M160:S160, 0))&amp;CHAR(10)&amp;"📉 考察能力: "&amp;IFERROR(VLOOKUP(TRIM(D160)&amp;"_"&amp;TRIM(INDEX($M$1:$S$1, MATCH(MIN(M160:S160), M160:S160, 0))), 技能库!$A:$F, 5, 0),"建议查阅考纲")&amp;CHAR(10)&amp;"💡 提升建议: "&amp;IFERROR(VLOOKUP(TRIM(D160)&amp;"_"&amp;TRIM(INDEX($M$1:$S$1, MATCH(MIN(M160:S160), M160:S160, 0))), 技能库!$A:$F, 6, 0),"请针对该题型加强练习"), "🎉 表现优异，无明显弱项！"))</f>
        <v/>
      </c>
      <c r="AB160" t="s">
        <v>304</v>
      </c>
    </row>
    <row r="161" spans="1:28" ht="18" hidden="1" customHeight="1" x14ac:dyDescent="0.2">
      <c r="J161" t="str">
        <f t="shared" si="6"/>
        <v/>
      </c>
      <c r="K161" t="str">
        <f>IF(J161="","", IFERROR(VLOOKUP(J161, IF(D161="Movers", 换算标准!$C:$D, 换算标准!$I:$J), 2, TRUE), 0))</f>
        <v/>
      </c>
      <c r="L161" t="s">
        <v>65</v>
      </c>
      <c r="T161" t="str">
        <f t="shared" si="7"/>
        <v/>
      </c>
      <c r="U161" t="str">
        <f>IF(T161="","", IFERROR(VLOOKUP(T161, IF(D161="Movers", 换算标准!$A:$B, 换算标准!$G:$H), 2, TRUE), 0))</f>
        <v/>
      </c>
      <c r="V161" t="s">
        <v>65</v>
      </c>
      <c r="W161" t="str">
        <f t="shared" si="8"/>
        <v/>
      </c>
      <c r="Z161" s="5" t="str">
        <f>IF(J161="","", IF(K161&lt;=3, "⚠️ 薄弱环节: "&amp;INDEX($E$1:$I$1, MATCH(MIN(E161:I161), E161:I161, 0))&amp;CHAR(10)&amp;"📉 考察能力: "&amp;IFERROR(VLOOKUP(TRIM(D161)&amp;"_"&amp;TRIM(INDEX($E$1:$I$1, MATCH(MIN(E161:I161), E161:I161, 0))), 技能库!$A:$F, 5, 0),"建议查阅考纲")&amp;CHAR(10)&amp;"💡 提升建议: "&amp;IFERROR(VLOOKUP(TRIM(D161)&amp;"_"&amp;TRIM(INDEX($E$1:$I$1, MATCH(MIN(E161:I161), E161:I161, 0))), 技能库!$A:$F, 6, 0),"请针对该题型加强练习"), "🎉 表现优异，无明显弱项！"))</f>
        <v/>
      </c>
      <c r="AA161" s="5" t="str">
        <f>IF(T161="","", IF(U161&lt;=3, "⚠️ 薄弱环节: "&amp;INDEX($M$1:$S$1, MATCH(MIN(M161:S161), M161:S161, 0))&amp;CHAR(10)&amp;"📉 考察能力: "&amp;IFERROR(VLOOKUP(TRIM(D161)&amp;"_"&amp;TRIM(INDEX($M$1:$S$1, MATCH(MIN(M161:S161), M161:S161, 0))), 技能库!$A:$F, 5, 0),"建议查阅考纲")&amp;CHAR(10)&amp;"💡 提升建议: "&amp;IFERROR(VLOOKUP(TRIM(D161)&amp;"_"&amp;TRIM(INDEX($M$1:$S$1, MATCH(MIN(M161:S161), M161:S161, 0))), 技能库!$A:$F, 6, 0),"请针对该题型加强练习"), "🎉 表现优异，无明显弱项！"))</f>
        <v/>
      </c>
      <c r="AB161" t="s">
        <v>304</v>
      </c>
    </row>
    <row r="162" spans="1:28" ht="18" hidden="1" customHeight="1" x14ac:dyDescent="0.2">
      <c r="J162" t="str">
        <f t="shared" si="6"/>
        <v/>
      </c>
      <c r="K162" t="str">
        <f>IF(J162="","", IFERROR(VLOOKUP(J162, IF(D162="Movers", 换算标准!$C:$D, 换算标准!$I:$J), 2, TRUE), 0))</f>
        <v/>
      </c>
      <c r="L162" t="s">
        <v>65</v>
      </c>
      <c r="T162" t="str">
        <f t="shared" si="7"/>
        <v/>
      </c>
      <c r="U162" t="str">
        <f>IF(T162="","", IFERROR(VLOOKUP(T162, IF(D162="Movers", 换算标准!$A:$B, 换算标准!$G:$H), 2, TRUE), 0))</f>
        <v/>
      </c>
      <c r="V162" t="s">
        <v>65</v>
      </c>
      <c r="W162" t="str">
        <f t="shared" si="8"/>
        <v/>
      </c>
      <c r="Z162" s="5" t="str">
        <f>IF(J162="","", IF(K162&lt;=3, "⚠️ 薄弱环节: "&amp;INDEX($E$1:$I$1, MATCH(MIN(E162:I162), E162:I162, 0))&amp;CHAR(10)&amp;"📉 考察能力: "&amp;IFERROR(VLOOKUP(TRIM(D162)&amp;"_"&amp;TRIM(INDEX($E$1:$I$1, MATCH(MIN(E162:I162), E162:I162, 0))), 技能库!$A:$F, 5, 0),"建议查阅考纲")&amp;CHAR(10)&amp;"💡 提升建议: "&amp;IFERROR(VLOOKUP(TRIM(D162)&amp;"_"&amp;TRIM(INDEX($E$1:$I$1, MATCH(MIN(E162:I162), E162:I162, 0))), 技能库!$A:$F, 6, 0),"请针对该题型加强练习"), "🎉 表现优异，无明显弱项！"))</f>
        <v/>
      </c>
      <c r="AA162" s="5" t="str">
        <f>IF(T162="","", IF(U162&lt;=3, "⚠️ 薄弱环节: "&amp;INDEX($M$1:$S$1, MATCH(MIN(M162:S162), M162:S162, 0))&amp;CHAR(10)&amp;"📉 考察能力: "&amp;IFERROR(VLOOKUP(TRIM(D162)&amp;"_"&amp;TRIM(INDEX($M$1:$S$1, MATCH(MIN(M162:S162), M162:S162, 0))), 技能库!$A:$F, 5, 0),"建议查阅考纲")&amp;CHAR(10)&amp;"💡 提升建议: "&amp;IFERROR(VLOOKUP(TRIM(D162)&amp;"_"&amp;TRIM(INDEX($M$1:$S$1, MATCH(MIN(M162:S162), M162:S162, 0))), 技能库!$A:$F, 6, 0),"请针对该题型加强练习"), "🎉 表现优异，无明显弱项！"))</f>
        <v/>
      </c>
      <c r="AB162" t="s">
        <v>304</v>
      </c>
    </row>
    <row r="163" spans="1:28" ht="18" hidden="1" customHeight="1" x14ac:dyDescent="0.2">
      <c r="J163" t="str">
        <f t="shared" si="6"/>
        <v/>
      </c>
      <c r="K163" t="str">
        <f>IF(J163="","", IFERROR(VLOOKUP(J163, IF(D163="Movers", 换算标准!$C:$D, 换算标准!$I:$J), 2, TRUE), 0))</f>
        <v/>
      </c>
      <c r="L163" t="s">
        <v>65</v>
      </c>
      <c r="T163" t="str">
        <f t="shared" si="7"/>
        <v/>
      </c>
      <c r="U163" t="str">
        <f>IF(T163="","", IFERROR(VLOOKUP(T163, IF(D163="Movers", 换算标准!$A:$B, 换算标准!$G:$H), 2, TRUE), 0))</f>
        <v/>
      </c>
      <c r="V163" t="s">
        <v>65</v>
      </c>
      <c r="W163" t="str">
        <f t="shared" si="8"/>
        <v/>
      </c>
      <c r="Z163" s="5" t="str">
        <f>IF(J163="","", IF(K163&lt;=3, "⚠️ 薄弱环节: "&amp;INDEX($E$1:$I$1, MATCH(MIN(E163:I163), E163:I163, 0))&amp;CHAR(10)&amp;"📉 考察能力: "&amp;IFERROR(VLOOKUP(TRIM(D163)&amp;"_"&amp;TRIM(INDEX($E$1:$I$1, MATCH(MIN(E163:I163), E163:I163, 0))), 技能库!$A:$F, 5, 0),"建议查阅考纲")&amp;CHAR(10)&amp;"💡 提升建议: "&amp;IFERROR(VLOOKUP(TRIM(D163)&amp;"_"&amp;TRIM(INDEX($E$1:$I$1, MATCH(MIN(E163:I163), E163:I163, 0))), 技能库!$A:$F, 6, 0),"请针对该题型加强练习"), "🎉 表现优异，无明显弱项！"))</f>
        <v/>
      </c>
      <c r="AA163" s="5" t="str">
        <f>IF(T163="","", IF(U163&lt;=3, "⚠️ 薄弱环节: "&amp;INDEX($M$1:$S$1, MATCH(MIN(M163:S163), M163:S163, 0))&amp;CHAR(10)&amp;"📉 考察能力: "&amp;IFERROR(VLOOKUP(TRIM(D163)&amp;"_"&amp;TRIM(INDEX($M$1:$S$1, MATCH(MIN(M163:S163), M163:S163, 0))), 技能库!$A:$F, 5, 0),"建议查阅考纲")&amp;CHAR(10)&amp;"💡 提升建议: "&amp;IFERROR(VLOOKUP(TRIM(D163)&amp;"_"&amp;TRIM(INDEX($M$1:$S$1, MATCH(MIN(M163:S163), M163:S163, 0))), 技能库!$A:$F, 6, 0),"请针对该题型加强练习"), "🎉 表现优异，无明显弱项！"))</f>
        <v/>
      </c>
      <c r="AB163" t="s">
        <v>304</v>
      </c>
    </row>
    <row r="164" spans="1:28" ht="18" hidden="1" customHeight="1" x14ac:dyDescent="0.2">
      <c r="J164" t="str">
        <f t="shared" si="6"/>
        <v/>
      </c>
      <c r="K164" t="str">
        <f>IF(J164="","", IFERROR(VLOOKUP(J164, IF(D164="Movers", 换算标准!$C:$D, 换算标准!$I:$J), 2, TRUE), 0))</f>
        <v/>
      </c>
      <c r="L164" t="s">
        <v>65</v>
      </c>
      <c r="T164" t="str">
        <f t="shared" si="7"/>
        <v/>
      </c>
      <c r="U164" t="str">
        <f>IF(T164="","", IFERROR(VLOOKUP(T164, IF(D164="Movers", 换算标准!$A:$B, 换算标准!$G:$H), 2, TRUE), 0))</f>
        <v/>
      </c>
      <c r="V164" t="s">
        <v>65</v>
      </c>
      <c r="W164" t="str">
        <f t="shared" si="8"/>
        <v/>
      </c>
      <c r="Z164" s="5" t="str">
        <f>IF(J164="","", IF(K164&lt;=3, "⚠️ 薄弱环节: "&amp;INDEX($E$1:$I$1, MATCH(MIN(E164:I164), E164:I164, 0))&amp;CHAR(10)&amp;"📉 考察能力: "&amp;IFERROR(VLOOKUP(TRIM(D164)&amp;"_"&amp;TRIM(INDEX($E$1:$I$1, MATCH(MIN(E164:I164), E164:I164, 0))), 技能库!$A:$F, 5, 0),"建议查阅考纲")&amp;CHAR(10)&amp;"💡 提升建议: "&amp;IFERROR(VLOOKUP(TRIM(D164)&amp;"_"&amp;TRIM(INDEX($E$1:$I$1, MATCH(MIN(E164:I164), E164:I164, 0))), 技能库!$A:$F, 6, 0),"请针对该题型加强练习"), "🎉 表现优异，无明显弱项！"))</f>
        <v/>
      </c>
      <c r="AA164" s="5" t="str">
        <f>IF(T164="","", IF(U164&lt;=3, "⚠️ 薄弱环节: "&amp;INDEX($M$1:$S$1, MATCH(MIN(M164:S164), M164:S164, 0))&amp;CHAR(10)&amp;"📉 考察能力: "&amp;IFERROR(VLOOKUP(TRIM(D164)&amp;"_"&amp;TRIM(INDEX($M$1:$S$1, MATCH(MIN(M164:S164), M164:S164, 0))), 技能库!$A:$F, 5, 0),"建议查阅考纲")&amp;CHAR(10)&amp;"💡 提升建议: "&amp;IFERROR(VLOOKUP(TRIM(D164)&amp;"_"&amp;TRIM(INDEX($M$1:$S$1, MATCH(MIN(M164:S164), M164:S164, 0))), 技能库!$A:$F, 6, 0),"请针对该题型加强练习"), "🎉 表现优异，无明显弱项！"))</f>
        <v/>
      </c>
      <c r="AB164" t="s">
        <v>304</v>
      </c>
    </row>
    <row r="165" spans="1:28" ht="18" hidden="1" customHeight="1" x14ac:dyDescent="0.2">
      <c r="J165" t="str">
        <f t="shared" si="6"/>
        <v/>
      </c>
      <c r="K165" t="str">
        <f>IF(J165="","", IFERROR(VLOOKUP(J165, IF(D165="Movers", 换算标准!$C:$D, 换算标准!$I:$J), 2, TRUE), 0))</f>
        <v/>
      </c>
      <c r="L165" t="s">
        <v>65</v>
      </c>
      <c r="T165" t="str">
        <f t="shared" si="7"/>
        <v/>
      </c>
      <c r="U165" t="str">
        <f>IF(T165="","", IFERROR(VLOOKUP(T165, IF(D165="Movers", 换算标准!$A:$B, 换算标准!$G:$H), 2, TRUE), 0))</f>
        <v/>
      </c>
      <c r="V165" t="s">
        <v>65</v>
      </c>
      <c r="W165" t="str">
        <f t="shared" si="8"/>
        <v/>
      </c>
      <c r="Z165" s="5" t="str">
        <f>IF(J165="","", IF(K165&lt;=3, "⚠️ 薄弱环节: "&amp;INDEX($E$1:$I$1, MATCH(MIN(E165:I165), E165:I165, 0))&amp;CHAR(10)&amp;"📉 考察能力: "&amp;IFERROR(VLOOKUP(TRIM(D165)&amp;"_"&amp;TRIM(INDEX($E$1:$I$1, MATCH(MIN(E165:I165), E165:I165, 0))), 技能库!$A:$F, 5, 0),"建议查阅考纲")&amp;CHAR(10)&amp;"💡 提升建议: "&amp;IFERROR(VLOOKUP(TRIM(D165)&amp;"_"&amp;TRIM(INDEX($E$1:$I$1, MATCH(MIN(E165:I165), E165:I165, 0))), 技能库!$A:$F, 6, 0),"请针对该题型加强练习"), "🎉 表现优异，无明显弱项！"))</f>
        <v/>
      </c>
      <c r="AA165" s="5" t="str">
        <f>IF(T165="","", IF(U165&lt;=3, "⚠️ 薄弱环节: "&amp;INDEX($M$1:$S$1, MATCH(MIN(M165:S165), M165:S165, 0))&amp;CHAR(10)&amp;"📉 考察能力: "&amp;IFERROR(VLOOKUP(TRIM(D165)&amp;"_"&amp;TRIM(INDEX($M$1:$S$1, MATCH(MIN(M165:S165), M165:S165, 0))), 技能库!$A:$F, 5, 0),"建议查阅考纲")&amp;CHAR(10)&amp;"💡 提升建议: "&amp;IFERROR(VLOOKUP(TRIM(D165)&amp;"_"&amp;TRIM(INDEX($M$1:$S$1, MATCH(MIN(M165:S165), M165:S165, 0))), 技能库!$A:$F, 6, 0),"请针对该题型加强练习"), "🎉 表现优异，无明显弱项！"))</f>
        <v/>
      </c>
      <c r="AB165" t="s">
        <v>304</v>
      </c>
    </row>
    <row r="166" spans="1:28" ht="18" hidden="1" customHeight="1" x14ac:dyDescent="0.2">
      <c r="J166" t="str">
        <f t="shared" si="6"/>
        <v/>
      </c>
      <c r="K166" t="str">
        <f>IF(J166="","", IFERROR(VLOOKUP(J166, IF(D166="Movers", 换算标准!$C:$D, 换算标准!$I:$J), 2, TRUE), 0))</f>
        <v/>
      </c>
      <c r="L166" t="s">
        <v>65</v>
      </c>
      <c r="T166" t="str">
        <f t="shared" si="7"/>
        <v/>
      </c>
      <c r="U166" t="str">
        <f>IF(T166="","", IFERROR(VLOOKUP(T166, IF(D166="Movers", 换算标准!$A:$B, 换算标准!$G:$H), 2, TRUE), 0))</f>
        <v/>
      </c>
      <c r="V166" t="s">
        <v>65</v>
      </c>
      <c r="W166" t="str">
        <f t="shared" si="8"/>
        <v/>
      </c>
      <c r="Z166" s="5" t="str">
        <f>IF(J166="","", IF(K166&lt;=3, "⚠️ 薄弱环节: "&amp;INDEX($E$1:$I$1, MATCH(MIN(E166:I166), E166:I166, 0))&amp;CHAR(10)&amp;"📉 考察能力: "&amp;IFERROR(VLOOKUP(TRIM(D166)&amp;"_"&amp;TRIM(INDEX($E$1:$I$1, MATCH(MIN(E166:I166), E166:I166, 0))), 技能库!$A:$F, 5, 0),"建议查阅考纲")&amp;CHAR(10)&amp;"💡 提升建议: "&amp;IFERROR(VLOOKUP(TRIM(D166)&amp;"_"&amp;TRIM(INDEX($E$1:$I$1, MATCH(MIN(E166:I166), E166:I166, 0))), 技能库!$A:$F, 6, 0),"请针对该题型加强练习"), "🎉 表现优异，无明显弱项！"))</f>
        <v/>
      </c>
      <c r="AA166" s="5" t="str">
        <f>IF(T166="","", IF(U166&lt;=3, "⚠️ 薄弱环节: "&amp;INDEX($M$1:$S$1, MATCH(MIN(M166:S166), M166:S166, 0))&amp;CHAR(10)&amp;"📉 考察能力: "&amp;IFERROR(VLOOKUP(TRIM(D166)&amp;"_"&amp;TRIM(INDEX($M$1:$S$1, MATCH(MIN(M166:S166), M166:S166, 0))), 技能库!$A:$F, 5, 0),"建议查阅考纲")&amp;CHAR(10)&amp;"💡 提升建议: "&amp;IFERROR(VLOOKUP(TRIM(D166)&amp;"_"&amp;TRIM(INDEX($M$1:$S$1, MATCH(MIN(M166:S166), M166:S166, 0))), 技能库!$A:$F, 6, 0),"请针对该题型加强练习"), "🎉 表现优异，无明显弱项！"))</f>
        <v/>
      </c>
      <c r="AB166" t="s">
        <v>304</v>
      </c>
    </row>
    <row r="167" spans="1:28" ht="18" hidden="1" customHeight="1" x14ac:dyDescent="0.2">
      <c r="J167" t="str">
        <f t="shared" si="6"/>
        <v/>
      </c>
      <c r="K167" t="str">
        <f>IF(J167="","", IFERROR(VLOOKUP(J167, IF(D167="Movers", 换算标准!$C:$D, 换算标准!$I:$J), 2, TRUE), 0))</f>
        <v/>
      </c>
      <c r="L167" t="s">
        <v>65</v>
      </c>
      <c r="T167" t="str">
        <f t="shared" si="7"/>
        <v/>
      </c>
      <c r="U167" t="str">
        <f>IF(T167="","", IFERROR(VLOOKUP(T167, IF(D167="Movers", 换算标准!$A:$B, 换算标准!$G:$H), 2, TRUE), 0))</f>
        <v/>
      </c>
      <c r="V167" t="s">
        <v>65</v>
      </c>
      <c r="W167" t="str">
        <f t="shared" si="8"/>
        <v/>
      </c>
      <c r="Z167" s="5" t="str">
        <f>IF(J167="","", IF(K167&lt;=3, "⚠️ 薄弱环节: "&amp;INDEX($E$1:$I$1, MATCH(MIN(E167:I167), E167:I167, 0))&amp;CHAR(10)&amp;"📉 考察能力: "&amp;IFERROR(VLOOKUP(TRIM(D167)&amp;"_"&amp;TRIM(INDEX($E$1:$I$1, MATCH(MIN(E167:I167), E167:I167, 0))), 技能库!$A:$F, 5, 0),"建议查阅考纲")&amp;CHAR(10)&amp;"💡 提升建议: "&amp;IFERROR(VLOOKUP(TRIM(D167)&amp;"_"&amp;TRIM(INDEX($E$1:$I$1, MATCH(MIN(E167:I167), E167:I167, 0))), 技能库!$A:$F, 6, 0),"请针对该题型加强练习"), "🎉 表现优异，无明显弱项！"))</f>
        <v/>
      </c>
      <c r="AA167" s="5" t="str">
        <f>IF(T167="","", IF(U167&lt;=3, "⚠️ 薄弱环节: "&amp;INDEX($M$1:$S$1, MATCH(MIN(M167:S167), M167:S167, 0))&amp;CHAR(10)&amp;"📉 考察能力: "&amp;IFERROR(VLOOKUP(TRIM(D167)&amp;"_"&amp;TRIM(INDEX($M$1:$S$1, MATCH(MIN(M167:S167), M167:S167, 0))), 技能库!$A:$F, 5, 0),"建议查阅考纲")&amp;CHAR(10)&amp;"💡 提升建议: "&amp;IFERROR(VLOOKUP(TRIM(D167)&amp;"_"&amp;TRIM(INDEX($M$1:$S$1, MATCH(MIN(M167:S167), M167:S167, 0))), 技能库!$A:$F, 6, 0),"请针对该题型加强练习"), "🎉 表现优异，无明显弱项！"))</f>
        <v/>
      </c>
      <c r="AB167" t="s">
        <v>304</v>
      </c>
    </row>
    <row r="168" spans="1:28" ht="18" hidden="1" customHeight="1" x14ac:dyDescent="0.2">
      <c r="A168">
        <v>304</v>
      </c>
      <c r="B168" t="s">
        <v>13</v>
      </c>
      <c r="C168" t="s">
        <v>355</v>
      </c>
      <c r="D168" t="s">
        <v>135</v>
      </c>
      <c r="E168">
        <v>4.32</v>
      </c>
      <c r="F168">
        <v>2.16</v>
      </c>
      <c r="G168">
        <v>5.4</v>
      </c>
      <c r="H168">
        <v>5.4</v>
      </c>
      <c r="I168">
        <v>5.4</v>
      </c>
      <c r="J168">
        <f t="shared" si="6"/>
        <v>22.68</v>
      </c>
      <c r="K168">
        <f>IF(J168="","", IFERROR(VLOOKUP(J168, IF(D168="Movers", 换算标准!$C:$D, 换算标准!$I:$J), 2, TRUE), 0))</f>
        <v>5</v>
      </c>
      <c r="L168" t="s">
        <v>74</v>
      </c>
      <c r="M168">
        <v>8.64</v>
      </c>
      <c r="N168">
        <v>2.16</v>
      </c>
      <c r="O168">
        <v>6.48</v>
      </c>
      <c r="P168">
        <v>6.48</v>
      </c>
      <c r="Q168">
        <v>4.32</v>
      </c>
      <c r="R168">
        <v>0</v>
      </c>
      <c r="S168">
        <v>0</v>
      </c>
      <c r="T168">
        <f t="shared" si="7"/>
        <v>28.080000000000002</v>
      </c>
      <c r="U168">
        <f>IF(T168="","", IFERROR(VLOOKUP(T168, IF(D168="Movers", 换算标准!$A:$B, 换算标准!$G:$H), 2, TRUE), 0))</f>
        <v>3</v>
      </c>
      <c r="V168" t="s">
        <v>70</v>
      </c>
      <c r="W168">
        <f t="shared" si="8"/>
        <v>8</v>
      </c>
      <c r="Z168" s="5" t="str">
        <f>IF(J168="","", IF(K168&lt;=3, "⚠️ 薄弱环节: "&amp;INDEX($E$1:$I$1, MATCH(MIN(E168:I168), E168:I168, 0))&amp;CHAR(10)&amp;"📉 考察能力: "&amp;IFERROR(VLOOKUP(TRIM(D168)&amp;"_"&amp;TRIM(INDEX($E$1:$I$1, MATCH(MIN(E168:I168), E168:I168, 0))), 技能库!$A:$F, 5, 0),"建议查阅考纲")&amp;CHAR(10)&amp;"💡 提升建议: "&amp;IFERROR(VLOOKUP(TRIM(D168)&amp;"_"&amp;TRIM(INDEX($E$1:$I$1, MATCH(MIN(E168:I168), E168:I168, 0))), 技能库!$A:$F, 6, 0),"请针对该题型加强练习"), "🎉 表现优异，无明显弱项！"))</f>
        <v>🎉 表现优异，无明显弱项！</v>
      </c>
      <c r="AA168" s="5" t="str">
        <f>IF(T168="","", IF(U168&lt;=3, "⚠️ 薄弱环节: "&amp;INDEX($M$1:$S$1, MATCH(MIN(M168:S168), M168:S168, 0))&amp;CHAR(10)&amp;"📉 考察能力: "&amp;IFERROR(VLOOKUP(TRIM(D168)&amp;"_"&amp;TRIM(INDEX($M$1:$S$1, MATCH(MIN(M168:S168), M168:S168, 0))), 技能库!$A:$F, 5, 0),"建议查阅考纲")&amp;CHAR(10)&amp;"💡 提升建议: "&amp;IFERROR(VLOOKUP(TRIM(D168)&amp;"_"&amp;TRIM(INDEX($M$1:$S$1, MATCH(MIN(M168:S168), M168:S168,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68" t="s">
        <v>410</v>
      </c>
    </row>
    <row r="169" spans="1:28" ht="18" hidden="1" customHeight="1" x14ac:dyDescent="0.2">
      <c r="A169">
        <v>302</v>
      </c>
      <c r="B169" t="s">
        <v>13</v>
      </c>
      <c r="C169" t="s">
        <v>356</v>
      </c>
      <c r="D169" t="s">
        <v>135</v>
      </c>
      <c r="E169">
        <v>4.32</v>
      </c>
      <c r="F169">
        <v>1.08</v>
      </c>
      <c r="G169">
        <v>4.32</v>
      </c>
      <c r="H169">
        <v>4.32</v>
      </c>
      <c r="I169">
        <v>5.4</v>
      </c>
      <c r="J169">
        <f t="shared" si="6"/>
        <v>19.440000000000001</v>
      </c>
      <c r="K169">
        <f>IF(J169="","", IFERROR(VLOOKUP(J169, IF(D169="Movers", 换算标准!$C:$D, 换算标准!$I:$J), 2, TRUE), 0))</f>
        <v>4</v>
      </c>
      <c r="L169" t="s">
        <v>72</v>
      </c>
      <c r="M169">
        <v>7.56</v>
      </c>
      <c r="N169">
        <v>2.16</v>
      </c>
      <c r="O169">
        <v>3.24</v>
      </c>
      <c r="P169">
        <v>7.56</v>
      </c>
      <c r="Q169">
        <v>4.32</v>
      </c>
      <c r="R169">
        <v>1.08</v>
      </c>
      <c r="S169">
        <v>4.32</v>
      </c>
      <c r="T169">
        <f t="shared" si="7"/>
        <v>30.240000000000002</v>
      </c>
      <c r="U169">
        <f>IF(T169="","", IFERROR(VLOOKUP(T169, IF(D169="Movers", 换算标准!$A:$B, 换算标准!$G:$H), 2, TRUE), 0))</f>
        <v>3</v>
      </c>
      <c r="V169" t="s">
        <v>70</v>
      </c>
      <c r="W169">
        <f t="shared" si="8"/>
        <v>7</v>
      </c>
      <c r="Z169" s="5" t="str">
        <f>IF(J169="","", IF(K169&lt;=3, "⚠️ 薄弱环节: "&amp;INDEX($E$1:$I$1, MATCH(MIN(E169:I169), E169:I169, 0))&amp;CHAR(10)&amp;"📉 考察能力: "&amp;IFERROR(VLOOKUP(TRIM(D169)&amp;"_"&amp;TRIM(INDEX($E$1:$I$1, MATCH(MIN(E169:I169), E169:I169, 0))), 技能库!$A:$F, 5, 0),"建议查阅考纲")&amp;CHAR(10)&amp;"💡 提升建议: "&amp;IFERROR(VLOOKUP(TRIM(D169)&amp;"_"&amp;TRIM(INDEX($E$1:$I$1, MATCH(MIN(E169:I169), E169:I169, 0))), 技能库!$A:$F, 6, 0),"请针对该题型加强练习"), "🎉 表现优异，无明显弱项！"))</f>
        <v>🎉 表现优异，无明显弱项！</v>
      </c>
      <c r="AA169" s="5" t="str">
        <f>IF(T169="","", IF(U169&lt;=3, "⚠️ 薄弱环节: "&amp;INDEX($M$1:$S$1, MATCH(MIN(M169:S169), M169:S169, 0))&amp;CHAR(10)&amp;"📉 考察能力: "&amp;IFERROR(VLOOKUP(TRIM(D169)&amp;"_"&amp;TRIM(INDEX($M$1:$S$1, MATCH(MIN(M169:S169), M169:S169, 0))), 技能库!$A:$F, 5, 0),"建议查阅考纲")&amp;CHAR(10)&amp;"💡 提升建议: "&amp;IFERROR(VLOOKUP(TRIM(D169)&amp;"_"&amp;TRIM(INDEX($M$1:$S$1, MATCH(MIN(M169:S169), M169:S169,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69" t="s">
        <v>410</v>
      </c>
    </row>
    <row r="170" spans="1:28" ht="18" hidden="1" customHeight="1" x14ac:dyDescent="0.2">
      <c r="A170">
        <v>304</v>
      </c>
      <c r="B170" t="s">
        <v>13</v>
      </c>
      <c r="C170" t="s">
        <v>357</v>
      </c>
      <c r="D170" t="s">
        <v>135</v>
      </c>
      <c r="E170">
        <v>4.32</v>
      </c>
      <c r="F170">
        <v>1.08</v>
      </c>
      <c r="G170">
        <v>3.24</v>
      </c>
      <c r="H170">
        <v>5.4</v>
      </c>
      <c r="I170">
        <v>5.4</v>
      </c>
      <c r="J170">
        <f t="shared" si="6"/>
        <v>19.440000000000001</v>
      </c>
      <c r="K170">
        <f>IF(J170="","", IFERROR(VLOOKUP(J170, IF(D170="Movers", 换算标准!$C:$D, 换算标准!$I:$J), 2, TRUE), 0))</f>
        <v>4</v>
      </c>
      <c r="L170" t="s">
        <v>72</v>
      </c>
      <c r="M170">
        <v>4.32</v>
      </c>
      <c r="N170">
        <v>5.4</v>
      </c>
      <c r="O170">
        <v>4.32</v>
      </c>
      <c r="P170">
        <v>3.24</v>
      </c>
      <c r="Q170">
        <v>1.08</v>
      </c>
      <c r="R170">
        <v>0</v>
      </c>
      <c r="S170">
        <v>4.32</v>
      </c>
      <c r="T170">
        <f t="shared" si="7"/>
        <v>22.68</v>
      </c>
      <c r="U170">
        <f>IF(T170="","", IFERROR(VLOOKUP(T170, IF(D170="Movers", 换算标准!$A:$B, 换算标准!$G:$H), 2, TRUE), 0))</f>
        <v>2</v>
      </c>
      <c r="V170" t="s">
        <v>68</v>
      </c>
      <c r="W170">
        <f t="shared" si="8"/>
        <v>6</v>
      </c>
      <c r="Z170" s="5" t="str">
        <f>IF(J170="","", IF(K170&lt;=3, "⚠️ 薄弱环节: "&amp;INDEX($E$1:$I$1, MATCH(MIN(E170:I170), E170:I170, 0))&amp;CHAR(10)&amp;"📉 考察能力: "&amp;IFERROR(VLOOKUP(TRIM(D170)&amp;"_"&amp;TRIM(INDEX($E$1:$I$1, MATCH(MIN(E170:I170), E170:I170, 0))), 技能库!$A:$F, 5, 0),"建议查阅考纲")&amp;CHAR(10)&amp;"💡 提升建议: "&amp;IFERROR(VLOOKUP(TRIM(D170)&amp;"_"&amp;TRIM(INDEX($E$1:$I$1, MATCH(MIN(E170:I170), E170:I170, 0))), 技能库!$A:$F, 6, 0),"请针对该题型加强练习"), "🎉 表现优异，无明显弱项！"))</f>
        <v>🎉 表现优异，无明显弱项！</v>
      </c>
      <c r="AA170" s="5" t="str">
        <f>IF(T170="","", IF(U170&lt;=3, "⚠️ 薄弱环节: "&amp;INDEX($M$1:$S$1, MATCH(MIN(M170:S170), M170:S170, 0))&amp;CHAR(10)&amp;"📉 考察能力: "&amp;IFERROR(VLOOKUP(TRIM(D170)&amp;"_"&amp;TRIM(INDEX($M$1:$S$1, MATCH(MIN(M170:S170), M170:S170, 0))), 技能库!$A:$F, 5, 0),"建议查阅考纲")&amp;CHAR(10)&amp;"💡 提升建议: "&amp;IFERROR(VLOOKUP(TRIM(D170)&amp;"_"&amp;TRIM(INDEX($M$1:$S$1, MATCH(MIN(M170:S170), M170:S170,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70" t="s">
        <v>410</v>
      </c>
    </row>
    <row r="171" spans="1:28" ht="18" hidden="1" customHeight="1" x14ac:dyDescent="0.2">
      <c r="A171">
        <v>302</v>
      </c>
      <c r="B171" t="s">
        <v>13</v>
      </c>
      <c r="C171" t="s">
        <v>358</v>
      </c>
      <c r="D171" t="s">
        <v>135</v>
      </c>
      <c r="E171">
        <v>5.4</v>
      </c>
      <c r="F171">
        <v>1.08</v>
      </c>
      <c r="G171">
        <v>2.16</v>
      </c>
      <c r="H171">
        <v>4.32</v>
      </c>
      <c r="I171">
        <v>5.4</v>
      </c>
      <c r="J171">
        <f t="shared" si="6"/>
        <v>18.36</v>
      </c>
      <c r="K171">
        <f>IF(J171="","", IFERROR(VLOOKUP(J171, IF(D171="Movers", 换算标准!$C:$D, 换算标准!$I:$J), 2, TRUE), 0))</f>
        <v>4</v>
      </c>
      <c r="L171" t="s">
        <v>70</v>
      </c>
      <c r="M171">
        <v>8.64</v>
      </c>
      <c r="N171">
        <v>2.16</v>
      </c>
      <c r="O171">
        <v>6.48</v>
      </c>
      <c r="P171">
        <v>8.64</v>
      </c>
      <c r="Q171">
        <v>5.4</v>
      </c>
      <c r="R171">
        <v>1.08</v>
      </c>
      <c r="S171">
        <v>4.32</v>
      </c>
      <c r="T171">
        <f t="shared" si="7"/>
        <v>36.72</v>
      </c>
      <c r="U171">
        <f>IF(T171="","", IFERROR(VLOOKUP(T171, IF(D171="Movers", 换算标准!$A:$B, 换算标准!$G:$H), 2, TRUE), 0))</f>
        <v>4</v>
      </c>
      <c r="V171" t="s">
        <v>70</v>
      </c>
      <c r="W171">
        <f t="shared" si="8"/>
        <v>8</v>
      </c>
      <c r="Z171" s="5" t="str">
        <f>IF(J171="","", IF(K171&lt;=3, "⚠️ 薄弱环节: "&amp;INDEX($E$1:$I$1, MATCH(MIN(E171:I171), E171:I171, 0))&amp;CHAR(10)&amp;"📉 考察能力: "&amp;IFERROR(VLOOKUP(TRIM(D171)&amp;"_"&amp;TRIM(INDEX($E$1:$I$1, MATCH(MIN(E171:I171), E171:I171, 0))), 技能库!$A:$F, 5, 0),"建议查阅考纲")&amp;CHAR(10)&amp;"💡 提升建议: "&amp;IFERROR(VLOOKUP(TRIM(D171)&amp;"_"&amp;TRIM(INDEX($E$1:$I$1, MATCH(MIN(E171:I171), E171:I171, 0))), 技能库!$A:$F, 6, 0),"请针对该题型加强练习"), "🎉 表现优异，无明显弱项！"))</f>
        <v>🎉 表现优异，无明显弱项！</v>
      </c>
      <c r="AA171" s="5" t="str">
        <f>IF(T171="","", IF(U171&lt;=3, "⚠️ 薄弱环节: "&amp;INDEX($M$1:$S$1, MATCH(MIN(M171:S171), M171:S171, 0))&amp;CHAR(10)&amp;"📉 考察能力: "&amp;IFERROR(VLOOKUP(TRIM(D171)&amp;"_"&amp;TRIM(INDEX($M$1:$S$1, MATCH(MIN(M171:S171), M171:S171, 0))), 技能库!$A:$F, 5, 0),"建议查阅考纲")&amp;CHAR(10)&amp;"💡 提升建议: "&amp;IFERROR(VLOOKUP(TRIM(D171)&amp;"_"&amp;TRIM(INDEX($M$1:$S$1, MATCH(MIN(M171:S171), M171:S171, 0))), 技能库!$A:$F, 6, 0),"请针对该题型加强练习"), "🎉 表现优异，无明显弱项！"))</f>
        <v>🎉 表现优异，无明显弱项！</v>
      </c>
      <c r="AB171" t="s">
        <v>410</v>
      </c>
    </row>
    <row r="172" spans="1:28" ht="18" hidden="1" customHeight="1" x14ac:dyDescent="0.2">
      <c r="A172">
        <v>306</v>
      </c>
      <c r="B172" t="s">
        <v>13</v>
      </c>
      <c r="C172" t="s">
        <v>359</v>
      </c>
      <c r="D172" t="s">
        <v>135</v>
      </c>
      <c r="E172">
        <v>5.4</v>
      </c>
      <c r="F172">
        <v>1.08</v>
      </c>
      <c r="G172">
        <v>5.4</v>
      </c>
      <c r="H172">
        <v>5.4</v>
      </c>
      <c r="I172">
        <v>5.4</v>
      </c>
      <c r="J172">
        <f t="shared" si="6"/>
        <v>22.68</v>
      </c>
      <c r="K172">
        <f>IF(J172="","", IFERROR(VLOOKUP(J172, IF(D172="Movers", 换算标准!$C:$D, 换算标准!$I:$J), 2, TRUE), 0))</f>
        <v>5</v>
      </c>
      <c r="L172" t="s">
        <v>74</v>
      </c>
      <c r="M172">
        <v>9.7200000000000006</v>
      </c>
      <c r="N172">
        <v>1.08</v>
      </c>
      <c r="O172">
        <v>6.48</v>
      </c>
      <c r="P172">
        <v>10.8</v>
      </c>
      <c r="Q172">
        <v>3.24</v>
      </c>
      <c r="R172">
        <v>2.16</v>
      </c>
      <c r="S172">
        <v>4.32</v>
      </c>
      <c r="T172">
        <f t="shared" si="7"/>
        <v>37.800000000000004</v>
      </c>
      <c r="U172">
        <f>IF(T172="","", IFERROR(VLOOKUP(T172, IF(D172="Movers", 换算标准!$A:$B, 换算标准!$G:$H), 2, TRUE), 0))</f>
        <v>4</v>
      </c>
      <c r="V172" t="s">
        <v>70</v>
      </c>
      <c r="W172">
        <f t="shared" si="8"/>
        <v>9</v>
      </c>
      <c r="Z172" s="5" t="str">
        <f>IF(J172="","", IF(K172&lt;=3, "⚠️ 薄弱环节: "&amp;INDEX($E$1:$I$1, MATCH(MIN(E172:I172), E172:I172, 0))&amp;CHAR(10)&amp;"📉 考察能力: "&amp;IFERROR(VLOOKUP(TRIM(D172)&amp;"_"&amp;TRIM(INDEX($E$1:$I$1, MATCH(MIN(E172:I172), E172:I172, 0))), 技能库!$A:$F, 5, 0),"建议查阅考纲")&amp;CHAR(10)&amp;"💡 提升建议: "&amp;IFERROR(VLOOKUP(TRIM(D172)&amp;"_"&amp;TRIM(INDEX($E$1:$I$1, MATCH(MIN(E172:I172), E172:I172, 0))), 技能库!$A:$F, 6, 0),"请针对该题型加强练习"), "🎉 表现优异，无明显弱项！"))</f>
        <v>🎉 表现优异，无明显弱项！</v>
      </c>
      <c r="AA172" s="5" t="str">
        <f>IF(T172="","", IF(U172&lt;=3, "⚠️ 薄弱环节: "&amp;INDEX($M$1:$S$1, MATCH(MIN(M172:S172), M172:S172, 0))&amp;CHAR(10)&amp;"📉 考察能力: "&amp;IFERROR(VLOOKUP(TRIM(D172)&amp;"_"&amp;TRIM(INDEX($M$1:$S$1, MATCH(MIN(M172:S172), M172:S172, 0))), 技能库!$A:$F, 5, 0),"建议查阅考纲")&amp;CHAR(10)&amp;"💡 提升建议: "&amp;IFERROR(VLOOKUP(TRIM(D172)&amp;"_"&amp;TRIM(INDEX($M$1:$S$1, MATCH(MIN(M172:S172), M172:S172, 0))), 技能库!$A:$F, 6, 0),"请针对该题型加强练习"), "🎉 表现优异，无明显弱项！"))</f>
        <v>🎉 表现优异，无明显弱项！</v>
      </c>
      <c r="AB172" t="s">
        <v>410</v>
      </c>
    </row>
    <row r="173" spans="1:28" ht="18" hidden="1" customHeight="1" x14ac:dyDescent="0.2">
      <c r="A173">
        <v>304</v>
      </c>
      <c r="B173" t="s">
        <v>13</v>
      </c>
      <c r="C173" t="s">
        <v>360</v>
      </c>
      <c r="D173" t="s">
        <v>135</v>
      </c>
      <c r="E173">
        <v>5.4</v>
      </c>
      <c r="F173">
        <v>1.08</v>
      </c>
      <c r="G173">
        <v>5.4</v>
      </c>
      <c r="H173">
        <v>5.4</v>
      </c>
      <c r="I173">
        <v>4.32</v>
      </c>
      <c r="J173">
        <f t="shared" si="6"/>
        <v>21.6</v>
      </c>
      <c r="K173">
        <f>IF(J173="","", IFERROR(VLOOKUP(J173, IF(D173="Movers", 换算标准!$C:$D, 换算标准!$I:$J), 2, TRUE), 0))</f>
        <v>5</v>
      </c>
      <c r="L173" t="s">
        <v>72</v>
      </c>
      <c r="M173">
        <v>8.64</v>
      </c>
      <c r="N173">
        <v>2.16</v>
      </c>
      <c r="O173">
        <v>0</v>
      </c>
      <c r="P173">
        <v>8.64</v>
      </c>
      <c r="Q173">
        <v>0</v>
      </c>
      <c r="R173">
        <v>2.16</v>
      </c>
      <c r="S173">
        <v>4.32</v>
      </c>
      <c r="T173">
        <f t="shared" si="7"/>
        <v>25.92</v>
      </c>
      <c r="U173">
        <f>IF(T173="","", IFERROR(VLOOKUP(T173, IF(D173="Movers", 换算标准!$A:$B, 换算标准!$G:$H), 2, TRUE), 0))</f>
        <v>3</v>
      </c>
      <c r="V173" t="s">
        <v>70</v>
      </c>
      <c r="W173">
        <f t="shared" si="8"/>
        <v>8</v>
      </c>
      <c r="Z173" s="5" t="str">
        <f>IF(J173="","", IF(K173&lt;=3, "⚠️ 薄弱环节: "&amp;INDEX($E$1:$I$1, MATCH(MIN(E173:I173), E173:I173, 0))&amp;CHAR(10)&amp;"📉 考察能力: "&amp;IFERROR(VLOOKUP(TRIM(D173)&amp;"_"&amp;TRIM(INDEX($E$1:$I$1, MATCH(MIN(E173:I173), E173:I173, 0))), 技能库!$A:$F, 5, 0),"建议查阅考纲")&amp;CHAR(10)&amp;"💡 提升建议: "&amp;IFERROR(VLOOKUP(TRIM(D173)&amp;"_"&amp;TRIM(INDEX($E$1:$I$1, MATCH(MIN(E173:I173), E173:I173, 0))), 技能库!$A:$F, 6, 0),"请针对该题型加强练习"), "🎉 表现优异，无明显弱项！"))</f>
        <v>🎉 表现优异，无明显弱项！</v>
      </c>
      <c r="AA173" s="5" t="str">
        <f>IF(T173="","", IF(U173&lt;=3, "⚠️ 薄弱环节: "&amp;INDEX($M$1:$S$1, MATCH(MIN(M173:S173), M173:S173, 0))&amp;CHAR(10)&amp;"📉 考察能力: "&amp;IFERROR(VLOOKUP(TRIM(D173)&amp;"_"&amp;TRIM(INDEX($M$1:$S$1, MATCH(MIN(M173:S173), M173:S173, 0))), 技能库!$A:$F, 5, 0),"建议查阅考纲")&amp;CHAR(10)&amp;"💡 提升建议: "&amp;IFERROR(VLOOKUP(TRIM(D173)&amp;"_"&amp;TRIM(INDEX($M$1:$S$1, MATCH(MIN(M173:S173), M173:S173, 0))), 技能库!$A:$F, 6, 0),"请针对该题型加强练习"), "🎉 表现优异，无明显弱项！"))</f>
        <v>⚠️ 薄弱环节: RW-Pt3
📉 考察能力: [读写] 完形填空 (选词)
💡 提升建议: 考察词汇辨析和固定搭配，注意上下文连贯性。</v>
      </c>
      <c r="AB173" t="s">
        <v>410</v>
      </c>
    </row>
    <row r="174" spans="1:28" ht="18" hidden="1" customHeight="1" x14ac:dyDescent="0.2">
      <c r="A174">
        <v>304</v>
      </c>
      <c r="B174" t="s">
        <v>13</v>
      </c>
      <c r="C174" t="s">
        <v>361</v>
      </c>
      <c r="D174" t="s">
        <v>135</v>
      </c>
      <c r="E174">
        <v>5.4</v>
      </c>
      <c r="F174">
        <v>2.16</v>
      </c>
      <c r="G174">
        <v>4.32</v>
      </c>
      <c r="H174">
        <v>4.32</v>
      </c>
      <c r="I174">
        <v>5.4</v>
      </c>
      <c r="J174">
        <f t="shared" si="6"/>
        <v>21.6</v>
      </c>
      <c r="K174">
        <f>IF(J174="","", IFERROR(VLOOKUP(J174, IF(D174="Movers", 换算标准!$C:$D, 换算标准!$I:$J), 2, TRUE), 0))</f>
        <v>5</v>
      </c>
      <c r="L174" t="s">
        <v>72</v>
      </c>
      <c r="M174">
        <v>4.32</v>
      </c>
      <c r="N174">
        <v>2.16</v>
      </c>
      <c r="O174">
        <v>6.48</v>
      </c>
      <c r="P174">
        <v>8.64</v>
      </c>
      <c r="Q174">
        <v>0</v>
      </c>
      <c r="R174">
        <v>1.08</v>
      </c>
      <c r="S174">
        <v>3.24</v>
      </c>
      <c r="T174">
        <f t="shared" si="7"/>
        <v>25.92</v>
      </c>
      <c r="U174">
        <f>IF(T174="","", IFERROR(VLOOKUP(T174, IF(D174="Movers", 换算标准!$A:$B, 换算标准!$G:$H), 2, TRUE), 0))</f>
        <v>3</v>
      </c>
      <c r="V174" t="s">
        <v>70</v>
      </c>
      <c r="W174">
        <f t="shared" si="8"/>
        <v>8</v>
      </c>
      <c r="Z174" s="5" t="str">
        <f>IF(J174="","", IF(K174&lt;=3, "⚠️ 薄弱环节: "&amp;INDEX($E$1:$I$1, MATCH(MIN(E174:I174), E174:I174, 0))&amp;CHAR(10)&amp;"📉 考察能力: "&amp;IFERROR(VLOOKUP(TRIM(D174)&amp;"_"&amp;TRIM(INDEX($E$1:$I$1, MATCH(MIN(E174:I174), E174:I174, 0))), 技能库!$A:$F, 5, 0),"建议查阅考纲")&amp;CHAR(10)&amp;"💡 提升建议: "&amp;IFERROR(VLOOKUP(TRIM(D174)&amp;"_"&amp;TRIM(INDEX($E$1:$I$1, MATCH(MIN(E174:I174), E174:I174, 0))), 技能库!$A:$F, 6, 0),"请针对该题型加强练习"), "🎉 表现优异，无明显弱项！"))</f>
        <v>🎉 表现优异，无明显弱项！</v>
      </c>
      <c r="AA174" s="5" t="str">
        <f>IF(T174="","", IF(U174&lt;=3, "⚠️ 薄弱环节: "&amp;INDEX($M$1:$S$1, MATCH(MIN(M174:S174), M174:S174, 0))&amp;CHAR(10)&amp;"📉 考察能力: "&amp;IFERROR(VLOOKUP(TRIM(D174)&amp;"_"&amp;TRIM(INDEX($M$1:$S$1, MATCH(MIN(M174:S174), M174:S174, 0))), 技能库!$A:$F, 5, 0),"建议查阅考纲")&amp;CHAR(10)&amp;"💡 提升建议: "&amp;IFERROR(VLOOKUP(TRIM(D174)&amp;"_"&amp;TRIM(INDEX($M$1:$S$1, MATCH(MIN(M174:S174), M174:S174, 0))), 技能库!$A:$F, 6, 0),"请针对该题型加强练习"), "🎉 表现优异，无明显弱项！"))</f>
        <v>⚠️ 薄弱环节: RW-Pt5
📉 考察能力: [读写] 阅读故事补全句子
💡 提升建议: 概括能力要求提升，需归纳文章信息来填空。</v>
      </c>
      <c r="AB174" t="s">
        <v>410</v>
      </c>
    </row>
    <row r="175" spans="1:28" ht="18" hidden="1" customHeight="1" x14ac:dyDescent="0.2">
      <c r="A175">
        <v>304</v>
      </c>
      <c r="B175" t="s">
        <v>13</v>
      </c>
      <c r="C175" t="s">
        <v>362</v>
      </c>
      <c r="D175" t="s">
        <v>135</v>
      </c>
      <c r="E175">
        <v>5.4</v>
      </c>
      <c r="F175">
        <v>3.24</v>
      </c>
      <c r="G175">
        <v>4.32</v>
      </c>
      <c r="H175">
        <v>4.32</v>
      </c>
      <c r="I175">
        <v>5.4</v>
      </c>
      <c r="J175">
        <f t="shared" si="6"/>
        <v>22.68</v>
      </c>
      <c r="K175">
        <f>IF(J175="","", IFERROR(VLOOKUP(J175, IF(D175="Movers", 换算标准!$C:$D, 换算标准!$I:$J), 2, TRUE), 0))</f>
        <v>5</v>
      </c>
      <c r="L175" t="s">
        <v>74</v>
      </c>
      <c r="M175">
        <v>6.48</v>
      </c>
      <c r="N175">
        <v>2.16</v>
      </c>
      <c r="O175">
        <v>6.48</v>
      </c>
      <c r="P175">
        <v>9.7200000000000006</v>
      </c>
      <c r="Q175">
        <v>3.24</v>
      </c>
      <c r="R175">
        <v>1.08</v>
      </c>
      <c r="S175">
        <v>4.32</v>
      </c>
      <c r="T175">
        <f t="shared" si="7"/>
        <v>33.480000000000004</v>
      </c>
      <c r="U175">
        <f>IF(T175="","", IFERROR(VLOOKUP(T175, IF(D175="Movers", 换算标准!$A:$B, 换算标准!$G:$H), 2, TRUE), 0))</f>
        <v>3</v>
      </c>
      <c r="V175" t="s">
        <v>70</v>
      </c>
      <c r="W175">
        <f t="shared" si="8"/>
        <v>8</v>
      </c>
      <c r="Z175" s="5" t="str">
        <f>IF(J175="","", IF(K175&lt;=3, "⚠️ 薄弱环节: "&amp;INDEX($E$1:$I$1, MATCH(MIN(E175:I175), E175:I175, 0))&amp;CHAR(10)&amp;"📉 考察能力: "&amp;IFERROR(VLOOKUP(TRIM(D175)&amp;"_"&amp;TRIM(INDEX($E$1:$I$1, MATCH(MIN(E175:I175), E175:I175, 0))), 技能库!$A:$F, 5, 0),"建议查阅考纲")&amp;CHAR(10)&amp;"💡 提升建议: "&amp;IFERROR(VLOOKUP(TRIM(D175)&amp;"_"&amp;TRIM(INDEX($E$1:$I$1, MATCH(MIN(E175:I175), E175:I175, 0))), 技能库!$A:$F, 6, 0),"请针对该题型加强练习"), "🎉 表现优异，无明显弱项！"))</f>
        <v>🎉 表现优异，无明显弱项！</v>
      </c>
      <c r="AA175" s="5" t="str">
        <f>IF(T175="","", IF(U175&lt;=3, "⚠️ 薄弱环节: "&amp;INDEX($M$1:$S$1, MATCH(MIN(M175:S175), M175:S175, 0))&amp;CHAR(10)&amp;"📉 考察能力: "&amp;IFERROR(VLOOKUP(TRIM(D175)&amp;"_"&amp;TRIM(INDEX($M$1:$S$1, MATCH(MIN(M175:S175), M175:S175, 0))), 技能库!$A:$F, 5, 0),"建议查阅考纲")&amp;CHAR(10)&amp;"💡 提升建议: "&amp;IFERROR(VLOOKUP(TRIM(D175)&amp;"_"&amp;TRIM(INDEX($M$1:$S$1, MATCH(MIN(M175:S175), M175:S175, 0))), 技能库!$A:$F, 6, 0),"请针对该题型加强练习"), "🎉 表现优异，无明显弱项！"))</f>
        <v>⚠️ 薄弱环节: RW-Pt6
📉 考察能力: [读写] 完形填空 (无选项)
💡 提升建议: 类似于Part 4，但通常考察更具功能性的语法点。</v>
      </c>
      <c r="AB175" t="s">
        <v>410</v>
      </c>
    </row>
    <row r="176" spans="1:28" ht="18" hidden="1" customHeight="1" x14ac:dyDescent="0.2">
      <c r="J176" t="str">
        <f t="shared" si="6"/>
        <v/>
      </c>
      <c r="K176" t="str">
        <f>IF(J176="","", IFERROR(VLOOKUP(J176, IF(D176="Movers", 换算标准!$C:$D, 换算标准!$I:$J), 2, TRUE), 0))</f>
        <v/>
      </c>
      <c r="T176" t="str">
        <f t="shared" si="7"/>
        <v/>
      </c>
      <c r="U176" t="str">
        <f>IF(T176="","", IFERROR(VLOOKUP(T176, IF(D176="Movers", 换算标准!$A:$B, 换算标准!$G:$H), 2, TRUE), 0))</f>
        <v/>
      </c>
      <c r="W176" t="str">
        <f t="shared" si="8"/>
        <v/>
      </c>
      <c r="Z176" s="5" t="str">
        <f>IF(J176="","", IF(K176&lt;=3, "⚠️ 薄弱环节: "&amp;INDEX($E$1:$I$1, MATCH(MIN(E176:I176), E176:I176, 0))&amp;CHAR(10)&amp;"📉 考察能力: "&amp;IFERROR(VLOOKUP(TRIM(D176)&amp;"_"&amp;TRIM(INDEX($E$1:$I$1, MATCH(MIN(E176:I176), E176:I176, 0))), 技能库!$A:$F, 5, 0),"建议查阅考纲")&amp;CHAR(10)&amp;"💡 提升建议: "&amp;IFERROR(VLOOKUP(TRIM(D176)&amp;"_"&amp;TRIM(INDEX($E$1:$I$1, MATCH(MIN(E176:I176), E176:I176, 0))), 技能库!$A:$F, 6, 0),"请针对该题型加强练习"), "🎉 表现优异，无明显弱项！"))</f>
        <v/>
      </c>
      <c r="AA176" s="5" t="str">
        <f>IF(T176="","", IF(U176&lt;=3, "⚠️ 薄弱环节: "&amp;INDEX($M$1:$S$1, MATCH(MIN(M176:S176), M176:S176, 0))&amp;CHAR(10)&amp;"📉 考察能力: "&amp;IFERROR(VLOOKUP(TRIM(D176)&amp;"_"&amp;TRIM(INDEX($M$1:$S$1, MATCH(MIN(M176:S176), M176:S176, 0))), 技能库!$A:$F, 5, 0),"建议查阅考纲")&amp;CHAR(10)&amp;"💡 提升建议: "&amp;IFERROR(VLOOKUP(TRIM(D176)&amp;"_"&amp;TRIM(INDEX($M$1:$S$1, MATCH(MIN(M176:S176), M176:S176, 0))), 技能库!$A:$F, 6, 0),"请针对该题型加强练习"), "🎉 表现优异，无明显弱项！"))</f>
        <v/>
      </c>
    </row>
    <row r="177" spans="10:27" ht="18" hidden="1" customHeight="1" x14ac:dyDescent="0.2">
      <c r="J177" t="str">
        <f t="shared" si="6"/>
        <v/>
      </c>
      <c r="K177" t="str">
        <f>IF(J177="","", IFERROR(VLOOKUP(J177, IF(D177="Movers", 换算标准!$C:$D, 换算标准!$I:$J), 2, TRUE), 0))</f>
        <v/>
      </c>
      <c r="T177" t="str">
        <f t="shared" si="7"/>
        <v/>
      </c>
      <c r="U177" t="str">
        <f>IF(T177="","", IFERROR(VLOOKUP(T177, IF(D177="Movers", 换算标准!$A:$B, 换算标准!$G:$H), 2, TRUE), 0))</f>
        <v/>
      </c>
      <c r="W177" t="str">
        <f t="shared" si="8"/>
        <v/>
      </c>
      <c r="Z177" s="5" t="str">
        <f>IF(J177="","", IF(K177&lt;=3, "⚠️ 薄弱环节: "&amp;INDEX($E$1:$I$1, MATCH(MIN(E177:I177), E177:I177, 0))&amp;CHAR(10)&amp;"📉 考察能力: "&amp;IFERROR(VLOOKUP(TRIM(D177)&amp;"_"&amp;TRIM(INDEX($E$1:$I$1, MATCH(MIN(E177:I177), E177:I177, 0))), 技能库!$A:$F, 5, 0),"建议查阅考纲")&amp;CHAR(10)&amp;"💡 提升建议: "&amp;IFERROR(VLOOKUP(TRIM(D177)&amp;"_"&amp;TRIM(INDEX($E$1:$I$1, MATCH(MIN(E177:I177), E177:I177, 0))), 技能库!$A:$F, 6, 0),"请针对该题型加强练习"), "🎉 表现优异，无明显弱项！"))</f>
        <v/>
      </c>
      <c r="AA177" s="5" t="str">
        <f>IF(T177="","", IF(U177&lt;=3, "⚠️ 薄弱环节: "&amp;INDEX($M$1:$S$1, MATCH(MIN(M177:S177), M177:S177, 0))&amp;CHAR(10)&amp;"📉 考察能力: "&amp;IFERROR(VLOOKUP(TRIM(D177)&amp;"_"&amp;TRIM(INDEX($M$1:$S$1, MATCH(MIN(M177:S177), M177:S177, 0))), 技能库!$A:$F, 5, 0),"建议查阅考纲")&amp;CHAR(10)&amp;"💡 提升建议: "&amp;IFERROR(VLOOKUP(TRIM(D177)&amp;"_"&amp;TRIM(INDEX($M$1:$S$1, MATCH(MIN(M177:S177), M177:S177, 0))), 技能库!$A:$F, 6, 0),"请针对该题型加强练习"), "🎉 表现优异，无明显弱项！"))</f>
        <v/>
      </c>
    </row>
    <row r="178" spans="10:27" ht="18" hidden="1" customHeight="1" x14ac:dyDescent="0.2">
      <c r="J178" t="str">
        <f t="shared" si="6"/>
        <v/>
      </c>
      <c r="K178" t="str">
        <f>IF(J178="","", IFERROR(VLOOKUP(J178, IF(D178="Movers", 换算标准!$C:$D, 换算标准!$I:$J), 2, TRUE), 0))</f>
        <v/>
      </c>
      <c r="T178" t="str">
        <f t="shared" si="7"/>
        <v/>
      </c>
      <c r="U178" t="str">
        <f>IF(T178="","", IFERROR(VLOOKUP(T178, IF(D178="Movers", 换算标准!$A:$B, 换算标准!$G:$H), 2, TRUE), 0))</f>
        <v/>
      </c>
      <c r="W178" t="str">
        <f t="shared" si="8"/>
        <v/>
      </c>
      <c r="Z178" s="5" t="str">
        <f>IF(J178="","", IF(K178&lt;=3, "⚠️ 薄弱环节: "&amp;INDEX($E$1:$I$1, MATCH(MIN(E178:I178), E178:I178, 0))&amp;CHAR(10)&amp;"📉 考察能力: "&amp;IFERROR(VLOOKUP(TRIM(D178)&amp;"_"&amp;TRIM(INDEX($E$1:$I$1, MATCH(MIN(E178:I178), E178:I178, 0))), 技能库!$A:$F, 5, 0),"建议查阅考纲")&amp;CHAR(10)&amp;"💡 提升建议: "&amp;IFERROR(VLOOKUP(TRIM(D178)&amp;"_"&amp;TRIM(INDEX($E$1:$I$1, MATCH(MIN(E178:I178), E178:I178, 0))), 技能库!$A:$F, 6, 0),"请针对该题型加强练习"), "🎉 表现优异，无明显弱项！"))</f>
        <v/>
      </c>
      <c r="AA178" s="5" t="str">
        <f>IF(T178="","", IF(U178&lt;=3, "⚠️ 薄弱环节: "&amp;INDEX($M$1:$S$1, MATCH(MIN(M178:S178), M178:S178, 0))&amp;CHAR(10)&amp;"📉 考察能力: "&amp;IFERROR(VLOOKUP(TRIM(D178)&amp;"_"&amp;TRIM(INDEX($M$1:$S$1, MATCH(MIN(M178:S178), M178:S178, 0))), 技能库!$A:$F, 5, 0),"建议查阅考纲")&amp;CHAR(10)&amp;"💡 提升建议: "&amp;IFERROR(VLOOKUP(TRIM(D178)&amp;"_"&amp;TRIM(INDEX($M$1:$S$1, MATCH(MIN(M178:S178), M178:S178, 0))), 技能库!$A:$F, 6, 0),"请针对该题型加强练习"), "🎉 表现优异，无明显弱项！"))</f>
        <v/>
      </c>
    </row>
    <row r="179" spans="10:27" ht="18" hidden="1" customHeight="1" x14ac:dyDescent="0.2">
      <c r="J179" t="str">
        <f t="shared" si="6"/>
        <v/>
      </c>
      <c r="K179" t="str">
        <f>IF(J179="","", IFERROR(VLOOKUP(J179, IF(D179="Movers", 换算标准!$C:$D, 换算标准!$I:$J), 2, TRUE), 0))</f>
        <v/>
      </c>
      <c r="T179" t="str">
        <f t="shared" si="7"/>
        <v/>
      </c>
      <c r="U179" t="str">
        <f>IF(T179="","", IFERROR(VLOOKUP(T179, IF(D179="Movers", 换算标准!$A:$B, 换算标准!$G:$H), 2, TRUE), 0))</f>
        <v/>
      </c>
      <c r="W179" t="str">
        <f t="shared" si="8"/>
        <v/>
      </c>
      <c r="Z179" s="5" t="str">
        <f>IF(J179="","", IF(K179&lt;=3, "⚠️ 薄弱环节: "&amp;INDEX($E$1:$I$1, MATCH(MIN(E179:I179), E179:I179, 0))&amp;CHAR(10)&amp;"📉 考察能力: "&amp;IFERROR(VLOOKUP(TRIM(D179)&amp;"_"&amp;TRIM(INDEX($E$1:$I$1, MATCH(MIN(E179:I179), E179:I179, 0))), 技能库!$A:$F, 5, 0),"建议查阅考纲")&amp;CHAR(10)&amp;"💡 提升建议: "&amp;IFERROR(VLOOKUP(TRIM(D179)&amp;"_"&amp;TRIM(INDEX($E$1:$I$1, MATCH(MIN(E179:I179), E179:I179, 0))), 技能库!$A:$F, 6, 0),"请针对该题型加强练习"), "🎉 表现优异，无明显弱项！"))</f>
        <v/>
      </c>
      <c r="AA179" s="5" t="str">
        <f>IF(T179="","", IF(U179&lt;=3, "⚠️ 薄弱环节: "&amp;INDEX($M$1:$S$1, MATCH(MIN(M179:S179), M179:S179, 0))&amp;CHAR(10)&amp;"📉 考察能力: "&amp;IFERROR(VLOOKUP(TRIM(D179)&amp;"_"&amp;TRIM(INDEX($M$1:$S$1, MATCH(MIN(M179:S179), M179:S179, 0))), 技能库!$A:$F, 5, 0),"建议查阅考纲")&amp;CHAR(10)&amp;"💡 提升建议: "&amp;IFERROR(VLOOKUP(TRIM(D179)&amp;"_"&amp;TRIM(INDEX($M$1:$S$1, MATCH(MIN(M179:S179), M179:S179, 0))), 技能库!$A:$F, 6, 0),"请针对该题型加强练习"), "🎉 表现优异，无明显弱项！"))</f>
        <v/>
      </c>
    </row>
    <row r="180" spans="10:27" ht="18" hidden="1" customHeight="1" x14ac:dyDescent="0.2">
      <c r="J180" t="str">
        <f t="shared" si="6"/>
        <v/>
      </c>
      <c r="K180" t="str">
        <f>IF(J180="","", IFERROR(VLOOKUP(J180, IF(D180="Movers", 换算标准!$C:$D, 换算标准!$I:$J), 2, TRUE), 0))</f>
        <v/>
      </c>
      <c r="T180" t="str">
        <f t="shared" si="7"/>
        <v/>
      </c>
      <c r="U180" t="str">
        <f>IF(T180="","", IFERROR(VLOOKUP(T180, IF(D180="Movers", 换算标准!$A:$B, 换算标准!$G:$H), 2, TRUE), 0))</f>
        <v/>
      </c>
      <c r="W180" t="str">
        <f t="shared" si="8"/>
        <v/>
      </c>
      <c r="Z180" s="5" t="str">
        <f>IF(J180="","", IF(K180&lt;=3, "⚠️ 薄弱环节: "&amp;INDEX($E$1:$I$1, MATCH(MIN(E180:I180), E180:I180, 0))&amp;CHAR(10)&amp;"📉 考察能力: "&amp;IFERROR(VLOOKUP(TRIM(D180)&amp;"_"&amp;TRIM(INDEX($E$1:$I$1, MATCH(MIN(E180:I180), E180:I180, 0))), 技能库!$A:$F, 5, 0),"建议查阅考纲")&amp;CHAR(10)&amp;"💡 提升建议: "&amp;IFERROR(VLOOKUP(TRIM(D180)&amp;"_"&amp;TRIM(INDEX($E$1:$I$1, MATCH(MIN(E180:I180), E180:I180, 0))), 技能库!$A:$F, 6, 0),"请针对该题型加强练习"), "🎉 表现优异，无明显弱项！"))</f>
        <v/>
      </c>
      <c r="AA180" s="5" t="str">
        <f>IF(T180="","", IF(U180&lt;=3, "⚠️ 薄弱环节: "&amp;INDEX($M$1:$S$1, MATCH(MIN(M180:S180), M180:S180, 0))&amp;CHAR(10)&amp;"📉 考察能力: "&amp;IFERROR(VLOOKUP(TRIM(D180)&amp;"_"&amp;TRIM(INDEX($M$1:$S$1, MATCH(MIN(M180:S180), M180:S180, 0))), 技能库!$A:$F, 5, 0),"建议查阅考纲")&amp;CHAR(10)&amp;"💡 提升建议: "&amp;IFERROR(VLOOKUP(TRIM(D180)&amp;"_"&amp;TRIM(INDEX($M$1:$S$1, MATCH(MIN(M180:S180), M180:S180, 0))), 技能库!$A:$F, 6, 0),"请针对该题型加强练习"), "🎉 表现优异，无明显弱项！"))</f>
        <v/>
      </c>
    </row>
    <row r="181" spans="10:27" ht="18" hidden="1" customHeight="1" x14ac:dyDescent="0.2">
      <c r="J181" t="str">
        <f t="shared" si="6"/>
        <v/>
      </c>
      <c r="K181" t="str">
        <f>IF(J181="","", IFERROR(VLOOKUP(J181, IF(D181="Movers", 换算标准!$C:$D, 换算标准!$I:$J), 2, TRUE), 0))</f>
        <v/>
      </c>
      <c r="T181" t="str">
        <f t="shared" si="7"/>
        <v/>
      </c>
      <c r="U181" t="str">
        <f>IF(T181="","", IFERROR(VLOOKUP(T181, IF(D181="Movers", 换算标准!$A:$B, 换算标准!$G:$H), 2, TRUE), 0))</f>
        <v/>
      </c>
      <c r="W181" t="str">
        <f t="shared" si="8"/>
        <v/>
      </c>
      <c r="Z181" s="5" t="str">
        <f>IF(J181="","", IF(K181&lt;=3, "⚠️ 薄弱环节: "&amp;INDEX($E$1:$I$1, MATCH(MIN(E181:I181), E181:I181, 0))&amp;CHAR(10)&amp;"📉 考察能力: "&amp;IFERROR(VLOOKUP(TRIM(D181)&amp;"_"&amp;TRIM(INDEX($E$1:$I$1, MATCH(MIN(E181:I181), E181:I181, 0))), 技能库!$A:$F, 5, 0),"建议查阅考纲")&amp;CHAR(10)&amp;"💡 提升建议: "&amp;IFERROR(VLOOKUP(TRIM(D181)&amp;"_"&amp;TRIM(INDEX($E$1:$I$1, MATCH(MIN(E181:I181), E181:I181, 0))), 技能库!$A:$F, 6, 0),"请针对该题型加强练习"), "🎉 表现优异，无明显弱项！"))</f>
        <v/>
      </c>
      <c r="AA181" s="5" t="str">
        <f>IF(T181="","", IF(U181&lt;=3, "⚠️ 薄弱环节: "&amp;INDEX($M$1:$S$1, MATCH(MIN(M181:S181), M181:S181, 0))&amp;CHAR(10)&amp;"📉 考察能力: "&amp;IFERROR(VLOOKUP(TRIM(D181)&amp;"_"&amp;TRIM(INDEX($M$1:$S$1, MATCH(MIN(M181:S181), M181:S181, 0))), 技能库!$A:$F, 5, 0),"建议查阅考纲")&amp;CHAR(10)&amp;"💡 提升建议: "&amp;IFERROR(VLOOKUP(TRIM(D181)&amp;"_"&amp;TRIM(INDEX($M$1:$S$1, MATCH(MIN(M181:S181), M181:S181, 0))), 技能库!$A:$F, 6, 0),"请针对该题型加强练习"), "🎉 表现优异，无明显弱项！"))</f>
        <v/>
      </c>
    </row>
    <row r="182" spans="10:27" ht="18" hidden="1" customHeight="1" x14ac:dyDescent="0.2">
      <c r="J182" t="str">
        <f t="shared" si="6"/>
        <v/>
      </c>
      <c r="K182" t="str">
        <f>IF(J182="","", IFERROR(VLOOKUP(J182, IF(D182="Movers", 换算标准!$C:$D, 换算标准!$I:$J), 2, TRUE), 0))</f>
        <v/>
      </c>
      <c r="T182" t="str">
        <f t="shared" si="7"/>
        <v/>
      </c>
      <c r="U182" t="str">
        <f>IF(T182="","", IFERROR(VLOOKUP(T182, IF(D182="Movers", 换算标准!$A:$B, 换算标准!$G:$H), 2, TRUE), 0))</f>
        <v/>
      </c>
      <c r="W182" t="str">
        <f t="shared" si="8"/>
        <v/>
      </c>
      <c r="Z182" s="5" t="str">
        <f>IF(J182="","", IF(K182&lt;=3, "⚠️ 薄弱环节: "&amp;INDEX($E$1:$I$1, MATCH(MIN(E182:I182), E182:I182, 0))&amp;CHAR(10)&amp;"📉 考察能力: "&amp;IFERROR(VLOOKUP(TRIM(D182)&amp;"_"&amp;TRIM(INDEX($E$1:$I$1, MATCH(MIN(E182:I182), E182:I182, 0))), 技能库!$A:$F, 5, 0),"建议查阅考纲")&amp;CHAR(10)&amp;"💡 提升建议: "&amp;IFERROR(VLOOKUP(TRIM(D182)&amp;"_"&amp;TRIM(INDEX($E$1:$I$1, MATCH(MIN(E182:I182), E182:I182, 0))), 技能库!$A:$F, 6, 0),"请针对该题型加强练习"), "🎉 表现优异，无明显弱项！"))</f>
        <v/>
      </c>
      <c r="AA182" s="5" t="str">
        <f>IF(T182="","", IF(U182&lt;=3, "⚠️ 薄弱环节: "&amp;INDEX($M$1:$S$1, MATCH(MIN(M182:S182), M182:S182, 0))&amp;CHAR(10)&amp;"📉 考察能力: "&amp;IFERROR(VLOOKUP(TRIM(D182)&amp;"_"&amp;TRIM(INDEX($M$1:$S$1, MATCH(MIN(M182:S182), M182:S182, 0))), 技能库!$A:$F, 5, 0),"建议查阅考纲")&amp;CHAR(10)&amp;"💡 提升建议: "&amp;IFERROR(VLOOKUP(TRIM(D182)&amp;"_"&amp;TRIM(INDEX($M$1:$S$1, MATCH(MIN(M182:S182), M182:S182, 0))), 技能库!$A:$F, 6, 0),"请针对该题型加强练习"), "🎉 表现优异，无明显弱项！"))</f>
        <v/>
      </c>
    </row>
    <row r="183" spans="10:27" ht="18" hidden="1" customHeight="1" x14ac:dyDescent="0.2">
      <c r="J183" t="str">
        <f t="shared" si="6"/>
        <v/>
      </c>
      <c r="K183" t="str">
        <f>IF(J183="","", IFERROR(VLOOKUP(J183, IF(D183="Movers", 换算标准!$C:$D, 换算标准!$I:$J), 2, TRUE), 0))</f>
        <v/>
      </c>
      <c r="T183" t="str">
        <f t="shared" si="7"/>
        <v/>
      </c>
      <c r="U183" t="str">
        <f>IF(T183="","", IFERROR(VLOOKUP(T183, IF(D183="Movers", 换算标准!$A:$B, 换算标准!$G:$H), 2, TRUE), 0))</f>
        <v/>
      </c>
      <c r="W183" t="str">
        <f t="shared" si="8"/>
        <v/>
      </c>
      <c r="Z183" s="5" t="str">
        <f>IF(J183="","", IF(K183&lt;=3, "⚠️ 薄弱环节: "&amp;INDEX($E$1:$I$1, MATCH(MIN(E183:I183), E183:I183, 0))&amp;CHAR(10)&amp;"📉 考察能力: "&amp;IFERROR(VLOOKUP(TRIM(D183)&amp;"_"&amp;TRIM(INDEX($E$1:$I$1, MATCH(MIN(E183:I183), E183:I183, 0))), 技能库!$A:$F, 5, 0),"建议查阅考纲")&amp;CHAR(10)&amp;"💡 提升建议: "&amp;IFERROR(VLOOKUP(TRIM(D183)&amp;"_"&amp;TRIM(INDEX($E$1:$I$1, MATCH(MIN(E183:I183), E183:I183, 0))), 技能库!$A:$F, 6, 0),"请针对该题型加强练习"), "🎉 表现优异，无明显弱项！"))</f>
        <v/>
      </c>
      <c r="AA183" s="5" t="str">
        <f>IF(T183="","", IF(U183&lt;=3, "⚠️ 薄弱环节: "&amp;INDEX($M$1:$S$1, MATCH(MIN(M183:S183), M183:S183, 0))&amp;CHAR(10)&amp;"📉 考察能力: "&amp;IFERROR(VLOOKUP(TRIM(D183)&amp;"_"&amp;TRIM(INDEX($M$1:$S$1, MATCH(MIN(M183:S183), M183:S183, 0))), 技能库!$A:$F, 5, 0),"建议查阅考纲")&amp;CHAR(10)&amp;"💡 提升建议: "&amp;IFERROR(VLOOKUP(TRIM(D183)&amp;"_"&amp;TRIM(INDEX($M$1:$S$1, MATCH(MIN(M183:S183), M183:S183, 0))), 技能库!$A:$F, 6, 0),"请针对该题型加强练习"), "🎉 表现优异，无明显弱项！"))</f>
        <v/>
      </c>
    </row>
    <row r="184" spans="10:27" ht="18" hidden="1" customHeight="1" x14ac:dyDescent="0.2">
      <c r="J184" t="str">
        <f t="shared" si="6"/>
        <v/>
      </c>
      <c r="K184" t="str">
        <f>IF(J184="","", IFERROR(VLOOKUP(J184, IF(D184="Movers", 换算标准!$C:$D, 换算标准!$I:$J), 2, TRUE), 0))</f>
        <v/>
      </c>
      <c r="T184" t="str">
        <f t="shared" si="7"/>
        <v/>
      </c>
      <c r="U184" t="str">
        <f>IF(T184="","", IFERROR(VLOOKUP(T184, IF(D184="Movers", 换算标准!$A:$B, 换算标准!$G:$H), 2, TRUE), 0))</f>
        <v/>
      </c>
      <c r="W184" t="str">
        <f t="shared" si="8"/>
        <v/>
      </c>
      <c r="Z184" s="5" t="str">
        <f>IF(J184="","", IF(K184&lt;=3, "⚠️ 薄弱环节: "&amp;INDEX($E$1:$I$1, MATCH(MIN(E184:I184), E184:I184, 0))&amp;CHAR(10)&amp;"📉 考察能力: "&amp;IFERROR(VLOOKUP(TRIM(D184)&amp;"_"&amp;TRIM(INDEX($E$1:$I$1, MATCH(MIN(E184:I184), E184:I184, 0))), 技能库!$A:$F, 5, 0),"建议查阅考纲")&amp;CHAR(10)&amp;"💡 提升建议: "&amp;IFERROR(VLOOKUP(TRIM(D184)&amp;"_"&amp;TRIM(INDEX($E$1:$I$1, MATCH(MIN(E184:I184), E184:I184, 0))), 技能库!$A:$F, 6, 0),"请针对该题型加强练习"), "🎉 表现优异，无明显弱项！"))</f>
        <v/>
      </c>
      <c r="AA184" s="5" t="str">
        <f>IF(T184="","", IF(U184&lt;=3, "⚠️ 薄弱环节: "&amp;INDEX($M$1:$S$1, MATCH(MIN(M184:S184), M184:S184, 0))&amp;CHAR(10)&amp;"📉 考察能力: "&amp;IFERROR(VLOOKUP(TRIM(D184)&amp;"_"&amp;TRIM(INDEX($M$1:$S$1, MATCH(MIN(M184:S184), M184:S184, 0))), 技能库!$A:$F, 5, 0),"建议查阅考纲")&amp;CHAR(10)&amp;"💡 提升建议: "&amp;IFERROR(VLOOKUP(TRIM(D184)&amp;"_"&amp;TRIM(INDEX($M$1:$S$1, MATCH(MIN(M184:S184), M184:S184, 0))), 技能库!$A:$F, 6, 0),"请针对该题型加强练习"), "🎉 表现优异，无明显弱项！"))</f>
        <v/>
      </c>
    </row>
    <row r="185" spans="10:27" ht="18" hidden="1" customHeight="1" x14ac:dyDescent="0.2">
      <c r="J185" t="str">
        <f t="shared" si="6"/>
        <v/>
      </c>
      <c r="K185" t="str">
        <f>IF(J185="","", IFERROR(VLOOKUP(J185, IF(D185="Movers", 换算标准!$C:$D, 换算标准!$I:$J), 2, TRUE), 0))</f>
        <v/>
      </c>
      <c r="T185" t="str">
        <f t="shared" si="7"/>
        <v/>
      </c>
      <c r="U185" t="str">
        <f>IF(T185="","", IFERROR(VLOOKUP(T185, IF(D185="Movers", 换算标准!$A:$B, 换算标准!$G:$H), 2, TRUE), 0))</f>
        <v/>
      </c>
      <c r="W185" t="str">
        <f t="shared" si="8"/>
        <v/>
      </c>
      <c r="Z185" s="5" t="str">
        <f>IF(J185="","", IF(K185&lt;=3, "⚠️ 薄弱环节: "&amp;INDEX($E$1:$I$1, MATCH(MIN(E185:I185), E185:I185, 0))&amp;CHAR(10)&amp;"📉 考察能力: "&amp;IFERROR(VLOOKUP(TRIM(D185)&amp;"_"&amp;TRIM(INDEX($E$1:$I$1, MATCH(MIN(E185:I185), E185:I185, 0))), 技能库!$A:$F, 5, 0),"建议查阅考纲")&amp;CHAR(10)&amp;"💡 提升建议: "&amp;IFERROR(VLOOKUP(TRIM(D185)&amp;"_"&amp;TRIM(INDEX($E$1:$I$1, MATCH(MIN(E185:I185), E185:I185, 0))), 技能库!$A:$F, 6, 0),"请针对该题型加强练习"), "🎉 表现优异，无明显弱项！"))</f>
        <v/>
      </c>
      <c r="AA185" s="5" t="str">
        <f>IF(T185="","", IF(U185&lt;=3, "⚠️ 薄弱环节: "&amp;INDEX($M$1:$S$1, MATCH(MIN(M185:S185), M185:S185, 0))&amp;CHAR(10)&amp;"📉 考察能力: "&amp;IFERROR(VLOOKUP(TRIM(D185)&amp;"_"&amp;TRIM(INDEX($M$1:$S$1, MATCH(MIN(M185:S185), M185:S185, 0))), 技能库!$A:$F, 5, 0),"建议查阅考纲")&amp;CHAR(10)&amp;"💡 提升建议: "&amp;IFERROR(VLOOKUP(TRIM(D185)&amp;"_"&amp;TRIM(INDEX($M$1:$S$1, MATCH(MIN(M185:S185), M185:S185, 0))), 技能库!$A:$F, 6, 0),"请针对该题型加强练习"), "🎉 表现优异，无明显弱项！"))</f>
        <v/>
      </c>
    </row>
    <row r="186" spans="10:27" ht="18" hidden="1" customHeight="1" x14ac:dyDescent="0.2">
      <c r="J186" t="str">
        <f t="shared" si="6"/>
        <v/>
      </c>
      <c r="K186" t="str">
        <f>IF(J186="","", IFERROR(VLOOKUP(J186, IF(D186="Movers", 换算标准!$C:$D, 换算标准!$I:$J), 2, TRUE), 0))</f>
        <v/>
      </c>
      <c r="T186" t="str">
        <f t="shared" si="7"/>
        <v/>
      </c>
      <c r="U186" t="str">
        <f>IF(T186="","", IFERROR(VLOOKUP(T186, IF(D186="Movers", 换算标准!$A:$B, 换算标准!$G:$H), 2, TRUE), 0))</f>
        <v/>
      </c>
      <c r="W186" t="str">
        <f t="shared" si="8"/>
        <v/>
      </c>
      <c r="Z186" s="5" t="str">
        <f>IF(J186="","", IF(K186&lt;=3, "⚠️ 薄弱环节: "&amp;INDEX($E$1:$I$1, MATCH(MIN(E186:I186), E186:I186, 0))&amp;CHAR(10)&amp;"📉 考察能力: "&amp;IFERROR(VLOOKUP(TRIM(D186)&amp;"_"&amp;TRIM(INDEX($E$1:$I$1, MATCH(MIN(E186:I186), E186:I186, 0))), 技能库!$A:$F, 5, 0),"建议查阅考纲")&amp;CHAR(10)&amp;"💡 提升建议: "&amp;IFERROR(VLOOKUP(TRIM(D186)&amp;"_"&amp;TRIM(INDEX($E$1:$I$1, MATCH(MIN(E186:I186), E186:I186, 0))), 技能库!$A:$F, 6, 0),"请针对该题型加强练习"), "🎉 表现优异，无明显弱项！"))</f>
        <v/>
      </c>
      <c r="AA186" s="5" t="str">
        <f>IF(T186="","", IF(U186&lt;=3, "⚠️ 薄弱环节: "&amp;INDEX($M$1:$S$1, MATCH(MIN(M186:S186), M186:S186, 0))&amp;CHAR(10)&amp;"📉 考察能力: "&amp;IFERROR(VLOOKUP(TRIM(D186)&amp;"_"&amp;TRIM(INDEX($M$1:$S$1, MATCH(MIN(M186:S186), M186:S186, 0))), 技能库!$A:$F, 5, 0),"建议查阅考纲")&amp;CHAR(10)&amp;"💡 提升建议: "&amp;IFERROR(VLOOKUP(TRIM(D186)&amp;"_"&amp;TRIM(INDEX($M$1:$S$1, MATCH(MIN(M186:S186), M186:S186, 0))), 技能库!$A:$F, 6, 0),"请针对该题型加强练习"), "🎉 表现优异，无明显弱项！"))</f>
        <v/>
      </c>
    </row>
    <row r="187" spans="10:27" ht="18" hidden="1" customHeight="1" x14ac:dyDescent="0.2">
      <c r="J187" t="str">
        <f t="shared" si="6"/>
        <v/>
      </c>
      <c r="K187" t="str">
        <f>IF(J187="","", IFERROR(VLOOKUP(J187, IF(D187="Movers", 换算标准!$C:$D, 换算标准!$I:$J), 2, TRUE), 0))</f>
        <v/>
      </c>
      <c r="T187" t="str">
        <f t="shared" si="7"/>
        <v/>
      </c>
      <c r="U187" t="str">
        <f>IF(T187="","", IFERROR(VLOOKUP(T187, IF(D187="Movers", 换算标准!$A:$B, 换算标准!$G:$H), 2, TRUE), 0))</f>
        <v/>
      </c>
      <c r="W187" t="str">
        <f t="shared" si="8"/>
        <v/>
      </c>
      <c r="Z187" s="5" t="str">
        <f>IF(J187="","", IF(K187&lt;=3, "⚠️ 薄弱环节: "&amp;INDEX($E$1:$I$1, MATCH(MIN(E187:I187), E187:I187, 0))&amp;CHAR(10)&amp;"📉 考察能力: "&amp;IFERROR(VLOOKUP(TRIM(D187)&amp;"_"&amp;TRIM(INDEX($E$1:$I$1, MATCH(MIN(E187:I187), E187:I187, 0))), 技能库!$A:$F, 5, 0),"建议查阅考纲")&amp;CHAR(10)&amp;"💡 提升建议: "&amp;IFERROR(VLOOKUP(TRIM(D187)&amp;"_"&amp;TRIM(INDEX($E$1:$I$1, MATCH(MIN(E187:I187), E187:I187, 0))), 技能库!$A:$F, 6, 0),"请针对该题型加强练习"), "🎉 表现优异，无明显弱项！"))</f>
        <v/>
      </c>
      <c r="AA187" s="5" t="str">
        <f>IF(T187="","", IF(U187&lt;=3, "⚠️ 薄弱环节: "&amp;INDEX($M$1:$S$1, MATCH(MIN(M187:S187), M187:S187, 0))&amp;CHAR(10)&amp;"📉 考察能力: "&amp;IFERROR(VLOOKUP(TRIM(D187)&amp;"_"&amp;TRIM(INDEX($M$1:$S$1, MATCH(MIN(M187:S187), M187:S187, 0))), 技能库!$A:$F, 5, 0),"建议查阅考纲")&amp;CHAR(10)&amp;"💡 提升建议: "&amp;IFERROR(VLOOKUP(TRIM(D187)&amp;"_"&amp;TRIM(INDEX($M$1:$S$1, MATCH(MIN(M187:S187), M187:S187, 0))), 技能库!$A:$F, 6, 0),"请针对该题型加强练习"), "🎉 表现优异，无明显弱项！"))</f>
        <v/>
      </c>
    </row>
    <row r="188" spans="10:27" ht="18" hidden="1" customHeight="1" x14ac:dyDescent="0.2">
      <c r="J188" t="str">
        <f t="shared" si="6"/>
        <v/>
      </c>
      <c r="K188" t="str">
        <f>IF(J188="","", IFERROR(VLOOKUP(J188, IF(D188="Movers", 换算标准!$C:$D, 换算标准!$I:$J), 2, TRUE), 0))</f>
        <v/>
      </c>
      <c r="T188" t="str">
        <f t="shared" si="7"/>
        <v/>
      </c>
      <c r="U188" t="str">
        <f>IF(T188="","", IFERROR(VLOOKUP(T188, IF(D188="Movers", 换算标准!$A:$B, 换算标准!$G:$H), 2, TRUE), 0))</f>
        <v/>
      </c>
      <c r="W188" t="str">
        <f t="shared" si="8"/>
        <v/>
      </c>
      <c r="Z188" s="5" t="str">
        <f>IF(J188="","", IF(K188&lt;=3, "⚠️ 薄弱环节: "&amp;INDEX($E$1:$I$1, MATCH(MIN(E188:I188), E188:I188, 0))&amp;CHAR(10)&amp;"📉 考察能力: "&amp;IFERROR(VLOOKUP(TRIM(D188)&amp;"_"&amp;TRIM(INDEX($E$1:$I$1, MATCH(MIN(E188:I188), E188:I188, 0))), 技能库!$A:$F, 5, 0),"建议查阅考纲")&amp;CHAR(10)&amp;"💡 提升建议: "&amp;IFERROR(VLOOKUP(TRIM(D188)&amp;"_"&amp;TRIM(INDEX($E$1:$I$1, MATCH(MIN(E188:I188), E188:I188, 0))), 技能库!$A:$F, 6, 0),"请针对该题型加强练习"), "🎉 表现优异，无明显弱项！"))</f>
        <v/>
      </c>
      <c r="AA188" s="5" t="str">
        <f>IF(T188="","", IF(U188&lt;=3, "⚠️ 薄弱环节: "&amp;INDEX($M$1:$S$1, MATCH(MIN(M188:S188), M188:S188, 0))&amp;CHAR(10)&amp;"📉 考察能力: "&amp;IFERROR(VLOOKUP(TRIM(D188)&amp;"_"&amp;TRIM(INDEX($M$1:$S$1, MATCH(MIN(M188:S188), M188:S188, 0))), 技能库!$A:$F, 5, 0),"建议查阅考纲")&amp;CHAR(10)&amp;"💡 提升建议: "&amp;IFERROR(VLOOKUP(TRIM(D188)&amp;"_"&amp;TRIM(INDEX($M$1:$S$1, MATCH(MIN(M188:S188), M188:S188, 0))), 技能库!$A:$F, 6, 0),"请针对该题型加强练习"), "🎉 表现优异，无明显弱项！"))</f>
        <v/>
      </c>
    </row>
    <row r="189" spans="10:27" ht="18" hidden="1" customHeight="1" x14ac:dyDescent="0.2">
      <c r="J189" t="str">
        <f t="shared" si="6"/>
        <v/>
      </c>
      <c r="K189" t="str">
        <f>IF(J189="","", IFERROR(VLOOKUP(J189, IF(D189="Movers", 换算标准!$C:$D, 换算标准!$I:$J), 2, TRUE), 0))</f>
        <v/>
      </c>
      <c r="T189" t="str">
        <f t="shared" si="7"/>
        <v/>
      </c>
      <c r="U189" t="str">
        <f>IF(T189="","", IFERROR(VLOOKUP(T189, IF(D189="Movers", 换算标准!$A:$B, 换算标准!$G:$H), 2, TRUE), 0))</f>
        <v/>
      </c>
      <c r="W189" t="str">
        <f t="shared" si="8"/>
        <v/>
      </c>
      <c r="Z189" s="5" t="str">
        <f>IF(J189="","", IF(K189&lt;=3, "⚠️ 薄弱环节: "&amp;INDEX($E$1:$I$1, MATCH(MIN(E189:I189), E189:I189, 0))&amp;CHAR(10)&amp;"📉 考察能力: "&amp;IFERROR(VLOOKUP(TRIM(D189)&amp;"_"&amp;TRIM(INDEX($E$1:$I$1, MATCH(MIN(E189:I189), E189:I189, 0))), 技能库!$A:$F, 5, 0),"建议查阅考纲")&amp;CHAR(10)&amp;"💡 提升建议: "&amp;IFERROR(VLOOKUP(TRIM(D189)&amp;"_"&amp;TRIM(INDEX($E$1:$I$1, MATCH(MIN(E189:I189), E189:I189, 0))), 技能库!$A:$F, 6, 0),"请针对该题型加强练习"), "🎉 表现优异，无明显弱项！"))</f>
        <v/>
      </c>
      <c r="AA189" s="5" t="str">
        <f>IF(T189="","", IF(U189&lt;=3, "⚠️ 薄弱环节: "&amp;INDEX($M$1:$S$1, MATCH(MIN(M189:S189), M189:S189, 0))&amp;CHAR(10)&amp;"📉 考察能力: "&amp;IFERROR(VLOOKUP(TRIM(D189)&amp;"_"&amp;TRIM(INDEX($M$1:$S$1, MATCH(MIN(M189:S189), M189:S189, 0))), 技能库!$A:$F, 5, 0),"建议查阅考纲")&amp;CHAR(10)&amp;"💡 提升建议: "&amp;IFERROR(VLOOKUP(TRIM(D189)&amp;"_"&amp;TRIM(INDEX($M$1:$S$1, MATCH(MIN(M189:S189), M189:S189, 0))), 技能库!$A:$F, 6, 0),"请针对该题型加强练习"), "🎉 表现优异，无明显弱项！"))</f>
        <v/>
      </c>
    </row>
    <row r="190" spans="10:27" ht="18" hidden="1" customHeight="1" x14ac:dyDescent="0.2">
      <c r="J190" t="str">
        <f t="shared" si="6"/>
        <v/>
      </c>
      <c r="K190" t="str">
        <f>IF(J190="","", IFERROR(VLOOKUP(J190, IF(D190="Movers", 换算标准!$C:$D, 换算标准!$I:$J), 2, TRUE), 0))</f>
        <v/>
      </c>
      <c r="T190" t="str">
        <f t="shared" si="7"/>
        <v/>
      </c>
      <c r="U190" t="str">
        <f>IF(T190="","", IFERROR(VLOOKUP(T190, IF(D190="Movers", 换算标准!$A:$B, 换算标准!$G:$H), 2, TRUE), 0))</f>
        <v/>
      </c>
      <c r="W190" t="str">
        <f t="shared" si="8"/>
        <v/>
      </c>
      <c r="Z190" s="5" t="str">
        <f>IF(J190="","", IF(K190&lt;=3, "⚠️ 薄弱环节: "&amp;INDEX($E$1:$I$1, MATCH(MIN(E190:I190), E190:I190, 0))&amp;CHAR(10)&amp;"📉 考察能力: "&amp;IFERROR(VLOOKUP(TRIM(D190)&amp;"_"&amp;TRIM(INDEX($E$1:$I$1, MATCH(MIN(E190:I190), E190:I190, 0))), 技能库!$A:$F, 5, 0),"建议查阅考纲")&amp;CHAR(10)&amp;"💡 提升建议: "&amp;IFERROR(VLOOKUP(TRIM(D190)&amp;"_"&amp;TRIM(INDEX($E$1:$I$1, MATCH(MIN(E190:I190), E190:I190, 0))), 技能库!$A:$F, 6, 0),"请针对该题型加强练习"), "🎉 表现优异，无明显弱项！"))</f>
        <v/>
      </c>
      <c r="AA190" s="5" t="str">
        <f>IF(T190="","", IF(U190&lt;=3, "⚠️ 薄弱环节: "&amp;INDEX($M$1:$S$1, MATCH(MIN(M190:S190), M190:S190, 0))&amp;CHAR(10)&amp;"📉 考察能力: "&amp;IFERROR(VLOOKUP(TRIM(D190)&amp;"_"&amp;TRIM(INDEX($M$1:$S$1, MATCH(MIN(M190:S190), M190:S190, 0))), 技能库!$A:$F, 5, 0),"建议查阅考纲")&amp;CHAR(10)&amp;"💡 提升建议: "&amp;IFERROR(VLOOKUP(TRIM(D190)&amp;"_"&amp;TRIM(INDEX($M$1:$S$1, MATCH(MIN(M190:S190), M190:S190, 0))), 技能库!$A:$F, 6, 0),"请针对该题型加强练习"), "🎉 表现优异，无明显弱项！"))</f>
        <v/>
      </c>
    </row>
    <row r="191" spans="10:27" ht="18" hidden="1" customHeight="1" x14ac:dyDescent="0.2">
      <c r="J191" t="str">
        <f t="shared" si="6"/>
        <v/>
      </c>
      <c r="K191" t="str">
        <f>IF(J191="","", IFERROR(VLOOKUP(J191, IF(D191="Movers", 换算标准!$C:$D, 换算标准!$I:$J), 2, TRUE), 0))</f>
        <v/>
      </c>
      <c r="T191" t="str">
        <f t="shared" si="7"/>
        <v/>
      </c>
      <c r="U191" t="str">
        <f>IF(T191="","", IFERROR(VLOOKUP(T191, IF(D191="Movers", 换算标准!$A:$B, 换算标准!$G:$H), 2, TRUE), 0))</f>
        <v/>
      </c>
      <c r="W191" t="str">
        <f t="shared" si="8"/>
        <v/>
      </c>
      <c r="Z191" s="5" t="str">
        <f>IF(J191="","", IF(K191&lt;=3, "⚠️ 薄弱环节: "&amp;INDEX($E$1:$I$1, MATCH(MIN(E191:I191), E191:I191, 0))&amp;CHAR(10)&amp;"📉 考察能力: "&amp;IFERROR(VLOOKUP(TRIM(D191)&amp;"_"&amp;TRIM(INDEX($E$1:$I$1, MATCH(MIN(E191:I191), E191:I191, 0))), 技能库!$A:$F, 5, 0),"建议查阅考纲")&amp;CHAR(10)&amp;"💡 提升建议: "&amp;IFERROR(VLOOKUP(TRIM(D191)&amp;"_"&amp;TRIM(INDEX($E$1:$I$1, MATCH(MIN(E191:I191), E191:I191, 0))), 技能库!$A:$F, 6, 0),"请针对该题型加强练习"), "🎉 表现优异，无明显弱项！"))</f>
        <v/>
      </c>
      <c r="AA191" s="5" t="str">
        <f>IF(T191="","", IF(U191&lt;=3, "⚠️ 薄弱环节: "&amp;INDEX($M$1:$S$1, MATCH(MIN(M191:S191), M191:S191, 0))&amp;CHAR(10)&amp;"📉 考察能力: "&amp;IFERROR(VLOOKUP(TRIM(D191)&amp;"_"&amp;TRIM(INDEX($M$1:$S$1, MATCH(MIN(M191:S191), M191:S191, 0))), 技能库!$A:$F, 5, 0),"建议查阅考纲")&amp;CHAR(10)&amp;"💡 提升建议: "&amp;IFERROR(VLOOKUP(TRIM(D191)&amp;"_"&amp;TRIM(INDEX($M$1:$S$1, MATCH(MIN(M191:S191), M191:S191, 0))), 技能库!$A:$F, 6, 0),"请针对该题型加强练习"), "🎉 表现优异，无明显弱项！"))</f>
        <v/>
      </c>
    </row>
    <row r="192" spans="10:27" ht="18" hidden="1" customHeight="1" x14ac:dyDescent="0.2">
      <c r="J192" t="str">
        <f t="shared" si="6"/>
        <v/>
      </c>
      <c r="K192" t="str">
        <f>IF(J192="","", IFERROR(VLOOKUP(J192, IF(D192="Movers", 换算标准!$C:$D, 换算标准!$I:$J), 2, TRUE), 0))</f>
        <v/>
      </c>
      <c r="T192" t="str">
        <f t="shared" si="7"/>
        <v/>
      </c>
      <c r="U192" t="str">
        <f>IF(T192="","", IFERROR(VLOOKUP(T192, IF(D192="Movers", 换算标准!$A:$B, 换算标准!$G:$H), 2, TRUE), 0))</f>
        <v/>
      </c>
      <c r="W192" t="str">
        <f t="shared" si="8"/>
        <v/>
      </c>
      <c r="Z192" s="5" t="str">
        <f>IF(J192="","", IF(K192&lt;=3, "⚠️ 薄弱环节: "&amp;INDEX($E$1:$I$1, MATCH(MIN(E192:I192), E192:I192, 0))&amp;CHAR(10)&amp;"📉 考察能力: "&amp;IFERROR(VLOOKUP(TRIM(D192)&amp;"_"&amp;TRIM(INDEX($E$1:$I$1, MATCH(MIN(E192:I192), E192:I192, 0))), 技能库!$A:$F, 5, 0),"建议查阅考纲")&amp;CHAR(10)&amp;"💡 提升建议: "&amp;IFERROR(VLOOKUP(TRIM(D192)&amp;"_"&amp;TRIM(INDEX($E$1:$I$1, MATCH(MIN(E192:I192), E192:I192, 0))), 技能库!$A:$F, 6, 0),"请针对该题型加强练习"), "🎉 表现优异，无明显弱项！"))</f>
        <v/>
      </c>
      <c r="AA192" s="5" t="str">
        <f>IF(T192="","", IF(U192&lt;=3, "⚠️ 薄弱环节: "&amp;INDEX($M$1:$S$1, MATCH(MIN(M192:S192), M192:S192, 0))&amp;CHAR(10)&amp;"📉 考察能力: "&amp;IFERROR(VLOOKUP(TRIM(D192)&amp;"_"&amp;TRIM(INDEX($M$1:$S$1, MATCH(MIN(M192:S192), M192:S192, 0))), 技能库!$A:$F, 5, 0),"建议查阅考纲")&amp;CHAR(10)&amp;"💡 提升建议: "&amp;IFERROR(VLOOKUP(TRIM(D192)&amp;"_"&amp;TRIM(INDEX($M$1:$S$1, MATCH(MIN(M192:S192), M192:S192, 0))), 技能库!$A:$F, 6, 0),"请针对该题型加强练习"), "🎉 表现优异，无明显弱项！"))</f>
        <v/>
      </c>
    </row>
    <row r="193" spans="10:27" ht="18" hidden="1" customHeight="1" x14ac:dyDescent="0.2">
      <c r="J193" t="str">
        <f t="shared" si="6"/>
        <v/>
      </c>
      <c r="K193" t="str">
        <f>IF(J193="","", IFERROR(VLOOKUP(J193, IF(D193="Movers", 换算标准!$C:$D, 换算标准!$I:$J), 2, TRUE), 0))</f>
        <v/>
      </c>
      <c r="T193" t="str">
        <f t="shared" si="7"/>
        <v/>
      </c>
      <c r="U193" t="str">
        <f>IF(T193="","", IFERROR(VLOOKUP(T193, IF(D193="Movers", 换算标准!$A:$B, 换算标准!$G:$H), 2, TRUE), 0))</f>
        <v/>
      </c>
      <c r="W193" t="str">
        <f t="shared" si="8"/>
        <v/>
      </c>
      <c r="Z193" s="5" t="str">
        <f>IF(J193="","", IF(K193&lt;=3, "⚠️ 薄弱环节: "&amp;INDEX($E$1:$I$1, MATCH(MIN(E193:I193), E193:I193, 0))&amp;CHAR(10)&amp;"📉 考察能力: "&amp;IFERROR(VLOOKUP(TRIM(D193)&amp;"_"&amp;TRIM(INDEX($E$1:$I$1, MATCH(MIN(E193:I193), E193:I193, 0))), 技能库!$A:$F, 5, 0),"建议查阅考纲")&amp;CHAR(10)&amp;"💡 提升建议: "&amp;IFERROR(VLOOKUP(TRIM(D193)&amp;"_"&amp;TRIM(INDEX($E$1:$I$1, MATCH(MIN(E193:I193), E193:I193, 0))), 技能库!$A:$F, 6, 0),"请针对该题型加强练习"), "🎉 表现优异，无明显弱项！"))</f>
        <v/>
      </c>
      <c r="AA193" s="5" t="str">
        <f>IF(T193="","", IF(U193&lt;=3, "⚠️ 薄弱环节: "&amp;INDEX($M$1:$S$1, MATCH(MIN(M193:S193), M193:S193, 0))&amp;CHAR(10)&amp;"📉 考察能力: "&amp;IFERROR(VLOOKUP(TRIM(D193)&amp;"_"&amp;TRIM(INDEX($M$1:$S$1, MATCH(MIN(M193:S193), M193:S193, 0))), 技能库!$A:$F, 5, 0),"建议查阅考纲")&amp;CHAR(10)&amp;"💡 提升建议: "&amp;IFERROR(VLOOKUP(TRIM(D193)&amp;"_"&amp;TRIM(INDEX($M$1:$S$1, MATCH(MIN(M193:S193), M193:S193, 0))), 技能库!$A:$F, 6, 0),"请针对该题型加强练习"), "🎉 表现优异，无明显弱项！"))</f>
        <v/>
      </c>
    </row>
    <row r="194" spans="10:27" ht="18" hidden="1" customHeight="1" x14ac:dyDescent="0.2">
      <c r="J194" t="str">
        <f t="shared" ref="J194:J257" si="9">IF(COUNT(E194:I194)&gt;0, SUM(E194:I194), "")</f>
        <v/>
      </c>
      <c r="K194" t="str">
        <f>IF(J194="","", IFERROR(VLOOKUP(J194, IF(D194="Movers", 换算标准!$C:$D, 换算标准!$I:$J), 2, TRUE), 0))</f>
        <v/>
      </c>
      <c r="T194" t="str">
        <f t="shared" ref="T194:T257" si="10">IF(COUNT(M194:S194)&gt;0, SUM(M194:S194), "")</f>
        <v/>
      </c>
      <c r="U194" t="str">
        <f>IF(T194="","", IFERROR(VLOOKUP(T194, IF(D194="Movers", 换算标准!$A:$B, 换算标准!$G:$H), 2, TRUE), 0))</f>
        <v/>
      </c>
      <c r="W194" t="str">
        <f t="shared" ref="W194:W257" si="11">IF(AND(K194&lt;&gt;"", U194&lt;&gt;""), K194+U194, "")</f>
        <v/>
      </c>
      <c r="Z194" s="5" t="str">
        <f>IF(J194="","", IF(K194&lt;=3, "⚠️ 薄弱环节: "&amp;INDEX($E$1:$I$1, MATCH(MIN(E194:I194), E194:I194, 0))&amp;CHAR(10)&amp;"📉 考察能力: "&amp;IFERROR(VLOOKUP(TRIM(D194)&amp;"_"&amp;TRIM(INDEX($E$1:$I$1, MATCH(MIN(E194:I194), E194:I194, 0))), 技能库!$A:$F, 5, 0),"建议查阅考纲")&amp;CHAR(10)&amp;"💡 提升建议: "&amp;IFERROR(VLOOKUP(TRIM(D194)&amp;"_"&amp;TRIM(INDEX($E$1:$I$1, MATCH(MIN(E194:I194), E194:I194, 0))), 技能库!$A:$F, 6, 0),"请针对该题型加强练习"), "🎉 表现优异，无明显弱项！"))</f>
        <v/>
      </c>
      <c r="AA194" s="5" t="str">
        <f>IF(T194="","", IF(U194&lt;=3, "⚠️ 薄弱环节: "&amp;INDEX($M$1:$S$1, MATCH(MIN(M194:S194), M194:S194, 0))&amp;CHAR(10)&amp;"📉 考察能力: "&amp;IFERROR(VLOOKUP(TRIM(D194)&amp;"_"&amp;TRIM(INDEX($M$1:$S$1, MATCH(MIN(M194:S194), M194:S194, 0))), 技能库!$A:$F, 5, 0),"建议查阅考纲")&amp;CHAR(10)&amp;"💡 提升建议: "&amp;IFERROR(VLOOKUP(TRIM(D194)&amp;"_"&amp;TRIM(INDEX($M$1:$S$1, MATCH(MIN(M194:S194), M194:S194, 0))), 技能库!$A:$F, 6, 0),"请针对该题型加强练习"), "🎉 表现优异，无明显弱项！"))</f>
        <v/>
      </c>
    </row>
    <row r="195" spans="10:27" ht="18" hidden="1" customHeight="1" x14ac:dyDescent="0.2">
      <c r="J195" t="str">
        <f t="shared" si="9"/>
        <v/>
      </c>
      <c r="K195" t="str">
        <f>IF(J195="","", IFERROR(VLOOKUP(J195, IF(D195="Movers", 换算标准!$C:$D, 换算标准!$I:$J), 2, TRUE), 0))</f>
        <v/>
      </c>
      <c r="T195" t="str">
        <f t="shared" si="10"/>
        <v/>
      </c>
      <c r="U195" t="str">
        <f>IF(T195="","", IFERROR(VLOOKUP(T195, IF(D195="Movers", 换算标准!$A:$B, 换算标准!$G:$H), 2, TRUE), 0))</f>
        <v/>
      </c>
      <c r="W195" t="str">
        <f t="shared" si="11"/>
        <v/>
      </c>
      <c r="Z195" s="5" t="str">
        <f>IF(J195="","", IF(K195&lt;=3, "⚠️ 薄弱环节: "&amp;INDEX($E$1:$I$1, MATCH(MIN(E195:I195), E195:I195, 0))&amp;CHAR(10)&amp;"📉 考察能力: "&amp;IFERROR(VLOOKUP(TRIM(D195)&amp;"_"&amp;TRIM(INDEX($E$1:$I$1, MATCH(MIN(E195:I195), E195:I195, 0))), 技能库!$A:$F, 5, 0),"建议查阅考纲")&amp;CHAR(10)&amp;"💡 提升建议: "&amp;IFERROR(VLOOKUP(TRIM(D195)&amp;"_"&amp;TRIM(INDEX($E$1:$I$1, MATCH(MIN(E195:I195), E195:I195, 0))), 技能库!$A:$F, 6, 0),"请针对该题型加强练习"), "🎉 表现优异，无明显弱项！"))</f>
        <v/>
      </c>
      <c r="AA195" s="5" t="str">
        <f>IF(T195="","", IF(U195&lt;=3, "⚠️ 薄弱环节: "&amp;INDEX($M$1:$S$1, MATCH(MIN(M195:S195), M195:S195, 0))&amp;CHAR(10)&amp;"📉 考察能力: "&amp;IFERROR(VLOOKUP(TRIM(D195)&amp;"_"&amp;TRIM(INDEX($M$1:$S$1, MATCH(MIN(M195:S195), M195:S195, 0))), 技能库!$A:$F, 5, 0),"建议查阅考纲")&amp;CHAR(10)&amp;"💡 提升建议: "&amp;IFERROR(VLOOKUP(TRIM(D195)&amp;"_"&amp;TRIM(INDEX($M$1:$S$1, MATCH(MIN(M195:S195), M195:S195, 0))), 技能库!$A:$F, 6, 0),"请针对该题型加强练习"), "🎉 表现优异，无明显弱项！"))</f>
        <v/>
      </c>
    </row>
    <row r="196" spans="10:27" ht="18" hidden="1" customHeight="1" x14ac:dyDescent="0.2">
      <c r="J196" t="str">
        <f t="shared" si="9"/>
        <v/>
      </c>
      <c r="K196" t="str">
        <f>IF(J196="","", IFERROR(VLOOKUP(J196, IF(D196="Movers", 换算标准!$C:$D, 换算标准!$I:$J), 2, TRUE), 0))</f>
        <v/>
      </c>
      <c r="T196" t="str">
        <f t="shared" si="10"/>
        <v/>
      </c>
      <c r="U196" t="str">
        <f>IF(T196="","", IFERROR(VLOOKUP(T196, IF(D196="Movers", 换算标准!$A:$B, 换算标准!$G:$H), 2, TRUE), 0))</f>
        <v/>
      </c>
      <c r="W196" t="str">
        <f t="shared" si="11"/>
        <v/>
      </c>
      <c r="Z196" s="5" t="str">
        <f>IF(J196="","", IF(K196&lt;=3, "⚠️ 薄弱环节: "&amp;INDEX($E$1:$I$1, MATCH(MIN(E196:I196), E196:I196, 0))&amp;CHAR(10)&amp;"📉 考察能力: "&amp;IFERROR(VLOOKUP(TRIM(D196)&amp;"_"&amp;TRIM(INDEX($E$1:$I$1, MATCH(MIN(E196:I196), E196:I196, 0))), 技能库!$A:$F, 5, 0),"建议查阅考纲")&amp;CHAR(10)&amp;"💡 提升建议: "&amp;IFERROR(VLOOKUP(TRIM(D196)&amp;"_"&amp;TRIM(INDEX($E$1:$I$1, MATCH(MIN(E196:I196), E196:I196, 0))), 技能库!$A:$F, 6, 0),"请针对该题型加强练习"), "🎉 表现优异，无明显弱项！"))</f>
        <v/>
      </c>
      <c r="AA196" s="5" t="str">
        <f>IF(T196="","", IF(U196&lt;=3, "⚠️ 薄弱环节: "&amp;INDEX($M$1:$S$1, MATCH(MIN(M196:S196), M196:S196, 0))&amp;CHAR(10)&amp;"📉 考察能力: "&amp;IFERROR(VLOOKUP(TRIM(D196)&amp;"_"&amp;TRIM(INDEX($M$1:$S$1, MATCH(MIN(M196:S196), M196:S196, 0))), 技能库!$A:$F, 5, 0),"建议查阅考纲")&amp;CHAR(10)&amp;"💡 提升建议: "&amp;IFERROR(VLOOKUP(TRIM(D196)&amp;"_"&amp;TRIM(INDEX($M$1:$S$1, MATCH(MIN(M196:S196), M196:S196, 0))), 技能库!$A:$F, 6, 0),"请针对该题型加强练习"), "🎉 表现优异，无明显弱项！"))</f>
        <v/>
      </c>
    </row>
    <row r="197" spans="10:27" ht="18" hidden="1" customHeight="1" x14ac:dyDescent="0.2">
      <c r="J197" t="str">
        <f t="shared" si="9"/>
        <v/>
      </c>
      <c r="K197" t="str">
        <f>IF(J197="","", IFERROR(VLOOKUP(J197, IF(D197="Movers", 换算标准!$C:$D, 换算标准!$I:$J), 2, TRUE), 0))</f>
        <v/>
      </c>
      <c r="T197" t="str">
        <f t="shared" si="10"/>
        <v/>
      </c>
      <c r="U197" t="str">
        <f>IF(T197="","", IFERROR(VLOOKUP(T197, IF(D197="Movers", 换算标准!$A:$B, 换算标准!$G:$H), 2, TRUE), 0))</f>
        <v/>
      </c>
      <c r="W197" t="str">
        <f t="shared" si="11"/>
        <v/>
      </c>
      <c r="Z197" s="5" t="str">
        <f>IF(J197="","", IF(K197&lt;=3, "⚠️ 薄弱环节: "&amp;INDEX($E$1:$I$1, MATCH(MIN(E197:I197), E197:I197, 0))&amp;CHAR(10)&amp;"📉 考察能力: "&amp;IFERROR(VLOOKUP(TRIM(D197)&amp;"_"&amp;TRIM(INDEX($E$1:$I$1, MATCH(MIN(E197:I197), E197:I197, 0))), 技能库!$A:$F, 5, 0),"建议查阅考纲")&amp;CHAR(10)&amp;"💡 提升建议: "&amp;IFERROR(VLOOKUP(TRIM(D197)&amp;"_"&amp;TRIM(INDEX($E$1:$I$1, MATCH(MIN(E197:I197), E197:I197, 0))), 技能库!$A:$F, 6, 0),"请针对该题型加强练习"), "🎉 表现优异，无明显弱项！"))</f>
        <v/>
      </c>
      <c r="AA197" s="5" t="str">
        <f>IF(T197="","", IF(U197&lt;=3, "⚠️ 薄弱环节: "&amp;INDEX($M$1:$S$1, MATCH(MIN(M197:S197), M197:S197, 0))&amp;CHAR(10)&amp;"📉 考察能力: "&amp;IFERROR(VLOOKUP(TRIM(D197)&amp;"_"&amp;TRIM(INDEX($M$1:$S$1, MATCH(MIN(M197:S197), M197:S197, 0))), 技能库!$A:$F, 5, 0),"建议查阅考纲")&amp;CHAR(10)&amp;"💡 提升建议: "&amp;IFERROR(VLOOKUP(TRIM(D197)&amp;"_"&amp;TRIM(INDEX($M$1:$S$1, MATCH(MIN(M197:S197), M197:S197, 0))), 技能库!$A:$F, 6, 0),"请针对该题型加强练习"), "🎉 表现优异，无明显弱项！"))</f>
        <v/>
      </c>
    </row>
    <row r="198" spans="10:27" ht="18" hidden="1" customHeight="1" x14ac:dyDescent="0.2">
      <c r="J198" t="str">
        <f t="shared" si="9"/>
        <v/>
      </c>
      <c r="K198" t="str">
        <f>IF(J198="","", IFERROR(VLOOKUP(J198, IF(D198="Movers", 换算标准!$C:$D, 换算标准!$I:$J), 2, TRUE), 0))</f>
        <v/>
      </c>
      <c r="T198" t="str">
        <f t="shared" si="10"/>
        <v/>
      </c>
      <c r="U198" t="str">
        <f>IF(T198="","", IFERROR(VLOOKUP(T198, IF(D198="Movers", 换算标准!$A:$B, 换算标准!$G:$H), 2, TRUE), 0))</f>
        <v/>
      </c>
      <c r="W198" t="str">
        <f t="shared" si="11"/>
        <v/>
      </c>
      <c r="Z198" s="5" t="str">
        <f>IF(J198="","", IF(K198&lt;=3, "⚠️ 薄弱环节: "&amp;INDEX($E$1:$I$1, MATCH(MIN(E198:I198), E198:I198, 0))&amp;CHAR(10)&amp;"📉 考察能力: "&amp;IFERROR(VLOOKUP(TRIM(D198)&amp;"_"&amp;TRIM(INDEX($E$1:$I$1, MATCH(MIN(E198:I198), E198:I198, 0))), 技能库!$A:$F, 5, 0),"建议查阅考纲")&amp;CHAR(10)&amp;"💡 提升建议: "&amp;IFERROR(VLOOKUP(TRIM(D198)&amp;"_"&amp;TRIM(INDEX($E$1:$I$1, MATCH(MIN(E198:I198), E198:I198, 0))), 技能库!$A:$F, 6, 0),"请针对该题型加强练习"), "🎉 表现优异，无明显弱项！"))</f>
        <v/>
      </c>
      <c r="AA198" s="5" t="str">
        <f>IF(T198="","", IF(U198&lt;=3, "⚠️ 薄弱环节: "&amp;INDEX($M$1:$S$1, MATCH(MIN(M198:S198), M198:S198, 0))&amp;CHAR(10)&amp;"📉 考察能力: "&amp;IFERROR(VLOOKUP(TRIM(D198)&amp;"_"&amp;TRIM(INDEX($M$1:$S$1, MATCH(MIN(M198:S198), M198:S198, 0))), 技能库!$A:$F, 5, 0),"建议查阅考纲")&amp;CHAR(10)&amp;"💡 提升建议: "&amp;IFERROR(VLOOKUP(TRIM(D198)&amp;"_"&amp;TRIM(INDEX($M$1:$S$1, MATCH(MIN(M198:S198), M198:S198, 0))), 技能库!$A:$F, 6, 0),"请针对该题型加强练习"), "🎉 表现优异，无明显弱项！"))</f>
        <v/>
      </c>
    </row>
    <row r="199" spans="10:27" ht="18" hidden="1" customHeight="1" x14ac:dyDescent="0.2">
      <c r="J199" t="str">
        <f t="shared" si="9"/>
        <v/>
      </c>
      <c r="K199" t="str">
        <f>IF(J199="","", IFERROR(VLOOKUP(J199, IF(D199="Movers", 换算标准!$C:$D, 换算标准!$I:$J), 2, TRUE), 0))</f>
        <v/>
      </c>
      <c r="T199" t="str">
        <f t="shared" si="10"/>
        <v/>
      </c>
      <c r="U199" t="str">
        <f>IF(T199="","", IFERROR(VLOOKUP(T199, IF(D199="Movers", 换算标准!$A:$B, 换算标准!$G:$H), 2, TRUE), 0))</f>
        <v/>
      </c>
      <c r="W199" t="str">
        <f t="shared" si="11"/>
        <v/>
      </c>
      <c r="Z199" s="5" t="str">
        <f>IF(J199="","", IF(K199&lt;=3, "⚠️ 薄弱环节: "&amp;INDEX($E$1:$I$1, MATCH(MIN(E199:I199), E199:I199, 0))&amp;CHAR(10)&amp;"📉 考察能力: "&amp;IFERROR(VLOOKUP(TRIM(D199)&amp;"_"&amp;TRIM(INDEX($E$1:$I$1, MATCH(MIN(E199:I199), E199:I199, 0))), 技能库!$A:$F, 5, 0),"建议查阅考纲")&amp;CHAR(10)&amp;"💡 提升建议: "&amp;IFERROR(VLOOKUP(TRIM(D199)&amp;"_"&amp;TRIM(INDEX($E$1:$I$1, MATCH(MIN(E199:I199), E199:I199, 0))), 技能库!$A:$F, 6, 0),"请针对该题型加强练习"), "🎉 表现优异，无明显弱项！"))</f>
        <v/>
      </c>
      <c r="AA199" s="5" t="str">
        <f>IF(T199="","", IF(U199&lt;=3, "⚠️ 薄弱环节: "&amp;INDEX($M$1:$S$1, MATCH(MIN(M199:S199), M199:S199, 0))&amp;CHAR(10)&amp;"📉 考察能力: "&amp;IFERROR(VLOOKUP(TRIM(D199)&amp;"_"&amp;TRIM(INDEX($M$1:$S$1, MATCH(MIN(M199:S199), M199:S199, 0))), 技能库!$A:$F, 5, 0),"建议查阅考纲")&amp;CHAR(10)&amp;"💡 提升建议: "&amp;IFERROR(VLOOKUP(TRIM(D199)&amp;"_"&amp;TRIM(INDEX($M$1:$S$1, MATCH(MIN(M199:S199), M199:S199, 0))), 技能库!$A:$F, 6, 0),"请针对该题型加强练习"), "🎉 表现优异，无明显弱项！"))</f>
        <v/>
      </c>
    </row>
    <row r="200" spans="10:27" ht="18" hidden="1" customHeight="1" x14ac:dyDescent="0.2">
      <c r="J200" t="str">
        <f t="shared" si="9"/>
        <v/>
      </c>
      <c r="K200" t="str">
        <f>IF(J200="","", IFERROR(VLOOKUP(J200, IF(D200="Movers", 换算标准!$C:$D, 换算标准!$I:$J), 2, TRUE), 0))</f>
        <v/>
      </c>
      <c r="T200" t="str">
        <f t="shared" si="10"/>
        <v/>
      </c>
      <c r="U200" t="str">
        <f>IF(T200="","", IFERROR(VLOOKUP(T200, IF(D200="Movers", 换算标准!$A:$B, 换算标准!$G:$H), 2, TRUE), 0))</f>
        <v/>
      </c>
      <c r="W200" t="str">
        <f t="shared" si="11"/>
        <v/>
      </c>
      <c r="Z200" s="5" t="str">
        <f>IF(J200="","", IF(K200&lt;=3, "⚠️ 薄弱环节: "&amp;INDEX($E$1:$I$1, MATCH(MIN(E200:I200), E200:I200, 0))&amp;CHAR(10)&amp;"📉 考察能力: "&amp;IFERROR(VLOOKUP(TRIM(D200)&amp;"_"&amp;TRIM(INDEX($E$1:$I$1, MATCH(MIN(E200:I200), E200:I200, 0))), 技能库!$A:$F, 5, 0),"建议查阅考纲")&amp;CHAR(10)&amp;"💡 提升建议: "&amp;IFERROR(VLOOKUP(TRIM(D200)&amp;"_"&amp;TRIM(INDEX($E$1:$I$1, MATCH(MIN(E200:I200), E200:I200, 0))), 技能库!$A:$F, 6, 0),"请针对该题型加强练习"), "🎉 表现优异，无明显弱项！"))</f>
        <v/>
      </c>
      <c r="AA200" s="5" t="str">
        <f>IF(T200="","", IF(U200&lt;=3, "⚠️ 薄弱环节: "&amp;INDEX($M$1:$S$1, MATCH(MIN(M200:S200), M200:S200, 0))&amp;CHAR(10)&amp;"📉 考察能力: "&amp;IFERROR(VLOOKUP(TRIM(D200)&amp;"_"&amp;TRIM(INDEX($M$1:$S$1, MATCH(MIN(M200:S200), M200:S200, 0))), 技能库!$A:$F, 5, 0),"建议查阅考纲")&amp;CHAR(10)&amp;"💡 提升建议: "&amp;IFERROR(VLOOKUP(TRIM(D200)&amp;"_"&amp;TRIM(INDEX($M$1:$S$1, MATCH(MIN(M200:S200), M200:S200, 0))), 技能库!$A:$F, 6, 0),"请针对该题型加强练习"), "🎉 表现优异，无明显弱项！"))</f>
        <v/>
      </c>
    </row>
    <row r="201" spans="10:27" ht="18" hidden="1" customHeight="1" x14ac:dyDescent="0.2">
      <c r="J201" t="str">
        <f t="shared" si="9"/>
        <v/>
      </c>
      <c r="K201" t="str">
        <f>IF(J201="","", IFERROR(VLOOKUP(J201, IF(D201="Movers", 换算标准!$C:$D, 换算标准!$I:$J), 2, TRUE), 0))</f>
        <v/>
      </c>
      <c r="T201" t="str">
        <f t="shared" si="10"/>
        <v/>
      </c>
      <c r="U201" t="str">
        <f>IF(T201="","", IFERROR(VLOOKUP(T201, IF(D201="Movers", 换算标准!$A:$B, 换算标准!$G:$H), 2, TRUE), 0))</f>
        <v/>
      </c>
      <c r="W201" t="str">
        <f t="shared" si="11"/>
        <v/>
      </c>
      <c r="Z201" s="5" t="str">
        <f>IF(J201="","", IF(K201&lt;=3, "⚠️ 薄弱环节: "&amp;INDEX($E$1:$I$1, MATCH(MIN(E201:I201), E201:I201, 0))&amp;CHAR(10)&amp;"📉 考察能力: "&amp;IFERROR(VLOOKUP(TRIM(D201)&amp;"_"&amp;TRIM(INDEX($E$1:$I$1, MATCH(MIN(E201:I201), E201:I201, 0))), 技能库!$A:$F, 5, 0),"建议查阅考纲")&amp;CHAR(10)&amp;"💡 提升建议: "&amp;IFERROR(VLOOKUP(TRIM(D201)&amp;"_"&amp;TRIM(INDEX($E$1:$I$1, MATCH(MIN(E201:I201), E201:I201, 0))), 技能库!$A:$F, 6, 0),"请针对该题型加强练习"), "🎉 表现优异，无明显弱项！"))</f>
        <v/>
      </c>
      <c r="AA201" s="5" t="str">
        <f>IF(T201="","", IF(U201&lt;=3, "⚠️ 薄弱环节: "&amp;INDEX($M$1:$S$1, MATCH(MIN(M201:S201), M201:S201, 0))&amp;CHAR(10)&amp;"📉 考察能力: "&amp;IFERROR(VLOOKUP(TRIM(D201)&amp;"_"&amp;TRIM(INDEX($M$1:$S$1, MATCH(MIN(M201:S201), M201:S201, 0))), 技能库!$A:$F, 5, 0),"建议查阅考纲")&amp;CHAR(10)&amp;"💡 提升建议: "&amp;IFERROR(VLOOKUP(TRIM(D201)&amp;"_"&amp;TRIM(INDEX($M$1:$S$1, MATCH(MIN(M201:S201), M201:S201, 0))), 技能库!$A:$F, 6, 0),"请针对该题型加强练习"), "🎉 表现优异，无明显弱项！"))</f>
        <v/>
      </c>
    </row>
    <row r="202" spans="10:27" ht="18" hidden="1" customHeight="1" x14ac:dyDescent="0.2">
      <c r="J202" t="str">
        <f t="shared" si="9"/>
        <v/>
      </c>
      <c r="K202" t="str">
        <f>IF(J202="","", IFERROR(VLOOKUP(J202, IF(D202="Movers", 换算标准!$C:$D, 换算标准!$I:$J), 2, TRUE), 0))</f>
        <v/>
      </c>
      <c r="T202" t="str">
        <f t="shared" si="10"/>
        <v/>
      </c>
      <c r="U202" t="str">
        <f>IF(T202="","", IFERROR(VLOOKUP(T202, IF(D202="Movers", 换算标准!$A:$B, 换算标准!$G:$H), 2, TRUE), 0))</f>
        <v/>
      </c>
      <c r="W202" t="str">
        <f t="shared" si="11"/>
        <v/>
      </c>
      <c r="Z202" s="5" t="str">
        <f>IF(J202="","", IF(K202&lt;=3, "⚠️ 薄弱环节: "&amp;INDEX($E$1:$I$1, MATCH(MIN(E202:I202), E202:I202, 0))&amp;CHAR(10)&amp;"📉 考察能力: "&amp;IFERROR(VLOOKUP(TRIM(D202)&amp;"_"&amp;TRIM(INDEX($E$1:$I$1, MATCH(MIN(E202:I202), E202:I202, 0))), 技能库!$A:$F, 5, 0),"建议查阅考纲")&amp;CHAR(10)&amp;"💡 提升建议: "&amp;IFERROR(VLOOKUP(TRIM(D202)&amp;"_"&amp;TRIM(INDEX($E$1:$I$1, MATCH(MIN(E202:I202), E202:I202, 0))), 技能库!$A:$F, 6, 0),"请针对该题型加强练习"), "🎉 表现优异，无明显弱项！"))</f>
        <v/>
      </c>
      <c r="AA202" s="5" t="str">
        <f>IF(T202="","", IF(U202&lt;=3, "⚠️ 薄弱环节: "&amp;INDEX($M$1:$S$1, MATCH(MIN(M202:S202), M202:S202, 0))&amp;CHAR(10)&amp;"📉 考察能力: "&amp;IFERROR(VLOOKUP(TRIM(D202)&amp;"_"&amp;TRIM(INDEX($M$1:$S$1, MATCH(MIN(M202:S202), M202:S202, 0))), 技能库!$A:$F, 5, 0),"建议查阅考纲")&amp;CHAR(10)&amp;"💡 提升建议: "&amp;IFERROR(VLOOKUP(TRIM(D202)&amp;"_"&amp;TRIM(INDEX($M$1:$S$1, MATCH(MIN(M202:S202), M202:S202, 0))), 技能库!$A:$F, 6, 0),"请针对该题型加强练习"), "🎉 表现优异，无明显弱项！"))</f>
        <v/>
      </c>
    </row>
    <row r="203" spans="10:27" ht="18" hidden="1" customHeight="1" x14ac:dyDescent="0.2">
      <c r="J203" t="str">
        <f t="shared" si="9"/>
        <v/>
      </c>
      <c r="K203" t="str">
        <f>IF(J203="","", IFERROR(VLOOKUP(J203, IF(D203="Movers", 换算标准!$C:$D, 换算标准!$I:$J), 2, TRUE), 0))</f>
        <v/>
      </c>
      <c r="T203" t="str">
        <f t="shared" si="10"/>
        <v/>
      </c>
      <c r="U203" t="str">
        <f>IF(T203="","", IFERROR(VLOOKUP(T203, IF(D203="Movers", 换算标准!$A:$B, 换算标准!$G:$H), 2, TRUE), 0))</f>
        <v/>
      </c>
      <c r="W203" t="str">
        <f t="shared" si="11"/>
        <v/>
      </c>
      <c r="Z203" s="5" t="str">
        <f>IF(J203="","", IF(K203&lt;=3, "⚠️ 薄弱环节: "&amp;INDEX($E$1:$I$1, MATCH(MIN(E203:I203), E203:I203, 0))&amp;CHAR(10)&amp;"📉 考察能力: "&amp;IFERROR(VLOOKUP(TRIM(D203)&amp;"_"&amp;TRIM(INDEX($E$1:$I$1, MATCH(MIN(E203:I203), E203:I203, 0))), 技能库!$A:$F, 5, 0),"建议查阅考纲")&amp;CHAR(10)&amp;"💡 提升建议: "&amp;IFERROR(VLOOKUP(TRIM(D203)&amp;"_"&amp;TRIM(INDEX($E$1:$I$1, MATCH(MIN(E203:I203), E203:I203, 0))), 技能库!$A:$F, 6, 0),"请针对该题型加强练习"), "🎉 表现优异，无明显弱项！"))</f>
        <v/>
      </c>
      <c r="AA203" s="5" t="str">
        <f>IF(T203="","", IF(U203&lt;=3, "⚠️ 薄弱环节: "&amp;INDEX($M$1:$S$1, MATCH(MIN(M203:S203), M203:S203, 0))&amp;CHAR(10)&amp;"📉 考察能力: "&amp;IFERROR(VLOOKUP(TRIM(D203)&amp;"_"&amp;TRIM(INDEX($M$1:$S$1, MATCH(MIN(M203:S203), M203:S203, 0))), 技能库!$A:$F, 5, 0),"建议查阅考纲")&amp;CHAR(10)&amp;"💡 提升建议: "&amp;IFERROR(VLOOKUP(TRIM(D203)&amp;"_"&amp;TRIM(INDEX($M$1:$S$1, MATCH(MIN(M203:S203), M203:S203, 0))), 技能库!$A:$F, 6, 0),"请针对该题型加强练习"), "🎉 表现优异，无明显弱项！"))</f>
        <v/>
      </c>
    </row>
    <row r="204" spans="10:27" ht="18" hidden="1" customHeight="1" x14ac:dyDescent="0.2">
      <c r="J204" t="str">
        <f t="shared" si="9"/>
        <v/>
      </c>
      <c r="K204" t="str">
        <f>IF(J204="","", IFERROR(VLOOKUP(J204, IF(D204="Movers", 换算标准!$C:$D, 换算标准!$I:$J), 2, TRUE), 0))</f>
        <v/>
      </c>
      <c r="T204" t="str">
        <f t="shared" si="10"/>
        <v/>
      </c>
      <c r="U204" t="str">
        <f>IF(T204="","", IFERROR(VLOOKUP(T204, IF(D204="Movers", 换算标准!$A:$B, 换算标准!$G:$H), 2, TRUE), 0))</f>
        <v/>
      </c>
      <c r="W204" t="str">
        <f t="shared" si="11"/>
        <v/>
      </c>
      <c r="Z204" s="5" t="str">
        <f>IF(J204="","", IF(K204&lt;=3, "⚠️ 薄弱环节: "&amp;INDEX($E$1:$I$1, MATCH(MIN(E204:I204), E204:I204, 0))&amp;CHAR(10)&amp;"📉 考察能力: "&amp;IFERROR(VLOOKUP(TRIM(D204)&amp;"_"&amp;TRIM(INDEX($E$1:$I$1, MATCH(MIN(E204:I204), E204:I204, 0))), 技能库!$A:$F, 5, 0),"建议查阅考纲")&amp;CHAR(10)&amp;"💡 提升建议: "&amp;IFERROR(VLOOKUP(TRIM(D204)&amp;"_"&amp;TRIM(INDEX($E$1:$I$1, MATCH(MIN(E204:I204), E204:I204, 0))), 技能库!$A:$F, 6, 0),"请针对该题型加强练习"), "🎉 表现优异，无明显弱项！"))</f>
        <v/>
      </c>
      <c r="AA204" s="5" t="str">
        <f>IF(T204="","", IF(U204&lt;=3, "⚠️ 薄弱环节: "&amp;INDEX($M$1:$S$1, MATCH(MIN(M204:S204), M204:S204, 0))&amp;CHAR(10)&amp;"📉 考察能力: "&amp;IFERROR(VLOOKUP(TRIM(D204)&amp;"_"&amp;TRIM(INDEX($M$1:$S$1, MATCH(MIN(M204:S204), M204:S204, 0))), 技能库!$A:$F, 5, 0),"建议查阅考纲")&amp;CHAR(10)&amp;"💡 提升建议: "&amp;IFERROR(VLOOKUP(TRIM(D204)&amp;"_"&amp;TRIM(INDEX($M$1:$S$1, MATCH(MIN(M204:S204), M204:S204, 0))), 技能库!$A:$F, 6, 0),"请针对该题型加强练习"), "🎉 表现优异，无明显弱项！"))</f>
        <v/>
      </c>
    </row>
    <row r="205" spans="10:27" ht="18" hidden="1" customHeight="1" x14ac:dyDescent="0.2">
      <c r="J205" t="str">
        <f t="shared" si="9"/>
        <v/>
      </c>
      <c r="K205" t="str">
        <f>IF(J205="","", IFERROR(VLOOKUP(J205, IF(D205="Movers", 换算标准!$C:$D, 换算标准!$I:$J), 2, TRUE), 0))</f>
        <v/>
      </c>
      <c r="T205" t="str">
        <f t="shared" si="10"/>
        <v/>
      </c>
      <c r="U205" t="str">
        <f>IF(T205="","", IFERROR(VLOOKUP(T205, IF(D205="Movers", 换算标准!$A:$B, 换算标准!$G:$H), 2, TRUE), 0))</f>
        <v/>
      </c>
      <c r="W205" t="str">
        <f t="shared" si="11"/>
        <v/>
      </c>
      <c r="Z205" s="5" t="str">
        <f>IF(J205="","", IF(K205&lt;=3, "⚠️ 薄弱环节: "&amp;INDEX($E$1:$I$1, MATCH(MIN(E205:I205), E205:I205, 0))&amp;CHAR(10)&amp;"📉 考察能力: "&amp;IFERROR(VLOOKUP(TRIM(D205)&amp;"_"&amp;TRIM(INDEX($E$1:$I$1, MATCH(MIN(E205:I205), E205:I205, 0))), 技能库!$A:$F, 5, 0),"建议查阅考纲")&amp;CHAR(10)&amp;"💡 提升建议: "&amp;IFERROR(VLOOKUP(TRIM(D205)&amp;"_"&amp;TRIM(INDEX($E$1:$I$1, MATCH(MIN(E205:I205), E205:I205, 0))), 技能库!$A:$F, 6, 0),"请针对该题型加强练习"), "🎉 表现优异，无明显弱项！"))</f>
        <v/>
      </c>
      <c r="AA205" s="5" t="str">
        <f>IF(T205="","", IF(U205&lt;=3, "⚠️ 薄弱环节: "&amp;INDEX($M$1:$S$1, MATCH(MIN(M205:S205), M205:S205, 0))&amp;CHAR(10)&amp;"📉 考察能力: "&amp;IFERROR(VLOOKUP(TRIM(D205)&amp;"_"&amp;TRIM(INDEX($M$1:$S$1, MATCH(MIN(M205:S205), M205:S205, 0))), 技能库!$A:$F, 5, 0),"建议查阅考纲")&amp;CHAR(10)&amp;"💡 提升建议: "&amp;IFERROR(VLOOKUP(TRIM(D205)&amp;"_"&amp;TRIM(INDEX($M$1:$S$1, MATCH(MIN(M205:S205), M205:S205, 0))), 技能库!$A:$F, 6, 0),"请针对该题型加强练习"), "🎉 表现优异，无明显弱项！"))</f>
        <v/>
      </c>
    </row>
    <row r="206" spans="10:27" ht="18" hidden="1" customHeight="1" x14ac:dyDescent="0.2">
      <c r="J206" t="str">
        <f t="shared" si="9"/>
        <v/>
      </c>
      <c r="K206" t="str">
        <f>IF(J206="","", IFERROR(VLOOKUP(J206, IF(D206="Movers", 换算标准!$C:$D, 换算标准!$I:$J), 2, TRUE), 0))</f>
        <v/>
      </c>
      <c r="T206" t="str">
        <f t="shared" si="10"/>
        <v/>
      </c>
      <c r="U206" t="str">
        <f>IF(T206="","", IFERROR(VLOOKUP(T206, IF(D206="Movers", 换算标准!$A:$B, 换算标准!$G:$H), 2, TRUE), 0))</f>
        <v/>
      </c>
      <c r="W206" t="str">
        <f t="shared" si="11"/>
        <v/>
      </c>
      <c r="Z206" s="5" t="str">
        <f>IF(J206="","", IF(K206&lt;=3, "⚠️ 薄弱环节: "&amp;INDEX($E$1:$I$1, MATCH(MIN(E206:I206), E206:I206, 0))&amp;CHAR(10)&amp;"📉 考察能力: "&amp;IFERROR(VLOOKUP(TRIM(D206)&amp;"_"&amp;TRIM(INDEX($E$1:$I$1, MATCH(MIN(E206:I206), E206:I206, 0))), 技能库!$A:$F, 5, 0),"建议查阅考纲")&amp;CHAR(10)&amp;"💡 提升建议: "&amp;IFERROR(VLOOKUP(TRIM(D206)&amp;"_"&amp;TRIM(INDEX($E$1:$I$1, MATCH(MIN(E206:I206), E206:I206, 0))), 技能库!$A:$F, 6, 0),"请针对该题型加强练习"), "🎉 表现优异，无明显弱项！"))</f>
        <v/>
      </c>
      <c r="AA206" s="5" t="str">
        <f>IF(T206="","", IF(U206&lt;=3, "⚠️ 薄弱环节: "&amp;INDEX($M$1:$S$1, MATCH(MIN(M206:S206), M206:S206, 0))&amp;CHAR(10)&amp;"📉 考察能力: "&amp;IFERROR(VLOOKUP(TRIM(D206)&amp;"_"&amp;TRIM(INDEX($M$1:$S$1, MATCH(MIN(M206:S206), M206:S206, 0))), 技能库!$A:$F, 5, 0),"建议查阅考纲")&amp;CHAR(10)&amp;"💡 提升建议: "&amp;IFERROR(VLOOKUP(TRIM(D206)&amp;"_"&amp;TRIM(INDEX($M$1:$S$1, MATCH(MIN(M206:S206), M206:S206, 0))), 技能库!$A:$F, 6, 0),"请针对该题型加强练习"), "🎉 表现优异，无明显弱项！"))</f>
        <v/>
      </c>
    </row>
    <row r="207" spans="10:27" ht="18" hidden="1" customHeight="1" x14ac:dyDescent="0.2">
      <c r="J207" t="str">
        <f t="shared" si="9"/>
        <v/>
      </c>
      <c r="K207" t="str">
        <f>IF(J207="","", IFERROR(VLOOKUP(J207, IF(D207="Movers", 换算标准!$C:$D, 换算标准!$I:$J), 2, TRUE), 0))</f>
        <v/>
      </c>
      <c r="T207" t="str">
        <f t="shared" si="10"/>
        <v/>
      </c>
      <c r="U207" t="str">
        <f>IF(T207="","", IFERROR(VLOOKUP(T207, IF(D207="Movers", 换算标准!$A:$B, 换算标准!$G:$H), 2, TRUE), 0))</f>
        <v/>
      </c>
      <c r="W207" t="str">
        <f t="shared" si="11"/>
        <v/>
      </c>
      <c r="Z207" s="5" t="str">
        <f>IF(J207="","", IF(K207&lt;=3, "⚠️ 薄弱环节: "&amp;INDEX($E$1:$I$1, MATCH(MIN(E207:I207), E207:I207, 0))&amp;CHAR(10)&amp;"📉 考察能力: "&amp;IFERROR(VLOOKUP(TRIM(D207)&amp;"_"&amp;TRIM(INDEX($E$1:$I$1, MATCH(MIN(E207:I207), E207:I207, 0))), 技能库!$A:$F, 5, 0),"建议查阅考纲")&amp;CHAR(10)&amp;"💡 提升建议: "&amp;IFERROR(VLOOKUP(TRIM(D207)&amp;"_"&amp;TRIM(INDEX($E$1:$I$1, MATCH(MIN(E207:I207), E207:I207, 0))), 技能库!$A:$F, 6, 0),"请针对该题型加强练习"), "🎉 表现优异，无明显弱项！"))</f>
        <v/>
      </c>
      <c r="AA207" s="5" t="str">
        <f>IF(T207="","", IF(U207&lt;=3, "⚠️ 薄弱环节: "&amp;INDEX($M$1:$S$1, MATCH(MIN(M207:S207), M207:S207, 0))&amp;CHAR(10)&amp;"📉 考察能力: "&amp;IFERROR(VLOOKUP(TRIM(D207)&amp;"_"&amp;TRIM(INDEX($M$1:$S$1, MATCH(MIN(M207:S207), M207:S207, 0))), 技能库!$A:$F, 5, 0),"建议查阅考纲")&amp;CHAR(10)&amp;"💡 提升建议: "&amp;IFERROR(VLOOKUP(TRIM(D207)&amp;"_"&amp;TRIM(INDEX($M$1:$S$1, MATCH(MIN(M207:S207), M207:S207, 0))), 技能库!$A:$F, 6, 0),"请针对该题型加强练习"), "🎉 表现优异，无明显弱项！"))</f>
        <v/>
      </c>
    </row>
    <row r="208" spans="10:27" ht="18" hidden="1" customHeight="1" x14ac:dyDescent="0.2">
      <c r="J208" t="str">
        <f t="shared" si="9"/>
        <v/>
      </c>
      <c r="K208" t="str">
        <f>IF(J208="","", IFERROR(VLOOKUP(J208, IF(D208="Movers", 换算标准!$C:$D, 换算标准!$I:$J), 2, TRUE), 0))</f>
        <v/>
      </c>
      <c r="T208" t="str">
        <f t="shared" si="10"/>
        <v/>
      </c>
      <c r="U208" t="str">
        <f>IF(T208="","", IFERROR(VLOOKUP(T208, IF(D208="Movers", 换算标准!$A:$B, 换算标准!$G:$H), 2, TRUE), 0))</f>
        <v/>
      </c>
      <c r="W208" t="str">
        <f t="shared" si="11"/>
        <v/>
      </c>
      <c r="Z208" s="5" t="str">
        <f>IF(J208="","", IF(K208&lt;=3, "⚠️ 薄弱环节: "&amp;INDEX($E$1:$I$1, MATCH(MIN(E208:I208), E208:I208, 0))&amp;CHAR(10)&amp;"📉 考察能力: "&amp;IFERROR(VLOOKUP(TRIM(D208)&amp;"_"&amp;TRIM(INDEX($E$1:$I$1, MATCH(MIN(E208:I208), E208:I208, 0))), 技能库!$A:$F, 5, 0),"建议查阅考纲")&amp;CHAR(10)&amp;"💡 提升建议: "&amp;IFERROR(VLOOKUP(TRIM(D208)&amp;"_"&amp;TRIM(INDEX($E$1:$I$1, MATCH(MIN(E208:I208), E208:I208, 0))), 技能库!$A:$F, 6, 0),"请针对该题型加强练习"), "🎉 表现优异，无明显弱项！"))</f>
        <v/>
      </c>
      <c r="AA208" s="5" t="str">
        <f>IF(T208="","", IF(U208&lt;=3, "⚠️ 薄弱环节: "&amp;INDEX($M$1:$S$1, MATCH(MIN(M208:S208), M208:S208, 0))&amp;CHAR(10)&amp;"📉 考察能力: "&amp;IFERROR(VLOOKUP(TRIM(D208)&amp;"_"&amp;TRIM(INDEX($M$1:$S$1, MATCH(MIN(M208:S208), M208:S208, 0))), 技能库!$A:$F, 5, 0),"建议查阅考纲")&amp;CHAR(10)&amp;"💡 提升建议: "&amp;IFERROR(VLOOKUP(TRIM(D208)&amp;"_"&amp;TRIM(INDEX($M$1:$S$1, MATCH(MIN(M208:S208), M208:S208, 0))), 技能库!$A:$F, 6, 0),"请针对该题型加强练习"), "🎉 表现优异，无明显弱项！"))</f>
        <v/>
      </c>
    </row>
    <row r="209" spans="10:27" ht="18" hidden="1" customHeight="1" x14ac:dyDescent="0.2">
      <c r="J209" t="str">
        <f t="shared" si="9"/>
        <v/>
      </c>
      <c r="K209" t="str">
        <f>IF(J209="","", IFERROR(VLOOKUP(J209, IF(D209="Movers", 换算标准!$C:$D, 换算标准!$I:$J), 2, TRUE), 0))</f>
        <v/>
      </c>
      <c r="T209" t="str">
        <f t="shared" si="10"/>
        <v/>
      </c>
      <c r="U209" t="str">
        <f>IF(T209="","", IFERROR(VLOOKUP(T209, IF(D209="Movers", 换算标准!$A:$B, 换算标准!$G:$H), 2, TRUE), 0))</f>
        <v/>
      </c>
      <c r="W209" t="str">
        <f t="shared" si="11"/>
        <v/>
      </c>
      <c r="Z209" s="5" t="str">
        <f>IF(J209="","", IF(K209&lt;=3, "⚠️ 薄弱环节: "&amp;INDEX($E$1:$I$1, MATCH(MIN(E209:I209), E209:I209, 0))&amp;CHAR(10)&amp;"📉 考察能力: "&amp;IFERROR(VLOOKUP(TRIM(D209)&amp;"_"&amp;TRIM(INDEX($E$1:$I$1, MATCH(MIN(E209:I209), E209:I209, 0))), 技能库!$A:$F, 5, 0),"建议查阅考纲")&amp;CHAR(10)&amp;"💡 提升建议: "&amp;IFERROR(VLOOKUP(TRIM(D209)&amp;"_"&amp;TRIM(INDEX($E$1:$I$1, MATCH(MIN(E209:I209), E209:I209, 0))), 技能库!$A:$F, 6, 0),"请针对该题型加强练习"), "🎉 表现优异，无明显弱项！"))</f>
        <v/>
      </c>
      <c r="AA209" s="5" t="str">
        <f>IF(T209="","", IF(U209&lt;=3, "⚠️ 薄弱环节: "&amp;INDEX($M$1:$S$1, MATCH(MIN(M209:S209), M209:S209, 0))&amp;CHAR(10)&amp;"📉 考察能力: "&amp;IFERROR(VLOOKUP(TRIM(D209)&amp;"_"&amp;TRIM(INDEX($M$1:$S$1, MATCH(MIN(M209:S209), M209:S209, 0))), 技能库!$A:$F, 5, 0),"建议查阅考纲")&amp;CHAR(10)&amp;"💡 提升建议: "&amp;IFERROR(VLOOKUP(TRIM(D209)&amp;"_"&amp;TRIM(INDEX($M$1:$S$1, MATCH(MIN(M209:S209), M209:S209, 0))), 技能库!$A:$F, 6, 0),"请针对该题型加强练习"), "🎉 表现优异，无明显弱项！"))</f>
        <v/>
      </c>
    </row>
    <row r="210" spans="10:27" ht="18" hidden="1" customHeight="1" x14ac:dyDescent="0.2">
      <c r="J210" t="str">
        <f t="shared" si="9"/>
        <v/>
      </c>
      <c r="K210" t="str">
        <f>IF(J210="","", IFERROR(VLOOKUP(J210, IF(D210="Movers", 换算标准!$C:$D, 换算标准!$I:$J), 2, TRUE), 0))</f>
        <v/>
      </c>
      <c r="T210" t="str">
        <f t="shared" si="10"/>
        <v/>
      </c>
      <c r="U210" t="str">
        <f>IF(T210="","", IFERROR(VLOOKUP(T210, IF(D210="Movers", 换算标准!$A:$B, 换算标准!$G:$H), 2, TRUE), 0))</f>
        <v/>
      </c>
      <c r="W210" t="str">
        <f t="shared" si="11"/>
        <v/>
      </c>
      <c r="Z210" s="5" t="str">
        <f>IF(J210="","", IF(K210&lt;=3, "⚠️ 薄弱环节: "&amp;INDEX($E$1:$I$1, MATCH(MIN(E210:I210), E210:I210, 0))&amp;CHAR(10)&amp;"📉 考察能力: "&amp;IFERROR(VLOOKUP(TRIM(D210)&amp;"_"&amp;TRIM(INDEX($E$1:$I$1, MATCH(MIN(E210:I210), E210:I210, 0))), 技能库!$A:$F, 5, 0),"建议查阅考纲")&amp;CHAR(10)&amp;"💡 提升建议: "&amp;IFERROR(VLOOKUP(TRIM(D210)&amp;"_"&amp;TRIM(INDEX($E$1:$I$1, MATCH(MIN(E210:I210), E210:I210, 0))), 技能库!$A:$F, 6, 0),"请针对该题型加强练习"), "🎉 表现优异，无明显弱项！"))</f>
        <v/>
      </c>
      <c r="AA210" s="5" t="str">
        <f>IF(T210="","", IF(U210&lt;=3, "⚠️ 薄弱环节: "&amp;INDEX($M$1:$S$1, MATCH(MIN(M210:S210), M210:S210, 0))&amp;CHAR(10)&amp;"📉 考察能力: "&amp;IFERROR(VLOOKUP(TRIM(D210)&amp;"_"&amp;TRIM(INDEX($M$1:$S$1, MATCH(MIN(M210:S210), M210:S210, 0))), 技能库!$A:$F, 5, 0),"建议查阅考纲")&amp;CHAR(10)&amp;"💡 提升建议: "&amp;IFERROR(VLOOKUP(TRIM(D210)&amp;"_"&amp;TRIM(INDEX($M$1:$S$1, MATCH(MIN(M210:S210), M210:S210, 0))), 技能库!$A:$F, 6, 0),"请针对该题型加强练习"), "🎉 表现优异，无明显弱项！"))</f>
        <v/>
      </c>
    </row>
    <row r="211" spans="10:27" ht="18" hidden="1" customHeight="1" x14ac:dyDescent="0.2">
      <c r="J211" t="str">
        <f t="shared" si="9"/>
        <v/>
      </c>
      <c r="K211" t="str">
        <f>IF(J211="","", IFERROR(VLOOKUP(J211, IF(D211="Movers", 换算标准!$C:$D, 换算标准!$I:$J), 2, TRUE), 0))</f>
        <v/>
      </c>
      <c r="T211" t="str">
        <f t="shared" si="10"/>
        <v/>
      </c>
      <c r="U211" t="str">
        <f>IF(T211="","", IFERROR(VLOOKUP(T211, IF(D211="Movers", 换算标准!$A:$B, 换算标准!$G:$H), 2, TRUE), 0))</f>
        <v/>
      </c>
      <c r="W211" t="str">
        <f t="shared" si="11"/>
        <v/>
      </c>
      <c r="Z211" s="5" t="str">
        <f>IF(J211="","", IF(K211&lt;=3, "⚠️ 薄弱环节: "&amp;INDEX($E$1:$I$1, MATCH(MIN(E211:I211), E211:I211, 0))&amp;CHAR(10)&amp;"📉 考察能力: "&amp;IFERROR(VLOOKUP(TRIM(D211)&amp;"_"&amp;TRIM(INDEX($E$1:$I$1, MATCH(MIN(E211:I211), E211:I211, 0))), 技能库!$A:$F, 5, 0),"建议查阅考纲")&amp;CHAR(10)&amp;"💡 提升建议: "&amp;IFERROR(VLOOKUP(TRIM(D211)&amp;"_"&amp;TRIM(INDEX($E$1:$I$1, MATCH(MIN(E211:I211), E211:I211, 0))), 技能库!$A:$F, 6, 0),"请针对该题型加强练习"), "🎉 表现优异，无明显弱项！"))</f>
        <v/>
      </c>
      <c r="AA211" s="5" t="str">
        <f>IF(T211="","", IF(U211&lt;=3, "⚠️ 薄弱环节: "&amp;INDEX($M$1:$S$1, MATCH(MIN(M211:S211), M211:S211, 0))&amp;CHAR(10)&amp;"📉 考察能力: "&amp;IFERROR(VLOOKUP(TRIM(D211)&amp;"_"&amp;TRIM(INDEX($M$1:$S$1, MATCH(MIN(M211:S211), M211:S211, 0))), 技能库!$A:$F, 5, 0),"建议查阅考纲")&amp;CHAR(10)&amp;"💡 提升建议: "&amp;IFERROR(VLOOKUP(TRIM(D211)&amp;"_"&amp;TRIM(INDEX($M$1:$S$1, MATCH(MIN(M211:S211), M211:S211, 0))), 技能库!$A:$F, 6, 0),"请针对该题型加强练习"), "🎉 表现优异，无明显弱项！"))</f>
        <v/>
      </c>
    </row>
    <row r="212" spans="10:27" ht="18" hidden="1" customHeight="1" x14ac:dyDescent="0.2">
      <c r="J212" t="str">
        <f t="shared" si="9"/>
        <v/>
      </c>
      <c r="K212" t="str">
        <f>IF(J212="","", IFERROR(VLOOKUP(J212, IF(D212="Movers", 换算标准!$C:$D, 换算标准!$I:$J), 2, TRUE), 0))</f>
        <v/>
      </c>
      <c r="T212" t="str">
        <f t="shared" si="10"/>
        <v/>
      </c>
      <c r="U212" t="str">
        <f>IF(T212="","", IFERROR(VLOOKUP(T212, IF(D212="Movers", 换算标准!$A:$B, 换算标准!$G:$H), 2, TRUE), 0))</f>
        <v/>
      </c>
      <c r="W212" t="str">
        <f t="shared" si="11"/>
        <v/>
      </c>
      <c r="Z212" s="5" t="str">
        <f>IF(J212="","", IF(K212&lt;=3, "⚠️ 薄弱环节: "&amp;INDEX($E$1:$I$1, MATCH(MIN(E212:I212), E212:I212, 0))&amp;CHAR(10)&amp;"📉 考察能力: "&amp;IFERROR(VLOOKUP(TRIM(D212)&amp;"_"&amp;TRIM(INDEX($E$1:$I$1, MATCH(MIN(E212:I212), E212:I212, 0))), 技能库!$A:$F, 5, 0),"建议查阅考纲")&amp;CHAR(10)&amp;"💡 提升建议: "&amp;IFERROR(VLOOKUP(TRIM(D212)&amp;"_"&amp;TRIM(INDEX($E$1:$I$1, MATCH(MIN(E212:I212), E212:I212, 0))), 技能库!$A:$F, 6, 0),"请针对该题型加强练习"), "🎉 表现优异，无明显弱项！"))</f>
        <v/>
      </c>
      <c r="AA212" s="5" t="str">
        <f>IF(T212="","", IF(U212&lt;=3, "⚠️ 薄弱环节: "&amp;INDEX($M$1:$S$1, MATCH(MIN(M212:S212), M212:S212, 0))&amp;CHAR(10)&amp;"📉 考察能力: "&amp;IFERROR(VLOOKUP(TRIM(D212)&amp;"_"&amp;TRIM(INDEX($M$1:$S$1, MATCH(MIN(M212:S212), M212:S212, 0))), 技能库!$A:$F, 5, 0),"建议查阅考纲")&amp;CHAR(10)&amp;"💡 提升建议: "&amp;IFERROR(VLOOKUP(TRIM(D212)&amp;"_"&amp;TRIM(INDEX($M$1:$S$1, MATCH(MIN(M212:S212), M212:S212, 0))), 技能库!$A:$F, 6, 0),"请针对该题型加强练习"), "🎉 表现优异，无明显弱项！"))</f>
        <v/>
      </c>
    </row>
    <row r="213" spans="10:27" ht="18" hidden="1" customHeight="1" x14ac:dyDescent="0.2">
      <c r="J213" t="str">
        <f t="shared" si="9"/>
        <v/>
      </c>
      <c r="K213" t="str">
        <f>IF(J213="","", IFERROR(VLOOKUP(J213, IF(D213="Movers", 换算标准!$C:$D, 换算标准!$I:$J), 2, TRUE), 0))</f>
        <v/>
      </c>
      <c r="T213" t="str">
        <f t="shared" si="10"/>
        <v/>
      </c>
      <c r="U213" t="str">
        <f>IF(T213="","", IFERROR(VLOOKUP(T213, IF(D213="Movers", 换算标准!$A:$B, 换算标准!$G:$H), 2, TRUE), 0))</f>
        <v/>
      </c>
      <c r="W213" t="str">
        <f t="shared" si="11"/>
        <v/>
      </c>
      <c r="Z213" s="5" t="str">
        <f>IF(J213="","", IF(K213&lt;=3, "⚠️ 薄弱环节: "&amp;INDEX($E$1:$I$1, MATCH(MIN(E213:I213), E213:I213, 0))&amp;CHAR(10)&amp;"📉 考察能力: "&amp;IFERROR(VLOOKUP(TRIM(D213)&amp;"_"&amp;TRIM(INDEX($E$1:$I$1, MATCH(MIN(E213:I213), E213:I213, 0))), 技能库!$A:$F, 5, 0),"建议查阅考纲")&amp;CHAR(10)&amp;"💡 提升建议: "&amp;IFERROR(VLOOKUP(TRIM(D213)&amp;"_"&amp;TRIM(INDEX($E$1:$I$1, MATCH(MIN(E213:I213), E213:I213, 0))), 技能库!$A:$F, 6, 0),"请针对该题型加强练习"), "🎉 表现优异，无明显弱项！"))</f>
        <v/>
      </c>
      <c r="AA213" s="5" t="str">
        <f>IF(T213="","", IF(U213&lt;=3, "⚠️ 薄弱环节: "&amp;INDEX($M$1:$S$1, MATCH(MIN(M213:S213), M213:S213, 0))&amp;CHAR(10)&amp;"📉 考察能力: "&amp;IFERROR(VLOOKUP(TRIM(D213)&amp;"_"&amp;TRIM(INDEX($M$1:$S$1, MATCH(MIN(M213:S213), M213:S213, 0))), 技能库!$A:$F, 5, 0),"建议查阅考纲")&amp;CHAR(10)&amp;"💡 提升建议: "&amp;IFERROR(VLOOKUP(TRIM(D213)&amp;"_"&amp;TRIM(INDEX($M$1:$S$1, MATCH(MIN(M213:S213), M213:S213, 0))), 技能库!$A:$F, 6, 0),"请针对该题型加强练习"), "🎉 表现优异，无明显弱项！"))</f>
        <v/>
      </c>
    </row>
    <row r="214" spans="10:27" ht="18" hidden="1" customHeight="1" x14ac:dyDescent="0.2">
      <c r="J214" t="str">
        <f t="shared" si="9"/>
        <v/>
      </c>
      <c r="K214" t="str">
        <f>IF(J214="","", IFERROR(VLOOKUP(J214, IF(D214="Movers", 换算标准!$C:$D, 换算标准!$I:$J), 2, TRUE), 0))</f>
        <v/>
      </c>
      <c r="T214" t="str">
        <f t="shared" si="10"/>
        <v/>
      </c>
      <c r="U214" t="str">
        <f>IF(T214="","", IFERROR(VLOOKUP(T214, IF(D214="Movers", 换算标准!$A:$B, 换算标准!$G:$H), 2, TRUE), 0))</f>
        <v/>
      </c>
      <c r="W214" t="str">
        <f t="shared" si="11"/>
        <v/>
      </c>
      <c r="Z214" s="5" t="str">
        <f>IF(J214="","", IF(K214&lt;=3, "⚠️ 薄弱环节: "&amp;INDEX($E$1:$I$1, MATCH(MIN(E214:I214), E214:I214, 0))&amp;CHAR(10)&amp;"📉 考察能力: "&amp;IFERROR(VLOOKUP(TRIM(D214)&amp;"_"&amp;TRIM(INDEX($E$1:$I$1, MATCH(MIN(E214:I214), E214:I214, 0))), 技能库!$A:$F, 5, 0),"建议查阅考纲")&amp;CHAR(10)&amp;"💡 提升建议: "&amp;IFERROR(VLOOKUP(TRIM(D214)&amp;"_"&amp;TRIM(INDEX($E$1:$I$1, MATCH(MIN(E214:I214), E214:I214, 0))), 技能库!$A:$F, 6, 0),"请针对该题型加强练习"), "🎉 表现优异，无明显弱项！"))</f>
        <v/>
      </c>
      <c r="AA214" s="5" t="str">
        <f>IF(T214="","", IF(U214&lt;=3, "⚠️ 薄弱环节: "&amp;INDEX($M$1:$S$1, MATCH(MIN(M214:S214), M214:S214, 0))&amp;CHAR(10)&amp;"📉 考察能力: "&amp;IFERROR(VLOOKUP(TRIM(D214)&amp;"_"&amp;TRIM(INDEX($M$1:$S$1, MATCH(MIN(M214:S214), M214:S214, 0))), 技能库!$A:$F, 5, 0),"建议查阅考纲")&amp;CHAR(10)&amp;"💡 提升建议: "&amp;IFERROR(VLOOKUP(TRIM(D214)&amp;"_"&amp;TRIM(INDEX($M$1:$S$1, MATCH(MIN(M214:S214), M214:S214, 0))), 技能库!$A:$F, 6, 0),"请针对该题型加强练习"), "🎉 表现优异，无明显弱项！"))</f>
        <v/>
      </c>
    </row>
    <row r="215" spans="10:27" ht="18" hidden="1" customHeight="1" x14ac:dyDescent="0.2">
      <c r="J215" t="str">
        <f t="shared" si="9"/>
        <v/>
      </c>
      <c r="K215" t="str">
        <f>IF(J215="","", IFERROR(VLOOKUP(J215, IF(D215="Movers", 换算标准!$C:$D, 换算标准!$I:$J), 2, TRUE), 0))</f>
        <v/>
      </c>
      <c r="T215" t="str">
        <f t="shared" si="10"/>
        <v/>
      </c>
      <c r="U215" t="str">
        <f>IF(T215="","", IFERROR(VLOOKUP(T215, IF(D215="Movers", 换算标准!$A:$B, 换算标准!$G:$H), 2, TRUE), 0))</f>
        <v/>
      </c>
      <c r="W215" t="str">
        <f t="shared" si="11"/>
        <v/>
      </c>
      <c r="Z215" s="5" t="str">
        <f>IF(J215="","", IF(K215&lt;=3, "⚠️ 薄弱环节: "&amp;INDEX($E$1:$I$1, MATCH(MIN(E215:I215), E215:I215, 0))&amp;CHAR(10)&amp;"📉 考察能力: "&amp;IFERROR(VLOOKUP(TRIM(D215)&amp;"_"&amp;TRIM(INDEX($E$1:$I$1, MATCH(MIN(E215:I215), E215:I215, 0))), 技能库!$A:$F, 5, 0),"建议查阅考纲")&amp;CHAR(10)&amp;"💡 提升建议: "&amp;IFERROR(VLOOKUP(TRIM(D215)&amp;"_"&amp;TRIM(INDEX($E$1:$I$1, MATCH(MIN(E215:I215), E215:I215, 0))), 技能库!$A:$F, 6, 0),"请针对该题型加强练习"), "🎉 表现优异，无明显弱项！"))</f>
        <v/>
      </c>
      <c r="AA215" s="5" t="str">
        <f>IF(T215="","", IF(U215&lt;=3, "⚠️ 薄弱环节: "&amp;INDEX($M$1:$S$1, MATCH(MIN(M215:S215), M215:S215, 0))&amp;CHAR(10)&amp;"📉 考察能力: "&amp;IFERROR(VLOOKUP(TRIM(D215)&amp;"_"&amp;TRIM(INDEX($M$1:$S$1, MATCH(MIN(M215:S215), M215:S215, 0))), 技能库!$A:$F, 5, 0),"建议查阅考纲")&amp;CHAR(10)&amp;"💡 提升建议: "&amp;IFERROR(VLOOKUP(TRIM(D215)&amp;"_"&amp;TRIM(INDEX($M$1:$S$1, MATCH(MIN(M215:S215), M215:S215, 0))), 技能库!$A:$F, 6, 0),"请针对该题型加强练习"), "🎉 表现优异，无明显弱项！"))</f>
        <v/>
      </c>
    </row>
    <row r="216" spans="10:27" ht="18" hidden="1" customHeight="1" x14ac:dyDescent="0.2">
      <c r="J216" t="str">
        <f t="shared" si="9"/>
        <v/>
      </c>
      <c r="K216" t="str">
        <f>IF(J216="","", IFERROR(VLOOKUP(J216, IF(D216="Movers", 换算标准!$C:$D, 换算标准!$I:$J), 2, TRUE), 0))</f>
        <v/>
      </c>
      <c r="T216" t="str">
        <f t="shared" si="10"/>
        <v/>
      </c>
      <c r="U216" t="str">
        <f>IF(T216="","", IFERROR(VLOOKUP(T216, IF(D216="Movers", 换算标准!$A:$B, 换算标准!$G:$H), 2, TRUE), 0))</f>
        <v/>
      </c>
      <c r="W216" t="str">
        <f t="shared" si="11"/>
        <v/>
      </c>
      <c r="Z216" s="5" t="str">
        <f>IF(J216="","", IF(K216&lt;=3, "⚠️ 薄弱环节: "&amp;INDEX($E$1:$I$1, MATCH(MIN(E216:I216), E216:I216, 0))&amp;CHAR(10)&amp;"📉 考察能力: "&amp;IFERROR(VLOOKUP(TRIM(D216)&amp;"_"&amp;TRIM(INDEX($E$1:$I$1, MATCH(MIN(E216:I216), E216:I216, 0))), 技能库!$A:$F, 5, 0),"建议查阅考纲")&amp;CHAR(10)&amp;"💡 提升建议: "&amp;IFERROR(VLOOKUP(TRIM(D216)&amp;"_"&amp;TRIM(INDEX($E$1:$I$1, MATCH(MIN(E216:I216), E216:I216, 0))), 技能库!$A:$F, 6, 0),"请针对该题型加强练习"), "🎉 表现优异，无明显弱项！"))</f>
        <v/>
      </c>
      <c r="AA216" s="5" t="str">
        <f>IF(T216="","", IF(U216&lt;=3, "⚠️ 薄弱环节: "&amp;INDEX($M$1:$S$1, MATCH(MIN(M216:S216), M216:S216, 0))&amp;CHAR(10)&amp;"📉 考察能力: "&amp;IFERROR(VLOOKUP(TRIM(D216)&amp;"_"&amp;TRIM(INDEX($M$1:$S$1, MATCH(MIN(M216:S216), M216:S216, 0))), 技能库!$A:$F, 5, 0),"建议查阅考纲")&amp;CHAR(10)&amp;"💡 提升建议: "&amp;IFERROR(VLOOKUP(TRIM(D216)&amp;"_"&amp;TRIM(INDEX($M$1:$S$1, MATCH(MIN(M216:S216), M216:S216, 0))), 技能库!$A:$F, 6, 0),"请针对该题型加强练习"), "🎉 表现优异，无明显弱项！"))</f>
        <v/>
      </c>
    </row>
    <row r="217" spans="10:27" ht="18" hidden="1" customHeight="1" x14ac:dyDescent="0.2">
      <c r="J217" t="str">
        <f t="shared" si="9"/>
        <v/>
      </c>
      <c r="K217" t="str">
        <f>IF(J217="","", IFERROR(VLOOKUP(J217, IF(D217="Movers", 换算标准!$C:$D, 换算标准!$I:$J), 2, TRUE), 0))</f>
        <v/>
      </c>
      <c r="T217" t="str">
        <f t="shared" si="10"/>
        <v/>
      </c>
      <c r="U217" t="str">
        <f>IF(T217="","", IFERROR(VLOOKUP(T217, IF(D217="Movers", 换算标准!$A:$B, 换算标准!$G:$H), 2, TRUE), 0))</f>
        <v/>
      </c>
      <c r="W217" t="str">
        <f t="shared" si="11"/>
        <v/>
      </c>
      <c r="Z217" s="5" t="str">
        <f>IF(J217="","", IF(K217&lt;=3, "⚠️ 薄弱环节: "&amp;INDEX($E$1:$I$1, MATCH(MIN(E217:I217), E217:I217, 0))&amp;CHAR(10)&amp;"📉 考察能力: "&amp;IFERROR(VLOOKUP(TRIM(D217)&amp;"_"&amp;TRIM(INDEX($E$1:$I$1, MATCH(MIN(E217:I217), E217:I217, 0))), 技能库!$A:$F, 5, 0),"建议查阅考纲")&amp;CHAR(10)&amp;"💡 提升建议: "&amp;IFERROR(VLOOKUP(TRIM(D217)&amp;"_"&amp;TRIM(INDEX($E$1:$I$1, MATCH(MIN(E217:I217), E217:I217, 0))), 技能库!$A:$F, 6, 0),"请针对该题型加强练习"), "🎉 表现优异，无明显弱项！"))</f>
        <v/>
      </c>
      <c r="AA217" s="5" t="str">
        <f>IF(T217="","", IF(U217&lt;=3, "⚠️ 薄弱环节: "&amp;INDEX($M$1:$S$1, MATCH(MIN(M217:S217), M217:S217, 0))&amp;CHAR(10)&amp;"📉 考察能力: "&amp;IFERROR(VLOOKUP(TRIM(D217)&amp;"_"&amp;TRIM(INDEX($M$1:$S$1, MATCH(MIN(M217:S217), M217:S217, 0))), 技能库!$A:$F, 5, 0),"建议查阅考纲")&amp;CHAR(10)&amp;"💡 提升建议: "&amp;IFERROR(VLOOKUP(TRIM(D217)&amp;"_"&amp;TRIM(INDEX($M$1:$S$1, MATCH(MIN(M217:S217), M217:S217, 0))), 技能库!$A:$F, 6, 0),"请针对该题型加强练习"), "🎉 表现优异，无明显弱项！"))</f>
        <v/>
      </c>
    </row>
    <row r="218" spans="10:27" ht="18" hidden="1" customHeight="1" x14ac:dyDescent="0.2">
      <c r="J218" t="str">
        <f t="shared" si="9"/>
        <v/>
      </c>
      <c r="K218" t="str">
        <f>IF(J218="","", IFERROR(VLOOKUP(J218, IF(D218="Movers", 换算标准!$C:$D, 换算标准!$I:$J), 2, TRUE), 0))</f>
        <v/>
      </c>
      <c r="T218" t="str">
        <f t="shared" si="10"/>
        <v/>
      </c>
      <c r="U218" t="str">
        <f>IF(T218="","", IFERROR(VLOOKUP(T218, IF(D218="Movers", 换算标准!$A:$B, 换算标准!$G:$H), 2, TRUE), 0))</f>
        <v/>
      </c>
      <c r="W218" t="str">
        <f t="shared" si="11"/>
        <v/>
      </c>
      <c r="Z218" s="5" t="str">
        <f>IF(J218="","", IF(K218&lt;=3, "⚠️ 薄弱环节: "&amp;INDEX($E$1:$I$1, MATCH(MIN(E218:I218), E218:I218, 0))&amp;CHAR(10)&amp;"📉 考察能力: "&amp;IFERROR(VLOOKUP(TRIM(D218)&amp;"_"&amp;TRIM(INDEX($E$1:$I$1, MATCH(MIN(E218:I218), E218:I218, 0))), 技能库!$A:$F, 5, 0),"建议查阅考纲")&amp;CHAR(10)&amp;"💡 提升建议: "&amp;IFERROR(VLOOKUP(TRIM(D218)&amp;"_"&amp;TRIM(INDEX($E$1:$I$1, MATCH(MIN(E218:I218), E218:I218, 0))), 技能库!$A:$F, 6, 0),"请针对该题型加强练习"), "🎉 表现优异，无明显弱项！"))</f>
        <v/>
      </c>
      <c r="AA218" s="5" t="str">
        <f>IF(T218="","", IF(U218&lt;=3, "⚠️ 薄弱环节: "&amp;INDEX($M$1:$S$1, MATCH(MIN(M218:S218), M218:S218, 0))&amp;CHAR(10)&amp;"📉 考察能力: "&amp;IFERROR(VLOOKUP(TRIM(D218)&amp;"_"&amp;TRIM(INDEX($M$1:$S$1, MATCH(MIN(M218:S218), M218:S218, 0))), 技能库!$A:$F, 5, 0),"建议查阅考纲")&amp;CHAR(10)&amp;"💡 提升建议: "&amp;IFERROR(VLOOKUP(TRIM(D218)&amp;"_"&amp;TRIM(INDEX($M$1:$S$1, MATCH(MIN(M218:S218), M218:S218, 0))), 技能库!$A:$F, 6, 0),"请针对该题型加强练习"), "🎉 表现优异，无明显弱项！"))</f>
        <v/>
      </c>
    </row>
    <row r="219" spans="10:27" ht="18" hidden="1" customHeight="1" x14ac:dyDescent="0.2">
      <c r="J219" t="str">
        <f t="shared" si="9"/>
        <v/>
      </c>
      <c r="K219" t="str">
        <f>IF(J219="","", IFERROR(VLOOKUP(J219, IF(D219="Movers", 换算标准!$C:$D, 换算标准!$I:$J), 2, TRUE), 0))</f>
        <v/>
      </c>
      <c r="T219" t="str">
        <f t="shared" si="10"/>
        <v/>
      </c>
      <c r="U219" t="str">
        <f>IF(T219="","", IFERROR(VLOOKUP(T219, IF(D219="Movers", 换算标准!$A:$B, 换算标准!$G:$H), 2, TRUE), 0))</f>
        <v/>
      </c>
      <c r="W219" t="str">
        <f t="shared" si="11"/>
        <v/>
      </c>
      <c r="Z219" s="5" t="str">
        <f>IF(J219="","", IF(K219&lt;=3, "⚠️ 薄弱环节: "&amp;INDEX($E$1:$I$1, MATCH(MIN(E219:I219), E219:I219, 0))&amp;CHAR(10)&amp;"📉 考察能力: "&amp;IFERROR(VLOOKUP(TRIM(D219)&amp;"_"&amp;TRIM(INDEX($E$1:$I$1, MATCH(MIN(E219:I219), E219:I219, 0))), 技能库!$A:$F, 5, 0),"建议查阅考纲")&amp;CHAR(10)&amp;"💡 提升建议: "&amp;IFERROR(VLOOKUP(TRIM(D219)&amp;"_"&amp;TRIM(INDEX($E$1:$I$1, MATCH(MIN(E219:I219), E219:I219, 0))), 技能库!$A:$F, 6, 0),"请针对该题型加强练习"), "🎉 表现优异，无明显弱项！"))</f>
        <v/>
      </c>
      <c r="AA219" s="5" t="str">
        <f>IF(T219="","", IF(U219&lt;=3, "⚠️ 薄弱环节: "&amp;INDEX($M$1:$S$1, MATCH(MIN(M219:S219), M219:S219, 0))&amp;CHAR(10)&amp;"📉 考察能力: "&amp;IFERROR(VLOOKUP(TRIM(D219)&amp;"_"&amp;TRIM(INDEX($M$1:$S$1, MATCH(MIN(M219:S219), M219:S219, 0))), 技能库!$A:$F, 5, 0),"建议查阅考纲")&amp;CHAR(10)&amp;"💡 提升建议: "&amp;IFERROR(VLOOKUP(TRIM(D219)&amp;"_"&amp;TRIM(INDEX($M$1:$S$1, MATCH(MIN(M219:S219), M219:S219, 0))), 技能库!$A:$F, 6, 0),"请针对该题型加强练习"), "🎉 表现优异，无明显弱项！"))</f>
        <v/>
      </c>
    </row>
    <row r="220" spans="10:27" ht="18" hidden="1" customHeight="1" x14ac:dyDescent="0.2">
      <c r="J220" t="str">
        <f t="shared" si="9"/>
        <v/>
      </c>
      <c r="K220" t="str">
        <f>IF(J220="","", IFERROR(VLOOKUP(J220, IF(D220="Movers", 换算标准!$C:$D, 换算标准!$I:$J), 2, TRUE), 0))</f>
        <v/>
      </c>
      <c r="T220" t="str">
        <f t="shared" si="10"/>
        <v/>
      </c>
      <c r="U220" t="str">
        <f>IF(T220="","", IFERROR(VLOOKUP(T220, IF(D220="Movers", 换算标准!$A:$B, 换算标准!$G:$H), 2, TRUE), 0))</f>
        <v/>
      </c>
      <c r="W220" t="str">
        <f t="shared" si="11"/>
        <v/>
      </c>
      <c r="Z220" s="5" t="str">
        <f>IF(J220="","", IF(K220&lt;=3, "⚠️ 薄弱环节: "&amp;INDEX($E$1:$I$1, MATCH(MIN(E220:I220), E220:I220, 0))&amp;CHAR(10)&amp;"📉 考察能力: "&amp;IFERROR(VLOOKUP(TRIM(D220)&amp;"_"&amp;TRIM(INDEX($E$1:$I$1, MATCH(MIN(E220:I220), E220:I220, 0))), 技能库!$A:$F, 5, 0),"建议查阅考纲")&amp;CHAR(10)&amp;"💡 提升建议: "&amp;IFERROR(VLOOKUP(TRIM(D220)&amp;"_"&amp;TRIM(INDEX($E$1:$I$1, MATCH(MIN(E220:I220), E220:I220, 0))), 技能库!$A:$F, 6, 0),"请针对该题型加强练习"), "🎉 表现优异，无明显弱项！"))</f>
        <v/>
      </c>
      <c r="AA220" s="5" t="str">
        <f>IF(T220="","", IF(U220&lt;=3, "⚠️ 薄弱环节: "&amp;INDEX($M$1:$S$1, MATCH(MIN(M220:S220), M220:S220, 0))&amp;CHAR(10)&amp;"📉 考察能力: "&amp;IFERROR(VLOOKUP(TRIM(D220)&amp;"_"&amp;TRIM(INDEX($M$1:$S$1, MATCH(MIN(M220:S220), M220:S220, 0))), 技能库!$A:$F, 5, 0),"建议查阅考纲")&amp;CHAR(10)&amp;"💡 提升建议: "&amp;IFERROR(VLOOKUP(TRIM(D220)&amp;"_"&amp;TRIM(INDEX($M$1:$S$1, MATCH(MIN(M220:S220), M220:S220, 0))), 技能库!$A:$F, 6, 0),"请针对该题型加强练习"), "🎉 表现优异，无明显弱项！"))</f>
        <v/>
      </c>
    </row>
    <row r="221" spans="10:27" ht="18" hidden="1" customHeight="1" x14ac:dyDescent="0.2">
      <c r="J221" t="str">
        <f t="shared" si="9"/>
        <v/>
      </c>
      <c r="K221" t="str">
        <f>IF(J221="","", IFERROR(VLOOKUP(J221, IF(D221="Movers", 换算标准!$C:$D, 换算标准!$I:$J), 2, TRUE), 0))</f>
        <v/>
      </c>
      <c r="T221" t="str">
        <f t="shared" si="10"/>
        <v/>
      </c>
      <c r="U221" t="str">
        <f>IF(T221="","", IFERROR(VLOOKUP(T221, IF(D221="Movers", 换算标准!$A:$B, 换算标准!$G:$H), 2, TRUE), 0))</f>
        <v/>
      </c>
      <c r="W221" t="str">
        <f t="shared" si="11"/>
        <v/>
      </c>
      <c r="Z221" s="5" t="str">
        <f>IF(J221="","", IF(K221&lt;=3, "⚠️ 薄弱环节: "&amp;INDEX($E$1:$I$1, MATCH(MIN(E221:I221), E221:I221, 0))&amp;CHAR(10)&amp;"📉 考察能力: "&amp;IFERROR(VLOOKUP(TRIM(D221)&amp;"_"&amp;TRIM(INDEX($E$1:$I$1, MATCH(MIN(E221:I221), E221:I221, 0))), 技能库!$A:$F, 5, 0),"建议查阅考纲")&amp;CHAR(10)&amp;"💡 提升建议: "&amp;IFERROR(VLOOKUP(TRIM(D221)&amp;"_"&amp;TRIM(INDEX($E$1:$I$1, MATCH(MIN(E221:I221), E221:I221, 0))), 技能库!$A:$F, 6, 0),"请针对该题型加强练习"), "🎉 表现优异，无明显弱项！"))</f>
        <v/>
      </c>
      <c r="AA221" s="5" t="str">
        <f>IF(T221="","", IF(U221&lt;=3, "⚠️ 薄弱环节: "&amp;INDEX($M$1:$S$1, MATCH(MIN(M221:S221), M221:S221, 0))&amp;CHAR(10)&amp;"📉 考察能力: "&amp;IFERROR(VLOOKUP(TRIM(D221)&amp;"_"&amp;TRIM(INDEX($M$1:$S$1, MATCH(MIN(M221:S221), M221:S221, 0))), 技能库!$A:$F, 5, 0),"建议查阅考纲")&amp;CHAR(10)&amp;"💡 提升建议: "&amp;IFERROR(VLOOKUP(TRIM(D221)&amp;"_"&amp;TRIM(INDEX($M$1:$S$1, MATCH(MIN(M221:S221), M221:S221, 0))), 技能库!$A:$F, 6, 0),"请针对该题型加强练习"), "🎉 表现优异，无明显弱项！"))</f>
        <v/>
      </c>
    </row>
    <row r="222" spans="10:27" ht="18" hidden="1" customHeight="1" x14ac:dyDescent="0.2">
      <c r="J222" t="str">
        <f t="shared" si="9"/>
        <v/>
      </c>
      <c r="K222" t="str">
        <f>IF(J222="","", IFERROR(VLOOKUP(J222, IF(D222="Movers", 换算标准!$C:$D, 换算标准!$I:$J), 2, TRUE), 0))</f>
        <v/>
      </c>
      <c r="T222" t="str">
        <f t="shared" si="10"/>
        <v/>
      </c>
      <c r="U222" t="str">
        <f>IF(T222="","", IFERROR(VLOOKUP(T222, IF(D222="Movers", 换算标准!$A:$B, 换算标准!$G:$H), 2, TRUE), 0))</f>
        <v/>
      </c>
      <c r="W222" t="str">
        <f t="shared" si="11"/>
        <v/>
      </c>
      <c r="Z222" s="5" t="str">
        <f>IF(J222="","", IF(K222&lt;=3, "⚠️ 薄弱环节: "&amp;INDEX($E$1:$I$1, MATCH(MIN(E222:I222), E222:I222, 0))&amp;CHAR(10)&amp;"📉 考察能力: "&amp;IFERROR(VLOOKUP(TRIM(D222)&amp;"_"&amp;TRIM(INDEX($E$1:$I$1, MATCH(MIN(E222:I222), E222:I222, 0))), 技能库!$A:$F, 5, 0),"建议查阅考纲")&amp;CHAR(10)&amp;"💡 提升建议: "&amp;IFERROR(VLOOKUP(TRIM(D222)&amp;"_"&amp;TRIM(INDEX($E$1:$I$1, MATCH(MIN(E222:I222), E222:I222, 0))), 技能库!$A:$F, 6, 0),"请针对该题型加强练习"), "🎉 表现优异，无明显弱项！"))</f>
        <v/>
      </c>
      <c r="AA222" s="5" t="str">
        <f>IF(T222="","", IF(U222&lt;=3, "⚠️ 薄弱环节: "&amp;INDEX($M$1:$S$1, MATCH(MIN(M222:S222), M222:S222, 0))&amp;CHAR(10)&amp;"📉 考察能力: "&amp;IFERROR(VLOOKUP(TRIM(D222)&amp;"_"&amp;TRIM(INDEX($M$1:$S$1, MATCH(MIN(M222:S222), M222:S222, 0))), 技能库!$A:$F, 5, 0),"建议查阅考纲")&amp;CHAR(10)&amp;"💡 提升建议: "&amp;IFERROR(VLOOKUP(TRIM(D222)&amp;"_"&amp;TRIM(INDEX($M$1:$S$1, MATCH(MIN(M222:S222), M222:S222, 0))), 技能库!$A:$F, 6, 0),"请针对该题型加强练习"), "🎉 表现优异，无明显弱项！"))</f>
        <v/>
      </c>
    </row>
    <row r="223" spans="10:27" ht="18" hidden="1" customHeight="1" x14ac:dyDescent="0.2">
      <c r="J223" t="str">
        <f t="shared" si="9"/>
        <v/>
      </c>
      <c r="K223" t="str">
        <f>IF(J223="","", IFERROR(VLOOKUP(J223, IF(D223="Movers", 换算标准!$C:$D, 换算标准!$I:$J), 2, TRUE), 0))</f>
        <v/>
      </c>
      <c r="T223" t="str">
        <f t="shared" si="10"/>
        <v/>
      </c>
      <c r="U223" t="str">
        <f>IF(T223="","", IFERROR(VLOOKUP(T223, IF(D223="Movers", 换算标准!$A:$B, 换算标准!$G:$H), 2, TRUE), 0))</f>
        <v/>
      </c>
      <c r="W223" t="str">
        <f t="shared" si="11"/>
        <v/>
      </c>
      <c r="Z223" s="5" t="str">
        <f>IF(J223="","", IF(K223&lt;=3, "⚠️ 薄弱环节: "&amp;INDEX($E$1:$I$1, MATCH(MIN(E223:I223), E223:I223, 0))&amp;CHAR(10)&amp;"📉 考察能力: "&amp;IFERROR(VLOOKUP(TRIM(D223)&amp;"_"&amp;TRIM(INDEX($E$1:$I$1, MATCH(MIN(E223:I223), E223:I223, 0))), 技能库!$A:$F, 5, 0),"建议查阅考纲")&amp;CHAR(10)&amp;"💡 提升建议: "&amp;IFERROR(VLOOKUP(TRIM(D223)&amp;"_"&amp;TRIM(INDEX($E$1:$I$1, MATCH(MIN(E223:I223), E223:I223, 0))), 技能库!$A:$F, 6, 0),"请针对该题型加强练习"), "🎉 表现优异，无明显弱项！"))</f>
        <v/>
      </c>
      <c r="AA223" s="5" t="str">
        <f>IF(T223="","", IF(U223&lt;=3, "⚠️ 薄弱环节: "&amp;INDEX($M$1:$S$1, MATCH(MIN(M223:S223), M223:S223, 0))&amp;CHAR(10)&amp;"📉 考察能力: "&amp;IFERROR(VLOOKUP(TRIM(D223)&amp;"_"&amp;TRIM(INDEX($M$1:$S$1, MATCH(MIN(M223:S223), M223:S223, 0))), 技能库!$A:$F, 5, 0),"建议查阅考纲")&amp;CHAR(10)&amp;"💡 提升建议: "&amp;IFERROR(VLOOKUP(TRIM(D223)&amp;"_"&amp;TRIM(INDEX($M$1:$S$1, MATCH(MIN(M223:S223), M223:S223, 0))), 技能库!$A:$F, 6, 0),"请针对该题型加强练习"), "🎉 表现优异，无明显弱项！"))</f>
        <v/>
      </c>
    </row>
    <row r="224" spans="10:27" ht="18" hidden="1" customHeight="1" x14ac:dyDescent="0.2">
      <c r="J224" t="str">
        <f t="shared" si="9"/>
        <v/>
      </c>
      <c r="K224" t="str">
        <f>IF(J224="","", IFERROR(VLOOKUP(J224, IF(D224="Movers", 换算标准!$C:$D, 换算标准!$I:$J), 2, TRUE), 0))</f>
        <v/>
      </c>
      <c r="T224" t="str">
        <f t="shared" si="10"/>
        <v/>
      </c>
      <c r="U224" t="str">
        <f>IF(T224="","", IFERROR(VLOOKUP(T224, IF(D224="Movers", 换算标准!$A:$B, 换算标准!$G:$H), 2, TRUE), 0))</f>
        <v/>
      </c>
      <c r="W224" t="str">
        <f t="shared" si="11"/>
        <v/>
      </c>
      <c r="Z224" s="5" t="str">
        <f>IF(J224="","", IF(K224&lt;=3, "⚠️ 薄弱环节: "&amp;INDEX($E$1:$I$1, MATCH(MIN(E224:I224), E224:I224, 0))&amp;CHAR(10)&amp;"📉 考察能力: "&amp;IFERROR(VLOOKUP(TRIM(D224)&amp;"_"&amp;TRIM(INDEX($E$1:$I$1, MATCH(MIN(E224:I224), E224:I224, 0))), 技能库!$A:$F, 5, 0),"建议查阅考纲")&amp;CHAR(10)&amp;"💡 提升建议: "&amp;IFERROR(VLOOKUP(TRIM(D224)&amp;"_"&amp;TRIM(INDEX($E$1:$I$1, MATCH(MIN(E224:I224), E224:I224, 0))), 技能库!$A:$F, 6, 0),"请针对该题型加强练习"), "🎉 表现优异，无明显弱项！"))</f>
        <v/>
      </c>
      <c r="AA224" s="5" t="str">
        <f>IF(T224="","", IF(U224&lt;=3, "⚠️ 薄弱环节: "&amp;INDEX($M$1:$S$1, MATCH(MIN(M224:S224), M224:S224, 0))&amp;CHAR(10)&amp;"📉 考察能力: "&amp;IFERROR(VLOOKUP(TRIM(D224)&amp;"_"&amp;TRIM(INDEX($M$1:$S$1, MATCH(MIN(M224:S224), M224:S224, 0))), 技能库!$A:$F, 5, 0),"建议查阅考纲")&amp;CHAR(10)&amp;"💡 提升建议: "&amp;IFERROR(VLOOKUP(TRIM(D224)&amp;"_"&amp;TRIM(INDEX($M$1:$S$1, MATCH(MIN(M224:S224), M224:S224, 0))), 技能库!$A:$F, 6, 0),"请针对该题型加强练习"), "🎉 表现优异，无明显弱项！"))</f>
        <v/>
      </c>
    </row>
    <row r="225" spans="10:27" ht="18" hidden="1" customHeight="1" x14ac:dyDescent="0.2">
      <c r="J225" t="str">
        <f t="shared" si="9"/>
        <v/>
      </c>
      <c r="K225" t="str">
        <f>IF(J225="","", IFERROR(VLOOKUP(J225, IF(D225="Movers", 换算标准!$C:$D, 换算标准!$I:$J), 2, TRUE), 0))</f>
        <v/>
      </c>
      <c r="T225" t="str">
        <f t="shared" si="10"/>
        <v/>
      </c>
      <c r="U225" t="str">
        <f>IF(T225="","", IFERROR(VLOOKUP(T225, IF(D225="Movers", 换算标准!$A:$B, 换算标准!$G:$H), 2, TRUE), 0))</f>
        <v/>
      </c>
      <c r="W225" t="str">
        <f t="shared" si="11"/>
        <v/>
      </c>
      <c r="Z225" s="5" t="str">
        <f>IF(J225="","", IF(K225&lt;=3, "⚠️ 薄弱环节: "&amp;INDEX($E$1:$I$1, MATCH(MIN(E225:I225), E225:I225, 0))&amp;CHAR(10)&amp;"📉 考察能力: "&amp;IFERROR(VLOOKUP(TRIM(D225)&amp;"_"&amp;TRIM(INDEX($E$1:$I$1, MATCH(MIN(E225:I225), E225:I225, 0))), 技能库!$A:$F, 5, 0),"建议查阅考纲")&amp;CHAR(10)&amp;"💡 提升建议: "&amp;IFERROR(VLOOKUP(TRIM(D225)&amp;"_"&amp;TRIM(INDEX($E$1:$I$1, MATCH(MIN(E225:I225), E225:I225, 0))), 技能库!$A:$F, 6, 0),"请针对该题型加强练习"), "🎉 表现优异，无明显弱项！"))</f>
        <v/>
      </c>
      <c r="AA225" s="5" t="str">
        <f>IF(T225="","", IF(U225&lt;=3, "⚠️ 薄弱环节: "&amp;INDEX($M$1:$S$1, MATCH(MIN(M225:S225), M225:S225, 0))&amp;CHAR(10)&amp;"📉 考察能力: "&amp;IFERROR(VLOOKUP(TRIM(D225)&amp;"_"&amp;TRIM(INDEX($M$1:$S$1, MATCH(MIN(M225:S225), M225:S225, 0))), 技能库!$A:$F, 5, 0),"建议查阅考纲")&amp;CHAR(10)&amp;"💡 提升建议: "&amp;IFERROR(VLOOKUP(TRIM(D225)&amp;"_"&amp;TRIM(INDEX($M$1:$S$1, MATCH(MIN(M225:S225), M225:S225, 0))), 技能库!$A:$F, 6, 0),"请针对该题型加强练习"), "🎉 表现优异，无明显弱项！"))</f>
        <v/>
      </c>
    </row>
    <row r="226" spans="10:27" ht="18" hidden="1" customHeight="1" x14ac:dyDescent="0.2">
      <c r="J226" t="str">
        <f t="shared" si="9"/>
        <v/>
      </c>
      <c r="K226" t="str">
        <f>IF(J226="","", IFERROR(VLOOKUP(J226, IF(D226="Movers", 换算标准!$C:$D, 换算标准!$I:$J), 2, TRUE), 0))</f>
        <v/>
      </c>
      <c r="T226" t="str">
        <f t="shared" si="10"/>
        <v/>
      </c>
      <c r="U226" t="str">
        <f>IF(T226="","", IFERROR(VLOOKUP(T226, IF(D226="Movers", 换算标准!$A:$B, 换算标准!$G:$H), 2, TRUE), 0))</f>
        <v/>
      </c>
      <c r="W226" t="str">
        <f t="shared" si="11"/>
        <v/>
      </c>
      <c r="Z226" s="5" t="str">
        <f>IF(J226="","", IF(K226&lt;=3, "⚠️ 薄弱环节: "&amp;INDEX($E$1:$I$1, MATCH(MIN(E226:I226), E226:I226, 0))&amp;CHAR(10)&amp;"📉 考察能力: "&amp;IFERROR(VLOOKUP(TRIM(D226)&amp;"_"&amp;TRIM(INDEX($E$1:$I$1, MATCH(MIN(E226:I226), E226:I226, 0))), 技能库!$A:$F, 5, 0),"建议查阅考纲")&amp;CHAR(10)&amp;"💡 提升建议: "&amp;IFERROR(VLOOKUP(TRIM(D226)&amp;"_"&amp;TRIM(INDEX($E$1:$I$1, MATCH(MIN(E226:I226), E226:I226, 0))), 技能库!$A:$F, 6, 0),"请针对该题型加强练习"), "🎉 表现优异，无明显弱项！"))</f>
        <v/>
      </c>
      <c r="AA226" s="5" t="str">
        <f>IF(T226="","", IF(U226&lt;=3, "⚠️ 薄弱环节: "&amp;INDEX($M$1:$S$1, MATCH(MIN(M226:S226), M226:S226, 0))&amp;CHAR(10)&amp;"📉 考察能力: "&amp;IFERROR(VLOOKUP(TRIM(D226)&amp;"_"&amp;TRIM(INDEX($M$1:$S$1, MATCH(MIN(M226:S226), M226:S226, 0))), 技能库!$A:$F, 5, 0),"建议查阅考纲")&amp;CHAR(10)&amp;"💡 提升建议: "&amp;IFERROR(VLOOKUP(TRIM(D226)&amp;"_"&amp;TRIM(INDEX($M$1:$S$1, MATCH(MIN(M226:S226), M226:S226, 0))), 技能库!$A:$F, 6, 0),"请针对该题型加强练习"), "🎉 表现优异，无明显弱项！"))</f>
        <v/>
      </c>
    </row>
    <row r="227" spans="10:27" ht="18" hidden="1" customHeight="1" x14ac:dyDescent="0.2">
      <c r="J227" t="str">
        <f t="shared" si="9"/>
        <v/>
      </c>
      <c r="K227" t="str">
        <f>IF(J227="","", IFERROR(VLOOKUP(J227, IF(D227="Movers", 换算标准!$C:$D, 换算标准!$I:$J), 2, TRUE), 0))</f>
        <v/>
      </c>
      <c r="T227" t="str">
        <f t="shared" si="10"/>
        <v/>
      </c>
      <c r="U227" t="str">
        <f>IF(T227="","", IFERROR(VLOOKUP(T227, IF(D227="Movers", 换算标准!$A:$B, 换算标准!$G:$H), 2, TRUE), 0))</f>
        <v/>
      </c>
      <c r="W227" t="str">
        <f t="shared" si="11"/>
        <v/>
      </c>
      <c r="Z227" s="5" t="str">
        <f>IF(J227="","", IF(K227&lt;=3, "⚠️ 薄弱环节: "&amp;INDEX($E$1:$I$1, MATCH(MIN(E227:I227), E227:I227, 0))&amp;CHAR(10)&amp;"📉 考察能力: "&amp;IFERROR(VLOOKUP(TRIM(D227)&amp;"_"&amp;TRIM(INDEX($E$1:$I$1, MATCH(MIN(E227:I227), E227:I227, 0))), 技能库!$A:$F, 5, 0),"建议查阅考纲")&amp;CHAR(10)&amp;"💡 提升建议: "&amp;IFERROR(VLOOKUP(TRIM(D227)&amp;"_"&amp;TRIM(INDEX($E$1:$I$1, MATCH(MIN(E227:I227), E227:I227, 0))), 技能库!$A:$F, 6, 0),"请针对该题型加强练习"), "🎉 表现优异，无明显弱项！"))</f>
        <v/>
      </c>
      <c r="AA227" s="5" t="str">
        <f>IF(T227="","", IF(U227&lt;=3, "⚠️ 薄弱环节: "&amp;INDEX($M$1:$S$1, MATCH(MIN(M227:S227), M227:S227, 0))&amp;CHAR(10)&amp;"📉 考察能力: "&amp;IFERROR(VLOOKUP(TRIM(D227)&amp;"_"&amp;TRIM(INDEX($M$1:$S$1, MATCH(MIN(M227:S227), M227:S227, 0))), 技能库!$A:$F, 5, 0),"建议查阅考纲")&amp;CHAR(10)&amp;"💡 提升建议: "&amp;IFERROR(VLOOKUP(TRIM(D227)&amp;"_"&amp;TRIM(INDEX($M$1:$S$1, MATCH(MIN(M227:S227), M227:S227, 0))), 技能库!$A:$F, 6, 0),"请针对该题型加强练习"), "🎉 表现优异，无明显弱项！"))</f>
        <v/>
      </c>
    </row>
    <row r="228" spans="10:27" ht="18" hidden="1" customHeight="1" x14ac:dyDescent="0.2">
      <c r="J228" t="str">
        <f t="shared" si="9"/>
        <v/>
      </c>
      <c r="K228" t="str">
        <f>IF(J228="","", IFERROR(VLOOKUP(J228, IF(D228="Movers", 换算标准!$C:$D, 换算标准!$I:$J), 2, TRUE), 0))</f>
        <v/>
      </c>
      <c r="T228" t="str">
        <f t="shared" si="10"/>
        <v/>
      </c>
      <c r="U228" t="str">
        <f>IF(T228="","", IFERROR(VLOOKUP(T228, IF(D228="Movers", 换算标准!$A:$B, 换算标准!$G:$H), 2, TRUE), 0))</f>
        <v/>
      </c>
      <c r="W228" t="str">
        <f t="shared" si="11"/>
        <v/>
      </c>
      <c r="Z228" s="5" t="str">
        <f>IF(J228="","", IF(K228&lt;=3, "⚠️ 薄弱环节: "&amp;INDEX($E$1:$I$1, MATCH(MIN(E228:I228), E228:I228, 0))&amp;CHAR(10)&amp;"📉 考察能力: "&amp;IFERROR(VLOOKUP(TRIM(D228)&amp;"_"&amp;TRIM(INDEX($E$1:$I$1, MATCH(MIN(E228:I228), E228:I228, 0))), 技能库!$A:$F, 5, 0),"建议查阅考纲")&amp;CHAR(10)&amp;"💡 提升建议: "&amp;IFERROR(VLOOKUP(TRIM(D228)&amp;"_"&amp;TRIM(INDEX($E$1:$I$1, MATCH(MIN(E228:I228), E228:I228, 0))), 技能库!$A:$F, 6, 0),"请针对该题型加强练习"), "🎉 表现优异，无明显弱项！"))</f>
        <v/>
      </c>
      <c r="AA228" s="5" t="str">
        <f>IF(T228="","", IF(U228&lt;=3, "⚠️ 薄弱环节: "&amp;INDEX($M$1:$S$1, MATCH(MIN(M228:S228), M228:S228, 0))&amp;CHAR(10)&amp;"📉 考察能力: "&amp;IFERROR(VLOOKUP(TRIM(D228)&amp;"_"&amp;TRIM(INDEX($M$1:$S$1, MATCH(MIN(M228:S228), M228:S228, 0))), 技能库!$A:$F, 5, 0),"建议查阅考纲")&amp;CHAR(10)&amp;"💡 提升建议: "&amp;IFERROR(VLOOKUP(TRIM(D228)&amp;"_"&amp;TRIM(INDEX($M$1:$S$1, MATCH(MIN(M228:S228), M228:S228, 0))), 技能库!$A:$F, 6, 0),"请针对该题型加强练习"), "🎉 表现优异，无明显弱项！"))</f>
        <v/>
      </c>
    </row>
    <row r="229" spans="10:27" ht="18" hidden="1" customHeight="1" x14ac:dyDescent="0.2">
      <c r="J229" t="str">
        <f t="shared" si="9"/>
        <v/>
      </c>
      <c r="K229" t="str">
        <f>IF(J229="","", IFERROR(VLOOKUP(J229, IF(D229="Movers", 换算标准!$C:$D, 换算标准!$I:$J), 2, TRUE), 0))</f>
        <v/>
      </c>
      <c r="T229" t="str">
        <f t="shared" si="10"/>
        <v/>
      </c>
      <c r="U229" t="str">
        <f>IF(T229="","", IFERROR(VLOOKUP(T229, IF(D229="Movers", 换算标准!$A:$B, 换算标准!$G:$H), 2, TRUE), 0))</f>
        <v/>
      </c>
      <c r="W229" t="str">
        <f t="shared" si="11"/>
        <v/>
      </c>
      <c r="Z229" s="5" t="str">
        <f>IF(J229="","", IF(K229&lt;=3, "⚠️ 薄弱环节: "&amp;INDEX($E$1:$I$1, MATCH(MIN(E229:I229), E229:I229, 0))&amp;CHAR(10)&amp;"📉 考察能力: "&amp;IFERROR(VLOOKUP(TRIM(D229)&amp;"_"&amp;TRIM(INDEX($E$1:$I$1, MATCH(MIN(E229:I229), E229:I229, 0))), 技能库!$A:$F, 5, 0),"建议查阅考纲")&amp;CHAR(10)&amp;"💡 提升建议: "&amp;IFERROR(VLOOKUP(TRIM(D229)&amp;"_"&amp;TRIM(INDEX($E$1:$I$1, MATCH(MIN(E229:I229), E229:I229, 0))), 技能库!$A:$F, 6, 0),"请针对该题型加强练习"), "🎉 表现优异，无明显弱项！"))</f>
        <v/>
      </c>
      <c r="AA229" s="5" t="str">
        <f>IF(T229="","", IF(U229&lt;=3, "⚠️ 薄弱环节: "&amp;INDEX($M$1:$S$1, MATCH(MIN(M229:S229), M229:S229, 0))&amp;CHAR(10)&amp;"📉 考察能力: "&amp;IFERROR(VLOOKUP(TRIM(D229)&amp;"_"&amp;TRIM(INDEX($M$1:$S$1, MATCH(MIN(M229:S229), M229:S229, 0))), 技能库!$A:$F, 5, 0),"建议查阅考纲")&amp;CHAR(10)&amp;"💡 提升建议: "&amp;IFERROR(VLOOKUP(TRIM(D229)&amp;"_"&amp;TRIM(INDEX($M$1:$S$1, MATCH(MIN(M229:S229), M229:S229, 0))), 技能库!$A:$F, 6, 0),"请针对该题型加强练习"), "🎉 表现优异，无明显弱项！"))</f>
        <v/>
      </c>
    </row>
    <row r="230" spans="10:27" ht="18" hidden="1" customHeight="1" x14ac:dyDescent="0.2">
      <c r="J230" t="str">
        <f t="shared" si="9"/>
        <v/>
      </c>
      <c r="K230" t="str">
        <f>IF(J230="","", IFERROR(VLOOKUP(J230, IF(D230="Movers", 换算标准!$C:$D, 换算标准!$I:$J), 2, TRUE), 0))</f>
        <v/>
      </c>
      <c r="T230" t="str">
        <f t="shared" si="10"/>
        <v/>
      </c>
      <c r="U230" t="str">
        <f>IF(T230="","", IFERROR(VLOOKUP(T230, IF(D230="Movers", 换算标准!$A:$B, 换算标准!$G:$H), 2, TRUE), 0))</f>
        <v/>
      </c>
      <c r="W230" t="str">
        <f t="shared" si="11"/>
        <v/>
      </c>
      <c r="Z230" s="5" t="str">
        <f>IF(J230="","", IF(K230&lt;=3, "⚠️ 薄弱环节: "&amp;INDEX($E$1:$I$1, MATCH(MIN(E230:I230), E230:I230, 0))&amp;CHAR(10)&amp;"📉 考察能力: "&amp;IFERROR(VLOOKUP(TRIM(D230)&amp;"_"&amp;TRIM(INDEX($E$1:$I$1, MATCH(MIN(E230:I230), E230:I230, 0))), 技能库!$A:$F, 5, 0),"建议查阅考纲")&amp;CHAR(10)&amp;"💡 提升建议: "&amp;IFERROR(VLOOKUP(TRIM(D230)&amp;"_"&amp;TRIM(INDEX($E$1:$I$1, MATCH(MIN(E230:I230), E230:I230, 0))), 技能库!$A:$F, 6, 0),"请针对该题型加强练习"), "🎉 表现优异，无明显弱项！"))</f>
        <v/>
      </c>
      <c r="AA230" s="5" t="str">
        <f>IF(T230="","", IF(U230&lt;=3, "⚠️ 薄弱环节: "&amp;INDEX($M$1:$S$1, MATCH(MIN(M230:S230), M230:S230, 0))&amp;CHAR(10)&amp;"📉 考察能力: "&amp;IFERROR(VLOOKUP(TRIM(D230)&amp;"_"&amp;TRIM(INDEX($M$1:$S$1, MATCH(MIN(M230:S230), M230:S230, 0))), 技能库!$A:$F, 5, 0),"建议查阅考纲")&amp;CHAR(10)&amp;"💡 提升建议: "&amp;IFERROR(VLOOKUP(TRIM(D230)&amp;"_"&amp;TRIM(INDEX($M$1:$S$1, MATCH(MIN(M230:S230), M230:S230, 0))), 技能库!$A:$F, 6, 0),"请针对该题型加强练习"), "🎉 表现优异，无明显弱项！"))</f>
        <v/>
      </c>
    </row>
    <row r="231" spans="10:27" ht="18" hidden="1" customHeight="1" x14ac:dyDescent="0.2">
      <c r="J231" t="str">
        <f t="shared" si="9"/>
        <v/>
      </c>
      <c r="K231" t="str">
        <f>IF(J231="","", IFERROR(VLOOKUP(J231, IF(D231="Movers", 换算标准!$C:$D, 换算标准!$I:$J), 2, TRUE), 0))</f>
        <v/>
      </c>
      <c r="T231" t="str">
        <f t="shared" si="10"/>
        <v/>
      </c>
      <c r="U231" t="str">
        <f>IF(T231="","", IFERROR(VLOOKUP(T231, IF(D231="Movers", 换算标准!$A:$B, 换算标准!$G:$H), 2, TRUE), 0))</f>
        <v/>
      </c>
      <c r="W231" t="str">
        <f t="shared" si="11"/>
        <v/>
      </c>
      <c r="Z231" s="5" t="str">
        <f>IF(J231="","", IF(K231&lt;=3, "⚠️ 薄弱环节: "&amp;INDEX($E$1:$I$1, MATCH(MIN(E231:I231), E231:I231, 0))&amp;CHAR(10)&amp;"📉 考察能力: "&amp;IFERROR(VLOOKUP(TRIM(D231)&amp;"_"&amp;TRIM(INDEX($E$1:$I$1, MATCH(MIN(E231:I231), E231:I231, 0))), 技能库!$A:$F, 5, 0),"建议查阅考纲")&amp;CHAR(10)&amp;"💡 提升建议: "&amp;IFERROR(VLOOKUP(TRIM(D231)&amp;"_"&amp;TRIM(INDEX($E$1:$I$1, MATCH(MIN(E231:I231), E231:I231, 0))), 技能库!$A:$F, 6, 0),"请针对该题型加强练习"), "🎉 表现优异，无明显弱项！"))</f>
        <v/>
      </c>
      <c r="AA231" s="5" t="str">
        <f>IF(T231="","", IF(U231&lt;=3, "⚠️ 薄弱环节: "&amp;INDEX($M$1:$S$1, MATCH(MIN(M231:S231), M231:S231, 0))&amp;CHAR(10)&amp;"📉 考察能力: "&amp;IFERROR(VLOOKUP(TRIM(D231)&amp;"_"&amp;TRIM(INDEX($M$1:$S$1, MATCH(MIN(M231:S231), M231:S231, 0))), 技能库!$A:$F, 5, 0),"建议查阅考纲")&amp;CHAR(10)&amp;"💡 提升建议: "&amp;IFERROR(VLOOKUP(TRIM(D231)&amp;"_"&amp;TRIM(INDEX($M$1:$S$1, MATCH(MIN(M231:S231), M231:S231, 0))), 技能库!$A:$F, 6, 0),"请针对该题型加强练习"), "🎉 表现优异，无明显弱项！"))</f>
        <v/>
      </c>
    </row>
    <row r="232" spans="10:27" ht="18" hidden="1" customHeight="1" x14ac:dyDescent="0.2">
      <c r="J232" t="str">
        <f t="shared" si="9"/>
        <v/>
      </c>
      <c r="K232" t="str">
        <f>IF(J232="","", IFERROR(VLOOKUP(J232, IF(D232="Movers", 换算标准!$C:$D, 换算标准!$I:$J), 2, TRUE), 0))</f>
        <v/>
      </c>
      <c r="T232" t="str">
        <f t="shared" si="10"/>
        <v/>
      </c>
      <c r="U232" t="str">
        <f>IF(T232="","", IFERROR(VLOOKUP(T232, IF(D232="Movers", 换算标准!$A:$B, 换算标准!$G:$H), 2, TRUE), 0))</f>
        <v/>
      </c>
      <c r="W232" t="str">
        <f t="shared" si="11"/>
        <v/>
      </c>
      <c r="Z232" s="5" t="str">
        <f>IF(J232="","", IF(K232&lt;=3, "⚠️ 薄弱环节: "&amp;INDEX($E$1:$I$1, MATCH(MIN(E232:I232), E232:I232, 0))&amp;CHAR(10)&amp;"📉 考察能力: "&amp;IFERROR(VLOOKUP(TRIM(D232)&amp;"_"&amp;TRIM(INDEX($E$1:$I$1, MATCH(MIN(E232:I232), E232:I232, 0))), 技能库!$A:$F, 5, 0),"建议查阅考纲")&amp;CHAR(10)&amp;"💡 提升建议: "&amp;IFERROR(VLOOKUP(TRIM(D232)&amp;"_"&amp;TRIM(INDEX($E$1:$I$1, MATCH(MIN(E232:I232), E232:I232, 0))), 技能库!$A:$F, 6, 0),"请针对该题型加强练习"), "🎉 表现优异，无明显弱项！"))</f>
        <v/>
      </c>
      <c r="AA232" s="5" t="str">
        <f>IF(T232="","", IF(U232&lt;=3, "⚠️ 薄弱环节: "&amp;INDEX($M$1:$S$1, MATCH(MIN(M232:S232), M232:S232, 0))&amp;CHAR(10)&amp;"📉 考察能力: "&amp;IFERROR(VLOOKUP(TRIM(D232)&amp;"_"&amp;TRIM(INDEX($M$1:$S$1, MATCH(MIN(M232:S232), M232:S232, 0))), 技能库!$A:$F, 5, 0),"建议查阅考纲")&amp;CHAR(10)&amp;"💡 提升建议: "&amp;IFERROR(VLOOKUP(TRIM(D232)&amp;"_"&amp;TRIM(INDEX($M$1:$S$1, MATCH(MIN(M232:S232), M232:S232, 0))), 技能库!$A:$F, 6, 0),"请针对该题型加强练习"), "🎉 表现优异，无明显弱项！"))</f>
        <v/>
      </c>
    </row>
    <row r="233" spans="10:27" ht="18" hidden="1" customHeight="1" x14ac:dyDescent="0.2">
      <c r="J233" t="str">
        <f t="shared" si="9"/>
        <v/>
      </c>
      <c r="K233" t="str">
        <f>IF(J233="","", IFERROR(VLOOKUP(J233, IF(D233="Movers", 换算标准!$C:$D, 换算标准!$I:$J), 2, TRUE), 0))</f>
        <v/>
      </c>
      <c r="T233" t="str">
        <f t="shared" si="10"/>
        <v/>
      </c>
      <c r="U233" t="str">
        <f>IF(T233="","", IFERROR(VLOOKUP(T233, IF(D233="Movers", 换算标准!$A:$B, 换算标准!$G:$H), 2, TRUE), 0))</f>
        <v/>
      </c>
      <c r="W233" t="str">
        <f t="shared" si="11"/>
        <v/>
      </c>
      <c r="Z233" s="5" t="str">
        <f>IF(J233="","", IF(K233&lt;=3, "⚠️ 薄弱环节: "&amp;INDEX($E$1:$I$1, MATCH(MIN(E233:I233), E233:I233, 0))&amp;CHAR(10)&amp;"📉 考察能力: "&amp;IFERROR(VLOOKUP(TRIM(D233)&amp;"_"&amp;TRIM(INDEX($E$1:$I$1, MATCH(MIN(E233:I233), E233:I233, 0))), 技能库!$A:$F, 5, 0),"建议查阅考纲")&amp;CHAR(10)&amp;"💡 提升建议: "&amp;IFERROR(VLOOKUP(TRIM(D233)&amp;"_"&amp;TRIM(INDEX($E$1:$I$1, MATCH(MIN(E233:I233), E233:I233, 0))), 技能库!$A:$F, 6, 0),"请针对该题型加强练习"), "🎉 表现优异，无明显弱项！"))</f>
        <v/>
      </c>
      <c r="AA233" s="5" t="str">
        <f>IF(T233="","", IF(U233&lt;=3, "⚠️ 薄弱环节: "&amp;INDEX($M$1:$S$1, MATCH(MIN(M233:S233), M233:S233, 0))&amp;CHAR(10)&amp;"📉 考察能力: "&amp;IFERROR(VLOOKUP(TRIM(D233)&amp;"_"&amp;TRIM(INDEX($M$1:$S$1, MATCH(MIN(M233:S233), M233:S233, 0))), 技能库!$A:$F, 5, 0),"建议查阅考纲")&amp;CHAR(10)&amp;"💡 提升建议: "&amp;IFERROR(VLOOKUP(TRIM(D233)&amp;"_"&amp;TRIM(INDEX($M$1:$S$1, MATCH(MIN(M233:S233), M233:S233, 0))), 技能库!$A:$F, 6, 0),"请针对该题型加强练习"), "🎉 表现优异，无明显弱项！"))</f>
        <v/>
      </c>
    </row>
    <row r="234" spans="10:27" ht="18" hidden="1" customHeight="1" x14ac:dyDescent="0.2">
      <c r="J234" t="str">
        <f t="shared" si="9"/>
        <v/>
      </c>
      <c r="K234" t="str">
        <f>IF(J234="","", IFERROR(VLOOKUP(J234, IF(D234="Movers", 换算标准!$C:$D, 换算标准!$I:$J), 2, TRUE), 0))</f>
        <v/>
      </c>
      <c r="T234" t="str">
        <f t="shared" si="10"/>
        <v/>
      </c>
      <c r="U234" t="str">
        <f>IF(T234="","", IFERROR(VLOOKUP(T234, IF(D234="Movers", 换算标准!$A:$B, 换算标准!$G:$H), 2, TRUE), 0))</f>
        <v/>
      </c>
      <c r="W234" t="str">
        <f t="shared" si="11"/>
        <v/>
      </c>
      <c r="Z234" s="5" t="str">
        <f>IF(J234="","", IF(K234&lt;=3, "⚠️ 薄弱环节: "&amp;INDEX($E$1:$I$1, MATCH(MIN(E234:I234), E234:I234, 0))&amp;CHAR(10)&amp;"📉 考察能力: "&amp;IFERROR(VLOOKUP(TRIM(D234)&amp;"_"&amp;TRIM(INDEX($E$1:$I$1, MATCH(MIN(E234:I234), E234:I234, 0))), 技能库!$A:$F, 5, 0),"建议查阅考纲")&amp;CHAR(10)&amp;"💡 提升建议: "&amp;IFERROR(VLOOKUP(TRIM(D234)&amp;"_"&amp;TRIM(INDEX($E$1:$I$1, MATCH(MIN(E234:I234), E234:I234, 0))), 技能库!$A:$F, 6, 0),"请针对该题型加强练习"), "🎉 表现优异，无明显弱项！"))</f>
        <v/>
      </c>
      <c r="AA234" s="5" t="str">
        <f>IF(T234="","", IF(U234&lt;=3, "⚠️ 薄弱环节: "&amp;INDEX($M$1:$S$1, MATCH(MIN(M234:S234), M234:S234, 0))&amp;CHAR(10)&amp;"📉 考察能力: "&amp;IFERROR(VLOOKUP(TRIM(D234)&amp;"_"&amp;TRIM(INDEX($M$1:$S$1, MATCH(MIN(M234:S234), M234:S234, 0))), 技能库!$A:$F, 5, 0),"建议查阅考纲")&amp;CHAR(10)&amp;"💡 提升建议: "&amp;IFERROR(VLOOKUP(TRIM(D234)&amp;"_"&amp;TRIM(INDEX($M$1:$S$1, MATCH(MIN(M234:S234), M234:S234, 0))), 技能库!$A:$F, 6, 0),"请针对该题型加强练习"), "🎉 表现优异，无明显弱项！"))</f>
        <v/>
      </c>
    </row>
    <row r="235" spans="10:27" ht="18" hidden="1" customHeight="1" x14ac:dyDescent="0.2">
      <c r="J235" t="str">
        <f t="shared" si="9"/>
        <v/>
      </c>
      <c r="K235" t="str">
        <f>IF(J235="","", IFERROR(VLOOKUP(J235, IF(D235="Movers", 换算标准!$C:$D, 换算标准!$I:$J), 2, TRUE), 0))</f>
        <v/>
      </c>
      <c r="T235" t="str">
        <f t="shared" si="10"/>
        <v/>
      </c>
      <c r="U235" t="str">
        <f>IF(T235="","", IFERROR(VLOOKUP(T235, IF(D235="Movers", 换算标准!$A:$B, 换算标准!$G:$H), 2, TRUE), 0))</f>
        <v/>
      </c>
      <c r="W235" t="str">
        <f t="shared" si="11"/>
        <v/>
      </c>
      <c r="Z235" s="5" t="str">
        <f>IF(J235="","", IF(K235&lt;=3, "⚠️ 薄弱环节: "&amp;INDEX($E$1:$I$1, MATCH(MIN(E235:I235), E235:I235, 0))&amp;CHAR(10)&amp;"📉 考察能力: "&amp;IFERROR(VLOOKUP(TRIM(D235)&amp;"_"&amp;TRIM(INDEX($E$1:$I$1, MATCH(MIN(E235:I235), E235:I235, 0))), 技能库!$A:$F, 5, 0),"建议查阅考纲")&amp;CHAR(10)&amp;"💡 提升建议: "&amp;IFERROR(VLOOKUP(TRIM(D235)&amp;"_"&amp;TRIM(INDEX($E$1:$I$1, MATCH(MIN(E235:I235), E235:I235, 0))), 技能库!$A:$F, 6, 0),"请针对该题型加强练习"), "🎉 表现优异，无明显弱项！"))</f>
        <v/>
      </c>
      <c r="AA235" s="5" t="str">
        <f>IF(T235="","", IF(U235&lt;=3, "⚠️ 薄弱环节: "&amp;INDEX($M$1:$S$1, MATCH(MIN(M235:S235), M235:S235, 0))&amp;CHAR(10)&amp;"📉 考察能力: "&amp;IFERROR(VLOOKUP(TRIM(D235)&amp;"_"&amp;TRIM(INDEX($M$1:$S$1, MATCH(MIN(M235:S235), M235:S235, 0))), 技能库!$A:$F, 5, 0),"建议查阅考纲")&amp;CHAR(10)&amp;"💡 提升建议: "&amp;IFERROR(VLOOKUP(TRIM(D235)&amp;"_"&amp;TRIM(INDEX($M$1:$S$1, MATCH(MIN(M235:S235), M235:S235, 0))), 技能库!$A:$F, 6, 0),"请针对该题型加强练习"), "🎉 表现优异，无明显弱项！"))</f>
        <v/>
      </c>
    </row>
    <row r="236" spans="10:27" ht="18" hidden="1" customHeight="1" x14ac:dyDescent="0.2">
      <c r="J236" t="str">
        <f t="shared" si="9"/>
        <v/>
      </c>
      <c r="K236" t="str">
        <f>IF(J236="","", IFERROR(VLOOKUP(J236, IF(D236="Movers", 换算标准!$C:$D, 换算标准!$I:$J), 2, TRUE), 0))</f>
        <v/>
      </c>
      <c r="T236" t="str">
        <f t="shared" si="10"/>
        <v/>
      </c>
      <c r="U236" t="str">
        <f>IF(T236="","", IFERROR(VLOOKUP(T236, IF(D236="Movers", 换算标准!$A:$B, 换算标准!$G:$H), 2, TRUE), 0))</f>
        <v/>
      </c>
      <c r="W236" t="str">
        <f t="shared" si="11"/>
        <v/>
      </c>
      <c r="Z236" s="5" t="str">
        <f>IF(J236="","", IF(K236&lt;=3, "⚠️ 薄弱环节: "&amp;INDEX($E$1:$I$1, MATCH(MIN(E236:I236), E236:I236, 0))&amp;CHAR(10)&amp;"📉 考察能力: "&amp;IFERROR(VLOOKUP(TRIM(D236)&amp;"_"&amp;TRIM(INDEX($E$1:$I$1, MATCH(MIN(E236:I236), E236:I236, 0))), 技能库!$A:$F, 5, 0),"建议查阅考纲")&amp;CHAR(10)&amp;"💡 提升建议: "&amp;IFERROR(VLOOKUP(TRIM(D236)&amp;"_"&amp;TRIM(INDEX($E$1:$I$1, MATCH(MIN(E236:I236), E236:I236, 0))), 技能库!$A:$F, 6, 0),"请针对该题型加强练习"), "🎉 表现优异，无明显弱项！"))</f>
        <v/>
      </c>
      <c r="AA236" s="5" t="str">
        <f>IF(T236="","", IF(U236&lt;=3, "⚠️ 薄弱环节: "&amp;INDEX($M$1:$S$1, MATCH(MIN(M236:S236), M236:S236, 0))&amp;CHAR(10)&amp;"📉 考察能力: "&amp;IFERROR(VLOOKUP(TRIM(D236)&amp;"_"&amp;TRIM(INDEX($M$1:$S$1, MATCH(MIN(M236:S236), M236:S236, 0))), 技能库!$A:$F, 5, 0),"建议查阅考纲")&amp;CHAR(10)&amp;"💡 提升建议: "&amp;IFERROR(VLOOKUP(TRIM(D236)&amp;"_"&amp;TRIM(INDEX($M$1:$S$1, MATCH(MIN(M236:S236), M236:S236, 0))), 技能库!$A:$F, 6, 0),"请针对该题型加强练习"), "🎉 表现优异，无明显弱项！"))</f>
        <v/>
      </c>
    </row>
    <row r="237" spans="10:27" ht="18" hidden="1" customHeight="1" x14ac:dyDescent="0.2">
      <c r="J237" t="str">
        <f t="shared" si="9"/>
        <v/>
      </c>
      <c r="K237" t="str">
        <f>IF(J237="","", IFERROR(VLOOKUP(J237, IF(D237="Movers", 换算标准!$C:$D, 换算标准!$I:$J), 2, TRUE), 0))</f>
        <v/>
      </c>
      <c r="T237" t="str">
        <f t="shared" si="10"/>
        <v/>
      </c>
      <c r="U237" t="str">
        <f>IF(T237="","", IFERROR(VLOOKUP(T237, IF(D237="Movers", 换算标准!$A:$B, 换算标准!$G:$H), 2, TRUE), 0))</f>
        <v/>
      </c>
      <c r="W237" t="str">
        <f t="shared" si="11"/>
        <v/>
      </c>
      <c r="Z237" s="5" t="str">
        <f>IF(J237="","", IF(K237&lt;=3, "⚠️ 薄弱环节: "&amp;INDEX($E$1:$I$1, MATCH(MIN(E237:I237), E237:I237, 0))&amp;CHAR(10)&amp;"📉 考察能力: "&amp;IFERROR(VLOOKUP(TRIM(D237)&amp;"_"&amp;TRIM(INDEX($E$1:$I$1, MATCH(MIN(E237:I237), E237:I237, 0))), 技能库!$A:$F, 5, 0),"建议查阅考纲")&amp;CHAR(10)&amp;"💡 提升建议: "&amp;IFERROR(VLOOKUP(TRIM(D237)&amp;"_"&amp;TRIM(INDEX($E$1:$I$1, MATCH(MIN(E237:I237), E237:I237, 0))), 技能库!$A:$F, 6, 0),"请针对该题型加强练习"), "🎉 表现优异，无明显弱项！"))</f>
        <v/>
      </c>
      <c r="AA237" s="5" t="str">
        <f>IF(T237="","", IF(U237&lt;=3, "⚠️ 薄弱环节: "&amp;INDEX($M$1:$S$1, MATCH(MIN(M237:S237), M237:S237, 0))&amp;CHAR(10)&amp;"📉 考察能力: "&amp;IFERROR(VLOOKUP(TRIM(D237)&amp;"_"&amp;TRIM(INDEX($M$1:$S$1, MATCH(MIN(M237:S237), M237:S237, 0))), 技能库!$A:$F, 5, 0),"建议查阅考纲")&amp;CHAR(10)&amp;"💡 提升建议: "&amp;IFERROR(VLOOKUP(TRIM(D237)&amp;"_"&amp;TRIM(INDEX($M$1:$S$1, MATCH(MIN(M237:S237), M237:S237, 0))), 技能库!$A:$F, 6, 0),"请针对该题型加强练习"), "🎉 表现优异，无明显弱项！"))</f>
        <v/>
      </c>
    </row>
    <row r="238" spans="10:27" ht="18" hidden="1" customHeight="1" x14ac:dyDescent="0.2">
      <c r="J238" t="str">
        <f t="shared" si="9"/>
        <v/>
      </c>
      <c r="K238" t="str">
        <f>IF(J238="","", IFERROR(VLOOKUP(J238, IF(D238="Movers", 换算标准!$C:$D, 换算标准!$I:$J), 2, TRUE), 0))</f>
        <v/>
      </c>
      <c r="T238" t="str">
        <f t="shared" si="10"/>
        <v/>
      </c>
      <c r="U238" t="str">
        <f>IF(T238="","", IFERROR(VLOOKUP(T238, IF(D238="Movers", 换算标准!$A:$B, 换算标准!$G:$H), 2, TRUE), 0))</f>
        <v/>
      </c>
      <c r="W238" t="str">
        <f t="shared" si="11"/>
        <v/>
      </c>
      <c r="Z238" s="5" t="str">
        <f>IF(J238="","", IF(K238&lt;=3, "⚠️ 薄弱环节: "&amp;INDEX($E$1:$I$1, MATCH(MIN(E238:I238), E238:I238, 0))&amp;CHAR(10)&amp;"📉 考察能力: "&amp;IFERROR(VLOOKUP(TRIM(D238)&amp;"_"&amp;TRIM(INDEX($E$1:$I$1, MATCH(MIN(E238:I238), E238:I238, 0))), 技能库!$A:$F, 5, 0),"建议查阅考纲")&amp;CHAR(10)&amp;"💡 提升建议: "&amp;IFERROR(VLOOKUP(TRIM(D238)&amp;"_"&amp;TRIM(INDEX($E$1:$I$1, MATCH(MIN(E238:I238), E238:I238, 0))), 技能库!$A:$F, 6, 0),"请针对该题型加强练习"), "🎉 表现优异，无明显弱项！"))</f>
        <v/>
      </c>
      <c r="AA238" s="5" t="str">
        <f>IF(T238="","", IF(U238&lt;=3, "⚠️ 薄弱环节: "&amp;INDEX($M$1:$S$1, MATCH(MIN(M238:S238), M238:S238, 0))&amp;CHAR(10)&amp;"📉 考察能力: "&amp;IFERROR(VLOOKUP(TRIM(D238)&amp;"_"&amp;TRIM(INDEX($M$1:$S$1, MATCH(MIN(M238:S238), M238:S238, 0))), 技能库!$A:$F, 5, 0),"建议查阅考纲")&amp;CHAR(10)&amp;"💡 提升建议: "&amp;IFERROR(VLOOKUP(TRIM(D238)&amp;"_"&amp;TRIM(INDEX($M$1:$S$1, MATCH(MIN(M238:S238), M238:S238, 0))), 技能库!$A:$F, 6, 0),"请针对该题型加强练习"), "🎉 表现优异，无明显弱项！"))</f>
        <v/>
      </c>
    </row>
    <row r="239" spans="10:27" ht="18" hidden="1" customHeight="1" x14ac:dyDescent="0.2">
      <c r="J239" t="str">
        <f t="shared" si="9"/>
        <v/>
      </c>
      <c r="K239" t="str">
        <f>IF(J239="","", IFERROR(VLOOKUP(J239, IF(D239="Movers", 换算标准!$C:$D, 换算标准!$I:$J), 2, TRUE), 0))</f>
        <v/>
      </c>
      <c r="T239" t="str">
        <f t="shared" si="10"/>
        <v/>
      </c>
      <c r="U239" t="str">
        <f>IF(T239="","", IFERROR(VLOOKUP(T239, IF(D239="Movers", 换算标准!$A:$B, 换算标准!$G:$H), 2, TRUE), 0))</f>
        <v/>
      </c>
      <c r="W239" t="str">
        <f t="shared" si="11"/>
        <v/>
      </c>
      <c r="Z239" s="5" t="str">
        <f>IF(J239="","", IF(K239&lt;=3, "⚠️ 薄弱环节: "&amp;INDEX($E$1:$I$1, MATCH(MIN(E239:I239), E239:I239, 0))&amp;CHAR(10)&amp;"📉 考察能力: "&amp;IFERROR(VLOOKUP(TRIM(D239)&amp;"_"&amp;TRIM(INDEX($E$1:$I$1, MATCH(MIN(E239:I239), E239:I239, 0))), 技能库!$A:$F, 5, 0),"建议查阅考纲")&amp;CHAR(10)&amp;"💡 提升建议: "&amp;IFERROR(VLOOKUP(TRIM(D239)&amp;"_"&amp;TRIM(INDEX($E$1:$I$1, MATCH(MIN(E239:I239), E239:I239, 0))), 技能库!$A:$F, 6, 0),"请针对该题型加强练习"), "🎉 表现优异，无明显弱项！"))</f>
        <v/>
      </c>
      <c r="AA239" s="5" t="str">
        <f>IF(T239="","", IF(U239&lt;=3, "⚠️ 薄弱环节: "&amp;INDEX($M$1:$S$1, MATCH(MIN(M239:S239), M239:S239, 0))&amp;CHAR(10)&amp;"📉 考察能力: "&amp;IFERROR(VLOOKUP(TRIM(D239)&amp;"_"&amp;TRIM(INDEX($M$1:$S$1, MATCH(MIN(M239:S239), M239:S239, 0))), 技能库!$A:$F, 5, 0),"建议查阅考纲")&amp;CHAR(10)&amp;"💡 提升建议: "&amp;IFERROR(VLOOKUP(TRIM(D239)&amp;"_"&amp;TRIM(INDEX($M$1:$S$1, MATCH(MIN(M239:S239), M239:S239, 0))), 技能库!$A:$F, 6, 0),"请针对该题型加强练习"), "🎉 表现优异，无明显弱项！"))</f>
        <v/>
      </c>
    </row>
    <row r="240" spans="10:27" ht="18" hidden="1" customHeight="1" x14ac:dyDescent="0.2">
      <c r="J240" t="str">
        <f t="shared" si="9"/>
        <v/>
      </c>
      <c r="K240" t="str">
        <f>IF(J240="","", IFERROR(VLOOKUP(J240, IF(D240="Movers", 换算标准!$C:$D, 换算标准!$I:$J), 2, TRUE), 0))</f>
        <v/>
      </c>
      <c r="T240" t="str">
        <f t="shared" si="10"/>
        <v/>
      </c>
      <c r="U240" t="str">
        <f>IF(T240="","", IFERROR(VLOOKUP(T240, IF(D240="Movers", 换算标准!$A:$B, 换算标准!$G:$H), 2, TRUE), 0))</f>
        <v/>
      </c>
      <c r="W240" t="str">
        <f t="shared" si="11"/>
        <v/>
      </c>
      <c r="Z240" s="5" t="str">
        <f>IF(J240="","", IF(K240&lt;=3, "⚠️ 薄弱环节: "&amp;INDEX($E$1:$I$1, MATCH(MIN(E240:I240), E240:I240, 0))&amp;CHAR(10)&amp;"📉 考察能力: "&amp;IFERROR(VLOOKUP(TRIM(D240)&amp;"_"&amp;TRIM(INDEX($E$1:$I$1, MATCH(MIN(E240:I240), E240:I240, 0))), 技能库!$A:$F, 5, 0),"建议查阅考纲")&amp;CHAR(10)&amp;"💡 提升建议: "&amp;IFERROR(VLOOKUP(TRIM(D240)&amp;"_"&amp;TRIM(INDEX($E$1:$I$1, MATCH(MIN(E240:I240), E240:I240, 0))), 技能库!$A:$F, 6, 0),"请针对该题型加强练习"), "🎉 表现优异，无明显弱项！"))</f>
        <v/>
      </c>
      <c r="AA240" s="5" t="str">
        <f>IF(T240="","", IF(U240&lt;=3, "⚠️ 薄弱环节: "&amp;INDEX($M$1:$S$1, MATCH(MIN(M240:S240), M240:S240, 0))&amp;CHAR(10)&amp;"📉 考察能力: "&amp;IFERROR(VLOOKUP(TRIM(D240)&amp;"_"&amp;TRIM(INDEX($M$1:$S$1, MATCH(MIN(M240:S240), M240:S240, 0))), 技能库!$A:$F, 5, 0),"建议查阅考纲")&amp;CHAR(10)&amp;"💡 提升建议: "&amp;IFERROR(VLOOKUP(TRIM(D240)&amp;"_"&amp;TRIM(INDEX($M$1:$S$1, MATCH(MIN(M240:S240), M240:S240, 0))), 技能库!$A:$F, 6, 0),"请针对该题型加强练习"), "🎉 表现优异，无明显弱项！"))</f>
        <v/>
      </c>
    </row>
    <row r="241" spans="10:27" ht="18" hidden="1" customHeight="1" x14ac:dyDescent="0.2">
      <c r="J241" t="str">
        <f t="shared" si="9"/>
        <v/>
      </c>
      <c r="K241" t="str">
        <f>IF(J241="","", IFERROR(VLOOKUP(J241, IF(D241="Movers", 换算标准!$C:$D, 换算标准!$I:$J), 2, TRUE), 0))</f>
        <v/>
      </c>
      <c r="T241" t="str">
        <f t="shared" si="10"/>
        <v/>
      </c>
      <c r="U241" t="str">
        <f>IF(T241="","", IFERROR(VLOOKUP(T241, IF(D241="Movers", 换算标准!$A:$B, 换算标准!$G:$H), 2, TRUE), 0))</f>
        <v/>
      </c>
      <c r="W241" t="str">
        <f t="shared" si="11"/>
        <v/>
      </c>
      <c r="Z241" s="5" t="str">
        <f>IF(J241="","", IF(K241&lt;=3, "⚠️ 薄弱环节: "&amp;INDEX($E$1:$I$1, MATCH(MIN(E241:I241), E241:I241, 0))&amp;CHAR(10)&amp;"📉 考察能力: "&amp;IFERROR(VLOOKUP(TRIM(D241)&amp;"_"&amp;TRIM(INDEX($E$1:$I$1, MATCH(MIN(E241:I241), E241:I241, 0))), 技能库!$A:$F, 5, 0),"建议查阅考纲")&amp;CHAR(10)&amp;"💡 提升建议: "&amp;IFERROR(VLOOKUP(TRIM(D241)&amp;"_"&amp;TRIM(INDEX($E$1:$I$1, MATCH(MIN(E241:I241), E241:I241, 0))), 技能库!$A:$F, 6, 0),"请针对该题型加强练习"), "🎉 表现优异，无明显弱项！"))</f>
        <v/>
      </c>
      <c r="AA241" s="5" t="str">
        <f>IF(T241="","", IF(U241&lt;=3, "⚠️ 薄弱环节: "&amp;INDEX($M$1:$S$1, MATCH(MIN(M241:S241), M241:S241, 0))&amp;CHAR(10)&amp;"📉 考察能力: "&amp;IFERROR(VLOOKUP(TRIM(D241)&amp;"_"&amp;TRIM(INDEX($M$1:$S$1, MATCH(MIN(M241:S241), M241:S241, 0))), 技能库!$A:$F, 5, 0),"建议查阅考纲")&amp;CHAR(10)&amp;"💡 提升建议: "&amp;IFERROR(VLOOKUP(TRIM(D241)&amp;"_"&amp;TRIM(INDEX($M$1:$S$1, MATCH(MIN(M241:S241), M241:S241, 0))), 技能库!$A:$F, 6, 0),"请针对该题型加强练习"), "🎉 表现优异，无明显弱项！"))</f>
        <v/>
      </c>
    </row>
    <row r="242" spans="10:27" ht="18" hidden="1" customHeight="1" x14ac:dyDescent="0.2">
      <c r="J242" t="str">
        <f t="shared" si="9"/>
        <v/>
      </c>
      <c r="K242" t="str">
        <f>IF(J242="","", IFERROR(VLOOKUP(J242, IF(D242="Movers", 换算标准!$C:$D, 换算标准!$I:$J), 2, TRUE), 0))</f>
        <v/>
      </c>
      <c r="T242" t="str">
        <f t="shared" si="10"/>
        <v/>
      </c>
      <c r="U242" t="str">
        <f>IF(T242="","", IFERROR(VLOOKUP(T242, IF(D242="Movers", 换算标准!$A:$B, 换算标准!$G:$H), 2, TRUE), 0))</f>
        <v/>
      </c>
      <c r="W242" t="str">
        <f t="shared" si="11"/>
        <v/>
      </c>
      <c r="Z242" s="5" t="str">
        <f>IF(J242="","", IF(K242&lt;=3, "⚠️ 薄弱环节: "&amp;INDEX($E$1:$I$1, MATCH(MIN(E242:I242), E242:I242, 0))&amp;CHAR(10)&amp;"📉 考察能力: "&amp;IFERROR(VLOOKUP(TRIM(D242)&amp;"_"&amp;TRIM(INDEX($E$1:$I$1, MATCH(MIN(E242:I242), E242:I242, 0))), 技能库!$A:$F, 5, 0),"建议查阅考纲")&amp;CHAR(10)&amp;"💡 提升建议: "&amp;IFERROR(VLOOKUP(TRIM(D242)&amp;"_"&amp;TRIM(INDEX($E$1:$I$1, MATCH(MIN(E242:I242), E242:I242, 0))), 技能库!$A:$F, 6, 0),"请针对该题型加强练习"), "🎉 表现优异，无明显弱项！"))</f>
        <v/>
      </c>
      <c r="AA242" s="5" t="str">
        <f>IF(T242="","", IF(U242&lt;=3, "⚠️ 薄弱环节: "&amp;INDEX($M$1:$S$1, MATCH(MIN(M242:S242), M242:S242, 0))&amp;CHAR(10)&amp;"📉 考察能力: "&amp;IFERROR(VLOOKUP(TRIM(D242)&amp;"_"&amp;TRIM(INDEX($M$1:$S$1, MATCH(MIN(M242:S242), M242:S242, 0))), 技能库!$A:$F, 5, 0),"建议查阅考纲")&amp;CHAR(10)&amp;"💡 提升建议: "&amp;IFERROR(VLOOKUP(TRIM(D242)&amp;"_"&amp;TRIM(INDEX($M$1:$S$1, MATCH(MIN(M242:S242), M242:S242, 0))), 技能库!$A:$F, 6, 0),"请针对该题型加强练习"), "🎉 表现优异，无明显弱项！"))</f>
        <v/>
      </c>
    </row>
    <row r="243" spans="10:27" ht="18" hidden="1" customHeight="1" x14ac:dyDescent="0.2">
      <c r="J243" t="str">
        <f t="shared" si="9"/>
        <v/>
      </c>
      <c r="K243" t="str">
        <f>IF(J243="","", IFERROR(VLOOKUP(J243, IF(D243="Movers", 换算标准!$C:$D, 换算标准!$I:$J), 2, TRUE), 0))</f>
        <v/>
      </c>
      <c r="T243" t="str">
        <f t="shared" si="10"/>
        <v/>
      </c>
      <c r="U243" t="str">
        <f>IF(T243="","", IFERROR(VLOOKUP(T243, IF(D243="Movers", 换算标准!$A:$B, 换算标准!$G:$H), 2, TRUE), 0))</f>
        <v/>
      </c>
      <c r="W243" t="str">
        <f t="shared" si="11"/>
        <v/>
      </c>
      <c r="Z243" s="5" t="str">
        <f>IF(J243="","", IF(K243&lt;=3, "⚠️ 薄弱环节: "&amp;INDEX($E$1:$I$1, MATCH(MIN(E243:I243), E243:I243, 0))&amp;CHAR(10)&amp;"📉 考察能力: "&amp;IFERROR(VLOOKUP(TRIM(D243)&amp;"_"&amp;TRIM(INDEX($E$1:$I$1, MATCH(MIN(E243:I243), E243:I243, 0))), 技能库!$A:$F, 5, 0),"建议查阅考纲")&amp;CHAR(10)&amp;"💡 提升建议: "&amp;IFERROR(VLOOKUP(TRIM(D243)&amp;"_"&amp;TRIM(INDEX($E$1:$I$1, MATCH(MIN(E243:I243), E243:I243, 0))), 技能库!$A:$F, 6, 0),"请针对该题型加强练习"), "🎉 表现优异，无明显弱项！"))</f>
        <v/>
      </c>
      <c r="AA243" s="5" t="str">
        <f>IF(T243="","", IF(U243&lt;=3, "⚠️ 薄弱环节: "&amp;INDEX($M$1:$S$1, MATCH(MIN(M243:S243), M243:S243, 0))&amp;CHAR(10)&amp;"📉 考察能力: "&amp;IFERROR(VLOOKUP(TRIM(D243)&amp;"_"&amp;TRIM(INDEX($M$1:$S$1, MATCH(MIN(M243:S243), M243:S243, 0))), 技能库!$A:$F, 5, 0),"建议查阅考纲")&amp;CHAR(10)&amp;"💡 提升建议: "&amp;IFERROR(VLOOKUP(TRIM(D243)&amp;"_"&amp;TRIM(INDEX($M$1:$S$1, MATCH(MIN(M243:S243), M243:S243, 0))), 技能库!$A:$F, 6, 0),"请针对该题型加强练习"), "🎉 表现优异，无明显弱项！"))</f>
        <v/>
      </c>
    </row>
    <row r="244" spans="10:27" ht="18" hidden="1" customHeight="1" x14ac:dyDescent="0.2">
      <c r="J244" t="str">
        <f t="shared" si="9"/>
        <v/>
      </c>
      <c r="K244" t="str">
        <f>IF(J244="","", IFERROR(VLOOKUP(J244, IF(D244="Movers", 换算标准!$C:$D, 换算标准!$I:$J), 2, TRUE), 0))</f>
        <v/>
      </c>
      <c r="T244" t="str">
        <f t="shared" si="10"/>
        <v/>
      </c>
      <c r="U244" t="str">
        <f>IF(T244="","", IFERROR(VLOOKUP(T244, IF(D244="Movers", 换算标准!$A:$B, 换算标准!$G:$H), 2, TRUE), 0))</f>
        <v/>
      </c>
      <c r="W244" t="str">
        <f t="shared" si="11"/>
        <v/>
      </c>
      <c r="Z244" s="5" t="str">
        <f>IF(J244="","", IF(K244&lt;=3, "⚠️ 薄弱环节: "&amp;INDEX($E$1:$I$1, MATCH(MIN(E244:I244), E244:I244, 0))&amp;CHAR(10)&amp;"📉 考察能力: "&amp;IFERROR(VLOOKUP(TRIM(D244)&amp;"_"&amp;TRIM(INDEX($E$1:$I$1, MATCH(MIN(E244:I244), E244:I244, 0))), 技能库!$A:$F, 5, 0),"建议查阅考纲")&amp;CHAR(10)&amp;"💡 提升建议: "&amp;IFERROR(VLOOKUP(TRIM(D244)&amp;"_"&amp;TRIM(INDEX($E$1:$I$1, MATCH(MIN(E244:I244), E244:I244, 0))), 技能库!$A:$F, 6, 0),"请针对该题型加强练习"), "🎉 表现优异，无明显弱项！"))</f>
        <v/>
      </c>
      <c r="AA244" s="5" t="str">
        <f>IF(T244="","", IF(U244&lt;=3, "⚠️ 薄弱环节: "&amp;INDEX($M$1:$S$1, MATCH(MIN(M244:S244), M244:S244, 0))&amp;CHAR(10)&amp;"📉 考察能力: "&amp;IFERROR(VLOOKUP(TRIM(D244)&amp;"_"&amp;TRIM(INDEX($M$1:$S$1, MATCH(MIN(M244:S244), M244:S244, 0))), 技能库!$A:$F, 5, 0),"建议查阅考纲")&amp;CHAR(10)&amp;"💡 提升建议: "&amp;IFERROR(VLOOKUP(TRIM(D244)&amp;"_"&amp;TRIM(INDEX($M$1:$S$1, MATCH(MIN(M244:S244), M244:S244, 0))), 技能库!$A:$F, 6, 0),"请针对该题型加强练习"), "🎉 表现优异，无明显弱项！"))</f>
        <v/>
      </c>
    </row>
    <row r="245" spans="10:27" ht="18" hidden="1" customHeight="1" x14ac:dyDescent="0.2">
      <c r="J245" t="str">
        <f t="shared" si="9"/>
        <v/>
      </c>
      <c r="K245" t="str">
        <f>IF(J245="","", IFERROR(VLOOKUP(J245, IF(D245="Movers", 换算标准!$C:$D, 换算标准!$I:$J), 2, TRUE), 0))</f>
        <v/>
      </c>
      <c r="T245" t="str">
        <f t="shared" si="10"/>
        <v/>
      </c>
      <c r="U245" t="str">
        <f>IF(T245="","", IFERROR(VLOOKUP(T245, IF(D245="Movers", 换算标准!$A:$B, 换算标准!$G:$H), 2, TRUE), 0))</f>
        <v/>
      </c>
      <c r="W245" t="str">
        <f t="shared" si="11"/>
        <v/>
      </c>
      <c r="Z245" s="5" t="str">
        <f>IF(J245="","", IF(K245&lt;=3, "⚠️ 薄弱环节: "&amp;INDEX($E$1:$I$1, MATCH(MIN(E245:I245), E245:I245, 0))&amp;CHAR(10)&amp;"📉 考察能力: "&amp;IFERROR(VLOOKUP(TRIM(D245)&amp;"_"&amp;TRIM(INDEX($E$1:$I$1, MATCH(MIN(E245:I245), E245:I245, 0))), 技能库!$A:$F, 5, 0),"建议查阅考纲")&amp;CHAR(10)&amp;"💡 提升建议: "&amp;IFERROR(VLOOKUP(TRIM(D245)&amp;"_"&amp;TRIM(INDEX($E$1:$I$1, MATCH(MIN(E245:I245), E245:I245, 0))), 技能库!$A:$F, 6, 0),"请针对该题型加强练习"), "🎉 表现优异，无明显弱项！"))</f>
        <v/>
      </c>
      <c r="AA245" s="5" t="str">
        <f>IF(T245="","", IF(U245&lt;=3, "⚠️ 薄弱环节: "&amp;INDEX($M$1:$S$1, MATCH(MIN(M245:S245), M245:S245, 0))&amp;CHAR(10)&amp;"📉 考察能力: "&amp;IFERROR(VLOOKUP(TRIM(D245)&amp;"_"&amp;TRIM(INDEX($M$1:$S$1, MATCH(MIN(M245:S245), M245:S245, 0))), 技能库!$A:$F, 5, 0),"建议查阅考纲")&amp;CHAR(10)&amp;"💡 提升建议: "&amp;IFERROR(VLOOKUP(TRIM(D245)&amp;"_"&amp;TRIM(INDEX($M$1:$S$1, MATCH(MIN(M245:S245), M245:S245, 0))), 技能库!$A:$F, 6, 0),"请针对该题型加强练习"), "🎉 表现优异，无明显弱项！"))</f>
        <v/>
      </c>
    </row>
    <row r="246" spans="10:27" ht="18" hidden="1" customHeight="1" x14ac:dyDescent="0.2">
      <c r="J246" t="str">
        <f t="shared" si="9"/>
        <v/>
      </c>
      <c r="K246" t="str">
        <f>IF(J246="","", IFERROR(VLOOKUP(J246, IF(D246="Movers", 换算标准!$C:$D, 换算标准!$I:$J), 2, TRUE), 0))</f>
        <v/>
      </c>
      <c r="T246" t="str">
        <f t="shared" si="10"/>
        <v/>
      </c>
      <c r="U246" t="str">
        <f>IF(T246="","", IFERROR(VLOOKUP(T246, IF(D246="Movers", 换算标准!$A:$B, 换算标准!$G:$H), 2, TRUE), 0))</f>
        <v/>
      </c>
      <c r="W246" t="str">
        <f t="shared" si="11"/>
        <v/>
      </c>
      <c r="Z246" s="5" t="str">
        <f>IF(J246="","", IF(K246&lt;=3, "⚠️ 薄弱环节: "&amp;INDEX($E$1:$I$1, MATCH(MIN(E246:I246), E246:I246, 0))&amp;CHAR(10)&amp;"📉 考察能力: "&amp;IFERROR(VLOOKUP(TRIM(D246)&amp;"_"&amp;TRIM(INDEX($E$1:$I$1, MATCH(MIN(E246:I246), E246:I246, 0))), 技能库!$A:$F, 5, 0),"建议查阅考纲")&amp;CHAR(10)&amp;"💡 提升建议: "&amp;IFERROR(VLOOKUP(TRIM(D246)&amp;"_"&amp;TRIM(INDEX($E$1:$I$1, MATCH(MIN(E246:I246), E246:I246, 0))), 技能库!$A:$F, 6, 0),"请针对该题型加强练习"), "🎉 表现优异，无明显弱项！"))</f>
        <v/>
      </c>
      <c r="AA246" s="5" t="str">
        <f>IF(T246="","", IF(U246&lt;=3, "⚠️ 薄弱环节: "&amp;INDEX($M$1:$S$1, MATCH(MIN(M246:S246), M246:S246, 0))&amp;CHAR(10)&amp;"📉 考察能力: "&amp;IFERROR(VLOOKUP(TRIM(D246)&amp;"_"&amp;TRIM(INDEX($M$1:$S$1, MATCH(MIN(M246:S246), M246:S246, 0))), 技能库!$A:$F, 5, 0),"建议查阅考纲")&amp;CHAR(10)&amp;"💡 提升建议: "&amp;IFERROR(VLOOKUP(TRIM(D246)&amp;"_"&amp;TRIM(INDEX($M$1:$S$1, MATCH(MIN(M246:S246), M246:S246, 0))), 技能库!$A:$F, 6, 0),"请针对该题型加强练习"), "🎉 表现优异，无明显弱项！"))</f>
        <v/>
      </c>
    </row>
    <row r="247" spans="10:27" ht="18" hidden="1" customHeight="1" x14ac:dyDescent="0.2">
      <c r="J247" t="str">
        <f t="shared" si="9"/>
        <v/>
      </c>
      <c r="K247" t="str">
        <f>IF(J247="","", IFERROR(VLOOKUP(J247, IF(D247="Movers", 换算标准!$C:$D, 换算标准!$I:$J), 2, TRUE), 0))</f>
        <v/>
      </c>
      <c r="T247" t="str">
        <f t="shared" si="10"/>
        <v/>
      </c>
      <c r="U247" t="str">
        <f>IF(T247="","", IFERROR(VLOOKUP(T247, IF(D247="Movers", 换算标准!$A:$B, 换算标准!$G:$H), 2, TRUE), 0))</f>
        <v/>
      </c>
      <c r="W247" t="str">
        <f t="shared" si="11"/>
        <v/>
      </c>
      <c r="Z247" s="5" t="str">
        <f>IF(J247="","", IF(K247&lt;=3, "⚠️ 薄弱环节: "&amp;INDEX($E$1:$I$1, MATCH(MIN(E247:I247), E247:I247, 0))&amp;CHAR(10)&amp;"📉 考察能力: "&amp;IFERROR(VLOOKUP(TRIM(D247)&amp;"_"&amp;TRIM(INDEX($E$1:$I$1, MATCH(MIN(E247:I247), E247:I247, 0))), 技能库!$A:$F, 5, 0),"建议查阅考纲")&amp;CHAR(10)&amp;"💡 提升建议: "&amp;IFERROR(VLOOKUP(TRIM(D247)&amp;"_"&amp;TRIM(INDEX($E$1:$I$1, MATCH(MIN(E247:I247), E247:I247, 0))), 技能库!$A:$F, 6, 0),"请针对该题型加强练习"), "🎉 表现优异，无明显弱项！"))</f>
        <v/>
      </c>
      <c r="AA247" s="5" t="str">
        <f>IF(T247="","", IF(U247&lt;=3, "⚠️ 薄弱环节: "&amp;INDEX($M$1:$S$1, MATCH(MIN(M247:S247), M247:S247, 0))&amp;CHAR(10)&amp;"📉 考察能力: "&amp;IFERROR(VLOOKUP(TRIM(D247)&amp;"_"&amp;TRIM(INDEX($M$1:$S$1, MATCH(MIN(M247:S247), M247:S247, 0))), 技能库!$A:$F, 5, 0),"建议查阅考纲")&amp;CHAR(10)&amp;"💡 提升建议: "&amp;IFERROR(VLOOKUP(TRIM(D247)&amp;"_"&amp;TRIM(INDEX($M$1:$S$1, MATCH(MIN(M247:S247), M247:S247, 0))), 技能库!$A:$F, 6, 0),"请针对该题型加强练习"), "🎉 表现优异，无明显弱项！"))</f>
        <v/>
      </c>
    </row>
    <row r="248" spans="10:27" ht="18" hidden="1" customHeight="1" x14ac:dyDescent="0.2">
      <c r="J248" t="str">
        <f t="shared" si="9"/>
        <v/>
      </c>
      <c r="K248" t="str">
        <f>IF(J248="","", IFERROR(VLOOKUP(J248, IF(D248="Movers", 换算标准!$C:$D, 换算标准!$I:$J), 2, TRUE), 0))</f>
        <v/>
      </c>
      <c r="T248" t="str">
        <f t="shared" si="10"/>
        <v/>
      </c>
      <c r="U248" t="str">
        <f>IF(T248="","", IFERROR(VLOOKUP(T248, IF(D248="Movers", 换算标准!$A:$B, 换算标准!$G:$H), 2, TRUE), 0))</f>
        <v/>
      </c>
      <c r="W248" t="str">
        <f t="shared" si="11"/>
        <v/>
      </c>
      <c r="Z248" s="5" t="str">
        <f>IF(J248="","", IF(K248&lt;=3, "⚠️ 薄弱环节: "&amp;INDEX($E$1:$I$1, MATCH(MIN(E248:I248), E248:I248, 0))&amp;CHAR(10)&amp;"📉 考察能力: "&amp;IFERROR(VLOOKUP(TRIM(D248)&amp;"_"&amp;TRIM(INDEX($E$1:$I$1, MATCH(MIN(E248:I248), E248:I248, 0))), 技能库!$A:$F, 5, 0),"建议查阅考纲")&amp;CHAR(10)&amp;"💡 提升建议: "&amp;IFERROR(VLOOKUP(TRIM(D248)&amp;"_"&amp;TRIM(INDEX($E$1:$I$1, MATCH(MIN(E248:I248), E248:I248, 0))), 技能库!$A:$F, 6, 0),"请针对该题型加强练习"), "🎉 表现优异，无明显弱项！"))</f>
        <v/>
      </c>
      <c r="AA248" s="5" t="str">
        <f>IF(T248="","", IF(U248&lt;=3, "⚠️ 薄弱环节: "&amp;INDEX($M$1:$S$1, MATCH(MIN(M248:S248), M248:S248, 0))&amp;CHAR(10)&amp;"📉 考察能力: "&amp;IFERROR(VLOOKUP(TRIM(D248)&amp;"_"&amp;TRIM(INDEX($M$1:$S$1, MATCH(MIN(M248:S248), M248:S248, 0))), 技能库!$A:$F, 5, 0),"建议查阅考纲")&amp;CHAR(10)&amp;"💡 提升建议: "&amp;IFERROR(VLOOKUP(TRIM(D248)&amp;"_"&amp;TRIM(INDEX($M$1:$S$1, MATCH(MIN(M248:S248), M248:S248, 0))), 技能库!$A:$F, 6, 0),"请针对该题型加强练习"), "🎉 表现优异，无明显弱项！"))</f>
        <v/>
      </c>
    </row>
    <row r="249" spans="10:27" ht="18" hidden="1" customHeight="1" x14ac:dyDescent="0.2">
      <c r="J249" t="str">
        <f t="shared" si="9"/>
        <v/>
      </c>
      <c r="K249" t="str">
        <f>IF(J249="","", IFERROR(VLOOKUP(J249, IF(D249="Movers", 换算标准!$C:$D, 换算标准!$I:$J), 2, TRUE), 0))</f>
        <v/>
      </c>
      <c r="T249" t="str">
        <f t="shared" si="10"/>
        <v/>
      </c>
      <c r="U249" t="str">
        <f>IF(T249="","", IFERROR(VLOOKUP(T249, IF(D249="Movers", 换算标准!$A:$B, 换算标准!$G:$H), 2, TRUE), 0))</f>
        <v/>
      </c>
      <c r="W249" t="str">
        <f t="shared" si="11"/>
        <v/>
      </c>
      <c r="Z249" s="5" t="str">
        <f>IF(J249="","", IF(K249&lt;=3, "⚠️ 薄弱环节: "&amp;INDEX($E$1:$I$1, MATCH(MIN(E249:I249), E249:I249, 0))&amp;CHAR(10)&amp;"📉 考察能力: "&amp;IFERROR(VLOOKUP(TRIM(D249)&amp;"_"&amp;TRIM(INDEX($E$1:$I$1, MATCH(MIN(E249:I249), E249:I249, 0))), 技能库!$A:$F, 5, 0),"建议查阅考纲")&amp;CHAR(10)&amp;"💡 提升建议: "&amp;IFERROR(VLOOKUP(TRIM(D249)&amp;"_"&amp;TRIM(INDEX($E$1:$I$1, MATCH(MIN(E249:I249), E249:I249, 0))), 技能库!$A:$F, 6, 0),"请针对该题型加强练习"), "🎉 表现优异，无明显弱项！"))</f>
        <v/>
      </c>
      <c r="AA249" s="5" t="str">
        <f>IF(T249="","", IF(U249&lt;=3, "⚠️ 薄弱环节: "&amp;INDEX($M$1:$S$1, MATCH(MIN(M249:S249), M249:S249, 0))&amp;CHAR(10)&amp;"📉 考察能力: "&amp;IFERROR(VLOOKUP(TRIM(D249)&amp;"_"&amp;TRIM(INDEX($M$1:$S$1, MATCH(MIN(M249:S249), M249:S249, 0))), 技能库!$A:$F, 5, 0),"建议查阅考纲")&amp;CHAR(10)&amp;"💡 提升建议: "&amp;IFERROR(VLOOKUP(TRIM(D249)&amp;"_"&amp;TRIM(INDEX($M$1:$S$1, MATCH(MIN(M249:S249), M249:S249, 0))), 技能库!$A:$F, 6, 0),"请针对该题型加强练习"), "🎉 表现优异，无明显弱项！"))</f>
        <v/>
      </c>
    </row>
    <row r="250" spans="10:27" ht="18" hidden="1" customHeight="1" x14ac:dyDescent="0.2">
      <c r="J250" t="str">
        <f t="shared" si="9"/>
        <v/>
      </c>
      <c r="K250" t="str">
        <f>IF(J250="","", IFERROR(VLOOKUP(J250, IF(D250="Movers", 换算标准!$C:$D, 换算标准!$I:$J), 2, TRUE), 0))</f>
        <v/>
      </c>
      <c r="T250" t="str">
        <f t="shared" si="10"/>
        <v/>
      </c>
      <c r="U250" t="str">
        <f>IF(T250="","", IFERROR(VLOOKUP(T250, IF(D250="Movers", 换算标准!$A:$B, 换算标准!$G:$H), 2, TRUE), 0))</f>
        <v/>
      </c>
      <c r="W250" t="str">
        <f t="shared" si="11"/>
        <v/>
      </c>
      <c r="Z250" s="5" t="str">
        <f>IF(J250="","", IF(K250&lt;=3, "⚠️ 薄弱环节: "&amp;INDEX($E$1:$I$1, MATCH(MIN(E250:I250), E250:I250, 0))&amp;CHAR(10)&amp;"📉 考察能力: "&amp;IFERROR(VLOOKUP(TRIM(D250)&amp;"_"&amp;TRIM(INDEX($E$1:$I$1, MATCH(MIN(E250:I250), E250:I250, 0))), 技能库!$A:$F, 5, 0),"建议查阅考纲")&amp;CHAR(10)&amp;"💡 提升建议: "&amp;IFERROR(VLOOKUP(TRIM(D250)&amp;"_"&amp;TRIM(INDEX($E$1:$I$1, MATCH(MIN(E250:I250), E250:I250, 0))), 技能库!$A:$F, 6, 0),"请针对该题型加强练习"), "🎉 表现优异，无明显弱项！"))</f>
        <v/>
      </c>
      <c r="AA250" s="5" t="str">
        <f>IF(T250="","", IF(U250&lt;=3, "⚠️ 薄弱环节: "&amp;INDEX($M$1:$S$1, MATCH(MIN(M250:S250), M250:S250, 0))&amp;CHAR(10)&amp;"📉 考察能力: "&amp;IFERROR(VLOOKUP(TRIM(D250)&amp;"_"&amp;TRIM(INDEX($M$1:$S$1, MATCH(MIN(M250:S250), M250:S250, 0))), 技能库!$A:$F, 5, 0),"建议查阅考纲")&amp;CHAR(10)&amp;"💡 提升建议: "&amp;IFERROR(VLOOKUP(TRIM(D250)&amp;"_"&amp;TRIM(INDEX($M$1:$S$1, MATCH(MIN(M250:S250), M250:S250, 0))), 技能库!$A:$F, 6, 0),"请针对该题型加强练习"), "🎉 表现优异，无明显弱项！"))</f>
        <v/>
      </c>
    </row>
    <row r="251" spans="10:27" ht="18" hidden="1" customHeight="1" x14ac:dyDescent="0.2">
      <c r="J251" t="str">
        <f t="shared" si="9"/>
        <v/>
      </c>
      <c r="K251" t="str">
        <f>IF(J251="","", IFERROR(VLOOKUP(J251, IF(D251="Movers", 换算标准!$C:$D, 换算标准!$I:$J), 2, TRUE), 0))</f>
        <v/>
      </c>
      <c r="T251" t="str">
        <f t="shared" si="10"/>
        <v/>
      </c>
      <c r="U251" t="str">
        <f>IF(T251="","", IFERROR(VLOOKUP(T251, IF(D251="Movers", 换算标准!$A:$B, 换算标准!$G:$H), 2, TRUE), 0))</f>
        <v/>
      </c>
      <c r="W251" t="str">
        <f t="shared" si="11"/>
        <v/>
      </c>
      <c r="Z251" s="5" t="str">
        <f>IF(J251="","", IF(K251&lt;=3, "⚠️ 薄弱环节: "&amp;INDEX($E$1:$I$1, MATCH(MIN(E251:I251), E251:I251, 0))&amp;CHAR(10)&amp;"📉 考察能力: "&amp;IFERROR(VLOOKUP(TRIM(D251)&amp;"_"&amp;TRIM(INDEX($E$1:$I$1, MATCH(MIN(E251:I251), E251:I251, 0))), 技能库!$A:$F, 5, 0),"建议查阅考纲")&amp;CHAR(10)&amp;"💡 提升建议: "&amp;IFERROR(VLOOKUP(TRIM(D251)&amp;"_"&amp;TRIM(INDEX($E$1:$I$1, MATCH(MIN(E251:I251), E251:I251, 0))), 技能库!$A:$F, 6, 0),"请针对该题型加强练习"), "🎉 表现优异，无明显弱项！"))</f>
        <v/>
      </c>
      <c r="AA251" s="5" t="str">
        <f>IF(T251="","", IF(U251&lt;=3, "⚠️ 薄弱环节: "&amp;INDEX($M$1:$S$1, MATCH(MIN(M251:S251), M251:S251, 0))&amp;CHAR(10)&amp;"📉 考察能力: "&amp;IFERROR(VLOOKUP(TRIM(D251)&amp;"_"&amp;TRIM(INDEX($M$1:$S$1, MATCH(MIN(M251:S251), M251:S251, 0))), 技能库!$A:$F, 5, 0),"建议查阅考纲")&amp;CHAR(10)&amp;"💡 提升建议: "&amp;IFERROR(VLOOKUP(TRIM(D251)&amp;"_"&amp;TRIM(INDEX($M$1:$S$1, MATCH(MIN(M251:S251), M251:S251, 0))), 技能库!$A:$F, 6, 0),"请针对该题型加强练习"), "🎉 表现优异，无明显弱项！"))</f>
        <v/>
      </c>
    </row>
    <row r="252" spans="10:27" ht="18" hidden="1" customHeight="1" x14ac:dyDescent="0.2">
      <c r="J252" t="str">
        <f t="shared" si="9"/>
        <v/>
      </c>
      <c r="K252" t="str">
        <f>IF(J252="","", IFERROR(VLOOKUP(J252, IF(D252="Movers", 换算标准!$C:$D, 换算标准!$I:$J), 2, TRUE), 0))</f>
        <v/>
      </c>
      <c r="T252" t="str">
        <f t="shared" si="10"/>
        <v/>
      </c>
      <c r="U252" t="str">
        <f>IF(T252="","", IFERROR(VLOOKUP(T252, IF(D252="Movers", 换算标准!$A:$B, 换算标准!$G:$H), 2, TRUE), 0))</f>
        <v/>
      </c>
      <c r="W252" t="str">
        <f t="shared" si="11"/>
        <v/>
      </c>
      <c r="Z252" s="5" t="str">
        <f>IF(J252="","", IF(K252&lt;=3, "⚠️ 薄弱环节: "&amp;INDEX($E$1:$I$1, MATCH(MIN(E252:I252), E252:I252, 0))&amp;CHAR(10)&amp;"📉 考察能力: "&amp;IFERROR(VLOOKUP(TRIM(D252)&amp;"_"&amp;TRIM(INDEX($E$1:$I$1, MATCH(MIN(E252:I252), E252:I252, 0))), 技能库!$A:$F, 5, 0),"建议查阅考纲")&amp;CHAR(10)&amp;"💡 提升建议: "&amp;IFERROR(VLOOKUP(TRIM(D252)&amp;"_"&amp;TRIM(INDEX($E$1:$I$1, MATCH(MIN(E252:I252), E252:I252, 0))), 技能库!$A:$F, 6, 0),"请针对该题型加强练习"), "🎉 表现优异，无明显弱项！"))</f>
        <v/>
      </c>
      <c r="AA252" s="5" t="str">
        <f>IF(T252="","", IF(U252&lt;=3, "⚠️ 薄弱环节: "&amp;INDEX($M$1:$S$1, MATCH(MIN(M252:S252), M252:S252, 0))&amp;CHAR(10)&amp;"📉 考察能力: "&amp;IFERROR(VLOOKUP(TRIM(D252)&amp;"_"&amp;TRIM(INDEX($M$1:$S$1, MATCH(MIN(M252:S252), M252:S252, 0))), 技能库!$A:$F, 5, 0),"建议查阅考纲")&amp;CHAR(10)&amp;"💡 提升建议: "&amp;IFERROR(VLOOKUP(TRIM(D252)&amp;"_"&amp;TRIM(INDEX($M$1:$S$1, MATCH(MIN(M252:S252), M252:S252, 0))), 技能库!$A:$F, 6, 0),"请针对该题型加强练习"), "🎉 表现优异，无明显弱项！"))</f>
        <v/>
      </c>
    </row>
    <row r="253" spans="10:27" ht="18" hidden="1" customHeight="1" x14ac:dyDescent="0.2">
      <c r="J253" t="str">
        <f t="shared" si="9"/>
        <v/>
      </c>
      <c r="K253" t="str">
        <f>IF(J253="","", IFERROR(VLOOKUP(J253, IF(D253="Movers", 换算标准!$C:$D, 换算标准!$I:$J), 2, TRUE), 0))</f>
        <v/>
      </c>
      <c r="T253" t="str">
        <f t="shared" si="10"/>
        <v/>
      </c>
      <c r="U253" t="str">
        <f>IF(T253="","", IFERROR(VLOOKUP(T253, IF(D253="Movers", 换算标准!$A:$B, 换算标准!$G:$H), 2, TRUE), 0))</f>
        <v/>
      </c>
      <c r="W253" t="str">
        <f t="shared" si="11"/>
        <v/>
      </c>
      <c r="Z253" s="5" t="str">
        <f>IF(J253="","", IF(K253&lt;=3, "⚠️ 薄弱环节: "&amp;INDEX($E$1:$I$1, MATCH(MIN(E253:I253), E253:I253, 0))&amp;CHAR(10)&amp;"📉 考察能力: "&amp;IFERROR(VLOOKUP(TRIM(D253)&amp;"_"&amp;TRIM(INDEX($E$1:$I$1, MATCH(MIN(E253:I253), E253:I253, 0))), 技能库!$A:$F, 5, 0),"建议查阅考纲")&amp;CHAR(10)&amp;"💡 提升建议: "&amp;IFERROR(VLOOKUP(TRIM(D253)&amp;"_"&amp;TRIM(INDEX($E$1:$I$1, MATCH(MIN(E253:I253), E253:I253, 0))), 技能库!$A:$F, 6, 0),"请针对该题型加强练习"), "🎉 表现优异，无明显弱项！"))</f>
        <v/>
      </c>
      <c r="AA253" s="5" t="str">
        <f>IF(T253="","", IF(U253&lt;=3, "⚠️ 薄弱环节: "&amp;INDEX($M$1:$S$1, MATCH(MIN(M253:S253), M253:S253, 0))&amp;CHAR(10)&amp;"📉 考察能力: "&amp;IFERROR(VLOOKUP(TRIM(D253)&amp;"_"&amp;TRIM(INDEX($M$1:$S$1, MATCH(MIN(M253:S253), M253:S253, 0))), 技能库!$A:$F, 5, 0),"建议查阅考纲")&amp;CHAR(10)&amp;"💡 提升建议: "&amp;IFERROR(VLOOKUP(TRIM(D253)&amp;"_"&amp;TRIM(INDEX($M$1:$S$1, MATCH(MIN(M253:S253), M253:S253, 0))), 技能库!$A:$F, 6, 0),"请针对该题型加强练习"), "🎉 表现优异，无明显弱项！"))</f>
        <v/>
      </c>
    </row>
    <row r="254" spans="10:27" ht="18" hidden="1" customHeight="1" x14ac:dyDescent="0.2">
      <c r="J254" t="str">
        <f t="shared" si="9"/>
        <v/>
      </c>
      <c r="K254" t="str">
        <f>IF(J254="","", IFERROR(VLOOKUP(J254, IF(D254="Movers", 换算标准!$C:$D, 换算标准!$I:$J), 2, TRUE), 0))</f>
        <v/>
      </c>
      <c r="T254" t="str">
        <f t="shared" si="10"/>
        <v/>
      </c>
      <c r="U254" t="str">
        <f>IF(T254="","", IFERROR(VLOOKUP(T254, IF(D254="Movers", 换算标准!$A:$B, 换算标准!$G:$H), 2, TRUE), 0))</f>
        <v/>
      </c>
      <c r="W254" t="str">
        <f t="shared" si="11"/>
        <v/>
      </c>
      <c r="Z254" s="5" t="str">
        <f>IF(J254="","", IF(K254&lt;=3, "⚠️ 薄弱环节: "&amp;INDEX($E$1:$I$1, MATCH(MIN(E254:I254), E254:I254, 0))&amp;CHAR(10)&amp;"📉 考察能力: "&amp;IFERROR(VLOOKUP(TRIM(D254)&amp;"_"&amp;TRIM(INDEX($E$1:$I$1, MATCH(MIN(E254:I254), E254:I254, 0))), 技能库!$A:$F, 5, 0),"建议查阅考纲")&amp;CHAR(10)&amp;"💡 提升建议: "&amp;IFERROR(VLOOKUP(TRIM(D254)&amp;"_"&amp;TRIM(INDEX($E$1:$I$1, MATCH(MIN(E254:I254), E254:I254, 0))), 技能库!$A:$F, 6, 0),"请针对该题型加强练习"), "🎉 表现优异，无明显弱项！"))</f>
        <v/>
      </c>
      <c r="AA254" s="5" t="str">
        <f>IF(T254="","", IF(U254&lt;=3, "⚠️ 薄弱环节: "&amp;INDEX($M$1:$S$1, MATCH(MIN(M254:S254), M254:S254, 0))&amp;CHAR(10)&amp;"📉 考察能力: "&amp;IFERROR(VLOOKUP(TRIM(D254)&amp;"_"&amp;TRIM(INDEX($M$1:$S$1, MATCH(MIN(M254:S254), M254:S254, 0))), 技能库!$A:$F, 5, 0),"建议查阅考纲")&amp;CHAR(10)&amp;"💡 提升建议: "&amp;IFERROR(VLOOKUP(TRIM(D254)&amp;"_"&amp;TRIM(INDEX($M$1:$S$1, MATCH(MIN(M254:S254), M254:S254, 0))), 技能库!$A:$F, 6, 0),"请针对该题型加强练习"), "🎉 表现优异，无明显弱项！"))</f>
        <v/>
      </c>
    </row>
    <row r="255" spans="10:27" ht="18" hidden="1" customHeight="1" x14ac:dyDescent="0.2">
      <c r="J255" t="str">
        <f t="shared" si="9"/>
        <v/>
      </c>
      <c r="K255" t="str">
        <f>IF(J255="","", IFERROR(VLOOKUP(J255, IF(D255="Movers", 换算标准!$C:$D, 换算标准!$I:$J), 2, TRUE), 0))</f>
        <v/>
      </c>
      <c r="T255" t="str">
        <f t="shared" si="10"/>
        <v/>
      </c>
      <c r="U255" t="str">
        <f>IF(T255="","", IFERROR(VLOOKUP(T255, IF(D255="Movers", 换算标准!$A:$B, 换算标准!$G:$H), 2, TRUE), 0))</f>
        <v/>
      </c>
      <c r="W255" t="str">
        <f t="shared" si="11"/>
        <v/>
      </c>
      <c r="Z255" s="5" t="str">
        <f>IF(J255="","", IF(K255&lt;=3, "⚠️ 薄弱环节: "&amp;INDEX($E$1:$I$1, MATCH(MIN(E255:I255), E255:I255, 0))&amp;CHAR(10)&amp;"📉 考察能力: "&amp;IFERROR(VLOOKUP(TRIM(D255)&amp;"_"&amp;TRIM(INDEX($E$1:$I$1, MATCH(MIN(E255:I255), E255:I255, 0))), 技能库!$A:$F, 5, 0),"建议查阅考纲")&amp;CHAR(10)&amp;"💡 提升建议: "&amp;IFERROR(VLOOKUP(TRIM(D255)&amp;"_"&amp;TRIM(INDEX($E$1:$I$1, MATCH(MIN(E255:I255), E255:I255, 0))), 技能库!$A:$F, 6, 0),"请针对该题型加强练习"), "🎉 表现优异，无明显弱项！"))</f>
        <v/>
      </c>
      <c r="AA255" s="5" t="str">
        <f>IF(T255="","", IF(U255&lt;=3, "⚠️ 薄弱环节: "&amp;INDEX($M$1:$S$1, MATCH(MIN(M255:S255), M255:S255, 0))&amp;CHAR(10)&amp;"📉 考察能力: "&amp;IFERROR(VLOOKUP(TRIM(D255)&amp;"_"&amp;TRIM(INDEX($M$1:$S$1, MATCH(MIN(M255:S255), M255:S255, 0))), 技能库!$A:$F, 5, 0),"建议查阅考纲")&amp;CHAR(10)&amp;"💡 提升建议: "&amp;IFERROR(VLOOKUP(TRIM(D255)&amp;"_"&amp;TRIM(INDEX($M$1:$S$1, MATCH(MIN(M255:S255), M255:S255, 0))), 技能库!$A:$F, 6, 0),"请针对该题型加强练习"), "🎉 表现优异，无明显弱项！"))</f>
        <v/>
      </c>
    </row>
    <row r="256" spans="10:27" ht="18" hidden="1" customHeight="1" x14ac:dyDescent="0.2">
      <c r="J256" t="str">
        <f t="shared" si="9"/>
        <v/>
      </c>
      <c r="K256" t="str">
        <f>IF(J256="","", IFERROR(VLOOKUP(J256, IF(D256="Movers", 换算标准!$C:$D, 换算标准!$I:$J), 2, TRUE), 0))</f>
        <v/>
      </c>
      <c r="T256" t="str">
        <f t="shared" si="10"/>
        <v/>
      </c>
      <c r="U256" t="str">
        <f>IF(T256="","", IFERROR(VLOOKUP(T256, IF(D256="Movers", 换算标准!$A:$B, 换算标准!$G:$H), 2, TRUE), 0))</f>
        <v/>
      </c>
      <c r="W256" t="str">
        <f t="shared" si="11"/>
        <v/>
      </c>
      <c r="Z256" s="5" t="str">
        <f>IF(J256="","", IF(K256&lt;=3, "⚠️ 薄弱环节: "&amp;INDEX($E$1:$I$1, MATCH(MIN(E256:I256), E256:I256, 0))&amp;CHAR(10)&amp;"📉 考察能力: "&amp;IFERROR(VLOOKUP(TRIM(D256)&amp;"_"&amp;TRIM(INDEX($E$1:$I$1, MATCH(MIN(E256:I256), E256:I256, 0))), 技能库!$A:$F, 5, 0),"建议查阅考纲")&amp;CHAR(10)&amp;"💡 提升建议: "&amp;IFERROR(VLOOKUP(TRIM(D256)&amp;"_"&amp;TRIM(INDEX($E$1:$I$1, MATCH(MIN(E256:I256), E256:I256, 0))), 技能库!$A:$F, 6, 0),"请针对该题型加强练习"), "🎉 表现优异，无明显弱项！"))</f>
        <v/>
      </c>
      <c r="AA256" s="5" t="str">
        <f>IF(T256="","", IF(U256&lt;=3, "⚠️ 薄弱环节: "&amp;INDEX($M$1:$S$1, MATCH(MIN(M256:S256), M256:S256, 0))&amp;CHAR(10)&amp;"📉 考察能力: "&amp;IFERROR(VLOOKUP(TRIM(D256)&amp;"_"&amp;TRIM(INDEX($M$1:$S$1, MATCH(MIN(M256:S256), M256:S256, 0))), 技能库!$A:$F, 5, 0),"建议查阅考纲")&amp;CHAR(10)&amp;"💡 提升建议: "&amp;IFERROR(VLOOKUP(TRIM(D256)&amp;"_"&amp;TRIM(INDEX($M$1:$S$1, MATCH(MIN(M256:S256), M256:S256, 0))), 技能库!$A:$F, 6, 0),"请针对该题型加强练习"), "🎉 表现优异，无明显弱项！"))</f>
        <v/>
      </c>
    </row>
    <row r="257" spans="10:27" ht="18" hidden="1" customHeight="1" x14ac:dyDescent="0.2">
      <c r="J257" t="str">
        <f t="shared" si="9"/>
        <v/>
      </c>
      <c r="K257" t="str">
        <f>IF(J257="","", IFERROR(VLOOKUP(J257, IF(D257="Movers", 换算标准!$C:$D, 换算标准!$I:$J), 2, TRUE), 0))</f>
        <v/>
      </c>
      <c r="T257" t="str">
        <f t="shared" si="10"/>
        <v/>
      </c>
      <c r="U257" t="str">
        <f>IF(T257="","", IFERROR(VLOOKUP(T257, IF(D257="Movers", 换算标准!$A:$B, 换算标准!$G:$H), 2, TRUE), 0))</f>
        <v/>
      </c>
      <c r="W257" t="str">
        <f t="shared" si="11"/>
        <v/>
      </c>
      <c r="Z257" s="5" t="str">
        <f>IF(J257="","", IF(K257&lt;=3, "⚠️ 薄弱环节: "&amp;INDEX($E$1:$I$1, MATCH(MIN(E257:I257), E257:I257, 0))&amp;CHAR(10)&amp;"📉 考察能力: "&amp;IFERROR(VLOOKUP(TRIM(D257)&amp;"_"&amp;TRIM(INDEX($E$1:$I$1, MATCH(MIN(E257:I257), E257:I257, 0))), 技能库!$A:$F, 5, 0),"建议查阅考纲")&amp;CHAR(10)&amp;"💡 提升建议: "&amp;IFERROR(VLOOKUP(TRIM(D257)&amp;"_"&amp;TRIM(INDEX($E$1:$I$1, MATCH(MIN(E257:I257), E257:I257, 0))), 技能库!$A:$F, 6, 0),"请针对该题型加强练习"), "🎉 表现优异，无明显弱项！"))</f>
        <v/>
      </c>
      <c r="AA257" s="5" t="str">
        <f>IF(T257="","", IF(U257&lt;=3, "⚠️ 薄弱环节: "&amp;INDEX($M$1:$S$1, MATCH(MIN(M257:S257), M257:S257, 0))&amp;CHAR(10)&amp;"📉 考察能力: "&amp;IFERROR(VLOOKUP(TRIM(D257)&amp;"_"&amp;TRIM(INDEX($M$1:$S$1, MATCH(MIN(M257:S257), M257:S257, 0))), 技能库!$A:$F, 5, 0),"建议查阅考纲")&amp;CHAR(10)&amp;"💡 提升建议: "&amp;IFERROR(VLOOKUP(TRIM(D257)&amp;"_"&amp;TRIM(INDEX($M$1:$S$1, MATCH(MIN(M257:S257), M257:S257, 0))), 技能库!$A:$F, 6, 0),"请针对该题型加强练习"), "🎉 表现优异，无明显弱项！"))</f>
        <v/>
      </c>
    </row>
    <row r="258" spans="10:27" ht="18" hidden="1" customHeight="1" x14ac:dyDescent="0.2">
      <c r="J258" t="str">
        <f t="shared" ref="J258:J321" si="12">IF(COUNT(E258:I258)&gt;0, SUM(E258:I258), "")</f>
        <v/>
      </c>
      <c r="K258" t="str">
        <f>IF(J258="","", IFERROR(VLOOKUP(J258, IF(D258="Movers", 换算标准!$C:$D, 换算标准!$I:$J), 2, TRUE), 0))</f>
        <v/>
      </c>
      <c r="T258" t="str">
        <f t="shared" ref="T258:T321" si="13">IF(COUNT(M258:S258)&gt;0, SUM(M258:S258), "")</f>
        <v/>
      </c>
      <c r="U258" t="str">
        <f>IF(T258="","", IFERROR(VLOOKUP(T258, IF(D258="Movers", 换算标准!$A:$B, 换算标准!$G:$H), 2, TRUE), 0))</f>
        <v/>
      </c>
      <c r="W258" t="str">
        <f t="shared" ref="W258:W321" si="14">IF(AND(K258&lt;&gt;"", U258&lt;&gt;""), K258+U258, "")</f>
        <v/>
      </c>
      <c r="Z258" s="5" t="str">
        <f>IF(J258="","", IF(K258&lt;=3, "⚠️ 薄弱环节: "&amp;INDEX($E$1:$I$1, MATCH(MIN(E258:I258), E258:I258, 0))&amp;CHAR(10)&amp;"📉 考察能力: "&amp;IFERROR(VLOOKUP(TRIM(D258)&amp;"_"&amp;TRIM(INDEX($E$1:$I$1, MATCH(MIN(E258:I258), E258:I258, 0))), 技能库!$A:$F, 5, 0),"建议查阅考纲")&amp;CHAR(10)&amp;"💡 提升建议: "&amp;IFERROR(VLOOKUP(TRIM(D258)&amp;"_"&amp;TRIM(INDEX($E$1:$I$1, MATCH(MIN(E258:I258), E258:I258, 0))), 技能库!$A:$F, 6, 0),"请针对该题型加强练习"), "🎉 表现优异，无明显弱项！"))</f>
        <v/>
      </c>
      <c r="AA258" s="5" t="str">
        <f>IF(T258="","", IF(U258&lt;=3, "⚠️ 薄弱环节: "&amp;INDEX($M$1:$S$1, MATCH(MIN(M258:S258), M258:S258, 0))&amp;CHAR(10)&amp;"📉 考察能力: "&amp;IFERROR(VLOOKUP(TRIM(D258)&amp;"_"&amp;TRIM(INDEX($M$1:$S$1, MATCH(MIN(M258:S258), M258:S258, 0))), 技能库!$A:$F, 5, 0),"建议查阅考纲")&amp;CHAR(10)&amp;"💡 提升建议: "&amp;IFERROR(VLOOKUP(TRIM(D258)&amp;"_"&amp;TRIM(INDEX($M$1:$S$1, MATCH(MIN(M258:S258), M258:S258, 0))), 技能库!$A:$F, 6, 0),"请针对该题型加强练习"), "🎉 表现优异，无明显弱项！"))</f>
        <v/>
      </c>
    </row>
    <row r="259" spans="10:27" ht="18" hidden="1" customHeight="1" x14ac:dyDescent="0.2">
      <c r="J259" t="str">
        <f t="shared" si="12"/>
        <v/>
      </c>
      <c r="K259" t="str">
        <f>IF(J259="","", IFERROR(VLOOKUP(J259, IF(D259="Movers", 换算标准!$C:$D, 换算标准!$I:$J), 2, TRUE), 0))</f>
        <v/>
      </c>
      <c r="T259" t="str">
        <f t="shared" si="13"/>
        <v/>
      </c>
      <c r="U259" t="str">
        <f>IF(T259="","", IFERROR(VLOOKUP(T259, IF(D259="Movers", 换算标准!$A:$B, 换算标准!$G:$H), 2, TRUE), 0))</f>
        <v/>
      </c>
      <c r="W259" t="str">
        <f t="shared" si="14"/>
        <v/>
      </c>
      <c r="Z259" s="5" t="str">
        <f>IF(J259="","", IF(K259&lt;=3, "⚠️ 薄弱环节: "&amp;INDEX($E$1:$I$1, MATCH(MIN(E259:I259), E259:I259, 0))&amp;CHAR(10)&amp;"📉 考察能力: "&amp;IFERROR(VLOOKUP(TRIM(D259)&amp;"_"&amp;TRIM(INDEX($E$1:$I$1, MATCH(MIN(E259:I259), E259:I259, 0))), 技能库!$A:$F, 5, 0),"建议查阅考纲")&amp;CHAR(10)&amp;"💡 提升建议: "&amp;IFERROR(VLOOKUP(TRIM(D259)&amp;"_"&amp;TRIM(INDEX($E$1:$I$1, MATCH(MIN(E259:I259), E259:I259, 0))), 技能库!$A:$F, 6, 0),"请针对该题型加强练习"), "🎉 表现优异，无明显弱项！"))</f>
        <v/>
      </c>
      <c r="AA259" s="5" t="str">
        <f>IF(T259="","", IF(U259&lt;=3, "⚠️ 薄弱环节: "&amp;INDEX($M$1:$S$1, MATCH(MIN(M259:S259), M259:S259, 0))&amp;CHAR(10)&amp;"📉 考察能力: "&amp;IFERROR(VLOOKUP(TRIM(D259)&amp;"_"&amp;TRIM(INDEX($M$1:$S$1, MATCH(MIN(M259:S259), M259:S259, 0))), 技能库!$A:$F, 5, 0),"建议查阅考纲")&amp;CHAR(10)&amp;"💡 提升建议: "&amp;IFERROR(VLOOKUP(TRIM(D259)&amp;"_"&amp;TRIM(INDEX($M$1:$S$1, MATCH(MIN(M259:S259), M259:S259, 0))), 技能库!$A:$F, 6, 0),"请针对该题型加强练习"), "🎉 表现优异，无明显弱项！"))</f>
        <v/>
      </c>
    </row>
    <row r="260" spans="10:27" ht="18" hidden="1" customHeight="1" x14ac:dyDescent="0.2">
      <c r="J260" t="str">
        <f t="shared" si="12"/>
        <v/>
      </c>
      <c r="K260" t="str">
        <f>IF(J260="","", IFERROR(VLOOKUP(J260, IF(D260="Movers", 换算标准!$C:$D, 换算标准!$I:$J), 2, TRUE), 0))</f>
        <v/>
      </c>
      <c r="T260" t="str">
        <f t="shared" si="13"/>
        <v/>
      </c>
      <c r="U260" t="str">
        <f>IF(T260="","", IFERROR(VLOOKUP(T260, IF(D260="Movers", 换算标准!$A:$B, 换算标准!$G:$H), 2, TRUE), 0))</f>
        <v/>
      </c>
      <c r="W260" t="str">
        <f t="shared" si="14"/>
        <v/>
      </c>
      <c r="Z260" s="5" t="str">
        <f>IF(J260="","", IF(K260&lt;=3, "⚠️ 薄弱环节: "&amp;INDEX($E$1:$I$1, MATCH(MIN(E260:I260), E260:I260, 0))&amp;CHAR(10)&amp;"📉 考察能力: "&amp;IFERROR(VLOOKUP(TRIM(D260)&amp;"_"&amp;TRIM(INDEX($E$1:$I$1, MATCH(MIN(E260:I260), E260:I260, 0))), 技能库!$A:$F, 5, 0),"建议查阅考纲")&amp;CHAR(10)&amp;"💡 提升建议: "&amp;IFERROR(VLOOKUP(TRIM(D260)&amp;"_"&amp;TRIM(INDEX($E$1:$I$1, MATCH(MIN(E260:I260), E260:I260, 0))), 技能库!$A:$F, 6, 0),"请针对该题型加强练习"), "🎉 表现优异，无明显弱项！"))</f>
        <v/>
      </c>
      <c r="AA260" s="5" t="str">
        <f>IF(T260="","", IF(U260&lt;=3, "⚠️ 薄弱环节: "&amp;INDEX($M$1:$S$1, MATCH(MIN(M260:S260), M260:S260, 0))&amp;CHAR(10)&amp;"📉 考察能力: "&amp;IFERROR(VLOOKUP(TRIM(D260)&amp;"_"&amp;TRIM(INDEX($M$1:$S$1, MATCH(MIN(M260:S260), M260:S260, 0))), 技能库!$A:$F, 5, 0),"建议查阅考纲")&amp;CHAR(10)&amp;"💡 提升建议: "&amp;IFERROR(VLOOKUP(TRIM(D260)&amp;"_"&amp;TRIM(INDEX($M$1:$S$1, MATCH(MIN(M260:S260), M260:S260, 0))), 技能库!$A:$F, 6, 0),"请针对该题型加强练习"), "🎉 表现优异，无明显弱项！"))</f>
        <v/>
      </c>
    </row>
    <row r="261" spans="10:27" ht="18" hidden="1" customHeight="1" x14ac:dyDescent="0.2">
      <c r="J261" t="str">
        <f t="shared" si="12"/>
        <v/>
      </c>
      <c r="K261" t="str">
        <f>IF(J261="","", IFERROR(VLOOKUP(J261, IF(D261="Movers", 换算标准!$C:$D, 换算标准!$I:$J), 2, TRUE), 0))</f>
        <v/>
      </c>
      <c r="T261" t="str">
        <f t="shared" si="13"/>
        <v/>
      </c>
      <c r="U261" t="str">
        <f>IF(T261="","", IFERROR(VLOOKUP(T261, IF(D261="Movers", 换算标准!$A:$B, 换算标准!$G:$H), 2, TRUE), 0))</f>
        <v/>
      </c>
      <c r="W261" t="str">
        <f t="shared" si="14"/>
        <v/>
      </c>
      <c r="Z261" s="5" t="str">
        <f>IF(J261="","", IF(K261&lt;=3, "⚠️ 薄弱环节: "&amp;INDEX($E$1:$I$1, MATCH(MIN(E261:I261), E261:I261, 0))&amp;CHAR(10)&amp;"📉 考察能力: "&amp;IFERROR(VLOOKUP(TRIM(D261)&amp;"_"&amp;TRIM(INDEX($E$1:$I$1, MATCH(MIN(E261:I261), E261:I261, 0))), 技能库!$A:$F, 5, 0),"建议查阅考纲")&amp;CHAR(10)&amp;"💡 提升建议: "&amp;IFERROR(VLOOKUP(TRIM(D261)&amp;"_"&amp;TRIM(INDEX($E$1:$I$1, MATCH(MIN(E261:I261), E261:I261, 0))), 技能库!$A:$F, 6, 0),"请针对该题型加强练习"), "🎉 表现优异，无明显弱项！"))</f>
        <v/>
      </c>
      <c r="AA261" s="5" t="str">
        <f>IF(T261="","", IF(U261&lt;=3, "⚠️ 薄弱环节: "&amp;INDEX($M$1:$S$1, MATCH(MIN(M261:S261), M261:S261, 0))&amp;CHAR(10)&amp;"📉 考察能力: "&amp;IFERROR(VLOOKUP(TRIM(D261)&amp;"_"&amp;TRIM(INDEX($M$1:$S$1, MATCH(MIN(M261:S261), M261:S261, 0))), 技能库!$A:$F, 5, 0),"建议查阅考纲")&amp;CHAR(10)&amp;"💡 提升建议: "&amp;IFERROR(VLOOKUP(TRIM(D261)&amp;"_"&amp;TRIM(INDEX($M$1:$S$1, MATCH(MIN(M261:S261), M261:S261, 0))), 技能库!$A:$F, 6, 0),"请针对该题型加强练习"), "🎉 表现优异，无明显弱项！"))</f>
        <v/>
      </c>
    </row>
    <row r="262" spans="10:27" ht="18" hidden="1" customHeight="1" x14ac:dyDescent="0.2">
      <c r="J262" t="str">
        <f t="shared" si="12"/>
        <v/>
      </c>
      <c r="K262" t="str">
        <f>IF(J262="","", IFERROR(VLOOKUP(J262, IF(D262="Movers", 换算标准!$C:$D, 换算标准!$I:$J), 2, TRUE), 0))</f>
        <v/>
      </c>
      <c r="T262" t="str">
        <f t="shared" si="13"/>
        <v/>
      </c>
      <c r="U262" t="str">
        <f>IF(T262="","", IFERROR(VLOOKUP(T262, IF(D262="Movers", 换算标准!$A:$B, 换算标准!$G:$H), 2, TRUE), 0))</f>
        <v/>
      </c>
      <c r="W262" t="str">
        <f t="shared" si="14"/>
        <v/>
      </c>
      <c r="Z262" s="5" t="str">
        <f>IF(J262="","", IF(K262&lt;=3, "⚠️ 薄弱环节: "&amp;INDEX($E$1:$I$1, MATCH(MIN(E262:I262), E262:I262, 0))&amp;CHAR(10)&amp;"📉 考察能力: "&amp;IFERROR(VLOOKUP(TRIM(D262)&amp;"_"&amp;TRIM(INDEX($E$1:$I$1, MATCH(MIN(E262:I262), E262:I262, 0))), 技能库!$A:$F, 5, 0),"建议查阅考纲")&amp;CHAR(10)&amp;"💡 提升建议: "&amp;IFERROR(VLOOKUP(TRIM(D262)&amp;"_"&amp;TRIM(INDEX($E$1:$I$1, MATCH(MIN(E262:I262), E262:I262, 0))), 技能库!$A:$F, 6, 0),"请针对该题型加强练习"), "🎉 表现优异，无明显弱项！"))</f>
        <v/>
      </c>
      <c r="AA262" s="5" t="str">
        <f>IF(T262="","", IF(U262&lt;=3, "⚠️ 薄弱环节: "&amp;INDEX($M$1:$S$1, MATCH(MIN(M262:S262), M262:S262, 0))&amp;CHAR(10)&amp;"📉 考察能力: "&amp;IFERROR(VLOOKUP(TRIM(D262)&amp;"_"&amp;TRIM(INDEX($M$1:$S$1, MATCH(MIN(M262:S262), M262:S262, 0))), 技能库!$A:$F, 5, 0),"建议查阅考纲")&amp;CHAR(10)&amp;"💡 提升建议: "&amp;IFERROR(VLOOKUP(TRIM(D262)&amp;"_"&amp;TRIM(INDEX($M$1:$S$1, MATCH(MIN(M262:S262), M262:S262, 0))), 技能库!$A:$F, 6, 0),"请针对该题型加强练习"), "🎉 表现优异，无明显弱项！"))</f>
        <v/>
      </c>
    </row>
    <row r="263" spans="10:27" ht="18" hidden="1" customHeight="1" x14ac:dyDescent="0.2">
      <c r="J263" t="str">
        <f t="shared" si="12"/>
        <v/>
      </c>
      <c r="K263" t="str">
        <f>IF(J263="","", IFERROR(VLOOKUP(J263, IF(D263="Movers", 换算标准!$C:$D, 换算标准!$I:$J), 2, TRUE), 0))</f>
        <v/>
      </c>
      <c r="T263" t="str">
        <f t="shared" si="13"/>
        <v/>
      </c>
      <c r="U263" t="str">
        <f>IF(T263="","", IFERROR(VLOOKUP(T263, IF(D263="Movers", 换算标准!$A:$B, 换算标准!$G:$H), 2, TRUE), 0))</f>
        <v/>
      </c>
      <c r="W263" t="str">
        <f t="shared" si="14"/>
        <v/>
      </c>
      <c r="Z263" s="5" t="str">
        <f>IF(J263="","", IF(K263&lt;=3, "⚠️ 薄弱环节: "&amp;INDEX($E$1:$I$1, MATCH(MIN(E263:I263), E263:I263, 0))&amp;CHAR(10)&amp;"📉 考察能力: "&amp;IFERROR(VLOOKUP(TRIM(D263)&amp;"_"&amp;TRIM(INDEX($E$1:$I$1, MATCH(MIN(E263:I263), E263:I263, 0))), 技能库!$A:$F, 5, 0),"建议查阅考纲")&amp;CHAR(10)&amp;"💡 提升建议: "&amp;IFERROR(VLOOKUP(TRIM(D263)&amp;"_"&amp;TRIM(INDEX($E$1:$I$1, MATCH(MIN(E263:I263), E263:I263, 0))), 技能库!$A:$F, 6, 0),"请针对该题型加强练习"), "🎉 表现优异，无明显弱项！"))</f>
        <v/>
      </c>
      <c r="AA263" s="5" t="str">
        <f>IF(T263="","", IF(U263&lt;=3, "⚠️ 薄弱环节: "&amp;INDEX($M$1:$S$1, MATCH(MIN(M263:S263), M263:S263, 0))&amp;CHAR(10)&amp;"📉 考察能力: "&amp;IFERROR(VLOOKUP(TRIM(D263)&amp;"_"&amp;TRIM(INDEX($M$1:$S$1, MATCH(MIN(M263:S263), M263:S263, 0))), 技能库!$A:$F, 5, 0),"建议查阅考纲")&amp;CHAR(10)&amp;"💡 提升建议: "&amp;IFERROR(VLOOKUP(TRIM(D263)&amp;"_"&amp;TRIM(INDEX($M$1:$S$1, MATCH(MIN(M263:S263), M263:S263, 0))), 技能库!$A:$F, 6, 0),"请针对该题型加强练习"), "🎉 表现优异，无明显弱项！"))</f>
        <v/>
      </c>
    </row>
    <row r="264" spans="10:27" ht="18" hidden="1" customHeight="1" x14ac:dyDescent="0.2">
      <c r="J264" t="str">
        <f t="shared" si="12"/>
        <v/>
      </c>
      <c r="K264" t="str">
        <f>IF(J264="","", IFERROR(VLOOKUP(J264, IF(D264="Movers", 换算标准!$C:$D, 换算标准!$I:$J), 2, TRUE), 0))</f>
        <v/>
      </c>
      <c r="T264" t="str">
        <f t="shared" si="13"/>
        <v/>
      </c>
      <c r="U264" t="str">
        <f>IF(T264="","", IFERROR(VLOOKUP(T264, IF(D264="Movers", 换算标准!$A:$B, 换算标准!$G:$H), 2, TRUE), 0))</f>
        <v/>
      </c>
      <c r="W264" t="str">
        <f t="shared" si="14"/>
        <v/>
      </c>
      <c r="Z264" s="5" t="str">
        <f>IF(J264="","", IF(K264&lt;=3, "⚠️ 薄弱环节: "&amp;INDEX($E$1:$I$1, MATCH(MIN(E264:I264), E264:I264, 0))&amp;CHAR(10)&amp;"📉 考察能力: "&amp;IFERROR(VLOOKUP(TRIM(D264)&amp;"_"&amp;TRIM(INDEX($E$1:$I$1, MATCH(MIN(E264:I264), E264:I264, 0))), 技能库!$A:$F, 5, 0),"建议查阅考纲")&amp;CHAR(10)&amp;"💡 提升建议: "&amp;IFERROR(VLOOKUP(TRIM(D264)&amp;"_"&amp;TRIM(INDEX($E$1:$I$1, MATCH(MIN(E264:I264), E264:I264, 0))), 技能库!$A:$F, 6, 0),"请针对该题型加强练习"), "🎉 表现优异，无明显弱项！"))</f>
        <v/>
      </c>
      <c r="AA264" s="5" t="str">
        <f>IF(T264="","", IF(U264&lt;=3, "⚠️ 薄弱环节: "&amp;INDEX($M$1:$S$1, MATCH(MIN(M264:S264), M264:S264, 0))&amp;CHAR(10)&amp;"📉 考察能力: "&amp;IFERROR(VLOOKUP(TRIM(D264)&amp;"_"&amp;TRIM(INDEX($M$1:$S$1, MATCH(MIN(M264:S264), M264:S264, 0))), 技能库!$A:$F, 5, 0),"建议查阅考纲")&amp;CHAR(10)&amp;"💡 提升建议: "&amp;IFERROR(VLOOKUP(TRIM(D264)&amp;"_"&amp;TRIM(INDEX($M$1:$S$1, MATCH(MIN(M264:S264), M264:S264, 0))), 技能库!$A:$F, 6, 0),"请针对该题型加强练习"), "🎉 表现优异，无明显弱项！"))</f>
        <v/>
      </c>
    </row>
    <row r="265" spans="10:27" ht="18" hidden="1" customHeight="1" x14ac:dyDescent="0.2">
      <c r="J265" t="str">
        <f t="shared" si="12"/>
        <v/>
      </c>
      <c r="K265" t="str">
        <f>IF(J265="","", IFERROR(VLOOKUP(J265, IF(D265="Movers", 换算标准!$C:$D, 换算标准!$I:$J), 2, TRUE), 0))</f>
        <v/>
      </c>
      <c r="T265" t="str">
        <f t="shared" si="13"/>
        <v/>
      </c>
      <c r="U265" t="str">
        <f>IF(T265="","", IFERROR(VLOOKUP(T265, IF(D265="Movers", 换算标准!$A:$B, 换算标准!$G:$H), 2, TRUE), 0))</f>
        <v/>
      </c>
      <c r="W265" t="str">
        <f t="shared" si="14"/>
        <v/>
      </c>
      <c r="Z265" s="5" t="str">
        <f>IF(J265="","", IF(K265&lt;=3, "⚠️ 薄弱环节: "&amp;INDEX($E$1:$I$1, MATCH(MIN(E265:I265), E265:I265, 0))&amp;CHAR(10)&amp;"📉 考察能力: "&amp;IFERROR(VLOOKUP(TRIM(D265)&amp;"_"&amp;TRIM(INDEX($E$1:$I$1, MATCH(MIN(E265:I265), E265:I265, 0))), 技能库!$A:$F, 5, 0),"建议查阅考纲")&amp;CHAR(10)&amp;"💡 提升建议: "&amp;IFERROR(VLOOKUP(TRIM(D265)&amp;"_"&amp;TRIM(INDEX($E$1:$I$1, MATCH(MIN(E265:I265), E265:I265, 0))), 技能库!$A:$F, 6, 0),"请针对该题型加强练习"), "🎉 表现优异，无明显弱项！"))</f>
        <v/>
      </c>
      <c r="AA265" s="5" t="str">
        <f>IF(T265="","", IF(U265&lt;=3, "⚠️ 薄弱环节: "&amp;INDEX($M$1:$S$1, MATCH(MIN(M265:S265), M265:S265, 0))&amp;CHAR(10)&amp;"📉 考察能力: "&amp;IFERROR(VLOOKUP(TRIM(D265)&amp;"_"&amp;TRIM(INDEX($M$1:$S$1, MATCH(MIN(M265:S265), M265:S265, 0))), 技能库!$A:$F, 5, 0),"建议查阅考纲")&amp;CHAR(10)&amp;"💡 提升建议: "&amp;IFERROR(VLOOKUP(TRIM(D265)&amp;"_"&amp;TRIM(INDEX($M$1:$S$1, MATCH(MIN(M265:S265), M265:S265, 0))), 技能库!$A:$F, 6, 0),"请针对该题型加强练习"), "🎉 表现优异，无明显弱项！"))</f>
        <v/>
      </c>
    </row>
    <row r="266" spans="10:27" ht="18" hidden="1" customHeight="1" x14ac:dyDescent="0.2">
      <c r="J266" t="str">
        <f t="shared" si="12"/>
        <v/>
      </c>
      <c r="K266" t="str">
        <f>IF(J266="","", IFERROR(VLOOKUP(J266, IF(D266="Movers", 换算标准!$C:$D, 换算标准!$I:$J), 2, TRUE), 0))</f>
        <v/>
      </c>
      <c r="T266" t="str">
        <f t="shared" si="13"/>
        <v/>
      </c>
      <c r="U266" t="str">
        <f>IF(T266="","", IFERROR(VLOOKUP(T266, IF(D266="Movers", 换算标准!$A:$B, 换算标准!$G:$H), 2, TRUE), 0))</f>
        <v/>
      </c>
      <c r="W266" t="str">
        <f t="shared" si="14"/>
        <v/>
      </c>
      <c r="Z266" s="5" t="str">
        <f>IF(J266="","", IF(K266&lt;=3, "⚠️ 薄弱环节: "&amp;INDEX($E$1:$I$1, MATCH(MIN(E266:I266), E266:I266, 0))&amp;CHAR(10)&amp;"📉 考察能力: "&amp;IFERROR(VLOOKUP(TRIM(D266)&amp;"_"&amp;TRIM(INDEX($E$1:$I$1, MATCH(MIN(E266:I266), E266:I266, 0))), 技能库!$A:$F, 5, 0),"建议查阅考纲")&amp;CHAR(10)&amp;"💡 提升建议: "&amp;IFERROR(VLOOKUP(TRIM(D266)&amp;"_"&amp;TRIM(INDEX($E$1:$I$1, MATCH(MIN(E266:I266), E266:I266, 0))), 技能库!$A:$F, 6, 0),"请针对该题型加强练习"), "🎉 表现优异，无明显弱项！"))</f>
        <v/>
      </c>
      <c r="AA266" s="5" t="str">
        <f>IF(T266="","", IF(U266&lt;=3, "⚠️ 薄弱环节: "&amp;INDEX($M$1:$S$1, MATCH(MIN(M266:S266), M266:S266, 0))&amp;CHAR(10)&amp;"📉 考察能力: "&amp;IFERROR(VLOOKUP(TRIM(D266)&amp;"_"&amp;TRIM(INDEX($M$1:$S$1, MATCH(MIN(M266:S266), M266:S266, 0))), 技能库!$A:$F, 5, 0),"建议查阅考纲")&amp;CHAR(10)&amp;"💡 提升建议: "&amp;IFERROR(VLOOKUP(TRIM(D266)&amp;"_"&amp;TRIM(INDEX($M$1:$S$1, MATCH(MIN(M266:S266), M266:S266, 0))), 技能库!$A:$F, 6, 0),"请针对该题型加强练习"), "🎉 表现优异，无明显弱项！"))</f>
        <v/>
      </c>
    </row>
    <row r="267" spans="10:27" ht="18" hidden="1" customHeight="1" x14ac:dyDescent="0.2">
      <c r="J267" t="str">
        <f t="shared" si="12"/>
        <v/>
      </c>
      <c r="K267" t="str">
        <f>IF(J267="","", IFERROR(VLOOKUP(J267, IF(D267="Movers", 换算标准!$C:$D, 换算标准!$I:$J), 2, TRUE), 0))</f>
        <v/>
      </c>
      <c r="T267" t="str">
        <f t="shared" si="13"/>
        <v/>
      </c>
      <c r="U267" t="str">
        <f>IF(T267="","", IFERROR(VLOOKUP(T267, IF(D267="Movers", 换算标准!$A:$B, 换算标准!$G:$H), 2, TRUE), 0))</f>
        <v/>
      </c>
      <c r="W267" t="str">
        <f t="shared" si="14"/>
        <v/>
      </c>
      <c r="Z267" s="5" t="str">
        <f>IF(J267="","", IF(K267&lt;=3, "⚠️ 薄弱环节: "&amp;INDEX($E$1:$I$1, MATCH(MIN(E267:I267), E267:I267, 0))&amp;CHAR(10)&amp;"📉 考察能力: "&amp;IFERROR(VLOOKUP(TRIM(D267)&amp;"_"&amp;TRIM(INDEX($E$1:$I$1, MATCH(MIN(E267:I267), E267:I267, 0))), 技能库!$A:$F, 5, 0),"建议查阅考纲")&amp;CHAR(10)&amp;"💡 提升建议: "&amp;IFERROR(VLOOKUP(TRIM(D267)&amp;"_"&amp;TRIM(INDEX($E$1:$I$1, MATCH(MIN(E267:I267), E267:I267, 0))), 技能库!$A:$F, 6, 0),"请针对该题型加强练习"), "🎉 表现优异，无明显弱项！"))</f>
        <v/>
      </c>
      <c r="AA267" s="5" t="str">
        <f>IF(T267="","", IF(U267&lt;=3, "⚠️ 薄弱环节: "&amp;INDEX($M$1:$S$1, MATCH(MIN(M267:S267), M267:S267, 0))&amp;CHAR(10)&amp;"📉 考察能力: "&amp;IFERROR(VLOOKUP(TRIM(D267)&amp;"_"&amp;TRIM(INDEX($M$1:$S$1, MATCH(MIN(M267:S267), M267:S267, 0))), 技能库!$A:$F, 5, 0),"建议查阅考纲")&amp;CHAR(10)&amp;"💡 提升建议: "&amp;IFERROR(VLOOKUP(TRIM(D267)&amp;"_"&amp;TRIM(INDEX($M$1:$S$1, MATCH(MIN(M267:S267), M267:S267, 0))), 技能库!$A:$F, 6, 0),"请针对该题型加强练习"), "🎉 表现优异，无明显弱项！"))</f>
        <v/>
      </c>
    </row>
    <row r="268" spans="10:27" ht="18" hidden="1" customHeight="1" x14ac:dyDescent="0.2">
      <c r="J268" t="str">
        <f t="shared" si="12"/>
        <v/>
      </c>
      <c r="K268" t="str">
        <f>IF(J268="","", IFERROR(VLOOKUP(J268, IF(D268="Movers", 换算标准!$C:$D, 换算标准!$I:$J), 2, TRUE), 0))</f>
        <v/>
      </c>
      <c r="T268" t="str">
        <f t="shared" si="13"/>
        <v/>
      </c>
      <c r="U268" t="str">
        <f>IF(T268="","", IFERROR(VLOOKUP(T268, IF(D268="Movers", 换算标准!$A:$B, 换算标准!$G:$H), 2, TRUE), 0))</f>
        <v/>
      </c>
      <c r="W268" t="str">
        <f t="shared" si="14"/>
        <v/>
      </c>
      <c r="Z268" s="5" t="str">
        <f>IF(J268="","", IF(K268&lt;=3, "⚠️ 薄弱环节: "&amp;INDEX($E$1:$I$1, MATCH(MIN(E268:I268), E268:I268, 0))&amp;CHAR(10)&amp;"📉 考察能力: "&amp;IFERROR(VLOOKUP(TRIM(D268)&amp;"_"&amp;TRIM(INDEX($E$1:$I$1, MATCH(MIN(E268:I268), E268:I268, 0))), 技能库!$A:$F, 5, 0),"建议查阅考纲")&amp;CHAR(10)&amp;"💡 提升建议: "&amp;IFERROR(VLOOKUP(TRIM(D268)&amp;"_"&amp;TRIM(INDEX($E$1:$I$1, MATCH(MIN(E268:I268), E268:I268, 0))), 技能库!$A:$F, 6, 0),"请针对该题型加强练习"), "🎉 表现优异，无明显弱项！"))</f>
        <v/>
      </c>
      <c r="AA268" s="5" t="str">
        <f>IF(T268="","", IF(U268&lt;=3, "⚠️ 薄弱环节: "&amp;INDEX($M$1:$S$1, MATCH(MIN(M268:S268), M268:S268, 0))&amp;CHAR(10)&amp;"📉 考察能力: "&amp;IFERROR(VLOOKUP(TRIM(D268)&amp;"_"&amp;TRIM(INDEX($M$1:$S$1, MATCH(MIN(M268:S268), M268:S268, 0))), 技能库!$A:$F, 5, 0),"建议查阅考纲")&amp;CHAR(10)&amp;"💡 提升建议: "&amp;IFERROR(VLOOKUP(TRIM(D268)&amp;"_"&amp;TRIM(INDEX($M$1:$S$1, MATCH(MIN(M268:S268), M268:S268, 0))), 技能库!$A:$F, 6, 0),"请针对该题型加强练习"), "🎉 表现优异，无明显弱项！"))</f>
        <v/>
      </c>
    </row>
    <row r="269" spans="10:27" ht="18" hidden="1" customHeight="1" x14ac:dyDescent="0.2">
      <c r="J269" t="str">
        <f t="shared" si="12"/>
        <v/>
      </c>
      <c r="K269" t="str">
        <f>IF(J269="","", IFERROR(VLOOKUP(J269, IF(D269="Movers", 换算标准!$C:$D, 换算标准!$I:$J), 2, TRUE), 0))</f>
        <v/>
      </c>
      <c r="T269" t="str">
        <f t="shared" si="13"/>
        <v/>
      </c>
      <c r="U269" t="str">
        <f>IF(T269="","", IFERROR(VLOOKUP(T269, IF(D269="Movers", 换算标准!$A:$B, 换算标准!$G:$H), 2, TRUE), 0))</f>
        <v/>
      </c>
      <c r="W269" t="str">
        <f t="shared" si="14"/>
        <v/>
      </c>
      <c r="Z269" s="5" t="str">
        <f>IF(J269="","", IF(K269&lt;=3, "⚠️ 薄弱环节: "&amp;INDEX($E$1:$I$1, MATCH(MIN(E269:I269), E269:I269, 0))&amp;CHAR(10)&amp;"📉 考察能力: "&amp;IFERROR(VLOOKUP(TRIM(D269)&amp;"_"&amp;TRIM(INDEX($E$1:$I$1, MATCH(MIN(E269:I269), E269:I269, 0))), 技能库!$A:$F, 5, 0),"建议查阅考纲")&amp;CHAR(10)&amp;"💡 提升建议: "&amp;IFERROR(VLOOKUP(TRIM(D269)&amp;"_"&amp;TRIM(INDEX($E$1:$I$1, MATCH(MIN(E269:I269), E269:I269, 0))), 技能库!$A:$F, 6, 0),"请针对该题型加强练习"), "🎉 表现优异，无明显弱项！"))</f>
        <v/>
      </c>
      <c r="AA269" s="5" t="str">
        <f>IF(T269="","", IF(U269&lt;=3, "⚠️ 薄弱环节: "&amp;INDEX($M$1:$S$1, MATCH(MIN(M269:S269), M269:S269, 0))&amp;CHAR(10)&amp;"📉 考察能力: "&amp;IFERROR(VLOOKUP(TRIM(D269)&amp;"_"&amp;TRIM(INDEX($M$1:$S$1, MATCH(MIN(M269:S269), M269:S269, 0))), 技能库!$A:$F, 5, 0),"建议查阅考纲")&amp;CHAR(10)&amp;"💡 提升建议: "&amp;IFERROR(VLOOKUP(TRIM(D269)&amp;"_"&amp;TRIM(INDEX($M$1:$S$1, MATCH(MIN(M269:S269), M269:S269, 0))), 技能库!$A:$F, 6, 0),"请针对该题型加强练习"), "🎉 表现优异，无明显弱项！"))</f>
        <v/>
      </c>
    </row>
    <row r="270" spans="10:27" ht="18" hidden="1" customHeight="1" x14ac:dyDescent="0.2">
      <c r="J270" t="str">
        <f t="shared" si="12"/>
        <v/>
      </c>
      <c r="K270" t="str">
        <f>IF(J270="","", IFERROR(VLOOKUP(J270, IF(D270="Movers", 换算标准!$C:$D, 换算标准!$I:$J), 2, TRUE), 0))</f>
        <v/>
      </c>
      <c r="T270" t="str">
        <f t="shared" si="13"/>
        <v/>
      </c>
      <c r="U270" t="str">
        <f>IF(T270="","", IFERROR(VLOOKUP(T270, IF(D270="Movers", 换算标准!$A:$B, 换算标准!$G:$H), 2, TRUE), 0))</f>
        <v/>
      </c>
      <c r="W270" t="str">
        <f t="shared" si="14"/>
        <v/>
      </c>
      <c r="Z270" s="5" t="str">
        <f>IF(J270="","", IF(K270&lt;=3, "⚠️ 薄弱环节: "&amp;INDEX($E$1:$I$1, MATCH(MIN(E270:I270), E270:I270, 0))&amp;CHAR(10)&amp;"📉 考察能力: "&amp;IFERROR(VLOOKUP(TRIM(D270)&amp;"_"&amp;TRIM(INDEX($E$1:$I$1, MATCH(MIN(E270:I270), E270:I270, 0))), 技能库!$A:$F, 5, 0),"建议查阅考纲")&amp;CHAR(10)&amp;"💡 提升建议: "&amp;IFERROR(VLOOKUP(TRIM(D270)&amp;"_"&amp;TRIM(INDEX($E$1:$I$1, MATCH(MIN(E270:I270), E270:I270, 0))), 技能库!$A:$F, 6, 0),"请针对该题型加强练习"), "🎉 表现优异，无明显弱项！"))</f>
        <v/>
      </c>
      <c r="AA270" s="5" t="str">
        <f>IF(T270="","", IF(U270&lt;=3, "⚠️ 薄弱环节: "&amp;INDEX($M$1:$S$1, MATCH(MIN(M270:S270), M270:S270, 0))&amp;CHAR(10)&amp;"📉 考察能力: "&amp;IFERROR(VLOOKUP(TRIM(D270)&amp;"_"&amp;TRIM(INDEX($M$1:$S$1, MATCH(MIN(M270:S270), M270:S270, 0))), 技能库!$A:$F, 5, 0),"建议查阅考纲")&amp;CHAR(10)&amp;"💡 提升建议: "&amp;IFERROR(VLOOKUP(TRIM(D270)&amp;"_"&amp;TRIM(INDEX($M$1:$S$1, MATCH(MIN(M270:S270), M270:S270, 0))), 技能库!$A:$F, 6, 0),"请针对该题型加强练习"), "🎉 表现优异，无明显弱项！"))</f>
        <v/>
      </c>
    </row>
    <row r="271" spans="10:27" ht="18" hidden="1" customHeight="1" x14ac:dyDescent="0.2">
      <c r="J271" t="str">
        <f t="shared" si="12"/>
        <v/>
      </c>
      <c r="K271" t="str">
        <f>IF(J271="","", IFERROR(VLOOKUP(J271, IF(D271="Movers", 换算标准!$C:$D, 换算标准!$I:$J), 2, TRUE), 0))</f>
        <v/>
      </c>
      <c r="T271" t="str">
        <f t="shared" si="13"/>
        <v/>
      </c>
      <c r="U271" t="str">
        <f>IF(T271="","", IFERROR(VLOOKUP(T271, IF(D271="Movers", 换算标准!$A:$B, 换算标准!$G:$H), 2, TRUE), 0))</f>
        <v/>
      </c>
      <c r="W271" t="str">
        <f t="shared" si="14"/>
        <v/>
      </c>
      <c r="Z271" s="5" t="str">
        <f>IF(J271="","", IF(K271&lt;=3, "⚠️ 薄弱环节: "&amp;INDEX($E$1:$I$1, MATCH(MIN(E271:I271), E271:I271, 0))&amp;CHAR(10)&amp;"📉 考察能力: "&amp;IFERROR(VLOOKUP(TRIM(D271)&amp;"_"&amp;TRIM(INDEX($E$1:$I$1, MATCH(MIN(E271:I271), E271:I271, 0))), 技能库!$A:$F, 5, 0),"建议查阅考纲")&amp;CHAR(10)&amp;"💡 提升建议: "&amp;IFERROR(VLOOKUP(TRIM(D271)&amp;"_"&amp;TRIM(INDEX($E$1:$I$1, MATCH(MIN(E271:I271), E271:I271, 0))), 技能库!$A:$F, 6, 0),"请针对该题型加强练习"), "🎉 表现优异，无明显弱项！"))</f>
        <v/>
      </c>
      <c r="AA271" s="5" t="str">
        <f>IF(T271="","", IF(U271&lt;=3, "⚠️ 薄弱环节: "&amp;INDEX($M$1:$S$1, MATCH(MIN(M271:S271), M271:S271, 0))&amp;CHAR(10)&amp;"📉 考察能力: "&amp;IFERROR(VLOOKUP(TRIM(D271)&amp;"_"&amp;TRIM(INDEX($M$1:$S$1, MATCH(MIN(M271:S271), M271:S271, 0))), 技能库!$A:$F, 5, 0),"建议查阅考纲")&amp;CHAR(10)&amp;"💡 提升建议: "&amp;IFERROR(VLOOKUP(TRIM(D271)&amp;"_"&amp;TRIM(INDEX($M$1:$S$1, MATCH(MIN(M271:S271), M271:S271, 0))), 技能库!$A:$F, 6, 0),"请针对该题型加强练习"), "🎉 表现优异，无明显弱项！"))</f>
        <v/>
      </c>
    </row>
    <row r="272" spans="10:27" ht="18" hidden="1" customHeight="1" x14ac:dyDescent="0.2">
      <c r="J272" t="str">
        <f t="shared" si="12"/>
        <v/>
      </c>
      <c r="K272" t="str">
        <f>IF(J272="","", IFERROR(VLOOKUP(J272, IF(D272="Movers", 换算标准!$C:$D, 换算标准!$I:$J), 2, TRUE), 0))</f>
        <v/>
      </c>
      <c r="T272" t="str">
        <f t="shared" si="13"/>
        <v/>
      </c>
      <c r="U272" t="str">
        <f>IF(T272="","", IFERROR(VLOOKUP(T272, IF(D272="Movers", 换算标准!$A:$B, 换算标准!$G:$H), 2, TRUE), 0))</f>
        <v/>
      </c>
      <c r="W272" t="str">
        <f t="shared" si="14"/>
        <v/>
      </c>
      <c r="Z272" s="5" t="str">
        <f>IF(J272="","", IF(K272&lt;=3, "⚠️ 薄弱环节: "&amp;INDEX($E$1:$I$1, MATCH(MIN(E272:I272), E272:I272, 0))&amp;CHAR(10)&amp;"📉 考察能力: "&amp;IFERROR(VLOOKUP(TRIM(D272)&amp;"_"&amp;TRIM(INDEX($E$1:$I$1, MATCH(MIN(E272:I272), E272:I272, 0))), 技能库!$A:$F, 5, 0),"建议查阅考纲")&amp;CHAR(10)&amp;"💡 提升建议: "&amp;IFERROR(VLOOKUP(TRIM(D272)&amp;"_"&amp;TRIM(INDEX($E$1:$I$1, MATCH(MIN(E272:I272), E272:I272, 0))), 技能库!$A:$F, 6, 0),"请针对该题型加强练习"), "🎉 表现优异，无明显弱项！"))</f>
        <v/>
      </c>
      <c r="AA272" s="5" t="str">
        <f>IF(T272="","", IF(U272&lt;=3, "⚠️ 薄弱环节: "&amp;INDEX($M$1:$S$1, MATCH(MIN(M272:S272), M272:S272, 0))&amp;CHAR(10)&amp;"📉 考察能力: "&amp;IFERROR(VLOOKUP(TRIM(D272)&amp;"_"&amp;TRIM(INDEX($M$1:$S$1, MATCH(MIN(M272:S272), M272:S272, 0))), 技能库!$A:$F, 5, 0),"建议查阅考纲")&amp;CHAR(10)&amp;"💡 提升建议: "&amp;IFERROR(VLOOKUP(TRIM(D272)&amp;"_"&amp;TRIM(INDEX($M$1:$S$1, MATCH(MIN(M272:S272), M272:S272, 0))), 技能库!$A:$F, 6, 0),"请针对该题型加强练习"), "🎉 表现优异，无明显弱项！"))</f>
        <v/>
      </c>
    </row>
    <row r="273" spans="10:27" ht="18" hidden="1" customHeight="1" x14ac:dyDescent="0.2">
      <c r="J273" t="str">
        <f t="shared" si="12"/>
        <v/>
      </c>
      <c r="K273" t="str">
        <f>IF(J273="","", IFERROR(VLOOKUP(J273, IF(D273="Movers", 换算标准!$C:$D, 换算标准!$I:$J), 2, TRUE), 0))</f>
        <v/>
      </c>
      <c r="T273" t="str">
        <f t="shared" si="13"/>
        <v/>
      </c>
      <c r="U273" t="str">
        <f>IF(T273="","", IFERROR(VLOOKUP(T273, IF(D273="Movers", 换算标准!$A:$B, 换算标准!$G:$H), 2, TRUE), 0))</f>
        <v/>
      </c>
      <c r="W273" t="str">
        <f t="shared" si="14"/>
        <v/>
      </c>
      <c r="Z273" s="5" t="str">
        <f>IF(J273="","", IF(K273&lt;=3, "⚠️ 薄弱环节: "&amp;INDEX($E$1:$I$1, MATCH(MIN(E273:I273), E273:I273, 0))&amp;CHAR(10)&amp;"📉 考察能力: "&amp;IFERROR(VLOOKUP(TRIM(D273)&amp;"_"&amp;TRIM(INDEX($E$1:$I$1, MATCH(MIN(E273:I273), E273:I273, 0))), 技能库!$A:$F, 5, 0),"建议查阅考纲")&amp;CHAR(10)&amp;"💡 提升建议: "&amp;IFERROR(VLOOKUP(TRIM(D273)&amp;"_"&amp;TRIM(INDEX($E$1:$I$1, MATCH(MIN(E273:I273), E273:I273, 0))), 技能库!$A:$F, 6, 0),"请针对该题型加强练习"), "🎉 表现优异，无明显弱项！"))</f>
        <v/>
      </c>
      <c r="AA273" s="5" t="str">
        <f>IF(T273="","", IF(U273&lt;=3, "⚠️ 薄弱环节: "&amp;INDEX($M$1:$S$1, MATCH(MIN(M273:S273), M273:S273, 0))&amp;CHAR(10)&amp;"📉 考察能力: "&amp;IFERROR(VLOOKUP(TRIM(D273)&amp;"_"&amp;TRIM(INDEX($M$1:$S$1, MATCH(MIN(M273:S273), M273:S273, 0))), 技能库!$A:$F, 5, 0),"建议查阅考纲")&amp;CHAR(10)&amp;"💡 提升建议: "&amp;IFERROR(VLOOKUP(TRIM(D273)&amp;"_"&amp;TRIM(INDEX($M$1:$S$1, MATCH(MIN(M273:S273), M273:S273, 0))), 技能库!$A:$F, 6, 0),"请针对该题型加强练习"), "🎉 表现优异，无明显弱项！"))</f>
        <v/>
      </c>
    </row>
    <row r="274" spans="10:27" ht="18" hidden="1" customHeight="1" x14ac:dyDescent="0.2">
      <c r="J274" t="str">
        <f t="shared" si="12"/>
        <v/>
      </c>
      <c r="K274" t="str">
        <f>IF(J274="","", IFERROR(VLOOKUP(J274, IF(D274="Movers", 换算标准!$C:$D, 换算标准!$I:$J), 2, TRUE), 0))</f>
        <v/>
      </c>
      <c r="T274" t="str">
        <f t="shared" si="13"/>
        <v/>
      </c>
      <c r="U274" t="str">
        <f>IF(T274="","", IFERROR(VLOOKUP(T274, IF(D274="Movers", 换算标准!$A:$B, 换算标准!$G:$H), 2, TRUE), 0))</f>
        <v/>
      </c>
      <c r="W274" t="str">
        <f t="shared" si="14"/>
        <v/>
      </c>
      <c r="Z274" s="5" t="str">
        <f>IF(J274="","", IF(K274&lt;=3, "⚠️ 薄弱环节: "&amp;INDEX($E$1:$I$1, MATCH(MIN(E274:I274), E274:I274, 0))&amp;CHAR(10)&amp;"📉 考察能力: "&amp;IFERROR(VLOOKUP(TRIM(D274)&amp;"_"&amp;TRIM(INDEX($E$1:$I$1, MATCH(MIN(E274:I274), E274:I274, 0))), 技能库!$A:$F, 5, 0),"建议查阅考纲")&amp;CHAR(10)&amp;"💡 提升建议: "&amp;IFERROR(VLOOKUP(TRIM(D274)&amp;"_"&amp;TRIM(INDEX($E$1:$I$1, MATCH(MIN(E274:I274), E274:I274, 0))), 技能库!$A:$F, 6, 0),"请针对该题型加强练习"), "🎉 表现优异，无明显弱项！"))</f>
        <v/>
      </c>
      <c r="AA274" s="5" t="str">
        <f>IF(T274="","", IF(U274&lt;=3, "⚠️ 薄弱环节: "&amp;INDEX($M$1:$S$1, MATCH(MIN(M274:S274), M274:S274, 0))&amp;CHAR(10)&amp;"📉 考察能力: "&amp;IFERROR(VLOOKUP(TRIM(D274)&amp;"_"&amp;TRIM(INDEX($M$1:$S$1, MATCH(MIN(M274:S274), M274:S274, 0))), 技能库!$A:$F, 5, 0),"建议查阅考纲")&amp;CHAR(10)&amp;"💡 提升建议: "&amp;IFERROR(VLOOKUP(TRIM(D274)&amp;"_"&amp;TRIM(INDEX($M$1:$S$1, MATCH(MIN(M274:S274), M274:S274, 0))), 技能库!$A:$F, 6, 0),"请针对该题型加强练习"), "🎉 表现优异，无明显弱项！"))</f>
        <v/>
      </c>
    </row>
    <row r="275" spans="10:27" ht="18" hidden="1" customHeight="1" x14ac:dyDescent="0.2">
      <c r="J275" t="str">
        <f t="shared" si="12"/>
        <v/>
      </c>
      <c r="K275" t="str">
        <f>IF(J275="","", IFERROR(VLOOKUP(J275, IF(D275="Movers", 换算标准!$C:$D, 换算标准!$I:$J), 2, TRUE), 0))</f>
        <v/>
      </c>
      <c r="T275" t="str">
        <f t="shared" si="13"/>
        <v/>
      </c>
      <c r="U275" t="str">
        <f>IF(T275="","", IFERROR(VLOOKUP(T275, IF(D275="Movers", 换算标准!$A:$B, 换算标准!$G:$H), 2, TRUE), 0))</f>
        <v/>
      </c>
      <c r="W275" t="str">
        <f t="shared" si="14"/>
        <v/>
      </c>
      <c r="Z275" s="5" t="str">
        <f>IF(J275="","", IF(K275&lt;=3, "⚠️ 薄弱环节: "&amp;INDEX($E$1:$I$1, MATCH(MIN(E275:I275), E275:I275, 0))&amp;CHAR(10)&amp;"📉 考察能力: "&amp;IFERROR(VLOOKUP(TRIM(D275)&amp;"_"&amp;TRIM(INDEX($E$1:$I$1, MATCH(MIN(E275:I275), E275:I275, 0))), 技能库!$A:$F, 5, 0),"建议查阅考纲")&amp;CHAR(10)&amp;"💡 提升建议: "&amp;IFERROR(VLOOKUP(TRIM(D275)&amp;"_"&amp;TRIM(INDEX($E$1:$I$1, MATCH(MIN(E275:I275), E275:I275, 0))), 技能库!$A:$F, 6, 0),"请针对该题型加强练习"), "🎉 表现优异，无明显弱项！"))</f>
        <v/>
      </c>
      <c r="AA275" s="5" t="str">
        <f>IF(T275="","", IF(U275&lt;=3, "⚠️ 薄弱环节: "&amp;INDEX($M$1:$S$1, MATCH(MIN(M275:S275), M275:S275, 0))&amp;CHAR(10)&amp;"📉 考察能力: "&amp;IFERROR(VLOOKUP(TRIM(D275)&amp;"_"&amp;TRIM(INDEX($M$1:$S$1, MATCH(MIN(M275:S275), M275:S275, 0))), 技能库!$A:$F, 5, 0),"建议查阅考纲")&amp;CHAR(10)&amp;"💡 提升建议: "&amp;IFERROR(VLOOKUP(TRIM(D275)&amp;"_"&amp;TRIM(INDEX($M$1:$S$1, MATCH(MIN(M275:S275), M275:S275, 0))), 技能库!$A:$F, 6, 0),"请针对该题型加强练习"), "🎉 表现优异，无明显弱项！"))</f>
        <v/>
      </c>
    </row>
    <row r="276" spans="10:27" ht="18" hidden="1" customHeight="1" x14ac:dyDescent="0.2">
      <c r="J276" t="str">
        <f t="shared" si="12"/>
        <v/>
      </c>
      <c r="K276" t="str">
        <f>IF(J276="","", IFERROR(VLOOKUP(J276, IF(D276="Movers", 换算标准!$C:$D, 换算标准!$I:$J), 2, TRUE), 0))</f>
        <v/>
      </c>
      <c r="T276" t="str">
        <f t="shared" si="13"/>
        <v/>
      </c>
      <c r="U276" t="str">
        <f>IF(T276="","", IFERROR(VLOOKUP(T276, IF(D276="Movers", 换算标准!$A:$B, 换算标准!$G:$H), 2, TRUE), 0))</f>
        <v/>
      </c>
      <c r="W276" t="str">
        <f t="shared" si="14"/>
        <v/>
      </c>
      <c r="Z276" s="5" t="str">
        <f>IF(J276="","", IF(K276&lt;=3, "⚠️ 薄弱环节: "&amp;INDEX($E$1:$I$1, MATCH(MIN(E276:I276), E276:I276, 0))&amp;CHAR(10)&amp;"📉 考察能力: "&amp;IFERROR(VLOOKUP(TRIM(D276)&amp;"_"&amp;TRIM(INDEX($E$1:$I$1, MATCH(MIN(E276:I276), E276:I276, 0))), 技能库!$A:$F, 5, 0),"建议查阅考纲")&amp;CHAR(10)&amp;"💡 提升建议: "&amp;IFERROR(VLOOKUP(TRIM(D276)&amp;"_"&amp;TRIM(INDEX($E$1:$I$1, MATCH(MIN(E276:I276), E276:I276, 0))), 技能库!$A:$F, 6, 0),"请针对该题型加强练习"), "🎉 表现优异，无明显弱项！"))</f>
        <v/>
      </c>
      <c r="AA276" s="5" t="str">
        <f>IF(T276="","", IF(U276&lt;=3, "⚠️ 薄弱环节: "&amp;INDEX($M$1:$S$1, MATCH(MIN(M276:S276), M276:S276, 0))&amp;CHAR(10)&amp;"📉 考察能力: "&amp;IFERROR(VLOOKUP(TRIM(D276)&amp;"_"&amp;TRIM(INDEX($M$1:$S$1, MATCH(MIN(M276:S276), M276:S276, 0))), 技能库!$A:$F, 5, 0),"建议查阅考纲")&amp;CHAR(10)&amp;"💡 提升建议: "&amp;IFERROR(VLOOKUP(TRIM(D276)&amp;"_"&amp;TRIM(INDEX($M$1:$S$1, MATCH(MIN(M276:S276), M276:S276, 0))), 技能库!$A:$F, 6, 0),"请针对该题型加强练习"), "🎉 表现优异，无明显弱项！"))</f>
        <v/>
      </c>
    </row>
    <row r="277" spans="10:27" ht="18" hidden="1" customHeight="1" x14ac:dyDescent="0.2">
      <c r="J277" t="str">
        <f t="shared" si="12"/>
        <v/>
      </c>
      <c r="K277" t="str">
        <f>IF(J277="","", IFERROR(VLOOKUP(J277, IF(D277="Movers", 换算标准!$C:$D, 换算标准!$I:$J), 2, TRUE), 0))</f>
        <v/>
      </c>
      <c r="T277" t="str">
        <f t="shared" si="13"/>
        <v/>
      </c>
      <c r="U277" t="str">
        <f>IF(T277="","", IFERROR(VLOOKUP(T277, IF(D277="Movers", 换算标准!$A:$B, 换算标准!$G:$H), 2, TRUE), 0))</f>
        <v/>
      </c>
      <c r="W277" t="str">
        <f t="shared" si="14"/>
        <v/>
      </c>
      <c r="Z277" s="5" t="str">
        <f>IF(J277="","", IF(K277&lt;=3, "⚠️ 薄弱环节: "&amp;INDEX($E$1:$I$1, MATCH(MIN(E277:I277), E277:I277, 0))&amp;CHAR(10)&amp;"📉 考察能力: "&amp;IFERROR(VLOOKUP(TRIM(D277)&amp;"_"&amp;TRIM(INDEX($E$1:$I$1, MATCH(MIN(E277:I277), E277:I277, 0))), 技能库!$A:$F, 5, 0),"建议查阅考纲")&amp;CHAR(10)&amp;"💡 提升建议: "&amp;IFERROR(VLOOKUP(TRIM(D277)&amp;"_"&amp;TRIM(INDEX($E$1:$I$1, MATCH(MIN(E277:I277), E277:I277, 0))), 技能库!$A:$F, 6, 0),"请针对该题型加强练习"), "🎉 表现优异，无明显弱项！"))</f>
        <v/>
      </c>
      <c r="AA277" s="5" t="str">
        <f>IF(T277="","", IF(U277&lt;=3, "⚠️ 薄弱环节: "&amp;INDEX($M$1:$S$1, MATCH(MIN(M277:S277), M277:S277, 0))&amp;CHAR(10)&amp;"📉 考察能力: "&amp;IFERROR(VLOOKUP(TRIM(D277)&amp;"_"&amp;TRIM(INDEX($M$1:$S$1, MATCH(MIN(M277:S277), M277:S277, 0))), 技能库!$A:$F, 5, 0),"建议查阅考纲")&amp;CHAR(10)&amp;"💡 提升建议: "&amp;IFERROR(VLOOKUP(TRIM(D277)&amp;"_"&amp;TRIM(INDEX($M$1:$S$1, MATCH(MIN(M277:S277), M277:S277, 0))), 技能库!$A:$F, 6, 0),"请针对该题型加强练习"), "🎉 表现优异，无明显弱项！"))</f>
        <v/>
      </c>
    </row>
    <row r="278" spans="10:27" ht="18" hidden="1" customHeight="1" x14ac:dyDescent="0.2">
      <c r="J278" t="str">
        <f t="shared" si="12"/>
        <v/>
      </c>
      <c r="K278" t="str">
        <f>IF(J278="","", IFERROR(VLOOKUP(J278, IF(D278="Movers", 换算标准!$C:$D, 换算标准!$I:$J), 2, TRUE), 0))</f>
        <v/>
      </c>
      <c r="T278" t="str">
        <f t="shared" si="13"/>
        <v/>
      </c>
      <c r="U278" t="str">
        <f>IF(T278="","", IFERROR(VLOOKUP(T278, IF(D278="Movers", 换算标准!$A:$B, 换算标准!$G:$H), 2, TRUE), 0))</f>
        <v/>
      </c>
      <c r="W278" t="str">
        <f t="shared" si="14"/>
        <v/>
      </c>
      <c r="Z278" s="5" t="str">
        <f>IF(J278="","", IF(K278&lt;=3, "⚠️ 薄弱环节: "&amp;INDEX($E$1:$I$1, MATCH(MIN(E278:I278), E278:I278, 0))&amp;CHAR(10)&amp;"📉 考察能力: "&amp;IFERROR(VLOOKUP(TRIM(D278)&amp;"_"&amp;TRIM(INDEX($E$1:$I$1, MATCH(MIN(E278:I278), E278:I278, 0))), 技能库!$A:$F, 5, 0),"建议查阅考纲")&amp;CHAR(10)&amp;"💡 提升建议: "&amp;IFERROR(VLOOKUP(TRIM(D278)&amp;"_"&amp;TRIM(INDEX($E$1:$I$1, MATCH(MIN(E278:I278), E278:I278, 0))), 技能库!$A:$F, 6, 0),"请针对该题型加强练习"), "🎉 表现优异，无明显弱项！"))</f>
        <v/>
      </c>
      <c r="AA278" s="5" t="str">
        <f>IF(T278="","", IF(U278&lt;=3, "⚠️ 薄弱环节: "&amp;INDEX($M$1:$S$1, MATCH(MIN(M278:S278), M278:S278, 0))&amp;CHAR(10)&amp;"📉 考察能力: "&amp;IFERROR(VLOOKUP(TRIM(D278)&amp;"_"&amp;TRIM(INDEX($M$1:$S$1, MATCH(MIN(M278:S278), M278:S278, 0))), 技能库!$A:$F, 5, 0),"建议查阅考纲")&amp;CHAR(10)&amp;"💡 提升建议: "&amp;IFERROR(VLOOKUP(TRIM(D278)&amp;"_"&amp;TRIM(INDEX($M$1:$S$1, MATCH(MIN(M278:S278), M278:S278, 0))), 技能库!$A:$F, 6, 0),"请针对该题型加强练习"), "🎉 表现优异，无明显弱项！"))</f>
        <v/>
      </c>
    </row>
    <row r="279" spans="10:27" ht="18" hidden="1" customHeight="1" x14ac:dyDescent="0.2">
      <c r="J279" t="str">
        <f t="shared" si="12"/>
        <v/>
      </c>
      <c r="K279" t="str">
        <f>IF(J279="","", IFERROR(VLOOKUP(J279, IF(D279="Movers", 换算标准!$C:$D, 换算标准!$I:$J), 2, TRUE), 0))</f>
        <v/>
      </c>
      <c r="T279" t="str">
        <f t="shared" si="13"/>
        <v/>
      </c>
      <c r="U279" t="str">
        <f>IF(T279="","", IFERROR(VLOOKUP(T279, IF(D279="Movers", 换算标准!$A:$B, 换算标准!$G:$H), 2, TRUE), 0))</f>
        <v/>
      </c>
      <c r="W279" t="str">
        <f t="shared" si="14"/>
        <v/>
      </c>
      <c r="Z279" s="5" t="str">
        <f>IF(J279="","", IF(K279&lt;=3, "⚠️ 薄弱环节: "&amp;INDEX($E$1:$I$1, MATCH(MIN(E279:I279), E279:I279, 0))&amp;CHAR(10)&amp;"📉 考察能力: "&amp;IFERROR(VLOOKUP(TRIM(D279)&amp;"_"&amp;TRIM(INDEX($E$1:$I$1, MATCH(MIN(E279:I279), E279:I279, 0))), 技能库!$A:$F, 5, 0),"建议查阅考纲")&amp;CHAR(10)&amp;"💡 提升建议: "&amp;IFERROR(VLOOKUP(TRIM(D279)&amp;"_"&amp;TRIM(INDEX($E$1:$I$1, MATCH(MIN(E279:I279), E279:I279, 0))), 技能库!$A:$F, 6, 0),"请针对该题型加强练习"), "🎉 表现优异，无明显弱项！"))</f>
        <v/>
      </c>
      <c r="AA279" s="5" t="str">
        <f>IF(T279="","", IF(U279&lt;=3, "⚠️ 薄弱环节: "&amp;INDEX($M$1:$S$1, MATCH(MIN(M279:S279), M279:S279, 0))&amp;CHAR(10)&amp;"📉 考察能力: "&amp;IFERROR(VLOOKUP(TRIM(D279)&amp;"_"&amp;TRIM(INDEX($M$1:$S$1, MATCH(MIN(M279:S279), M279:S279, 0))), 技能库!$A:$F, 5, 0),"建议查阅考纲")&amp;CHAR(10)&amp;"💡 提升建议: "&amp;IFERROR(VLOOKUP(TRIM(D279)&amp;"_"&amp;TRIM(INDEX($M$1:$S$1, MATCH(MIN(M279:S279), M279:S279, 0))), 技能库!$A:$F, 6, 0),"请针对该题型加强练习"), "🎉 表现优异，无明显弱项！"))</f>
        <v/>
      </c>
    </row>
    <row r="280" spans="10:27" ht="18" hidden="1" customHeight="1" x14ac:dyDescent="0.2">
      <c r="J280" t="str">
        <f t="shared" si="12"/>
        <v/>
      </c>
      <c r="K280" t="str">
        <f>IF(J280="","", IFERROR(VLOOKUP(J280, IF(D280="Movers", 换算标准!$C:$D, 换算标准!$I:$J), 2, TRUE), 0))</f>
        <v/>
      </c>
      <c r="T280" t="str">
        <f t="shared" si="13"/>
        <v/>
      </c>
      <c r="U280" t="str">
        <f>IF(T280="","", IFERROR(VLOOKUP(T280, IF(D280="Movers", 换算标准!$A:$B, 换算标准!$G:$H), 2, TRUE), 0))</f>
        <v/>
      </c>
      <c r="W280" t="str">
        <f t="shared" si="14"/>
        <v/>
      </c>
      <c r="Z280" s="5" t="str">
        <f>IF(J280="","", IF(K280&lt;=3, "⚠️ 薄弱环节: "&amp;INDEX($E$1:$I$1, MATCH(MIN(E280:I280), E280:I280, 0))&amp;CHAR(10)&amp;"📉 考察能力: "&amp;IFERROR(VLOOKUP(TRIM(D280)&amp;"_"&amp;TRIM(INDEX($E$1:$I$1, MATCH(MIN(E280:I280), E280:I280, 0))), 技能库!$A:$F, 5, 0),"建议查阅考纲")&amp;CHAR(10)&amp;"💡 提升建议: "&amp;IFERROR(VLOOKUP(TRIM(D280)&amp;"_"&amp;TRIM(INDEX($E$1:$I$1, MATCH(MIN(E280:I280), E280:I280, 0))), 技能库!$A:$F, 6, 0),"请针对该题型加强练习"), "🎉 表现优异，无明显弱项！"))</f>
        <v/>
      </c>
      <c r="AA280" s="5" t="str">
        <f>IF(T280="","", IF(U280&lt;=3, "⚠️ 薄弱环节: "&amp;INDEX($M$1:$S$1, MATCH(MIN(M280:S280), M280:S280, 0))&amp;CHAR(10)&amp;"📉 考察能力: "&amp;IFERROR(VLOOKUP(TRIM(D280)&amp;"_"&amp;TRIM(INDEX($M$1:$S$1, MATCH(MIN(M280:S280), M280:S280, 0))), 技能库!$A:$F, 5, 0),"建议查阅考纲")&amp;CHAR(10)&amp;"💡 提升建议: "&amp;IFERROR(VLOOKUP(TRIM(D280)&amp;"_"&amp;TRIM(INDEX($M$1:$S$1, MATCH(MIN(M280:S280), M280:S280, 0))), 技能库!$A:$F, 6, 0),"请针对该题型加强练习"), "🎉 表现优异，无明显弱项！"))</f>
        <v/>
      </c>
    </row>
    <row r="281" spans="10:27" ht="18" hidden="1" customHeight="1" x14ac:dyDescent="0.2">
      <c r="J281" t="str">
        <f t="shared" si="12"/>
        <v/>
      </c>
      <c r="K281" t="str">
        <f>IF(J281="","", IFERROR(VLOOKUP(J281, IF(D281="Movers", 换算标准!$C:$D, 换算标准!$I:$J), 2, TRUE), 0))</f>
        <v/>
      </c>
      <c r="T281" t="str">
        <f t="shared" si="13"/>
        <v/>
      </c>
      <c r="U281" t="str">
        <f>IF(T281="","", IFERROR(VLOOKUP(T281, IF(D281="Movers", 换算标准!$A:$B, 换算标准!$G:$H), 2, TRUE), 0))</f>
        <v/>
      </c>
      <c r="W281" t="str">
        <f t="shared" si="14"/>
        <v/>
      </c>
      <c r="Z281" s="5" t="str">
        <f>IF(J281="","", IF(K281&lt;=3, "⚠️ 薄弱环节: "&amp;INDEX($E$1:$I$1, MATCH(MIN(E281:I281), E281:I281, 0))&amp;CHAR(10)&amp;"📉 考察能力: "&amp;IFERROR(VLOOKUP(TRIM(D281)&amp;"_"&amp;TRIM(INDEX($E$1:$I$1, MATCH(MIN(E281:I281), E281:I281, 0))), 技能库!$A:$F, 5, 0),"建议查阅考纲")&amp;CHAR(10)&amp;"💡 提升建议: "&amp;IFERROR(VLOOKUP(TRIM(D281)&amp;"_"&amp;TRIM(INDEX($E$1:$I$1, MATCH(MIN(E281:I281), E281:I281, 0))), 技能库!$A:$F, 6, 0),"请针对该题型加强练习"), "🎉 表现优异，无明显弱项！"))</f>
        <v/>
      </c>
      <c r="AA281" s="5" t="str">
        <f>IF(T281="","", IF(U281&lt;=3, "⚠️ 薄弱环节: "&amp;INDEX($M$1:$S$1, MATCH(MIN(M281:S281), M281:S281, 0))&amp;CHAR(10)&amp;"📉 考察能力: "&amp;IFERROR(VLOOKUP(TRIM(D281)&amp;"_"&amp;TRIM(INDEX($M$1:$S$1, MATCH(MIN(M281:S281), M281:S281, 0))), 技能库!$A:$F, 5, 0),"建议查阅考纲")&amp;CHAR(10)&amp;"💡 提升建议: "&amp;IFERROR(VLOOKUP(TRIM(D281)&amp;"_"&amp;TRIM(INDEX($M$1:$S$1, MATCH(MIN(M281:S281), M281:S281, 0))), 技能库!$A:$F, 6, 0),"请针对该题型加强练习"), "🎉 表现优异，无明显弱项！"))</f>
        <v/>
      </c>
    </row>
    <row r="282" spans="10:27" ht="18" hidden="1" customHeight="1" x14ac:dyDescent="0.2">
      <c r="J282" t="str">
        <f t="shared" si="12"/>
        <v/>
      </c>
      <c r="K282" t="str">
        <f>IF(J282="","", IFERROR(VLOOKUP(J282, IF(D282="Movers", 换算标准!$C:$D, 换算标准!$I:$J), 2, TRUE), 0))</f>
        <v/>
      </c>
      <c r="T282" t="str">
        <f t="shared" si="13"/>
        <v/>
      </c>
      <c r="U282" t="str">
        <f>IF(T282="","", IFERROR(VLOOKUP(T282, IF(D282="Movers", 换算标准!$A:$B, 换算标准!$G:$H), 2, TRUE), 0))</f>
        <v/>
      </c>
      <c r="W282" t="str">
        <f t="shared" si="14"/>
        <v/>
      </c>
      <c r="Z282" s="5" t="str">
        <f>IF(J282="","", IF(K282&lt;=3, "⚠️ 薄弱环节: "&amp;INDEX($E$1:$I$1, MATCH(MIN(E282:I282), E282:I282, 0))&amp;CHAR(10)&amp;"📉 考察能力: "&amp;IFERROR(VLOOKUP(TRIM(D282)&amp;"_"&amp;TRIM(INDEX($E$1:$I$1, MATCH(MIN(E282:I282), E282:I282, 0))), 技能库!$A:$F, 5, 0),"建议查阅考纲")&amp;CHAR(10)&amp;"💡 提升建议: "&amp;IFERROR(VLOOKUP(TRIM(D282)&amp;"_"&amp;TRIM(INDEX($E$1:$I$1, MATCH(MIN(E282:I282), E282:I282, 0))), 技能库!$A:$F, 6, 0),"请针对该题型加强练习"), "🎉 表现优异，无明显弱项！"))</f>
        <v/>
      </c>
      <c r="AA282" s="5" t="str">
        <f>IF(T282="","", IF(U282&lt;=3, "⚠️ 薄弱环节: "&amp;INDEX($M$1:$S$1, MATCH(MIN(M282:S282), M282:S282, 0))&amp;CHAR(10)&amp;"📉 考察能力: "&amp;IFERROR(VLOOKUP(TRIM(D282)&amp;"_"&amp;TRIM(INDEX($M$1:$S$1, MATCH(MIN(M282:S282), M282:S282, 0))), 技能库!$A:$F, 5, 0),"建议查阅考纲")&amp;CHAR(10)&amp;"💡 提升建议: "&amp;IFERROR(VLOOKUP(TRIM(D282)&amp;"_"&amp;TRIM(INDEX($M$1:$S$1, MATCH(MIN(M282:S282), M282:S282, 0))), 技能库!$A:$F, 6, 0),"请针对该题型加强练习"), "🎉 表现优异，无明显弱项！"))</f>
        <v/>
      </c>
    </row>
    <row r="283" spans="10:27" ht="18" hidden="1" customHeight="1" x14ac:dyDescent="0.2">
      <c r="J283" t="str">
        <f t="shared" si="12"/>
        <v/>
      </c>
      <c r="K283" t="str">
        <f>IF(J283="","", IFERROR(VLOOKUP(J283, IF(D283="Movers", 换算标准!$C:$D, 换算标准!$I:$J), 2, TRUE), 0))</f>
        <v/>
      </c>
      <c r="T283" t="str">
        <f t="shared" si="13"/>
        <v/>
      </c>
      <c r="U283" t="str">
        <f>IF(T283="","", IFERROR(VLOOKUP(T283, IF(D283="Movers", 换算标准!$A:$B, 换算标准!$G:$H), 2, TRUE), 0))</f>
        <v/>
      </c>
      <c r="W283" t="str">
        <f t="shared" si="14"/>
        <v/>
      </c>
      <c r="Z283" s="5" t="str">
        <f>IF(J283="","", IF(K283&lt;=3, "⚠️ 薄弱环节: "&amp;INDEX($E$1:$I$1, MATCH(MIN(E283:I283), E283:I283, 0))&amp;CHAR(10)&amp;"📉 考察能力: "&amp;IFERROR(VLOOKUP(TRIM(D283)&amp;"_"&amp;TRIM(INDEX($E$1:$I$1, MATCH(MIN(E283:I283), E283:I283, 0))), 技能库!$A:$F, 5, 0),"建议查阅考纲")&amp;CHAR(10)&amp;"💡 提升建议: "&amp;IFERROR(VLOOKUP(TRIM(D283)&amp;"_"&amp;TRIM(INDEX($E$1:$I$1, MATCH(MIN(E283:I283), E283:I283, 0))), 技能库!$A:$F, 6, 0),"请针对该题型加强练习"), "🎉 表现优异，无明显弱项！"))</f>
        <v/>
      </c>
      <c r="AA283" s="5" t="str">
        <f>IF(T283="","", IF(U283&lt;=3, "⚠️ 薄弱环节: "&amp;INDEX($M$1:$S$1, MATCH(MIN(M283:S283), M283:S283, 0))&amp;CHAR(10)&amp;"📉 考察能力: "&amp;IFERROR(VLOOKUP(TRIM(D283)&amp;"_"&amp;TRIM(INDEX($M$1:$S$1, MATCH(MIN(M283:S283), M283:S283, 0))), 技能库!$A:$F, 5, 0),"建议查阅考纲")&amp;CHAR(10)&amp;"💡 提升建议: "&amp;IFERROR(VLOOKUP(TRIM(D283)&amp;"_"&amp;TRIM(INDEX($M$1:$S$1, MATCH(MIN(M283:S283), M283:S283, 0))), 技能库!$A:$F, 6, 0),"请针对该题型加强练习"), "🎉 表现优异，无明显弱项！"))</f>
        <v/>
      </c>
    </row>
    <row r="284" spans="10:27" ht="18" hidden="1" customHeight="1" x14ac:dyDescent="0.2">
      <c r="J284" t="str">
        <f t="shared" si="12"/>
        <v/>
      </c>
      <c r="K284" t="str">
        <f>IF(J284="","", IFERROR(VLOOKUP(J284, IF(D284="Movers", 换算标准!$C:$D, 换算标准!$I:$J), 2, TRUE), 0))</f>
        <v/>
      </c>
      <c r="T284" t="str">
        <f t="shared" si="13"/>
        <v/>
      </c>
      <c r="U284" t="str">
        <f>IF(T284="","", IFERROR(VLOOKUP(T284, IF(D284="Movers", 换算标准!$A:$B, 换算标准!$G:$H), 2, TRUE), 0))</f>
        <v/>
      </c>
      <c r="W284" t="str">
        <f t="shared" si="14"/>
        <v/>
      </c>
      <c r="Z284" s="5" t="str">
        <f>IF(J284="","", IF(K284&lt;=3, "⚠️ 薄弱环节: "&amp;INDEX($E$1:$I$1, MATCH(MIN(E284:I284), E284:I284, 0))&amp;CHAR(10)&amp;"📉 考察能力: "&amp;IFERROR(VLOOKUP(TRIM(D284)&amp;"_"&amp;TRIM(INDEX($E$1:$I$1, MATCH(MIN(E284:I284), E284:I284, 0))), 技能库!$A:$F, 5, 0),"建议查阅考纲")&amp;CHAR(10)&amp;"💡 提升建议: "&amp;IFERROR(VLOOKUP(TRIM(D284)&amp;"_"&amp;TRIM(INDEX($E$1:$I$1, MATCH(MIN(E284:I284), E284:I284, 0))), 技能库!$A:$F, 6, 0),"请针对该题型加强练习"), "🎉 表现优异，无明显弱项！"))</f>
        <v/>
      </c>
      <c r="AA284" s="5" t="str">
        <f>IF(T284="","", IF(U284&lt;=3, "⚠️ 薄弱环节: "&amp;INDEX($M$1:$S$1, MATCH(MIN(M284:S284), M284:S284, 0))&amp;CHAR(10)&amp;"📉 考察能力: "&amp;IFERROR(VLOOKUP(TRIM(D284)&amp;"_"&amp;TRIM(INDEX($M$1:$S$1, MATCH(MIN(M284:S284), M284:S284, 0))), 技能库!$A:$F, 5, 0),"建议查阅考纲")&amp;CHAR(10)&amp;"💡 提升建议: "&amp;IFERROR(VLOOKUP(TRIM(D284)&amp;"_"&amp;TRIM(INDEX($M$1:$S$1, MATCH(MIN(M284:S284), M284:S284, 0))), 技能库!$A:$F, 6, 0),"请针对该题型加强练习"), "🎉 表现优异，无明显弱项！"))</f>
        <v/>
      </c>
    </row>
    <row r="285" spans="10:27" ht="18" hidden="1" customHeight="1" x14ac:dyDescent="0.2">
      <c r="J285" t="str">
        <f t="shared" si="12"/>
        <v/>
      </c>
      <c r="K285" t="str">
        <f>IF(J285="","", IFERROR(VLOOKUP(J285, IF(D285="Movers", 换算标准!$C:$D, 换算标准!$I:$J), 2, TRUE), 0))</f>
        <v/>
      </c>
      <c r="T285" t="str">
        <f t="shared" si="13"/>
        <v/>
      </c>
      <c r="U285" t="str">
        <f>IF(T285="","", IFERROR(VLOOKUP(T285, IF(D285="Movers", 换算标准!$A:$B, 换算标准!$G:$H), 2, TRUE), 0))</f>
        <v/>
      </c>
      <c r="W285" t="str">
        <f t="shared" si="14"/>
        <v/>
      </c>
      <c r="Z285" s="5" t="str">
        <f>IF(J285="","", IF(K285&lt;=3, "⚠️ 薄弱环节: "&amp;INDEX($E$1:$I$1, MATCH(MIN(E285:I285), E285:I285, 0))&amp;CHAR(10)&amp;"📉 考察能力: "&amp;IFERROR(VLOOKUP(TRIM(D285)&amp;"_"&amp;TRIM(INDEX($E$1:$I$1, MATCH(MIN(E285:I285), E285:I285, 0))), 技能库!$A:$F, 5, 0),"建议查阅考纲")&amp;CHAR(10)&amp;"💡 提升建议: "&amp;IFERROR(VLOOKUP(TRIM(D285)&amp;"_"&amp;TRIM(INDEX($E$1:$I$1, MATCH(MIN(E285:I285), E285:I285, 0))), 技能库!$A:$F, 6, 0),"请针对该题型加强练习"), "🎉 表现优异，无明显弱项！"))</f>
        <v/>
      </c>
      <c r="AA285" s="5" t="str">
        <f>IF(T285="","", IF(U285&lt;=3, "⚠️ 薄弱环节: "&amp;INDEX($M$1:$S$1, MATCH(MIN(M285:S285), M285:S285, 0))&amp;CHAR(10)&amp;"📉 考察能力: "&amp;IFERROR(VLOOKUP(TRIM(D285)&amp;"_"&amp;TRIM(INDEX($M$1:$S$1, MATCH(MIN(M285:S285), M285:S285, 0))), 技能库!$A:$F, 5, 0),"建议查阅考纲")&amp;CHAR(10)&amp;"💡 提升建议: "&amp;IFERROR(VLOOKUP(TRIM(D285)&amp;"_"&amp;TRIM(INDEX($M$1:$S$1, MATCH(MIN(M285:S285), M285:S285, 0))), 技能库!$A:$F, 6, 0),"请针对该题型加强练习"), "🎉 表现优异，无明显弱项！"))</f>
        <v/>
      </c>
    </row>
    <row r="286" spans="10:27" ht="18" hidden="1" customHeight="1" x14ac:dyDescent="0.2">
      <c r="J286" t="str">
        <f t="shared" si="12"/>
        <v/>
      </c>
      <c r="K286" t="str">
        <f>IF(J286="","", IFERROR(VLOOKUP(J286, IF(D286="Movers", 换算标准!$C:$D, 换算标准!$I:$J), 2, TRUE), 0))</f>
        <v/>
      </c>
      <c r="T286" t="str">
        <f t="shared" si="13"/>
        <v/>
      </c>
      <c r="U286" t="str">
        <f>IF(T286="","", IFERROR(VLOOKUP(T286, IF(D286="Movers", 换算标准!$A:$B, 换算标准!$G:$H), 2, TRUE), 0))</f>
        <v/>
      </c>
      <c r="W286" t="str">
        <f t="shared" si="14"/>
        <v/>
      </c>
      <c r="Z286" s="5" t="str">
        <f>IF(J286="","", IF(K286&lt;=3, "⚠️ 薄弱环节: "&amp;INDEX($E$1:$I$1, MATCH(MIN(E286:I286), E286:I286, 0))&amp;CHAR(10)&amp;"📉 考察能力: "&amp;IFERROR(VLOOKUP(TRIM(D286)&amp;"_"&amp;TRIM(INDEX($E$1:$I$1, MATCH(MIN(E286:I286), E286:I286, 0))), 技能库!$A:$F, 5, 0),"建议查阅考纲")&amp;CHAR(10)&amp;"💡 提升建议: "&amp;IFERROR(VLOOKUP(TRIM(D286)&amp;"_"&amp;TRIM(INDEX($E$1:$I$1, MATCH(MIN(E286:I286), E286:I286, 0))), 技能库!$A:$F, 6, 0),"请针对该题型加强练习"), "🎉 表现优异，无明显弱项！"))</f>
        <v/>
      </c>
      <c r="AA286" s="5" t="str">
        <f>IF(T286="","", IF(U286&lt;=3, "⚠️ 薄弱环节: "&amp;INDEX($M$1:$S$1, MATCH(MIN(M286:S286), M286:S286, 0))&amp;CHAR(10)&amp;"📉 考察能力: "&amp;IFERROR(VLOOKUP(TRIM(D286)&amp;"_"&amp;TRIM(INDEX($M$1:$S$1, MATCH(MIN(M286:S286), M286:S286, 0))), 技能库!$A:$F, 5, 0),"建议查阅考纲")&amp;CHAR(10)&amp;"💡 提升建议: "&amp;IFERROR(VLOOKUP(TRIM(D286)&amp;"_"&amp;TRIM(INDEX($M$1:$S$1, MATCH(MIN(M286:S286), M286:S286, 0))), 技能库!$A:$F, 6, 0),"请针对该题型加强练习"), "🎉 表现优异，无明显弱项！"))</f>
        <v/>
      </c>
    </row>
    <row r="287" spans="10:27" ht="18" hidden="1" customHeight="1" x14ac:dyDescent="0.2">
      <c r="J287" t="str">
        <f t="shared" si="12"/>
        <v/>
      </c>
      <c r="K287" t="str">
        <f>IF(J287="","", IFERROR(VLOOKUP(J287, IF(D287="Movers", 换算标准!$C:$D, 换算标准!$I:$J), 2, TRUE), 0))</f>
        <v/>
      </c>
      <c r="T287" t="str">
        <f t="shared" si="13"/>
        <v/>
      </c>
      <c r="U287" t="str">
        <f>IF(T287="","", IFERROR(VLOOKUP(T287, IF(D287="Movers", 换算标准!$A:$B, 换算标准!$G:$H), 2, TRUE), 0))</f>
        <v/>
      </c>
      <c r="W287" t="str">
        <f t="shared" si="14"/>
        <v/>
      </c>
      <c r="Z287" s="5" t="str">
        <f>IF(J287="","", IF(K287&lt;=3, "⚠️ 薄弱环节: "&amp;INDEX($E$1:$I$1, MATCH(MIN(E287:I287), E287:I287, 0))&amp;CHAR(10)&amp;"📉 考察能力: "&amp;IFERROR(VLOOKUP(TRIM(D287)&amp;"_"&amp;TRIM(INDEX($E$1:$I$1, MATCH(MIN(E287:I287), E287:I287, 0))), 技能库!$A:$F, 5, 0),"建议查阅考纲")&amp;CHAR(10)&amp;"💡 提升建议: "&amp;IFERROR(VLOOKUP(TRIM(D287)&amp;"_"&amp;TRIM(INDEX($E$1:$I$1, MATCH(MIN(E287:I287), E287:I287, 0))), 技能库!$A:$F, 6, 0),"请针对该题型加强练习"), "🎉 表现优异，无明显弱项！"))</f>
        <v/>
      </c>
      <c r="AA287" s="5" t="str">
        <f>IF(T287="","", IF(U287&lt;=3, "⚠️ 薄弱环节: "&amp;INDEX($M$1:$S$1, MATCH(MIN(M287:S287), M287:S287, 0))&amp;CHAR(10)&amp;"📉 考察能力: "&amp;IFERROR(VLOOKUP(TRIM(D287)&amp;"_"&amp;TRIM(INDEX($M$1:$S$1, MATCH(MIN(M287:S287), M287:S287, 0))), 技能库!$A:$F, 5, 0),"建议查阅考纲")&amp;CHAR(10)&amp;"💡 提升建议: "&amp;IFERROR(VLOOKUP(TRIM(D287)&amp;"_"&amp;TRIM(INDEX($M$1:$S$1, MATCH(MIN(M287:S287), M287:S287, 0))), 技能库!$A:$F, 6, 0),"请针对该题型加强练习"), "🎉 表现优异，无明显弱项！"))</f>
        <v/>
      </c>
    </row>
    <row r="288" spans="10:27" ht="18" hidden="1" customHeight="1" x14ac:dyDescent="0.2">
      <c r="J288" t="str">
        <f t="shared" si="12"/>
        <v/>
      </c>
      <c r="K288" t="str">
        <f>IF(J288="","", IFERROR(VLOOKUP(J288, IF(D288="Movers", 换算标准!$C:$D, 换算标准!$I:$J), 2, TRUE), 0))</f>
        <v/>
      </c>
      <c r="T288" t="str">
        <f t="shared" si="13"/>
        <v/>
      </c>
      <c r="U288" t="str">
        <f>IF(T288="","", IFERROR(VLOOKUP(T288, IF(D288="Movers", 换算标准!$A:$B, 换算标准!$G:$H), 2, TRUE), 0))</f>
        <v/>
      </c>
      <c r="W288" t="str">
        <f t="shared" si="14"/>
        <v/>
      </c>
      <c r="Z288" s="5" t="str">
        <f>IF(J288="","", IF(K288&lt;=3, "⚠️ 薄弱环节: "&amp;INDEX($E$1:$I$1, MATCH(MIN(E288:I288), E288:I288, 0))&amp;CHAR(10)&amp;"📉 考察能力: "&amp;IFERROR(VLOOKUP(TRIM(D288)&amp;"_"&amp;TRIM(INDEX($E$1:$I$1, MATCH(MIN(E288:I288), E288:I288, 0))), 技能库!$A:$F, 5, 0),"建议查阅考纲")&amp;CHAR(10)&amp;"💡 提升建议: "&amp;IFERROR(VLOOKUP(TRIM(D288)&amp;"_"&amp;TRIM(INDEX($E$1:$I$1, MATCH(MIN(E288:I288), E288:I288, 0))), 技能库!$A:$F, 6, 0),"请针对该题型加强练习"), "🎉 表现优异，无明显弱项！"))</f>
        <v/>
      </c>
      <c r="AA288" s="5" t="str">
        <f>IF(T288="","", IF(U288&lt;=3, "⚠️ 薄弱环节: "&amp;INDEX($M$1:$S$1, MATCH(MIN(M288:S288), M288:S288, 0))&amp;CHAR(10)&amp;"📉 考察能力: "&amp;IFERROR(VLOOKUP(TRIM(D288)&amp;"_"&amp;TRIM(INDEX($M$1:$S$1, MATCH(MIN(M288:S288), M288:S288, 0))), 技能库!$A:$F, 5, 0),"建议查阅考纲")&amp;CHAR(10)&amp;"💡 提升建议: "&amp;IFERROR(VLOOKUP(TRIM(D288)&amp;"_"&amp;TRIM(INDEX($M$1:$S$1, MATCH(MIN(M288:S288), M288:S288, 0))), 技能库!$A:$F, 6, 0),"请针对该题型加强练习"), "🎉 表现优异，无明显弱项！"))</f>
        <v/>
      </c>
    </row>
    <row r="289" spans="10:27" ht="18" hidden="1" customHeight="1" x14ac:dyDescent="0.2">
      <c r="J289" t="str">
        <f t="shared" si="12"/>
        <v/>
      </c>
      <c r="K289" t="str">
        <f>IF(J289="","", IFERROR(VLOOKUP(J289, IF(D289="Movers", 换算标准!$C:$D, 换算标准!$I:$J), 2, TRUE), 0))</f>
        <v/>
      </c>
      <c r="T289" t="str">
        <f t="shared" si="13"/>
        <v/>
      </c>
      <c r="U289" t="str">
        <f>IF(T289="","", IFERROR(VLOOKUP(T289, IF(D289="Movers", 换算标准!$A:$B, 换算标准!$G:$H), 2, TRUE), 0))</f>
        <v/>
      </c>
      <c r="W289" t="str">
        <f t="shared" si="14"/>
        <v/>
      </c>
      <c r="Z289" s="5" t="str">
        <f>IF(J289="","", IF(K289&lt;=3, "⚠️ 薄弱环节: "&amp;INDEX($E$1:$I$1, MATCH(MIN(E289:I289), E289:I289, 0))&amp;CHAR(10)&amp;"📉 考察能力: "&amp;IFERROR(VLOOKUP(TRIM(D289)&amp;"_"&amp;TRIM(INDEX($E$1:$I$1, MATCH(MIN(E289:I289), E289:I289, 0))), 技能库!$A:$F, 5, 0),"建议查阅考纲")&amp;CHAR(10)&amp;"💡 提升建议: "&amp;IFERROR(VLOOKUP(TRIM(D289)&amp;"_"&amp;TRIM(INDEX($E$1:$I$1, MATCH(MIN(E289:I289), E289:I289, 0))), 技能库!$A:$F, 6, 0),"请针对该题型加强练习"), "🎉 表现优异，无明显弱项！"))</f>
        <v/>
      </c>
      <c r="AA289" s="5" t="str">
        <f>IF(T289="","", IF(U289&lt;=3, "⚠️ 薄弱环节: "&amp;INDEX($M$1:$S$1, MATCH(MIN(M289:S289), M289:S289, 0))&amp;CHAR(10)&amp;"📉 考察能力: "&amp;IFERROR(VLOOKUP(TRIM(D289)&amp;"_"&amp;TRIM(INDEX($M$1:$S$1, MATCH(MIN(M289:S289), M289:S289, 0))), 技能库!$A:$F, 5, 0),"建议查阅考纲")&amp;CHAR(10)&amp;"💡 提升建议: "&amp;IFERROR(VLOOKUP(TRIM(D289)&amp;"_"&amp;TRIM(INDEX($M$1:$S$1, MATCH(MIN(M289:S289), M289:S289, 0))), 技能库!$A:$F, 6, 0),"请针对该题型加强练习"), "🎉 表现优异，无明显弱项！"))</f>
        <v/>
      </c>
    </row>
    <row r="290" spans="10:27" ht="18" hidden="1" customHeight="1" x14ac:dyDescent="0.2">
      <c r="J290" t="str">
        <f t="shared" si="12"/>
        <v/>
      </c>
      <c r="K290" t="str">
        <f>IF(J290="","", IFERROR(VLOOKUP(J290, IF(D290="Movers", 换算标准!$C:$D, 换算标准!$I:$J), 2, TRUE), 0))</f>
        <v/>
      </c>
      <c r="T290" t="str">
        <f t="shared" si="13"/>
        <v/>
      </c>
      <c r="U290" t="str">
        <f>IF(T290="","", IFERROR(VLOOKUP(T290, IF(D290="Movers", 换算标准!$A:$B, 换算标准!$G:$H), 2, TRUE), 0))</f>
        <v/>
      </c>
      <c r="W290" t="str">
        <f t="shared" si="14"/>
        <v/>
      </c>
      <c r="Z290" s="5" t="str">
        <f>IF(J290="","", IF(K290&lt;=3, "⚠️ 薄弱环节: "&amp;INDEX($E$1:$I$1, MATCH(MIN(E290:I290), E290:I290, 0))&amp;CHAR(10)&amp;"📉 考察能力: "&amp;IFERROR(VLOOKUP(TRIM(D290)&amp;"_"&amp;TRIM(INDEX($E$1:$I$1, MATCH(MIN(E290:I290), E290:I290, 0))), 技能库!$A:$F, 5, 0),"建议查阅考纲")&amp;CHAR(10)&amp;"💡 提升建议: "&amp;IFERROR(VLOOKUP(TRIM(D290)&amp;"_"&amp;TRIM(INDEX($E$1:$I$1, MATCH(MIN(E290:I290), E290:I290, 0))), 技能库!$A:$F, 6, 0),"请针对该题型加强练习"), "🎉 表现优异，无明显弱项！"))</f>
        <v/>
      </c>
      <c r="AA290" s="5" t="str">
        <f>IF(T290="","", IF(U290&lt;=3, "⚠️ 薄弱环节: "&amp;INDEX($M$1:$S$1, MATCH(MIN(M290:S290), M290:S290, 0))&amp;CHAR(10)&amp;"📉 考察能力: "&amp;IFERROR(VLOOKUP(TRIM(D290)&amp;"_"&amp;TRIM(INDEX($M$1:$S$1, MATCH(MIN(M290:S290), M290:S290, 0))), 技能库!$A:$F, 5, 0),"建议查阅考纲")&amp;CHAR(10)&amp;"💡 提升建议: "&amp;IFERROR(VLOOKUP(TRIM(D290)&amp;"_"&amp;TRIM(INDEX($M$1:$S$1, MATCH(MIN(M290:S290), M290:S290, 0))), 技能库!$A:$F, 6, 0),"请针对该题型加强练习"), "🎉 表现优异，无明显弱项！"))</f>
        <v/>
      </c>
    </row>
    <row r="291" spans="10:27" ht="18" hidden="1" customHeight="1" x14ac:dyDescent="0.2">
      <c r="J291" t="str">
        <f t="shared" si="12"/>
        <v/>
      </c>
      <c r="K291" t="str">
        <f>IF(J291="","", IFERROR(VLOOKUP(J291, IF(D291="Movers", 换算标准!$C:$D, 换算标准!$I:$J), 2, TRUE), 0))</f>
        <v/>
      </c>
      <c r="T291" t="str">
        <f t="shared" si="13"/>
        <v/>
      </c>
      <c r="U291" t="str">
        <f>IF(T291="","", IFERROR(VLOOKUP(T291, IF(D291="Movers", 换算标准!$A:$B, 换算标准!$G:$H), 2, TRUE), 0))</f>
        <v/>
      </c>
      <c r="W291" t="str">
        <f t="shared" si="14"/>
        <v/>
      </c>
      <c r="Z291" s="5" t="str">
        <f>IF(J291="","", IF(K291&lt;=3, "⚠️ 薄弱环节: "&amp;INDEX($E$1:$I$1, MATCH(MIN(E291:I291), E291:I291, 0))&amp;CHAR(10)&amp;"📉 考察能力: "&amp;IFERROR(VLOOKUP(TRIM(D291)&amp;"_"&amp;TRIM(INDEX($E$1:$I$1, MATCH(MIN(E291:I291), E291:I291, 0))), 技能库!$A:$F, 5, 0),"建议查阅考纲")&amp;CHAR(10)&amp;"💡 提升建议: "&amp;IFERROR(VLOOKUP(TRIM(D291)&amp;"_"&amp;TRIM(INDEX($E$1:$I$1, MATCH(MIN(E291:I291), E291:I291, 0))), 技能库!$A:$F, 6, 0),"请针对该题型加强练习"), "🎉 表现优异，无明显弱项！"))</f>
        <v/>
      </c>
      <c r="AA291" s="5" t="str">
        <f>IF(T291="","", IF(U291&lt;=3, "⚠️ 薄弱环节: "&amp;INDEX($M$1:$S$1, MATCH(MIN(M291:S291), M291:S291, 0))&amp;CHAR(10)&amp;"📉 考察能力: "&amp;IFERROR(VLOOKUP(TRIM(D291)&amp;"_"&amp;TRIM(INDEX($M$1:$S$1, MATCH(MIN(M291:S291), M291:S291, 0))), 技能库!$A:$F, 5, 0),"建议查阅考纲")&amp;CHAR(10)&amp;"💡 提升建议: "&amp;IFERROR(VLOOKUP(TRIM(D291)&amp;"_"&amp;TRIM(INDEX($M$1:$S$1, MATCH(MIN(M291:S291), M291:S291, 0))), 技能库!$A:$F, 6, 0),"请针对该题型加强练习"), "🎉 表现优异，无明显弱项！"))</f>
        <v/>
      </c>
    </row>
    <row r="292" spans="10:27" ht="18" hidden="1" customHeight="1" x14ac:dyDescent="0.2">
      <c r="J292" t="str">
        <f t="shared" si="12"/>
        <v/>
      </c>
      <c r="K292" t="str">
        <f>IF(J292="","", IFERROR(VLOOKUP(J292, IF(D292="Movers", 换算标准!$C:$D, 换算标准!$I:$J), 2, TRUE), 0))</f>
        <v/>
      </c>
      <c r="T292" t="str">
        <f t="shared" si="13"/>
        <v/>
      </c>
      <c r="U292" t="str">
        <f>IF(T292="","", IFERROR(VLOOKUP(T292, IF(D292="Movers", 换算标准!$A:$B, 换算标准!$G:$H), 2, TRUE), 0))</f>
        <v/>
      </c>
      <c r="W292" t="str">
        <f t="shared" si="14"/>
        <v/>
      </c>
      <c r="Z292" s="5" t="str">
        <f>IF(J292="","", IF(K292&lt;=3, "⚠️ 薄弱环节: "&amp;INDEX($E$1:$I$1, MATCH(MIN(E292:I292), E292:I292, 0))&amp;CHAR(10)&amp;"📉 考察能力: "&amp;IFERROR(VLOOKUP(TRIM(D292)&amp;"_"&amp;TRIM(INDEX($E$1:$I$1, MATCH(MIN(E292:I292), E292:I292, 0))), 技能库!$A:$F, 5, 0),"建议查阅考纲")&amp;CHAR(10)&amp;"💡 提升建议: "&amp;IFERROR(VLOOKUP(TRIM(D292)&amp;"_"&amp;TRIM(INDEX($E$1:$I$1, MATCH(MIN(E292:I292), E292:I292, 0))), 技能库!$A:$F, 6, 0),"请针对该题型加强练习"), "🎉 表现优异，无明显弱项！"))</f>
        <v/>
      </c>
      <c r="AA292" s="5" t="str">
        <f>IF(T292="","", IF(U292&lt;=3, "⚠️ 薄弱环节: "&amp;INDEX($M$1:$S$1, MATCH(MIN(M292:S292), M292:S292, 0))&amp;CHAR(10)&amp;"📉 考察能力: "&amp;IFERROR(VLOOKUP(TRIM(D292)&amp;"_"&amp;TRIM(INDEX($M$1:$S$1, MATCH(MIN(M292:S292), M292:S292, 0))), 技能库!$A:$F, 5, 0),"建议查阅考纲")&amp;CHAR(10)&amp;"💡 提升建议: "&amp;IFERROR(VLOOKUP(TRIM(D292)&amp;"_"&amp;TRIM(INDEX($M$1:$S$1, MATCH(MIN(M292:S292), M292:S292, 0))), 技能库!$A:$F, 6, 0),"请针对该题型加强练习"), "🎉 表现优异，无明显弱项！"))</f>
        <v/>
      </c>
    </row>
    <row r="293" spans="10:27" ht="18" hidden="1" customHeight="1" x14ac:dyDescent="0.2">
      <c r="J293" t="str">
        <f t="shared" si="12"/>
        <v/>
      </c>
      <c r="K293" t="str">
        <f>IF(J293="","", IFERROR(VLOOKUP(J293, IF(D293="Movers", 换算标准!$C:$D, 换算标准!$I:$J), 2, TRUE), 0))</f>
        <v/>
      </c>
      <c r="T293" t="str">
        <f t="shared" si="13"/>
        <v/>
      </c>
      <c r="U293" t="str">
        <f>IF(T293="","", IFERROR(VLOOKUP(T293, IF(D293="Movers", 换算标准!$A:$B, 换算标准!$G:$H), 2, TRUE), 0))</f>
        <v/>
      </c>
      <c r="W293" t="str">
        <f t="shared" si="14"/>
        <v/>
      </c>
      <c r="Z293" s="5" t="str">
        <f>IF(J293="","", IF(K293&lt;=3, "⚠️ 薄弱环节: "&amp;INDEX($E$1:$I$1, MATCH(MIN(E293:I293), E293:I293, 0))&amp;CHAR(10)&amp;"📉 考察能力: "&amp;IFERROR(VLOOKUP(TRIM(D293)&amp;"_"&amp;TRIM(INDEX($E$1:$I$1, MATCH(MIN(E293:I293), E293:I293, 0))), 技能库!$A:$F, 5, 0),"建议查阅考纲")&amp;CHAR(10)&amp;"💡 提升建议: "&amp;IFERROR(VLOOKUP(TRIM(D293)&amp;"_"&amp;TRIM(INDEX($E$1:$I$1, MATCH(MIN(E293:I293), E293:I293, 0))), 技能库!$A:$F, 6, 0),"请针对该题型加强练习"), "🎉 表现优异，无明显弱项！"))</f>
        <v/>
      </c>
      <c r="AA293" s="5" t="str">
        <f>IF(T293="","", IF(U293&lt;=3, "⚠️ 薄弱环节: "&amp;INDEX($M$1:$S$1, MATCH(MIN(M293:S293), M293:S293, 0))&amp;CHAR(10)&amp;"📉 考察能力: "&amp;IFERROR(VLOOKUP(TRIM(D293)&amp;"_"&amp;TRIM(INDEX($M$1:$S$1, MATCH(MIN(M293:S293), M293:S293, 0))), 技能库!$A:$F, 5, 0),"建议查阅考纲")&amp;CHAR(10)&amp;"💡 提升建议: "&amp;IFERROR(VLOOKUP(TRIM(D293)&amp;"_"&amp;TRIM(INDEX($M$1:$S$1, MATCH(MIN(M293:S293), M293:S293, 0))), 技能库!$A:$F, 6, 0),"请针对该题型加强练习"), "🎉 表现优异，无明显弱项！"))</f>
        <v/>
      </c>
    </row>
    <row r="294" spans="10:27" ht="18" hidden="1" customHeight="1" x14ac:dyDescent="0.2">
      <c r="J294" t="str">
        <f t="shared" si="12"/>
        <v/>
      </c>
      <c r="K294" t="str">
        <f>IF(J294="","", IFERROR(VLOOKUP(J294, IF(D294="Movers", 换算标准!$C:$D, 换算标准!$I:$J), 2, TRUE), 0))</f>
        <v/>
      </c>
      <c r="T294" t="str">
        <f t="shared" si="13"/>
        <v/>
      </c>
      <c r="U294" t="str">
        <f>IF(T294="","", IFERROR(VLOOKUP(T294, IF(D294="Movers", 换算标准!$A:$B, 换算标准!$G:$H), 2, TRUE), 0))</f>
        <v/>
      </c>
      <c r="W294" t="str">
        <f t="shared" si="14"/>
        <v/>
      </c>
      <c r="Z294" s="5" t="str">
        <f>IF(J294="","", IF(K294&lt;=3, "⚠️ 薄弱环节: "&amp;INDEX($E$1:$I$1, MATCH(MIN(E294:I294), E294:I294, 0))&amp;CHAR(10)&amp;"📉 考察能力: "&amp;IFERROR(VLOOKUP(TRIM(D294)&amp;"_"&amp;TRIM(INDEX($E$1:$I$1, MATCH(MIN(E294:I294), E294:I294, 0))), 技能库!$A:$F, 5, 0),"建议查阅考纲")&amp;CHAR(10)&amp;"💡 提升建议: "&amp;IFERROR(VLOOKUP(TRIM(D294)&amp;"_"&amp;TRIM(INDEX($E$1:$I$1, MATCH(MIN(E294:I294), E294:I294, 0))), 技能库!$A:$F, 6, 0),"请针对该题型加强练习"), "🎉 表现优异，无明显弱项！"))</f>
        <v/>
      </c>
      <c r="AA294" s="5" t="str">
        <f>IF(T294="","", IF(U294&lt;=3, "⚠️ 薄弱环节: "&amp;INDEX($M$1:$S$1, MATCH(MIN(M294:S294), M294:S294, 0))&amp;CHAR(10)&amp;"📉 考察能力: "&amp;IFERROR(VLOOKUP(TRIM(D294)&amp;"_"&amp;TRIM(INDEX($M$1:$S$1, MATCH(MIN(M294:S294), M294:S294, 0))), 技能库!$A:$F, 5, 0),"建议查阅考纲")&amp;CHAR(10)&amp;"💡 提升建议: "&amp;IFERROR(VLOOKUP(TRIM(D294)&amp;"_"&amp;TRIM(INDEX($M$1:$S$1, MATCH(MIN(M294:S294), M294:S294, 0))), 技能库!$A:$F, 6, 0),"请针对该题型加强练习"), "🎉 表现优异，无明显弱项！"))</f>
        <v/>
      </c>
    </row>
    <row r="295" spans="10:27" ht="18" hidden="1" customHeight="1" x14ac:dyDescent="0.2">
      <c r="J295" t="str">
        <f t="shared" si="12"/>
        <v/>
      </c>
      <c r="K295" t="str">
        <f>IF(J295="","", IFERROR(VLOOKUP(J295, IF(D295="Movers", 换算标准!$C:$D, 换算标准!$I:$J), 2, TRUE), 0))</f>
        <v/>
      </c>
      <c r="T295" t="str">
        <f t="shared" si="13"/>
        <v/>
      </c>
      <c r="U295" t="str">
        <f>IF(T295="","", IFERROR(VLOOKUP(T295, IF(D295="Movers", 换算标准!$A:$B, 换算标准!$G:$H), 2, TRUE), 0))</f>
        <v/>
      </c>
      <c r="W295" t="str">
        <f t="shared" si="14"/>
        <v/>
      </c>
      <c r="Z295" s="5" t="str">
        <f>IF(J295="","", IF(K295&lt;=3, "⚠️ 薄弱环节: "&amp;INDEX($E$1:$I$1, MATCH(MIN(E295:I295), E295:I295, 0))&amp;CHAR(10)&amp;"📉 考察能力: "&amp;IFERROR(VLOOKUP(TRIM(D295)&amp;"_"&amp;TRIM(INDEX($E$1:$I$1, MATCH(MIN(E295:I295), E295:I295, 0))), 技能库!$A:$F, 5, 0),"建议查阅考纲")&amp;CHAR(10)&amp;"💡 提升建议: "&amp;IFERROR(VLOOKUP(TRIM(D295)&amp;"_"&amp;TRIM(INDEX($E$1:$I$1, MATCH(MIN(E295:I295), E295:I295, 0))), 技能库!$A:$F, 6, 0),"请针对该题型加强练习"), "🎉 表现优异，无明显弱项！"))</f>
        <v/>
      </c>
      <c r="AA295" s="5" t="str">
        <f>IF(T295="","", IF(U295&lt;=3, "⚠️ 薄弱环节: "&amp;INDEX($M$1:$S$1, MATCH(MIN(M295:S295), M295:S295, 0))&amp;CHAR(10)&amp;"📉 考察能力: "&amp;IFERROR(VLOOKUP(TRIM(D295)&amp;"_"&amp;TRIM(INDEX($M$1:$S$1, MATCH(MIN(M295:S295), M295:S295, 0))), 技能库!$A:$F, 5, 0),"建议查阅考纲")&amp;CHAR(10)&amp;"💡 提升建议: "&amp;IFERROR(VLOOKUP(TRIM(D295)&amp;"_"&amp;TRIM(INDEX($M$1:$S$1, MATCH(MIN(M295:S295), M295:S295, 0))), 技能库!$A:$F, 6, 0),"请针对该题型加强练习"), "🎉 表现优异，无明显弱项！"))</f>
        <v/>
      </c>
    </row>
    <row r="296" spans="10:27" ht="18" hidden="1" customHeight="1" x14ac:dyDescent="0.2">
      <c r="J296" t="str">
        <f t="shared" si="12"/>
        <v/>
      </c>
      <c r="K296" t="str">
        <f>IF(J296="","", IFERROR(VLOOKUP(J296, IF(D296="Movers", 换算标准!$C:$D, 换算标准!$I:$J), 2, TRUE), 0))</f>
        <v/>
      </c>
      <c r="T296" t="str">
        <f t="shared" si="13"/>
        <v/>
      </c>
      <c r="U296" t="str">
        <f>IF(T296="","", IFERROR(VLOOKUP(T296, IF(D296="Movers", 换算标准!$A:$B, 换算标准!$G:$H), 2, TRUE), 0))</f>
        <v/>
      </c>
      <c r="W296" t="str">
        <f t="shared" si="14"/>
        <v/>
      </c>
      <c r="Z296" s="5" t="str">
        <f>IF(J296="","", IF(K296&lt;=3, "⚠️ 薄弱环节: "&amp;INDEX($E$1:$I$1, MATCH(MIN(E296:I296), E296:I296, 0))&amp;CHAR(10)&amp;"📉 考察能力: "&amp;IFERROR(VLOOKUP(TRIM(D296)&amp;"_"&amp;TRIM(INDEX($E$1:$I$1, MATCH(MIN(E296:I296), E296:I296, 0))), 技能库!$A:$F, 5, 0),"建议查阅考纲")&amp;CHAR(10)&amp;"💡 提升建议: "&amp;IFERROR(VLOOKUP(TRIM(D296)&amp;"_"&amp;TRIM(INDEX($E$1:$I$1, MATCH(MIN(E296:I296), E296:I296, 0))), 技能库!$A:$F, 6, 0),"请针对该题型加强练习"), "🎉 表现优异，无明显弱项！"))</f>
        <v/>
      </c>
      <c r="AA296" s="5" t="str">
        <f>IF(T296="","", IF(U296&lt;=3, "⚠️ 薄弱环节: "&amp;INDEX($M$1:$S$1, MATCH(MIN(M296:S296), M296:S296, 0))&amp;CHAR(10)&amp;"📉 考察能力: "&amp;IFERROR(VLOOKUP(TRIM(D296)&amp;"_"&amp;TRIM(INDEX($M$1:$S$1, MATCH(MIN(M296:S296), M296:S296, 0))), 技能库!$A:$F, 5, 0),"建议查阅考纲")&amp;CHAR(10)&amp;"💡 提升建议: "&amp;IFERROR(VLOOKUP(TRIM(D296)&amp;"_"&amp;TRIM(INDEX($M$1:$S$1, MATCH(MIN(M296:S296), M296:S296, 0))), 技能库!$A:$F, 6, 0),"请针对该题型加强练习"), "🎉 表现优异，无明显弱项！"))</f>
        <v/>
      </c>
    </row>
    <row r="297" spans="10:27" ht="18" hidden="1" customHeight="1" x14ac:dyDescent="0.2">
      <c r="J297" t="str">
        <f t="shared" si="12"/>
        <v/>
      </c>
      <c r="K297" t="str">
        <f>IF(J297="","", IFERROR(VLOOKUP(J297, IF(D297="Movers", 换算标准!$C:$D, 换算标准!$I:$J), 2, TRUE), 0))</f>
        <v/>
      </c>
      <c r="T297" t="str">
        <f t="shared" si="13"/>
        <v/>
      </c>
      <c r="U297" t="str">
        <f>IF(T297="","", IFERROR(VLOOKUP(T297, IF(D297="Movers", 换算标准!$A:$B, 换算标准!$G:$H), 2, TRUE), 0))</f>
        <v/>
      </c>
      <c r="W297" t="str">
        <f t="shared" si="14"/>
        <v/>
      </c>
      <c r="Z297" s="5" t="str">
        <f>IF(J297="","", IF(K297&lt;=3, "⚠️ 薄弱环节: "&amp;INDEX($E$1:$I$1, MATCH(MIN(E297:I297), E297:I297, 0))&amp;CHAR(10)&amp;"📉 考察能力: "&amp;IFERROR(VLOOKUP(TRIM(D297)&amp;"_"&amp;TRIM(INDEX($E$1:$I$1, MATCH(MIN(E297:I297), E297:I297, 0))), 技能库!$A:$F, 5, 0),"建议查阅考纲")&amp;CHAR(10)&amp;"💡 提升建议: "&amp;IFERROR(VLOOKUP(TRIM(D297)&amp;"_"&amp;TRIM(INDEX($E$1:$I$1, MATCH(MIN(E297:I297), E297:I297, 0))), 技能库!$A:$F, 6, 0),"请针对该题型加强练习"), "🎉 表现优异，无明显弱项！"))</f>
        <v/>
      </c>
      <c r="AA297" s="5" t="str">
        <f>IF(T297="","", IF(U297&lt;=3, "⚠️ 薄弱环节: "&amp;INDEX($M$1:$S$1, MATCH(MIN(M297:S297), M297:S297, 0))&amp;CHAR(10)&amp;"📉 考察能力: "&amp;IFERROR(VLOOKUP(TRIM(D297)&amp;"_"&amp;TRIM(INDEX($M$1:$S$1, MATCH(MIN(M297:S297), M297:S297, 0))), 技能库!$A:$F, 5, 0),"建议查阅考纲")&amp;CHAR(10)&amp;"💡 提升建议: "&amp;IFERROR(VLOOKUP(TRIM(D297)&amp;"_"&amp;TRIM(INDEX($M$1:$S$1, MATCH(MIN(M297:S297), M297:S297, 0))), 技能库!$A:$F, 6, 0),"请针对该题型加强练习"), "🎉 表现优异，无明显弱项！"))</f>
        <v/>
      </c>
    </row>
    <row r="298" spans="10:27" ht="18" hidden="1" customHeight="1" x14ac:dyDescent="0.2">
      <c r="J298" t="str">
        <f t="shared" si="12"/>
        <v/>
      </c>
      <c r="K298" t="str">
        <f>IF(J298="","", IFERROR(VLOOKUP(J298, IF(D298="Movers", 换算标准!$C:$D, 换算标准!$I:$J), 2, TRUE), 0))</f>
        <v/>
      </c>
      <c r="T298" t="str">
        <f t="shared" si="13"/>
        <v/>
      </c>
      <c r="U298" t="str">
        <f>IF(T298="","", IFERROR(VLOOKUP(T298, IF(D298="Movers", 换算标准!$A:$B, 换算标准!$G:$H), 2, TRUE), 0))</f>
        <v/>
      </c>
      <c r="W298" t="str">
        <f t="shared" si="14"/>
        <v/>
      </c>
      <c r="Z298" s="5" t="str">
        <f>IF(J298="","", IF(K298&lt;=3, "⚠️ 薄弱环节: "&amp;INDEX($E$1:$I$1, MATCH(MIN(E298:I298), E298:I298, 0))&amp;CHAR(10)&amp;"📉 考察能力: "&amp;IFERROR(VLOOKUP(TRIM(D298)&amp;"_"&amp;TRIM(INDEX($E$1:$I$1, MATCH(MIN(E298:I298), E298:I298, 0))), 技能库!$A:$F, 5, 0),"建议查阅考纲")&amp;CHAR(10)&amp;"💡 提升建议: "&amp;IFERROR(VLOOKUP(TRIM(D298)&amp;"_"&amp;TRIM(INDEX($E$1:$I$1, MATCH(MIN(E298:I298), E298:I298, 0))), 技能库!$A:$F, 6, 0),"请针对该题型加强练习"), "🎉 表现优异，无明显弱项！"))</f>
        <v/>
      </c>
      <c r="AA298" s="5" t="str">
        <f>IF(T298="","", IF(U298&lt;=3, "⚠️ 薄弱环节: "&amp;INDEX($M$1:$S$1, MATCH(MIN(M298:S298), M298:S298, 0))&amp;CHAR(10)&amp;"📉 考察能力: "&amp;IFERROR(VLOOKUP(TRIM(D298)&amp;"_"&amp;TRIM(INDEX($M$1:$S$1, MATCH(MIN(M298:S298), M298:S298, 0))), 技能库!$A:$F, 5, 0),"建议查阅考纲")&amp;CHAR(10)&amp;"💡 提升建议: "&amp;IFERROR(VLOOKUP(TRIM(D298)&amp;"_"&amp;TRIM(INDEX($M$1:$S$1, MATCH(MIN(M298:S298), M298:S298, 0))), 技能库!$A:$F, 6, 0),"请针对该题型加强练习"), "🎉 表现优异，无明显弱项！"))</f>
        <v/>
      </c>
    </row>
    <row r="299" spans="10:27" ht="18" hidden="1" customHeight="1" x14ac:dyDescent="0.2">
      <c r="J299" t="str">
        <f t="shared" si="12"/>
        <v/>
      </c>
      <c r="K299" t="str">
        <f>IF(J299="","", IFERROR(VLOOKUP(J299, IF(D299="Movers", 换算标准!$C:$D, 换算标准!$I:$J), 2, TRUE), 0))</f>
        <v/>
      </c>
      <c r="T299" t="str">
        <f t="shared" si="13"/>
        <v/>
      </c>
      <c r="U299" t="str">
        <f>IF(T299="","", IFERROR(VLOOKUP(T299, IF(D299="Movers", 换算标准!$A:$B, 换算标准!$G:$H), 2, TRUE), 0))</f>
        <v/>
      </c>
      <c r="W299" t="str">
        <f t="shared" si="14"/>
        <v/>
      </c>
      <c r="Z299" s="5" t="str">
        <f>IF(J299="","", IF(K299&lt;=3, "⚠️ 薄弱环节: "&amp;INDEX($E$1:$I$1, MATCH(MIN(E299:I299), E299:I299, 0))&amp;CHAR(10)&amp;"📉 考察能力: "&amp;IFERROR(VLOOKUP(TRIM(D299)&amp;"_"&amp;TRIM(INDEX($E$1:$I$1, MATCH(MIN(E299:I299), E299:I299, 0))), 技能库!$A:$F, 5, 0),"建议查阅考纲")&amp;CHAR(10)&amp;"💡 提升建议: "&amp;IFERROR(VLOOKUP(TRIM(D299)&amp;"_"&amp;TRIM(INDEX($E$1:$I$1, MATCH(MIN(E299:I299), E299:I299, 0))), 技能库!$A:$F, 6, 0),"请针对该题型加强练习"), "🎉 表现优异，无明显弱项！"))</f>
        <v/>
      </c>
      <c r="AA299" s="5" t="str">
        <f>IF(T299="","", IF(U299&lt;=3, "⚠️ 薄弱环节: "&amp;INDEX($M$1:$S$1, MATCH(MIN(M299:S299), M299:S299, 0))&amp;CHAR(10)&amp;"📉 考察能力: "&amp;IFERROR(VLOOKUP(TRIM(D299)&amp;"_"&amp;TRIM(INDEX($M$1:$S$1, MATCH(MIN(M299:S299), M299:S299, 0))), 技能库!$A:$F, 5, 0),"建议查阅考纲")&amp;CHAR(10)&amp;"💡 提升建议: "&amp;IFERROR(VLOOKUP(TRIM(D299)&amp;"_"&amp;TRIM(INDEX($M$1:$S$1, MATCH(MIN(M299:S299), M299:S299, 0))), 技能库!$A:$F, 6, 0),"请针对该题型加强练习"), "🎉 表现优异，无明显弱项！"))</f>
        <v/>
      </c>
    </row>
    <row r="300" spans="10:27" ht="18" hidden="1" customHeight="1" x14ac:dyDescent="0.2">
      <c r="J300" t="str">
        <f t="shared" si="12"/>
        <v/>
      </c>
      <c r="K300" t="str">
        <f>IF(J300="","", IFERROR(VLOOKUP(J300, IF(D300="Movers", 换算标准!$C:$D, 换算标准!$I:$J), 2, TRUE), 0))</f>
        <v/>
      </c>
      <c r="T300" t="str">
        <f t="shared" si="13"/>
        <v/>
      </c>
      <c r="U300" t="str">
        <f>IF(T300="","", IFERROR(VLOOKUP(T300, IF(D300="Movers", 换算标准!$A:$B, 换算标准!$G:$H), 2, TRUE), 0))</f>
        <v/>
      </c>
      <c r="W300" t="str">
        <f t="shared" si="14"/>
        <v/>
      </c>
      <c r="Z300" s="5" t="str">
        <f>IF(J300="","", IF(K300&lt;=3, "⚠️ 薄弱环节: "&amp;INDEX($E$1:$I$1, MATCH(MIN(E300:I300), E300:I300, 0))&amp;CHAR(10)&amp;"📉 考察能力: "&amp;IFERROR(VLOOKUP(TRIM(D300)&amp;"_"&amp;TRIM(INDEX($E$1:$I$1, MATCH(MIN(E300:I300), E300:I300, 0))), 技能库!$A:$F, 5, 0),"建议查阅考纲")&amp;CHAR(10)&amp;"💡 提升建议: "&amp;IFERROR(VLOOKUP(TRIM(D300)&amp;"_"&amp;TRIM(INDEX($E$1:$I$1, MATCH(MIN(E300:I300), E300:I300, 0))), 技能库!$A:$F, 6, 0),"请针对该题型加强练习"), "🎉 表现优异，无明显弱项！"))</f>
        <v/>
      </c>
      <c r="AA300" s="5" t="str">
        <f>IF(T300="","", IF(U300&lt;=3, "⚠️ 薄弱环节: "&amp;INDEX($M$1:$S$1, MATCH(MIN(M300:S300), M300:S300, 0))&amp;CHAR(10)&amp;"📉 考察能力: "&amp;IFERROR(VLOOKUP(TRIM(D300)&amp;"_"&amp;TRIM(INDEX($M$1:$S$1, MATCH(MIN(M300:S300), M300:S300, 0))), 技能库!$A:$F, 5, 0),"建议查阅考纲")&amp;CHAR(10)&amp;"💡 提升建议: "&amp;IFERROR(VLOOKUP(TRIM(D300)&amp;"_"&amp;TRIM(INDEX($M$1:$S$1, MATCH(MIN(M300:S300), M300:S300, 0))), 技能库!$A:$F, 6, 0),"请针对该题型加强练习"), "🎉 表现优异，无明显弱项！"))</f>
        <v/>
      </c>
    </row>
    <row r="301" spans="10:27" ht="18" hidden="1" customHeight="1" x14ac:dyDescent="0.2">
      <c r="J301" t="str">
        <f t="shared" si="12"/>
        <v/>
      </c>
      <c r="K301" t="str">
        <f>IF(J301="","", IFERROR(VLOOKUP(J301, IF(D301="Movers", 换算标准!$C:$D, 换算标准!$I:$J), 2, TRUE), 0))</f>
        <v/>
      </c>
      <c r="T301" t="str">
        <f t="shared" si="13"/>
        <v/>
      </c>
      <c r="U301" t="str">
        <f>IF(T301="","", IFERROR(VLOOKUP(T301, IF(D301="Movers", 换算标准!$A:$B, 换算标准!$G:$H), 2, TRUE), 0))</f>
        <v/>
      </c>
      <c r="W301" t="str">
        <f t="shared" si="14"/>
        <v/>
      </c>
      <c r="Z301" s="5" t="str">
        <f>IF(J301="","", IF(K301&lt;=3, "⚠️ 薄弱环节: "&amp;INDEX($E$1:$I$1, MATCH(MIN(E301:I301), E301:I301, 0))&amp;CHAR(10)&amp;"📉 考察能力: "&amp;IFERROR(VLOOKUP(TRIM(D301)&amp;"_"&amp;TRIM(INDEX($E$1:$I$1, MATCH(MIN(E301:I301), E301:I301, 0))), 技能库!$A:$F, 5, 0),"建议查阅考纲")&amp;CHAR(10)&amp;"💡 提升建议: "&amp;IFERROR(VLOOKUP(TRIM(D301)&amp;"_"&amp;TRIM(INDEX($E$1:$I$1, MATCH(MIN(E301:I301), E301:I301, 0))), 技能库!$A:$F, 6, 0),"请针对该题型加强练习"), "🎉 表现优异，无明显弱项！"))</f>
        <v/>
      </c>
      <c r="AA301" s="5" t="str">
        <f>IF(T301="","", IF(U301&lt;=3, "⚠️ 薄弱环节: "&amp;INDEX($M$1:$S$1, MATCH(MIN(M301:S301), M301:S301, 0))&amp;CHAR(10)&amp;"📉 考察能力: "&amp;IFERROR(VLOOKUP(TRIM(D301)&amp;"_"&amp;TRIM(INDEX($M$1:$S$1, MATCH(MIN(M301:S301), M301:S301, 0))), 技能库!$A:$F, 5, 0),"建议查阅考纲")&amp;CHAR(10)&amp;"💡 提升建议: "&amp;IFERROR(VLOOKUP(TRIM(D301)&amp;"_"&amp;TRIM(INDEX($M$1:$S$1, MATCH(MIN(M301:S301), M301:S301, 0))), 技能库!$A:$F, 6, 0),"请针对该题型加强练习"), "🎉 表现优异，无明显弱项！"))</f>
        <v/>
      </c>
    </row>
    <row r="302" spans="10:27" ht="18" hidden="1" customHeight="1" x14ac:dyDescent="0.2">
      <c r="J302" t="str">
        <f t="shared" si="12"/>
        <v/>
      </c>
      <c r="K302" t="str">
        <f>IF(J302="","", IFERROR(VLOOKUP(J302, IF(D302="Movers", 换算标准!$C:$D, 换算标准!$I:$J), 2, TRUE), 0))</f>
        <v/>
      </c>
      <c r="T302" t="str">
        <f t="shared" si="13"/>
        <v/>
      </c>
      <c r="U302" t="str">
        <f>IF(T302="","", IFERROR(VLOOKUP(T302, IF(D302="Movers", 换算标准!$A:$B, 换算标准!$G:$H), 2, TRUE), 0))</f>
        <v/>
      </c>
      <c r="W302" t="str">
        <f t="shared" si="14"/>
        <v/>
      </c>
      <c r="Z302" s="5" t="str">
        <f>IF(J302="","", IF(K302&lt;=3, "⚠️ 薄弱环节: "&amp;INDEX($E$1:$I$1, MATCH(MIN(E302:I302), E302:I302, 0))&amp;CHAR(10)&amp;"📉 考察能力: "&amp;IFERROR(VLOOKUP(TRIM(D302)&amp;"_"&amp;TRIM(INDEX($E$1:$I$1, MATCH(MIN(E302:I302), E302:I302, 0))), 技能库!$A:$F, 5, 0),"建议查阅考纲")&amp;CHAR(10)&amp;"💡 提升建议: "&amp;IFERROR(VLOOKUP(TRIM(D302)&amp;"_"&amp;TRIM(INDEX($E$1:$I$1, MATCH(MIN(E302:I302), E302:I302, 0))), 技能库!$A:$F, 6, 0),"请针对该题型加强练习"), "🎉 表现优异，无明显弱项！"))</f>
        <v/>
      </c>
      <c r="AA302" s="5" t="str">
        <f>IF(T302="","", IF(U302&lt;=3, "⚠️ 薄弱环节: "&amp;INDEX($M$1:$S$1, MATCH(MIN(M302:S302), M302:S302, 0))&amp;CHAR(10)&amp;"📉 考察能力: "&amp;IFERROR(VLOOKUP(TRIM(D302)&amp;"_"&amp;TRIM(INDEX($M$1:$S$1, MATCH(MIN(M302:S302), M302:S302, 0))), 技能库!$A:$F, 5, 0),"建议查阅考纲")&amp;CHAR(10)&amp;"💡 提升建议: "&amp;IFERROR(VLOOKUP(TRIM(D302)&amp;"_"&amp;TRIM(INDEX($M$1:$S$1, MATCH(MIN(M302:S302), M302:S302, 0))), 技能库!$A:$F, 6, 0),"请针对该题型加强练习"), "🎉 表现优异，无明显弱项！"))</f>
        <v/>
      </c>
    </row>
    <row r="303" spans="10:27" ht="18" hidden="1" customHeight="1" x14ac:dyDescent="0.2">
      <c r="J303" t="str">
        <f t="shared" si="12"/>
        <v/>
      </c>
      <c r="K303" t="str">
        <f>IF(J303="","", IFERROR(VLOOKUP(J303, IF(D303="Movers", 换算标准!$C:$D, 换算标准!$I:$J), 2, TRUE), 0))</f>
        <v/>
      </c>
      <c r="T303" t="str">
        <f t="shared" si="13"/>
        <v/>
      </c>
      <c r="U303" t="str">
        <f>IF(T303="","", IFERROR(VLOOKUP(T303, IF(D303="Movers", 换算标准!$A:$B, 换算标准!$G:$H), 2, TRUE), 0))</f>
        <v/>
      </c>
      <c r="W303" t="str">
        <f t="shared" si="14"/>
        <v/>
      </c>
      <c r="Z303" s="5" t="str">
        <f>IF(J303="","", IF(K303&lt;=3, "⚠️ 薄弱环节: "&amp;INDEX($E$1:$I$1, MATCH(MIN(E303:I303), E303:I303, 0))&amp;CHAR(10)&amp;"📉 考察能力: "&amp;IFERROR(VLOOKUP(TRIM(D303)&amp;"_"&amp;TRIM(INDEX($E$1:$I$1, MATCH(MIN(E303:I303), E303:I303, 0))), 技能库!$A:$F, 5, 0),"建议查阅考纲")&amp;CHAR(10)&amp;"💡 提升建议: "&amp;IFERROR(VLOOKUP(TRIM(D303)&amp;"_"&amp;TRIM(INDEX($E$1:$I$1, MATCH(MIN(E303:I303), E303:I303, 0))), 技能库!$A:$F, 6, 0),"请针对该题型加强练习"), "🎉 表现优异，无明显弱项！"))</f>
        <v/>
      </c>
      <c r="AA303" s="5" t="str">
        <f>IF(T303="","", IF(U303&lt;=3, "⚠️ 薄弱环节: "&amp;INDEX($M$1:$S$1, MATCH(MIN(M303:S303), M303:S303, 0))&amp;CHAR(10)&amp;"📉 考察能力: "&amp;IFERROR(VLOOKUP(TRIM(D303)&amp;"_"&amp;TRIM(INDEX($M$1:$S$1, MATCH(MIN(M303:S303), M303:S303, 0))), 技能库!$A:$F, 5, 0),"建议查阅考纲")&amp;CHAR(10)&amp;"💡 提升建议: "&amp;IFERROR(VLOOKUP(TRIM(D303)&amp;"_"&amp;TRIM(INDEX($M$1:$S$1, MATCH(MIN(M303:S303), M303:S303, 0))), 技能库!$A:$F, 6, 0),"请针对该题型加强练习"), "🎉 表现优异，无明显弱项！"))</f>
        <v/>
      </c>
    </row>
    <row r="304" spans="10:27" ht="18" hidden="1" customHeight="1" x14ac:dyDescent="0.2">
      <c r="J304" t="str">
        <f t="shared" si="12"/>
        <v/>
      </c>
      <c r="K304" t="str">
        <f>IF(J304="","", IFERROR(VLOOKUP(J304, IF(D304="Movers", 换算标准!$C:$D, 换算标准!$I:$J), 2, TRUE), 0))</f>
        <v/>
      </c>
      <c r="T304" t="str">
        <f t="shared" si="13"/>
        <v/>
      </c>
      <c r="U304" t="str">
        <f>IF(T304="","", IFERROR(VLOOKUP(T304, IF(D304="Movers", 换算标准!$A:$B, 换算标准!$G:$H), 2, TRUE), 0))</f>
        <v/>
      </c>
      <c r="W304" t="str">
        <f t="shared" si="14"/>
        <v/>
      </c>
      <c r="Z304" s="5" t="str">
        <f>IF(J304="","", IF(K304&lt;=3, "⚠️ 薄弱环节: "&amp;INDEX($E$1:$I$1, MATCH(MIN(E304:I304), E304:I304, 0))&amp;CHAR(10)&amp;"📉 考察能力: "&amp;IFERROR(VLOOKUP(TRIM(D304)&amp;"_"&amp;TRIM(INDEX($E$1:$I$1, MATCH(MIN(E304:I304), E304:I304, 0))), 技能库!$A:$F, 5, 0),"建议查阅考纲")&amp;CHAR(10)&amp;"💡 提升建议: "&amp;IFERROR(VLOOKUP(TRIM(D304)&amp;"_"&amp;TRIM(INDEX($E$1:$I$1, MATCH(MIN(E304:I304), E304:I304, 0))), 技能库!$A:$F, 6, 0),"请针对该题型加强练习"), "🎉 表现优异，无明显弱项！"))</f>
        <v/>
      </c>
      <c r="AA304" s="5" t="str">
        <f>IF(T304="","", IF(U304&lt;=3, "⚠️ 薄弱环节: "&amp;INDEX($M$1:$S$1, MATCH(MIN(M304:S304), M304:S304, 0))&amp;CHAR(10)&amp;"📉 考察能力: "&amp;IFERROR(VLOOKUP(TRIM(D304)&amp;"_"&amp;TRIM(INDEX($M$1:$S$1, MATCH(MIN(M304:S304), M304:S304, 0))), 技能库!$A:$F, 5, 0),"建议查阅考纲")&amp;CHAR(10)&amp;"💡 提升建议: "&amp;IFERROR(VLOOKUP(TRIM(D304)&amp;"_"&amp;TRIM(INDEX($M$1:$S$1, MATCH(MIN(M304:S304), M304:S304, 0))), 技能库!$A:$F, 6, 0),"请针对该题型加强练习"), "🎉 表现优异，无明显弱项！"))</f>
        <v/>
      </c>
    </row>
    <row r="305" spans="10:27" ht="18" hidden="1" customHeight="1" x14ac:dyDescent="0.2">
      <c r="J305" t="str">
        <f t="shared" si="12"/>
        <v/>
      </c>
      <c r="K305" t="str">
        <f>IF(J305="","", IFERROR(VLOOKUP(J305, IF(D305="Movers", 换算标准!$C:$D, 换算标准!$I:$J), 2, TRUE), 0))</f>
        <v/>
      </c>
      <c r="T305" t="str">
        <f t="shared" si="13"/>
        <v/>
      </c>
      <c r="U305" t="str">
        <f>IF(T305="","", IFERROR(VLOOKUP(T305, IF(D305="Movers", 换算标准!$A:$B, 换算标准!$G:$H), 2, TRUE), 0))</f>
        <v/>
      </c>
      <c r="W305" t="str">
        <f t="shared" si="14"/>
        <v/>
      </c>
      <c r="Z305" s="5" t="str">
        <f>IF(J305="","", IF(K305&lt;=3, "⚠️ 薄弱环节: "&amp;INDEX($E$1:$I$1, MATCH(MIN(E305:I305), E305:I305, 0))&amp;CHAR(10)&amp;"📉 考察能力: "&amp;IFERROR(VLOOKUP(TRIM(D305)&amp;"_"&amp;TRIM(INDEX($E$1:$I$1, MATCH(MIN(E305:I305), E305:I305, 0))), 技能库!$A:$F, 5, 0),"建议查阅考纲")&amp;CHAR(10)&amp;"💡 提升建议: "&amp;IFERROR(VLOOKUP(TRIM(D305)&amp;"_"&amp;TRIM(INDEX($E$1:$I$1, MATCH(MIN(E305:I305), E305:I305, 0))), 技能库!$A:$F, 6, 0),"请针对该题型加强练习"), "🎉 表现优异，无明显弱项！"))</f>
        <v/>
      </c>
      <c r="AA305" s="5" t="str">
        <f>IF(T305="","", IF(U305&lt;=3, "⚠️ 薄弱环节: "&amp;INDEX($M$1:$S$1, MATCH(MIN(M305:S305), M305:S305, 0))&amp;CHAR(10)&amp;"📉 考察能力: "&amp;IFERROR(VLOOKUP(TRIM(D305)&amp;"_"&amp;TRIM(INDEX($M$1:$S$1, MATCH(MIN(M305:S305), M305:S305, 0))), 技能库!$A:$F, 5, 0),"建议查阅考纲")&amp;CHAR(10)&amp;"💡 提升建议: "&amp;IFERROR(VLOOKUP(TRIM(D305)&amp;"_"&amp;TRIM(INDEX($M$1:$S$1, MATCH(MIN(M305:S305), M305:S305, 0))), 技能库!$A:$F, 6, 0),"请针对该题型加强练习"), "🎉 表现优异，无明显弱项！"))</f>
        <v/>
      </c>
    </row>
    <row r="306" spans="10:27" ht="18" hidden="1" customHeight="1" x14ac:dyDescent="0.2">
      <c r="J306" t="str">
        <f t="shared" si="12"/>
        <v/>
      </c>
      <c r="K306" t="str">
        <f>IF(J306="","", IFERROR(VLOOKUP(J306, IF(D306="Movers", 换算标准!$C:$D, 换算标准!$I:$J), 2, TRUE), 0))</f>
        <v/>
      </c>
      <c r="T306" t="str">
        <f t="shared" si="13"/>
        <v/>
      </c>
      <c r="U306" t="str">
        <f>IF(T306="","", IFERROR(VLOOKUP(T306, IF(D306="Movers", 换算标准!$A:$B, 换算标准!$G:$H), 2, TRUE), 0))</f>
        <v/>
      </c>
      <c r="W306" t="str">
        <f t="shared" si="14"/>
        <v/>
      </c>
      <c r="Z306" s="5" t="str">
        <f>IF(J306="","", IF(K306&lt;=3, "⚠️ 薄弱环节: "&amp;INDEX($E$1:$I$1, MATCH(MIN(E306:I306), E306:I306, 0))&amp;CHAR(10)&amp;"📉 考察能力: "&amp;IFERROR(VLOOKUP(TRIM(D306)&amp;"_"&amp;TRIM(INDEX($E$1:$I$1, MATCH(MIN(E306:I306), E306:I306, 0))), 技能库!$A:$F, 5, 0),"建议查阅考纲")&amp;CHAR(10)&amp;"💡 提升建议: "&amp;IFERROR(VLOOKUP(TRIM(D306)&amp;"_"&amp;TRIM(INDEX($E$1:$I$1, MATCH(MIN(E306:I306), E306:I306, 0))), 技能库!$A:$F, 6, 0),"请针对该题型加强练习"), "🎉 表现优异，无明显弱项！"))</f>
        <v/>
      </c>
      <c r="AA306" s="5" t="str">
        <f>IF(T306="","", IF(U306&lt;=3, "⚠️ 薄弱环节: "&amp;INDEX($M$1:$S$1, MATCH(MIN(M306:S306), M306:S306, 0))&amp;CHAR(10)&amp;"📉 考察能力: "&amp;IFERROR(VLOOKUP(TRIM(D306)&amp;"_"&amp;TRIM(INDEX($M$1:$S$1, MATCH(MIN(M306:S306), M306:S306, 0))), 技能库!$A:$F, 5, 0),"建议查阅考纲")&amp;CHAR(10)&amp;"💡 提升建议: "&amp;IFERROR(VLOOKUP(TRIM(D306)&amp;"_"&amp;TRIM(INDEX($M$1:$S$1, MATCH(MIN(M306:S306), M306:S306, 0))), 技能库!$A:$F, 6, 0),"请针对该题型加强练习"), "🎉 表现优异，无明显弱项！"))</f>
        <v/>
      </c>
    </row>
    <row r="307" spans="10:27" ht="18" hidden="1" customHeight="1" x14ac:dyDescent="0.2">
      <c r="J307" t="str">
        <f t="shared" si="12"/>
        <v/>
      </c>
      <c r="K307" t="str">
        <f>IF(J307="","", IFERROR(VLOOKUP(J307, IF(D307="Movers", 换算标准!$C:$D, 换算标准!$I:$J), 2, TRUE), 0))</f>
        <v/>
      </c>
      <c r="T307" t="str">
        <f t="shared" si="13"/>
        <v/>
      </c>
      <c r="U307" t="str">
        <f>IF(T307="","", IFERROR(VLOOKUP(T307, IF(D307="Movers", 换算标准!$A:$B, 换算标准!$G:$H), 2, TRUE), 0))</f>
        <v/>
      </c>
      <c r="W307" t="str">
        <f t="shared" si="14"/>
        <v/>
      </c>
      <c r="Z307" s="5" t="str">
        <f>IF(J307="","", IF(K307&lt;=3, "⚠️ 薄弱环节: "&amp;INDEX($E$1:$I$1, MATCH(MIN(E307:I307), E307:I307, 0))&amp;CHAR(10)&amp;"📉 考察能力: "&amp;IFERROR(VLOOKUP(TRIM(D307)&amp;"_"&amp;TRIM(INDEX($E$1:$I$1, MATCH(MIN(E307:I307), E307:I307, 0))), 技能库!$A:$F, 5, 0),"建议查阅考纲")&amp;CHAR(10)&amp;"💡 提升建议: "&amp;IFERROR(VLOOKUP(TRIM(D307)&amp;"_"&amp;TRIM(INDEX($E$1:$I$1, MATCH(MIN(E307:I307), E307:I307, 0))), 技能库!$A:$F, 6, 0),"请针对该题型加强练习"), "🎉 表现优异，无明显弱项！"))</f>
        <v/>
      </c>
      <c r="AA307" s="5" t="str">
        <f>IF(T307="","", IF(U307&lt;=3, "⚠️ 薄弱环节: "&amp;INDEX($M$1:$S$1, MATCH(MIN(M307:S307), M307:S307, 0))&amp;CHAR(10)&amp;"📉 考察能力: "&amp;IFERROR(VLOOKUP(TRIM(D307)&amp;"_"&amp;TRIM(INDEX($M$1:$S$1, MATCH(MIN(M307:S307), M307:S307, 0))), 技能库!$A:$F, 5, 0),"建议查阅考纲")&amp;CHAR(10)&amp;"💡 提升建议: "&amp;IFERROR(VLOOKUP(TRIM(D307)&amp;"_"&amp;TRIM(INDEX($M$1:$S$1, MATCH(MIN(M307:S307), M307:S307, 0))), 技能库!$A:$F, 6, 0),"请针对该题型加强练习"), "🎉 表现优异，无明显弱项！"))</f>
        <v/>
      </c>
    </row>
    <row r="308" spans="10:27" ht="18" hidden="1" customHeight="1" x14ac:dyDescent="0.2">
      <c r="J308" t="str">
        <f t="shared" si="12"/>
        <v/>
      </c>
      <c r="K308" t="str">
        <f>IF(J308="","", IFERROR(VLOOKUP(J308, IF(D308="Movers", 换算标准!$C:$D, 换算标准!$I:$J), 2, TRUE), 0))</f>
        <v/>
      </c>
      <c r="T308" t="str">
        <f t="shared" si="13"/>
        <v/>
      </c>
      <c r="U308" t="str">
        <f>IF(T308="","", IFERROR(VLOOKUP(T308, IF(D308="Movers", 换算标准!$A:$B, 换算标准!$G:$H), 2, TRUE), 0))</f>
        <v/>
      </c>
      <c r="W308" t="str">
        <f t="shared" si="14"/>
        <v/>
      </c>
      <c r="Z308" s="5" t="str">
        <f>IF(J308="","", IF(K308&lt;=3, "⚠️ 薄弱环节: "&amp;INDEX($E$1:$I$1, MATCH(MIN(E308:I308), E308:I308, 0))&amp;CHAR(10)&amp;"📉 考察能力: "&amp;IFERROR(VLOOKUP(TRIM(D308)&amp;"_"&amp;TRIM(INDEX($E$1:$I$1, MATCH(MIN(E308:I308), E308:I308, 0))), 技能库!$A:$F, 5, 0),"建议查阅考纲")&amp;CHAR(10)&amp;"💡 提升建议: "&amp;IFERROR(VLOOKUP(TRIM(D308)&amp;"_"&amp;TRIM(INDEX($E$1:$I$1, MATCH(MIN(E308:I308), E308:I308, 0))), 技能库!$A:$F, 6, 0),"请针对该题型加强练习"), "🎉 表现优异，无明显弱项！"))</f>
        <v/>
      </c>
      <c r="AA308" s="5" t="str">
        <f>IF(T308="","", IF(U308&lt;=3, "⚠️ 薄弱环节: "&amp;INDEX($M$1:$S$1, MATCH(MIN(M308:S308), M308:S308, 0))&amp;CHAR(10)&amp;"📉 考察能力: "&amp;IFERROR(VLOOKUP(TRIM(D308)&amp;"_"&amp;TRIM(INDEX($M$1:$S$1, MATCH(MIN(M308:S308), M308:S308, 0))), 技能库!$A:$F, 5, 0),"建议查阅考纲")&amp;CHAR(10)&amp;"💡 提升建议: "&amp;IFERROR(VLOOKUP(TRIM(D308)&amp;"_"&amp;TRIM(INDEX($M$1:$S$1, MATCH(MIN(M308:S308), M308:S308, 0))), 技能库!$A:$F, 6, 0),"请针对该题型加强练习"), "🎉 表现优异，无明显弱项！"))</f>
        <v/>
      </c>
    </row>
    <row r="309" spans="10:27" ht="18" hidden="1" customHeight="1" x14ac:dyDescent="0.2">
      <c r="J309" t="str">
        <f t="shared" si="12"/>
        <v/>
      </c>
      <c r="K309" t="str">
        <f>IF(J309="","", IFERROR(VLOOKUP(J309, IF(D309="Movers", 换算标准!$C:$D, 换算标准!$I:$J), 2, TRUE), 0))</f>
        <v/>
      </c>
      <c r="T309" t="str">
        <f t="shared" si="13"/>
        <v/>
      </c>
      <c r="U309" t="str">
        <f>IF(T309="","", IFERROR(VLOOKUP(T309, IF(D309="Movers", 换算标准!$A:$B, 换算标准!$G:$H), 2, TRUE), 0))</f>
        <v/>
      </c>
      <c r="W309" t="str">
        <f t="shared" si="14"/>
        <v/>
      </c>
      <c r="Z309" s="5" t="str">
        <f>IF(J309="","", IF(K309&lt;=3, "⚠️ 薄弱环节: "&amp;INDEX($E$1:$I$1, MATCH(MIN(E309:I309), E309:I309, 0))&amp;CHAR(10)&amp;"📉 考察能力: "&amp;IFERROR(VLOOKUP(TRIM(D309)&amp;"_"&amp;TRIM(INDEX($E$1:$I$1, MATCH(MIN(E309:I309), E309:I309, 0))), 技能库!$A:$F, 5, 0),"建议查阅考纲")&amp;CHAR(10)&amp;"💡 提升建议: "&amp;IFERROR(VLOOKUP(TRIM(D309)&amp;"_"&amp;TRIM(INDEX($E$1:$I$1, MATCH(MIN(E309:I309), E309:I309, 0))), 技能库!$A:$F, 6, 0),"请针对该题型加强练习"), "🎉 表现优异，无明显弱项！"))</f>
        <v/>
      </c>
      <c r="AA309" s="5" t="str">
        <f>IF(T309="","", IF(U309&lt;=3, "⚠️ 薄弱环节: "&amp;INDEX($M$1:$S$1, MATCH(MIN(M309:S309), M309:S309, 0))&amp;CHAR(10)&amp;"📉 考察能力: "&amp;IFERROR(VLOOKUP(TRIM(D309)&amp;"_"&amp;TRIM(INDEX($M$1:$S$1, MATCH(MIN(M309:S309), M309:S309, 0))), 技能库!$A:$F, 5, 0),"建议查阅考纲")&amp;CHAR(10)&amp;"💡 提升建议: "&amp;IFERROR(VLOOKUP(TRIM(D309)&amp;"_"&amp;TRIM(INDEX($M$1:$S$1, MATCH(MIN(M309:S309), M309:S309, 0))), 技能库!$A:$F, 6, 0),"请针对该题型加强练习"), "🎉 表现优异，无明显弱项！"))</f>
        <v/>
      </c>
    </row>
    <row r="310" spans="10:27" ht="18" hidden="1" customHeight="1" x14ac:dyDescent="0.2">
      <c r="J310" t="str">
        <f t="shared" si="12"/>
        <v/>
      </c>
      <c r="K310" t="str">
        <f>IF(J310="","", IFERROR(VLOOKUP(J310, IF(D310="Movers", 换算标准!$C:$D, 换算标准!$I:$J), 2, TRUE), 0))</f>
        <v/>
      </c>
      <c r="T310" t="str">
        <f t="shared" si="13"/>
        <v/>
      </c>
      <c r="U310" t="str">
        <f>IF(T310="","", IFERROR(VLOOKUP(T310, IF(D310="Movers", 换算标准!$A:$B, 换算标准!$G:$H), 2, TRUE), 0))</f>
        <v/>
      </c>
      <c r="W310" t="str">
        <f t="shared" si="14"/>
        <v/>
      </c>
      <c r="Z310" s="5" t="str">
        <f>IF(J310="","", IF(K310&lt;=3, "⚠️ 薄弱环节: "&amp;INDEX($E$1:$I$1, MATCH(MIN(E310:I310), E310:I310, 0))&amp;CHAR(10)&amp;"📉 考察能力: "&amp;IFERROR(VLOOKUP(TRIM(D310)&amp;"_"&amp;TRIM(INDEX($E$1:$I$1, MATCH(MIN(E310:I310), E310:I310, 0))), 技能库!$A:$F, 5, 0),"建议查阅考纲")&amp;CHAR(10)&amp;"💡 提升建议: "&amp;IFERROR(VLOOKUP(TRIM(D310)&amp;"_"&amp;TRIM(INDEX($E$1:$I$1, MATCH(MIN(E310:I310), E310:I310, 0))), 技能库!$A:$F, 6, 0),"请针对该题型加强练习"), "🎉 表现优异，无明显弱项！"))</f>
        <v/>
      </c>
      <c r="AA310" s="5" t="str">
        <f>IF(T310="","", IF(U310&lt;=3, "⚠️ 薄弱环节: "&amp;INDEX($M$1:$S$1, MATCH(MIN(M310:S310), M310:S310, 0))&amp;CHAR(10)&amp;"📉 考察能力: "&amp;IFERROR(VLOOKUP(TRIM(D310)&amp;"_"&amp;TRIM(INDEX($M$1:$S$1, MATCH(MIN(M310:S310), M310:S310, 0))), 技能库!$A:$F, 5, 0),"建议查阅考纲")&amp;CHAR(10)&amp;"💡 提升建议: "&amp;IFERROR(VLOOKUP(TRIM(D310)&amp;"_"&amp;TRIM(INDEX($M$1:$S$1, MATCH(MIN(M310:S310), M310:S310, 0))), 技能库!$A:$F, 6, 0),"请针对该题型加强练习"), "🎉 表现优异，无明显弱项！"))</f>
        <v/>
      </c>
    </row>
    <row r="311" spans="10:27" ht="18" hidden="1" customHeight="1" x14ac:dyDescent="0.2">
      <c r="J311" t="str">
        <f t="shared" si="12"/>
        <v/>
      </c>
      <c r="K311" t="str">
        <f>IF(J311="","", IFERROR(VLOOKUP(J311, IF(D311="Movers", 换算标准!$C:$D, 换算标准!$I:$J), 2, TRUE), 0))</f>
        <v/>
      </c>
      <c r="T311" t="str">
        <f t="shared" si="13"/>
        <v/>
      </c>
      <c r="U311" t="str">
        <f>IF(T311="","", IFERROR(VLOOKUP(T311, IF(D311="Movers", 换算标准!$A:$B, 换算标准!$G:$H), 2, TRUE), 0))</f>
        <v/>
      </c>
      <c r="W311" t="str">
        <f t="shared" si="14"/>
        <v/>
      </c>
      <c r="Z311" s="5" t="str">
        <f>IF(J311="","", IF(K311&lt;=3, "⚠️ 薄弱环节: "&amp;INDEX($E$1:$I$1, MATCH(MIN(E311:I311), E311:I311, 0))&amp;CHAR(10)&amp;"📉 考察能力: "&amp;IFERROR(VLOOKUP(TRIM(D311)&amp;"_"&amp;TRIM(INDEX($E$1:$I$1, MATCH(MIN(E311:I311), E311:I311, 0))), 技能库!$A:$F, 5, 0),"建议查阅考纲")&amp;CHAR(10)&amp;"💡 提升建议: "&amp;IFERROR(VLOOKUP(TRIM(D311)&amp;"_"&amp;TRIM(INDEX($E$1:$I$1, MATCH(MIN(E311:I311), E311:I311, 0))), 技能库!$A:$F, 6, 0),"请针对该题型加强练习"), "🎉 表现优异，无明显弱项！"))</f>
        <v/>
      </c>
      <c r="AA311" s="5" t="str">
        <f>IF(T311="","", IF(U311&lt;=3, "⚠️ 薄弱环节: "&amp;INDEX($M$1:$S$1, MATCH(MIN(M311:S311), M311:S311, 0))&amp;CHAR(10)&amp;"📉 考察能力: "&amp;IFERROR(VLOOKUP(TRIM(D311)&amp;"_"&amp;TRIM(INDEX($M$1:$S$1, MATCH(MIN(M311:S311), M311:S311, 0))), 技能库!$A:$F, 5, 0),"建议查阅考纲")&amp;CHAR(10)&amp;"💡 提升建议: "&amp;IFERROR(VLOOKUP(TRIM(D311)&amp;"_"&amp;TRIM(INDEX($M$1:$S$1, MATCH(MIN(M311:S311), M311:S311, 0))), 技能库!$A:$F, 6, 0),"请针对该题型加强练习"), "🎉 表现优异，无明显弱项！"))</f>
        <v/>
      </c>
    </row>
    <row r="312" spans="10:27" ht="18" hidden="1" customHeight="1" x14ac:dyDescent="0.2">
      <c r="J312" t="str">
        <f t="shared" si="12"/>
        <v/>
      </c>
      <c r="K312" t="str">
        <f>IF(J312="","", IFERROR(VLOOKUP(J312, IF(D312="Movers", 换算标准!$C:$D, 换算标准!$I:$J), 2, TRUE), 0))</f>
        <v/>
      </c>
      <c r="T312" t="str">
        <f t="shared" si="13"/>
        <v/>
      </c>
      <c r="U312" t="str">
        <f>IF(T312="","", IFERROR(VLOOKUP(T312, IF(D312="Movers", 换算标准!$A:$B, 换算标准!$G:$H), 2, TRUE), 0))</f>
        <v/>
      </c>
      <c r="W312" t="str">
        <f t="shared" si="14"/>
        <v/>
      </c>
      <c r="Z312" s="5" t="str">
        <f>IF(J312="","", IF(K312&lt;=3, "⚠️ 薄弱环节: "&amp;INDEX($E$1:$I$1, MATCH(MIN(E312:I312), E312:I312, 0))&amp;CHAR(10)&amp;"📉 考察能力: "&amp;IFERROR(VLOOKUP(TRIM(D312)&amp;"_"&amp;TRIM(INDEX($E$1:$I$1, MATCH(MIN(E312:I312), E312:I312, 0))), 技能库!$A:$F, 5, 0),"建议查阅考纲")&amp;CHAR(10)&amp;"💡 提升建议: "&amp;IFERROR(VLOOKUP(TRIM(D312)&amp;"_"&amp;TRIM(INDEX($E$1:$I$1, MATCH(MIN(E312:I312), E312:I312, 0))), 技能库!$A:$F, 6, 0),"请针对该题型加强练习"), "🎉 表现优异，无明显弱项！"))</f>
        <v/>
      </c>
      <c r="AA312" s="5" t="str">
        <f>IF(T312="","", IF(U312&lt;=3, "⚠️ 薄弱环节: "&amp;INDEX($M$1:$S$1, MATCH(MIN(M312:S312), M312:S312, 0))&amp;CHAR(10)&amp;"📉 考察能力: "&amp;IFERROR(VLOOKUP(TRIM(D312)&amp;"_"&amp;TRIM(INDEX($M$1:$S$1, MATCH(MIN(M312:S312), M312:S312, 0))), 技能库!$A:$F, 5, 0),"建议查阅考纲")&amp;CHAR(10)&amp;"💡 提升建议: "&amp;IFERROR(VLOOKUP(TRIM(D312)&amp;"_"&amp;TRIM(INDEX($M$1:$S$1, MATCH(MIN(M312:S312), M312:S312, 0))), 技能库!$A:$F, 6, 0),"请针对该题型加强练习"), "🎉 表现优异，无明显弱项！"))</f>
        <v/>
      </c>
    </row>
    <row r="313" spans="10:27" ht="18" hidden="1" customHeight="1" x14ac:dyDescent="0.2">
      <c r="J313" t="str">
        <f t="shared" si="12"/>
        <v/>
      </c>
      <c r="K313" t="str">
        <f>IF(J313="","", IFERROR(VLOOKUP(J313, IF(D313="Movers", 换算标准!$C:$D, 换算标准!$I:$J), 2, TRUE), 0))</f>
        <v/>
      </c>
      <c r="T313" t="str">
        <f t="shared" si="13"/>
        <v/>
      </c>
      <c r="U313" t="str">
        <f>IF(T313="","", IFERROR(VLOOKUP(T313, IF(D313="Movers", 换算标准!$A:$B, 换算标准!$G:$H), 2, TRUE), 0))</f>
        <v/>
      </c>
      <c r="W313" t="str">
        <f t="shared" si="14"/>
        <v/>
      </c>
      <c r="Z313" s="5" t="str">
        <f>IF(J313="","", IF(K313&lt;=3, "⚠️ 薄弱环节: "&amp;INDEX($E$1:$I$1, MATCH(MIN(E313:I313), E313:I313, 0))&amp;CHAR(10)&amp;"📉 考察能力: "&amp;IFERROR(VLOOKUP(TRIM(D313)&amp;"_"&amp;TRIM(INDEX($E$1:$I$1, MATCH(MIN(E313:I313), E313:I313, 0))), 技能库!$A:$F, 5, 0),"建议查阅考纲")&amp;CHAR(10)&amp;"💡 提升建议: "&amp;IFERROR(VLOOKUP(TRIM(D313)&amp;"_"&amp;TRIM(INDEX($E$1:$I$1, MATCH(MIN(E313:I313), E313:I313, 0))), 技能库!$A:$F, 6, 0),"请针对该题型加强练习"), "🎉 表现优异，无明显弱项！"))</f>
        <v/>
      </c>
      <c r="AA313" s="5" t="str">
        <f>IF(T313="","", IF(U313&lt;=3, "⚠️ 薄弱环节: "&amp;INDEX($M$1:$S$1, MATCH(MIN(M313:S313), M313:S313, 0))&amp;CHAR(10)&amp;"📉 考察能力: "&amp;IFERROR(VLOOKUP(TRIM(D313)&amp;"_"&amp;TRIM(INDEX($M$1:$S$1, MATCH(MIN(M313:S313), M313:S313, 0))), 技能库!$A:$F, 5, 0),"建议查阅考纲")&amp;CHAR(10)&amp;"💡 提升建议: "&amp;IFERROR(VLOOKUP(TRIM(D313)&amp;"_"&amp;TRIM(INDEX($M$1:$S$1, MATCH(MIN(M313:S313), M313:S313, 0))), 技能库!$A:$F, 6, 0),"请针对该题型加强练习"), "🎉 表现优异，无明显弱项！"))</f>
        <v/>
      </c>
    </row>
    <row r="314" spans="10:27" ht="18" hidden="1" customHeight="1" x14ac:dyDescent="0.2">
      <c r="J314" t="str">
        <f t="shared" si="12"/>
        <v/>
      </c>
      <c r="K314" t="str">
        <f>IF(J314="","", IFERROR(VLOOKUP(J314, IF(D314="Movers", 换算标准!$C:$D, 换算标准!$I:$J), 2, TRUE), 0))</f>
        <v/>
      </c>
      <c r="T314" t="str">
        <f t="shared" si="13"/>
        <v/>
      </c>
      <c r="U314" t="str">
        <f>IF(T314="","", IFERROR(VLOOKUP(T314, IF(D314="Movers", 换算标准!$A:$B, 换算标准!$G:$H), 2, TRUE), 0))</f>
        <v/>
      </c>
      <c r="W314" t="str">
        <f t="shared" si="14"/>
        <v/>
      </c>
      <c r="Z314" s="5" t="str">
        <f>IF(J314="","", IF(K314&lt;=3, "⚠️ 薄弱环节: "&amp;INDEX($E$1:$I$1, MATCH(MIN(E314:I314), E314:I314, 0))&amp;CHAR(10)&amp;"📉 考察能力: "&amp;IFERROR(VLOOKUP(TRIM(D314)&amp;"_"&amp;TRIM(INDEX($E$1:$I$1, MATCH(MIN(E314:I314), E314:I314, 0))), 技能库!$A:$F, 5, 0),"建议查阅考纲")&amp;CHAR(10)&amp;"💡 提升建议: "&amp;IFERROR(VLOOKUP(TRIM(D314)&amp;"_"&amp;TRIM(INDEX($E$1:$I$1, MATCH(MIN(E314:I314), E314:I314, 0))), 技能库!$A:$F, 6, 0),"请针对该题型加强练习"), "🎉 表现优异，无明显弱项！"))</f>
        <v/>
      </c>
      <c r="AA314" s="5" t="str">
        <f>IF(T314="","", IF(U314&lt;=3, "⚠️ 薄弱环节: "&amp;INDEX($M$1:$S$1, MATCH(MIN(M314:S314), M314:S314, 0))&amp;CHAR(10)&amp;"📉 考察能力: "&amp;IFERROR(VLOOKUP(TRIM(D314)&amp;"_"&amp;TRIM(INDEX($M$1:$S$1, MATCH(MIN(M314:S314), M314:S314, 0))), 技能库!$A:$F, 5, 0),"建议查阅考纲")&amp;CHAR(10)&amp;"💡 提升建议: "&amp;IFERROR(VLOOKUP(TRIM(D314)&amp;"_"&amp;TRIM(INDEX($M$1:$S$1, MATCH(MIN(M314:S314), M314:S314, 0))), 技能库!$A:$F, 6, 0),"请针对该题型加强练习"), "🎉 表现优异，无明显弱项！"))</f>
        <v/>
      </c>
    </row>
    <row r="315" spans="10:27" ht="18" hidden="1" customHeight="1" x14ac:dyDescent="0.2">
      <c r="J315" t="str">
        <f t="shared" si="12"/>
        <v/>
      </c>
      <c r="K315" t="str">
        <f>IF(J315="","", IFERROR(VLOOKUP(J315, IF(D315="Movers", 换算标准!$C:$D, 换算标准!$I:$J), 2, TRUE), 0))</f>
        <v/>
      </c>
      <c r="T315" t="str">
        <f t="shared" si="13"/>
        <v/>
      </c>
      <c r="U315" t="str">
        <f>IF(T315="","", IFERROR(VLOOKUP(T315, IF(D315="Movers", 换算标准!$A:$B, 换算标准!$G:$H), 2, TRUE), 0))</f>
        <v/>
      </c>
      <c r="W315" t="str">
        <f t="shared" si="14"/>
        <v/>
      </c>
      <c r="Z315" s="5" t="str">
        <f>IF(J315="","", IF(K315&lt;=3, "⚠️ 薄弱环节: "&amp;INDEX($E$1:$I$1, MATCH(MIN(E315:I315), E315:I315, 0))&amp;CHAR(10)&amp;"📉 考察能力: "&amp;IFERROR(VLOOKUP(TRIM(D315)&amp;"_"&amp;TRIM(INDEX($E$1:$I$1, MATCH(MIN(E315:I315), E315:I315, 0))), 技能库!$A:$F, 5, 0),"建议查阅考纲")&amp;CHAR(10)&amp;"💡 提升建议: "&amp;IFERROR(VLOOKUP(TRIM(D315)&amp;"_"&amp;TRIM(INDEX($E$1:$I$1, MATCH(MIN(E315:I315), E315:I315, 0))), 技能库!$A:$F, 6, 0),"请针对该题型加强练习"), "🎉 表现优异，无明显弱项！"))</f>
        <v/>
      </c>
      <c r="AA315" s="5" t="str">
        <f>IF(T315="","", IF(U315&lt;=3, "⚠️ 薄弱环节: "&amp;INDEX($M$1:$S$1, MATCH(MIN(M315:S315), M315:S315, 0))&amp;CHAR(10)&amp;"📉 考察能力: "&amp;IFERROR(VLOOKUP(TRIM(D315)&amp;"_"&amp;TRIM(INDEX($M$1:$S$1, MATCH(MIN(M315:S315), M315:S315, 0))), 技能库!$A:$F, 5, 0),"建议查阅考纲")&amp;CHAR(10)&amp;"💡 提升建议: "&amp;IFERROR(VLOOKUP(TRIM(D315)&amp;"_"&amp;TRIM(INDEX($M$1:$S$1, MATCH(MIN(M315:S315), M315:S315, 0))), 技能库!$A:$F, 6, 0),"请针对该题型加强练习"), "🎉 表现优异，无明显弱项！"))</f>
        <v/>
      </c>
    </row>
    <row r="316" spans="10:27" ht="18" hidden="1" customHeight="1" x14ac:dyDescent="0.2">
      <c r="J316" t="str">
        <f t="shared" si="12"/>
        <v/>
      </c>
      <c r="K316" t="str">
        <f>IF(J316="","", IFERROR(VLOOKUP(J316, IF(D316="Movers", 换算标准!$C:$D, 换算标准!$I:$J), 2, TRUE), 0))</f>
        <v/>
      </c>
      <c r="T316" t="str">
        <f t="shared" si="13"/>
        <v/>
      </c>
      <c r="U316" t="str">
        <f>IF(T316="","", IFERROR(VLOOKUP(T316, IF(D316="Movers", 换算标准!$A:$B, 换算标准!$G:$H), 2, TRUE), 0))</f>
        <v/>
      </c>
      <c r="W316" t="str">
        <f t="shared" si="14"/>
        <v/>
      </c>
      <c r="Z316" s="5" t="str">
        <f>IF(J316="","", IF(K316&lt;=3, "⚠️ 薄弱环节: "&amp;INDEX($E$1:$I$1, MATCH(MIN(E316:I316), E316:I316, 0))&amp;CHAR(10)&amp;"📉 考察能力: "&amp;IFERROR(VLOOKUP(TRIM(D316)&amp;"_"&amp;TRIM(INDEX($E$1:$I$1, MATCH(MIN(E316:I316), E316:I316, 0))), 技能库!$A:$F, 5, 0),"建议查阅考纲")&amp;CHAR(10)&amp;"💡 提升建议: "&amp;IFERROR(VLOOKUP(TRIM(D316)&amp;"_"&amp;TRIM(INDEX($E$1:$I$1, MATCH(MIN(E316:I316), E316:I316, 0))), 技能库!$A:$F, 6, 0),"请针对该题型加强练习"), "🎉 表现优异，无明显弱项！"))</f>
        <v/>
      </c>
      <c r="AA316" s="5" t="str">
        <f>IF(T316="","", IF(U316&lt;=3, "⚠️ 薄弱环节: "&amp;INDEX($M$1:$S$1, MATCH(MIN(M316:S316), M316:S316, 0))&amp;CHAR(10)&amp;"📉 考察能力: "&amp;IFERROR(VLOOKUP(TRIM(D316)&amp;"_"&amp;TRIM(INDEX($M$1:$S$1, MATCH(MIN(M316:S316), M316:S316, 0))), 技能库!$A:$F, 5, 0),"建议查阅考纲")&amp;CHAR(10)&amp;"💡 提升建议: "&amp;IFERROR(VLOOKUP(TRIM(D316)&amp;"_"&amp;TRIM(INDEX($M$1:$S$1, MATCH(MIN(M316:S316), M316:S316, 0))), 技能库!$A:$F, 6, 0),"请针对该题型加强练习"), "🎉 表现优异，无明显弱项！"))</f>
        <v/>
      </c>
    </row>
    <row r="317" spans="10:27" ht="18" hidden="1" customHeight="1" x14ac:dyDescent="0.2">
      <c r="J317" t="str">
        <f t="shared" si="12"/>
        <v/>
      </c>
      <c r="K317" t="str">
        <f>IF(J317="","", IFERROR(VLOOKUP(J317, IF(D317="Movers", 换算标准!$C:$D, 换算标准!$I:$J), 2, TRUE), 0))</f>
        <v/>
      </c>
      <c r="T317" t="str">
        <f t="shared" si="13"/>
        <v/>
      </c>
      <c r="U317" t="str">
        <f>IF(T317="","", IFERROR(VLOOKUP(T317, IF(D317="Movers", 换算标准!$A:$B, 换算标准!$G:$H), 2, TRUE), 0))</f>
        <v/>
      </c>
      <c r="W317" t="str">
        <f t="shared" si="14"/>
        <v/>
      </c>
      <c r="Z317" s="5" t="str">
        <f>IF(J317="","", IF(K317&lt;=3, "⚠️ 薄弱环节: "&amp;INDEX($E$1:$I$1, MATCH(MIN(E317:I317), E317:I317, 0))&amp;CHAR(10)&amp;"📉 考察能力: "&amp;IFERROR(VLOOKUP(TRIM(D317)&amp;"_"&amp;TRIM(INDEX($E$1:$I$1, MATCH(MIN(E317:I317), E317:I317, 0))), 技能库!$A:$F, 5, 0),"建议查阅考纲")&amp;CHAR(10)&amp;"💡 提升建议: "&amp;IFERROR(VLOOKUP(TRIM(D317)&amp;"_"&amp;TRIM(INDEX($E$1:$I$1, MATCH(MIN(E317:I317), E317:I317, 0))), 技能库!$A:$F, 6, 0),"请针对该题型加强练习"), "🎉 表现优异，无明显弱项！"))</f>
        <v/>
      </c>
      <c r="AA317" s="5" t="str">
        <f>IF(T317="","", IF(U317&lt;=3, "⚠️ 薄弱环节: "&amp;INDEX($M$1:$S$1, MATCH(MIN(M317:S317), M317:S317, 0))&amp;CHAR(10)&amp;"📉 考察能力: "&amp;IFERROR(VLOOKUP(TRIM(D317)&amp;"_"&amp;TRIM(INDEX($M$1:$S$1, MATCH(MIN(M317:S317), M317:S317, 0))), 技能库!$A:$F, 5, 0),"建议查阅考纲")&amp;CHAR(10)&amp;"💡 提升建议: "&amp;IFERROR(VLOOKUP(TRIM(D317)&amp;"_"&amp;TRIM(INDEX($M$1:$S$1, MATCH(MIN(M317:S317), M317:S317, 0))), 技能库!$A:$F, 6, 0),"请针对该题型加强练习"), "🎉 表现优异，无明显弱项！"))</f>
        <v/>
      </c>
    </row>
    <row r="318" spans="10:27" ht="18" hidden="1" customHeight="1" x14ac:dyDescent="0.2">
      <c r="J318" t="str">
        <f t="shared" si="12"/>
        <v/>
      </c>
      <c r="K318" t="str">
        <f>IF(J318="","", IFERROR(VLOOKUP(J318, IF(D318="Movers", 换算标准!$C:$D, 换算标准!$I:$J), 2, TRUE), 0))</f>
        <v/>
      </c>
      <c r="T318" t="str">
        <f t="shared" si="13"/>
        <v/>
      </c>
      <c r="U318" t="str">
        <f>IF(T318="","", IFERROR(VLOOKUP(T318, IF(D318="Movers", 换算标准!$A:$B, 换算标准!$G:$H), 2, TRUE), 0))</f>
        <v/>
      </c>
      <c r="W318" t="str">
        <f t="shared" si="14"/>
        <v/>
      </c>
      <c r="Z318" s="5" t="str">
        <f>IF(J318="","", IF(K318&lt;=3, "⚠️ 薄弱环节: "&amp;INDEX($E$1:$I$1, MATCH(MIN(E318:I318), E318:I318, 0))&amp;CHAR(10)&amp;"📉 考察能力: "&amp;IFERROR(VLOOKUP(TRIM(D318)&amp;"_"&amp;TRIM(INDEX($E$1:$I$1, MATCH(MIN(E318:I318), E318:I318, 0))), 技能库!$A:$F, 5, 0),"建议查阅考纲")&amp;CHAR(10)&amp;"💡 提升建议: "&amp;IFERROR(VLOOKUP(TRIM(D318)&amp;"_"&amp;TRIM(INDEX($E$1:$I$1, MATCH(MIN(E318:I318), E318:I318, 0))), 技能库!$A:$F, 6, 0),"请针对该题型加强练习"), "🎉 表现优异，无明显弱项！"))</f>
        <v/>
      </c>
      <c r="AA318" s="5" t="str">
        <f>IF(T318="","", IF(U318&lt;=3, "⚠️ 薄弱环节: "&amp;INDEX($M$1:$S$1, MATCH(MIN(M318:S318), M318:S318, 0))&amp;CHAR(10)&amp;"📉 考察能力: "&amp;IFERROR(VLOOKUP(TRIM(D318)&amp;"_"&amp;TRIM(INDEX($M$1:$S$1, MATCH(MIN(M318:S318), M318:S318, 0))), 技能库!$A:$F, 5, 0),"建议查阅考纲")&amp;CHAR(10)&amp;"💡 提升建议: "&amp;IFERROR(VLOOKUP(TRIM(D318)&amp;"_"&amp;TRIM(INDEX($M$1:$S$1, MATCH(MIN(M318:S318), M318:S318, 0))), 技能库!$A:$F, 6, 0),"请针对该题型加强练习"), "🎉 表现优异，无明显弱项！"))</f>
        <v/>
      </c>
    </row>
    <row r="319" spans="10:27" ht="18" hidden="1" customHeight="1" x14ac:dyDescent="0.2">
      <c r="J319" t="str">
        <f t="shared" si="12"/>
        <v/>
      </c>
      <c r="K319" t="str">
        <f>IF(J319="","", IFERROR(VLOOKUP(J319, IF(D319="Movers", 换算标准!$C:$D, 换算标准!$I:$J), 2, TRUE), 0))</f>
        <v/>
      </c>
      <c r="T319" t="str">
        <f t="shared" si="13"/>
        <v/>
      </c>
      <c r="U319" t="str">
        <f>IF(T319="","", IFERROR(VLOOKUP(T319, IF(D319="Movers", 换算标准!$A:$B, 换算标准!$G:$H), 2, TRUE), 0))</f>
        <v/>
      </c>
      <c r="W319" t="str">
        <f t="shared" si="14"/>
        <v/>
      </c>
      <c r="Z319" s="5" t="str">
        <f>IF(J319="","", IF(K319&lt;=3, "⚠️ 薄弱环节: "&amp;INDEX($E$1:$I$1, MATCH(MIN(E319:I319), E319:I319, 0))&amp;CHAR(10)&amp;"📉 考察能力: "&amp;IFERROR(VLOOKUP(TRIM(D319)&amp;"_"&amp;TRIM(INDEX($E$1:$I$1, MATCH(MIN(E319:I319), E319:I319, 0))), 技能库!$A:$F, 5, 0),"建议查阅考纲")&amp;CHAR(10)&amp;"💡 提升建议: "&amp;IFERROR(VLOOKUP(TRIM(D319)&amp;"_"&amp;TRIM(INDEX($E$1:$I$1, MATCH(MIN(E319:I319), E319:I319, 0))), 技能库!$A:$F, 6, 0),"请针对该题型加强练习"), "🎉 表现优异，无明显弱项！"))</f>
        <v/>
      </c>
      <c r="AA319" s="5" t="str">
        <f>IF(T319="","", IF(U319&lt;=3, "⚠️ 薄弱环节: "&amp;INDEX($M$1:$S$1, MATCH(MIN(M319:S319), M319:S319, 0))&amp;CHAR(10)&amp;"📉 考察能力: "&amp;IFERROR(VLOOKUP(TRIM(D319)&amp;"_"&amp;TRIM(INDEX($M$1:$S$1, MATCH(MIN(M319:S319), M319:S319, 0))), 技能库!$A:$F, 5, 0),"建议查阅考纲")&amp;CHAR(10)&amp;"💡 提升建议: "&amp;IFERROR(VLOOKUP(TRIM(D319)&amp;"_"&amp;TRIM(INDEX($M$1:$S$1, MATCH(MIN(M319:S319), M319:S319, 0))), 技能库!$A:$F, 6, 0),"请针对该题型加强练习"), "🎉 表现优异，无明显弱项！"))</f>
        <v/>
      </c>
    </row>
    <row r="320" spans="10:27" ht="18" hidden="1" customHeight="1" x14ac:dyDescent="0.2">
      <c r="J320" t="str">
        <f t="shared" si="12"/>
        <v/>
      </c>
      <c r="K320" t="str">
        <f>IF(J320="","", IFERROR(VLOOKUP(J320, IF(D320="Movers", 换算标准!$C:$D, 换算标准!$I:$J), 2, TRUE), 0))</f>
        <v/>
      </c>
      <c r="T320" t="str">
        <f t="shared" si="13"/>
        <v/>
      </c>
      <c r="U320" t="str">
        <f>IF(T320="","", IFERROR(VLOOKUP(T320, IF(D320="Movers", 换算标准!$A:$B, 换算标准!$G:$H), 2, TRUE), 0))</f>
        <v/>
      </c>
      <c r="W320" t="str">
        <f t="shared" si="14"/>
        <v/>
      </c>
      <c r="Z320" s="5" t="str">
        <f>IF(J320="","", IF(K320&lt;=3, "⚠️ 薄弱环节: "&amp;INDEX($E$1:$I$1, MATCH(MIN(E320:I320), E320:I320, 0))&amp;CHAR(10)&amp;"📉 考察能力: "&amp;IFERROR(VLOOKUP(TRIM(D320)&amp;"_"&amp;TRIM(INDEX($E$1:$I$1, MATCH(MIN(E320:I320), E320:I320, 0))), 技能库!$A:$F, 5, 0),"建议查阅考纲")&amp;CHAR(10)&amp;"💡 提升建议: "&amp;IFERROR(VLOOKUP(TRIM(D320)&amp;"_"&amp;TRIM(INDEX($E$1:$I$1, MATCH(MIN(E320:I320), E320:I320, 0))), 技能库!$A:$F, 6, 0),"请针对该题型加强练习"), "🎉 表现优异，无明显弱项！"))</f>
        <v/>
      </c>
      <c r="AA320" s="5" t="str">
        <f>IF(T320="","", IF(U320&lt;=3, "⚠️ 薄弱环节: "&amp;INDEX($M$1:$S$1, MATCH(MIN(M320:S320), M320:S320, 0))&amp;CHAR(10)&amp;"📉 考察能力: "&amp;IFERROR(VLOOKUP(TRIM(D320)&amp;"_"&amp;TRIM(INDEX($M$1:$S$1, MATCH(MIN(M320:S320), M320:S320, 0))), 技能库!$A:$F, 5, 0),"建议查阅考纲")&amp;CHAR(10)&amp;"💡 提升建议: "&amp;IFERROR(VLOOKUP(TRIM(D320)&amp;"_"&amp;TRIM(INDEX($M$1:$S$1, MATCH(MIN(M320:S320), M320:S320, 0))), 技能库!$A:$F, 6, 0),"请针对该题型加强练习"), "🎉 表现优异，无明显弱项！"))</f>
        <v/>
      </c>
    </row>
    <row r="321" spans="10:27" ht="18" hidden="1" customHeight="1" x14ac:dyDescent="0.2">
      <c r="J321" t="str">
        <f t="shared" si="12"/>
        <v/>
      </c>
      <c r="K321" t="str">
        <f>IF(J321="","", IFERROR(VLOOKUP(J321, IF(D321="Movers", 换算标准!$C:$D, 换算标准!$I:$J), 2, TRUE), 0))</f>
        <v/>
      </c>
      <c r="T321" t="str">
        <f t="shared" si="13"/>
        <v/>
      </c>
      <c r="U321" t="str">
        <f>IF(T321="","", IFERROR(VLOOKUP(T321, IF(D321="Movers", 换算标准!$A:$B, 换算标准!$G:$H), 2, TRUE), 0))</f>
        <v/>
      </c>
      <c r="W321" t="str">
        <f t="shared" si="14"/>
        <v/>
      </c>
      <c r="Z321" s="5" t="str">
        <f>IF(J321="","", IF(K321&lt;=3, "⚠️ 薄弱环节: "&amp;INDEX($E$1:$I$1, MATCH(MIN(E321:I321), E321:I321, 0))&amp;CHAR(10)&amp;"📉 考察能力: "&amp;IFERROR(VLOOKUP(TRIM(D321)&amp;"_"&amp;TRIM(INDEX($E$1:$I$1, MATCH(MIN(E321:I321), E321:I321, 0))), 技能库!$A:$F, 5, 0),"建议查阅考纲")&amp;CHAR(10)&amp;"💡 提升建议: "&amp;IFERROR(VLOOKUP(TRIM(D321)&amp;"_"&amp;TRIM(INDEX($E$1:$I$1, MATCH(MIN(E321:I321), E321:I321, 0))), 技能库!$A:$F, 6, 0),"请针对该题型加强练习"), "🎉 表现优异，无明显弱项！"))</f>
        <v/>
      </c>
      <c r="AA321" s="5" t="str">
        <f>IF(T321="","", IF(U321&lt;=3, "⚠️ 薄弱环节: "&amp;INDEX($M$1:$S$1, MATCH(MIN(M321:S321), M321:S321, 0))&amp;CHAR(10)&amp;"📉 考察能力: "&amp;IFERROR(VLOOKUP(TRIM(D321)&amp;"_"&amp;TRIM(INDEX($M$1:$S$1, MATCH(MIN(M321:S321), M321:S321, 0))), 技能库!$A:$F, 5, 0),"建议查阅考纲")&amp;CHAR(10)&amp;"💡 提升建议: "&amp;IFERROR(VLOOKUP(TRIM(D321)&amp;"_"&amp;TRIM(INDEX($M$1:$S$1, MATCH(MIN(M321:S321), M321:S321, 0))), 技能库!$A:$F, 6, 0),"请针对该题型加强练习"), "🎉 表现优异，无明显弱项！"))</f>
        <v/>
      </c>
    </row>
    <row r="322" spans="10:27" ht="18" hidden="1" customHeight="1" x14ac:dyDescent="0.2">
      <c r="J322" t="str">
        <f t="shared" ref="J322:J385" si="15">IF(COUNT(E322:I322)&gt;0, SUM(E322:I322), "")</f>
        <v/>
      </c>
      <c r="K322" t="str">
        <f>IF(J322="","", IFERROR(VLOOKUP(J322, IF(D322="Movers", 换算标准!$C:$D, 换算标准!$I:$J), 2, TRUE), 0))</f>
        <v/>
      </c>
      <c r="T322" t="str">
        <f t="shared" ref="T322:T385" si="16">IF(COUNT(M322:S322)&gt;0, SUM(M322:S322), "")</f>
        <v/>
      </c>
      <c r="U322" t="str">
        <f>IF(T322="","", IFERROR(VLOOKUP(T322, IF(D322="Movers", 换算标准!$A:$B, 换算标准!$G:$H), 2, TRUE), 0))</f>
        <v/>
      </c>
      <c r="W322" t="str">
        <f t="shared" ref="W322:W385" si="17">IF(AND(K322&lt;&gt;"", U322&lt;&gt;""), K322+U322, "")</f>
        <v/>
      </c>
      <c r="Z322" s="5" t="str">
        <f>IF(J322="","", IF(K322&lt;=3, "⚠️ 薄弱环节: "&amp;INDEX($E$1:$I$1, MATCH(MIN(E322:I322), E322:I322, 0))&amp;CHAR(10)&amp;"📉 考察能力: "&amp;IFERROR(VLOOKUP(TRIM(D322)&amp;"_"&amp;TRIM(INDEX($E$1:$I$1, MATCH(MIN(E322:I322), E322:I322, 0))), 技能库!$A:$F, 5, 0),"建议查阅考纲")&amp;CHAR(10)&amp;"💡 提升建议: "&amp;IFERROR(VLOOKUP(TRIM(D322)&amp;"_"&amp;TRIM(INDEX($E$1:$I$1, MATCH(MIN(E322:I322), E322:I322, 0))), 技能库!$A:$F, 6, 0),"请针对该题型加强练习"), "🎉 表现优异，无明显弱项！"))</f>
        <v/>
      </c>
      <c r="AA322" s="5" t="str">
        <f>IF(T322="","", IF(U322&lt;=3, "⚠️ 薄弱环节: "&amp;INDEX($M$1:$S$1, MATCH(MIN(M322:S322), M322:S322, 0))&amp;CHAR(10)&amp;"📉 考察能力: "&amp;IFERROR(VLOOKUP(TRIM(D322)&amp;"_"&amp;TRIM(INDEX($M$1:$S$1, MATCH(MIN(M322:S322), M322:S322, 0))), 技能库!$A:$F, 5, 0),"建议查阅考纲")&amp;CHAR(10)&amp;"💡 提升建议: "&amp;IFERROR(VLOOKUP(TRIM(D322)&amp;"_"&amp;TRIM(INDEX($M$1:$S$1, MATCH(MIN(M322:S322), M322:S322, 0))), 技能库!$A:$F, 6, 0),"请针对该题型加强练习"), "🎉 表现优异，无明显弱项！"))</f>
        <v/>
      </c>
    </row>
    <row r="323" spans="10:27" ht="18" hidden="1" customHeight="1" x14ac:dyDescent="0.2">
      <c r="J323" t="str">
        <f t="shared" si="15"/>
        <v/>
      </c>
      <c r="K323" t="str">
        <f>IF(J323="","", IFERROR(VLOOKUP(J323, IF(D323="Movers", 换算标准!$C:$D, 换算标准!$I:$J), 2, TRUE), 0))</f>
        <v/>
      </c>
      <c r="T323" t="str">
        <f t="shared" si="16"/>
        <v/>
      </c>
      <c r="U323" t="str">
        <f>IF(T323="","", IFERROR(VLOOKUP(T323, IF(D323="Movers", 换算标准!$A:$B, 换算标准!$G:$H), 2, TRUE), 0))</f>
        <v/>
      </c>
      <c r="W323" t="str">
        <f t="shared" si="17"/>
        <v/>
      </c>
      <c r="Z323" s="5" t="str">
        <f>IF(J323="","", IF(K323&lt;=3, "⚠️ 薄弱环节: "&amp;INDEX($E$1:$I$1, MATCH(MIN(E323:I323), E323:I323, 0))&amp;CHAR(10)&amp;"📉 考察能力: "&amp;IFERROR(VLOOKUP(TRIM(D323)&amp;"_"&amp;TRIM(INDEX($E$1:$I$1, MATCH(MIN(E323:I323), E323:I323, 0))), 技能库!$A:$F, 5, 0),"建议查阅考纲")&amp;CHAR(10)&amp;"💡 提升建议: "&amp;IFERROR(VLOOKUP(TRIM(D323)&amp;"_"&amp;TRIM(INDEX($E$1:$I$1, MATCH(MIN(E323:I323), E323:I323, 0))), 技能库!$A:$F, 6, 0),"请针对该题型加强练习"), "🎉 表现优异，无明显弱项！"))</f>
        <v/>
      </c>
      <c r="AA323" s="5" t="str">
        <f>IF(T323="","", IF(U323&lt;=3, "⚠️ 薄弱环节: "&amp;INDEX($M$1:$S$1, MATCH(MIN(M323:S323), M323:S323, 0))&amp;CHAR(10)&amp;"📉 考察能力: "&amp;IFERROR(VLOOKUP(TRIM(D323)&amp;"_"&amp;TRIM(INDEX($M$1:$S$1, MATCH(MIN(M323:S323), M323:S323, 0))), 技能库!$A:$F, 5, 0),"建议查阅考纲")&amp;CHAR(10)&amp;"💡 提升建议: "&amp;IFERROR(VLOOKUP(TRIM(D323)&amp;"_"&amp;TRIM(INDEX($M$1:$S$1, MATCH(MIN(M323:S323), M323:S323, 0))), 技能库!$A:$F, 6, 0),"请针对该题型加强练习"), "🎉 表现优异，无明显弱项！"))</f>
        <v/>
      </c>
    </row>
    <row r="324" spans="10:27" ht="18" hidden="1" customHeight="1" x14ac:dyDescent="0.2">
      <c r="J324" t="str">
        <f t="shared" si="15"/>
        <v/>
      </c>
      <c r="K324" t="str">
        <f>IF(J324="","", IFERROR(VLOOKUP(J324, IF(D324="Movers", 换算标准!$C:$D, 换算标准!$I:$J), 2, TRUE), 0))</f>
        <v/>
      </c>
      <c r="T324" t="str">
        <f t="shared" si="16"/>
        <v/>
      </c>
      <c r="U324" t="str">
        <f>IF(T324="","", IFERROR(VLOOKUP(T324, IF(D324="Movers", 换算标准!$A:$B, 换算标准!$G:$H), 2, TRUE), 0))</f>
        <v/>
      </c>
      <c r="W324" t="str">
        <f t="shared" si="17"/>
        <v/>
      </c>
      <c r="Z324" s="5" t="str">
        <f>IF(J324="","", IF(K324&lt;=3, "⚠️ 薄弱环节: "&amp;INDEX($E$1:$I$1, MATCH(MIN(E324:I324), E324:I324, 0))&amp;CHAR(10)&amp;"📉 考察能力: "&amp;IFERROR(VLOOKUP(TRIM(D324)&amp;"_"&amp;TRIM(INDEX($E$1:$I$1, MATCH(MIN(E324:I324), E324:I324, 0))), 技能库!$A:$F, 5, 0),"建议查阅考纲")&amp;CHAR(10)&amp;"💡 提升建议: "&amp;IFERROR(VLOOKUP(TRIM(D324)&amp;"_"&amp;TRIM(INDEX($E$1:$I$1, MATCH(MIN(E324:I324), E324:I324, 0))), 技能库!$A:$F, 6, 0),"请针对该题型加强练习"), "🎉 表现优异，无明显弱项！"))</f>
        <v/>
      </c>
      <c r="AA324" s="5" t="str">
        <f>IF(T324="","", IF(U324&lt;=3, "⚠️ 薄弱环节: "&amp;INDEX($M$1:$S$1, MATCH(MIN(M324:S324), M324:S324, 0))&amp;CHAR(10)&amp;"📉 考察能力: "&amp;IFERROR(VLOOKUP(TRIM(D324)&amp;"_"&amp;TRIM(INDEX($M$1:$S$1, MATCH(MIN(M324:S324), M324:S324, 0))), 技能库!$A:$F, 5, 0),"建议查阅考纲")&amp;CHAR(10)&amp;"💡 提升建议: "&amp;IFERROR(VLOOKUP(TRIM(D324)&amp;"_"&amp;TRIM(INDEX($M$1:$S$1, MATCH(MIN(M324:S324), M324:S324, 0))), 技能库!$A:$F, 6, 0),"请针对该题型加强练习"), "🎉 表现优异，无明显弱项！"))</f>
        <v/>
      </c>
    </row>
    <row r="325" spans="10:27" ht="18" hidden="1" customHeight="1" x14ac:dyDescent="0.2">
      <c r="J325" t="str">
        <f t="shared" si="15"/>
        <v/>
      </c>
      <c r="K325" t="str">
        <f>IF(J325="","", IFERROR(VLOOKUP(J325, IF(D325="Movers", 换算标准!$C:$D, 换算标准!$I:$J), 2, TRUE), 0))</f>
        <v/>
      </c>
      <c r="T325" t="str">
        <f t="shared" si="16"/>
        <v/>
      </c>
      <c r="U325" t="str">
        <f>IF(T325="","", IFERROR(VLOOKUP(T325, IF(D325="Movers", 换算标准!$A:$B, 换算标准!$G:$H), 2, TRUE), 0))</f>
        <v/>
      </c>
      <c r="W325" t="str">
        <f t="shared" si="17"/>
        <v/>
      </c>
      <c r="Z325" s="5" t="str">
        <f>IF(J325="","", IF(K325&lt;=3, "⚠️ 薄弱环节: "&amp;INDEX($E$1:$I$1, MATCH(MIN(E325:I325), E325:I325, 0))&amp;CHAR(10)&amp;"📉 考察能力: "&amp;IFERROR(VLOOKUP(TRIM(D325)&amp;"_"&amp;TRIM(INDEX($E$1:$I$1, MATCH(MIN(E325:I325), E325:I325, 0))), 技能库!$A:$F, 5, 0),"建议查阅考纲")&amp;CHAR(10)&amp;"💡 提升建议: "&amp;IFERROR(VLOOKUP(TRIM(D325)&amp;"_"&amp;TRIM(INDEX($E$1:$I$1, MATCH(MIN(E325:I325), E325:I325, 0))), 技能库!$A:$F, 6, 0),"请针对该题型加强练习"), "🎉 表现优异，无明显弱项！"))</f>
        <v/>
      </c>
      <c r="AA325" s="5" t="str">
        <f>IF(T325="","", IF(U325&lt;=3, "⚠️ 薄弱环节: "&amp;INDEX($M$1:$S$1, MATCH(MIN(M325:S325), M325:S325, 0))&amp;CHAR(10)&amp;"📉 考察能力: "&amp;IFERROR(VLOOKUP(TRIM(D325)&amp;"_"&amp;TRIM(INDEX($M$1:$S$1, MATCH(MIN(M325:S325), M325:S325, 0))), 技能库!$A:$F, 5, 0),"建议查阅考纲")&amp;CHAR(10)&amp;"💡 提升建议: "&amp;IFERROR(VLOOKUP(TRIM(D325)&amp;"_"&amp;TRIM(INDEX($M$1:$S$1, MATCH(MIN(M325:S325), M325:S325, 0))), 技能库!$A:$F, 6, 0),"请针对该题型加强练习"), "🎉 表现优异，无明显弱项！"))</f>
        <v/>
      </c>
    </row>
    <row r="326" spans="10:27" ht="18" hidden="1" customHeight="1" x14ac:dyDescent="0.2">
      <c r="J326" t="str">
        <f t="shared" si="15"/>
        <v/>
      </c>
      <c r="K326" t="str">
        <f>IF(J326="","", IFERROR(VLOOKUP(J326, IF(D326="Movers", 换算标准!$C:$D, 换算标准!$I:$J), 2, TRUE), 0))</f>
        <v/>
      </c>
      <c r="T326" t="str">
        <f t="shared" si="16"/>
        <v/>
      </c>
      <c r="U326" t="str">
        <f>IF(T326="","", IFERROR(VLOOKUP(T326, IF(D326="Movers", 换算标准!$A:$B, 换算标准!$G:$H), 2, TRUE), 0))</f>
        <v/>
      </c>
      <c r="W326" t="str">
        <f t="shared" si="17"/>
        <v/>
      </c>
      <c r="Z326" s="5" t="str">
        <f>IF(J326="","", IF(K326&lt;=3, "⚠️ 薄弱环节: "&amp;INDEX($E$1:$I$1, MATCH(MIN(E326:I326), E326:I326, 0))&amp;CHAR(10)&amp;"📉 考察能力: "&amp;IFERROR(VLOOKUP(TRIM(D326)&amp;"_"&amp;TRIM(INDEX($E$1:$I$1, MATCH(MIN(E326:I326), E326:I326, 0))), 技能库!$A:$F, 5, 0),"建议查阅考纲")&amp;CHAR(10)&amp;"💡 提升建议: "&amp;IFERROR(VLOOKUP(TRIM(D326)&amp;"_"&amp;TRIM(INDEX($E$1:$I$1, MATCH(MIN(E326:I326), E326:I326, 0))), 技能库!$A:$F, 6, 0),"请针对该题型加强练习"), "🎉 表现优异，无明显弱项！"))</f>
        <v/>
      </c>
      <c r="AA326" s="5" t="str">
        <f>IF(T326="","", IF(U326&lt;=3, "⚠️ 薄弱环节: "&amp;INDEX($M$1:$S$1, MATCH(MIN(M326:S326), M326:S326, 0))&amp;CHAR(10)&amp;"📉 考察能力: "&amp;IFERROR(VLOOKUP(TRIM(D326)&amp;"_"&amp;TRIM(INDEX($M$1:$S$1, MATCH(MIN(M326:S326), M326:S326, 0))), 技能库!$A:$F, 5, 0),"建议查阅考纲")&amp;CHAR(10)&amp;"💡 提升建议: "&amp;IFERROR(VLOOKUP(TRIM(D326)&amp;"_"&amp;TRIM(INDEX($M$1:$S$1, MATCH(MIN(M326:S326), M326:S326, 0))), 技能库!$A:$F, 6, 0),"请针对该题型加强练习"), "🎉 表现优异，无明显弱项！"))</f>
        <v/>
      </c>
    </row>
    <row r="327" spans="10:27" ht="18" hidden="1" customHeight="1" x14ac:dyDescent="0.2">
      <c r="J327" t="str">
        <f t="shared" si="15"/>
        <v/>
      </c>
      <c r="K327" t="str">
        <f>IF(J327="","", IFERROR(VLOOKUP(J327, IF(D327="Movers", 换算标准!$C:$D, 换算标准!$I:$J), 2, TRUE), 0))</f>
        <v/>
      </c>
      <c r="T327" t="str">
        <f t="shared" si="16"/>
        <v/>
      </c>
      <c r="U327" t="str">
        <f>IF(T327="","", IFERROR(VLOOKUP(T327, IF(D327="Movers", 换算标准!$A:$B, 换算标准!$G:$H), 2, TRUE), 0))</f>
        <v/>
      </c>
      <c r="W327" t="str">
        <f t="shared" si="17"/>
        <v/>
      </c>
      <c r="Z327" s="5" t="str">
        <f>IF(J327="","", IF(K327&lt;=3, "⚠️ 薄弱环节: "&amp;INDEX($E$1:$I$1, MATCH(MIN(E327:I327), E327:I327, 0))&amp;CHAR(10)&amp;"📉 考察能力: "&amp;IFERROR(VLOOKUP(TRIM(D327)&amp;"_"&amp;TRIM(INDEX($E$1:$I$1, MATCH(MIN(E327:I327), E327:I327, 0))), 技能库!$A:$F, 5, 0),"建议查阅考纲")&amp;CHAR(10)&amp;"💡 提升建议: "&amp;IFERROR(VLOOKUP(TRIM(D327)&amp;"_"&amp;TRIM(INDEX($E$1:$I$1, MATCH(MIN(E327:I327), E327:I327, 0))), 技能库!$A:$F, 6, 0),"请针对该题型加强练习"), "🎉 表现优异，无明显弱项！"))</f>
        <v/>
      </c>
      <c r="AA327" s="5" t="str">
        <f>IF(T327="","", IF(U327&lt;=3, "⚠️ 薄弱环节: "&amp;INDEX($M$1:$S$1, MATCH(MIN(M327:S327), M327:S327, 0))&amp;CHAR(10)&amp;"📉 考察能力: "&amp;IFERROR(VLOOKUP(TRIM(D327)&amp;"_"&amp;TRIM(INDEX($M$1:$S$1, MATCH(MIN(M327:S327), M327:S327, 0))), 技能库!$A:$F, 5, 0),"建议查阅考纲")&amp;CHAR(10)&amp;"💡 提升建议: "&amp;IFERROR(VLOOKUP(TRIM(D327)&amp;"_"&amp;TRIM(INDEX($M$1:$S$1, MATCH(MIN(M327:S327), M327:S327, 0))), 技能库!$A:$F, 6, 0),"请针对该题型加强练习"), "🎉 表现优异，无明显弱项！"))</f>
        <v/>
      </c>
    </row>
    <row r="328" spans="10:27" ht="18" hidden="1" customHeight="1" x14ac:dyDescent="0.2">
      <c r="J328" t="str">
        <f t="shared" si="15"/>
        <v/>
      </c>
      <c r="K328" t="str">
        <f>IF(J328="","", IFERROR(VLOOKUP(J328, IF(D328="Movers", 换算标准!$C:$D, 换算标准!$I:$J), 2, TRUE), 0))</f>
        <v/>
      </c>
      <c r="T328" t="str">
        <f t="shared" si="16"/>
        <v/>
      </c>
      <c r="U328" t="str">
        <f>IF(T328="","", IFERROR(VLOOKUP(T328, IF(D328="Movers", 换算标准!$A:$B, 换算标准!$G:$H), 2, TRUE), 0))</f>
        <v/>
      </c>
      <c r="W328" t="str">
        <f t="shared" si="17"/>
        <v/>
      </c>
      <c r="Z328" s="5" t="str">
        <f>IF(J328="","", IF(K328&lt;=3, "⚠️ 薄弱环节: "&amp;INDEX($E$1:$I$1, MATCH(MIN(E328:I328), E328:I328, 0))&amp;CHAR(10)&amp;"📉 考察能力: "&amp;IFERROR(VLOOKUP(TRIM(D328)&amp;"_"&amp;TRIM(INDEX($E$1:$I$1, MATCH(MIN(E328:I328), E328:I328, 0))), 技能库!$A:$F, 5, 0),"建议查阅考纲")&amp;CHAR(10)&amp;"💡 提升建议: "&amp;IFERROR(VLOOKUP(TRIM(D328)&amp;"_"&amp;TRIM(INDEX($E$1:$I$1, MATCH(MIN(E328:I328), E328:I328, 0))), 技能库!$A:$F, 6, 0),"请针对该题型加强练习"), "🎉 表现优异，无明显弱项！"))</f>
        <v/>
      </c>
      <c r="AA328" s="5" t="str">
        <f>IF(T328="","", IF(U328&lt;=3, "⚠️ 薄弱环节: "&amp;INDEX($M$1:$S$1, MATCH(MIN(M328:S328), M328:S328, 0))&amp;CHAR(10)&amp;"📉 考察能力: "&amp;IFERROR(VLOOKUP(TRIM(D328)&amp;"_"&amp;TRIM(INDEX($M$1:$S$1, MATCH(MIN(M328:S328), M328:S328, 0))), 技能库!$A:$F, 5, 0),"建议查阅考纲")&amp;CHAR(10)&amp;"💡 提升建议: "&amp;IFERROR(VLOOKUP(TRIM(D328)&amp;"_"&amp;TRIM(INDEX($M$1:$S$1, MATCH(MIN(M328:S328), M328:S328, 0))), 技能库!$A:$F, 6, 0),"请针对该题型加强练习"), "🎉 表现优异，无明显弱项！"))</f>
        <v/>
      </c>
    </row>
    <row r="329" spans="10:27" ht="18" hidden="1" customHeight="1" x14ac:dyDescent="0.2">
      <c r="J329" t="str">
        <f t="shared" si="15"/>
        <v/>
      </c>
      <c r="K329" t="str">
        <f>IF(J329="","", IFERROR(VLOOKUP(J329, IF(D329="Movers", 换算标准!$C:$D, 换算标准!$I:$J), 2, TRUE), 0))</f>
        <v/>
      </c>
      <c r="T329" t="str">
        <f t="shared" si="16"/>
        <v/>
      </c>
      <c r="U329" t="str">
        <f>IF(T329="","", IFERROR(VLOOKUP(T329, IF(D329="Movers", 换算标准!$A:$B, 换算标准!$G:$H), 2, TRUE), 0))</f>
        <v/>
      </c>
      <c r="W329" t="str">
        <f t="shared" si="17"/>
        <v/>
      </c>
      <c r="Z329" s="5" t="str">
        <f>IF(J329="","", IF(K329&lt;=3, "⚠️ 薄弱环节: "&amp;INDEX($E$1:$I$1, MATCH(MIN(E329:I329), E329:I329, 0))&amp;CHAR(10)&amp;"📉 考察能力: "&amp;IFERROR(VLOOKUP(TRIM(D329)&amp;"_"&amp;TRIM(INDEX($E$1:$I$1, MATCH(MIN(E329:I329), E329:I329, 0))), 技能库!$A:$F, 5, 0),"建议查阅考纲")&amp;CHAR(10)&amp;"💡 提升建议: "&amp;IFERROR(VLOOKUP(TRIM(D329)&amp;"_"&amp;TRIM(INDEX($E$1:$I$1, MATCH(MIN(E329:I329), E329:I329, 0))), 技能库!$A:$F, 6, 0),"请针对该题型加强练习"), "🎉 表现优异，无明显弱项！"))</f>
        <v/>
      </c>
      <c r="AA329" s="5" t="str">
        <f>IF(T329="","", IF(U329&lt;=3, "⚠️ 薄弱环节: "&amp;INDEX($M$1:$S$1, MATCH(MIN(M329:S329), M329:S329, 0))&amp;CHAR(10)&amp;"📉 考察能力: "&amp;IFERROR(VLOOKUP(TRIM(D329)&amp;"_"&amp;TRIM(INDEX($M$1:$S$1, MATCH(MIN(M329:S329), M329:S329, 0))), 技能库!$A:$F, 5, 0),"建议查阅考纲")&amp;CHAR(10)&amp;"💡 提升建议: "&amp;IFERROR(VLOOKUP(TRIM(D329)&amp;"_"&amp;TRIM(INDEX($M$1:$S$1, MATCH(MIN(M329:S329), M329:S329, 0))), 技能库!$A:$F, 6, 0),"请针对该题型加强练习"), "🎉 表现优异，无明显弱项！"))</f>
        <v/>
      </c>
    </row>
    <row r="330" spans="10:27" ht="18" hidden="1" customHeight="1" x14ac:dyDescent="0.2">
      <c r="J330" t="str">
        <f t="shared" si="15"/>
        <v/>
      </c>
      <c r="K330" t="str">
        <f>IF(J330="","", IFERROR(VLOOKUP(J330, IF(D330="Movers", 换算标准!$C:$D, 换算标准!$I:$J), 2, TRUE), 0))</f>
        <v/>
      </c>
      <c r="T330" t="str">
        <f t="shared" si="16"/>
        <v/>
      </c>
      <c r="U330" t="str">
        <f>IF(T330="","", IFERROR(VLOOKUP(T330, IF(D330="Movers", 换算标准!$A:$B, 换算标准!$G:$H), 2, TRUE), 0))</f>
        <v/>
      </c>
      <c r="W330" t="str">
        <f t="shared" si="17"/>
        <v/>
      </c>
      <c r="Z330" s="5" t="str">
        <f>IF(J330="","", IF(K330&lt;=3, "⚠️ 薄弱环节: "&amp;INDEX($E$1:$I$1, MATCH(MIN(E330:I330), E330:I330, 0))&amp;CHAR(10)&amp;"📉 考察能力: "&amp;IFERROR(VLOOKUP(TRIM(D330)&amp;"_"&amp;TRIM(INDEX($E$1:$I$1, MATCH(MIN(E330:I330), E330:I330, 0))), 技能库!$A:$F, 5, 0),"建议查阅考纲")&amp;CHAR(10)&amp;"💡 提升建议: "&amp;IFERROR(VLOOKUP(TRIM(D330)&amp;"_"&amp;TRIM(INDEX($E$1:$I$1, MATCH(MIN(E330:I330), E330:I330, 0))), 技能库!$A:$F, 6, 0),"请针对该题型加强练习"), "🎉 表现优异，无明显弱项！"))</f>
        <v/>
      </c>
      <c r="AA330" s="5" t="str">
        <f>IF(T330="","", IF(U330&lt;=3, "⚠️ 薄弱环节: "&amp;INDEX($M$1:$S$1, MATCH(MIN(M330:S330), M330:S330, 0))&amp;CHAR(10)&amp;"📉 考察能力: "&amp;IFERROR(VLOOKUP(TRIM(D330)&amp;"_"&amp;TRIM(INDEX($M$1:$S$1, MATCH(MIN(M330:S330), M330:S330, 0))), 技能库!$A:$F, 5, 0),"建议查阅考纲")&amp;CHAR(10)&amp;"💡 提升建议: "&amp;IFERROR(VLOOKUP(TRIM(D330)&amp;"_"&amp;TRIM(INDEX($M$1:$S$1, MATCH(MIN(M330:S330), M330:S330, 0))), 技能库!$A:$F, 6, 0),"请针对该题型加强练习"), "🎉 表现优异，无明显弱项！"))</f>
        <v/>
      </c>
    </row>
    <row r="331" spans="10:27" ht="18" hidden="1" customHeight="1" x14ac:dyDescent="0.2">
      <c r="J331" t="str">
        <f t="shared" si="15"/>
        <v/>
      </c>
      <c r="K331" t="str">
        <f>IF(J331="","", IFERROR(VLOOKUP(J331, IF(D331="Movers", 换算标准!$C:$D, 换算标准!$I:$J), 2, TRUE), 0))</f>
        <v/>
      </c>
      <c r="T331" t="str">
        <f t="shared" si="16"/>
        <v/>
      </c>
      <c r="U331" t="str">
        <f>IF(T331="","", IFERROR(VLOOKUP(T331, IF(D331="Movers", 换算标准!$A:$B, 换算标准!$G:$H), 2, TRUE), 0))</f>
        <v/>
      </c>
      <c r="W331" t="str">
        <f t="shared" si="17"/>
        <v/>
      </c>
      <c r="Z331" s="5" t="str">
        <f>IF(J331="","", IF(K331&lt;=3, "⚠️ 薄弱环节: "&amp;INDEX($E$1:$I$1, MATCH(MIN(E331:I331), E331:I331, 0))&amp;CHAR(10)&amp;"📉 考察能力: "&amp;IFERROR(VLOOKUP(TRIM(D331)&amp;"_"&amp;TRIM(INDEX($E$1:$I$1, MATCH(MIN(E331:I331), E331:I331, 0))), 技能库!$A:$F, 5, 0),"建议查阅考纲")&amp;CHAR(10)&amp;"💡 提升建议: "&amp;IFERROR(VLOOKUP(TRIM(D331)&amp;"_"&amp;TRIM(INDEX($E$1:$I$1, MATCH(MIN(E331:I331), E331:I331, 0))), 技能库!$A:$F, 6, 0),"请针对该题型加强练习"), "🎉 表现优异，无明显弱项！"))</f>
        <v/>
      </c>
      <c r="AA331" s="5" t="str">
        <f>IF(T331="","", IF(U331&lt;=3, "⚠️ 薄弱环节: "&amp;INDEX($M$1:$S$1, MATCH(MIN(M331:S331), M331:S331, 0))&amp;CHAR(10)&amp;"📉 考察能力: "&amp;IFERROR(VLOOKUP(TRIM(D331)&amp;"_"&amp;TRIM(INDEX($M$1:$S$1, MATCH(MIN(M331:S331), M331:S331, 0))), 技能库!$A:$F, 5, 0),"建议查阅考纲")&amp;CHAR(10)&amp;"💡 提升建议: "&amp;IFERROR(VLOOKUP(TRIM(D331)&amp;"_"&amp;TRIM(INDEX($M$1:$S$1, MATCH(MIN(M331:S331), M331:S331, 0))), 技能库!$A:$F, 6, 0),"请针对该题型加强练习"), "🎉 表现优异，无明显弱项！"))</f>
        <v/>
      </c>
    </row>
    <row r="332" spans="10:27" ht="18" hidden="1" customHeight="1" x14ac:dyDescent="0.2">
      <c r="J332" t="str">
        <f t="shared" si="15"/>
        <v/>
      </c>
      <c r="K332" t="str">
        <f>IF(J332="","", IFERROR(VLOOKUP(J332, IF(D332="Movers", 换算标准!$C:$D, 换算标准!$I:$J), 2, TRUE), 0))</f>
        <v/>
      </c>
      <c r="T332" t="str">
        <f t="shared" si="16"/>
        <v/>
      </c>
      <c r="U332" t="str">
        <f>IF(T332="","", IFERROR(VLOOKUP(T332, IF(D332="Movers", 换算标准!$A:$B, 换算标准!$G:$H), 2, TRUE), 0))</f>
        <v/>
      </c>
      <c r="W332" t="str">
        <f t="shared" si="17"/>
        <v/>
      </c>
      <c r="Z332" s="5" t="str">
        <f>IF(J332="","", IF(K332&lt;=3, "⚠️ 薄弱环节: "&amp;INDEX($E$1:$I$1, MATCH(MIN(E332:I332), E332:I332, 0))&amp;CHAR(10)&amp;"📉 考察能力: "&amp;IFERROR(VLOOKUP(TRIM(D332)&amp;"_"&amp;TRIM(INDEX($E$1:$I$1, MATCH(MIN(E332:I332), E332:I332, 0))), 技能库!$A:$F, 5, 0),"建议查阅考纲")&amp;CHAR(10)&amp;"💡 提升建议: "&amp;IFERROR(VLOOKUP(TRIM(D332)&amp;"_"&amp;TRIM(INDEX($E$1:$I$1, MATCH(MIN(E332:I332), E332:I332, 0))), 技能库!$A:$F, 6, 0),"请针对该题型加强练习"), "🎉 表现优异，无明显弱项！"))</f>
        <v/>
      </c>
      <c r="AA332" s="5" t="str">
        <f>IF(T332="","", IF(U332&lt;=3, "⚠️ 薄弱环节: "&amp;INDEX($M$1:$S$1, MATCH(MIN(M332:S332), M332:S332, 0))&amp;CHAR(10)&amp;"📉 考察能力: "&amp;IFERROR(VLOOKUP(TRIM(D332)&amp;"_"&amp;TRIM(INDEX($M$1:$S$1, MATCH(MIN(M332:S332), M332:S332, 0))), 技能库!$A:$F, 5, 0),"建议查阅考纲")&amp;CHAR(10)&amp;"💡 提升建议: "&amp;IFERROR(VLOOKUP(TRIM(D332)&amp;"_"&amp;TRIM(INDEX($M$1:$S$1, MATCH(MIN(M332:S332), M332:S332, 0))), 技能库!$A:$F, 6, 0),"请针对该题型加强练习"), "🎉 表现优异，无明显弱项！"))</f>
        <v/>
      </c>
    </row>
    <row r="333" spans="10:27" ht="18" hidden="1" customHeight="1" x14ac:dyDescent="0.2">
      <c r="J333" t="str">
        <f t="shared" si="15"/>
        <v/>
      </c>
      <c r="K333" t="str">
        <f>IF(J333="","", IFERROR(VLOOKUP(J333, IF(D333="Movers", 换算标准!$C:$D, 换算标准!$I:$J), 2, TRUE), 0))</f>
        <v/>
      </c>
      <c r="T333" t="str">
        <f t="shared" si="16"/>
        <v/>
      </c>
      <c r="U333" t="str">
        <f>IF(T333="","", IFERROR(VLOOKUP(T333, IF(D333="Movers", 换算标准!$A:$B, 换算标准!$G:$H), 2, TRUE), 0))</f>
        <v/>
      </c>
      <c r="W333" t="str">
        <f t="shared" si="17"/>
        <v/>
      </c>
      <c r="Z333" s="5" t="str">
        <f>IF(J333="","", IF(K333&lt;=3, "⚠️ 薄弱环节: "&amp;INDEX($E$1:$I$1, MATCH(MIN(E333:I333), E333:I333, 0))&amp;CHAR(10)&amp;"📉 考察能力: "&amp;IFERROR(VLOOKUP(TRIM(D333)&amp;"_"&amp;TRIM(INDEX($E$1:$I$1, MATCH(MIN(E333:I333), E333:I333, 0))), 技能库!$A:$F, 5, 0),"建议查阅考纲")&amp;CHAR(10)&amp;"💡 提升建议: "&amp;IFERROR(VLOOKUP(TRIM(D333)&amp;"_"&amp;TRIM(INDEX($E$1:$I$1, MATCH(MIN(E333:I333), E333:I333, 0))), 技能库!$A:$F, 6, 0),"请针对该题型加强练习"), "🎉 表现优异，无明显弱项！"))</f>
        <v/>
      </c>
      <c r="AA333" s="5" t="str">
        <f>IF(T333="","", IF(U333&lt;=3, "⚠️ 薄弱环节: "&amp;INDEX($M$1:$S$1, MATCH(MIN(M333:S333), M333:S333, 0))&amp;CHAR(10)&amp;"📉 考察能力: "&amp;IFERROR(VLOOKUP(TRIM(D333)&amp;"_"&amp;TRIM(INDEX($M$1:$S$1, MATCH(MIN(M333:S333), M333:S333, 0))), 技能库!$A:$F, 5, 0),"建议查阅考纲")&amp;CHAR(10)&amp;"💡 提升建议: "&amp;IFERROR(VLOOKUP(TRIM(D333)&amp;"_"&amp;TRIM(INDEX($M$1:$S$1, MATCH(MIN(M333:S333), M333:S333, 0))), 技能库!$A:$F, 6, 0),"请针对该题型加强练习"), "🎉 表现优异，无明显弱项！"))</f>
        <v/>
      </c>
    </row>
    <row r="334" spans="10:27" ht="18" hidden="1" customHeight="1" x14ac:dyDescent="0.2">
      <c r="J334" t="str">
        <f t="shared" si="15"/>
        <v/>
      </c>
      <c r="K334" t="str">
        <f>IF(J334="","", IFERROR(VLOOKUP(J334, IF(D334="Movers", 换算标准!$C:$D, 换算标准!$I:$J), 2, TRUE), 0))</f>
        <v/>
      </c>
      <c r="T334" t="str">
        <f t="shared" si="16"/>
        <v/>
      </c>
      <c r="U334" t="str">
        <f>IF(T334="","", IFERROR(VLOOKUP(T334, IF(D334="Movers", 换算标准!$A:$B, 换算标准!$G:$H), 2, TRUE), 0))</f>
        <v/>
      </c>
      <c r="W334" t="str">
        <f t="shared" si="17"/>
        <v/>
      </c>
      <c r="Z334" s="5" t="str">
        <f>IF(J334="","", IF(K334&lt;=3, "⚠️ 薄弱环节: "&amp;INDEX($E$1:$I$1, MATCH(MIN(E334:I334), E334:I334, 0))&amp;CHAR(10)&amp;"📉 考察能力: "&amp;IFERROR(VLOOKUP(TRIM(D334)&amp;"_"&amp;TRIM(INDEX($E$1:$I$1, MATCH(MIN(E334:I334), E334:I334, 0))), 技能库!$A:$F, 5, 0),"建议查阅考纲")&amp;CHAR(10)&amp;"💡 提升建议: "&amp;IFERROR(VLOOKUP(TRIM(D334)&amp;"_"&amp;TRIM(INDEX($E$1:$I$1, MATCH(MIN(E334:I334), E334:I334, 0))), 技能库!$A:$F, 6, 0),"请针对该题型加强练习"), "🎉 表现优异，无明显弱项！"))</f>
        <v/>
      </c>
      <c r="AA334" s="5" t="str">
        <f>IF(T334="","", IF(U334&lt;=3, "⚠️ 薄弱环节: "&amp;INDEX($M$1:$S$1, MATCH(MIN(M334:S334), M334:S334, 0))&amp;CHAR(10)&amp;"📉 考察能力: "&amp;IFERROR(VLOOKUP(TRIM(D334)&amp;"_"&amp;TRIM(INDEX($M$1:$S$1, MATCH(MIN(M334:S334), M334:S334, 0))), 技能库!$A:$F, 5, 0),"建议查阅考纲")&amp;CHAR(10)&amp;"💡 提升建议: "&amp;IFERROR(VLOOKUP(TRIM(D334)&amp;"_"&amp;TRIM(INDEX($M$1:$S$1, MATCH(MIN(M334:S334), M334:S334, 0))), 技能库!$A:$F, 6, 0),"请针对该题型加强练习"), "🎉 表现优异，无明显弱项！"))</f>
        <v/>
      </c>
    </row>
    <row r="335" spans="10:27" ht="18" hidden="1" customHeight="1" x14ac:dyDescent="0.2">
      <c r="J335" t="str">
        <f t="shared" si="15"/>
        <v/>
      </c>
      <c r="K335" t="str">
        <f>IF(J335="","", IFERROR(VLOOKUP(J335, IF(D335="Movers", 换算标准!$C:$D, 换算标准!$I:$J), 2, TRUE), 0))</f>
        <v/>
      </c>
      <c r="T335" t="str">
        <f t="shared" si="16"/>
        <v/>
      </c>
      <c r="U335" t="str">
        <f>IF(T335="","", IFERROR(VLOOKUP(T335, IF(D335="Movers", 换算标准!$A:$B, 换算标准!$G:$H), 2, TRUE), 0))</f>
        <v/>
      </c>
      <c r="W335" t="str">
        <f t="shared" si="17"/>
        <v/>
      </c>
      <c r="Z335" s="5" t="str">
        <f>IF(J335="","", IF(K335&lt;=3, "⚠️ 薄弱环节: "&amp;INDEX($E$1:$I$1, MATCH(MIN(E335:I335), E335:I335, 0))&amp;CHAR(10)&amp;"📉 考察能力: "&amp;IFERROR(VLOOKUP(TRIM(D335)&amp;"_"&amp;TRIM(INDEX($E$1:$I$1, MATCH(MIN(E335:I335), E335:I335, 0))), 技能库!$A:$F, 5, 0),"建议查阅考纲")&amp;CHAR(10)&amp;"💡 提升建议: "&amp;IFERROR(VLOOKUP(TRIM(D335)&amp;"_"&amp;TRIM(INDEX($E$1:$I$1, MATCH(MIN(E335:I335), E335:I335, 0))), 技能库!$A:$F, 6, 0),"请针对该题型加强练习"), "🎉 表现优异，无明显弱项！"))</f>
        <v/>
      </c>
      <c r="AA335" s="5" t="str">
        <f>IF(T335="","", IF(U335&lt;=3, "⚠️ 薄弱环节: "&amp;INDEX($M$1:$S$1, MATCH(MIN(M335:S335), M335:S335, 0))&amp;CHAR(10)&amp;"📉 考察能力: "&amp;IFERROR(VLOOKUP(TRIM(D335)&amp;"_"&amp;TRIM(INDEX($M$1:$S$1, MATCH(MIN(M335:S335), M335:S335, 0))), 技能库!$A:$F, 5, 0),"建议查阅考纲")&amp;CHAR(10)&amp;"💡 提升建议: "&amp;IFERROR(VLOOKUP(TRIM(D335)&amp;"_"&amp;TRIM(INDEX($M$1:$S$1, MATCH(MIN(M335:S335), M335:S335, 0))), 技能库!$A:$F, 6, 0),"请针对该题型加强练习"), "🎉 表现优异，无明显弱项！"))</f>
        <v/>
      </c>
    </row>
    <row r="336" spans="10:27" ht="18" hidden="1" customHeight="1" x14ac:dyDescent="0.2">
      <c r="J336" t="str">
        <f t="shared" si="15"/>
        <v/>
      </c>
      <c r="K336" t="str">
        <f>IF(J336="","", IFERROR(VLOOKUP(J336, IF(D336="Movers", 换算标准!$C:$D, 换算标准!$I:$J), 2, TRUE), 0))</f>
        <v/>
      </c>
      <c r="T336" t="str">
        <f t="shared" si="16"/>
        <v/>
      </c>
      <c r="U336" t="str">
        <f>IF(T336="","", IFERROR(VLOOKUP(T336, IF(D336="Movers", 换算标准!$A:$B, 换算标准!$G:$H), 2, TRUE), 0))</f>
        <v/>
      </c>
      <c r="W336" t="str">
        <f t="shared" si="17"/>
        <v/>
      </c>
      <c r="Z336" s="5" t="str">
        <f>IF(J336="","", IF(K336&lt;=3, "⚠️ 薄弱环节: "&amp;INDEX($E$1:$I$1, MATCH(MIN(E336:I336), E336:I336, 0))&amp;CHAR(10)&amp;"📉 考察能力: "&amp;IFERROR(VLOOKUP(TRIM(D336)&amp;"_"&amp;TRIM(INDEX($E$1:$I$1, MATCH(MIN(E336:I336), E336:I336, 0))), 技能库!$A:$F, 5, 0),"建议查阅考纲")&amp;CHAR(10)&amp;"💡 提升建议: "&amp;IFERROR(VLOOKUP(TRIM(D336)&amp;"_"&amp;TRIM(INDEX($E$1:$I$1, MATCH(MIN(E336:I336), E336:I336, 0))), 技能库!$A:$F, 6, 0),"请针对该题型加强练习"), "🎉 表现优异，无明显弱项！"))</f>
        <v/>
      </c>
      <c r="AA336" s="5" t="str">
        <f>IF(T336="","", IF(U336&lt;=3, "⚠️ 薄弱环节: "&amp;INDEX($M$1:$S$1, MATCH(MIN(M336:S336), M336:S336, 0))&amp;CHAR(10)&amp;"📉 考察能力: "&amp;IFERROR(VLOOKUP(TRIM(D336)&amp;"_"&amp;TRIM(INDEX($M$1:$S$1, MATCH(MIN(M336:S336), M336:S336, 0))), 技能库!$A:$F, 5, 0),"建议查阅考纲")&amp;CHAR(10)&amp;"💡 提升建议: "&amp;IFERROR(VLOOKUP(TRIM(D336)&amp;"_"&amp;TRIM(INDEX($M$1:$S$1, MATCH(MIN(M336:S336), M336:S336, 0))), 技能库!$A:$F, 6, 0),"请针对该题型加强练习"), "🎉 表现优异，无明显弱项！"))</f>
        <v/>
      </c>
    </row>
    <row r="337" spans="10:27" ht="18" hidden="1" customHeight="1" x14ac:dyDescent="0.2">
      <c r="J337" t="str">
        <f t="shared" si="15"/>
        <v/>
      </c>
      <c r="K337" t="str">
        <f>IF(J337="","", IFERROR(VLOOKUP(J337, IF(D337="Movers", 换算标准!$C:$D, 换算标准!$I:$J), 2, TRUE), 0))</f>
        <v/>
      </c>
      <c r="T337" t="str">
        <f t="shared" si="16"/>
        <v/>
      </c>
      <c r="U337" t="str">
        <f>IF(T337="","", IFERROR(VLOOKUP(T337, IF(D337="Movers", 换算标准!$A:$B, 换算标准!$G:$H), 2, TRUE), 0))</f>
        <v/>
      </c>
      <c r="W337" t="str">
        <f t="shared" si="17"/>
        <v/>
      </c>
      <c r="Z337" s="5" t="str">
        <f>IF(J337="","", IF(K337&lt;=3, "⚠️ 薄弱环节: "&amp;INDEX($E$1:$I$1, MATCH(MIN(E337:I337), E337:I337, 0))&amp;CHAR(10)&amp;"📉 考察能力: "&amp;IFERROR(VLOOKUP(TRIM(D337)&amp;"_"&amp;TRIM(INDEX($E$1:$I$1, MATCH(MIN(E337:I337), E337:I337, 0))), 技能库!$A:$F, 5, 0),"建议查阅考纲")&amp;CHAR(10)&amp;"💡 提升建议: "&amp;IFERROR(VLOOKUP(TRIM(D337)&amp;"_"&amp;TRIM(INDEX($E$1:$I$1, MATCH(MIN(E337:I337), E337:I337, 0))), 技能库!$A:$F, 6, 0),"请针对该题型加强练习"), "🎉 表现优异，无明显弱项！"))</f>
        <v/>
      </c>
      <c r="AA337" s="5" t="str">
        <f>IF(T337="","", IF(U337&lt;=3, "⚠️ 薄弱环节: "&amp;INDEX($M$1:$S$1, MATCH(MIN(M337:S337), M337:S337, 0))&amp;CHAR(10)&amp;"📉 考察能力: "&amp;IFERROR(VLOOKUP(TRIM(D337)&amp;"_"&amp;TRIM(INDEX($M$1:$S$1, MATCH(MIN(M337:S337), M337:S337, 0))), 技能库!$A:$F, 5, 0),"建议查阅考纲")&amp;CHAR(10)&amp;"💡 提升建议: "&amp;IFERROR(VLOOKUP(TRIM(D337)&amp;"_"&amp;TRIM(INDEX($M$1:$S$1, MATCH(MIN(M337:S337), M337:S337, 0))), 技能库!$A:$F, 6, 0),"请针对该题型加强练习"), "🎉 表现优异，无明显弱项！"))</f>
        <v/>
      </c>
    </row>
    <row r="338" spans="10:27" ht="18" hidden="1" customHeight="1" x14ac:dyDescent="0.2">
      <c r="J338" t="str">
        <f t="shared" si="15"/>
        <v/>
      </c>
      <c r="K338" t="str">
        <f>IF(J338="","", IFERROR(VLOOKUP(J338, IF(D338="Movers", 换算标准!$C:$D, 换算标准!$I:$J), 2, TRUE), 0))</f>
        <v/>
      </c>
      <c r="T338" t="str">
        <f t="shared" si="16"/>
        <v/>
      </c>
      <c r="U338" t="str">
        <f>IF(T338="","", IFERROR(VLOOKUP(T338, IF(D338="Movers", 换算标准!$A:$B, 换算标准!$G:$H), 2, TRUE), 0))</f>
        <v/>
      </c>
      <c r="W338" t="str">
        <f t="shared" si="17"/>
        <v/>
      </c>
      <c r="Z338" s="5" t="str">
        <f>IF(J338="","", IF(K338&lt;=3, "⚠️ 薄弱环节: "&amp;INDEX($E$1:$I$1, MATCH(MIN(E338:I338), E338:I338, 0))&amp;CHAR(10)&amp;"📉 考察能力: "&amp;IFERROR(VLOOKUP(TRIM(D338)&amp;"_"&amp;TRIM(INDEX($E$1:$I$1, MATCH(MIN(E338:I338), E338:I338, 0))), 技能库!$A:$F, 5, 0),"建议查阅考纲")&amp;CHAR(10)&amp;"💡 提升建议: "&amp;IFERROR(VLOOKUP(TRIM(D338)&amp;"_"&amp;TRIM(INDEX($E$1:$I$1, MATCH(MIN(E338:I338), E338:I338, 0))), 技能库!$A:$F, 6, 0),"请针对该题型加强练习"), "🎉 表现优异，无明显弱项！"))</f>
        <v/>
      </c>
      <c r="AA338" s="5" t="str">
        <f>IF(T338="","", IF(U338&lt;=3, "⚠️ 薄弱环节: "&amp;INDEX($M$1:$S$1, MATCH(MIN(M338:S338), M338:S338, 0))&amp;CHAR(10)&amp;"📉 考察能力: "&amp;IFERROR(VLOOKUP(TRIM(D338)&amp;"_"&amp;TRIM(INDEX($M$1:$S$1, MATCH(MIN(M338:S338), M338:S338, 0))), 技能库!$A:$F, 5, 0),"建议查阅考纲")&amp;CHAR(10)&amp;"💡 提升建议: "&amp;IFERROR(VLOOKUP(TRIM(D338)&amp;"_"&amp;TRIM(INDEX($M$1:$S$1, MATCH(MIN(M338:S338), M338:S338, 0))), 技能库!$A:$F, 6, 0),"请针对该题型加强练习"), "🎉 表现优异，无明显弱项！"))</f>
        <v/>
      </c>
    </row>
    <row r="339" spans="10:27" ht="18" hidden="1" customHeight="1" x14ac:dyDescent="0.2">
      <c r="J339" t="str">
        <f t="shared" si="15"/>
        <v/>
      </c>
      <c r="K339" t="str">
        <f>IF(J339="","", IFERROR(VLOOKUP(J339, IF(D339="Movers", 换算标准!$C:$D, 换算标准!$I:$J), 2, TRUE), 0))</f>
        <v/>
      </c>
      <c r="T339" t="str">
        <f t="shared" si="16"/>
        <v/>
      </c>
      <c r="U339" t="str">
        <f>IF(T339="","", IFERROR(VLOOKUP(T339, IF(D339="Movers", 换算标准!$A:$B, 换算标准!$G:$H), 2, TRUE), 0))</f>
        <v/>
      </c>
      <c r="W339" t="str">
        <f t="shared" si="17"/>
        <v/>
      </c>
      <c r="Z339" s="5" t="str">
        <f>IF(J339="","", IF(K339&lt;=3, "⚠️ 薄弱环节: "&amp;INDEX($E$1:$I$1, MATCH(MIN(E339:I339), E339:I339, 0))&amp;CHAR(10)&amp;"📉 考察能力: "&amp;IFERROR(VLOOKUP(TRIM(D339)&amp;"_"&amp;TRIM(INDEX($E$1:$I$1, MATCH(MIN(E339:I339), E339:I339, 0))), 技能库!$A:$F, 5, 0),"建议查阅考纲")&amp;CHAR(10)&amp;"💡 提升建议: "&amp;IFERROR(VLOOKUP(TRIM(D339)&amp;"_"&amp;TRIM(INDEX($E$1:$I$1, MATCH(MIN(E339:I339), E339:I339, 0))), 技能库!$A:$F, 6, 0),"请针对该题型加强练习"), "🎉 表现优异，无明显弱项！"))</f>
        <v/>
      </c>
      <c r="AA339" s="5" t="str">
        <f>IF(T339="","", IF(U339&lt;=3, "⚠️ 薄弱环节: "&amp;INDEX($M$1:$S$1, MATCH(MIN(M339:S339), M339:S339, 0))&amp;CHAR(10)&amp;"📉 考察能力: "&amp;IFERROR(VLOOKUP(TRIM(D339)&amp;"_"&amp;TRIM(INDEX($M$1:$S$1, MATCH(MIN(M339:S339), M339:S339, 0))), 技能库!$A:$F, 5, 0),"建议查阅考纲")&amp;CHAR(10)&amp;"💡 提升建议: "&amp;IFERROR(VLOOKUP(TRIM(D339)&amp;"_"&amp;TRIM(INDEX($M$1:$S$1, MATCH(MIN(M339:S339), M339:S339, 0))), 技能库!$A:$F, 6, 0),"请针对该题型加强练习"), "🎉 表现优异，无明显弱项！"))</f>
        <v/>
      </c>
    </row>
    <row r="340" spans="10:27" ht="18" hidden="1" customHeight="1" x14ac:dyDescent="0.2">
      <c r="J340" t="str">
        <f t="shared" si="15"/>
        <v/>
      </c>
      <c r="K340" t="str">
        <f>IF(J340="","", IFERROR(VLOOKUP(J340, IF(D340="Movers", 换算标准!$C:$D, 换算标准!$I:$J), 2, TRUE), 0))</f>
        <v/>
      </c>
      <c r="T340" t="str">
        <f t="shared" si="16"/>
        <v/>
      </c>
      <c r="U340" t="str">
        <f>IF(T340="","", IFERROR(VLOOKUP(T340, IF(D340="Movers", 换算标准!$A:$B, 换算标准!$G:$H), 2, TRUE), 0))</f>
        <v/>
      </c>
      <c r="W340" t="str">
        <f t="shared" si="17"/>
        <v/>
      </c>
      <c r="Z340" s="5" t="str">
        <f>IF(J340="","", IF(K340&lt;=3, "⚠️ 薄弱环节: "&amp;INDEX($E$1:$I$1, MATCH(MIN(E340:I340), E340:I340, 0))&amp;CHAR(10)&amp;"📉 考察能力: "&amp;IFERROR(VLOOKUP(TRIM(D340)&amp;"_"&amp;TRIM(INDEX($E$1:$I$1, MATCH(MIN(E340:I340), E340:I340, 0))), 技能库!$A:$F, 5, 0),"建议查阅考纲")&amp;CHAR(10)&amp;"💡 提升建议: "&amp;IFERROR(VLOOKUP(TRIM(D340)&amp;"_"&amp;TRIM(INDEX($E$1:$I$1, MATCH(MIN(E340:I340), E340:I340, 0))), 技能库!$A:$F, 6, 0),"请针对该题型加强练习"), "🎉 表现优异，无明显弱项！"))</f>
        <v/>
      </c>
      <c r="AA340" s="5" t="str">
        <f>IF(T340="","", IF(U340&lt;=3, "⚠️ 薄弱环节: "&amp;INDEX($M$1:$S$1, MATCH(MIN(M340:S340), M340:S340, 0))&amp;CHAR(10)&amp;"📉 考察能力: "&amp;IFERROR(VLOOKUP(TRIM(D340)&amp;"_"&amp;TRIM(INDEX($M$1:$S$1, MATCH(MIN(M340:S340), M340:S340, 0))), 技能库!$A:$F, 5, 0),"建议查阅考纲")&amp;CHAR(10)&amp;"💡 提升建议: "&amp;IFERROR(VLOOKUP(TRIM(D340)&amp;"_"&amp;TRIM(INDEX($M$1:$S$1, MATCH(MIN(M340:S340), M340:S340, 0))), 技能库!$A:$F, 6, 0),"请针对该题型加强练习"), "🎉 表现优异，无明显弱项！"))</f>
        <v/>
      </c>
    </row>
    <row r="341" spans="10:27" ht="18" hidden="1" customHeight="1" x14ac:dyDescent="0.2">
      <c r="J341" t="str">
        <f t="shared" si="15"/>
        <v/>
      </c>
      <c r="K341" t="str">
        <f>IF(J341="","", IFERROR(VLOOKUP(J341, IF(D341="Movers", 换算标准!$C:$D, 换算标准!$I:$J), 2, TRUE), 0))</f>
        <v/>
      </c>
      <c r="T341" t="str">
        <f t="shared" si="16"/>
        <v/>
      </c>
      <c r="U341" t="str">
        <f>IF(T341="","", IFERROR(VLOOKUP(T341, IF(D341="Movers", 换算标准!$A:$B, 换算标准!$G:$H), 2, TRUE), 0))</f>
        <v/>
      </c>
      <c r="W341" t="str">
        <f t="shared" si="17"/>
        <v/>
      </c>
      <c r="Z341" s="5" t="str">
        <f>IF(J341="","", IF(K341&lt;=3, "⚠️ 薄弱环节: "&amp;INDEX($E$1:$I$1, MATCH(MIN(E341:I341), E341:I341, 0))&amp;CHAR(10)&amp;"📉 考察能力: "&amp;IFERROR(VLOOKUP(TRIM(D341)&amp;"_"&amp;TRIM(INDEX($E$1:$I$1, MATCH(MIN(E341:I341), E341:I341, 0))), 技能库!$A:$F, 5, 0),"建议查阅考纲")&amp;CHAR(10)&amp;"💡 提升建议: "&amp;IFERROR(VLOOKUP(TRIM(D341)&amp;"_"&amp;TRIM(INDEX($E$1:$I$1, MATCH(MIN(E341:I341), E341:I341, 0))), 技能库!$A:$F, 6, 0),"请针对该题型加强练习"), "🎉 表现优异，无明显弱项！"))</f>
        <v/>
      </c>
      <c r="AA341" s="5" t="str">
        <f>IF(T341="","", IF(U341&lt;=3, "⚠️ 薄弱环节: "&amp;INDEX($M$1:$S$1, MATCH(MIN(M341:S341), M341:S341, 0))&amp;CHAR(10)&amp;"📉 考察能力: "&amp;IFERROR(VLOOKUP(TRIM(D341)&amp;"_"&amp;TRIM(INDEX($M$1:$S$1, MATCH(MIN(M341:S341), M341:S341, 0))), 技能库!$A:$F, 5, 0),"建议查阅考纲")&amp;CHAR(10)&amp;"💡 提升建议: "&amp;IFERROR(VLOOKUP(TRIM(D341)&amp;"_"&amp;TRIM(INDEX($M$1:$S$1, MATCH(MIN(M341:S341), M341:S341, 0))), 技能库!$A:$F, 6, 0),"请针对该题型加强练习"), "🎉 表现优异，无明显弱项！"))</f>
        <v/>
      </c>
    </row>
    <row r="342" spans="10:27" ht="18" hidden="1" customHeight="1" x14ac:dyDescent="0.2">
      <c r="J342" t="str">
        <f t="shared" si="15"/>
        <v/>
      </c>
      <c r="K342" t="str">
        <f>IF(J342="","", IFERROR(VLOOKUP(J342, IF(D342="Movers", 换算标准!$C:$D, 换算标准!$I:$J), 2, TRUE), 0))</f>
        <v/>
      </c>
      <c r="T342" t="str">
        <f t="shared" si="16"/>
        <v/>
      </c>
      <c r="U342" t="str">
        <f>IF(T342="","", IFERROR(VLOOKUP(T342, IF(D342="Movers", 换算标准!$A:$B, 换算标准!$G:$H), 2, TRUE), 0))</f>
        <v/>
      </c>
      <c r="W342" t="str">
        <f t="shared" si="17"/>
        <v/>
      </c>
      <c r="Z342" s="5" t="str">
        <f>IF(J342="","", IF(K342&lt;=3, "⚠️ 薄弱环节: "&amp;INDEX($E$1:$I$1, MATCH(MIN(E342:I342), E342:I342, 0))&amp;CHAR(10)&amp;"📉 考察能力: "&amp;IFERROR(VLOOKUP(TRIM(D342)&amp;"_"&amp;TRIM(INDEX($E$1:$I$1, MATCH(MIN(E342:I342), E342:I342, 0))), 技能库!$A:$F, 5, 0),"建议查阅考纲")&amp;CHAR(10)&amp;"💡 提升建议: "&amp;IFERROR(VLOOKUP(TRIM(D342)&amp;"_"&amp;TRIM(INDEX($E$1:$I$1, MATCH(MIN(E342:I342), E342:I342, 0))), 技能库!$A:$F, 6, 0),"请针对该题型加强练习"), "🎉 表现优异，无明显弱项！"))</f>
        <v/>
      </c>
      <c r="AA342" s="5" t="str">
        <f>IF(T342="","", IF(U342&lt;=3, "⚠️ 薄弱环节: "&amp;INDEX($M$1:$S$1, MATCH(MIN(M342:S342), M342:S342, 0))&amp;CHAR(10)&amp;"📉 考察能力: "&amp;IFERROR(VLOOKUP(TRIM(D342)&amp;"_"&amp;TRIM(INDEX($M$1:$S$1, MATCH(MIN(M342:S342), M342:S342, 0))), 技能库!$A:$F, 5, 0),"建议查阅考纲")&amp;CHAR(10)&amp;"💡 提升建议: "&amp;IFERROR(VLOOKUP(TRIM(D342)&amp;"_"&amp;TRIM(INDEX($M$1:$S$1, MATCH(MIN(M342:S342), M342:S342, 0))), 技能库!$A:$F, 6, 0),"请针对该题型加强练习"), "🎉 表现优异，无明显弱项！"))</f>
        <v/>
      </c>
    </row>
    <row r="343" spans="10:27" ht="18" hidden="1" customHeight="1" x14ac:dyDescent="0.2">
      <c r="J343" t="str">
        <f t="shared" si="15"/>
        <v/>
      </c>
      <c r="K343" t="str">
        <f>IF(J343="","", IFERROR(VLOOKUP(J343, IF(D343="Movers", 换算标准!$C:$D, 换算标准!$I:$J), 2, TRUE), 0))</f>
        <v/>
      </c>
      <c r="T343" t="str">
        <f t="shared" si="16"/>
        <v/>
      </c>
      <c r="U343" t="str">
        <f>IF(T343="","", IFERROR(VLOOKUP(T343, IF(D343="Movers", 换算标准!$A:$B, 换算标准!$G:$H), 2, TRUE), 0))</f>
        <v/>
      </c>
      <c r="W343" t="str">
        <f t="shared" si="17"/>
        <v/>
      </c>
      <c r="Z343" s="5" t="str">
        <f>IF(J343="","", IF(K343&lt;=3, "⚠️ 薄弱环节: "&amp;INDEX($E$1:$I$1, MATCH(MIN(E343:I343), E343:I343, 0))&amp;CHAR(10)&amp;"📉 考察能力: "&amp;IFERROR(VLOOKUP(TRIM(D343)&amp;"_"&amp;TRIM(INDEX($E$1:$I$1, MATCH(MIN(E343:I343), E343:I343, 0))), 技能库!$A:$F, 5, 0),"建议查阅考纲")&amp;CHAR(10)&amp;"💡 提升建议: "&amp;IFERROR(VLOOKUP(TRIM(D343)&amp;"_"&amp;TRIM(INDEX($E$1:$I$1, MATCH(MIN(E343:I343), E343:I343, 0))), 技能库!$A:$F, 6, 0),"请针对该题型加强练习"), "🎉 表现优异，无明显弱项！"))</f>
        <v/>
      </c>
      <c r="AA343" s="5" t="str">
        <f>IF(T343="","", IF(U343&lt;=3, "⚠️ 薄弱环节: "&amp;INDEX($M$1:$S$1, MATCH(MIN(M343:S343), M343:S343, 0))&amp;CHAR(10)&amp;"📉 考察能力: "&amp;IFERROR(VLOOKUP(TRIM(D343)&amp;"_"&amp;TRIM(INDEX($M$1:$S$1, MATCH(MIN(M343:S343), M343:S343, 0))), 技能库!$A:$F, 5, 0),"建议查阅考纲")&amp;CHAR(10)&amp;"💡 提升建议: "&amp;IFERROR(VLOOKUP(TRIM(D343)&amp;"_"&amp;TRIM(INDEX($M$1:$S$1, MATCH(MIN(M343:S343), M343:S343, 0))), 技能库!$A:$F, 6, 0),"请针对该题型加强练习"), "🎉 表现优异，无明显弱项！"))</f>
        <v/>
      </c>
    </row>
    <row r="344" spans="10:27" ht="18" hidden="1" customHeight="1" x14ac:dyDescent="0.2">
      <c r="J344" t="str">
        <f t="shared" si="15"/>
        <v/>
      </c>
      <c r="K344" t="str">
        <f>IF(J344="","", IFERROR(VLOOKUP(J344, IF(D344="Movers", 换算标准!$C:$D, 换算标准!$I:$J), 2, TRUE), 0))</f>
        <v/>
      </c>
      <c r="T344" t="str">
        <f t="shared" si="16"/>
        <v/>
      </c>
      <c r="U344" t="str">
        <f>IF(T344="","", IFERROR(VLOOKUP(T344, IF(D344="Movers", 换算标准!$A:$B, 换算标准!$G:$H), 2, TRUE), 0))</f>
        <v/>
      </c>
      <c r="W344" t="str">
        <f t="shared" si="17"/>
        <v/>
      </c>
      <c r="Z344" s="5" t="str">
        <f>IF(J344="","", IF(K344&lt;=3, "⚠️ 薄弱环节: "&amp;INDEX($E$1:$I$1, MATCH(MIN(E344:I344), E344:I344, 0))&amp;CHAR(10)&amp;"📉 考察能力: "&amp;IFERROR(VLOOKUP(TRIM(D344)&amp;"_"&amp;TRIM(INDEX($E$1:$I$1, MATCH(MIN(E344:I344), E344:I344, 0))), 技能库!$A:$F, 5, 0),"建议查阅考纲")&amp;CHAR(10)&amp;"💡 提升建议: "&amp;IFERROR(VLOOKUP(TRIM(D344)&amp;"_"&amp;TRIM(INDEX($E$1:$I$1, MATCH(MIN(E344:I344), E344:I344, 0))), 技能库!$A:$F, 6, 0),"请针对该题型加强练习"), "🎉 表现优异，无明显弱项！"))</f>
        <v/>
      </c>
      <c r="AA344" s="5" t="str">
        <f>IF(T344="","", IF(U344&lt;=3, "⚠️ 薄弱环节: "&amp;INDEX($M$1:$S$1, MATCH(MIN(M344:S344), M344:S344, 0))&amp;CHAR(10)&amp;"📉 考察能力: "&amp;IFERROR(VLOOKUP(TRIM(D344)&amp;"_"&amp;TRIM(INDEX($M$1:$S$1, MATCH(MIN(M344:S344), M344:S344, 0))), 技能库!$A:$F, 5, 0),"建议查阅考纲")&amp;CHAR(10)&amp;"💡 提升建议: "&amp;IFERROR(VLOOKUP(TRIM(D344)&amp;"_"&amp;TRIM(INDEX($M$1:$S$1, MATCH(MIN(M344:S344), M344:S344, 0))), 技能库!$A:$F, 6, 0),"请针对该题型加强练习"), "🎉 表现优异，无明显弱项！"))</f>
        <v/>
      </c>
    </row>
    <row r="345" spans="10:27" ht="18" hidden="1" customHeight="1" x14ac:dyDescent="0.2">
      <c r="J345" t="str">
        <f t="shared" si="15"/>
        <v/>
      </c>
      <c r="K345" t="str">
        <f>IF(J345="","", IFERROR(VLOOKUP(J345, IF(D345="Movers", 换算标准!$C:$D, 换算标准!$I:$J), 2, TRUE), 0))</f>
        <v/>
      </c>
      <c r="T345" t="str">
        <f t="shared" si="16"/>
        <v/>
      </c>
      <c r="U345" t="str">
        <f>IF(T345="","", IFERROR(VLOOKUP(T345, IF(D345="Movers", 换算标准!$A:$B, 换算标准!$G:$H), 2, TRUE), 0))</f>
        <v/>
      </c>
      <c r="W345" t="str">
        <f t="shared" si="17"/>
        <v/>
      </c>
      <c r="Z345" s="5" t="str">
        <f>IF(J345="","", IF(K345&lt;=3, "⚠️ 薄弱环节: "&amp;INDEX($E$1:$I$1, MATCH(MIN(E345:I345), E345:I345, 0))&amp;CHAR(10)&amp;"📉 考察能力: "&amp;IFERROR(VLOOKUP(TRIM(D345)&amp;"_"&amp;TRIM(INDEX($E$1:$I$1, MATCH(MIN(E345:I345), E345:I345, 0))), 技能库!$A:$F, 5, 0),"建议查阅考纲")&amp;CHAR(10)&amp;"💡 提升建议: "&amp;IFERROR(VLOOKUP(TRIM(D345)&amp;"_"&amp;TRIM(INDEX($E$1:$I$1, MATCH(MIN(E345:I345), E345:I345, 0))), 技能库!$A:$F, 6, 0),"请针对该题型加强练习"), "🎉 表现优异，无明显弱项！"))</f>
        <v/>
      </c>
      <c r="AA345" s="5" t="str">
        <f>IF(T345="","", IF(U345&lt;=3, "⚠️ 薄弱环节: "&amp;INDEX($M$1:$S$1, MATCH(MIN(M345:S345), M345:S345, 0))&amp;CHAR(10)&amp;"📉 考察能力: "&amp;IFERROR(VLOOKUP(TRIM(D345)&amp;"_"&amp;TRIM(INDEX($M$1:$S$1, MATCH(MIN(M345:S345), M345:S345, 0))), 技能库!$A:$F, 5, 0),"建议查阅考纲")&amp;CHAR(10)&amp;"💡 提升建议: "&amp;IFERROR(VLOOKUP(TRIM(D345)&amp;"_"&amp;TRIM(INDEX($M$1:$S$1, MATCH(MIN(M345:S345), M345:S345, 0))), 技能库!$A:$F, 6, 0),"请针对该题型加强练习"), "🎉 表现优异，无明显弱项！"))</f>
        <v/>
      </c>
    </row>
    <row r="346" spans="10:27" ht="18" hidden="1" customHeight="1" x14ac:dyDescent="0.2">
      <c r="J346" t="str">
        <f t="shared" si="15"/>
        <v/>
      </c>
      <c r="K346" t="str">
        <f>IF(J346="","", IFERROR(VLOOKUP(J346, IF(D346="Movers", 换算标准!$C:$D, 换算标准!$I:$J), 2, TRUE), 0))</f>
        <v/>
      </c>
      <c r="T346" t="str">
        <f t="shared" si="16"/>
        <v/>
      </c>
      <c r="U346" t="str">
        <f>IF(T346="","", IFERROR(VLOOKUP(T346, IF(D346="Movers", 换算标准!$A:$B, 换算标准!$G:$H), 2, TRUE), 0))</f>
        <v/>
      </c>
      <c r="W346" t="str">
        <f t="shared" si="17"/>
        <v/>
      </c>
      <c r="Z346" s="5" t="str">
        <f>IF(J346="","", IF(K346&lt;=3, "⚠️ 薄弱环节: "&amp;INDEX($E$1:$I$1, MATCH(MIN(E346:I346), E346:I346, 0))&amp;CHAR(10)&amp;"📉 考察能力: "&amp;IFERROR(VLOOKUP(TRIM(D346)&amp;"_"&amp;TRIM(INDEX($E$1:$I$1, MATCH(MIN(E346:I346), E346:I346, 0))), 技能库!$A:$F, 5, 0),"建议查阅考纲")&amp;CHAR(10)&amp;"💡 提升建议: "&amp;IFERROR(VLOOKUP(TRIM(D346)&amp;"_"&amp;TRIM(INDEX($E$1:$I$1, MATCH(MIN(E346:I346), E346:I346, 0))), 技能库!$A:$F, 6, 0),"请针对该题型加强练习"), "🎉 表现优异，无明显弱项！"))</f>
        <v/>
      </c>
      <c r="AA346" s="5" t="str">
        <f>IF(T346="","", IF(U346&lt;=3, "⚠️ 薄弱环节: "&amp;INDEX($M$1:$S$1, MATCH(MIN(M346:S346), M346:S346, 0))&amp;CHAR(10)&amp;"📉 考察能力: "&amp;IFERROR(VLOOKUP(TRIM(D346)&amp;"_"&amp;TRIM(INDEX($M$1:$S$1, MATCH(MIN(M346:S346), M346:S346, 0))), 技能库!$A:$F, 5, 0),"建议查阅考纲")&amp;CHAR(10)&amp;"💡 提升建议: "&amp;IFERROR(VLOOKUP(TRIM(D346)&amp;"_"&amp;TRIM(INDEX($M$1:$S$1, MATCH(MIN(M346:S346), M346:S346, 0))), 技能库!$A:$F, 6, 0),"请针对该题型加强练习"), "🎉 表现优异，无明显弱项！"))</f>
        <v/>
      </c>
    </row>
    <row r="347" spans="10:27" ht="18" hidden="1" customHeight="1" x14ac:dyDescent="0.2">
      <c r="J347" t="str">
        <f t="shared" si="15"/>
        <v/>
      </c>
      <c r="K347" t="str">
        <f>IF(J347="","", IFERROR(VLOOKUP(J347, IF(D347="Movers", 换算标准!$C:$D, 换算标准!$I:$J), 2, TRUE), 0))</f>
        <v/>
      </c>
      <c r="T347" t="str">
        <f t="shared" si="16"/>
        <v/>
      </c>
      <c r="U347" t="str">
        <f>IF(T347="","", IFERROR(VLOOKUP(T347, IF(D347="Movers", 换算标准!$A:$B, 换算标准!$G:$H), 2, TRUE), 0))</f>
        <v/>
      </c>
      <c r="W347" t="str">
        <f t="shared" si="17"/>
        <v/>
      </c>
      <c r="Z347" s="5" t="str">
        <f>IF(J347="","", IF(K347&lt;=3, "⚠️ 薄弱环节: "&amp;INDEX($E$1:$I$1, MATCH(MIN(E347:I347), E347:I347, 0))&amp;CHAR(10)&amp;"📉 考察能力: "&amp;IFERROR(VLOOKUP(TRIM(D347)&amp;"_"&amp;TRIM(INDEX($E$1:$I$1, MATCH(MIN(E347:I347), E347:I347, 0))), 技能库!$A:$F, 5, 0),"建议查阅考纲")&amp;CHAR(10)&amp;"💡 提升建议: "&amp;IFERROR(VLOOKUP(TRIM(D347)&amp;"_"&amp;TRIM(INDEX($E$1:$I$1, MATCH(MIN(E347:I347), E347:I347, 0))), 技能库!$A:$F, 6, 0),"请针对该题型加强练习"), "🎉 表现优异，无明显弱项！"))</f>
        <v/>
      </c>
      <c r="AA347" s="5" t="str">
        <f>IF(T347="","", IF(U347&lt;=3, "⚠️ 薄弱环节: "&amp;INDEX($M$1:$S$1, MATCH(MIN(M347:S347), M347:S347, 0))&amp;CHAR(10)&amp;"📉 考察能力: "&amp;IFERROR(VLOOKUP(TRIM(D347)&amp;"_"&amp;TRIM(INDEX($M$1:$S$1, MATCH(MIN(M347:S347), M347:S347, 0))), 技能库!$A:$F, 5, 0),"建议查阅考纲")&amp;CHAR(10)&amp;"💡 提升建议: "&amp;IFERROR(VLOOKUP(TRIM(D347)&amp;"_"&amp;TRIM(INDEX($M$1:$S$1, MATCH(MIN(M347:S347), M347:S347, 0))), 技能库!$A:$F, 6, 0),"请针对该题型加强练习"), "🎉 表现优异，无明显弱项！"))</f>
        <v/>
      </c>
    </row>
    <row r="348" spans="10:27" ht="18" hidden="1" customHeight="1" x14ac:dyDescent="0.2">
      <c r="J348" t="str">
        <f t="shared" si="15"/>
        <v/>
      </c>
      <c r="K348" t="str">
        <f>IF(J348="","", IFERROR(VLOOKUP(J348, IF(D348="Movers", 换算标准!$C:$D, 换算标准!$I:$J), 2, TRUE), 0))</f>
        <v/>
      </c>
      <c r="T348" t="str">
        <f t="shared" si="16"/>
        <v/>
      </c>
      <c r="U348" t="str">
        <f>IF(T348="","", IFERROR(VLOOKUP(T348, IF(D348="Movers", 换算标准!$A:$B, 换算标准!$G:$H), 2, TRUE), 0))</f>
        <v/>
      </c>
      <c r="W348" t="str">
        <f t="shared" si="17"/>
        <v/>
      </c>
      <c r="Z348" s="5" t="str">
        <f>IF(J348="","", IF(K348&lt;=3, "⚠️ 薄弱环节: "&amp;INDEX($E$1:$I$1, MATCH(MIN(E348:I348), E348:I348, 0))&amp;CHAR(10)&amp;"📉 考察能力: "&amp;IFERROR(VLOOKUP(TRIM(D348)&amp;"_"&amp;TRIM(INDEX($E$1:$I$1, MATCH(MIN(E348:I348), E348:I348, 0))), 技能库!$A:$F, 5, 0),"建议查阅考纲")&amp;CHAR(10)&amp;"💡 提升建议: "&amp;IFERROR(VLOOKUP(TRIM(D348)&amp;"_"&amp;TRIM(INDEX($E$1:$I$1, MATCH(MIN(E348:I348), E348:I348, 0))), 技能库!$A:$F, 6, 0),"请针对该题型加强练习"), "🎉 表现优异，无明显弱项！"))</f>
        <v/>
      </c>
      <c r="AA348" s="5" t="str">
        <f>IF(T348="","", IF(U348&lt;=3, "⚠️ 薄弱环节: "&amp;INDEX($M$1:$S$1, MATCH(MIN(M348:S348), M348:S348, 0))&amp;CHAR(10)&amp;"📉 考察能力: "&amp;IFERROR(VLOOKUP(TRIM(D348)&amp;"_"&amp;TRIM(INDEX($M$1:$S$1, MATCH(MIN(M348:S348), M348:S348, 0))), 技能库!$A:$F, 5, 0),"建议查阅考纲")&amp;CHAR(10)&amp;"💡 提升建议: "&amp;IFERROR(VLOOKUP(TRIM(D348)&amp;"_"&amp;TRIM(INDEX($M$1:$S$1, MATCH(MIN(M348:S348), M348:S348, 0))), 技能库!$A:$F, 6, 0),"请针对该题型加强练习"), "🎉 表现优异，无明显弱项！"))</f>
        <v/>
      </c>
    </row>
    <row r="349" spans="10:27" ht="18" hidden="1" customHeight="1" x14ac:dyDescent="0.2">
      <c r="J349" t="str">
        <f t="shared" si="15"/>
        <v/>
      </c>
      <c r="K349" t="str">
        <f>IF(J349="","", IFERROR(VLOOKUP(J349, IF(D349="Movers", 换算标准!$C:$D, 换算标准!$I:$J), 2, TRUE), 0))</f>
        <v/>
      </c>
      <c r="T349" t="str">
        <f t="shared" si="16"/>
        <v/>
      </c>
      <c r="U349" t="str">
        <f>IF(T349="","", IFERROR(VLOOKUP(T349, IF(D349="Movers", 换算标准!$A:$B, 换算标准!$G:$H), 2, TRUE), 0))</f>
        <v/>
      </c>
      <c r="W349" t="str">
        <f t="shared" si="17"/>
        <v/>
      </c>
      <c r="Z349" s="5" t="str">
        <f>IF(J349="","", IF(K349&lt;=3, "⚠️ 薄弱环节: "&amp;INDEX($E$1:$I$1, MATCH(MIN(E349:I349), E349:I349, 0))&amp;CHAR(10)&amp;"📉 考察能力: "&amp;IFERROR(VLOOKUP(TRIM(D349)&amp;"_"&amp;TRIM(INDEX($E$1:$I$1, MATCH(MIN(E349:I349), E349:I349, 0))), 技能库!$A:$F, 5, 0),"建议查阅考纲")&amp;CHAR(10)&amp;"💡 提升建议: "&amp;IFERROR(VLOOKUP(TRIM(D349)&amp;"_"&amp;TRIM(INDEX($E$1:$I$1, MATCH(MIN(E349:I349), E349:I349, 0))), 技能库!$A:$F, 6, 0),"请针对该题型加强练习"), "🎉 表现优异，无明显弱项！"))</f>
        <v/>
      </c>
      <c r="AA349" s="5" t="str">
        <f>IF(T349="","", IF(U349&lt;=3, "⚠️ 薄弱环节: "&amp;INDEX($M$1:$S$1, MATCH(MIN(M349:S349), M349:S349, 0))&amp;CHAR(10)&amp;"📉 考察能力: "&amp;IFERROR(VLOOKUP(TRIM(D349)&amp;"_"&amp;TRIM(INDEX($M$1:$S$1, MATCH(MIN(M349:S349), M349:S349, 0))), 技能库!$A:$F, 5, 0),"建议查阅考纲")&amp;CHAR(10)&amp;"💡 提升建议: "&amp;IFERROR(VLOOKUP(TRIM(D349)&amp;"_"&amp;TRIM(INDEX($M$1:$S$1, MATCH(MIN(M349:S349), M349:S349, 0))), 技能库!$A:$F, 6, 0),"请针对该题型加强练习"), "🎉 表现优异，无明显弱项！"))</f>
        <v/>
      </c>
    </row>
    <row r="350" spans="10:27" ht="18" hidden="1" customHeight="1" x14ac:dyDescent="0.2">
      <c r="J350" t="str">
        <f t="shared" si="15"/>
        <v/>
      </c>
      <c r="K350" t="str">
        <f>IF(J350="","", IFERROR(VLOOKUP(J350, IF(D350="Movers", 换算标准!$C:$D, 换算标准!$I:$J), 2, TRUE), 0))</f>
        <v/>
      </c>
      <c r="T350" t="str">
        <f t="shared" si="16"/>
        <v/>
      </c>
      <c r="U350" t="str">
        <f>IF(T350="","", IFERROR(VLOOKUP(T350, IF(D350="Movers", 换算标准!$A:$B, 换算标准!$G:$H), 2, TRUE), 0))</f>
        <v/>
      </c>
      <c r="W350" t="str">
        <f t="shared" si="17"/>
        <v/>
      </c>
      <c r="Z350" s="5" t="str">
        <f>IF(J350="","", IF(K350&lt;=3, "⚠️ 薄弱环节: "&amp;INDEX($E$1:$I$1, MATCH(MIN(E350:I350), E350:I350, 0))&amp;CHAR(10)&amp;"📉 考察能力: "&amp;IFERROR(VLOOKUP(TRIM(D350)&amp;"_"&amp;TRIM(INDEX($E$1:$I$1, MATCH(MIN(E350:I350), E350:I350, 0))), 技能库!$A:$F, 5, 0),"建议查阅考纲")&amp;CHAR(10)&amp;"💡 提升建议: "&amp;IFERROR(VLOOKUP(TRIM(D350)&amp;"_"&amp;TRIM(INDEX($E$1:$I$1, MATCH(MIN(E350:I350), E350:I350, 0))), 技能库!$A:$F, 6, 0),"请针对该题型加强练习"), "🎉 表现优异，无明显弱项！"))</f>
        <v/>
      </c>
      <c r="AA350" s="5" t="str">
        <f>IF(T350="","", IF(U350&lt;=3, "⚠️ 薄弱环节: "&amp;INDEX($M$1:$S$1, MATCH(MIN(M350:S350), M350:S350, 0))&amp;CHAR(10)&amp;"📉 考察能力: "&amp;IFERROR(VLOOKUP(TRIM(D350)&amp;"_"&amp;TRIM(INDEX($M$1:$S$1, MATCH(MIN(M350:S350), M350:S350, 0))), 技能库!$A:$F, 5, 0),"建议查阅考纲")&amp;CHAR(10)&amp;"💡 提升建议: "&amp;IFERROR(VLOOKUP(TRIM(D350)&amp;"_"&amp;TRIM(INDEX($M$1:$S$1, MATCH(MIN(M350:S350), M350:S350, 0))), 技能库!$A:$F, 6, 0),"请针对该题型加强练习"), "🎉 表现优异，无明显弱项！"))</f>
        <v/>
      </c>
    </row>
    <row r="351" spans="10:27" ht="18" hidden="1" customHeight="1" x14ac:dyDescent="0.2">
      <c r="J351" t="str">
        <f t="shared" si="15"/>
        <v/>
      </c>
      <c r="K351" t="str">
        <f>IF(J351="","", IFERROR(VLOOKUP(J351, IF(D351="Movers", 换算标准!$C:$D, 换算标准!$I:$J), 2, TRUE), 0))</f>
        <v/>
      </c>
      <c r="T351" t="str">
        <f t="shared" si="16"/>
        <v/>
      </c>
      <c r="U351" t="str">
        <f>IF(T351="","", IFERROR(VLOOKUP(T351, IF(D351="Movers", 换算标准!$A:$B, 换算标准!$G:$H), 2, TRUE), 0))</f>
        <v/>
      </c>
      <c r="W351" t="str">
        <f t="shared" si="17"/>
        <v/>
      </c>
      <c r="Z351" s="5" t="str">
        <f>IF(J351="","", IF(K351&lt;=3, "⚠️ 薄弱环节: "&amp;INDEX($E$1:$I$1, MATCH(MIN(E351:I351), E351:I351, 0))&amp;CHAR(10)&amp;"📉 考察能力: "&amp;IFERROR(VLOOKUP(TRIM(D351)&amp;"_"&amp;TRIM(INDEX($E$1:$I$1, MATCH(MIN(E351:I351), E351:I351, 0))), 技能库!$A:$F, 5, 0),"建议查阅考纲")&amp;CHAR(10)&amp;"💡 提升建议: "&amp;IFERROR(VLOOKUP(TRIM(D351)&amp;"_"&amp;TRIM(INDEX($E$1:$I$1, MATCH(MIN(E351:I351), E351:I351, 0))), 技能库!$A:$F, 6, 0),"请针对该题型加强练习"), "🎉 表现优异，无明显弱项！"))</f>
        <v/>
      </c>
      <c r="AA351" s="5" t="str">
        <f>IF(T351="","", IF(U351&lt;=3, "⚠️ 薄弱环节: "&amp;INDEX($M$1:$S$1, MATCH(MIN(M351:S351), M351:S351, 0))&amp;CHAR(10)&amp;"📉 考察能力: "&amp;IFERROR(VLOOKUP(TRIM(D351)&amp;"_"&amp;TRIM(INDEX($M$1:$S$1, MATCH(MIN(M351:S351), M351:S351, 0))), 技能库!$A:$F, 5, 0),"建议查阅考纲")&amp;CHAR(10)&amp;"💡 提升建议: "&amp;IFERROR(VLOOKUP(TRIM(D351)&amp;"_"&amp;TRIM(INDEX($M$1:$S$1, MATCH(MIN(M351:S351), M351:S351, 0))), 技能库!$A:$F, 6, 0),"请针对该题型加强练习"), "🎉 表现优异，无明显弱项！"))</f>
        <v/>
      </c>
    </row>
    <row r="352" spans="10:27" ht="18" hidden="1" customHeight="1" x14ac:dyDescent="0.2">
      <c r="J352" t="str">
        <f t="shared" si="15"/>
        <v/>
      </c>
      <c r="K352" t="str">
        <f>IF(J352="","", IFERROR(VLOOKUP(J352, IF(D352="Movers", 换算标准!$C:$D, 换算标准!$I:$J), 2, TRUE), 0))</f>
        <v/>
      </c>
      <c r="T352" t="str">
        <f t="shared" si="16"/>
        <v/>
      </c>
      <c r="U352" t="str">
        <f>IF(T352="","", IFERROR(VLOOKUP(T352, IF(D352="Movers", 换算标准!$A:$B, 换算标准!$G:$H), 2, TRUE), 0))</f>
        <v/>
      </c>
      <c r="W352" t="str">
        <f t="shared" si="17"/>
        <v/>
      </c>
      <c r="Z352" s="5" t="str">
        <f>IF(J352="","", IF(K352&lt;=3, "⚠️ 薄弱环节: "&amp;INDEX($E$1:$I$1, MATCH(MIN(E352:I352), E352:I352, 0))&amp;CHAR(10)&amp;"📉 考察能力: "&amp;IFERROR(VLOOKUP(TRIM(D352)&amp;"_"&amp;TRIM(INDEX($E$1:$I$1, MATCH(MIN(E352:I352), E352:I352, 0))), 技能库!$A:$F, 5, 0),"建议查阅考纲")&amp;CHAR(10)&amp;"💡 提升建议: "&amp;IFERROR(VLOOKUP(TRIM(D352)&amp;"_"&amp;TRIM(INDEX($E$1:$I$1, MATCH(MIN(E352:I352), E352:I352, 0))), 技能库!$A:$F, 6, 0),"请针对该题型加强练习"), "🎉 表现优异，无明显弱项！"))</f>
        <v/>
      </c>
      <c r="AA352" s="5" t="str">
        <f>IF(T352="","", IF(U352&lt;=3, "⚠️ 薄弱环节: "&amp;INDEX($M$1:$S$1, MATCH(MIN(M352:S352), M352:S352, 0))&amp;CHAR(10)&amp;"📉 考察能力: "&amp;IFERROR(VLOOKUP(TRIM(D352)&amp;"_"&amp;TRIM(INDEX($M$1:$S$1, MATCH(MIN(M352:S352), M352:S352, 0))), 技能库!$A:$F, 5, 0),"建议查阅考纲")&amp;CHAR(10)&amp;"💡 提升建议: "&amp;IFERROR(VLOOKUP(TRIM(D352)&amp;"_"&amp;TRIM(INDEX($M$1:$S$1, MATCH(MIN(M352:S352), M352:S352, 0))), 技能库!$A:$F, 6, 0),"请针对该题型加强练习"), "🎉 表现优异，无明显弱项！"))</f>
        <v/>
      </c>
    </row>
    <row r="353" spans="10:27" ht="18" hidden="1" customHeight="1" x14ac:dyDescent="0.2">
      <c r="J353" t="str">
        <f t="shared" si="15"/>
        <v/>
      </c>
      <c r="K353" t="str">
        <f>IF(J353="","", IFERROR(VLOOKUP(J353, IF(D353="Movers", 换算标准!$C:$D, 换算标准!$I:$J), 2, TRUE), 0))</f>
        <v/>
      </c>
      <c r="T353" t="str">
        <f t="shared" si="16"/>
        <v/>
      </c>
      <c r="U353" t="str">
        <f>IF(T353="","", IFERROR(VLOOKUP(T353, IF(D353="Movers", 换算标准!$A:$B, 换算标准!$G:$H), 2, TRUE), 0))</f>
        <v/>
      </c>
      <c r="W353" t="str">
        <f t="shared" si="17"/>
        <v/>
      </c>
      <c r="Z353" s="5" t="str">
        <f>IF(J353="","", IF(K353&lt;=3, "⚠️ 薄弱环节: "&amp;INDEX($E$1:$I$1, MATCH(MIN(E353:I353), E353:I353, 0))&amp;CHAR(10)&amp;"📉 考察能力: "&amp;IFERROR(VLOOKUP(TRIM(D353)&amp;"_"&amp;TRIM(INDEX($E$1:$I$1, MATCH(MIN(E353:I353), E353:I353, 0))), 技能库!$A:$F, 5, 0),"建议查阅考纲")&amp;CHAR(10)&amp;"💡 提升建议: "&amp;IFERROR(VLOOKUP(TRIM(D353)&amp;"_"&amp;TRIM(INDEX($E$1:$I$1, MATCH(MIN(E353:I353), E353:I353, 0))), 技能库!$A:$F, 6, 0),"请针对该题型加强练习"), "🎉 表现优异，无明显弱项！"))</f>
        <v/>
      </c>
      <c r="AA353" s="5" t="str">
        <f>IF(T353="","", IF(U353&lt;=3, "⚠️ 薄弱环节: "&amp;INDEX($M$1:$S$1, MATCH(MIN(M353:S353), M353:S353, 0))&amp;CHAR(10)&amp;"📉 考察能力: "&amp;IFERROR(VLOOKUP(TRIM(D353)&amp;"_"&amp;TRIM(INDEX($M$1:$S$1, MATCH(MIN(M353:S353), M353:S353, 0))), 技能库!$A:$F, 5, 0),"建议查阅考纲")&amp;CHAR(10)&amp;"💡 提升建议: "&amp;IFERROR(VLOOKUP(TRIM(D353)&amp;"_"&amp;TRIM(INDEX($M$1:$S$1, MATCH(MIN(M353:S353), M353:S353, 0))), 技能库!$A:$F, 6, 0),"请针对该题型加强练习"), "🎉 表现优异，无明显弱项！"))</f>
        <v/>
      </c>
    </row>
    <row r="354" spans="10:27" ht="18" hidden="1" customHeight="1" x14ac:dyDescent="0.2">
      <c r="J354" t="str">
        <f t="shared" si="15"/>
        <v/>
      </c>
      <c r="K354" t="str">
        <f>IF(J354="","", IFERROR(VLOOKUP(J354, IF(D354="Movers", 换算标准!$C:$D, 换算标准!$I:$J), 2, TRUE), 0))</f>
        <v/>
      </c>
      <c r="T354" t="str">
        <f t="shared" si="16"/>
        <v/>
      </c>
      <c r="U354" t="str">
        <f>IF(T354="","", IFERROR(VLOOKUP(T354, IF(D354="Movers", 换算标准!$A:$B, 换算标准!$G:$H), 2, TRUE), 0))</f>
        <v/>
      </c>
      <c r="W354" t="str">
        <f t="shared" si="17"/>
        <v/>
      </c>
      <c r="Z354" s="5" t="str">
        <f>IF(J354="","", IF(K354&lt;=3, "⚠️ 薄弱环节: "&amp;INDEX($E$1:$I$1, MATCH(MIN(E354:I354), E354:I354, 0))&amp;CHAR(10)&amp;"📉 考察能力: "&amp;IFERROR(VLOOKUP(TRIM(D354)&amp;"_"&amp;TRIM(INDEX($E$1:$I$1, MATCH(MIN(E354:I354), E354:I354, 0))), 技能库!$A:$F, 5, 0),"建议查阅考纲")&amp;CHAR(10)&amp;"💡 提升建议: "&amp;IFERROR(VLOOKUP(TRIM(D354)&amp;"_"&amp;TRIM(INDEX($E$1:$I$1, MATCH(MIN(E354:I354), E354:I354, 0))), 技能库!$A:$F, 6, 0),"请针对该题型加强练习"), "🎉 表现优异，无明显弱项！"))</f>
        <v/>
      </c>
      <c r="AA354" s="5" t="str">
        <f>IF(T354="","", IF(U354&lt;=3, "⚠️ 薄弱环节: "&amp;INDEX($M$1:$S$1, MATCH(MIN(M354:S354), M354:S354, 0))&amp;CHAR(10)&amp;"📉 考察能力: "&amp;IFERROR(VLOOKUP(TRIM(D354)&amp;"_"&amp;TRIM(INDEX($M$1:$S$1, MATCH(MIN(M354:S354), M354:S354, 0))), 技能库!$A:$F, 5, 0),"建议查阅考纲")&amp;CHAR(10)&amp;"💡 提升建议: "&amp;IFERROR(VLOOKUP(TRIM(D354)&amp;"_"&amp;TRIM(INDEX($M$1:$S$1, MATCH(MIN(M354:S354), M354:S354, 0))), 技能库!$A:$F, 6, 0),"请针对该题型加强练习"), "🎉 表现优异，无明显弱项！"))</f>
        <v/>
      </c>
    </row>
    <row r="355" spans="10:27" ht="18" hidden="1" customHeight="1" x14ac:dyDescent="0.2">
      <c r="J355" t="str">
        <f t="shared" si="15"/>
        <v/>
      </c>
      <c r="K355" t="str">
        <f>IF(J355="","", IFERROR(VLOOKUP(J355, IF(D355="Movers", 换算标准!$C:$D, 换算标准!$I:$J), 2, TRUE), 0))</f>
        <v/>
      </c>
      <c r="T355" t="str">
        <f t="shared" si="16"/>
        <v/>
      </c>
      <c r="U355" t="str">
        <f>IF(T355="","", IFERROR(VLOOKUP(T355, IF(D355="Movers", 换算标准!$A:$B, 换算标准!$G:$H), 2, TRUE), 0))</f>
        <v/>
      </c>
      <c r="W355" t="str">
        <f t="shared" si="17"/>
        <v/>
      </c>
      <c r="Z355" s="5" t="str">
        <f>IF(J355="","", IF(K355&lt;=3, "⚠️ 薄弱环节: "&amp;INDEX($E$1:$I$1, MATCH(MIN(E355:I355), E355:I355, 0))&amp;CHAR(10)&amp;"📉 考察能力: "&amp;IFERROR(VLOOKUP(TRIM(D355)&amp;"_"&amp;TRIM(INDEX($E$1:$I$1, MATCH(MIN(E355:I355), E355:I355, 0))), 技能库!$A:$F, 5, 0),"建议查阅考纲")&amp;CHAR(10)&amp;"💡 提升建议: "&amp;IFERROR(VLOOKUP(TRIM(D355)&amp;"_"&amp;TRIM(INDEX($E$1:$I$1, MATCH(MIN(E355:I355), E355:I355, 0))), 技能库!$A:$F, 6, 0),"请针对该题型加强练习"), "🎉 表现优异，无明显弱项！"))</f>
        <v/>
      </c>
      <c r="AA355" s="5" t="str">
        <f>IF(T355="","", IF(U355&lt;=3, "⚠️ 薄弱环节: "&amp;INDEX($M$1:$S$1, MATCH(MIN(M355:S355), M355:S355, 0))&amp;CHAR(10)&amp;"📉 考察能力: "&amp;IFERROR(VLOOKUP(TRIM(D355)&amp;"_"&amp;TRIM(INDEX($M$1:$S$1, MATCH(MIN(M355:S355), M355:S355, 0))), 技能库!$A:$F, 5, 0),"建议查阅考纲")&amp;CHAR(10)&amp;"💡 提升建议: "&amp;IFERROR(VLOOKUP(TRIM(D355)&amp;"_"&amp;TRIM(INDEX($M$1:$S$1, MATCH(MIN(M355:S355), M355:S355, 0))), 技能库!$A:$F, 6, 0),"请针对该题型加强练习"), "🎉 表现优异，无明显弱项！"))</f>
        <v/>
      </c>
    </row>
    <row r="356" spans="10:27" ht="18" hidden="1" customHeight="1" x14ac:dyDescent="0.2">
      <c r="J356" t="str">
        <f t="shared" si="15"/>
        <v/>
      </c>
      <c r="K356" t="str">
        <f>IF(J356="","", IFERROR(VLOOKUP(J356, IF(D356="Movers", 换算标准!$C:$D, 换算标准!$I:$J), 2, TRUE), 0))</f>
        <v/>
      </c>
      <c r="T356" t="str">
        <f t="shared" si="16"/>
        <v/>
      </c>
      <c r="U356" t="str">
        <f>IF(T356="","", IFERROR(VLOOKUP(T356, IF(D356="Movers", 换算标准!$A:$B, 换算标准!$G:$H), 2, TRUE), 0))</f>
        <v/>
      </c>
      <c r="W356" t="str">
        <f t="shared" si="17"/>
        <v/>
      </c>
      <c r="Z356" s="5" t="str">
        <f>IF(J356="","", IF(K356&lt;=3, "⚠️ 薄弱环节: "&amp;INDEX($E$1:$I$1, MATCH(MIN(E356:I356), E356:I356, 0))&amp;CHAR(10)&amp;"📉 考察能力: "&amp;IFERROR(VLOOKUP(TRIM(D356)&amp;"_"&amp;TRIM(INDEX($E$1:$I$1, MATCH(MIN(E356:I356), E356:I356, 0))), 技能库!$A:$F, 5, 0),"建议查阅考纲")&amp;CHAR(10)&amp;"💡 提升建议: "&amp;IFERROR(VLOOKUP(TRIM(D356)&amp;"_"&amp;TRIM(INDEX($E$1:$I$1, MATCH(MIN(E356:I356), E356:I356, 0))), 技能库!$A:$F, 6, 0),"请针对该题型加强练习"), "🎉 表现优异，无明显弱项！"))</f>
        <v/>
      </c>
      <c r="AA356" s="5" t="str">
        <f>IF(T356="","", IF(U356&lt;=3, "⚠️ 薄弱环节: "&amp;INDEX($M$1:$S$1, MATCH(MIN(M356:S356), M356:S356, 0))&amp;CHAR(10)&amp;"📉 考察能力: "&amp;IFERROR(VLOOKUP(TRIM(D356)&amp;"_"&amp;TRIM(INDEX($M$1:$S$1, MATCH(MIN(M356:S356), M356:S356, 0))), 技能库!$A:$F, 5, 0),"建议查阅考纲")&amp;CHAR(10)&amp;"💡 提升建议: "&amp;IFERROR(VLOOKUP(TRIM(D356)&amp;"_"&amp;TRIM(INDEX($M$1:$S$1, MATCH(MIN(M356:S356), M356:S356, 0))), 技能库!$A:$F, 6, 0),"请针对该题型加强练习"), "🎉 表现优异，无明显弱项！"))</f>
        <v/>
      </c>
    </row>
    <row r="357" spans="10:27" ht="18" hidden="1" customHeight="1" x14ac:dyDescent="0.2">
      <c r="J357" t="str">
        <f t="shared" si="15"/>
        <v/>
      </c>
      <c r="K357" t="str">
        <f>IF(J357="","", IFERROR(VLOOKUP(J357, IF(D357="Movers", 换算标准!$C:$D, 换算标准!$I:$J), 2, TRUE), 0))</f>
        <v/>
      </c>
      <c r="T357" t="str">
        <f t="shared" si="16"/>
        <v/>
      </c>
      <c r="U357" t="str">
        <f>IF(T357="","", IFERROR(VLOOKUP(T357, IF(D357="Movers", 换算标准!$A:$B, 换算标准!$G:$H), 2, TRUE), 0))</f>
        <v/>
      </c>
      <c r="W357" t="str">
        <f t="shared" si="17"/>
        <v/>
      </c>
      <c r="Z357" s="5" t="str">
        <f>IF(J357="","", IF(K357&lt;=3, "⚠️ 薄弱环节: "&amp;INDEX($E$1:$I$1, MATCH(MIN(E357:I357), E357:I357, 0))&amp;CHAR(10)&amp;"📉 考察能力: "&amp;IFERROR(VLOOKUP(TRIM(D357)&amp;"_"&amp;TRIM(INDEX($E$1:$I$1, MATCH(MIN(E357:I357), E357:I357, 0))), 技能库!$A:$F, 5, 0),"建议查阅考纲")&amp;CHAR(10)&amp;"💡 提升建议: "&amp;IFERROR(VLOOKUP(TRIM(D357)&amp;"_"&amp;TRIM(INDEX($E$1:$I$1, MATCH(MIN(E357:I357), E357:I357, 0))), 技能库!$A:$F, 6, 0),"请针对该题型加强练习"), "🎉 表现优异，无明显弱项！"))</f>
        <v/>
      </c>
      <c r="AA357" s="5" t="str">
        <f>IF(T357="","", IF(U357&lt;=3, "⚠️ 薄弱环节: "&amp;INDEX($M$1:$S$1, MATCH(MIN(M357:S357), M357:S357, 0))&amp;CHAR(10)&amp;"📉 考察能力: "&amp;IFERROR(VLOOKUP(TRIM(D357)&amp;"_"&amp;TRIM(INDEX($M$1:$S$1, MATCH(MIN(M357:S357), M357:S357, 0))), 技能库!$A:$F, 5, 0),"建议查阅考纲")&amp;CHAR(10)&amp;"💡 提升建议: "&amp;IFERROR(VLOOKUP(TRIM(D357)&amp;"_"&amp;TRIM(INDEX($M$1:$S$1, MATCH(MIN(M357:S357), M357:S357, 0))), 技能库!$A:$F, 6, 0),"请针对该题型加强练习"), "🎉 表现优异，无明显弱项！"))</f>
        <v/>
      </c>
    </row>
    <row r="358" spans="10:27" ht="18" hidden="1" customHeight="1" x14ac:dyDescent="0.2">
      <c r="J358" t="str">
        <f t="shared" si="15"/>
        <v/>
      </c>
      <c r="K358" t="str">
        <f>IF(J358="","", IFERROR(VLOOKUP(J358, IF(D358="Movers", 换算标准!$C:$D, 换算标准!$I:$J), 2, TRUE), 0))</f>
        <v/>
      </c>
      <c r="T358" t="str">
        <f t="shared" si="16"/>
        <v/>
      </c>
      <c r="U358" t="str">
        <f>IF(T358="","", IFERROR(VLOOKUP(T358, IF(D358="Movers", 换算标准!$A:$B, 换算标准!$G:$H), 2, TRUE), 0))</f>
        <v/>
      </c>
      <c r="W358" t="str">
        <f t="shared" si="17"/>
        <v/>
      </c>
      <c r="Z358" s="5" t="str">
        <f>IF(J358="","", IF(K358&lt;=3, "⚠️ 薄弱环节: "&amp;INDEX($E$1:$I$1, MATCH(MIN(E358:I358), E358:I358, 0))&amp;CHAR(10)&amp;"📉 考察能力: "&amp;IFERROR(VLOOKUP(TRIM(D358)&amp;"_"&amp;TRIM(INDEX($E$1:$I$1, MATCH(MIN(E358:I358), E358:I358, 0))), 技能库!$A:$F, 5, 0),"建议查阅考纲")&amp;CHAR(10)&amp;"💡 提升建议: "&amp;IFERROR(VLOOKUP(TRIM(D358)&amp;"_"&amp;TRIM(INDEX($E$1:$I$1, MATCH(MIN(E358:I358), E358:I358, 0))), 技能库!$A:$F, 6, 0),"请针对该题型加强练习"), "🎉 表现优异，无明显弱项！"))</f>
        <v/>
      </c>
      <c r="AA358" s="5" t="str">
        <f>IF(T358="","", IF(U358&lt;=3, "⚠️ 薄弱环节: "&amp;INDEX($M$1:$S$1, MATCH(MIN(M358:S358), M358:S358, 0))&amp;CHAR(10)&amp;"📉 考察能力: "&amp;IFERROR(VLOOKUP(TRIM(D358)&amp;"_"&amp;TRIM(INDEX($M$1:$S$1, MATCH(MIN(M358:S358), M358:S358, 0))), 技能库!$A:$F, 5, 0),"建议查阅考纲")&amp;CHAR(10)&amp;"💡 提升建议: "&amp;IFERROR(VLOOKUP(TRIM(D358)&amp;"_"&amp;TRIM(INDEX($M$1:$S$1, MATCH(MIN(M358:S358), M358:S358, 0))), 技能库!$A:$F, 6, 0),"请针对该题型加强练习"), "🎉 表现优异，无明显弱项！"))</f>
        <v/>
      </c>
    </row>
    <row r="359" spans="10:27" ht="18" hidden="1" customHeight="1" x14ac:dyDescent="0.2">
      <c r="J359" t="str">
        <f t="shared" si="15"/>
        <v/>
      </c>
      <c r="K359" t="str">
        <f>IF(J359="","", IFERROR(VLOOKUP(J359, IF(D359="Movers", 换算标准!$C:$D, 换算标准!$I:$J), 2, TRUE), 0))</f>
        <v/>
      </c>
      <c r="T359" t="str">
        <f t="shared" si="16"/>
        <v/>
      </c>
      <c r="U359" t="str">
        <f>IF(T359="","", IFERROR(VLOOKUP(T359, IF(D359="Movers", 换算标准!$A:$B, 换算标准!$G:$H), 2, TRUE), 0))</f>
        <v/>
      </c>
      <c r="W359" t="str">
        <f t="shared" si="17"/>
        <v/>
      </c>
      <c r="Z359" s="5" t="str">
        <f>IF(J359="","", IF(K359&lt;=3, "⚠️ 薄弱环节: "&amp;INDEX($E$1:$I$1, MATCH(MIN(E359:I359), E359:I359, 0))&amp;CHAR(10)&amp;"📉 考察能力: "&amp;IFERROR(VLOOKUP(TRIM(D359)&amp;"_"&amp;TRIM(INDEX($E$1:$I$1, MATCH(MIN(E359:I359), E359:I359, 0))), 技能库!$A:$F, 5, 0),"建议查阅考纲")&amp;CHAR(10)&amp;"💡 提升建议: "&amp;IFERROR(VLOOKUP(TRIM(D359)&amp;"_"&amp;TRIM(INDEX($E$1:$I$1, MATCH(MIN(E359:I359), E359:I359, 0))), 技能库!$A:$F, 6, 0),"请针对该题型加强练习"), "🎉 表现优异，无明显弱项！"))</f>
        <v/>
      </c>
      <c r="AA359" s="5" t="str">
        <f>IF(T359="","", IF(U359&lt;=3, "⚠️ 薄弱环节: "&amp;INDEX($M$1:$S$1, MATCH(MIN(M359:S359), M359:S359, 0))&amp;CHAR(10)&amp;"📉 考察能力: "&amp;IFERROR(VLOOKUP(TRIM(D359)&amp;"_"&amp;TRIM(INDEX($M$1:$S$1, MATCH(MIN(M359:S359), M359:S359, 0))), 技能库!$A:$F, 5, 0),"建议查阅考纲")&amp;CHAR(10)&amp;"💡 提升建议: "&amp;IFERROR(VLOOKUP(TRIM(D359)&amp;"_"&amp;TRIM(INDEX($M$1:$S$1, MATCH(MIN(M359:S359), M359:S359, 0))), 技能库!$A:$F, 6, 0),"请针对该题型加强练习"), "🎉 表现优异，无明显弱项！"))</f>
        <v/>
      </c>
    </row>
    <row r="360" spans="10:27" ht="18" hidden="1" customHeight="1" x14ac:dyDescent="0.2">
      <c r="J360" t="str">
        <f t="shared" si="15"/>
        <v/>
      </c>
      <c r="K360" t="str">
        <f>IF(J360="","", IFERROR(VLOOKUP(J360, IF(D360="Movers", 换算标准!$C:$D, 换算标准!$I:$J), 2, TRUE), 0))</f>
        <v/>
      </c>
      <c r="T360" t="str">
        <f t="shared" si="16"/>
        <v/>
      </c>
      <c r="U360" t="str">
        <f>IF(T360="","", IFERROR(VLOOKUP(T360, IF(D360="Movers", 换算标准!$A:$B, 换算标准!$G:$H), 2, TRUE), 0))</f>
        <v/>
      </c>
      <c r="W360" t="str">
        <f t="shared" si="17"/>
        <v/>
      </c>
      <c r="Z360" s="5" t="str">
        <f>IF(J360="","", IF(K360&lt;=3, "⚠️ 薄弱环节: "&amp;INDEX($E$1:$I$1, MATCH(MIN(E360:I360), E360:I360, 0))&amp;CHAR(10)&amp;"📉 考察能力: "&amp;IFERROR(VLOOKUP(TRIM(D360)&amp;"_"&amp;TRIM(INDEX($E$1:$I$1, MATCH(MIN(E360:I360), E360:I360, 0))), 技能库!$A:$F, 5, 0),"建议查阅考纲")&amp;CHAR(10)&amp;"💡 提升建议: "&amp;IFERROR(VLOOKUP(TRIM(D360)&amp;"_"&amp;TRIM(INDEX($E$1:$I$1, MATCH(MIN(E360:I360), E360:I360, 0))), 技能库!$A:$F, 6, 0),"请针对该题型加强练习"), "🎉 表现优异，无明显弱项！"))</f>
        <v/>
      </c>
      <c r="AA360" s="5" t="str">
        <f>IF(T360="","", IF(U360&lt;=3, "⚠️ 薄弱环节: "&amp;INDEX($M$1:$S$1, MATCH(MIN(M360:S360), M360:S360, 0))&amp;CHAR(10)&amp;"📉 考察能力: "&amp;IFERROR(VLOOKUP(TRIM(D360)&amp;"_"&amp;TRIM(INDEX($M$1:$S$1, MATCH(MIN(M360:S360), M360:S360, 0))), 技能库!$A:$F, 5, 0),"建议查阅考纲")&amp;CHAR(10)&amp;"💡 提升建议: "&amp;IFERROR(VLOOKUP(TRIM(D360)&amp;"_"&amp;TRIM(INDEX($M$1:$S$1, MATCH(MIN(M360:S360), M360:S360, 0))), 技能库!$A:$F, 6, 0),"请针对该题型加强练习"), "🎉 表现优异，无明显弱项！"))</f>
        <v/>
      </c>
    </row>
    <row r="361" spans="10:27" ht="18" hidden="1" customHeight="1" x14ac:dyDescent="0.2">
      <c r="J361" t="str">
        <f t="shared" si="15"/>
        <v/>
      </c>
      <c r="K361" t="str">
        <f>IF(J361="","", IFERROR(VLOOKUP(J361, IF(D361="Movers", 换算标准!$C:$D, 换算标准!$I:$J), 2, TRUE), 0))</f>
        <v/>
      </c>
      <c r="T361" t="str">
        <f t="shared" si="16"/>
        <v/>
      </c>
      <c r="U361" t="str">
        <f>IF(T361="","", IFERROR(VLOOKUP(T361, IF(D361="Movers", 换算标准!$A:$B, 换算标准!$G:$H), 2, TRUE), 0))</f>
        <v/>
      </c>
      <c r="W361" t="str">
        <f t="shared" si="17"/>
        <v/>
      </c>
      <c r="Z361" s="5" t="str">
        <f>IF(J361="","", IF(K361&lt;=3, "⚠️ 薄弱环节: "&amp;INDEX($E$1:$I$1, MATCH(MIN(E361:I361), E361:I361, 0))&amp;CHAR(10)&amp;"📉 考察能力: "&amp;IFERROR(VLOOKUP(TRIM(D361)&amp;"_"&amp;TRIM(INDEX($E$1:$I$1, MATCH(MIN(E361:I361), E361:I361, 0))), 技能库!$A:$F, 5, 0),"建议查阅考纲")&amp;CHAR(10)&amp;"💡 提升建议: "&amp;IFERROR(VLOOKUP(TRIM(D361)&amp;"_"&amp;TRIM(INDEX($E$1:$I$1, MATCH(MIN(E361:I361), E361:I361, 0))), 技能库!$A:$F, 6, 0),"请针对该题型加强练习"), "🎉 表现优异，无明显弱项！"))</f>
        <v/>
      </c>
      <c r="AA361" s="5" t="str">
        <f>IF(T361="","", IF(U361&lt;=3, "⚠️ 薄弱环节: "&amp;INDEX($M$1:$S$1, MATCH(MIN(M361:S361), M361:S361, 0))&amp;CHAR(10)&amp;"📉 考察能力: "&amp;IFERROR(VLOOKUP(TRIM(D361)&amp;"_"&amp;TRIM(INDEX($M$1:$S$1, MATCH(MIN(M361:S361), M361:S361, 0))), 技能库!$A:$F, 5, 0),"建议查阅考纲")&amp;CHAR(10)&amp;"💡 提升建议: "&amp;IFERROR(VLOOKUP(TRIM(D361)&amp;"_"&amp;TRIM(INDEX($M$1:$S$1, MATCH(MIN(M361:S361), M361:S361, 0))), 技能库!$A:$F, 6, 0),"请针对该题型加强练习"), "🎉 表现优异，无明显弱项！"))</f>
        <v/>
      </c>
    </row>
    <row r="362" spans="10:27" ht="18" hidden="1" customHeight="1" x14ac:dyDescent="0.2">
      <c r="J362" t="str">
        <f t="shared" si="15"/>
        <v/>
      </c>
      <c r="K362" t="str">
        <f>IF(J362="","", IFERROR(VLOOKUP(J362, IF(D362="Movers", 换算标准!$C:$D, 换算标准!$I:$J), 2, TRUE), 0))</f>
        <v/>
      </c>
      <c r="T362" t="str">
        <f t="shared" si="16"/>
        <v/>
      </c>
      <c r="U362" t="str">
        <f>IF(T362="","", IFERROR(VLOOKUP(T362, IF(D362="Movers", 换算标准!$A:$B, 换算标准!$G:$H), 2, TRUE), 0))</f>
        <v/>
      </c>
      <c r="W362" t="str">
        <f t="shared" si="17"/>
        <v/>
      </c>
      <c r="Z362" s="5" t="str">
        <f>IF(J362="","", IF(K362&lt;=3, "⚠️ 薄弱环节: "&amp;INDEX($E$1:$I$1, MATCH(MIN(E362:I362), E362:I362, 0))&amp;CHAR(10)&amp;"📉 考察能力: "&amp;IFERROR(VLOOKUP(TRIM(D362)&amp;"_"&amp;TRIM(INDEX($E$1:$I$1, MATCH(MIN(E362:I362), E362:I362, 0))), 技能库!$A:$F, 5, 0),"建议查阅考纲")&amp;CHAR(10)&amp;"💡 提升建议: "&amp;IFERROR(VLOOKUP(TRIM(D362)&amp;"_"&amp;TRIM(INDEX($E$1:$I$1, MATCH(MIN(E362:I362), E362:I362, 0))), 技能库!$A:$F, 6, 0),"请针对该题型加强练习"), "🎉 表现优异，无明显弱项！"))</f>
        <v/>
      </c>
      <c r="AA362" s="5" t="str">
        <f>IF(T362="","", IF(U362&lt;=3, "⚠️ 薄弱环节: "&amp;INDEX($M$1:$S$1, MATCH(MIN(M362:S362), M362:S362, 0))&amp;CHAR(10)&amp;"📉 考察能力: "&amp;IFERROR(VLOOKUP(TRIM(D362)&amp;"_"&amp;TRIM(INDEX($M$1:$S$1, MATCH(MIN(M362:S362), M362:S362, 0))), 技能库!$A:$F, 5, 0),"建议查阅考纲")&amp;CHAR(10)&amp;"💡 提升建议: "&amp;IFERROR(VLOOKUP(TRIM(D362)&amp;"_"&amp;TRIM(INDEX($M$1:$S$1, MATCH(MIN(M362:S362), M362:S362, 0))), 技能库!$A:$F, 6, 0),"请针对该题型加强练习"), "🎉 表现优异，无明显弱项！"))</f>
        <v/>
      </c>
    </row>
    <row r="363" spans="10:27" ht="18" hidden="1" customHeight="1" x14ac:dyDescent="0.2">
      <c r="J363" t="str">
        <f t="shared" si="15"/>
        <v/>
      </c>
      <c r="K363" t="str">
        <f>IF(J363="","", IFERROR(VLOOKUP(J363, IF(D363="Movers", 换算标准!$C:$D, 换算标准!$I:$J), 2, TRUE), 0))</f>
        <v/>
      </c>
      <c r="T363" t="str">
        <f t="shared" si="16"/>
        <v/>
      </c>
      <c r="U363" t="str">
        <f>IF(T363="","", IFERROR(VLOOKUP(T363, IF(D363="Movers", 换算标准!$A:$B, 换算标准!$G:$H), 2, TRUE), 0))</f>
        <v/>
      </c>
      <c r="W363" t="str">
        <f t="shared" si="17"/>
        <v/>
      </c>
      <c r="Z363" s="5" t="str">
        <f>IF(J363="","", IF(K363&lt;=3, "⚠️ 薄弱环节: "&amp;INDEX($E$1:$I$1, MATCH(MIN(E363:I363), E363:I363, 0))&amp;CHAR(10)&amp;"📉 考察能力: "&amp;IFERROR(VLOOKUP(TRIM(D363)&amp;"_"&amp;TRIM(INDEX($E$1:$I$1, MATCH(MIN(E363:I363), E363:I363, 0))), 技能库!$A:$F, 5, 0),"建议查阅考纲")&amp;CHAR(10)&amp;"💡 提升建议: "&amp;IFERROR(VLOOKUP(TRIM(D363)&amp;"_"&amp;TRIM(INDEX($E$1:$I$1, MATCH(MIN(E363:I363), E363:I363, 0))), 技能库!$A:$F, 6, 0),"请针对该题型加强练习"), "🎉 表现优异，无明显弱项！"))</f>
        <v/>
      </c>
      <c r="AA363" s="5" t="str">
        <f>IF(T363="","", IF(U363&lt;=3, "⚠️ 薄弱环节: "&amp;INDEX($M$1:$S$1, MATCH(MIN(M363:S363), M363:S363, 0))&amp;CHAR(10)&amp;"📉 考察能力: "&amp;IFERROR(VLOOKUP(TRIM(D363)&amp;"_"&amp;TRIM(INDEX($M$1:$S$1, MATCH(MIN(M363:S363), M363:S363, 0))), 技能库!$A:$F, 5, 0),"建议查阅考纲")&amp;CHAR(10)&amp;"💡 提升建议: "&amp;IFERROR(VLOOKUP(TRIM(D363)&amp;"_"&amp;TRIM(INDEX($M$1:$S$1, MATCH(MIN(M363:S363), M363:S363, 0))), 技能库!$A:$F, 6, 0),"请针对该题型加强练习"), "🎉 表现优异，无明显弱项！"))</f>
        <v/>
      </c>
    </row>
    <row r="364" spans="10:27" ht="18" hidden="1" customHeight="1" x14ac:dyDescent="0.2">
      <c r="J364" t="str">
        <f t="shared" si="15"/>
        <v/>
      </c>
      <c r="K364" t="str">
        <f>IF(J364="","", IFERROR(VLOOKUP(J364, IF(D364="Movers", 换算标准!$C:$D, 换算标准!$I:$J), 2, TRUE), 0))</f>
        <v/>
      </c>
      <c r="T364" t="str">
        <f t="shared" si="16"/>
        <v/>
      </c>
      <c r="U364" t="str">
        <f>IF(T364="","", IFERROR(VLOOKUP(T364, IF(D364="Movers", 换算标准!$A:$B, 换算标准!$G:$H), 2, TRUE), 0))</f>
        <v/>
      </c>
      <c r="W364" t="str">
        <f t="shared" si="17"/>
        <v/>
      </c>
      <c r="Z364" s="5" t="str">
        <f>IF(J364="","", IF(K364&lt;=3, "⚠️ 薄弱环节: "&amp;INDEX($E$1:$I$1, MATCH(MIN(E364:I364), E364:I364, 0))&amp;CHAR(10)&amp;"📉 考察能力: "&amp;IFERROR(VLOOKUP(TRIM(D364)&amp;"_"&amp;TRIM(INDEX($E$1:$I$1, MATCH(MIN(E364:I364), E364:I364, 0))), 技能库!$A:$F, 5, 0),"建议查阅考纲")&amp;CHAR(10)&amp;"💡 提升建议: "&amp;IFERROR(VLOOKUP(TRIM(D364)&amp;"_"&amp;TRIM(INDEX($E$1:$I$1, MATCH(MIN(E364:I364), E364:I364, 0))), 技能库!$A:$F, 6, 0),"请针对该题型加强练习"), "🎉 表现优异，无明显弱项！"))</f>
        <v/>
      </c>
      <c r="AA364" s="5" t="str">
        <f>IF(T364="","", IF(U364&lt;=3, "⚠️ 薄弱环节: "&amp;INDEX($M$1:$S$1, MATCH(MIN(M364:S364), M364:S364, 0))&amp;CHAR(10)&amp;"📉 考察能力: "&amp;IFERROR(VLOOKUP(TRIM(D364)&amp;"_"&amp;TRIM(INDEX($M$1:$S$1, MATCH(MIN(M364:S364), M364:S364, 0))), 技能库!$A:$F, 5, 0),"建议查阅考纲")&amp;CHAR(10)&amp;"💡 提升建议: "&amp;IFERROR(VLOOKUP(TRIM(D364)&amp;"_"&amp;TRIM(INDEX($M$1:$S$1, MATCH(MIN(M364:S364), M364:S364, 0))), 技能库!$A:$F, 6, 0),"请针对该题型加强练习"), "🎉 表现优异，无明显弱项！"))</f>
        <v/>
      </c>
    </row>
    <row r="365" spans="10:27" ht="18" hidden="1" customHeight="1" x14ac:dyDescent="0.2">
      <c r="J365" t="str">
        <f t="shared" si="15"/>
        <v/>
      </c>
      <c r="K365" t="str">
        <f>IF(J365="","", IFERROR(VLOOKUP(J365, IF(D365="Movers", 换算标准!$C:$D, 换算标准!$I:$J), 2, TRUE), 0))</f>
        <v/>
      </c>
      <c r="T365" t="str">
        <f t="shared" si="16"/>
        <v/>
      </c>
      <c r="U365" t="str">
        <f>IF(T365="","", IFERROR(VLOOKUP(T365, IF(D365="Movers", 换算标准!$A:$B, 换算标准!$G:$H), 2, TRUE), 0))</f>
        <v/>
      </c>
      <c r="W365" t="str">
        <f t="shared" si="17"/>
        <v/>
      </c>
      <c r="Z365" s="5" t="str">
        <f>IF(J365="","", IF(K365&lt;=3, "⚠️ 薄弱环节: "&amp;INDEX($E$1:$I$1, MATCH(MIN(E365:I365), E365:I365, 0))&amp;CHAR(10)&amp;"📉 考察能力: "&amp;IFERROR(VLOOKUP(TRIM(D365)&amp;"_"&amp;TRIM(INDEX($E$1:$I$1, MATCH(MIN(E365:I365), E365:I365, 0))), 技能库!$A:$F, 5, 0),"建议查阅考纲")&amp;CHAR(10)&amp;"💡 提升建议: "&amp;IFERROR(VLOOKUP(TRIM(D365)&amp;"_"&amp;TRIM(INDEX($E$1:$I$1, MATCH(MIN(E365:I365), E365:I365, 0))), 技能库!$A:$F, 6, 0),"请针对该题型加强练习"), "🎉 表现优异，无明显弱项！"))</f>
        <v/>
      </c>
      <c r="AA365" s="5" t="str">
        <f>IF(T365="","", IF(U365&lt;=3, "⚠️ 薄弱环节: "&amp;INDEX($M$1:$S$1, MATCH(MIN(M365:S365), M365:S365, 0))&amp;CHAR(10)&amp;"📉 考察能力: "&amp;IFERROR(VLOOKUP(TRIM(D365)&amp;"_"&amp;TRIM(INDEX($M$1:$S$1, MATCH(MIN(M365:S365), M365:S365, 0))), 技能库!$A:$F, 5, 0),"建议查阅考纲")&amp;CHAR(10)&amp;"💡 提升建议: "&amp;IFERROR(VLOOKUP(TRIM(D365)&amp;"_"&amp;TRIM(INDEX($M$1:$S$1, MATCH(MIN(M365:S365), M365:S365, 0))), 技能库!$A:$F, 6, 0),"请针对该题型加强练习"), "🎉 表现优异，无明显弱项！"))</f>
        <v/>
      </c>
    </row>
    <row r="366" spans="10:27" ht="18" hidden="1" customHeight="1" x14ac:dyDescent="0.2">
      <c r="J366" t="str">
        <f t="shared" si="15"/>
        <v/>
      </c>
      <c r="K366" t="str">
        <f>IF(J366="","", IFERROR(VLOOKUP(J366, IF(D366="Movers", 换算标准!$C:$D, 换算标准!$I:$J), 2, TRUE), 0))</f>
        <v/>
      </c>
      <c r="T366" t="str">
        <f t="shared" si="16"/>
        <v/>
      </c>
      <c r="U366" t="str">
        <f>IF(T366="","", IFERROR(VLOOKUP(T366, IF(D366="Movers", 换算标准!$A:$B, 换算标准!$G:$H), 2, TRUE), 0))</f>
        <v/>
      </c>
      <c r="W366" t="str">
        <f t="shared" si="17"/>
        <v/>
      </c>
      <c r="Z366" s="5" t="str">
        <f>IF(J366="","", IF(K366&lt;=3, "⚠️ 薄弱环节: "&amp;INDEX($E$1:$I$1, MATCH(MIN(E366:I366), E366:I366, 0))&amp;CHAR(10)&amp;"📉 考察能力: "&amp;IFERROR(VLOOKUP(TRIM(D366)&amp;"_"&amp;TRIM(INDEX($E$1:$I$1, MATCH(MIN(E366:I366), E366:I366, 0))), 技能库!$A:$F, 5, 0),"建议查阅考纲")&amp;CHAR(10)&amp;"💡 提升建议: "&amp;IFERROR(VLOOKUP(TRIM(D366)&amp;"_"&amp;TRIM(INDEX($E$1:$I$1, MATCH(MIN(E366:I366), E366:I366, 0))), 技能库!$A:$F, 6, 0),"请针对该题型加强练习"), "🎉 表现优异，无明显弱项！"))</f>
        <v/>
      </c>
      <c r="AA366" s="5" t="str">
        <f>IF(T366="","", IF(U366&lt;=3, "⚠️ 薄弱环节: "&amp;INDEX($M$1:$S$1, MATCH(MIN(M366:S366), M366:S366, 0))&amp;CHAR(10)&amp;"📉 考察能力: "&amp;IFERROR(VLOOKUP(TRIM(D366)&amp;"_"&amp;TRIM(INDEX($M$1:$S$1, MATCH(MIN(M366:S366), M366:S366, 0))), 技能库!$A:$F, 5, 0),"建议查阅考纲")&amp;CHAR(10)&amp;"💡 提升建议: "&amp;IFERROR(VLOOKUP(TRIM(D366)&amp;"_"&amp;TRIM(INDEX($M$1:$S$1, MATCH(MIN(M366:S366), M366:S366, 0))), 技能库!$A:$F, 6, 0),"请针对该题型加强练习"), "🎉 表现优异，无明显弱项！"))</f>
        <v/>
      </c>
    </row>
    <row r="367" spans="10:27" ht="18" hidden="1" customHeight="1" x14ac:dyDescent="0.2">
      <c r="J367" t="str">
        <f t="shared" si="15"/>
        <v/>
      </c>
      <c r="K367" t="str">
        <f>IF(J367="","", IFERROR(VLOOKUP(J367, IF(D367="Movers", 换算标准!$C:$D, 换算标准!$I:$J), 2, TRUE), 0))</f>
        <v/>
      </c>
      <c r="T367" t="str">
        <f t="shared" si="16"/>
        <v/>
      </c>
      <c r="U367" t="str">
        <f>IF(T367="","", IFERROR(VLOOKUP(T367, IF(D367="Movers", 换算标准!$A:$B, 换算标准!$G:$H), 2, TRUE), 0))</f>
        <v/>
      </c>
      <c r="W367" t="str">
        <f t="shared" si="17"/>
        <v/>
      </c>
      <c r="Z367" s="5" t="str">
        <f>IF(J367="","", IF(K367&lt;=3, "⚠️ 薄弱环节: "&amp;INDEX($E$1:$I$1, MATCH(MIN(E367:I367), E367:I367, 0))&amp;CHAR(10)&amp;"📉 考察能力: "&amp;IFERROR(VLOOKUP(TRIM(D367)&amp;"_"&amp;TRIM(INDEX($E$1:$I$1, MATCH(MIN(E367:I367), E367:I367, 0))), 技能库!$A:$F, 5, 0),"建议查阅考纲")&amp;CHAR(10)&amp;"💡 提升建议: "&amp;IFERROR(VLOOKUP(TRIM(D367)&amp;"_"&amp;TRIM(INDEX($E$1:$I$1, MATCH(MIN(E367:I367), E367:I367, 0))), 技能库!$A:$F, 6, 0),"请针对该题型加强练习"), "🎉 表现优异，无明显弱项！"))</f>
        <v/>
      </c>
      <c r="AA367" s="5" t="str">
        <f>IF(T367="","", IF(U367&lt;=3, "⚠️ 薄弱环节: "&amp;INDEX($M$1:$S$1, MATCH(MIN(M367:S367), M367:S367, 0))&amp;CHAR(10)&amp;"📉 考察能力: "&amp;IFERROR(VLOOKUP(TRIM(D367)&amp;"_"&amp;TRIM(INDEX($M$1:$S$1, MATCH(MIN(M367:S367), M367:S367, 0))), 技能库!$A:$F, 5, 0),"建议查阅考纲")&amp;CHAR(10)&amp;"💡 提升建议: "&amp;IFERROR(VLOOKUP(TRIM(D367)&amp;"_"&amp;TRIM(INDEX($M$1:$S$1, MATCH(MIN(M367:S367), M367:S367, 0))), 技能库!$A:$F, 6, 0),"请针对该题型加强练习"), "🎉 表现优异，无明显弱项！"))</f>
        <v/>
      </c>
    </row>
    <row r="368" spans="10:27" ht="18" hidden="1" customHeight="1" x14ac:dyDescent="0.2">
      <c r="J368" t="str">
        <f t="shared" si="15"/>
        <v/>
      </c>
      <c r="K368" t="str">
        <f>IF(J368="","", IFERROR(VLOOKUP(J368, IF(D368="Movers", 换算标准!$C:$D, 换算标准!$I:$J), 2, TRUE), 0))</f>
        <v/>
      </c>
      <c r="T368" t="str">
        <f t="shared" si="16"/>
        <v/>
      </c>
      <c r="U368" t="str">
        <f>IF(T368="","", IFERROR(VLOOKUP(T368, IF(D368="Movers", 换算标准!$A:$B, 换算标准!$G:$H), 2, TRUE), 0))</f>
        <v/>
      </c>
      <c r="W368" t="str">
        <f t="shared" si="17"/>
        <v/>
      </c>
      <c r="Z368" s="5" t="str">
        <f>IF(J368="","", IF(K368&lt;=3, "⚠️ 薄弱环节: "&amp;INDEX($E$1:$I$1, MATCH(MIN(E368:I368), E368:I368, 0))&amp;CHAR(10)&amp;"📉 考察能力: "&amp;IFERROR(VLOOKUP(TRIM(D368)&amp;"_"&amp;TRIM(INDEX($E$1:$I$1, MATCH(MIN(E368:I368), E368:I368, 0))), 技能库!$A:$F, 5, 0),"建议查阅考纲")&amp;CHAR(10)&amp;"💡 提升建议: "&amp;IFERROR(VLOOKUP(TRIM(D368)&amp;"_"&amp;TRIM(INDEX($E$1:$I$1, MATCH(MIN(E368:I368), E368:I368, 0))), 技能库!$A:$F, 6, 0),"请针对该题型加强练习"), "🎉 表现优异，无明显弱项！"))</f>
        <v/>
      </c>
      <c r="AA368" s="5" t="str">
        <f>IF(T368="","", IF(U368&lt;=3, "⚠️ 薄弱环节: "&amp;INDEX($M$1:$S$1, MATCH(MIN(M368:S368), M368:S368, 0))&amp;CHAR(10)&amp;"📉 考察能力: "&amp;IFERROR(VLOOKUP(TRIM(D368)&amp;"_"&amp;TRIM(INDEX($M$1:$S$1, MATCH(MIN(M368:S368), M368:S368, 0))), 技能库!$A:$F, 5, 0),"建议查阅考纲")&amp;CHAR(10)&amp;"💡 提升建议: "&amp;IFERROR(VLOOKUP(TRIM(D368)&amp;"_"&amp;TRIM(INDEX($M$1:$S$1, MATCH(MIN(M368:S368), M368:S368, 0))), 技能库!$A:$F, 6, 0),"请针对该题型加强练习"), "🎉 表现优异，无明显弱项！"))</f>
        <v/>
      </c>
    </row>
    <row r="369" spans="10:27" ht="18" hidden="1" customHeight="1" x14ac:dyDescent="0.2">
      <c r="J369" t="str">
        <f t="shared" si="15"/>
        <v/>
      </c>
      <c r="K369" t="str">
        <f>IF(J369="","", IFERROR(VLOOKUP(J369, IF(D369="Movers", 换算标准!$C:$D, 换算标准!$I:$J), 2, TRUE), 0))</f>
        <v/>
      </c>
      <c r="T369" t="str">
        <f t="shared" si="16"/>
        <v/>
      </c>
      <c r="U369" t="str">
        <f>IF(T369="","", IFERROR(VLOOKUP(T369, IF(D369="Movers", 换算标准!$A:$B, 换算标准!$G:$H), 2, TRUE), 0))</f>
        <v/>
      </c>
      <c r="W369" t="str">
        <f t="shared" si="17"/>
        <v/>
      </c>
      <c r="Z369" s="5" t="str">
        <f>IF(J369="","", IF(K369&lt;=3, "⚠️ 薄弱环节: "&amp;INDEX($E$1:$I$1, MATCH(MIN(E369:I369), E369:I369, 0))&amp;CHAR(10)&amp;"📉 考察能力: "&amp;IFERROR(VLOOKUP(TRIM(D369)&amp;"_"&amp;TRIM(INDEX($E$1:$I$1, MATCH(MIN(E369:I369), E369:I369, 0))), 技能库!$A:$F, 5, 0),"建议查阅考纲")&amp;CHAR(10)&amp;"💡 提升建议: "&amp;IFERROR(VLOOKUP(TRIM(D369)&amp;"_"&amp;TRIM(INDEX($E$1:$I$1, MATCH(MIN(E369:I369), E369:I369, 0))), 技能库!$A:$F, 6, 0),"请针对该题型加强练习"), "🎉 表现优异，无明显弱项！"))</f>
        <v/>
      </c>
      <c r="AA369" s="5" t="str">
        <f>IF(T369="","", IF(U369&lt;=3, "⚠️ 薄弱环节: "&amp;INDEX($M$1:$S$1, MATCH(MIN(M369:S369), M369:S369, 0))&amp;CHAR(10)&amp;"📉 考察能力: "&amp;IFERROR(VLOOKUP(TRIM(D369)&amp;"_"&amp;TRIM(INDEX($M$1:$S$1, MATCH(MIN(M369:S369), M369:S369, 0))), 技能库!$A:$F, 5, 0),"建议查阅考纲")&amp;CHAR(10)&amp;"💡 提升建议: "&amp;IFERROR(VLOOKUP(TRIM(D369)&amp;"_"&amp;TRIM(INDEX($M$1:$S$1, MATCH(MIN(M369:S369), M369:S369, 0))), 技能库!$A:$F, 6, 0),"请针对该题型加强练习"), "🎉 表现优异，无明显弱项！"))</f>
        <v/>
      </c>
    </row>
    <row r="370" spans="10:27" ht="18" hidden="1" customHeight="1" x14ac:dyDescent="0.2">
      <c r="J370" t="str">
        <f t="shared" si="15"/>
        <v/>
      </c>
      <c r="K370" t="str">
        <f>IF(J370="","", IFERROR(VLOOKUP(J370, IF(D370="Movers", 换算标准!$C:$D, 换算标准!$I:$J), 2, TRUE), 0))</f>
        <v/>
      </c>
      <c r="T370" t="str">
        <f t="shared" si="16"/>
        <v/>
      </c>
      <c r="U370" t="str">
        <f>IF(T370="","", IFERROR(VLOOKUP(T370, IF(D370="Movers", 换算标准!$A:$B, 换算标准!$G:$H), 2, TRUE), 0))</f>
        <v/>
      </c>
      <c r="W370" t="str">
        <f t="shared" si="17"/>
        <v/>
      </c>
      <c r="Z370" s="5" t="str">
        <f>IF(J370="","", IF(K370&lt;=3, "⚠️ 薄弱环节: "&amp;INDEX($E$1:$I$1, MATCH(MIN(E370:I370), E370:I370, 0))&amp;CHAR(10)&amp;"📉 考察能力: "&amp;IFERROR(VLOOKUP(TRIM(D370)&amp;"_"&amp;TRIM(INDEX($E$1:$I$1, MATCH(MIN(E370:I370), E370:I370, 0))), 技能库!$A:$F, 5, 0),"建议查阅考纲")&amp;CHAR(10)&amp;"💡 提升建议: "&amp;IFERROR(VLOOKUP(TRIM(D370)&amp;"_"&amp;TRIM(INDEX($E$1:$I$1, MATCH(MIN(E370:I370), E370:I370, 0))), 技能库!$A:$F, 6, 0),"请针对该题型加强练习"), "🎉 表现优异，无明显弱项！"))</f>
        <v/>
      </c>
      <c r="AA370" s="5" t="str">
        <f>IF(T370="","", IF(U370&lt;=3, "⚠️ 薄弱环节: "&amp;INDEX($M$1:$S$1, MATCH(MIN(M370:S370), M370:S370, 0))&amp;CHAR(10)&amp;"📉 考察能力: "&amp;IFERROR(VLOOKUP(TRIM(D370)&amp;"_"&amp;TRIM(INDEX($M$1:$S$1, MATCH(MIN(M370:S370), M370:S370, 0))), 技能库!$A:$F, 5, 0),"建议查阅考纲")&amp;CHAR(10)&amp;"💡 提升建议: "&amp;IFERROR(VLOOKUP(TRIM(D370)&amp;"_"&amp;TRIM(INDEX($M$1:$S$1, MATCH(MIN(M370:S370), M370:S370, 0))), 技能库!$A:$F, 6, 0),"请针对该题型加强练习"), "🎉 表现优异，无明显弱项！"))</f>
        <v/>
      </c>
    </row>
    <row r="371" spans="10:27" ht="18" hidden="1" customHeight="1" x14ac:dyDescent="0.2">
      <c r="J371" t="str">
        <f t="shared" si="15"/>
        <v/>
      </c>
      <c r="K371" t="str">
        <f>IF(J371="","", IFERROR(VLOOKUP(J371, IF(D371="Movers", 换算标准!$C:$D, 换算标准!$I:$J), 2, TRUE), 0))</f>
        <v/>
      </c>
      <c r="T371" t="str">
        <f t="shared" si="16"/>
        <v/>
      </c>
      <c r="U371" t="str">
        <f>IF(T371="","", IFERROR(VLOOKUP(T371, IF(D371="Movers", 换算标准!$A:$B, 换算标准!$G:$H), 2, TRUE), 0))</f>
        <v/>
      </c>
      <c r="W371" t="str">
        <f t="shared" si="17"/>
        <v/>
      </c>
      <c r="Z371" s="5" t="str">
        <f>IF(J371="","", IF(K371&lt;=3, "⚠️ 薄弱环节: "&amp;INDEX($E$1:$I$1, MATCH(MIN(E371:I371), E371:I371, 0))&amp;CHAR(10)&amp;"📉 考察能力: "&amp;IFERROR(VLOOKUP(TRIM(D371)&amp;"_"&amp;TRIM(INDEX($E$1:$I$1, MATCH(MIN(E371:I371), E371:I371, 0))), 技能库!$A:$F, 5, 0),"建议查阅考纲")&amp;CHAR(10)&amp;"💡 提升建议: "&amp;IFERROR(VLOOKUP(TRIM(D371)&amp;"_"&amp;TRIM(INDEX($E$1:$I$1, MATCH(MIN(E371:I371), E371:I371, 0))), 技能库!$A:$F, 6, 0),"请针对该题型加强练习"), "🎉 表现优异，无明显弱项！"))</f>
        <v/>
      </c>
      <c r="AA371" s="5" t="str">
        <f>IF(T371="","", IF(U371&lt;=3, "⚠️ 薄弱环节: "&amp;INDEX($M$1:$S$1, MATCH(MIN(M371:S371), M371:S371, 0))&amp;CHAR(10)&amp;"📉 考察能力: "&amp;IFERROR(VLOOKUP(TRIM(D371)&amp;"_"&amp;TRIM(INDEX($M$1:$S$1, MATCH(MIN(M371:S371), M371:S371, 0))), 技能库!$A:$F, 5, 0),"建议查阅考纲")&amp;CHAR(10)&amp;"💡 提升建议: "&amp;IFERROR(VLOOKUP(TRIM(D371)&amp;"_"&amp;TRIM(INDEX($M$1:$S$1, MATCH(MIN(M371:S371), M371:S371, 0))), 技能库!$A:$F, 6, 0),"请针对该题型加强练习"), "🎉 表现优异，无明显弱项！"))</f>
        <v/>
      </c>
    </row>
    <row r="372" spans="10:27" ht="18" hidden="1" customHeight="1" x14ac:dyDescent="0.2">
      <c r="J372" t="str">
        <f t="shared" si="15"/>
        <v/>
      </c>
      <c r="K372" t="str">
        <f>IF(J372="","", IFERROR(VLOOKUP(J372, IF(D372="Movers", 换算标准!$C:$D, 换算标准!$I:$J), 2, TRUE), 0))</f>
        <v/>
      </c>
      <c r="T372" t="str">
        <f t="shared" si="16"/>
        <v/>
      </c>
      <c r="U372" t="str">
        <f>IF(T372="","", IFERROR(VLOOKUP(T372, IF(D372="Movers", 换算标准!$A:$B, 换算标准!$G:$H), 2, TRUE), 0))</f>
        <v/>
      </c>
      <c r="W372" t="str">
        <f t="shared" si="17"/>
        <v/>
      </c>
      <c r="Z372" s="5" t="str">
        <f>IF(J372="","", IF(K372&lt;=3, "⚠️ 薄弱环节: "&amp;INDEX($E$1:$I$1, MATCH(MIN(E372:I372), E372:I372, 0))&amp;CHAR(10)&amp;"📉 考察能力: "&amp;IFERROR(VLOOKUP(TRIM(D372)&amp;"_"&amp;TRIM(INDEX($E$1:$I$1, MATCH(MIN(E372:I372), E372:I372, 0))), 技能库!$A:$F, 5, 0),"建议查阅考纲")&amp;CHAR(10)&amp;"💡 提升建议: "&amp;IFERROR(VLOOKUP(TRIM(D372)&amp;"_"&amp;TRIM(INDEX($E$1:$I$1, MATCH(MIN(E372:I372), E372:I372, 0))), 技能库!$A:$F, 6, 0),"请针对该题型加强练习"), "🎉 表现优异，无明显弱项！"))</f>
        <v/>
      </c>
      <c r="AA372" s="5" t="str">
        <f>IF(T372="","", IF(U372&lt;=3, "⚠️ 薄弱环节: "&amp;INDEX($M$1:$S$1, MATCH(MIN(M372:S372), M372:S372, 0))&amp;CHAR(10)&amp;"📉 考察能力: "&amp;IFERROR(VLOOKUP(TRIM(D372)&amp;"_"&amp;TRIM(INDEX($M$1:$S$1, MATCH(MIN(M372:S372), M372:S372, 0))), 技能库!$A:$F, 5, 0),"建议查阅考纲")&amp;CHAR(10)&amp;"💡 提升建议: "&amp;IFERROR(VLOOKUP(TRIM(D372)&amp;"_"&amp;TRIM(INDEX($M$1:$S$1, MATCH(MIN(M372:S372), M372:S372, 0))), 技能库!$A:$F, 6, 0),"请针对该题型加强练习"), "🎉 表现优异，无明显弱项！"))</f>
        <v/>
      </c>
    </row>
    <row r="373" spans="10:27" ht="18" hidden="1" customHeight="1" x14ac:dyDescent="0.2">
      <c r="J373" t="str">
        <f t="shared" si="15"/>
        <v/>
      </c>
      <c r="K373" t="str">
        <f>IF(J373="","", IFERROR(VLOOKUP(J373, IF(D373="Movers", 换算标准!$C:$D, 换算标准!$I:$J), 2, TRUE), 0))</f>
        <v/>
      </c>
      <c r="T373" t="str">
        <f t="shared" si="16"/>
        <v/>
      </c>
      <c r="U373" t="str">
        <f>IF(T373="","", IFERROR(VLOOKUP(T373, IF(D373="Movers", 换算标准!$A:$B, 换算标准!$G:$H), 2, TRUE), 0))</f>
        <v/>
      </c>
      <c r="W373" t="str">
        <f t="shared" si="17"/>
        <v/>
      </c>
      <c r="Z373" s="5" t="str">
        <f>IF(J373="","", IF(K373&lt;=3, "⚠️ 薄弱环节: "&amp;INDEX($E$1:$I$1, MATCH(MIN(E373:I373), E373:I373, 0))&amp;CHAR(10)&amp;"📉 考察能力: "&amp;IFERROR(VLOOKUP(TRIM(D373)&amp;"_"&amp;TRIM(INDEX($E$1:$I$1, MATCH(MIN(E373:I373), E373:I373, 0))), 技能库!$A:$F, 5, 0),"建议查阅考纲")&amp;CHAR(10)&amp;"💡 提升建议: "&amp;IFERROR(VLOOKUP(TRIM(D373)&amp;"_"&amp;TRIM(INDEX($E$1:$I$1, MATCH(MIN(E373:I373), E373:I373, 0))), 技能库!$A:$F, 6, 0),"请针对该题型加强练习"), "🎉 表现优异，无明显弱项！"))</f>
        <v/>
      </c>
      <c r="AA373" s="5" t="str">
        <f>IF(T373="","", IF(U373&lt;=3, "⚠️ 薄弱环节: "&amp;INDEX($M$1:$S$1, MATCH(MIN(M373:S373), M373:S373, 0))&amp;CHAR(10)&amp;"📉 考察能力: "&amp;IFERROR(VLOOKUP(TRIM(D373)&amp;"_"&amp;TRIM(INDEX($M$1:$S$1, MATCH(MIN(M373:S373), M373:S373, 0))), 技能库!$A:$F, 5, 0),"建议查阅考纲")&amp;CHAR(10)&amp;"💡 提升建议: "&amp;IFERROR(VLOOKUP(TRIM(D373)&amp;"_"&amp;TRIM(INDEX($M$1:$S$1, MATCH(MIN(M373:S373), M373:S373, 0))), 技能库!$A:$F, 6, 0),"请针对该题型加强练习"), "🎉 表现优异，无明显弱项！"))</f>
        <v/>
      </c>
    </row>
    <row r="374" spans="10:27" ht="18" hidden="1" customHeight="1" x14ac:dyDescent="0.2">
      <c r="J374" t="str">
        <f t="shared" si="15"/>
        <v/>
      </c>
      <c r="K374" t="str">
        <f>IF(J374="","", IFERROR(VLOOKUP(J374, IF(D374="Movers", 换算标准!$C:$D, 换算标准!$I:$J), 2, TRUE), 0))</f>
        <v/>
      </c>
      <c r="T374" t="str">
        <f t="shared" si="16"/>
        <v/>
      </c>
      <c r="U374" t="str">
        <f>IF(T374="","", IFERROR(VLOOKUP(T374, IF(D374="Movers", 换算标准!$A:$B, 换算标准!$G:$H), 2, TRUE), 0))</f>
        <v/>
      </c>
      <c r="W374" t="str">
        <f t="shared" si="17"/>
        <v/>
      </c>
      <c r="Z374" s="5" t="str">
        <f>IF(J374="","", IF(K374&lt;=3, "⚠️ 薄弱环节: "&amp;INDEX($E$1:$I$1, MATCH(MIN(E374:I374), E374:I374, 0))&amp;CHAR(10)&amp;"📉 考察能力: "&amp;IFERROR(VLOOKUP(TRIM(D374)&amp;"_"&amp;TRIM(INDEX($E$1:$I$1, MATCH(MIN(E374:I374), E374:I374, 0))), 技能库!$A:$F, 5, 0),"建议查阅考纲")&amp;CHAR(10)&amp;"💡 提升建议: "&amp;IFERROR(VLOOKUP(TRIM(D374)&amp;"_"&amp;TRIM(INDEX($E$1:$I$1, MATCH(MIN(E374:I374), E374:I374, 0))), 技能库!$A:$F, 6, 0),"请针对该题型加强练习"), "🎉 表现优异，无明显弱项！"))</f>
        <v/>
      </c>
      <c r="AA374" s="5" t="str">
        <f>IF(T374="","", IF(U374&lt;=3, "⚠️ 薄弱环节: "&amp;INDEX($M$1:$S$1, MATCH(MIN(M374:S374), M374:S374, 0))&amp;CHAR(10)&amp;"📉 考察能力: "&amp;IFERROR(VLOOKUP(TRIM(D374)&amp;"_"&amp;TRIM(INDEX($M$1:$S$1, MATCH(MIN(M374:S374), M374:S374, 0))), 技能库!$A:$F, 5, 0),"建议查阅考纲")&amp;CHAR(10)&amp;"💡 提升建议: "&amp;IFERROR(VLOOKUP(TRIM(D374)&amp;"_"&amp;TRIM(INDEX($M$1:$S$1, MATCH(MIN(M374:S374), M374:S374, 0))), 技能库!$A:$F, 6, 0),"请针对该题型加强练习"), "🎉 表现优异，无明显弱项！"))</f>
        <v/>
      </c>
    </row>
    <row r="375" spans="10:27" ht="18" hidden="1" customHeight="1" x14ac:dyDescent="0.2">
      <c r="J375" t="str">
        <f t="shared" si="15"/>
        <v/>
      </c>
      <c r="K375" t="str">
        <f>IF(J375="","", IFERROR(VLOOKUP(J375, IF(D375="Movers", 换算标准!$C:$D, 换算标准!$I:$J), 2, TRUE), 0))</f>
        <v/>
      </c>
      <c r="T375" t="str">
        <f t="shared" si="16"/>
        <v/>
      </c>
      <c r="U375" t="str">
        <f>IF(T375="","", IFERROR(VLOOKUP(T375, IF(D375="Movers", 换算标准!$A:$B, 换算标准!$G:$H), 2, TRUE), 0))</f>
        <v/>
      </c>
      <c r="W375" t="str">
        <f t="shared" si="17"/>
        <v/>
      </c>
      <c r="Z375" s="5" t="str">
        <f>IF(J375="","", IF(K375&lt;=3, "⚠️ 薄弱环节: "&amp;INDEX($E$1:$I$1, MATCH(MIN(E375:I375), E375:I375, 0))&amp;CHAR(10)&amp;"📉 考察能力: "&amp;IFERROR(VLOOKUP(TRIM(D375)&amp;"_"&amp;TRIM(INDEX($E$1:$I$1, MATCH(MIN(E375:I375), E375:I375, 0))), 技能库!$A:$F, 5, 0),"建议查阅考纲")&amp;CHAR(10)&amp;"💡 提升建议: "&amp;IFERROR(VLOOKUP(TRIM(D375)&amp;"_"&amp;TRIM(INDEX($E$1:$I$1, MATCH(MIN(E375:I375), E375:I375, 0))), 技能库!$A:$F, 6, 0),"请针对该题型加强练习"), "🎉 表现优异，无明显弱项！"))</f>
        <v/>
      </c>
      <c r="AA375" s="5" t="str">
        <f>IF(T375="","", IF(U375&lt;=3, "⚠️ 薄弱环节: "&amp;INDEX($M$1:$S$1, MATCH(MIN(M375:S375), M375:S375, 0))&amp;CHAR(10)&amp;"📉 考察能力: "&amp;IFERROR(VLOOKUP(TRIM(D375)&amp;"_"&amp;TRIM(INDEX($M$1:$S$1, MATCH(MIN(M375:S375), M375:S375, 0))), 技能库!$A:$F, 5, 0),"建议查阅考纲")&amp;CHAR(10)&amp;"💡 提升建议: "&amp;IFERROR(VLOOKUP(TRIM(D375)&amp;"_"&amp;TRIM(INDEX($M$1:$S$1, MATCH(MIN(M375:S375), M375:S375, 0))), 技能库!$A:$F, 6, 0),"请针对该题型加强练习"), "🎉 表现优异，无明显弱项！"))</f>
        <v/>
      </c>
    </row>
    <row r="376" spans="10:27" ht="18" hidden="1" customHeight="1" x14ac:dyDescent="0.2">
      <c r="J376" t="str">
        <f t="shared" si="15"/>
        <v/>
      </c>
      <c r="K376" t="str">
        <f>IF(J376="","", IFERROR(VLOOKUP(J376, IF(D376="Movers", 换算标准!$C:$D, 换算标准!$I:$J), 2, TRUE), 0))</f>
        <v/>
      </c>
      <c r="T376" t="str">
        <f t="shared" si="16"/>
        <v/>
      </c>
      <c r="U376" t="str">
        <f>IF(T376="","", IFERROR(VLOOKUP(T376, IF(D376="Movers", 换算标准!$A:$B, 换算标准!$G:$H), 2, TRUE), 0))</f>
        <v/>
      </c>
      <c r="W376" t="str">
        <f t="shared" si="17"/>
        <v/>
      </c>
      <c r="Z376" s="5" t="str">
        <f>IF(J376="","", IF(K376&lt;=3, "⚠️ 薄弱环节: "&amp;INDEX($E$1:$I$1, MATCH(MIN(E376:I376), E376:I376, 0))&amp;CHAR(10)&amp;"📉 考察能力: "&amp;IFERROR(VLOOKUP(TRIM(D376)&amp;"_"&amp;TRIM(INDEX($E$1:$I$1, MATCH(MIN(E376:I376), E376:I376, 0))), 技能库!$A:$F, 5, 0),"建议查阅考纲")&amp;CHAR(10)&amp;"💡 提升建议: "&amp;IFERROR(VLOOKUP(TRIM(D376)&amp;"_"&amp;TRIM(INDEX($E$1:$I$1, MATCH(MIN(E376:I376), E376:I376, 0))), 技能库!$A:$F, 6, 0),"请针对该题型加强练习"), "🎉 表现优异，无明显弱项！"))</f>
        <v/>
      </c>
      <c r="AA376" s="5" t="str">
        <f>IF(T376="","", IF(U376&lt;=3, "⚠️ 薄弱环节: "&amp;INDEX($M$1:$S$1, MATCH(MIN(M376:S376), M376:S376, 0))&amp;CHAR(10)&amp;"📉 考察能力: "&amp;IFERROR(VLOOKUP(TRIM(D376)&amp;"_"&amp;TRIM(INDEX($M$1:$S$1, MATCH(MIN(M376:S376), M376:S376, 0))), 技能库!$A:$F, 5, 0),"建议查阅考纲")&amp;CHAR(10)&amp;"💡 提升建议: "&amp;IFERROR(VLOOKUP(TRIM(D376)&amp;"_"&amp;TRIM(INDEX($M$1:$S$1, MATCH(MIN(M376:S376), M376:S376, 0))), 技能库!$A:$F, 6, 0),"请针对该题型加强练习"), "🎉 表现优异，无明显弱项！"))</f>
        <v/>
      </c>
    </row>
    <row r="377" spans="10:27" ht="18" hidden="1" customHeight="1" x14ac:dyDescent="0.2">
      <c r="J377" t="str">
        <f t="shared" si="15"/>
        <v/>
      </c>
      <c r="K377" t="str">
        <f>IF(J377="","", IFERROR(VLOOKUP(J377, IF(D377="Movers", 换算标准!$C:$D, 换算标准!$I:$J), 2, TRUE), 0))</f>
        <v/>
      </c>
      <c r="T377" t="str">
        <f t="shared" si="16"/>
        <v/>
      </c>
      <c r="U377" t="str">
        <f>IF(T377="","", IFERROR(VLOOKUP(T377, IF(D377="Movers", 换算标准!$A:$B, 换算标准!$G:$H), 2, TRUE), 0))</f>
        <v/>
      </c>
      <c r="W377" t="str">
        <f t="shared" si="17"/>
        <v/>
      </c>
      <c r="Z377" s="5" t="str">
        <f>IF(J377="","", IF(K377&lt;=3, "⚠️ 薄弱环节: "&amp;INDEX($E$1:$I$1, MATCH(MIN(E377:I377), E377:I377, 0))&amp;CHAR(10)&amp;"📉 考察能力: "&amp;IFERROR(VLOOKUP(TRIM(D377)&amp;"_"&amp;TRIM(INDEX($E$1:$I$1, MATCH(MIN(E377:I377), E377:I377, 0))), 技能库!$A:$F, 5, 0),"建议查阅考纲")&amp;CHAR(10)&amp;"💡 提升建议: "&amp;IFERROR(VLOOKUP(TRIM(D377)&amp;"_"&amp;TRIM(INDEX($E$1:$I$1, MATCH(MIN(E377:I377), E377:I377, 0))), 技能库!$A:$F, 6, 0),"请针对该题型加强练习"), "🎉 表现优异，无明显弱项！"))</f>
        <v/>
      </c>
      <c r="AA377" s="5" t="str">
        <f>IF(T377="","", IF(U377&lt;=3, "⚠️ 薄弱环节: "&amp;INDEX($M$1:$S$1, MATCH(MIN(M377:S377), M377:S377, 0))&amp;CHAR(10)&amp;"📉 考察能力: "&amp;IFERROR(VLOOKUP(TRIM(D377)&amp;"_"&amp;TRIM(INDEX($M$1:$S$1, MATCH(MIN(M377:S377), M377:S377, 0))), 技能库!$A:$F, 5, 0),"建议查阅考纲")&amp;CHAR(10)&amp;"💡 提升建议: "&amp;IFERROR(VLOOKUP(TRIM(D377)&amp;"_"&amp;TRIM(INDEX($M$1:$S$1, MATCH(MIN(M377:S377), M377:S377, 0))), 技能库!$A:$F, 6, 0),"请针对该题型加强练习"), "🎉 表现优异，无明显弱项！"))</f>
        <v/>
      </c>
    </row>
    <row r="378" spans="10:27" ht="18" hidden="1" customHeight="1" x14ac:dyDescent="0.2">
      <c r="J378" t="str">
        <f t="shared" si="15"/>
        <v/>
      </c>
      <c r="K378" t="str">
        <f>IF(J378="","", IFERROR(VLOOKUP(J378, IF(D378="Movers", 换算标准!$C:$D, 换算标准!$I:$J), 2, TRUE), 0))</f>
        <v/>
      </c>
      <c r="T378" t="str">
        <f t="shared" si="16"/>
        <v/>
      </c>
      <c r="U378" t="str">
        <f>IF(T378="","", IFERROR(VLOOKUP(T378, IF(D378="Movers", 换算标准!$A:$B, 换算标准!$G:$H), 2, TRUE), 0))</f>
        <v/>
      </c>
      <c r="W378" t="str">
        <f t="shared" si="17"/>
        <v/>
      </c>
      <c r="Z378" s="5" t="str">
        <f>IF(J378="","", IF(K378&lt;=3, "⚠️ 薄弱环节: "&amp;INDEX($E$1:$I$1, MATCH(MIN(E378:I378), E378:I378, 0))&amp;CHAR(10)&amp;"📉 考察能力: "&amp;IFERROR(VLOOKUP(TRIM(D378)&amp;"_"&amp;TRIM(INDEX($E$1:$I$1, MATCH(MIN(E378:I378), E378:I378, 0))), 技能库!$A:$F, 5, 0),"建议查阅考纲")&amp;CHAR(10)&amp;"💡 提升建议: "&amp;IFERROR(VLOOKUP(TRIM(D378)&amp;"_"&amp;TRIM(INDEX($E$1:$I$1, MATCH(MIN(E378:I378), E378:I378, 0))), 技能库!$A:$F, 6, 0),"请针对该题型加强练习"), "🎉 表现优异，无明显弱项！"))</f>
        <v/>
      </c>
      <c r="AA378" s="5" t="str">
        <f>IF(T378="","", IF(U378&lt;=3, "⚠️ 薄弱环节: "&amp;INDEX($M$1:$S$1, MATCH(MIN(M378:S378), M378:S378, 0))&amp;CHAR(10)&amp;"📉 考察能力: "&amp;IFERROR(VLOOKUP(TRIM(D378)&amp;"_"&amp;TRIM(INDEX($M$1:$S$1, MATCH(MIN(M378:S378), M378:S378, 0))), 技能库!$A:$F, 5, 0),"建议查阅考纲")&amp;CHAR(10)&amp;"💡 提升建议: "&amp;IFERROR(VLOOKUP(TRIM(D378)&amp;"_"&amp;TRIM(INDEX($M$1:$S$1, MATCH(MIN(M378:S378), M378:S378, 0))), 技能库!$A:$F, 6, 0),"请针对该题型加强练习"), "🎉 表现优异，无明显弱项！"))</f>
        <v/>
      </c>
    </row>
    <row r="379" spans="10:27" ht="18" hidden="1" customHeight="1" x14ac:dyDescent="0.2">
      <c r="J379" t="str">
        <f t="shared" si="15"/>
        <v/>
      </c>
      <c r="K379" t="str">
        <f>IF(J379="","", IFERROR(VLOOKUP(J379, IF(D379="Movers", 换算标准!$C:$D, 换算标准!$I:$J), 2, TRUE), 0))</f>
        <v/>
      </c>
      <c r="T379" t="str">
        <f t="shared" si="16"/>
        <v/>
      </c>
      <c r="U379" t="str">
        <f>IF(T379="","", IFERROR(VLOOKUP(T379, IF(D379="Movers", 换算标准!$A:$B, 换算标准!$G:$H), 2, TRUE), 0))</f>
        <v/>
      </c>
      <c r="W379" t="str">
        <f t="shared" si="17"/>
        <v/>
      </c>
      <c r="Z379" s="5" t="str">
        <f>IF(J379="","", IF(K379&lt;=3, "⚠️ 薄弱环节: "&amp;INDEX($E$1:$I$1, MATCH(MIN(E379:I379), E379:I379, 0))&amp;CHAR(10)&amp;"📉 考察能力: "&amp;IFERROR(VLOOKUP(TRIM(D379)&amp;"_"&amp;TRIM(INDEX($E$1:$I$1, MATCH(MIN(E379:I379), E379:I379, 0))), 技能库!$A:$F, 5, 0),"建议查阅考纲")&amp;CHAR(10)&amp;"💡 提升建议: "&amp;IFERROR(VLOOKUP(TRIM(D379)&amp;"_"&amp;TRIM(INDEX($E$1:$I$1, MATCH(MIN(E379:I379), E379:I379, 0))), 技能库!$A:$F, 6, 0),"请针对该题型加强练习"), "🎉 表现优异，无明显弱项！"))</f>
        <v/>
      </c>
      <c r="AA379" s="5" t="str">
        <f>IF(T379="","", IF(U379&lt;=3, "⚠️ 薄弱环节: "&amp;INDEX($M$1:$S$1, MATCH(MIN(M379:S379), M379:S379, 0))&amp;CHAR(10)&amp;"📉 考察能力: "&amp;IFERROR(VLOOKUP(TRIM(D379)&amp;"_"&amp;TRIM(INDEX($M$1:$S$1, MATCH(MIN(M379:S379), M379:S379, 0))), 技能库!$A:$F, 5, 0),"建议查阅考纲")&amp;CHAR(10)&amp;"💡 提升建议: "&amp;IFERROR(VLOOKUP(TRIM(D379)&amp;"_"&amp;TRIM(INDEX($M$1:$S$1, MATCH(MIN(M379:S379), M379:S379, 0))), 技能库!$A:$F, 6, 0),"请针对该题型加强练习"), "🎉 表现优异，无明显弱项！"))</f>
        <v/>
      </c>
    </row>
    <row r="380" spans="10:27" ht="18" hidden="1" customHeight="1" x14ac:dyDescent="0.2">
      <c r="J380" t="str">
        <f t="shared" si="15"/>
        <v/>
      </c>
      <c r="K380" t="str">
        <f>IF(J380="","", IFERROR(VLOOKUP(J380, IF(D380="Movers", 换算标准!$C:$D, 换算标准!$I:$J), 2, TRUE), 0))</f>
        <v/>
      </c>
      <c r="T380" t="str">
        <f t="shared" si="16"/>
        <v/>
      </c>
      <c r="U380" t="str">
        <f>IF(T380="","", IFERROR(VLOOKUP(T380, IF(D380="Movers", 换算标准!$A:$B, 换算标准!$G:$H), 2, TRUE), 0))</f>
        <v/>
      </c>
      <c r="W380" t="str">
        <f t="shared" si="17"/>
        <v/>
      </c>
      <c r="Z380" s="5" t="str">
        <f>IF(J380="","", IF(K380&lt;=3, "⚠️ 薄弱环节: "&amp;INDEX($E$1:$I$1, MATCH(MIN(E380:I380), E380:I380, 0))&amp;CHAR(10)&amp;"📉 考察能力: "&amp;IFERROR(VLOOKUP(TRIM(D380)&amp;"_"&amp;TRIM(INDEX($E$1:$I$1, MATCH(MIN(E380:I380), E380:I380, 0))), 技能库!$A:$F, 5, 0),"建议查阅考纲")&amp;CHAR(10)&amp;"💡 提升建议: "&amp;IFERROR(VLOOKUP(TRIM(D380)&amp;"_"&amp;TRIM(INDEX($E$1:$I$1, MATCH(MIN(E380:I380), E380:I380, 0))), 技能库!$A:$F, 6, 0),"请针对该题型加强练习"), "🎉 表现优异，无明显弱项！"))</f>
        <v/>
      </c>
      <c r="AA380" s="5" t="str">
        <f>IF(T380="","", IF(U380&lt;=3, "⚠️ 薄弱环节: "&amp;INDEX($M$1:$S$1, MATCH(MIN(M380:S380), M380:S380, 0))&amp;CHAR(10)&amp;"📉 考察能力: "&amp;IFERROR(VLOOKUP(TRIM(D380)&amp;"_"&amp;TRIM(INDEX($M$1:$S$1, MATCH(MIN(M380:S380), M380:S380, 0))), 技能库!$A:$F, 5, 0),"建议查阅考纲")&amp;CHAR(10)&amp;"💡 提升建议: "&amp;IFERROR(VLOOKUP(TRIM(D380)&amp;"_"&amp;TRIM(INDEX($M$1:$S$1, MATCH(MIN(M380:S380), M380:S380, 0))), 技能库!$A:$F, 6, 0),"请针对该题型加强练习"), "🎉 表现优异，无明显弱项！"))</f>
        <v/>
      </c>
    </row>
    <row r="381" spans="10:27" ht="18" hidden="1" customHeight="1" x14ac:dyDescent="0.2">
      <c r="J381" t="str">
        <f t="shared" si="15"/>
        <v/>
      </c>
      <c r="K381" t="str">
        <f>IF(J381="","", IFERROR(VLOOKUP(J381, IF(D381="Movers", 换算标准!$C:$D, 换算标准!$I:$J), 2, TRUE), 0))</f>
        <v/>
      </c>
      <c r="T381" t="str">
        <f t="shared" si="16"/>
        <v/>
      </c>
      <c r="U381" t="str">
        <f>IF(T381="","", IFERROR(VLOOKUP(T381, IF(D381="Movers", 换算标准!$A:$B, 换算标准!$G:$H), 2, TRUE), 0))</f>
        <v/>
      </c>
      <c r="W381" t="str">
        <f t="shared" si="17"/>
        <v/>
      </c>
      <c r="Z381" s="5" t="str">
        <f>IF(J381="","", IF(K381&lt;=3, "⚠️ 薄弱环节: "&amp;INDEX($E$1:$I$1, MATCH(MIN(E381:I381), E381:I381, 0))&amp;CHAR(10)&amp;"📉 考察能力: "&amp;IFERROR(VLOOKUP(TRIM(D381)&amp;"_"&amp;TRIM(INDEX($E$1:$I$1, MATCH(MIN(E381:I381), E381:I381, 0))), 技能库!$A:$F, 5, 0),"建议查阅考纲")&amp;CHAR(10)&amp;"💡 提升建议: "&amp;IFERROR(VLOOKUP(TRIM(D381)&amp;"_"&amp;TRIM(INDEX($E$1:$I$1, MATCH(MIN(E381:I381), E381:I381, 0))), 技能库!$A:$F, 6, 0),"请针对该题型加强练习"), "🎉 表现优异，无明显弱项！"))</f>
        <v/>
      </c>
      <c r="AA381" s="5" t="str">
        <f>IF(T381="","", IF(U381&lt;=3, "⚠️ 薄弱环节: "&amp;INDEX($M$1:$S$1, MATCH(MIN(M381:S381), M381:S381, 0))&amp;CHAR(10)&amp;"📉 考察能力: "&amp;IFERROR(VLOOKUP(TRIM(D381)&amp;"_"&amp;TRIM(INDEX($M$1:$S$1, MATCH(MIN(M381:S381), M381:S381, 0))), 技能库!$A:$F, 5, 0),"建议查阅考纲")&amp;CHAR(10)&amp;"💡 提升建议: "&amp;IFERROR(VLOOKUP(TRIM(D381)&amp;"_"&amp;TRIM(INDEX($M$1:$S$1, MATCH(MIN(M381:S381), M381:S381, 0))), 技能库!$A:$F, 6, 0),"请针对该题型加强练习"), "🎉 表现优异，无明显弱项！"))</f>
        <v/>
      </c>
    </row>
    <row r="382" spans="10:27" ht="18" hidden="1" customHeight="1" x14ac:dyDescent="0.2">
      <c r="J382" t="str">
        <f t="shared" si="15"/>
        <v/>
      </c>
      <c r="K382" t="str">
        <f>IF(J382="","", IFERROR(VLOOKUP(J382, IF(D382="Movers", 换算标准!$C:$D, 换算标准!$I:$J), 2, TRUE), 0))</f>
        <v/>
      </c>
      <c r="T382" t="str">
        <f t="shared" si="16"/>
        <v/>
      </c>
      <c r="U382" t="str">
        <f>IF(T382="","", IFERROR(VLOOKUP(T382, IF(D382="Movers", 换算标准!$A:$B, 换算标准!$G:$H), 2, TRUE), 0))</f>
        <v/>
      </c>
      <c r="W382" t="str">
        <f t="shared" si="17"/>
        <v/>
      </c>
      <c r="Z382" s="5" t="str">
        <f>IF(J382="","", IF(K382&lt;=3, "⚠️ 薄弱环节: "&amp;INDEX($E$1:$I$1, MATCH(MIN(E382:I382), E382:I382, 0))&amp;CHAR(10)&amp;"📉 考察能力: "&amp;IFERROR(VLOOKUP(TRIM(D382)&amp;"_"&amp;TRIM(INDEX($E$1:$I$1, MATCH(MIN(E382:I382), E382:I382, 0))), 技能库!$A:$F, 5, 0),"建议查阅考纲")&amp;CHAR(10)&amp;"💡 提升建议: "&amp;IFERROR(VLOOKUP(TRIM(D382)&amp;"_"&amp;TRIM(INDEX($E$1:$I$1, MATCH(MIN(E382:I382), E382:I382, 0))), 技能库!$A:$F, 6, 0),"请针对该题型加强练习"), "🎉 表现优异，无明显弱项！"))</f>
        <v/>
      </c>
      <c r="AA382" s="5" t="str">
        <f>IF(T382="","", IF(U382&lt;=3, "⚠️ 薄弱环节: "&amp;INDEX($M$1:$S$1, MATCH(MIN(M382:S382), M382:S382, 0))&amp;CHAR(10)&amp;"📉 考察能力: "&amp;IFERROR(VLOOKUP(TRIM(D382)&amp;"_"&amp;TRIM(INDEX($M$1:$S$1, MATCH(MIN(M382:S382), M382:S382, 0))), 技能库!$A:$F, 5, 0),"建议查阅考纲")&amp;CHAR(10)&amp;"💡 提升建议: "&amp;IFERROR(VLOOKUP(TRIM(D382)&amp;"_"&amp;TRIM(INDEX($M$1:$S$1, MATCH(MIN(M382:S382), M382:S382, 0))), 技能库!$A:$F, 6, 0),"请针对该题型加强练习"), "🎉 表现优异，无明显弱项！"))</f>
        <v/>
      </c>
    </row>
    <row r="383" spans="10:27" ht="18" hidden="1" customHeight="1" x14ac:dyDescent="0.2">
      <c r="J383" t="str">
        <f t="shared" si="15"/>
        <v/>
      </c>
      <c r="K383" t="str">
        <f>IF(J383="","", IFERROR(VLOOKUP(J383, IF(D383="Movers", 换算标准!$C:$D, 换算标准!$I:$J), 2, TRUE), 0))</f>
        <v/>
      </c>
      <c r="T383" t="str">
        <f t="shared" si="16"/>
        <v/>
      </c>
      <c r="U383" t="str">
        <f>IF(T383="","", IFERROR(VLOOKUP(T383, IF(D383="Movers", 换算标准!$A:$B, 换算标准!$G:$H), 2, TRUE), 0))</f>
        <v/>
      </c>
      <c r="W383" t="str">
        <f t="shared" si="17"/>
        <v/>
      </c>
      <c r="Z383" s="5" t="str">
        <f>IF(J383="","", IF(K383&lt;=3, "⚠️ 薄弱环节: "&amp;INDEX($E$1:$I$1, MATCH(MIN(E383:I383), E383:I383, 0))&amp;CHAR(10)&amp;"📉 考察能力: "&amp;IFERROR(VLOOKUP(TRIM(D383)&amp;"_"&amp;TRIM(INDEX($E$1:$I$1, MATCH(MIN(E383:I383), E383:I383, 0))), 技能库!$A:$F, 5, 0),"建议查阅考纲")&amp;CHAR(10)&amp;"💡 提升建议: "&amp;IFERROR(VLOOKUP(TRIM(D383)&amp;"_"&amp;TRIM(INDEX($E$1:$I$1, MATCH(MIN(E383:I383), E383:I383, 0))), 技能库!$A:$F, 6, 0),"请针对该题型加强练习"), "🎉 表现优异，无明显弱项！"))</f>
        <v/>
      </c>
      <c r="AA383" s="5" t="str">
        <f>IF(T383="","", IF(U383&lt;=3, "⚠️ 薄弱环节: "&amp;INDEX($M$1:$S$1, MATCH(MIN(M383:S383), M383:S383, 0))&amp;CHAR(10)&amp;"📉 考察能力: "&amp;IFERROR(VLOOKUP(TRIM(D383)&amp;"_"&amp;TRIM(INDEX($M$1:$S$1, MATCH(MIN(M383:S383), M383:S383, 0))), 技能库!$A:$F, 5, 0),"建议查阅考纲")&amp;CHAR(10)&amp;"💡 提升建议: "&amp;IFERROR(VLOOKUP(TRIM(D383)&amp;"_"&amp;TRIM(INDEX($M$1:$S$1, MATCH(MIN(M383:S383), M383:S383, 0))), 技能库!$A:$F, 6, 0),"请针对该题型加强练习"), "🎉 表现优异，无明显弱项！"))</f>
        <v/>
      </c>
    </row>
    <row r="384" spans="10:27" ht="18" hidden="1" customHeight="1" x14ac:dyDescent="0.2">
      <c r="J384" t="str">
        <f t="shared" si="15"/>
        <v/>
      </c>
      <c r="K384" t="str">
        <f>IF(J384="","", IFERROR(VLOOKUP(J384, IF(D384="Movers", 换算标准!$C:$D, 换算标准!$I:$J), 2, TRUE), 0))</f>
        <v/>
      </c>
      <c r="T384" t="str">
        <f t="shared" si="16"/>
        <v/>
      </c>
      <c r="U384" t="str">
        <f>IF(T384="","", IFERROR(VLOOKUP(T384, IF(D384="Movers", 换算标准!$A:$B, 换算标准!$G:$H), 2, TRUE), 0))</f>
        <v/>
      </c>
      <c r="W384" t="str">
        <f t="shared" si="17"/>
        <v/>
      </c>
      <c r="Z384" s="5" t="str">
        <f>IF(J384="","", IF(K384&lt;=3, "⚠️ 薄弱环节: "&amp;INDEX($E$1:$I$1, MATCH(MIN(E384:I384), E384:I384, 0))&amp;CHAR(10)&amp;"📉 考察能力: "&amp;IFERROR(VLOOKUP(TRIM(D384)&amp;"_"&amp;TRIM(INDEX($E$1:$I$1, MATCH(MIN(E384:I384), E384:I384, 0))), 技能库!$A:$F, 5, 0),"建议查阅考纲")&amp;CHAR(10)&amp;"💡 提升建议: "&amp;IFERROR(VLOOKUP(TRIM(D384)&amp;"_"&amp;TRIM(INDEX($E$1:$I$1, MATCH(MIN(E384:I384), E384:I384, 0))), 技能库!$A:$F, 6, 0),"请针对该题型加强练习"), "🎉 表现优异，无明显弱项！"))</f>
        <v/>
      </c>
      <c r="AA384" s="5" t="str">
        <f>IF(T384="","", IF(U384&lt;=3, "⚠️ 薄弱环节: "&amp;INDEX($M$1:$S$1, MATCH(MIN(M384:S384), M384:S384, 0))&amp;CHAR(10)&amp;"📉 考察能力: "&amp;IFERROR(VLOOKUP(TRIM(D384)&amp;"_"&amp;TRIM(INDEX($M$1:$S$1, MATCH(MIN(M384:S384), M384:S384, 0))), 技能库!$A:$F, 5, 0),"建议查阅考纲")&amp;CHAR(10)&amp;"💡 提升建议: "&amp;IFERROR(VLOOKUP(TRIM(D384)&amp;"_"&amp;TRIM(INDEX($M$1:$S$1, MATCH(MIN(M384:S384), M384:S384, 0))), 技能库!$A:$F, 6, 0),"请针对该题型加强练习"), "🎉 表现优异，无明显弱项！"))</f>
        <v/>
      </c>
    </row>
    <row r="385" spans="10:27" ht="18" hidden="1" customHeight="1" x14ac:dyDescent="0.2">
      <c r="J385" t="str">
        <f t="shared" si="15"/>
        <v/>
      </c>
      <c r="K385" t="str">
        <f>IF(J385="","", IFERROR(VLOOKUP(J385, IF(D385="Movers", 换算标准!$C:$D, 换算标准!$I:$J), 2, TRUE), 0))</f>
        <v/>
      </c>
      <c r="T385" t="str">
        <f t="shared" si="16"/>
        <v/>
      </c>
      <c r="U385" t="str">
        <f>IF(T385="","", IFERROR(VLOOKUP(T385, IF(D385="Movers", 换算标准!$A:$B, 换算标准!$G:$H), 2, TRUE), 0))</f>
        <v/>
      </c>
      <c r="W385" t="str">
        <f t="shared" si="17"/>
        <v/>
      </c>
      <c r="Z385" s="5" t="str">
        <f>IF(J385="","", IF(K385&lt;=3, "⚠️ 薄弱环节: "&amp;INDEX($E$1:$I$1, MATCH(MIN(E385:I385), E385:I385, 0))&amp;CHAR(10)&amp;"📉 考察能力: "&amp;IFERROR(VLOOKUP(TRIM(D385)&amp;"_"&amp;TRIM(INDEX($E$1:$I$1, MATCH(MIN(E385:I385), E385:I385, 0))), 技能库!$A:$F, 5, 0),"建议查阅考纲")&amp;CHAR(10)&amp;"💡 提升建议: "&amp;IFERROR(VLOOKUP(TRIM(D385)&amp;"_"&amp;TRIM(INDEX($E$1:$I$1, MATCH(MIN(E385:I385), E385:I385, 0))), 技能库!$A:$F, 6, 0),"请针对该题型加强练习"), "🎉 表现优异，无明显弱项！"))</f>
        <v/>
      </c>
      <c r="AA385" s="5" t="str">
        <f>IF(T385="","", IF(U385&lt;=3, "⚠️ 薄弱环节: "&amp;INDEX($M$1:$S$1, MATCH(MIN(M385:S385), M385:S385, 0))&amp;CHAR(10)&amp;"📉 考察能力: "&amp;IFERROR(VLOOKUP(TRIM(D385)&amp;"_"&amp;TRIM(INDEX($M$1:$S$1, MATCH(MIN(M385:S385), M385:S385, 0))), 技能库!$A:$F, 5, 0),"建议查阅考纲")&amp;CHAR(10)&amp;"💡 提升建议: "&amp;IFERROR(VLOOKUP(TRIM(D385)&amp;"_"&amp;TRIM(INDEX($M$1:$S$1, MATCH(MIN(M385:S385), M385:S385, 0))), 技能库!$A:$F, 6, 0),"请针对该题型加强练习"), "🎉 表现优异，无明显弱项！"))</f>
        <v/>
      </c>
    </row>
    <row r="386" spans="10:27" ht="18" hidden="1" customHeight="1" x14ac:dyDescent="0.2">
      <c r="J386" t="str">
        <f t="shared" ref="J386:J449" si="18">IF(COUNT(E386:I386)&gt;0, SUM(E386:I386), "")</f>
        <v/>
      </c>
      <c r="K386" t="str">
        <f>IF(J386="","", IFERROR(VLOOKUP(J386, IF(D386="Movers", 换算标准!$C:$D, 换算标准!$I:$J), 2, TRUE), 0))</f>
        <v/>
      </c>
      <c r="T386" t="str">
        <f t="shared" ref="T386:T449" si="19">IF(COUNT(M386:S386)&gt;0, SUM(M386:S386), "")</f>
        <v/>
      </c>
      <c r="U386" t="str">
        <f>IF(T386="","", IFERROR(VLOOKUP(T386, IF(D386="Movers", 换算标准!$A:$B, 换算标准!$G:$H), 2, TRUE), 0))</f>
        <v/>
      </c>
      <c r="W386" t="str">
        <f t="shared" ref="W386:W449" si="20">IF(AND(K386&lt;&gt;"", U386&lt;&gt;""), K386+U386, "")</f>
        <v/>
      </c>
      <c r="Z386" s="5" t="str">
        <f>IF(J386="","", IF(K386&lt;=3, "⚠️ 薄弱环节: "&amp;INDEX($E$1:$I$1, MATCH(MIN(E386:I386), E386:I386, 0))&amp;CHAR(10)&amp;"📉 考察能力: "&amp;IFERROR(VLOOKUP(TRIM(D386)&amp;"_"&amp;TRIM(INDEX($E$1:$I$1, MATCH(MIN(E386:I386), E386:I386, 0))), 技能库!$A:$F, 5, 0),"建议查阅考纲")&amp;CHAR(10)&amp;"💡 提升建议: "&amp;IFERROR(VLOOKUP(TRIM(D386)&amp;"_"&amp;TRIM(INDEX($E$1:$I$1, MATCH(MIN(E386:I386), E386:I386, 0))), 技能库!$A:$F, 6, 0),"请针对该题型加强练习"), "🎉 表现优异，无明显弱项！"))</f>
        <v/>
      </c>
      <c r="AA386" s="5" t="str">
        <f>IF(T386="","", IF(U386&lt;=3, "⚠️ 薄弱环节: "&amp;INDEX($M$1:$S$1, MATCH(MIN(M386:S386), M386:S386, 0))&amp;CHAR(10)&amp;"📉 考察能力: "&amp;IFERROR(VLOOKUP(TRIM(D386)&amp;"_"&amp;TRIM(INDEX($M$1:$S$1, MATCH(MIN(M386:S386), M386:S386, 0))), 技能库!$A:$F, 5, 0),"建议查阅考纲")&amp;CHAR(10)&amp;"💡 提升建议: "&amp;IFERROR(VLOOKUP(TRIM(D386)&amp;"_"&amp;TRIM(INDEX($M$1:$S$1, MATCH(MIN(M386:S386), M386:S386, 0))), 技能库!$A:$F, 6, 0),"请针对该题型加强练习"), "🎉 表现优异，无明显弱项！"))</f>
        <v/>
      </c>
    </row>
    <row r="387" spans="10:27" ht="18" hidden="1" customHeight="1" x14ac:dyDescent="0.2">
      <c r="J387" t="str">
        <f t="shared" si="18"/>
        <v/>
      </c>
      <c r="K387" t="str">
        <f>IF(J387="","", IFERROR(VLOOKUP(J387, IF(D387="Movers", 换算标准!$C:$D, 换算标准!$I:$J), 2, TRUE), 0))</f>
        <v/>
      </c>
      <c r="T387" t="str">
        <f t="shared" si="19"/>
        <v/>
      </c>
      <c r="U387" t="str">
        <f>IF(T387="","", IFERROR(VLOOKUP(T387, IF(D387="Movers", 换算标准!$A:$B, 换算标准!$G:$H), 2, TRUE), 0))</f>
        <v/>
      </c>
      <c r="W387" t="str">
        <f t="shared" si="20"/>
        <v/>
      </c>
      <c r="Z387" s="5" t="str">
        <f>IF(J387="","", IF(K387&lt;=3, "⚠️ 薄弱环节: "&amp;INDEX($E$1:$I$1, MATCH(MIN(E387:I387), E387:I387, 0))&amp;CHAR(10)&amp;"📉 考察能力: "&amp;IFERROR(VLOOKUP(TRIM(D387)&amp;"_"&amp;TRIM(INDEX($E$1:$I$1, MATCH(MIN(E387:I387), E387:I387, 0))), 技能库!$A:$F, 5, 0),"建议查阅考纲")&amp;CHAR(10)&amp;"💡 提升建议: "&amp;IFERROR(VLOOKUP(TRIM(D387)&amp;"_"&amp;TRIM(INDEX($E$1:$I$1, MATCH(MIN(E387:I387), E387:I387, 0))), 技能库!$A:$F, 6, 0),"请针对该题型加强练习"), "🎉 表现优异，无明显弱项！"))</f>
        <v/>
      </c>
      <c r="AA387" s="5" t="str">
        <f>IF(T387="","", IF(U387&lt;=3, "⚠️ 薄弱环节: "&amp;INDEX($M$1:$S$1, MATCH(MIN(M387:S387), M387:S387, 0))&amp;CHAR(10)&amp;"📉 考察能力: "&amp;IFERROR(VLOOKUP(TRIM(D387)&amp;"_"&amp;TRIM(INDEX($M$1:$S$1, MATCH(MIN(M387:S387), M387:S387, 0))), 技能库!$A:$F, 5, 0),"建议查阅考纲")&amp;CHAR(10)&amp;"💡 提升建议: "&amp;IFERROR(VLOOKUP(TRIM(D387)&amp;"_"&amp;TRIM(INDEX($M$1:$S$1, MATCH(MIN(M387:S387), M387:S387, 0))), 技能库!$A:$F, 6, 0),"请针对该题型加强练习"), "🎉 表现优异，无明显弱项！"))</f>
        <v/>
      </c>
    </row>
    <row r="388" spans="10:27" ht="18" hidden="1" customHeight="1" x14ac:dyDescent="0.2">
      <c r="J388" t="str">
        <f t="shared" si="18"/>
        <v/>
      </c>
      <c r="K388" t="str">
        <f>IF(J388="","", IFERROR(VLOOKUP(J388, IF(D388="Movers", 换算标准!$C:$D, 换算标准!$I:$J), 2, TRUE), 0))</f>
        <v/>
      </c>
      <c r="T388" t="str">
        <f t="shared" si="19"/>
        <v/>
      </c>
      <c r="U388" t="str">
        <f>IF(T388="","", IFERROR(VLOOKUP(T388, IF(D388="Movers", 换算标准!$A:$B, 换算标准!$G:$H), 2, TRUE), 0))</f>
        <v/>
      </c>
      <c r="W388" t="str">
        <f t="shared" si="20"/>
        <v/>
      </c>
      <c r="Z388" s="5" t="str">
        <f>IF(J388="","", IF(K388&lt;=3, "⚠️ 薄弱环节: "&amp;INDEX($E$1:$I$1, MATCH(MIN(E388:I388), E388:I388, 0))&amp;CHAR(10)&amp;"📉 考察能力: "&amp;IFERROR(VLOOKUP(TRIM(D388)&amp;"_"&amp;TRIM(INDEX($E$1:$I$1, MATCH(MIN(E388:I388), E388:I388, 0))), 技能库!$A:$F, 5, 0),"建议查阅考纲")&amp;CHAR(10)&amp;"💡 提升建议: "&amp;IFERROR(VLOOKUP(TRIM(D388)&amp;"_"&amp;TRIM(INDEX($E$1:$I$1, MATCH(MIN(E388:I388), E388:I388, 0))), 技能库!$A:$F, 6, 0),"请针对该题型加强练习"), "🎉 表现优异，无明显弱项！"))</f>
        <v/>
      </c>
      <c r="AA388" s="5" t="str">
        <f>IF(T388="","", IF(U388&lt;=3, "⚠️ 薄弱环节: "&amp;INDEX($M$1:$S$1, MATCH(MIN(M388:S388), M388:S388, 0))&amp;CHAR(10)&amp;"📉 考察能力: "&amp;IFERROR(VLOOKUP(TRIM(D388)&amp;"_"&amp;TRIM(INDEX($M$1:$S$1, MATCH(MIN(M388:S388), M388:S388, 0))), 技能库!$A:$F, 5, 0),"建议查阅考纲")&amp;CHAR(10)&amp;"💡 提升建议: "&amp;IFERROR(VLOOKUP(TRIM(D388)&amp;"_"&amp;TRIM(INDEX($M$1:$S$1, MATCH(MIN(M388:S388), M388:S388, 0))), 技能库!$A:$F, 6, 0),"请针对该题型加强练习"), "🎉 表现优异，无明显弱项！"))</f>
        <v/>
      </c>
    </row>
    <row r="389" spans="10:27" ht="18" hidden="1" customHeight="1" x14ac:dyDescent="0.2">
      <c r="J389" t="str">
        <f t="shared" si="18"/>
        <v/>
      </c>
      <c r="K389" t="str">
        <f>IF(J389="","", IFERROR(VLOOKUP(J389, IF(D389="Movers", 换算标准!$C:$D, 换算标准!$I:$J), 2, TRUE), 0))</f>
        <v/>
      </c>
      <c r="T389" t="str">
        <f t="shared" si="19"/>
        <v/>
      </c>
      <c r="U389" t="str">
        <f>IF(T389="","", IFERROR(VLOOKUP(T389, IF(D389="Movers", 换算标准!$A:$B, 换算标准!$G:$H), 2, TRUE), 0))</f>
        <v/>
      </c>
      <c r="W389" t="str">
        <f t="shared" si="20"/>
        <v/>
      </c>
      <c r="Z389" s="5" t="str">
        <f>IF(J389="","", IF(K389&lt;=3, "⚠️ 薄弱环节: "&amp;INDEX($E$1:$I$1, MATCH(MIN(E389:I389), E389:I389, 0))&amp;CHAR(10)&amp;"📉 考察能力: "&amp;IFERROR(VLOOKUP(TRIM(D389)&amp;"_"&amp;TRIM(INDEX($E$1:$I$1, MATCH(MIN(E389:I389), E389:I389, 0))), 技能库!$A:$F, 5, 0),"建议查阅考纲")&amp;CHAR(10)&amp;"💡 提升建议: "&amp;IFERROR(VLOOKUP(TRIM(D389)&amp;"_"&amp;TRIM(INDEX($E$1:$I$1, MATCH(MIN(E389:I389), E389:I389, 0))), 技能库!$A:$F, 6, 0),"请针对该题型加强练习"), "🎉 表现优异，无明显弱项！"))</f>
        <v/>
      </c>
      <c r="AA389" s="5" t="str">
        <f>IF(T389="","", IF(U389&lt;=3, "⚠️ 薄弱环节: "&amp;INDEX($M$1:$S$1, MATCH(MIN(M389:S389), M389:S389, 0))&amp;CHAR(10)&amp;"📉 考察能力: "&amp;IFERROR(VLOOKUP(TRIM(D389)&amp;"_"&amp;TRIM(INDEX($M$1:$S$1, MATCH(MIN(M389:S389), M389:S389, 0))), 技能库!$A:$F, 5, 0),"建议查阅考纲")&amp;CHAR(10)&amp;"💡 提升建议: "&amp;IFERROR(VLOOKUP(TRIM(D389)&amp;"_"&amp;TRIM(INDEX($M$1:$S$1, MATCH(MIN(M389:S389), M389:S389, 0))), 技能库!$A:$F, 6, 0),"请针对该题型加强练习"), "🎉 表现优异，无明显弱项！"))</f>
        <v/>
      </c>
    </row>
    <row r="390" spans="10:27" ht="18" hidden="1" customHeight="1" x14ac:dyDescent="0.2">
      <c r="J390" t="str">
        <f t="shared" si="18"/>
        <v/>
      </c>
      <c r="K390" t="str">
        <f>IF(J390="","", IFERROR(VLOOKUP(J390, IF(D390="Movers", 换算标准!$C:$D, 换算标准!$I:$J), 2, TRUE), 0))</f>
        <v/>
      </c>
      <c r="T390" t="str">
        <f t="shared" si="19"/>
        <v/>
      </c>
      <c r="U390" t="str">
        <f>IF(T390="","", IFERROR(VLOOKUP(T390, IF(D390="Movers", 换算标准!$A:$B, 换算标准!$G:$H), 2, TRUE), 0))</f>
        <v/>
      </c>
      <c r="W390" t="str">
        <f t="shared" si="20"/>
        <v/>
      </c>
      <c r="Z390" s="5" t="str">
        <f>IF(J390="","", IF(K390&lt;=3, "⚠️ 薄弱环节: "&amp;INDEX($E$1:$I$1, MATCH(MIN(E390:I390), E390:I390, 0))&amp;CHAR(10)&amp;"📉 考察能力: "&amp;IFERROR(VLOOKUP(TRIM(D390)&amp;"_"&amp;TRIM(INDEX($E$1:$I$1, MATCH(MIN(E390:I390), E390:I390, 0))), 技能库!$A:$F, 5, 0),"建议查阅考纲")&amp;CHAR(10)&amp;"💡 提升建议: "&amp;IFERROR(VLOOKUP(TRIM(D390)&amp;"_"&amp;TRIM(INDEX($E$1:$I$1, MATCH(MIN(E390:I390), E390:I390, 0))), 技能库!$A:$F, 6, 0),"请针对该题型加强练习"), "🎉 表现优异，无明显弱项！"))</f>
        <v/>
      </c>
      <c r="AA390" s="5" t="str">
        <f>IF(T390="","", IF(U390&lt;=3, "⚠️ 薄弱环节: "&amp;INDEX($M$1:$S$1, MATCH(MIN(M390:S390), M390:S390, 0))&amp;CHAR(10)&amp;"📉 考察能力: "&amp;IFERROR(VLOOKUP(TRIM(D390)&amp;"_"&amp;TRIM(INDEX($M$1:$S$1, MATCH(MIN(M390:S390), M390:S390, 0))), 技能库!$A:$F, 5, 0),"建议查阅考纲")&amp;CHAR(10)&amp;"💡 提升建议: "&amp;IFERROR(VLOOKUP(TRIM(D390)&amp;"_"&amp;TRIM(INDEX($M$1:$S$1, MATCH(MIN(M390:S390), M390:S390, 0))), 技能库!$A:$F, 6, 0),"请针对该题型加强练习"), "🎉 表现优异，无明显弱项！"))</f>
        <v/>
      </c>
    </row>
    <row r="391" spans="10:27" ht="18" hidden="1" customHeight="1" x14ac:dyDescent="0.2">
      <c r="J391" t="str">
        <f t="shared" si="18"/>
        <v/>
      </c>
      <c r="K391" t="str">
        <f>IF(J391="","", IFERROR(VLOOKUP(J391, IF(D391="Movers", 换算标准!$C:$D, 换算标准!$I:$J), 2, TRUE), 0))</f>
        <v/>
      </c>
      <c r="T391" t="str">
        <f t="shared" si="19"/>
        <v/>
      </c>
      <c r="U391" t="str">
        <f>IF(T391="","", IFERROR(VLOOKUP(T391, IF(D391="Movers", 换算标准!$A:$B, 换算标准!$G:$H), 2, TRUE), 0))</f>
        <v/>
      </c>
      <c r="W391" t="str">
        <f t="shared" si="20"/>
        <v/>
      </c>
      <c r="Z391" s="5" t="str">
        <f>IF(J391="","", IF(K391&lt;=3, "⚠️ 薄弱环节: "&amp;INDEX($E$1:$I$1, MATCH(MIN(E391:I391), E391:I391, 0))&amp;CHAR(10)&amp;"📉 考察能力: "&amp;IFERROR(VLOOKUP(TRIM(D391)&amp;"_"&amp;TRIM(INDEX($E$1:$I$1, MATCH(MIN(E391:I391), E391:I391, 0))), 技能库!$A:$F, 5, 0),"建议查阅考纲")&amp;CHAR(10)&amp;"💡 提升建议: "&amp;IFERROR(VLOOKUP(TRIM(D391)&amp;"_"&amp;TRIM(INDEX($E$1:$I$1, MATCH(MIN(E391:I391), E391:I391, 0))), 技能库!$A:$F, 6, 0),"请针对该题型加强练习"), "🎉 表现优异，无明显弱项！"))</f>
        <v/>
      </c>
      <c r="AA391" s="5" t="str">
        <f>IF(T391="","", IF(U391&lt;=3, "⚠️ 薄弱环节: "&amp;INDEX($M$1:$S$1, MATCH(MIN(M391:S391), M391:S391, 0))&amp;CHAR(10)&amp;"📉 考察能力: "&amp;IFERROR(VLOOKUP(TRIM(D391)&amp;"_"&amp;TRIM(INDEX($M$1:$S$1, MATCH(MIN(M391:S391), M391:S391, 0))), 技能库!$A:$F, 5, 0),"建议查阅考纲")&amp;CHAR(10)&amp;"💡 提升建议: "&amp;IFERROR(VLOOKUP(TRIM(D391)&amp;"_"&amp;TRIM(INDEX($M$1:$S$1, MATCH(MIN(M391:S391), M391:S391, 0))), 技能库!$A:$F, 6, 0),"请针对该题型加强练习"), "🎉 表现优异，无明显弱项！"))</f>
        <v/>
      </c>
    </row>
    <row r="392" spans="10:27" ht="18" hidden="1" customHeight="1" x14ac:dyDescent="0.2">
      <c r="J392" t="str">
        <f t="shared" si="18"/>
        <v/>
      </c>
      <c r="K392" t="str">
        <f>IF(J392="","", IFERROR(VLOOKUP(J392, IF(D392="Movers", 换算标准!$C:$D, 换算标准!$I:$J), 2, TRUE), 0))</f>
        <v/>
      </c>
      <c r="T392" t="str">
        <f t="shared" si="19"/>
        <v/>
      </c>
      <c r="U392" t="str">
        <f>IF(T392="","", IFERROR(VLOOKUP(T392, IF(D392="Movers", 换算标准!$A:$B, 换算标准!$G:$H), 2, TRUE), 0))</f>
        <v/>
      </c>
      <c r="W392" t="str">
        <f t="shared" si="20"/>
        <v/>
      </c>
      <c r="Z392" s="5" t="str">
        <f>IF(J392="","", IF(K392&lt;=3, "⚠️ 薄弱环节: "&amp;INDEX($E$1:$I$1, MATCH(MIN(E392:I392), E392:I392, 0))&amp;CHAR(10)&amp;"📉 考察能力: "&amp;IFERROR(VLOOKUP(TRIM(D392)&amp;"_"&amp;TRIM(INDEX($E$1:$I$1, MATCH(MIN(E392:I392), E392:I392, 0))), 技能库!$A:$F, 5, 0),"建议查阅考纲")&amp;CHAR(10)&amp;"💡 提升建议: "&amp;IFERROR(VLOOKUP(TRIM(D392)&amp;"_"&amp;TRIM(INDEX($E$1:$I$1, MATCH(MIN(E392:I392), E392:I392, 0))), 技能库!$A:$F, 6, 0),"请针对该题型加强练习"), "🎉 表现优异，无明显弱项！"))</f>
        <v/>
      </c>
      <c r="AA392" s="5" t="str">
        <f>IF(T392="","", IF(U392&lt;=3, "⚠️ 薄弱环节: "&amp;INDEX($M$1:$S$1, MATCH(MIN(M392:S392), M392:S392, 0))&amp;CHAR(10)&amp;"📉 考察能力: "&amp;IFERROR(VLOOKUP(TRIM(D392)&amp;"_"&amp;TRIM(INDEX($M$1:$S$1, MATCH(MIN(M392:S392), M392:S392, 0))), 技能库!$A:$F, 5, 0),"建议查阅考纲")&amp;CHAR(10)&amp;"💡 提升建议: "&amp;IFERROR(VLOOKUP(TRIM(D392)&amp;"_"&amp;TRIM(INDEX($M$1:$S$1, MATCH(MIN(M392:S392), M392:S392, 0))), 技能库!$A:$F, 6, 0),"请针对该题型加强练习"), "🎉 表现优异，无明显弱项！"))</f>
        <v/>
      </c>
    </row>
    <row r="393" spans="10:27" ht="18" hidden="1" customHeight="1" x14ac:dyDescent="0.2">
      <c r="J393" t="str">
        <f t="shared" si="18"/>
        <v/>
      </c>
      <c r="K393" t="str">
        <f>IF(J393="","", IFERROR(VLOOKUP(J393, IF(D393="Movers", 换算标准!$C:$D, 换算标准!$I:$J), 2, TRUE), 0))</f>
        <v/>
      </c>
      <c r="T393" t="str">
        <f t="shared" si="19"/>
        <v/>
      </c>
      <c r="U393" t="str">
        <f>IF(T393="","", IFERROR(VLOOKUP(T393, IF(D393="Movers", 换算标准!$A:$B, 换算标准!$G:$H), 2, TRUE), 0))</f>
        <v/>
      </c>
      <c r="W393" t="str">
        <f t="shared" si="20"/>
        <v/>
      </c>
      <c r="Z393" s="5" t="str">
        <f>IF(J393="","", IF(K393&lt;=3, "⚠️ 薄弱环节: "&amp;INDEX($E$1:$I$1, MATCH(MIN(E393:I393), E393:I393, 0))&amp;CHAR(10)&amp;"📉 考察能力: "&amp;IFERROR(VLOOKUP(TRIM(D393)&amp;"_"&amp;TRIM(INDEX($E$1:$I$1, MATCH(MIN(E393:I393), E393:I393, 0))), 技能库!$A:$F, 5, 0),"建议查阅考纲")&amp;CHAR(10)&amp;"💡 提升建议: "&amp;IFERROR(VLOOKUP(TRIM(D393)&amp;"_"&amp;TRIM(INDEX($E$1:$I$1, MATCH(MIN(E393:I393), E393:I393, 0))), 技能库!$A:$F, 6, 0),"请针对该题型加强练习"), "🎉 表现优异，无明显弱项！"))</f>
        <v/>
      </c>
      <c r="AA393" s="5" t="str">
        <f>IF(T393="","", IF(U393&lt;=3, "⚠️ 薄弱环节: "&amp;INDEX($M$1:$S$1, MATCH(MIN(M393:S393), M393:S393, 0))&amp;CHAR(10)&amp;"📉 考察能力: "&amp;IFERROR(VLOOKUP(TRIM(D393)&amp;"_"&amp;TRIM(INDEX($M$1:$S$1, MATCH(MIN(M393:S393), M393:S393, 0))), 技能库!$A:$F, 5, 0),"建议查阅考纲")&amp;CHAR(10)&amp;"💡 提升建议: "&amp;IFERROR(VLOOKUP(TRIM(D393)&amp;"_"&amp;TRIM(INDEX($M$1:$S$1, MATCH(MIN(M393:S393), M393:S393, 0))), 技能库!$A:$F, 6, 0),"请针对该题型加强练习"), "🎉 表现优异，无明显弱项！"))</f>
        <v/>
      </c>
    </row>
    <row r="394" spans="10:27" ht="18" hidden="1" customHeight="1" x14ac:dyDescent="0.2">
      <c r="J394" t="str">
        <f t="shared" si="18"/>
        <v/>
      </c>
      <c r="K394" t="str">
        <f>IF(J394="","", IFERROR(VLOOKUP(J394, IF(D394="Movers", 换算标准!$C:$D, 换算标准!$I:$J), 2, TRUE), 0))</f>
        <v/>
      </c>
      <c r="T394" t="str">
        <f t="shared" si="19"/>
        <v/>
      </c>
      <c r="U394" t="str">
        <f>IF(T394="","", IFERROR(VLOOKUP(T394, IF(D394="Movers", 换算标准!$A:$B, 换算标准!$G:$H), 2, TRUE), 0))</f>
        <v/>
      </c>
      <c r="W394" t="str">
        <f t="shared" si="20"/>
        <v/>
      </c>
      <c r="Z394" s="5" t="str">
        <f>IF(J394="","", IF(K394&lt;=3, "⚠️ 薄弱环节: "&amp;INDEX($E$1:$I$1, MATCH(MIN(E394:I394), E394:I394, 0))&amp;CHAR(10)&amp;"📉 考察能力: "&amp;IFERROR(VLOOKUP(TRIM(D394)&amp;"_"&amp;TRIM(INDEX($E$1:$I$1, MATCH(MIN(E394:I394), E394:I394, 0))), 技能库!$A:$F, 5, 0),"建议查阅考纲")&amp;CHAR(10)&amp;"💡 提升建议: "&amp;IFERROR(VLOOKUP(TRIM(D394)&amp;"_"&amp;TRIM(INDEX($E$1:$I$1, MATCH(MIN(E394:I394), E394:I394, 0))), 技能库!$A:$F, 6, 0),"请针对该题型加强练习"), "🎉 表现优异，无明显弱项！"))</f>
        <v/>
      </c>
      <c r="AA394" s="5" t="str">
        <f>IF(T394="","", IF(U394&lt;=3, "⚠️ 薄弱环节: "&amp;INDEX($M$1:$S$1, MATCH(MIN(M394:S394), M394:S394, 0))&amp;CHAR(10)&amp;"📉 考察能力: "&amp;IFERROR(VLOOKUP(TRIM(D394)&amp;"_"&amp;TRIM(INDEX($M$1:$S$1, MATCH(MIN(M394:S394), M394:S394, 0))), 技能库!$A:$F, 5, 0),"建议查阅考纲")&amp;CHAR(10)&amp;"💡 提升建议: "&amp;IFERROR(VLOOKUP(TRIM(D394)&amp;"_"&amp;TRIM(INDEX($M$1:$S$1, MATCH(MIN(M394:S394), M394:S394, 0))), 技能库!$A:$F, 6, 0),"请针对该题型加强练习"), "🎉 表现优异，无明显弱项！"))</f>
        <v/>
      </c>
    </row>
    <row r="395" spans="10:27" ht="18" hidden="1" customHeight="1" x14ac:dyDescent="0.2">
      <c r="J395" t="str">
        <f t="shared" si="18"/>
        <v/>
      </c>
      <c r="K395" t="str">
        <f>IF(J395="","", IFERROR(VLOOKUP(J395, IF(D395="Movers", 换算标准!$C:$D, 换算标准!$I:$J), 2, TRUE), 0))</f>
        <v/>
      </c>
      <c r="T395" t="str">
        <f t="shared" si="19"/>
        <v/>
      </c>
      <c r="U395" t="str">
        <f>IF(T395="","", IFERROR(VLOOKUP(T395, IF(D395="Movers", 换算标准!$A:$B, 换算标准!$G:$H), 2, TRUE), 0))</f>
        <v/>
      </c>
      <c r="W395" t="str">
        <f t="shared" si="20"/>
        <v/>
      </c>
      <c r="Z395" s="5" t="str">
        <f>IF(J395="","", IF(K395&lt;=3, "⚠️ 薄弱环节: "&amp;INDEX($E$1:$I$1, MATCH(MIN(E395:I395), E395:I395, 0))&amp;CHAR(10)&amp;"📉 考察能力: "&amp;IFERROR(VLOOKUP(TRIM(D395)&amp;"_"&amp;TRIM(INDEX($E$1:$I$1, MATCH(MIN(E395:I395), E395:I395, 0))), 技能库!$A:$F, 5, 0),"建议查阅考纲")&amp;CHAR(10)&amp;"💡 提升建议: "&amp;IFERROR(VLOOKUP(TRIM(D395)&amp;"_"&amp;TRIM(INDEX($E$1:$I$1, MATCH(MIN(E395:I395), E395:I395, 0))), 技能库!$A:$F, 6, 0),"请针对该题型加强练习"), "🎉 表现优异，无明显弱项！"))</f>
        <v/>
      </c>
      <c r="AA395" s="5" t="str">
        <f>IF(T395="","", IF(U395&lt;=3, "⚠️ 薄弱环节: "&amp;INDEX($M$1:$S$1, MATCH(MIN(M395:S395), M395:S395, 0))&amp;CHAR(10)&amp;"📉 考察能力: "&amp;IFERROR(VLOOKUP(TRIM(D395)&amp;"_"&amp;TRIM(INDEX($M$1:$S$1, MATCH(MIN(M395:S395), M395:S395, 0))), 技能库!$A:$F, 5, 0),"建议查阅考纲")&amp;CHAR(10)&amp;"💡 提升建议: "&amp;IFERROR(VLOOKUP(TRIM(D395)&amp;"_"&amp;TRIM(INDEX($M$1:$S$1, MATCH(MIN(M395:S395), M395:S395, 0))), 技能库!$A:$F, 6, 0),"请针对该题型加强练习"), "🎉 表现优异，无明显弱项！"))</f>
        <v/>
      </c>
    </row>
    <row r="396" spans="10:27" ht="18" hidden="1" customHeight="1" x14ac:dyDescent="0.2">
      <c r="J396" t="str">
        <f t="shared" si="18"/>
        <v/>
      </c>
      <c r="K396" t="str">
        <f>IF(J396="","", IFERROR(VLOOKUP(J396, IF(D396="Movers", 换算标准!$C:$D, 换算标准!$I:$J), 2, TRUE), 0))</f>
        <v/>
      </c>
      <c r="T396" t="str">
        <f t="shared" si="19"/>
        <v/>
      </c>
      <c r="U396" t="str">
        <f>IF(T396="","", IFERROR(VLOOKUP(T396, IF(D396="Movers", 换算标准!$A:$B, 换算标准!$G:$H), 2, TRUE), 0))</f>
        <v/>
      </c>
      <c r="W396" t="str">
        <f t="shared" si="20"/>
        <v/>
      </c>
      <c r="Z396" s="5" t="str">
        <f>IF(J396="","", IF(K396&lt;=3, "⚠️ 薄弱环节: "&amp;INDEX($E$1:$I$1, MATCH(MIN(E396:I396), E396:I396, 0))&amp;CHAR(10)&amp;"📉 考察能力: "&amp;IFERROR(VLOOKUP(TRIM(D396)&amp;"_"&amp;TRIM(INDEX($E$1:$I$1, MATCH(MIN(E396:I396), E396:I396, 0))), 技能库!$A:$F, 5, 0),"建议查阅考纲")&amp;CHAR(10)&amp;"💡 提升建议: "&amp;IFERROR(VLOOKUP(TRIM(D396)&amp;"_"&amp;TRIM(INDEX($E$1:$I$1, MATCH(MIN(E396:I396), E396:I396, 0))), 技能库!$A:$F, 6, 0),"请针对该题型加强练习"), "🎉 表现优异，无明显弱项！"))</f>
        <v/>
      </c>
      <c r="AA396" s="5" t="str">
        <f>IF(T396="","", IF(U396&lt;=3, "⚠️ 薄弱环节: "&amp;INDEX($M$1:$S$1, MATCH(MIN(M396:S396), M396:S396, 0))&amp;CHAR(10)&amp;"📉 考察能力: "&amp;IFERROR(VLOOKUP(TRIM(D396)&amp;"_"&amp;TRIM(INDEX($M$1:$S$1, MATCH(MIN(M396:S396), M396:S396, 0))), 技能库!$A:$F, 5, 0),"建议查阅考纲")&amp;CHAR(10)&amp;"💡 提升建议: "&amp;IFERROR(VLOOKUP(TRIM(D396)&amp;"_"&amp;TRIM(INDEX($M$1:$S$1, MATCH(MIN(M396:S396), M396:S396, 0))), 技能库!$A:$F, 6, 0),"请针对该题型加强练习"), "🎉 表现优异，无明显弱项！"))</f>
        <v/>
      </c>
    </row>
    <row r="397" spans="10:27" ht="18" hidden="1" customHeight="1" x14ac:dyDescent="0.2">
      <c r="J397" t="str">
        <f t="shared" si="18"/>
        <v/>
      </c>
      <c r="K397" t="str">
        <f>IF(J397="","", IFERROR(VLOOKUP(J397, IF(D397="Movers", 换算标准!$C:$D, 换算标准!$I:$J), 2, TRUE), 0))</f>
        <v/>
      </c>
      <c r="T397" t="str">
        <f t="shared" si="19"/>
        <v/>
      </c>
      <c r="U397" t="str">
        <f>IF(T397="","", IFERROR(VLOOKUP(T397, IF(D397="Movers", 换算标准!$A:$B, 换算标准!$G:$H), 2, TRUE), 0))</f>
        <v/>
      </c>
      <c r="W397" t="str">
        <f t="shared" si="20"/>
        <v/>
      </c>
      <c r="Z397" s="5" t="str">
        <f>IF(J397="","", IF(K397&lt;=3, "⚠️ 薄弱环节: "&amp;INDEX($E$1:$I$1, MATCH(MIN(E397:I397), E397:I397, 0))&amp;CHAR(10)&amp;"📉 考察能力: "&amp;IFERROR(VLOOKUP(TRIM(D397)&amp;"_"&amp;TRIM(INDEX($E$1:$I$1, MATCH(MIN(E397:I397), E397:I397, 0))), 技能库!$A:$F, 5, 0),"建议查阅考纲")&amp;CHAR(10)&amp;"💡 提升建议: "&amp;IFERROR(VLOOKUP(TRIM(D397)&amp;"_"&amp;TRIM(INDEX($E$1:$I$1, MATCH(MIN(E397:I397), E397:I397, 0))), 技能库!$A:$F, 6, 0),"请针对该题型加强练习"), "🎉 表现优异，无明显弱项！"))</f>
        <v/>
      </c>
      <c r="AA397" s="5" t="str">
        <f>IF(T397="","", IF(U397&lt;=3, "⚠️ 薄弱环节: "&amp;INDEX($M$1:$S$1, MATCH(MIN(M397:S397), M397:S397, 0))&amp;CHAR(10)&amp;"📉 考察能力: "&amp;IFERROR(VLOOKUP(TRIM(D397)&amp;"_"&amp;TRIM(INDEX($M$1:$S$1, MATCH(MIN(M397:S397), M397:S397, 0))), 技能库!$A:$F, 5, 0),"建议查阅考纲")&amp;CHAR(10)&amp;"💡 提升建议: "&amp;IFERROR(VLOOKUP(TRIM(D397)&amp;"_"&amp;TRIM(INDEX($M$1:$S$1, MATCH(MIN(M397:S397), M397:S397, 0))), 技能库!$A:$F, 6, 0),"请针对该题型加强练习"), "🎉 表现优异，无明显弱项！"))</f>
        <v/>
      </c>
    </row>
    <row r="398" spans="10:27" ht="18" hidden="1" customHeight="1" x14ac:dyDescent="0.2">
      <c r="J398" t="str">
        <f t="shared" si="18"/>
        <v/>
      </c>
      <c r="K398" t="str">
        <f>IF(J398="","", IFERROR(VLOOKUP(J398, IF(D398="Movers", 换算标准!$C:$D, 换算标准!$I:$J), 2, TRUE), 0))</f>
        <v/>
      </c>
      <c r="T398" t="str">
        <f t="shared" si="19"/>
        <v/>
      </c>
      <c r="U398" t="str">
        <f>IF(T398="","", IFERROR(VLOOKUP(T398, IF(D398="Movers", 换算标准!$A:$B, 换算标准!$G:$H), 2, TRUE), 0))</f>
        <v/>
      </c>
      <c r="W398" t="str">
        <f t="shared" si="20"/>
        <v/>
      </c>
      <c r="Z398" s="5" t="str">
        <f>IF(J398="","", IF(K398&lt;=3, "⚠️ 薄弱环节: "&amp;INDEX($E$1:$I$1, MATCH(MIN(E398:I398), E398:I398, 0))&amp;CHAR(10)&amp;"📉 考察能力: "&amp;IFERROR(VLOOKUP(TRIM(D398)&amp;"_"&amp;TRIM(INDEX($E$1:$I$1, MATCH(MIN(E398:I398), E398:I398, 0))), 技能库!$A:$F, 5, 0),"建议查阅考纲")&amp;CHAR(10)&amp;"💡 提升建议: "&amp;IFERROR(VLOOKUP(TRIM(D398)&amp;"_"&amp;TRIM(INDEX($E$1:$I$1, MATCH(MIN(E398:I398), E398:I398, 0))), 技能库!$A:$F, 6, 0),"请针对该题型加强练习"), "🎉 表现优异，无明显弱项！"))</f>
        <v/>
      </c>
      <c r="AA398" s="5" t="str">
        <f>IF(T398="","", IF(U398&lt;=3, "⚠️ 薄弱环节: "&amp;INDEX($M$1:$S$1, MATCH(MIN(M398:S398), M398:S398, 0))&amp;CHAR(10)&amp;"📉 考察能力: "&amp;IFERROR(VLOOKUP(TRIM(D398)&amp;"_"&amp;TRIM(INDEX($M$1:$S$1, MATCH(MIN(M398:S398), M398:S398, 0))), 技能库!$A:$F, 5, 0),"建议查阅考纲")&amp;CHAR(10)&amp;"💡 提升建议: "&amp;IFERROR(VLOOKUP(TRIM(D398)&amp;"_"&amp;TRIM(INDEX($M$1:$S$1, MATCH(MIN(M398:S398), M398:S398, 0))), 技能库!$A:$F, 6, 0),"请针对该题型加强练习"), "🎉 表现优异，无明显弱项！"))</f>
        <v/>
      </c>
    </row>
    <row r="399" spans="10:27" ht="18" hidden="1" customHeight="1" x14ac:dyDescent="0.2">
      <c r="J399" t="str">
        <f t="shared" si="18"/>
        <v/>
      </c>
      <c r="K399" t="str">
        <f>IF(J399="","", IFERROR(VLOOKUP(J399, IF(D399="Movers", 换算标准!$C:$D, 换算标准!$I:$J), 2, TRUE), 0))</f>
        <v/>
      </c>
      <c r="T399" t="str">
        <f t="shared" si="19"/>
        <v/>
      </c>
      <c r="U399" t="str">
        <f>IF(T399="","", IFERROR(VLOOKUP(T399, IF(D399="Movers", 换算标准!$A:$B, 换算标准!$G:$H), 2, TRUE), 0))</f>
        <v/>
      </c>
      <c r="W399" t="str">
        <f t="shared" si="20"/>
        <v/>
      </c>
      <c r="Z399" s="5" t="str">
        <f>IF(J399="","", IF(K399&lt;=3, "⚠️ 薄弱环节: "&amp;INDEX($E$1:$I$1, MATCH(MIN(E399:I399), E399:I399, 0))&amp;CHAR(10)&amp;"📉 考察能力: "&amp;IFERROR(VLOOKUP(TRIM(D399)&amp;"_"&amp;TRIM(INDEX($E$1:$I$1, MATCH(MIN(E399:I399), E399:I399, 0))), 技能库!$A:$F, 5, 0),"建议查阅考纲")&amp;CHAR(10)&amp;"💡 提升建议: "&amp;IFERROR(VLOOKUP(TRIM(D399)&amp;"_"&amp;TRIM(INDEX($E$1:$I$1, MATCH(MIN(E399:I399), E399:I399, 0))), 技能库!$A:$F, 6, 0),"请针对该题型加强练习"), "🎉 表现优异，无明显弱项！"))</f>
        <v/>
      </c>
      <c r="AA399" s="5" t="str">
        <f>IF(T399="","", IF(U399&lt;=3, "⚠️ 薄弱环节: "&amp;INDEX($M$1:$S$1, MATCH(MIN(M399:S399), M399:S399, 0))&amp;CHAR(10)&amp;"📉 考察能力: "&amp;IFERROR(VLOOKUP(TRIM(D399)&amp;"_"&amp;TRIM(INDEX($M$1:$S$1, MATCH(MIN(M399:S399), M399:S399, 0))), 技能库!$A:$F, 5, 0),"建议查阅考纲")&amp;CHAR(10)&amp;"💡 提升建议: "&amp;IFERROR(VLOOKUP(TRIM(D399)&amp;"_"&amp;TRIM(INDEX($M$1:$S$1, MATCH(MIN(M399:S399), M399:S399, 0))), 技能库!$A:$F, 6, 0),"请针对该题型加强练习"), "🎉 表现优异，无明显弱项！"))</f>
        <v/>
      </c>
    </row>
    <row r="400" spans="10:27" ht="18" hidden="1" customHeight="1" x14ac:dyDescent="0.2">
      <c r="J400" t="str">
        <f t="shared" si="18"/>
        <v/>
      </c>
      <c r="K400" t="str">
        <f>IF(J400="","", IFERROR(VLOOKUP(J400, IF(D400="Movers", 换算标准!$C:$D, 换算标准!$I:$J), 2, TRUE), 0))</f>
        <v/>
      </c>
      <c r="T400" t="str">
        <f t="shared" si="19"/>
        <v/>
      </c>
      <c r="U400" t="str">
        <f>IF(T400="","", IFERROR(VLOOKUP(T400, IF(D400="Movers", 换算标准!$A:$B, 换算标准!$G:$H), 2, TRUE), 0))</f>
        <v/>
      </c>
      <c r="W400" t="str">
        <f t="shared" si="20"/>
        <v/>
      </c>
      <c r="Z400" s="5" t="str">
        <f>IF(J400="","", IF(K400&lt;=3, "⚠️ 薄弱环节: "&amp;INDEX($E$1:$I$1, MATCH(MIN(E400:I400), E400:I400, 0))&amp;CHAR(10)&amp;"📉 考察能力: "&amp;IFERROR(VLOOKUP(TRIM(D400)&amp;"_"&amp;TRIM(INDEX($E$1:$I$1, MATCH(MIN(E400:I400), E400:I400, 0))), 技能库!$A:$F, 5, 0),"建议查阅考纲")&amp;CHAR(10)&amp;"💡 提升建议: "&amp;IFERROR(VLOOKUP(TRIM(D400)&amp;"_"&amp;TRIM(INDEX($E$1:$I$1, MATCH(MIN(E400:I400), E400:I400, 0))), 技能库!$A:$F, 6, 0),"请针对该题型加强练习"), "🎉 表现优异，无明显弱项！"))</f>
        <v/>
      </c>
      <c r="AA400" s="5" t="str">
        <f>IF(T400="","", IF(U400&lt;=3, "⚠️ 薄弱环节: "&amp;INDEX($M$1:$S$1, MATCH(MIN(M400:S400), M400:S400, 0))&amp;CHAR(10)&amp;"📉 考察能力: "&amp;IFERROR(VLOOKUP(TRIM(D400)&amp;"_"&amp;TRIM(INDEX($M$1:$S$1, MATCH(MIN(M400:S400), M400:S400, 0))), 技能库!$A:$F, 5, 0),"建议查阅考纲")&amp;CHAR(10)&amp;"💡 提升建议: "&amp;IFERROR(VLOOKUP(TRIM(D400)&amp;"_"&amp;TRIM(INDEX($M$1:$S$1, MATCH(MIN(M400:S400), M400:S400, 0))), 技能库!$A:$F, 6, 0),"请针对该题型加强练习"), "🎉 表现优异，无明显弱项！"))</f>
        <v/>
      </c>
    </row>
    <row r="401" spans="10:27" ht="18" hidden="1" customHeight="1" x14ac:dyDescent="0.2">
      <c r="J401" t="str">
        <f t="shared" si="18"/>
        <v/>
      </c>
      <c r="K401" t="str">
        <f>IF(J401="","", IFERROR(VLOOKUP(J401, IF(D401="Movers", 换算标准!$C:$D, 换算标准!$I:$J), 2, TRUE), 0))</f>
        <v/>
      </c>
      <c r="T401" t="str">
        <f t="shared" si="19"/>
        <v/>
      </c>
      <c r="U401" t="str">
        <f>IF(T401="","", IFERROR(VLOOKUP(T401, IF(D401="Movers", 换算标准!$A:$B, 换算标准!$G:$H), 2, TRUE), 0))</f>
        <v/>
      </c>
      <c r="W401" t="str">
        <f t="shared" si="20"/>
        <v/>
      </c>
      <c r="Z401" s="5" t="str">
        <f>IF(J401="","", IF(K401&lt;=3, "⚠️ 薄弱环节: "&amp;INDEX($E$1:$I$1, MATCH(MIN(E401:I401), E401:I401, 0))&amp;CHAR(10)&amp;"📉 考察能力: "&amp;IFERROR(VLOOKUP(TRIM(D401)&amp;"_"&amp;TRIM(INDEX($E$1:$I$1, MATCH(MIN(E401:I401), E401:I401, 0))), 技能库!$A:$F, 5, 0),"建议查阅考纲")&amp;CHAR(10)&amp;"💡 提升建议: "&amp;IFERROR(VLOOKUP(TRIM(D401)&amp;"_"&amp;TRIM(INDEX($E$1:$I$1, MATCH(MIN(E401:I401), E401:I401, 0))), 技能库!$A:$F, 6, 0),"请针对该题型加强练习"), "🎉 表现优异，无明显弱项！"))</f>
        <v/>
      </c>
      <c r="AA401" s="5" t="str">
        <f>IF(T401="","", IF(U401&lt;=3, "⚠️ 薄弱环节: "&amp;INDEX($M$1:$S$1, MATCH(MIN(M401:S401), M401:S401, 0))&amp;CHAR(10)&amp;"📉 考察能力: "&amp;IFERROR(VLOOKUP(TRIM(D401)&amp;"_"&amp;TRIM(INDEX($M$1:$S$1, MATCH(MIN(M401:S401), M401:S401, 0))), 技能库!$A:$F, 5, 0),"建议查阅考纲")&amp;CHAR(10)&amp;"💡 提升建议: "&amp;IFERROR(VLOOKUP(TRIM(D401)&amp;"_"&amp;TRIM(INDEX($M$1:$S$1, MATCH(MIN(M401:S401), M401:S401, 0))), 技能库!$A:$F, 6, 0),"请针对该题型加强练习"), "🎉 表现优异，无明显弱项！"))</f>
        <v/>
      </c>
    </row>
    <row r="402" spans="10:27" ht="18" hidden="1" customHeight="1" x14ac:dyDescent="0.2">
      <c r="J402" t="str">
        <f t="shared" si="18"/>
        <v/>
      </c>
      <c r="K402" t="str">
        <f>IF(J402="","", IFERROR(VLOOKUP(J402, IF(D402="Movers", 换算标准!$C:$D, 换算标准!$I:$J), 2, TRUE), 0))</f>
        <v/>
      </c>
      <c r="T402" t="str">
        <f t="shared" si="19"/>
        <v/>
      </c>
      <c r="U402" t="str">
        <f>IF(T402="","", IFERROR(VLOOKUP(T402, IF(D402="Movers", 换算标准!$A:$B, 换算标准!$G:$H), 2, TRUE), 0))</f>
        <v/>
      </c>
      <c r="W402" t="str">
        <f t="shared" si="20"/>
        <v/>
      </c>
      <c r="Z402" s="5" t="str">
        <f>IF(J402="","", IF(K402&lt;=3, "⚠️ 薄弱环节: "&amp;INDEX($E$1:$I$1, MATCH(MIN(E402:I402), E402:I402, 0))&amp;CHAR(10)&amp;"📉 考察能力: "&amp;IFERROR(VLOOKUP(TRIM(D402)&amp;"_"&amp;TRIM(INDEX($E$1:$I$1, MATCH(MIN(E402:I402), E402:I402, 0))), 技能库!$A:$F, 5, 0),"建议查阅考纲")&amp;CHAR(10)&amp;"💡 提升建议: "&amp;IFERROR(VLOOKUP(TRIM(D402)&amp;"_"&amp;TRIM(INDEX($E$1:$I$1, MATCH(MIN(E402:I402), E402:I402, 0))), 技能库!$A:$F, 6, 0),"请针对该题型加强练习"), "🎉 表现优异，无明显弱项！"))</f>
        <v/>
      </c>
      <c r="AA402" s="5" t="str">
        <f>IF(T402="","", IF(U402&lt;=3, "⚠️ 薄弱环节: "&amp;INDEX($M$1:$S$1, MATCH(MIN(M402:S402), M402:S402, 0))&amp;CHAR(10)&amp;"📉 考察能力: "&amp;IFERROR(VLOOKUP(TRIM(D402)&amp;"_"&amp;TRIM(INDEX($M$1:$S$1, MATCH(MIN(M402:S402), M402:S402, 0))), 技能库!$A:$F, 5, 0),"建议查阅考纲")&amp;CHAR(10)&amp;"💡 提升建议: "&amp;IFERROR(VLOOKUP(TRIM(D402)&amp;"_"&amp;TRIM(INDEX($M$1:$S$1, MATCH(MIN(M402:S402), M402:S402, 0))), 技能库!$A:$F, 6, 0),"请针对该题型加强练习"), "🎉 表现优异，无明显弱项！"))</f>
        <v/>
      </c>
    </row>
    <row r="403" spans="10:27" ht="18" hidden="1" customHeight="1" x14ac:dyDescent="0.2">
      <c r="J403" t="str">
        <f t="shared" si="18"/>
        <v/>
      </c>
      <c r="K403" t="str">
        <f>IF(J403="","", IFERROR(VLOOKUP(J403, IF(D403="Movers", 换算标准!$C:$D, 换算标准!$I:$J), 2, TRUE), 0))</f>
        <v/>
      </c>
      <c r="T403" t="str">
        <f t="shared" si="19"/>
        <v/>
      </c>
      <c r="U403" t="str">
        <f>IF(T403="","", IFERROR(VLOOKUP(T403, IF(D403="Movers", 换算标准!$A:$B, 换算标准!$G:$H), 2, TRUE), 0))</f>
        <v/>
      </c>
      <c r="W403" t="str">
        <f t="shared" si="20"/>
        <v/>
      </c>
      <c r="Z403" s="5" t="str">
        <f>IF(J403="","", IF(K403&lt;=3, "⚠️ 薄弱环节: "&amp;INDEX($E$1:$I$1, MATCH(MIN(E403:I403), E403:I403, 0))&amp;CHAR(10)&amp;"📉 考察能力: "&amp;IFERROR(VLOOKUP(TRIM(D403)&amp;"_"&amp;TRIM(INDEX($E$1:$I$1, MATCH(MIN(E403:I403), E403:I403, 0))), 技能库!$A:$F, 5, 0),"建议查阅考纲")&amp;CHAR(10)&amp;"💡 提升建议: "&amp;IFERROR(VLOOKUP(TRIM(D403)&amp;"_"&amp;TRIM(INDEX($E$1:$I$1, MATCH(MIN(E403:I403), E403:I403, 0))), 技能库!$A:$F, 6, 0),"请针对该题型加强练习"), "🎉 表现优异，无明显弱项！"))</f>
        <v/>
      </c>
      <c r="AA403" s="5" t="str">
        <f>IF(T403="","", IF(U403&lt;=3, "⚠️ 薄弱环节: "&amp;INDEX($M$1:$S$1, MATCH(MIN(M403:S403), M403:S403, 0))&amp;CHAR(10)&amp;"📉 考察能力: "&amp;IFERROR(VLOOKUP(TRIM(D403)&amp;"_"&amp;TRIM(INDEX($M$1:$S$1, MATCH(MIN(M403:S403), M403:S403, 0))), 技能库!$A:$F, 5, 0),"建议查阅考纲")&amp;CHAR(10)&amp;"💡 提升建议: "&amp;IFERROR(VLOOKUP(TRIM(D403)&amp;"_"&amp;TRIM(INDEX($M$1:$S$1, MATCH(MIN(M403:S403), M403:S403, 0))), 技能库!$A:$F, 6, 0),"请针对该题型加强练习"), "🎉 表现优异，无明显弱项！"))</f>
        <v/>
      </c>
    </row>
    <row r="404" spans="10:27" ht="18" hidden="1" customHeight="1" x14ac:dyDescent="0.2">
      <c r="J404" t="str">
        <f t="shared" si="18"/>
        <v/>
      </c>
      <c r="K404" t="str">
        <f>IF(J404="","", IFERROR(VLOOKUP(J404, IF(D404="Movers", 换算标准!$C:$D, 换算标准!$I:$J), 2, TRUE), 0))</f>
        <v/>
      </c>
      <c r="T404" t="str">
        <f t="shared" si="19"/>
        <v/>
      </c>
      <c r="U404" t="str">
        <f>IF(T404="","", IFERROR(VLOOKUP(T404, IF(D404="Movers", 换算标准!$A:$B, 换算标准!$G:$H), 2, TRUE), 0))</f>
        <v/>
      </c>
      <c r="W404" t="str">
        <f t="shared" si="20"/>
        <v/>
      </c>
      <c r="Z404" s="5" t="str">
        <f>IF(J404="","", IF(K404&lt;=3, "⚠️ 薄弱环节: "&amp;INDEX($E$1:$I$1, MATCH(MIN(E404:I404), E404:I404, 0))&amp;CHAR(10)&amp;"📉 考察能力: "&amp;IFERROR(VLOOKUP(TRIM(D404)&amp;"_"&amp;TRIM(INDEX($E$1:$I$1, MATCH(MIN(E404:I404), E404:I404, 0))), 技能库!$A:$F, 5, 0),"建议查阅考纲")&amp;CHAR(10)&amp;"💡 提升建议: "&amp;IFERROR(VLOOKUP(TRIM(D404)&amp;"_"&amp;TRIM(INDEX($E$1:$I$1, MATCH(MIN(E404:I404), E404:I404, 0))), 技能库!$A:$F, 6, 0),"请针对该题型加强练习"), "🎉 表现优异，无明显弱项！"))</f>
        <v/>
      </c>
      <c r="AA404" s="5" t="str">
        <f>IF(T404="","", IF(U404&lt;=3, "⚠️ 薄弱环节: "&amp;INDEX($M$1:$S$1, MATCH(MIN(M404:S404), M404:S404, 0))&amp;CHAR(10)&amp;"📉 考察能力: "&amp;IFERROR(VLOOKUP(TRIM(D404)&amp;"_"&amp;TRIM(INDEX($M$1:$S$1, MATCH(MIN(M404:S404), M404:S404, 0))), 技能库!$A:$F, 5, 0),"建议查阅考纲")&amp;CHAR(10)&amp;"💡 提升建议: "&amp;IFERROR(VLOOKUP(TRIM(D404)&amp;"_"&amp;TRIM(INDEX($M$1:$S$1, MATCH(MIN(M404:S404), M404:S404, 0))), 技能库!$A:$F, 6, 0),"请针对该题型加强练习"), "🎉 表现优异，无明显弱项！"))</f>
        <v/>
      </c>
    </row>
    <row r="405" spans="10:27" ht="18" hidden="1" customHeight="1" x14ac:dyDescent="0.2">
      <c r="J405" t="str">
        <f t="shared" si="18"/>
        <v/>
      </c>
      <c r="K405" t="str">
        <f>IF(J405="","", IFERROR(VLOOKUP(J405, IF(D405="Movers", 换算标准!$C:$D, 换算标准!$I:$J), 2, TRUE), 0))</f>
        <v/>
      </c>
      <c r="T405" t="str">
        <f t="shared" si="19"/>
        <v/>
      </c>
      <c r="U405" t="str">
        <f>IF(T405="","", IFERROR(VLOOKUP(T405, IF(D405="Movers", 换算标准!$A:$B, 换算标准!$G:$H), 2, TRUE), 0))</f>
        <v/>
      </c>
      <c r="W405" t="str">
        <f t="shared" si="20"/>
        <v/>
      </c>
      <c r="Z405" s="5" t="str">
        <f>IF(J405="","", IF(K405&lt;=3, "⚠️ 薄弱环节: "&amp;INDEX($E$1:$I$1, MATCH(MIN(E405:I405), E405:I405, 0))&amp;CHAR(10)&amp;"📉 考察能力: "&amp;IFERROR(VLOOKUP(TRIM(D405)&amp;"_"&amp;TRIM(INDEX($E$1:$I$1, MATCH(MIN(E405:I405), E405:I405, 0))), 技能库!$A:$F, 5, 0),"建议查阅考纲")&amp;CHAR(10)&amp;"💡 提升建议: "&amp;IFERROR(VLOOKUP(TRIM(D405)&amp;"_"&amp;TRIM(INDEX($E$1:$I$1, MATCH(MIN(E405:I405), E405:I405, 0))), 技能库!$A:$F, 6, 0),"请针对该题型加强练习"), "🎉 表现优异，无明显弱项！"))</f>
        <v/>
      </c>
      <c r="AA405" s="5" t="str">
        <f>IF(T405="","", IF(U405&lt;=3, "⚠️ 薄弱环节: "&amp;INDEX($M$1:$S$1, MATCH(MIN(M405:S405), M405:S405, 0))&amp;CHAR(10)&amp;"📉 考察能力: "&amp;IFERROR(VLOOKUP(TRIM(D405)&amp;"_"&amp;TRIM(INDEX($M$1:$S$1, MATCH(MIN(M405:S405), M405:S405, 0))), 技能库!$A:$F, 5, 0),"建议查阅考纲")&amp;CHAR(10)&amp;"💡 提升建议: "&amp;IFERROR(VLOOKUP(TRIM(D405)&amp;"_"&amp;TRIM(INDEX($M$1:$S$1, MATCH(MIN(M405:S405), M405:S405, 0))), 技能库!$A:$F, 6, 0),"请针对该题型加强练习"), "🎉 表现优异，无明显弱项！"))</f>
        <v/>
      </c>
    </row>
    <row r="406" spans="10:27" ht="18" hidden="1" customHeight="1" x14ac:dyDescent="0.2">
      <c r="J406" t="str">
        <f t="shared" si="18"/>
        <v/>
      </c>
      <c r="K406" t="str">
        <f>IF(J406="","", IFERROR(VLOOKUP(J406, IF(D406="Movers", 换算标准!$C:$D, 换算标准!$I:$J), 2, TRUE), 0))</f>
        <v/>
      </c>
      <c r="T406" t="str">
        <f t="shared" si="19"/>
        <v/>
      </c>
      <c r="U406" t="str">
        <f>IF(T406="","", IFERROR(VLOOKUP(T406, IF(D406="Movers", 换算标准!$A:$B, 换算标准!$G:$H), 2, TRUE), 0))</f>
        <v/>
      </c>
      <c r="W406" t="str">
        <f t="shared" si="20"/>
        <v/>
      </c>
      <c r="Z406" s="5" t="str">
        <f>IF(J406="","", IF(K406&lt;=3, "⚠️ 薄弱环节: "&amp;INDEX($E$1:$I$1, MATCH(MIN(E406:I406), E406:I406, 0))&amp;CHAR(10)&amp;"📉 考察能力: "&amp;IFERROR(VLOOKUP(TRIM(D406)&amp;"_"&amp;TRIM(INDEX($E$1:$I$1, MATCH(MIN(E406:I406), E406:I406, 0))), 技能库!$A:$F, 5, 0),"建议查阅考纲")&amp;CHAR(10)&amp;"💡 提升建议: "&amp;IFERROR(VLOOKUP(TRIM(D406)&amp;"_"&amp;TRIM(INDEX($E$1:$I$1, MATCH(MIN(E406:I406), E406:I406, 0))), 技能库!$A:$F, 6, 0),"请针对该题型加强练习"), "🎉 表现优异，无明显弱项！"))</f>
        <v/>
      </c>
      <c r="AA406" s="5" t="str">
        <f>IF(T406="","", IF(U406&lt;=3, "⚠️ 薄弱环节: "&amp;INDEX($M$1:$S$1, MATCH(MIN(M406:S406), M406:S406, 0))&amp;CHAR(10)&amp;"📉 考察能力: "&amp;IFERROR(VLOOKUP(TRIM(D406)&amp;"_"&amp;TRIM(INDEX($M$1:$S$1, MATCH(MIN(M406:S406), M406:S406, 0))), 技能库!$A:$F, 5, 0),"建议查阅考纲")&amp;CHAR(10)&amp;"💡 提升建议: "&amp;IFERROR(VLOOKUP(TRIM(D406)&amp;"_"&amp;TRIM(INDEX($M$1:$S$1, MATCH(MIN(M406:S406), M406:S406, 0))), 技能库!$A:$F, 6, 0),"请针对该题型加强练习"), "🎉 表现优异，无明显弱项！"))</f>
        <v/>
      </c>
    </row>
    <row r="407" spans="10:27" ht="18" hidden="1" customHeight="1" x14ac:dyDescent="0.2">
      <c r="J407" t="str">
        <f t="shared" si="18"/>
        <v/>
      </c>
      <c r="K407" t="str">
        <f>IF(J407="","", IFERROR(VLOOKUP(J407, IF(D407="Movers", 换算标准!$C:$D, 换算标准!$I:$J), 2, TRUE), 0))</f>
        <v/>
      </c>
      <c r="T407" t="str">
        <f t="shared" si="19"/>
        <v/>
      </c>
      <c r="U407" t="str">
        <f>IF(T407="","", IFERROR(VLOOKUP(T407, IF(D407="Movers", 换算标准!$A:$B, 换算标准!$G:$H), 2, TRUE), 0))</f>
        <v/>
      </c>
      <c r="W407" t="str">
        <f t="shared" si="20"/>
        <v/>
      </c>
      <c r="Z407" s="5" t="str">
        <f>IF(J407="","", IF(K407&lt;=3, "⚠️ 薄弱环节: "&amp;INDEX($E$1:$I$1, MATCH(MIN(E407:I407), E407:I407, 0))&amp;CHAR(10)&amp;"📉 考察能力: "&amp;IFERROR(VLOOKUP(TRIM(D407)&amp;"_"&amp;TRIM(INDEX($E$1:$I$1, MATCH(MIN(E407:I407), E407:I407, 0))), 技能库!$A:$F, 5, 0),"建议查阅考纲")&amp;CHAR(10)&amp;"💡 提升建议: "&amp;IFERROR(VLOOKUP(TRIM(D407)&amp;"_"&amp;TRIM(INDEX($E$1:$I$1, MATCH(MIN(E407:I407), E407:I407, 0))), 技能库!$A:$F, 6, 0),"请针对该题型加强练习"), "🎉 表现优异，无明显弱项！"))</f>
        <v/>
      </c>
      <c r="AA407" s="5" t="str">
        <f>IF(T407="","", IF(U407&lt;=3, "⚠️ 薄弱环节: "&amp;INDEX($M$1:$S$1, MATCH(MIN(M407:S407), M407:S407, 0))&amp;CHAR(10)&amp;"📉 考察能力: "&amp;IFERROR(VLOOKUP(TRIM(D407)&amp;"_"&amp;TRIM(INDEX($M$1:$S$1, MATCH(MIN(M407:S407), M407:S407, 0))), 技能库!$A:$F, 5, 0),"建议查阅考纲")&amp;CHAR(10)&amp;"💡 提升建议: "&amp;IFERROR(VLOOKUP(TRIM(D407)&amp;"_"&amp;TRIM(INDEX($M$1:$S$1, MATCH(MIN(M407:S407), M407:S407, 0))), 技能库!$A:$F, 6, 0),"请针对该题型加强练习"), "🎉 表现优异，无明显弱项！"))</f>
        <v/>
      </c>
    </row>
    <row r="408" spans="10:27" ht="18" hidden="1" customHeight="1" x14ac:dyDescent="0.2">
      <c r="J408" t="str">
        <f t="shared" si="18"/>
        <v/>
      </c>
      <c r="K408" t="str">
        <f>IF(J408="","", IFERROR(VLOOKUP(J408, IF(D408="Movers", 换算标准!$C:$D, 换算标准!$I:$J), 2, TRUE), 0))</f>
        <v/>
      </c>
      <c r="T408" t="str">
        <f t="shared" si="19"/>
        <v/>
      </c>
      <c r="U408" t="str">
        <f>IF(T408="","", IFERROR(VLOOKUP(T408, IF(D408="Movers", 换算标准!$A:$B, 换算标准!$G:$H), 2, TRUE), 0))</f>
        <v/>
      </c>
      <c r="W408" t="str">
        <f t="shared" si="20"/>
        <v/>
      </c>
      <c r="Z408" s="5" t="str">
        <f>IF(J408="","", IF(K408&lt;=3, "⚠️ 薄弱环节: "&amp;INDEX($E$1:$I$1, MATCH(MIN(E408:I408), E408:I408, 0))&amp;CHAR(10)&amp;"📉 考察能力: "&amp;IFERROR(VLOOKUP(TRIM(D408)&amp;"_"&amp;TRIM(INDEX($E$1:$I$1, MATCH(MIN(E408:I408), E408:I408, 0))), 技能库!$A:$F, 5, 0),"建议查阅考纲")&amp;CHAR(10)&amp;"💡 提升建议: "&amp;IFERROR(VLOOKUP(TRIM(D408)&amp;"_"&amp;TRIM(INDEX($E$1:$I$1, MATCH(MIN(E408:I408), E408:I408, 0))), 技能库!$A:$F, 6, 0),"请针对该题型加强练习"), "🎉 表现优异，无明显弱项！"))</f>
        <v/>
      </c>
      <c r="AA408" s="5" t="str">
        <f>IF(T408="","", IF(U408&lt;=3, "⚠️ 薄弱环节: "&amp;INDEX($M$1:$S$1, MATCH(MIN(M408:S408), M408:S408, 0))&amp;CHAR(10)&amp;"📉 考察能力: "&amp;IFERROR(VLOOKUP(TRIM(D408)&amp;"_"&amp;TRIM(INDEX($M$1:$S$1, MATCH(MIN(M408:S408), M408:S408, 0))), 技能库!$A:$F, 5, 0),"建议查阅考纲")&amp;CHAR(10)&amp;"💡 提升建议: "&amp;IFERROR(VLOOKUP(TRIM(D408)&amp;"_"&amp;TRIM(INDEX($M$1:$S$1, MATCH(MIN(M408:S408), M408:S408, 0))), 技能库!$A:$F, 6, 0),"请针对该题型加强练习"), "🎉 表现优异，无明显弱项！"))</f>
        <v/>
      </c>
    </row>
    <row r="409" spans="10:27" ht="18" hidden="1" customHeight="1" x14ac:dyDescent="0.2">
      <c r="J409" t="str">
        <f t="shared" si="18"/>
        <v/>
      </c>
      <c r="K409" t="str">
        <f>IF(J409="","", IFERROR(VLOOKUP(J409, IF(D409="Movers", 换算标准!$C:$D, 换算标准!$I:$J), 2, TRUE), 0))</f>
        <v/>
      </c>
      <c r="T409" t="str">
        <f t="shared" si="19"/>
        <v/>
      </c>
      <c r="U409" t="str">
        <f>IF(T409="","", IFERROR(VLOOKUP(T409, IF(D409="Movers", 换算标准!$A:$B, 换算标准!$G:$H), 2, TRUE), 0))</f>
        <v/>
      </c>
      <c r="W409" t="str">
        <f t="shared" si="20"/>
        <v/>
      </c>
      <c r="Z409" s="5" t="str">
        <f>IF(J409="","", IF(K409&lt;=3, "⚠️ 薄弱环节: "&amp;INDEX($E$1:$I$1, MATCH(MIN(E409:I409), E409:I409, 0))&amp;CHAR(10)&amp;"📉 考察能力: "&amp;IFERROR(VLOOKUP(TRIM(D409)&amp;"_"&amp;TRIM(INDEX($E$1:$I$1, MATCH(MIN(E409:I409), E409:I409, 0))), 技能库!$A:$F, 5, 0),"建议查阅考纲")&amp;CHAR(10)&amp;"💡 提升建议: "&amp;IFERROR(VLOOKUP(TRIM(D409)&amp;"_"&amp;TRIM(INDEX($E$1:$I$1, MATCH(MIN(E409:I409), E409:I409, 0))), 技能库!$A:$F, 6, 0),"请针对该题型加强练习"), "🎉 表现优异，无明显弱项！"))</f>
        <v/>
      </c>
      <c r="AA409" s="5" t="str">
        <f>IF(T409="","", IF(U409&lt;=3, "⚠️ 薄弱环节: "&amp;INDEX($M$1:$S$1, MATCH(MIN(M409:S409), M409:S409, 0))&amp;CHAR(10)&amp;"📉 考察能力: "&amp;IFERROR(VLOOKUP(TRIM(D409)&amp;"_"&amp;TRIM(INDEX($M$1:$S$1, MATCH(MIN(M409:S409), M409:S409, 0))), 技能库!$A:$F, 5, 0),"建议查阅考纲")&amp;CHAR(10)&amp;"💡 提升建议: "&amp;IFERROR(VLOOKUP(TRIM(D409)&amp;"_"&amp;TRIM(INDEX($M$1:$S$1, MATCH(MIN(M409:S409), M409:S409, 0))), 技能库!$A:$F, 6, 0),"请针对该题型加强练习"), "🎉 表现优异，无明显弱项！"))</f>
        <v/>
      </c>
    </row>
    <row r="410" spans="10:27" ht="18" hidden="1" customHeight="1" x14ac:dyDescent="0.2">
      <c r="J410" t="str">
        <f t="shared" si="18"/>
        <v/>
      </c>
      <c r="K410" t="str">
        <f>IF(J410="","", IFERROR(VLOOKUP(J410, IF(D410="Movers", 换算标准!$C:$D, 换算标准!$I:$J), 2, TRUE), 0))</f>
        <v/>
      </c>
      <c r="T410" t="str">
        <f t="shared" si="19"/>
        <v/>
      </c>
      <c r="U410" t="str">
        <f>IF(T410="","", IFERROR(VLOOKUP(T410, IF(D410="Movers", 换算标准!$A:$B, 换算标准!$G:$H), 2, TRUE), 0))</f>
        <v/>
      </c>
      <c r="W410" t="str">
        <f t="shared" si="20"/>
        <v/>
      </c>
      <c r="Z410" s="5" t="str">
        <f>IF(J410="","", IF(K410&lt;=3, "⚠️ 薄弱环节: "&amp;INDEX($E$1:$I$1, MATCH(MIN(E410:I410), E410:I410, 0))&amp;CHAR(10)&amp;"📉 考察能力: "&amp;IFERROR(VLOOKUP(TRIM(D410)&amp;"_"&amp;TRIM(INDEX($E$1:$I$1, MATCH(MIN(E410:I410), E410:I410, 0))), 技能库!$A:$F, 5, 0),"建议查阅考纲")&amp;CHAR(10)&amp;"💡 提升建议: "&amp;IFERROR(VLOOKUP(TRIM(D410)&amp;"_"&amp;TRIM(INDEX($E$1:$I$1, MATCH(MIN(E410:I410), E410:I410, 0))), 技能库!$A:$F, 6, 0),"请针对该题型加强练习"), "🎉 表现优异，无明显弱项！"))</f>
        <v/>
      </c>
      <c r="AA410" s="5" t="str">
        <f>IF(T410="","", IF(U410&lt;=3, "⚠️ 薄弱环节: "&amp;INDEX($M$1:$S$1, MATCH(MIN(M410:S410), M410:S410, 0))&amp;CHAR(10)&amp;"📉 考察能力: "&amp;IFERROR(VLOOKUP(TRIM(D410)&amp;"_"&amp;TRIM(INDEX($M$1:$S$1, MATCH(MIN(M410:S410), M410:S410, 0))), 技能库!$A:$F, 5, 0),"建议查阅考纲")&amp;CHAR(10)&amp;"💡 提升建议: "&amp;IFERROR(VLOOKUP(TRIM(D410)&amp;"_"&amp;TRIM(INDEX($M$1:$S$1, MATCH(MIN(M410:S410), M410:S410, 0))), 技能库!$A:$F, 6, 0),"请针对该题型加强练习"), "🎉 表现优异，无明显弱项！"))</f>
        <v/>
      </c>
    </row>
    <row r="411" spans="10:27" ht="18" hidden="1" customHeight="1" x14ac:dyDescent="0.2">
      <c r="J411" t="str">
        <f t="shared" si="18"/>
        <v/>
      </c>
      <c r="K411" t="str">
        <f>IF(J411="","", IFERROR(VLOOKUP(J411, IF(D411="Movers", 换算标准!$C:$D, 换算标准!$I:$J), 2, TRUE), 0))</f>
        <v/>
      </c>
      <c r="T411" t="str">
        <f t="shared" si="19"/>
        <v/>
      </c>
      <c r="U411" t="str">
        <f>IF(T411="","", IFERROR(VLOOKUP(T411, IF(D411="Movers", 换算标准!$A:$B, 换算标准!$G:$H), 2, TRUE), 0))</f>
        <v/>
      </c>
      <c r="W411" t="str">
        <f t="shared" si="20"/>
        <v/>
      </c>
      <c r="Z411" s="5" t="str">
        <f>IF(J411="","", IF(K411&lt;=3, "⚠️ 薄弱环节: "&amp;INDEX($E$1:$I$1, MATCH(MIN(E411:I411), E411:I411, 0))&amp;CHAR(10)&amp;"📉 考察能力: "&amp;IFERROR(VLOOKUP(TRIM(D411)&amp;"_"&amp;TRIM(INDEX($E$1:$I$1, MATCH(MIN(E411:I411), E411:I411, 0))), 技能库!$A:$F, 5, 0),"建议查阅考纲")&amp;CHAR(10)&amp;"💡 提升建议: "&amp;IFERROR(VLOOKUP(TRIM(D411)&amp;"_"&amp;TRIM(INDEX($E$1:$I$1, MATCH(MIN(E411:I411), E411:I411, 0))), 技能库!$A:$F, 6, 0),"请针对该题型加强练习"), "🎉 表现优异，无明显弱项！"))</f>
        <v/>
      </c>
      <c r="AA411" s="5" t="str">
        <f>IF(T411="","", IF(U411&lt;=3, "⚠️ 薄弱环节: "&amp;INDEX($M$1:$S$1, MATCH(MIN(M411:S411), M411:S411, 0))&amp;CHAR(10)&amp;"📉 考察能力: "&amp;IFERROR(VLOOKUP(TRIM(D411)&amp;"_"&amp;TRIM(INDEX($M$1:$S$1, MATCH(MIN(M411:S411), M411:S411, 0))), 技能库!$A:$F, 5, 0),"建议查阅考纲")&amp;CHAR(10)&amp;"💡 提升建议: "&amp;IFERROR(VLOOKUP(TRIM(D411)&amp;"_"&amp;TRIM(INDEX($M$1:$S$1, MATCH(MIN(M411:S411), M411:S411, 0))), 技能库!$A:$F, 6, 0),"请针对该题型加强练习"), "🎉 表现优异，无明显弱项！"))</f>
        <v/>
      </c>
    </row>
    <row r="412" spans="10:27" ht="18" hidden="1" customHeight="1" x14ac:dyDescent="0.2">
      <c r="J412" t="str">
        <f t="shared" si="18"/>
        <v/>
      </c>
      <c r="K412" t="str">
        <f>IF(J412="","", IFERROR(VLOOKUP(J412, IF(D412="Movers", 换算标准!$C:$D, 换算标准!$I:$J), 2, TRUE), 0))</f>
        <v/>
      </c>
      <c r="T412" t="str">
        <f t="shared" si="19"/>
        <v/>
      </c>
      <c r="U412" t="str">
        <f>IF(T412="","", IFERROR(VLOOKUP(T412, IF(D412="Movers", 换算标准!$A:$B, 换算标准!$G:$H), 2, TRUE), 0))</f>
        <v/>
      </c>
      <c r="W412" t="str">
        <f t="shared" si="20"/>
        <v/>
      </c>
      <c r="Z412" s="5" t="str">
        <f>IF(J412="","", IF(K412&lt;=3, "⚠️ 薄弱环节: "&amp;INDEX($E$1:$I$1, MATCH(MIN(E412:I412), E412:I412, 0))&amp;CHAR(10)&amp;"📉 考察能力: "&amp;IFERROR(VLOOKUP(TRIM(D412)&amp;"_"&amp;TRIM(INDEX($E$1:$I$1, MATCH(MIN(E412:I412), E412:I412, 0))), 技能库!$A:$F, 5, 0),"建议查阅考纲")&amp;CHAR(10)&amp;"💡 提升建议: "&amp;IFERROR(VLOOKUP(TRIM(D412)&amp;"_"&amp;TRIM(INDEX($E$1:$I$1, MATCH(MIN(E412:I412), E412:I412, 0))), 技能库!$A:$F, 6, 0),"请针对该题型加强练习"), "🎉 表现优异，无明显弱项！"))</f>
        <v/>
      </c>
      <c r="AA412" s="5" t="str">
        <f>IF(T412="","", IF(U412&lt;=3, "⚠️ 薄弱环节: "&amp;INDEX($M$1:$S$1, MATCH(MIN(M412:S412), M412:S412, 0))&amp;CHAR(10)&amp;"📉 考察能力: "&amp;IFERROR(VLOOKUP(TRIM(D412)&amp;"_"&amp;TRIM(INDEX($M$1:$S$1, MATCH(MIN(M412:S412), M412:S412, 0))), 技能库!$A:$F, 5, 0),"建议查阅考纲")&amp;CHAR(10)&amp;"💡 提升建议: "&amp;IFERROR(VLOOKUP(TRIM(D412)&amp;"_"&amp;TRIM(INDEX($M$1:$S$1, MATCH(MIN(M412:S412), M412:S412, 0))), 技能库!$A:$F, 6, 0),"请针对该题型加强练习"), "🎉 表现优异，无明显弱项！"))</f>
        <v/>
      </c>
    </row>
    <row r="413" spans="10:27" ht="18" hidden="1" customHeight="1" x14ac:dyDescent="0.2">
      <c r="J413" t="str">
        <f t="shared" si="18"/>
        <v/>
      </c>
      <c r="K413" t="str">
        <f>IF(J413="","", IFERROR(VLOOKUP(J413, IF(D413="Movers", 换算标准!$C:$D, 换算标准!$I:$J), 2, TRUE), 0))</f>
        <v/>
      </c>
      <c r="T413" t="str">
        <f t="shared" si="19"/>
        <v/>
      </c>
      <c r="U413" t="str">
        <f>IF(T413="","", IFERROR(VLOOKUP(T413, IF(D413="Movers", 换算标准!$A:$B, 换算标准!$G:$H), 2, TRUE), 0))</f>
        <v/>
      </c>
      <c r="W413" t="str">
        <f t="shared" si="20"/>
        <v/>
      </c>
      <c r="Z413" s="5" t="str">
        <f>IF(J413="","", IF(K413&lt;=3, "⚠️ 薄弱环节: "&amp;INDEX($E$1:$I$1, MATCH(MIN(E413:I413), E413:I413, 0))&amp;CHAR(10)&amp;"📉 考察能力: "&amp;IFERROR(VLOOKUP(TRIM(D413)&amp;"_"&amp;TRIM(INDEX($E$1:$I$1, MATCH(MIN(E413:I413), E413:I413, 0))), 技能库!$A:$F, 5, 0),"建议查阅考纲")&amp;CHAR(10)&amp;"💡 提升建议: "&amp;IFERROR(VLOOKUP(TRIM(D413)&amp;"_"&amp;TRIM(INDEX($E$1:$I$1, MATCH(MIN(E413:I413), E413:I413, 0))), 技能库!$A:$F, 6, 0),"请针对该题型加强练习"), "🎉 表现优异，无明显弱项！"))</f>
        <v/>
      </c>
      <c r="AA413" s="5" t="str">
        <f>IF(T413="","", IF(U413&lt;=3, "⚠️ 薄弱环节: "&amp;INDEX($M$1:$S$1, MATCH(MIN(M413:S413), M413:S413, 0))&amp;CHAR(10)&amp;"📉 考察能力: "&amp;IFERROR(VLOOKUP(TRIM(D413)&amp;"_"&amp;TRIM(INDEX($M$1:$S$1, MATCH(MIN(M413:S413), M413:S413, 0))), 技能库!$A:$F, 5, 0),"建议查阅考纲")&amp;CHAR(10)&amp;"💡 提升建议: "&amp;IFERROR(VLOOKUP(TRIM(D413)&amp;"_"&amp;TRIM(INDEX($M$1:$S$1, MATCH(MIN(M413:S413), M413:S413, 0))), 技能库!$A:$F, 6, 0),"请针对该题型加强练习"), "🎉 表现优异，无明显弱项！"))</f>
        <v/>
      </c>
    </row>
    <row r="414" spans="10:27" ht="18" hidden="1" customHeight="1" x14ac:dyDescent="0.2">
      <c r="J414" t="str">
        <f t="shared" si="18"/>
        <v/>
      </c>
      <c r="K414" t="str">
        <f>IF(J414="","", IFERROR(VLOOKUP(J414, IF(D414="Movers", 换算标准!$C:$D, 换算标准!$I:$J), 2, TRUE), 0))</f>
        <v/>
      </c>
      <c r="T414" t="str">
        <f t="shared" si="19"/>
        <v/>
      </c>
      <c r="U414" t="str">
        <f>IF(T414="","", IFERROR(VLOOKUP(T414, IF(D414="Movers", 换算标准!$A:$B, 换算标准!$G:$H), 2, TRUE), 0))</f>
        <v/>
      </c>
      <c r="W414" t="str">
        <f t="shared" si="20"/>
        <v/>
      </c>
      <c r="Z414" s="5" t="str">
        <f>IF(J414="","", IF(K414&lt;=3, "⚠️ 薄弱环节: "&amp;INDEX($E$1:$I$1, MATCH(MIN(E414:I414), E414:I414, 0))&amp;CHAR(10)&amp;"📉 考察能力: "&amp;IFERROR(VLOOKUP(TRIM(D414)&amp;"_"&amp;TRIM(INDEX($E$1:$I$1, MATCH(MIN(E414:I414), E414:I414, 0))), 技能库!$A:$F, 5, 0),"建议查阅考纲")&amp;CHAR(10)&amp;"💡 提升建议: "&amp;IFERROR(VLOOKUP(TRIM(D414)&amp;"_"&amp;TRIM(INDEX($E$1:$I$1, MATCH(MIN(E414:I414), E414:I414, 0))), 技能库!$A:$F, 6, 0),"请针对该题型加强练习"), "🎉 表现优异，无明显弱项！"))</f>
        <v/>
      </c>
      <c r="AA414" s="5" t="str">
        <f>IF(T414="","", IF(U414&lt;=3, "⚠️ 薄弱环节: "&amp;INDEX($M$1:$S$1, MATCH(MIN(M414:S414), M414:S414, 0))&amp;CHAR(10)&amp;"📉 考察能力: "&amp;IFERROR(VLOOKUP(TRIM(D414)&amp;"_"&amp;TRIM(INDEX($M$1:$S$1, MATCH(MIN(M414:S414), M414:S414, 0))), 技能库!$A:$F, 5, 0),"建议查阅考纲")&amp;CHAR(10)&amp;"💡 提升建议: "&amp;IFERROR(VLOOKUP(TRIM(D414)&amp;"_"&amp;TRIM(INDEX($M$1:$S$1, MATCH(MIN(M414:S414), M414:S414, 0))), 技能库!$A:$F, 6, 0),"请针对该题型加强练习"), "🎉 表现优异，无明显弱项！"))</f>
        <v/>
      </c>
    </row>
    <row r="415" spans="10:27" ht="18" hidden="1" customHeight="1" x14ac:dyDescent="0.2">
      <c r="J415" t="str">
        <f t="shared" si="18"/>
        <v/>
      </c>
      <c r="K415" t="str">
        <f>IF(J415="","", IFERROR(VLOOKUP(J415, IF(D415="Movers", 换算标准!$C:$D, 换算标准!$I:$J), 2, TRUE), 0))</f>
        <v/>
      </c>
      <c r="T415" t="str">
        <f t="shared" si="19"/>
        <v/>
      </c>
      <c r="U415" t="str">
        <f>IF(T415="","", IFERROR(VLOOKUP(T415, IF(D415="Movers", 换算标准!$A:$B, 换算标准!$G:$H), 2, TRUE), 0))</f>
        <v/>
      </c>
      <c r="W415" t="str">
        <f t="shared" si="20"/>
        <v/>
      </c>
      <c r="Z415" s="5" t="str">
        <f>IF(J415="","", IF(K415&lt;=3, "⚠️ 薄弱环节: "&amp;INDEX($E$1:$I$1, MATCH(MIN(E415:I415), E415:I415, 0))&amp;CHAR(10)&amp;"📉 考察能力: "&amp;IFERROR(VLOOKUP(TRIM(D415)&amp;"_"&amp;TRIM(INDEX($E$1:$I$1, MATCH(MIN(E415:I415), E415:I415, 0))), 技能库!$A:$F, 5, 0),"建议查阅考纲")&amp;CHAR(10)&amp;"💡 提升建议: "&amp;IFERROR(VLOOKUP(TRIM(D415)&amp;"_"&amp;TRIM(INDEX($E$1:$I$1, MATCH(MIN(E415:I415), E415:I415, 0))), 技能库!$A:$F, 6, 0),"请针对该题型加强练习"), "🎉 表现优异，无明显弱项！"))</f>
        <v/>
      </c>
      <c r="AA415" s="5" t="str">
        <f>IF(T415="","", IF(U415&lt;=3, "⚠️ 薄弱环节: "&amp;INDEX($M$1:$S$1, MATCH(MIN(M415:S415), M415:S415, 0))&amp;CHAR(10)&amp;"📉 考察能力: "&amp;IFERROR(VLOOKUP(TRIM(D415)&amp;"_"&amp;TRIM(INDEX($M$1:$S$1, MATCH(MIN(M415:S415), M415:S415, 0))), 技能库!$A:$F, 5, 0),"建议查阅考纲")&amp;CHAR(10)&amp;"💡 提升建议: "&amp;IFERROR(VLOOKUP(TRIM(D415)&amp;"_"&amp;TRIM(INDEX($M$1:$S$1, MATCH(MIN(M415:S415), M415:S415, 0))), 技能库!$A:$F, 6, 0),"请针对该题型加强练习"), "🎉 表现优异，无明显弱项！"))</f>
        <v/>
      </c>
    </row>
    <row r="416" spans="10:27" ht="18" hidden="1" customHeight="1" x14ac:dyDescent="0.2">
      <c r="J416" t="str">
        <f t="shared" si="18"/>
        <v/>
      </c>
      <c r="K416" t="str">
        <f>IF(J416="","", IFERROR(VLOOKUP(J416, IF(D416="Movers", 换算标准!$C:$D, 换算标准!$I:$J), 2, TRUE), 0))</f>
        <v/>
      </c>
      <c r="T416" t="str">
        <f t="shared" si="19"/>
        <v/>
      </c>
      <c r="U416" t="str">
        <f>IF(T416="","", IFERROR(VLOOKUP(T416, IF(D416="Movers", 换算标准!$A:$B, 换算标准!$G:$H), 2, TRUE), 0))</f>
        <v/>
      </c>
      <c r="W416" t="str">
        <f t="shared" si="20"/>
        <v/>
      </c>
      <c r="Z416" s="5" t="str">
        <f>IF(J416="","", IF(K416&lt;=3, "⚠️ 薄弱环节: "&amp;INDEX($E$1:$I$1, MATCH(MIN(E416:I416), E416:I416, 0))&amp;CHAR(10)&amp;"📉 考察能力: "&amp;IFERROR(VLOOKUP(TRIM(D416)&amp;"_"&amp;TRIM(INDEX($E$1:$I$1, MATCH(MIN(E416:I416), E416:I416, 0))), 技能库!$A:$F, 5, 0),"建议查阅考纲")&amp;CHAR(10)&amp;"💡 提升建议: "&amp;IFERROR(VLOOKUP(TRIM(D416)&amp;"_"&amp;TRIM(INDEX($E$1:$I$1, MATCH(MIN(E416:I416), E416:I416, 0))), 技能库!$A:$F, 6, 0),"请针对该题型加强练习"), "🎉 表现优异，无明显弱项！"))</f>
        <v/>
      </c>
      <c r="AA416" s="5" t="str">
        <f>IF(T416="","", IF(U416&lt;=3, "⚠️ 薄弱环节: "&amp;INDEX($M$1:$S$1, MATCH(MIN(M416:S416), M416:S416, 0))&amp;CHAR(10)&amp;"📉 考察能力: "&amp;IFERROR(VLOOKUP(TRIM(D416)&amp;"_"&amp;TRIM(INDEX($M$1:$S$1, MATCH(MIN(M416:S416), M416:S416, 0))), 技能库!$A:$F, 5, 0),"建议查阅考纲")&amp;CHAR(10)&amp;"💡 提升建议: "&amp;IFERROR(VLOOKUP(TRIM(D416)&amp;"_"&amp;TRIM(INDEX($M$1:$S$1, MATCH(MIN(M416:S416), M416:S416, 0))), 技能库!$A:$F, 6, 0),"请针对该题型加强练习"), "🎉 表现优异，无明显弱项！"))</f>
        <v/>
      </c>
    </row>
    <row r="417" spans="10:27" ht="18" hidden="1" customHeight="1" x14ac:dyDescent="0.2">
      <c r="J417" t="str">
        <f t="shared" si="18"/>
        <v/>
      </c>
      <c r="K417" t="str">
        <f>IF(J417="","", IFERROR(VLOOKUP(J417, IF(D417="Movers", 换算标准!$C:$D, 换算标准!$I:$J), 2, TRUE), 0))</f>
        <v/>
      </c>
      <c r="T417" t="str">
        <f t="shared" si="19"/>
        <v/>
      </c>
      <c r="U417" t="str">
        <f>IF(T417="","", IFERROR(VLOOKUP(T417, IF(D417="Movers", 换算标准!$A:$B, 换算标准!$G:$H), 2, TRUE), 0))</f>
        <v/>
      </c>
      <c r="W417" t="str">
        <f t="shared" si="20"/>
        <v/>
      </c>
      <c r="Z417" s="5" t="str">
        <f>IF(J417="","", IF(K417&lt;=3, "⚠️ 薄弱环节: "&amp;INDEX($E$1:$I$1, MATCH(MIN(E417:I417), E417:I417, 0))&amp;CHAR(10)&amp;"📉 考察能力: "&amp;IFERROR(VLOOKUP(TRIM(D417)&amp;"_"&amp;TRIM(INDEX($E$1:$I$1, MATCH(MIN(E417:I417), E417:I417, 0))), 技能库!$A:$F, 5, 0),"建议查阅考纲")&amp;CHAR(10)&amp;"💡 提升建议: "&amp;IFERROR(VLOOKUP(TRIM(D417)&amp;"_"&amp;TRIM(INDEX($E$1:$I$1, MATCH(MIN(E417:I417), E417:I417, 0))), 技能库!$A:$F, 6, 0),"请针对该题型加强练习"), "🎉 表现优异，无明显弱项！"))</f>
        <v/>
      </c>
      <c r="AA417" s="5" t="str">
        <f>IF(T417="","", IF(U417&lt;=3, "⚠️ 薄弱环节: "&amp;INDEX($M$1:$S$1, MATCH(MIN(M417:S417), M417:S417, 0))&amp;CHAR(10)&amp;"📉 考察能力: "&amp;IFERROR(VLOOKUP(TRIM(D417)&amp;"_"&amp;TRIM(INDEX($M$1:$S$1, MATCH(MIN(M417:S417), M417:S417, 0))), 技能库!$A:$F, 5, 0),"建议查阅考纲")&amp;CHAR(10)&amp;"💡 提升建议: "&amp;IFERROR(VLOOKUP(TRIM(D417)&amp;"_"&amp;TRIM(INDEX($M$1:$S$1, MATCH(MIN(M417:S417), M417:S417, 0))), 技能库!$A:$F, 6, 0),"请针对该题型加强练习"), "🎉 表现优异，无明显弱项！"))</f>
        <v/>
      </c>
    </row>
    <row r="418" spans="10:27" ht="18" hidden="1" customHeight="1" x14ac:dyDescent="0.2">
      <c r="J418" t="str">
        <f t="shared" si="18"/>
        <v/>
      </c>
      <c r="K418" t="str">
        <f>IF(J418="","", IFERROR(VLOOKUP(J418, IF(D418="Movers", 换算标准!$C:$D, 换算标准!$I:$J), 2, TRUE), 0))</f>
        <v/>
      </c>
      <c r="T418" t="str">
        <f t="shared" si="19"/>
        <v/>
      </c>
      <c r="U418" t="str">
        <f>IF(T418="","", IFERROR(VLOOKUP(T418, IF(D418="Movers", 换算标准!$A:$B, 换算标准!$G:$H), 2, TRUE), 0))</f>
        <v/>
      </c>
      <c r="W418" t="str">
        <f t="shared" si="20"/>
        <v/>
      </c>
      <c r="Z418" s="5" t="str">
        <f>IF(J418="","", IF(K418&lt;=3, "⚠️ 薄弱环节: "&amp;INDEX($E$1:$I$1, MATCH(MIN(E418:I418), E418:I418, 0))&amp;CHAR(10)&amp;"📉 考察能力: "&amp;IFERROR(VLOOKUP(TRIM(D418)&amp;"_"&amp;TRIM(INDEX($E$1:$I$1, MATCH(MIN(E418:I418), E418:I418, 0))), 技能库!$A:$F, 5, 0),"建议查阅考纲")&amp;CHAR(10)&amp;"💡 提升建议: "&amp;IFERROR(VLOOKUP(TRIM(D418)&amp;"_"&amp;TRIM(INDEX($E$1:$I$1, MATCH(MIN(E418:I418), E418:I418, 0))), 技能库!$A:$F, 6, 0),"请针对该题型加强练习"), "🎉 表现优异，无明显弱项！"))</f>
        <v/>
      </c>
      <c r="AA418" s="5" t="str">
        <f>IF(T418="","", IF(U418&lt;=3, "⚠️ 薄弱环节: "&amp;INDEX($M$1:$S$1, MATCH(MIN(M418:S418), M418:S418, 0))&amp;CHAR(10)&amp;"📉 考察能力: "&amp;IFERROR(VLOOKUP(TRIM(D418)&amp;"_"&amp;TRIM(INDEX($M$1:$S$1, MATCH(MIN(M418:S418), M418:S418, 0))), 技能库!$A:$F, 5, 0),"建议查阅考纲")&amp;CHAR(10)&amp;"💡 提升建议: "&amp;IFERROR(VLOOKUP(TRIM(D418)&amp;"_"&amp;TRIM(INDEX($M$1:$S$1, MATCH(MIN(M418:S418), M418:S418, 0))), 技能库!$A:$F, 6, 0),"请针对该题型加强练习"), "🎉 表现优异，无明显弱项！"))</f>
        <v/>
      </c>
    </row>
    <row r="419" spans="10:27" ht="18" hidden="1" customHeight="1" x14ac:dyDescent="0.2">
      <c r="J419" t="str">
        <f t="shared" si="18"/>
        <v/>
      </c>
      <c r="K419" t="str">
        <f>IF(J419="","", IFERROR(VLOOKUP(J419, IF(D419="Movers", 换算标准!$C:$D, 换算标准!$I:$J), 2, TRUE), 0))</f>
        <v/>
      </c>
      <c r="T419" t="str">
        <f t="shared" si="19"/>
        <v/>
      </c>
      <c r="U419" t="str">
        <f>IF(T419="","", IFERROR(VLOOKUP(T419, IF(D419="Movers", 换算标准!$A:$B, 换算标准!$G:$H), 2, TRUE), 0))</f>
        <v/>
      </c>
      <c r="W419" t="str">
        <f t="shared" si="20"/>
        <v/>
      </c>
      <c r="Z419" s="5" t="str">
        <f>IF(J419="","", IF(K419&lt;=3, "⚠️ 薄弱环节: "&amp;INDEX($E$1:$I$1, MATCH(MIN(E419:I419), E419:I419, 0))&amp;CHAR(10)&amp;"📉 考察能力: "&amp;IFERROR(VLOOKUP(TRIM(D419)&amp;"_"&amp;TRIM(INDEX($E$1:$I$1, MATCH(MIN(E419:I419), E419:I419, 0))), 技能库!$A:$F, 5, 0),"建议查阅考纲")&amp;CHAR(10)&amp;"💡 提升建议: "&amp;IFERROR(VLOOKUP(TRIM(D419)&amp;"_"&amp;TRIM(INDEX($E$1:$I$1, MATCH(MIN(E419:I419), E419:I419, 0))), 技能库!$A:$F, 6, 0),"请针对该题型加强练习"), "🎉 表现优异，无明显弱项！"))</f>
        <v/>
      </c>
      <c r="AA419" s="5" t="str">
        <f>IF(T419="","", IF(U419&lt;=3, "⚠️ 薄弱环节: "&amp;INDEX($M$1:$S$1, MATCH(MIN(M419:S419), M419:S419, 0))&amp;CHAR(10)&amp;"📉 考察能力: "&amp;IFERROR(VLOOKUP(TRIM(D419)&amp;"_"&amp;TRIM(INDEX($M$1:$S$1, MATCH(MIN(M419:S419), M419:S419, 0))), 技能库!$A:$F, 5, 0),"建议查阅考纲")&amp;CHAR(10)&amp;"💡 提升建议: "&amp;IFERROR(VLOOKUP(TRIM(D419)&amp;"_"&amp;TRIM(INDEX($M$1:$S$1, MATCH(MIN(M419:S419), M419:S419, 0))), 技能库!$A:$F, 6, 0),"请针对该题型加强练习"), "🎉 表现优异，无明显弱项！"))</f>
        <v/>
      </c>
    </row>
    <row r="420" spans="10:27" ht="18" hidden="1" customHeight="1" x14ac:dyDescent="0.2">
      <c r="J420" t="str">
        <f t="shared" si="18"/>
        <v/>
      </c>
      <c r="K420" t="str">
        <f>IF(J420="","", IFERROR(VLOOKUP(J420, IF(D420="Movers", 换算标准!$C:$D, 换算标准!$I:$J), 2, TRUE), 0))</f>
        <v/>
      </c>
      <c r="T420" t="str">
        <f t="shared" si="19"/>
        <v/>
      </c>
      <c r="U420" t="str">
        <f>IF(T420="","", IFERROR(VLOOKUP(T420, IF(D420="Movers", 换算标准!$A:$B, 换算标准!$G:$H), 2, TRUE), 0))</f>
        <v/>
      </c>
      <c r="W420" t="str">
        <f t="shared" si="20"/>
        <v/>
      </c>
      <c r="Z420" s="5" t="str">
        <f>IF(J420="","", IF(K420&lt;=3, "⚠️ 薄弱环节: "&amp;INDEX($E$1:$I$1, MATCH(MIN(E420:I420), E420:I420, 0))&amp;CHAR(10)&amp;"📉 考察能力: "&amp;IFERROR(VLOOKUP(TRIM(D420)&amp;"_"&amp;TRIM(INDEX($E$1:$I$1, MATCH(MIN(E420:I420), E420:I420, 0))), 技能库!$A:$F, 5, 0),"建议查阅考纲")&amp;CHAR(10)&amp;"💡 提升建议: "&amp;IFERROR(VLOOKUP(TRIM(D420)&amp;"_"&amp;TRIM(INDEX($E$1:$I$1, MATCH(MIN(E420:I420), E420:I420, 0))), 技能库!$A:$F, 6, 0),"请针对该题型加强练习"), "🎉 表现优异，无明显弱项！"))</f>
        <v/>
      </c>
      <c r="AA420" s="5" t="str">
        <f>IF(T420="","", IF(U420&lt;=3, "⚠️ 薄弱环节: "&amp;INDEX($M$1:$S$1, MATCH(MIN(M420:S420), M420:S420, 0))&amp;CHAR(10)&amp;"📉 考察能力: "&amp;IFERROR(VLOOKUP(TRIM(D420)&amp;"_"&amp;TRIM(INDEX($M$1:$S$1, MATCH(MIN(M420:S420), M420:S420, 0))), 技能库!$A:$F, 5, 0),"建议查阅考纲")&amp;CHAR(10)&amp;"💡 提升建议: "&amp;IFERROR(VLOOKUP(TRIM(D420)&amp;"_"&amp;TRIM(INDEX($M$1:$S$1, MATCH(MIN(M420:S420), M420:S420, 0))), 技能库!$A:$F, 6, 0),"请针对该题型加强练习"), "🎉 表现优异，无明显弱项！"))</f>
        <v/>
      </c>
    </row>
    <row r="421" spans="10:27" ht="18" hidden="1" customHeight="1" x14ac:dyDescent="0.2">
      <c r="J421" t="str">
        <f t="shared" si="18"/>
        <v/>
      </c>
      <c r="K421" t="str">
        <f>IF(J421="","", IFERROR(VLOOKUP(J421, IF(D421="Movers", 换算标准!$C:$D, 换算标准!$I:$J), 2, TRUE), 0))</f>
        <v/>
      </c>
      <c r="T421" t="str">
        <f t="shared" si="19"/>
        <v/>
      </c>
      <c r="U421" t="str">
        <f>IF(T421="","", IFERROR(VLOOKUP(T421, IF(D421="Movers", 换算标准!$A:$B, 换算标准!$G:$H), 2, TRUE), 0))</f>
        <v/>
      </c>
      <c r="W421" t="str">
        <f t="shared" si="20"/>
        <v/>
      </c>
      <c r="Z421" s="5" t="str">
        <f>IF(J421="","", IF(K421&lt;=3, "⚠️ 薄弱环节: "&amp;INDEX($E$1:$I$1, MATCH(MIN(E421:I421), E421:I421, 0))&amp;CHAR(10)&amp;"📉 考察能力: "&amp;IFERROR(VLOOKUP(TRIM(D421)&amp;"_"&amp;TRIM(INDEX($E$1:$I$1, MATCH(MIN(E421:I421), E421:I421, 0))), 技能库!$A:$F, 5, 0),"建议查阅考纲")&amp;CHAR(10)&amp;"💡 提升建议: "&amp;IFERROR(VLOOKUP(TRIM(D421)&amp;"_"&amp;TRIM(INDEX($E$1:$I$1, MATCH(MIN(E421:I421), E421:I421, 0))), 技能库!$A:$F, 6, 0),"请针对该题型加强练习"), "🎉 表现优异，无明显弱项！"))</f>
        <v/>
      </c>
      <c r="AA421" s="5" t="str">
        <f>IF(T421="","", IF(U421&lt;=3, "⚠️ 薄弱环节: "&amp;INDEX($M$1:$S$1, MATCH(MIN(M421:S421), M421:S421, 0))&amp;CHAR(10)&amp;"📉 考察能力: "&amp;IFERROR(VLOOKUP(TRIM(D421)&amp;"_"&amp;TRIM(INDEX($M$1:$S$1, MATCH(MIN(M421:S421), M421:S421, 0))), 技能库!$A:$F, 5, 0),"建议查阅考纲")&amp;CHAR(10)&amp;"💡 提升建议: "&amp;IFERROR(VLOOKUP(TRIM(D421)&amp;"_"&amp;TRIM(INDEX($M$1:$S$1, MATCH(MIN(M421:S421), M421:S421, 0))), 技能库!$A:$F, 6, 0),"请针对该题型加强练习"), "🎉 表现优异，无明显弱项！"))</f>
        <v/>
      </c>
    </row>
    <row r="422" spans="10:27" ht="18" hidden="1" customHeight="1" x14ac:dyDescent="0.2">
      <c r="J422" t="str">
        <f t="shared" si="18"/>
        <v/>
      </c>
      <c r="K422" t="str">
        <f>IF(J422="","", IFERROR(VLOOKUP(J422, IF(D422="Movers", 换算标准!$C:$D, 换算标准!$I:$J), 2, TRUE), 0))</f>
        <v/>
      </c>
      <c r="T422" t="str">
        <f t="shared" si="19"/>
        <v/>
      </c>
      <c r="U422" t="str">
        <f>IF(T422="","", IFERROR(VLOOKUP(T422, IF(D422="Movers", 换算标准!$A:$B, 换算标准!$G:$H), 2, TRUE), 0))</f>
        <v/>
      </c>
      <c r="W422" t="str">
        <f t="shared" si="20"/>
        <v/>
      </c>
      <c r="Z422" s="5" t="str">
        <f>IF(J422="","", IF(K422&lt;=3, "⚠️ 薄弱环节: "&amp;INDEX($E$1:$I$1, MATCH(MIN(E422:I422), E422:I422, 0))&amp;CHAR(10)&amp;"📉 考察能力: "&amp;IFERROR(VLOOKUP(TRIM(D422)&amp;"_"&amp;TRIM(INDEX($E$1:$I$1, MATCH(MIN(E422:I422), E422:I422, 0))), 技能库!$A:$F, 5, 0),"建议查阅考纲")&amp;CHAR(10)&amp;"💡 提升建议: "&amp;IFERROR(VLOOKUP(TRIM(D422)&amp;"_"&amp;TRIM(INDEX($E$1:$I$1, MATCH(MIN(E422:I422), E422:I422, 0))), 技能库!$A:$F, 6, 0),"请针对该题型加强练习"), "🎉 表现优异，无明显弱项！"))</f>
        <v/>
      </c>
      <c r="AA422" s="5" t="str">
        <f>IF(T422="","", IF(U422&lt;=3, "⚠️ 薄弱环节: "&amp;INDEX($M$1:$S$1, MATCH(MIN(M422:S422), M422:S422, 0))&amp;CHAR(10)&amp;"📉 考察能力: "&amp;IFERROR(VLOOKUP(TRIM(D422)&amp;"_"&amp;TRIM(INDEX($M$1:$S$1, MATCH(MIN(M422:S422), M422:S422, 0))), 技能库!$A:$F, 5, 0),"建议查阅考纲")&amp;CHAR(10)&amp;"💡 提升建议: "&amp;IFERROR(VLOOKUP(TRIM(D422)&amp;"_"&amp;TRIM(INDEX($M$1:$S$1, MATCH(MIN(M422:S422), M422:S422, 0))), 技能库!$A:$F, 6, 0),"请针对该题型加强练习"), "🎉 表现优异，无明显弱项！"))</f>
        <v/>
      </c>
    </row>
    <row r="423" spans="10:27" ht="18" hidden="1" customHeight="1" x14ac:dyDescent="0.2">
      <c r="J423" t="str">
        <f t="shared" si="18"/>
        <v/>
      </c>
      <c r="K423" t="str">
        <f>IF(J423="","", IFERROR(VLOOKUP(J423, IF(D423="Movers", 换算标准!$C:$D, 换算标准!$I:$J), 2, TRUE), 0))</f>
        <v/>
      </c>
      <c r="T423" t="str">
        <f t="shared" si="19"/>
        <v/>
      </c>
      <c r="U423" t="str">
        <f>IF(T423="","", IFERROR(VLOOKUP(T423, IF(D423="Movers", 换算标准!$A:$B, 换算标准!$G:$H), 2, TRUE), 0))</f>
        <v/>
      </c>
      <c r="W423" t="str">
        <f t="shared" si="20"/>
        <v/>
      </c>
      <c r="Z423" s="5" t="str">
        <f>IF(J423="","", IF(K423&lt;=3, "⚠️ 薄弱环节: "&amp;INDEX($E$1:$I$1, MATCH(MIN(E423:I423), E423:I423, 0))&amp;CHAR(10)&amp;"📉 考察能力: "&amp;IFERROR(VLOOKUP(TRIM(D423)&amp;"_"&amp;TRIM(INDEX($E$1:$I$1, MATCH(MIN(E423:I423), E423:I423, 0))), 技能库!$A:$F, 5, 0),"建议查阅考纲")&amp;CHAR(10)&amp;"💡 提升建议: "&amp;IFERROR(VLOOKUP(TRIM(D423)&amp;"_"&amp;TRIM(INDEX($E$1:$I$1, MATCH(MIN(E423:I423), E423:I423, 0))), 技能库!$A:$F, 6, 0),"请针对该题型加强练习"), "🎉 表现优异，无明显弱项！"))</f>
        <v/>
      </c>
      <c r="AA423" s="5" t="str">
        <f>IF(T423="","", IF(U423&lt;=3, "⚠️ 薄弱环节: "&amp;INDEX($M$1:$S$1, MATCH(MIN(M423:S423), M423:S423, 0))&amp;CHAR(10)&amp;"📉 考察能力: "&amp;IFERROR(VLOOKUP(TRIM(D423)&amp;"_"&amp;TRIM(INDEX($M$1:$S$1, MATCH(MIN(M423:S423), M423:S423, 0))), 技能库!$A:$F, 5, 0),"建议查阅考纲")&amp;CHAR(10)&amp;"💡 提升建议: "&amp;IFERROR(VLOOKUP(TRIM(D423)&amp;"_"&amp;TRIM(INDEX($M$1:$S$1, MATCH(MIN(M423:S423), M423:S423, 0))), 技能库!$A:$F, 6, 0),"请针对该题型加强练习"), "🎉 表现优异，无明显弱项！"))</f>
        <v/>
      </c>
    </row>
    <row r="424" spans="10:27" ht="18" hidden="1" customHeight="1" x14ac:dyDescent="0.2">
      <c r="J424" t="str">
        <f t="shared" si="18"/>
        <v/>
      </c>
      <c r="K424" t="str">
        <f>IF(J424="","", IFERROR(VLOOKUP(J424, IF(D424="Movers", 换算标准!$C:$D, 换算标准!$I:$J), 2, TRUE), 0))</f>
        <v/>
      </c>
      <c r="T424" t="str">
        <f t="shared" si="19"/>
        <v/>
      </c>
      <c r="U424" t="str">
        <f>IF(T424="","", IFERROR(VLOOKUP(T424, IF(D424="Movers", 换算标准!$A:$B, 换算标准!$G:$H), 2, TRUE), 0))</f>
        <v/>
      </c>
      <c r="W424" t="str">
        <f t="shared" si="20"/>
        <v/>
      </c>
      <c r="Z424" s="5" t="str">
        <f>IF(J424="","", IF(K424&lt;=3, "⚠️ 薄弱环节: "&amp;INDEX($E$1:$I$1, MATCH(MIN(E424:I424), E424:I424, 0))&amp;CHAR(10)&amp;"📉 考察能力: "&amp;IFERROR(VLOOKUP(TRIM(D424)&amp;"_"&amp;TRIM(INDEX($E$1:$I$1, MATCH(MIN(E424:I424), E424:I424, 0))), 技能库!$A:$F, 5, 0),"建议查阅考纲")&amp;CHAR(10)&amp;"💡 提升建议: "&amp;IFERROR(VLOOKUP(TRIM(D424)&amp;"_"&amp;TRIM(INDEX($E$1:$I$1, MATCH(MIN(E424:I424), E424:I424, 0))), 技能库!$A:$F, 6, 0),"请针对该题型加强练习"), "🎉 表现优异，无明显弱项！"))</f>
        <v/>
      </c>
      <c r="AA424" s="5" t="str">
        <f>IF(T424="","", IF(U424&lt;=3, "⚠️ 薄弱环节: "&amp;INDEX($M$1:$S$1, MATCH(MIN(M424:S424), M424:S424, 0))&amp;CHAR(10)&amp;"📉 考察能力: "&amp;IFERROR(VLOOKUP(TRIM(D424)&amp;"_"&amp;TRIM(INDEX($M$1:$S$1, MATCH(MIN(M424:S424), M424:S424, 0))), 技能库!$A:$F, 5, 0),"建议查阅考纲")&amp;CHAR(10)&amp;"💡 提升建议: "&amp;IFERROR(VLOOKUP(TRIM(D424)&amp;"_"&amp;TRIM(INDEX($M$1:$S$1, MATCH(MIN(M424:S424), M424:S424, 0))), 技能库!$A:$F, 6, 0),"请针对该题型加强练习"), "🎉 表现优异，无明显弱项！"))</f>
        <v/>
      </c>
    </row>
    <row r="425" spans="10:27" ht="18" hidden="1" customHeight="1" x14ac:dyDescent="0.2">
      <c r="J425" t="str">
        <f t="shared" si="18"/>
        <v/>
      </c>
      <c r="K425" t="str">
        <f>IF(J425="","", IFERROR(VLOOKUP(J425, IF(D425="Movers", 换算标准!$C:$D, 换算标准!$I:$J), 2, TRUE), 0))</f>
        <v/>
      </c>
      <c r="T425" t="str">
        <f t="shared" si="19"/>
        <v/>
      </c>
      <c r="U425" t="str">
        <f>IF(T425="","", IFERROR(VLOOKUP(T425, IF(D425="Movers", 换算标准!$A:$B, 换算标准!$G:$H), 2, TRUE), 0))</f>
        <v/>
      </c>
      <c r="W425" t="str">
        <f t="shared" si="20"/>
        <v/>
      </c>
      <c r="Z425" s="5" t="str">
        <f>IF(J425="","", IF(K425&lt;=3, "⚠️ 薄弱环节: "&amp;INDEX($E$1:$I$1, MATCH(MIN(E425:I425), E425:I425, 0))&amp;CHAR(10)&amp;"📉 考察能力: "&amp;IFERROR(VLOOKUP(TRIM(D425)&amp;"_"&amp;TRIM(INDEX($E$1:$I$1, MATCH(MIN(E425:I425), E425:I425, 0))), 技能库!$A:$F, 5, 0),"建议查阅考纲")&amp;CHAR(10)&amp;"💡 提升建议: "&amp;IFERROR(VLOOKUP(TRIM(D425)&amp;"_"&amp;TRIM(INDEX($E$1:$I$1, MATCH(MIN(E425:I425), E425:I425, 0))), 技能库!$A:$F, 6, 0),"请针对该题型加强练习"), "🎉 表现优异，无明显弱项！"))</f>
        <v/>
      </c>
      <c r="AA425" s="5" t="str">
        <f>IF(T425="","", IF(U425&lt;=3, "⚠️ 薄弱环节: "&amp;INDEX($M$1:$S$1, MATCH(MIN(M425:S425), M425:S425, 0))&amp;CHAR(10)&amp;"📉 考察能力: "&amp;IFERROR(VLOOKUP(TRIM(D425)&amp;"_"&amp;TRIM(INDEX($M$1:$S$1, MATCH(MIN(M425:S425), M425:S425, 0))), 技能库!$A:$F, 5, 0),"建议查阅考纲")&amp;CHAR(10)&amp;"💡 提升建议: "&amp;IFERROR(VLOOKUP(TRIM(D425)&amp;"_"&amp;TRIM(INDEX($M$1:$S$1, MATCH(MIN(M425:S425), M425:S425, 0))), 技能库!$A:$F, 6, 0),"请针对该题型加强练习"), "🎉 表现优异，无明显弱项！"))</f>
        <v/>
      </c>
    </row>
    <row r="426" spans="10:27" ht="18" hidden="1" customHeight="1" x14ac:dyDescent="0.2">
      <c r="J426" t="str">
        <f t="shared" si="18"/>
        <v/>
      </c>
      <c r="K426" t="str">
        <f>IF(J426="","", IFERROR(VLOOKUP(J426, IF(D426="Movers", 换算标准!$C:$D, 换算标准!$I:$J), 2, TRUE), 0))</f>
        <v/>
      </c>
      <c r="T426" t="str">
        <f t="shared" si="19"/>
        <v/>
      </c>
      <c r="U426" t="str">
        <f>IF(T426="","", IFERROR(VLOOKUP(T426, IF(D426="Movers", 换算标准!$A:$B, 换算标准!$G:$H), 2, TRUE), 0))</f>
        <v/>
      </c>
      <c r="W426" t="str">
        <f t="shared" si="20"/>
        <v/>
      </c>
      <c r="Z426" s="5" t="str">
        <f>IF(J426="","", IF(K426&lt;=3, "⚠️ 薄弱环节: "&amp;INDEX($E$1:$I$1, MATCH(MIN(E426:I426), E426:I426, 0))&amp;CHAR(10)&amp;"📉 考察能力: "&amp;IFERROR(VLOOKUP(TRIM(D426)&amp;"_"&amp;TRIM(INDEX($E$1:$I$1, MATCH(MIN(E426:I426), E426:I426, 0))), 技能库!$A:$F, 5, 0),"建议查阅考纲")&amp;CHAR(10)&amp;"💡 提升建议: "&amp;IFERROR(VLOOKUP(TRIM(D426)&amp;"_"&amp;TRIM(INDEX($E$1:$I$1, MATCH(MIN(E426:I426), E426:I426, 0))), 技能库!$A:$F, 6, 0),"请针对该题型加强练习"), "🎉 表现优异，无明显弱项！"))</f>
        <v/>
      </c>
      <c r="AA426" s="5" t="str">
        <f>IF(T426="","", IF(U426&lt;=3, "⚠️ 薄弱环节: "&amp;INDEX($M$1:$S$1, MATCH(MIN(M426:S426), M426:S426, 0))&amp;CHAR(10)&amp;"📉 考察能力: "&amp;IFERROR(VLOOKUP(TRIM(D426)&amp;"_"&amp;TRIM(INDEX($M$1:$S$1, MATCH(MIN(M426:S426), M426:S426, 0))), 技能库!$A:$F, 5, 0),"建议查阅考纲")&amp;CHAR(10)&amp;"💡 提升建议: "&amp;IFERROR(VLOOKUP(TRIM(D426)&amp;"_"&amp;TRIM(INDEX($M$1:$S$1, MATCH(MIN(M426:S426), M426:S426, 0))), 技能库!$A:$F, 6, 0),"请针对该题型加强练习"), "🎉 表现优异，无明显弱项！"))</f>
        <v/>
      </c>
    </row>
    <row r="427" spans="10:27" ht="18" hidden="1" customHeight="1" x14ac:dyDescent="0.2">
      <c r="J427" t="str">
        <f t="shared" si="18"/>
        <v/>
      </c>
      <c r="K427" t="str">
        <f>IF(J427="","", IFERROR(VLOOKUP(J427, IF(D427="Movers", 换算标准!$C:$D, 换算标准!$I:$J), 2, TRUE), 0))</f>
        <v/>
      </c>
      <c r="T427" t="str">
        <f t="shared" si="19"/>
        <v/>
      </c>
      <c r="U427" t="str">
        <f>IF(T427="","", IFERROR(VLOOKUP(T427, IF(D427="Movers", 换算标准!$A:$B, 换算标准!$G:$H), 2, TRUE), 0))</f>
        <v/>
      </c>
      <c r="W427" t="str">
        <f t="shared" si="20"/>
        <v/>
      </c>
      <c r="Z427" s="5" t="str">
        <f>IF(J427="","", IF(K427&lt;=3, "⚠️ 薄弱环节: "&amp;INDEX($E$1:$I$1, MATCH(MIN(E427:I427), E427:I427, 0))&amp;CHAR(10)&amp;"📉 考察能力: "&amp;IFERROR(VLOOKUP(TRIM(D427)&amp;"_"&amp;TRIM(INDEX($E$1:$I$1, MATCH(MIN(E427:I427), E427:I427, 0))), 技能库!$A:$F, 5, 0),"建议查阅考纲")&amp;CHAR(10)&amp;"💡 提升建议: "&amp;IFERROR(VLOOKUP(TRIM(D427)&amp;"_"&amp;TRIM(INDEX($E$1:$I$1, MATCH(MIN(E427:I427), E427:I427, 0))), 技能库!$A:$F, 6, 0),"请针对该题型加强练习"), "🎉 表现优异，无明显弱项！"))</f>
        <v/>
      </c>
      <c r="AA427" s="5" t="str">
        <f>IF(T427="","", IF(U427&lt;=3, "⚠️ 薄弱环节: "&amp;INDEX($M$1:$S$1, MATCH(MIN(M427:S427), M427:S427, 0))&amp;CHAR(10)&amp;"📉 考察能力: "&amp;IFERROR(VLOOKUP(TRIM(D427)&amp;"_"&amp;TRIM(INDEX($M$1:$S$1, MATCH(MIN(M427:S427), M427:S427, 0))), 技能库!$A:$F, 5, 0),"建议查阅考纲")&amp;CHAR(10)&amp;"💡 提升建议: "&amp;IFERROR(VLOOKUP(TRIM(D427)&amp;"_"&amp;TRIM(INDEX($M$1:$S$1, MATCH(MIN(M427:S427), M427:S427, 0))), 技能库!$A:$F, 6, 0),"请针对该题型加强练习"), "🎉 表现优异，无明显弱项！"))</f>
        <v/>
      </c>
    </row>
    <row r="428" spans="10:27" ht="18" hidden="1" customHeight="1" x14ac:dyDescent="0.2">
      <c r="J428" t="str">
        <f t="shared" si="18"/>
        <v/>
      </c>
      <c r="K428" t="str">
        <f>IF(J428="","", IFERROR(VLOOKUP(J428, IF(D428="Movers", 换算标准!$C:$D, 换算标准!$I:$J), 2, TRUE), 0))</f>
        <v/>
      </c>
      <c r="T428" t="str">
        <f t="shared" si="19"/>
        <v/>
      </c>
      <c r="U428" t="str">
        <f>IF(T428="","", IFERROR(VLOOKUP(T428, IF(D428="Movers", 换算标准!$A:$B, 换算标准!$G:$H), 2, TRUE), 0))</f>
        <v/>
      </c>
      <c r="W428" t="str">
        <f t="shared" si="20"/>
        <v/>
      </c>
      <c r="Z428" s="5" t="str">
        <f>IF(J428="","", IF(K428&lt;=3, "⚠️ 薄弱环节: "&amp;INDEX($E$1:$I$1, MATCH(MIN(E428:I428), E428:I428, 0))&amp;CHAR(10)&amp;"📉 考察能力: "&amp;IFERROR(VLOOKUP(TRIM(D428)&amp;"_"&amp;TRIM(INDEX($E$1:$I$1, MATCH(MIN(E428:I428), E428:I428, 0))), 技能库!$A:$F, 5, 0),"建议查阅考纲")&amp;CHAR(10)&amp;"💡 提升建议: "&amp;IFERROR(VLOOKUP(TRIM(D428)&amp;"_"&amp;TRIM(INDEX($E$1:$I$1, MATCH(MIN(E428:I428), E428:I428, 0))), 技能库!$A:$F, 6, 0),"请针对该题型加强练习"), "🎉 表现优异，无明显弱项！"))</f>
        <v/>
      </c>
      <c r="AA428" s="5" t="str">
        <f>IF(T428="","", IF(U428&lt;=3, "⚠️ 薄弱环节: "&amp;INDEX($M$1:$S$1, MATCH(MIN(M428:S428), M428:S428, 0))&amp;CHAR(10)&amp;"📉 考察能力: "&amp;IFERROR(VLOOKUP(TRIM(D428)&amp;"_"&amp;TRIM(INDEX($M$1:$S$1, MATCH(MIN(M428:S428), M428:S428, 0))), 技能库!$A:$F, 5, 0),"建议查阅考纲")&amp;CHAR(10)&amp;"💡 提升建议: "&amp;IFERROR(VLOOKUP(TRIM(D428)&amp;"_"&amp;TRIM(INDEX($M$1:$S$1, MATCH(MIN(M428:S428), M428:S428, 0))), 技能库!$A:$F, 6, 0),"请针对该题型加强练习"), "🎉 表现优异，无明显弱项！"))</f>
        <v/>
      </c>
    </row>
    <row r="429" spans="10:27" ht="18" hidden="1" customHeight="1" x14ac:dyDescent="0.2">
      <c r="J429" t="str">
        <f t="shared" si="18"/>
        <v/>
      </c>
      <c r="K429" t="str">
        <f>IF(J429="","", IFERROR(VLOOKUP(J429, IF(D429="Movers", 换算标准!$C:$D, 换算标准!$I:$J), 2, TRUE), 0))</f>
        <v/>
      </c>
      <c r="T429" t="str">
        <f t="shared" si="19"/>
        <v/>
      </c>
      <c r="U429" t="str">
        <f>IF(T429="","", IFERROR(VLOOKUP(T429, IF(D429="Movers", 换算标准!$A:$B, 换算标准!$G:$H), 2, TRUE), 0))</f>
        <v/>
      </c>
      <c r="W429" t="str">
        <f t="shared" si="20"/>
        <v/>
      </c>
      <c r="Z429" s="5" t="str">
        <f>IF(J429="","", IF(K429&lt;=3, "⚠️ 薄弱环节: "&amp;INDEX($E$1:$I$1, MATCH(MIN(E429:I429), E429:I429, 0))&amp;CHAR(10)&amp;"📉 考察能力: "&amp;IFERROR(VLOOKUP(TRIM(D429)&amp;"_"&amp;TRIM(INDEX($E$1:$I$1, MATCH(MIN(E429:I429), E429:I429, 0))), 技能库!$A:$F, 5, 0),"建议查阅考纲")&amp;CHAR(10)&amp;"💡 提升建议: "&amp;IFERROR(VLOOKUP(TRIM(D429)&amp;"_"&amp;TRIM(INDEX($E$1:$I$1, MATCH(MIN(E429:I429), E429:I429, 0))), 技能库!$A:$F, 6, 0),"请针对该题型加强练习"), "🎉 表现优异，无明显弱项！"))</f>
        <v/>
      </c>
      <c r="AA429" s="5" t="str">
        <f>IF(T429="","", IF(U429&lt;=3, "⚠️ 薄弱环节: "&amp;INDEX($M$1:$S$1, MATCH(MIN(M429:S429), M429:S429, 0))&amp;CHAR(10)&amp;"📉 考察能力: "&amp;IFERROR(VLOOKUP(TRIM(D429)&amp;"_"&amp;TRIM(INDEX($M$1:$S$1, MATCH(MIN(M429:S429), M429:S429, 0))), 技能库!$A:$F, 5, 0),"建议查阅考纲")&amp;CHAR(10)&amp;"💡 提升建议: "&amp;IFERROR(VLOOKUP(TRIM(D429)&amp;"_"&amp;TRIM(INDEX($M$1:$S$1, MATCH(MIN(M429:S429), M429:S429, 0))), 技能库!$A:$F, 6, 0),"请针对该题型加强练习"), "🎉 表现优异，无明显弱项！"))</f>
        <v/>
      </c>
    </row>
    <row r="430" spans="10:27" ht="18" hidden="1" customHeight="1" x14ac:dyDescent="0.2">
      <c r="J430" t="str">
        <f t="shared" si="18"/>
        <v/>
      </c>
      <c r="K430" t="str">
        <f>IF(J430="","", IFERROR(VLOOKUP(J430, IF(D430="Movers", 换算标准!$C:$D, 换算标准!$I:$J), 2, TRUE), 0))</f>
        <v/>
      </c>
      <c r="T430" t="str">
        <f t="shared" si="19"/>
        <v/>
      </c>
      <c r="U430" t="str">
        <f>IF(T430="","", IFERROR(VLOOKUP(T430, IF(D430="Movers", 换算标准!$A:$B, 换算标准!$G:$H), 2, TRUE), 0))</f>
        <v/>
      </c>
      <c r="W430" t="str">
        <f t="shared" si="20"/>
        <v/>
      </c>
      <c r="Z430" s="5" t="str">
        <f>IF(J430="","", IF(K430&lt;=3, "⚠️ 薄弱环节: "&amp;INDEX($E$1:$I$1, MATCH(MIN(E430:I430), E430:I430, 0))&amp;CHAR(10)&amp;"📉 考察能力: "&amp;IFERROR(VLOOKUP(TRIM(D430)&amp;"_"&amp;TRIM(INDEX($E$1:$I$1, MATCH(MIN(E430:I430), E430:I430, 0))), 技能库!$A:$F, 5, 0),"建议查阅考纲")&amp;CHAR(10)&amp;"💡 提升建议: "&amp;IFERROR(VLOOKUP(TRIM(D430)&amp;"_"&amp;TRIM(INDEX($E$1:$I$1, MATCH(MIN(E430:I430), E430:I430, 0))), 技能库!$A:$F, 6, 0),"请针对该题型加强练习"), "🎉 表现优异，无明显弱项！"))</f>
        <v/>
      </c>
      <c r="AA430" s="5" t="str">
        <f>IF(T430="","", IF(U430&lt;=3, "⚠️ 薄弱环节: "&amp;INDEX($M$1:$S$1, MATCH(MIN(M430:S430), M430:S430, 0))&amp;CHAR(10)&amp;"📉 考察能力: "&amp;IFERROR(VLOOKUP(TRIM(D430)&amp;"_"&amp;TRIM(INDEX($M$1:$S$1, MATCH(MIN(M430:S430), M430:S430, 0))), 技能库!$A:$F, 5, 0),"建议查阅考纲")&amp;CHAR(10)&amp;"💡 提升建议: "&amp;IFERROR(VLOOKUP(TRIM(D430)&amp;"_"&amp;TRIM(INDEX($M$1:$S$1, MATCH(MIN(M430:S430), M430:S430, 0))), 技能库!$A:$F, 6, 0),"请针对该题型加强练习"), "🎉 表现优异，无明显弱项！"))</f>
        <v/>
      </c>
    </row>
    <row r="431" spans="10:27" ht="18" hidden="1" customHeight="1" x14ac:dyDescent="0.2">
      <c r="J431" t="str">
        <f t="shared" si="18"/>
        <v/>
      </c>
      <c r="K431" t="str">
        <f>IF(J431="","", IFERROR(VLOOKUP(J431, IF(D431="Movers", 换算标准!$C:$D, 换算标准!$I:$J), 2, TRUE), 0))</f>
        <v/>
      </c>
      <c r="T431" t="str">
        <f t="shared" si="19"/>
        <v/>
      </c>
      <c r="U431" t="str">
        <f>IF(T431="","", IFERROR(VLOOKUP(T431, IF(D431="Movers", 换算标准!$A:$B, 换算标准!$G:$H), 2, TRUE), 0))</f>
        <v/>
      </c>
      <c r="W431" t="str">
        <f t="shared" si="20"/>
        <v/>
      </c>
      <c r="Z431" s="5" t="str">
        <f>IF(J431="","", IF(K431&lt;=3, "⚠️ 薄弱环节: "&amp;INDEX($E$1:$I$1, MATCH(MIN(E431:I431), E431:I431, 0))&amp;CHAR(10)&amp;"📉 考察能力: "&amp;IFERROR(VLOOKUP(TRIM(D431)&amp;"_"&amp;TRIM(INDEX($E$1:$I$1, MATCH(MIN(E431:I431), E431:I431, 0))), 技能库!$A:$F, 5, 0),"建议查阅考纲")&amp;CHAR(10)&amp;"💡 提升建议: "&amp;IFERROR(VLOOKUP(TRIM(D431)&amp;"_"&amp;TRIM(INDEX($E$1:$I$1, MATCH(MIN(E431:I431), E431:I431, 0))), 技能库!$A:$F, 6, 0),"请针对该题型加强练习"), "🎉 表现优异，无明显弱项！"))</f>
        <v/>
      </c>
      <c r="AA431" s="5" t="str">
        <f>IF(T431="","", IF(U431&lt;=3, "⚠️ 薄弱环节: "&amp;INDEX($M$1:$S$1, MATCH(MIN(M431:S431), M431:S431, 0))&amp;CHAR(10)&amp;"📉 考察能力: "&amp;IFERROR(VLOOKUP(TRIM(D431)&amp;"_"&amp;TRIM(INDEX($M$1:$S$1, MATCH(MIN(M431:S431), M431:S431, 0))), 技能库!$A:$F, 5, 0),"建议查阅考纲")&amp;CHAR(10)&amp;"💡 提升建议: "&amp;IFERROR(VLOOKUP(TRIM(D431)&amp;"_"&amp;TRIM(INDEX($M$1:$S$1, MATCH(MIN(M431:S431), M431:S431, 0))), 技能库!$A:$F, 6, 0),"请针对该题型加强练习"), "🎉 表现优异，无明显弱项！"))</f>
        <v/>
      </c>
    </row>
    <row r="432" spans="10:27" ht="18" hidden="1" customHeight="1" x14ac:dyDescent="0.2">
      <c r="J432" t="str">
        <f t="shared" si="18"/>
        <v/>
      </c>
      <c r="K432" t="str">
        <f>IF(J432="","", IFERROR(VLOOKUP(J432, IF(D432="Movers", 换算标准!$C:$D, 换算标准!$I:$J), 2, TRUE), 0))</f>
        <v/>
      </c>
      <c r="T432" t="str">
        <f t="shared" si="19"/>
        <v/>
      </c>
      <c r="U432" t="str">
        <f>IF(T432="","", IFERROR(VLOOKUP(T432, IF(D432="Movers", 换算标准!$A:$B, 换算标准!$G:$H), 2, TRUE), 0))</f>
        <v/>
      </c>
      <c r="W432" t="str">
        <f t="shared" si="20"/>
        <v/>
      </c>
      <c r="Z432" s="5" t="str">
        <f>IF(J432="","", IF(K432&lt;=3, "⚠️ 薄弱环节: "&amp;INDEX($E$1:$I$1, MATCH(MIN(E432:I432), E432:I432, 0))&amp;CHAR(10)&amp;"📉 考察能力: "&amp;IFERROR(VLOOKUP(TRIM(D432)&amp;"_"&amp;TRIM(INDEX($E$1:$I$1, MATCH(MIN(E432:I432), E432:I432, 0))), 技能库!$A:$F, 5, 0),"建议查阅考纲")&amp;CHAR(10)&amp;"💡 提升建议: "&amp;IFERROR(VLOOKUP(TRIM(D432)&amp;"_"&amp;TRIM(INDEX($E$1:$I$1, MATCH(MIN(E432:I432), E432:I432, 0))), 技能库!$A:$F, 6, 0),"请针对该题型加强练习"), "🎉 表现优异，无明显弱项！"))</f>
        <v/>
      </c>
      <c r="AA432" s="5" t="str">
        <f>IF(T432="","", IF(U432&lt;=3, "⚠️ 薄弱环节: "&amp;INDEX($M$1:$S$1, MATCH(MIN(M432:S432), M432:S432, 0))&amp;CHAR(10)&amp;"📉 考察能力: "&amp;IFERROR(VLOOKUP(TRIM(D432)&amp;"_"&amp;TRIM(INDEX($M$1:$S$1, MATCH(MIN(M432:S432), M432:S432, 0))), 技能库!$A:$F, 5, 0),"建议查阅考纲")&amp;CHAR(10)&amp;"💡 提升建议: "&amp;IFERROR(VLOOKUP(TRIM(D432)&amp;"_"&amp;TRIM(INDEX($M$1:$S$1, MATCH(MIN(M432:S432), M432:S432, 0))), 技能库!$A:$F, 6, 0),"请针对该题型加强练习"), "🎉 表现优异，无明显弱项！"))</f>
        <v/>
      </c>
    </row>
    <row r="433" spans="10:27" ht="18" hidden="1" customHeight="1" x14ac:dyDescent="0.2">
      <c r="J433" t="str">
        <f t="shared" si="18"/>
        <v/>
      </c>
      <c r="K433" t="str">
        <f>IF(J433="","", IFERROR(VLOOKUP(J433, IF(D433="Movers", 换算标准!$C:$D, 换算标准!$I:$J), 2, TRUE), 0))</f>
        <v/>
      </c>
      <c r="T433" t="str">
        <f t="shared" si="19"/>
        <v/>
      </c>
      <c r="U433" t="str">
        <f>IF(T433="","", IFERROR(VLOOKUP(T433, IF(D433="Movers", 换算标准!$A:$B, 换算标准!$G:$H), 2, TRUE), 0))</f>
        <v/>
      </c>
      <c r="W433" t="str">
        <f t="shared" si="20"/>
        <v/>
      </c>
      <c r="Z433" s="5" t="str">
        <f>IF(J433="","", IF(K433&lt;=3, "⚠️ 薄弱环节: "&amp;INDEX($E$1:$I$1, MATCH(MIN(E433:I433), E433:I433, 0))&amp;CHAR(10)&amp;"📉 考察能力: "&amp;IFERROR(VLOOKUP(TRIM(D433)&amp;"_"&amp;TRIM(INDEX($E$1:$I$1, MATCH(MIN(E433:I433), E433:I433, 0))), 技能库!$A:$F, 5, 0),"建议查阅考纲")&amp;CHAR(10)&amp;"💡 提升建议: "&amp;IFERROR(VLOOKUP(TRIM(D433)&amp;"_"&amp;TRIM(INDEX($E$1:$I$1, MATCH(MIN(E433:I433), E433:I433, 0))), 技能库!$A:$F, 6, 0),"请针对该题型加强练习"), "🎉 表现优异，无明显弱项！"))</f>
        <v/>
      </c>
      <c r="AA433" s="5" t="str">
        <f>IF(T433="","", IF(U433&lt;=3, "⚠️ 薄弱环节: "&amp;INDEX($M$1:$S$1, MATCH(MIN(M433:S433), M433:S433, 0))&amp;CHAR(10)&amp;"📉 考察能力: "&amp;IFERROR(VLOOKUP(TRIM(D433)&amp;"_"&amp;TRIM(INDEX($M$1:$S$1, MATCH(MIN(M433:S433), M433:S433, 0))), 技能库!$A:$F, 5, 0),"建议查阅考纲")&amp;CHAR(10)&amp;"💡 提升建议: "&amp;IFERROR(VLOOKUP(TRIM(D433)&amp;"_"&amp;TRIM(INDEX($M$1:$S$1, MATCH(MIN(M433:S433), M433:S433, 0))), 技能库!$A:$F, 6, 0),"请针对该题型加强练习"), "🎉 表现优异，无明显弱项！"))</f>
        <v/>
      </c>
    </row>
    <row r="434" spans="10:27" ht="18" hidden="1" customHeight="1" x14ac:dyDescent="0.2">
      <c r="J434" t="str">
        <f t="shared" si="18"/>
        <v/>
      </c>
      <c r="K434" t="str">
        <f>IF(J434="","", IFERROR(VLOOKUP(J434, IF(D434="Movers", 换算标准!$C:$D, 换算标准!$I:$J), 2, TRUE), 0))</f>
        <v/>
      </c>
      <c r="T434" t="str">
        <f t="shared" si="19"/>
        <v/>
      </c>
      <c r="U434" t="str">
        <f>IF(T434="","", IFERROR(VLOOKUP(T434, IF(D434="Movers", 换算标准!$A:$B, 换算标准!$G:$H), 2, TRUE), 0))</f>
        <v/>
      </c>
      <c r="W434" t="str">
        <f t="shared" si="20"/>
        <v/>
      </c>
      <c r="Z434" s="5" t="str">
        <f>IF(J434="","", IF(K434&lt;=3, "⚠️ 薄弱环节: "&amp;INDEX($E$1:$I$1, MATCH(MIN(E434:I434), E434:I434, 0))&amp;CHAR(10)&amp;"📉 考察能力: "&amp;IFERROR(VLOOKUP(TRIM(D434)&amp;"_"&amp;TRIM(INDEX($E$1:$I$1, MATCH(MIN(E434:I434), E434:I434, 0))), 技能库!$A:$F, 5, 0),"建议查阅考纲")&amp;CHAR(10)&amp;"💡 提升建议: "&amp;IFERROR(VLOOKUP(TRIM(D434)&amp;"_"&amp;TRIM(INDEX($E$1:$I$1, MATCH(MIN(E434:I434), E434:I434, 0))), 技能库!$A:$F, 6, 0),"请针对该题型加强练习"), "🎉 表现优异，无明显弱项！"))</f>
        <v/>
      </c>
      <c r="AA434" s="5" t="str">
        <f>IF(T434="","", IF(U434&lt;=3, "⚠️ 薄弱环节: "&amp;INDEX($M$1:$S$1, MATCH(MIN(M434:S434), M434:S434, 0))&amp;CHAR(10)&amp;"📉 考察能力: "&amp;IFERROR(VLOOKUP(TRIM(D434)&amp;"_"&amp;TRIM(INDEX($M$1:$S$1, MATCH(MIN(M434:S434), M434:S434, 0))), 技能库!$A:$F, 5, 0),"建议查阅考纲")&amp;CHAR(10)&amp;"💡 提升建议: "&amp;IFERROR(VLOOKUP(TRIM(D434)&amp;"_"&amp;TRIM(INDEX($M$1:$S$1, MATCH(MIN(M434:S434), M434:S434, 0))), 技能库!$A:$F, 6, 0),"请针对该题型加强练习"), "🎉 表现优异，无明显弱项！"))</f>
        <v/>
      </c>
    </row>
    <row r="435" spans="10:27" ht="18" hidden="1" customHeight="1" x14ac:dyDescent="0.2">
      <c r="J435" t="str">
        <f t="shared" si="18"/>
        <v/>
      </c>
      <c r="K435" t="str">
        <f>IF(J435="","", IFERROR(VLOOKUP(J435, IF(D435="Movers", 换算标准!$C:$D, 换算标准!$I:$J), 2, TRUE), 0))</f>
        <v/>
      </c>
      <c r="T435" t="str">
        <f t="shared" si="19"/>
        <v/>
      </c>
      <c r="U435" t="str">
        <f>IF(T435="","", IFERROR(VLOOKUP(T435, IF(D435="Movers", 换算标准!$A:$B, 换算标准!$G:$H), 2, TRUE), 0))</f>
        <v/>
      </c>
      <c r="W435" t="str">
        <f t="shared" si="20"/>
        <v/>
      </c>
      <c r="Z435" s="5" t="str">
        <f>IF(J435="","", IF(K435&lt;=3, "⚠️ 薄弱环节: "&amp;INDEX($E$1:$I$1, MATCH(MIN(E435:I435), E435:I435, 0))&amp;CHAR(10)&amp;"📉 考察能力: "&amp;IFERROR(VLOOKUP(TRIM(D435)&amp;"_"&amp;TRIM(INDEX($E$1:$I$1, MATCH(MIN(E435:I435), E435:I435, 0))), 技能库!$A:$F, 5, 0),"建议查阅考纲")&amp;CHAR(10)&amp;"💡 提升建议: "&amp;IFERROR(VLOOKUP(TRIM(D435)&amp;"_"&amp;TRIM(INDEX($E$1:$I$1, MATCH(MIN(E435:I435), E435:I435, 0))), 技能库!$A:$F, 6, 0),"请针对该题型加强练习"), "🎉 表现优异，无明显弱项！"))</f>
        <v/>
      </c>
      <c r="AA435" s="5" t="str">
        <f>IF(T435="","", IF(U435&lt;=3, "⚠️ 薄弱环节: "&amp;INDEX($M$1:$S$1, MATCH(MIN(M435:S435), M435:S435, 0))&amp;CHAR(10)&amp;"📉 考察能力: "&amp;IFERROR(VLOOKUP(TRIM(D435)&amp;"_"&amp;TRIM(INDEX($M$1:$S$1, MATCH(MIN(M435:S435), M435:S435, 0))), 技能库!$A:$F, 5, 0),"建议查阅考纲")&amp;CHAR(10)&amp;"💡 提升建议: "&amp;IFERROR(VLOOKUP(TRIM(D435)&amp;"_"&amp;TRIM(INDEX($M$1:$S$1, MATCH(MIN(M435:S435), M435:S435, 0))), 技能库!$A:$F, 6, 0),"请针对该题型加强练习"), "🎉 表现优异，无明显弱项！"))</f>
        <v/>
      </c>
    </row>
    <row r="436" spans="10:27" ht="18" hidden="1" customHeight="1" x14ac:dyDescent="0.2">
      <c r="J436" t="str">
        <f t="shared" si="18"/>
        <v/>
      </c>
      <c r="K436" t="str">
        <f>IF(J436="","", IFERROR(VLOOKUP(J436, IF(D436="Movers", 换算标准!$C:$D, 换算标准!$I:$J), 2, TRUE), 0))</f>
        <v/>
      </c>
      <c r="T436" t="str">
        <f t="shared" si="19"/>
        <v/>
      </c>
      <c r="U436" t="str">
        <f>IF(T436="","", IFERROR(VLOOKUP(T436, IF(D436="Movers", 换算标准!$A:$B, 换算标准!$G:$H), 2, TRUE), 0))</f>
        <v/>
      </c>
      <c r="W436" t="str">
        <f t="shared" si="20"/>
        <v/>
      </c>
      <c r="Z436" s="5" t="str">
        <f>IF(J436="","", IF(K436&lt;=3, "⚠️ 薄弱环节: "&amp;INDEX($E$1:$I$1, MATCH(MIN(E436:I436), E436:I436, 0))&amp;CHAR(10)&amp;"📉 考察能力: "&amp;IFERROR(VLOOKUP(TRIM(D436)&amp;"_"&amp;TRIM(INDEX($E$1:$I$1, MATCH(MIN(E436:I436), E436:I436, 0))), 技能库!$A:$F, 5, 0),"建议查阅考纲")&amp;CHAR(10)&amp;"💡 提升建议: "&amp;IFERROR(VLOOKUP(TRIM(D436)&amp;"_"&amp;TRIM(INDEX($E$1:$I$1, MATCH(MIN(E436:I436), E436:I436, 0))), 技能库!$A:$F, 6, 0),"请针对该题型加强练习"), "🎉 表现优异，无明显弱项！"))</f>
        <v/>
      </c>
      <c r="AA436" s="5" t="str">
        <f>IF(T436="","", IF(U436&lt;=3, "⚠️ 薄弱环节: "&amp;INDEX($M$1:$S$1, MATCH(MIN(M436:S436), M436:S436, 0))&amp;CHAR(10)&amp;"📉 考察能力: "&amp;IFERROR(VLOOKUP(TRIM(D436)&amp;"_"&amp;TRIM(INDEX($M$1:$S$1, MATCH(MIN(M436:S436), M436:S436, 0))), 技能库!$A:$F, 5, 0),"建议查阅考纲")&amp;CHAR(10)&amp;"💡 提升建议: "&amp;IFERROR(VLOOKUP(TRIM(D436)&amp;"_"&amp;TRIM(INDEX($M$1:$S$1, MATCH(MIN(M436:S436), M436:S436, 0))), 技能库!$A:$F, 6, 0),"请针对该题型加强练习"), "🎉 表现优异，无明显弱项！"))</f>
        <v/>
      </c>
    </row>
    <row r="437" spans="10:27" ht="18" hidden="1" customHeight="1" x14ac:dyDescent="0.2">
      <c r="J437" t="str">
        <f t="shared" si="18"/>
        <v/>
      </c>
      <c r="K437" t="str">
        <f>IF(J437="","", IFERROR(VLOOKUP(J437, IF(D437="Movers", 换算标准!$C:$D, 换算标准!$I:$J), 2, TRUE), 0))</f>
        <v/>
      </c>
      <c r="T437" t="str">
        <f t="shared" si="19"/>
        <v/>
      </c>
      <c r="U437" t="str">
        <f>IF(T437="","", IFERROR(VLOOKUP(T437, IF(D437="Movers", 换算标准!$A:$B, 换算标准!$G:$H), 2, TRUE), 0))</f>
        <v/>
      </c>
      <c r="W437" t="str">
        <f t="shared" si="20"/>
        <v/>
      </c>
      <c r="Z437" s="5" t="str">
        <f>IF(J437="","", IF(K437&lt;=3, "⚠️ 薄弱环节: "&amp;INDEX($E$1:$I$1, MATCH(MIN(E437:I437), E437:I437, 0))&amp;CHAR(10)&amp;"📉 考察能力: "&amp;IFERROR(VLOOKUP(TRIM(D437)&amp;"_"&amp;TRIM(INDEX($E$1:$I$1, MATCH(MIN(E437:I437), E437:I437, 0))), 技能库!$A:$F, 5, 0),"建议查阅考纲")&amp;CHAR(10)&amp;"💡 提升建议: "&amp;IFERROR(VLOOKUP(TRIM(D437)&amp;"_"&amp;TRIM(INDEX($E$1:$I$1, MATCH(MIN(E437:I437), E437:I437, 0))), 技能库!$A:$F, 6, 0),"请针对该题型加强练习"), "🎉 表现优异，无明显弱项！"))</f>
        <v/>
      </c>
      <c r="AA437" s="5" t="str">
        <f>IF(T437="","", IF(U437&lt;=3, "⚠️ 薄弱环节: "&amp;INDEX($M$1:$S$1, MATCH(MIN(M437:S437), M437:S437, 0))&amp;CHAR(10)&amp;"📉 考察能力: "&amp;IFERROR(VLOOKUP(TRIM(D437)&amp;"_"&amp;TRIM(INDEX($M$1:$S$1, MATCH(MIN(M437:S437), M437:S437, 0))), 技能库!$A:$F, 5, 0),"建议查阅考纲")&amp;CHAR(10)&amp;"💡 提升建议: "&amp;IFERROR(VLOOKUP(TRIM(D437)&amp;"_"&amp;TRIM(INDEX($M$1:$S$1, MATCH(MIN(M437:S437), M437:S437, 0))), 技能库!$A:$F, 6, 0),"请针对该题型加强练习"), "🎉 表现优异，无明显弱项！"))</f>
        <v/>
      </c>
    </row>
    <row r="438" spans="10:27" ht="18" hidden="1" customHeight="1" x14ac:dyDescent="0.2">
      <c r="J438" t="str">
        <f t="shared" si="18"/>
        <v/>
      </c>
      <c r="K438" t="str">
        <f>IF(J438="","", IFERROR(VLOOKUP(J438, IF(D438="Movers", 换算标准!$C:$D, 换算标准!$I:$J), 2, TRUE), 0))</f>
        <v/>
      </c>
      <c r="T438" t="str">
        <f t="shared" si="19"/>
        <v/>
      </c>
      <c r="U438" t="str">
        <f>IF(T438="","", IFERROR(VLOOKUP(T438, IF(D438="Movers", 换算标准!$A:$B, 换算标准!$G:$H), 2, TRUE), 0))</f>
        <v/>
      </c>
      <c r="W438" t="str">
        <f t="shared" si="20"/>
        <v/>
      </c>
      <c r="Z438" s="5" t="str">
        <f>IF(J438="","", IF(K438&lt;=3, "⚠️ 薄弱环节: "&amp;INDEX($E$1:$I$1, MATCH(MIN(E438:I438), E438:I438, 0))&amp;CHAR(10)&amp;"📉 考察能力: "&amp;IFERROR(VLOOKUP(TRIM(D438)&amp;"_"&amp;TRIM(INDEX($E$1:$I$1, MATCH(MIN(E438:I438), E438:I438, 0))), 技能库!$A:$F, 5, 0),"建议查阅考纲")&amp;CHAR(10)&amp;"💡 提升建议: "&amp;IFERROR(VLOOKUP(TRIM(D438)&amp;"_"&amp;TRIM(INDEX($E$1:$I$1, MATCH(MIN(E438:I438), E438:I438, 0))), 技能库!$A:$F, 6, 0),"请针对该题型加强练习"), "🎉 表现优异，无明显弱项！"))</f>
        <v/>
      </c>
      <c r="AA438" s="5" t="str">
        <f>IF(T438="","", IF(U438&lt;=3, "⚠️ 薄弱环节: "&amp;INDEX($M$1:$S$1, MATCH(MIN(M438:S438), M438:S438, 0))&amp;CHAR(10)&amp;"📉 考察能力: "&amp;IFERROR(VLOOKUP(TRIM(D438)&amp;"_"&amp;TRIM(INDEX($M$1:$S$1, MATCH(MIN(M438:S438), M438:S438, 0))), 技能库!$A:$F, 5, 0),"建议查阅考纲")&amp;CHAR(10)&amp;"💡 提升建议: "&amp;IFERROR(VLOOKUP(TRIM(D438)&amp;"_"&amp;TRIM(INDEX($M$1:$S$1, MATCH(MIN(M438:S438), M438:S438, 0))), 技能库!$A:$F, 6, 0),"请针对该题型加强练习"), "🎉 表现优异，无明显弱项！"))</f>
        <v/>
      </c>
    </row>
    <row r="439" spans="10:27" ht="18" hidden="1" customHeight="1" x14ac:dyDescent="0.2">
      <c r="J439" t="str">
        <f t="shared" si="18"/>
        <v/>
      </c>
      <c r="K439" t="str">
        <f>IF(J439="","", IFERROR(VLOOKUP(J439, IF(D439="Movers", 换算标准!$C:$D, 换算标准!$I:$J), 2, TRUE), 0))</f>
        <v/>
      </c>
      <c r="T439" t="str">
        <f t="shared" si="19"/>
        <v/>
      </c>
      <c r="U439" t="str">
        <f>IF(T439="","", IFERROR(VLOOKUP(T439, IF(D439="Movers", 换算标准!$A:$B, 换算标准!$G:$H), 2, TRUE), 0))</f>
        <v/>
      </c>
      <c r="W439" t="str">
        <f t="shared" si="20"/>
        <v/>
      </c>
      <c r="Z439" s="5" t="str">
        <f>IF(J439="","", IF(K439&lt;=3, "⚠️ 薄弱环节: "&amp;INDEX($E$1:$I$1, MATCH(MIN(E439:I439), E439:I439, 0))&amp;CHAR(10)&amp;"📉 考察能力: "&amp;IFERROR(VLOOKUP(TRIM(D439)&amp;"_"&amp;TRIM(INDEX($E$1:$I$1, MATCH(MIN(E439:I439), E439:I439, 0))), 技能库!$A:$F, 5, 0),"建议查阅考纲")&amp;CHAR(10)&amp;"💡 提升建议: "&amp;IFERROR(VLOOKUP(TRIM(D439)&amp;"_"&amp;TRIM(INDEX($E$1:$I$1, MATCH(MIN(E439:I439), E439:I439, 0))), 技能库!$A:$F, 6, 0),"请针对该题型加强练习"), "🎉 表现优异，无明显弱项！"))</f>
        <v/>
      </c>
      <c r="AA439" s="5" t="str">
        <f>IF(T439="","", IF(U439&lt;=3, "⚠️ 薄弱环节: "&amp;INDEX($M$1:$S$1, MATCH(MIN(M439:S439), M439:S439, 0))&amp;CHAR(10)&amp;"📉 考察能力: "&amp;IFERROR(VLOOKUP(TRIM(D439)&amp;"_"&amp;TRIM(INDEX($M$1:$S$1, MATCH(MIN(M439:S439), M439:S439, 0))), 技能库!$A:$F, 5, 0),"建议查阅考纲")&amp;CHAR(10)&amp;"💡 提升建议: "&amp;IFERROR(VLOOKUP(TRIM(D439)&amp;"_"&amp;TRIM(INDEX($M$1:$S$1, MATCH(MIN(M439:S439), M439:S439, 0))), 技能库!$A:$F, 6, 0),"请针对该题型加强练习"), "🎉 表现优异，无明显弱项！"))</f>
        <v/>
      </c>
    </row>
    <row r="440" spans="10:27" ht="18" hidden="1" customHeight="1" x14ac:dyDescent="0.2">
      <c r="J440" t="str">
        <f t="shared" si="18"/>
        <v/>
      </c>
      <c r="K440" t="str">
        <f>IF(J440="","", IFERROR(VLOOKUP(J440, IF(D440="Movers", 换算标准!$C:$D, 换算标准!$I:$J), 2, TRUE), 0))</f>
        <v/>
      </c>
      <c r="T440" t="str">
        <f t="shared" si="19"/>
        <v/>
      </c>
      <c r="U440" t="str">
        <f>IF(T440="","", IFERROR(VLOOKUP(T440, IF(D440="Movers", 换算标准!$A:$B, 换算标准!$G:$H), 2, TRUE), 0))</f>
        <v/>
      </c>
      <c r="W440" t="str">
        <f t="shared" si="20"/>
        <v/>
      </c>
      <c r="Z440" s="5" t="str">
        <f>IF(J440="","", IF(K440&lt;=3, "⚠️ 薄弱环节: "&amp;INDEX($E$1:$I$1, MATCH(MIN(E440:I440), E440:I440, 0))&amp;CHAR(10)&amp;"📉 考察能力: "&amp;IFERROR(VLOOKUP(TRIM(D440)&amp;"_"&amp;TRIM(INDEX($E$1:$I$1, MATCH(MIN(E440:I440), E440:I440, 0))), 技能库!$A:$F, 5, 0),"建议查阅考纲")&amp;CHAR(10)&amp;"💡 提升建议: "&amp;IFERROR(VLOOKUP(TRIM(D440)&amp;"_"&amp;TRIM(INDEX($E$1:$I$1, MATCH(MIN(E440:I440), E440:I440, 0))), 技能库!$A:$F, 6, 0),"请针对该题型加强练习"), "🎉 表现优异，无明显弱项！"))</f>
        <v/>
      </c>
      <c r="AA440" s="5" t="str">
        <f>IF(T440="","", IF(U440&lt;=3, "⚠️ 薄弱环节: "&amp;INDEX($M$1:$S$1, MATCH(MIN(M440:S440), M440:S440, 0))&amp;CHAR(10)&amp;"📉 考察能力: "&amp;IFERROR(VLOOKUP(TRIM(D440)&amp;"_"&amp;TRIM(INDEX($M$1:$S$1, MATCH(MIN(M440:S440), M440:S440, 0))), 技能库!$A:$F, 5, 0),"建议查阅考纲")&amp;CHAR(10)&amp;"💡 提升建议: "&amp;IFERROR(VLOOKUP(TRIM(D440)&amp;"_"&amp;TRIM(INDEX($M$1:$S$1, MATCH(MIN(M440:S440), M440:S440, 0))), 技能库!$A:$F, 6, 0),"请针对该题型加强练习"), "🎉 表现优异，无明显弱项！"))</f>
        <v/>
      </c>
    </row>
    <row r="441" spans="10:27" ht="18" hidden="1" customHeight="1" x14ac:dyDescent="0.2">
      <c r="J441" t="str">
        <f t="shared" si="18"/>
        <v/>
      </c>
      <c r="K441" t="str">
        <f>IF(J441="","", IFERROR(VLOOKUP(J441, IF(D441="Movers", 换算标准!$C:$D, 换算标准!$I:$J), 2, TRUE), 0))</f>
        <v/>
      </c>
      <c r="T441" t="str">
        <f t="shared" si="19"/>
        <v/>
      </c>
      <c r="U441" t="str">
        <f>IF(T441="","", IFERROR(VLOOKUP(T441, IF(D441="Movers", 换算标准!$A:$B, 换算标准!$G:$H), 2, TRUE), 0))</f>
        <v/>
      </c>
      <c r="W441" t="str">
        <f t="shared" si="20"/>
        <v/>
      </c>
      <c r="Z441" s="5" t="str">
        <f>IF(J441="","", IF(K441&lt;=3, "⚠️ 薄弱环节: "&amp;INDEX($E$1:$I$1, MATCH(MIN(E441:I441), E441:I441, 0))&amp;CHAR(10)&amp;"📉 考察能力: "&amp;IFERROR(VLOOKUP(TRIM(D441)&amp;"_"&amp;TRIM(INDEX($E$1:$I$1, MATCH(MIN(E441:I441), E441:I441, 0))), 技能库!$A:$F, 5, 0),"建议查阅考纲")&amp;CHAR(10)&amp;"💡 提升建议: "&amp;IFERROR(VLOOKUP(TRIM(D441)&amp;"_"&amp;TRIM(INDEX($E$1:$I$1, MATCH(MIN(E441:I441), E441:I441, 0))), 技能库!$A:$F, 6, 0),"请针对该题型加强练习"), "🎉 表现优异，无明显弱项！"))</f>
        <v/>
      </c>
      <c r="AA441" s="5" t="str">
        <f>IF(T441="","", IF(U441&lt;=3, "⚠️ 薄弱环节: "&amp;INDEX($M$1:$S$1, MATCH(MIN(M441:S441), M441:S441, 0))&amp;CHAR(10)&amp;"📉 考察能力: "&amp;IFERROR(VLOOKUP(TRIM(D441)&amp;"_"&amp;TRIM(INDEX($M$1:$S$1, MATCH(MIN(M441:S441), M441:S441, 0))), 技能库!$A:$F, 5, 0),"建议查阅考纲")&amp;CHAR(10)&amp;"💡 提升建议: "&amp;IFERROR(VLOOKUP(TRIM(D441)&amp;"_"&amp;TRIM(INDEX($M$1:$S$1, MATCH(MIN(M441:S441), M441:S441, 0))), 技能库!$A:$F, 6, 0),"请针对该题型加强练习"), "🎉 表现优异，无明显弱项！"))</f>
        <v/>
      </c>
    </row>
    <row r="442" spans="10:27" ht="18" hidden="1" customHeight="1" x14ac:dyDescent="0.2">
      <c r="J442" t="str">
        <f t="shared" si="18"/>
        <v/>
      </c>
      <c r="K442" t="str">
        <f>IF(J442="","", IFERROR(VLOOKUP(J442, IF(D442="Movers", 换算标准!$C:$D, 换算标准!$I:$J), 2, TRUE), 0))</f>
        <v/>
      </c>
      <c r="T442" t="str">
        <f t="shared" si="19"/>
        <v/>
      </c>
      <c r="U442" t="str">
        <f>IF(T442="","", IFERROR(VLOOKUP(T442, IF(D442="Movers", 换算标准!$A:$B, 换算标准!$G:$H), 2, TRUE), 0))</f>
        <v/>
      </c>
      <c r="W442" t="str">
        <f t="shared" si="20"/>
        <v/>
      </c>
      <c r="Z442" s="5" t="str">
        <f>IF(J442="","", IF(K442&lt;=3, "⚠️ 薄弱环节: "&amp;INDEX($E$1:$I$1, MATCH(MIN(E442:I442), E442:I442, 0))&amp;CHAR(10)&amp;"📉 考察能力: "&amp;IFERROR(VLOOKUP(TRIM(D442)&amp;"_"&amp;TRIM(INDEX($E$1:$I$1, MATCH(MIN(E442:I442), E442:I442, 0))), 技能库!$A:$F, 5, 0),"建议查阅考纲")&amp;CHAR(10)&amp;"💡 提升建议: "&amp;IFERROR(VLOOKUP(TRIM(D442)&amp;"_"&amp;TRIM(INDEX($E$1:$I$1, MATCH(MIN(E442:I442), E442:I442, 0))), 技能库!$A:$F, 6, 0),"请针对该题型加强练习"), "🎉 表现优异，无明显弱项！"))</f>
        <v/>
      </c>
      <c r="AA442" s="5" t="str">
        <f>IF(T442="","", IF(U442&lt;=3, "⚠️ 薄弱环节: "&amp;INDEX($M$1:$S$1, MATCH(MIN(M442:S442), M442:S442, 0))&amp;CHAR(10)&amp;"📉 考察能力: "&amp;IFERROR(VLOOKUP(TRIM(D442)&amp;"_"&amp;TRIM(INDEX($M$1:$S$1, MATCH(MIN(M442:S442), M442:S442, 0))), 技能库!$A:$F, 5, 0),"建议查阅考纲")&amp;CHAR(10)&amp;"💡 提升建议: "&amp;IFERROR(VLOOKUP(TRIM(D442)&amp;"_"&amp;TRIM(INDEX($M$1:$S$1, MATCH(MIN(M442:S442), M442:S442, 0))), 技能库!$A:$F, 6, 0),"请针对该题型加强练习"), "🎉 表现优异，无明显弱项！"))</f>
        <v/>
      </c>
    </row>
    <row r="443" spans="10:27" ht="18" hidden="1" customHeight="1" x14ac:dyDescent="0.2">
      <c r="J443" t="str">
        <f t="shared" si="18"/>
        <v/>
      </c>
      <c r="K443" t="str">
        <f>IF(J443="","", IFERROR(VLOOKUP(J443, IF(D443="Movers", 换算标准!$C:$D, 换算标准!$I:$J), 2, TRUE), 0))</f>
        <v/>
      </c>
      <c r="T443" t="str">
        <f t="shared" si="19"/>
        <v/>
      </c>
      <c r="U443" t="str">
        <f>IF(T443="","", IFERROR(VLOOKUP(T443, IF(D443="Movers", 换算标准!$A:$B, 换算标准!$G:$H), 2, TRUE), 0))</f>
        <v/>
      </c>
      <c r="W443" t="str">
        <f t="shared" si="20"/>
        <v/>
      </c>
      <c r="Z443" s="5" t="str">
        <f>IF(J443="","", IF(K443&lt;=3, "⚠️ 薄弱环节: "&amp;INDEX($E$1:$I$1, MATCH(MIN(E443:I443), E443:I443, 0))&amp;CHAR(10)&amp;"📉 考察能力: "&amp;IFERROR(VLOOKUP(TRIM(D443)&amp;"_"&amp;TRIM(INDEX($E$1:$I$1, MATCH(MIN(E443:I443), E443:I443, 0))), 技能库!$A:$F, 5, 0),"建议查阅考纲")&amp;CHAR(10)&amp;"💡 提升建议: "&amp;IFERROR(VLOOKUP(TRIM(D443)&amp;"_"&amp;TRIM(INDEX($E$1:$I$1, MATCH(MIN(E443:I443), E443:I443, 0))), 技能库!$A:$F, 6, 0),"请针对该题型加强练习"), "🎉 表现优异，无明显弱项！"))</f>
        <v/>
      </c>
      <c r="AA443" s="5" t="str">
        <f>IF(T443="","", IF(U443&lt;=3, "⚠️ 薄弱环节: "&amp;INDEX($M$1:$S$1, MATCH(MIN(M443:S443), M443:S443, 0))&amp;CHAR(10)&amp;"📉 考察能力: "&amp;IFERROR(VLOOKUP(TRIM(D443)&amp;"_"&amp;TRIM(INDEX($M$1:$S$1, MATCH(MIN(M443:S443), M443:S443, 0))), 技能库!$A:$F, 5, 0),"建议查阅考纲")&amp;CHAR(10)&amp;"💡 提升建议: "&amp;IFERROR(VLOOKUP(TRIM(D443)&amp;"_"&amp;TRIM(INDEX($M$1:$S$1, MATCH(MIN(M443:S443), M443:S443, 0))), 技能库!$A:$F, 6, 0),"请针对该题型加强练习"), "🎉 表现优异，无明显弱项！"))</f>
        <v/>
      </c>
    </row>
    <row r="444" spans="10:27" ht="18" hidden="1" customHeight="1" x14ac:dyDescent="0.2">
      <c r="J444" t="str">
        <f t="shared" si="18"/>
        <v/>
      </c>
      <c r="K444" t="str">
        <f>IF(J444="","", IFERROR(VLOOKUP(J444, IF(D444="Movers", 换算标准!$C:$D, 换算标准!$I:$J), 2, TRUE), 0))</f>
        <v/>
      </c>
      <c r="T444" t="str">
        <f t="shared" si="19"/>
        <v/>
      </c>
      <c r="U444" t="str">
        <f>IF(T444="","", IFERROR(VLOOKUP(T444, IF(D444="Movers", 换算标准!$A:$B, 换算标准!$G:$H), 2, TRUE), 0))</f>
        <v/>
      </c>
      <c r="W444" t="str">
        <f t="shared" si="20"/>
        <v/>
      </c>
      <c r="Z444" s="5" t="str">
        <f>IF(J444="","", IF(K444&lt;=3, "⚠️ 薄弱环节: "&amp;INDEX($E$1:$I$1, MATCH(MIN(E444:I444), E444:I444, 0))&amp;CHAR(10)&amp;"📉 考察能力: "&amp;IFERROR(VLOOKUP(TRIM(D444)&amp;"_"&amp;TRIM(INDEX($E$1:$I$1, MATCH(MIN(E444:I444), E444:I444, 0))), 技能库!$A:$F, 5, 0),"建议查阅考纲")&amp;CHAR(10)&amp;"💡 提升建议: "&amp;IFERROR(VLOOKUP(TRIM(D444)&amp;"_"&amp;TRIM(INDEX($E$1:$I$1, MATCH(MIN(E444:I444), E444:I444, 0))), 技能库!$A:$F, 6, 0),"请针对该题型加强练习"), "🎉 表现优异，无明显弱项！"))</f>
        <v/>
      </c>
      <c r="AA444" s="5" t="str">
        <f>IF(T444="","", IF(U444&lt;=3, "⚠️ 薄弱环节: "&amp;INDEX($M$1:$S$1, MATCH(MIN(M444:S444), M444:S444, 0))&amp;CHAR(10)&amp;"📉 考察能力: "&amp;IFERROR(VLOOKUP(TRIM(D444)&amp;"_"&amp;TRIM(INDEX($M$1:$S$1, MATCH(MIN(M444:S444), M444:S444, 0))), 技能库!$A:$F, 5, 0),"建议查阅考纲")&amp;CHAR(10)&amp;"💡 提升建议: "&amp;IFERROR(VLOOKUP(TRIM(D444)&amp;"_"&amp;TRIM(INDEX($M$1:$S$1, MATCH(MIN(M444:S444), M444:S444, 0))), 技能库!$A:$F, 6, 0),"请针对该题型加强练习"), "🎉 表现优异，无明显弱项！"))</f>
        <v/>
      </c>
    </row>
    <row r="445" spans="10:27" ht="18" hidden="1" customHeight="1" x14ac:dyDescent="0.2">
      <c r="J445" t="str">
        <f t="shared" si="18"/>
        <v/>
      </c>
      <c r="K445" t="str">
        <f>IF(J445="","", IFERROR(VLOOKUP(J445, IF(D445="Movers", 换算标准!$C:$D, 换算标准!$I:$J), 2, TRUE), 0))</f>
        <v/>
      </c>
      <c r="T445" t="str">
        <f t="shared" si="19"/>
        <v/>
      </c>
      <c r="U445" t="str">
        <f>IF(T445="","", IFERROR(VLOOKUP(T445, IF(D445="Movers", 换算标准!$A:$B, 换算标准!$G:$H), 2, TRUE), 0))</f>
        <v/>
      </c>
      <c r="W445" t="str">
        <f t="shared" si="20"/>
        <v/>
      </c>
      <c r="Z445" s="5" t="str">
        <f>IF(J445="","", IF(K445&lt;=3, "⚠️ 薄弱环节: "&amp;INDEX($E$1:$I$1, MATCH(MIN(E445:I445), E445:I445, 0))&amp;CHAR(10)&amp;"📉 考察能力: "&amp;IFERROR(VLOOKUP(TRIM(D445)&amp;"_"&amp;TRIM(INDEX($E$1:$I$1, MATCH(MIN(E445:I445), E445:I445, 0))), 技能库!$A:$F, 5, 0),"建议查阅考纲")&amp;CHAR(10)&amp;"💡 提升建议: "&amp;IFERROR(VLOOKUP(TRIM(D445)&amp;"_"&amp;TRIM(INDEX($E$1:$I$1, MATCH(MIN(E445:I445), E445:I445, 0))), 技能库!$A:$F, 6, 0),"请针对该题型加强练习"), "🎉 表现优异，无明显弱项！"))</f>
        <v/>
      </c>
      <c r="AA445" s="5" t="str">
        <f>IF(T445="","", IF(U445&lt;=3, "⚠️ 薄弱环节: "&amp;INDEX($M$1:$S$1, MATCH(MIN(M445:S445), M445:S445, 0))&amp;CHAR(10)&amp;"📉 考察能力: "&amp;IFERROR(VLOOKUP(TRIM(D445)&amp;"_"&amp;TRIM(INDEX($M$1:$S$1, MATCH(MIN(M445:S445), M445:S445, 0))), 技能库!$A:$F, 5, 0),"建议查阅考纲")&amp;CHAR(10)&amp;"💡 提升建议: "&amp;IFERROR(VLOOKUP(TRIM(D445)&amp;"_"&amp;TRIM(INDEX($M$1:$S$1, MATCH(MIN(M445:S445), M445:S445, 0))), 技能库!$A:$F, 6, 0),"请针对该题型加强练习"), "🎉 表现优异，无明显弱项！"))</f>
        <v/>
      </c>
    </row>
    <row r="446" spans="10:27" ht="18" hidden="1" customHeight="1" x14ac:dyDescent="0.2">
      <c r="J446" t="str">
        <f t="shared" si="18"/>
        <v/>
      </c>
      <c r="K446" t="str">
        <f>IF(J446="","", IFERROR(VLOOKUP(J446, IF(D446="Movers", 换算标准!$C:$D, 换算标准!$I:$J), 2, TRUE), 0))</f>
        <v/>
      </c>
      <c r="T446" t="str">
        <f t="shared" si="19"/>
        <v/>
      </c>
      <c r="U446" t="str">
        <f>IF(T446="","", IFERROR(VLOOKUP(T446, IF(D446="Movers", 换算标准!$A:$B, 换算标准!$G:$H), 2, TRUE), 0))</f>
        <v/>
      </c>
      <c r="W446" t="str">
        <f t="shared" si="20"/>
        <v/>
      </c>
      <c r="Z446" s="5" t="str">
        <f>IF(J446="","", IF(K446&lt;=3, "⚠️ 薄弱环节: "&amp;INDEX($E$1:$I$1, MATCH(MIN(E446:I446), E446:I446, 0))&amp;CHAR(10)&amp;"📉 考察能力: "&amp;IFERROR(VLOOKUP(TRIM(D446)&amp;"_"&amp;TRIM(INDEX($E$1:$I$1, MATCH(MIN(E446:I446), E446:I446, 0))), 技能库!$A:$F, 5, 0),"建议查阅考纲")&amp;CHAR(10)&amp;"💡 提升建议: "&amp;IFERROR(VLOOKUP(TRIM(D446)&amp;"_"&amp;TRIM(INDEX($E$1:$I$1, MATCH(MIN(E446:I446), E446:I446, 0))), 技能库!$A:$F, 6, 0),"请针对该题型加强练习"), "🎉 表现优异，无明显弱项！"))</f>
        <v/>
      </c>
      <c r="AA446" s="5" t="str">
        <f>IF(T446="","", IF(U446&lt;=3, "⚠️ 薄弱环节: "&amp;INDEX($M$1:$S$1, MATCH(MIN(M446:S446), M446:S446, 0))&amp;CHAR(10)&amp;"📉 考察能力: "&amp;IFERROR(VLOOKUP(TRIM(D446)&amp;"_"&amp;TRIM(INDEX($M$1:$S$1, MATCH(MIN(M446:S446), M446:S446, 0))), 技能库!$A:$F, 5, 0),"建议查阅考纲")&amp;CHAR(10)&amp;"💡 提升建议: "&amp;IFERROR(VLOOKUP(TRIM(D446)&amp;"_"&amp;TRIM(INDEX($M$1:$S$1, MATCH(MIN(M446:S446), M446:S446, 0))), 技能库!$A:$F, 6, 0),"请针对该题型加强练习"), "🎉 表现优异，无明显弱项！"))</f>
        <v/>
      </c>
    </row>
    <row r="447" spans="10:27" ht="18" hidden="1" customHeight="1" x14ac:dyDescent="0.2">
      <c r="J447" t="str">
        <f t="shared" si="18"/>
        <v/>
      </c>
      <c r="K447" t="str">
        <f>IF(J447="","", IFERROR(VLOOKUP(J447, IF(D447="Movers", 换算标准!$C:$D, 换算标准!$I:$J), 2, TRUE), 0))</f>
        <v/>
      </c>
      <c r="T447" t="str">
        <f t="shared" si="19"/>
        <v/>
      </c>
      <c r="U447" t="str">
        <f>IF(T447="","", IFERROR(VLOOKUP(T447, IF(D447="Movers", 换算标准!$A:$B, 换算标准!$G:$H), 2, TRUE), 0))</f>
        <v/>
      </c>
      <c r="W447" t="str">
        <f t="shared" si="20"/>
        <v/>
      </c>
      <c r="Z447" s="5" t="str">
        <f>IF(J447="","", IF(K447&lt;=3, "⚠️ 薄弱环节: "&amp;INDEX($E$1:$I$1, MATCH(MIN(E447:I447), E447:I447, 0))&amp;CHAR(10)&amp;"📉 考察能力: "&amp;IFERROR(VLOOKUP(TRIM(D447)&amp;"_"&amp;TRIM(INDEX($E$1:$I$1, MATCH(MIN(E447:I447), E447:I447, 0))), 技能库!$A:$F, 5, 0),"建议查阅考纲")&amp;CHAR(10)&amp;"💡 提升建议: "&amp;IFERROR(VLOOKUP(TRIM(D447)&amp;"_"&amp;TRIM(INDEX($E$1:$I$1, MATCH(MIN(E447:I447), E447:I447, 0))), 技能库!$A:$F, 6, 0),"请针对该题型加强练习"), "🎉 表现优异，无明显弱项！"))</f>
        <v/>
      </c>
      <c r="AA447" s="5" t="str">
        <f>IF(T447="","", IF(U447&lt;=3, "⚠️ 薄弱环节: "&amp;INDEX($M$1:$S$1, MATCH(MIN(M447:S447), M447:S447, 0))&amp;CHAR(10)&amp;"📉 考察能力: "&amp;IFERROR(VLOOKUP(TRIM(D447)&amp;"_"&amp;TRIM(INDEX($M$1:$S$1, MATCH(MIN(M447:S447), M447:S447, 0))), 技能库!$A:$F, 5, 0),"建议查阅考纲")&amp;CHAR(10)&amp;"💡 提升建议: "&amp;IFERROR(VLOOKUP(TRIM(D447)&amp;"_"&amp;TRIM(INDEX($M$1:$S$1, MATCH(MIN(M447:S447), M447:S447, 0))), 技能库!$A:$F, 6, 0),"请针对该题型加强练习"), "🎉 表现优异，无明显弱项！"))</f>
        <v/>
      </c>
    </row>
    <row r="448" spans="10:27" ht="18" hidden="1" customHeight="1" x14ac:dyDescent="0.2">
      <c r="J448" t="str">
        <f t="shared" si="18"/>
        <v/>
      </c>
      <c r="K448" t="str">
        <f>IF(J448="","", IFERROR(VLOOKUP(J448, IF(D448="Movers", 换算标准!$C:$D, 换算标准!$I:$J), 2, TRUE), 0))</f>
        <v/>
      </c>
      <c r="T448" t="str">
        <f t="shared" si="19"/>
        <v/>
      </c>
      <c r="U448" t="str">
        <f>IF(T448="","", IFERROR(VLOOKUP(T448, IF(D448="Movers", 换算标准!$A:$B, 换算标准!$G:$H), 2, TRUE), 0))</f>
        <v/>
      </c>
      <c r="W448" t="str">
        <f t="shared" si="20"/>
        <v/>
      </c>
      <c r="Z448" s="5" t="str">
        <f>IF(J448="","", IF(K448&lt;=3, "⚠️ 薄弱环节: "&amp;INDEX($E$1:$I$1, MATCH(MIN(E448:I448), E448:I448, 0))&amp;CHAR(10)&amp;"📉 考察能力: "&amp;IFERROR(VLOOKUP(TRIM(D448)&amp;"_"&amp;TRIM(INDEX($E$1:$I$1, MATCH(MIN(E448:I448), E448:I448, 0))), 技能库!$A:$F, 5, 0),"建议查阅考纲")&amp;CHAR(10)&amp;"💡 提升建议: "&amp;IFERROR(VLOOKUP(TRIM(D448)&amp;"_"&amp;TRIM(INDEX($E$1:$I$1, MATCH(MIN(E448:I448), E448:I448, 0))), 技能库!$A:$F, 6, 0),"请针对该题型加强练习"), "🎉 表现优异，无明显弱项！"))</f>
        <v/>
      </c>
      <c r="AA448" s="5" t="str">
        <f>IF(T448="","", IF(U448&lt;=3, "⚠️ 薄弱环节: "&amp;INDEX($M$1:$S$1, MATCH(MIN(M448:S448), M448:S448, 0))&amp;CHAR(10)&amp;"📉 考察能力: "&amp;IFERROR(VLOOKUP(TRIM(D448)&amp;"_"&amp;TRIM(INDEX($M$1:$S$1, MATCH(MIN(M448:S448), M448:S448, 0))), 技能库!$A:$F, 5, 0),"建议查阅考纲")&amp;CHAR(10)&amp;"💡 提升建议: "&amp;IFERROR(VLOOKUP(TRIM(D448)&amp;"_"&amp;TRIM(INDEX($M$1:$S$1, MATCH(MIN(M448:S448), M448:S448, 0))), 技能库!$A:$F, 6, 0),"请针对该题型加强练习"), "🎉 表现优异，无明显弱项！"))</f>
        <v/>
      </c>
    </row>
    <row r="449" spans="10:27" ht="18" hidden="1" customHeight="1" x14ac:dyDescent="0.2">
      <c r="J449" t="str">
        <f t="shared" si="18"/>
        <v/>
      </c>
      <c r="K449" t="str">
        <f>IF(J449="","", IFERROR(VLOOKUP(J449, IF(D449="Movers", 换算标准!$C:$D, 换算标准!$I:$J), 2, TRUE), 0))</f>
        <v/>
      </c>
      <c r="T449" t="str">
        <f t="shared" si="19"/>
        <v/>
      </c>
      <c r="U449" t="str">
        <f>IF(T449="","", IFERROR(VLOOKUP(T449, IF(D449="Movers", 换算标准!$A:$B, 换算标准!$G:$H), 2, TRUE), 0))</f>
        <v/>
      </c>
      <c r="W449" t="str">
        <f t="shared" si="20"/>
        <v/>
      </c>
      <c r="Z449" s="5" t="str">
        <f>IF(J449="","", IF(K449&lt;=3, "⚠️ 薄弱环节: "&amp;INDEX($E$1:$I$1, MATCH(MIN(E449:I449), E449:I449, 0))&amp;CHAR(10)&amp;"📉 考察能力: "&amp;IFERROR(VLOOKUP(TRIM(D449)&amp;"_"&amp;TRIM(INDEX($E$1:$I$1, MATCH(MIN(E449:I449), E449:I449, 0))), 技能库!$A:$F, 5, 0),"建议查阅考纲")&amp;CHAR(10)&amp;"💡 提升建议: "&amp;IFERROR(VLOOKUP(TRIM(D449)&amp;"_"&amp;TRIM(INDEX($E$1:$I$1, MATCH(MIN(E449:I449), E449:I449, 0))), 技能库!$A:$F, 6, 0),"请针对该题型加强练习"), "🎉 表现优异，无明显弱项！"))</f>
        <v/>
      </c>
      <c r="AA449" s="5" t="str">
        <f>IF(T449="","", IF(U449&lt;=3, "⚠️ 薄弱环节: "&amp;INDEX($M$1:$S$1, MATCH(MIN(M449:S449), M449:S449, 0))&amp;CHAR(10)&amp;"📉 考察能力: "&amp;IFERROR(VLOOKUP(TRIM(D449)&amp;"_"&amp;TRIM(INDEX($M$1:$S$1, MATCH(MIN(M449:S449), M449:S449, 0))), 技能库!$A:$F, 5, 0),"建议查阅考纲")&amp;CHAR(10)&amp;"💡 提升建议: "&amp;IFERROR(VLOOKUP(TRIM(D449)&amp;"_"&amp;TRIM(INDEX($M$1:$S$1, MATCH(MIN(M449:S449), M449:S449, 0))), 技能库!$A:$F, 6, 0),"请针对该题型加强练习"), "🎉 表现优异，无明显弱项！"))</f>
        <v/>
      </c>
    </row>
    <row r="450" spans="10:27" ht="18" hidden="1" customHeight="1" x14ac:dyDescent="0.2">
      <c r="J450" t="str">
        <f t="shared" ref="J450:J513" si="21">IF(COUNT(E450:I450)&gt;0, SUM(E450:I450), "")</f>
        <v/>
      </c>
      <c r="K450" t="str">
        <f>IF(J450="","", IFERROR(VLOOKUP(J450, IF(D450="Movers", 换算标准!$C:$D, 换算标准!$I:$J), 2, TRUE), 0))</f>
        <v/>
      </c>
      <c r="T450" t="str">
        <f t="shared" ref="T450:T513" si="22">IF(COUNT(M450:S450)&gt;0, SUM(M450:S450), "")</f>
        <v/>
      </c>
      <c r="U450" t="str">
        <f>IF(T450="","", IFERROR(VLOOKUP(T450, IF(D450="Movers", 换算标准!$A:$B, 换算标准!$G:$H), 2, TRUE), 0))</f>
        <v/>
      </c>
      <c r="W450" t="str">
        <f t="shared" ref="W450:W513" si="23">IF(AND(K450&lt;&gt;"", U450&lt;&gt;""), K450+U450, "")</f>
        <v/>
      </c>
      <c r="Z450" s="5" t="str">
        <f>IF(J450="","", IF(K450&lt;=3, "⚠️ 薄弱环节: "&amp;INDEX($E$1:$I$1, MATCH(MIN(E450:I450), E450:I450, 0))&amp;CHAR(10)&amp;"📉 考察能力: "&amp;IFERROR(VLOOKUP(TRIM(D450)&amp;"_"&amp;TRIM(INDEX($E$1:$I$1, MATCH(MIN(E450:I450), E450:I450, 0))), 技能库!$A:$F, 5, 0),"建议查阅考纲")&amp;CHAR(10)&amp;"💡 提升建议: "&amp;IFERROR(VLOOKUP(TRIM(D450)&amp;"_"&amp;TRIM(INDEX($E$1:$I$1, MATCH(MIN(E450:I450), E450:I450, 0))), 技能库!$A:$F, 6, 0),"请针对该题型加强练习"), "🎉 表现优异，无明显弱项！"))</f>
        <v/>
      </c>
      <c r="AA450" s="5" t="str">
        <f>IF(T450="","", IF(U450&lt;=3, "⚠️ 薄弱环节: "&amp;INDEX($M$1:$S$1, MATCH(MIN(M450:S450), M450:S450, 0))&amp;CHAR(10)&amp;"📉 考察能力: "&amp;IFERROR(VLOOKUP(TRIM(D450)&amp;"_"&amp;TRIM(INDEX($M$1:$S$1, MATCH(MIN(M450:S450), M450:S450, 0))), 技能库!$A:$F, 5, 0),"建议查阅考纲")&amp;CHAR(10)&amp;"💡 提升建议: "&amp;IFERROR(VLOOKUP(TRIM(D450)&amp;"_"&amp;TRIM(INDEX($M$1:$S$1, MATCH(MIN(M450:S450), M450:S450, 0))), 技能库!$A:$F, 6, 0),"请针对该题型加强练习"), "🎉 表现优异，无明显弱项！"))</f>
        <v/>
      </c>
    </row>
    <row r="451" spans="10:27" ht="18" hidden="1" customHeight="1" x14ac:dyDescent="0.2">
      <c r="J451" t="str">
        <f t="shared" si="21"/>
        <v/>
      </c>
      <c r="K451" t="str">
        <f>IF(J451="","", IFERROR(VLOOKUP(J451, IF(D451="Movers", 换算标准!$C:$D, 换算标准!$I:$J), 2, TRUE), 0))</f>
        <v/>
      </c>
      <c r="T451" t="str">
        <f t="shared" si="22"/>
        <v/>
      </c>
      <c r="U451" t="str">
        <f>IF(T451="","", IFERROR(VLOOKUP(T451, IF(D451="Movers", 换算标准!$A:$B, 换算标准!$G:$H), 2, TRUE), 0))</f>
        <v/>
      </c>
      <c r="W451" t="str">
        <f t="shared" si="23"/>
        <v/>
      </c>
      <c r="Z451" s="5" t="str">
        <f>IF(J451="","", IF(K451&lt;=3, "⚠️ 薄弱环节: "&amp;INDEX($E$1:$I$1, MATCH(MIN(E451:I451), E451:I451, 0))&amp;CHAR(10)&amp;"📉 考察能力: "&amp;IFERROR(VLOOKUP(TRIM(D451)&amp;"_"&amp;TRIM(INDEX($E$1:$I$1, MATCH(MIN(E451:I451), E451:I451, 0))), 技能库!$A:$F, 5, 0),"建议查阅考纲")&amp;CHAR(10)&amp;"💡 提升建议: "&amp;IFERROR(VLOOKUP(TRIM(D451)&amp;"_"&amp;TRIM(INDEX($E$1:$I$1, MATCH(MIN(E451:I451), E451:I451, 0))), 技能库!$A:$F, 6, 0),"请针对该题型加强练习"), "🎉 表现优异，无明显弱项！"))</f>
        <v/>
      </c>
      <c r="AA451" s="5" t="str">
        <f>IF(T451="","", IF(U451&lt;=3, "⚠️ 薄弱环节: "&amp;INDEX($M$1:$S$1, MATCH(MIN(M451:S451), M451:S451, 0))&amp;CHAR(10)&amp;"📉 考察能力: "&amp;IFERROR(VLOOKUP(TRIM(D451)&amp;"_"&amp;TRIM(INDEX($M$1:$S$1, MATCH(MIN(M451:S451), M451:S451, 0))), 技能库!$A:$F, 5, 0),"建议查阅考纲")&amp;CHAR(10)&amp;"💡 提升建议: "&amp;IFERROR(VLOOKUP(TRIM(D451)&amp;"_"&amp;TRIM(INDEX($M$1:$S$1, MATCH(MIN(M451:S451), M451:S451, 0))), 技能库!$A:$F, 6, 0),"请针对该题型加强练习"), "🎉 表现优异，无明显弱项！"))</f>
        <v/>
      </c>
    </row>
    <row r="452" spans="10:27" ht="18" hidden="1" customHeight="1" x14ac:dyDescent="0.2">
      <c r="J452" t="str">
        <f t="shared" si="21"/>
        <v/>
      </c>
      <c r="K452" t="str">
        <f>IF(J452="","", IFERROR(VLOOKUP(J452, IF(D452="Movers", 换算标准!$C:$D, 换算标准!$I:$J), 2, TRUE), 0))</f>
        <v/>
      </c>
      <c r="T452" t="str">
        <f t="shared" si="22"/>
        <v/>
      </c>
      <c r="U452" t="str">
        <f>IF(T452="","", IFERROR(VLOOKUP(T452, IF(D452="Movers", 换算标准!$A:$B, 换算标准!$G:$H), 2, TRUE), 0))</f>
        <v/>
      </c>
      <c r="W452" t="str">
        <f t="shared" si="23"/>
        <v/>
      </c>
      <c r="Z452" s="5" t="str">
        <f>IF(J452="","", IF(K452&lt;=3, "⚠️ 薄弱环节: "&amp;INDEX($E$1:$I$1, MATCH(MIN(E452:I452), E452:I452, 0))&amp;CHAR(10)&amp;"📉 考察能力: "&amp;IFERROR(VLOOKUP(TRIM(D452)&amp;"_"&amp;TRIM(INDEX($E$1:$I$1, MATCH(MIN(E452:I452), E452:I452, 0))), 技能库!$A:$F, 5, 0),"建议查阅考纲")&amp;CHAR(10)&amp;"💡 提升建议: "&amp;IFERROR(VLOOKUP(TRIM(D452)&amp;"_"&amp;TRIM(INDEX($E$1:$I$1, MATCH(MIN(E452:I452), E452:I452, 0))), 技能库!$A:$F, 6, 0),"请针对该题型加强练习"), "🎉 表现优异，无明显弱项！"))</f>
        <v/>
      </c>
      <c r="AA452" s="5" t="str">
        <f>IF(T452="","", IF(U452&lt;=3, "⚠️ 薄弱环节: "&amp;INDEX($M$1:$S$1, MATCH(MIN(M452:S452), M452:S452, 0))&amp;CHAR(10)&amp;"📉 考察能力: "&amp;IFERROR(VLOOKUP(TRIM(D452)&amp;"_"&amp;TRIM(INDEX($M$1:$S$1, MATCH(MIN(M452:S452), M452:S452, 0))), 技能库!$A:$F, 5, 0),"建议查阅考纲")&amp;CHAR(10)&amp;"💡 提升建议: "&amp;IFERROR(VLOOKUP(TRIM(D452)&amp;"_"&amp;TRIM(INDEX($M$1:$S$1, MATCH(MIN(M452:S452), M452:S452, 0))), 技能库!$A:$F, 6, 0),"请针对该题型加强练习"), "🎉 表现优异，无明显弱项！"))</f>
        <v/>
      </c>
    </row>
    <row r="453" spans="10:27" ht="18" hidden="1" customHeight="1" x14ac:dyDescent="0.2">
      <c r="J453" t="str">
        <f t="shared" si="21"/>
        <v/>
      </c>
      <c r="K453" t="str">
        <f>IF(J453="","", IFERROR(VLOOKUP(J453, IF(D453="Movers", 换算标准!$C:$D, 换算标准!$I:$J), 2, TRUE), 0))</f>
        <v/>
      </c>
      <c r="T453" t="str">
        <f t="shared" si="22"/>
        <v/>
      </c>
      <c r="U453" t="str">
        <f>IF(T453="","", IFERROR(VLOOKUP(T453, IF(D453="Movers", 换算标准!$A:$B, 换算标准!$G:$H), 2, TRUE), 0))</f>
        <v/>
      </c>
      <c r="W453" t="str">
        <f t="shared" si="23"/>
        <v/>
      </c>
      <c r="Z453" s="5" t="str">
        <f>IF(J453="","", IF(K453&lt;=3, "⚠️ 薄弱环节: "&amp;INDEX($E$1:$I$1, MATCH(MIN(E453:I453), E453:I453, 0))&amp;CHAR(10)&amp;"📉 考察能力: "&amp;IFERROR(VLOOKUP(TRIM(D453)&amp;"_"&amp;TRIM(INDEX($E$1:$I$1, MATCH(MIN(E453:I453), E453:I453, 0))), 技能库!$A:$F, 5, 0),"建议查阅考纲")&amp;CHAR(10)&amp;"💡 提升建议: "&amp;IFERROR(VLOOKUP(TRIM(D453)&amp;"_"&amp;TRIM(INDEX($E$1:$I$1, MATCH(MIN(E453:I453), E453:I453, 0))), 技能库!$A:$F, 6, 0),"请针对该题型加强练习"), "🎉 表现优异，无明显弱项！"))</f>
        <v/>
      </c>
      <c r="AA453" s="5" t="str">
        <f>IF(T453="","", IF(U453&lt;=3, "⚠️ 薄弱环节: "&amp;INDEX($M$1:$S$1, MATCH(MIN(M453:S453), M453:S453, 0))&amp;CHAR(10)&amp;"📉 考察能力: "&amp;IFERROR(VLOOKUP(TRIM(D453)&amp;"_"&amp;TRIM(INDEX($M$1:$S$1, MATCH(MIN(M453:S453), M453:S453, 0))), 技能库!$A:$F, 5, 0),"建议查阅考纲")&amp;CHAR(10)&amp;"💡 提升建议: "&amp;IFERROR(VLOOKUP(TRIM(D453)&amp;"_"&amp;TRIM(INDEX($M$1:$S$1, MATCH(MIN(M453:S453), M453:S453, 0))), 技能库!$A:$F, 6, 0),"请针对该题型加强练习"), "🎉 表现优异，无明显弱项！"))</f>
        <v/>
      </c>
    </row>
    <row r="454" spans="10:27" ht="18" hidden="1" customHeight="1" x14ac:dyDescent="0.2">
      <c r="J454" t="str">
        <f t="shared" si="21"/>
        <v/>
      </c>
      <c r="K454" t="str">
        <f>IF(J454="","", IFERROR(VLOOKUP(J454, IF(D454="Movers", 换算标准!$C:$D, 换算标准!$I:$J), 2, TRUE), 0))</f>
        <v/>
      </c>
      <c r="T454" t="str">
        <f t="shared" si="22"/>
        <v/>
      </c>
      <c r="U454" t="str">
        <f>IF(T454="","", IFERROR(VLOOKUP(T454, IF(D454="Movers", 换算标准!$A:$B, 换算标准!$G:$H), 2, TRUE), 0))</f>
        <v/>
      </c>
      <c r="W454" t="str">
        <f t="shared" si="23"/>
        <v/>
      </c>
      <c r="Z454" s="5" t="str">
        <f>IF(J454="","", IF(K454&lt;=3, "⚠️ 薄弱环节: "&amp;INDEX($E$1:$I$1, MATCH(MIN(E454:I454), E454:I454, 0))&amp;CHAR(10)&amp;"📉 考察能力: "&amp;IFERROR(VLOOKUP(TRIM(D454)&amp;"_"&amp;TRIM(INDEX($E$1:$I$1, MATCH(MIN(E454:I454), E454:I454, 0))), 技能库!$A:$F, 5, 0),"建议查阅考纲")&amp;CHAR(10)&amp;"💡 提升建议: "&amp;IFERROR(VLOOKUP(TRIM(D454)&amp;"_"&amp;TRIM(INDEX($E$1:$I$1, MATCH(MIN(E454:I454), E454:I454, 0))), 技能库!$A:$F, 6, 0),"请针对该题型加强练习"), "🎉 表现优异，无明显弱项！"))</f>
        <v/>
      </c>
      <c r="AA454" s="5" t="str">
        <f>IF(T454="","", IF(U454&lt;=3, "⚠️ 薄弱环节: "&amp;INDEX($M$1:$S$1, MATCH(MIN(M454:S454), M454:S454, 0))&amp;CHAR(10)&amp;"📉 考察能力: "&amp;IFERROR(VLOOKUP(TRIM(D454)&amp;"_"&amp;TRIM(INDEX($M$1:$S$1, MATCH(MIN(M454:S454), M454:S454, 0))), 技能库!$A:$F, 5, 0),"建议查阅考纲")&amp;CHAR(10)&amp;"💡 提升建议: "&amp;IFERROR(VLOOKUP(TRIM(D454)&amp;"_"&amp;TRIM(INDEX($M$1:$S$1, MATCH(MIN(M454:S454), M454:S454, 0))), 技能库!$A:$F, 6, 0),"请针对该题型加强练习"), "🎉 表现优异，无明显弱项！"))</f>
        <v/>
      </c>
    </row>
    <row r="455" spans="10:27" ht="18" hidden="1" customHeight="1" x14ac:dyDescent="0.2">
      <c r="J455" t="str">
        <f t="shared" si="21"/>
        <v/>
      </c>
      <c r="K455" t="str">
        <f>IF(J455="","", IFERROR(VLOOKUP(J455, IF(D455="Movers", 换算标准!$C:$D, 换算标准!$I:$J), 2, TRUE), 0))</f>
        <v/>
      </c>
      <c r="T455" t="str">
        <f t="shared" si="22"/>
        <v/>
      </c>
      <c r="U455" t="str">
        <f>IF(T455="","", IFERROR(VLOOKUP(T455, IF(D455="Movers", 换算标准!$A:$B, 换算标准!$G:$H), 2, TRUE), 0))</f>
        <v/>
      </c>
      <c r="W455" t="str">
        <f t="shared" si="23"/>
        <v/>
      </c>
      <c r="Z455" s="5" t="str">
        <f>IF(J455="","", IF(K455&lt;=3, "⚠️ 薄弱环节: "&amp;INDEX($E$1:$I$1, MATCH(MIN(E455:I455), E455:I455, 0))&amp;CHAR(10)&amp;"📉 考察能力: "&amp;IFERROR(VLOOKUP(TRIM(D455)&amp;"_"&amp;TRIM(INDEX($E$1:$I$1, MATCH(MIN(E455:I455), E455:I455, 0))), 技能库!$A:$F, 5, 0),"建议查阅考纲")&amp;CHAR(10)&amp;"💡 提升建议: "&amp;IFERROR(VLOOKUP(TRIM(D455)&amp;"_"&amp;TRIM(INDEX($E$1:$I$1, MATCH(MIN(E455:I455), E455:I455, 0))), 技能库!$A:$F, 6, 0),"请针对该题型加强练习"), "🎉 表现优异，无明显弱项！"))</f>
        <v/>
      </c>
      <c r="AA455" s="5" t="str">
        <f>IF(T455="","", IF(U455&lt;=3, "⚠️ 薄弱环节: "&amp;INDEX($M$1:$S$1, MATCH(MIN(M455:S455), M455:S455, 0))&amp;CHAR(10)&amp;"📉 考察能力: "&amp;IFERROR(VLOOKUP(TRIM(D455)&amp;"_"&amp;TRIM(INDEX($M$1:$S$1, MATCH(MIN(M455:S455), M455:S455, 0))), 技能库!$A:$F, 5, 0),"建议查阅考纲")&amp;CHAR(10)&amp;"💡 提升建议: "&amp;IFERROR(VLOOKUP(TRIM(D455)&amp;"_"&amp;TRIM(INDEX($M$1:$S$1, MATCH(MIN(M455:S455), M455:S455, 0))), 技能库!$A:$F, 6, 0),"请针对该题型加强练习"), "🎉 表现优异，无明显弱项！"))</f>
        <v/>
      </c>
    </row>
    <row r="456" spans="10:27" ht="18" hidden="1" customHeight="1" x14ac:dyDescent="0.2">
      <c r="J456" t="str">
        <f t="shared" si="21"/>
        <v/>
      </c>
      <c r="K456" t="str">
        <f>IF(J456="","", IFERROR(VLOOKUP(J456, IF(D456="Movers", 换算标准!$C:$D, 换算标准!$I:$J), 2, TRUE), 0))</f>
        <v/>
      </c>
      <c r="T456" t="str">
        <f t="shared" si="22"/>
        <v/>
      </c>
      <c r="U456" t="str">
        <f>IF(T456="","", IFERROR(VLOOKUP(T456, IF(D456="Movers", 换算标准!$A:$B, 换算标准!$G:$H), 2, TRUE), 0))</f>
        <v/>
      </c>
      <c r="W456" t="str">
        <f t="shared" si="23"/>
        <v/>
      </c>
      <c r="Z456" s="5" t="str">
        <f>IF(J456="","", IF(K456&lt;=3, "⚠️ 薄弱环节: "&amp;INDEX($E$1:$I$1, MATCH(MIN(E456:I456), E456:I456, 0))&amp;CHAR(10)&amp;"📉 考察能力: "&amp;IFERROR(VLOOKUP(TRIM(D456)&amp;"_"&amp;TRIM(INDEX($E$1:$I$1, MATCH(MIN(E456:I456), E456:I456, 0))), 技能库!$A:$F, 5, 0),"建议查阅考纲")&amp;CHAR(10)&amp;"💡 提升建议: "&amp;IFERROR(VLOOKUP(TRIM(D456)&amp;"_"&amp;TRIM(INDEX($E$1:$I$1, MATCH(MIN(E456:I456), E456:I456, 0))), 技能库!$A:$F, 6, 0),"请针对该题型加强练习"), "🎉 表现优异，无明显弱项！"))</f>
        <v/>
      </c>
      <c r="AA456" s="5" t="str">
        <f>IF(T456="","", IF(U456&lt;=3, "⚠️ 薄弱环节: "&amp;INDEX($M$1:$S$1, MATCH(MIN(M456:S456), M456:S456, 0))&amp;CHAR(10)&amp;"📉 考察能力: "&amp;IFERROR(VLOOKUP(TRIM(D456)&amp;"_"&amp;TRIM(INDEX($M$1:$S$1, MATCH(MIN(M456:S456), M456:S456, 0))), 技能库!$A:$F, 5, 0),"建议查阅考纲")&amp;CHAR(10)&amp;"💡 提升建议: "&amp;IFERROR(VLOOKUP(TRIM(D456)&amp;"_"&amp;TRIM(INDEX($M$1:$S$1, MATCH(MIN(M456:S456), M456:S456, 0))), 技能库!$A:$F, 6, 0),"请针对该题型加强练习"), "🎉 表现优异，无明显弱项！"))</f>
        <v/>
      </c>
    </row>
    <row r="457" spans="10:27" ht="18" hidden="1" customHeight="1" x14ac:dyDescent="0.2">
      <c r="J457" t="str">
        <f t="shared" si="21"/>
        <v/>
      </c>
      <c r="K457" t="str">
        <f>IF(J457="","", IFERROR(VLOOKUP(J457, IF(D457="Movers", 换算标准!$C:$D, 换算标准!$I:$J), 2, TRUE), 0))</f>
        <v/>
      </c>
      <c r="T457" t="str">
        <f t="shared" si="22"/>
        <v/>
      </c>
      <c r="U457" t="str">
        <f>IF(T457="","", IFERROR(VLOOKUP(T457, IF(D457="Movers", 换算标准!$A:$B, 换算标准!$G:$H), 2, TRUE), 0))</f>
        <v/>
      </c>
      <c r="W457" t="str">
        <f t="shared" si="23"/>
        <v/>
      </c>
      <c r="Z457" s="5" t="str">
        <f>IF(J457="","", IF(K457&lt;=3, "⚠️ 薄弱环节: "&amp;INDEX($E$1:$I$1, MATCH(MIN(E457:I457), E457:I457, 0))&amp;CHAR(10)&amp;"📉 考察能力: "&amp;IFERROR(VLOOKUP(TRIM(D457)&amp;"_"&amp;TRIM(INDEX($E$1:$I$1, MATCH(MIN(E457:I457), E457:I457, 0))), 技能库!$A:$F, 5, 0),"建议查阅考纲")&amp;CHAR(10)&amp;"💡 提升建议: "&amp;IFERROR(VLOOKUP(TRIM(D457)&amp;"_"&amp;TRIM(INDEX($E$1:$I$1, MATCH(MIN(E457:I457), E457:I457, 0))), 技能库!$A:$F, 6, 0),"请针对该题型加强练习"), "🎉 表现优异，无明显弱项！"))</f>
        <v/>
      </c>
      <c r="AA457" s="5" t="str">
        <f>IF(T457="","", IF(U457&lt;=3, "⚠️ 薄弱环节: "&amp;INDEX($M$1:$S$1, MATCH(MIN(M457:S457), M457:S457, 0))&amp;CHAR(10)&amp;"📉 考察能力: "&amp;IFERROR(VLOOKUP(TRIM(D457)&amp;"_"&amp;TRIM(INDEX($M$1:$S$1, MATCH(MIN(M457:S457), M457:S457, 0))), 技能库!$A:$F, 5, 0),"建议查阅考纲")&amp;CHAR(10)&amp;"💡 提升建议: "&amp;IFERROR(VLOOKUP(TRIM(D457)&amp;"_"&amp;TRIM(INDEX($M$1:$S$1, MATCH(MIN(M457:S457), M457:S457, 0))), 技能库!$A:$F, 6, 0),"请针对该题型加强练习"), "🎉 表现优异，无明显弱项！"))</f>
        <v/>
      </c>
    </row>
    <row r="458" spans="10:27" ht="18" hidden="1" customHeight="1" x14ac:dyDescent="0.2">
      <c r="J458" t="str">
        <f t="shared" si="21"/>
        <v/>
      </c>
      <c r="K458" t="str">
        <f>IF(J458="","", IFERROR(VLOOKUP(J458, IF(D458="Movers", 换算标准!$C:$D, 换算标准!$I:$J), 2, TRUE), 0))</f>
        <v/>
      </c>
      <c r="T458" t="str">
        <f t="shared" si="22"/>
        <v/>
      </c>
      <c r="U458" t="str">
        <f>IF(T458="","", IFERROR(VLOOKUP(T458, IF(D458="Movers", 换算标准!$A:$B, 换算标准!$G:$H), 2, TRUE), 0))</f>
        <v/>
      </c>
      <c r="W458" t="str">
        <f t="shared" si="23"/>
        <v/>
      </c>
      <c r="Z458" s="5" t="str">
        <f>IF(J458="","", IF(K458&lt;=3, "⚠️ 薄弱环节: "&amp;INDEX($E$1:$I$1, MATCH(MIN(E458:I458), E458:I458, 0))&amp;CHAR(10)&amp;"📉 考察能力: "&amp;IFERROR(VLOOKUP(TRIM(D458)&amp;"_"&amp;TRIM(INDEX($E$1:$I$1, MATCH(MIN(E458:I458), E458:I458, 0))), 技能库!$A:$F, 5, 0),"建议查阅考纲")&amp;CHAR(10)&amp;"💡 提升建议: "&amp;IFERROR(VLOOKUP(TRIM(D458)&amp;"_"&amp;TRIM(INDEX($E$1:$I$1, MATCH(MIN(E458:I458), E458:I458, 0))), 技能库!$A:$F, 6, 0),"请针对该题型加强练习"), "🎉 表现优异，无明显弱项！"))</f>
        <v/>
      </c>
      <c r="AA458" s="5" t="str">
        <f>IF(T458="","", IF(U458&lt;=3, "⚠️ 薄弱环节: "&amp;INDEX($M$1:$S$1, MATCH(MIN(M458:S458), M458:S458, 0))&amp;CHAR(10)&amp;"📉 考察能力: "&amp;IFERROR(VLOOKUP(TRIM(D458)&amp;"_"&amp;TRIM(INDEX($M$1:$S$1, MATCH(MIN(M458:S458), M458:S458, 0))), 技能库!$A:$F, 5, 0),"建议查阅考纲")&amp;CHAR(10)&amp;"💡 提升建议: "&amp;IFERROR(VLOOKUP(TRIM(D458)&amp;"_"&amp;TRIM(INDEX($M$1:$S$1, MATCH(MIN(M458:S458), M458:S458, 0))), 技能库!$A:$F, 6, 0),"请针对该题型加强练习"), "🎉 表现优异，无明显弱项！"))</f>
        <v/>
      </c>
    </row>
    <row r="459" spans="10:27" ht="18" hidden="1" customHeight="1" x14ac:dyDescent="0.2">
      <c r="J459" t="str">
        <f t="shared" si="21"/>
        <v/>
      </c>
      <c r="K459" t="str">
        <f>IF(J459="","", IFERROR(VLOOKUP(J459, IF(D459="Movers", 换算标准!$C:$D, 换算标准!$I:$J), 2, TRUE), 0))</f>
        <v/>
      </c>
      <c r="T459" t="str">
        <f t="shared" si="22"/>
        <v/>
      </c>
      <c r="U459" t="str">
        <f>IF(T459="","", IFERROR(VLOOKUP(T459, IF(D459="Movers", 换算标准!$A:$B, 换算标准!$G:$H), 2, TRUE), 0))</f>
        <v/>
      </c>
      <c r="W459" t="str">
        <f t="shared" si="23"/>
        <v/>
      </c>
      <c r="Z459" s="5" t="str">
        <f>IF(J459="","", IF(K459&lt;=3, "⚠️ 薄弱环节: "&amp;INDEX($E$1:$I$1, MATCH(MIN(E459:I459), E459:I459, 0))&amp;CHAR(10)&amp;"📉 考察能力: "&amp;IFERROR(VLOOKUP(TRIM(D459)&amp;"_"&amp;TRIM(INDEX($E$1:$I$1, MATCH(MIN(E459:I459), E459:I459, 0))), 技能库!$A:$F, 5, 0),"建议查阅考纲")&amp;CHAR(10)&amp;"💡 提升建议: "&amp;IFERROR(VLOOKUP(TRIM(D459)&amp;"_"&amp;TRIM(INDEX($E$1:$I$1, MATCH(MIN(E459:I459), E459:I459, 0))), 技能库!$A:$F, 6, 0),"请针对该题型加强练习"), "🎉 表现优异，无明显弱项！"))</f>
        <v/>
      </c>
      <c r="AA459" s="5" t="str">
        <f>IF(T459="","", IF(U459&lt;=3, "⚠️ 薄弱环节: "&amp;INDEX($M$1:$S$1, MATCH(MIN(M459:S459), M459:S459, 0))&amp;CHAR(10)&amp;"📉 考察能力: "&amp;IFERROR(VLOOKUP(TRIM(D459)&amp;"_"&amp;TRIM(INDEX($M$1:$S$1, MATCH(MIN(M459:S459), M459:S459, 0))), 技能库!$A:$F, 5, 0),"建议查阅考纲")&amp;CHAR(10)&amp;"💡 提升建议: "&amp;IFERROR(VLOOKUP(TRIM(D459)&amp;"_"&amp;TRIM(INDEX($M$1:$S$1, MATCH(MIN(M459:S459), M459:S459, 0))), 技能库!$A:$F, 6, 0),"请针对该题型加强练习"), "🎉 表现优异，无明显弱项！"))</f>
        <v/>
      </c>
    </row>
    <row r="460" spans="10:27" ht="18" hidden="1" customHeight="1" x14ac:dyDescent="0.2">
      <c r="J460" t="str">
        <f t="shared" si="21"/>
        <v/>
      </c>
      <c r="K460" t="str">
        <f>IF(J460="","", IFERROR(VLOOKUP(J460, IF(D460="Movers", 换算标准!$C:$D, 换算标准!$I:$J), 2, TRUE), 0))</f>
        <v/>
      </c>
      <c r="T460" t="str">
        <f t="shared" si="22"/>
        <v/>
      </c>
      <c r="U460" t="str">
        <f>IF(T460="","", IFERROR(VLOOKUP(T460, IF(D460="Movers", 换算标准!$A:$B, 换算标准!$G:$H), 2, TRUE), 0))</f>
        <v/>
      </c>
      <c r="W460" t="str">
        <f t="shared" si="23"/>
        <v/>
      </c>
      <c r="Z460" s="5" t="str">
        <f>IF(J460="","", IF(K460&lt;=3, "⚠️ 薄弱环节: "&amp;INDEX($E$1:$I$1, MATCH(MIN(E460:I460), E460:I460, 0))&amp;CHAR(10)&amp;"📉 考察能力: "&amp;IFERROR(VLOOKUP(TRIM(D460)&amp;"_"&amp;TRIM(INDEX($E$1:$I$1, MATCH(MIN(E460:I460), E460:I460, 0))), 技能库!$A:$F, 5, 0),"建议查阅考纲")&amp;CHAR(10)&amp;"💡 提升建议: "&amp;IFERROR(VLOOKUP(TRIM(D460)&amp;"_"&amp;TRIM(INDEX($E$1:$I$1, MATCH(MIN(E460:I460), E460:I460, 0))), 技能库!$A:$F, 6, 0),"请针对该题型加强练习"), "🎉 表现优异，无明显弱项！"))</f>
        <v/>
      </c>
      <c r="AA460" s="5" t="str">
        <f>IF(T460="","", IF(U460&lt;=3, "⚠️ 薄弱环节: "&amp;INDEX($M$1:$S$1, MATCH(MIN(M460:S460), M460:S460, 0))&amp;CHAR(10)&amp;"📉 考察能力: "&amp;IFERROR(VLOOKUP(TRIM(D460)&amp;"_"&amp;TRIM(INDEX($M$1:$S$1, MATCH(MIN(M460:S460), M460:S460, 0))), 技能库!$A:$F, 5, 0),"建议查阅考纲")&amp;CHAR(10)&amp;"💡 提升建议: "&amp;IFERROR(VLOOKUP(TRIM(D460)&amp;"_"&amp;TRIM(INDEX($M$1:$S$1, MATCH(MIN(M460:S460), M460:S460, 0))), 技能库!$A:$F, 6, 0),"请针对该题型加强练习"), "🎉 表现优异，无明显弱项！"))</f>
        <v/>
      </c>
    </row>
    <row r="461" spans="10:27" ht="18" hidden="1" customHeight="1" x14ac:dyDescent="0.2">
      <c r="J461" t="str">
        <f t="shared" si="21"/>
        <v/>
      </c>
      <c r="K461" t="str">
        <f>IF(J461="","", IFERROR(VLOOKUP(J461, IF(D461="Movers", 换算标准!$C:$D, 换算标准!$I:$J), 2, TRUE), 0))</f>
        <v/>
      </c>
      <c r="T461" t="str">
        <f t="shared" si="22"/>
        <v/>
      </c>
      <c r="U461" t="str">
        <f>IF(T461="","", IFERROR(VLOOKUP(T461, IF(D461="Movers", 换算标准!$A:$B, 换算标准!$G:$H), 2, TRUE), 0))</f>
        <v/>
      </c>
      <c r="W461" t="str">
        <f t="shared" si="23"/>
        <v/>
      </c>
      <c r="Z461" s="5" t="str">
        <f>IF(J461="","", IF(K461&lt;=3, "⚠️ 薄弱环节: "&amp;INDEX($E$1:$I$1, MATCH(MIN(E461:I461), E461:I461, 0))&amp;CHAR(10)&amp;"📉 考察能力: "&amp;IFERROR(VLOOKUP(TRIM(D461)&amp;"_"&amp;TRIM(INDEX($E$1:$I$1, MATCH(MIN(E461:I461), E461:I461, 0))), 技能库!$A:$F, 5, 0),"建议查阅考纲")&amp;CHAR(10)&amp;"💡 提升建议: "&amp;IFERROR(VLOOKUP(TRIM(D461)&amp;"_"&amp;TRIM(INDEX($E$1:$I$1, MATCH(MIN(E461:I461), E461:I461, 0))), 技能库!$A:$F, 6, 0),"请针对该题型加强练习"), "🎉 表现优异，无明显弱项！"))</f>
        <v/>
      </c>
      <c r="AA461" s="5" t="str">
        <f>IF(T461="","", IF(U461&lt;=3, "⚠️ 薄弱环节: "&amp;INDEX($M$1:$S$1, MATCH(MIN(M461:S461), M461:S461, 0))&amp;CHAR(10)&amp;"📉 考察能力: "&amp;IFERROR(VLOOKUP(TRIM(D461)&amp;"_"&amp;TRIM(INDEX($M$1:$S$1, MATCH(MIN(M461:S461), M461:S461, 0))), 技能库!$A:$F, 5, 0),"建议查阅考纲")&amp;CHAR(10)&amp;"💡 提升建议: "&amp;IFERROR(VLOOKUP(TRIM(D461)&amp;"_"&amp;TRIM(INDEX($M$1:$S$1, MATCH(MIN(M461:S461), M461:S461, 0))), 技能库!$A:$F, 6, 0),"请针对该题型加强练习"), "🎉 表现优异，无明显弱项！"))</f>
        <v/>
      </c>
    </row>
    <row r="462" spans="10:27" ht="18" hidden="1" customHeight="1" x14ac:dyDescent="0.2">
      <c r="J462" t="str">
        <f t="shared" si="21"/>
        <v/>
      </c>
      <c r="K462" t="str">
        <f>IF(J462="","", IFERROR(VLOOKUP(J462, IF(D462="Movers", 换算标准!$C:$D, 换算标准!$I:$J), 2, TRUE), 0))</f>
        <v/>
      </c>
      <c r="T462" t="str">
        <f t="shared" si="22"/>
        <v/>
      </c>
      <c r="U462" t="str">
        <f>IF(T462="","", IFERROR(VLOOKUP(T462, IF(D462="Movers", 换算标准!$A:$B, 换算标准!$G:$H), 2, TRUE), 0))</f>
        <v/>
      </c>
      <c r="W462" t="str">
        <f t="shared" si="23"/>
        <v/>
      </c>
      <c r="Z462" s="5" t="str">
        <f>IF(J462="","", IF(K462&lt;=3, "⚠️ 薄弱环节: "&amp;INDEX($E$1:$I$1, MATCH(MIN(E462:I462), E462:I462, 0))&amp;CHAR(10)&amp;"📉 考察能力: "&amp;IFERROR(VLOOKUP(TRIM(D462)&amp;"_"&amp;TRIM(INDEX($E$1:$I$1, MATCH(MIN(E462:I462), E462:I462, 0))), 技能库!$A:$F, 5, 0),"建议查阅考纲")&amp;CHAR(10)&amp;"💡 提升建议: "&amp;IFERROR(VLOOKUP(TRIM(D462)&amp;"_"&amp;TRIM(INDEX($E$1:$I$1, MATCH(MIN(E462:I462), E462:I462, 0))), 技能库!$A:$F, 6, 0),"请针对该题型加强练习"), "🎉 表现优异，无明显弱项！"))</f>
        <v/>
      </c>
      <c r="AA462" s="5" t="str">
        <f>IF(T462="","", IF(U462&lt;=3, "⚠️ 薄弱环节: "&amp;INDEX($M$1:$S$1, MATCH(MIN(M462:S462), M462:S462, 0))&amp;CHAR(10)&amp;"📉 考察能力: "&amp;IFERROR(VLOOKUP(TRIM(D462)&amp;"_"&amp;TRIM(INDEX($M$1:$S$1, MATCH(MIN(M462:S462), M462:S462, 0))), 技能库!$A:$F, 5, 0),"建议查阅考纲")&amp;CHAR(10)&amp;"💡 提升建议: "&amp;IFERROR(VLOOKUP(TRIM(D462)&amp;"_"&amp;TRIM(INDEX($M$1:$S$1, MATCH(MIN(M462:S462), M462:S462, 0))), 技能库!$A:$F, 6, 0),"请针对该题型加强练习"), "🎉 表现优异，无明显弱项！"))</f>
        <v/>
      </c>
    </row>
    <row r="463" spans="10:27" ht="18" hidden="1" customHeight="1" x14ac:dyDescent="0.2">
      <c r="J463" t="str">
        <f t="shared" si="21"/>
        <v/>
      </c>
      <c r="K463" t="str">
        <f>IF(J463="","", IFERROR(VLOOKUP(J463, IF(D463="Movers", 换算标准!$C:$D, 换算标准!$I:$J), 2, TRUE), 0))</f>
        <v/>
      </c>
      <c r="T463" t="str">
        <f t="shared" si="22"/>
        <v/>
      </c>
      <c r="U463" t="str">
        <f>IF(T463="","", IFERROR(VLOOKUP(T463, IF(D463="Movers", 换算标准!$A:$B, 换算标准!$G:$H), 2, TRUE), 0))</f>
        <v/>
      </c>
      <c r="W463" t="str">
        <f t="shared" si="23"/>
        <v/>
      </c>
      <c r="Z463" s="5" t="str">
        <f>IF(J463="","", IF(K463&lt;=3, "⚠️ 薄弱环节: "&amp;INDEX($E$1:$I$1, MATCH(MIN(E463:I463), E463:I463, 0))&amp;CHAR(10)&amp;"📉 考察能力: "&amp;IFERROR(VLOOKUP(TRIM(D463)&amp;"_"&amp;TRIM(INDEX($E$1:$I$1, MATCH(MIN(E463:I463), E463:I463, 0))), 技能库!$A:$F, 5, 0),"建议查阅考纲")&amp;CHAR(10)&amp;"💡 提升建议: "&amp;IFERROR(VLOOKUP(TRIM(D463)&amp;"_"&amp;TRIM(INDEX($E$1:$I$1, MATCH(MIN(E463:I463), E463:I463, 0))), 技能库!$A:$F, 6, 0),"请针对该题型加强练习"), "🎉 表现优异，无明显弱项！"))</f>
        <v/>
      </c>
      <c r="AA463" s="5" t="str">
        <f>IF(T463="","", IF(U463&lt;=3, "⚠️ 薄弱环节: "&amp;INDEX($M$1:$S$1, MATCH(MIN(M463:S463), M463:S463, 0))&amp;CHAR(10)&amp;"📉 考察能力: "&amp;IFERROR(VLOOKUP(TRIM(D463)&amp;"_"&amp;TRIM(INDEX($M$1:$S$1, MATCH(MIN(M463:S463), M463:S463, 0))), 技能库!$A:$F, 5, 0),"建议查阅考纲")&amp;CHAR(10)&amp;"💡 提升建议: "&amp;IFERROR(VLOOKUP(TRIM(D463)&amp;"_"&amp;TRIM(INDEX($M$1:$S$1, MATCH(MIN(M463:S463), M463:S463, 0))), 技能库!$A:$F, 6, 0),"请针对该题型加强练习"), "🎉 表现优异，无明显弱项！"))</f>
        <v/>
      </c>
    </row>
    <row r="464" spans="10:27" ht="18" hidden="1" customHeight="1" x14ac:dyDescent="0.2">
      <c r="J464" t="str">
        <f t="shared" si="21"/>
        <v/>
      </c>
      <c r="K464" t="str">
        <f>IF(J464="","", IFERROR(VLOOKUP(J464, IF(D464="Movers", 换算标准!$C:$D, 换算标准!$I:$J), 2, TRUE), 0))</f>
        <v/>
      </c>
      <c r="T464" t="str">
        <f t="shared" si="22"/>
        <v/>
      </c>
      <c r="U464" t="str">
        <f>IF(T464="","", IFERROR(VLOOKUP(T464, IF(D464="Movers", 换算标准!$A:$B, 换算标准!$G:$H), 2, TRUE), 0))</f>
        <v/>
      </c>
      <c r="W464" t="str">
        <f t="shared" si="23"/>
        <v/>
      </c>
      <c r="Z464" s="5" t="str">
        <f>IF(J464="","", IF(K464&lt;=3, "⚠️ 薄弱环节: "&amp;INDEX($E$1:$I$1, MATCH(MIN(E464:I464), E464:I464, 0))&amp;CHAR(10)&amp;"📉 考察能力: "&amp;IFERROR(VLOOKUP(TRIM(D464)&amp;"_"&amp;TRIM(INDEX($E$1:$I$1, MATCH(MIN(E464:I464), E464:I464, 0))), 技能库!$A:$F, 5, 0),"建议查阅考纲")&amp;CHAR(10)&amp;"💡 提升建议: "&amp;IFERROR(VLOOKUP(TRIM(D464)&amp;"_"&amp;TRIM(INDEX($E$1:$I$1, MATCH(MIN(E464:I464), E464:I464, 0))), 技能库!$A:$F, 6, 0),"请针对该题型加强练习"), "🎉 表现优异，无明显弱项！"))</f>
        <v/>
      </c>
      <c r="AA464" s="5" t="str">
        <f>IF(T464="","", IF(U464&lt;=3, "⚠️ 薄弱环节: "&amp;INDEX($M$1:$S$1, MATCH(MIN(M464:S464), M464:S464, 0))&amp;CHAR(10)&amp;"📉 考察能力: "&amp;IFERROR(VLOOKUP(TRIM(D464)&amp;"_"&amp;TRIM(INDEX($M$1:$S$1, MATCH(MIN(M464:S464), M464:S464, 0))), 技能库!$A:$F, 5, 0),"建议查阅考纲")&amp;CHAR(10)&amp;"💡 提升建议: "&amp;IFERROR(VLOOKUP(TRIM(D464)&amp;"_"&amp;TRIM(INDEX($M$1:$S$1, MATCH(MIN(M464:S464), M464:S464, 0))), 技能库!$A:$F, 6, 0),"请针对该题型加强练习"), "🎉 表现优异，无明显弱项！"))</f>
        <v/>
      </c>
    </row>
    <row r="465" spans="10:27" ht="18" hidden="1" customHeight="1" x14ac:dyDescent="0.2">
      <c r="J465" t="str">
        <f t="shared" si="21"/>
        <v/>
      </c>
      <c r="K465" t="str">
        <f>IF(J465="","", IFERROR(VLOOKUP(J465, IF(D465="Movers", 换算标准!$C:$D, 换算标准!$I:$J), 2, TRUE), 0))</f>
        <v/>
      </c>
      <c r="T465" t="str">
        <f t="shared" si="22"/>
        <v/>
      </c>
      <c r="U465" t="str">
        <f>IF(T465="","", IFERROR(VLOOKUP(T465, IF(D465="Movers", 换算标准!$A:$B, 换算标准!$G:$H), 2, TRUE), 0))</f>
        <v/>
      </c>
      <c r="W465" t="str">
        <f t="shared" si="23"/>
        <v/>
      </c>
      <c r="Z465" s="5" t="str">
        <f>IF(J465="","", IF(K465&lt;=3, "⚠️ 薄弱环节: "&amp;INDEX($E$1:$I$1, MATCH(MIN(E465:I465), E465:I465, 0))&amp;CHAR(10)&amp;"📉 考察能力: "&amp;IFERROR(VLOOKUP(TRIM(D465)&amp;"_"&amp;TRIM(INDEX($E$1:$I$1, MATCH(MIN(E465:I465), E465:I465, 0))), 技能库!$A:$F, 5, 0),"建议查阅考纲")&amp;CHAR(10)&amp;"💡 提升建议: "&amp;IFERROR(VLOOKUP(TRIM(D465)&amp;"_"&amp;TRIM(INDEX($E$1:$I$1, MATCH(MIN(E465:I465), E465:I465, 0))), 技能库!$A:$F, 6, 0),"请针对该题型加强练习"), "🎉 表现优异，无明显弱项！"))</f>
        <v/>
      </c>
      <c r="AA465" s="5" t="str">
        <f>IF(T465="","", IF(U465&lt;=3, "⚠️ 薄弱环节: "&amp;INDEX($M$1:$S$1, MATCH(MIN(M465:S465), M465:S465, 0))&amp;CHAR(10)&amp;"📉 考察能力: "&amp;IFERROR(VLOOKUP(TRIM(D465)&amp;"_"&amp;TRIM(INDEX($M$1:$S$1, MATCH(MIN(M465:S465), M465:S465, 0))), 技能库!$A:$F, 5, 0),"建议查阅考纲")&amp;CHAR(10)&amp;"💡 提升建议: "&amp;IFERROR(VLOOKUP(TRIM(D465)&amp;"_"&amp;TRIM(INDEX($M$1:$S$1, MATCH(MIN(M465:S465), M465:S465, 0))), 技能库!$A:$F, 6, 0),"请针对该题型加强练习"), "🎉 表现优异，无明显弱项！"))</f>
        <v/>
      </c>
    </row>
    <row r="466" spans="10:27" ht="18" hidden="1" customHeight="1" x14ac:dyDescent="0.2">
      <c r="J466" t="str">
        <f t="shared" si="21"/>
        <v/>
      </c>
      <c r="K466" t="str">
        <f>IF(J466="","", IFERROR(VLOOKUP(J466, IF(D466="Movers", 换算标准!$C:$D, 换算标准!$I:$J), 2, TRUE), 0))</f>
        <v/>
      </c>
      <c r="T466" t="str">
        <f t="shared" si="22"/>
        <v/>
      </c>
      <c r="U466" t="str">
        <f>IF(T466="","", IFERROR(VLOOKUP(T466, IF(D466="Movers", 换算标准!$A:$B, 换算标准!$G:$H), 2, TRUE), 0))</f>
        <v/>
      </c>
      <c r="W466" t="str">
        <f t="shared" si="23"/>
        <v/>
      </c>
      <c r="Z466" s="5" t="str">
        <f>IF(J466="","", IF(K466&lt;=3, "⚠️ 薄弱环节: "&amp;INDEX($E$1:$I$1, MATCH(MIN(E466:I466), E466:I466, 0))&amp;CHAR(10)&amp;"📉 考察能力: "&amp;IFERROR(VLOOKUP(TRIM(D466)&amp;"_"&amp;TRIM(INDEX($E$1:$I$1, MATCH(MIN(E466:I466), E466:I466, 0))), 技能库!$A:$F, 5, 0),"建议查阅考纲")&amp;CHAR(10)&amp;"💡 提升建议: "&amp;IFERROR(VLOOKUP(TRIM(D466)&amp;"_"&amp;TRIM(INDEX($E$1:$I$1, MATCH(MIN(E466:I466), E466:I466, 0))), 技能库!$A:$F, 6, 0),"请针对该题型加强练习"), "🎉 表现优异，无明显弱项！"))</f>
        <v/>
      </c>
      <c r="AA466" s="5" t="str">
        <f>IF(T466="","", IF(U466&lt;=3, "⚠️ 薄弱环节: "&amp;INDEX($M$1:$S$1, MATCH(MIN(M466:S466), M466:S466, 0))&amp;CHAR(10)&amp;"📉 考察能力: "&amp;IFERROR(VLOOKUP(TRIM(D466)&amp;"_"&amp;TRIM(INDEX($M$1:$S$1, MATCH(MIN(M466:S466), M466:S466, 0))), 技能库!$A:$F, 5, 0),"建议查阅考纲")&amp;CHAR(10)&amp;"💡 提升建议: "&amp;IFERROR(VLOOKUP(TRIM(D466)&amp;"_"&amp;TRIM(INDEX($M$1:$S$1, MATCH(MIN(M466:S466), M466:S466, 0))), 技能库!$A:$F, 6, 0),"请针对该题型加强练习"), "🎉 表现优异，无明显弱项！"))</f>
        <v/>
      </c>
    </row>
    <row r="467" spans="10:27" ht="18" hidden="1" customHeight="1" x14ac:dyDescent="0.2">
      <c r="J467" t="str">
        <f t="shared" si="21"/>
        <v/>
      </c>
      <c r="K467" t="str">
        <f>IF(J467="","", IFERROR(VLOOKUP(J467, IF(D467="Movers", 换算标准!$C:$D, 换算标准!$I:$J), 2, TRUE), 0))</f>
        <v/>
      </c>
      <c r="T467" t="str">
        <f t="shared" si="22"/>
        <v/>
      </c>
      <c r="U467" t="str">
        <f>IF(T467="","", IFERROR(VLOOKUP(T467, IF(D467="Movers", 换算标准!$A:$B, 换算标准!$G:$H), 2, TRUE), 0))</f>
        <v/>
      </c>
      <c r="W467" t="str">
        <f t="shared" si="23"/>
        <v/>
      </c>
      <c r="Z467" s="5" t="str">
        <f>IF(J467="","", IF(K467&lt;=3, "⚠️ 薄弱环节: "&amp;INDEX($E$1:$I$1, MATCH(MIN(E467:I467), E467:I467, 0))&amp;CHAR(10)&amp;"📉 考察能力: "&amp;IFERROR(VLOOKUP(TRIM(D467)&amp;"_"&amp;TRIM(INDEX($E$1:$I$1, MATCH(MIN(E467:I467), E467:I467, 0))), 技能库!$A:$F, 5, 0),"建议查阅考纲")&amp;CHAR(10)&amp;"💡 提升建议: "&amp;IFERROR(VLOOKUP(TRIM(D467)&amp;"_"&amp;TRIM(INDEX($E$1:$I$1, MATCH(MIN(E467:I467), E467:I467, 0))), 技能库!$A:$F, 6, 0),"请针对该题型加强练习"), "🎉 表现优异，无明显弱项！"))</f>
        <v/>
      </c>
      <c r="AA467" s="5" t="str">
        <f>IF(T467="","", IF(U467&lt;=3, "⚠️ 薄弱环节: "&amp;INDEX($M$1:$S$1, MATCH(MIN(M467:S467), M467:S467, 0))&amp;CHAR(10)&amp;"📉 考察能力: "&amp;IFERROR(VLOOKUP(TRIM(D467)&amp;"_"&amp;TRIM(INDEX($M$1:$S$1, MATCH(MIN(M467:S467), M467:S467, 0))), 技能库!$A:$F, 5, 0),"建议查阅考纲")&amp;CHAR(10)&amp;"💡 提升建议: "&amp;IFERROR(VLOOKUP(TRIM(D467)&amp;"_"&amp;TRIM(INDEX($M$1:$S$1, MATCH(MIN(M467:S467), M467:S467, 0))), 技能库!$A:$F, 6, 0),"请针对该题型加强练习"), "🎉 表现优异，无明显弱项！"))</f>
        <v/>
      </c>
    </row>
    <row r="468" spans="10:27" ht="18" hidden="1" customHeight="1" x14ac:dyDescent="0.2">
      <c r="J468" t="str">
        <f t="shared" si="21"/>
        <v/>
      </c>
      <c r="K468" t="str">
        <f>IF(J468="","", IFERROR(VLOOKUP(J468, IF(D468="Movers", 换算标准!$C:$D, 换算标准!$I:$J), 2, TRUE), 0))</f>
        <v/>
      </c>
      <c r="T468" t="str">
        <f t="shared" si="22"/>
        <v/>
      </c>
      <c r="U468" t="str">
        <f>IF(T468="","", IFERROR(VLOOKUP(T468, IF(D468="Movers", 换算标准!$A:$B, 换算标准!$G:$H), 2, TRUE), 0))</f>
        <v/>
      </c>
      <c r="W468" t="str">
        <f t="shared" si="23"/>
        <v/>
      </c>
      <c r="Z468" s="5" t="str">
        <f>IF(J468="","", IF(K468&lt;=3, "⚠️ 薄弱环节: "&amp;INDEX($E$1:$I$1, MATCH(MIN(E468:I468), E468:I468, 0))&amp;CHAR(10)&amp;"📉 考察能力: "&amp;IFERROR(VLOOKUP(TRIM(D468)&amp;"_"&amp;TRIM(INDEX($E$1:$I$1, MATCH(MIN(E468:I468), E468:I468, 0))), 技能库!$A:$F, 5, 0),"建议查阅考纲")&amp;CHAR(10)&amp;"💡 提升建议: "&amp;IFERROR(VLOOKUP(TRIM(D468)&amp;"_"&amp;TRIM(INDEX($E$1:$I$1, MATCH(MIN(E468:I468), E468:I468, 0))), 技能库!$A:$F, 6, 0),"请针对该题型加强练习"), "🎉 表现优异，无明显弱项！"))</f>
        <v/>
      </c>
      <c r="AA468" s="5" t="str">
        <f>IF(T468="","", IF(U468&lt;=3, "⚠️ 薄弱环节: "&amp;INDEX($M$1:$S$1, MATCH(MIN(M468:S468), M468:S468, 0))&amp;CHAR(10)&amp;"📉 考察能力: "&amp;IFERROR(VLOOKUP(TRIM(D468)&amp;"_"&amp;TRIM(INDEX($M$1:$S$1, MATCH(MIN(M468:S468), M468:S468, 0))), 技能库!$A:$F, 5, 0),"建议查阅考纲")&amp;CHAR(10)&amp;"💡 提升建议: "&amp;IFERROR(VLOOKUP(TRIM(D468)&amp;"_"&amp;TRIM(INDEX($M$1:$S$1, MATCH(MIN(M468:S468), M468:S468, 0))), 技能库!$A:$F, 6, 0),"请针对该题型加强练习"), "🎉 表现优异，无明显弱项！"))</f>
        <v/>
      </c>
    </row>
    <row r="469" spans="10:27" ht="18" hidden="1" customHeight="1" x14ac:dyDescent="0.2">
      <c r="J469" t="str">
        <f t="shared" si="21"/>
        <v/>
      </c>
      <c r="K469" t="str">
        <f>IF(J469="","", IFERROR(VLOOKUP(J469, IF(D469="Movers", 换算标准!$C:$D, 换算标准!$I:$J), 2, TRUE), 0))</f>
        <v/>
      </c>
      <c r="T469" t="str">
        <f t="shared" si="22"/>
        <v/>
      </c>
      <c r="U469" t="str">
        <f>IF(T469="","", IFERROR(VLOOKUP(T469, IF(D469="Movers", 换算标准!$A:$B, 换算标准!$G:$H), 2, TRUE), 0))</f>
        <v/>
      </c>
      <c r="W469" t="str">
        <f t="shared" si="23"/>
        <v/>
      </c>
      <c r="Z469" s="5" t="str">
        <f>IF(J469="","", IF(K469&lt;=3, "⚠️ 薄弱环节: "&amp;INDEX($E$1:$I$1, MATCH(MIN(E469:I469), E469:I469, 0))&amp;CHAR(10)&amp;"📉 考察能力: "&amp;IFERROR(VLOOKUP(TRIM(D469)&amp;"_"&amp;TRIM(INDEX($E$1:$I$1, MATCH(MIN(E469:I469), E469:I469, 0))), 技能库!$A:$F, 5, 0),"建议查阅考纲")&amp;CHAR(10)&amp;"💡 提升建议: "&amp;IFERROR(VLOOKUP(TRIM(D469)&amp;"_"&amp;TRIM(INDEX($E$1:$I$1, MATCH(MIN(E469:I469), E469:I469, 0))), 技能库!$A:$F, 6, 0),"请针对该题型加强练习"), "🎉 表现优异，无明显弱项！"))</f>
        <v/>
      </c>
      <c r="AA469" s="5" t="str">
        <f>IF(T469="","", IF(U469&lt;=3, "⚠️ 薄弱环节: "&amp;INDEX($M$1:$S$1, MATCH(MIN(M469:S469), M469:S469, 0))&amp;CHAR(10)&amp;"📉 考察能力: "&amp;IFERROR(VLOOKUP(TRIM(D469)&amp;"_"&amp;TRIM(INDEX($M$1:$S$1, MATCH(MIN(M469:S469), M469:S469, 0))), 技能库!$A:$F, 5, 0),"建议查阅考纲")&amp;CHAR(10)&amp;"💡 提升建议: "&amp;IFERROR(VLOOKUP(TRIM(D469)&amp;"_"&amp;TRIM(INDEX($M$1:$S$1, MATCH(MIN(M469:S469), M469:S469, 0))), 技能库!$A:$F, 6, 0),"请针对该题型加强练习"), "🎉 表现优异，无明显弱项！"))</f>
        <v/>
      </c>
    </row>
    <row r="470" spans="10:27" ht="18" hidden="1" customHeight="1" x14ac:dyDescent="0.2">
      <c r="J470" t="str">
        <f t="shared" si="21"/>
        <v/>
      </c>
      <c r="K470" t="str">
        <f>IF(J470="","", IFERROR(VLOOKUP(J470, IF(D470="Movers", 换算标准!$C:$D, 换算标准!$I:$J), 2, TRUE), 0))</f>
        <v/>
      </c>
      <c r="T470" t="str">
        <f t="shared" si="22"/>
        <v/>
      </c>
      <c r="U470" t="str">
        <f>IF(T470="","", IFERROR(VLOOKUP(T470, IF(D470="Movers", 换算标准!$A:$B, 换算标准!$G:$H), 2, TRUE), 0))</f>
        <v/>
      </c>
      <c r="W470" t="str">
        <f t="shared" si="23"/>
        <v/>
      </c>
      <c r="Z470" s="5" t="str">
        <f>IF(J470="","", IF(K470&lt;=3, "⚠️ 薄弱环节: "&amp;INDEX($E$1:$I$1, MATCH(MIN(E470:I470), E470:I470, 0))&amp;CHAR(10)&amp;"📉 考察能力: "&amp;IFERROR(VLOOKUP(TRIM(D470)&amp;"_"&amp;TRIM(INDEX($E$1:$I$1, MATCH(MIN(E470:I470), E470:I470, 0))), 技能库!$A:$F, 5, 0),"建议查阅考纲")&amp;CHAR(10)&amp;"💡 提升建议: "&amp;IFERROR(VLOOKUP(TRIM(D470)&amp;"_"&amp;TRIM(INDEX($E$1:$I$1, MATCH(MIN(E470:I470), E470:I470, 0))), 技能库!$A:$F, 6, 0),"请针对该题型加强练习"), "🎉 表现优异，无明显弱项！"))</f>
        <v/>
      </c>
      <c r="AA470" s="5" t="str">
        <f>IF(T470="","", IF(U470&lt;=3, "⚠️ 薄弱环节: "&amp;INDEX($M$1:$S$1, MATCH(MIN(M470:S470), M470:S470, 0))&amp;CHAR(10)&amp;"📉 考察能力: "&amp;IFERROR(VLOOKUP(TRIM(D470)&amp;"_"&amp;TRIM(INDEX($M$1:$S$1, MATCH(MIN(M470:S470), M470:S470, 0))), 技能库!$A:$F, 5, 0),"建议查阅考纲")&amp;CHAR(10)&amp;"💡 提升建议: "&amp;IFERROR(VLOOKUP(TRIM(D470)&amp;"_"&amp;TRIM(INDEX($M$1:$S$1, MATCH(MIN(M470:S470), M470:S470, 0))), 技能库!$A:$F, 6, 0),"请针对该题型加强练习"), "🎉 表现优异，无明显弱项！"))</f>
        <v/>
      </c>
    </row>
    <row r="471" spans="10:27" ht="18" hidden="1" customHeight="1" x14ac:dyDescent="0.2">
      <c r="J471" t="str">
        <f t="shared" si="21"/>
        <v/>
      </c>
      <c r="K471" t="str">
        <f>IF(J471="","", IFERROR(VLOOKUP(J471, IF(D471="Movers", 换算标准!$C:$D, 换算标准!$I:$J), 2, TRUE), 0))</f>
        <v/>
      </c>
      <c r="T471" t="str">
        <f t="shared" si="22"/>
        <v/>
      </c>
      <c r="U471" t="str">
        <f>IF(T471="","", IFERROR(VLOOKUP(T471, IF(D471="Movers", 换算标准!$A:$B, 换算标准!$G:$H), 2, TRUE), 0))</f>
        <v/>
      </c>
      <c r="W471" t="str">
        <f t="shared" si="23"/>
        <v/>
      </c>
      <c r="Z471" s="5" t="str">
        <f>IF(J471="","", IF(K471&lt;=3, "⚠️ 薄弱环节: "&amp;INDEX($E$1:$I$1, MATCH(MIN(E471:I471), E471:I471, 0))&amp;CHAR(10)&amp;"📉 考察能力: "&amp;IFERROR(VLOOKUP(TRIM(D471)&amp;"_"&amp;TRIM(INDEX($E$1:$I$1, MATCH(MIN(E471:I471), E471:I471, 0))), 技能库!$A:$F, 5, 0),"建议查阅考纲")&amp;CHAR(10)&amp;"💡 提升建议: "&amp;IFERROR(VLOOKUP(TRIM(D471)&amp;"_"&amp;TRIM(INDEX($E$1:$I$1, MATCH(MIN(E471:I471), E471:I471, 0))), 技能库!$A:$F, 6, 0),"请针对该题型加强练习"), "🎉 表现优异，无明显弱项！"))</f>
        <v/>
      </c>
      <c r="AA471" s="5" t="str">
        <f>IF(T471="","", IF(U471&lt;=3, "⚠️ 薄弱环节: "&amp;INDEX($M$1:$S$1, MATCH(MIN(M471:S471), M471:S471, 0))&amp;CHAR(10)&amp;"📉 考察能力: "&amp;IFERROR(VLOOKUP(TRIM(D471)&amp;"_"&amp;TRIM(INDEX($M$1:$S$1, MATCH(MIN(M471:S471), M471:S471, 0))), 技能库!$A:$F, 5, 0),"建议查阅考纲")&amp;CHAR(10)&amp;"💡 提升建议: "&amp;IFERROR(VLOOKUP(TRIM(D471)&amp;"_"&amp;TRIM(INDEX($M$1:$S$1, MATCH(MIN(M471:S471), M471:S471, 0))), 技能库!$A:$F, 6, 0),"请针对该题型加强练习"), "🎉 表现优异，无明显弱项！"))</f>
        <v/>
      </c>
    </row>
    <row r="472" spans="10:27" ht="18" hidden="1" customHeight="1" x14ac:dyDescent="0.2">
      <c r="J472" t="str">
        <f t="shared" si="21"/>
        <v/>
      </c>
      <c r="K472" t="str">
        <f>IF(J472="","", IFERROR(VLOOKUP(J472, IF(D472="Movers", 换算标准!$C:$D, 换算标准!$I:$J), 2, TRUE), 0))</f>
        <v/>
      </c>
      <c r="T472" t="str">
        <f t="shared" si="22"/>
        <v/>
      </c>
      <c r="U472" t="str">
        <f>IF(T472="","", IFERROR(VLOOKUP(T472, IF(D472="Movers", 换算标准!$A:$B, 换算标准!$G:$H), 2, TRUE), 0))</f>
        <v/>
      </c>
      <c r="W472" t="str">
        <f t="shared" si="23"/>
        <v/>
      </c>
      <c r="Z472" s="5" t="str">
        <f>IF(J472="","", IF(K472&lt;=3, "⚠️ 薄弱环节: "&amp;INDEX($E$1:$I$1, MATCH(MIN(E472:I472), E472:I472, 0))&amp;CHAR(10)&amp;"📉 考察能力: "&amp;IFERROR(VLOOKUP(TRIM(D472)&amp;"_"&amp;TRIM(INDEX($E$1:$I$1, MATCH(MIN(E472:I472), E472:I472, 0))), 技能库!$A:$F, 5, 0),"建议查阅考纲")&amp;CHAR(10)&amp;"💡 提升建议: "&amp;IFERROR(VLOOKUP(TRIM(D472)&amp;"_"&amp;TRIM(INDEX($E$1:$I$1, MATCH(MIN(E472:I472), E472:I472, 0))), 技能库!$A:$F, 6, 0),"请针对该题型加强练习"), "🎉 表现优异，无明显弱项！"))</f>
        <v/>
      </c>
      <c r="AA472" s="5" t="str">
        <f>IF(T472="","", IF(U472&lt;=3, "⚠️ 薄弱环节: "&amp;INDEX($M$1:$S$1, MATCH(MIN(M472:S472), M472:S472, 0))&amp;CHAR(10)&amp;"📉 考察能力: "&amp;IFERROR(VLOOKUP(TRIM(D472)&amp;"_"&amp;TRIM(INDEX($M$1:$S$1, MATCH(MIN(M472:S472), M472:S472, 0))), 技能库!$A:$F, 5, 0),"建议查阅考纲")&amp;CHAR(10)&amp;"💡 提升建议: "&amp;IFERROR(VLOOKUP(TRIM(D472)&amp;"_"&amp;TRIM(INDEX($M$1:$S$1, MATCH(MIN(M472:S472), M472:S472, 0))), 技能库!$A:$F, 6, 0),"请针对该题型加强练习"), "🎉 表现优异，无明显弱项！"))</f>
        <v/>
      </c>
    </row>
    <row r="473" spans="10:27" ht="18" hidden="1" customHeight="1" x14ac:dyDescent="0.2">
      <c r="J473" t="str">
        <f t="shared" si="21"/>
        <v/>
      </c>
      <c r="K473" t="str">
        <f>IF(J473="","", IFERROR(VLOOKUP(J473, IF(D473="Movers", 换算标准!$C:$D, 换算标准!$I:$J), 2, TRUE), 0))</f>
        <v/>
      </c>
      <c r="T473" t="str">
        <f t="shared" si="22"/>
        <v/>
      </c>
      <c r="U473" t="str">
        <f>IF(T473="","", IFERROR(VLOOKUP(T473, IF(D473="Movers", 换算标准!$A:$B, 换算标准!$G:$H), 2, TRUE), 0))</f>
        <v/>
      </c>
      <c r="W473" t="str">
        <f t="shared" si="23"/>
        <v/>
      </c>
      <c r="Z473" s="5" t="str">
        <f>IF(J473="","", IF(K473&lt;=3, "⚠️ 薄弱环节: "&amp;INDEX($E$1:$I$1, MATCH(MIN(E473:I473), E473:I473, 0))&amp;CHAR(10)&amp;"📉 考察能力: "&amp;IFERROR(VLOOKUP(TRIM(D473)&amp;"_"&amp;TRIM(INDEX($E$1:$I$1, MATCH(MIN(E473:I473), E473:I473, 0))), 技能库!$A:$F, 5, 0),"建议查阅考纲")&amp;CHAR(10)&amp;"💡 提升建议: "&amp;IFERROR(VLOOKUP(TRIM(D473)&amp;"_"&amp;TRIM(INDEX($E$1:$I$1, MATCH(MIN(E473:I473), E473:I473, 0))), 技能库!$A:$F, 6, 0),"请针对该题型加强练习"), "🎉 表现优异，无明显弱项！"))</f>
        <v/>
      </c>
      <c r="AA473" s="5" t="str">
        <f>IF(T473="","", IF(U473&lt;=3, "⚠️ 薄弱环节: "&amp;INDEX($M$1:$S$1, MATCH(MIN(M473:S473), M473:S473, 0))&amp;CHAR(10)&amp;"📉 考察能力: "&amp;IFERROR(VLOOKUP(TRIM(D473)&amp;"_"&amp;TRIM(INDEX($M$1:$S$1, MATCH(MIN(M473:S473), M473:S473, 0))), 技能库!$A:$F, 5, 0),"建议查阅考纲")&amp;CHAR(10)&amp;"💡 提升建议: "&amp;IFERROR(VLOOKUP(TRIM(D473)&amp;"_"&amp;TRIM(INDEX($M$1:$S$1, MATCH(MIN(M473:S473), M473:S473, 0))), 技能库!$A:$F, 6, 0),"请针对该题型加强练习"), "🎉 表现优异，无明显弱项！"))</f>
        <v/>
      </c>
    </row>
    <row r="474" spans="10:27" ht="18" hidden="1" customHeight="1" x14ac:dyDescent="0.2">
      <c r="J474" t="str">
        <f t="shared" si="21"/>
        <v/>
      </c>
      <c r="K474" t="str">
        <f>IF(J474="","", IFERROR(VLOOKUP(J474, IF(D474="Movers", 换算标准!$C:$D, 换算标准!$I:$J), 2, TRUE), 0))</f>
        <v/>
      </c>
      <c r="T474" t="str">
        <f t="shared" si="22"/>
        <v/>
      </c>
      <c r="U474" t="str">
        <f>IF(T474="","", IFERROR(VLOOKUP(T474, IF(D474="Movers", 换算标准!$A:$B, 换算标准!$G:$H), 2, TRUE), 0))</f>
        <v/>
      </c>
      <c r="W474" t="str">
        <f t="shared" si="23"/>
        <v/>
      </c>
      <c r="Z474" s="5" t="str">
        <f>IF(J474="","", IF(K474&lt;=3, "⚠️ 薄弱环节: "&amp;INDEX($E$1:$I$1, MATCH(MIN(E474:I474), E474:I474, 0))&amp;CHAR(10)&amp;"📉 考察能力: "&amp;IFERROR(VLOOKUP(TRIM(D474)&amp;"_"&amp;TRIM(INDEX($E$1:$I$1, MATCH(MIN(E474:I474), E474:I474, 0))), 技能库!$A:$F, 5, 0),"建议查阅考纲")&amp;CHAR(10)&amp;"💡 提升建议: "&amp;IFERROR(VLOOKUP(TRIM(D474)&amp;"_"&amp;TRIM(INDEX($E$1:$I$1, MATCH(MIN(E474:I474), E474:I474, 0))), 技能库!$A:$F, 6, 0),"请针对该题型加强练习"), "🎉 表现优异，无明显弱项！"))</f>
        <v/>
      </c>
      <c r="AA474" s="5" t="str">
        <f>IF(T474="","", IF(U474&lt;=3, "⚠️ 薄弱环节: "&amp;INDEX($M$1:$S$1, MATCH(MIN(M474:S474), M474:S474, 0))&amp;CHAR(10)&amp;"📉 考察能力: "&amp;IFERROR(VLOOKUP(TRIM(D474)&amp;"_"&amp;TRIM(INDEX($M$1:$S$1, MATCH(MIN(M474:S474), M474:S474, 0))), 技能库!$A:$F, 5, 0),"建议查阅考纲")&amp;CHAR(10)&amp;"💡 提升建议: "&amp;IFERROR(VLOOKUP(TRIM(D474)&amp;"_"&amp;TRIM(INDEX($M$1:$S$1, MATCH(MIN(M474:S474), M474:S474, 0))), 技能库!$A:$F, 6, 0),"请针对该题型加强练习"), "🎉 表现优异，无明显弱项！"))</f>
        <v/>
      </c>
    </row>
    <row r="475" spans="10:27" ht="18" hidden="1" customHeight="1" x14ac:dyDescent="0.2">
      <c r="J475" t="str">
        <f t="shared" si="21"/>
        <v/>
      </c>
      <c r="K475" t="str">
        <f>IF(J475="","", IFERROR(VLOOKUP(J475, IF(D475="Movers", 换算标准!$C:$D, 换算标准!$I:$J), 2, TRUE), 0))</f>
        <v/>
      </c>
      <c r="T475" t="str">
        <f t="shared" si="22"/>
        <v/>
      </c>
      <c r="U475" t="str">
        <f>IF(T475="","", IFERROR(VLOOKUP(T475, IF(D475="Movers", 换算标准!$A:$B, 换算标准!$G:$H), 2, TRUE), 0))</f>
        <v/>
      </c>
      <c r="W475" t="str">
        <f t="shared" si="23"/>
        <v/>
      </c>
      <c r="Z475" s="5" t="str">
        <f>IF(J475="","", IF(K475&lt;=3, "⚠️ 薄弱环节: "&amp;INDEX($E$1:$I$1, MATCH(MIN(E475:I475), E475:I475, 0))&amp;CHAR(10)&amp;"📉 考察能力: "&amp;IFERROR(VLOOKUP(TRIM(D475)&amp;"_"&amp;TRIM(INDEX($E$1:$I$1, MATCH(MIN(E475:I475), E475:I475, 0))), 技能库!$A:$F, 5, 0),"建议查阅考纲")&amp;CHAR(10)&amp;"💡 提升建议: "&amp;IFERROR(VLOOKUP(TRIM(D475)&amp;"_"&amp;TRIM(INDEX($E$1:$I$1, MATCH(MIN(E475:I475), E475:I475, 0))), 技能库!$A:$F, 6, 0),"请针对该题型加强练习"), "🎉 表现优异，无明显弱项！"))</f>
        <v/>
      </c>
      <c r="AA475" s="5" t="str">
        <f>IF(T475="","", IF(U475&lt;=3, "⚠️ 薄弱环节: "&amp;INDEX($M$1:$S$1, MATCH(MIN(M475:S475), M475:S475, 0))&amp;CHAR(10)&amp;"📉 考察能力: "&amp;IFERROR(VLOOKUP(TRIM(D475)&amp;"_"&amp;TRIM(INDEX($M$1:$S$1, MATCH(MIN(M475:S475), M475:S475, 0))), 技能库!$A:$F, 5, 0),"建议查阅考纲")&amp;CHAR(10)&amp;"💡 提升建议: "&amp;IFERROR(VLOOKUP(TRIM(D475)&amp;"_"&amp;TRIM(INDEX($M$1:$S$1, MATCH(MIN(M475:S475), M475:S475, 0))), 技能库!$A:$F, 6, 0),"请针对该题型加强练习"), "🎉 表现优异，无明显弱项！"))</f>
        <v/>
      </c>
    </row>
    <row r="476" spans="10:27" ht="18" hidden="1" customHeight="1" x14ac:dyDescent="0.2">
      <c r="J476" t="str">
        <f t="shared" si="21"/>
        <v/>
      </c>
      <c r="K476" t="str">
        <f>IF(J476="","", IFERROR(VLOOKUP(J476, IF(D476="Movers", 换算标准!$C:$D, 换算标准!$I:$J), 2, TRUE), 0))</f>
        <v/>
      </c>
      <c r="T476" t="str">
        <f t="shared" si="22"/>
        <v/>
      </c>
      <c r="U476" t="str">
        <f>IF(T476="","", IFERROR(VLOOKUP(T476, IF(D476="Movers", 换算标准!$A:$B, 换算标准!$G:$H), 2, TRUE), 0))</f>
        <v/>
      </c>
      <c r="W476" t="str">
        <f t="shared" si="23"/>
        <v/>
      </c>
      <c r="Z476" s="5" t="str">
        <f>IF(J476="","", IF(K476&lt;=3, "⚠️ 薄弱环节: "&amp;INDEX($E$1:$I$1, MATCH(MIN(E476:I476), E476:I476, 0))&amp;CHAR(10)&amp;"📉 考察能力: "&amp;IFERROR(VLOOKUP(TRIM(D476)&amp;"_"&amp;TRIM(INDEX($E$1:$I$1, MATCH(MIN(E476:I476), E476:I476, 0))), 技能库!$A:$F, 5, 0),"建议查阅考纲")&amp;CHAR(10)&amp;"💡 提升建议: "&amp;IFERROR(VLOOKUP(TRIM(D476)&amp;"_"&amp;TRIM(INDEX($E$1:$I$1, MATCH(MIN(E476:I476), E476:I476, 0))), 技能库!$A:$F, 6, 0),"请针对该题型加强练习"), "🎉 表现优异，无明显弱项！"))</f>
        <v/>
      </c>
      <c r="AA476" s="5" t="str">
        <f>IF(T476="","", IF(U476&lt;=3, "⚠️ 薄弱环节: "&amp;INDEX($M$1:$S$1, MATCH(MIN(M476:S476), M476:S476, 0))&amp;CHAR(10)&amp;"📉 考察能力: "&amp;IFERROR(VLOOKUP(TRIM(D476)&amp;"_"&amp;TRIM(INDEX($M$1:$S$1, MATCH(MIN(M476:S476), M476:S476, 0))), 技能库!$A:$F, 5, 0),"建议查阅考纲")&amp;CHAR(10)&amp;"💡 提升建议: "&amp;IFERROR(VLOOKUP(TRIM(D476)&amp;"_"&amp;TRIM(INDEX($M$1:$S$1, MATCH(MIN(M476:S476), M476:S476, 0))), 技能库!$A:$F, 6, 0),"请针对该题型加强练习"), "🎉 表现优异，无明显弱项！"))</f>
        <v/>
      </c>
    </row>
    <row r="477" spans="10:27" ht="18" hidden="1" customHeight="1" x14ac:dyDescent="0.2">
      <c r="J477" t="str">
        <f t="shared" si="21"/>
        <v/>
      </c>
      <c r="K477" t="str">
        <f>IF(J477="","", IFERROR(VLOOKUP(J477, IF(D477="Movers", 换算标准!$C:$D, 换算标准!$I:$J), 2, TRUE), 0))</f>
        <v/>
      </c>
      <c r="T477" t="str">
        <f t="shared" si="22"/>
        <v/>
      </c>
      <c r="U477" t="str">
        <f>IF(T477="","", IFERROR(VLOOKUP(T477, IF(D477="Movers", 换算标准!$A:$B, 换算标准!$G:$H), 2, TRUE), 0))</f>
        <v/>
      </c>
      <c r="W477" t="str">
        <f t="shared" si="23"/>
        <v/>
      </c>
      <c r="Z477" s="5" t="str">
        <f>IF(J477="","", IF(K477&lt;=3, "⚠️ 薄弱环节: "&amp;INDEX($E$1:$I$1, MATCH(MIN(E477:I477), E477:I477, 0))&amp;CHAR(10)&amp;"📉 考察能力: "&amp;IFERROR(VLOOKUP(TRIM(D477)&amp;"_"&amp;TRIM(INDEX($E$1:$I$1, MATCH(MIN(E477:I477), E477:I477, 0))), 技能库!$A:$F, 5, 0),"建议查阅考纲")&amp;CHAR(10)&amp;"💡 提升建议: "&amp;IFERROR(VLOOKUP(TRIM(D477)&amp;"_"&amp;TRIM(INDEX($E$1:$I$1, MATCH(MIN(E477:I477), E477:I477, 0))), 技能库!$A:$F, 6, 0),"请针对该题型加强练习"), "🎉 表现优异，无明显弱项！"))</f>
        <v/>
      </c>
      <c r="AA477" s="5" t="str">
        <f>IF(T477="","", IF(U477&lt;=3, "⚠️ 薄弱环节: "&amp;INDEX($M$1:$S$1, MATCH(MIN(M477:S477), M477:S477, 0))&amp;CHAR(10)&amp;"📉 考察能力: "&amp;IFERROR(VLOOKUP(TRIM(D477)&amp;"_"&amp;TRIM(INDEX($M$1:$S$1, MATCH(MIN(M477:S477), M477:S477, 0))), 技能库!$A:$F, 5, 0),"建议查阅考纲")&amp;CHAR(10)&amp;"💡 提升建议: "&amp;IFERROR(VLOOKUP(TRIM(D477)&amp;"_"&amp;TRIM(INDEX($M$1:$S$1, MATCH(MIN(M477:S477), M477:S477, 0))), 技能库!$A:$F, 6, 0),"请针对该题型加强练习"), "🎉 表现优异，无明显弱项！"))</f>
        <v/>
      </c>
    </row>
    <row r="478" spans="10:27" ht="18" hidden="1" customHeight="1" x14ac:dyDescent="0.2">
      <c r="J478" t="str">
        <f t="shared" si="21"/>
        <v/>
      </c>
      <c r="K478" t="str">
        <f>IF(J478="","", IFERROR(VLOOKUP(J478, IF(D478="Movers", 换算标准!$C:$D, 换算标准!$I:$J), 2, TRUE), 0))</f>
        <v/>
      </c>
      <c r="T478" t="str">
        <f t="shared" si="22"/>
        <v/>
      </c>
      <c r="U478" t="str">
        <f>IF(T478="","", IFERROR(VLOOKUP(T478, IF(D478="Movers", 换算标准!$A:$B, 换算标准!$G:$H), 2, TRUE), 0))</f>
        <v/>
      </c>
      <c r="W478" t="str">
        <f t="shared" si="23"/>
        <v/>
      </c>
      <c r="Z478" s="5" t="str">
        <f>IF(J478="","", IF(K478&lt;=3, "⚠️ 薄弱环节: "&amp;INDEX($E$1:$I$1, MATCH(MIN(E478:I478), E478:I478, 0))&amp;CHAR(10)&amp;"📉 考察能力: "&amp;IFERROR(VLOOKUP(TRIM(D478)&amp;"_"&amp;TRIM(INDEX($E$1:$I$1, MATCH(MIN(E478:I478), E478:I478, 0))), 技能库!$A:$F, 5, 0),"建议查阅考纲")&amp;CHAR(10)&amp;"💡 提升建议: "&amp;IFERROR(VLOOKUP(TRIM(D478)&amp;"_"&amp;TRIM(INDEX($E$1:$I$1, MATCH(MIN(E478:I478), E478:I478, 0))), 技能库!$A:$F, 6, 0),"请针对该题型加强练习"), "🎉 表现优异，无明显弱项！"))</f>
        <v/>
      </c>
      <c r="AA478" s="5" t="str">
        <f>IF(T478="","", IF(U478&lt;=3, "⚠️ 薄弱环节: "&amp;INDEX($M$1:$S$1, MATCH(MIN(M478:S478), M478:S478, 0))&amp;CHAR(10)&amp;"📉 考察能力: "&amp;IFERROR(VLOOKUP(TRIM(D478)&amp;"_"&amp;TRIM(INDEX($M$1:$S$1, MATCH(MIN(M478:S478), M478:S478, 0))), 技能库!$A:$F, 5, 0),"建议查阅考纲")&amp;CHAR(10)&amp;"💡 提升建议: "&amp;IFERROR(VLOOKUP(TRIM(D478)&amp;"_"&amp;TRIM(INDEX($M$1:$S$1, MATCH(MIN(M478:S478), M478:S478, 0))), 技能库!$A:$F, 6, 0),"请针对该题型加强练习"), "🎉 表现优异，无明显弱项！"))</f>
        <v/>
      </c>
    </row>
    <row r="479" spans="10:27" ht="18" hidden="1" customHeight="1" x14ac:dyDescent="0.2">
      <c r="J479" t="str">
        <f t="shared" si="21"/>
        <v/>
      </c>
      <c r="K479" t="str">
        <f>IF(J479="","", IFERROR(VLOOKUP(J479, IF(D479="Movers", 换算标准!$C:$D, 换算标准!$I:$J), 2, TRUE), 0))</f>
        <v/>
      </c>
      <c r="T479" t="str">
        <f t="shared" si="22"/>
        <v/>
      </c>
      <c r="U479" t="str">
        <f>IF(T479="","", IFERROR(VLOOKUP(T479, IF(D479="Movers", 换算标准!$A:$B, 换算标准!$G:$H), 2, TRUE), 0))</f>
        <v/>
      </c>
      <c r="W479" t="str">
        <f t="shared" si="23"/>
        <v/>
      </c>
      <c r="Z479" s="5" t="str">
        <f>IF(J479="","", IF(K479&lt;=3, "⚠️ 薄弱环节: "&amp;INDEX($E$1:$I$1, MATCH(MIN(E479:I479), E479:I479, 0))&amp;CHAR(10)&amp;"📉 考察能力: "&amp;IFERROR(VLOOKUP(TRIM(D479)&amp;"_"&amp;TRIM(INDEX($E$1:$I$1, MATCH(MIN(E479:I479), E479:I479, 0))), 技能库!$A:$F, 5, 0),"建议查阅考纲")&amp;CHAR(10)&amp;"💡 提升建议: "&amp;IFERROR(VLOOKUP(TRIM(D479)&amp;"_"&amp;TRIM(INDEX($E$1:$I$1, MATCH(MIN(E479:I479), E479:I479, 0))), 技能库!$A:$F, 6, 0),"请针对该题型加强练习"), "🎉 表现优异，无明显弱项！"))</f>
        <v/>
      </c>
      <c r="AA479" s="5" t="str">
        <f>IF(T479="","", IF(U479&lt;=3, "⚠️ 薄弱环节: "&amp;INDEX($M$1:$S$1, MATCH(MIN(M479:S479), M479:S479, 0))&amp;CHAR(10)&amp;"📉 考察能力: "&amp;IFERROR(VLOOKUP(TRIM(D479)&amp;"_"&amp;TRIM(INDEX($M$1:$S$1, MATCH(MIN(M479:S479), M479:S479, 0))), 技能库!$A:$F, 5, 0),"建议查阅考纲")&amp;CHAR(10)&amp;"💡 提升建议: "&amp;IFERROR(VLOOKUP(TRIM(D479)&amp;"_"&amp;TRIM(INDEX($M$1:$S$1, MATCH(MIN(M479:S479), M479:S479, 0))), 技能库!$A:$F, 6, 0),"请针对该题型加强练习"), "🎉 表现优异，无明显弱项！"))</f>
        <v/>
      </c>
    </row>
    <row r="480" spans="10:27" ht="18" hidden="1" customHeight="1" x14ac:dyDescent="0.2">
      <c r="J480" t="str">
        <f t="shared" si="21"/>
        <v/>
      </c>
      <c r="K480" t="str">
        <f>IF(J480="","", IFERROR(VLOOKUP(J480, IF(D480="Movers", 换算标准!$C:$D, 换算标准!$I:$J), 2, TRUE), 0))</f>
        <v/>
      </c>
      <c r="T480" t="str">
        <f t="shared" si="22"/>
        <v/>
      </c>
      <c r="U480" t="str">
        <f>IF(T480="","", IFERROR(VLOOKUP(T480, IF(D480="Movers", 换算标准!$A:$B, 换算标准!$G:$H), 2, TRUE), 0))</f>
        <v/>
      </c>
      <c r="W480" t="str">
        <f t="shared" si="23"/>
        <v/>
      </c>
      <c r="Z480" s="5" t="str">
        <f>IF(J480="","", IF(K480&lt;=3, "⚠️ 薄弱环节: "&amp;INDEX($E$1:$I$1, MATCH(MIN(E480:I480), E480:I480, 0))&amp;CHAR(10)&amp;"📉 考察能力: "&amp;IFERROR(VLOOKUP(TRIM(D480)&amp;"_"&amp;TRIM(INDEX($E$1:$I$1, MATCH(MIN(E480:I480), E480:I480, 0))), 技能库!$A:$F, 5, 0),"建议查阅考纲")&amp;CHAR(10)&amp;"💡 提升建议: "&amp;IFERROR(VLOOKUP(TRIM(D480)&amp;"_"&amp;TRIM(INDEX($E$1:$I$1, MATCH(MIN(E480:I480), E480:I480, 0))), 技能库!$A:$F, 6, 0),"请针对该题型加强练习"), "🎉 表现优异，无明显弱项！"))</f>
        <v/>
      </c>
      <c r="AA480" s="5" t="str">
        <f>IF(T480="","", IF(U480&lt;=3, "⚠️ 薄弱环节: "&amp;INDEX($M$1:$S$1, MATCH(MIN(M480:S480), M480:S480, 0))&amp;CHAR(10)&amp;"📉 考察能力: "&amp;IFERROR(VLOOKUP(TRIM(D480)&amp;"_"&amp;TRIM(INDEX($M$1:$S$1, MATCH(MIN(M480:S480), M480:S480, 0))), 技能库!$A:$F, 5, 0),"建议查阅考纲")&amp;CHAR(10)&amp;"💡 提升建议: "&amp;IFERROR(VLOOKUP(TRIM(D480)&amp;"_"&amp;TRIM(INDEX($M$1:$S$1, MATCH(MIN(M480:S480), M480:S480, 0))), 技能库!$A:$F, 6, 0),"请针对该题型加强练习"), "🎉 表现优异，无明显弱项！"))</f>
        <v/>
      </c>
    </row>
    <row r="481" spans="10:27" ht="18" hidden="1" customHeight="1" x14ac:dyDescent="0.2">
      <c r="J481" t="str">
        <f t="shared" si="21"/>
        <v/>
      </c>
      <c r="K481" t="str">
        <f>IF(J481="","", IFERROR(VLOOKUP(J481, IF(D481="Movers", 换算标准!$C:$D, 换算标准!$I:$J), 2, TRUE), 0))</f>
        <v/>
      </c>
      <c r="T481" t="str">
        <f t="shared" si="22"/>
        <v/>
      </c>
      <c r="U481" t="str">
        <f>IF(T481="","", IFERROR(VLOOKUP(T481, IF(D481="Movers", 换算标准!$A:$B, 换算标准!$G:$H), 2, TRUE), 0))</f>
        <v/>
      </c>
      <c r="W481" t="str">
        <f t="shared" si="23"/>
        <v/>
      </c>
      <c r="Z481" s="5" t="str">
        <f>IF(J481="","", IF(K481&lt;=3, "⚠️ 薄弱环节: "&amp;INDEX($E$1:$I$1, MATCH(MIN(E481:I481), E481:I481, 0))&amp;CHAR(10)&amp;"📉 考察能力: "&amp;IFERROR(VLOOKUP(TRIM(D481)&amp;"_"&amp;TRIM(INDEX($E$1:$I$1, MATCH(MIN(E481:I481), E481:I481, 0))), 技能库!$A:$F, 5, 0),"建议查阅考纲")&amp;CHAR(10)&amp;"💡 提升建议: "&amp;IFERROR(VLOOKUP(TRIM(D481)&amp;"_"&amp;TRIM(INDEX($E$1:$I$1, MATCH(MIN(E481:I481), E481:I481, 0))), 技能库!$A:$F, 6, 0),"请针对该题型加强练习"), "🎉 表现优异，无明显弱项！"))</f>
        <v/>
      </c>
      <c r="AA481" s="5" t="str">
        <f>IF(T481="","", IF(U481&lt;=3, "⚠️ 薄弱环节: "&amp;INDEX($M$1:$S$1, MATCH(MIN(M481:S481), M481:S481, 0))&amp;CHAR(10)&amp;"📉 考察能力: "&amp;IFERROR(VLOOKUP(TRIM(D481)&amp;"_"&amp;TRIM(INDEX($M$1:$S$1, MATCH(MIN(M481:S481), M481:S481, 0))), 技能库!$A:$F, 5, 0),"建议查阅考纲")&amp;CHAR(10)&amp;"💡 提升建议: "&amp;IFERROR(VLOOKUP(TRIM(D481)&amp;"_"&amp;TRIM(INDEX($M$1:$S$1, MATCH(MIN(M481:S481), M481:S481, 0))), 技能库!$A:$F, 6, 0),"请针对该题型加强练习"), "🎉 表现优异，无明显弱项！"))</f>
        <v/>
      </c>
    </row>
    <row r="482" spans="10:27" ht="18" hidden="1" customHeight="1" x14ac:dyDescent="0.2">
      <c r="J482" t="str">
        <f t="shared" si="21"/>
        <v/>
      </c>
      <c r="K482" t="str">
        <f>IF(J482="","", IFERROR(VLOOKUP(J482, IF(D482="Movers", 换算标准!$C:$D, 换算标准!$I:$J), 2, TRUE), 0))</f>
        <v/>
      </c>
      <c r="T482" t="str">
        <f t="shared" si="22"/>
        <v/>
      </c>
      <c r="U482" t="str">
        <f>IF(T482="","", IFERROR(VLOOKUP(T482, IF(D482="Movers", 换算标准!$A:$B, 换算标准!$G:$H), 2, TRUE), 0))</f>
        <v/>
      </c>
      <c r="W482" t="str">
        <f t="shared" si="23"/>
        <v/>
      </c>
      <c r="Z482" s="5" t="str">
        <f>IF(J482="","", IF(K482&lt;=3, "⚠️ 薄弱环节: "&amp;INDEX($E$1:$I$1, MATCH(MIN(E482:I482), E482:I482, 0))&amp;CHAR(10)&amp;"📉 考察能力: "&amp;IFERROR(VLOOKUP(TRIM(D482)&amp;"_"&amp;TRIM(INDEX($E$1:$I$1, MATCH(MIN(E482:I482), E482:I482, 0))), 技能库!$A:$F, 5, 0),"建议查阅考纲")&amp;CHAR(10)&amp;"💡 提升建议: "&amp;IFERROR(VLOOKUP(TRIM(D482)&amp;"_"&amp;TRIM(INDEX($E$1:$I$1, MATCH(MIN(E482:I482), E482:I482, 0))), 技能库!$A:$F, 6, 0),"请针对该题型加强练习"), "🎉 表现优异，无明显弱项！"))</f>
        <v/>
      </c>
      <c r="AA482" s="5" t="str">
        <f>IF(T482="","", IF(U482&lt;=3, "⚠️ 薄弱环节: "&amp;INDEX($M$1:$S$1, MATCH(MIN(M482:S482), M482:S482, 0))&amp;CHAR(10)&amp;"📉 考察能力: "&amp;IFERROR(VLOOKUP(TRIM(D482)&amp;"_"&amp;TRIM(INDEX($M$1:$S$1, MATCH(MIN(M482:S482), M482:S482, 0))), 技能库!$A:$F, 5, 0),"建议查阅考纲")&amp;CHAR(10)&amp;"💡 提升建议: "&amp;IFERROR(VLOOKUP(TRIM(D482)&amp;"_"&amp;TRIM(INDEX($M$1:$S$1, MATCH(MIN(M482:S482), M482:S482, 0))), 技能库!$A:$F, 6, 0),"请针对该题型加强练习"), "🎉 表现优异，无明显弱项！"))</f>
        <v/>
      </c>
    </row>
    <row r="483" spans="10:27" ht="18" hidden="1" customHeight="1" x14ac:dyDescent="0.2">
      <c r="J483" t="str">
        <f t="shared" si="21"/>
        <v/>
      </c>
      <c r="K483" t="str">
        <f>IF(J483="","", IFERROR(VLOOKUP(J483, IF(D483="Movers", 换算标准!$C:$D, 换算标准!$I:$J), 2, TRUE), 0))</f>
        <v/>
      </c>
      <c r="T483" t="str">
        <f t="shared" si="22"/>
        <v/>
      </c>
      <c r="U483" t="str">
        <f>IF(T483="","", IFERROR(VLOOKUP(T483, IF(D483="Movers", 换算标准!$A:$B, 换算标准!$G:$H), 2, TRUE), 0))</f>
        <v/>
      </c>
      <c r="W483" t="str">
        <f t="shared" si="23"/>
        <v/>
      </c>
      <c r="Z483" s="5" t="str">
        <f>IF(J483="","", IF(K483&lt;=3, "⚠️ 薄弱环节: "&amp;INDEX($E$1:$I$1, MATCH(MIN(E483:I483), E483:I483, 0))&amp;CHAR(10)&amp;"📉 考察能力: "&amp;IFERROR(VLOOKUP(TRIM(D483)&amp;"_"&amp;TRIM(INDEX($E$1:$I$1, MATCH(MIN(E483:I483), E483:I483, 0))), 技能库!$A:$F, 5, 0),"建议查阅考纲")&amp;CHAR(10)&amp;"💡 提升建议: "&amp;IFERROR(VLOOKUP(TRIM(D483)&amp;"_"&amp;TRIM(INDEX($E$1:$I$1, MATCH(MIN(E483:I483), E483:I483, 0))), 技能库!$A:$F, 6, 0),"请针对该题型加强练习"), "🎉 表现优异，无明显弱项！"))</f>
        <v/>
      </c>
      <c r="AA483" s="5" t="str">
        <f>IF(T483="","", IF(U483&lt;=3, "⚠️ 薄弱环节: "&amp;INDEX($M$1:$S$1, MATCH(MIN(M483:S483), M483:S483, 0))&amp;CHAR(10)&amp;"📉 考察能力: "&amp;IFERROR(VLOOKUP(TRIM(D483)&amp;"_"&amp;TRIM(INDEX($M$1:$S$1, MATCH(MIN(M483:S483), M483:S483, 0))), 技能库!$A:$F, 5, 0),"建议查阅考纲")&amp;CHAR(10)&amp;"💡 提升建议: "&amp;IFERROR(VLOOKUP(TRIM(D483)&amp;"_"&amp;TRIM(INDEX($M$1:$S$1, MATCH(MIN(M483:S483), M483:S483, 0))), 技能库!$A:$F, 6, 0),"请针对该题型加强练习"), "🎉 表现优异，无明显弱项！"))</f>
        <v/>
      </c>
    </row>
    <row r="484" spans="10:27" ht="18" hidden="1" customHeight="1" x14ac:dyDescent="0.2">
      <c r="J484" t="str">
        <f t="shared" si="21"/>
        <v/>
      </c>
      <c r="K484" t="str">
        <f>IF(J484="","", IFERROR(VLOOKUP(J484, IF(D484="Movers", 换算标准!$C:$D, 换算标准!$I:$J), 2, TRUE), 0))</f>
        <v/>
      </c>
      <c r="T484" t="str">
        <f t="shared" si="22"/>
        <v/>
      </c>
      <c r="U484" t="str">
        <f>IF(T484="","", IFERROR(VLOOKUP(T484, IF(D484="Movers", 换算标准!$A:$B, 换算标准!$G:$H), 2, TRUE), 0))</f>
        <v/>
      </c>
      <c r="W484" t="str">
        <f t="shared" si="23"/>
        <v/>
      </c>
      <c r="Z484" s="5" t="str">
        <f>IF(J484="","", IF(K484&lt;=3, "⚠️ 薄弱环节: "&amp;INDEX($E$1:$I$1, MATCH(MIN(E484:I484), E484:I484, 0))&amp;CHAR(10)&amp;"📉 考察能力: "&amp;IFERROR(VLOOKUP(TRIM(D484)&amp;"_"&amp;TRIM(INDEX($E$1:$I$1, MATCH(MIN(E484:I484), E484:I484, 0))), 技能库!$A:$F, 5, 0),"建议查阅考纲")&amp;CHAR(10)&amp;"💡 提升建议: "&amp;IFERROR(VLOOKUP(TRIM(D484)&amp;"_"&amp;TRIM(INDEX($E$1:$I$1, MATCH(MIN(E484:I484), E484:I484, 0))), 技能库!$A:$F, 6, 0),"请针对该题型加强练习"), "🎉 表现优异，无明显弱项！"))</f>
        <v/>
      </c>
      <c r="AA484" s="5" t="str">
        <f>IF(T484="","", IF(U484&lt;=3, "⚠️ 薄弱环节: "&amp;INDEX($M$1:$S$1, MATCH(MIN(M484:S484), M484:S484, 0))&amp;CHAR(10)&amp;"📉 考察能力: "&amp;IFERROR(VLOOKUP(TRIM(D484)&amp;"_"&amp;TRIM(INDEX($M$1:$S$1, MATCH(MIN(M484:S484), M484:S484, 0))), 技能库!$A:$F, 5, 0),"建议查阅考纲")&amp;CHAR(10)&amp;"💡 提升建议: "&amp;IFERROR(VLOOKUP(TRIM(D484)&amp;"_"&amp;TRIM(INDEX($M$1:$S$1, MATCH(MIN(M484:S484), M484:S484, 0))), 技能库!$A:$F, 6, 0),"请针对该题型加强练习"), "🎉 表现优异，无明显弱项！"))</f>
        <v/>
      </c>
    </row>
    <row r="485" spans="10:27" ht="18" hidden="1" customHeight="1" x14ac:dyDescent="0.2">
      <c r="J485" t="str">
        <f t="shared" si="21"/>
        <v/>
      </c>
      <c r="K485" t="str">
        <f>IF(J485="","", IFERROR(VLOOKUP(J485, IF(D485="Movers", 换算标准!$C:$D, 换算标准!$I:$J), 2, TRUE), 0))</f>
        <v/>
      </c>
      <c r="T485" t="str">
        <f t="shared" si="22"/>
        <v/>
      </c>
      <c r="U485" t="str">
        <f>IF(T485="","", IFERROR(VLOOKUP(T485, IF(D485="Movers", 换算标准!$A:$B, 换算标准!$G:$H), 2, TRUE), 0))</f>
        <v/>
      </c>
      <c r="W485" t="str">
        <f t="shared" si="23"/>
        <v/>
      </c>
      <c r="Z485" s="5" t="str">
        <f>IF(J485="","", IF(K485&lt;=3, "⚠️ 薄弱环节: "&amp;INDEX($E$1:$I$1, MATCH(MIN(E485:I485), E485:I485, 0))&amp;CHAR(10)&amp;"📉 考察能力: "&amp;IFERROR(VLOOKUP(TRIM(D485)&amp;"_"&amp;TRIM(INDEX($E$1:$I$1, MATCH(MIN(E485:I485), E485:I485, 0))), 技能库!$A:$F, 5, 0),"建议查阅考纲")&amp;CHAR(10)&amp;"💡 提升建议: "&amp;IFERROR(VLOOKUP(TRIM(D485)&amp;"_"&amp;TRIM(INDEX($E$1:$I$1, MATCH(MIN(E485:I485), E485:I485, 0))), 技能库!$A:$F, 6, 0),"请针对该题型加强练习"), "🎉 表现优异，无明显弱项！"))</f>
        <v/>
      </c>
      <c r="AA485" s="5" t="str">
        <f>IF(T485="","", IF(U485&lt;=3, "⚠️ 薄弱环节: "&amp;INDEX($M$1:$S$1, MATCH(MIN(M485:S485), M485:S485, 0))&amp;CHAR(10)&amp;"📉 考察能力: "&amp;IFERROR(VLOOKUP(TRIM(D485)&amp;"_"&amp;TRIM(INDEX($M$1:$S$1, MATCH(MIN(M485:S485), M485:S485, 0))), 技能库!$A:$F, 5, 0),"建议查阅考纲")&amp;CHAR(10)&amp;"💡 提升建议: "&amp;IFERROR(VLOOKUP(TRIM(D485)&amp;"_"&amp;TRIM(INDEX($M$1:$S$1, MATCH(MIN(M485:S485), M485:S485, 0))), 技能库!$A:$F, 6, 0),"请针对该题型加强练习"), "🎉 表现优异，无明显弱项！"))</f>
        <v/>
      </c>
    </row>
    <row r="486" spans="10:27" ht="18" hidden="1" customHeight="1" x14ac:dyDescent="0.2">
      <c r="J486" t="str">
        <f t="shared" si="21"/>
        <v/>
      </c>
      <c r="K486" t="str">
        <f>IF(J486="","", IFERROR(VLOOKUP(J486, IF(D486="Movers", 换算标准!$C:$D, 换算标准!$I:$J), 2, TRUE), 0))</f>
        <v/>
      </c>
      <c r="T486" t="str">
        <f t="shared" si="22"/>
        <v/>
      </c>
      <c r="U486" t="str">
        <f>IF(T486="","", IFERROR(VLOOKUP(T486, IF(D486="Movers", 换算标准!$A:$B, 换算标准!$G:$H), 2, TRUE), 0))</f>
        <v/>
      </c>
      <c r="W486" t="str">
        <f t="shared" si="23"/>
        <v/>
      </c>
      <c r="Z486" s="5" t="str">
        <f>IF(J486="","", IF(K486&lt;=3, "⚠️ 薄弱环节: "&amp;INDEX($E$1:$I$1, MATCH(MIN(E486:I486), E486:I486, 0))&amp;CHAR(10)&amp;"📉 考察能力: "&amp;IFERROR(VLOOKUP(TRIM(D486)&amp;"_"&amp;TRIM(INDEX($E$1:$I$1, MATCH(MIN(E486:I486), E486:I486, 0))), 技能库!$A:$F, 5, 0),"建议查阅考纲")&amp;CHAR(10)&amp;"💡 提升建议: "&amp;IFERROR(VLOOKUP(TRIM(D486)&amp;"_"&amp;TRIM(INDEX($E$1:$I$1, MATCH(MIN(E486:I486), E486:I486, 0))), 技能库!$A:$F, 6, 0),"请针对该题型加强练习"), "🎉 表现优异，无明显弱项！"))</f>
        <v/>
      </c>
      <c r="AA486" s="5" t="str">
        <f>IF(T486="","", IF(U486&lt;=3, "⚠️ 薄弱环节: "&amp;INDEX($M$1:$S$1, MATCH(MIN(M486:S486), M486:S486, 0))&amp;CHAR(10)&amp;"📉 考察能力: "&amp;IFERROR(VLOOKUP(TRIM(D486)&amp;"_"&amp;TRIM(INDEX($M$1:$S$1, MATCH(MIN(M486:S486), M486:S486, 0))), 技能库!$A:$F, 5, 0),"建议查阅考纲")&amp;CHAR(10)&amp;"💡 提升建议: "&amp;IFERROR(VLOOKUP(TRIM(D486)&amp;"_"&amp;TRIM(INDEX($M$1:$S$1, MATCH(MIN(M486:S486), M486:S486, 0))), 技能库!$A:$F, 6, 0),"请针对该题型加强练习"), "🎉 表现优异，无明显弱项！"))</f>
        <v/>
      </c>
    </row>
    <row r="487" spans="10:27" ht="18" hidden="1" customHeight="1" x14ac:dyDescent="0.2">
      <c r="J487" t="str">
        <f t="shared" si="21"/>
        <v/>
      </c>
      <c r="K487" t="str">
        <f>IF(J487="","", IFERROR(VLOOKUP(J487, IF(D487="Movers", 换算标准!$C:$D, 换算标准!$I:$J), 2, TRUE), 0))</f>
        <v/>
      </c>
      <c r="T487" t="str">
        <f t="shared" si="22"/>
        <v/>
      </c>
      <c r="U487" t="str">
        <f>IF(T487="","", IFERROR(VLOOKUP(T487, IF(D487="Movers", 换算标准!$A:$B, 换算标准!$G:$H), 2, TRUE), 0))</f>
        <v/>
      </c>
      <c r="W487" t="str">
        <f t="shared" si="23"/>
        <v/>
      </c>
      <c r="Z487" s="5" t="str">
        <f>IF(J487="","", IF(K487&lt;=3, "⚠️ 薄弱环节: "&amp;INDEX($E$1:$I$1, MATCH(MIN(E487:I487), E487:I487, 0))&amp;CHAR(10)&amp;"📉 考察能力: "&amp;IFERROR(VLOOKUP(TRIM(D487)&amp;"_"&amp;TRIM(INDEX($E$1:$I$1, MATCH(MIN(E487:I487), E487:I487, 0))), 技能库!$A:$F, 5, 0),"建议查阅考纲")&amp;CHAR(10)&amp;"💡 提升建议: "&amp;IFERROR(VLOOKUP(TRIM(D487)&amp;"_"&amp;TRIM(INDEX($E$1:$I$1, MATCH(MIN(E487:I487), E487:I487, 0))), 技能库!$A:$F, 6, 0),"请针对该题型加强练习"), "🎉 表现优异，无明显弱项！"))</f>
        <v/>
      </c>
      <c r="AA487" s="5" t="str">
        <f>IF(T487="","", IF(U487&lt;=3, "⚠️ 薄弱环节: "&amp;INDEX($M$1:$S$1, MATCH(MIN(M487:S487), M487:S487, 0))&amp;CHAR(10)&amp;"📉 考察能力: "&amp;IFERROR(VLOOKUP(TRIM(D487)&amp;"_"&amp;TRIM(INDEX($M$1:$S$1, MATCH(MIN(M487:S487), M487:S487, 0))), 技能库!$A:$F, 5, 0),"建议查阅考纲")&amp;CHAR(10)&amp;"💡 提升建议: "&amp;IFERROR(VLOOKUP(TRIM(D487)&amp;"_"&amp;TRIM(INDEX($M$1:$S$1, MATCH(MIN(M487:S487), M487:S487, 0))), 技能库!$A:$F, 6, 0),"请针对该题型加强练习"), "🎉 表现优异，无明显弱项！"))</f>
        <v/>
      </c>
    </row>
    <row r="488" spans="10:27" ht="18" hidden="1" customHeight="1" x14ac:dyDescent="0.2">
      <c r="J488" t="str">
        <f t="shared" si="21"/>
        <v/>
      </c>
      <c r="K488" t="str">
        <f>IF(J488="","", IFERROR(VLOOKUP(J488, IF(D488="Movers", 换算标准!$C:$D, 换算标准!$I:$J), 2, TRUE), 0))</f>
        <v/>
      </c>
      <c r="T488" t="str">
        <f t="shared" si="22"/>
        <v/>
      </c>
      <c r="U488" t="str">
        <f>IF(T488="","", IFERROR(VLOOKUP(T488, IF(D488="Movers", 换算标准!$A:$B, 换算标准!$G:$H), 2, TRUE), 0))</f>
        <v/>
      </c>
      <c r="W488" t="str">
        <f t="shared" si="23"/>
        <v/>
      </c>
      <c r="Z488" s="5" t="str">
        <f>IF(J488="","", IF(K488&lt;=3, "⚠️ 薄弱环节: "&amp;INDEX($E$1:$I$1, MATCH(MIN(E488:I488), E488:I488, 0))&amp;CHAR(10)&amp;"📉 考察能力: "&amp;IFERROR(VLOOKUP(TRIM(D488)&amp;"_"&amp;TRIM(INDEX($E$1:$I$1, MATCH(MIN(E488:I488), E488:I488, 0))), 技能库!$A:$F, 5, 0),"建议查阅考纲")&amp;CHAR(10)&amp;"💡 提升建议: "&amp;IFERROR(VLOOKUP(TRIM(D488)&amp;"_"&amp;TRIM(INDEX($E$1:$I$1, MATCH(MIN(E488:I488), E488:I488, 0))), 技能库!$A:$F, 6, 0),"请针对该题型加强练习"), "🎉 表现优异，无明显弱项！"))</f>
        <v/>
      </c>
      <c r="AA488" s="5" t="str">
        <f>IF(T488="","", IF(U488&lt;=3, "⚠️ 薄弱环节: "&amp;INDEX($M$1:$S$1, MATCH(MIN(M488:S488), M488:S488, 0))&amp;CHAR(10)&amp;"📉 考察能力: "&amp;IFERROR(VLOOKUP(TRIM(D488)&amp;"_"&amp;TRIM(INDEX($M$1:$S$1, MATCH(MIN(M488:S488), M488:S488, 0))), 技能库!$A:$F, 5, 0),"建议查阅考纲")&amp;CHAR(10)&amp;"💡 提升建议: "&amp;IFERROR(VLOOKUP(TRIM(D488)&amp;"_"&amp;TRIM(INDEX($M$1:$S$1, MATCH(MIN(M488:S488), M488:S488, 0))), 技能库!$A:$F, 6, 0),"请针对该题型加强练习"), "🎉 表现优异，无明显弱项！"))</f>
        <v/>
      </c>
    </row>
    <row r="489" spans="10:27" ht="18" hidden="1" customHeight="1" x14ac:dyDescent="0.2">
      <c r="J489" t="str">
        <f t="shared" si="21"/>
        <v/>
      </c>
      <c r="K489" t="str">
        <f>IF(J489="","", IFERROR(VLOOKUP(J489, IF(D489="Movers", 换算标准!$C:$D, 换算标准!$I:$J), 2, TRUE), 0))</f>
        <v/>
      </c>
      <c r="T489" t="str">
        <f t="shared" si="22"/>
        <v/>
      </c>
      <c r="U489" t="str">
        <f>IF(T489="","", IFERROR(VLOOKUP(T489, IF(D489="Movers", 换算标准!$A:$B, 换算标准!$G:$H), 2, TRUE), 0))</f>
        <v/>
      </c>
      <c r="W489" t="str">
        <f t="shared" si="23"/>
        <v/>
      </c>
      <c r="Z489" s="5" t="str">
        <f>IF(J489="","", IF(K489&lt;=3, "⚠️ 薄弱环节: "&amp;INDEX($E$1:$I$1, MATCH(MIN(E489:I489), E489:I489, 0))&amp;CHAR(10)&amp;"📉 考察能力: "&amp;IFERROR(VLOOKUP(TRIM(D489)&amp;"_"&amp;TRIM(INDEX($E$1:$I$1, MATCH(MIN(E489:I489), E489:I489, 0))), 技能库!$A:$F, 5, 0),"建议查阅考纲")&amp;CHAR(10)&amp;"💡 提升建议: "&amp;IFERROR(VLOOKUP(TRIM(D489)&amp;"_"&amp;TRIM(INDEX($E$1:$I$1, MATCH(MIN(E489:I489), E489:I489, 0))), 技能库!$A:$F, 6, 0),"请针对该题型加强练习"), "🎉 表现优异，无明显弱项！"))</f>
        <v/>
      </c>
      <c r="AA489" s="5" t="str">
        <f>IF(T489="","", IF(U489&lt;=3, "⚠️ 薄弱环节: "&amp;INDEX($M$1:$S$1, MATCH(MIN(M489:S489), M489:S489, 0))&amp;CHAR(10)&amp;"📉 考察能力: "&amp;IFERROR(VLOOKUP(TRIM(D489)&amp;"_"&amp;TRIM(INDEX($M$1:$S$1, MATCH(MIN(M489:S489), M489:S489, 0))), 技能库!$A:$F, 5, 0),"建议查阅考纲")&amp;CHAR(10)&amp;"💡 提升建议: "&amp;IFERROR(VLOOKUP(TRIM(D489)&amp;"_"&amp;TRIM(INDEX($M$1:$S$1, MATCH(MIN(M489:S489), M489:S489, 0))), 技能库!$A:$F, 6, 0),"请针对该题型加强练习"), "🎉 表现优异，无明显弱项！"))</f>
        <v/>
      </c>
    </row>
    <row r="490" spans="10:27" ht="18" hidden="1" customHeight="1" x14ac:dyDescent="0.2">
      <c r="J490" t="str">
        <f t="shared" si="21"/>
        <v/>
      </c>
      <c r="K490" t="str">
        <f>IF(J490="","", IFERROR(VLOOKUP(J490, IF(D490="Movers", 换算标准!$C:$D, 换算标准!$I:$J), 2, TRUE), 0))</f>
        <v/>
      </c>
      <c r="T490" t="str">
        <f t="shared" si="22"/>
        <v/>
      </c>
      <c r="U490" t="str">
        <f>IF(T490="","", IFERROR(VLOOKUP(T490, IF(D490="Movers", 换算标准!$A:$B, 换算标准!$G:$H), 2, TRUE), 0))</f>
        <v/>
      </c>
      <c r="W490" t="str">
        <f t="shared" si="23"/>
        <v/>
      </c>
      <c r="Z490" s="5" t="str">
        <f>IF(J490="","", IF(K490&lt;=3, "⚠️ 薄弱环节: "&amp;INDEX($E$1:$I$1, MATCH(MIN(E490:I490), E490:I490, 0))&amp;CHAR(10)&amp;"📉 考察能力: "&amp;IFERROR(VLOOKUP(TRIM(D490)&amp;"_"&amp;TRIM(INDEX($E$1:$I$1, MATCH(MIN(E490:I490), E490:I490, 0))), 技能库!$A:$F, 5, 0),"建议查阅考纲")&amp;CHAR(10)&amp;"💡 提升建议: "&amp;IFERROR(VLOOKUP(TRIM(D490)&amp;"_"&amp;TRIM(INDEX($E$1:$I$1, MATCH(MIN(E490:I490), E490:I490, 0))), 技能库!$A:$F, 6, 0),"请针对该题型加强练习"), "🎉 表现优异，无明显弱项！"))</f>
        <v/>
      </c>
      <c r="AA490" s="5" t="str">
        <f>IF(T490="","", IF(U490&lt;=3, "⚠️ 薄弱环节: "&amp;INDEX($M$1:$S$1, MATCH(MIN(M490:S490), M490:S490, 0))&amp;CHAR(10)&amp;"📉 考察能力: "&amp;IFERROR(VLOOKUP(TRIM(D490)&amp;"_"&amp;TRIM(INDEX($M$1:$S$1, MATCH(MIN(M490:S490), M490:S490, 0))), 技能库!$A:$F, 5, 0),"建议查阅考纲")&amp;CHAR(10)&amp;"💡 提升建议: "&amp;IFERROR(VLOOKUP(TRIM(D490)&amp;"_"&amp;TRIM(INDEX($M$1:$S$1, MATCH(MIN(M490:S490), M490:S490, 0))), 技能库!$A:$F, 6, 0),"请针对该题型加强练习"), "🎉 表现优异，无明显弱项！"))</f>
        <v/>
      </c>
    </row>
    <row r="491" spans="10:27" ht="18" hidden="1" customHeight="1" x14ac:dyDescent="0.2">
      <c r="J491" t="str">
        <f t="shared" si="21"/>
        <v/>
      </c>
      <c r="K491" t="str">
        <f>IF(J491="","", IFERROR(VLOOKUP(J491, IF(D491="Movers", 换算标准!$C:$D, 换算标准!$I:$J), 2, TRUE), 0))</f>
        <v/>
      </c>
      <c r="T491" t="str">
        <f t="shared" si="22"/>
        <v/>
      </c>
      <c r="U491" t="str">
        <f>IF(T491="","", IFERROR(VLOOKUP(T491, IF(D491="Movers", 换算标准!$A:$B, 换算标准!$G:$H), 2, TRUE), 0))</f>
        <v/>
      </c>
      <c r="W491" t="str">
        <f t="shared" si="23"/>
        <v/>
      </c>
      <c r="Z491" s="5" t="str">
        <f>IF(J491="","", IF(K491&lt;=3, "⚠️ 薄弱环节: "&amp;INDEX($E$1:$I$1, MATCH(MIN(E491:I491), E491:I491, 0))&amp;CHAR(10)&amp;"📉 考察能力: "&amp;IFERROR(VLOOKUP(TRIM(D491)&amp;"_"&amp;TRIM(INDEX($E$1:$I$1, MATCH(MIN(E491:I491), E491:I491, 0))), 技能库!$A:$F, 5, 0),"建议查阅考纲")&amp;CHAR(10)&amp;"💡 提升建议: "&amp;IFERROR(VLOOKUP(TRIM(D491)&amp;"_"&amp;TRIM(INDEX($E$1:$I$1, MATCH(MIN(E491:I491), E491:I491, 0))), 技能库!$A:$F, 6, 0),"请针对该题型加强练习"), "🎉 表现优异，无明显弱项！"))</f>
        <v/>
      </c>
      <c r="AA491" s="5" t="str">
        <f>IF(T491="","", IF(U491&lt;=3, "⚠️ 薄弱环节: "&amp;INDEX($M$1:$S$1, MATCH(MIN(M491:S491), M491:S491, 0))&amp;CHAR(10)&amp;"📉 考察能力: "&amp;IFERROR(VLOOKUP(TRIM(D491)&amp;"_"&amp;TRIM(INDEX($M$1:$S$1, MATCH(MIN(M491:S491), M491:S491, 0))), 技能库!$A:$F, 5, 0),"建议查阅考纲")&amp;CHAR(10)&amp;"💡 提升建议: "&amp;IFERROR(VLOOKUP(TRIM(D491)&amp;"_"&amp;TRIM(INDEX($M$1:$S$1, MATCH(MIN(M491:S491), M491:S491, 0))), 技能库!$A:$F, 6, 0),"请针对该题型加强练习"), "🎉 表现优异，无明显弱项！"))</f>
        <v/>
      </c>
    </row>
    <row r="492" spans="10:27" ht="18" hidden="1" customHeight="1" x14ac:dyDescent="0.2">
      <c r="J492" t="str">
        <f t="shared" si="21"/>
        <v/>
      </c>
      <c r="K492" t="str">
        <f>IF(J492="","", IFERROR(VLOOKUP(J492, IF(D492="Movers", 换算标准!$C:$D, 换算标准!$I:$J), 2, TRUE), 0))</f>
        <v/>
      </c>
      <c r="T492" t="str">
        <f t="shared" si="22"/>
        <v/>
      </c>
      <c r="U492" t="str">
        <f>IF(T492="","", IFERROR(VLOOKUP(T492, IF(D492="Movers", 换算标准!$A:$B, 换算标准!$G:$H), 2, TRUE), 0))</f>
        <v/>
      </c>
      <c r="W492" t="str">
        <f t="shared" si="23"/>
        <v/>
      </c>
      <c r="Z492" s="5" t="str">
        <f>IF(J492="","", IF(K492&lt;=3, "⚠️ 薄弱环节: "&amp;INDEX($E$1:$I$1, MATCH(MIN(E492:I492), E492:I492, 0))&amp;CHAR(10)&amp;"📉 考察能力: "&amp;IFERROR(VLOOKUP(TRIM(D492)&amp;"_"&amp;TRIM(INDEX($E$1:$I$1, MATCH(MIN(E492:I492), E492:I492, 0))), 技能库!$A:$F, 5, 0),"建议查阅考纲")&amp;CHAR(10)&amp;"💡 提升建议: "&amp;IFERROR(VLOOKUP(TRIM(D492)&amp;"_"&amp;TRIM(INDEX($E$1:$I$1, MATCH(MIN(E492:I492), E492:I492, 0))), 技能库!$A:$F, 6, 0),"请针对该题型加强练习"), "🎉 表现优异，无明显弱项！"))</f>
        <v/>
      </c>
      <c r="AA492" s="5" t="str">
        <f>IF(T492="","", IF(U492&lt;=3, "⚠️ 薄弱环节: "&amp;INDEX($M$1:$S$1, MATCH(MIN(M492:S492), M492:S492, 0))&amp;CHAR(10)&amp;"📉 考察能力: "&amp;IFERROR(VLOOKUP(TRIM(D492)&amp;"_"&amp;TRIM(INDEX($M$1:$S$1, MATCH(MIN(M492:S492), M492:S492, 0))), 技能库!$A:$F, 5, 0),"建议查阅考纲")&amp;CHAR(10)&amp;"💡 提升建议: "&amp;IFERROR(VLOOKUP(TRIM(D492)&amp;"_"&amp;TRIM(INDEX($M$1:$S$1, MATCH(MIN(M492:S492), M492:S492, 0))), 技能库!$A:$F, 6, 0),"请针对该题型加强练习"), "🎉 表现优异，无明显弱项！"))</f>
        <v/>
      </c>
    </row>
    <row r="493" spans="10:27" ht="18" hidden="1" customHeight="1" x14ac:dyDescent="0.2">
      <c r="J493" t="str">
        <f t="shared" si="21"/>
        <v/>
      </c>
      <c r="K493" t="str">
        <f>IF(J493="","", IFERROR(VLOOKUP(J493, IF(D493="Movers", 换算标准!$C:$D, 换算标准!$I:$J), 2, TRUE), 0))</f>
        <v/>
      </c>
      <c r="T493" t="str">
        <f t="shared" si="22"/>
        <v/>
      </c>
      <c r="U493" t="str">
        <f>IF(T493="","", IFERROR(VLOOKUP(T493, IF(D493="Movers", 换算标准!$A:$B, 换算标准!$G:$H), 2, TRUE), 0))</f>
        <v/>
      </c>
      <c r="W493" t="str">
        <f t="shared" si="23"/>
        <v/>
      </c>
      <c r="Z493" s="5" t="str">
        <f>IF(J493="","", IF(K493&lt;=3, "⚠️ 薄弱环节: "&amp;INDEX($E$1:$I$1, MATCH(MIN(E493:I493), E493:I493, 0))&amp;CHAR(10)&amp;"📉 考察能力: "&amp;IFERROR(VLOOKUP(TRIM(D493)&amp;"_"&amp;TRIM(INDEX($E$1:$I$1, MATCH(MIN(E493:I493), E493:I493, 0))), 技能库!$A:$F, 5, 0),"建议查阅考纲")&amp;CHAR(10)&amp;"💡 提升建议: "&amp;IFERROR(VLOOKUP(TRIM(D493)&amp;"_"&amp;TRIM(INDEX($E$1:$I$1, MATCH(MIN(E493:I493), E493:I493, 0))), 技能库!$A:$F, 6, 0),"请针对该题型加强练习"), "🎉 表现优异，无明显弱项！"))</f>
        <v/>
      </c>
      <c r="AA493" s="5" t="str">
        <f>IF(T493="","", IF(U493&lt;=3, "⚠️ 薄弱环节: "&amp;INDEX($M$1:$S$1, MATCH(MIN(M493:S493), M493:S493, 0))&amp;CHAR(10)&amp;"📉 考察能力: "&amp;IFERROR(VLOOKUP(TRIM(D493)&amp;"_"&amp;TRIM(INDEX($M$1:$S$1, MATCH(MIN(M493:S493), M493:S493, 0))), 技能库!$A:$F, 5, 0),"建议查阅考纲")&amp;CHAR(10)&amp;"💡 提升建议: "&amp;IFERROR(VLOOKUP(TRIM(D493)&amp;"_"&amp;TRIM(INDEX($M$1:$S$1, MATCH(MIN(M493:S493), M493:S493, 0))), 技能库!$A:$F, 6, 0),"请针对该题型加强练习"), "🎉 表现优异，无明显弱项！"))</f>
        <v/>
      </c>
    </row>
    <row r="494" spans="10:27" ht="18" hidden="1" customHeight="1" x14ac:dyDescent="0.2">
      <c r="J494" t="str">
        <f t="shared" si="21"/>
        <v/>
      </c>
      <c r="K494" t="str">
        <f>IF(J494="","", IFERROR(VLOOKUP(J494, IF(D494="Movers", 换算标准!$C:$D, 换算标准!$I:$J), 2, TRUE), 0))</f>
        <v/>
      </c>
      <c r="T494" t="str">
        <f t="shared" si="22"/>
        <v/>
      </c>
      <c r="U494" t="str">
        <f>IF(T494="","", IFERROR(VLOOKUP(T494, IF(D494="Movers", 换算标准!$A:$B, 换算标准!$G:$H), 2, TRUE), 0))</f>
        <v/>
      </c>
      <c r="W494" t="str">
        <f t="shared" si="23"/>
        <v/>
      </c>
      <c r="Z494" s="5" t="str">
        <f>IF(J494="","", IF(K494&lt;=3, "⚠️ 薄弱环节: "&amp;INDEX($E$1:$I$1, MATCH(MIN(E494:I494), E494:I494, 0))&amp;CHAR(10)&amp;"📉 考察能力: "&amp;IFERROR(VLOOKUP(TRIM(D494)&amp;"_"&amp;TRIM(INDEX($E$1:$I$1, MATCH(MIN(E494:I494), E494:I494, 0))), 技能库!$A:$F, 5, 0),"建议查阅考纲")&amp;CHAR(10)&amp;"💡 提升建议: "&amp;IFERROR(VLOOKUP(TRIM(D494)&amp;"_"&amp;TRIM(INDEX($E$1:$I$1, MATCH(MIN(E494:I494), E494:I494, 0))), 技能库!$A:$F, 6, 0),"请针对该题型加强练习"), "🎉 表现优异，无明显弱项！"))</f>
        <v/>
      </c>
      <c r="AA494" s="5" t="str">
        <f>IF(T494="","", IF(U494&lt;=3, "⚠️ 薄弱环节: "&amp;INDEX($M$1:$S$1, MATCH(MIN(M494:S494), M494:S494, 0))&amp;CHAR(10)&amp;"📉 考察能力: "&amp;IFERROR(VLOOKUP(TRIM(D494)&amp;"_"&amp;TRIM(INDEX($M$1:$S$1, MATCH(MIN(M494:S494), M494:S494, 0))), 技能库!$A:$F, 5, 0),"建议查阅考纲")&amp;CHAR(10)&amp;"💡 提升建议: "&amp;IFERROR(VLOOKUP(TRIM(D494)&amp;"_"&amp;TRIM(INDEX($M$1:$S$1, MATCH(MIN(M494:S494), M494:S494, 0))), 技能库!$A:$F, 6, 0),"请针对该题型加强练习"), "🎉 表现优异，无明显弱项！"))</f>
        <v/>
      </c>
    </row>
    <row r="495" spans="10:27" ht="18" hidden="1" customHeight="1" x14ac:dyDescent="0.2">
      <c r="J495" t="str">
        <f t="shared" si="21"/>
        <v/>
      </c>
      <c r="K495" t="str">
        <f>IF(J495="","", IFERROR(VLOOKUP(J495, IF(D495="Movers", 换算标准!$C:$D, 换算标准!$I:$J), 2, TRUE), 0))</f>
        <v/>
      </c>
      <c r="T495" t="str">
        <f t="shared" si="22"/>
        <v/>
      </c>
      <c r="U495" t="str">
        <f>IF(T495="","", IFERROR(VLOOKUP(T495, IF(D495="Movers", 换算标准!$A:$B, 换算标准!$G:$H), 2, TRUE), 0))</f>
        <v/>
      </c>
      <c r="W495" t="str">
        <f t="shared" si="23"/>
        <v/>
      </c>
      <c r="Z495" s="5" t="str">
        <f>IF(J495="","", IF(K495&lt;=3, "⚠️ 薄弱环节: "&amp;INDEX($E$1:$I$1, MATCH(MIN(E495:I495), E495:I495, 0))&amp;CHAR(10)&amp;"📉 考察能力: "&amp;IFERROR(VLOOKUP(TRIM(D495)&amp;"_"&amp;TRIM(INDEX($E$1:$I$1, MATCH(MIN(E495:I495), E495:I495, 0))), 技能库!$A:$F, 5, 0),"建议查阅考纲")&amp;CHAR(10)&amp;"💡 提升建议: "&amp;IFERROR(VLOOKUP(TRIM(D495)&amp;"_"&amp;TRIM(INDEX($E$1:$I$1, MATCH(MIN(E495:I495), E495:I495, 0))), 技能库!$A:$F, 6, 0),"请针对该题型加强练习"), "🎉 表现优异，无明显弱项！"))</f>
        <v/>
      </c>
      <c r="AA495" s="5" t="str">
        <f>IF(T495="","", IF(U495&lt;=3, "⚠️ 薄弱环节: "&amp;INDEX($M$1:$S$1, MATCH(MIN(M495:S495), M495:S495, 0))&amp;CHAR(10)&amp;"📉 考察能力: "&amp;IFERROR(VLOOKUP(TRIM(D495)&amp;"_"&amp;TRIM(INDEX($M$1:$S$1, MATCH(MIN(M495:S495), M495:S495, 0))), 技能库!$A:$F, 5, 0),"建议查阅考纲")&amp;CHAR(10)&amp;"💡 提升建议: "&amp;IFERROR(VLOOKUP(TRIM(D495)&amp;"_"&amp;TRIM(INDEX($M$1:$S$1, MATCH(MIN(M495:S495), M495:S495, 0))), 技能库!$A:$F, 6, 0),"请针对该题型加强练习"), "🎉 表现优异，无明显弱项！"))</f>
        <v/>
      </c>
    </row>
    <row r="496" spans="10:27" ht="18" hidden="1" customHeight="1" x14ac:dyDescent="0.2">
      <c r="J496" t="str">
        <f t="shared" si="21"/>
        <v/>
      </c>
      <c r="K496" t="str">
        <f>IF(J496="","", IFERROR(VLOOKUP(J496, IF(D496="Movers", 换算标准!$C:$D, 换算标准!$I:$J), 2, TRUE), 0))</f>
        <v/>
      </c>
      <c r="T496" t="str">
        <f t="shared" si="22"/>
        <v/>
      </c>
      <c r="U496" t="str">
        <f>IF(T496="","", IFERROR(VLOOKUP(T496, IF(D496="Movers", 换算标准!$A:$B, 换算标准!$G:$H), 2, TRUE), 0))</f>
        <v/>
      </c>
      <c r="W496" t="str">
        <f t="shared" si="23"/>
        <v/>
      </c>
      <c r="Z496" s="5" t="str">
        <f>IF(J496="","", IF(K496&lt;=3, "⚠️ 薄弱环节: "&amp;INDEX($E$1:$I$1, MATCH(MIN(E496:I496), E496:I496, 0))&amp;CHAR(10)&amp;"📉 考察能力: "&amp;IFERROR(VLOOKUP(TRIM(D496)&amp;"_"&amp;TRIM(INDEX($E$1:$I$1, MATCH(MIN(E496:I496), E496:I496, 0))), 技能库!$A:$F, 5, 0),"建议查阅考纲")&amp;CHAR(10)&amp;"💡 提升建议: "&amp;IFERROR(VLOOKUP(TRIM(D496)&amp;"_"&amp;TRIM(INDEX($E$1:$I$1, MATCH(MIN(E496:I496), E496:I496, 0))), 技能库!$A:$F, 6, 0),"请针对该题型加强练习"), "🎉 表现优异，无明显弱项！"))</f>
        <v/>
      </c>
      <c r="AA496" s="5" t="str">
        <f>IF(T496="","", IF(U496&lt;=3, "⚠️ 薄弱环节: "&amp;INDEX($M$1:$S$1, MATCH(MIN(M496:S496), M496:S496, 0))&amp;CHAR(10)&amp;"📉 考察能力: "&amp;IFERROR(VLOOKUP(TRIM(D496)&amp;"_"&amp;TRIM(INDEX($M$1:$S$1, MATCH(MIN(M496:S496), M496:S496, 0))), 技能库!$A:$F, 5, 0),"建议查阅考纲")&amp;CHAR(10)&amp;"💡 提升建议: "&amp;IFERROR(VLOOKUP(TRIM(D496)&amp;"_"&amp;TRIM(INDEX($M$1:$S$1, MATCH(MIN(M496:S496), M496:S496, 0))), 技能库!$A:$F, 6, 0),"请针对该题型加强练习"), "🎉 表现优异，无明显弱项！"))</f>
        <v/>
      </c>
    </row>
    <row r="497" spans="10:27" ht="18" hidden="1" customHeight="1" x14ac:dyDescent="0.2">
      <c r="J497" t="str">
        <f t="shared" si="21"/>
        <v/>
      </c>
      <c r="K497" t="str">
        <f>IF(J497="","", IFERROR(VLOOKUP(J497, IF(D497="Movers", 换算标准!$C:$D, 换算标准!$I:$J), 2, TRUE), 0))</f>
        <v/>
      </c>
      <c r="T497" t="str">
        <f t="shared" si="22"/>
        <v/>
      </c>
      <c r="U497" t="str">
        <f>IF(T497="","", IFERROR(VLOOKUP(T497, IF(D497="Movers", 换算标准!$A:$B, 换算标准!$G:$H), 2, TRUE), 0))</f>
        <v/>
      </c>
      <c r="W497" t="str">
        <f t="shared" si="23"/>
        <v/>
      </c>
      <c r="Z497" s="5" t="str">
        <f>IF(J497="","", IF(K497&lt;=3, "⚠️ 薄弱环节: "&amp;INDEX($E$1:$I$1, MATCH(MIN(E497:I497), E497:I497, 0))&amp;CHAR(10)&amp;"📉 考察能力: "&amp;IFERROR(VLOOKUP(TRIM(D497)&amp;"_"&amp;TRIM(INDEX($E$1:$I$1, MATCH(MIN(E497:I497), E497:I497, 0))), 技能库!$A:$F, 5, 0),"建议查阅考纲")&amp;CHAR(10)&amp;"💡 提升建议: "&amp;IFERROR(VLOOKUP(TRIM(D497)&amp;"_"&amp;TRIM(INDEX($E$1:$I$1, MATCH(MIN(E497:I497), E497:I497, 0))), 技能库!$A:$F, 6, 0),"请针对该题型加强练习"), "🎉 表现优异，无明显弱项！"))</f>
        <v/>
      </c>
      <c r="AA497" s="5" t="str">
        <f>IF(T497="","", IF(U497&lt;=3, "⚠️ 薄弱环节: "&amp;INDEX($M$1:$S$1, MATCH(MIN(M497:S497), M497:S497, 0))&amp;CHAR(10)&amp;"📉 考察能力: "&amp;IFERROR(VLOOKUP(TRIM(D497)&amp;"_"&amp;TRIM(INDEX($M$1:$S$1, MATCH(MIN(M497:S497), M497:S497, 0))), 技能库!$A:$F, 5, 0),"建议查阅考纲")&amp;CHAR(10)&amp;"💡 提升建议: "&amp;IFERROR(VLOOKUP(TRIM(D497)&amp;"_"&amp;TRIM(INDEX($M$1:$S$1, MATCH(MIN(M497:S497), M497:S497, 0))), 技能库!$A:$F, 6, 0),"请针对该题型加强练习"), "🎉 表现优异，无明显弱项！"))</f>
        <v/>
      </c>
    </row>
    <row r="498" spans="10:27" ht="18" hidden="1" customHeight="1" x14ac:dyDescent="0.2">
      <c r="J498" t="str">
        <f t="shared" si="21"/>
        <v/>
      </c>
      <c r="K498" t="str">
        <f>IF(J498="","", IFERROR(VLOOKUP(J498, IF(D498="Movers", 换算标准!$C:$D, 换算标准!$I:$J), 2, TRUE), 0))</f>
        <v/>
      </c>
      <c r="T498" t="str">
        <f t="shared" si="22"/>
        <v/>
      </c>
      <c r="U498" t="str">
        <f>IF(T498="","", IFERROR(VLOOKUP(T498, IF(D498="Movers", 换算标准!$A:$B, 换算标准!$G:$H), 2, TRUE), 0))</f>
        <v/>
      </c>
      <c r="W498" t="str">
        <f t="shared" si="23"/>
        <v/>
      </c>
      <c r="Z498" s="5" t="str">
        <f>IF(J498="","", IF(K498&lt;=3, "⚠️ 薄弱环节: "&amp;INDEX($E$1:$I$1, MATCH(MIN(E498:I498), E498:I498, 0))&amp;CHAR(10)&amp;"📉 考察能力: "&amp;IFERROR(VLOOKUP(TRIM(D498)&amp;"_"&amp;TRIM(INDEX($E$1:$I$1, MATCH(MIN(E498:I498), E498:I498, 0))), 技能库!$A:$F, 5, 0),"建议查阅考纲")&amp;CHAR(10)&amp;"💡 提升建议: "&amp;IFERROR(VLOOKUP(TRIM(D498)&amp;"_"&amp;TRIM(INDEX($E$1:$I$1, MATCH(MIN(E498:I498), E498:I498, 0))), 技能库!$A:$F, 6, 0),"请针对该题型加强练习"), "🎉 表现优异，无明显弱项！"))</f>
        <v/>
      </c>
      <c r="AA498" s="5" t="str">
        <f>IF(T498="","", IF(U498&lt;=3, "⚠️ 薄弱环节: "&amp;INDEX($M$1:$S$1, MATCH(MIN(M498:S498), M498:S498, 0))&amp;CHAR(10)&amp;"📉 考察能力: "&amp;IFERROR(VLOOKUP(TRIM(D498)&amp;"_"&amp;TRIM(INDEX($M$1:$S$1, MATCH(MIN(M498:S498), M498:S498, 0))), 技能库!$A:$F, 5, 0),"建议查阅考纲")&amp;CHAR(10)&amp;"💡 提升建议: "&amp;IFERROR(VLOOKUP(TRIM(D498)&amp;"_"&amp;TRIM(INDEX($M$1:$S$1, MATCH(MIN(M498:S498), M498:S498, 0))), 技能库!$A:$F, 6, 0),"请针对该题型加强练习"), "🎉 表现优异，无明显弱项！"))</f>
        <v/>
      </c>
    </row>
    <row r="499" spans="10:27" ht="18" hidden="1" customHeight="1" x14ac:dyDescent="0.2">
      <c r="J499" t="str">
        <f t="shared" si="21"/>
        <v/>
      </c>
      <c r="K499" t="str">
        <f>IF(J499="","", IFERROR(VLOOKUP(J499, IF(D499="Movers", 换算标准!$C:$D, 换算标准!$I:$J), 2, TRUE), 0))</f>
        <v/>
      </c>
      <c r="T499" t="str">
        <f t="shared" si="22"/>
        <v/>
      </c>
      <c r="U499" t="str">
        <f>IF(T499="","", IFERROR(VLOOKUP(T499, IF(D499="Movers", 换算标准!$A:$B, 换算标准!$G:$H), 2, TRUE), 0))</f>
        <v/>
      </c>
      <c r="W499" t="str">
        <f t="shared" si="23"/>
        <v/>
      </c>
      <c r="Z499" s="5" t="str">
        <f>IF(J499="","", IF(K499&lt;=3, "⚠️ 薄弱环节: "&amp;INDEX($E$1:$I$1, MATCH(MIN(E499:I499), E499:I499, 0))&amp;CHAR(10)&amp;"📉 考察能力: "&amp;IFERROR(VLOOKUP(TRIM(D499)&amp;"_"&amp;TRIM(INDEX($E$1:$I$1, MATCH(MIN(E499:I499), E499:I499, 0))), 技能库!$A:$F, 5, 0),"建议查阅考纲")&amp;CHAR(10)&amp;"💡 提升建议: "&amp;IFERROR(VLOOKUP(TRIM(D499)&amp;"_"&amp;TRIM(INDEX($E$1:$I$1, MATCH(MIN(E499:I499), E499:I499, 0))), 技能库!$A:$F, 6, 0),"请针对该题型加强练习"), "🎉 表现优异，无明显弱项！"))</f>
        <v/>
      </c>
      <c r="AA499" s="5" t="str">
        <f>IF(T499="","", IF(U499&lt;=3, "⚠️ 薄弱环节: "&amp;INDEX($M$1:$S$1, MATCH(MIN(M499:S499), M499:S499, 0))&amp;CHAR(10)&amp;"📉 考察能力: "&amp;IFERROR(VLOOKUP(TRIM(D499)&amp;"_"&amp;TRIM(INDEX($M$1:$S$1, MATCH(MIN(M499:S499), M499:S499, 0))), 技能库!$A:$F, 5, 0),"建议查阅考纲")&amp;CHAR(10)&amp;"💡 提升建议: "&amp;IFERROR(VLOOKUP(TRIM(D499)&amp;"_"&amp;TRIM(INDEX($M$1:$S$1, MATCH(MIN(M499:S499), M499:S499, 0))), 技能库!$A:$F, 6, 0),"请针对该题型加强练习"), "🎉 表现优异，无明显弱项！"))</f>
        <v/>
      </c>
    </row>
    <row r="500" spans="10:27" ht="18" hidden="1" customHeight="1" x14ac:dyDescent="0.2">
      <c r="J500" t="str">
        <f t="shared" si="21"/>
        <v/>
      </c>
      <c r="K500" t="str">
        <f>IF(J500="","", IFERROR(VLOOKUP(J500, IF(D500="Movers", 换算标准!$C:$D, 换算标准!$I:$J), 2, TRUE), 0))</f>
        <v/>
      </c>
      <c r="T500" t="str">
        <f t="shared" si="22"/>
        <v/>
      </c>
      <c r="U500" t="str">
        <f>IF(T500="","", IFERROR(VLOOKUP(T500, IF(D500="Movers", 换算标准!$A:$B, 换算标准!$G:$H), 2, TRUE), 0))</f>
        <v/>
      </c>
      <c r="W500" t="str">
        <f t="shared" si="23"/>
        <v/>
      </c>
      <c r="Z500" s="5" t="str">
        <f>IF(J500="","", IF(K500&lt;=3, "⚠️ 薄弱环节: "&amp;INDEX($E$1:$I$1, MATCH(MIN(E500:I500), E500:I500, 0))&amp;CHAR(10)&amp;"📉 考察能力: "&amp;IFERROR(VLOOKUP(TRIM(D500)&amp;"_"&amp;TRIM(INDEX($E$1:$I$1, MATCH(MIN(E500:I500), E500:I500, 0))), 技能库!$A:$F, 5, 0),"建议查阅考纲")&amp;CHAR(10)&amp;"💡 提升建议: "&amp;IFERROR(VLOOKUP(TRIM(D500)&amp;"_"&amp;TRIM(INDEX($E$1:$I$1, MATCH(MIN(E500:I500), E500:I500, 0))), 技能库!$A:$F, 6, 0),"请针对该题型加强练习"), "🎉 表现优异，无明显弱项！"))</f>
        <v/>
      </c>
      <c r="AA500" s="5" t="str">
        <f>IF(T500="","", IF(U500&lt;=3, "⚠️ 薄弱环节: "&amp;INDEX($M$1:$S$1, MATCH(MIN(M500:S500), M500:S500, 0))&amp;CHAR(10)&amp;"📉 考察能力: "&amp;IFERROR(VLOOKUP(TRIM(D500)&amp;"_"&amp;TRIM(INDEX($M$1:$S$1, MATCH(MIN(M500:S500), M500:S500, 0))), 技能库!$A:$F, 5, 0),"建议查阅考纲")&amp;CHAR(10)&amp;"💡 提升建议: "&amp;IFERROR(VLOOKUP(TRIM(D500)&amp;"_"&amp;TRIM(INDEX($M$1:$S$1, MATCH(MIN(M500:S500), M500:S500, 0))), 技能库!$A:$F, 6, 0),"请针对该题型加强练习"), "🎉 表现优异，无明显弱项！"))</f>
        <v/>
      </c>
    </row>
    <row r="501" spans="10:27" ht="18" hidden="1" customHeight="1" x14ac:dyDescent="0.2">
      <c r="J501" t="str">
        <f t="shared" si="21"/>
        <v/>
      </c>
      <c r="K501" t="str">
        <f>IF(J501="","", IFERROR(VLOOKUP(J501, IF(D501="Movers", 换算标准!$C:$D, 换算标准!$I:$J), 2, TRUE), 0))</f>
        <v/>
      </c>
      <c r="T501" t="str">
        <f t="shared" si="22"/>
        <v/>
      </c>
      <c r="U501" t="str">
        <f>IF(T501="","", IFERROR(VLOOKUP(T501, IF(D501="Movers", 换算标准!$A:$B, 换算标准!$G:$H), 2, TRUE), 0))</f>
        <v/>
      </c>
      <c r="W501" t="str">
        <f t="shared" si="23"/>
        <v/>
      </c>
      <c r="Z501" s="5" t="str">
        <f>IF(J501="","", IF(K501&lt;=3, "⚠️ 薄弱环节: "&amp;INDEX($E$1:$I$1, MATCH(MIN(E501:I501), E501:I501, 0))&amp;CHAR(10)&amp;"📉 考察能力: "&amp;IFERROR(VLOOKUP(TRIM(D501)&amp;"_"&amp;TRIM(INDEX($E$1:$I$1, MATCH(MIN(E501:I501), E501:I501, 0))), 技能库!$A:$F, 5, 0),"建议查阅考纲")&amp;CHAR(10)&amp;"💡 提升建议: "&amp;IFERROR(VLOOKUP(TRIM(D501)&amp;"_"&amp;TRIM(INDEX($E$1:$I$1, MATCH(MIN(E501:I501), E501:I501, 0))), 技能库!$A:$F, 6, 0),"请针对该题型加强练习"), "🎉 表现优异，无明显弱项！"))</f>
        <v/>
      </c>
      <c r="AA501" s="5" t="str">
        <f>IF(T501="","", IF(U501&lt;=3, "⚠️ 薄弱环节: "&amp;INDEX($M$1:$S$1, MATCH(MIN(M501:S501), M501:S501, 0))&amp;CHAR(10)&amp;"📉 考察能力: "&amp;IFERROR(VLOOKUP(TRIM(D501)&amp;"_"&amp;TRIM(INDEX($M$1:$S$1, MATCH(MIN(M501:S501), M501:S501, 0))), 技能库!$A:$F, 5, 0),"建议查阅考纲")&amp;CHAR(10)&amp;"💡 提升建议: "&amp;IFERROR(VLOOKUP(TRIM(D501)&amp;"_"&amp;TRIM(INDEX($M$1:$S$1, MATCH(MIN(M501:S501), M501:S501, 0))), 技能库!$A:$F, 6, 0),"请针对该题型加强练习"), "🎉 表现优异，无明显弱项！"))</f>
        <v/>
      </c>
    </row>
    <row r="502" spans="10:27" ht="18" hidden="1" customHeight="1" x14ac:dyDescent="0.2">
      <c r="J502" t="str">
        <f t="shared" si="21"/>
        <v/>
      </c>
      <c r="K502" t="str">
        <f>IF(J502="","", IFERROR(VLOOKUP(J502, IF(D502="Movers", 换算标准!$C:$D, 换算标准!$I:$J), 2, TRUE), 0))</f>
        <v/>
      </c>
      <c r="T502" t="str">
        <f t="shared" si="22"/>
        <v/>
      </c>
      <c r="U502" t="str">
        <f>IF(T502="","", IFERROR(VLOOKUP(T502, IF(D502="Movers", 换算标准!$A:$B, 换算标准!$G:$H), 2, TRUE), 0))</f>
        <v/>
      </c>
      <c r="W502" t="str">
        <f t="shared" si="23"/>
        <v/>
      </c>
      <c r="Z502" s="5" t="str">
        <f>IF(J502="","", IF(K502&lt;=3, "⚠️ 薄弱环节: "&amp;INDEX($E$1:$I$1, MATCH(MIN(E502:I502), E502:I502, 0))&amp;CHAR(10)&amp;"📉 考察能力: "&amp;IFERROR(VLOOKUP(TRIM(D502)&amp;"_"&amp;TRIM(INDEX($E$1:$I$1, MATCH(MIN(E502:I502), E502:I502, 0))), 技能库!$A:$F, 5, 0),"建议查阅考纲")&amp;CHAR(10)&amp;"💡 提升建议: "&amp;IFERROR(VLOOKUP(TRIM(D502)&amp;"_"&amp;TRIM(INDEX($E$1:$I$1, MATCH(MIN(E502:I502), E502:I502, 0))), 技能库!$A:$F, 6, 0),"请针对该题型加强练习"), "🎉 表现优异，无明显弱项！"))</f>
        <v/>
      </c>
      <c r="AA502" s="5" t="str">
        <f>IF(T502="","", IF(U502&lt;=3, "⚠️ 薄弱环节: "&amp;INDEX($M$1:$S$1, MATCH(MIN(M502:S502), M502:S502, 0))&amp;CHAR(10)&amp;"📉 考察能力: "&amp;IFERROR(VLOOKUP(TRIM(D502)&amp;"_"&amp;TRIM(INDEX($M$1:$S$1, MATCH(MIN(M502:S502), M502:S502, 0))), 技能库!$A:$F, 5, 0),"建议查阅考纲")&amp;CHAR(10)&amp;"💡 提升建议: "&amp;IFERROR(VLOOKUP(TRIM(D502)&amp;"_"&amp;TRIM(INDEX($M$1:$S$1, MATCH(MIN(M502:S502), M502:S502, 0))), 技能库!$A:$F, 6, 0),"请针对该题型加强练习"), "🎉 表现优异，无明显弱项！"))</f>
        <v/>
      </c>
    </row>
    <row r="503" spans="10:27" ht="18" hidden="1" customHeight="1" x14ac:dyDescent="0.2">
      <c r="J503" t="str">
        <f t="shared" si="21"/>
        <v/>
      </c>
      <c r="K503" t="str">
        <f>IF(J503="","", IFERROR(VLOOKUP(J503, IF(D503="Movers", 换算标准!$C:$D, 换算标准!$I:$J), 2, TRUE), 0))</f>
        <v/>
      </c>
      <c r="T503" t="str">
        <f t="shared" si="22"/>
        <v/>
      </c>
      <c r="U503" t="str">
        <f>IF(T503="","", IFERROR(VLOOKUP(T503, IF(D503="Movers", 换算标准!$A:$B, 换算标准!$G:$H), 2, TRUE), 0))</f>
        <v/>
      </c>
      <c r="W503" t="str">
        <f t="shared" si="23"/>
        <v/>
      </c>
      <c r="Z503" s="5" t="str">
        <f>IF(J503="","", IF(K503&lt;=3, "⚠️ 薄弱环节: "&amp;INDEX($E$1:$I$1, MATCH(MIN(E503:I503), E503:I503, 0))&amp;CHAR(10)&amp;"📉 考察能力: "&amp;IFERROR(VLOOKUP(TRIM(D503)&amp;"_"&amp;TRIM(INDEX($E$1:$I$1, MATCH(MIN(E503:I503), E503:I503, 0))), 技能库!$A:$F, 5, 0),"建议查阅考纲")&amp;CHAR(10)&amp;"💡 提升建议: "&amp;IFERROR(VLOOKUP(TRIM(D503)&amp;"_"&amp;TRIM(INDEX($E$1:$I$1, MATCH(MIN(E503:I503), E503:I503, 0))), 技能库!$A:$F, 6, 0),"请针对该题型加强练习"), "🎉 表现优异，无明显弱项！"))</f>
        <v/>
      </c>
      <c r="AA503" s="5" t="str">
        <f>IF(T503="","", IF(U503&lt;=3, "⚠️ 薄弱环节: "&amp;INDEX($M$1:$S$1, MATCH(MIN(M503:S503), M503:S503, 0))&amp;CHAR(10)&amp;"📉 考察能力: "&amp;IFERROR(VLOOKUP(TRIM(D503)&amp;"_"&amp;TRIM(INDEX($M$1:$S$1, MATCH(MIN(M503:S503), M503:S503, 0))), 技能库!$A:$F, 5, 0),"建议查阅考纲")&amp;CHAR(10)&amp;"💡 提升建议: "&amp;IFERROR(VLOOKUP(TRIM(D503)&amp;"_"&amp;TRIM(INDEX($M$1:$S$1, MATCH(MIN(M503:S503), M503:S503, 0))), 技能库!$A:$F, 6, 0),"请针对该题型加强练习"), "🎉 表现优异，无明显弱项！"))</f>
        <v/>
      </c>
    </row>
    <row r="504" spans="10:27" ht="18" hidden="1" customHeight="1" x14ac:dyDescent="0.2">
      <c r="J504" t="str">
        <f t="shared" si="21"/>
        <v/>
      </c>
      <c r="K504" t="str">
        <f>IF(J504="","", IFERROR(VLOOKUP(J504, IF(D504="Movers", 换算标准!$C:$D, 换算标准!$I:$J), 2, TRUE), 0))</f>
        <v/>
      </c>
      <c r="T504" t="str">
        <f t="shared" si="22"/>
        <v/>
      </c>
      <c r="U504" t="str">
        <f>IF(T504="","", IFERROR(VLOOKUP(T504, IF(D504="Movers", 换算标准!$A:$B, 换算标准!$G:$H), 2, TRUE), 0))</f>
        <v/>
      </c>
      <c r="W504" t="str">
        <f t="shared" si="23"/>
        <v/>
      </c>
      <c r="Z504" s="5" t="str">
        <f>IF(J504="","", IF(K504&lt;=3, "⚠️ 薄弱环节: "&amp;INDEX($E$1:$I$1, MATCH(MIN(E504:I504), E504:I504, 0))&amp;CHAR(10)&amp;"📉 考察能力: "&amp;IFERROR(VLOOKUP(TRIM(D504)&amp;"_"&amp;TRIM(INDEX($E$1:$I$1, MATCH(MIN(E504:I504), E504:I504, 0))), 技能库!$A:$F, 5, 0),"建议查阅考纲")&amp;CHAR(10)&amp;"💡 提升建议: "&amp;IFERROR(VLOOKUP(TRIM(D504)&amp;"_"&amp;TRIM(INDEX($E$1:$I$1, MATCH(MIN(E504:I504), E504:I504, 0))), 技能库!$A:$F, 6, 0),"请针对该题型加强练习"), "🎉 表现优异，无明显弱项！"))</f>
        <v/>
      </c>
      <c r="AA504" s="5" t="str">
        <f>IF(T504="","", IF(U504&lt;=3, "⚠️ 薄弱环节: "&amp;INDEX($M$1:$S$1, MATCH(MIN(M504:S504), M504:S504, 0))&amp;CHAR(10)&amp;"📉 考察能力: "&amp;IFERROR(VLOOKUP(TRIM(D504)&amp;"_"&amp;TRIM(INDEX($M$1:$S$1, MATCH(MIN(M504:S504), M504:S504, 0))), 技能库!$A:$F, 5, 0),"建议查阅考纲")&amp;CHAR(10)&amp;"💡 提升建议: "&amp;IFERROR(VLOOKUP(TRIM(D504)&amp;"_"&amp;TRIM(INDEX($M$1:$S$1, MATCH(MIN(M504:S504), M504:S504, 0))), 技能库!$A:$F, 6, 0),"请针对该题型加强练习"), "🎉 表现优异，无明显弱项！"))</f>
        <v/>
      </c>
    </row>
    <row r="505" spans="10:27" ht="18" hidden="1" customHeight="1" x14ac:dyDescent="0.2">
      <c r="J505" t="str">
        <f t="shared" si="21"/>
        <v/>
      </c>
      <c r="K505" t="str">
        <f>IF(J505="","", IFERROR(VLOOKUP(J505, IF(D505="Movers", 换算标准!$C:$D, 换算标准!$I:$J), 2, TRUE), 0))</f>
        <v/>
      </c>
      <c r="T505" t="str">
        <f t="shared" si="22"/>
        <v/>
      </c>
      <c r="U505" t="str">
        <f>IF(T505="","", IFERROR(VLOOKUP(T505, IF(D505="Movers", 换算标准!$A:$B, 换算标准!$G:$H), 2, TRUE), 0))</f>
        <v/>
      </c>
      <c r="W505" t="str">
        <f t="shared" si="23"/>
        <v/>
      </c>
      <c r="Z505" s="5" t="str">
        <f>IF(J505="","", IF(K505&lt;=3, "⚠️ 薄弱环节: "&amp;INDEX($E$1:$I$1, MATCH(MIN(E505:I505), E505:I505, 0))&amp;CHAR(10)&amp;"📉 考察能力: "&amp;IFERROR(VLOOKUP(TRIM(D505)&amp;"_"&amp;TRIM(INDEX($E$1:$I$1, MATCH(MIN(E505:I505), E505:I505, 0))), 技能库!$A:$F, 5, 0),"建议查阅考纲")&amp;CHAR(10)&amp;"💡 提升建议: "&amp;IFERROR(VLOOKUP(TRIM(D505)&amp;"_"&amp;TRIM(INDEX($E$1:$I$1, MATCH(MIN(E505:I505), E505:I505, 0))), 技能库!$A:$F, 6, 0),"请针对该题型加强练习"), "🎉 表现优异，无明显弱项！"))</f>
        <v/>
      </c>
      <c r="AA505" s="5" t="str">
        <f>IF(T505="","", IF(U505&lt;=3, "⚠️ 薄弱环节: "&amp;INDEX($M$1:$S$1, MATCH(MIN(M505:S505), M505:S505, 0))&amp;CHAR(10)&amp;"📉 考察能力: "&amp;IFERROR(VLOOKUP(TRIM(D505)&amp;"_"&amp;TRIM(INDEX($M$1:$S$1, MATCH(MIN(M505:S505), M505:S505, 0))), 技能库!$A:$F, 5, 0),"建议查阅考纲")&amp;CHAR(10)&amp;"💡 提升建议: "&amp;IFERROR(VLOOKUP(TRIM(D505)&amp;"_"&amp;TRIM(INDEX($M$1:$S$1, MATCH(MIN(M505:S505), M505:S505, 0))), 技能库!$A:$F, 6, 0),"请针对该题型加强练习"), "🎉 表现优异，无明显弱项！"))</f>
        <v/>
      </c>
    </row>
    <row r="506" spans="10:27" ht="18" hidden="1" customHeight="1" x14ac:dyDescent="0.2">
      <c r="J506" t="str">
        <f t="shared" si="21"/>
        <v/>
      </c>
      <c r="K506" t="str">
        <f>IF(J506="","", IFERROR(VLOOKUP(J506, IF(D506="Movers", 换算标准!$C:$D, 换算标准!$I:$J), 2, TRUE), 0))</f>
        <v/>
      </c>
      <c r="T506" t="str">
        <f t="shared" si="22"/>
        <v/>
      </c>
      <c r="U506" t="str">
        <f>IF(T506="","", IFERROR(VLOOKUP(T506, IF(D506="Movers", 换算标准!$A:$B, 换算标准!$G:$H), 2, TRUE), 0))</f>
        <v/>
      </c>
      <c r="W506" t="str">
        <f t="shared" si="23"/>
        <v/>
      </c>
      <c r="Z506" s="5" t="str">
        <f>IF(J506="","", IF(K506&lt;=3, "⚠️ 薄弱环节: "&amp;INDEX($E$1:$I$1, MATCH(MIN(E506:I506), E506:I506, 0))&amp;CHAR(10)&amp;"📉 考察能力: "&amp;IFERROR(VLOOKUP(TRIM(D506)&amp;"_"&amp;TRIM(INDEX($E$1:$I$1, MATCH(MIN(E506:I506), E506:I506, 0))), 技能库!$A:$F, 5, 0),"建议查阅考纲")&amp;CHAR(10)&amp;"💡 提升建议: "&amp;IFERROR(VLOOKUP(TRIM(D506)&amp;"_"&amp;TRIM(INDEX($E$1:$I$1, MATCH(MIN(E506:I506), E506:I506, 0))), 技能库!$A:$F, 6, 0),"请针对该题型加强练习"), "🎉 表现优异，无明显弱项！"))</f>
        <v/>
      </c>
      <c r="AA506" s="5" t="str">
        <f>IF(T506="","", IF(U506&lt;=3, "⚠️ 薄弱环节: "&amp;INDEX($M$1:$S$1, MATCH(MIN(M506:S506), M506:S506, 0))&amp;CHAR(10)&amp;"📉 考察能力: "&amp;IFERROR(VLOOKUP(TRIM(D506)&amp;"_"&amp;TRIM(INDEX($M$1:$S$1, MATCH(MIN(M506:S506), M506:S506, 0))), 技能库!$A:$F, 5, 0),"建议查阅考纲")&amp;CHAR(10)&amp;"💡 提升建议: "&amp;IFERROR(VLOOKUP(TRIM(D506)&amp;"_"&amp;TRIM(INDEX($M$1:$S$1, MATCH(MIN(M506:S506), M506:S506, 0))), 技能库!$A:$F, 6, 0),"请针对该题型加强练习"), "🎉 表现优异，无明显弱项！"))</f>
        <v/>
      </c>
    </row>
    <row r="507" spans="10:27" ht="18" hidden="1" customHeight="1" x14ac:dyDescent="0.2">
      <c r="J507" t="str">
        <f t="shared" si="21"/>
        <v/>
      </c>
      <c r="K507" t="str">
        <f>IF(J507="","", IFERROR(VLOOKUP(J507, IF(D507="Movers", 换算标准!$C:$D, 换算标准!$I:$J), 2, TRUE), 0))</f>
        <v/>
      </c>
      <c r="T507" t="str">
        <f t="shared" si="22"/>
        <v/>
      </c>
      <c r="U507" t="str">
        <f>IF(T507="","", IFERROR(VLOOKUP(T507, IF(D507="Movers", 换算标准!$A:$B, 换算标准!$G:$H), 2, TRUE), 0))</f>
        <v/>
      </c>
      <c r="W507" t="str">
        <f t="shared" si="23"/>
        <v/>
      </c>
      <c r="Z507" s="5" t="str">
        <f>IF(J507="","", IF(K507&lt;=3, "⚠️ 薄弱环节: "&amp;INDEX($E$1:$I$1, MATCH(MIN(E507:I507), E507:I507, 0))&amp;CHAR(10)&amp;"📉 考察能力: "&amp;IFERROR(VLOOKUP(TRIM(D507)&amp;"_"&amp;TRIM(INDEX($E$1:$I$1, MATCH(MIN(E507:I507), E507:I507, 0))), 技能库!$A:$F, 5, 0),"建议查阅考纲")&amp;CHAR(10)&amp;"💡 提升建议: "&amp;IFERROR(VLOOKUP(TRIM(D507)&amp;"_"&amp;TRIM(INDEX($E$1:$I$1, MATCH(MIN(E507:I507), E507:I507, 0))), 技能库!$A:$F, 6, 0),"请针对该题型加强练习"), "🎉 表现优异，无明显弱项！"))</f>
        <v/>
      </c>
      <c r="AA507" s="5" t="str">
        <f>IF(T507="","", IF(U507&lt;=3, "⚠️ 薄弱环节: "&amp;INDEX($M$1:$S$1, MATCH(MIN(M507:S507), M507:S507, 0))&amp;CHAR(10)&amp;"📉 考察能力: "&amp;IFERROR(VLOOKUP(TRIM(D507)&amp;"_"&amp;TRIM(INDEX($M$1:$S$1, MATCH(MIN(M507:S507), M507:S507, 0))), 技能库!$A:$F, 5, 0),"建议查阅考纲")&amp;CHAR(10)&amp;"💡 提升建议: "&amp;IFERROR(VLOOKUP(TRIM(D507)&amp;"_"&amp;TRIM(INDEX($M$1:$S$1, MATCH(MIN(M507:S507), M507:S507, 0))), 技能库!$A:$F, 6, 0),"请针对该题型加强练习"), "🎉 表现优异，无明显弱项！"))</f>
        <v/>
      </c>
    </row>
    <row r="508" spans="10:27" ht="18" hidden="1" customHeight="1" x14ac:dyDescent="0.2">
      <c r="J508" t="str">
        <f t="shared" si="21"/>
        <v/>
      </c>
      <c r="K508" t="str">
        <f>IF(J508="","", IFERROR(VLOOKUP(J508, IF(D508="Movers", 换算标准!$C:$D, 换算标准!$I:$J), 2, TRUE), 0))</f>
        <v/>
      </c>
      <c r="T508" t="str">
        <f t="shared" si="22"/>
        <v/>
      </c>
      <c r="U508" t="str">
        <f>IF(T508="","", IFERROR(VLOOKUP(T508, IF(D508="Movers", 换算标准!$A:$B, 换算标准!$G:$H), 2, TRUE), 0))</f>
        <v/>
      </c>
      <c r="W508" t="str">
        <f t="shared" si="23"/>
        <v/>
      </c>
      <c r="Z508" s="5" t="str">
        <f>IF(J508="","", IF(K508&lt;=3, "⚠️ 薄弱环节: "&amp;INDEX($E$1:$I$1, MATCH(MIN(E508:I508), E508:I508, 0))&amp;CHAR(10)&amp;"📉 考察能力: "&amp;IFERROR(VLOOKUP(TRIM(D508)&amp;"_"&amp;TRIM(INDEX($E$1:$I$1, MATCH(MIN(E508:I508), E508:I508, 0))), 技能库!$A:$F, 5, 0),"建议查阅考纲")&amp;CHAR(10)&amp;"💡 提升建议: "&amp;IFERROR(VLOOKUP(TRIM(D508)&amp;"_"&amp;TRIM(INDEX($E$1:$I$1, MATCH(MIN(E508:I508), E508:I508, 0))), 技能库!$A:$F, 6, 0),"请针对该题型加强练习"), "🎉 表现优异，无明显弱项！"))</f>
        <v/>
      </c>
      <c r="AA508" s="5" t="str">
        <f>IF(T508="","", IF(U508&lt;=3, "⚠️ 薄弱环节: "&amp;INDEX($M$1:$S$1, MATCH(MIN(M508:S508), M508:S508, 0))&amp;CHAR(10)&amp;"📉 考察能力: "&amp;IFERROR(VLOOKUP(TRIM(D508)&amp;"_"&amp;TRIM(INDEX($M$1:$S$1, MATCH(MIN(M508:S508), M508:S508, 0))), 技能库!$A:$F, 5, 0),"建议查阅考纲")&amp;CHAR(10)&amp;"💡 提升建议: "&amp;IFERROR(VLOOKUP(TRIM(D508)&amp;"_"&amp;TRIM(INDEX($M$1:$S$1, MATCH(MIN(M508:S508), M508:S508, 0))), 技能库!$A:$F, 6, 0),"请针对该题型加强练习"), "🎉 表现优异，无明显弱项！"))</f>
        <v/>
      </c>
    </row>
    <row r="509" spans="10:27" ht="18" hidden="1" customHeight="1" x14ac:dyDescent="0.2">
      <c r="J509" t="str">
        <f t="shared" si="21"/>
        <v/>
      </c>
      <c r="K509" t="str">
        <f>IF(J509="","", IFERROR(VLOOKUP(J509, IF(D509="Movers", 换算标准!$C:$D, 换算标准!$I:$J), 2, TRUE), 0))</f>
        <v/>
      </c>
      <c r="T509" t="str">
        <f t="shared" si="22"/>
        <v/>
      </c>
      <c r="U509" t="str">
        <f>IF(T509="","", IFERROR(VLOOKUP(T509, IF(D509="Movers", 换算标准!$A:$B, 换算标准!$G:$H), 2, TRUE), 0))</f>
        <v/>
      </c>
      <c r="W509" t="str">
        <f t="shared" si="23"/>
        <v/>
      </c>
      <c r="Z509" s="5" t="str">
        <f>IF(J509="","", IF(K509&lt;=3, "⚠️ 薄弱环节: "&amp;INDEX($E$1:$I$1, MATCH(MIN(E509:I509), E509:I509, 0))&amp;CHAR(10)&amp;"📉 考察能力: "&amp;IFERROR(VLOOKUP(TRIM(D509)&amp;"_"&amp;TRIM(INDEX($E$1:$I$1, MATCH(MIN(E509:I509), E509:I509, 0))), 技能库!$A:$F, 5, 0),"建议查阅考纲")&amp;CHAR(10)&amp;"💡 提升建议: "&amp;IFERROR(VLOOKUP(TRIM(D509)&amp;"_"&amp;TRIM(INDEX($E$1:$I$1, MATCH(MIN(E509:I509), E509:I509, 0))), 技能库!$A:$F, 6, 0),"请针对该题型加强练习"), "🎉 表现优异，无明显弱项！"))</f>
        <v/>
      </c>
      <c r="AA509" s="5" t="str">
        <f>IF(T509="","", IF(U509&lt;=3, "⚠️ 薄弱环节: "&amp;INDEX($M$1:$S$1, MATCH(MIN(M509:S509), M509:S509, 0))&amp;CHAR(10)&amp;"📉 考察能力: "&amp;IFERROR(VLOOKUP(TRIM(D509)&amp;"_"&amp;TRIM(INDEX($M$1:$S$1, MATCH(MIN(M509:S509), M509:S509, 0))), 技能库!$A:$F, 5, 0),"建议查阅考纲")&amp;CHAR(10)&amp;"💡 提升建议: "&amp;IFERROR(VLOOKUP(TRIM(D509)&amp;"_"&amp;TRIM(INDEX($M$1:$S$1, MATCH(MIN(M509:S509), M509:S509, 0))), 技能库!$A:$F, 6, 0),"请针对该题型加强练习"), "🎉 表现优异，无明显弱项！"))</f>
        <v/>
      </c>
    </row>
    <row r="510" spans="10:27" ht="18" hidden="1" customHeight="1" x14ac:dyDescent="0.2">
      <c r="J510" t="str">
        <f t="shared" si="21"/>
        <v/>
      </c>
      <c r="K510" t="str">
        <f>IF(J510="","", IFERROR(VLOOKUP(J510, IF(D510="Movers", 换算标准!$C:$D, 换算标准!$I:$J), 2, TRUE), 0))</f>
        <v/>
      </c>
      <c r="T510" t="str">
        <f t="shared" si="22"/>
        <v/>
      </c>
      <c r="U510" t="str">
        <f>IF(T510="","", IFERROR(VLOOKUP(T510, IF(D510="Movers", 换算标准!$A:$B, 换算标准!$G:$H), 2, TRUE), 0))</f>
        <v/>
      </c>
      <c r="W510" t="str">
        <f t="shared" si="23"/>
        <v/>
      </c>
      <c r="Z510" s="5" t="str">
        <f>IF(J510="","", IF(K510&lt;=3, "⚠️ 薄弱环节: "&amp;INDEX($E$1:$I$1, MATCH(MIN(E510:I510), E510:I510, 0))&amp;CHAR(10)&amp;"📉 考察能力: "&amp;IFERROR(VLOOKUP(TRIM(D510)&amp;"_"&amp;TRIM(INDEX($E$1:$I$1, MATCH(MIN(E510:I510), E510:I510, 0))), 技能库!$A:$F, 5, 0),"建议查阅考纲")&amp;CHAR(10)&amp;"💡 提升建议: "&amp;IFERROR(VLOOKUP(TRIM(D510)&amp;"_"&amp;TRIM(INDEX($E$1:$I$1, MATCH(MIN(E510:I510), E510:I510, 0))), 技能库!$A:$F, 6, 0),"请针对该题型加强练习"), "🎉 表现优异，无明显弱项！"))</f>
        <v/>
      </c>
      <c r="AA510" s="5" t="str">
        <f>IF(T510="","", IF(U510&lt;=3, "⚠️ 薄弱环节: "&amp;INDEX($M$1:$S$1, MATCH(MIN(M510:S510), M510:S510, 0))&amp;CHAR(10)&amp;"📉 考察能力: "&amp;IFERROR(VLOOKUP(TRIM(D510)&amp;"_"&amp;TRIM(INDEX($M$1:$S$1, MATCH(MIN(M510:S510), M510:S510, 0))), 技能库!$A:$F, 5, 0),"建议查阅考纲")&amp;CHAR(10)&amp;"💡 提升建议: "&amp;IFERROR(VLOOKUP(TRIM(D510)&amp;"_"&amp;TRIM(INDEX($M$1:$S$1, MATCH(MIN(M510:S510), M510:S510, 0))), 技能库!$A:$F, 6, 0),"请针对该题型加强练习"), "🎉 表现优异，无明显弱项！"))</f>
        <v/>
      </c>
    </row>
    <row r="511" spans="10:27" ht="18" hidden="1" customHeight="1" x14ac:dyDescent="0.2">
      <c r="J511" t="str">
        <f t="shared" si="21"/>
        <v/>
      </c>
      <c r="K511" t="str">
        <f>IF(J511="","", IFERROR(VLOOKUP(J511, IF(D511="Movers", 换算标准!$C:$D, 换算标准!$I:$J), 2, TRUE), 0))</f>
        <v/>
      </c>
      <c r="T511" t="str">
        <f t="shared" si="22"/>
        <v/>
      </c>
      <c r="U511" t="str">
        <f>IF(T511="","", IFERROR(VLOOKUP(T511, IF(D511="Movers", 换算标准!$A:$B, 换算标准!$G:$H), 2, TRUE), 0))</f>
        <v/>
      </c>
      <c r="W511" t="str">
        <f t="shared" si="23"/>
        <v/>
      </c>
      <c r="Z511" s="5" t="str">
        <f>IF(J511="","", IF(K511&lt;=3, "⚠️ 薄弱环节: "&amp;INDEX($E$1:$I$1, MATCH(MIN(E511:I511), E511:I511, 0))&amp;CHAR(10)&amp;"📉 考察能力: "&amp;IFERROR(VLOOKUP(TRIM(D511)&amp;"_"&amp;TRIM(INDEX($E$1:$I$1, MATCH(MIN(E511:I511), E511:I511, 0))), 技能库!$A:$F, 5, 0),"建议查阅考纲")&amp;CHAR(10)&amp;"💡 提升建议: "&amp;IFERROR(VLOOKUP(TRIM(D511)&amp;"_"&amp;TRIM(INDEX($E$1:$I$1, MATCH(MIN(E511:I511), E511:I511, 0))), 技能库!$A:$F, 6, 0),"请针对该题型加强练习"), "🎉 表现优异，无明显弱项！"))</f>
        <v/>
      </c>
      <c r="AA511" s="5" t="str">
        <f>IF(T511="","", IF(U511&lt;=3, "⚠️ 薄弱环节: "&amp;INDEX($M$1:$S$1, MATCH(MIN(M511:S511), M511:S511, 0))&amp;CHAR(10)&amp;"📉 考察能力: "&amp;IFERROR(VLOOKUP(TRIM(D511)&amp;"_"&amp;TRIM(INDEX($M$1:$S$1, MATCH(MIN(M511:S511), M511:S511, 0))), 技能库!$A:$F, 5, 0),"建议查阅考纲")&amp;CHAR(10)&amp;"💡 提升建议: "&amp;IFERROR(VLOOKUP(TRIM(D511)&amp;"_"&amp;TRIM(INDEX($M$1:$S$1, MATCH(MIN(M511:S511), M511:S511, 0))), 技能库!$A:$F, 6, 0),"请针对该题型加强练习"), "🎉 表现优异，无明显弱项！"))</f>
        <v/>
      </c>
    </row>
    <row r="512" spans="10:27" ht="18" hidden="1" customHeight="1" x14ac:dyDescent="0.2">
      <c r="J512" t="str">
        <f t="shared" si="21"/>
        <v/>
      </c>
      <c r="K512" t="str">
        <f>IF(J512="","", IFERROR(VLOOKUP(J512, IF(D512="Movers", 换算标准!$C:$D, 换算标准!$I:$J), 2, TRUE), 0))</f>
        <v/>
      </c>
      <c r="T512" t="str">
        <f t="shared" si="22"/>
        <v/>
      </c>
      <c r="U512" t="str">
        <f>IF(T512="","", IFERROR(VLOOKUP(T512, IF(D512="Movers", 换算标准!$A:$B, 换算标准!$G:$H), 2, TRUE), 0))</f>
        <v/>
      </c>
      <c r="W512" t="str">
        <f t="shared" si="23"/>
        <v/>
      </c>
      <c r="Z512" s="5" t="str">
        <f>IF(J512="","", IF(K512&lt;=3, "⚠️ 薄弱环节: "&amp;INDEX($E$1:$I$1, MATCH(MIN(E512:I512), E512:I512, 0))&amp;CHAR(10)&amp;"📉 考察能力: "&amp;IFERROR(VLOOKUP(TRIM(D512)&amp;"_"&amp;TRIM(INDEX($E$1:$I$1, MATCH(MIN(E512:I512), E512:I512, 0))), 技能库!$A:$F, 5, 0),"建议查阅考纲")&amp;CHAR(10)&amp;"💡 提升建议: "&amp;IFERROR(VLOOKUP(TRIM(D512)&amp;"_"&amp;TRIM(INDEX($E$1:$I$1, MATCH(MIN(E512:I512), E512:I512, 0))), 技能库!$A:$F, 6, 0),"请针对该题型加强练习"), "🎉 表现优异，无明显弱项！"))</f>
        <v/>
      </c>
      <c r="AA512" s="5" t="str">
        <f>IF(T512="","", IF(U512&lt;=3, "⚠️ 薄弱环节: "&amp;INDEX($M$1:$S$1, MATCH(MIN(M512:S512), M512:S512, 0))&amp;CHAR(10)&amp;"📉 考察能力: "&amp;IFERROR(VLOOKUP(TRIM(D512)&amp;"_"&amp;TRIM(INDEX($M$1:$S$1, MATCH(MIN(M512:S512), M512:S512, 0))), 技能库!$A:$F, 5, 0),"建议查阅考纲")&amp;CHAR(10)&amp;"💡 提升建议: "&amp;IFERROR(VLOOKUP(TRIM(D512)&amp;"_"&amp;TRIM(INDEX($M$1:$S$1, MATCH(MIN(M512:S512), M512:S512, 0))), 技能库!$A:$F, 6, 0),"请针对该题型加强练习"), "🎉 表现优异，无明显弱项！"))</f>
        <v/>
      </c>
    </row>
    <row r="513" spans="10:27" ht="18" hidden="1" customHeight="1" x14ac:dyDescent="0.2">
      <c r="J513" t="str">
        <f t="shared" si="21"/>
        <v/>
      </c>
      <c r="K513" t="str">
        <f>IF(J513="","", IFERROR(VLOOKUP(J513, IF(D513="Movers", 换算标准!$C:$D, 换算标准!$I:$J), 2, TRUE), 0))</f>
        <v/>
      </c>
      <c r="T513" t="str">
        <f t="shared" si="22"/>
        <v/>
      </c>
      <c r="U513" t="str">
        <f>IF(T513="","", IFERROR(VLOOKUP(T513, IF(D513="Movers", 换算标准!$A:$B, 换算标准!$G:$H), 2, TRUE), 0))</f>
        <v/>
      </c>
      <c r="W513" t="str">
        <f t="shared" si="23"/>
        <v/>
      </c>
      <c r="Z513" s="5" t="str">
        <f>IF(J513="","", IF(K513&lt;=3, "⚠️ 薄弱环节: "&amp;INDEX($E$1:$I$1, MATCH(MIN(E513:I513), E513:I513, 0))&amp;CHAR(10)&amp;"📉 考察能力: "&amp;IFERROR(VLOOKUP(TRIM(D513)&amp;"_"&amp;TRIM(INDEX($E$1:$I$1, MATCH(MIN(E513:I513), E513:I513, 0))), 技能库!$A:$F, 5, 0),"建议查阅考纲")&amp;CHAR(10)&amp;"💡 提升建议: "&amp;IFERROR(VLOOKUP(TRIM(D513)&amp;"_"&amp;TRIM(INDEX($E$1:$I$1, MATCH(MIN(E513:I513), E513:I513, 0))), 技能库!$A:$F, 6, 0),"请针对该题型加强练习"), "🎉 表现优异，无明显弱项！"))</f>
        <v/>
      </c>
      <c r="AA513" s="5" t="str">
        <f>IF(T513="","", IF(U513&lt;=3, "⚠️ 薄弱环节: "&amp;INDEX($M$1:$S$1, MATCH(MIN(M513:S513), M513:S513, 0))&amp;CHAR(10)&amp;"📉 考察能力: "&amp;IFERROR(VLOOKUP(TRIM(D513)&amp;"_"&amp;TRIM(INDEX($M$1:$S$1, MATCH(MIN(M513:S513), M513:S513, 0))), 技能库!$A:$F, 5, 0),"建议查阅考纲")&amp;CHAR(10)&amp;"💡 提升建议: "&amp;IFERROR(VLOOKUP(TRIM(D513)&amp;"_"&amp;TRIM(INDEX($M$1:$S$1, MATCH(MIN(M513:S513), M513:S513, 0))), 技能库!$A:$F, 6, 0),"请针对该题型加强练习"), "🎉 表现优异，无明显弱项！"))</f>
        <v/>
      </c>
    </row>
    <row r="514" spans="10:27" ht="18" hidden="1" customHeight="1" x14ac:dyDescent="0.2">
      <c r="J514" t="str">
        <f t="shared" ref="J514:J577" si="24">IF(COUNT(E514:I514)&gt;0, SUM(E514:I514), "")</f>
        <v/>
      </c>
      <c r="K514" t="str">
        <f>IF(J514="","", IFERROR(VLOOKUP(J514, IF(D514="Movers", 换算标准!$C:$D, 换算标准!$I:$J), 2, TRUE), 0))</f>
        <v/>
      </c>
      <c r="T514" t="str">
        <f t="shared" ref="T514:T577" si="25">IF(COUNT(M514:S514)&gt;0, SUM(M514:S514), "")</f>
        <v/>
      </c>
      <c r="U514" t="str">
        <f>IF(T514="","", IFERROR(VLOOKUP(T514, IF(D514="Movers", 换算标准!$A:$B, 换算标准!$G:$H), 2, TRUE), 0))</f>
        <v/>
      </c>
      <c r="W514" t="str">
        <f t="shared" ref="W514:W577" si="26">IF(AND(K514&lt;&gt;"", U514&lt;&gt;""), K514+U514, "")</f>
        <v/>
      </c>
      <c r="Z514" s="5" t="str">
        <f>IF(J514="","", IF(K514&lt;=3, "⚠️ 薄弱环节: "&amp;INDEX($E$1:$I$1, MATCH(MIN(E514:I514), E514:I514, 0))&amp;CHAR(10)&amp;"📉 考察能力: "&amp;IFERROR(VLOOKUP(TRIM(D514)&amp;"_"&amp;TRIM(INDEX($E$1:$I$1, MATCH(MIN(E514:I514), E514:I514, 0))), 技能库!$A:$F, 5, 0),"建议查阅考纲")&amp;CHAR(10)&amp;"💡 提升建议: "&amp;IFERROR(VLOOKUP(TRIM(D514)&amp;"_"&amp;TRIM(INDEX($E$1:$I$1, MATCH(MIN(E514:I514), E514:I514, 0))), 技能库!$A:$F, 6, 0),"请针对该题型加强练习"), "🎉 表现优异，无明显弱项！"))</f>
        <v/>
      </c>
      <c r="AA514" s="5" t="str">
        <f>IF(T514="","", IF(U514&lt;=3, "⚠️ 薄弱环节: "&amp;INDEX($M$1:$S$1, MATCH(MIN(M514:S514), M514:S514, 0))&amp;CHAR(10)&amp;"📉 考察能力: "&amp;IFERROR(VLOOKUP(TRIM(D514)&amp;"_"&amp;TRIM(INDEX($M$1:$S$1, MATCH(MIN(M514:S514), M514:S514, 0))), 技能库!$A:$F, 5, 0),"建议查阅考纲")&amp;CHAR(10)&amp;"💡 提升建议: "&amp;IFERROR(VLOOKUP(TRIM(D514)&amp;"_"&amp;TRIM(INDEX($M$1:$S$1, MATCH(MIN(M514:S514), M514:S514, 0))), 技能库!$A:$F, 6, 0),"请针对该题型加强练习"), "🎉 表现优异，无明显弱项！"))</f>
        <v/>
      </c>
    </row>
    <row r="515" spans="10:27" ht="18" hidden="1" customHeight="1" x14ac:dyDescent="0.2">
      <c r="J515" t="str">
        <f t="shared" si="24"/>
        <v/>
      </c>
      <c r="K515" t="str">
        <f>IF(J515="","", IFERROR(VLOOKUP(J515, IF(D515="Movers", 换算标准!$C:$D, 换算标准!$I:$J), 2, TRUE), 0))</f>
        <v/>
      </c>
      <c r="T515" t="str">
        <f t="shared" si="25"/>
        <v/>
      </c>
      <c r="U515" t="str">
        <f>IF(T515="","", IFERROR(VLOOKUP(T515, IF(D515="Movers", 换算标准!$A:$B, 换算标准!$G:$H), 2, TRUE), 0))</f>
        <v/>
      </c>
      <c r="W515" t="str">
        <f t="shared" si="26"/>
        <v/>
      </c>
      <c r="Z515" s="5" t="str">
        <f>IF(J515="","", IF(K515&lt;=3, "⚠️ 薄弱环节: "&amp;INDEX($E$1:$I$1, MATCH(MIN(E515:I515), E515:I515, 0))&amp;CHAR(10)&amp;"📉 考察能力: "&amp;IFERROR(VLOOKUP(TRIM(D515)&amp;"_"&amp;TRIM(INDEX($E$1:$I$1, MATCH(MIN(E515:I515), E515:I515, 0))), 技能库!$A:$F, 5, 0),"建议查阅考纲")&amp;CHAR(10)&amp;"💡 提升建议: "&amp;IFERROR(VLOOKUP(TRIM(D515)&amp;"_"&amp;TRIM(INDEX($E$1:$I$1, MATCH(MIN(E515:I515), E515:I515, 0))), 技能库!$A:$F, 6, 0),"请针对该题型加强练习"), "🎉 表现优异，无明显弱项！"))</f>
        <v/>
      </c>
      <c r="AA515" s="5" t="str">
        <f>IF(T515="","", IF(U515&lt;=3, "⚠️ 薄弱环节: "&amp;INDEX($M$1:$S$1, MATCH(MIN(M515:S515), M515:S515, 0))&amp;CHAR(10)&amp;"📉 考察能力: "&amp;IFERROR(VLOOKUP(TRIM(D515)&amp;"_"&amp;TRIM(INDEX($M$1:$S$1, MATCH(MIN(M515:S515), M515:S515, 0))), 技能库!$A:$F, 5, 0),"建议查阅考纲")&amp;CHAR(10)&amp;"💡 提升建议: "&amp;IFERROR(VLOOKUP(TRIM(D515)&amp;"_"&amp;TRIM(INDEX($M$1:$S$1, MATCH(MIN(M515:S515), M515:S515, 0))), 技能库!$A:$F, 6, 0),"请针对该题型加强练习"), "🎉 表现优异，无明显弱项！"))</f>
        <v/>
      </c>
    </row>
    <row r="516" spans="10:27" ht="18" hidden="1" customHeight="1" x14ac:dyDescent="0.2">
      <c r="J516" t="str">
        <f t="shared" si="24"/>
        <v/>
      </c>
      <c r="K516" t="str">
        <f>IF(J516="","", IFERROR(VLOOKUP(J516, IF(D516="Movers", 换算标准!$C:$D, 换算标准!$I:$J), 2, TRUE), 0))</f>
        <v/>
      </c>
      <c r="T516" t="str">
        <f t="shared" si="25"/>
        <v/>
      </c>
      <c r="U516" t="str">
        <f>IF(T516="","", IFERROR(VLOOKUP(T516, IF(D516="Movers", 换算标准!$A:$B, 换算标准!$G:$H), 2, TRUE), 0))</f>
        <v/>
      </c>
      <c r="W516" t="str">
        <f t="shared" si="26"/>
        <v/>
      </c>
      <c r="Z516" s="5" t="str">
        <f>IF(J516="","", IF(K516&lt;=3, "⚠️ 薄弱环节: "&amp;INDEX($E$1:$I$1, MATCH(MIN(E516:I516), E516:I516, 0))&amp;CHAR(10)&amp;"📉 考察能力: "&amp;IFERROR(VLOOKUP(TRIM(D516)&amp;"_"&amp;TRIM(INDEX($E$1:$I$1, MATCH(MIN(E516:I516), E516:I516, 0))), 技能库!$A:$F, 5, 0),"建议查阅考纲")&amp;CHAR(10)&amp;"💡 提升建议: "&amp;IFERROR(VLOOKUP(TRIM(D516)&amp;"_"&amp;TRIM(INDEX($E$1:$I$1, MATCH(MIN(E516:I516), E516:I516, 0))), 技能库!$A:$F, 6, 0),"请针对该题型加强练习"), "🎉 表现优异，无明显弱项！"))</f>
        <v/>
      </c>
      <c r="AA516" s="5" t="str">
        <f>IF(T516="","", IF(U516&lt;=3, "⚠️ 薄弱环节: "&amp;INDEX($M$1:$S$1, MATCH(MIN(M516:S516), M516:S516, 0))&amp;CHAR(10)&amp;"📉 考察能力: "&amp;IFERROR(VLOOKUP(TRIM(D516)&amp;"_"&amp;TRIM(INDEX($M$1:$S$1, MATCH(MIN(M516:S516), M516:S516, 0))), 技能库!$A:$F, 5, 0),"建议查阅考纲")&amp;CHAR(10)&amp;"💡 提升建议: "&amp;IFERROR(VLOOKUP(TRIM(D516)&amp;"_"&amp;TRIM(INDEX($M$1:$S$1, MATCH(MIN(M516:S516), M516:S516, 0))), 技能库!$A:$F, 6, 0),"请针对该题型加强练习"), "🎉 表现优异，无明显弱项！"))</f>
        <v/>
      </c>
    </row>
    <row r="517" spans="10:27" ht="18" hidden="1" customHeight="1" x14ac:dyDescent="0.2">
      <c r="J517" t="str">
        <f t="shared" si="24"/>
        <v/>
      </c>
      <c r="K517" t="str">
        <f>IF(J517="","", IFERROR(VLOOKUP(J517, IF(D517="Movers", 换算标准!$C:$D, 换算标准!$I:$J), 2, TRUE), 0))</f>
        <v/>
      </c>
      <c r="T517" t="str">
        <f t="shared" si="25"/>
        <v/>
      </c>
      <c r="U517" t="str">
        <f>IF(T517="","", IFERROR(VLOOKUP(T517, IF(D517="Movers", 换算标准!$A:$B, 换算标准!$G:$H), 2, TRUE), 0))</f>
        <v/>
      </c>
      <c r="W517" t="str">
        <f t="shared" si="26"/>
        <v/>
      </c>
      <c r="Z517" s="5" t="str">
        <f>IF(J517="","", IF(K517&lt;=3, "⚠️ 薄弱环节: "&amp;INDEX($E$1:$I$1, MATCH(MIN(E517:I517), E517:I517, 0))&amp;CHAR(10)&amp;"📉 考察能力: "&amp;IFERROR(VLOOKUP(TRIM(D517)&amp;"_"&amp;TRIM(INDEX($E$1:$I$1, MATCH(MIN(E517:I517), E517:I517, 0))), 技能库!$A:$F, 5, 0),"建议查阅考纲")&amp;CHAR(10)&amp;"💡 提升建议: "&amp;IFERROR(VLOOKUP(TRIM(D517)&amp;"_"&amp;TRIM(INDEX($E$1:$I$1, MATCH(MIN(E517:I517), E517:I517, 0))), 技能库!$A:$F, 6, 0),"请针对该题型加强练习"), "🎉 表现优异，无明显弱项！"))</f>
        <v/>
      </c>
      <c r="AA517" s="5" t="str">
        <f>IF(T517="","", IF(U517&lt;=3, "⚠️ 薄弱环节: "&amp;INDEX($M$1:$S$1, MATCH(MIN(M517:S517), M517:S517, 0))&amp;CHAR(10)&amp;"📉 考察能力: "&amp;IFERROR(VLOOKUP(TRIM(D517)&amp;"_"&amp;TRIM(INDEX($M$1:$S$1, MATCH(MIN(M517:S517), M517:S517, 0))), 技能库!$A:$F, 5, 0),"建议查阅考纲")&amp;CHAR(10)&amp;"💡 提升建议: "&amp;IFERROR(VLOOKUP(TRIM(D517)&amp;"_"&amp;TRIM(INDEX($M$1:$S$1, MATCH(MIN(M517:S517), M517:S517, 0))), 技能库!$A:$F, 6, 0),"请针对该题型加强练习"), "🎉 表现优异，无明显弱项！"))</f>
        <v/>
      </c>
    </row>
    <row r="518" spans="10:27" ht="18" hidden="1" customHeight="1" x14ac:dyDescent="0.2">
      <c r="J518" t="str">
        <f t="shared" si="24"/>
        <v/>
      </c>
      <c r="K518" t="str">
        <f>IF(J518="","", IFERROR(VLOOKUP(J518, IF(D518="Movers", 换算标准!$C:$D, 换算标准!$I:$J), 2, TRUE), 0))</f>
        <v/>
      </c>
      <c r="T518" t="str">
        <f t="shared" si="25"/>
        <v/>
      </c>
      <c r="U518" t="str">
        <f>IF(T518="","", IFERROR(VLOOKUP(T518, IF(D518="Movers", 换算标准!$A:$B, 换算标准!$G:$H), 2, TRUE), 0))</f>
        <v/>
      </c>
      <c r="W518" t="str">
        <f t="shared" si="26"/>
        <v/>
      </c>
      <c r="Z518" s="5" t="str">
        <f>IF(J518="","", IF(K518&lt;=3, "⚠️ 薄弱环节: "&amp;INDEX($E$1:$I$1, MATCH(MIN(E518:I518), E518:I518, 0))&amp;CHAR(10)&amp;"📉 考察能力: "&amp;IFERROR(VLOOKUP(TRIM(D518)&amp;"_"&amp;TRIM(INDEX($E$1:$I$1, MATCH(MIN(E518:I518), E518:I518, 0))), 技能库!$A:$F, 5, 0),"建议查阅考纲")&amp;CHAR(10)&amp;"💡 提升建议: "&amp;IFERROR(VLOOKUP(TRIM(D518)&amp;"_"&amp;TRIM(INDEX($E$1:$I$1, MATCH(MIN(E518:I518), E518:I518, 0))), 技能库!$A:$F, 6, 0),"请针对该题型加强练习"), "🎉 表现优异，无明显弱项！"))</f>
        <v/>
      </c>
      <c r="AA518" s="5" t="str">
        <f>IF(T518="","", IF(U518&lt;=3, "⚠️ 薄弱环节: "&amp;INDEX($M$1:$S$1, MATCH(MIN(M518:S518), M518:S518, 0))&amp;CHAR(10)&amp;"📉 考察能力: "&amp;IFERROR(VLOOKUP(TRIM(D518)&amp;"_"&amp;TRIM(INDEX($M$1:$S$1, MATCH(MIN(M518:S518), M518:S518, 0))), 技能库!$A:$F, 5, 0),"建议查阅考纲")&amp;CHAR(10)&amp;"💡 提升建议: "&amp;IFERROR(VLOOKUP(TRIM(D518)&amp;"_"&amp;TRIM(INDEX($M$1:$S$1, MATCH(MIN(M518:S518), M518:S518, 0))), 技能库!$A:$F, 6, 0),"请针对该题型加强练习"), "🎉 表现优异，无明显弱项！"))</f>
        <v/>
      </c>
    </row>
    <row r="519" spans="10:27" ht="18" hidden="1" customHeight="1" x14ac:dyDescent="0.2">
      <c r="J519" t="str">
        <f t="shared" si="24"/>
        <v/>
      </c>
      <c r="K519" t="str">
        <f>IF(J519="","", IFERROR(VLOOKUP(J519, IF(D519="Movers", 换算标准!$C:$D, 换算标准!$I:$J), 2, TRUE), 0))</f>
        <v/>
      </c>
      <c r="T519" t="str">
        <f t="shared" si="25"/>
        <v/>
      </c>
      <c r="U519" t="str">
        <f>IF(T519="","", IFERROR(VLOOKUP(T519, IF(D519="Movers", 换算标准!$A:$B, 换算标准!$G:$H), 2, TRUE), 0))</f>
        <v/>
      </c>
      <c r="W519" t="str">
        <f t="shared" si="26"/>
        <v/>
      </c>
      <c r="Z519" s="5" t="str">
        <f>IF(J519="","", IF(K519&lt;=3, "⚠️ 薄弱环节: "&amp;INDEX($E$1:$I$1, MATCH(MIN(E519:I519), E519:I519, 0))&amp;CHAR(10)&amp;"📉 考察能力: "&amp;IFERROR(VLOOKUP(TRIM(D519)&amp;"_"&amp;TRIM(INDEX($E$1:$I$1, MATCH(MIN(E519:I519), E519:I519, 0))), 技能库!$A:$F, 5, 0),"建议查阅考纲")&amp;CHAR(10)&amp;"💡 提升建议: "&amp;IFERROR(VLOOKUP(TRIM(D519)&amp;"_"&amp;TRIM(INDEX($E$1:$I$1, MATCH(MIN(E519:I519), E519:I519, 0))), 技能库!$A:$F, 6, 0),"请针对该题型加强练习"), "🎉 表现优异，无明显弱项！"))</f>
        <v/>
      </c>
      <c r="AA519" s="5" t="str">
        <f>IF(T519="","", IF(U519&lt;=3, "⚠️ 薄弱环节: "&amp;INDEX($M$1:$S$1, MATCH(MIN(M519:S519), M519:S519, 0))&amp;CHAR(10)&amp;"📉 考察能力: "&amp;IFERROR(VLOOKUP(TRIM(D519)&amp;"_"&amp;TRIM(INDEX($M$1:$S$1, MATCH(MIN(M519:S519), M519:S519, 0))), 技能库!$A:$F, 5, 0),"建议查阅考纲")&amp;CHAR(10)&amp;"💡 提升建议: "&amp;IFERROR(VLOOKUP(TRIM(D519)&amp;"_"&amp;TRIM(INDEX($M$1:$S$1, MATCH(MIN(M519:S519), M519:S519, 0))), 技能库!$A:$F, 6, 0),"请针对该题型加强练习"), "🎉 表现优异，无明显弱项！"))</f>
        <v/>
      </c>
    </row>
    <row r="520" spans="10:27" ht="18" hidden="1" customHeight="1" x14ac:dyDescent="0.2">
      <c r="J520" t="str">
        <f t="shared" si="24"/>
        <v/>
      </c>
      <c r="K520" t="str">
        <f>IF(J520="","", IFERROR(VLOOKUP(J520, IF(D520="Movers", 换算标准!$C:$D, 换算标准!$I:$J), 2, TRUE), 0))</f>
        <v/>
      </c>
      <c r="T520" t="str">
        <f t="shared" si="25"/>
        <v/>
      </c>
      <c r="U520" t="str">
        <f>IF(T520="","", IFERROR(VLOOKUP(T520, IF(D520="Movers", 换算标准!$A:$B, 换算标准!$G:$H), 2, TRUE), 0))</f>
        <v/>
      </c>
      <c r="W520" t="str">
        <f t="shared" si="26"/>
        <v/>
      </c>
      <c r="Z520" s="5" t="str">
        <f>IF(J520="","", IF(K520&lt;=3, "⚠️ 薄弱环节: "&amp;INDEX($E$1:$I$1, MATCH(MIN(E520:I520), E520:I520, 0))&amp;CHAR(10)&amp;"📉 考察能力: "&amp;IFERROR(VLOOKUP(TRIM(D520)&amp;"_"&amp;TRIM(INDEX($E$1:$I$1, MATCH(MIN(E520:I520), E520:I520, 0))), 技能库!$A:$F, 5, 0),"建议查阅考纲")&amp;CHAR(10)&amp;"💡 提升建议: "&amp;IFERROR(VLOOKUP(TRIM(D520)&amp;"_"&amp;TRIM(INDEX($E$1:$I$1, MATCH(MIN(E520:I520), E520:I520, 0))), 技能库!$A:$F, 6, 0),"请针对该题型加强练习"), "🎉 表现优异，无明显弱项！"))</f>
        <v/>
      </c>
      <c r="AA520" s="5" t="str">
        <f>IF(T520="","", IF(U520&lt;=3, "⚠️ 薄弱环节: "&amp;INDEX($M$1:$S$1, MATCH(MIN(M520:S520), M520:S520, 0))&amp;CHAR(10)&amp;"📉 考察能力: "&amp;IFERROR(VLOOKUP(TRIM(D520)&amp;"_"&amp;TRIM(INDEX($M$1:$S$1, MATCH(MIN(M520:S520), M520:S520, 0))), 技能库!$A:$F, 5, 0),"建议查阅考纲")&amp;CHAR(10)&amp;"💡 提升建议: "&amp;IFERROR(VLOOKUP(TRIM(D520)&amp;"_"&amp;TRIM(INDEX($M$1:$S$1, MATCH(MIN(M520:S520), M520:S520, 0))), 技能库!$A:$F, 6, 0),"请针对该题型加强练习"), "🎉 表现优异，无明显弱项！"))</f>
        <v/>
      </c>
    </row>
    <row r="521" spans="10:27" ht="18" hidden="1" customHeight="1" x14ac:dyDescent="0.2">
      <c r="J521" t="str">
        <f t="shared" si="24"/>
        <v/>
      </c>
      <c r="K521" t="str">
        <f>IF(J521="","", IFERROR(VLOOKUP(J521, IF(D521="Movers", 换算标准!$C:$D, 换算标准!$I:$J), 2, TRUE), 0))</f>
        <v/>
      </c>
      <c r="T521" t="str">
        <f t="shared" si="25"/>
        <v/>
      </c>
      <c r="U521" t="str">
        <f>IF(T521="","", IFERROR(VLOOKUP(T521, IF(D521="Movers", 换算标准!$A:$B, 换算标准!$G:$H), 2, TRUE), 0))</f>
        <v/>
      </c>
      <c r="W521" t="str">
        <f t="shared" si="26"/>
        <v/>
      </c>
      <c r="Z521" s="5" t="str">
        <f>IF(J521="","", IF(K521&lt;=3, "⚠️ 薄弱环节: "&amp;INDEX($E$1:$I$1, MATCH(MIN(E521:I521), E521:I521, 0))&amp;CHAR(10)&amp;"📉 考察能力: "&amp;IFERROR(VLOOKUP(TRIM(D521)&amp;"_"&amp;TRIM(INDEX($E$1:$I$1, MATCH(MIN(E521:I521), E521:I521, 0))), 技能库!$A:$F, 5, 0),"建议查阅考纲")&amp;CHAR(10)&amp;"💡 提升建议: "&amp;IFERROR(VLOOKUP(TRIM(D521)&amp;"_"&amp;TRIM(INDEX($E$1:$I$1, MATCH(MIN(E521:I521), E521:I521, 0))), 技能库!$A:$F, 6, 0),"请针对该题型加强练习"), "🎉 表现优异，无明显弱项！"))</f>
        <v/>
      </c>
      <c r="AA521" s="5" t="str">
        <f>IF(T521="","", IF(U521&lt;=3, "⚠️ 薄弱环节: "&amp;INDEX($M$1:$S$1, MATCH(MIN(M521:S521), M521:S521, 0))&amp;CHAR(10)&amp;"📉 考察能力: "&amp;IFERROR(VLOOKUP(TRIM(D521)&amp;"_"&amp;TRIM(INDEX($M$1:$S$1, MATCH(MIN(M521:S521), M521:S521, 0))), 技能库!$A:$F, 5, 0),"建议查阅考纲")&amp;CHAR(10)&amp;"💡 提升建议: "&amp;IFERROR(VLOOKUP(TRIM(D521)&amp;"_"&amp;TRIM(INDEX($M$1:$S$1, MATCH(MIN(M521:S521), M521:S521, 0))), 技能库!$A:$F, 6, 0),"请针对该题型加强练习"), "🎉 表现优异，无明显弱项！"))</f>
        <v/>
      </c>
    </row>
    <row r="522" spans="10:27" ht="18" hidden="1" customHeight="1" x14ac:dyDescent="0.2">
      <c r="J522" t="str">
        <f t="shared" si="24"/>
        <v/>
      </c>
      <c r="K522" t="str">
        <f>IF(J522="","", IFERROR(VLOOKUP(J522, IF(D522="Movers", 换算标准!$C:$D, 换算标准!$I:$J), 2, TRUE), 0))</f>
        <v/>
      </c>
      <c r="T522" t="str">
        <f t="shared" si="25"/>
        <v/>
      </c>
      <c r="U522" t="str">
        <f>IF(T522="","", IFERROR(VLOOKUP(T522, IF(D522="Movers", 换算标准!$A:$B, 换算标准!$G:$H), 2, TRUE), 0))</f>
        <v/>
      </c>
      <c r="W522" t="str">
        <f t="shared" si="26"/>
        <v/>
      </c>
      <c r="Z522" s="5" t="str">
        <f>IF(J522="","", IF(K522&lt;=3, "⚠️ 薄弱环节: "&amp;INDEX($E$1:$I$1, MATCH(MIN(E522:I522), E522:I522, 0))&amp;CHAR(10)&amp;"📉 考察能力: "&amp;IFERROR(VLOOKUP(TRIM(D522)&amp;"_"&amp;TRIM(INDEX($E$1:$I$1, MATCH(MIN(E522:I522), E522:I522, 0))), 技能库!$A:$F, 5, 0),"建议查阅考纲")&amp;CHAR(10)&amp;"💡 提升建议: "&amp;IFERROR(VLOOKUP(TRIM(D522)&amp;"_"&amp;TRIM(INDEX($E$1:$I$1, MATCH(MIN(E522:I522), E522:I522, 0))), 技能库!$A:$F, 6, 0),"请针对该题型加强练习"), "🎉 表现优异，无明显弱项！"))</f>
        <v/>
      </c>
      <c r="AA522" s="5" t="str">
        <f>IF(T522="","", IF(U522&lt;=3, "⚠️ 薄弱环节: "&amp;INDEX($M$1:$S$1, MATCH(MIN(M522:S522), M522:S522, 0))&amp;CHAR(10)&amp;"📉 考察能力: "&amp;IFERROR(VLOOKUP(TRIM(D522)&amp;"_"&amp;TRIM(INDEX($M$1:$S$1, MATCH(MIN(M522:S522), M522:S522, 0))), 技能库!$A:$F, 5, 0),"建议查阅考纲")&amp;CHAR(10)&amp;"💡 提升建议: "&amp;IFERROR(VLOOKUP(TRIM(D522)&amp;"_"&amp;TRIM(INDEX($M$1:$S$1, MATCH(MIN(M522:S522), M522:S522, 0))), 技能库!$A:$F, 6, 0),"请针对该题型加强练习"), "🎉 表现优异，无明显弱项！"))</f>
        <v/>
      </c>
    </row>
    <row r="523" spans="10:27" ht="18" hidden="1" customHeight="1" x14ac:dyDescent="0.2">
      <c r="J523" t="str">
        <f t="shared" si="24"/>
        <v/>
      </c>
      <c r="K523" t="str">
        <f>IF(J523="","", IFERROR(VLOOKUP(J523, IF(D523="Movers", 换算标准!$C:$D, 换算标准!$I:$J), 2, TRUE), 0))</f>
        <v/>
      </c>
      <c r="T523" t="str">
        <f t="shared" si="25"/>
        <v/>
      </c>
      <c r="U523" t="str">
        <f>IF(T523="","", IFERROR(VLOOKUP(T523, IF(D523="Movers", 换算标准!$A:$B, 换算标准!$G:$H), 2, TRUE), 0))</f>
        <v/>
      </c>
      <c r="W523" t="str">
        <f t="shared" si="26"/>
        <v/>
      </c>
      <c r="Z523" s="5" t="str">
        <f>IF(J523="","", IF(K523&lt;=3, "⚠️ 薄弱环节: "&amp;INDEX($E$1:$I$1, MATCH(MIN(E523:I523), E523:I523, 0))&amp;CHAR(10)&amp;"📉 考察能力: "&amp;IFERROR(VLOOKUP(TRIM(D523)&amp;"_"&amp;TRIM(INDEX($E$1:$I$1, MATCH(MIN(E523:I523), E523:I523, 0))), 技能库!$A:$F, 5, 0),"建议查阅考纲")&amp;CHAR(10)&amp;"💡 提升建议: "&amp;IFERROR(VLOOKUP(TRIM(D523)&amp;"_"&amp;TRIM(INDEX($E$1:$I$1, MATCH(MIN(E523:I523), E523:I523, 0))), 技能库!$A:$F, 6, 0),"请针对该题型加强练习"), "🎉 表现优异，无明显弱项！"))</f>
        <v/>
      </c>
      <c r="AA523" s="5" t="str">
        <f>IF(T523="","", IF(U523&lt;=3, "⚠️ 薄弱环节: "&amp;INDEX($M$1:$S$1, MATCH(MIN(M523:S523), M523:S523, 0))&amp;CHAR(10)&amp;"📉 考察能力: "&amp;IFERROR(VLOOKUP(TRIM(D523)&amp;"_"&amp;TRIM(INDEX($M$1:$S$1, MATCH(MIN(M523:S523), M523:S523, 0))), 技能库!$A:$F, 5, 0),"建议查阅考纲")&amp;CHAR(10)&amp;"💡 提升建议: "&amp;IFERROR(VLOOKUP(TRIM(D523)&amp;"_"&amp;TRIM(INDEX($M$1:$S$1, MATCH(MIN(M523:S523), M523:S523, 0))), 技能库!$A:$F, 6, 0),"请针对该题型加强练习"), "🎉 表现优异，无明显弱项！"))</f>
        <v/>
      </c>
    </row>
    <row r="524" spans="10:27" ht="18" hidden="1" customHeight="1" x14ac:dyDescent="0.2">
      <c r="J524" t="str">
        <f t="shared" si="24"/>
        <v/>
      </c>
      <c r="K524" t="str">
        <f>IF(J524="","", IFERROR(VLOOKUP(J524, IF(D524="Movers", 换算标准!$C:$D, 换算标准!$I:$J), 2, TRUE), 0))</f>
        <v/>
      </c>
      <c r="T524" t="str">
        <f t="shared" si="25"/>
        <v/>
      </c>
      <c r="U524" t="str">
        <f>IF(T524="","", IFERROR(VLOOKUP(T524, IF(D524="Movers", 换算标准!$A:$B, 换算标准!$G:$H), 2, TRUE), 0))</f>
        <v/>
      </c>
      <c r="W524" t="str">
        <f t="shared" si="26"/>
        <v/>
      </c>
      <c r="Z524" s="5" t="str">
        <f>IF(J524="","", IF(K524&lt;=3, "⚠️ 薄弱环节: "&amp;INDEX($E$1:$I$1, MATCH(MIN(E524:I524), E524:I524, 0))&amp;CHAR(10)&amp;"📉 考察能力: "&amp;IFERROR(VLOOKUP(TRIM(D524)&amp;"_"&amp;TRIM(INDEX($E$1:$I$1, MATCH(MIN(E524:I524), E524:I524, 0))), 技能库!$A:$F, 5, 0),"建议查阅考纲")&amp;CHAR(10)&amp;"💡 提升建议: "&amp;IFERROR(VLOOKUP(TRIM(D524)&amp;"_"&amp;TRIM(INDEX($E$1:$I$1, MATCH(MIN(E524:I524), E524:I524, 0))), 技能库!$A:$F, 6, 0),"请针对该题型加强练习"), "🎉 表现优异，无明显弱项！"))</f>
        <v/>
      </c>
      <c r="AA524" s="5" t="str">
        <f>IF(T524="","", IF(U524&lt;=3, "⚠️ 薄弱环节: "&amp;INDEX($M$1:$S$1, MATCH(MIN(M524:S524), M524:S524, 0))&amp;CHAR(10)&amp;"📉 考察能力: "&amp;IFERROR(VLOOKUP(TRIM(D524)&amp;"_"&amp;TRIM(INDEX($M$1:$S$1, MATCH(MIN(M524:S524), M524:S524, 0))), 技能库!$A:$F, 5, 0),"建议查阅考纲")&amp;CHAR(10)&amp;"💡 提升建议: "&amp;IFERROR(VLOOKUP(TRIM(D524)&amp;"_"&amp;TRIM(INDEX($M$1:$S$1, MATCH(MIN(M524:S524), M524:S524, 0))), 技能库!$A:$F, 6, 0),"请针对该题型加强练习"), "🎉 表现优异，无明显弱项！"))</f>
        <v/>
      </c>
    </row>
    <row r="525" spans="10:27" ht="18" hidden="1" customHeight="1" x14ac:dyDescent="0.2">
      <c r="J525" t="str">
        <f t="shared" si="24"/>
        <v/>
      </c>
      <c r="K525" t="str">
        <f>IF(J525="","", IFERROR(VLOOKUP(J525, IF(D525="Movers", 换算标准!$C:$D, 换算标准!$I:$J), 2, TRUE), 0))</f>
        <v/>
      </c>
      <c r="T525" t="str">
        <f t="shared" si="25"/>
        <v/>
      </c>
      <c r="U525" t="str">
        <f>IF(T525="","", IFERROR(VLOOKUP(T525, IF(D525="Movers", 换算标准!$A:$B, 换算标准!$G:$H), 2, TRUE), 0))</f>
        <v/>
      </c>
      <c r="W525" t="str">
        <f t="shared" si="26"/>
        <v/>
      </c>
      <c r="Z525" s="5" t="str">
        <f>IF(J525="","", IF(K525&lt;=3, "⚠️ 薄弱环节: "&amp;INDEX($E$1:$I$1, MATCH(MIN(E525:I525), E525:I525, 0))&amp;CHAR(10)&amp;"📉 考察能力: "&amp;IFERROR(VLOOKUP(TRIM(D525)&amp;"_"&amp;TRIM(INDEX($E$1:$I$1, MATCH(MIN(E525:I525), E525:I525, 0))), 技能库!$A:$F, 5, 0),"建议查阅考纲")&amp;CHAR(10)&amp;"💡 提升建议: "&amp;IFERROR(VLOOKUP(TRIM(D525)&amp;"_"&amp;TRIM(INDEX($E$1:$I$1, MATCH(MIN(E525:I525), E525:I525, 0))), 技能库!$A:$F, 6, 0),"请针对该题型加强练习"), "🎉 表现优异，无明显弱项！"))</f>
        <v/>
      </c>
      <c r="AA525" s="5" t="str">
        <f>IF(T525="","", IF(U525&lt;=3, "⚠️ 薄弱环节: "&amp;INDEX($M$1:$S$1, MATCH(MIN(M525:S525), M525:S525, 0))&amp;CHAR(10)&amp;"📉 考察能力: "&amp;IFERROR(VLOOKUP(TRIM(D525)&amp;"_"&amp;TRIM(INDEX($M$1:$S$1, MATCH(MIN(M525:S525), M525:S525, 0))), 技能库!$A:$F, 5, 0),"建议查阅考纲")&amp;CHAR(10)&amp;"💡 提升建议: "&amp;IFERROR(VLOOKUP(TRIM(D525)&amp;"_"&amp;TRIM(INDEX($M$1:$S$1, MATCH(MIN(M525:S525), M525:S525, 0))), 技能库!$A:$F, 6, 0),"请针对该题型加强练习"), "🎉 表现优异，无明显弱项！"))</f>
        <v/>
      </c>
    </row>
    <row r="526" spans="10:27" ht="18" hidden="1" customHeight="1" x14ac:dyDescent="0.2">
      <c r="J526" t="str">
        <f t="shared" si="24"/>
        <v/>
      </c>
      <c r="K526" t="str">
        <f>IF(J526="","", IFERROR(VLOOKUP(J526, IF(D526="Movers", 换算标准!$C:$D, 换算标准!$I:$J), 2, TRUE), 0))</f>
        <v/>
      </c>
      <c r="T526" t="str">
        <f t="shared" si="25"/>
        <v/>
      </c>
      <c r="U526" t="str">
        <f>IF(T526="","", IFERROR(VLOOKUP(T526, IF(D526="Movers", 换算标准!$A:$B, 换算标准!$G:$H), 2, TRUE), 0))</f>
        <v/>
      </c>
      <c r="W526" t="str">
        <f t="shared" si="26"/>
        <v/>
      </c>
      <c r="Z526" s="5" t="str">
        <f>IF(J526="","", IF(K526&lt;=3, "⚠️ 薄弱环节: "&amp;INDEX($E$1:$I$1, MATCH(MIN(E526:I526), E526:I526, 0))&amp;CHAR(10)&amp;"📉 考察能力: "&amp;IFERROR(VLOOKUP(TRIM(D526)&amp;"_"&amp;TRIM(INDEX($E$1:$I$1, MATCH(MIN(E526:I526), E526:I526, 0))), 技能库!$A:$F, 5, 0),"建议查阅考纲")&amp;CHAR(10)&amp;"💡 提升建议: "&amp;IFERROR(VLOOKUP(TRIM(D526)&amp;"_"&amp;TRIM(INDEX($E$1:$I$1, MATCH(MIN(E526:I526), E526:I526, 0))), 技能库!$A:$F, 6, 0),"请针对该题型加强练习"), "🎉 表现优异，无明显弱项！"))</f>
        <v/>
      </c>
      <c r="AA526" s="5" t="str">
        <f>IF(T526="","", IF(U526&lt;=3, "⚠️ 薄弱环节: "&amp;INDEX($M$1:$S$1, MATCH(MIN(M526:S526), M526:S526, 0))&amp;CHAR(10)&amp;"📉 考察能力: "&amp;IFERROR(VLOOKUP(TRIM(D526)&amp;"_"&amp;TRIM(INDEX($M$1:$S$1, MATCH(MIN(M526:S526), M526:S526, 0))), 技能库!$A:$F, 5, 0),"建议查阅考纲")&amp;CHAR(10)&amp;"💡 提升建议: "&amp;IFERROR(VLOOKUP(TRIM(D526)&amp;"_"&amp;TRIM(INDEX($M$1:$S$1, MATCH(MIN(M526:S526), M526:S526, 0))), 技能库!$A:$F, 6, 0),"请针对该题型加强练习"), "🎉 表现优异，无明显弱项！"))</f>
        <v/>
      </c>
    </row>
    <row r="527" spans="10:27" ht="18" hidden="1" customHeight="1" x14ac:dyDescent="0.2">
      <c r="J527" t="str">
        <f t="shared" si="24"/>
        <v/>
      </c>
      <c r="K527" t="str">
        <f>IF(J527="","", IFERROR(VLOOKUP(J527, IF(D527="Movers", 换算标准!$C:$D, 换算标准!$I:$J), 2, TRUE), 0))</f>
        <v/>
      </c>
      <c r="T527" t="str">
        <f t="shared" si="25"/>
        <v/>
      </c>
      <c r="U527" t="str">
        <f>IF(T527="","", IFERROR(VLOOKUP(T527, IF(D527="Movers", 换算标准!$A:$B, 换算标准!$G:$H), 2, TRUE), 0))</f>
        <v/>
      </c>
      <c r="W527" t="str">
        <f t="shared" si="26"/>
        <v/>
      </c>
      <c r="Z527" s="5" t="str">
        <f>IF(J527="","", IF(K527&lt;=3, "⚠️ 薄弱环节: "&amp;INDEX($E$1:$I$1, MATCH(MIN(E527:I527), E527:I527, 0))&amp;CHAR(10)&amp;"📉 考察能力: "&amp;IFERROR(VLOOKUP(TRIM(D527)&amp;"_"&amp;TRIM(INDEX($E$1:$I$1, MATCH(MIN(E527:I527), E527:I527, 0))), 技能库!$A:$F, 5, 0),"建议查阅考纲")&amp;CHAR(10)&amp;"💡 提升建议: "&amp;IFERROR(VLOOKUP(TRIM(D527)&amp;"_"&amp;TRIM(INDEX($E$1:$I$1, MATCH(MIN(E527:I527), E527:I527, 0))), 技能库!$A:$F, 6, 0),"请针对该题型加强练习"), "🎉 表现优异，无明显弱项！"))</f>
        <v/>
      </c>
      <c r="AA527" s="5" t="str">
        <f>IF(T527="","", IF(U527&lt;=3, "⚠️ 薄弱环节: "&amp;INDEX($M$1:$S$1, MATCH(MIN(M527:S527), M527:S527, 0))&amp;CHAR(10)&amp;"📉 考察能力: "&amp;IFERROR(VLOOKUP(TRIM(D527)&amp;"_"&amp;TRIM(INDEX($M$1:$S$1, MATCH(MIN(M527:S527), M527:S527, 0))), 技能库!$A:$F, 5, 0),"建议查阅考纲")&amp;CHAR(10)&amp;"💡 提升建议: "&amp;IFERROR(VLOOKUP(TRIM(D527)&amp;"_"&amp;TRIM(INDEX($M$1:$S$1, MATCH(MIN(M527:S527), M527:S527, 0))), 技能库!$A:$F, 6, 0),"请针对该题型加强练习"), "🎉 表现优异，无明显弱项！"))</f>
        <v/>
      </c>
    </row>
    <row r="528" spans="10:27" ht="18" hidden="1" customHeight="1" x14ac:dyDescent="0.2">
      <c r="J528" t="str">
        <f t="shared" si="24"/>
        <v/>
      </c>
      <c r="K528" t="str">
        <f>IF(J528="","", IFERROR(VLOOKUP(J528, IF(D528="Movers", 换算标准!$C:$D, 换算标准!$I:$J), 2, TRUE), 0))</f>
        <v/>
      </c>
      <c r="T528" t="str">
        <f t="shared" si="25"/>
        <v/>
      </c>
      <c r="U528" t="str">
        <f>IF(T528="","", IFERROR(VLOOKUP(T528, IF(D528="Movers", 换算标准!$A:$B, 换算标准!$G:$H), 2, TRUE), 0))</f>
        <v/>
      </c>
      <c r="W528" t="str">
        <f t="shared" si="26"/>
        <v/>
      </c>
      <c r="Z528" s="5" t="str">
        <f>IF(J528="","", IF(K528&lt;=3, "⚠️ 薄弱环节: "&amp;INDEX($E$1:$I$1, MATCH(MIN(E528:I528), E528:I528, 0))&amp;CHAR(10)&amp;"📉 考察能力: "&amp;IFERROR(VLOOKUP(TRIM(D528)&amp;"_"&amp;TRIM(INDEX($E$1:$I$1, MATCH(MIN(E528:I528), E528:I528, 0))), 技能库!$A:$F, 5, 0),"建议查阅考纲")&amp;CHAR(10)&amp;"💡 提升建议: "&amp;IFERROR(VLOOKUP(TRIM(D528)&amp;"_"&amp;TRIM(INDEX($E$1:$I$1, MATCH(MIN(E528:I528), E528:I528, 0))), 技能库!$A:$F, 6, 0),"请针对该题型加强练习"), "🎉 表现优异，无明显弱项！"))</f>
        <v/>
      </c>
      <c r="AA528" s="5" t="str">
        <f>IF(T528="","", IF(U528&lt;=3, "⚠️ 薄弱环节: "&amp;INDEX($M$1:$S$1, MATCH(MIN(M528:S528), M528:S528, 0))&amp;CHAR(10)&amp;"📉 考察能力: "&amp;IFERROR(VLOOKUP(TRIM(D528)&amp;"_"&amp;TRIM(INDEX($M$1:$S$1, MATCH(MIN(M528:S528), M528:S528, 0))), 技能库!$A:$F, 5, 0),"建议查阅考纲")&amp;CHAR(10)&amp;"💡 提升建议: "&amp;IFERROR(VLOOKUP(TRIM(D528)&amp;"_"&amp;TRIM(INDEX($M$1:$S$1, MATCH(MIN(M528:S528), M528:S528, 0))), 技能库!$A:$F, 6, 0),"请针对该题型加强练习"), "🎉 表现优异，无明显弱项！"))</f>
        <v/>
      </c>
    </row>
    <row r="529" spans="10:27" ht="18" hidden="1" customHeight="1" x14ac:dyDescent="0.2">
      <c r="J529" t="str">
        <f t="shared" si="24"/>
        <v/>
      </c>
      <c r="K529" t="str">
        <f>IF(J529="","", IFERROR(VLOOKUP(J529, IF(D529="Movers", 换算标准!$C:$D, 换算标准!$I:$J), 2, TRUE), 0))</f>
        <v/>
      </c>
      <c r="T529" t="str">
        <f t="shared" si="25"/>
        <v/>
      </c>
      <c r="U529" t="str">
        <f>IF(T529="","", IFERROR(VLOOKUP(T529, IF(D529="Movers", 换算标准!$A:$B, 换算标准!$G:$H), 2, TRUE), 0))</f>
        <v/>
      </c>
      <c r="W529" t="str">
        <f t="shared" si="26"/>
        <v/>
      </c>
      <c r="Z529" s="5" t="str">
        <f>IF(J529="","", IF(K529&lt;=3, "⚠️ 薄弱环节: "&amp;INDEX($E$1:$I$1, MATCH(MIN(E529:I529), E529:I529, 0))&amp;CHAR(10)&amp;"📉 考察能力: "&amp;IFERROR(VLOOKUP(TRIM(D529)&amp;"_"&amp;TRIM(INDEX($E$1:$I$1, MATCH(MIN(E529:I529), E529:I529, 0))), 技能库!$A:$F, 5, 0),"建议查阅考纲")&amp;CHAR(10)&amp;"💡 提升建议: "&amp;IFERROR(VLOOKUP(TRIM(D529)&amp;"_"&amp;TRIM(INDEX($E$1:$I$1, MATCH(MIN(E529:I529), E529:I529, 0))), 技能库!$A:$F, 6, 0),"请针对该题型加强练习"), "🎉 表现优异，无明显弱项！"))</f>
        <v/>
      </c>
      <c r="AA529" s="5" t="str">
        <f>IF(T529="","", IF(U529&lt;=3, "⚠️ 薄弱环节: "&amp;INDEX($M$1:$S$1, MATCH(MIN(M529:S529), M529:S529, 0))&amp;CHAR(10)&amp;"📉 考察能力: "&amp;IFERROR(VLOOKUP(TRIM(D529)&amp;"_"&amp;TRIM(INDEX($M$1:$S$1, MATCH(MIN(M529:S529), M529:S529, 0))), 技能库!$A:$F, 5, 0),"建议查阅考纲")&amp;CHAR(10)&amp;"💡 提升建议: "&amp;IFERROR(VLOOKUP(TRIM(D529)&amp;"_"&amp;TRIM(INDEX($M$1:$S$1, MATCH(MIN(M529:S529), M529:S529, 0))), 技能库!$A:$F, 6, 0),"请针对该题型加强练习"), "🎉 表现优异，无明显弱项！"))</f>
        <v/>
      </c>
    </row>
    <row r="530" spans="10:27" ht="18" hidden="1" customHeight="1" x14ac:dyDescent="0.2">
      <c r="J530" t="str">
        <f t="shared" si="24"/>
        <v/>
      </c>
      <c r="K530" t="str">
        <f>IF(J530="","", IFERROR(VLOOKUP(J530, IF(D530="Movers", 换算标准!$C:$D, 换算标准!$I:$J), 2, TRUE), 0))</f>
        <v/>
      </c>
      <c r="T530" t="str">
        <f t="shared" si="25"/>
        <v/>
      </c>
      <c r="U530" t="str">
        <f>IF(T530="","", IFERROR(VLOOKUP(T530, IF(D530="Movers", 换算标准!$A:$B, 换算标准!$G:$H), 2, TRUE), 0))</f>
        <v/>
      </c>
      <c r="W530" t="str">
        <f t="shared" si="26"/>
        <v/>
      </c>
      <c r="Z530" s="5" t="str">
        <f>IF(J530="","", IF(K530&lt;=3, "⚠️ 薄弱环节: "&amp;INDEX($E$1:$I$1, MATCH(MIN(E530:I530), E530:I530, 0))&amp;CHAR(10)&amp;"📉 考察能力: "&amp;IFERROR(VLOOKUP(TRIM(D530)&amp;"_"&amp;TRIM(INDEX($E$1:$I$1, MATCH(MIN(E530:I530), E530:I530, 0))), 技能库!$A:$F, 5, 0),"建议查阅考纲")&amp;CHAR(10)&amp;"💡 提升建议: "&amp;IFERROR(VLOOKUP(TRIM(D530)&amp;"_"&amp;TRIM(INDEX($E$1:$I$1, MATCH(MIN(E530:I530), E530:I530, 0))), 技能库!$A:$F, 6, 0),"请针对该题型加强练习"), "🎉 表现优异，无明显弱项！"))</f>
        <v/>
      </c>
      <c r="AA530" s="5" t="str">
        <f>IF(T530="","", IF(U530&lt;=3, "⚠️ 薄弱环节: "&amp;INDEX($M$1:$S$1, MATCH(MIN(M530:S530), M530:S530, 0))&amp;CHAR(10)&amp;"📉 考察能力: "&amp;IFERROR(VLOOKUP(TRIM(D530)&amp;"_"&amp;TRIM(INDEX($M$1:$S$1, MATCH(MIN(M530:S530), M530:S530, 0))), 技能库!$A:$F, 5, 0),"建议查阅考纲")&amp;CHAR(10)&amp;"💡 提升建议: "&amp;IFERROR(VLOOKUP(TRIM(D530)&amp;"_"&amp;TRIM(INDEX($M$1:$S$1, MATCH(MIN(M530:S530), M530:S530, 0))), 技能库!$A:$F, 6, 0),"请针对该题型加强练习"), "🎉 表现优异，无明显弱项！"))</f>
        <v/>
      </c>
    </row>
    <row r="531" spans="10:27" ht="18" hidden="1" customHeight="1" x14ac:dyDescent="0.2">
      <c r="J531" t="str">
        <f t="shared" si="24"/>
        <v/>
      </c>
      <c r="K531" t="str">
        <f>IF(J531="","", IFERROR(VLOOKUP(J531, IF(D531="Movers", 换算标准!$C:$D, 换算标准!$I:$J), 2, TRUE), 0))</f>
        <v/>
      </c>
      <c r="T531" t="str">
        <f t="shared" si="25"/>
        <v/>
      </c>
      <c r="U531" t="str">
        <f>IF(T531="","", IFERROR(VLOOKUP(T531, IF(D531="Movers", 换算标准!$A:$B, 换算标准!$G:$H), 2, TRUE), 0))</f>
        <v/>
      </c>
      <c r="W531" t="str">
        <f t="shared" si="26"/>
        <v/>
      </c>
      <c r="Z531" s="5" t="str">
        <f>IF(J531="","", IF(K531&lt;=3, "⚠️ 薄弱环节: "&amp;INDEX($E$1:$I$1, MATCH(MIN(E531:I531), E531:I531, 0))&amp;CHAR(10)&amp;"📉 考察能力: "&amp;IFERROR(VLOOKUP(TRIM(D531)&amp;"_"&amp;TRIM(INDEX($E$1:$I$1, MATCH(MIN(E531:I531), E531:I531, 0))), 技能库!$A:$F, 5, 0),"建议查阅考纲")&amp;CHAR(10)&amp;"💡 提升建议: "&amp;IFERROR(VLOOKUP(TRIM(D531)&amp;"_"&amp;TRIM(INDEX($E$1:$I$1, MATCH(MIN(E531:I531), E531:I531, 0))), 技能库!$A:$F, 6, 0),"请针对该题型加强练习"), "🎉 表现优异，无明显弱项！"))</f>
        <v/>
      </c>
      <c r="AA531" s="5" t="str">
        <f>IF(T531="","", IF(U531&lt;=3, "⚠️ 薄弱环节: "&amp;INDEX($M$1:$S$1, MATCH(MIN(M531:S531), M531:S531, 0))&amp;CHAR(10)&amp;"📉 考察能力: "&amp;IFERROR(VLOOKUP(TRIM(D531)&amp;"_"&amp;TRIM(INDEX($M$1:$S$1, MATCH(MIN(M531:S531), M531:S531, 0))), 技能库!$A:$F, 5, 0),"建议查阅考纲")&amp;CHAR(10)&amp;"💡 提升建议: "&amp;IFERROR(VLOOKUP(TRIM(D531)&amp;"_"&amp;TRIM(INDEX($M$1:$S$1, MATCH(MIN(M531:S531), M531:S531, 0))), 技能库!$A:$F, 6, 0),"请针对该题型加强练习"), "🎉 表现优异，无明显弱项！"))</f>
        <v/>
      </c>
    </row>
    <row r="532" spans="10:27" ht="18" hidden="1" customHeight="1" x14ac:dyDescent="0.2">
      <c r="J532" t="str">
        <f t="shared" si="24"/>
        <v/>
      </c>
      <c r="K532" t="str">
        <f>IF(J532="","", IFERROR(VLOOKUP(J532, IF(D532="Movers", 换算标准!$C:$D, 换算标准!$I:$J), 2, TRUE), 0))</f>
        <v/>
      </c>
      <c r="T532" t="str">
        <f t="shared" si="25"/>
        <v/>
      </c>
      <c r="U532" t="str">
        <f>IF(T532="","", IFERROR(VLOOKUP(T532, IF(D532="Movers", 换算标准!$A:$B, 换算标准!$G:$H), 2, TRUE), 0))</f>
        <v/>
      </c>
      <c r="W532" t="str">
        <f t="shared" si="26"/>
        <v/>
      </c>
      <c r="Z532" s="5" t="str">
        <f>IF(J532="","", IF(K532&lt;=3, "⚠️ 薄弱环节: "&amp;INDEX($E$1:$I$1, MATCH(MIN(E532:I532), E532:I532, 0))&amp;CHAR(10)&amp;"📉 考察能力: "&amp;IFERROR(VLOOKUP(TRIM(D532)&amp;"_"&amp;TRIM(INDEX($E$1:$I$1, MATCH(MIN(E532:I532), E532:I532, 0))), 技能库!$A:$F, 5, 0),"建议查阅考纲")&amp;CHAR(10)&amp;"💡 提升建议: "&amp;IFERROR(VLOOKUP(TRIM(D532)&amp;"_"&amp;TRIM(INDEX($E$1:$I$1, MATCH(MIN(E532:I532), E532:I532, 0))), 技能库!$A:$F, 6, 0),"请针对该题型加强练习"), "🎉 表现优异，无明显弱项！"))</f>
        <v/>
      </c>
      <c r="AA532" s="5" t="str">
        <f>IF(T532="","", IF(U532&lt;=3, "⚠️ 薄弱环节: "&amp;INDEX($M$1:$S$1, MATCH(MIN(M532:S532), M532:S532, 0))&amp;CHAR(10)&amp;"📉 考察能力: "&amp;IFERROR(VLOOKUP(TRIM(D532)&amp;"_"&amp;TRIM(INDEX($M$1:$S$1, MATCH(MIN(M532:S532), M532:S532, 0))), 技能库!$A:$F, 5, 0),"建议查阅考纲")&amp;CHAR(10)&amp;"💡 提升建议: "&amp;IFERROR(VLOOKUP(TRIM(D532)&amp;"_"&amp;TRIM(INDEX($M$1:$S$1, MATCH(MIN(M532:S532), M532:S532, 0))), 技能库!$A:$F, 6, 0),"请针对该题型加强练习"), "🎉 表现优异，无明显弱项！"))</f>
        <v/>
      </c>
    </row>
    <row r="533" spans="10:27" ht="18" hidden="1" customHeight="1" x14ac:dyDescent="0.2">
      <c r="J533" t="str">
        <f t="shared" si="24"/>
        <v/>
      </c>
      <c r="K533" t="str">
        <f>IF(J533="","", IFERROR(VLOOKUP(J533, IF(D533="Movers", 换算标准!$C:$D, 换算标准!$I:$J), 2, TRUE), 0))</f>
        <v/>
      </c>
      <c r="T533" t="str">
        <f t="shared" si="25"/>
        <v/>
      </c>
      <c r="U533" t="str">
        <f>IF(T533="","", IFERROR(VLOOKUP(T533, IF(D533="Movers", 换算标准!$A:$B, 换算标准!$G:$H), 2, TRUE), 0))</f>
        <v/>
      </c>
      <c r="W533" t="str">
        <f t="shared" si="26"/>
        <v/>
      </c>
      <c r="Z533" s="5" t="str">
        <f>IF(J533="","", IF(K533&lt;=3, "⚠️ 薄弱环节: "&amp;INDEX($E$1:$I$1, MATCH(MIN(E533:I533), E533:I533, 0))&amp;CHAR(10)&amp;"📉 考察能力: "&amp;IFERROR(VLOOKUP(TRIM(D533)&amp;"_"&amp;TRIM(INDEX($E$1:$I$1, MATCH(MIN(E533:I533), E533:I533, 0))), 技能库!$A:$F, 5, 0),"建议查阅考纲")&amp;CHAR(10)&amp;"💡 提升建议: "&amp;IFERROR(VLOOKUP(TRIM(D533)&amp;"_"&amp;TRIM(INDEX($E$1:$I$1, MATCH(MIN(E533:I533), E533:I533, 0))), 技能库!$A:$F, 6, 0),"请针对该题型加强练习"), "🎉 表现优异，无明显弱项！"))</f>
        <v/>
      </c>
      <c r="AA533" s="5" t="str">
        <f>IF(T533="","", IF(U533&lt;=3, "⚠️ 薄弱环节: "&amp;INDEX($M$1:$S$1, MATCH(MIN(M533:S533), M533:S533, 0))&amp;CHAR(10)&amp;"📉 考察能力: "&amp;IFERROR(VLOOKUP(TRIM(D533)&amp;"_"&amp;TRIM(INDEX($M$1:$S$1, MATCH(MIN(M533:S533), M533:S533, 0))), 技能库!$A:$F, 5, 0),"建议查阅考纲")&amp;CHAR(10)&amp;"💡 提升建议: "&amp;IFERROR(VLOOKUP(TRIM(D533)&amp;"_"&amp;TRIM(INDEX($M$1:$S$1, MATCH(MIN(M533:S533), M533:S533, 0))), 技能库!$A:$F, 6, 0),"请针对该题型加强练习"), "🎉 表现优异，无明显弱项！"))</f>
        <v/>
      </c>
    </row>
    <row r="534" spans="10:27" ht="18" hidden="1" customHeight="1" x14ac:dyDescent="0.2">
      <c r="J534" t="str">
        <f t="shared" si="24"/>
        <v/>
      </c>
      <c r="K534" t="str">
        <f>IF(J534="","", IFERROR(VLOOKUP(J534, IF(D534="Movers", 换算标准!$C:$D, 换算标准!$I:$J), 2, TRUE), 0))</f>
        <v/>
      </c>
      <c r="T534" t="str">
        <f t="shared" si="25"/>
        <v/>
      </c>
      <c r="U534" t="str">
        <f>IF(T534="","", IFERROR(VLOOKUP(T534, IF(D534="Movers", 换算标准!$A:$B, 换算标准!$G:$H), 2, TRUE), 0))</f>
        <v/>
      </c>
      <c r="W534" t="str">
        <f t="shared" si="26"/>
        <v/>
      </c>
      <c r="Z534" s="5" t="str">
        <f>IF(J534="","", IF(K534&lt;=3, "⚠️ 薄弱环节: "&amp;INDEX($E$1:$I$1, MATCH(MIN(E534:I534), E534:I534, 0))&amp;CHAR(10)&amp;"📉 考察能力: "&amp;IFERROR(VLOOKUP(TRIM(D534)&amp;"_"&amp;TRIM(INDEX($E$1:$I$1, MATCH(MIN(E534:I534), E534:I534, 0))), 技能库!$A:$F, 5, 0),"建议查阅考纲")&amp;CHAR(10)&amp;"💡 提升建议: "&amp;IFERROR(VLOOKUP(TRIM(D534)&amp;"_"&amp;TRIM(INDEX($E$1:$I$1, MATCH(MIN(E534:I534), E534:I534, 0))), 技能库!$A:$F, 6, 0),"请针对该题型加强练习"), "🎉 表现优异，无明显弱项！"))</f>
        <v/>
      </c>
      <c r="AA534" s="5" t="str">
        <f>IF(T534="","", IF(U534&lt;=3, "⚠️ 薄弱环节: "&amp;INDEX($M$1:$S$1, MATCH(MIN(M534:S534), M534:S534, 0))&amp;CHAR(10)&amp;"📉 考察能力: "&amp;IFERROR(VLOOKUP(TRIM(D534)&amp;"_"&amp;TRIM(INDEX($M$1:$S$1, MATCH(MIN(M534:S534), M534:S534, 0))), 技能库!$A:$F, 5, 0),"建议查阅考纲")&amp;CHAR(10)&amp;"💡 提升建议: "&amp;IFERROR(VLOOKUP(TRIM(D534)&amp;"_"&amp;TRIM(INDEX($M$1:$S$1, MATCH(MIN(M534:S534), M534:S534, 0))), 技能库!$A:$F, 6, 0),"请针对该题型加强练习"), "🎉 表现优异，无明显弱项！"))</f>
        <v/>
      </c>
    </row>
    <row r="535" spans="10:27" ht="18" hidden="1" customHeight="1" x14ac:dyDescent="0.2">
      <c r="J535" t="str">
        <f t="shared" si="24"/>
        <v/>
      </c>
      <c r="K535" t="str">
        <f>IF(J535="","", IFERROR(VLOOKUP(J535, IF(D535="Movers", 换算标准!$C:$D, 换算标准!$I:$J), 2, TRUE), 0))</f>
        <v/>
      </c>
      <c r="T535" t="str">
        <f t="shared" si="25"/>
        <v/>
      </c>
      <c r="U535" t="str">
        <f>IF(T535="","", IFERROR(VLOOKUP(T535, IF(D535="Movers", 换算标准!$A:$B, 换算标准!$G:$H), 2, TRUE), 0))</f>
        <v/>
      </c>
      <c r="W535" t="str">
        <f t="shared" si="26"/>
        <v/>
      </c>
      <c r="Z535" s="5" t="str">
        <f>IF(J535="","", IF(K535&lt;=3, "⚠️ 薄弱环节: "&amp;INDEX($E$1:$I$1, MATCH(MIN(E535:I535), E535:I535, 0))&amp;CHAR(10)&amp;"📉 考察能力: "&amp;IFERROR(VLOOKUP(TRIM(D535)&amp;"_"&amp;TRIM(INDEX($E$1:$I$1, MATCH(MIN(E535:I535), E535:I535, 0))), 技能库!$A:$F, 5, 0),"建议查阅考纲")&amp;CHAR(10)&amp;"💡 提升建议: "&amp;IFERROR(VLOOKUP(TRIM(D535)&amp;"_"&amp;TRIM(INDEX($E$1:$I$1, MATCH(MIN(E535:I535), E535:I535, 0))), 技能库!$A:$F, 6, 0),"请针对该题型加强练习"), "🎉 表现优异，无明显弱项！"))</f>
        <v/>
      </c>
      <c r="AA535" s="5" t="str">
        <f>IF(T535="","", IF(U535&lt;=3, "⚠️ 薄弱环节: "&amp;INDEX($M$1:$S$1, MATCH(MIN(M535:S535), M535:S535, 0))&amp;CHAR(10)&amp;"📉 考察能力: "&amp;IFERROR(VLOOKUP(TRIM(D535)&amp;"_"&amp;TRIM(INDEX($M$1:$S$1, MATCH(MIN(M535:S535), M535:S535, 0))), 技能库!$A:$F, 5, 0),"建议查阅考纲")&amp;CHAR(10)&amp;"💡 提升建议: "&amp;IFERROR(VLOOKUP(TRIM(D535)&amp;"_"&amp;TRIM(INDEX($M$1:$S$1, MATCH(MIN(M535:S535), M535:S535, 0))), 技能库!$A:$F, 6, 0),"请针对该题型加强练习"), "🎉 表现优异，无明显弱项！"))</f>
        <v/>
      </c>
    </row>
    <row r="536" spans="10:27" ht="18" hidden="1" customHeight="1" x14ac:dyDescent="0.2">
      <c r="J536" t="str">
        <f t="shared" si="24"/>
        <v/>
      </c>
      <c r="K536" t="str">
        <f>IF(J536="","", IFERROR(VLOOKUP(J536, IF(D536="Movers", 换算标准!$C:$D, 换算标准!$I:$J), 2, TRUE), 0))</f>
        <v/>
      </c>
      <c r="T536" t="str">
        <f t="shared" si="25"/>
        <v/>
      </c>
      <c r="U536" t="str">
        <f>IF(T536="","", IFERROR(VLOOKUP(T536, IF(D536="Movers", 换算标准!$A:$B, 换算标准!$G:$H), 2, TRUE), 0))</f>
        <v/>
      </c>
      <c r="W536" t="str">
        <f t="shared" si="26"/>
        <v/>
      </c>
      <c r="Z536" s="5" t="str">
        <f>IF(J536="","", IF(K536&lt;=3, "⚠️ 薄弱环节: "&amp;INDEX($E$1:$I$1, MATCH(MIN(E536:I536), E536:I536, 0))&amp;CHAR(10)&amp;"📉 考察能力: "&amp;IFERROR(VLOOKUP(TRIM(D536)&amp;"_"&amp;TRIM(INDEX($E$1:$I$1, MATCH(MIN(E536:I536), E536:I536, 0))), 技能库!$A:$F, 5, 0),"建议查阅考纲")&amp;CHAR(10)&amp;"💡 提升建议: "&amp;IFERROR(VLOOKUP(TRIM(D536)&amp;"_"&amp;TRIM(INDEX($E$1:$I$1, MATCH(MIN(E536:I536), E536:I536, 0))), 技能库!$A:$F, 6, 0),"请针对该题型加强练习"), "🎉 表现优异，无明显弱项！"))</f>
        <v/>
      </c>
      <c r="AA536" s="5" t="str">
        <f>IF(T536="","", IF(U536&lt;=3, "⚠️ 薄弱环节: "&amp;INDEX($M$1:$S$1, MATCH(MIN(M536:S536), M536:S536, 0))&amp;CHAR(10)&amp;"📉 考察能力: "&amp;IFERROR(VLOOKUP(TRIM(D536)&amp;"_"&amp;TRIM(INDEX($M$1:$S$1, MATCH(MIN(M536:S536), M536:S536, 0))), 技能库!$A:$F, 5, 0),"建议查阅考纲")&amp;CHAR(10)&amp;"💡 提升建议: "&amp;IFERROR(VLOOKUP(TRIM(D536)&amp;"_"&amp;TRIM(INDEX($M$1:$S$1, MATCH(MIN(M536:S536), M536:S536, 0))), 技能库!$A:$F, 6, 0),"请针对该题型加强练习"), "🎉 表现优异，无明显弱项！"))</f>
        <v/>
      </c>
    </row>
    <row r="537" spans="10:27" ht="18" hidden="1" customHeight="1" x14ac:dyDescent="0.2">
      <c r="J537" t="str">
        <f t="shared" si="24"/>
        <v/>
      </c>
      <c r="K537" t="str">
        <f>IF(J537="","", IFERROR(VLOOKUP(J537, IF(D537="Movers", 换算标准!$C:$D, 换算标准!$I:$J), 2, TRUE), 0))</f>
        <v/>
      </c>
      <c r="T537" t="str">
        <f t="shared" si="25"/>
        <v/>
      </c>
      <c r="U537" t="str">
        <f>IF(T537="","", IFERROR(VLOOKUP(T537, IF(D537="Movers", 换算标准!$A:$B, 换算标准!$G:$H), 2, TRUE), 0))</f>
        <v/>
      </c>
      <c r="W537" t="str">
        <f t="shared" si="26"/>
        <v/>
      </c>
      <c r="Z537" s="5" t="str">
        <f>IF(J537="","", IF(K537&lt;=3, "⚠️ 薄弱环节: "&amp;INDEX($E$1:$I$1, MATCH(MIN(E537:I537), E537:I537, 0))&amp;CHAR(10)&amp;"📉 考察能力: "&amp;IFERROR(VLOOKUP(TRIM(D537)&amp;"_"&amp;TRIM(INDEX($E$1:$I$1, MATCH(MIN(E537:I537), E537:I537, 0))), 技能库!$A:$F, 5, 0),"建议查阅考纲")&amp;CHAR(10)&amp;"💡 提升建议: "&amp;IFERROR(VLOOKUP(TRIM(D537)&amp;"_"&amp;TRIM(INDEX($E$1:$I$1, MATCH(MIN(E537:I537), E537:I537, 0))), 技能库!$A:$F, 6, 0),"请针对该题型加强练习"), "🎉 表现优异，无明显弱项！"))</f>
        <v/>
      </c>
      <c r="AA537" s="5" t="str">
        <f>IF(T537="","", IF(U537&lt;=3, "⚠️ 薄弱环节: "&amp;INDEX($M$1:$S$1, MATCH(MIN(M537:S537), M537:S537, 0))&amp;CHAR(10)&amp;"📉 考察能力: "&amp;IFERROR(VLOOKUP(TRIM(D537)&amp;"_"&amp;TRIM(INDEX($M$1:$S$1, MATCH(MIN(M537:S537), M537:S537, 0))), 技能库!$A:$F, 5, 0),"建议查阅考纲")&amp;CHAR(10)&amp;"💡 提升建议: "&amp;IFERROR(VLOOKUP(TRIM(D537)&amp;"_"&amp;TRIM(INDEX($M$1:$S$1, MATCH(MIN(M537:S537), M537:S537, 0))), 技能库!$A:$F, 6, 0),"请针对该题型加强练习"), "🎉 表现优异，无明显弱项！"))</f>
        <v/>
      </c>
    </row>
    <row r="538" spans="10:27" ht="18" hidden="1" customHeight="1" x14ac:dyDescent="0.2">
      <c r="J538" t="str">
        <f t="shared" si="24"/>
        <v/>
      </c>
      <c r="K538" t="str">
        <f>IF(J538="","", IFERROR(VLOOKUP(J538, IF(D538="Movers", 换算标准!$C:$D, 换算标准!$I:$J), 2, TRUE), 0))</f>
        <v/>
      </c>
      <c r="T538" t="str">
        <f t="shared" si="25"/>
        <v/>
      </c>
      <c r="U538" t="str">
        <f>IF(T538="","", IFERROR(VLOOKUP(T538, IF(D538="Movers", 换算标准!$A:$B, 换算标准!$G:$H), 2, TRUE), 0))</f>
        <v/>
      </c>
      <c r="W538" t="str">
        <f t="shared" si="26"/>
        <v/>
      </c>
      <c r="Z538" s="5" t="str">
        <f>IF(J538="","", IF(K538&lt;=3, "⚠️ 薄弱环节: "&amp;INDEX($E$1:$I$1, MATCH(MIN(E538:I538), E538:I538, 0))&amp;CHAR(10)&amp;"📉 考察能力: "&amp;IFERROR(VLOOKUP(TRIM(D538)&amp;"_"&amp;TRIM(INDEX($E$1:$I$1, MATCH(MIN(E538:I538), E538:I538, 0))), 技能库!$A:$F, 5, 0),"建议查阅考纲")&amp;CHAR(10)&amp;"💡 提升建议: "&amp;IFERROR(VLOOKUP(TRIM(D538)&amp;"_"&amp;TRIM(INDEX($E$1:$I$1, MATCH(MIN(E538:I538), E538:I538, 0))), 技能库!$A:$F, 6, 0),"请针对该题型加强练习"), "🎉 表现优异，无明显弱项！"))</f>
        <v/>
      </c>
      <c r="AA538" s="5" t="str">
        <f>IF(T538="","", IF(U538&lt;=3, "⚠️ 薄弱环节: "&amp;INDEX($M$1:$S$1, MATCH(MIN(M538:S538), M538:S538, 0))&amp;CHAR(10)&amp;"📉 考察能力: "&amp;IFERROR(VLOOKUP(TRIM(D538)&amp;"_"&amp;TRIM(INDEX($M$1:$S$1, MATCH(MIN(M538:S538), M538:S538, 0))), 技能库!$A:$F, 5, 0),"建议查阅考纲")&amp;CHAR(10)&amp;"💡 提升建议: "&amp;IFERROR(VLOOKUP(TRIM(D538)&amp;"_"&amp;TRIM(INDEX($M$1:$S$1, MATCH(MIN(M538:S538), M538:S538, 0))), 技能库!$A:$F, 6, 0),"请针对该题型加强练习"), "🎉 表现优异，无明显弱项！"))</f>
        <v/>
      </c>
    </row>
    <row r="539" spans="10:27" ht="18" hidden="1" customHeight="1" x14ac:dyDescent="0.2">
      <c r="J539" t="str">
        <f t="shared" si="24"/>
        <v/>
      </c>
      <c r="K539" t="str">
        <f>IF(J539="","", IFERROR(VLOOKUP(J539, IF(D539="Movers", 换算标准!$C:$D, 换算标准!$I:$J), 2, TRUE), 0))</f>
        <v/>
      </c>
      <c r="T539" t="str">
        <f t="shared" si="25"/>
        <v/>
      </c>
      <c r="U539" t="str">
        <f>IF(T539="","", IFERROR(VLOOKUP(T539, IF(D539="Movers", 换算标准!$A:$B, 换算标准!$G:$H), 2, TRUE), 0))</f>
        <v/>
      </c>
      <c r="W539" t="str">
        <f t="shared" si="26"/>
        <v/>
      </c>
      <c r="Z539" s="5" t="str">
        <f>IF(J539="","", IF(K539&lt;=3, "⚠️ 薄弱环节: "&amp;INDEX($E$1:$I$1, MATCH(MIN(E539:I539), E539:I539, 0))&amp;CHAR(10)&amp;"📉 考察能力: "&amp;IFERROR(VLOOKUP(TRIM(D539)&amp;"_"&amp;TRIM(INDEX($E$1:$I$1, MATCH(MIN(E539:I539), E539:I539, 0))), 技能库!$A:$F, 5, 0),"建议查阅考纲")&amp;CHAR(10)&amp;"💡 提升建议: "&amp;IFERROR(VLOOKUP(TRIM(D539)&amp;"_"&amp;TRIM(INDEX($E$1:$I$1, MATCH(MIN(E539:I539), E539:I539, 0))), 技能库!$A:$F, 6, 0),"请针对该题型加强练习"), "🎉 表现优异，无明显弱项！"))</f>
        <v/>
      </c>
      <c r="AA539" s="5" t="str">
        <f>IF(T539="","", IF(U539&lt;=3, "⚠️ 薄弱环节: "&amp;INDEX($M$1:$S$1, MATCH(MIN(M539:S539), M539:S539, 0))&amp;CHAR(10)&amp;"📉 考察能力: "&amp;IFERROR(VLOOKUP(TRIM(D539)&amp;"_"&amp;TRIM(INDEX($M$1:$S$1, MATCH(MIN(M539:S539), M539:S539, 0))), 技能库!$A:$F, 5, 0),"建议查阅考纲")&amp;CHAR(10)&amp;"💡 提升建议: "&amp;IFERROR(VLOOKUP(TRIM(D539)&amp;"_"&amp;TRIM(INDEX($M$1:$S$1, MATCH(MIN(M539:S539), M539:S539, 0))), 技能库!$A:$F, 6, 0),"请针对该题型加强练习"), "🎉 表现优异，无明显弱项！"))</f>
        <v/>
      </c>
    </row>
    <row r="540" spans="10:27" ht="18" hidden="1" customHeight="1" x14ac:dyDescent="0.2">
      <c r="J540" t="str">
        <f t="shared" si="24"/>
        <v/>
      </c>
      <c r="K540" t="str">
        <f>IF(J540="","", IFERROR(VLOOKUP(J540, IF(D540="Movers", 换算标准!$C:$D, 换算标准!$I:$J), 2, TRUE), 0))</f>
        <v/>
      </c>
      <c r="T540" t="str">
        <f t="shared" si="25"/>
        <v/>
      </c>
      <c r="U540" t="str">
        <f>IF(T540="","", IFERROR(VLOOKUP(T540, IF(D540="Movers", 换算标准!$A:$B, 换算标准!$G:$H), 2, TRUE), 0))</f>
        <v/>
      </c>
      <c r="W540" t="str">
        <f t="shared" si="26"/>
        <v/>
      </c>
      <c r="Z540" s="5" t="str">
        <f>IF(J540="","", IF(K540&lt;=3, "⚠️ 薄弱环节: "&amp;INDEX($E$1:$I$1, MATCH(MIN(E540:I540), E540:I540, 0))&amp;CHAR(10)&amp;"📉 考察能力: "&amp;IFERROR(VLOOKUP(TRIM(D540)&amp;"_"&amp;TRIM(INDEX($E$1:$I$1, MATCH(MIN(E540:I540), E540:I540, 0))), 技能库!$A:$F, 5, 0),"建议查阅考纲")&amp;CHAR(10)&amp;"💡 提升建议: "&amp;IFERROR(VLOOKUP(TRIM(D540)&amp;"_"&amp;TRIM(INDEX($E$1:$I$1, MATCH(MIN(E540:I540), E540:I540, 0))), 技能库!$A:$F, 6, 0),"请针对该题型加强练习"), "🎉 表现优异，无明显弱项！"))</f>
        <v/>
      </c>
      <c r="AA540" s="5" t="str">
        <f>IF(T540="","", IF(U540&lt;=3, "⚠️ 薄弱环节: "&amp;INDEX($M$1:$S$1, MATCH(MIN(M540:S540), M540:S540, 0))&amp;CHAR(10)&amp;"📉 考察能力: "&amp;IFERROR(VLOOKUP(TRIM(D540)&amp;"_"&amp;TRIM(INDEX($M$1:$S$1, MATCH(MIN(M540:S540), M540:S540, 0))), 技能库!$A:$F, 5, 0),"建议查阅考纲")&amp;CHAR(10)&amp;"💡 提升建议: "&amp;IFERROR(VLOOKUP(TRIM(D540)&amp;"_"&amp;TRIM(INDEX($M$1:$S$1, MATCH(MIN(M540:S540), M540:S540, 0))), 技能库!$A:$F, 6, 0),"请针对该题型加强练习"), "🎉 表现优异，无明显弱项！"))</f>
        <v/>
      </c>
    </row>
    <row r="541" spans="10:27" ht="18" hidden="1" customHeight="1" x14ac:dyDescent="0.2">
      <c r="J541" t="str">
        <f t="shared" si="24"/>
        <v/>
      </c>
      <c r="K541" t="str">
        <f>IF(J541="","", IFERROR(VLOOKUP(J541, IF(D541="Movers", 换算标准!$C:$D, 换算标准!$I:$J), 2, TRUE), 0))</f>
        <v/>
      </c>
      <c r="T541" t="str">
        <f t="shared" si="25"/>
        <v/>
      </c>
      <c r="U541" t="str">
        <f>IF(T541="","", IFERROR(VLOOKUP(T541, IF(D541="Movers", 换算标准!$A:$B, 换算标准!$G:$H), 2, TRUE), 0))</f>
        <v/>
      </c>
      <c r="W541" t="str">
        <f t="shared" si="26"/>
        <v/>
      </c>
      <c r="Z541" s="5" t="str">
        <f>IF(J541="","", IF(K541&lt;=3, "⚠️ 薄弱环节: "&amp;INDEX($E$1:$I$1, MATCH(MIN(E541:I541), E541:I541, 0))&amp;CHAR(10)&amp;"📉 考察能力: "&amp;IFERROR(VLOOKUP(TRIM(D541)&amp;"_"&amp;TRIM(INDEX($E$1:$I$1, MATCH(MIN(E541:I541), E541:I541, 0))), 技能库!$A:$F, 5, 0),"建议查阅考纲")&amp;CHAR(10)&amp;"💡 提升建议: "&amp;IFERROR(VLOOKUP(TRIM(D541)&amp;"_"&amp;TRIM(INDEX($E$1:$I$1, MATCH(MIN(E541:I541), E541:I541, 0))), 技能库!$A:$F, 6, 0),"请针对该题型加强练习"), "🎉 表现优异，无明显弱项！"))</f>
        <v/>
      </c>
      <c r="AA541" s="5" t="str">
        <f>IF(T541="","", IF(U541&lt;=3, "⚠️ 薄弱环节: "&amp;INDEX($M$1:$S$1, MATCH(MIN(M541:S541), M541:S541, 0))&amp;CHAR(10)&amp;"📉 考察能力: "&amp;IFERROR(VLOOKUP(TRIM(D541)&amp;"_"&amp;TRIM(INDEX($M$1:$S$1, MATCH(MIN(M541:S541), M541:S541, 0))), 技能库!$A:$F, 5, 0),"建议查阅考纲")&amp;CHAR(10)&amp;"💡 提升建议: "&amp;IFERROR(VLOOKUP(TRIM(D541)&amp;"_"&amp;TRIM(INDEX($M$1:$S$1, MATCH(MIN(M541:S541), M541:S541, 0))), 技能库!$A:$F, 6, 0),"请针对该题型加强练习"), "🎉 表现优异，无明显弱项！"))</f>
        <v/>
      </c>
    </row>
    <row r="542" spans="10:27" ht="18" hidden="1" customHeight="1" x14ac:dyDescent="0.2">
      <c r="J542" t="str">
        <f t="shared" si="24"/>
        <v/>
      </c>
      <c r="K542" t="str">
        <f>IF(J542="","", IFERROR(VLOOKUP(J542, IF(D542="Movers", 换算标准!$C:$D, 换算标准!$I:$J), 2, TRUE), 0))</f>
        <v/>
      </c>
      <c r="T542" t="str">
        <f t="shared" si="25"/>
        <v/>
      </c>
      <c r="U542" t="str">
        <f>IF(T542="","", IFERROR(VLOOKUP(T542, IF(D542="Movers", 换算标准!$A:$B, 换算标准!$G:$H), 2, TRUE), 0))</f>
        <v/>
      </c>
      <c r="W542" t="str">
        <f t="shared" si="26"/>
        <v/>
      </c>
      <c r="Z542" s="5" t="str">
        <f>IF(J542="","", IF(K542&lt;=3, "⚠️ 薄弱环节: "&amp;INDEX($E$1:$I$1, MATCH(MIN(E542:I542), E542:I542, 0))&amp;CHAR(10)&amp;"📉 考察能力: "&amp;IFERROR(VLOOKUP(TRIM(D542)&amp;"_"&amp;TRIM(INDEX($E$1:$I$1, MATCH(MIN(E542:I542), E542:I542, 0))), 技能库!$A:$F, 5, 0),"建议查阅考纲")&amp;CHAR(10)&amp;"💡 提升建议: "&amp;IFERROR(VLOOKUP(TRIM(D542)&amp;"_"&amp;TRIM(INDEX($E$1:$I$1, MATCH(MIN(E542:I542), E542:I542, 0))), 技能库!$A:$F, 6, 0),"请针对该题型加强练习"), "🎉 表现优异，无明显弱项！"))</f>
        <v/>
      </c>
      <c r="AA542" s="5" t="str">
        <f>IF(T542="","", IF(U542&lt;=3, "⚠️ 薄弱环节: "&amp;INDEX($M$1:$S$1, MATCH(MIN(M542:S542), M542:S542, 0))&amp;CHAR(10)&amp;"📉 考察能力: "&amp;IFERROR(VLOOKUP(TRIM(D542)&amp;"_"&amp;TRIM(INDEX($M$1:$S$1, MATCH(MIN(M542:S542), M542:S542, 0))), 技能库!$A:$F, 5, 0),"建议查阅考纲")&amp;CHAR(10)&amp;"💡 提升建议: "&amp;IFERROR(VLOOKUP(TRIM(D542)&amp;"_"&amp;TRIM(INDEX($M$1:$S$1, MATCH(MIN(M542:S542), M542:S542, 0))), 技能库!$A:$F, 6, 0),"请针对该题型加强练习"), "🎉 表现优异，无明显弱项！"))</f>
        <v/>
      </c>
    </row>
    <row r="543" spans="10:27" ht="18" hidden="1" customHeight="1" x14ac:dyDescent="0.2">
      <c r="J543" t="str">
        <f t="shared" si="24"/>
        <v/>
      </c>
      <c r="K543" t="str">
        <f>IF(J543="","", IFERROR(VLOOKUP(J543, IF(D543="Movers", 换算标准!$C:$D, 换算标准!$I:$J), 2, TRUE), 0))</f>
        <v/>
      </c>
      <c r="T543" t="str">
        <f t="shared" si="25"/>
        <v/>
      </c>
      <c r="U543" t="str">
        <f>IF(T543="","", IFERROR(VLOOKUP(T543, IF(D543="Movers", 换算标准!$A:$B, 换算标准!$G:$H), 2, TRUE), 0))</f>
        <v/>
      </c>
      <c r="W543" t="str">
        <f t="shared" si="26"/>
        <v/>
      </c>
      <c r="Z543" s="5" t="str">
        <f>IF(J543="","", IF(K543&lt;=3, "⚠️ 薄弱环节: "&amp;INDEX($E$1:$I$1, MATCH(MIN(E543:I543), E543:I543, 0))&amp;CHAR(10)&amp;"📉 考察能力: "&amp;IFERROR(VLOOKUP(TRIM(D543)&amp;"_"&amp;TRIM(INDEX($E$1:$I$1, MATCH(MIN(E543:I543), E543:I543, 0))), 技能库!$A:$F, 5, 0),"建议查阅考纲")&amp;CHAR(10)&amp;"💡 提升建议: "&amp;IFERROR(VLOOKUP(TRIM(D543)&amp;"_"&amp;TRIM(INDEX($E$1:$I$1, MATCH(MIN(E543:I543), E543:I543, 0))), 技能库!$A:$F, 6, 0),"请针对该题型加强练习"), "🎉 表现优异，无明显弱项！"))</f>
        <v/>
      </c>
      <c r="AA543" s="5" t="str">
        <f>IF(T543="","", IF(U543&lt;=3, "⚠️ 薄弱环节: "&amp;INDEX($M$1:$S$1, MATCH(MIN(M543:S543), M543:S543, 0))&amp;CHAR(10)&amp;"📉 考察能力: "&amp;IFERROR(VLOOKUP(TRIM(D543)&amp;"_"&amp;TRIM(INDEX($M$1:$S$1, MATCH(MIN(M543:S543), M543:S543, 0))), 技能库!$A:$F, 5, 0),"建议查阅考纲")&amp;CHAR(10)&amp;"💡 提升建议: "&amp;IFERROR(VLOOKUP(TRIM(D543)&amp;"_"&amp;TRIM(INDEX($M$1:$S$1, MATCH(MIN(M543:S543), M543:S543, 0))), 技能库!$A:$F, 6, 0),"请针对该题型加强练习"), "🎉 表现优异，无明显弱项！"))</f>
        <v/>
      </c>
    </row>
    <row r="544" spans="10:27" ht="18" hidden="1" customHeight="1" x14ac:dyDescent="0.2">
      <c r="J544" t="str">
        <f t="shared" si="24"/>
        <v/>
      </c>
      <c r="K544" t="str">
        <f>IF(J544="","", IFERROR(VLOOKUP(J544, IF(D544="Movers", 换算标准!$C:$D, 换算标准!$I:$J), 2, TRUE), 0))</f>
        <v/>
      </c>
      <c r="T544" t="str">
        <f t="shared" si="25"/>
        <v/>
      </c>
      <c r="U544" t="str">
        <f>IF(T544="","", IFERROR(VLOOKUP(T544, IF(D544="Movers", 换算标准!$A:$B, 换算标准!$G:$H), 2, TRUE), 0))</f>
        <v/>
      </c>
      <c r="W544" t="str">
        <f t="shared" si="26"/>
        <v/>
      </c>
      <c r="Z544" s="5" t="str">
        <f>IF(J544="","", IF(K544&lt;=3, "⚠️ 薄弱环节: "&amp;INDEX($E$1:$I$1, MATCH(MIN(E544:I544), E544:I544, 0))&amp;CHAR(10)&amp;"📉 考察能力: "&amp;IFERROR(VLOOKUP(TRIM(D544)&amp;"_"&amp;TRIM(INDEX($E$1:$I$1, MATCH(MIN(E544:I544), E544:I544, 0))), 技能库!$A:$F, 5, 0),"建议查阅考纲")&amp;CHAR(10)&amp;"💡 提升建议: "&amp;IFERROR(VLOOKUP(TRIM(D544)&amp;"_"&amp;TRIM(INDEX($E$1:$I$1, MATCH(MIN(E544:I544), E544:I544, 0))), 技能库!$A:$F, 6, 0),"请针对该题型加强练习"), "🎉 表现优异，无明显弱项！"))</f>
        <v/>
      </c>
      <c r="AA544" s="5" t="str">
        <f>IF(T544="","", IF(U544&lt;=3, "⚠️ 薄弱环节: "&amp;INDEX($M$1:$S$1, MATCH(MIN(M544:S544), M544:S544, 0))&amp;CHAR(10)&amp;"📉 考察能力: "&amp;IFERROR(VLOOKUP(TRIM(D544)&amp;"_"&amp;TRIM(INDEX($M$1:$S$1, MATCH(MIN(M544:S544), M544:S544, 0))), 技能库!$A:$F, 5, 0),"建议查阅考纲")&amp;CHAR(10)&amp;"💡 提升建议: "&amp;IFERROR(VLOOKUP(TRIM(D544)&amp;"_"&amp;TRIM(INDEX($M$1:$S$1, MATCH(MIN(M544:S544), M544:S544, 0))), 技能库!$A:$F, 6, 0),"请针对该题型加强练习"), "🎉 表现优异，无明显弱项！"))</f>
        <v/>
      </c>
    </row>
    <row r="545" spans="10:27" ht="18" hidden="1" customHeight="1" x14ac:dyDescent="0.2">
      <c r="J545" t="str">
        <f t="shared" si="24"/>
        <v/>
      </c>
      <c r="K545" t="str">
        <f>IF(J545="","", IFERROR(VLOOKUP(J545, IF(D545="Movers", 换算标准!$C:$D, 换算标准!$I:$J), 2, TRUE), 0))</f>
        <v/>
      </c>
      <c r="T545" t="str">
        <f t="shared" si="25"/>
        <v/>
      </c>
      <c r="U545" t="str">
        <f>IF(T545="","", IFERROR(VLOOKUP(T545, IF(D545="Movers", 换算标准!$A:$B, 换算标准!$G:$H), 2, TRUE), 0))</f>
        <v/>
      </c>
      <c r="W545" t="str">
        <f t="shared" si="26"/>
        <v/>
      </c>
      <c r="Z545" s="5" t="str">
        <f>IF(J545="","", IF(K545&lt;=3, "⚠️ 薄弱环节: "&amp;INDEX($E$1:$I$1, MATCH(MIN(E545:I545), E545:I545, 0))&amp;CHAR(10)&amp;"📉 考察能力: "&amp;IFERROR(VLOOKUP(TRIM(D545)&amp;"_"&amp;TRIM(INDEX($E$1:$I$1, MATCH(MIN(E545:I545), E545:I545, 0))), 技能库!$A:$F, 5, 0),"建议查阅考纲")&amp;CHAR(10)&amp;"💡 提升建议: "&amp;IFERROR(VLOOKUP(TRIM(D545)&amp;"_"&amp;TRIM(INDEX($E$1:$I$1, MATCH(MIN(E545:I545), E545:I545, 0))), 技能库!$A:$F, 6, 0),"请针对该题型加强练习"), "🎉 表现优异，无明显弱项！"))</f>
        <v/>
      </c>
      <c r="AA545" s="5" t="str">
        <f>IF(T545="","", IF(U545&lt;=3, "⚠️ 薄弱环节: "&amp;INDEX($M$1:$S$1, MATCH(MIN(M545:S545), M545:S545, 0))&amp;CHAR(10)&amp;"📉 考察能力: "&amp;IFERROR(VLOOKUP(TRIM(D545)&amp;"_"&amp;TRIM(INDEX($M$1:$S$1, MATCH(MIN(M545:S545), M545:S545, 0))), 技能库!$A:$F, 5, 0),"建议查阅考纲")&amp;CHAR(10)&amp;"💡 提升建议: "&amp;IFERROR(VLOOKUP(TRIM(D545)&amp;"_"&amp;TRIM(INDEX($M$1:$S$1, MATCH(MIN(M545:S545), M545:S545, 0))), 技能库!$A:$F, 6, 0),"请针对该题型加强练习"), "🎉 表现优异，无明显弱项！"))</f>
        <v/>
      </c>
    </row>
    <row r="546" spans="10:27" ht="18" hidden="1" customHeight="1" x14ac:dyDescent="0.2">
      <c r="J546" t="str">
        <f t="shared" si="24"/>
        <v/>
      </c>
      <c r="K546" t="str">
        <f>IF(J546="","", IFERROR(VLOOKUP(J546, IF(D546="Movers", 换算标准!$C:$D, 换算标准!$I:$J), 2, TRUE), 0))</f>
        <v/>
      </c>
      <c r="T546" t="str">
        <f t="shared" si="25"/>
        <v/>
      </c>
      <c r="U546" t="str">
        <f>IF(T546="","", IFERROR(VLOOKUP(T546, IF(D546="Movers", 换算标准!$A:$B, 换算标准!$G:$H), 2, TRUE), 0))</f>
        <v/>
      </c>
      <c r="W546" t="str">
        <f t="shared" si="26"/>
        <v/>
      </c>
      <c r="Z546" s="5" t="str">
        <f>IF(J546="","", IF(K546&lt;=3, "⚠️ 薄弱环节: "&amp;INDEX($E$1:$I$1, MATCH(MIN(E546:I546), E546:I546, 0))&amp;CHAR(10)&amp;"📉 考察能力: "&amp;IFERROR(VLOOKUP(TRIM(D546)&amp;"_"&amp;TRIM(INDEX($E$1:$I$1, MATCH(MIN(E546:I546), E546:I546, 0))), 技能库!$A:$F, 5, 0),"建议查阅考纲")&amp;CHAR(10)&amp;"💡 提升建议: "&amp;IFERROR(VLOOKUP(TRIM(D546)&amp;"_"&amp;TRIM(INDEX($E$1:$I$1, MATCH(MIN(E546:I546), E546:I546, 0))), 技能库!$A:$F, 6, 0),"请针对该题型加强练习"), "🎉 表现优异，无明显弱项！"))</f>
        <v/>
      </c>
      <c r="AA546" s="5" t="str">
        <f>IF(T546="","", IF(U546&lt;=3, "⚠️ 薄弱环节: "&amp;INDEX($M$1:$S$1, MATCH(MIN(M546:S546), M546:S546, 0))&amp;CHAR(10)&amp;"📉 考察能力: "&amp;IFERROR(VLOOKUP(TRIM(D546)&amp;"_"&amp;TRIM(INDEX($M$1:$S$1, MATCH(MIN(M546:S546), M546:S546, 0))), 技能库!$A:$F, 5, 0),"建议查阅考纲")&amp;CHAR(10)&amp;"💡 提升建议: "&amp;IFERROR(VLOOKUP(TRIM(D546)&amp;"_"&amp;TRIM(INDEX($M$1:$S$1, MATCH(MIN(M546:S546), M546:S546, 0))), 技能库!$A:$F, 6, 0),"请针对该题型加强练习"), "🎉 表现优异，无明显弱项！"))</f>
        <v/>
      </c>
    </row>
    <row r="547" spans="10:27" ht="18" hidden="1" customHeight="1" x14ac:dyDescent="0.2">
      <c r="J547" t="str">
        <f t="shared" si="24"/>
        <v/>
      </c>
      <c r="K547" t="str">
        <f>IF(J547="","", IFERROR(VLOOKUP(J547, IF(D547="Movers", 换算标准!$C:$D, 换算标准!$I:$J), 2, TRUE), 0))</f>
        <v/>
      </c>
      <c r="T547" t="str">
        <f t="shared" si="25"/>
        <v/>
      </c>
      <c r="U547" t="str">
        <f>IF(T547="","", IFERROR(VLOOKUP(T547, IF(D547="Movers", 换算标准!$A:$B, 换算标准!$G:$H), 2, TRUE), 0))</f>
        <v/>
      </c>
      <c r="W547" t="str">
        <f t="shared" si="26"/>
        <v/>
      </c>
      <c r="Z547" s="5" t="str">
        <f>IF(J547="","", IF(K547&lt;=3, "⚠️ 薄弱环节: "&amp;INDEX($E$1:$I$1, MATCH(MIN(E547:I547), E547:I547, 0))&amp;CHAR(10)&amp;"📉 考察能力: "&amp;IFERROR(VLOOKUP(TRIM(D547)&amp;"_"&amp;TRIM(INDEX($E$1:$I$1, MATCH(MIN(E547:I547), E547:I547, 0))), 技能库!$A:$F, 5, 0),"建议查阅考纲")&amp;CHAR(10)&amp;"💡 提升建议: "&amp;IFERROR(VLOOKUP(TRIM(D547)&amp;"_"&amp;TRIM(INDEX($E$1:$I$1, MATCH(MIN(E547:I547), E547:I547, 0))), 技能库!$A:$F, 6, 0),"请针对该题型加强练习"), "🎉 表现优异，无明显弱项！"))</f>
        <v/>
      </c>
      <c r="AA547" s="5" t="str">
        <f>IF(T547="","", IF(U547&lt;=3, "⚠️ 薄弱环节: "&amp;INDEX($M$1:$S$1, MATCH(MIN(M547:S547), M547:S547, 0))&amp;CHAR(10)&amp;"📉 考察能力: "&amp;IFERROR(VLOOKUP(TRIM(D547)&amp;"_"&amp;TRIM(INDEX($M$1:$S$1, MATCH(MIN(M547:S547), M547:S547, 0))), 技能库!$A:$F, 5, 0),"建议查阅考纲")&amp;CHAR(10)&amp;"💡 提升建议: "&amp;IFERROR(VLOOKUP(TRIM(D547)&amp;"_"&amp;TRIM(INDEX($M$1:$S$1, MATCH(MIN(M547:S547), M547:S547, 0))), 技能库!$A:$F, 6, 0),"请针对该题型加强练习"), "🎉 表现优异，无明显弱项！"))</f>
        <v/>
      </c>
    </row>
    <row r="548" spans="10:27" ht="18" hidden="1" customHeight="1" x14ac:dyDescent="0.2">
      <c r="J548" t="str">
        <f t="shared" si="24"/>
        <v/>
      </c>
      <c r="K548" t="str">
        <f>IF(J548="","", IFERROR(VLOOKUP(J548, IF(D548="Movers", 换算标准!$C:$D, 换算标准!$I:$J), 2, TRUE), 0))</f>
        <v/>
      </c>
      <c r="T548" t="str">
        <f t="shared" si="25"/>
        <v/>
      </c>
      <c r="U548" t="str">
        <f>IF(T548="","", IFERROR(VLOOKUP(T548, IF(D548="Movers", 换算标准!$A:$B, 换算标准!$G:$H), 2, TRUE), 0))</f>
        <v/>
      </c>
      <c r="W548" t="str">
        <f t="shared" si="26"/>
        <v/>
      </c>
      <c r="Z548" s="5" t="str">
        <f>IF(J548="","", IF(K548&lt;=3, "⚠️ 薄弱环节: "&amp;INDEX($E$1:$I$1, MATCH(MIN(E548:I548), E548:I548, 0))&amp;CHAR(10)&amp;"📉 考察能力: "&amp;IFERROR(VLOOKUP(TRIM(D548)&amp;"_"&amp;TRIM(INDEX($E$1:$I$1, MATCH(MIN(E548:I548), E548:I548, 0))), 技能库!$A:$F, 5, 0),"建议查阅考纲")&amp;CHAR(10)&amp;"💡 提升建议: "&amp;IFERROR(VLOOKUP(TRIM(D548)&amp;"_"&amp;TRIM(INDEX($E$1:$I$1, MATCH(MIN(E548:I548), E548:I548, 0))), 技能库!$A:$F, 6, 0),"请针对该题型加强练习"), "🎉 表现优异，无明显弱项！"))</f>
        <v/>
      </c>
      <c r="AA548" s="5" t="str">
        <f>IF(T548="","", IF(U548&lt;=3, "⚠️ 薄弱环节: "&amp;INDEX($M$1:$S$1, MATCH(MIN(M548:S548), M548:S548, 0))&amp;CHAR(10)&amp;"📉 考察能力: "&amp;IFERROR(VLOOKUP(TRIM(D548)&amp;"_"&amp;TRIM(INDEX($M$1:$S$1, MATCH(MIN(M548:S548), M548:S548, 0))), 技能库!$A:$F, 5, 0),"建议查阅考纲")&amp;CHAR(10)&amp;"💡 提升建议: "&amp;IFERROR(VLOOKUP(TRIM(D548)&amp;"_"&amp;TRIM(INDEX($M$1:$S$1, MATCH(MIN(M548:S548), M548:S548, 0))), 技能库!$A:$F, 6, 0),"请针对该题型加强练习"), "🎉 表现优异，无明显弱项！"))</f>
        <v/>
      </c>
    </row>
    <row r="549" spans="10:27" ht="18" hidden="1" customHeight="1" x14ac:dyDescent="0.2">
      <c r="J549" t="str">
        <f t="shared" si="24"/>
        <v/>
      </c>
      <c r="K549" t="str">
        <f>IF(J549="","", IFERROR(VLOOKUP(J549, IF(D549="Movers", 换算标准!$C:$D, 换算标准!$I:$J), 2, TRUE), 0))</f>
        <v/>
      </c>
      <c r="T549" t="str">
        <f t="shared" si="25"/>
        <v/>
      </c>
      <c r="U549" t="str">
        <f>IF(T549="","", IFERROR(VLOOKUP(T549, IF(D549="Movers", 换算标准!$A:$B, 换算标准!$G:$H), 2, TRUE), 0))</f>
        <v/>
      </c>
      <c r="W549" t="str">
        <f t="shared" si="26"/>
        <v/>
      </c>
      <c r="Z549" s="5" t="str">
        <f>IF(J549="","", IF(K549&lt;=3, "⚠️ 薄弱环节: "&amp;INDEX($E$1:$I$1, MATCH(MIN(E549:I549), E549:I549, 0))&amp;CHAR(10)&amp;"📉 考察能力: "&amp;IFERROR(VLOOKUP(TRIM(D549)&amp;"_"&amp;TRIM(INDEX($E$1:$I$1, MATCH(MIN(E549:I549), E549:I549, 0))), 技能库!$A:$F, 5, 0),"建议查阅考纲")&amp;CHAR(10)&amp;"💡 提升建议: "&amp;IFERROR(VLOOKUP(TRIM(D549)&amp;"_"&amp;TRIM(INDEX($E$1:$I$1, MATCH(MIN(E549:I549), E549:I549, 0))), 技能库!$A:$F, 6, 0),"请针对该题型加强练习"), "🎉 表现优异，无明显弱项！"))</f>
        <v/>
      </c>
      <c r="AA549" s="5" t="str">
        <f>IF(T549="","", IF(U549&lt;=3, "⚠️ 薄弱环节: "&amp;INDEX($M$1:$S$1, MATCH(MIN(M549:S549), M549:S549, 0))&amp;CHAR(10)&amp;"📉 考察能力: "&amp;IFERROR(VLOOKUP(TRIM(D549)&amp;"_"&amp;TRIM(INDEX($M$1:$S$1, MATCH(MIN(M549:S549), M549:S549, 0))), 技能库!$A:$F, 5, 0),"建议查阅考纲")&amp;CHAR(10)&amp;"💡 提升建议: "&amp;IFERROR(VLOOKUP(TRIM(D549)&amp;"_"&amp;TRIM(INDEX($M$1:$S$1, MATCH(MIN(M549:S549), M549:S549, 0))), 技能库!$A:$F, 6, 0),"请针对该题型加强练习"), "🎉 表现优异，无明显弱项！"))</f>
        <v/>
      </c>
    </row>
    <row r="550" spans="10:27" ht="18" hidden="1" customHeight="1" x14ac:dyDescent="0.2">
      <c r="J550" t="str">
        <f t="shared" si="24"/>
        <v/>
      </c>
      <c r="K550" t="str">
        <f>IF(J550="","", IFERROR(VLOOKUP(J550, IF(D550="Movers", 换算标准!$C:$D, 换算标准!$I:$J), 2, TRUE), 0))</f>
        <v/>
      </c>
      <c r="T550" t="str">
        <f t="shared" si="25"/>
        <v/>
      </c>
      <c r="U550" t="str">
        <f>IF(T550="","", IFERROR(VLOOKUP(T550, IF(D550="Movers", 换算标准!$A:$B, 换算标准!$G:$H), 2, TRUE), 0))</f>
        <v/>
      </c>
      <c r="W550" t="str">
        <f t="shared" si="26"/>
        <v/>
      </c>
      <c r="Z550" s="5" t="str">
        <f>IF(J550="","", IF(K550&lt;=3, "⚠️ 薄弱环节: "&amp;INDEX($E$1:$I$1, MATCH(MIN(E550:I550), E550:I550, 0))&amp;CHAR(10)&amp;"📉 考察能力: "&amp;IFERROR(VLOOKUP(TRIM(D550)&amp;"_"&amp;TRIM(INDEX($E$1:$I$1, MATCH(MIN(E550:I550), E550:I550, 0))), 技能库!$A:$F, 5, 0),"建议查阅考纲")&amp;CHAR(10)&amp;"💡 提升建议: "&amp;IFERROR(VLOOKUP(TRIM(D550)&amp;"_"&amp;TRIM(INDEX($E$1:$I$1, MATCH(MIN(E550:I550), E550:I550, 0))), 技能库!$A:$F, 6, 0),"请针对该题型加强练习"), "🎉 表现优异，无明显弱项！"))</f>
        <v/>
      </c>
      <c r="AA550" s="5" t="str">
        <f>IF(T550="","", IF(U550&lt;=3, "⚠️ 薄弱环节: "&amp;INDEX($M$1:$S$1, MATCH(MIN(M550:S550), M550:S550, 0))&amp;CHAR(10)&amp;"📉 考察能力: "&amp;IFERROR(VLOOKUP(TRIM(D550)&amp;"_"&amp;TRIM(INDEX($M$1:$S$1, MATCH(MIN(M550:S550), M550:S550, 0))), 技能库!$A:$F, 5, 0),"建议查阅考纲")&amp;CHAR(10)&amp;"💡 提升建议: "&amp;IFERROR(VLOOKUP(TRIM(D550)&amp;"_"&amp;TRIM(INDEX($M$1:$S$1, MATCH(MIN(M550:S550), M550:S550, 0))), 技能库!$A:$F, 6, 0),"请针对该题型加强练习"), "🎉 表现优异，无明显弱项！"))</f>
        <v/>
      </c>
    </row>
    <row r="551" spans="10:27" ht="18" hidden="1" customHeight="1" x14ac:dyDescent="0.2">
      <c r="J551" t="str">
        <f t="shared" si="24"/>
        <v/>
      </c>
      <c r="K551" t="str">
        <f>IF(J551="","", IFERROR(VLOOKUP(J551, IF(D551="Movers", 换算标准!$C:$D, 换算标准!$I:$J), 2, TRUE), 0))</f>
        <v/>
      </c>
      <c r="T551" t="str">
        <f t="shared" si="25"/>
        <v/>
      </c>
      <c r="U551" t="str">
        <f>IF(T551="","", IFERROR(VLOOKUP(T551, IF(D551="Movers", 换算标准!$A:$B, 换算标准!$G:$H), 2, TRUE), 0))</f>
        <v/>
      </c>
      <c r="W551" t="str">
        <f t="shared" si="26"/>
        <v/>
      </c>
      <c r="Z551" s="5" t="str">
        <f>IF(J551="","", IF(K551&lt;=3, "⚠️ 薄弱环节: "&amp;INDEX($E$1:$I$1, MATCH(MIN(E551:I551), E551:I551, 0))&amp;CHAR(10)&amp;"📉 考察能力: "&amp;IFERROR(VLOOKUP(TRIM(D551)&amp;"_"&amp;TRIM(INDEX($E$1:$I$1, MATCH(MIN(E551:I551), E551:I551, 0))), 技能库!$A:$F, 5, 0),"建议查阅考纲")&amp;CHAR(10)&amp;"💡 提升建议: "&amp;IFERROR(VLOOKUP(TRIM(D551)&amp;"_"&amp;TRIM(INDEX($E$1:$I$1, MATCH(MIN(E551:I551), E551:I551, 0))), 技能库!$A:$F, 6, 0),"请针对该题型加强练习"), "🎉 表现优异，无明显弱项！"))</f>
        <v/>
      </c>
      <c r="AA551" s="5" t="str">
        <f>IF(T551="","", IF(U551&lt;=3, "⚠️ 薄弱环节: "&amp;INDEX($M$1:$S$1, MATCH(MIN(M551:S551), M551:S551, 0))&amp;CHAR(10)&amp;"📉 考察能力: "&amp;IFERROR(VLOOKUP(TRIM(D551)&amp;"_"&amp;TRIM(INDEX($M$1:$S$1, MATCH(MIN(M551:S551), M551:S551, 0))), 技能库!$A:$F, 5, 0),"建议查阅考纲")&amp;CHAR(10)&amp;"💡 提升建议: "&amp;IFERROR(VLOOKUP(TRIM(D551)&amp;"_"&amp;TRIM(INDEX($M$1:$S$1, MATCH(MIN(M551:S551), M551:S551, 0))), 技能库!$A:$F, 6, 0),"请针对该题型加强练习"), "🎉 表现优异，无明显弱项！"))</f>
        <v/>
      </c>
    </row>
    <row r="552" spans="10:27" ht="18" hidden="1" customHeight="1" x14ac:dyDescent="0.2">
      <c r="J552" t="str">
        <f t="shared" si="24"/>
        <v/>
      </c>
      <c r="K552" t="str">
        <f>IF(J552="","", IFERROR(VLOOKUP(J552, IF(D552="Movers", 换算标准!$C:$D, 换算标准!$I:$J), 2, TRUE), 0))</f>
        <v/>
      </c>
      <c r="T552" t="str">
        <f t="shared" si="25"/>
        <v/>
      </c>
      <c r="U552" t="str">
        <f>IF(T552="","", IFERROR(VLOOKUP(T552, IF(D552="Movers", 换算标准!$A:$B, 换算标准!$G:$H), 2, TRUE), 0))</f>
        <v/>
      </c>
      <c r="W552" t="str">
        <f t="shared" si="26"/>
        <v/>
      </c>
      <c r="Z552" s="5" t="str">
        <f>IF(J552="","", IF(K552&lt;=3, "⚠️ 薄弱环节: "&amp;INDEX($E$1:$I$1, MATCH(MIN(E552:I552), E552:I552, 0))&amp;CHAR(10)&amp;"📉 考察能力: "&amp;IFERROR(VLOOKUP(TRIM(D552)&amp;"_"&amp;TRIM(INDEX($E$1:$I$1, MATCH(MIN(E552:I552), E552:I552, 0))), 技能库!$A:$F, 5, 0),"建议查阅考纲")&amp;CHAR(10)&amp;"💡 提升建议: "&amp;IFERROR(VLOOKUP(TRIM(D552)&amp;"_"&amp;TRIM(INDEX($E$1:$I$1, MATCH(MIN(E552:I552), E552:I552, 0))), 技能库!$A:$F, 6, 0),"请针对该题型加强练习"), "🎉 表现优异，无明显弱项！"))</f>
        <v/>
      </c>
      <c r="AA552" s="5" t="str">
        <f>IF(T552="","", IF(U552&lt;=3, "⚠️ 薄弱环节: "&amp;INDEX($M$1:$S$1, MATCH(MIN(M552:S552), M552:S552, 0))&amp;CHAR(10)&amp;"📉 考察能力: "&amp;IFERROR(VLOOKUP(TRIM(D552)&amp;"_"&amp;TRIM(INDEX($M$1:$S$1, MATCH(MIN(M552:S552), M552:S552, 0))), 技能库!$A:$F, 5, 0),"建议查阅考纲")&amp;CHAR(10)&amp;"💡 提升建议: "&amp;IFERROR(VLOOKUP(TRIM(D552)&amp;"_"&amp;TRIM(INDEX($M$1:$S$1, MATCH(MIN(M552:S552), M552:S552, 0))), 技能库!$A:$F, 6, 0),"请针对该题型加强练习"), "🎉 表现优异，无明显弱项！"))</f>
        <v/>
      </c>
    </row>
    <row r="553" spans="10:27" ht="18" hidden="1" customHeight="1" x14ac:dyDescent="0.2">
      <c r="J553" t="str">
        <f t="shared" si="24"/>
        <v/>
      </c>
      <c r="K553" t="str">
        <f>IF(J553="","", IFERROR(VLOOKUP(J553, IF(D553="Movers", 换算标准!$C:$D, 换算标准!$I:$J), 2, TRUE), 0))</f>
        <v/>
      </c>
      <c r="T553" t="str">
        <f t="shared" si="25"/>
        <v/>
      </c>
      <c r="U553" t="str">
        <f>IF(T553="","", IFERROR(VLOOKUP(T553, IF(D553="Movers", 换算标准!$A:$B, 换算标准!$G:$H), 2, TRUE), 0))</f>
        <v/>
      </c>
      <c r="W553" t="str">
        <f t="shared" si="26"/>
        <v/>
      </c>
      <c r="Z553" s="5" t="str">
        <f>IF(J553="","", IF(K553&lt;=3, "⚠️ 薄弱环节: "&amp;INDEX($E$1:$I$1, MATCH(MIN(E553:I553), E553:I553, 0))&amp;CHAR(10)&amp;"📉 考察能力: "&amp;IFERROR(VLOOKUP(TRIM(D553)&amp;"_"&amp;TRIM(INDEX($E$1:$I$1, MATCH(MIN(E553:I553), E553:I553, 0))), 技能库!$A:$F, 5, 0),"建议查阅考纲")&amp;CHAR(10)&amp;"💡 提升建议: "&amp;IFERROR(VLOOKUP(TRIM(D553)&amp;"_"&amp;TRIM(INDEX($E$1:$I$1, MATCH(MIN(E553:I553), E553:I553, 0))), 技能库!$A:$F, 6, 0),"请针对该题型加强练习"), "🎉 表现优异，无明显弱项！"))</f>
        <v/>
      </c>
      <c r="AA553" s="5" t="str">
        <f>IF(T553="","", IF(U553&lt;=3, "⚠️ 薄弱环节: "&amp;INDEX($M$1:$S$1, MATCH(MIN(M553:S553), M553:S553, 0))&amp;CHAR(10)&amp;"📉 考察能力: "&amp;IFERROR(VLOOKUP(TRIM(D553)&amp;"_"&amp;TRIM(INDEX($M$1:$S$1, MATCH(MIN(M553:S553), M553:S553, 0))), 技能库!$A:$F, 5, 0),"建议查阅考纲")&amp;CHAR(10)&amp;"💡 提升建议: "&amp;IFERROR(VLOOKUP(TRIM(D553)&amp;"_"&amp;TRIM(INDEX($M$1:$S$1, MATCH(MIN(M553:S553), M553:S553, 0))), 技能库!$A:$F, 6, 0),"请针对该题型加强练习"), "🎉 表现优异，无明显弱项！"))</f>
        <v/>
      </c>
    </row>
    <row r="554" spans="10:27" ht="18" hidden="1" customHeight="1" x14ac:dyDescent="0.2">
      <c r="J554" t="str">
        <f t="shared" si="24"/>
        <v/>
      </c>
      <c r="K554" t="str">
        <f>IF(J554="","", IFERROR(VLOOKUP(J554, IF(D554="Movers", 换算标准!$C:$D, 换算标准!$I:$J), 2, TRUE), 0))</f>
        <v/>
      </c>
      <c r="T554" t="str">
        <f t="shared" si="25"/>
        <v/>
      </c>
      <c r="U554" t="str">
        <f>IF(T554="","", IFERROR(VLOOKUP(T554, IF(D554="Movers", 换算标准!$A:$B, 换算标准!$G:$H), 2, TRUE), 0))</f>
        <v/>
      </c>
      <c r="W554" t="str">
        <f t="shared" si="26"/>
        <v/>
      </c>
      <c r="Z554" s="5" t="str">
        <f>IF(J554="","", IF(K554&lt;=3, "⚠️ 薄弱环节: "&amp;INDEX($E$1:$I$1, MATCH(MIN(E554:I554), E554:I554, 0))&amp;CHAR(10)&amp;"📉 考察能力: "&amp;IFERROR(VLOOKUP(TRIM(D554)&amp;"_"&amp;TRIM(INDEX($E$1:$I$1, MATCH(MIN(E554:I554), E554:I554, 0))), 技能库!$A:$F, 5, 0),"建议查阅考纲")&amp;CHAR(10)&amp;"💡 提升建议: "&amp;IFERROR(VLOOKUP(TRIM(D554)&amp;"_"&amp;TRIM(INDEX($E$1:$I$1, MATCH(MIN(E554:I554), E554:I554, 0))), 技能库!$A:$F, 6, 0),"请针对该题型加强练习"), "🎉 表现优异，无明显弱项！"))</f>
        <v/>
      </c>
      <c r="AA554" s="5" t="str">
        <f>IF(T554="","", IF(U554&lt;=3, "⚠️ 薄弱环节: "&amp;INDEX($M$1:$S$1, MATCH(MIN(M554:S554), M554:S554, 0))&amp;CHAR(10)&amp;"📉 考察能力: "&amp;IFERROR(VLOOKUP(TRIM(D554)&amp;"_"&amp;TRIM(INDEX($M$1:$S$1, MATCH(MIN(M554:S554), M554:S554, 0))), 技能库!$A:$F, 5, 0),"建议查阅考纲")&amp;CHAR(10)&amp;"💡 提升建议: "&amp;IFERROR(VLOOKUP(TRIM(D554)&amp;"_"&amp;TRIM(INDEX($M$1:$S$1, MATCH(MIN(M554:S554), M554:S554, 0))), 技能库!$A:$F, 6, 0),"请针对该题型加强练习"), "🎉 表现优异，无明显弱项！"))</f>
        <v/>
      </c>
    </row>
    <row r="555" spans="10:27" ht="18" hidden="1" customHeight="1" x14ac:dyDescent="0.2">
      <c r="J555" t="str">
        <f t="shared" si="24"/>
        <v/>
      </c>
      <c r="K555" t="str">
        <f>IF(J555="","", IFERROR(VLOOKUP(J555, IF(D555="Movers", 换算标准!$C:$D, 换算标准!$I:$J), 2, TRUE), 0))</f>
        <v/>
      </c>
      <c r="T555" t="str">
        <f t="shared" si="25"/>
        <v/>
      </c>
      <c r="U555" t="str">
        <f>IF(T555="","", IFERROR(VLOOKUP(T555, IF(D555="Movers", 换算标准!$A:$B, 换算标准!$G:$H), 2, TRUE), 0))</f>
        <v/>
      </c>
      <c r="W555" t="str">
        <f t="shared" si="26"/>
        <v/>
      </c>
      <c r="Z555" s="5" t="str">
        <f>IF(J555="","", IF(K555&lt;=3, "⚠️ 薄弱环节: "&amp;INDEX($E$1:$I$1, MATCH(MIN(E555:I555), E555:I555, 0))&amp;CHAR(10)&amp;"📉 考察能力: "&amp;IFERROR(VLOOKUP(TRIM(D555)&amp;"_"&amp;TRIM(INDEX($E$1:$I$1, MATCH(MIN(E555:I555), E555:I555, 0))), 技能库!$A:$F, 5, 0),"建议查阅考纲")&amp;CHAR(10)&amp;"💡 提升建议: "&amp;IFERROR(VLOOKUP(TRIM(D555)&amp;"_"&amp;TRIM(INDEX($E$1:$I$1, MATCH(MIN(E555:I555), E555:I555, 0))), 技能库!$A:$F, 6, 0),"请针对该题型加强练习"), "🎉 表现优异，无明显弱项！"))</f>
        <v/>
      </c>
      <c r="AA555" s="5" t="str">
        <f>IF(T555="","", IF(U555&lt;=3, "⚠️ 薄弱环节: "&amp;INDEX($M$1:$S$1, MATCH(MIN(M555:S555), M555:S555, 0))&amp;CHAR(10)&amp;"📉 考察能力: "&amp;IFERROR(VLOOKUP(TRIM(D555)&amp;"_"&amp;TRIM(INDEX($M$1:$S$1, MATCH(MIN(M555:S555), M555:S555, 0))), 技能库!$A:$F, 5, 0),"建议查阅考纲")&amp;CHAR(10)&amp;"💡 提升建议: "&amp;IFERROR(VLOOKUP(TRIM(D555)&amp;"_"&amp;TRIM(INDEX($M$1:$S$1, MATCH(MIN(M555:S555), M555:S555, 0))), 技能库!$A:$F, 6, 0),"请针对该题型加强练习"), "🎉 表现优异，无明显弱项！"))</f>
        <v/>
      </c>
    </row>
    <row r="556" spans="10:27" ht="18" hidden="1" customHeight="1" x14ac:dyDescent="0.2">
      <c r="J556" t="str">
        <f t="shared" si="24"/>
        <v/>
      </c>
      <c r="K556" t="str">
        <f>IF(J556="","", IFERROR(VLOOKUP(J556, IF(D556="Movers", 换算标准!$C:$D, 换算标准!$I:$J), 2, TRUE), 0))</f>
        <v/>
      </c>
      <c r="T556" t="str">
        <f t="shared" si="25"/>
        <v/>
      </c>
      <c r="U556" t="str">
        <f>IF(T556="","", IFERROR(VLOOKUP(T556, IF(D556="Movers", 换算标准!$A:$B, 换算标准!$G:$H), 2, TRUE), 0))</f>
        <v/>
      </c>
      <c r="W556" t="str">
        <f t="shared" si="26"/>
        <v/>
      </c>
      <c r="Z556" s="5" t="str">
        <f>IF(J556="","", IF(K556&lt;=3, "⚠️ 薄弱环节: "&amp;INDEX($E$1:$I$1, MATCH(MIN(E556:I556), E556:I556, 0))&amp;CHAR(10)&amp;"📉 考察能力: "&amp;IFERROR(VLOOKUP(TRIM(D556)&amp;"_"&amp;TRIM(INDEX($E$1:$I$1, MATCH(MIN(E556:I556), E556:I556, 0))), 技能库!$A:$F, 5, 0),"建议查阅考纲")&amp;CHAR(10)&amp;"💡 提升建议: "&amp;IFERROR(VLOOKUP(TRIM(D556)&amp;"_"&amp;TRIM(INDEX($E$1:$I$1, MATCH(MIN(E556:I556), E556:I556, 0))), 技能库!$A:$F, 6, 0),"请针对该题型加强练习"), "🎉 表现优异，无明显弱项！"))</f>
        <v/>
      </c>
      <c r="AA556" s="5" t="str">
        <f>IF(T556="","", IF(U556&lt;=3, "⚠️ 薄弱环节: "&amp;INDEX($M$1:$S$1, MATCH(MIN(M556:S556), M556:S556, 0))&amp;CHAR(10)&amp;"📉 考察能力: "&amp;IFERROR(VLOOKUP(TRIM(D556)&amp;"_"&amp;TRIM(INDEX($M$1:$S$1, MATCH(MIN(M556:S556), M556:S556, 0))), 技能库!$A:$F, 5, 0),"建议查阅考纲")&amp;CHAR(10)&amp;"💡 提升建议: "&amp;IFERROR(VLOOKUP(TRIM(D556)&amp;"_"&amp;TRIM(INDEX($M$1:$S$1, MATCH(MIN(M556:S556), M556:S556, 0))), 技能库!$A:$F, 6, 0),"请针对该题型加强练习"), "🎉 表现优异，无明显弱项！"))</f>
        <v/>
      </c>
    </row>
    <row r="557" spans="10:27" ht="18" hidden="1" customHeight="1" x14ac:dyDescent="0.2">
      <c r="J557" t="str">
        <f t="shared" si="24"/>
        <v/>
      </c>
      <c r="K557" t="str">
        <f>IF(J557="","", IFERROR(VLOOKUP(J557, IF(D557="Movers", 换算标准!$C:$D, 换算标准!$I:$J), 2, TRUE), 0))</f>
        <v/>
      </c>
      <c r="T557" t="str">
        <f t="shared" si="25"/>
        <v/>
      </c>
      <c r="U557" t="str">
        <f>IF(T557="","", IFERROR(VLOOKUP(T557, IF(D557="Movers", 换算标准!$A:$B, 换算标准!$G:$H), 2, TRUE), 0))</f>
        <v/>
      </c>
      <c r="W557" t="str">
        <f t="shared" si="26"/>
        <v/>
      </c>
      <c r="Z557" s="5" t="str">
        <f>IF(J557="","", IF(K557&lt;=3, "⚠️ 薄弱环节: "&amp;INDEX($E$1:$I$1, MATCH(MIN(E557:I557), E557:I557, 0))&amp;CHAR(10)&amp;"📉 考察能力: "&amp;IFERROR(VLOOKUP(TRIM(D557)&amp;"_"&amp;TRIM(INDEX($E$1:$I$1, MATCH(MIN(E557:I557), E557:I557, 0))), 技能库!$A:$F, 5, 0),"建议查阅考纲")&amp;CHAR(10)&amp;"💡 提升建议: "&amp;IFERROR(VLOOKUP(TRIM(D557)&amp;"_"&amp;TRIM(INDEX($E$1:$I$1, MATCH(MIN(E557:I557), E557:I557, 0))), 技能库!$A:$F, 6, 0),"请针对该题型加强练习"), "🎉 表现优异，无明显弱项！"))</f>
        <v/>
      </c>
      <c r="AA557" s="5" t="str">
        <f>IF(T557="","", IF(U557&lt;=3, "⚠️ 薄弱环节: "&amp;INDEX($M$1:$S$1, MATCH(MIN(M557:S557), M557:S557, 0))&amp;CHAR(10)&amp;"📉 考察能力: "&amp;IFERROR(VLOOKUP(TRIM(D557)&amp;"_"&amp;TRIM(INDEX($M$1:$S$1, MATCH(MIN(M557:S557), M557:S557, 0))), 技能库!$A:$F, 5, 0),"建议查阅考纲")&amp;CHAR(10)&amp;"💡 提升建议: "&amp;IFERROR(VLOOKUP(TRIM(D557)&amp;"_"&amp;TRIM(INDEX($M$1:$S$1, MATCH(MIN(M557:S557), M557:S557, 0))), 技能库!$A:$F, 6, 0),"请针对该题型加强练习"), "🎉 表现优异，无明显弱项！"))</f>
        <v/>
      </c>
    </row>
    <row r="558" spans="10:27" ht="18" hidden="1" customHeight="1" x14ac:dyDescent="0.2">
      <c r="J558" t="str">
        <f t="shared" si="24"/>
        <v/>
      </c>
      <c r="K558" t="str">
        <f>IF(J558="","", IFERROR(VLOOKUP(J558, IF(D558="Movers", 换算标准!$C:$D, 换算标准!$I:$J), 2, TRUE), 0))</f>
        <v/>
      </c>
      <c r="T558" t="str">
        <f t="shared" si="25"/>
        <v/>
      </c>
      <c r="U558" t="str">
        <f>IF(T558="","", IFERROR(VLOOKUP(T558, IF(D558="Movers", 换算标准!$A:$B, 换算标准!$G:$H), 2, TRUE), 0))</f>
        <v/>
      </c>
      <c r="W558" t="str">
        <f t="shared" si="26"/>
        <v/>
      </c>
      <c r="Z558" s="5" t="str">
        <f>IF(J558="","", IF(K558&lt;=3, "⚠️ 薄弱环节: "&amp;INDEX($E$1:$I$1, MATCH(MIN(E558:I558), E558:I558, 0))&amp;CHAR(10)&amp;"📉 考察能力: "&amp;IFERROR(VLOOKUP(TRIM(D558)&amp;"_"&amp;TRIM(INDEX($E$1:$I$1, MATCH(MIN(E558:I558), E558:I558, 0))), 技能库!$A:$F, 5, 0),"建议查阅考纲")&amp;CHAR(10)&amp;"💡 提升建议: "&amp;IFERROR(VLOOKUP(TRIM(D558)&amp;"_"&amp;TRIM(INDEX($E$1:$I$1, MATCH(MIN(E558:I558), E558:I558, 0))), 技能库!$A:$F, 6, 0),"请针对该题型加强练习"), "🎉 表现优异，无明显弱项！"))</f>
        <v/>
      </c>
      <c r="AA558" s="5" t="str">
        <f>IF(T558="","", IF(U558&lt;=3, "⚠️ 薄弱环节: "&amp;INDEX($M$1:$S$1, MATCH(MIN(M558:S558), M558:S558, 0))&amp;CHAR(10)&amp;"📉 考察能力: "&amp;IFERROR(VLOOKUP(TRIM(D558)&amp;"_"&amp;TRIM(INDEX($M$1:$S$1, MATCH(MIN(M558:S558), M558:S558, 0))), 技能库!$A:$F, 5, 0),"建议查阅考纲")&amp;CHAR(10)&amp;"💡 提升建议: "&amp;IFERROR(VLOOKUP(TRIM(D558)&amp;"_"&amp;TRIM(INDEX($M$1:$S$1, MATCH(MIN(M558:S558), M558:S558, 0))), 技能库!$A:$F, 6, 0),"请针对该题型加强练习"), "🎉 表现优异，无明显弱项！"))</f>
        <v/>
      </c>
    </row>
    <row r="559" spans="10:27" ht="18" hidden="1" customHeight="1" x14ac:dyDescent="0.2">
      <c r="J559" t="str">
        <f t="shared" si="24"/>
        <v/>
      </c>
      <c r="K559" t="str">
        <f>IF(J559="","", IFERROR(VLOOKUP(J559, IF(D559="Movers", 换算标准!$C:$D, 换算标准!$I:$J), 2, TRUE), 0))</f>
        <v/>
      </c>
      <c r="T559" t="str">
        <f t="shared" si="25"/>
        <v/>
      </c>
      <c r="U559" t="str">
        <f>IF(T559="","", IFERROR(VLOOKUP(T559, IF(D559="Movers", 换算标准!$A:$B, 换算标准!$G:$H), 2, TRUE), 0))</f>
        <v/>
      </c>
      <c r="W559" t="str">
        <f t="shared" si="26"/>
        <v/>
      </c>
      <c r="Z559" s="5" t="str">
        <f>IF(J559="","", IF(K559&lt;=3, "⚠️ 薄弱环节: "&amp;INDEX($E$1:$I$1, MATCH(MIN(E559:I559), E559:I559, 0))&amp;CHAR(10)&amp;"📉 考察能力: "&amp;IFERROR(VLOOKUP(TRIM(D559)&amp;"_"&amp;TRIM(INDEX($E$1:$I$1, MATCH(MIN(E559:I559), E559:I559, 0))), 技能库!$A:$F, 5, 0),"建议查阅考纲")&amp;CHAR(10)&amp;"💡 提升建议: "&amp;IFERROR(VLOOKUP(TRIM(D559)&amp;"_"&amp;TRIM(INDEX($E$1:$I$1, MATCH(MIN(E559:I559), E559:I559, 0))), 技能库!$A:$F, 6, 0),"请针对该题型加强练习"), "🎉 表现优异，无明显弱项！"))</f>
        <v/>
      </c>
      <c r="AA559" s="5" t="str">
        <f>IF(T559="","", IF(U559&lt;=3, "⚠️ 薄弱环节: "&amp;INDEX($M$1:$S$1, MATCH(MIN(M559:S559), M559:S559, 0))&amp;CHAR(10)&amp;"📉 考察能力: "&amp;IFERROR(VLOOKUP(TRIM(D559)&amp;"_"&amp;TRIM(INDEX($M$1:$S$1, MATCH(MIN(M559:S559), M559:S559, 0))), 技能库!$A:$F, 5, 0),"建议查阅考纲")&amp;CHAR(10)&amp;"💡 提升建议: "&amp;IFERROR(VLOOKUP(TRIM(D559)&amp;"_"&amp;TRIM(INDEX($M$1:$S$1, MATCH(MIN(M559:S559), M559:S559, 0))), 技能库!$A:$F, 6, 0),"请针对该题型加强练习"), "🎉 表现优异，无明显弱项！"))</f>
        <v/>
      </c>
    </row>
    <row r="560" spans="10:27" ht="18" hidden="1" customHeight="1" x14ac:dyDescent="0.2">
      <c r="J560" t="str">
        <f t="shared" si="24"/>
        <v/>
      </c>
      <c r="K560" t="str">
        <f>IF(J560="","", IFERROR(VLOOKUP(J560, IF(D560="Movers", 换算标准!$C:$D, 换算标准!$I:$J), 2, TRUE), 0))</f>
        <v/>
      </c>
      <c r="T560" t="str">
        <f t="shared" si="25"/>
        <v/>
      </c>
      <c r="U560" t="str">
        <f>IF(T560="","", IFERROR(VLOOKUP(T560, IF(D560="Movers", 换算标准!$A:$B, 换算标准!$G:$H), 2, TRUE), 0))</f>
        <v/>
      </c>
      <c r="W560" t="str">
        <f t="shared" si="26"/>
        <v/>
      </c>
      <c r="Z560" s="5" t="str">
        <f>IF(J560="","", IF(K560&lt;=3, "⚠️ 薄弱环节: "&amp;INDEX($E$1:$I$1, MATCH(MIN(E560:I560), E560:I560, 0))&amp;CHAR(10)&amp;"📉 考察能力: "&amp;IFERROR(VLOOKUP(TRIM(D560)&amp;"_"&amp;TRIM(INDEX($E$1:$I$1, MATCH(MIN(E560:I560), E560:I560, 0))), 技能库!$A:$F, 5, 0),"建议查阅考纲")&amp;CHAR(10)&amp;"💡 提升建议: "&amp;IFERROR(VLOOKUP(TRIM(D560)&amp;"_"&amp;TRIM(INDEX($E$1:$I$1, MATCH(MIN(E560:I560), E560:I560, 0))), 技能库!$A:$F, 6, 0),"请针对该题型加强练习"), "🎉 表现优异，无明显弱项！"))</f>
        <v/>
      </c>
      <c r="AA560" s="5" t="str">
        <f>IF(T560="","", IF(U560&lt;=3, "⚠️ 薄弱环节: "&amp;INDEX($M$1:$S$1, MATCH(MIN(M560:S560), M560:S560, 0))&amp;CHAR(10)&amp;"📉 考察能力: "&amp;IFERROR(VLOOKUP(TRIM(D560)&amp;"_"&amp;TRIM(INDEX($M$1:$S$1, MATCH(MIN(M560:S560), M560:S560, 0))), 技能库!$A:$F, 5, 0),"建议查阅考纲")&amp;CHAR(10)&amp;"💡 提升建议: "&amp;IFERROR(VLOOKUP(TRIM(D560)&amp;"_"&amp;TRIM(INDEX($M$1:$S$1, MATCH(MIN(M560:S560), M560:S560, 0))), 技能库!$A:$F, 6, 0),"请针对该题型加强练习"), "🎉 表现优异，无明显弱项！"))</f>
        <v/>
      </c>
    </row>
    <row r="561" spans="10:27" ht="18" hidden="1" customHeight="1" x14ac:dyDescent="0.2">
      <c r="J561" t="str">
        <f t="shared" si="24"/>
        <v/>
      </c>
      <c r="K561" t="str">
        <f>IF(J561="","", IFERROR(VLOOKUP(J561, IF(D561="Movers", 换算标准!$C:$D, 换算标准!$I:$J), 2, TRUE), 0))</f>
        <v/>
      </c>
      <c r="T561" t="str">
        <f t="shared" si="25"/>
        <v/>
      </c>
      <c r="U561" t="str">
        <f>IF(T561="","", IFERROR(VLOOKUP(T561, IF(D561="Movers", 换算标准!$A:$B, 换算标准!$G:$H), 2, TRUE), 0))</f>
        <v/>
      </c>
      <c r="W561" t="str">
        <f t="shared" si="26"/>
        <v/>
      </c>
      <c r="Z561" s="5" t="str">
        <f>IF(J561="","", IF(K561&lt;=3, "⚠️ 薄弱环节: "&amp;INDEX($E$1:$I$1, MATCH(MIN(E561:I561), E561:I561, 0))&amp;CHAR(10)&amp;"📉 考察能力: "&amp;IFERROR(VLOOKUP(TRIM(D561)&amp;"_"&amp;TRIM(INDEX($E$1:$I$1, MATCH(MIN(E561:I561), E561:I561, 0))), 技能库!$A:$F, 5, 0),"建议查阅考纲")&amp;CHAR(10)&amp;"💡 提升建议: "&amp;IFERROR(VLOOKUP(TRIM(D561)&amp;"_"&amp;TRIM(INDEX($E$1:$I$1, MATCH(MIN(E561:I561), E561:I561, 0))), 技能库!$A:$F, 6, 0),"请针对该题型加强练习"), "🎉 表现优异，无明显弱项！"))</f>
        <v/>
      </c>
      <c r="AA561" s="5" t="str">
        <f>IF(T561="","", IF(U561&lt;=3, "⚠️ 薄弱环节: "&amp;INDEX($M$1:$S$1, MATCH(MIN(M561:S561), M561:S561, 0))&amp;CHAR(10)&amp;"📉 考察能力: "&amp;IFERROR(VLOOKUP(TRIM(D561)&amp;"_"&amp;TRIM(INDEX($M$1:$S$1, MATCH(MIN(M561:S561), M561:S561, 0))), 技能库!$A:$F, 5, 0),"建议查阅考纲")&amp;CHAR(10)&amp;"💡 提升建议: "&amp;IFERROR(VLOOKUP(TRIM(D561)&amp;"_"&amp;TRIM(INDEX($M$1:$S$1, MATCH(MIN(M561:S561), M561:S561, 0))), 技能库!$A:$F, 6, 0),"请针对该题型加强练习"), "🎉 表现优异，无明显弱项！"))</f>
        <v/>
      </c>
    </row>
    <row r="562" spans="10:27" ht="18" hidden="1" customHeight="1" x14ac:dyDescent="0.2">
      <c r="J562" t="str">
        <f t="shared" si="24"/>
        <v/>
      </c>
      <c r="K562" t="str">
        <f>IF(J562="","", IFERROR(VLOOKUP(J562, IF(D562="Movers", 换算标准!$C:$D, 换算标准!$I:$J), 2, TRUE), 0))</f>
        <v/>
      </c>
      <c r="T562" t="str">
        <f t="shared" si="25"/>
        <v/>
      </c>
      <c r="U562" t="str">
        <f>IF(T562="","", IFERROR(VLOOKUP(T562, IF(D562="Movers", 换算标准!$A:$B, 换算标准!$G:$H), 2, TRUE), 0))</f>
        <v/>
      </c>
      <c r="W562" t="str">
        <f t="shared" si="26"/>
        <v/>
      </c>
      <c r="Z562" s="5" t="str">
        <f>IF(J562="","", IF(K562&lt;=3, "⚠️ 薄弱环节: "&amp;INDEX($E$1:$I$1, MATCH(MIN(E562:I562), E562:I562, 0))&amp;CHAR(10)&amp;"📉 考察能力: "&amp;IFERROR(VLOOKUP(TRIM(D562)&amp;"_"&amp;TRIM(INDEX($E$1:$I$1, MATCH(MIN(E562:I562), E562:I562, 0))), 技能库!$A:$F, 5, 0),"建议查阅考纲")&amp;CHAR(10)&amp;"💡 提升建议: "&amp;IFERROR(VLOOKUP(TRIM(D562)&amp;"_"&amp;TRIM(INDEX($E$1:$I$1, MATCH(MIN(E562:I562), E562:I562, 0))), 技能库!$A:$F, 6, 0),"请针对该题型加强练习"), "🎉 表现优异，无明显弱项！"))</f>
        <v/>
      </c>
      <c r="AA562" s="5" t="str">
        <f>IF(T562="","", IF(U562&lt;=3, "⚠️ 薄弱环节: "&amp;INDEX($M$1:$S$1, MATCH(MIN(M562:S562), M562:S562, 0))&amp;CHAR(10)&amp;"📉 考察能力: "&amp;IFERROR(VLOOKUP(TRIM(D562)&amp;"_"&amp;TRIM(INDEX($M$1:$S$1, MATCH(MIN(M562:S562), M562:S562, 0))), 技能库!$A:$F, 5, 0),"建议查阅考纲")&amp;CHAR(10)&amp;"💡 提升建议: "&amp;IFERROR(VLOOKUP(TRIM(D562)&amp;"_"&amp;TRIM(INDEX($M$1:$S$1, MATCH(MIN(M562:S562), M562:S562, 0))), 技能库!$A:$F, 6, 0),"请针对该题型加强练习"), "🎉 表现优异，无明显弱项！"))</f>
        <v/>
      </c>
    </row>
    <row r="563" spans="10:27" ht="18" hidden="1" customHeight="1" x14ac:dyDescent="0.2">
      <c r="J563" t="str">
        <f t="shared" si="24"/>
        <v/>
      </c>
      <c r="K563" t="str">
        <f>IF(J563="","", IFERROR(VLOOKUP(J563, IF(D563="Movers", 换算标准!$C:$D, 换算标准!$I:$J), 2, TRUE), 0))</f>
        <v/>
      </c>
      <c r="T563" t="str">
        <f t="shared" si="25"/>
        <v/>
      </c>
      <c r="U563" t="str">
        <f>IF(T563="","", IFERROR(VLOOKUP(T563, IF(D563="Movers", 换算标准!$A:$B, 换算标准!$G:$H), 2, TRUE), 0))</f>
        <v/>
      </c>
      <c r="W563" t="str">
        <f t="shared" si="26"/>
        <v/>
      </c>
      <c r="Z563" s="5" t="str">
        <f>IF(J563="","", IF(K563&lt;=3, "⚠️ 薄弱环节: "&amp;INDEX($E$1:$I$1, MATCH(MIN(E563:I563), E563:I563, 0))&amp;CHAR(10)&amp;"📉 考察能力: "&amp;IFERROR(VLOOKUP(TRIM(D563)&amp;"_"&amp;TRIM(INDEX($E$1:$I$1, MATCH(MIN(E563:I563), E563:I563, 0))), 技能库!$A:$F, 5, 0),"建议查阅考纲")&amp;CHAR(10)&amp;"💡 提升建议: "&amp;IFERROR(VLOOKUP(TRIM(D563)&amp;"_"&amp;TRIM(INDEX($E$1:$I$1, MATCH(MIN(E563:I563), E563:I563, 0))), 技能库!$A:$F, 6, 0),"请针对该题型加强练习"), "🎉 表现优异，无明显弱项！"))</f>
        <v/>
      </c>
      <c r="AA563" s="5" t="str">
        <f>IF(T563="","", IF(U563&lt;=3, "⚠️ 薄弱环节: "&amp;INDEX($M$1:$S$1, MATCH(MIN(M563:S563), M563:S563, 0))&amp;CHAR(10)&amp;"📉 考察能力: "&amp;IFERROR(VLOOKUP(TRIM(D563)&amp;"_"&amp;TRIM(INDEX($M$1:$S$1, MATCH(MIN(M563:S563), M563:S563, 0))), 技能库!$A:$F, 5, 0),"建议查阅考纲")&amp;CHAR(10)&amp;"💡 提升建议: "&amp;IFERROR(VLOOKUP(TRIM(D563)&amp;"_"&amp;TRIM(INDEX($M$1:$S$1, MATCH(MIN(M563:S563), M563:S563, 0))), 技能库!$A:$F, 6, 0),"请针对该题型加强练习"), "🎉 表现优异，无明显弱项！"))</f>
        <v/>
      </c>
    </row>
    <row r="564" spans="10:27" ht="18" hidden="1" customHeight="1" x14ac:dyDescent="0.2">
      <c r="J564" t="str">
        <f t="shared" si="24"/>
        <v/>
      </c>
      <c r="K564" t="str">
        <f>IF(J564="","", IFERROR(VLOOKUP(J564, IF(D564="Movers", 换算标准!$C:$D, 换算标准!$I:$J), 2, TRUE), 0))</f>
        <v/>
      </c>
      <c r="T564" t="str">
        <f t="shared" si="25"/>
        <v/>
      </c>
      <c r="U564" t="str">
        <f>IF(T564="","", IFERROR(VLOOKUP(T564, IF(D564="Movers", 换算标准!$A:$B, 换算标准!$G:$H), 2, TRUE), 0))</f>
        <v/>
      </c>
      <c r="W564" t="str">
        <f t="shared" si="26"/>
        <v/>
      </c>
      <c r="Z564" s="5" t="str">
        <f>IF(J564="","", IF(K564&lt;=3, "⚠️ 薄弱环节: "&amp;INDEX($E$1:$I$1, MATCH(MIN(E564:I564), E564:I564, 0))&amp;CHAR(10)&amp;"📉 考察能力: "&amp;IFERROR(VLOOKUP(TRIM(D564)&amp;"_"&amp;TRIM(INDEX($E$1:$I$1, MATCH(MIN(E564:I564), E564:I564, 0))), 技能库!$A:$F, 5, 0),"建议查阅考纲")&amp;CHAR(10)&amp;"💡 提升建议: "&amp;IFERROR(VLOOKUP(TRIM(D564)&amp;"_"&amp;TRIM(INDEX($E$1:$I$1, MATCH(MIN(E564:I564), E564:I564, 0))), 技能库!$A:$F, 6, 0),"请针对该题型加强练习"), "🎉 表现优异，无明显弱项！"))</f>
        <v/>
      </c>
      <c r="AA564" s="5" t="str">
        <f>IF(T564="","", IF(U564&lt;=3, "⚠️ 薄弱环节: "&amp;INDEX($M$1:$S$1, MATCH(MIN(M564:S564), M564:S564, 0))&amp;CHAR(10)&amp;"📉 考察能力: "&amp;IFERROR(VLOOKUP(TRIM(D564)&amp;"_"&amp;TRIM(INDEX($M$1:$S$1, MATCH(MIN(M564:S564), M564:S564, 0))), 技能库!$A:$F, 5, 0),"建议查阅考纲")&amp;CHAR(10)&amp;"💡 提升建议: "&amp;IFERROR(VLOOKUP(TRIM(D564)&amp;"_"&amp;TRIM(INDEX($M$1:$S$1, MATCH(MIN(M564:S564), M564:S564, 0))), 技能库!$A:$F, 6, 0),"请针对该题型加强练习"), "🎉 表现优异，无明显弱项！"))</f>
        <v/>
      </c>
    </row>
    <row r="565" spans="10:27" ht="18" hidden="1" customHeight="1" x14ac:dyDescent="0.2">
      <c r="J565" t="str">
        <f t="shared" si="24"/>
        <v/>
      </c>
      <c r="K565" t="str">
        <f>IF(J565="","", IFERROR(VLOOKUP(J565, IF(D565="Movers", 换算标准!$C:$D, 换算标准!$I:$J), 2, TRUE), 0))</f>
        <v/>
      </c>
      <c r="T565" t="str">
        <f t="shared" si="25"/>
        <v/>
      </c>
      <c r="U565" t="str">
        <f>IF(T565="","", IFERROR(VLOOKUP(T565, IF(D565="Movers", 换算标准!$A:$B, 换算标准!$G:$H), 2, TRUE), 0))</f>
        <v/>
      </c>
      <c r="W565" t="str">
        <f t="shared" si="26"/>
        <v/>
      </c>
      <c r="Z565" s="5" t="str">
        <f>IF(J565="","", IF(K565&lt;=3, "⚠️ 薄弱环节: "&amp;INDEX($E$1:$I$1, MATCH(MIN(E565:I565), E565:I565, 0))&amp;CHAR(10)&amp;"📉 考察能力: "&amp;IFERROR(VLOOKUP(TRIM(D565)&amp;"_"&amp;TRIM(INDEX($E$1:$I$1, MATCH(MIN(E565:I565), E565:I565, 0))), 技能库!$A:$F, 5, 0),"建议查阅考纲")&amp;CHAR(10)&amp;"💡 提升建议: "&amp;IFERROR(VLOOKUP(TRIM(D565)&amp;"_"&amp;TRIM(INDEX($E$1:$I$1, MATCH(MIN(E565:I565), E565:I565, 0))), 技能库!$A:$F, 6, 0),"请针对该题型加强练习"), "🎉 表现优异，无明显弱项！"))</f>
        <v/>
      </c>
      <c r="AA565" s="5" t="str">
        <f>IF(T565="","", IF(U565&lt;=3, "⚠️ 薄弱环节: "&amp;INDEX($M$1:$S$1, MATCH(MIN(M565:S565), M565:S565, 0))&amp;CHAR(10)&amp;"📉 考察能力: "&amp;IFERROR(VLOOKUP(TRIM(D565)&amp;"_"&amp;TRIM(INDEX($M$1:$S$1, MATCH(MIN(M565:S565), M565:S565, 0))), 技能库!$A:$F, 5, 0),"建议查阅考纲")&amp;CHAR(10)&amp;"💡 提升建议: "&amp;IFERROR(VLOOKUP(TRIM(D565)&amp;"_"&amp;TRIM(INDEX($M$1:$S$1, MATCH(MIN(M565:S565), M565:S565, 0))), 技能库!$A:$F, 6, 0),"请针对该题型加强练习"), "🎉 表现优异，无明显弱项！"))</f>
        <v/>
      </c>
    </row>
    <row r="566" spans="10:27" ht="18" hidden="1" customHeight="1" x14ac:dyDescent="0.2">
      <c r="J566" t="str">
        <f t="shared" si="24"/>
        <v/>
      </c>
      <c r="K566" t="str">
        <f>IF(J566="","", IFERROR(VLOOKUP(J566, IF(D566="Movers", 换算标准!$C:$D, 换算标准!$I:$J), 2, TRUE), 0))</f>
        <v/>
      </c>
      <c r="T566" t="str">
        <f t="shared" si="25"/>
        <v/>
      </c>
      <c r="U566" t="str">
        <f>IF(T566="","", IFERROR(VLOOKUP(T566, IF(D566="Movers", 换算标准!$A:$B, 换算标准!$G:$H), 2, TRUE), 0))</f>
        <v/>
      </c>
      <c r="W566" t="str">
        <f t="shared" si="26"/>
        <v/>
      </c>
      <c r="Z566" s="5" t="str">
        <f>IF(J566="","", IF(K566&lt;=3, "⚠️ 薄弱环节: "&amp;INDEX($E$1:$I$1, MATCH(MIN(E566:I566), E566:I566, 0))&amp;CHAR(10)&amp;"📉 考察能力: "&amp;IFERROR(VLOOKUP(TRIM(D566)&amp;"_"&amp;TRIM(INDEX($E$1:$I$1, MATCH(MIN(E566:I566), E566:I566, 0))), 技能库!$A:$F, 5, 0),"建议查阅考纲")&amp;CHAR(10)&amp;"💡 提升建议: "&amp;IFERROR(VLOOKUP(TRIM(D566)&amp;"_"&amp;TRIM(INDEX($E$1:$I$1, MATCH(MIN(E566:I566), E566:I566, 0))), 技能库!$A:$F, 6, 0),"请针对该题型加强练习"), "🎉 表现优异，无明显弱项！"))</f>
        <v/>
      </c>
      <c r="AA566" s="5" t="str">
        <f>IF(T566="","", IF(U566&lt;=3, "⚠️ 薄弱环节: "&amp;INDEX($M$1:$S$1, MATCH(MIN(M566:S566), M566:S566, 0))&amp;CHAR(10)&amp;"📉 考察能力: "&amp;IFERROR(VLOOKUP(TRIM(D566)&amp;"_"&amp;TRIM(INDEX($M$1:$S$1, MATCH(MIN(M566:S566), M566:S566, 0))), 技能库!$A:$F, 5, 0),"建议查阅考纲")&amp;CHAR(10)&amp;"💡 提升建议: "&amp;IFERROR(VLOOKUP(TRIM(D566)&amp;"_"&amp;TRIM(INDEX($M$1:$S$1, MATCH(MIN(M566:S566), M566:S566, 0))), 技能库!$A:$F, 6, 0),"请针对该题型加强练习"), "🎉 表现优异，无明显弱项！"))</f>
        <v/>
      </c>
    </row>
    <row r="567" spans="10:27" ht="18" hidden="1" customHeight="1" x14ac:dyDescent="0.2">
      <c r="J567" t="str">
        <f t="shared" si="24"/>
        <v/>
      </c>
      <c r="K567" t="str">
        <f>IF(J567="","", IFERROR(VLOOKUP(J567, IF(D567="Movers", 换算标准!$C:$D, 换算标准!$I:$J), 2, TRUE), 0))</f>
        <v/>
      </c>
      <c r="T567" t="str">
        <f t="shared" si="25"/>
        <v/>
      </c>
      <c r="U567" t="str">
        <f>IF(T567="","", IFERROR(VLOOKUP(T567, IF(D567="Movers", 换算标准!$A:$B, 换算标准!$G:$H), 2, TRUE), 0))</f>
        <v/>
      </c>
      <c r="W567" t="str">
        <f t="shared" si="26"/>
        <v/>
      </c>
      <c r="Z567" s="5" t="str">
        <f>IF(J567="","", IF(K567&lt;=3, "⚠️ 薄弱环节: "&amp;INDEX($E$1:$I$1, MATCH(MIN(E567:I567), E567:I567, 0))&amp;CHAR(10)&amp;"📉 考察能力: "&amp;IFERROR(VLOOKUP(TRIM(D567)&amp;"_"&amp;TRIM(INDEX($E$1:$I$1, MATCH(MIN(E567:I567), E567:I567, 0))), 技能库!$A:$F, 5, 0),"建议查阅考纲")&amp;CHAR(10)&amp;"💡 提升建议: "&amp;IFERROR(VLOOKUP(TRIM(D567)&amp;"_"&amp;TRIM(INDEX($E$1:$I$1, MATCH(MIN(E567:I567), E567:I567, 0))), 技能库!$A:$F, 6, 0),"请针对该题型加强练习"), "🎉 表现优异，无明显弱项！"))</f>
        <v/>
      </c>
      <c r="AA567" s="5" t="str">
        <f>IF(T567="","", IF(U567&lt;=3, "⚠️ 薄弱环节: "&amp;INDEX($M$1:$S$1, MATCH(MIN(M567:S567), M567:S567, 0))&amp;CHAR(10)&amp;"📉 考察能力: "&amp;IFERROR(VLOOKUP(TRIM(D567)&amp;"_"&amp;TRIM(INDEX($M$1:$S$1, MATCH(MIN(M567:S567), M567:S567, 0))), 技能库!$A:$F, 5, 0),"建议查阅考纲")&amp;CHAR(10)&amp;"💡 提升建议: "&amp;IFERROR(VLOOKUP(TRIM(D567)&amp;"_"&amp;TRIM(INDEX($M$1:$S$1, MATCH(MIN(M567:S567), M567:S567, 0))), 技能库!$A:$F, 6, 0),"请针对该题型加强练习"), "🎉 表现优异，无明显弱项！"))</f>
        <v/>
      </c>
    </row>
    <row r="568" spans="10:27" ht="18" hidden="1" customHeight="1" x14ac:dyDescent="0.2">
      <c r="J568" t="str">
        <f t="shared" si="24"/>
        <v/>
      </c>
      <c r="K568" t="str">
        <f>IF(J568="","", IFERROR(VLOOKUP(J568, IF(D568="Movers", 换算标准!$C:$D, 换算标准!$I:$J), 2, TRUE), 0))</f>
        <v/>
      </c>
      <c r="T568" t="str">
        <f t="shared" si="25"/>
        <v/>
      </c>
      <c r="U568" t="str">
        <f>IF(T568="","", IFERROR(VLOOKUP(T568, IF(D568="Movers", 换算标准!$A:$B, 换算标准!$G:$H), 2, TRUE), 0))</f>
        <v/>
      </c>
      <c r="W568" t="str">
        <f t="shared" si="26"/>
        <v/>
      </c>
      <c r="Z568" s="5" t="str">
        <f>IF(J568="","", IF(K568&lt;=3, "⚠️ 薄弱环节: "&amp;INDEX($E$1:$I$1, MATCH(MIN(E568:I568), E568:I568, 0))&amp;CHAR(10)&amp;"📉 考察能力: "&amp;IFERROR(VLOOKUP(TRIM(D568)&amp;"_"&amp;TRIM(INDEX($E$1:$I$1, MATCH(MIN(E568:I568), E568:I568, 0))), 技能库!$A:$F, 5, 0),"建议查阅考纲")&amp;CHAR(10)&amp;"💡 提升建议: "&amp;IFERROR(VLOOKUP(TRIM(D568)&amp;"_"&amp;TRIM(INDEX($E$1:$I$1, MATCH(MIN(E568:I568), E568:I568, 0))), 技能库!$A:$F, 6, 0),"请针对该题型加强练习"), "🎉 表现优异，无明显弱项！"))</f>
        <v/>
      </c>
      <c r="AA568" s="5" t="str">
        <f>IF(T568="","", IF(U568&lt;=3, "⚠️ 薄弱环节: "&amp;INDEX($M$1:$S$1, MATCH(MIN(M568:S568), M568:S568, 0))&amp;CHAR(10)&amp;"📉 考察能力: "&amp;IFERROR(VLOOKUP(TRIM(D568)&amp;"_"&amp;TRIM(INDEX($M$1:$S$1, MATCH(MIN(M568:S568), M568:S568, 0))), 技能库!$A:$F, 5, 0),"建议查阅考纲")&amp;CHAR(10)&amp;"💡 提升建议: "&amp;IFERROR(VLOOKUP(TRIM(D568)&amp;"_"&amp;TRIM(INDEX($M$1:$S$1, MATCH(MIN(M568:S568), M568:S568, 0))), 技能库!$A:$F, 6, 0),"请针对该题型加强练习"), "🎉 表现优异，无明显弱项！"))</f>
        <v/>
      </c>
    </row>
    <row r="569" spans="10:27" ht="18" hidden="1" customHeight="1" x14ac:dyDescent="0.2">
      <c r="J569" t="str">
        <f t="shared" si="24"/>
        <v/>
      </c>
      <c r="K569" t="str">
        <f>IF(J569="","", IFERROR(VLOOKUP(J569, IF(D569="Movers", 换算标准!$C:$D, 换算标准!$I:$J), 2, TRUE), 0))</f>
        <v/>
      </c>
      <c r="T569" t="str">
        <f t="shared" si="25"/>
        <v/>
      </c>
      <c r="U569" t="str">
        <f>IF(T569="","", IFERROR(VLOOKUP(T569, IF(D569="Movers", 换算标准!$A:$B, 换算标准!$G:$H), 2, TRUE), 0))</f>
        <v/>
      </c>
      <c r="W569" t="str">
        <f t="shared" si="26"/>
        <v/>
      </c>
      <c r="Z569" s="5" t="str">
        <f>IF(J569="","", IF(K569&lt;=3, "⚠️ 薄弱环节: "&amp;INDEX($E$1:$I$1, MATCH(MIN(E569:I569), E569:I569, 0))&amp;CHAR(10)&amp;"📉 考察能力: "&amp;IFERROR(VLOOKUP(TRIM(D569)&amp;"_"&amp;TRIM(INDEX($E$1:$I$1, MATCH(MIN(E569:I569), E569:I569, 0))), 技能库!$A:$F, 5, 0),"建议查阅考纲")&amp;CHAR(10)&amp;"💡 提升建议: "&amp;IFERROR(VLOOKUP(TRIM(D569)&amp;"_"&amp;TRIM(INDEX($E$1:$I$1, MATCH(MIN(E569:I569), E569:I569, 0))), 技能库!$A:$F, 6, 0),"请针对该题型加强练习"), "🎉 表现优异，无明显弱项！"))</f>
        <v/>
      </c>
      <c r="AA569" s="5" t="str">
        <f>IF(T569="","", IF(U569&lt;=3, "⚠️ 薄弱环节: "&amp;INDEX($M$1:$S$1, MATCH(MIN(M569:S569), M569:S569, 0))&amp;CHAR(10)&amp;"📉 考察能力: "&amp;IFERROR(VLOOKUP(TRIM(D569)&amp;"_"&amp;TRIM(INDEX($M$1:$S$1, MATCH(MIN(M569:S569), M569:S569, 0))), 技能库!$A:$F, 5, 0),"建议查阅考纲")&amp;CHAR(10)&amp;"💡 提升建议: "&amp;IFERROR(VLOOKUP(TRIM(D569)&amp;"_"&amp;TRIM(INDEX($M$1:$S$1, MATCH(MIN(M569:S569), M569:S569, 0))), 技能库!$A:$F, 6, 0),"请针对该题型加强练习"), "🎉 表现优异，无明显弱项！"))</f>
        <v/>
      </c>
    </row>
    <row r="570" spans="10:27" ht="18" hidden="1" customHeight="1" x14ac:dyDescent="0.2">
      <c r="J570" t="str">
        <f t="shared" si="24"/>
        <v/>
      </c>
      <c r="K570" t="str">
        <f>IF(J570="","", IFERROR(VLOOKUP(J570, IF(D570="Movers", 换算标准!$C:$D, 换算标准!$I:$J), 2, TRUE), 0))</f>
        <v/>
      </c>
      <c r="T570" t="str">
        <f t="shared" si="25"/>
        <v/>
      </c>
      <c r="U570" t="str">
        <f>IF(T570="","", IFERROR(VLOOKUP(T570, IF(D570="Movers", 换算标准!$A:$B, 换算标准!$G:$H), 2, TRUE), 0))</f>
        <v/>
      </c>
      <c r="W570" t="str">
        <f t="shared" si="26"/>
        <v/>
      </c>
      <c r="Z570" s="5" t="str">
        <f>IF(J570="","", IF(K570&lt;=3, "⚠️ 薄弱环节: "&amp;INDEX($E$1:$I$1, MATCH(MIN(E570:I570), E570:I570, 0))&amp;CHAR(10)&amp;"📉 考察能力: "&amp;IFERROR(VLOOKUP(TRIM(D570)&amp;"_"&amp;TRIM(INDEX($E$1:$I$1, MATCH(MIN(E570:I570), E570:I570, 0))), 技能库!$A:$F, 5, 0),"建议查阅考纲")&amp;CHAR(10)&amp;"💡 提升建议: "&amp;IFERROR(VLOOKUP(TRIM(D570)&amp;"_"&amp;TRIM(INDEX($E$1:$I$1, MATCH(MIN(E570:I570), E570:I570, 0))), 技能库!$A:$F, 6, 0),"请针对该题型加强练习"), "🎉 表现优异，无明显弱项！"))</f>
        <v/>
      </c>
      <c r="AA570" s="5" t="str">
        <f>IF(T570="","", IF(U570&lt;=3, "⚠️ 薄弱环节: "&amp;INDEX($M$1:$S$1, MATCH(MIN(M570:S570), M570:S570, 0))&amp;CHAR(10)&amp;"📉 考察能力: "&amp;IFERROR(VLOOKUP(TRIM(D570)&amp;"_"&amp;TRIM(INDEX($M$1:$S$1, MATCH(MIN(M570:S570), M570:S570, 0))), 技能库!$A:$F, 5, 0),"建议查阅考纲")&amp;CHAR(10)&amp;"💡 提升建议: "&amp;IFERROR(VLOOKUP(TRIM(D570)&amp;"_"&amp;TRIM(INDEX($M$1:$S$1, MATCH(MIN(M570:S570), M570:S570, 0))), 技能库!$A:$F, 6, 0),"请针对该题型加强练习"), "🎉 表现优异，无明显弱项！"))</f>
        <v/>
      </c>
    </row>
    <row r="571" spans="10:27" ht="18" hidden="1" customHeight="1" x14ac:dyDescent="0.2">
      <c r="J571" t="str">
        <f t="shared" si="24"/>
        <v/>
      </c>
      <c r="K571" t="str">
        <f>IF(J571="","", IFERROR(VLOOKUP(J571, IF(D571="Movers", 换算标准!$C:$D, 换算标准!$I:$J), 2, TRUE), 0))</f>
        <v/>
      </c>
      <c r="T571" t="str">
        <f t="shared" si="25"/>
        <v/>
      </c>
      <c r="U571" t="str">
        <f>IF(T571="","", IFERROR(VLOOKUP(T571, IF(D571="Movers", 换算标准!$A:$B, 换算标准!$G:$H), 2, TRUE), 0))</f>
        <v/>
      </c>
      <c r="W571" t="str">
        <f t="shared" si="26"/>
        <v/>
      </c>
      <c r="Z571" s="5" t="str">
        <f>IF(J571="","", IF(K571&lt;=3, "⚠️ 薄弱环节: "&amp;INDEX($E$1:$I$1, MATCH(MIN(E571:I571), E571:I571, 0))&amp;CHAR(10)&amp;"📉 考察能力: "&amp;IFERROR(VLOOKUP(TRIM(D571)&amp;"_"&amp;TRIM(INDEX($E$1:$I$1, MATCH(MIN(E571:I571), E571:I571, 0))), 技能库!$A:$F, 5, 0),"建议查阅考纲")&amp;CHAR(10)&amp;"💡 提升建议: "&amp;IFERROR(VLOOKUP(TRIM(D571)&amp;"_"&amp;TRIM(INDEX($E$1:$I$1, MATCH(MIN(E571:I571), E571:I571, 0))), 技能库!$A:$F, 6, 0),"请针对该题型加强练习"), "🎉 表现优异，无明显弱项！"))</f>
        <v/>
      </c>
      <c r="AA571" s="5" t="str">
        <f>IF(T571="","", IF(U571&lt;=3, "⚠️ 薄弱环节: "&amp;INDEX($M$1:$S$1, MATCH(MIN(M571:S571), M571:S571, 0))&amp;CHAR(10)&amp;"📉 考察能力: "&amp;IFERROR(VLOOKUP(TRIM(D571)&amp;"_"&amp;TRIM(INDEX($M$1:$S$1, MATCH(MIN(M571:S571), M571:S571, 0))), 技能库!$A:$F, 5, 0),"建议查阅考纲")&amp;CHAR(10)&amp;"💡 提升建议: "&amp;IFERROR(VLOOKUP(TRIM(D571)&amp;"_"&amp;TRIM(INDEX($M$1:$S$1, MATCH(MIN(M571:S571), M571:S571, 0))), 技能库!$A:$F, 6, 0),"请针对该题型加强练习"), "🎉 表现优异，无明显弱项！"))</f>
        <v/>
      </c>
    </row>
    <row r="572" spans="10:27" ht="18" hidden="1" customHeight="1" x14ac:dyDescent="0.2">
      <c r="J572" t="str">
        <f t="shared" si="24"/>
        <v/>
      </c>
      <c r="K572" t="str">
        <f>IF(J572="","", IFERROR(VLOOKUP(J572, IF(D572="Movers", 换算标准!$C:$D, 换算标准!$I:$J), 2, TRUE), 0))</f>
        <v/>
      </c>
      <c r="T572" t="str">
        <f t="shared" si="25"/>
        <v/>
      </c>
      <c r="U572" t="str">
        <f>IF(T572="","", IFERROR(VLOOKUP(T572, IF(D572="Movers", 换算标准!$A:$B, 换算标准!$G:$H), 2, TRUE), 0))</f>
        <v/>
      </c>
      <c r="W572" t="str">
        <f t="shared" si="26"/>
        <v/>
      </c>
      <c r="Z572" s="5" t="str">
        <f>IF(J572="","", IF(K572&lt;=3, "⚠️ 薄弱环节: "&amp;INDEX($E$1:$I$1, MATCH(MIN(E572:I572), E572:I572, 0))&amp;CHAR(10)&amp;"📉 考察能力: "&amp;IFERROR(VLOOKUP(TRIM(D572)&amp;"_"&amp;TRIM(INDEX($E$1:$I$1, MATCH(MIN(E572:I572), E572:I572, 0))), 技能库!$A:$F, 5, 0),"建议查阅考纲")&amp;CHAR(10)&amp;"💡 提升建议: "&amp;IFERROR(VLOOKUP(TRIM(D572)&amp;"_"&amp;TRIM(INDEX($E$1:$I$1, MATCH(MIN(E572:I572), E572:I572, 0))), 技能库!$A:$F, 6, 0),"请针对该题型加强练习"), "🎉 表现优异，无明显弱项！"))</f>
        <v/>
      </c>
      <c r="AA572" s="5" t="str">
        <f>IF(T572="","", IF(U572&lt;=3, "⚠️ 薄弱环节: "&amp;INDEX($M$1:$S$1, MATCH(MIN(M572:S572), M572:S572, 0))&amp;CHAR(10)&amp;"📉 考察能力: "&amp;IFERROR(VLOOKUP(TRIM(D572)&amp;"_"&amp;TRIM(INDEX($M$1:$S$1, MATCH(MIN(M572:S572), M572:S572, 0))), 技能库!$A:$F, 5, 0),"建议查阅考纲")&amp;CHAR(10)&amp;"💡 提升建议: "&amp;IFERROR(VLOOKUP(TRIM(D572)&amp;"_"&amp;TRIM(INDEX($M$1:$S$1, MATCH(MIN(M572:S572), M572:S572, 0))), 技能库!$A:$F, 6, 0),"请针对该题型加强练习"), "🎉 表现优异，无明显弱项！"))</f>
        <v/>
      </c>
    </row>
    <row r="573" spans="10:27" ht="18" hidden="1" customHeight="1" x14ac:dyDescent="0.2">
      <c r="J573" t="str">
        <f t="shared" si="24"/>
        <v/>
      </c>
      <c r="K573" t="str">
        <f>IF(J573="","", IFERROR(VLOOKUP(J573, IF(D573="Movers", 换算标准!$C:$D, 换算标准!$I:$J), 2, TRUE), 0))</f>
        <v/>
      </c>
      <c r="T573" t="str">
        <f t="shared" si="25"/>
        <v/>
      </c>
      <c r="U573" t="str">
        <f>IF(T573="","", IFERROR(VLOOKUP(T573, IF(D573="Movers", 换算标准!$A:$B, 换算标准!$G:$H), 2, TRUE), 0))</f>
        <v/>
      </c>
      <c r="W573" t="str">
        <f t="shared" si="26"/>
        <v/>
      </c>
      <c r="Z573" s="5" t="str">
        <f>IF(J573="","", IF(K573&lt;=3, "⚠️ 薄弱环节: "&amp;INDEX($E$1:$I$1, MATCH(MIN(E573:I573), E573:I573, 0))&amp;CHAR(10)&amp;"📉 考察能力: "&amp;IFERROR(VLOOKUP(TRIM(D573)&amp;"_"&amp;TRIM(INDEX($E$1:$I$1, MATCH(MIN(E573:I573), E573:I573, 0))), 技能库!$A:$F, 5, 0),"建议查阅考纲")&amp;CHAR(10)&amp;"💡 提升建议: "&amp;IFERROR(VLOOKUP(TRIM(D573)&amp;"_"&amp;TRIM(INDEX($E$1:$I$1, MATCH(MIN(E573:I573), E573:I573, 0))), 技能库!$A:$F, 6, 0),"请针对该题型加强练习"), "🎉 表现优异，无明显弱项！"))</f>
        <v/>
      </c>
      <c r="AA573" s="5" t="str">
        <f>IF(T573="","", IF(U573&lt;=3, "⚠️ 薄弱环节: "&amp;INDEX($M$1:$S$1, MATCH(MIN(M573:S573), M573:S573, 0))&amp;CHAR(10)&amp;"📉 考察能力: "&amp;IFERROR(VLOOKUP(TRIM(D573)&amp;"_"&amp;TRIM(INDEX($M$1:$S$1, MATCH(MIN(M573:S573), M573:S573, 0))), 技能库!$A:$F, 5, 0),"建议查阅考纲")&amp;CHAR(10)&amp;"💡 提升建议: "&amp;IFERROR(VLOOKUP(TRIM(D573)&amp;"_"&amp;TRIM(INDEX($M$1:$S$1, MATCH(MIN(M573:S573), M573:S573, 0))), 技能库!$A:$F, 6, 0),"请针对该题型加强练习"), "🎉 表现优异，无明显弱项！"))</f>
        <v/>
      </c>
    </row>
    <row r="574" spans="10:27" ht="18" hidden="1" customHeight="1" x14ac:dyDescent="0.2">
      <c r="J574" t="str">
        <f t="shared" si="24"/>
        <v/>
      </c>
      <c r="K574" t="str">
        <f>IF(J574="","", IFERROR(VLOOKUP(J574, IF(D574="Movers", 换算标准!$C:$D, 换算标准!$I:$J), 2, TRUE), 0))</f>
        <v/>
      </c>
      <c r="T574" t="str">
        <f t="shared" si="25"/>
        <v/>
      </c>
      <c r="U574" t="str">
        <f>IF(T574="","", IFERROR(VLOOKUP(T574, IF(D574="Movers", 换算标准!$A:$B, 换算标准!$G:$H), 2, TRUE), 0))</f>
        <v/>
      </c>
      <c r="W574" t="str">
        <f t="shared" si="26"/>
        <v/>
      </c>
      <c r="Z574" s="5" t="str">
        <f>IF(J574="","", IF(K574&lt;=3, "⚠️ 薄弱环节: "&amp;INDEX($E$1:$I$1, MATCH(MIN(E574:I574), E574:I574, 0))&amp;CHAR(10)&amp;"📉 考察能力: "&amp;IFERROR(VLOOKUP(TRIM(D574)&amp;"_"&amp;TRIM(INDEX($E$1:$I$1, MATCH(MIN(E574:I574), E574:I574, 0))), 技能库!$A:$F, 5, 0),"建议查阅考纲")&amp;CHAR(10)&amp;"💡 提升建议: "&amp;IFERROR(VLOOKUP(TRIM(D574)&amp;"_"&amp;TRIM(INDEX($E$1:$I$1, MATCH(MIN(E574:I574), E574:I574, 0))), 技能库!$A:$F, 6, 0),"请针对该题型加强练习"), "🎉 表现优异，无明显弱项！"))</f>
        <v/>
      </c>
      <c r="AA574" s="5" t="str">
        <f>IF(T574="","", IF(U574&lt;=3, "⚠️ 薄弱环节: "&amp;INDEX($M$1:$S$1, MATCH(MIN(M574:S574), M574:S574, 0))&amp;CHAR(10)&amp;"📉 考察能力: "&amp;IFERROR(VLOOKUP(TRIM(D574)&amp;"_"&amp;TRIM(INDEX($M$1:$S$1, MATCH(MIN(M574:S574), M574:S574, 0))), 技能库!$A:$F, 5, 0),"建议查阅考纲")&amp;CHAR(10)&amp;"💡 提升建议: "&amp;IFERROR(VLOOKUP(TRIM(D574)&amp;"_"&amp;TRIM(INDEX($M$1:$S$1, MATCH(MIN(M574:S574), M574:S574, 0))), 技能库!$A:$F, 6, 0),"请针对该题型加强练习"), "🎉 表现优异，无明显弱项！"))</f>
        <v/>
      </c>
    </row>
    <row r="575" spans="10:27" ht="18" hidden="1" customHeight="1" x14ac:dyDescent="0.2">
      <c r="J575" t="str">
        <f t="shared" si="24"/>
        <v/>
      </c>
      <c r="K575" t="str">
        <f>IF(J575="","", IFERROR(VLOOKUP(J575, IF(D575="Movers", 换算标准!$C:$D, 换算标准!$I:$J), 2, TRUE), 0))</f>
        <v/>
      </c>
      <c r="T575" t="str">
        <f t="shared" si="25"/>
        <v/>
      </c>
      <c r="U575" t="str">
        <f>IF(T575="","", IFERROR(VLOOKUP(T575, IF(D575="Movers", 换算标准!$A:$B, 换算标准!$G:$H), 2, TRUE), 0))</f>
        <v/>
      </c>
      <c r="W575" t="str">
        <f t="shared" si="26"/>
        <v/>
      </c>
      <c r="Z575" s="5" t="str">
        <f>IF(J575="","", IF(K575&lt;=3, "⚠️ 薄弱环节: "&amp;INDEX($E$1:$I$1, MATCH(MIN(E575:I575), E575:I575, 0))&amp;CHAR(10)&amp;"📉 考察能力: "&amp;IFERROR(VLOOKUP(TRIM(D575)&amp;"_"&amp;TRIM(INDEX($E$1:$I$1, MATCH(MIN(E575:I575), E575:I575, 0))), 技能库!$A:$F, 5, 0),"建议查阅考纲")&amp;CHAR(10)&amp;"💡 提升建议: "&amp;IFERROR(VLOOKUP(TRIM(D575)&amp;"_"&amp;TRIM(INDEX($E$1:$I$1, MATCH(MIN(E575:I575), E575:I575, 0))), 技能库!$A:$F, 6, 0),"请针对该题型加强练习"), "🎉 表现优异，无明显弱项！"))</f>
        <v/>
      </c>
      <c r="AA575" s="5" t="str">
        <f>IF(T575="","", IF(U575&lt;=3, "⚠️ 薄弱环节: "&amp;INDEX($M$1:$S$1, MATCH(MIN(M575:S575), M575:S575, 0))&amp;CHAR(10)&amp;"📉 考察能力: "&amp;IFERROR(VLOOKUP(TRIM(D575)&amp;"_"&amp;TRIM(INDEX($M$1:$S$1, MATCH(MIN(M575:S575), M575:S575, 0))), 技能库!$A:$F, 5, 0),"建议查阅考纲")&amp;CHAR(10)&amp;"💡 提升建议: "&amp;IFERROR(VLOOKUP(TRIM(D575)&amp;"_"&amp;TRIM(INDEX($M$1:$S$1, MATCH(MIN(M575:S575), M575:S575, 0))), 技能库!$A:$F, 6, 0),"请针对该题型加强练习"), "🎉 表现优异，无明显弱项！"))</f>
        <v/>
      </c>
    </row>
    <row r="576" spans="10:27" ht="18" hidden="1" customHeight="1" x14ac:dyDescent="0.2">
      <c r="J576" t="str">
        <f t="shared" si="24"/>
        <v/>
      </c>
      <c r="K576" t="str">
        <f>IF(J576="","", IFERROR(VLOOKUP(J576, IF(D576="Movers", 换算标准!$C:$D, 换算标准!$I:$J), 2, TRUE), 0))</f>
        <v/>
      </c>
      <c r="T576" t="str">
        <f t="shared" si="25"/>
        <v/>
      </c>
      <c r="U576" t="str">
        <f>IF(T576="","", IFERROR(VLOOKUP(T576, IF(D576="Movers", 换算标准!$A:$B, 换算标准!$G:$H), 2, TRUE), 0))</f>
        <v/>
      </c>
      <c r="W576" t="str">
        <f t="shared" si="26"/>
        <v/>
      </c>
      <c r="Z576" s="5" t="str">
        <f>IF(J576="","", IF(K576&lt;=3, "⚠️ 薄弱环节: "&amp;INDEX($E$1:$I$1, MATCH(MIN(E576:I576), E576:I576, 0))&amp;CHAR(10)&amp;"📉 考察能力: "&amp;IFERROR(VLOOKUP(TRIM(D576)&amp;"_"&amp;TRIM(INDEX($E$1:$I$1, MATCH(MIN(E576:I576), E576:I576, 0))), 技能库!$A:$F, 5, 0),"建议查阅考纲")&amp;CHAR(10)&amp;"💡 提升建议: "&amp;IFERROR(VLOOKUP(TRIM(D576)&amp;"_"&amp;TRIM(INDEX($E$1:$I$1, MATCH(MIN(E576:I576), E576:I576, 0))), 技能库!$A:$F, 6, 0),"请针对该题型加强练习"), "🎉 表现优异，无明显弱项！"))</f>
        <v/>
      </c>
      <c r="AA576" s="5" t="str">
        <f>IF(T576="","", IF(U576&lt;=3, "⚠️ 薄弱环节: "&amp;INDEX($M$1:$S$1, MATCH(MIN(M576:S576), M576:S576, 0))&amp;CHAR(10)&amp;"📉 考察能力: "&amp;IFERROR(VLOOKUP(TRIM(D576)&amp;"_"&amp;TRIM(INDEX($M$1:$S$1, MATCH(MIN(M576:S576), M576:S576, 0))), 技能库!$A:$F, 5, 0),"建议查阅考纲")&amp;CHAR(10)&amp;"💡 提升建议: "&amp;IFERROR(VLOOKUP(TRIM(D576)&amp;"_"&amp;TRIM(INDEX($M$1:$S$1, MATCH(MIN(M576:S576), M576:S576, 0))), 技能库!$A:$F, 6, 0),"请针对该题型加强练习"), "🎉 表现优异，无明显弱项！"))</f>
        <v/>
      </c>
    </row>
    <row r="577" spans="10:27" ht="18" hidden="1" customHeight="1" x14ac:dyDescent="0.2">
      <c r="J577" t="str">
        <f t="shared" si="24"/>
        <v/>
      </c>
      <c r="K577" t="str">
        <f>IF(J577="","", IFERROR(VLOOKUP(J577, IF(D577="Movers", 换算标准!$C:$D, 换算标准!$I:$J), 2, TRUE), 0))</f>
        <v/>
      </c>
      <c r="T577" t="str">
        <f t="shared" si="25"/>
        <v/>
      </c>
      <c r="U577" t="str">
        <f>IF(T577="","", IFERROR(VLOOKUP(T577, IF(D577="Movers", 换算标准!$A:$B, 换算标准!$G:$H), 2, TRUE), 0))</f>
        <v/>
      </c>
      <c r="W577" t="str">
        <f t="shared" si="26"/>
        <v/>
      </c>
      <c r="Z577" s="5" t="str">
        <f>IF(J577="","", IF(K577&lt;=3, "⚠️ 薄弱环节: "&amp;INDEX($E$1:$I$1, MATCH(MIN(E577:I577), E577:I577, 0))&amp;CHAR(10)&amp;"📉 考察能力: "&amp;IFERROR(VLOOKUP(TRIM(D577)&amp;"_"&amp;TRIM(INDEX($E$1:$I$1, MATCH(MIN(E577:I577), E577:I577, 0))), 技能库!$A:$F, 5, 0),"建议查阅考纲")&amp;CHAR(10)&amp;"💡 提升建议: "&amp;IFERROR(VLOOKUP(TRIM(D577)&amp;"_"&amp;TRIM(INDEX($E$1:$I$1, MATCH(MIN(E577:I577), E577:I577, 0))), 技能库!$A:$F, 6, 0),"请针对该题型加强练习"), "🎉 表现优异，无明显弱项！"))</f>
        <v/>
      </c>
      <c r="AA577" s="5" t="str">
        <f>IF(T577="","", IF(U577&lt;=3, "⚠️ 薄弱环节: "&amp;INDEX($M$1:$S$1, MATCH(MIN(M577:S577), M577:S577, 0))&amp;CHAR(10)&amp;"📉 考察能力: "&amp;IFERROR(VLOOKUP(TRIM(D577)&amp;"_"&amp;TRIM(INDEX($M$1:$S$1, MATCH(MIN(M577:S577), M577:S577, 0))), 技能库!$A:$F, 5, 0),"建议查阅考纲")&amp;CHAR(10)&amp;"💡 提升建议: "&amp;IFERROR(VLOOKUP(TRIM(D577)&amp;"_"&amp;TRIM(INDEX($M$1:$S$1, MATCH(MIN(M577:S577), M577:S577, 0))), 技能库!$A:$F, 6, 0),"请针对该题型加强练习"), "🎉 表现优异，无明显弱项！"))</f>
        <v/>
      </c>
    </row>
    <row r="578" spans="10:27" ht="18" hidden="1" customHeight="1" x14ac:dyDescent="0.2">
      <c r="J578" t="str">
        <f t="shared" ref="J578:J641" si="27">IF(COUNT(E578:I578)&gt;0, SUM(E578:I578), "")</f>
        <v/>
      </c>
      <c r="K578" t="str">
        <f>IF(J578="","", IFERROR(VLOOKUP(J578, IF(D578="Movers", 换算标准!$C:$D, 换算标准!$I:$J), 2, TRUE), 0))</f>
        <v/>
      </c>
      <c r="T578" t="str">
        <f t="shared" ref="T578:T641" si="28">IF(COUNT(M578:S578)&gt;0, SUM(M578:S578), "")</f>
        <v/>
      </c>
      <c r="U578" t="str">
        <f>IF(T578="","", IFERROR(VLOOKUP(T578, IF(D578="Movers", 换算标准!$A:$B, 换算标准!$G:$H), 2, TRUE), 0))</f>
        <v/>
      </c>
      <c r="W578" t="str">
        <f t="shared" ref="W578:W641" si="29">IF(AND(K578&lt;&gt;"", U578&lt;&gt;""), K578+U578, "")</f>
        <v/>
      </c>
      <c r="Z578" s="5" t="str">
        <f>IF(J578="","", IF(K578&lt;=3, "⚠️ 薄弱环节: "&amp;INDEX($E$1:$I$1, MATCH(MIN(E578:I578), E578:I578, 0))&amp;CHAR(10)&amp;"📉 考察能力: "&amp;IFERROR(VLOOKUP(TRIM(D578)&amp;"_"&amp;TRIM(INDEX($E$1:$I$1, MATCH(MIN(E578:I578), E578:I578, 0))), 技能库!$A:$F, 5, 0),"建议查阅考纲")&amp;CHAR(10)&amp;"💡 提升建议: "&amp;IFERROR(VLOOKUP(TRIM(D578)&amp;"_"&amp;TRIM(INDEX($E$1:$I$1, MATCH(MIN(E578:I578), E578:I578, 0))), 技能库!$A:$F, 6, 0),"请针对该题型加强练习"), "🎉 表现优异，无明显弱项！"))</f>
        <v/>
      </c>
      <c r="AA578" s="5" t="str">
        <f>IF(T578="","", IF(U578&lt;=3, "⚠️ 薄弱环节: "&amp;INDEX($M$1:$S$1, MATCH(MIN(M578:S578), M578:S578, 0))&amp;CHAR(10)&amp;"📉 考察能力: "&amp;IFERROR(VLOOKUP(TRIM(D578)&amp;"_"&amp;TRIM(INDEX($M$1:$S$1, MATCH(MIN(M578:S578), M578:S578, 0))), 技能库!$A:$F, 5, 0),"建议查阅考纲")&amp;CHAR(10)&amp;"💡 提升建议: "&amp;IFERROR(VLOOKUP(TRIM(D578)&amp;"_"&amp;TRIM(INDEX($M$1:$S$1, MATCH(MIN(M578:S578), M578:S578, 0))), 技能库!$A:$F, 6, 0),"请针对该题型加强练习"), "🎉 表现优异，无明显弱项！"))</f>
        <v/>
      </c>
    </row>
    <row r="579" spans="10:27" ht="18" hidden="1" customHeight="1" x14ac:dyDescent="0.2">
      <c r="J579" t="str">
        <f t="shared" si="27"/>
        <v/>
      </c>
      <c r="K579" t="str">
        <f>IF(J579="","", IFERROR(VLOOKUP(J579, IF(D579="Movers", 换算标准!$C:$D, 换算标准!$I:$J), 2, TRUE), 0))</f>
        <v/>
      </c>
      <c r="T579" t="str">
        <f t="shared" si="28"/>
        <v/>
      </c>
      <c r="U579" t="str">
        <f>IF(T579="","", IFERROR(VLOOKUP(T579, IF(D579="Movers", 换算标准!$A:$B, 换算标准!$G:$H), 2, TRUE), 0))</f>
        <v/>
      </c>
      <c r="W579" t="str">
        <f t="shared" si="29"/>
        <v/>
      </c>
      <c r="Z579" s="5" t="str">
        <f>IF(J579="","", IF(K579&lt;=3, "⚠️ 薄弱环节: "&amp;INDEX($E$1:$I$1, MATCH(MIN(E579:I579), E579:I579, 0))&amp;CHAR(10)&amp;"📉 考察能力: "&amp;IFERROR(VLOOKUP(TRIM(D579)&amp;"_"&amp;TRIM(INDEX($E$1:$I$1, MATCH(MIN(E579:I579), E579:I579, 0))), 技能库!$A:$F, 5, 0),"建议查阅考纲")&amp;CHAR(10)&amp;"💡 提升建议: "&amp;IFERROR(VLOOKUP(TRIM(D579)&amp;"_"&amp;TRIM(INDEX($E$1:$I$1, MATCH(MIN(E579:I579), E579:I579, 0))), 技能库!$A:$F, 6, 0),"请针对该题型加强练习"), "🎉 表现优异，无明显弱项！"))</f>
        <v/>
      </c>
      <c r="AA579" s="5" t="str">
        <f>IF(T579="","", IF(U579&lt;=3, "⚠️ 薄弱环节: "&amp;INDEX($M$1:$S$1, MATCH(MIN(M579:S579), M579:S579, 0))&amp;CHAR(10)&amp;"📉 考察能力: "&amp;IFERROR(VLOOKUP(TRIM(D579)&amp;"_"&amp;TRIM(INDEX($M$1:$S$1, MATCH(MIN(M579:S579), M579:S579, 0))), 技能库!$A:$F, 5, 0),"建议查阅考纲")&amp;CHAR(10)&amp;"💡 提升建议: "&amp;IFERROR(VLOOKUP(TRIM(D579)&amp;"_"&amp;TRIM(INDEX($M$1:$S$1, MATCH(MIN(M579:S579), M579:S579, 0))), 技能库!$A:$F, 6, 0),"请针对该题型加强练习"), "🎉 表现优异，无明显弱项！"))</f>
        <v/>
      </c>
    </row>
    <row r="580" spans="10:27" ht="18" hidden="1" customHeight="1" x14ac:dyDescent="0.2">
      <c r="J580" t="str">
        <f t="shared" si="27"/>
        <v/>
      </c>
      <c r="K580" t="str">
        <f>IF(J580="","", IFERROR(VLOOKUP(J580, IF(D580="Movers", 换算标准!$C:$D, 换算标准!$I:$J), 2, TRUE), 0))</f>
        <v/>
      </c>
      <c r="T580" t="str">
        <f t="shared" si="28"/>
        <v/>
      </c>
      <c r="U580" t="str">
        <f>IF(T580="","", IFERROR(VLOOKUP(T580, IF(D580="Movers", 换算标准!$A:$B, 换算标准!$G:$H), 2, TRUE), 0))</f>
        <v/>
      </c>
      <c r="W580" t="str">
        <f t="shared" si="29"/>
        <v/>
      </c>
      <c r="Z580" s="5" t="str">
        <f>IF(J580="","", IF(K580&lt;=3, "⚠️ 薄弱环节: "&amp;INDEX($E$1:$I$1, MATCH(MIN(E580:I580), E580:I580, 0))&amp;CHAR(10)&amp;"📉 考察能力: "&amp;IFERROR(VLOOKUP(TRIM(D580)&amp;"_"&amp;TRIM(INDEX($E$1:$I$1, MATCH(MIN(E580:I580), E580:I580, 0))), 技能库!$A:$F, 5, 0),"建议查阅考纲")&amp;CHAR(10)&amp;"💡 提升建议: "&amp;IFERROR(VLOOKUP(TRIM(D580)&amp;"_"&amp;TRIM(INDEX($E$1:$I$1, MATCH(MIN(E580:I580), E580:I580, 0))), 技能库!$A:$F, 6, 0),"请针对该题型加强练习"), "🎉 表现优异，无明显弱项！"))</f>
        <v/>
      </c>
      <c r="AA580" s="5" t="str">
        <f>IF(T580="","", IF(U580&lt;=3, "⚠️ 薄弱环节: "&amp;INDEX($M$1:$S$1, MATCH(MIN(M580:S580), M580:S580, 0))&amp;CHAR(10)&amp;"📉 考察能力: "&amp;IFERROR(VLOOKUP(TRIM(D580)&amp;"_"&amp;TRIM(INDEX($M$1:$S$1, MATCH(MIN(M580:S580), M580:S580, 0))), 技能库!$A:$F, 5, 0),"建议查阅考纲")&amp;CHAR(10)&amp;"💡 提升建议: "&amp;IFERROR(VLOOKUP(TRIM(D580)&amp;"_"&amp;TRIM(INDEX($M$1:$S$1, MATCH(MIN(M580:S580), M580:S580, 0))), 技能库!$A:$F, 6, 0),"请针对该题型加强练习"), "🎉 表现优异，无明显弱项！"))</f>
        <v/>
      </c>
    </row>
    <row r="581" spans="10:27" ht="18" hidden="1" customHeight="1" x14ac:dyDescent="0.2">
      <c r="J581" t="str">
        <f t="shared" si="27"/>
        <v/>
      </c>
      <c r="K581" t="str">
        <f>IF(J581="","", IFERROR(VLOOKUP(J581, IF(D581="Movers", 换算标准!$C:$D, 换算标准!$I:$J), 2, TRUE), 0))</f>
        <v/>
      </c>
      <c r="T581" t="str">
        <f t="shared" si="28"/>
        <v/>
      </c>
      <c r="U581" t="str">
        <f>IF(T581="","", IFERROR(VLOOKUP(T581, IF(D581="Movers", 换算标准!$A:$B, 换算标准!$G:$H), 2, TRUE), 0))</f>
        <v/>
      </c>
      <c r="W581" t="str">
        <f t="shared" si="29"/>
        <v/>
      </c>
      <c r="Z581" s="5" t="str">
        <f>IF(J581="","", IF(K581&lt;=3, "⚠️ 薄弱环节: "&amp;INDEX($E$1:$I$1, MATCH(MIN(E581:I581), E581:I581, 0))&amp;CHAR(10)&amp;"📉 考察能力: "&amp;IFERROR(VLOOKUP(TRIM(D581)&amp;"_"&amp;TRIM(INDEX($E$1:$I$1, MATCH(MIN(E581:I581), E581:I581, 0))), 技能库!$A:$F, 5, 0),"建议查阅考纲")&amp;CHAR(10)&amp;"💡 提升建议: "&amp;IFERROR(VLOOKUP(TRIM(D581)&amp;"_"&amp;TRIM(INDEX($E$1:$I$1, MATCH(MIN(E581:I581), E581:I581, 0))), 技能库!$A:$F, 6, 0),"请针对该题型加强练习"), "🎉 表现优异，无明显弱项！"))</f>
        <v/>
      </c>
      <c r="AA581" s="5" t="str">
        <f>IF(T581="","", IF(U581&lt;=3, "⚠️ 薄弱环节: "&amp;INDEX($M$1:$S$1, MATCH(MIN(M581:S581), M581:S581, 0))&amp;CHAR(10)&amp;"📉 考察能力: "&amp;IFERROR(VLOOKUP(TRIM(D581)&amp;"_"&amp;TRIM(INDEX($M$1:$S$1, MATCH(MIN(M581:S581), M581:S581, 0))), 技能库!$A:$F, 5, 0),"建议查阅考纲")&amp;CHAR(10)&amp;"💡 提升建议: "&amp;IFERROR(VLOOKUP(TRIM(D581)&amp;"_"&amp;TRIM(INDEX($M$1:$S$1, MATCH(MIN(M581:S581), M581:S581, 0))), 技能库!$A:$F, 6, 0),"请针对该题型加强练习"), "🎉 表现优异，无明显弱项！"))</f>
        <v/>
      </c>
    </row>
    <row r="582" spans="10:27" ht="18" hidden="1" customHeight="1" x14ac:dyDescent="0.2">
      <c r="J582" t="str">
        <f t="shared" si="27"/>
        <v/>
      </c>
      <c r="K582" t="str">
        <f>IF(J582="","", IFERROR(VLOOKUP(J582, IF(D582="Movers", 换算标准!$C:$D, 换算标准!$I:$J), 2, TRUE), 0))</f>
        <v/>
      </c>
      <c r="T582" t="str">
        <f t="shared" si="28"/>
        <v/>
      </c>
      <c r="U582" t="str">
        <f>IF(T582="","", IFERROR(VLOOKUP(T582, IF(D582="Movers", 换算标准!$A:$B, 换算标准!$G:$H), 2, TRUE), 0))</f>
        <v/>
      </c>
      <c r="W582" t="str">
        <f t="shared" si="29"/>
        <v/>
      </c>
      <c r="Z582" s="5" t="str">
        <f>IF(J582="","", IF(K582&lt;=3, "⚠️ 薄弱环节: "&amp;INDEX($E$1:$I$1, MATCH(MIN(E582:I582), E582:I582, 0))&amp;CHAR(10)&amp;"📉 考察能力: "&amp;IFERROR(VLOOKUP(TRIM(D582)&amp;"_"&amp;TRIM(INDEX($E$1:$I$1, MATCH(MIN(E582:I582), E582:I582, 0))), 技能库!$A:$F, 5, 0),"建议查阅考纲")&amp;CHAR(10)&amp;"💡 提升建议: "&amp;IFERROR(VLOOKUP(TRIM(D582)&amp;"_"&amp;TRIM(INDEX($E$1:$I$1, MATCH(MIN(E582:I582), E582:I582, 0))), 技能库!$A:$F, 6, 0),"请针对该题型加强练习"), "🎉 表现优异，无明显弱项！"))</f>
        <v/>
      </c>
      <c r="AA582" s="5" t="str">
        <f>IF(T582="","", IF(U582&lt;=3, "⚠️ 薄弱环节: "&amp;INDEX($M$1:$S$1, MATCH(MIN(M582:S582), M582:S582, 0))&amp;CHAR(10)&amp;"📉 考察能力: "&amp;IFERROR(VLOOKUP(TRIM(D582)&amp;"_"&amp;TRIM(INDEX($M$1:$S$1, MATCH(MIN(M582:S582), M582:S582, 0))), 技能库!$A:$F, 5, 0),"建议查阅考纲")&amp;CHAR(10)&amp;"💡 提升建议: "&amp;IFERROR(VLOOKUP(TRIM(D582)&amp;"_"&amp;TRIM(INDEX($M$1:$S$1, MATCH(MIN(M582:S582), M582:S582, 0))), 技能库!$A:$F, 6, 0),"请针对该题型加强练习"), "🎉 表现优异，无明显弱项！"))</f>
        <v/>
      </c>
    </row>
    <row r="583" spans="10:27" ht="18" hidden="1" customHeight="1" x14ac:dyDescent="0.2">
      <c r="J583" t="str">
        <f t="shared" si="27"/>
        <v/>
      </c>
      <c r="K583" t="str">
        <f>IF(J583="","", IFERROR(VLOOKUP(J583, IF(D583="Movers", 换算标准!$C:$D, 换算标准!$I:$J), 2, TRUE), 0))</f>
        <v/>
      </c>
      <c r="T583" t="str">
        <f t="shared" si="28"/>
        <v/>
      </c>
      <c r="U583" t="str">
        <f>IF(T583="","", IFERROR(VLOOKUP(T583, IF(D583="Movers", 换算标准!$A:$B, 换算标准!$G:$H), 2, TRUE), 0))</f>
        <v/>
      </c>
      <c r="W583" t="str">
        <f t="shared" si="29"/>
        <v/>
      </c>
      <c r="Z583" s="5" t="str">
        <f>IF(J583="","", IF(K583&lt;=3, "⚠️ 薄弱环节: "&amp;INDEX($E$1:$I$1, MATCH(MIN(E583:I583), E583:I583, 0))&amp;CHAR(10)&amp;"📉 考察能力: "&amp;IFERROR(VLOOKUP(TRIM(D583)&amp;"_"&amp;TRIM(INDEX($E$1:$I$1, MATCH(MIN(E583:I583), E583:I583, 0))), 技能库!$A:$F, 5, 0),"建议查阅考纲")&amp;CHAR(10)&amp;"💡 提升建议: "&amp;IFERROR(VLOOKUP(TRIM(D583)&amp;"_"&amp;TRIM(INDEX($E$1:$I$1, MATCH(MIN(E583:I583), E583:I583, 0))), 技能库!$A:$F, 6, 0),"请针对该题型加强练习"), "🎉 表现优异，无明显弱项！"))</f>
        <v/>
      </c>
      <c r="AA583" s="5" t="str">
        <f>IF(T583="","", IF(U583&lt;=3, "⚠️ 薄弱环节: "&amp;INDEX($M$1:$S$1, MATCH(MIN(M583:S583), M583:S583, 0))&amp;CHAR(10)&amp;"📉 考察能力: "&amp;IFERROR(VLOOKUP(TRIM(D583)&amp;"_"&amp;TRIM(INDEX($M$1:$S$1, MATCH(MIN(M583:S583), M583:S583, 0))), 技能库!$A:$F, 5, 0),"建议查阅考纲")&amp;CHAR(10)&amp;"💡 提升建议: "&amp;IFERROR(VLOOKUP(TRIM(D583)&amp;"_"&amp;TRIM(INDEX($M$1:$S$1, MATCH(MIN(M583:S583), M583:S583, 0))), 技能库!$A:$F, 6, 0),"请针对该题型加强练习"), "🎉 表现优异，无明显弱项！"))</f>
        <v/>
      </c>
    </row>
    <row r="584" spans="10:27" ht="18" hidden="1" customHeight="1" x14ac:dyDescent="0.2">
      <c r="J584" t="str">
        <f t="shared" si="27"/>
        <v/>
      </c>
      <c r="K584" t="str">
        <f>IF(J584="","", IFERROR(VLOOKUP(J584, IF(D584="Movers", 换算标准!$C:$D, 换算标准!$I:$J), 2, TRUE), 0))</f>
        <v/>
      </c>
      <c r="T584" t="str">
        <f t="shared" si="28"/>
        <v/>
      </c>
      <c r="U584" t="str">
        <f>IF(T584="","", IFERROR(VLOOKUP(T584, IF(D584="Movers", 换算标准!$A:$B, 换算标准!$G:$H), 2, TRUE), 0))</f>
        <v/>
      </c>
      <c r="W584" t="str">
        <f t="shared" si="29"/>
        <v/>
      </c>
      <c r="Z584" s="5" t="str">
        <f>IF(J584="","", IF(K584&lt;=3, "⚠️ 薄弱环节: "&amp;INDEX($E$1:$I$1, MATCH(MIN(E584:I584), E584:I584, 0))&amp;CHAR(10)&amp;"📉 考察能力: "&amp;IFERROR(VLOOKUP(TRIM(D584)&amp;"_"&amp;TRIM(INDEX($E$1:$I$1, MATCH(MIN(E584:I584), E584:I584, 0))), 技能库!$A:$F, 5, 0),"建议查阅考纲")&amp;CHAR(10)&amp;"💡 提升建议: "&amp;IFERROR(VLOOKUP(TRIM(D584)&amp;"_"&amp;TRIM(INDEX($E$1:$I$1, MATCH(MIN(E584:I584), E584:I584, 0))), 技能库!$A:$F, 6, 0),"请针对该题型加强练习"), "🎉 表现优异，无明显弱项！"))</f>
        <v/>
      </c>
      <c r="AA584" s="5" t="str">
        <f>IF(T584="","", IF(U584&lt;=3, "⚠️ 薄弱环节: "&amp;INDEX($M$1:$S$1, MATCH(MIN(M584:S584), M584:S584, 0))&amp;CHAR(10)&amp;"📉 考察能力: "&amp;IFERROR(VLOOKUP(TRIM(D584)&amp;"_"&amp;TRIM(INDEX($M$1:$S$1, MATCH(MIN(M584:S584), M584:S584, 0))), 技能库!$A:$F, 5, 0),"建议查阅考纲")&amp;CHAR(10)&amp;"💡 提升建议: "&amp;IFERROR(VLOOKUP(TRIM(D584)&amp;"_"&amp;TRIM(INDEX($M$1:$S$1, MATCH(MIN(M584:S584), M584:S584, 0))), 技能库!$A:$F, 6, 0),"请针对该题型加强练习"), "🎉 表现优异，无明显弱项！"))</f>
        <v/>
      </c>
    </row>
    <row r="585" spans="10:27" ht="18" hidden="1" customHeight="1" x14ac:dyDescent="0.2">
      <c r="J585" t="str">
        <f t="shared" si="27"/>
        <v/>
      </c>
      <c r="K585" t="str">
        <f>IF(J585="","", IFERROR(VLOOKUP(J585, IF(D585="Movers", 换算标准!$C:$D, 换算标准!$I:$J), 2, TRUE), 0))</f>
        <v/>
      </c>
      <c r="T585" t="str">
        <f t="shared" si="28"/>
        <v/>
      </c>
      <c r="U585" t="str">
        <f>IF(T585="","", IFERROR(VLOOKUP(T585, IF(D585="Movers", 换算标准!$A:$B, 换算标准!$G:$H), 2, TRUE), 0))</f>
        <v/>
      </c>
      <c r="W585" t="str">
        <f t="shared" si="29"/>
        <v/>
      </c>
      <c r="Z585" s="5" t="str">
        <f>IF(J585="","", IF(K585&lt;=3, "⚠️ 薄弱环节: "&amp;INDEX($E$1:$I$1, MATCH(MIN(E585:I585), E585:I585, 0))&amp;CHAR(10)&amp;"📉 考察能力: "&amp;IFERROR(VLOOKUP(TRIM(D585)&amp;"_"&amp;TRIM(INDEX($E$1:$I$1, MATCH(MIN(E585:I585), E585:I585, 0))), 技能库!$A:$F, 5, 0),"建议查阅考纲")&amp;CHAR(10)&amp;"💡 提升建议: "&amp;IFERROR(VLOOKUP(TRIM(D585)&amp;"_"&amp;TRIM(INDEX($E$1:$I$1, MATCH(MIN(E585:I585), E585:I585, 0))), 技能库!$A:$F, 6, 0),"请针对该题型加强练习"), "🎉 表现优异，无明显弱项！"))</f>
        <v/>
      </c>
      <c r="AA585" s="5" t="str">
        <f>IF(T585="","", IF(U585&lt;=3, "⚠️ 薄弱环节: "&amp;INDEX($M$1:$S$1, MATCH(MIN(M585:S585), M585:S585, 0))&amp;CHAR(10)&amp;"📉 考察能力: "&amp;IFERROR(VLOOKUP(TRIM(D585)&amp;"_"&amp;TRIM(INDEX($M$1:$S$1, MATCH(MIN(M585:S585), M585:S585, 0))), 技能库!$A:$F, 5, 0),"建议查阅考纲")&amp;CHAR(10)&amp;"💡 提升建议: "&amp;IFERROR(VLOOKUP(TRIM(D585)&amp;"_"&amp;TRIM(INDEX($M$1:$S$1, MATCH(MIN(M585:S585), M585:S585, 0))), 技能库!$A:$F, 6, 0),"请针对该题型加强练习"), "🎉 表现优异，无明显弱项！"))</f>
        <v/>
      </c>
    </row>
    <row r="586" spans="10:27" ht="18" hidden="1" customHeight="1" x14ac:dyDescent="0.2">
      <c r="J586" t="str">
        <f t="shared" si="27"/>
        <v/>
      </c>
      <c r="K586" t="str">
        <f>IF(J586="","", IFERROR(VLOOKUP(J586, IF(D586="Movers", 换算标准!$C:$D, 换算标准!$I:$J), 2, TRUE), 0))</f>
        <v/>
      </c>
      <c r="T586" t="str">
        <f t="shared" si="28"/>
        <v/>
      </c>
      <c r="U586" t="str">
        <f>IF(T586="","", IFERROR(VLOOKUP(T586, IF(D586="Movers", 换算标准!$A:$B, 换算标准!$G:$H), 2, TRUE), 0))</f>
        <v/>
      </c>
      <c r="W586" t="str">
        <f t="shared" si="29"/>
        <v/>
      </c>
      <c r="Z586" s="5" t="str">
        <f>IF(J586="","", IF(K586&lt;=3, "⚠️ 薄弱环节: "&amp;INDEX($E$1:$I$1, MATCH(MIN(E586:I586), E586:I586, 0))&amp;CHAR(10)&amp;"📉 考察能力: "&amp;IFERROR(VLOOKUP(TRIM(D586)&amp;"_"&amp;TRIM(INDEX($E$1:$I$1, MATCH(MIN(E586:I586), E586:I586, 0))), 技能库!$A:$F, 5, 0),"建议查阅考纲")&amp;CHAR(10)&amp;"💡 提升建议: "&amp;IFERROR(VLOOKUP(TRIM(D586)&amp;"_"&amp;TRIM(INDEX($E$1:$I$1, MATCH(MIN(E586:I586), E586:I586, 0))), 技能库!$A:$F, 6, 0),"请针对该题型加强练习"), "🎉 表现优异，无明显弱项！"))</f>
        <v/>
      </c>
      <c r="AA586" s="5" t="str">
        <f>IF(T586="","", IF(U586&lt;=3, "⚠️ 薄弱环节: "&amp;INDEX($M$1:$S$1, MATCH(MIN(M586:S586), M586:S586, 0))&amp;CHAR(10)&amp;"📉 考察能力: "&amp;IFERROR(VLOOKUP(TRIM(D586)&amp;"_"&amp;TRIM(INDEX($M$1:$S$1, MATCH(MIN(M586:S586), M586:S586, 0))), 技能库!$A:$F, 5, 0),"建议查阅考纲")&amp;CHAR(10)&amp;"💡 提升建议: "&amp;IFERROR(VLOOKUP(TRIM(D586)&amp;"_"&amp;TRIM(INDEX($M$1:$S$1, MATCH(MIN(M586:S586), M586:S586, 0))), 技能库!$A:$F, 6, 0),"请针对该题型加强练习"), "🎉 表现优异，无明显弱项！"))</f>
        <v/>
      </c>
    </row>
    <row r="587" spans="10:27" ht="18" hidden="1" customHeight="1" x14ac:dyDescent="0.2">
      <c r="J587" t="str">
        <f t="shared" si="27"/>
        <v/>
      </c>
      <c r="K587" t="str">
        <f>IF(J587="","", IFERROR(VLOOKUP(J587, IF(D587="Movers", 换算标准!$C:$D, 换算标准!$I:$J), 2, TRUE), 0))</f>
        <v/>
      </c>
      <c r="T587" t="str">
        <f t="shared" si="28"/>
        <v/>
      </c>
      <c r="U587" t="str">
        <f>IF(T587="","", IFERROR(VLOOKUP(T587, IF(D587="Movers", 换算标准!$A:$B, 换算标准!$G:$H), 2, TRUE), 0))</f>
        <v/>
      </c>
      <c r="W587" t="str">
        <f t="shared" si="29"/>
        <v/>
      </c>
      <c r="Z587" s="5" t="str">
        <f>IF(J587="","", IF(K587&lt;=3, "⚠️ 薄弱环节: "&amp;INDEX($E$1:$I$1, MATCH(MIN(E587:I587), E587:I587, 0))&amp;CHAR(10)&amp;"📉 考察能力: "&amp;IFERROR(VLOOKUP(TRIM(D587)&amp;"_"&amp;TRIM(INDEX($E$1:$I$1, MATCH(MIN(E587:I587), E587:I587, 0))), 技能库!$A:$F, 5, 0),"建议查阅考纲")&amp;CHAR(10)&amp;"💡 提升建议: "&amp;IFERROR(VLOOKUP(TRIM(D587)&amp;"_"&amp;TRIM(INDEX($E$1:$I$1, MATCH(MIN(E587:I587), E587:I587, 0))), 技能库!$A:$F, 6, 0),"请针对该题型加强练习"), "🎉 表现优异，无明显弱项！"))</f>
        <v/>
      </c>
      <c r="AA587" s="5" t="str">
        <f>IF(T587="","", IF(U587&lt;=3, "⚠️ 薄弱环节: "&amp;INDEX($M$1:$S$1, MATCH(MIN(M587:S587), M587:S587, 0))&amp;CHAR(10)&amp;"📉 考察能力: "&amp;IFERROR(VLOOKUP(TRIM(D587)&amp;"_"&amp;TRIM(INDEX($M$1:$S$1, MATCH(MIN(M587:S587), M587:S587, 0))), 技能库!$A:$F, 5, 0),"建议查阅考纲")&amp;CHAR(10)&amp;"💡 提升建议: "&amp;IFERROR(VLOOKUP(TRIM(D587)&amp;"_"&amp;TRIM(INDEX($M$1:$S$1, MATCH(MIN(M587:S587), M587:S587, 0))), 技能库!$A:$F, 6, 0),"请针对该题型加强练习"), "🎉 表现优异，无明显弱项！"))</f>
        <v/>
      </c>
    </row>
    <row r="588" spans="10:27" ht="18" hidden="1" customHeight="1" x14ac:dyDescent="0.2">
      <c r="J588" t="str">
        <f t="shared" si="27"/>
        <v/>
      </c>
      <c r="K588" t="str">
        <f>IF(J588="","", IFERROR(VLOOKUP(J588, IF(D588="Movers", 换算标准!$C:$D, 换算标准!$I:$J), 2, TRUE), 0))</f>
        <v/>
      </c>
      <c r="T588" t="str">
        <f t="shared" si="28"/>
        <v/>
      </c>
      <c r="U588" t="str">
        <f>IF(T588="","", IFERROR(VLOOKUP(T588, IF(D588="Movers", 换算标准!$A:$B, 换算标准!$G:$H), 2, TRUE), 0))</f>
        <v/>
      </c>
      <c r="W588" t="str">
        <f t="shared" si="29"/>
        <v/>
      </c>
      <c r="Z588" s="5" t="str">
        <f>IF(J588="","", IF(K588&lt;=3, "⚠️ 薄弱环节: "&amp;INDEX($E$1:$I$1, MATCH(MIN(E588:I588), E588:I588, 0))&amp;CHAR(10)&amp;"📉 考察能力: "&amp;IFERROR(VLOOKUP(TRIM(D588)&amp;"_"&amp;TRIM(INDEX($E$1:$I$1, MATCH(MIN(E588:I588), E588:I588, 0))), 技能库!$A:$F, 5, 0),"建议查阅考纲")&amp;CHAR(10)&amp;"💡 提升建议: "&amp;IFERROR(VLOOKUP(TRIM(D588)&amp;"_"&amp;TRIM(INDEX($E$1:$I$1, MATCH(MIN(E588:I588), E588:I588, 0))), 技能库!$A:$F, 6, 0),"请针对该题型加强练习"), "🎉 表现优异，无明显弱项！"))</f>
        <v/>
      </c>
      <c r="AA588" s="5" t="str">
        <f>IF(T588="","", IF(U588&lt;=3, "⚠️ 薄弱环节: "&amp;INDEX($M$1:$S$1, MATCH(MIN(M588:S588), M588:S588, 0))&amp;CHAR(10)&amp;"📉 考察能力: "&amp;IFERROR(VLOOKUP(TRIM(D588)&amp;"_"&amp;TRIM(INDEX($M$1:$S$1, MATCH(MIN(M588:S588), M588:S588, 0))), 技能库!$A:$F, 5, 0),"建议查阅考纲")&amp;CHAR(10)&amp;"💡 提升建议: "&amp;IFERROR(VLOOKUP(TRIM(D588)&amp;"_"&amp;TRIM(INDEX($M$1:$S$1, MATCH(MIN(M588:S588), M588:S588, 0))), 技能库!$A:$F, 6, 0),"请针对该题型加强练习"), "🎉 表现优异，无明显弱项！"))</f>
        <v/>
      </c>
    </row>
    <row r="589" spans="10:27" ht="18" hidden="1" customHeight="1" x14ac:dyDescent="0.2">
      <c r="J589" t="str">
        <f t="shared" si="27"/>
        <v/>
      </c>
      <c r="K589" t="str">
        <f>IF(J589="","", IFERROR(VLOOKUP(J589, IF(D589="Movers", 换算标准!$C:$D, 换算标准!$I:$J), 2, TRUE), 0))</f>
        <v/>
      </c>
      <c r="T589" t="str">
        <f t="shared" si="28"/>
        <v/>
      </c>
      <c r="U589" t="str">
        <f>IF(T589="","", IFERROR(VLOOKUP(T589, IF(D589="Movers", 换算标准!$A:$B, 换算标准!$G:$H), 2, TRUE), 0))</f>
        <v/>
      </c>
      <c r="W589" t="str">
        <f t="shared" si="29"/>
        <v/>
      </c>
      <c r="Z589" s="5" t="str">
        <f>IF(J589="","", IF(K589&lt;=3, "⚠️ 薄弱环节: "&amp;INDEX($E$1:$I$1, MATCH(MIN(E589:I589), E589:I589, 0))&amp;CHAR(10)&amp;"📉 考察能力: "&amp;IFERROR(VLOOKUP(TRIM(D589)&amp;"_"&amp;TRIM(INDEX($E$1:$I$1, MATCH(MIN(E589:I589), E589:I589, 0))), 技能库!$A:$F, 5, 0),"建议查阅考纲")&amp;CHAR(10)&amp;"💡 提升建议: "&amp;IFERROR(VLOOKUP(TRIM(D589)&amp;"_"&amp;TRIM(INDEX($E$1:$I$1, MATCH(MIN(E589:I589), E589:I589, 0))), 技能库!$A:$F, 6, 0),"请针对该题型加强练习"), "🎉 表现优异，无明显弱项！"))</f>
        <v/>
      </c>
      <c r="AA589" s="5" t="str">
        <f>IF(T589="","", IF(U589&lt;=3, "⚠️ 薄弱环节: "&amp;INDEX($M$1:$S$1, MATCH(MIN(M589:S589), M589:S589, 0))&amp;CHAR(10)&amp;"📉 考察能力: "&amp;IFERROR(VLOOKUP(TRIM(D589)&amp;"_"&amp;TRIM(INDEX($M$1:$S$1, MATCH(MIN(M589:S589), M589:S589, 0))), 技能库!$A:$F, 5, 0),"建议查阅考纲")&amp;CHAR(10)&amp;"💡 提升建议: "&amp;IFERROR(VLOOKUP(TRIM(D589)&amp;"_"&amp;TRIM(INDEX($M$1:$S$1, MATCH(MIN(M589:S589), M589:S589, 0))), 技能库!$A:$F, 6, 0),"请针对该题型加强练习"), "🎉 表现优异，无明显弱项！"))</f>
        <v/>
      </c>
    </row>
    <row r="590" spans="10:27" ht="18" hidden="1" customHeight="1" x14ac:dyDescent="0.2">
      <c r="J590" t="str">
        <f t="shared" si="27"/>
        <v/>
      </c>
      <c r="K590" t="str">
        <f>IF(J590="","", IFERROR(VLOOKUP(J590, IF(D590="Movers", 换算标准!$C:$D, 换算标准!$I:$J), 2, TRUE), 0))</f>
        <v/>
      </c>
      <c r="T590" t="str">
        <f t="shared" si="28"/>
        <v/>
      </c>
      <c r="U590" t="str">
        <f>IF(T590="","", IFERROR(VLOOKUP(T590, IF(D590="Movers", 换算标准!$A:$B, 换算标准!$G:$H), 2, TRUE), 0))</f>
        <v/>
      </c>
      <c r="W590" t="str">
        <f t="shared" si="29"/>
        <v/>
      </c>
      <c r="Z590" s="5" t="str">
        <f>IF(J590="","", IF(K590&lt;=3, "⚠️ 薄弱环节: "&amp;INDEX($E$1:$I$1, MATCH(MIN(E590:I590), E590:I590, 0))&amp;CHAR(10)&amp;"📉 考察能力: "&amp;IFERROR(VLOOKUP(TRIM(D590)&amp;"_"&amp;TRIM(INDEX($E$1:$I$1, MATCH(MIN(E590:I590), E590:I590, 0))), 技能库!$A:$F, 5, 0),"建议查阅考纲")&amp;CHAR(10)&amp;"💡 提升建议: "&amp;IFERROR(VLOOKUP(TRIM(D590)&amp;"_"&amp;TRIM(INDEX($E$1:$I$1, MATCH(MIN(E590:I590), E590:I590, 0))), 技能库!$A:$F, 6, 0),"请针对该题型加强练习"), "🎉 表现优异，无明显弱项！"))</f>
        <v/>
      </c>
      <c r="AA590" s="5" t="str">
        <f>IF(T590="","", IF(U590&lt;=3, "⚠️ 薄弱环节: "&amp;INDEX($M$1:$S$1, MATCH(MIN(M590:S590), M590:S590, 0))&amp;CHAR(10)&amp;"📉 考察能力: "&amp;IFERROR(VLOOKUP(TRIM(D590)&amp;"_"&amp;TRIM(INDEX($M$1:$S$1, MATCH(MIN(M590:S590), M590:S590, 0))), 技能库!$A:$F, 5, 0),"建议查阅考纲")&amp;CHAR(10)&amp;"💡 提升建议: "&amp;IFERROR(VLOOKUP(TRIM(D590)&amp;"_"&amp;TRIM(INDEX($M$1:$S$1, MATCH(MIN(M590:S590), M590:S590, 0))), 技能库!$A:$F, 6, 0),"请针对该题型加强练习"), "🎉 表现优异，无明显弱项！"))</f>
        <v/>
      </c>
    </row>
    <row r="591" spans="10:27" ht="18" hidden="1" customHeight="1" x14ac:dyDescent="0.2">
      <c r="J591" t="str">
        <f t="shared" si="27"/>
        <v/>
      </c>
      <c r="K591" t="str">
        <f>IF(J591="","", IFERROR(VLOOKUP(J591, IF(D591="Movers", 换算标准!$C:$D, 换算标准!$I:$J), 2, TRUE), 0))</f>
        <v/>
      </c>
      <c r="T591" t="str">
        <f t="shared" si="28"/>
        <v/>
      </c>
      <c r="U591" t="str">
        <f>IF(T591="","", IFERROR(VLOOKUP(T591, IF(D591="Movers", 换算标准!$A:$B, 换算标准!$G:$H), 2, TRUE), 0))</f>
        <v/>
      </c>
      <c r="W591" t="str">
        <f t="shared" si="29"/>
        <v/>
      </c>
      <c r="Z591" s="5" t="str">
        <f>IF(J591="","", IF(K591&lt;=3, "⚠️ 薄弱环节: "&amp;INDEX($E$1:$I$1, MATCH(MIN(E591:I591), E591:I591, 0))&amp;CHAR(10)&amp;"📉 考察能力: "&amp;IFERROR(VLOOKUP(TRIM(D591)&amp;"_"&amp;TRIM(INDEX($E$1:$I$1, MATCH(MIN(E591:I591), E591:I591, 0))), 技能库!$A:$F, 5, 0),"建议查阅考纲")&amp;CHAR(10)&amp;"💡 提升建议: "&amp;IFERROR(VLOOKUP(TRIM(D591)&amp;"_"&amp;TRIM(INDEX($E$1:$I$1, MATCH(MIN(E591:I591), E591:I591, 0))), 技能库!$A:$F, 6, 0),"请针对该题型加强练习"), "🎉 表现优异，无明显弱项！"))</f>
        <v/>
      </c>
      <c r="AA591" s="5" t="str">
        <f>IF(T591="","", IF(U591&lt;=3, "⚠️ 薄弱环节: "&amp;INDEX($M$1:$S$1, MATCH(MIN(M591:S591), M591:S591, 0))&amp;CHAR(10)&amp;"📉 考察能力: "&amp;IFERROR(VLOOKUP(TRIM(D591)&amp;"_"&amp;TRIM(INDEX($M$1:$S$1, MATCH(MIN(M591:S591), M591:S591, 0))), 技能库!$A:$F, 5, 0),"建议查阅考纲")&amp;CHAR(10)&amp;"💡 提升建议: "&amp;IFERROR(VLOOKUP(TRIM(D591)&amp;"_"&amp;TRIM(INDEX($M$1:$S$1, MATCH(MIN(M591:S591), M591:S591, 0))), 技能库!$A:$F, 6, 0),"请针对该题型加强练习"), "🎉 表现优异，无明显弱项！"))</f>
        <v/>
      </c>
    </row>
    <row r="592" spans="10:27" ht="18" hidden="1" customHeight="1" x14ac:dyDescent="0.2">
      <c r="J592" t="str">
        <f t="shared" si="27"/>
        <v/>
      </c>
      <c r="K592" t="str">
        <f>IF(J592="","", IFERROR(VLOOKUP(J592, IF(D592="Movers", 换算标准!$C:$D, 换算标准!$I:$J), 2, TRUE), 0))</f>
        <v/>
      </c>
      <c r="T592" t="str">
        <f t="shared" si="28"/>
        <v/>
      </c>
      <c r="U592" t="str">
        <f>IF(T592="","", IFERROR(VLOOKUP(T592, IF(D592="Movers", 换算标准!$A:$B, 换算标准!$G:$H), 2, TRUE), 0))</f>
        <v/>
      </c>
      <c r="W592" t="str">
        <f t="shared" si="29"/>
        <v/>
      </c>
      <c r="Z592" s="5" t="str">
        <f>IF(J592="","", IF(K592&lt;=3, "⚠️ 薄弱环节: "&amp;INDEX($E$1:$I$1, MATCH(MIN(E592:I592), E592:I592, 0))&amp;CHAR(10)&amp;"📉 考察能力: "&amp;IFERROR(VLOOKUP(TRIM(D592)&amp;"_"&amp;TRIM(INDEX($E$1:$I$1, MATCH(MIN(E592:I592), E592:I592, 0))), 技能库!$A:$F, 5, 0),"建议查阅考纲")&amp;CHAR(10)&amp;"💡 提升建议: "&amp;IFERROR(VLOOKUP(TRIM(D592)&amp;"_"&amp;TRIM(INDEX($E$1:$I$1, MATCH(MIN(E592:I592), E592:I592, 0))), 技能库!$A:$F, 6, 0),"请针对该题型加强练习"), "🎉 表现优异，无明显弱项！"))</f>
        <v/>
      </c>
      <c r="AA592" s="5" t="str">
        <f>IF(T592="","", IF(U592&lt;=3, "⚠️ 薄弱环节: "&amp;INDEX($M$1:$S$1, MATCH(MIN(M592:S592), M592:S592, 0))&amp;CHAR(10)&amp;"📉 考察能力: "&amp;IFERROR(VLOOKUP(TRIM(D592)&amp;"_"&amp;TRIM(INDEX($M$1:$S$1, MATCH(MIN(M592:S592), M592:S592, 0))), 技能库!$A:$F, 5, 0),"建议查阅考纲")&amp;CHAR(10)&amp;"💡 提升建议: "&amp;IFERROR(VLOOKUP(TRIM(D592)&amp;"_"&amp;TRIM(INDEX($M$1:$S$1, MATCH(MIN(M592:S592), M592:S592, 0))), 技能库!$A:$F, 6, 0),"请针对该题型加强练习"), "🎉 表现优异，无明显弱项！"))</f>
        <v/>
      </c>
    </row>
    <row r="593" spans="10:27" ht="18" hidden="1" customHeight="1" x14ac:dyDescent="0.2">
      <c r="J593" t="str">
        <f t="shared" si="27"/>
        <v/>
      </c>
      <c r="K593" t="str">
        <f>IF(J593="","", IFERROR(VLOOKUP(J593, IF(D593="Movers", 换算标准!$C:$D, 换算标准!$I:$J), 2, TRUE), 0))</f>
        <v/>
      </c>
      <c r="T593" t="str">
        <f t="shared" si="28"/>
        <v/>
      </c>
      <c r="U593" t="str">
        <f>IF(T593="","", IFERROR(VLOOKUP(T593, IF(D593="Movers", 换算标准!$A:$B, 换算标准!$G:$H), 2, TRUE), 0))</f>
        <v/>
      </c>
      <c r="W593" t="str">
        <f t="shared" si="29"/>
        <v/>
      </c>
      <c r="Z593" s="5" t="str">
        <f>IF(J593="","", IF(K593&lt;=3, "⚠️ 薄弱环节: "&amp;INDEX($E$1:$I$1, MATCH(MIN(E593:I593), E593:I593, 0))&amp;CHAR(10)&amp;"📉 考察能力: "&amp;IFERROR(VLOOKUP(TRIM(D593)&amp;"_"&amp;TRIM(INDEX($E$1:$I$1, MATCH(MIN(E593:I593), E593:I593, 0))), 技能库!$A:$F, 5, 0),"建议查阅考纲")&amp;CHAR(10)&amp;"💡 提升建议: "&amp;IFERROR(VLOOKUP(TRIM(D593)&amp;"_"&amp;TRIM(INDEX($E$1:$I$1, MATCH(MIN(E593:I593), E593:I593, 0))), 技能库!$A:$F, 6, 0),"请针对该题型加强练习"), "🎉 表现优异，无明显弱项！"))</f>
        <v/>
      </c>
      <c r="AA593" s="5" t="str">
        <f>IF(T593="","", IF(U593&lt;=3, "⚠️ 薄弱环节: "&amp;INDEX($M$1:$S$1, MATCH(MIN(M593:S593), M593:S593, 0))&amp;CHAR(10)&amp;"📉 考察能力: "&amp;IFERROR(VLOOKUP(TRIM(D593)&amp;"_"&amp;TRIM(INDEX($M$1:$S$1, MATCH(MIN(M593:S593), M593:S593, 0))), 技能库!$A:$F, 5, 0),"建议查阅考纲")&amp;CHAR(10)&amp;"💡 提升建议: "&amp;IFERROR(VLOOKUP(TRIM(D593)&amp;"_"&amp;TRIM(INDEX($M$1:$S$1, MATCH(MIN(M593:S593), M593:S593, 0))), 技能库!$A:$F, 6, 0),"请针对该题型加强练习"), "🎉 表现优异，无明显弱项！"))</f>
        <v/>
      </c>
    </row>
    <row r="594" spans="10:27" ht="18" hidden="1" customHeight="1" x14ac:dyDescent="0.2">
      <c r="J594" t="str">
        <f t="shared" si="27"/>
        <v/>
      </c>
      <c r="K594" t="str">
        <f>IF(J594="","", IFERROR(VLOOKUP(J594, IF(D594="Movers", 换算标准!$C:$D, 换算标准!$I:$J), 2, TRUE), 0))</f>
        <v/>
      </c>
      <c r="T594" t="str">
        <f t="shared" si="28"/>
        <v/>
      </c>
      <c r="U594" t="str">
        <f>IF(T594="","", IFERROR(VLOOKUP(T594, IF(D594="Movers", 换算标准!$A:$B, 换算标准!$G:$H), 2, TRUE), 0))</f>
        <v/>
      </c>
      <c r="W594" t="str">
        <f t="shared" si="29"/>
        <v/>
      </c>
      <c r="Z594" s="5" t="str">
        <f>IF(J594="","", IF(K594&lt;=3, "⚠️ 薄弱环节: "&amp;INDEX($E$1:$I$1, MATCH(MIN(E594:I594), E594:I594, 0))&amp;CHAR(10)&amp;"📉 考察能力: "&amp;IFERROR(VLOOKUP(TRIM(D594)&amp;"_"&amp;TRIM(INDEX($E$1:$I$1, MATCH(MIN(E594:I594), E594:I594, 0))), 技能库!$A:$F, 5, 0),"建议查阅考纲")&amp;CHAR(10)&amp;"💡 提升建议: "&amp;IFERROR(VLOOKUP(TRIM(D594)&amp;"_"&amp;TRIM(INDEX($E$1:$I$1, MATCH(MIN(E594:I594), E594:I594, 0))), 技能库!$A:$F, 6, 0),"请针对该题型加强练习"), "🎉 表现优异，无明显弱项！"))</f>
        <v/>
      </c>
      <c r="AA594" s="5" t="str">
        <f>IF(T594="","", IF(U594&lt;=3, "⚠️ 薄弱环节: "&amp;INDEX($M$1:$S$1, MATCH(MIN(M594:S594), M594:S594, 0))&amp;CHAR(10)&amp;"📉 考察能力: "&amp;IFERROR(VLOOKUP(TRIM(D594)&amp;"_"&amp;TRIM(INDEX($M$1:$S$1, MATCH(MIN(M594:S594), M594:S594, 0))), 技能库!$A:$F, 5, 0),"建议查阅考纲")&amp;CHAR(10)&amp;"💡 提升建议: "&amp;IFERROR(VLOOKUP(TRIM(D594)&amp;"_"&amp;TRIM(INDEX($M$1:$S$1, MATCH(MIN(M594:S594), M594:S594, 0))), 技能库!$A:$F, 6, 0),"请针对该题型加强练习"), "🎉 表现优异，无明显弱项！"))</f>
        <v/>
      </c>
    </row>
    <row r="595" spans="10:27" ht="18" hidden="1" customHeight="1" x14ac:dyDescent="0.2">
      <c r="J595" t="str">
        <f t="shared" si="27"/>
        <v/>
      </c>
      <c r="K595" t="str">
        <f>IF(J595="","", IFERROR(VLOOKUP(J595, IF(D595="Movers", 换算标准!$C:$D, 换算标准!$I:$J), 2, TRUE), 0))</f>
        <v/>
      </c>
      <c r="T595" t="str">
        <f t="shared" si="28"/>
        <v/>
      </c>
      <c r="U595" t="str">
        <f>IF(T595="","", IFERROR(VLOOKUP(T595, IF(D595="Movers", 换算标准!$A:$B, 换算标准!$G:$H), 2, TRUE), 0))</f>
        <v/>
      </c>
      <c r="W595" t="str">
        <f t="shared" si="29"/>
        <v/>
      </c>
      <c r="Z595" s="5" t="str">
        <f>IF(J595="","", IF(K595&lt;=3, "⚠️ 薄弱环节: "&amp;INDEX($E$1:$I$1, MATCH(MIN(E595:I595), E595:I595, 0))&amp;CHAR(10)&amp;"📉 考察能力: "&amp;IFERROR(VLOOKUP(TRIM(D595)&amp;"_"&amp;TRIM(INDEX($E$1:$I$1, MATCH(MIN(E595:I595), E595:I595, 0))), 技能库!$A:$F, 5, 0),"建议查阅考纲")&amp;CHAR(10)&amp;"💡 提升建议: "&amp;IFERROR(VLOOKUP(TRIM(D595)&amp;"_"&amp;TRIM(INDEX($E$1:$I$1, MATCH(MIN(E595:I595), E595:I595, 0))), 技能库!$A:$F, 6, 0),"请针对该题型加强练习"), "🎉 表现优异，无明显弱项！"))</f>
        <v/>
      </c>
      <c r="AA595" s="5" t="str">
        <f>IF(T595="","", IF(U595&lt;=3, "⚠️ 薄弱环节: "&amp;INDEX($M$1:$S$1, MATCH(MIN(M595:S595), M595:S595, 0))&amp;CHAR(10)&amp;"📉 考察能力: "&amp;IFERROR(VLOOKUP(TRIM(D595)&amp;"_"&amp;TRIM(INDEX($M$1:$S$1, MATCH(MIN(M595:S595), M595:S595, 0))), 技能库!$A:$F, 5, 0),"建议查阅考纲")&amp;CHAR(10)&amp;"💡 提升建议: "&amp;IFERROR(VLOOKUP(TRIM(D595)&amp;"_"&amp;TRIM(INDEX($M$1:$S$1, MATCH(MIN(M595:S595), M595:S595, 0))), 技能库!$A:$F, 6, 0),"请针对该题型加强练习"), "🎉 表现优异，无明显弱项！"))</f>
        <v/>
      </c>
    </row>
    <row r="596" spans="10:27" ht="18" hidden="1" customHeight="1" x14ac:dyDescent="0.2">
      <c r="J596" t="str">
        <f t="shared" si="27"/>
        <v/>
      </c>
      <c r="K596" t="str">
        <f>IF(J596="","", IFERROR(VLOOKUP(J596, IF(D596="Movers", 换算标准!$C:$D, 换算标准!$I:$J), 2, TRUE), 0))</f>
        <v/>
      </c>
      <c r="T596" t="str">
        <f t="shared" si="28"/>
        <v/>
      </c>
      <c r="U596" t="str">
        <f>IF(T596="","", IFERROR(VLOOKUP(T596, IF(D596="Movers", 换算标准!$A:$B, 换算标准!$G:$H), 2, TRUE), 0))</f>
        <v/>
      </c>
      <c r="W596" t="str">
        <f t="shared" si="29"/>
        <v/>
      </c>
      <c r="Z596" s="5" t="str">
        <f>IF(J596="","", IF(K596&lt;=3, "⚠️ 薄弱环节: "&amp;INDEX($E$1:$I$1, MATCH(MIN(E596:I596), E596:I596, 0))&amp;CHAR(10)&amp;"📉 考察能力: "&amp;IFERROR(VLOOKUP(TRIM(D596)&amp;"_"&amp;TRIM(INDEX($E$1:$I$1, MATCH(MIN(E596:I596), E596:I596, 0))), 技能库!$A:$F, 5, 0),"建议查阅考纲")&amp;CHAR(10)&amp;"💡 提升建议: "&amp;IFERROR(VLOOKUP(TRIM(D596)&amp;"_"&amp;TRIM(INDEX($E$1:$I$1, MATCH(MIN(E596:I596), E596:I596, 0))), 技能库!$A:$F, 6, 0),"请针对该题型加强练习"), "🎉 表现优异，无明显弱项！"))</f>
        <v/>
      </c>
      <c r="AA596" s="5" t="str">
        <f>IF(T596="","", IF(U596&lt;=3, "⚠️ 薄弱环节: "&amp;INDEX($M$1:$S$1, MATCH(MIN(M596:S596), M596:S596, 0))&amp;CHAR(10)&amp;"📉 考察能力: "&amp;IFERROR(VLOOKUP(TRIM(D596)&amp;"_"&amp;TRIM(INDEX($M$1:$S$1, MATCH(MIN(M596:S596), M596:S596, 0))), 技能库!$A:$F, 5, 0),"建议查阅考纲")&amp;CHAR(10)&amp;"💡 提升建议: "&amp;IFERROR(VLOOKUP(TRIM(D596)&amp;"_"&amp;TRIM(INDEX($M$1:$S$1, MATCH(MIN(M596:S596), M596:S596, 0))), 技能库!$A:$F, 6, 0),"请针对该题型加强练习"), "🎉 表现优异，无明显弱项！"))</f>
        <v/>
      </c>
    </row>
    <row r="597" spans="10:27" ht="18" hidden="1" customHeight="1" x14ac:dyDescent="0.2">
      <c r="J597" t="str">
        <f t="shared" si="27"/>
        <v/>
      </c>
      <c r="K597" t="str">
        <f>IF(J597="","", IFERROR(VLOOKUP(J597, IF(D597="Movers", 换算标准!$C:$D, 换算标准!$I:$J), 2, TRUE), 0))</f>
        <v/>
      </c>
      <c r="T597" t="str">
        <f t="shared" si="28"/>
        <v/>
      </c>
      <c r="U597" t="str">
        <f>IF(T597="","", IFERROR(VLOOKUP(T597, IF(D597="Movers", 换算标准!$A:$B, 换算标准!$G:$H), 2, TRUE), 0))</f>
        <v/>
      </c>
      <c r="W597" t="str">
        <f t="shared" si="29"/>
        <v/>
      </c>
      <c r="Z597" s="5" t="str">
        <f>IF(J597="","", IF(K597&lt;=3, "⚠️ 薄弱环节: "&amp;INDEX($E$1:$I$1, MATCH(MIN(E597:I597), E597:I597, 0))&amp;CHAR(10)&amp;"📉 考察能力: "&amp;IFERROR(VLOOKUP(TRIM(D597)&amp;"_"&amp;TRIM(INDEX($E$1:$I$1, MATCH(MIN(E597:I597), E597:I597, 0))), 技能库!$A:$F, 5, 0),"建议查阅考纲")&amp;CHAR(10)&amp;"💡 提升建议: "&amp;IFERROR(VLOOKUP(TRIM(D597)&amp;"_"&amp;TRIM(INDEX($E$1:$I$1, MATCH(MIN(E597:I597), E597:I597, 0))), 技能库!$A:$F, 6, 0),"请针对该题型加强练习"), "🎉 表现优异，无明显弱项！"))</f>
        <v/>
      </c>
      <c r="AA597" s="5" t="str">
        <f>IF(T597="","", IF(U597&lt;=3, "⚠️ 薄弱环节: "&amp;INDEX($M$1:$S$1, MATCH(MIN(M597:S597), M597:S597, 0))&amp;CHAR(10)&amp;"📉 考察能力: "&amp;IFERROR(VLOOKUP(TRIM(D597)&amp;"_"&amp;TRIM(INDEX($M$1:$S$1, MATCH(MIN(M597:S597), M597:S597, 0))), 技能库!$A:$F, 5, 0),"建议查阅考纲")&amp;CHAR(10)&amp;"💡 提升建议: "&amp;IFERROR(VLOOKUP(TRIM(D597)&amp;"_"&amp;TRIM(INDEX($M$1:$S$1, MATCH(MIN(M597:S597), M597:S597, 0))), 技能库!$A:$F, 6, 0),"请针对该题型加强练习"), "🎉 表现优异，无明显弱项！"))</f>
        <v/>
      </c>
    </row>
    <row r="598" spans="10:27" ht="18" hidden="1" customHeight="1" x14ac:dyDescent="0.2">
      <c r="J598" t="str">
        <f t="shared" si="27"/>
        <v/>
      </c>
      <c r="K598" t="str">
        <f>IF(J598="","", IFERROR(VLOOKUP(J598, IF(D598="Movers", 换算标准!$C:$D, 换算标准!$I:$J), 2, TRUE), 0))</f>
        <v/>
      </c>
      <c r="T598" t="str">
        <f t="shared" si="28"/>
        <v/>
      </c>
      <c r="U598" t="str">
        <f>IF(T598="","", IFERROR(VLOOKUP(T598, IF(D598="Movers", 换算标准!$A:$B, 换算标准!$G:$H), 2, TRUE), 0))</f>
        <v/>
      </c>
      <c r="W598" t="str">
        <f t="shared" si="29"/>
        <v/>
      </c>
      <c r="Z598" s="5" t="str">
        <f>IF(J598="","", IF(K598&lt;=3, "⚠️ 薄弱环节: "&amp;INDEX($E$1:$I$1, MATCH(MIN(E598:I598), E598:I598, 0))&amp;CHAR(10)&amp;"📉 考察能力: "&amp;IFERROR(VLOOKUP(TRIM(D598)&amp;"_"&amp;TRIM(INDEX($E$1:$I$1, MATCH(MIN(E598:I598), E598:I598, 0))), 技能库!$A:$F, 5, 0),"建议查阅考纲")&amp;CHAR(10)&amp;"💡 提升建议: "&amp;IFERROR(VLOOKUP(TRIM(D598)&amp;"_"&amp;TRIM(INDEX($E$1:$I$1, MATCH(MIN(E598:I598), E598:I598, 0))), 技能库!$A:$F, 6, 0),"请针对该题型加强练习"), "🎉 表现优异，无明显弱项！"))</f>
        <v/>
      </c>
      <c r="AA598" s="5" t="str">
        <f>IF(T598="","", IF(U598&lt;=3, "⚠️ 薄弱环节: "&amp;INDEX($M$1:$S$1, MATCH(MIN(M598:S598), M598:S598, 0))&amp;CHAR(10)&amp;"📉 考察能力: "&amp;IFERROR(VLOOKUP(TRIM(D598)&amp;"_"&amp;TRIM(INDEX($M$1:$S$1, MATCH(MIN(M598:S598), M598:S598, 0))), 技能库!$A:$F, 5, 0),"建议查阅考纲")&amp;CHAR(10)&amp;"💡 提升建议: "&amp;IFERROR(VLOOKUP(TRIM(D598)&amp;"_"&amp;TRIM(INDEX($M$1:$S$1, MATCH(MIN(M598:S598), M598:S598, 0))), 技能库!$A:$F, 6, 0),"请针对该题型加强练习"), "🎉 表现优异，无明显弱项！"))</f>
        <v/>
      </c>
    </row>
    <row r="599" spans="10:27" ht="18" hidden="1" customHeight="1" x14ac:dyDescent="0.2">
      <c r="J599" t="str">
        <f t="shared" si="27"/>
        <v/>
      </c>
      <c r="K599" t="str">
        <f>IF(J599="","", IFERROR(VLOOKUP(J599, IF(D599="Movers", 换算标准!$C:$D, 换算标准!$I:$J), 2, TRUE), 0))</f>
        <v/>
      </c>
      <c r="T599" t="str">
        <f t="shared" si="28"/>
        <v/>
      </c>
      <c r="U599" t="str">
        <f>IF(T599="","", IFERROR(VLOOKUP(T599, IF(D599="Movers", 换算标准!$A:$B, 换算标准!$G:$H), 2, TRUE), 0))</f>
        <v/>
      </c>
      <c r="W599" t="str">
        <f t="shared" si="29"/>
        <v/>
      </c>
      <c r="Z599" s="5" t="str">
        <f>IF(J599="","", IF(K599&lt;=3, "⚠️ 薄弱环节: "&amp;INDEX($E$1:$I$1, MATCH(MIN(E599:I599), E599:I599, 0))&amp;CHAR(10)&amp;"📉 考察能力: "&amp;IFERROR(VLOOKUP(TRIM(D599)&amp;"_"&amp;TRIM(INDEX($E$1:$I$1, MATCH(MIN(E599:I599), E599:I599, 0))), 技能库!$A:$F, 5, 0),"建议查阅考纲")&amp;CHAR(10)&amp;"💡 提升建议: "&amp;IFERROR(VLOOKUP(TRIM(D599)&amp;"_"&amp;TRIM(INDEX($E$1:$I$1, MATCH(MIN(E599:I599), E599:I599, 0))), 技能库!$A:$F, 6, 0),"请针对该题型加强练习"), "🎉 表现优异，无明显弱项！"))</f>
        <v/>
      </c>
      <c r="AA599" s="5" t="str">
        <f>IF(T599="","", IF(U599&lt;=3, "⚠️ 薄弱环节: "&amp;INDEX($M$1:$S$1, MATCH(MIN(M599:S599), M599:S599, 0))&amp;CHAR(10)&amp;"📉 考察能力: "&amp;IFERROR(VLOOKUP(TRIM(D599)&amp;"_"&amp;TRIM(INDEX($M$1:$S$1, MATCH(MIN(M599:S599), M599:S599, 0))), 技能库!$A:$F, 5, 0),"建议查阅考纲")&amp;CHAR(10)&amp;"💡 提升建议: "&amp;IFERROR(VLOOKUP(TRIM(D599)&amp;"_"&amp;TRIM(INDEX($M$1:$S$1, MATCH(MIN(M599:S599), M599:S599, 0))), 技能库!$A:$F, 6, 0),"请针对该题型加强练习"), "🎉 表现优异，无明显弱项！"))</f>
        <v/>
      </c>
    </row>
    <row r="600" spans="10:27" ht="18" hidden="1" customHeight="1" x14ac:dyDescent="0.2">
      <c r="J600" t="str">
        <f t="shared" si="27"/>
        <v/>
      </c>
      <c r="K600" t="str">
        <f>IF(J600="","", IFERROR(VLOOKUP(J600, IF(D600="Movers", 换算标准!$C:$D, 换算标准!$I:$J), 2, TRUE), 0))</f>
        <v/>
      </c>
      <c r="T600" t="str">
        <f t="shared" si="28"/>
        <v/>
      </c>
      <c r="U600" t="str">
        <f>IF(T600="","", IFERROR(VLOOKUP(T600, IF(D600="Movers", 换算标准!$A:$B, 换算标准!$G:$H), 2, TRUE), 0))</f>
        <v/>
      </c>
      <c r="W600" t="str">
        <f t="shared" si="29"/>
        <v/>
      </c>
      <c r="Z600" s="5" t="str">
        <f>IF(J600="","", IF(K600&lt;=3, "⚠️ 薄弱环节: "&amp;INDEX($E$1:$I$1, MATCH(MIN(E600:I600), E600:I600, 0))&amp;CHAR(10)&amp;"📉 考察能力: "&amp;IFERROR(VLOOKUP(TRIM(D600)&amp;"_"&amp;TRIM(INDEX($E$1:$I$1, MATCH(MIN(E600:I600), E600:I600, 0))), 技能库!$A:$F, 5, 0),"建议查阅考纲")&amp;CHAR(10)&amp;"💡 提升建议: "&amp;IFERROR(VLOOKUP(TRIM(D600)&amp;"_"&amp;TRIM(INDEX($E$1:$I$1, MATCH(MIN(E600:I600), E600:I600, 0))), 技能库!$A:$F, 6, 0),"请针对该题型加强练习"), "🎉 表现优异，无明显弱项！"))</f>
        <v/>
      </c>
      <c r="AA600" s="5" t="str">
        <f>IF(T600="","", IF(U600&lt;=3, "⚠️ 薄弱环节: "&amp;INDEX($M$1:$S$1, MATCH(MIN(M600:S600), M600:S600, 0))&amp;CHAR(10)&amp;"📉 考察能力: "&amp;IFERROR(VLOOKUP(TRIM(D600)&amp;"_"&amp;TRIM(INDEX($M$1:$S$1, MATCH(MIN(M600:S600), M600:S600, 0))), 技能库!$A:$F, 5, 0),"建议查阅考纲")&amp;CHAR(10)&amp;"💡 提升建议: "&amp;IFERROR(VLOOKUP(TRIM(D600)&amp;"_"&amp;TRIM(INDEX($M$1:$S$1, MATCH(MIN(M600:S600), M600:S600, 0))), 技能库!$A:$F, 6, 0),"请针对该题型加强练习"), "🎉 表现优异，无明显弱项！"))</f>
        <v/>
      </c>
    </row>
    <row r="601" spans="10:27" ht="18" hidden="1" customHeight="1" x14ac:dyDescent="0.2">
      <c r="J601" t="str">
        <f t="shared" si="27"/>
        <v/>
      </c>
      <c r="K601" t="str">
        <f>IF(J601="","", IFERROR(VLOOKUP(J601, IF(D601="Movers", 换算标准!$C:$D, 换算标准!$I:$J), 2, TRUE), 0))</f>
        <v/>
      </c>
      <c r="T601" t="str">
        <f t="shared" si="28"/>
        <v/>
      </c>
      <c r="U601" t="str">
        <f>IF(T601="","", IFERROR(VLOOKUP(T601, IF(D601="Movers", 换算标准!$A:$B, 换算标准!$G:$H), 2, TRUE), 0))</f>
        <v/>
      </c>
      <c r="W601" t="str">
        <f t="shared" si="29"/>
        <v/>
      </c>
      <c r="Z601" s="5" t="str">
        <f>IF(J601="","", IF(K601&lt;=3, "⚠️ 薄弱环节: "&amp;INDEX($E$1:$I$1, MATCH(MIN(E601:I601), E601:I601, 0))&amp;CHAR(10)&amp;"📉 考察能力: "&amp;IFERROR(VLOOKUP(TRIM(D601)&amp;"_"&amp;TRIM(INDEX($E$1:$I$1, MATCH(MIN(E601:I601), E601:I601, 0))), 技能库!$A:$F, 5, 0),"建议查阅考纲")&amp;CHAR(10)&amp;"💡 提升建议: "&amp;IFERROR(VLOOKUP(TRIM(D601)&amp;"_"&amp;TRIM(INDEX($E$1:$I$1, MATCH(MIN(E601:I601), E601:I601, 0))), 技能库!$A:$F, 6, 0),"请针对该题型加强练习"), "🎉 表现优异，无明显弱项！"))</f>
        <v/>
      </c>
      <c r="AA601" s="5" t="str">
        <f>IF(T601="","", IF(U601&lt;=3, "⚠️ 薄弱环节: "&amp;INDEX($M$1:$S$1, MATCH(MIN(M601:S601), M601:S601, 0))&amp;CHAR(10)&amp;"📉 考察能力: "&amp;IFERROR(VLOOKUP(TRIM(D601)&amp;"_"&amp;TRIM(INDEX($M$1:$S$1, MATCH(MIN(M601:S601), M601:S601, 0))), 技能库!$A:$F, 5, 0),"建议查阅考纲")&amp;CHAR(10)&amp;"💡 提升建议: "&amp;IFERROR(VLOOKUP(TRIM(D601)&amp;"_"&amp;TRIM(INDEX($M$1:$S$1, MATCH(MIN(M601:S601), M601:S601, 0))), 技能库!$A:$F, 6, 0),"请针对该题型加强练习"), "🎉 表现优异，无明显弱项！"))</f>
        <v/>
      </c>
    </row>
    <row r="602" spans="10:27" ht="18" hidden="1" customHeight="1" x14ac:dyDescent="0.2">
      <c r="J602" t="str">
        <f t="shared" si="27"/>
        <v/>
      </c>
      <c r="K602" t="str">
        <f>IF(J602="","", IFERROR(VLOOKUP(J602, IF(D602="Movers", 换算标准!$C:$D, 换算标准!$I:$J), 2, TRUE), 0))</f>
        <v/>
      </c>
      <c r="T602" t="str">
        <f t="shared" si="28"/>
        <v/>
      </c>
      <c r="U602" t="str">
        <f>IF(T602="","", IFERROR(VLOOKUP(T602, IF(D602="Movers", 换算标准!$A:$B, 换算标准!$G:$H), 2, TRUE), 0))</f>
        <v/>
      </c>
      <c r="W602" t="str">
        <f t="shared" si="29"/>
        <v/>
      </c>
      <c r="Z602" s="5" t="str">
        <f>IF(J602="","", IF(K602&lt;=3, "⚠️ 薄弱环节: "&amp;INDEX($E$1:$I$1, MATCH(MIN(E602:I602), E602:I602, 0))&amp;CHAR(10)&amp;"📉 考察能力: "&amp;IFERROR(VLOOKUP(TRIM(D602)&amp;"_"&amp;TRIM(INDEX($E$1:$I$1, MATCH(MIN(E602:I602), E602:I602, 0))), 技能库!$A:$F, 5, 0),"建议查阅考纲")&amp;CHAR(10)&amp;"💡 提升建议: "&amp;IFERROR(VLOOKUP(TRIM(D602)&amp;"_"&amp;TRIM(INDEX($E$1:$I$1, MATCH(MIN(E602:I602), E602:I602, 0))), 技能库!$A:$F, 6, 0),"请针对该题型加强练习"), "🎉 表现优异，无明显弱项！"))</f>
        <v/>
      </c>
      <c r="AA602" s="5" t="str">
        <f>IF(T602="","", IF(U602&lt;=3, "⚠️ 薄弱环节: "&amp;INDEX($M$1:$S$1, MATCH(MIN(M602:S602), M602:S602, 0))&amp;CHAR(10)&amp;"📉 考察能力: "&amp;IFERROR(VLOOKUP(TRIM(D602)&amp;"_"&amp;TRIM(INDEX($M$1:$S$1, MATCH(MIN(M602:S602), M602:S602, 0))), 技能库!$A:$F, 5, 0),"建议查阅考纲")&amp;CHAR(10)&amp;"💡 提升建议: "&amp;IFERROR(VLOOKUP(TRIM(D602)&amp;"_"&amp;TRIM(INDEX($M$1:$S$1, MATCH(MIN(M602:S602), M602:S602, 0))), 技能库!$A:$F, 6, 0),"请针对该题型加强练习"), "🎉 表现优异，无明显弱项！"))</f>
        <v/>
      </c>
    </row>
    <row r="603" spans="10:27" ht="18" hidden="1" customHeight="1" x14ac:dyDescent="0.2">
      <c r="J603" t="str">
        <f t="shared" si="27"/>
        <v/>
      </c>
      <c r="K603" t="str">
        <f>IF(J603="","", IFERROR(VLOOKUP(J603, IF(D603="Movers", 换算标准!$C:$D, 换算标准!$I:$J), 2, TRUE), 0))</f>
        <v/>
      </c>
      <c r="T603" t="str">
        <f t="shared" si="28"/>
        <v/>
      </c>
      <c r="U603" t="str">
        <f>IF(T603="","", IFERROR(VLOOKUP(T603, IF(D603="Movers", 换算标准!$A:$B, 换算标准!$G:$H), 2, TRUE), 0))</f>
        <v/>
      </c>
      <c r="W603" t="str">
        <f t="shared" si="29"/>
        <v/>
      </c>
      <c r="Z603" s="5" t="str">
        <f>IF(J603="","", IF(K603&lt;=3, "⚠️ 薄弱环节: "&amp;INDEX($E$1:$I$1, MATCH(MIN(E603:I603), E603:I603, 0))&amp;CHAR(10)&amp;"📉 考察能力: "&amp;IFERROR(VLOOKUP(TRIM(D603)&amp;"_"&amp;TRIM(INDEX($E$1:$I$1, MATCH(MIN(E603:I603), E603:I603, 0))), 技能库!$A:$F, 5, 0),"建议查阅考纲")&amp;CHAR(10)&amp;"💡 提升建议: "&amp;IFERROR(VLOOKUP(TRIM(D603)&amp;"_"&amp;TRIM(INDEX($E$1:$I$1, MATCH(MIN(E603:I603), E603:I603, 0))), 技能库!$A:$F, 6, 0),"请针对该题型加强练习"), "🎉 表现优异，无明显弱项！"))</f>
        <v/>
      </c>
      <c r="AA603" s="5" t="str">
        <f>IF(T603="","", IF(U603&lt;=3, "⚠️ 薄弱环节: "&amp;INDEX($M$1:$S$1, MATCH(MIN(M603:S603), M603:S603, 0))&amp;CHAR(10)&amp;"📉 考察能力: "&amp;IFERROR(VLOOKUP(TRIM(D603)&amp;"_"&amp;TRIM(INDEX($M$1:$S$1, MATCH(MIN(M603:S603), M603:S603, 0))), 技能库!$A:$F, 5, 0),"建议查阅考纲")&amp;CHAR(10)&amp;"💡 提升建议: "&amp;IFERROR(VLOOKUP(TRIM(D603)&amp;"_"&amp;TRIM(INDEX($M$1:$S$1, MATCH(MIN(M603:S603), M603:S603, 0))), 技能库!$A:$F, 6, 0),"请针对该题型加强练习"), "🎉 表现优异，无明显弱项！"))</f>
        <v/>
      </c>
    </row>
    <row r="604" spans="10:27" ht="18" hidden="1" customHeight="1" x14ac:dyDescent="0.2">
      <c r="J604" t="str">
        <f t="shared" si="27"/>
        <v/>
      </c>
      <c r="K604" t="str">
        <f>IF(J604="","", IFERROR(VLOOKUP(J604, IF(D604="Movers", 换算标准!$C:$D, 换算标准!$I:$J), 2, TRUE), 0))</f>
        <v/>
      </c>
      <c r="T604" t="str">
        <f t="shared" si="28"/>
        <v/>
      </c>
      <c r="U604" t="str">
        <f>IF(T604="","", IFERROR(VLOOKUP(T604, IF(D604="Movers", 换算标准!$A:$B, 换算标准!$G:$H), 2, TRUE), 0))</f>
        <v/>
      </c>
      <c r="W604" t="str">
        <f t="shared" si="29"/>
        <v/>
      </c>
      <c r="Z604" s="5" t="str">
        <f>IF(J604="","", IF(K604&lt;=3, "⚠️ 薄弱环节: "&amp;INDEX($E$1:$I$1, MATCH(MIN(E604:I604), E604:I604, 0))&amp;CHAR(10)&amp;"📉 考察能力: "&amp;IFERROR(VLOOKUP(TRIM(D604)&amp;"_"&amp;TRIM(INDEX($E$1:$I$1, MATCH(MIN(E604:I604), E604:I604, 0))), 技能库!$A:$F, 5, 0),"建议查阅考纲")&amp;CHAR(10)&amp;"💡 提升建议: "&amp;IFERROR(VLOOKUP(TRIM(D604)&amp;"_"&amp;TRIM(INDEX($E$1:$I$1, MATCH(MIN(E604:I604), E604:I604, 0))), 技能库!$A:$F, 6, 0),"请针对该题型加强练习"), "🎉 表现优异，无明显弱项！"))</f>
        <v/>
      </c>
      <c r="AA604" s="5" t="str">
        <f>IF(T604="","", IF(U604&lt;=3, "⚠️ 薄弱环节: "&amp;INDEX($M$1:$S$1, MATCH(MIN(M604:S604), M604:S604, 0))&amp;CHAR(10)&amp;"📉 考察能力: "&amp;IFERROR(VLOOKUP(TRIM(D604)&amp;"_"&amp;TRIM(INDEX($M$1:$S$1, MATCH(MIN(M604:S604), M604:S604, 0))), 技能库!$A:$F, 5, 0),"建议查阅考纲")&amp;CHAR(10)&amp;"💡 提升建议: "&amp;IFERROR(VLOOKUP(TRIM(D604)&amp;"_"&amp;TRIM(INDEX($M$1:$S$1, MATCH(MIN(M604:S604), M604:S604, 0))), 技能库!$A:$F, 6, 0),"请针对该题型加强练习"), "🎉 表现优异，无明显弱项！"))</f>
        <v/>
      </c>
    </row>
    <row r="605" spans="10:27" ht="18" hidden="1" customHeight="1" x14ac:dyDescent="0.2">
      <c r="J605" t="str">
        <f t="shared" si="27"/>
        <v/>
      </c>
      <c r="K605" t="str">
        <f>IF(J605="","", IFERROR(VLOOKUP(J605, IF(D605="Movers", 换算标准!$C:$D, 换算标准!$I:$J), 2, TRUE), 0))</f>
        <v/>
      </c>
      <c r="T605" t="str">
        <f t="shared" si="28"/>
        <v/>
      </c>
      <c r="U605" t="str">
        <f>IF(T605="","", IFERROR(VLOOKUP(T605, IF(D605="Movers", 换算标准!$A:$B, 换算标准!$G:$H), 2, TRUE), 0))</f>
        <v/>
      </c>
      <c r="W605" t="str">
        <f t="shared" si="29"/>
        <v/>
      </c>
      <c r="Z605" s="5" t="str">
        <f>IF(J605="","", IF(K605&lt;=3, "⚠️ 薄弱环节: "&amp;INDEX($E$1:$I$1, MATCH(MIN(E605:I605), E605:I605, 0))&amp;CHAR(10)&amp;"📉 考察能力: "&amp;IFERROR(VLOOKUP(TRIM(D605)&amp;"_"&amp;TRIM(INDEX($E$1:$I$1, MATCH(MIN(E605:I605), E605:I605, 0))), 技能库!$A:$F, 5, 0),"建议查阅考纲")&amp;CHAR(10)&amp;"💡 提升建议: "&amp;IFERROR(VLOOKUP(TRIM(D605)&amp;"_"&amp;TRIM(INDEX($E$1:$I$1, MATCH(MIN(E605:I605), E605:I605, 0))), 技能库!$A:$F, 6, 0),"请针对该题型加强练习"), "🎉 表现优异，无明显弱项！"))</f>
        <v/>
      </c>
      <c r="AA605" s="5" t="str">
        <f>IF(T605="","", IF(U605&lt;=3, "⚠️ 薄弱环节: "&amp;INDEX($M$1:$S$1, MATCH(MIN(M605:S605), M605:S605, 0))&amp;CHAR(10)&amp;"📉 考察能力: "&amp;IFERROR(VLOOKUP(TRIM(D605)&amp;"_"&amp;TRIM(INDEX($M$1:$S$1, MATCH(MIN(M605:S605), M605:S605, 0))), 技能库!$A:$F, 5, 0),"建议查阅考纲")&amp;CHAR(10)&amp;"💡 提升建议: "&amp;IFERROR(VLOOKUP(TRIM(D605)&amp;"_"&amp;TRIM(INDEX($M$1:$S$1, MATCH(MIN(M605:S605), M605:S605, 0))), 技能库!$A:$F, 6, 0),"请针对该题型加强练习"), "🎉 表现优异，无明显弱项！"))</f>
        <v/>
      </c>
    </row>
    <row r="606" spans="10:27" ht="18" hidden="1" customHeight="1" x14ac:dyDescent="0.2">
      <c r="J606" t="str">
        <f t="shared" si="27"/>
        <v/>
      </c>
      <c r="K606" t="str">
        <f>IF(J606="","", IFERROR(VLOOKUP(J606, IF(D606="Movers", 换算标准!$C:$D, 换算标准!$I:$J), 2, TRUE), 0))</f>
        <v/>
      </c>
      <c r="T606" t="str">
        <f t="shared" si="28"/>
        <v/>
      </c>
      <c r="U606" t="str">
        <f>IF(T606="","", IFERROR(VLOOKUP(T606, IF(D606="Movers", 换算标准!$A:$B, 换算标准!$G:$H), 2, TRUE), 0))</f>
        <v/>
      </c>
      <c r="W606" t="str">
        <f t="shared" si="29"/>
        <v/>
      </c>
      <c r="Z606" s="5" t="str">
        <f>IF(J606="","", IF(K606&lt;=3, "⚠️ 薄弱环节: "&amp;INDEX($E$1:$I$1, MATCH(MIN(E606:I606), E606:I606, 0))&amp;CHAR(10)&amp;"📉 考察能力: "&amp;IFERROR(VLOOKUP(TRIM(D606)&amp;"_"&amp;TRIM(INDEX($E$1:$I$1, MATCH(MIN(E606:I606), E606:I606, 0))), 技能库!$A:$F, 5, 0),"建议查阅考纲")&amp;CHAR(10)&amp;"💡 提升建议: "&amp;IFERROR(VLOOKUP(TRIM(D606)&amp;"_"&amp;TRIM(INDEX($E$1:$I$1, MATCH(MIN(E606:I606), E606:I606, 0))), 技能库!$A:$F, 6, 0),"请针对该题型加强练习"), "🎉 表现优异，无明显弱项！"))</f>
        <v/>
      </c>
      <c r="AA606" s="5" t="str">
        <f>IF(T606="","", IF(U606&lt;=3, "⚠️ 薄弱环节: "&amp;INDEX($M$1:$S$1, MATCH(MIN(M606:S606), M606:S606, 0))&amp;CHAR(10)&amp;"📉 考察能力: "&amp;IFERROR(VLOOKUP(TRIM(D606)&amp;"_"&amp;TRIM(INDEX($M$1:$S$1, MATCH(MIN(M606:S606), M606:S606, 0))), 技能库!$A:$F, 5, 0),"建议查阅考纲")&amp;CHAR(10)&amp;"💡 提升建议: "&amp;IFERROR(VLOOKUP(TRIM(D606)&amp;"_"&amp;TRIM(INDEX($M$1:$S$1, MATCH(MIN(M606:S606), M606:S606, 0))), 技能库!$A:$F, 6, 0),"请针对该题型加强练习"), "🎉 表现优异，无明显弱项！"))</f>
        <v/>
      </c>
    </row>
    <row r="607" spans="10:27" ht="18" hidden="1" customHeight="1" x14ac:dyDescent="0.2">
      <c r="J607" t="str">
        <f t="shared" si="27"/>
        <v/>
      </c>
      <c r="K607" t="str">
        <f>IF(J607="","", IFERROR(VLOOKUP(J607, IF(D607="Movers", 换算标准!$C:$D, 换算标准!$I:$J), 2, TRUE), 0))</f>
        <v/>
      </c>
      <c r="T607" t="str">
        <f t="shared" si="28"/>
        <v/>
      </c>
      <c r="U607" t="str">
        <f>IF(T607="","", IFERROR(VLOOKUP(T607, IF(D607="Movers", 换算标准!$A:$B, 换算标准!$G:$H), 2, TRUE), 0))</f>
        <v/>
      </c>
      <c r="W607" t="str">
        <f t="shared" si="29"/>
        <v/>
      </c>
      <c r="Z607" s="5" t="str">
        <f>IF(J607="","", IF(K607&lt;=3, "⚠️ 薄弱环节: "&amp;INDEX($E$1:$I$1, MATCH(MIN(E607:I607), E607:I607, 0))&amp;CHAR(10)&amp;"📉 考察能力: "&amp;IFERROR(VLOOKUP(TRIM(D607)&amp;"_"&amp;TRIM(INDEX($E$1:$I$1, MATCH(MIN(E607:I607), E607:I607, 0))), 技能库!$A:$F, 5, 0),"建议查阅考纲")&amp;CHAR(10)&amp;"💡 提升建议: "&amp;IFERROR(VLOOKUP(TRIM(D607)&amp;"_"&amp;TRIM(INDEX($E$1:$I$1, MATCH(MIN(E607:I607), E607:I607, 0))), 技能库!$A:$F, 6, 0),"请针对该题型加强练习"), "🎉 表现优异，无明显弱项！"))</f>
        <v/>
      </c>
      <c r="AA607" s="5" t="str">
        <f>IF(T607="","", IF(U607&lt;=3, "⚠️ 薄弱环节: "&amp;INDEX($M$1:$S$1, MATCH(MIN(M607:S607), M607:S607, 0))&amp;CHAR(10)&amp;"📉 考察能力: "&amp;IFERROR(VLOOKUP(TRIM(D607)&amp;"_"&amp;TRIM(INDEX($M$1:$S$1, MATCH(MIN(M607:S607), M607:S607, 0))), 技能库!$A:$F, 5, 0),"建议查阅考纲")&amp;CHAR(10)&amp;"💡 提升建议: "&amp;IFERROR(VLOOKUP(TRIM(D607)&amp;"_"&amp;TRIM(INDEX($M$1:$S$1, MATCH(MIN(M607:S607), M607:S607, 0))), 技能库!$A:$F, 6, 0),"请针对该题型加强练习"), "🎉 表现优异，无明显弱项！"))</f>
        <v/>
      </c>
    </row>
    <row r="608" spans="10:27" ht="18" hidden="1" customHeight="1" x14ac:dyDescent="0.2">
      <c r="J608" t="str">
        <f t="shared" si="27"/>
        <v/>
      </c>
      <c r="K608" t="str">
        <f>IF(J608="","", IFERROR(VLOOKUP(J608, IF(D608="Movers", 换算标准!$C:$D, 换算标准!$I:$J), 2, TRUE), 0))</f>
        <v/>
      </c>
      <c r="T608" t="str">
        <f t="shared" si="28"/>
        <v/>
      </c>
      <c r="U608" t="str">
        <f>IF(T608="","", IFERROR(VLOOKUP(T608, IF(D608="Movers", 换算标准!$A:$B, 换算标准!$G:$H), 2, TRUE), 0))</f>
        <v/>
      </c>
      <c r="W608" t="str">
        <f t="shared" si="29"/>
        <v/>
      </c>
      <c r="Z608" s="5" t="str">
        <f>IF(J608="","", IF(K608&lt;=3, "⚠️ 薄弱环节: "&amp;INDEX($E$1:$I$1, MATCH(MIN(E608:I608), E608:I608, 0))&amp;CHAR(10)&amp;"📉 考察能力: "&amp;IFERROR(VLOOKUP(TRIM(D608)&amp;"_"&amp;TRIM(INDEX($E$1:$I$1, MATCH(MIN(E608:I608), E608:I608, 0))), 技能库!$A:$F, 5, 0),"建议查阅考纲")&amp;CHAR(10)&amp;"💡 提升建议: "&amp;IFERROR(VLOOKUP(TRIM(D608)&amp;"_"&amp;TRIM(INDEX($E$1:$I$1, MATCH(MIN(E608:I608), E608:I608, 0))), 技能库!$A:$F, 6, 0),"请针对该题型加强练习"), "🎉 表现优异，无明显弱项！"))</f>
        <v/>
      </c>
      <c r="AA608" s="5" t="str">
        <f>IF(T608="","", IF(U608&lt;=3, "⚠️ 薄弱环节: "&amp;INDEX($M$1:$S$1, MATCH(MIN(M608:S608), M608:S608, 0))&amp;CHAR(10)&amp;"📉 考察能力: "&amp;IFERROR(VLOOKUP(TRIM(D608)&amp;"_"&amp;TRIM(INDEX($M$1:$S$1, MATCH(MIN(M608:S608), M608:S608, 0))), 技能库!$A:$F, 5, 0),"建议查阅考纲")&amp;CHAR(10)&amp;"💡 提升建议: "&amp;IFERROR(VLOOKUP(TRIM(D608)&amp;"_"&amp;TRIM(INDEX($M$1:$S$1, MATCH(MIN(M608:S608), M608:S608, 0))), 技能库!$A:$F, 6, 0),"请针对该题型加强练习"), "🎉 表现优异，无明显弱项！"))</f>
        <v/>
      </c>
    </row>
    <row r="609" spans="10:27" ht="18" hidden="1" customHeight="1" x14ac:dyDescent="0.2">
      <c r="J609" t="str">
        <f t="shared" si="27"/>
        <v/>
      </c>
      <c r="K609" t="str">
        <f>IF(J609="","", IFERROR(VLOOKUP(J609, IF(D609="Movers", 换算标准!$C:$D, 换算标准!$I:$J), 2, TRUE), 0))</f>
        <v/>
      </c>
      <c r="T609" t="str">
        <f t="shared" si="28"/>
        <v/>
      </c>
      <c r="U609" t="str">
        <f>IF(T609="","", IFERROR(VLOOKUP(T609, IF(D609="Movers", 换算标准!$A:$B, 换算标准!$G:$H), 2, TRUE), 0))</f>
        <v/>
      </c>
      <c r="W609" t="str">
        <f t="shared" si="29"/>
        <v/>
      </c>
      <c r="Z609" s="5" t="str">
        <f>IF(J609="","", IF(K609&lt;=3, "⚠️ 薄弱环节: "&amp;INDEX($E$1:$I$1, MATCH(MIN(E609:I609), E609:I609, 0))&amp;CHAR(10)&amp;"📉 考察能力: "&amp;IFERROR(VLOOKUP(TRIM(D609)&amp;"_"&amp;TRIM(INDEX($E$1:$I$1, MATCH(MIN(E609:I609), E609:I609, 0))), 技能库!$A:$F, 5, 0),"建议查阅考纲")&amp;CHAR(10)&amp;"💡 提升建议: "&amp;IFERROR(VLOOKUP(TRIM(D609)&amp;"_"&amp;TRIM(INDEX($E$1:$I$1, MATCH(MIN(E609:I609), E609:I609, 0))), 技能库!$A:$F, 6, 0),"请针对该题型加强练习"), "🎉 表现优异，无明显弱项！"))</f>
        <v/>
      </c>
      <c r="AA609" s="5" t="str">
        <f>IF(T609="","", IF(U609&lt;=3, "⚠️ 薄弱环节: "&amp;INDEX($M$1:$S$1, MATCH(MIN(M609:S609), M609:S609, 0))&amp;CHAR(10)&amp;"📉 考察能力: "&amp;IFERROR(VLOOKUP(TRIM(D609)&amp;"_"&amp;TRIM(INDEX($M$1:$S$1, MATCH(MIN(M609:S609), M609:S609, 0))), 技能库!$A:$F, 5, 0),"建议查阅考纲")&amp;CHAR(10)&amp;"💡 提升建议: "&amp;IFERROR(VLOOKUP(TRIM(D609)&amp;"_"&amp;TRIM(INDEX($M$1:$S$1, MATCH(MIN(M609:S609), M609:S609, 0))), 技能库!$A:$F, 6, 0),"请针对该题型加强练习"), "🎉 表现优异，无明显弱项！"))</f>
        <v/>
      </c>
    </row>
    <row r="610" spans="10:27" ht="18" hidden="1" customHeight="1" x14ac:dyDescent="0.2">
      <c r="J610" t="str">
        <f t="shared" si="27"/>
        <v/>
      </c>
      <c r="K610" t="str">
        <f>IF(J610="","", IFERROR(VLOOKUP(J610, IF(D610="Movers", 换算标准!$C:$D, 换算标准!$I:$J), 2, TRUE), 0))</f>
        <v/>
      </c>
      <c r="T610" t="str">
        <f t="shared" si="28"/>
        <v/>
      </c>
      <c r="U610" t="str">
        <f>IF(T610="","", IFERROR(VLOOKUP(T610, IF(D610="Movers", 换算标准!$A:$B, 换算标准!$G:$H), 2, TRUE), 0))</f>
        <v/>
      </c>
      <c r="W610" t="str">
        <f t="shared" si="29"/>
        <v/>
      </c>
      <c r="Z610" s="5" t="str">
        <f>IF(J610="","", IF(K610&lt;=3, "⚠️ 薄弱环节: "&amp;INDEX($E$1:$I$1, MATCH(MIN(E610:I610), E610:I610, 0))&amp;CHAR(10)&amp;"📉 考察能力: "&amp;IFERROR(VLOOKUP(TRIM(D610)&amp;"_"&amp;TRIM(INDEX($E$1:$I$1, MATCH(MIN(E610:I610), E610:I610, 0))), 技能库!$A:$F, 5, 0),"建议查阅考纲")&amp;CHAR(10)&amp;"💡 提升建议: "&amp;IFERROR(VLOOKUP(TRIM(D610)&amp;"_"&amp;TRIM(INDEX($E$1:$I$1, MATCH(MIN(E610:I610), E610:I610, 0))), 技能库!$A:$F, 6, 0),"请针对该题型加强练习"), "🎉 表现优异，无明显弱项！"))</f>
        <v/>
      </c>
      <c r="AA610" s="5" t="str">
        <f>IF(T610="","", IF(U610&lt;=3, "⚠️ 薄弱环节: "&amp;INDEX($M$1:$S$1, MATCH(MIN(M610:S610), M610:S610, 0))&amp;CHAR(10)&amp;"📉 考察能力: "&amp;IFERROR(VLOOKUP(TRIM(D610)&amp;"_"&amp;TRIM(INDEX($M$1:$S$1, MATCH(MIN(M610:S610), M610:S610, 0))), 技能库!$A:$F, 5, 0),"建议查阅考纲")&amp;CHAR(10)&amp;"💡 提升建议: "&amp;IFERROR(VLOOKUP(TRIM(D610)&amp;"_"&amp;TRIM(INDEX($M$1:$S$1, MATCH(MIN(M610:S610), M610:S610, 0))), 技能库!$A:$F, 6, 0),"请针对该题型加强练习"), "🎉 表现优异，无明显弱项！"))</f>
        <v/>
      </c>
    </row>
    <row r="611" spans="10:27" ht="18" hidden="1" customHeight="1" x14ac:dyDescent="0.2">
      <c r="J611" t="str">
        <f t="shared" si="27"/>
        <v/>
      </c>
      <c r="K611" t="str">
        <f>IF(J611="","", IFERROR(VLOOKUP(J611, IF(D611="Movers", 换算标准!$C:$D, 换算标准!$I:$J), 2, TRUE), 0))</f>
        <v/>
      </c>
      <c r="T611" t="str">
        <f t="shared" si="28"/>
        <v/>
      </c>
      <c r="U611" t="str">
        <f>IF(T611="","", IFERROR(VLOOKUP(T611, IF(D611="Movers", 换算标准!$A:$B, 换算标准!$G:$H), 2, TRUE), 0))</f>
        <v/>
      </c>
      <c r="W611" t="str">
        <f t="shared" si="29"/>
        <v/>
      </c>
      <c r="Z611" s="5" t="str">
        <f>IF(J611="","", IF(K611&lt;=3, "⚠️ 薄弱环节: "&amp;INDEX($E$1:$I$1, MATCH(MIN(E611:I611), E611:I611, 0))&amp;CHAR(10)&amp;"📉 考察能力: "&amp;IFERROR(VLOOKUP(TRIM(D611)&amp;"_"&amp;TRIM(INDEX($E$1:$I$1, MATCH(MIN(E611:I611), E611:I611, 0))), 技能库!$A:$F, 5, 0),"建议查阅考纲")&amp;CHAR(10)&amp;"💡 提升建议: "&amp;IFERROR(VLOOKUP(TRIM(D611)&amp;"_"&amp;TRIM(INDEX($E$1:$I$1, MATCH(MIN(E611:I611), E611:I611, 0))), 技能库!$A:$F, 6, 0),"请针对该题型加强练习"), "🎉 表现优异，无明显弱项！"))</f>
        <v/>
      </c>
      <c r="AA611" s="5" t="str">
        <f>IF(T611="","", IF(U611&lt;=3, "⚠️ 薄弱环节: "&amp;INDEX($M$1:$S$1, MATCH(MIN(M611:S611), M611:S611, 0))&amp;CHAR(10)&amp;"📉 考察能力: "&amp;IFERROR(VLOOKUP(TRIM(D611)&amp;"_"&amp;TRIM(INDEX($M$1:$S$1, MATCH(MIN(M611:S611), M611:S611, 0))), 技能库!$A:$F, 5, 0),"建议查阅考纲")&amp;CHAR(10)&amp;"💡 提升建议: "&amp;IFERROR(VLOOKUP(TRIM(D611)&amp;"_"&amp;TRIM(INDEX($M$1:$S$1, MATCH(MIN(M611:S611), M611:S611, 0))), 技能库!$A:$F, 6, 0),"请针对该题型加强练习"), "🎉 表现优异，无明显弱项！"))</f>
        <v/>
      </c>
    </row>
    <row r="612" spans="10:27" ht="18" hidden="1" customHeight="1" x14ac:dyDescent="0.2">
      <c r="J612" t="str">
        <f t="shared" si="27"/>
        <v/>
      </c>
      <c r="K612" t="str">
        <f>IF(J612="","", IFERROR(VLOOKUP(J612, IF(D612="Movers", 换算标准!$C:$D, 换算标准!$I:$J), 2, TRUE), 0))</f>
        <v/>
      </c>
      <c r="T612" t="str">
        <f t="shared" si="28"/>
        <v/>
      </c>
      <c r="U612" t="str">
        <f>IF(T612="","", IFERROR(VLOOKUP(T612, IF(D612="Movers", 换算标准!$A:$B, 换算标准!$G:$H), 2, TRUE), 0))</f>
        <v/>
      </c>
      <c r="W612" t="str">
        <f t="shared" si="29"/>
        <v/>
      </c>
      <c r="Z612" s="5" t="str">
        <f>IF(J612="","", IF(K612&lt;=3, "⚠️ 薄弱环节: "&amp;INDEX($E$1:$I$1, MATCH(MIN(E612:I612), E612:I612, 0))&amp;CHAR(10)&amp;"📉 考察能力: "&amp;IFERROR(VLOOKUP(TRIM(D612)&amp;"_"&amp;TRIM(INDEX($E$1:$I$1, MATCH(MIN(E612:I612), E612:I612, 0))), 技能库!$A:$F, 5, 0),"建议查阅考纲")&amp;CHAR(10)&amp;"💡 提升建议: "&amp;IFERROR(VLOOKUP(TRIM(D612)&amp;"_"&amp;TRIM(INDEX($E$1:$I$1, MATCH(MIN(E612:I612), E612:I612, 0))), 技能库!$A:$F, 6, 0),"请针对该题型加强练习"), "🎉 表现优异，无明显弱项！"))</f>
        <v/>
      </c>
      <c r="AA612" s="5" t="str">
        <f>IF(T612="","", IF(U612&lt;=3, "⚠️ 薄弱环节: "&amp;INDEX($M$1:$S$1, MATCH(MIN(M612:S612), M612:S612, 0))&amp;CHAR(10)&amp;"📉 考察能力: "&amp;IFERROR(VLOOKUP(TRIM(D612)&amp;"_"&amp;TRIM(INDEX($M$1:$S$1, MATCH(MIN(M612:S612), M612:S612, 0))), 技能库!$A:$F, 5, 0),"建议查阅考纲")&amp;CHAR(10)&amp;"💡 提升建议: "&amp;IFERROR(VLOOKUP(TRIM(D612)&amp;"_"&amp;TRIM(INDEX($M$1:$S$1, MATCH(MIN(M612:S612), M612:S612, 0))), 技能库!$A:$F, 6, 0),"请针对该题型加强练习"), "🎉 表现优异，无明显弱项！"))</f>
        <v/>
      </c>
    </row>
    <row r="613" spans="10:27" ht="18" hidden="1" customHeight="1" x14ac:dyDescent="0.2">
      <c r="J613" t="str">
        <f t="shared" si="27"/>
        <v/>
      </c>
      <c r="K613" t="str">
        <f>IF(J613="","", IFERROR(VLOOKUP(J613, IF(D613="Movers", 换算标准!$C:$D, 换算标准!$I:$J), 2, TRUE), 0))</f>
        <v/>
      </c>
      <c r="T613" t="str">
        <f t="shared" si="28"/>
        <v/>
      </c>
      <c r="U613" t="str">
        <f>IF(T613="","", IFERROR(VLOOKUP(T613, IF(D613="Movers", 换算标准!$A:$B, 换算标准!$G:$H), 2, TRUE), 0))</f>
        <v/>
      </c>
      <c r="W613" t="str">
        <f t="shared" si="29"/>
        <v/>
      </c>
      <c r="Z613" s="5" t="str">
        <f>IF(J613="","", IF(K613&lt;=3, "⚠️ 薄弱环节: "&amp;INDEX($E$1:$I$1, MATCH(MIN(E613:I613), E613:I613, 0))&amp;CHAR(10)&amp;"📉 考察能力: "&amp;IFERROR(VLOOKUP(TRIM(D613)&amp;"_"&amp;TRIM(INDEX($E$1:$I$1, MATCH(MIN(E613:I613), E613:I613, 0))), 技能库!$A:$F, 5, 0),"建议查阅考纲")&amp;CHAR(10)&amp;"💡 提升建议: "&amp;IFERROR(VLOOKUP(TRIM(D613)&amp;"_"&amp;TRIM(INDEX($E$1:$I$1, MATCH(MIN(E613:I613), E613:I613, 0))), 技能库!$A:$F, 6, 0),"请针对该题型加强练习"), "🎉 表现优异，无明显弱项！"))</f>
        <v/>
      </c>
      <c r="AA613" s="5" t="str">
        <f>IF(T613="","", IF(U613&lt;=3, "⚠️ 薄弱环节: "&amp;INDEX($M$1:$S$1, MATCH(MIN(M613:S613), M613:S613, 0))&amp;CHAR(10)&amp;"📉 考察能力: "&amp;IFERROR(VLOOKUP(TRIM(D613)&amp;"_"&amp;TRIM(INDEX($M$1:$S$1, MATCH(MIN(M613:S613), M613:S613, 0))), 技能库!$A:$F, 5, 0),"建议查阅考纲")&amp;CHAR(10)&amp;"💡 提升建议: "&amp;IFERROR(VLOOKUP(TRIM(D613)&amp;"_"&amp;TRIM(INDEX($M$1:$S$1, MATCH(MIN(M613:S613), M613:S613, 0))), 技能库!$A:$F, 6, 0),"请针对该题型加强练习"), "🎉 表现优异，无明显弱项！"))</f>
        <v/>
      </c>
    </row>
    <row r="614" spans="10:27" ht="18" hidden="1" customHeight="1" x14ac:dyDescent="0.2">
      <c r="J614" t="str">
        <f t="shared" si="27"/>
        <v/>
      </c>
      <c r="K614" t="str">
        <f>IF(J614="","", IFERROR(VLOOKUP(J614, IF(D614="Movers", 换算标准!$C:$D, 换算标准!$I:$J), 2, TRUE), 0))</f>
        <v/>
      </c>
      <c r="T614" t="str">
        <f t="shared" si="28"/>
        <v/>
      </c>
      <c r="U614" t="str">
        <f>IF(T614="","", IFERROR(VLOOKUP(T614, IF(D614="Movers", 换算标准!$A:$B, 换算标准!$G:$H), 2, TRUE), 0))</f>
        <v/>
      </c>
      <c r="W614" t="str">
        <f t="shared" si="29"/>
        <v/>
      </c>
      <c r="Z614" s="5" t="str">
        <f>IF(J614="","", IF(K614&lt;=3, "⚠️ 薄弱环节: "&amp;INDEX($E$1:$I$1, MATCH(MIN(E614:I614), E614:I614, 0))&amp;CHAR(10)&amp;"📉 考察能力: "&amp;IFERROR(VLOOKUP(TRIM(D614)&amp;"_"&amp;TRIM(INDEX($E$1:$I$1, MATCH(MIN(E614:I614), E614:I614, 0))), 技能库!$A:$F, 5, 0),"建议查阅考纲")&amp;CHAR(10)&amp;"💡 提升建议: "&amp;IFERROR(VLOOKUP(TRIM(D614)&amp;"_"&amp;TRIM(INDEX($E$1:$I$1, MATCH(MIN(E614:I614), E614:I614, 0))), 技能库!$A:$F, 6, 0),"请针对该题型加强练习"), "🎉 表现优异，无明显弱项！"))</f>
        <v/>
      </c>
      <c r="AA614" s="5" t="str">
        <f>IF(T614="","", IF(U614&lt;=3, "⚠️ 薄弱环节: "&amp;INDEX($M$1:$S$1, MATCH(MIN(M614:S614), M614:S614, 0))&amp;CHAR(10)&amp;"📉 考察能力: "&amp;IFERROR(VLOOKUP(TRIM(D614)&amp;"_"&amp;TRIM(INDEX($M$1:$S$1, MATCH(MIN(M614:S614), M614:S614, 0))), 技能库!$A:$F, 5, 0),"建议查阅考纲")&amp;CHAR(10)&amp;"💡 提升建议: "&amp;IFERROR(VLOOKUP(TRIM(D614)&amp;"_"&amp;TRIM(INDEX($M$1:$S$1, MATCH(MIN(M614:S614), M614:S614, 0))), 技能库!$A:$F, 6, 0),"请针对该题型加强练习"), "🎉 表现优异，无明显弱项！"))</f>
        <v/>
      </c>
    </row>
    <row r="615" spans="10:27" ht="18" hidden="1" customHeight="1" x14ac:dyDescent="0.2">
      <c r="J615" t="str">
        <f t="shared" si="27"/>
        <v/>
      </c>
      <c r="K615" t="str">
        <f>IF(J615="","", IFERROR(VLOOKUP(J615, IF(D615="Movers", 换算标准!$C:$D, 换算标准!$I:$J), 2, TRUE), 0))</f>
        <v/>
      </c>
      <c r="T615" t="str">
        <f t="shared" si="28"/>
        <v/>
      </c>
      <c r="U615" t="str">
        <f>IF(T615="","", IFERROR(VLOOKUP(T615, IF(D615="Movers", 换算标准!$A:$B, 换算标准!$G:$H), 2, TRUE), 0))</f>
        <v/>
      </c>
      <c r="W615" t="str">
        <f t="shared" si="29"/>
        <v/>
      </c>
      <c r="Z615" s="5" t="str">
        <f>IF(J615="","", IF(K615&lt;=3, "⚠️ 薄弱环节: "&amp;INDEX($E$1:$I$1, MATCH(MIN(E615:I615), E615:I615, 0))&amp;CHAR(10)&amp;"📉 考察能力: "&amp;IFERROR(VLOOKUP(TRIM(D615)&amp;"_"&amp;TRIM(INDEX($E$1:$I$1, MATCH(MIN(E615:I615), E615:I615, 0))), 技能库!$A:$F, 5, 0),"建议查阅考纲")&amp;CHAR(10)&amp;"💡 提升建议: "&amp;IFERROR(VLOOKUP(TRIM(D615)&amp;"_"&amp;TRIM(INDEX($E$1:$I$1, MATCH(MIN(E615:I615), E615:I615, 0))), 技能库!$A:$F, 6, 0),"请针对该题型加强练习"), "🎉 表现优异，无明显弱项！"))</f>
        <v/>
      </c>
      <c r="AA615" s="5" t="str">
        <f>IF(T615="","", IF(U615&lt;=3, "⚠️ 薄弱环节: "&amp;INDEX($M$1:$S$1, MATCH(MIN(M615:S615), M615:S615, 0))&amp;CHAR(10)&amp;"📉 考察能力: "&amp;IFERROR(VLOOKUP(TRIM(D615)&amp;"_"&amp;TRIM(INDEX($M$1:$S$1, MATCH(MIN(M615:S615), M615:S615, 0))), 技能库!$A:$F, 5, 0),"建议查阅考纲")&amp;CHAR(10)&amp;"💡 提升建议: "&amp;IFERROR(VLOOKUP(TRIM(D615)&amp;"_"&amp;TRIM(INDEX($M$1:$S$1, MATCH(MIN(M615:S615), M615:S615, 0))), 技能库!$A:$F, 6, 0),"请针对该题型加强练习"), "🎉 表现优异，无明显弱项！"))</f>
        <v/>
      </c>
    </row>
    <row r="616" spans="10:27" ht="18" hidden="1" customHeight="1" x14ac:dyDescent="0.2">
      <c r="J616" t="str">
        <f t="shared" si="27"/>
        <v/>
      </c>
      <c r="K616" t="str">
        <f>IF(J616="","", IFERROR(VLOOKUP(J616, IF(D616="Movers", 换算标准!$C:$D, 换算标准!$I:$J), 2, TRUE), 0))</f>
        <v/>
      </c>
      <c r="T616" t="str">
        <f t="shared" si="28"/>
        <v/>
      </c>
      <c r="U616" t="str">
        <f>IF(T616="","", IFERROR(VLOOKUP(T616, IF(D616="Movers", 换算标准!$A:$B, 换算标准!$G:$H), 2, TRUE), 0))</f>
        <v/>
      </c>
      <c r="W616" t="str">
        <f t="shared" si="29"/>
        <v/>
      </c>
      <c r="Z616" s="5" t="str">
        <f>IF(J616="","", IF(K616&lt;=3, "⚠️ 薄弱环节: "&amp;INDEX($E$1:$I$1, MATCH(MIN(E616:I616), E616:I616, 0))&amp;CHAR(10)&amp;"📉 考察能力: "&amp;IFERROR(VLOOKUP(TRIM(D616)&amp;"_"&amp;TRIM(INDEX($E$1:$I$1, MATCH(MIN(E616:I616), E616:I616, 0))), 技能库!$A:$F, 5, 0),"建议查阅考纲")&amp;CHAR(10)&amp;"💡 提升建议: "&amp;IFERROR(VLOOKUP(TRIM(D616)&amp;"_"&amp;TRIM(INDEX($E$1:$I$1, MATCH(MIN(E616:I616), E616:I616, 0))), 技能库!$A:$F, 6, 0),"请针对该题型加强练习"), "🎉 表现优异，无明显弱项！"))</f>
        <v/>
      </c>
      <c r="AA616" s="5" t="str">
        <f>IF(T616="","", IF(U616&lt;=3, "⚠️ 薄弱环节: "&amp;INDEX($M$1:$S$1, MATCH(MIN(M616:S616), M616:S616, 0))&amp;CHAR(10)&amp;"📉 考察能力: "&amp;IFERROR(VLOOKUP(TRIM(D616)&amp;"_"&amp;TRIM(INDEX($M$1:$S$1, MATCH(MIN(M616:S616), M616:S616, 0))), 技能库!$A:$F, 5, 0),"建议查阅考纲")&amp;CHAR(10)&amp;"💡 提升建议: "&amp;IFERROR(VLOOKUP(TRIM(D616)&amp;"_"&amp;TRIM(INDEX($M$1:$S$1, MATCH(MIN(M616:S616), M616:S616, 0))), 技能库!$A:$F, 6, 0),"请针对该题型加强练习"), "🎉 表现优异，无明显弱项！"))</f>
        <v/>
      </c>
    </row>
    <row r="617" spans="10:27" ht="18" hidden="1" customHeight="1" x14ac:dyDescent="0.2">
      <c r="J617" t="str">
        <f t="shared" si="27"/>
        <v/>
      </c>
      <c r="K617" t="str">
        <f>IF(J617="","", IFERROR(VLOOKUP(J617, IF(D617="Movers", 换算标准!$C:$D, 换算标准!$I:$J), 2, TRUE), 0))</f>
        <v/>
      </c>
      <c r="T617" t="str">
        <f t="shared" si="28"/>
        <v/>
      </c>
      <c r="U617" t="str">
        <f>IF(T617="","", IFERROR(VLOOKUP(T617, IF(D617="Movers", 换算标准!$A:$B, 换算标准!$G:$H), 2, TRUE), 0))</f>
        <v/>
      </c>
      <c r="W617" t="str">
        <f t="shared" si="29"/>
        <v/>
      </c>
      <c r="Z617" s="5" t="str">
        <f>IF(J617="","", IF(K617&lt;=3, "⚠️ 薄弱环节: "&amp;INDEX($E$1:$I$1, MATCH(MIN(E617:I617), E617:I617, 0))&amp;CHAR(10)&amp;"📉 考察能力: "&amp;IFERROR(VLOOKUP(TRIM(D617)&amp;"_"&amp;TRIM(INDEX($E$1:$I$1, MATCH(MIN(E617:I617), E617:I617, 0))), 技能库!$A:$F, 5, 0),"建议查阅考纲")&amp;CHAR(10)&amp;"💡 提升建议: "&amp;IFERROR(VLOOKUP(TRIM(D617)&amp;"_"&amp;TRIM(INDEX($E$1:$I$1, MATCH(MIN(E617:I617), E617:I617, 0))), 技能库!$A:$F, 6, 0),"请针对该题型加强练习"), "🎉 表现优异，无明显弱项！"))</f>
        <v/>
      </c>
      <c r="AA617" s="5" t="str">
        <f>IF(T617="","", IF(U617&lt;=3, "⚠️ 薄弱环节: "&amp;INDEX($M$1:$S$1, MATCH(MIN(M617:S617), M617:S617, 0))&amp;CHAR(10)&amp;"📉 考察能力: "&amp;IFERROR(VLOOKUP(TRIM(D617)&amp;"_"&amp;TRIM(INDEX($M$1:$S$1, MATCH(MIN(M617:S617), M617:S617, 0))), 技能库!$A:$F, 5, 0),"建议查阅考纲")&amp;CHAR(10)&amp;"💡 提升建议: "&amp;IFERROR(VLOOKUP(TRIM(D617)&amp;"_"&amp;TRIM(INDEX($M$1:$S$1, MATCH(MIN(M617:S617), M617:S617, 0))), 技能库!$A:$F, 6, 0),"请针对该题型加强练习"), "🎉 表现优异，无明显弱项！"))</f>
        <v/>
      </c>
    </row>
    <row r="618" spans="10:27" ht="18" hidden="1" customHeight="1" x14ac:dyDescent="0.2">
      <c r="J618" t="str">
        <f t="shared" si="27"/>
        <v/>
      </c>
      <c r="K618" t="str">
        <f>IF(J618="","", IFERROR(VLOOKUP(J618, IF(D618="Movers", 换算标准!$C:$D, 换算标准!$I:$J), 2, TRUE), 0))</f>
        <v/>
      </c>
      <c r="T618" t="str">
        <f t="shared" si="28"/>
        <v/>
      </c>
      <c r="U618" t="str">
        <f>IF(T618="","", IFERROR(VLOOKUP(T618, IF(D618="Movers", 换算标准!$A:$B, 换算标准!$G:$H), 2, TRUE), 0))</f>
        <v/>
      </c>
      <c r="W618" t="str">
        <f t="shared" si="29"/>
        <v/>
      </c>
      <c r="Z618" s="5" t="str">
        <f>IF(J618="","", IF(K618&lt;=3, "⚠️ 薄弱环节: "&amp;INDEX($E$1:$I$1, MATCH(MIN(E618:I618), E618:I618, 0))&amp;CHAR(10)&amp;"📉 考察能力: "&amp;IFERROR(VLOOKUP(TRIM(D618)&amp;"_"&amp;TRIM(INDEX($E$1:$I$1, MATCH(MIN(E618:I618), E618:I618, 0))), 技能库!$A:$F, 5, 0),"建议查阅考纲")&amp;CHAR(10)&amp;"💡 提升建议: "&amp;IFERROR(VLOOKUP(TRIM(D618)&amp;"_"&amp;TRIM(INDEX($E$1:$I$1, MATCH(MIN(E618:I618), E618:I618, 0))), 技能库!$A:$F, 6, 0),"请针对该题型加强练习"), "🎉 表现优异，无明显弱项！"))</f>
        <v/>
      </c>
      <c r="AA618" s="5" t="str">
        <f>IF(T618="","", IF(U618&lt;=3, "⚠️ 薄弱环节: "&amp;INDEX($M$1:$S$1, MATCH(MIN(M618:S618), M618:S618, 0))&amp;CHAR(10)&amp;"📉 考察能力: "&amp;IFERROR(VLOOKUP(TRIM(D618)&amp;"_"&amp;TRIM(INDEX($M$1:$S$1, MATCH(MIN(M618:S618), M618:S618, 0))), 技能库!$A:$F, 5, 0),"建议查阅考纲")&amp;CHAR(10)&amp;"💡 提升建议: "&amp;IFERROR(VLOOKUP(TRIM(D618)&amp;"_"&amp;TRIM(INDEX($M$1:$S$1, MATCH(MIN(M618:S618), M618:S618, 0))), 技能库!$A:$F, 6, 0),"请针对该题型加强练习"), "🎉 表现优异，无明显弱项！"))</f>
        <v/>
      </c>
    </row>
    <row r="619" spans="10:27" ht="18" hidden="1" customHeight="1" x14ac:dyDescent="0.2">
      <c r="J619" t="str">
        <f t="shared" si="27"/>
        <v/>
      </c>
      <c r="K619" t="str">
        <f>IF(J619="","", IFERROR(VLOOKUP(J619, IF(D619="Movers", 换算标准!$C:$D, 换算标准!$I:$J), 2, TRUE), 0))</f>
        <v/>
      </c>
      <c r="T619" t="str">
        <f t="shared" si="28"/>
        <v/>
      </c>
      <c r="U619" t="str">
        <f>IF(T619="","", IFERROR(VLOOKUP(T619, IF(D619="Movers", 换算标准!$A:$B, 换算标准!$G:$H), 2, TRUE), 0))</f>
        <v/>
      </c>
      <c r="W619" t="str">
        <f t="shared" si="29"/>
        <v/>
      </c>
      <c r="Z619" s="5" t="str">
        <f>IF(J619="","", IF(K619&lt;=3, "⚠️ 薄弱环节: "&amp;INDEX($E$1:$I$1, MATCH(MIN(E619:I619), E619:I619, 0))&amp;CHAR(10)&amp;"📉 考察能力: "&amp;IFERROR(VLOOKUP(TRIM(D619)&amp;"_"&amp;TRIM(INDEX($E$1:$I$1, MATCH(MIN(E619:I619), E619:I619, 0))), 技能库!$A:$F, 5, 0),"建议查阅考纲")&amp;CHAR(10)&amp;"💡 提升建议: "&amp;IFERROR(VLOOKUP(TRIM(D619)&amp;"_"&amp;TRIM(INDEX($E$1:$I$1, MATCH(MIN(E619:I619), E619:I619, 0))), 技能库!$A:$F, 6, 0),"请针对该题型加强练习"), "🎉 表现优异，无明显弱项！"))</f>
        <v/>
      </c>
      <c r="AA619" s="5" t="str">
        <f>IF(T619="","", IF(U619&lt;=3, "⚠️ 薄弱环节: "&amp;INDEX($M$1:$S$1, MATCH(MIN(M619:S619), M619:S619, 0))&amp;CHAR(10)&amp;"📉 考察能力: "&amp;IFERROR(VLOOKUP(TRIM(D619)&amp;"_"&amp;TRIM(INDEX($M$1:$S$1, MATCH(MIN(M619:S619), M619:S619, 0))), 技能库!$A:$F, 5, 0),"建议查阅考纲")&amp;CHAR(10)&amp;"💡 提升建议: "&amp;IFERROR(VLOOKUP(TRIM(D619)&amp;"_"&amp;TRIM(INDEX($M$1:$S$1, MATCH(MIN(M619:S619), M619:S619, 0))), 技能库!$A:$F, 6, 0),"请针对该题型加强练习"), "🎉 表现优异，无明显弱项！"))</f>
        <v/>
      </c>
    </row>
    <row r="620" spans="10:27" ht="18" hidden="1" customHeight="1" x14ac:dyDescent="0.2">
      <c r="J620" t="str">
        <f t="shared" si="27"/>
        <v/>
      </c>
      <c r="K620" t="str">
        <f>IF(J620="","", IFERROR(VLOOKUP(J620, IF(D620="Movers", 换算标准!$C:$D, 换算标准!$I:$J), 2, TRUE), 0))</f>
        <v/>
      </c>
      <c r="T620" t="str">
        <f t="shared" si="28"/>
        <v/>
      </c>
      <c r="U620" t="str">
        <f>IF(T620="","", IFERROR(VLOOKUP(T620, IF(D620="Movers", 换算标准!$A:$B, 换算标准!$G:$H), 2, TRUE), 0))</f>
        <v/>
      </c>
      <c r="W620" t="str">
        <f t="shared" si="29"/>
        <v/>
      </c>
      <c r="Z620" s="5" t="str">
        <f>IF(J620="","", IF(K620&lt;=3, "⚠️ 薄弱环节: "&amp;INDEX($E$1:$I$1, MATCH(MIN(E620:I620), E620:I620, 0))&amp;CHAR(10)&amp;"📉 考察能力: "&amp;IFERROR(VLOOKUP(TRIM(D620)&amp;"_"&amp;TRIM(INDEX($E$1:$I$1, MATCH(MIN(E620:I620), E620:I620, 0))), 技能库!$A:$F, 5, 0),"建议查阅考纲")&amp;CHAR(10)&amp;"💡 提升建议: "&amp;IFERROR(VLOOKUP(TRIM(D620)&amp;"_"&amp;TRIM(INDEX($E$1:$I$1, MATCH(MIN(E620:I620), E620:I620, 0))), 技能库!$A:$F, 6, 0),"请针对该题型加强练习"), "🎉 表现优异，无明显弱项！"))</f>
        <v/>
      </c>
      <c r="AA620" s="5" t="str">
        <f>IF(T620="","", IF(U620&lt;=3, "⚠️ 薄弱环节: "&amp;INDEX($M$1:$S$1, MATCH(MIN(M620:S620), M620:S620, 0))&amp;CHAR(10)&amp;"📉 考察能力: "&amp;IFERROR(VLOOKUP(TRIM(D620)&amp;"_"&amp;TRIM(INDEX($M$1:$S$1, MATCH(MIN(M620:S620), M620:S620, 0))), 技能库!$A:$F, 5, 0),"建议查阅考纲")&amp;CHAR(10)&amp;"💡 提升建议: "&amp;IFERROR(VLOOKUP(TRIM(D620)&amp;"_"&amp;TRIM(INDEX($M$1:$S$1, MATCH(MIN(M620:S620), M620:S620, 0))), 技能库!$A:$F, 6, 0),"请针对该题型加强练习"), "🎉 表现优异，无明显弱项！"))</f>
        <v/>
      </c>
    </row>
    <row r="621" spans="10:27" ht="18" hidden="1" customHeight="1" x14ac:dyDescent="0.2">
      <c r="J621" t="str">
        <f t="shared" si="27"/>
        <v/>
      </c>
      <c r="K621" t="str">
        <f>IF(J621="","", IFERROR(VLOOKUP(J621, IF(D621="Movers", 换算标准!$C:$D, 换算标准!$I:$J), 2, TRUE), 0))</f>
        <v/>
      </c>
      <c r="T621" t="str">
        <f t="shared" si="28"/>
        <v/>
      </c>
      <c r="U621" t="str">
        <f>IF(T621="","", IFERROR(VLOOKUP(T621, IF(D621="Movers", 换算标准!$A:$B, 换算标准!$G:$H), 2, TRUE), 0))</f>
        <v/>
      </c>
      <c r="W621" t="str">
        <f t="shared" si="29"/>
        <v/>
      </c>
      <c r="Z621" s="5" t="str">
        <f>IF(J621="","", IF(K621&lt;=3, "⚠️ 薄弱环节: "&amp;INDEX($E$1:$I$1, MATCH(MIN(E621:I621), E621:I621, 0))&amp;CHAR(10)&amp;"📉 考察能力: "&amp;IFERROR(VLOOKUP(TRIM(D621)&amp;"_"&amp;TRIM(INDEX($E$1:$I$1, MATCH(MIN(E621:I621), E621:I621, 0))), 技能库!$A:$F, 5, 0),"建议查阅考纲")&amp;CHAR(10)&amp;"💡 提升建议: "&amp;IFERROR(VLOOKUP(TRIM(D621)&amp;"_"&amp;TRIM(INDEX($E$1:$I$1, MATCH(MIN(E621:I621), E621:I621, 0))), 技能库!$A:$F, 6, 0),"请针对该题型加强练习"), "🎉 表现优异，无明显弱项！"))</f>
        <v/>
      </c>
      <c r="AA621" s="5" t="str">
        <f>IF(T621="","", IF(U621&lt;=3, "⚠️ 薄弱环节: "&amp;INDEX($M$1:$S$1, MATCH(MIN(M621:S621), M621:S621, 0))&amp;CHAR(10)&amp;"📉 考察能力: "&amp;IFERROR(VLOOKUP(TRIM(D621)&amp;"_"&amp;TRIM(INDEX($M$1:$S$1, MATCH(MIN(M621:S621), M621:S621, 0))), 技能库!$A:$F, 5, 0),"建议查阅考纲")&amp;CHAR(10)&amp;"💡 提升建议: "&amp;IFERROR(VLOOKUP(TRIM(D621)&amp;"_"&amp;TRIM(INDEX($M$1:$S$1, MATCH(MIN(M621:S621), M621:S621, 0))), 技能库!$A:$F, 6, 0),"请针对该题型加强练习"), "🎉 表现优异，无明显弱项！"))</f>
        <v/>
      </c>
    </row>
    <row r="622" spans="10:27" ht="18" hidden="1" customHeight="1" x14ac:dyDescent="0.2">
      <c r="J622" t="str">
        <f t="shared" si="27"/>
        <v/>
      </c>
      <c r="K622" t="str">
        <f>IF(J622="","", IFERROR(VLOOKUP(J622, IF(D622="Movers", 换算标准!$C:$D, 换算标准!$I:$J), 2, TRUE), 0))</f>
        <v/>
      </c>
      <c r="T622" t="str">
        <f t="shared" si="28"/>
        <v/>
      </c>
      <c r="U622" t="str">
        <f>IF(T622="","", IFERROR(VLOOKUP(T622, IF(D622="Movers", 换算标准!$A:$B, 换算标准!$G:$H), 2, TRUE), 0))</f>
        <v/>
      </c>
      <c r="W622" t="str">
        <f t="shared" si="29"/>
        <v/>
      </c>
      <c r="Z622" s="5" t="str">
        <f>IF(J622="","", IF(K622&lt;=3, "⚠️ 薄弱环节: "&amp;INDEX($E$1:$I$1, MATCH(MIN(E622:I622), E622:I622, 0))&amp;CHAR(10)&amp;"📉 考察能力: "&amp;IFERROR(VLOOKUP(TRIM(D622)&amp;"_"&amp;TRIM(INDEX($E$1:$I$1, MATCH(MIN(E622:I622), E622:I622, 0))), 技能库!$A:$F, 5, 0),"建议查阅考纲")&amp;CHAR(10)&amp;"💡 提升建议: "&amp;IFERROR(VLOOKUP(TRIM(D622)&amp;"_"&amp;TRIM(INDEX($E$1:$I$1, MATCH(MIN(E622:I622), E622:I622, 0))), 技能库!$A:$F, 6, 0),"请针对该题型加强练习"), "🎉 表现优异，无明显弱项！"))</f>
        <v/>
      </c>
      <c r="AA622" s="5" t="str">
        <f>IF(T622="","", IF(U622&lt;=3, "⚠️ 薄弱环节: "&amp;INDEX($M$1:$S$1, MATCH(MIN(M622:S622), M622:S622, 0))&amp;CHAR(10)&amp;"📉 考察能力: "&amp;IFERROR(VLOOKUP(TRIM(D622)&amp;"_"&amp;TRIM(INDEX($M$1:$S$1, MATCH(MIN(M622:S622), M622:S622, 0))), 技能库!$A:$F, 5, 0),"建议查阅考纲")&amp;CHAR(10)&amp;"💡 提升建议: "&amp;IFERROR(VLOOKUP(TRIM(D622)&amp;"_"&amp;TRIM(INDEX($M$1:$S$1, MATCH(MIN(M622:S622), M622:S622, 0))), 技能库!$A:$F, 6, 0),"请针对该题型加强练习"), "🎉 表现优异，无明显弱项！"))</f>
        <v/>
      </c>
    </row>
    <row r="623" spans="10:27" ht="18" hidden="1" customHeight="1" x14ac:dyDescent="0.2">
      <c r="J623" t="str">
        <f t="shared" si="27"/>
        <v/>
      </c>
      <c r="K623" t="str">
        <f>IF(J623="","", IFERROR(VLOOKUP(J623, IF(D623="Movers", 换算标准!$C:$D, 换算标准!$I:$J), 2, TRUE), 0))</f>
        <v/>
      </c>
      <c r="T623" t="str">
        <f t="shared" si="28"/>
        <v/>
      </c>
      <c r="U623" t="str">
        <f>IF(T623="","", IFERROR(VLOOKUP(T623, IF(D623="Movers", 换算标准!$A:$B, 换算标准!$G:$H), 2, TRUE), 0))</f>
        <v/>
      </c>
      <c r="W623" t="str">
        <f t="shared" si="29"/>
        <v/>
      </c>
      <c r="Z623" s="5" t="str">
        <f>IF(J623="","", IF(K623&lt;=3, "⚠️ 薄弱环节: "&amp;INDEX($E$1:$I$1, MATCH(MIN(E623:I623), E623:I623, 0))&amp;CHAR(10)&amp;"📉 考察能力: "&amp;IFERROR(VLOOKUP(TRIM(D623)&amp;"_"&amp;TRIM(INDEX($E$1:$I$1, MATCH(MIN(E623:I623), E623:I623, 0))), 技能库!$A:$F, 5, 0),"建议查阅考纲")&amp;CHAR(10)&amp;"💡 提升建议: "&amp;IFERROR(VLOOKUP(TRIM(D623)&amp;"_"&amp;TRIM(INDEX($E$1:$I$1, MATCH(MIN(E623:I623), E623:I623, 0))), 技能库!$A:$F, 6, 0),"请针对该题型加强练习"), "🎉 表现优异，无明显弱项！"))</f>
        <v/>
      </c>
      <c r="AA623" s="5" t="str">
        <f>IF(T623="","", IF(U623&lt;=3, "⚠️ 薄弱环节: "&amp;INDEX($M$1:$S$1, MATCH(MIN(M623:S623), M623:S623, 0))&amp;CHAR(10)&amp;"📉 考察能力: "&amp;IFERROR(VLOOKUP(TRIM(D623)&amp;"_"&amp;TRIM(INDEX($M$1:$S$1, MATCH(MIN(M623:S623), M623:S623, 0))), 技能库!$A:$F, 5, 0),"建议查阅考纲")&amp;CHAR(10)&amp;"💡 提升建议: "&amp;IFERROR(VLOOKUP(TRIM(D623)&amp;"_"&amp;TRIM(INDEX($M$1:$S$1, MATCH(MIN(M623:S623), M623:S623, 0))), 技能库!$A:$F, 6, 0),"请针对该题型加强练习"), "🎉 表现优异，无明显弱项！"))</f>
        <v/>
      </c>
    </row>
    <row r="624" spans="10:27" ht="18" hidden="1" customHeight="1" x14ac:dyDescent="0.2">
      <c r="J624" t="str">
        <f t="shared" si="27"/>
        <v/>
      </c>
      <c r="K624" t="str">
        <f>IF(J624="","", IFERROR(VLOOKUP(J624, IF(D624="Movers", 换算标准!$C:$D, 换算标准!$I:$J), 2, TRUE), 0))</f>
        <v/>
      </c>
      <c r="T624" t="str">
        <f t="shared" si="28"/>
        <v/>
      </c>
      <c r="U624" t="str">
        <f>IF(T624="","", IFERROR(VLOOKUP(T624, IF(D624="Movers", 换算标准!$A:$B, 换算标准!$G:$H), 2, TRUE), 0))</f>
        <v/>
      </c>
      <c r="W624" t="str">
        <f t="shared" si="29"/>
        <v/>
      </c>
      <c r="Z624" s="5" t="str">
        <f>IF(J624="","", IF(K624&lt;=3, "⚠️ 薄弱环节: "&amp;INDEX($E$1:$I$1, MATCH(MIN(E624:I624), E624:I624, 0))&amp;CHAR(10)&amp;"📉 考察能力: "&amp;IFERROR(VLOOKUP(TRIM(D624)&amp;"_"&amp;TRIM(INDEX($E$1:$I$1, MATCH(MIN(E624:I624), E624:I624, 0))), 技能库!$A:$F, 5, 0),"建议查阅考纲")&amp;CHAR(10)&amp;"💡 提升建议: "&amp;IFERROR(VLOOKUP(TRIM(D624)&amp;"_"&amp;TRIM(INDEX($E$1:$I$1, MATCH(MIN(E624:I624), E624:I624, 0))), 技能库!$A:$F, 6, 0),"请针对该题型加强练习"), "🎉 表现优异，无明显弱项！"))</f>
        <v/>
      </c>
      <c r="AA624" s="5" t="str">
        <f>IF(T624="","", IF(U624&lt;=3, "⚠️ 薄弱环节: "&amp;INDEX($M$1:$S$1, MATCH(MIN(M624:S624), M624:S624, 0))&amp;CHAR(10)&amp;"📉 考察能力: "&amp;IFERROR(VLOOKUP(TRIM(D624)&amp;"_"&amp;TRIM(INDEX($M$1:$S$1, MATCH(MIN(M624:S624), M624:S624, 0))), 技能库!$A:$F, 5, 0),"建议查阅考纲")&amp;CHAR(10)&amp;"💡 提升建议: "&amp;IFERROR(VLOOKUP(TRIM(D624)&amp;"_"&amp;TRIM(INDEX($M$1:$S$1, MATCH(MIN(M624:S624), M624:S624, 0))), 技能库!$A:$F, 6, 0),"请针对该题型加强练习"), "🎉 表现优异，无明显弱项！"))</f>
        <v/>
      </c>
    </row>
    <row r="625" spans="10:27" ht="18" hidden="1" customHeight="1" x14ac:dyDescent="0.2">
      <c r="J625" t="str">
        <f t="shared" si="27"/>
        <v/>
      </c>
      <c r="K625" t="str">
        <f>IF(J625="","", IFERROR(VLOOKUP(J625, IF(D625="Movers", 换算标准!$C:$D, 换算标准!$I:$J), 2, TRUE), 0))</f>
        <v/>
      </c>
      <c r="T625" t="str">
        <f t="shared" si="28"/>
        <v/>
      </c>
      <c r="U625" t="str">
        <f>IF(T625="","", IFERROR(VLOOKUP(T625, IF(D625="Movers", 换算标准!$A:$B, 换算标准!$G:$H), 2, TRUE), 0))</f>
        <v/>
      </c>
      <c r="W625" t="str">
        <f t="shared" si="29"/>
        <v/>
      </c>
      <c r="Z625" s="5" t="str">
        <f>IF(J625="","", IF(K625&lt;=3, "⚠️ 薄弱环节: "&amp;INDEX($E$1:$I$1, MATCH(MIN(E625:I625), E625:I625, 0))&amp;CHAR(10)&amp;"📉 考察能力: "&amp;IFERROR(VLOOKUP(TRIM(D625)&amp;"_"&amp;TRIM(INDEX($E$1:$I$1, MATCH(MIN(E625:I625), E625:I625, 0))), 技能库!$A:$F, 5, 0),"建议查阅考纲")&amp;CHAR(10)&amp;"💡 提升建议: "&amp;IFERROR(VLOOKUP(TRIM(D625)&amp;"_"&amp;TRIM(INDEX($E$1:$I$1, MATCH(MIN(E625:I625), E625:I625, 0))), 技能库!$A:$F, 6, 0),"请针对该题型加强练习"), "🎉 表现优异，无明显弱项！"))</f>
        <v/>
      </c>
      <c r="AA625" s="5" t="str">
        <f>IF(T625="","", IF(U625&lt;=3, "⚠️ 薄弱环节: "&amp;INDEX($M$1:$S$1, MATCH(MIN(M625:S625), M625:S625, 0))&amp;CHAR(10)&amp;"📉 考察能力: "&amp;IFERROR(VLOOKUP(TRIM(D625)&amp;"_"&amp;TRIM(INDEX($M$1:$S$1, MATCH(MIN(M625:S625), M625:S625, 0))), 技能库!$A:$F, 5, 0),"建议查阅考纲")&amp;CHAR(10)&amp;"💡 提升建议: "&amp;IFERROR(VLOOKUP(TRIM(D625)&amp;"_"&amp;TRIM(INDEX($M$1:$S$1, MATCH(MIN(M625:S625), M625:S625, 0))), 技能库!$A:$F, 6, 0),"请针对该题型加强练习"), "🎉 表现优异，无明显弱项！"))</f>
        <v/>
      </c>
    </row>
    <row r="626" spans="10:27" ht="18" hidden="1" customHeight="1" x14ac:dyDescent="0.2">
      <c r="J626" t="str">
        <f t="shared" si="27"/>
        <v/>
      </c>
      <c r="K626" t="str">
        <f>IF(J626="","", IFERROR(VLOOKUP(J626, IF(D626="Movers", 换算标准!$C:$D, 换算标准!$I:$J), 2, TRUE), 0))</f>
        <v/>
      </c>
      <c r="T626" t="str">
        <f t="shared" si="28"/>
        <v/>
      </c>
      <c r="U626" t="str">
        <f>IF(T626="","", IFERROR(VLOOKUP(T626, IF(D626="Movers", 换算标准!$A:$B, 换算标准!$G:$H), 2, TRUE), 0))</f>
        <v/>
      </c>
      <c r="W626" t="str">
        <f t="shared" si="29"/>
        <v/>
      </c>
      <c r="Z626" s="5" t="str">
        <f>IF(J626="","", IF(K626&lt;=3, "⚠️ 薄弱环节: "&amp;INDEX($E$1:$I$1, MATCH(MIN(E626:I626), E626:I626, 0))&amp;CHAR(10)&amp;"📉 考察能力: "&amp;IFERROR(VLOOKUP(TRIM(D626)&amp;"_"&amp;TRIM(INDEX($E$1:$I$1, MATCH(MIN(E626:I626), E626:I626, 0))), 技能库!$A:$F, 5, 0),"建议查阅考纲")&amp;CHAR(10)&amp;"💡 提升建议: "&amp;IFERROR(VLOOKUP(TRIM(D626)&amp;"_"&amp;TRIM(INDEX($E$1:$I$1, MATCH(MIN(E626:I626), E626:I626, 0))), 技能库!$A:$F, 6, 0),"请针对该题型加强练习"), "🎉 表现优异，无明显弱项！"))</f>
        <v/>
      </c>
      <c r="AA626" s="5" t="str">
        <f>IF(T626="","", IF(U626&lt;=3, "⚠️ 薄弱环节: "&amp;INDEX($M$1:$S$1, MATCH(MIN(M626:S626), M626:S626, 0))&amp;CHAR(10)&amp;"📉 考察能力: "&amp;IFERROR(VLOOKUP(TRIM(D626)&amp;"_"&amp;TRIM(INDEX($M$1:$S$1, MATCH(MIN(M626:S626), M626:S626, 0))), 技能库!$A:$F, 5, 0),"建议查阅考纲")&amp;CHAR(10)&amp;"💡 提升建议: "&amp;IFERROR(VLOOKUP(TRIM(D626)&amp;"_"&amp;TRIM(INDEX($M$1:$S$1, MATCH(MIN(M626:S626), M626:S626, 0))), 技能库!$A:$F, 6, 0),"请针对该题型加强练习"), "🎉 表现优异，无明显弱项！"))</f>
        <v/>
      </c>
    </row>
    <row r="627" spans="10:27" ht="18" hidden="1" customHeight="1" x14ac:dyDescent="0.2">
      <c r="J627" t="str">
        <f t="shared" si="27"/>
        <v/>
      </c>
      <c r="K627" t="str">
        <f>IF(J627="","", IFERROR(VLOOKUP(J627, IF(D627="Movers", 换算标准!$C:$D, 换算标准!$I:$J), 2, TRUE), 0))</f>
        <v/>
      </c>
      <c r="T627" t="str">
        <f t="shared" si="28"/>
        <v/>
      </c>
      <c r="U627" t="str">
        <f>IF(T627="","", IFERROR(VLOOKUP(T627, IF(D627="Movers", 换算标准!$A:$B, 换算标准!$G:$H), 2, TRUE), 0))</f>
        <v/>
      </c>
      <c r="W627" t="str">
        <f t="shared" si="29"/>
        <v/>
      </c>
      <c r="Z627" s="5" t="str">
        <f>IF(J627="","", IF(K627&lt;=3, "⚠️ 薄弱环节: "&amp;INDEX($E$1:$I$1, MATCH(MIN(E627:I627), E627:I627, 0))&amp;CHAR(10)&amp;"📉 考察能力: "&amp;IFERROR(VLOOKUP(TRIM(D627)&amp;"_"&amp;TRIM(INDEX($E$1:$I$1, MATCH(MIN(E627:I627), E627:I627, 0))), 技能库!$A:$F, 5, 0),"建议查阅考纲")&amp;CHAR(10)&amp;"💡 提升建议: "&amp;IFERROR(VLOOKUP(TRIM(D627)&amp;"_"&amp;TRIM(INDEX($E$1:$I$1, MATCH(MIN(E627:I627), E627:I627, 0))), 技能库!$A:$F, 6, 0),"请针对该题型加强练习"), "🎉 表现优异，无明显弱项！"))</f>
        <v/>
      </c>
      <c r="AA627" s="5" t="str">
        <f>IF(T627="","", IF(U627&lt;=3, "⚠️ 薄弱环节: "&amp;INDEX($M$1:$S$1, MATCH(MIN(M627:S627), M627:S627, 0))&amp;CHAR(10)&amp;"📉 考察能力: "&amp;IFERROR(VLOOKUP(TRIM(D627)&amp;"_"&amp;TRIM(INDEX($M$1:$S$1, MATCH(MIN(M627:S627), M627:S627, 0))), 技能库!$A:$F, 5, 0),"建议查阅考纲")&amp;CHAR(10)&amp;"💡 提升建议: "&amp;IFERROR(VLOOKUP(TRIM(D627)&amp;"_"&amp;TRIM(INDEX($M$1:$S$1, MATCH(MIN(M627:S627), M627:S627, 0))), 技能库!$A:$F, 6, 0),"请针对该题型加强练习"), "🎉 表现优异，无明显弱项！"))</f>
        <v/>
      </c>
    </row>
    <row r="628" spans="10:27" ht="18" hidden="1" customHeight="1" x14ac:dyDescent="0.2">
      <c r="J628" t="str">
        <f t="shared" si="27"/>
        <v/>
      </c>
      <c r="K628" t="str">
        <f>IF(J628="","", IFERROR(VLOOKUP(J628, IF(D628="Movers", 换算标准!$C:$D, 换算标准!$I:$J), 2, TRUE), 0))</f>
        <v/>
      </c>
      <c r="T628" t="str">
        <f t="shared" si="28"/>
        <v/>
      </c>
      <c r="U628" t="str">
        <f>IF(T628="","", IFERROR(VLOOKUP(T628, IF(D628="Movers", 换算标准!$A:$B, 换算标准!$G:$H), 2, TRUE), 0))</f>
        <v/>
      </c>
      <c r="W628" t="str">
        <f t="shared" si="29"/>
        <v/>
      </c>
      <c r="Z628" s="5" t="str">
        <f>IF(J628="","", IF(K628&lt;=3, "⚠️ 薄弱环节: "&amp;INDEX($E$1:$I$1, MATCH(MIN(E628:I628), E628:I628, 0))&amp;CHAR(10)&amp;"📉 考察能力: "&amp;IFERROR(VLOOKUP(TRIM(D628)&amp;"_"&amp;TRIM(INDEX($E$1:$I$1, MATCH(MIN(E628:I628), E628:I628, 0))), 技能库!$A:$F, 5, 0),"建议查阅考纲")&amp;CHAR(10)&amp;"💡 提升建议: "&amp;IFERROR(VLOOKUP(TRIM(D628)&amp;"_"&amp;TRIM(INDEX($E$1:$I$1, MATCH(MIN(E628:I628), E628:I628, 0))), 技能库!$A:$F, 6, 0),"请针对该题型加强练习"), "🎉 表现优异，无明显弱项！"))</f>
        <v/>
      </c>
      <c r="AA628" s="5" t="str">
        <f>IF(T628="","", IF(U628&lt;=3, "⚠️ 薄弱环节: "&amp;INDEX($M$1:$S$1, MATCH(MIN(M628:S628), M628:S628, 0))&amp;CHAR(10)&amp;"📉 考察能力: "&amp;IFERROR(VLOOKUP(TRIM(D628)&amp;"_"&amp;TRIM(INDEX($M$1:$S$1, MATCH(MIN(M628:S628), M628:S628, 0))), 技能库!$A:$F, 5, 0),"建议查阅考纲")&amp;CHAR(10)&amp;"💡 提升建议: "&amp;IFERROR(VLOOKUP(TRIM(D628)&amp;"_"&amp;TRIM(INDEX($M$1:$S$1, MATCH(MIN(M628:S628), M628:S628, 0))), 技能库!$A:$F, 6, 0),"请针对该题型加强练习"), "🎉 表现优异，无明显弱项！"))</f>
        <v/>
      </c>
    </row>
    <row r="629" spans="10:27" ht="18" hidden="1" customHeight="1" x14ac:dyDescent="0.2">
      <c r="J629" t="str">
        <f t="shared" si="27"/>
        <v/>
      </c>
      <c r="K629" t="str">
        <f>IF(J629="","", IFERROR(VLOOKUP(J629, IF(D629="Movers", 换算标准!$C:$D, 换算标准!$I:$J), 2, TRUE), 0))</f>
        <v/>
      </c>
      <c r="T629" t="str">
        <f t="shared" si="28"/>
        <v/>
      </c>
      <c r="U629" t="str">
        <f>IF(T629="","", IFERROR(VLOOKUP(T629, IF(D629="Movers", 换算标准!$A:$B, 换算标准!$G:$H), 2, TRUE), 0))</f>
        <v/>
      </c>
      <c r="W629" t="str">
        <f t="shared" si="29"/>
        <v/>
      </c>
      <c r="Z629" s="5" t="str">
        <f>IF(J629="","", IF(K629&lt;=3, "⚠️ 薄弱环节: "&amp;INDEX($E$1:$I$1, MATCH(MIN(E629:I629), E629:I629, 0))&amp;CHAR(10)&amp;"📉 考察能力: "&amp;IFERROR(VLOOKUP(TRIM(D629)&amp;"_"&amp;TRIM(INDEX($E$1:$I$1, MATCH(MIN(E629:I629), E629:I629, 0))), 技能库!$A:$F, 5, 0),"建议查阅考纲")&amp;CHAR(10)&amp;"💡 提升建议: "&amp;IFERROR(VLOOKUP(TRIM(D629)&amp;"_"&amp;TRIM(INDEX($E$1:$I$1, MATCH(MIN(E629:I629), E629:I629, 0))), 技能库!$A:$F, 6, 0),"请针对该题型加强练习"), "🎉 表现优异，无明显弱项！"))</f>
        <v/>
      </c>
      <c r="AA629" s="5" t="str">
        <f>IF(T629="","", IF(U629&lt;=3, "⚠️ 薄弱环节: "&amp;INDEX($M$1:$S$1, MATCH(MIN(M629:S629), M629:S629, 0))&amp;CHAR(10)&amp;"📉 考察能力: "&amp;IFERROR(VLOOKUP(TRIM(D629)&amp;"_"&amp;TRIM(INDEX($M$1:$S$1, MATCH(MIN(M629:S629), M629:S629, 0))), 技能库!$A:$F, 5, 0),"建议查阅考纲")&amp;CHAR(10)&amp;"💡 提升建议: "&amp;IFERROR(VLOOKUP(TRIM(D629)&amp;"_"&amp;TRIM(INDEX($M$1:$S$1, MATCH(MIN(M629:S629), M629:S629, 0))), 技能库!$A:$F, 6, 0),"请针对该题型加强练习"), "🎉 表现优异，无明显弱项！"))</f>
        <v/>
      </c>
    </row>
    <row r="630" spans="10:27" ht="18" hidden="1" customHeight="1" x14ac:dyDescent="0.2">
      <c r="J630" t="str">
        <f t="shared" si="27"/>
        <v/>
      </c>
      <c r="K630" t="str">
        <f>IF(J630="","", IFERROR(VLOOKUP(J630, IF(D630="Movers", 换算标准!$C:$D, 换算标准!$I:$J), 2, TRUE), 0))</f>
        <v/>
      </c>
      <c r="T630" t="str">
        <f t="shared" si="28"/>
        <v/>
      </c>
      <c r="U630" t="str">
        <f>IF(T630="","", IFERROR(VLOOKUP(T630, IF(D630="Movers", 换算标准!$A:$B, 换算标准!$G:$H), 2, TRUE), 0))</f>
        <v/>
      </c>
      <c r="W630" t="str">
        <f t="shared" si="29"/>
        <v/>
      </c>
      <c r="Z630" s="5" t="str">
        <f>IF(J630="","", IF(K630&lt;=3, "⚠️ 薄弱环节: "&amp;INDEX($E$1:$I$1, MATCH(MIN(E630:I630), E630:I630, 0))&amp;CHAR(10)&amp;"📉 考察能力: "&amp;IFERROR(VLOOKUP(TRIM(D630)&amp;"_"&amp;TRIM(INDEX($E$1:$I$1, MATCH(MIN(E630:I630), E630:I630, 0))), 技能库!$A:$F, 5, 0),"建议查阅考纲")&amp;CHAR(10)&amp;"💡 提升建议: "&amp;IFERROR(VLOOKUP(TRIM(D630)&amp;"_"&amp;TRIM(INDEX($E$1:$I$1, MATCH(MIN(E630:I630), E630:I630, 0))), 技能库!$A:$F, 6, 0),"请针对该题型加强练习"), "🎉 表现优异，无明显弱项！"))</f>
        <v/>
      </c>
      <c r="AA630" s="5" t="str">
        <f>IF(T630="","", IF(U630&lt;=3, "⚠️ 薄弱环节: "&amp;INDEX($M$1:$S$1, MATCH(MIN(M630:S630), M630:S630, 0))&amp;CHAR(10)&amp;"📉 考察能力: "&amp;IFERROR(VLOOKUP(TRIM(D630)&amp;"_"&amp;TRIM(INDEX($M$1:$S$1, MATCH(MIN(M630:S630), M630:S630, 0))), 技能库!$A:$F, 5, 0),"建议查阅考纲")&amp;CHAR(10)&amp;"💡 提升建议: "&amp;IFERROR(VLOOKUP(TRIM(D630)&amp;"_"&amp;TRIM(INDEX($M$1:$S$1, MATCH(MIN(M630:S630), M630:S630, 0))), 技能库!$A:$F, 6, 0),"请针对该题型加强练习"), "🎉 表现优异，无明显弱项！"))</f>
        <v/>
      </c>
    </row>
    <row r="631" spans="10:27" ht="18" hidden="1" customHeight="1" x14ac:dyDescent="0.2">
      <c r="J631" t="str">
        <f t="shared" si="27"/>
        <v/>
      </c>
      <c r="K631" t="str">
        <f>IF(J631="","", IFERROR(VLOOKUP(J631, IF(D631="Movers", 换算标准!$C:$D, 换算标准!$I:$J), 2, TRUE), 0))</f>
        <v/>
      </c>
      <c r="T631" t="str">
        <f t="shared" si="28"/>
        <v/>
      </c>
      <c r="U631" t="str">
        <f>IF(T631="","", IFERROR(VLOOKUP(T631, IF(D631="Movers", 换算标准!$A:$B, 换算标准!$G:$H), 2, TRUE), 0))</f>
        <v/>
      </c>
      <c r="W631" t="str">
        <f t="shared" si="29"/>
        <v/>
      </c>
      <c r="Z631" s="5" t="str">
        <f>IF(J631="","", IF(K631&lt;=3, "⚠️ 薄弱环节: "&amp;INDEX($E$1:$I$1, MATCH(MIN(E631:I631), E631:I631, 0))&amp;CHAR(10)&amp;"📉 考察能力: "&amp;IFERROR(VLOOKUP(TRIM(D631)&amp;"_"&amp;TRIM(INDEX($E$1:$I$1, MATCH(MIN(E631:I631), E631:I631, 0))), 技能库!$A:$F, 5, 0),"建议查阅考纲")&amp;CHAR(10)&amp;"💡 提升建议: "&amp;IFERROR(VLOOKUP(TRIM(D631)&amp;"_"&amp;TRIM(INDEX($E$1:$I$1, MATCH(MIN(E631:I631), E631:I631, 0))), 技能库!$A:$F, 6, 0),"请针对该题型加强练习"), "🎉 表现优异，无明显弱项！"))</f>
        <v/>
      </c>
      <c r="AA631" s="5" t="str">
        <f>IF(T631="","", IF(U631&lt;=3, "⚠️ 薄弱环节: "&amp;INDEX($M$1:$S$1, MATCH(MIN(M631:S631), M631:S631, 0))&amp;CHAR(10)&amp;"📉 考察能力: "&amp;IFERROR(VLOOKUP(TRIM(D631)&amp;"_"&amp;TRIM(INDEX($M$1:$S$1, MATCH(MIN(M631:S631), M631:S631, 0))), 技能库!$A:$F, 5, 0),"建议查阅考纲")&amp;CHAR(10)&amp;"💡 提升建议: "&amp;IFERROR(VLOOKUP(TRIM(D631)&amp;"_"&amp;TRIM(INDEX($M$1:$S$1, MATCH(MIN(M631:S631), M631:S631, 0))), 技能库!$A:$F, 6, 0),"请针对该题型加强练习"), "🎉 表现优异，无明显弱项！"))</f>
        <v/>
      </c>
    </row>
    <row r="632" spans="10:27" ht="18" hidden="1" customHeight="1" x14ac:dyDescent="0.2">
      <c r="J632" t="str">
        <f t="shared" si="27"/>
        <v/>
      </c>
      <c r="K632" t="str">
        <f>IF(J632="","", IFERROR(VLOOKUP(J632, IF(D632="Movers", 换算标准!$C:$D, 换算标准!$I:$J), 2, TRUE), 0))</f>
        <v/>
      </c>
      <c r="T632" t="str">
        <f t="shared" si="28"/>
        <v/>
      </c>
      <c r="U632" t="str">
        <f>IF(T632="","", IFERROR(VLOOKUP(T632, IF(D632="Movers", 换算标准!$A:$B, 换算标准!$G:$H), 2, TRUE), 0))</f>
        <v/>
      </c>
      <c r="W632" t="str">
        <f t="shared" si="29"/>
        <v/>
      </c>
      <c r="Z632" s="5" t="str">
        <f>IF(J632="","", IF(K632&lt;=3, "⚠️ 薄弱环节: "&amp;INDEX($E$1:$I$1, MATCH(MIN(E632:I632), E632:I632, 0))&amp;CHAR(10)&amp;"📉 考察能力: "&amp;IFERROR(VLOOKUP(TRIM(D632)&amp;"_"&amp;TRIM(INDEX($E$1:$I$1, MATCH(MIN(E632:I632), E632:I632, 0))), 技能库!$A:$F, 5, 0),"建议查阅考纲")&amp;CHAR(10)&amp;"💡 提升建议: "&amp;IFERROR(VLOOKUP(TRIM(D632)&amp;"_"&amp;TRIM(INDEX($E$1:$I$1, MATCH(MIN(E632:I632), E632:I632, 0))), 技能库!$A:$F, 6, 0),"请针对该题型加强练习"), "🎉 表现优异，无明显弱项！"))</f>
        <v/>
      </c>
      <c r="AA632" s="5" t="str">
        <f>IF(T632="","", IF(U632&lt;=3, "⚠️ 薄弱环节: "&amp;INDEX($M$1:$S$1, MATCH(MIN(M632:S632), M632:S632, 0))&amp;CHAR(10)&amp;"📉 考察能力: "&amp;IFERROR(VLOOKUP(TRIM(D632)&amp;"_"&amp;TRIM(INDEX($M$1:$S$1, MATCH(MIN(M632:S632), M632:S632, 0))), 技能库!$A:$F, 5, 0),"建议查阅考纲")&amp;CHAR(10)&amp;"💡 提升建议: "&amp;IFERROR(VLOOKUP(TRIM(D632)&amp;"_"&amp;TRIM(INDEX($M$1:$S$1, MATCH(MIN(M632:S632), M632:S632, 0))), 技能库!$A:$F, 6, 0),"请针对该题型加强练习"), "🎉 表现优异，无明显弱项！"))</f>
        <v/>
      </c>
    </row>
    <row r="633" spans="10:27" ht="18" hidden="1" customHeight="1" x14ac:dyDescent="0.2">
      <c r="J633" t="str">
        <f t="shared" si="27"/>
        <v/>
      </c>
      <c r="K633" t="str">
        <f>IF(J633="","", IFERROR(VLOOKUP(J633, IF(D633="Movers", 换算标准!$C:$D, 换算标准!$I:$J), 2, TRUE), 0))</f>
        <v/>
      </c>
      <c r="T633" t="str">
        <f t="shared" si="28"/>
        <v/>
      </c>
      <c r="U633" t="str">
        <f>IF(T633="","", IFERROR(VLOOKUP(T633, IF(D633="Movers", 换算标准!$A:$B, 换算标准!$G:$H), 2, TRUE), 0))</f>
        <v/>
      </c>
      <c r="W633" t="str">
        <f t="shared" si="29"/>
        <v/>
      </c>
      <c r="Z633" s="5" t="str">
        <f>IF(J633="","", IF(K633&lt;=3, "⚠️ 薄弱环节: "&amp;INDEX($E$1:$I$1, MATCH(MIN(E633:I633), E633:I633, 0))&amp;CHAR(10)&amp;"📉 考察能力: "&amp;IFERROR(VLOOKUP(TRIM(D633)&amp;"_"&amp;TRIM(INDEX($E$1:$I$1, MATCH(MIN(E633:I633), E633:I633, 0))), 技能库!$A:$F, 5, 0),"建议查阅考纲")&amp;CHAR(10)&amp;"💡 提升建议: "&amp;IFERROR(VLOOKUP(TRIM(D633)&amp;"_"&amp;TRIM(INDEX($E$1:$I$1, MATCH(MIN(E633:I633), E633:I633, 0))), 技能库!$A:$F, 6, 0),"请针对该题型加强练习"), "🎉 表现优异，无明显弱项！"))</f>
        <v/>
      </c>
      <c r="AA633" s="5" t="str">
        <f>IF(T633="","", IF(U633&lt;=3, "⚠️ 薄弱环节: "&amp;INDEX($M$1:$S$1, MATCH(MIN(M633:S633), M633:S633, 0))&amp;CHAR(10)&amp;"📉 考察能力: "&amp;IFERROR(VLOOKUP(TRIM(D633)&amp;"_"&amp;TRIM(INDEX($M$1:$S$1, MATCH(MIN(M633:S633), M633:S633, 0))), 技能库!$A:$F, 5, 0),"建议查阅考纲")&amp;CHAR(10)&amp;"💡 提升建议: "&amp;IFERROR(VLOOKUP(TRIM(D633)&amp;"_"&amp;TRIM(INDEX($M$1:$S$1, MATCH(MIN(M633:S633), M633:S633, 0))), 技能库!$A:$F, 6, 0),"请针对该题型加强练习"), "🎉 表现优异，无明显弱项！"))</f>
        <v/>
      </c>
    </row>
    <row r="634" spans="10:27" ht="18" hidden="1" customHeight="1" x14ac:dyDescent="0.2">
      <c r="J634" t="str">
        <f t="shared" si="27"/>
        <v/>
      </c>
      <c r="K634" t="str">
        <f>IF(J634="","", IFERROR(VLOOKUP(J634, IF(D634="Movers", 换算标准!$C:$D, 换算标准!$I:$J), 2, TRUE), 0))</f>
        <v/>
      </c>
      <c r="T634" t="str">
        <f t="shared" si="28"/>
        <v/>
      </c>
      <c r="U634" t="str">
        <f>IF(T634="","", IFERROR(VLOOKUP(T634, IF(D634="Movers", 换算标准!$A:$B, 换算标准!$G:$H), 2, TRUE), 0))</f>
        <v/>
      </c>
      <c r="W634" t="str">
        <f t="shared" si="29"/>
        <v/>
      </c>
      <c r="Z634" s="5" t="str">
        <f>IF(J634="","", IF(K634&lt;=3, "⚠️ 薄弱环节: "&amp;INDEX($E$1:$I$1, MATCH(MIN(E634:I634), E634:I634, 0))&amp;CHAR(10)&amp;"📉 考察能力: "&amp;IFERROR(VLOOKUP(TRIM(D634)&amp;"_"&amp;TRIM(INDEX($E$1:$I$1, MATCH(MIN(E634:I634), E634:I634, 0))), 技能库!$A:$F, 5, 0),"建议查阅考纲")&amp;CHAR(10)&amp;"💡 提升建议: "&amp;IFERROR(VLOOKUP(TRIM(D634)&amp;"_"&amp;TRIM(INDEX($E$1:$I$1, MATCH(MIN(E634:I634), E634:I634, 0))), 技能库!$A:$F, 6, 0),"请针对该题型加强练习"), "🎉 表现优异，无明显弱项！"))</f>
        <v/>
      </c>
      <c r="AA634" s="5" t="str">
        <f>IF(T634="","", IF(U634&lt;=3, "⚠️ 薄弱环节: "&amp;INDEX($M$1:$S$1, MATCH(MIN(M634:S634), M634:S634, 0))&amp;CHAR(10)&amp;"📉 考察能力: "&amp;IFERROR(VLOOKUP(TRIM(D634)&amp;"_"&amp;TRIM(INDEX($M$1:$S$1, MATCH(MIN(M634:S634), M634:S634, 0))), 技能库!$A:$F, 5, 0),"建议查阅考纲")&amp;CHAR(10)&amp;"💡 提升建议: "&amp;IFERROR(VLOOKUP(TRIM(D634)&amp;"_"&amp;TRIM(INDEX($M$1:$S$1, MATCH(MIN(M634:S634), M634:S634, 0))), 技能库!$A:$F, 6, 0),"请针对该题型加强练习"), "🎉 表现优异，无明显弱项！"))</f>
        <v/>
      </c>
    </row>
    <row r="635" spans="10:27" ht="18" hidden="1" customHeight="1" x14ac:dyDescent="0.2">
      <c r="J635" t="str">
        <f t="shared" si="27"/>
        <v/>
      </c>
      <c r="K635" t="str">
        <f>IF(J635="","", IFERROR(VLOOKUP(J635, IF(D635="Movers", 换算标准!$C:$D, 换算标准!$I:$J), 2, TRUE), 0))</f>
        <v/>
      </c>
      <c r="T635" t="str">
        <f t="shared" si="28"/>
        <v/>
      </c>
      <c r="U635" t="str">
        <f>IF(T635="","", IFERROR(VLOOKUP(T635, IF(D635="Movers", 换算标准!$A:$B, 换算标准!$G:$H), 2, TRUE), 0))</f>
        <v/>
      </c>
      <c r="W635" t="str">
        <f t="shared" si="29"/>
        <v/>
      </c>
      <c r="Z635" s="5" t="str">
        <f>IF(J635="","", IF(K635&lt;=3, "⚠️ 薄弱环节: "&amp;INDEX($E$1:$I$1, MATCH(MIN(E635:I635), E635:I635, 0))&amp;CHAR(10)&amp;"📉 考察能力: "&amp;IFERROR(VLOOKUP(TRIM(D635)&amp;"_"&amp;TRIM(INDEX($E$1:$I$1, MATCH(MIN(E635:I635), E635:I635, 0))), 技能库!$A:$F, 5, 0),"建议查阅考纲")&amp;CHAR(10)&amp;"💡 提升建议: "&amp;IFERROR(VLOOKUP(TRIM(D635)&amp;"_"&amp;TRIM(INDEX($E$1:$I$1, MATCH(MIN(E635:I635), E635:I635, 0))), 技能库!$A:$F, 6, 0),"请针对该题型加强练习"), "🎉 表现优异，无明显弱项！"))</f>
        <v/>
      </c>
      <c r="AA635" s="5" t="str">
        <f>IF(T635="","", IF(U635&lt;=3, "⚠️ 薄弱环节: "&amp;INDEX($M$1:$S$1, MATCH(MIN(M635:S635), M635:S635, 0))&amp;CHAR(10)&amp;"📉 考察能力: "&amp;IFERROR(VLOOKUP(TRIM(D635)&amp;"_"&amp;TRIM(INDEX($M$1:$S$1, MATCH(MIN(M635:S635), M635:S635, 0))), 技能库!$A:$F, 5, 0),"建议查阅考纲")&amp;CHAR(10)&amp;"💡 提升建议: "&amp;IFERROR(VLOOKUP(TRIM(D635)&amp;"_"&amp;TRIM(INDEX($M$1:$S$1, MATCH(MIN(M635:S635), M635:S635, 0))), 技能库!$A:$F, 6, 0),"请针对该题型加强练习"), "🎉 表现优异，无明显弱项！"))</f>
        <v/>
      </c>
    </row>
    <row r="636" spans="10:27" ht="18" hidden="1" customHeight="1" x14ac:dyDescent="0.2">
      <c r="J636" t="str">
        <f t="shared" si="27"/>
        <v/>
      </c>
      <c r="K636" t="str">
        <f>IF(J636="","", IFERROR(VLOOKUP(J636, IF(D636="Movers", 换算标准!$C:$D, 换算标准!$I:$J), 2, TRUE), 0))</f>
        <v/>
      </c>
      <c r="T636" t="str">
        <f t="shared" si="28"/>
        <v/>
      </c>
      <c r="U636" t="str">
        <f>IF(T636="","", IFERROR(VLOOKUP(T636, IF(D636="Movers", 换算标准!$A:$B, 换算标准!$G:$H), 2, TRUE), 0))</f>
        <v/>
      </c>
      <c r="W636" t="str">
        <f t="shared" si="29"/>
        <v/>
      </c>
      <c r="Z636" s="5" t="str">
        <f>IF(J636="","", IF(K636&lt;=3, "⚠️ 薄弱环节: "&amp;INDEX($E$1:$I$1, MATCH(MIN(E636:I636), E636:I636, 0))&amp;CHAR(10)&amp;"📉 考察能力: "&amp;IFERROR(VLOOKUP(TRIM(D636)&amp;"_"&amp;TRIM(INDEX($E$1:$I$1, MATCH(MIN(E636:I636), E636:I636, 0))), 技能库!$A:$F, 5, 0),"建议查阅考纲")&amp;CHAR(10)&amp;"💡 提升建议: "&amp;IFERROR(VLOOKUP(TRIM(D636)&amp;"_"&amp;TRIM(INDEX($E$1:$I$1, MATCH(MIN(E636:I636), E636:I636, 0))), 技能库!$A:$F, 6, 0),"请针对该题型加强练习"), "🎉 表现优异，无明显弱项！"))</f>
        <v/>
      </c>
      <c r="AA636" s="5" t="str">
        <f>IF(T636="","", IF(U636&lt;=3, "⚠️ 薄弱环节: "&amp;INDEX($M$1:$S$1, MATCH(MIN(M636:S636), M636:S636, 0))&amp;CHAR(10)&amp;"📉 考察能力: "&amp;IFERROR(VLOOKUP(TRIM(D636)&amp;"_"&amp;TRIM(INDEX($M$1:$S$1, MATCH(MIN(M636:S636), M636:S636, 0))), 技能库!$A:$F, 5, 0),"建议查阅考纲")&amp;CHAR(10)&amp;"💡 提升建议: "&amp;IFERROR(VLOOKUP(TRIM(D636)&amp;"_"&amp;TRIM(INDEX($M$1:$S$1, MATCH(MIN(M636:S636), M636:S636, 0))), 技能库!$A:$F, 6, 0),"请针对该题型加强练习"), "🎉 表现优异，无明显弱项！"))</f>
        <v/>
      </c>
    </row>
    <row r="637" spans="10:27" ht="18" hidden="1" customHeight="1" x14ac:dyDescent="0.2">
      <c r="J637" t="str">
        <f t="shared" si="27"/>
        <v/>
      </c>
      <c r="K637" t="str">
        <f>IF(J637="","", IFERROR(VLOOKUP(J637, IF(D637="Movers", 换算标准!$C:$D, 换算标准!$I:$J), 2, TRUE), 0))</f>
        <v/>
      </c>
      <c r="T637" t="str">
        <f t="shared" si="28"/>
        <v/>
      </c>
      <c r="U637" t="str">
        <f>IF(T637="","", IFERROR(VLOOKUP(T637, IF(D637="Movers", 换算标准!$A:$B, 换算标准!$G:$H), 2, TRUE), 0))</f>
        <v/>
      </c>
      <c r="W637" t="str">
        <f t="shared" si="29"/>
        <v/>
      </c>
      <c r="Z637" s="5" t="str">
        <f>IF(J637="","", IF(K637&lt;=3, "⚠️ 薄弱环节: "&amp;INDEX($E$1:$I$1, MATCH(MIN(E637:I637), E637:I637, 0))&amp;CHAR(10)&amp;"📉 考察能力: "&amp;IFERROR(VLOOKUP(TRIM(D637)&amp;"_"&amp;TRIM(INDEX($E$1:$I$1, MATCH(MIN(E637:I637), E637:I637, 0))), 技能库!$A:$F, 5, 0),"建议查阅考纲")&amp;CHAR(10)&amp;"💡 提升建议: "&amp;IFERROR(VLOOKUP(TRIM(D637)&amp;"_"&amp;TRIM(INDEX($E$1:$I$1, MATCH(MIN(E637:I637), E637:I637, 0))), 技能库!$A:$F, 6, 0),"请针对该题型加强练习"), "🎉 表现优异，无明显弱项！"))</f>
        <v/>
      </c>
      <c r="AA637" s="5" t="str">
        <f>IF(T637="","", IF(U637&lt;=3, "⚠️ 薄弱环节: "&amp;INDEX($M$1:$S$1, MATCH(MIN(M637:S637), M637:S637, 0))&amp;CHAR(10)&amp;"📉 考察能力: "&amp;IFERROR(VLOOKUP(TRIM(D637)&amp;"_"&amp;TRIM(INDEX($M$1:$S$1, MATCH(MIN(M637:S637), M637:S637, 0))), 技能库!$A:$F, 5, 0),"建议查阅考纲")&amp;CHAR(10)&amp;"💡 提升建议: "&amp;IFERROR(VLOOKUP(TRIM(D637)&amp;"_"&amp;TRIM(INDEX($M$1:$S$1, MATCH(MIN(M637:S637), M637:S637, 0))), 技能库!$A:$F, 6, 0),"请针对该题型加强练习"), "🎉 表现优异，无明显弱项！"))</f>
        <v/>
      </c>
    </row>
    <row r="638" spans="10:27" ht="18" hidden="1" customHeight="1" x14ac:dyDescent="0.2">
      <c r="J638" t="str">
        <f t="shared" si="27"/>
        <v/>
      </c>
      <c r="K638" t="str">
        <f>IF(J638="","", IFERROR(VLOOKUP(J638, IF(D638="Movers", 换算标准!$C:$D, 换算标准!$I:$J), 2, TRUE), 0))</f>
        <v/>
      </c>
      <c r="T638" t="str">
        <f t="shared" si="28"/>
        <v/>
      </c>
      <c r="U638" t="str">
        <f>IF(T638="","", IFERROR(VLOOKUP(T638, IF(D638="Movers", 换算标准!$A:$B, 换算标准!$G:$H), 2, TRUE), 0))</f>
        <v/>
      </c>
      <c r="W638" t="str">
        <f t="shared" si="29"/>
        <v/>
      </c>
      <c r="Z638" s="5" t="str">
        <f>IF(J638="","", IF(K638&lt;=3, "⚠️ 薄弱环节: "&amp;INDEX($E$1:$I$1, MATCH(MIN(E638:I638), E638:I638, 0))&amp;CHAR(10)&amp;"📉 考察能力: "&amp;IFERROR(VLOOKUP(TRIM(D638)&amp;"_"&amp;TRIM(INDEX($E$1:$I$1, MATCH(MIN(E638:I638), E638:I638, 0))), 技能库!$A:$F, 5, 0),"建议查阅考纲")&amp;CHAR(10)&amp;"💡 提升建议: "&amp;IFERROR(VLOOKUP(TRIM(D638)&amp;"_"&amp;TRIM(INDEX($E$1:$I$1, MATCH(MIN(E638:I638), E638:I638, 0))), 技能库!$A:$F, 6, 0),"请针对该题型加强练习"), "🎉 表现优异，无明显弱项！"))</f>
        <v/>
      </c>
      <c r="AA638" s="5" t="str">
        <f>IF(T638="","", IF(U638&lt;=3, "⚠️ 薄弱环节: "&amp;INDEX($M$1:$S$1, MATCH(MIN(M638:S638), M638:S638, 0))&amp;CHAR(10)&amp;"📉 考察能力: "&amp;IFERROR(VLOOKUP(TRIM(D638)&amp;"_"&amp;TRIM(INDEX($M$1:$S$1, MATCH(MIN(M638:S638), M638:S638, 0))), 技能库!$A:$F, 5, 0),"建议查阅考纲")&amp;CHAR(10)&amp;"💡 提升建议: "&amp;IFERROR(VLOOKUP(TRIM(D638)&amp;"_"&amp;TRIM(INDEX($M$1:$S$1, MATCH(MIN(M638:S638), M638:S638, 0))), 技能库!$A:$F, 6, 0),"请针对该题型加强练习"), "🎉 表现优异，无明显弱项！"))</f>
        <v/>
      </c>
    </row>
    <row r="639" spans="10:27" ht="18" hidden="1" customHeight="1" x14ac:dyDescent="0.2">
      <c r="J639" t="str">
        <f t="shared" si="27"/>
        <v/>
      </c>
      <c r="K639" t="str">
        <f>IF(J639="","", IFERROR(VLOOKUP(J639, IF(D639="Movers", 换算标准!$C:$D, 换算标准!$I:$J), 2, TRUE), 0))</f>
        <v/>
      </c>
      <c r="T639" t="str">
        <f t="shared" si="28"/>
        <v/>
      </c>
      <c r="U639" t="str">
        <f>IF(T639="","", IFERROR(VLOOKUP(T639, IF(D639="Movers", 换算标准!$A:$B, 换算标准!$G:$H), 2, TRUE), 0))</f>
        <v/>
      </c>
      <c r="W639" t="str">
        <f t="shared" si="29"/>
        <v/>
      </c>
      <c r="Z639" s="5" t="str">
        <f>IF(J639="","", IF(K639&lt;=3, "⚠️ 薄弱环节: "&amp;INDEX($E$1:$I$1, MATCH(MIN(E639:I639), E639:I639, 0))&amp;CHAR(10)&amp;"📉 考察能力: "&amp;IFERROR(VLOOKUP(TRIM(D639)&amp;"_"&amp;TRIM(INDEX($E$1:$I$1, MATCH(MIN(E639:I639), E639:I639, 0))), 技能库!$A:$F, 5, 0),"建议查阅考纲")&amp;CHAR(10)&amp;"💡 提升建议: "&amp;IFERROR(VLOOKUP(TRIM(D639)&amp;"_"&amp;TRIM(INDEX($E$1:$I$1, MATCH(MIN(E639:I639), E639:I639, 0))), 技能库!$A:$F, 6, 0),"请针对该题型加强练习"), "🎉 表现优异，无明显弱项！"))</f>
        <v/>
      </c>
      <c r="AA639" s="5" t="str">
        <f>IF(T639="","", IF(U639&lt;=3, "⚠️ 薄弱环节: "&amp;INDEX($M$1:$S$1, MATCH(MIN(M639:S639), M639:S639, 0))&amp;CHAR(10)&amp;"📉 考察能力: "&amp;IFERROR(VLOOKUP(TRIM(D639)&amp;"_"&amp;TRIM(INDEX($M$1:$S$1, MATCH(MIN(M639:S639), M639:S639, 0))), 技能库!$A:$F, 5, 0),"建议查阅考纲")&amp;CHAR(10)&amp;"💡 提升建议: "&amp;IFERROR(VLOOKUP(TRIM(D639)&amp;"_"&amp;TRIM(INDEX($M$1:$S$1, MATCH(MIN(M639:S639), M639:S639, 0))), 技能库!$A:$F, 6, 0),"请针对该题型加强练习"), "🎉 表现优异，无明显弱项！"))</f>
        <v/>
      </c>
    </row>
    <row r="640" spans="10:27" ht="18" hidden="1" customHeight="1" x14ac:dyDescent="0.2">
      <c r="J640" t="str">
        <f t="shared" si="27"/>
        <v/>
      </c>
      <c r="K640" t="str">
        <f>IF(J640="","", IFERROR(VLOOKUP(J640, IF(D640="Movers", 换算标准!$C:$D, 换算标准!$I:$J), 2, TRUE), 0))</f>
        <v/>
      </c>
      <c r="T640" t="str">
        <f t="shared" si="28"/>
        <v/>
      </c>
      <c r="U640" t="str">
        <f>IF(T640="","", IFERROR(VLOOKUP(T640, IF(D640="Movers", 换算标准!$A:$B, 换算标准!$G:$H), 2, TRUE), 0))</f>
        <v/>
      </c>
      <c r="W640" t="str">
        <f t="shared" si="29"/>
        <v/>
      </c>
      <c r="Z640" s="5" t="str">
        <f>IF(J640="","", IF(K640&lt;=3, "⚠️ 薄弱环节: "&amp;INDEX($E$1:$I$1, MATCH(MIN(E640:I640), E640:I640, 0))&amp;CHAR(10)&amp;"📉 考察能力: "&amp;IFERROR(VLOOKUP(TRIM(D640)&amp;"_"&amp;TRIM(INDEX($E$1:$I$1, MATCH(MIN(E640:I640), E640:I640, 0))), 技能库!$A:$F, 5, 0),"建议查阅考纲")&amp;CHAR(10)&amp;"💡 提升建议: "&amp;IFERROR(VLOOKUP(TRIM(D640)&amp;"_"&amp;TRIM(INDEX($E$1:$I$1, MATCH(MIN(E640:I640), E640:I640, 0))), 技能库!$A:$F, 6, 0),"请针对该题型加强练习"), "🎉 表现优异，无明显弱项！"))</f>
        <v/>
      </c>
      <c r="AA640" s="5" t="str">
        <f>IF(T640="","", IF(U640&lt;=3, "⚠️ 薄弱环节: "&amp;INDEX($M$1:$S$1, MATCH(MIN(M640:S640), M640:S640, 0))&amp;CHAR(10)&amp;"📉 考察能力: "&amp;IFERROR(VLOOKUP(TRIM(D640)&amp;"_"&amp;TRIM(INDEX($M$1:$S$1, MATCH(MIN(M640:S640), M640:S640, 0))), 技能库!$A:$F, 5, 0),"建议查阅考纲")&amp;CHAR(10)&amp;"💡 提升建议: "&amp;IFERROR(VLOOKUP(TRIM(D640)&amp;"_"&amp;TRIM(INDEX($M$1:$S$1, MATCH(MIN(M640:S640), M640:S640, 0))), 技能库!$A:$F, 6, 0),"请针对该题型加强练习"), "🎉 表现优异，无明显弱项！"))</f>
        <v/>
      </c>
    </row>
    <row r="641" spans="10:27" ht="18" hidden="1" customHeight="1" x14ac:dyDescent="0.2">
      <c r="J641" t="str">
        <f t="shared" si="27"/>
        <v/>
      </c>
      <c r="K641" t="str">
        <f>IF(J641="","", IFERROR(VLOOKUP(J641, IF(D641="Movers", 换算标准!$C:$D, 换算标准!$I:$J), 2, TRUE), 0))</f>
        <v/>
      </c>
      <c r="T641" t="str">
        <f t="shared" si="28"/>
        <v/>
      </c>
      <c r="U641" t="str">
        <f>IF(T641="","", IFERROR(VLOOKUP(T641, IF(D641="Movers", 换算标准!$A:$B, 换算标准!$G:$H), 2, TRUE), 0))</f>
        <v/>
      </c>
      <c r="W641" t="str">
        <f t="shared" si="29"/>
        <v/>
      </c>
      <c r="Z641" s="5" t="str">
        <f>IF(J641="","", IF(K641&lt;=3, "⚠️ 薄弱环节: "&amp;INDEX($E$1:$I$1, MATCH(MIN(E641:I641), E641:I641, 0))&amp;CHAR(10)&amp;"📉 考察能力: "&amp;IFERROR(VLOOKUP(TRIM(D641)&amp;"_"&amp;TRIM(INDEX($E$1:$I$1, MATCH(MIN(E641:I641), E641:I641, 0))), 技能库!$A:$F, 5, 0),"建议查阅考纲")&amp;CHAR(10)&amp;"💡 提升建议: "&amp;IFERROR(VLOOKUP(TRIM(D641)&amp;"_"&amp;TRIM(INDEX($E$1:$I$1, MATCH(MIN(E641:I641), E641:I641, 0))), 技能库!$A:$F, 6, 0),"请针对该题型加强练习"), "🎉 表现优异，无明显弱项！"))</f>
        <v/>
      </c>
      <c r="AA641" s="5" t="str">
        <f>IF(T641="","", IF(U641&lt;=3, "⚠️ 薄弱环节: "&amp;INDEX($M$1:$S$1, MATCH(MIN(M641:S641), M641:S641, 0))&amp;CHAR(10)&amp;"📉 考察能力: "&amp;IFERROR(VLOOKUP(TRIM(D641)&amp;"_"&amp;TRIM(INDEX($M$1:$S$1, MATCH(MIN(M641:S641), M641:S641, 0))), 技能库!$A:$F, 5, 0),"建议查阅考纲")&amp;CHAR(10)&amp;"💡 提升建议: "&amp;IFERROR(VLOOKUP(TRIM(D641)&amp;"_"&amp;TRIM(INDEX($M$1:$S$1, MATCH(MIN(M641:S641), M641:S641, 0))), 技能库!$A:$F, 6, 0),"请针对该题型加强练习"), "🎉 表现优异，无明显弱项！"))</f>
        <v/>
      </c>
    </row>
    <row r="642" spans="10:27" ht="18" hidden="1" customHeight="1" x14ac:dyDescent="0.2">
      <c r="J642" t="str">
        <f t="shared" ref="J642:J705" si="30">IF(COUNT(E642:I642)&gt;0, SUM(E642:I642), "")</f>
        <v/>
      </c>
      <c r="K642" t="str">
        <f>IF(J642="","", IFERROR(VLOOKUP(J642, IF(D642="Movers", 换算标准!$C:$D, 换算标准!$I:$J), 2, TRUE), 0))</f>
        <v/>
      </c>
      <c r="T642" t="str">
        <f t="shared" ref="T642:T705" si="31">IF(COUNT(M642:S642)&gt;0, SUM(M642:S642), "")</f>
        <v/>
      </c>
      <c r="U642" t="str">
        <f>IF(T642="","", IFERROR(VLOOKUP(T642, IF(D642="Movers", 换算标准!$A:$B, 换算标准!$G:$H), 2, TRUE), 0))</f>
        <v/>
      </c>
      <c r="W642" t="str">
        <f t="shared" ref="W642:W705" si="32">IF(AND(K642&lt;&gt;"", U642&lt;&gt;""), K642+U642, "")</f>
        <v/>
      </c>
      <c r="Z642" s="5" t="str">
        <f>IF(J642="","", IF(K642&lt;=3, "⚠️ 薄弱环节: "&amp;INDEX($E$1:$I$1, MATCH(MIN(E642:I642), E642:I642, 0))&amp;CHAR(10)&amp;"📉 考察能力: "&amp;IFERROR(VLOOKUP(TRIM(D642)&amp;"_"&amp;TRIM(INDEX($E$1:$I$1, MATCH(MIN(E642:I642), E642:I642, 0))), 技能库!$A:$F, 5, 0),"建议查阅考纲")&amp;CHAR(10)&amp;"💡 提升建议: "&amp;IFERROR(VLOOKUP(TRIM(D642)&amp;"_"&amp;TRIM(INDEX($E$1:$I$1, MATCH(MIN(E642:I642), E642:I642, 0))), 技能库!$A:$F, 6, 0),"请针对该题型加强练习"), "🎉 表现优异，无明显弱项！"))</f>
        <v/>
      </c>
      <c r="AA642" s="5" t="str">
        <f>IF(T642="","", IF(U642&lt;=3, "⚠️ 薄弱环节: "&amp;INDEX($M$1:$S$1, MATCH(MIN(M642:S642), M642:S642, 0))&amp;CHAR(10)&amp;"📉 考察能力: "&amp;IFERROR(VLOOKUP(TRIM(D642)&amp;"_"&amp;TRIM(INDEX($M$1:$S$1, MATCH(MIN(M642:S642), M642:S642, 0))), 技能库!$A:$F, 5, 0),"建议查阅考纲")&amp;CHAR(10)&amp;"💡 提升建议: "&amp;IFERROR(VLOOKUP(TRIM(D642)&amp;"_"&amp;TRIM(INDEX($M$1:$S$1, MATCH(MIN(M642:S642), M642:S642, 0))), 技能库!$A:$F, 6, 0),"请针对该题型加强练习"), "🎉 表现优异，无明显弱项！"))</f>
        <v/>
      </c>
    </row>
    <row r="643" spans="10:27" ht="18" hidden="1" customHeight="1" x14ac:dyDescent="0.2">
      <c r="J643" t="str">
        <f t="shared" si="30"/>
        <v/>
      </c>
      <c r="K643" t="str">
        <f>IF(J643="","", IFERROR(VLOOKUP(J643, IF(D643="Movers", 换算标准!$C:$D, 换算标准!$I:$J), 2, TRUE), 0))</f>
        <v/>
      </c>
      <c r="T643" t="str">
        <f t="shared" si="31"/>
        <v/>
      </c>
      <c r="U643" t="str">
        <f>IF(T643="","", IFERROR(VLOOKUP(T643, IF(D643="Movers", 换算标准!$A:$B, 换算标准!$G:$H), 2, TRUE), 0))</f>
        <v/>
      </c>
      <c r="W643" t="str">
        <f t="shared" si="32"/>
        <v/>
      </c>
      <c r="Z643" s="5" t="str">
        <f>IF(J643="","", IF(K643&lt;=3, "⚠️ 薄弱环节: "&amp;INDEX($E$1:$I$1, MATCH(MIN(E643:I643), E643:I643, 0))&amp;CHAR(10)&amp;"📉 考察能力: "&amp;IFERROR(VLOOKUP(TRIM(D643)&amp;"_"&amp;TRIM(INDEX($E$1:$I$1, MATCH(MIN(E643:I643), E643:I643, 0))), 技能库!$A:$F, 5, 0),"建议查阅考纲")&amp;CHAR(10)&amp;"💡 提升建议: "&amp;IFERROR(VLOOKUP(TRIM(D643)&amp;"_"&amp;TRIM(INDEX($E$1:$I$1, MATCH(MIN(E643:I643), E643:I643, 0))), 技能库!$A:$F, 6, 0),"请针对该题型加强练习"), "🎉 表现优异，无明显弱项！"))</f>
        <v/>
      </c>
      <c r="AA643" s="5" t="str">
        <f>IF(T643="","", IF(U643&lt;=3, "⚠️ 薄弱环节: "&amp;INDEX($M$1:$S$1, MATCH(MIN(M643:S643), M643:S643, 0))&amp;CHAR(10)&amp;"📉 考察能力: "&amp;IFERROR(VLOOKUP(TRIM(D643)&amp;"_"&amp;TRIM(INDEX($M$1:$S$1, MATCH(MIN(M643:S643), M643:S643, 0))), 技能库!$A:$F, 5, 0),"建议查阅考纲")&amp;CHAR(10)&amp;"💡 提升建议: "&amp;IFERROR(VLOOKUP(TRIM(D643)&amp;"_"&amp;TRIM(INDEX($M$1:$S$1, MATCH(MIN(M643:S643), M643:S643, 0))), 技能库!$A:$F, 6, 0),"请针对该题型加强练习"), "🎉 表现优异，无明显弱项！"))</f>
        <v/>
      </c>
    </row>
    <row r="644" spans="10:27" ht="18" hidden="1" customHeight="1" x14ac:dyDescent="0.2">
      <c r="J644" t="str">
        <f t="shared" si="30"/>
        <v/>
      </c>
      <c r="K644" t="str">
        <f>IF(J644="","", IFERROR(VLOOKUP(J644, IF(D644="Movers", 换算标准!$C:$D, 换算标准!$I:$J), 2, TRUE), 0))</f>
        <v/>
      </c>
      <c r="T644" t="str">
        <f t="shared" si="31"/>
        <v/>
      </c>
      <c r="U644" t="str">
        <f>IF(T644="","", IFERROR(VLOOKUP(T644, IF(D644="Movers", 换算标准!$A:$B, 换算标准!$G:$H), 2, TRUE), 0))</f>
        <v/>
      </c>
      <c r="W644" t="str">
        <f t="shared" si="32"/>
        <v/>
      </c>
      <c r="Z644" s="5" t="str">
        <f>IF(J644="","", IF(K644&lt;=3, "⚠️ 薄弱环节: "&amp;INDEX($E$1:$I$1, MATCH(MIN(E644:I644), E644:I644, 0))&amp;CHAR(10)&amp;"📉 考察能力: "&amp;IFERROR(VLOOKUP(TRIM(D644)&amp;"_"&amp;TRIM(INDEX($E$1:$I$1, MATCH(MIN(E644:I644), E644:I644, 0))), 技能库!$A:$F, 5, 0),"建议查阅考纲")&amp;CHAR(10)&amp;"💡 提升建议: "&amp;IFERROR(VLOOKUP(TRIM(D644)&amp;"_"&amp;TRIM(INDEX($E$1:$I$1, MATCH(MIN(E644:I644), E644:I644, 0))), 技能库!$A:$F, 6, 0),"请针对该题型加强练习"), "🎉 表现优异，无明显弱项！"))</f>
        <v/>
      </c>
      <c r="AA644" s="5" t="str">
        <f>IF(T644="","", IF(U644&lt;=3, "⚠️ 薄弱环节: "&amp;INDEX($M$1:$S$1, MATCH(MIN(M644:S644), M644:S644, 0))&amp;CHAR(10)&amp;"📉 考察能力: "&amp;IFERROR(VLOOKUP(TRIM(D644)&amp;"_"&amp;TRIM(INDEX($M$1:$S$1, MATCH(MIN(M644:S644), M644:S644, 0))), 技能库!$A:$F, 5, 0),"建议查阅考纲")&amp;CHAR(10)&amp;"💡 提升建议: "&amp;IFERROR(VLOOKUP(TRIM(D644)&amp;"_"&amp;TRIM(INDEX($M$1:$S$1, MATCH(MIN(M644:S644), M644:S644, 0))), 技能库!$A:$F, 6, 0),"请针对该题型加强练习"), "🎉 表现优异，无明显弱项！"))</f>
        <v/>
      </c>
    </row>
    <row r="645" spans="10:27" ht="18" hidden="1" customHeight="1" x14ac:dyDescent="0.2">
      <c r="J645" t="str">
        <f t="shared" si="30"/>
        <v/>
      </c>
      <c r="K645" t="str">
        <f>IF(J645="","", IFERROR(VLOOKUP(J645, IF(D645="Movers", 换算标准!$C:$D, 换算标准!$I:$J), 2, TRUE), 0))</f>
        <v/>
      </c>
      <c r="T645" t="str">
        <f t="shared" si="31"/>
        <v/>
      </c>
      <c r="U645" t="str">
        <f>IF(T645="","", IFERROR(VLOOKUP(T645, IF(D645="Movers", 换算标准!$A:$B, 换算标准!$G:$H), 2, TRUE), 0))</f>
        <v/>
      </c>
      <c r="W645" t="str">
        <f t="shared" si="32"/>
        <v/>
      </c>
      <c r="Z645" s="5" t="str">
        <f>IF(J645="","", IF(K645&lt;=3, "⚠️ 薄弱环节: "&amp;INDEX($E$1:$I$1, MATCH(MIN(E645:I645), E645:I645, 0))&amp;CHAR(10)&amp;"📉 考察能力: "&amp;IFERROR(VLOOKUP(TRIM(D645)&amp;"_"&amp;TRIM(INDEX($E$1:$I$1, MATCH(MIN(E645:I645), E645:I645, 0))), 技能库!$A:$F, 5, 0),"建议查阅考纲")&amp;CHAR(10)&amp;"💡 提升建议: "&amp;IFERROR(VLOOKUP(TRIM(D645)&amp;"_"&amp;TRIM(INDEX($E$1:$I$1, MATCH(MIN(E645:I645), E645:I645, 0))), 技能库!$A:$F, 6, 0),"请针对该题型加强练习"), "🎉 表现优异，无明显弱项！"))</f>
        <v/>
      </c>
      <c r="AA645" s="5" t="str">
        <f>IF(T645="","", IF(U645&lt;=3, "⚠️ 薄弱环节: "&amp;INDEX($M$1:$S$1, MATCH(MIN(M645:S645), M645:S645, 0))&amp;CHAR(10)&amp;"📉 考察能力: "&amp;IFERROR(VLOOKUP(TRIM(D645)&amp;"_"&amp;TRIM(INDEX($M$1:$S$1, MATCH(MIN(M645:S645), M645:S645, 0))), 技能库!$A:$F, 5, 0),"建议查阅考纲")&amp;CHAR(10)&amp;"💡 提升建议: "&amp;IFERROR(VLOOKUP(TRIM(D645)&amp;"_"&amp;TRIM(INDEX($M$1:$S$1, MATCH(MIN(M645:S645), M645:S645, 0))), 技能库!$A:$F, 6, 0),"请针对该题型加强练习"), "🎉 表现优异，无明显弱项！"))</f>
        <v/>
      </c>
    </row>
    <row r="646" spans="10:27" ht="18" hidden="1" customHeight="1" x14ac:dyDescent="0.2">
      <c r="J646" t="str">
        <f t="shared" si="30"/>
        <v/>
      </c>
      <c r="K646" t="str">
        <f>IF(J646="","", IFERROR(VLOOKUP(J646, IF(D646="Movers", 换算标准!$C:$D, 换算标准!$I:$J), 2, TRUE), 0))</f>
        <v/>
      </c>
      <c r="T646" t="str">
        <f t="shared" si="31"/>
        <v/>
      </c>
      <c r="U646" t="str">
        <f>IF(T646="","", IFERROR(VLOOKUP(T646, IF(D646="Movers", 换算标准!$A:$B, 换算标准!$G:$H), 2, TRUE), 0))</f>
        <v/>
      </c>
      <c r="W646" t="str">
        <f t="shared" si="32"/>
        <v/>
      </c>
      <c r="Z646" s="5" t="str">
        <f>IF(J646="","", IF(K646&lt;=3, "⚠️ 薄弱环节: "&amp;INDEX($E$1:$I$1, MATCH(MIN(E646:I646), E646:I646, 0))&amp;CHAR(10)&amp;"📉 考察能力: "&amp;IFERROR(VLOOKUP(TRIM(D646)&amp;"_"&amp;TRIM(INDEX($E$1:$I$1, MATCH(MIN(E646:I646), E646:I646, 0))), 技能库!$A:$F, 5, 0),"建议查阅考纲")&amp;CHAR(10)&amp;"💡 提升建议: "&amp;IFERROR(VLOOKUP(TRIM(D646)&amp;"_"&amp;TRIM(INDEX($E$1:$I$1, MATCH(MIN(E646:I646), E646:I646, 0))), 技能库!$A:$F, 6, 0),"请针对该题型加强练习"), "🎉 表现优异，无明显弱项！"))</f>
        <v/>
      </c>
      <c r="AA646" s="5" t="str">
        <f>IF(T646="","", IF(U646&lt;=3, "⚠️ 薄弱环节: "&amp;INDEX($M$1:$S$1, MATCH(MIN(M646:S646), M646:S646, 0))&amp;CHAR(10)&amp;"📉 考察能力: "&amp;IFERROR(VLOOKUP(TRIM(D646)&amp;"_"&amp;TRIM(INDEX($M$1:$S$1, MATCH(MIN(M646:S646), M646:S646, 0))), 技能库!$A:$F, 5, 0),"建议查阅考纲")&amp;CHAR(10)&amp;"💡 提升建议: "&amp;IFERROR(VLOOKUP(TRIM(D646)&amp;"_"&amp;TRIM(INDEX($M$1:$S$1, MATCH(MIN(M646:S646), M646:S646, 0))), 技能库!$A:$F, 6, 0),"请针对该题型加强练习"), "🎉 表现优异，无明显弱项！"))</f>
        <v/>
      </c>
    </row>
    <row r="647" spans="10:27" ht="18" hidden="1" customHeight="1" x14ac:dyDescent="0.2">
      <c r="J647" t="str">
        <f t="shared" si="30"/>
        <v/>
      </c>
      <c r="K647" t="str">
        <f>IF(J647="","", IFERROR(VLOOKUP(J647, IF(D647="Movers", 换算标准!$C:$D, 换算标准!$I:$J), 2, TRUE), 0))</f>
        <v/>
      </c>
      <c r="T647" t="str">
        <f t="shared" si="31"/>
        <v/>
      </c>
      <c r="U647" t="str">
        <f>IF(T647="","", IFERROR(VLOOKUP(T647, IF(D647="Movers", 换算标准!$A:$B, 换算标准!$G:$H), 2, TRUE), 0))</f>
        <v/>
      </c>
      <c r="W647" t="str">
        <f t="shared" si="32"/>
        <v/>
      </c>
      <c r="Z647" s="5" t="str">
        <f>IF(J647="","", IF(K647&lt;=3, "⚠️ 薄弱环节: "&amp;INDEX($E$1:$I$1, MATCH(MIN(E647:I647), E647:I647, 0))&amp;CHAR(10)&amp;"📉 考察能力: "&amp;IFERROR(VLOOKUP(TRIM(D647)&amp;"_"&amp;TRIM(INDEX($E$1:$I$1, MATCH(MIN(E647:I647), E647:I647, 0))), 技能库!$A:$F, 5, 0),"建议查阅考纲")&amp;CHAR(10)&amp;"💡 提升建议: "&amp;IFERROR(VLOOKUP(TRIM(D647)&amp;"_"&amp;TRIM(INDEX($E$1:$I$1, MATCH(MIN(E647:I647), E647:I647, 0))), 技能库!$A:$F, 6, 0),"请针对该题型加强练习"), "🎉 表现优异，无明显弱项！"))</f>
        <v/>
      </c>
      <c r="AA647" s="5" t="str">
        <f>IF(T647="","", IF(U647&lt;=3, "⚠️ 薄弱环节: "&amp;INDEX($M$1:$S$1, MATCH(MIN(M647:S647), M647:S647, 0))&amp;CHAR(10)&amp;"📉 考察能力: "&amp;IFERROR(VLOOKUP(TRIM(D647)&amp;"_"&amp;TRIM(INDEX($M$1:$S$1, MATCH(MIN(M647:S647), M647:S647, 0))), 技能库!$A:$F, 5, 0),"建议查阅考纲")&amp;CHAR(10)&amp;"💡 提升建议: "&amp;IFERROR(VLOOKUP(TRIM(D647)&amp;"_"&amp;TRIM(INDEX($M$1:$S$1, MATCH(MIN(M647:S647), M647:S647, 0))), 技能库!$A:$F, 6, 0),"请针对该题型加强练习"), "🎉 表现优异，无明显弱项！"))</f>
        <v/>
      </c>
    </row>
    <row r="648" spans="10:27" ht="18" hidden="1" customHeight="1" x14ac:dyDescent="0.2">
      <c r="J648" t="str">
        <f t="shared" si="30"/>
        <v/>
      </c>
      <c r="K648" t="str">
        <f>IF(J648="","", IFERROR(VLOOKUP(J648, IF(D648="Movers", 换算标准!$C:$D, 换算标准!$I:$J), 2, TRUE), 0))</f>
        <v/>
      </c>
      <c r="T648" t="str">
        <f t="shared" si="31"/>
        <v/>
      </c>
      <c r="U648" t="str">
        <f>IF(T648="","", IFERROR(VLOOKUP(T648, IF(D648="Movers", 换算标准!$A:$B, 换算标准!$G:$H), 2, TRUE), 0))</f>
        <v/>
      </c>
      <c r="W648" t="str">
        <f t="shared" si="32"/>
        <v/>
      </c>
      <c r="Z648" s="5" t="str">
        <f>IF(J648="","", IF(K648&lt;=3, "⚠️ 薄弱环节: "&amp;INDEX($E$1:$I$1, MATCH(MIN(E648:I648), E648:I648, 0))&amp;CHAR(10)&amp;"📉 考察能力: "&amp;IFERROR(VLOOKUP(TRIM(D648)&amp;"_"&amp;TRIM(INDEX($E$1:$I$1, MATCH(MIN(E648:I648), E648:I648, 0))), 技能库!$A:$F, 5, 0),"建议查阅考纲")&amp;CHAR(10)&amp;"💡 提升建议: "&amp;IFERROR(VLOOKUP(TRIM(D648)&amp;"_"&amp;TRIM(INDEX($E$1:$I$1, MATCH(MIN(E648:I648), E648:I648, 0))), 技能库!$A:$F, 6, 0),"请针对该题型加强练习"), "🎉 表现优异，无明显弱项！"))</f>
        <v/>
      </c>
      <c r="AA648" s="5" t="str">
        <f>IF(T648="","", IF(U648&lt;=3, "⚠️ 薄弱环节: "&amp;INDEX($M$1:$S$1, MATCH(MIN(M648:S648), M648:S648, 0))&amp;CHAR(10)&amp;"📉 考察能力: "&amp;IFERROR(VLOOKUP(TRIM(D648)&amp;"_"&amp;TRIM(INDEX($M$1:$S$1, MATCH(MIN(M648:S648), M648:S648, 0))), 技能库!$A:$F, 5, 0),"建议查阅考纲")&amp;CHAR(10)&amp;"💡 提升建议: "&amp;IFERROR(VLOOKUP(TRIM(D648)&amp;"_"&amp;TRIM(INDEX($M$1:$S$1, MATCH(MIN(M648:S648), M648:S648, 0))), 技能库!$A:$F, 6, 0),"请针对该题型加强练习"), "🎉 表现优异，无明显弱项！"))</f>
        <v/>
      </c>
    </row>
    <row r="649" spans="10:27" ht="18" hidden="1" customHeight="1" x14ac:dyDescent="0.2">
      <c r="J649" t="str">
        <f t="shared" si="30"/>
        <v/>
      </c>
      <c r="K649" t="str">
        <f>IF(J649="","", IFERROR(VLOOKUP(J649, IF(D649="Movers", 换算标准!$C:$D, 换算标准!$I:$J), 2, TRUE), 0))</f>
        <v/>
      </c>
      <c r="T649" t="str">
        <f t="shared" si="31"/>
        <v/>
      </c>
      <c r="U649" t="str">
        <f>IF(T649="","", IFERROR(VLOOKUP(T649, IF(D649="Movers", 换算标准!$A:$B, 换算标准!$G:$H), 2, TRUE), 0))</f>
        <v/>
      </c>
      <c r="W649" t="str">
        <f t="shared" si="32"/>
        <v/>
      </c>
      <c r="Z649" s="5" t="str">
        <f>IF(J649="","", IF(K649&lt;=3, "⚠️ 薄弱环节: "&amp;INDEX($E$1:$I$1, MATCH(MIN(E649:I649), E649:I649, 0))&amp;CHAR(10)&amp;"📉 考察能力: "&amp;IFERROR(VLOOKUP(TRIM(D649)&amp;"_"&amp;TRIM(INDEX($E$1:$I$1, MATCH(MIN(E649:I649), E649:I649, 0))), 技能库!$A:$F, 5, 0),"建议查阅考纲")&amp;CHAR(10)&amp;"💡 提升建议: "&amp;IFERROR(VLOOKUP(TRIM(D649)&amp;"_"&amp;TRIM(INDEX($E$1:$I$1, MATCH(MIN(E649:I649), E649:I649, 0))), 技能库!$A:$F, 6, 0),"请针对该题型加强练习"), "🎉 表现优异，无明显弱项！"))</f>
        <v/>
      </c>
      <c r="AA649" s="5" t="str">
        <f>IF(T649="","", IF(U649&lt;=3, "⚠️ 薄弱环节: "&amp;INDEX($M$1:$S$1, MATCH(MIN(M649:S649), M649:S649, 0))&amp;CHAR(10)&amp;"📉 考察能力: "&amp;IFERROR(VLOOKUP(TRIM(D649)&amp;"_"&amp;TRIM(INDEX($M$1:$S$1, MATCH(MIN(M649:S649), M649:S649, 0))), 技能库!$A:$F, 5, 0),"建议查阅考纲")&amp;CHAR(10)&amp;"💡 提升建议: "&amp;IFERROR(VLOOKUP(TRIM(D649)&amp;"_"&amp;TRIM(INDEX($M$1:$S$1, MATCH(MIN(M649:S649), M649:S649, 0))), 技能库!$A:$F, 6, 0),"请针对该题型加强练习"), "🎉 表现优异，无明显弱项！"))</f>
        <v/>
      </c>
    </row>
    <row r="650" spans="10:27" ht="18" hidden="1" customHeight="1" x14ac:dyDescent="0.2">
      <c r="J650" t="str">
        <f t="shared" si="30"/>
        <v/>
      </c>
      <c r="K650" t="str">
        <f>IF(J650="","", IFERROR(VLOOKUP(J650, IF(D650="Movers", 换算标准!$C:$D, 换算标准!$I:$J), 2, TRUE), 0))</f>
        <v/>
      </c>
      <c r="T650" t="str">
        <f t="shared" si="31"/>
        <v/>
      </c>
      <c r="U650" t="str">
        <f>IF(T650="","", IFERROR(VLOOKUP(T650, IF(D650="Movers", 换算标准!$A:$B, 换算标准!$G:$H), 2, TRUE), 0))</f>
        <v/>
      </c>
      <c r="W650" t="str">
        <f t="shared" si="32"/>
        <v/>
      </c>
      <c r="Z650" s="5" t="str">
        <f>IF(J650="","", IF(K650&lt;=3, "⚠️ 薄弱环节: "&amp;INDEX($E$1:$I$1, MATCH(MIN(E650:I650), E650:I650, 0))&amp;CHAR(10)&amp;"📉 考察能力: "&amp;IFERROR(VLOOKUP(TRIM(D650)&amp;"_"&amp;TRIM(INDEX($E$1:$I$1, MATCH(MIN(E650:I650), E650:I650, 0))), 技能库!$A:$F, 5, 0),"建议查阅考纲")&amp;CHAR(10)&amp;"💡 提升建议: "&amp;IFERROR(VLOOKUP(TRIM(D650)&amp;"_"&amp;TRIM(INDEX($E$1:$I$1, MATCH(MIN(E650:I650), E650:I650, 0))), 技能库!$A:$F, 6, 0),"请针对该题型加强练习"), "🎉 表现优异，无明显弱项！"))</f>
        <v/>
      </c>
      <c r="AA650" s="5" t="str">
        <f>IF(T650="","", IF(U650&lt;=3, "⚠️ 薄弱环节: "&amp;INDEX($M$1:$S$1, MATCH(MIN(M650:S650), M650:S650, 0))&amp;CHAR(10)&amp;"📉 考察能力: "&amp;IFERROR(VLOOKUP(TRIM(D650)&amp;"_"&amp;TRIM(INDEX($M$1:$S$1, MATCH(MIN(M650:S650), M650:S650, 0))), 技能库!$A:$F, 5, 0),"建议查阅考纲")&amp;CHAR(10)&amp;"💡 提升建议: "&amp;IFERROR(VLOOKUP(TRIM(D650)&amp;"_"&amp;TRIM(INDEX($M$1:$S$1, MATCH(MIN(M650:S650), M650:S650, 0))), 技能库!$A:$F, 6, 0),"请针对该题型加强练习"), "🎉 表现优异，无明显弱项！"))</f>
        <v/>
      </c>
    </row>
    <row r="651" spans="10:27" ht="18" hidden="1" customHeight="1" x14ac:dyDescent="0.2">
      <c r="J651" t="str">
        <f t="shared" si="30"/>
        <v/>
      </c>
      <c r="K651" t="str">
        <f>IF(J651="","", IFERROR(VLOOKUP(J651, IF(D651="Movers", 换算标准!$C:$D, 换算标准!$I:$J), 2, TRUE), 0))</f>
        <v/>
      </c>
      <c r="T651" t="str">
        <f t="shared" si="31"/>
        <v/>
      </c>
      <c r="U651" t="str">
        <f>IF(T651="","", IFERROR(VLOOKUP(T651, IF(D651="Movers", 换算标准!$A:$B, 换算标准!$G:$H), 2, TRUE), 0))</f>
        <v/>
      </c>
      <c r="W651" t="str">
        <f t="shared" si="32"/>
        <v/>
      </c>
      <c r="Z651" s="5" t="str">
        <f>IF(J651="","", IF(K651&lt;=3, "⚠️ 薄弱环节: "&amp;INDEX($E$1:$I$1, MATCH(MIN(E651:I651), E651:I651, 0))&amp;CHAR(10)&amp;"📉 考察能力: "&amp;IFERROR(VLOOKUP(TRIM(D651)&amp;"_"&amp;TRIM(INDEX($E$1:$I$1, MATCH(MIN(E651:I651), E651:I651, 0))), 技能库!$A:$F, 5, 0),"建议查阅考纲")&amp;CHAR(10)&amp;"💡 提升建议: "&amp;IFERROR(VLOOKUP(TRIM(D651)&amp;"_"&amp;TRIM(INDEX($E$1:$I$1, MATCH(MIN(E651:I651), E651:I651, 0))), 技能库!$A:$F, 6, 0),"请针对该题型加强练习"), "🎉 表现优异，无明显弱项！"))</f>
        <v/>
      </c>
      <c r="AA651" s="5" t="str">
        <f>IF(T651="","", IF(U651&lt;=3, "⚠️ 薄弱环节: "&amp;INDEX($M$1:$S$1, MATCH(MIN(M651:S651), M651:S651, 0))&amp;CHAR(10)&amp;"📉 考察能力: "&amp;IFERROR(VLOOKUP(TRIM(D651)&amp;"_"&amp;TRIM(INDEX($M$1:$S$1, MATCH(MIN(M651:S651), M651:S651, 0))), 技能库!$A:$F, 5, 0),"建议查阅考纲")&amp;CHAR(10)&amp;"💡 提升建议: "&amp;IFERROR(VLOOKUP(TRIM(D651)&amp;"_"&amp;TRIM(INDEX($M$1:$S$1, MATCH(MIN(M651:S651), M651:S651, 0))), 技能库!$A:$F, 6, 0),"请针对该题型加强练习"), "🎉 表现优异，无明显弱项！"))</f>
        <v/>
      </c>
    </row>
    <row r="652" spans="10:27" ht="18" hidden="1" customHeight="1" x14ac:dyDescent="0.2">
      <c r="J652" t="str">
        <f t="shared" si="30"/>
        <v/>
      </c>
      <c r="K652" t="str">
        <f>IF(J652="","", IFERROR(VLOOKUP(J652, IF(D652="Movers", 换算标准!$C:$D, 换算标准!$I:$J), 2, TRUE), 0))</f>
        <v/>
      </c>
      <c r="T652" t="str">
        <f t="shared" si="31"/>
        <v/>
      </c>
      <c r="U652" t="str">
        <f>IF(T652="","", IFERROR(VLOOKUP(T652, IF(D652="Movers", 换算标准!$A:$B, 换算标准!$G:$H), 2, TRUE), 0))</f>
        <v/>
      </c>
      <c r="W652" t="str">
        <f t="shared" si="32"/>
        <v/>
      </c>
      <c r="Z652" s="5" t="str">
        <f>IF(J652="","", IF(K652&lt;=3, "⚠️ 薄弱环节: "&amp;INDEX($E$1:$I$1, MATCH(MIN(E652:I652), E652:I652, 0))&amp;CHAR(10)&amp;"📉 考察能力: "&amp;IFERROR(VLOOKUP(TRIM(D652)&amp;"_"&amp;TRIM(INDEX($E$1:$I$1, MATCH(MIN(E652:I652), E652:I652, 0))), 技能库!$A:$F, 5, 0),"建议查阅考纲")&amp;CHAR(10)&amp;"💡 提升建议: "&amp;IFERROR(VLOOKUP(TRIM(D652)&amp;"_"&amp;TRIM(INDEX($E$1:$I$1, MATCH(MIN(E652:I652), E652:I652, 0))), 技能库!$A:$F, 6, 0),"请针对该题型加强练习"), "🎉 表现优异，无明显弱项！"))</f>
        <v/>
      </c>
      <c r="AA652" s="5" t="str">
        <f>IF(T652="","", IF(U652&lt;=3, "⚠️ 薄弱环节: "&amp;INDEX($M$1:$S$1, MATCH(MIN(M652:S652), M652:S652, 0))&amp;CHAR(10)&amp;"📉 考察能力: "&amp;IFERROR(VLOOKUP(TRIM(D652)&amp;"_"&amp;TRIM(INDEX($M$1:$S$1, MATCH(MIN(M652:S652), M652:S652, 0))), 技能库!$A:$F, 5, 0),"建议查阅考纲")&amp;CHAR(10)&amp;"💡 提升建议: "&amp;IFERROR(VLOOKUP(TRIM(D652)&amp;"_"&amp;TRIM(INDEX($M$1:$S$1, MATCH(MIN(M652:S652), M652:S652, 0))), 技能库!$A:$F, 6, 0),"请针对该题型加强练习"), "🎉 表现优异，无明显弱项！"))</f>
        <v/>
      </c>
    </row>
    <row r="653" spans="10:27" ht="18" hidden="1" customHeight="1" x14ac:dyDescent="0.2">
      <c r="J653" t="str">
        <f t="shared" si="30"/>
        <v/>
      </c>
      <c r="K653" t="str">
        <f>IF(J653="","", IFERROR(VLOOKUP(J653, IF(D653="Movers", 换算标准!$C:$D, 换算标准!$I:$J), 2, TRUE), 0))</f>
        <v/>
      </c>
      <c r="T653" t="str">
        <f t="shared" si="31"/>
        <v/>
      </c>
      <c r="U653" t="str">
        <f>IF(T653="","", IFERROR(VLOOKUP(T653, IF(D653="Movers", 换算标准!$A:$B, 换算标准!$G:$H), 2, TRUE), 0))</f>
        <v/>
      </c>
      <c r="W653" t="str">
        <f t="shared" si="32"/>
        <v/>
      </c>
      <c r="Z653" s="5" t="str">
        <f>IF(J653="","", IF(K653&lt;=3, "⚠️ 薄弱环节: "&amp;INDEX($E$1:$I$1, MATCH(MIN(E653:I653), E653:I653, 0))&amp;CHAR(10)&amp;"📉 考察能力: "&amp;IFERROR(VLOOKUP(TRIM(D653)&amp;"_"&amp;TRIM(INDEX($E$1:$I$1, MATCH(MIN(E653:I653), E653:I653, 0))), 技能库!$A:$F, 5, 0),"建议查阅考纲")&amp;CHAR(10)&amp;"💡 提升建议: "&amp;IFERROR(VLOOKUP(TRIM(D653)&amp;"_"&amp;TRIM(INDEX($E$1:$I$1, MATCH(MIN(E653:I653), E653:I653, 0))), 技能库!$A:$F, 6, 0),"请针对该题型加强练习"), "🎉 表现优异，无明显弱项！"))</f>
        <v/>
      </c>
      <c r="AA653" s="5" t="str">
        <f>IF(T653="","", IF(U653&lt;=3, "⚠️ 薄弱环节: "&amp;INDEX($M$1:$S$1, MATCH(MIN(M653:S653), M653:S653, 0))&amp;CHAR(10)&amp;"📉 考察能力: "&amp;IFERROR(VLOOKUP(TRIM(D653)&amp;"_"&amp;TRIM(INDEX($M$1:$S$1, MATCH(MIN(M653:S653), M653:S653, 0))), 技能库!$A:$F, 5, 0),"建议查阅考纲")&amp;CHAR(10)&amp;"💡 提升建议: "&amp;IFERROR(VLOOKUP(TRIM(D653)&amp;"_"&amp;TRIM(INDEX($M$1:$S$1, MATCH(MIN(M653:S653), M653:S653, 0))), 技能库!$A:$F, 6, 0),"请针对该题型加强练习"), "🎉 表现优异，无明显弱项！"))</f>
        <v/>
      </c>
    </row>
    <row r="654" spans="10:27" ht="18" hidden="1" customHeight="1" x14ac:dyDescent="0.2">
      <c r="J654" t="str">
        <f t="shared" si="30"/>
        <v/>
      </c>
      <c r="K654" t="str">
        <f>IF(J654="","", IFERROR(VLOOKUP(J654, IF(D654="Movers", 换算标准!$C:$D, 换算标准!$I:$J), 2, TRUE), 0))</f>
        <v/>
      </c>
      <c r="T654" t="str">
        <f t="shared" si="31"/>
        <v/>
      </c>
      <c r="U654" t="str">
        <f>IF(T654="","", IFERROR(VLOOKUP(T654, IF(D654="Movers", 换算标准!$A:$B, 换算标准!$G:$H), 2, TRUE), 0))</f>
        <v/>
      </c>
      <c r="W654" t="str">
        <f t="shared" si="32"/>
        <v/>
      </c>
      <c r="Z654" s="5" t="str">
        <f>IF(J654="","", IF(K654&lt;=3, "⚠️ 薄弱环节: "&amp;INDEX($E$1:$I$1, MATCH(MIN(E654:I654), E654:I654, 0))&amp;CHAR(10)&amp;"📉 考察能力: "&amp;IFERROR(VLOOKUP(TRIM(D654)&amp;"_"&amp;TRIM(INDEX($E$1:$I$1, MATCH(MIN(E654:I654), E654:I654, 0))), 技能库!$A:$F, 5, 0),"建议查阅考纲")&amp;CHAR(10)&amp;"💡 提升建议: "&amp;IFERROR(VLOOKUP(TRIM(D654)&amp;"_"&amp;TRIM(INDEX($E$1:$I$1, MATCH(MIN(E654:I654), E654:I654, 0))), 技能库!$A:$F, 6, 0),"请针对该题型加强练习"), "🎉 表现优异，无明显弱项！"))</f>
        <v/>
      </c>
      <c r="AA654" s="5" t="str">
        <f>IF(T654="","", IF(U654&lt;=3, "⚠️ 薄弱环节: "&amp;INDEX($M$1:$S$1, MATCH(MIN(M654:S654), M654:S654, 0))&amp;CHAR(10)&amp;"📉 考察能力: "&amp;IFERROR(VLOOKUP(TRIM(D654)&amp;"_"&amp;TRIM(INDEX($M$1:$S$1, MATCH(MIN(M654:S654), M654:S654, 0))), 技能库!$A:$F, 5, 0),"建议查阅考纲")&amp;CHAR(10)&amp;"💡 提升建议: "&amp;IFERROR(VLOOKUP(TRIM(D654)&amp;"_"&amp;TRIM(INDEX($M$1:$S$1, MATCH(MIN(M654:S654), M654:S654, 0))), 技能库!$A:$F, 6, 0),"请针对该题型加强练习"), "🎉 表现优异，无明显弱项！"))</f>
        <v/>
      </c>
    </row>
    <row r="655" spans="10:27" ht="18" hidden="1" customHeight="1" x14ac:dyDescent="0.2">
      <c r="J655" t="str">
        <f t="shared" si="30"/>
        <v/>
      </c>
      <c r="K655" t="str">
        <f>IF(J655="","", IFERROR(VLOOKUP(J655, IF(D655="Movers", 换算标准!$C:$D, 换算标准!$I:$J), 2, TRUE), 0))</f>
        <v/>
      </c>
      <c r="T655" t="str">
        <f t="shared" si="31"/>
        <v/>
      </c>
      <c r="U655" t="str">
        <f>IF(T655="","", IFERROR(VLOOKUP(T655, IF(D655="Movers", 换算标准!$A:$B, 换算标准!$G:$H), 2, TRUE), 0))</f>
        <v/>
      </c>
      <c r="W655" t="str">
        <f t="shared" si="32"/>
        <v/>
      </c>
      <c r="Z655" s="5" t="str">
        <f>IF(J655="","", IF(K655&lt;=3, "⚠️ 薄弱环节: "&amp;INDEX($E$1:$I$1, MATCH(MIN(E655:I655), E655:I655, 0))&amp;CHAR(10)&amp;"📉 考察能力: "&amp;IFERROR(VLOOKUP(TRIM(D655)&amp;"_"&amp;TRIM(INDEX($E$1:$I$1, MATCH(MIN(E655:I655), E655:I655, 0))), 技能库!$A:$F, 5, 0),"建议查阅考纲")&amp;CHAR(10)&amp;"💡 提升建议: "&amp;IFERROR(VLOOKUP(TRIM(D655)&amp;"_"&amp;TRIM(INDEX($E$1:$I$1, MATCH(MIN(E655:I655), E655:I655, 0))), 技能库!$A:$F, 6, 0),"请针对该题型加强练习"), "🎉 表现优异，无明显弱项！"))</f>
        <v/>
      </c>
      <c r="AA655" s="5" t="str">
        <f>IF(T655="","", IF(U655&lt;=3, "⚠️ 薄弱环节: "&amp;INDEX($M$1:$S$1, MATCH(MIN(M655:S655), M655:S655, 0))&amp;CHAR(10)&amp;"📉 考察能力: "&amp;IFERROR(VLOOKUP(TRIM(D655)&amp;"_"&amp;TRIM(INDEX($M$1:$S$1, MATCH(MIN(M655:S655), M655:S655, 0))), 技能库!$A:$F, 5, 0),"建议查阅考纲")&amp;CHAR(10)&amp;"💡 提升建议: "&amp;IFERROR(VLOOKUP(TRIM(D655)&amp;"_"&amp;TRIM(INDEX($M$1:$S$1, MATCH(MIN(M655:S655), M655:S655, 0))), 技能库!$A:$F, 6, 0),"请针对该题型加强练习"), "🎉 表现优异，无明显弱项！"))</f>
        <v/>
      </c>
    </row>
    <row r="656" spans="10:27" ht="18" hidden="1" customHeight="1" x14ac:dyDescent="0.2">
      <c r="J656" t="str">
        <f t="shared" si="30"/>
        <v/>
      </c>
      <c r="K656" t="str">
        <f>IF(J656="","", IFERROR(VLOOKUP(J656, IF(D656="Movers", 换算标准!$C:$D, 换算标准!$I:$J), 2, TRUE), 0))</f>
        <v/>
      </c>
      <c r="T656" t="str">
        <f t="shared" si="31"/>
        <v/>
      </c>
      <c r="U656" t="str">
        <f>IF(T656="","", IFERROR(VLOOKUP(T656, IF(D656="Movers", 换算标准!$A:$B, 换算标准!$G:$H), 2, TRUE), 0))</f>
        <v/>
      </c>
      <c r="W656" t="str">
        <f t="shared" si="32"/>
        <v/>
      </c>
      <c r="Z656" s="5" t="str">
        <f>IF(J656="","", IF(K656&lt;=3, "⚠️ 薄弱环节: "&amp;INDEX($E$1:$I$1, MATCH(MIN(E656:I656), E656:I656, 0))&amp;CHAR(10)&amp;"📉 考察能力: "&amp;IFERROR(VLOOKUP(TRIM(D656)&amp;"_"&amp;TRIM(INDEX($E$1:$I$1, MATCH(MIN(E656:I656), E656:I656, 0))), 技能库!$A:$F, 5, 0),"建议查阅考纲")&amp;CHAR(10)&amp;"💡 提升建议: "&amp;IFERROR(VLOOKUP(TRIM(D656)&amp;"_"&amp;TRIM(INDEX($E$1:$I$1, MATCH(MIN(E656:I656), E656:I656, 0))), 技能库!$A:$F, 6, 0),"请针对该题型加强练习"), "🎉 表现优异，无明显弱项！"))</f>
        <v/>
      </c>
      <c r="AA656" s="5" t="str">
        <f>IF(T656="","", IF(U656&lt;=3, "⚠️ 薄弱环节: "&amp;INDEX($M$1:$S$1, MATCH(MIN(M656:S656), M656:S656, 0))&amp;CHAR(10)&amp;"📉 考察能力: "&amp;IFERROR(VLOOKUP(TRIM(D656)&amp;"_"&amp;TRIM(INDEX($M$1:$S$1, MATCH(MIN(M656:S656), M656:S656, 0))), 技能库!$A:$F, 5, 0),"建议查阅考纲")&amp;CHAR(10)&amp;"💡 提升建议: "&amp;IFERROR(VLOOKUP(TRIM(D656)&amp;"_"&amp;TRIM(INDEX($M$1:$S$1, MATCH(MIN(M656:S656), M656:S656, 0))), 技能库!$A:$F, 6, 0),"请针对该题型加强练习"), "🎉 表现优异，无明显弱项！"))</f>
        <v/>
      </c>
    </row>
    <row r="657" spans="10:27" ht="18" hidden="1" customHeight="1" x14ac:dyDescent="0.2">
      <c r="J657" t="str">
        <f t="shared" si="30"/>
        <v/>
      </c>
      <c r="K657" t="str">
        <f>IF(J657="","", IFERROR(VLOOKUP(J657, IF(D657="Movers", 换算标准!$C:$D, 换算标准!$I:$J), 2, TRUE), 0))</f>
        <v/>
      </c>
      <c r="T657" t="str">
        <f t="shared" si="31"/>
        <v/>
      </c>
      <c r="U657" t="str">
        <f>IF(T657="","", IFERROR(VLOOKUP(T657, IF(D657="Movers", 换算标准!$A:$B, 换算标准!$G:$H), 2, TRUE), 0))</f>
        <v/>
      </c>
      <c r="W657" t="str">
        <f t="shared" si="32"/>
        <v/>
      </c>
      <c r="Z657" s="5" t="str">
        <f>IF(J657="","", IF(K657&lt;=3, "⚠️ 薄弱环节: "&amp;INDEX($E$1:$I$1, MATCH(MIN(E657:I657), E657:I657, 0))&amp;CHAR(10)&amp;"📉 考察能力: "&amp;IFERROR(VLOOKUP(TRIM(D657)&amp;"_"&amp;TRIM(INDEX($E$1:$I$1, MATCH(MIN(E657:I657), E657:I657, 0))), 技能库!$A:$F, 5, 0),"建议查阅考纲")&amp;CHAR(10)&amp;"💡 提升建议: "&amp;IFERROR(VLOOKUP(TRIM(D657)&amp;"_"&amp;TRIM(INDEX($E$1:$I$1, MATCH(MIN(E657:I657), E657:I657, 0))), 技能库!$A:$F, 6, 0),"请针对该题型加强练习"), "🎉 表现优异，无明显弱项！"))</f>
        <v/>
      </c>
      <c r="AA657" s="5" t="str">
        <f>IF(T657="","", IF(U657&lt;=3, "⚠️ 薄弱环节: "&amp;INDEX($M$1:$S$1, MATCH(MIN(M657:S657), M657:S657, 0))&amp;CHAR(10)&amp;"📉 考察能力: "&amp;IFERROR(VLOOKUP(TRIM(D657)&amp;"_"&amp;TRIM(INDEX($M$1:$S$1, MATCH(MIN(M657:S657), M657:S657, 0))), 技能库!$A:$F, 5, 0),"建议查阅考纲")&amp;CHAR(10)&amp;"💡 提升建议: "&amp;IFERROR(VLOOKUP(TRIM(D657)&amp;"_"&amp;TRIM(INDEX($M$1:$S$1, MATCH(MIN(M657:S657), M657:S657, 0))), 技能库!$A:$F, 6, 0),"请针对该题型加强练习"), "🎉 表现优异，无明显弱项！"))</f>
        <v/>
      </c>
    </row>
    <row r="658" spans="10:27" ht="18" hidden="1" customHeight="1" x14ac:dyDescent="0.2">
      <c r="J658" t="str">
        <f t="shared" si="30"/>
        <v/>
      </c>
      <c r="K658" t="str">
        <f>IF(J658="","", IFERROR(VLOOKUP(J658, IF(D658="Movers", 换算标准!$C:$D, 换算标准!$I:$J), 2, TRUE), 0))</f>
        <v/>
      </c>
      <c r="T658" t="str">
        <f t="shared" si="31"/>
        <v/>
      </c>
      <c r="U658" t="str">
        <f>IF(T658="","", IFERROR(VLOOKUP(T658, IF(D658="Movers", 换算标准!$A:$B, 换算标准!$G:$H), 2, TRUE), 0))</f>
        <v/>
      </c>
      <c r="W658" t="str">
        <f t="shared" si="32"/>
        <v/>
      </c>
      <c r="Z658" s="5" t="str">
        <f>IF(J658="","", IF(K658&lt;=3, "⚠️ 薄弱环节: "&amp;INDEX($E$1:$I$1, MATCH(MIN(E658:I658), E658:I658, 0))&amp;CHAR(10)&amp;"📉 考察能力: "&amp;IFERROR(VLOOKUP(TRIM(D658)&amp;"_"&amp;TRIM(INDEX($E$1:$I$1, MATCH(MIN(E658:I658), E658:I658, 0))), 技能库!$A:$F, 5, 0),"建议查阅考纲")&amp;CHAR(10)&amp;"💡 提升建议: "&amp;IFERROR(VLOOKUP(TRIM(D658)&amp;"_"&amp;TRIM(INDEX($E$1:$I$1, MATCH(MIN(E658:I658), E658:I658, 0))), 技能库!$A:$F, 6, 0),"请针对该题型加强练习"), "🎉 表现优异，无明显弱项！"))</f>
        <v/>
      </c>
      <c r="AA658" s="5" t="str">
        <f>IF(T658="","", IF(U658&lt;=3, "⚠️ 薄弱环节: "&amp;INDEX($M$1:$S$1, MATCH(MIN(M658:S658), M658:S658, 0))&amp;CHAR(10)&amp;"📉 考察能力: "&amp;IFERROR(VLOOKUP(TRIM(D658)&amp;"_"&amp;TRIM(INDEX($M$1:$S$1, MATCH(MIN(M658:S658), M658:S658, 0))), 技能库!$A:$F, 5, 0),"建议查阅考纲")&amp;CHAR(10)&amp;"💡 提升建议: "&amp;IFERROR(VLOOKUP(TRIM(D658)&amp;"_"&amp;TRIM(INDEX($M$1:$S$1, MATCH(MIN(M658:S658), M658:S658, 0))), 技能库!$A:$F, 6, 0),"请针对该题型加强练习"), "🎉 表现优异，无明显弱项！"))</f>
        <v/>
      </c>
    </row>
    <row r="659" spans="10:27" ht="18" hidden="1" customHeight="1" x14ac:dyDescent="0.2">
      <c r="J659" t="str">
        <f t="shared" si="30"/>
        <v/>
      </c>
      <c r="K659" t="str">
        <f>IF(J659="","", IFERROR(VLOOKUP(J659, IF(D659="Movers", 换算标准!$C:$D, 换算标准!$I:$J), 2, TRUE), 0))</f>
        <v/>
      </c>
      <c r="T659" t="str">
        <f t="shared" si="31"/>
        <v/>
      </c>
      <c r="U659" t="str">
        <f>IF(T659="","", IFERROR(VLOOKUP(T659, IF(D659="Movers", 换算标准!$A:$B, 换算标准!$G:$H), 2, TRUE), 0))</f>
        <v/>
      </c>
      <c r="W659" t="str">
        <f t="shared" si="32"/>
        <v/>
      </c>
      <c r="Z659" s="5" t="str">
        <f>IF(J659="","", IF(K659&lt;=3, "⚠️ 薄弱环节: "&amp;INDEX($E$1:$I$1, MATCH(MIN(E659:I659), E659:I659, 0))&amp;CHAR(10)&amp;"📉 考察能力: "&amp;IFERROR(VLOOKUP(TRIM(D659)&amp;"_"&amp;TRIM(INDEX($E$1:$I$1, MATCH(MIN(E659:I659), E659:I659, 0))), 技能库!$A:$F, 5, 0),"建议查阅考纲")&amp;CHAR(10)&amp;"💡 提升建议: "&amp;IFERROR(VLOOKUP(TRIM(D659)&amp;"_"&amp;TRIM(INDEX($E$1:$I$1, MATCH(MIN(E659:I659), E659:I659, 0))), 技能库!$A:$F, 6, 0),"请针对该题型加强练习"), "🎉 表现优异，无明显弱项！"))</f>
        <v/>
      </c>
      <c r="AA659" s="5" t="str">
        <f>IF(T659="","", IF(U659&lt;=3, "⚠️ 薄弱环节: "&amp;INDEX($M$1:$S$1, MATCH(MIN(M659:S659), M659:S659, 0))&amp;CHAR(10)&amp;"📉 考察能力: "&amp;IFERROR(VLOOKUP(TRIM(D659)&amp;"_"&amp;TRIM(INDEX($M$1:$S$1, MATCH(MIN(M659:S659), M659:S659, 0))), 技能库!$A:$F, 5, 0),"建议查阅考纲")&amp;CHAR(10)&amp;"💡 提升建议: "&amp;IFERROR(VLOOKUP(TRIM(D659)&amp;"_"&amp;TRIM(INDEX($M$1:$S$1, MATCH(MIN(M659:S659), M659:S659, 0))), 技能库!$A:$F, 6, 0),"请针对该题型加强练习"), "🎉 表现优异，无明显弱项！"))</f>
        <v/>
      </c>
    </row>
    <row r="660" spans="10:27" ht="18" hidden="1" customHeight="1" x14ac:dyDescent="0.2">
      <c r="J660" t="str">
        <f t="shared" si="30"/>
        <v/>
      </c>
      <c r="K660" t="str">
        <f>IF(J660="","", IFERROR(VLOOKUP(J660, IF(D660="Movers", 换算标准!$C:$D, 换算标准!$I:$J), 2, TRUE), 0))</f>
        <v/>
      </c>
      <c r="T660" t="str">
        <f t="shared" si="31"/>
        <v/>
      </c>
      <c r="U660" t="str">
        <f>IF(T660="","", IFERROR(VLOOKUP(T660, IF(D660="Movers", 换算标准!$A:$B, 换算标准!$G:$H), 2, TRUE), 0))</f>
        <v/>
      </c>
      <c r="W660" t="str">
        <f t="shared" si="32"/>
        <v/>
      </c>
      <c r="Z660" s="5" t="str">
        <f>IF(J660="","", IF(K660&lt;=3, "⚠️ 薄弱环节: "&amp;INDEX($E$1:$I$1, MATCH(MIN(E660:I660), E660:I660, 0))&amp;CHAR(10)&amp;"📉 考察能力: "&amp;IFERROR(VLOOKUP(TRIM(D660)&amp;"_"&amp;TRIM(INDEX($E$1:$I$1, MATCH(MIN(E660:I660), E660:I660, 0))), 技能库!$A:$F, 5, 0),"建议查阅考纲")&amp;CHAR(10)&amp;"💡 提升建议: "&amp;IFERROR(VLOOKUP(TRIM(D660)&amp;"_"&amp;TRIM(INDEX($E$1:$I$1, MATCH(MIN(E660:I660), E660:I660, 0))), 技能库!$A:$F, 6, 0),"请针对该题型加强练习"), "🎉 表现优异，无明显弱项！"))</f>
        <v/>
      </c>
      <c r="AA660" s="5" t="str">
        <f>IF(T660="","", IF(U660&lt;=3, "⚠️ 薄弱环节: "&amp;INDEX($M$1:$S$1, MATCH(MIN(M660:S660), M660:S660, 0))&amp;CHAR(10)&amp;"📉 考察能力: "&amp;IFERROR(VLOOKUP(TRIM(D660)&amp;"_"&amp;TRIM(INDEX($M$1:$S$1, MATCH(MIN(M660:S660), M660:S660, 0))), 技能库!$A:$F, 5, 0),"建议查阅考纲")&amp;CHAR(10)&amp;"💡 提升建议: "&amp;IFERROR(VLOOKUP(TRIM(D660)&amp;"_"&amp;TRIM(INDEX($M$1:$S$1, MATCH(MIN(M660:S660), M660:S660, 0))), 技能库!$A:$F, 6, 0),"请针对该题型加强练习"), "🎉 表现优异，无明显弱项！"))</f>
        <v/>
      </c>
    </row>
    <row r="661" spans="10:27" ht="18" hidden="1" customHeight="1" x14ac:dyDescent="0.2">
      <c r="J661" t="str">
        <f t="shared" si="30"/>
        <v/>
      </c>
      <c r="K661" t="str">
        <f>IF(J661="","", IFERROR(VLOOKUP(J661, IF(D661="Movers", 换算标准!$C:$D, 换算标准!$I:$J), 2, TRUE), 0))</f>
        <v/>
      </c>
      <c r="T661" t="str">
        <f t="shared" si="31"/>
        <v/>
      </c>
      <c r="U661" t="str">
        <f>IF(T661="","", IFERROR(VLOOKUP(T661, IF(D661="Movers", 换算标准!$A:$B, 换算标准!$G:$H), 2, TRUE), 0))</f>
        <v/>
      </c>
      <c r="W661" t="str">
        <f t="shared" si="32"/>
        <v/>
      </c>
      <c r="Z661" s="5" t="str">
        <f>IF(J661="","", IF(K661&lt;=3, "⚠️ 薄弱环节: "&amp;INDEX($E$1:$I$1, MATCH(MIN(E661:I661), E661:I661, 0))&amp;CHAR(10)&amp;"📉 考察能力: "&amp;IFERROR(VLOOKUP(TRIM(D661)&amp;"_"&amp;TRIM(INDEX($E$1:$I$1, MATCH(MIN(E661:I661), E661:I661, 0))), 技能库!$A:$F, 5, 0),"建议查阅考纲")&amp;CHAR(10)&amp;"💡 提升建议: "&amp;IFERROR(VLOOKUP(TRIM(D661)&amp;"_"&amp;TRIM(INDEX($E$1:$I$1, MATCH(MIN(E661:I661), E661:I661, 0))), 技能库!$A:$F, 6, 0),"请针对该题型加强练习"), "🎉 表现优异，无明显弱项！"))</f>
        <v/>
      </c>
      <c r="AA661" s="5" t="str">
        <f>IF(T661="","", IF(U661&lt;=3, "⚠️ 薄弱环节: "&amp;INDEX($M$1:$S$1, MATCH(MIN(M661:S661), M661:S661, 0))&amp;CHAR(10)&amp;"📉 考察能力: "&amp;IFERROR(VLOOKUP(TRIM(D661)&amp;"_"&amp;TRIM(INDEX($M$1:$S$1, MATCH(MIN(M661:S661), M661:S661, 0))), 技能库!$A:$F, 5, 0),"建议查阅考纲")&amp;CHAR(10)&amp;"💡 提升建议: "&amp;IFERROR(VLOOKUP(TRIM(D661)&amp;"_"&amp;TRIM(INDEX($M$1:$S$1, MATCH(MIN(M661:S661), M661:S661, 0))), 技能库!$A:$F, 6, 0),"请针对该题型加强练习"), "🎉 表现优异，无明显弱项！"))</f>
        <v/>
      </c>
    </row>
    <row r="662" spans="10:27" ht="18" hidden="1" customHeight="1" x14ac:dyDescent="0.2">
      <c r="J662" t="str">
        <f t="shared" si="30"/>
        <v/>
      </c>
      <c r="K662" t="str">
        <f>IF(J662="","", IFERROR(VLOOKUP(J662, IF(D662="Movers", 换算标准!$C:$D, 换算标准!$I:$J), 2, TRUE), 0))</f>
        <v/>
      </c>
      <c r="T662" t="str">
        <f t="shared" si="31"/>
        <v/>
      </c>
      <c r="U662" t="str">
        <f>IF(T662="","", IFERROR(VLOOKUP(T662, IF(D662="Movers", 换算标准!$A:$B, 换算标准!$G:$H), 2, TRUE), 0))</f>
        <v/>
      </c>
      <c r="W662" t="str">
        <f t="shared" si="32"/>
        <v/>
      </c>
      <c r="Z662" s="5" t="str">
        <f>IF(J662="","", IF(K662&lt;=3, "⚠️ 薄弱环节: "&amp;INDEX($E$1:$I$1, MATCH(MIN(E662:I662), E662:I662, 0))&amp;CHAR(10)&amp;"📉 考察能力: "&amp;IFERROR(VLOOKUP(TRIM(D662)&amp;"_"&amp;TRIM(INDEX($E$1:$I$1, MATCH(MIN(E662:I662), E662:I662, 0))), 技能库!$A:$F, 5, 0),"建议查阅考纲")&amp;CHAR(10)&amp;"💡 提升建议: "&amp;IFERROR(VLOOKUP(TRIM(D662)&amp;"_"&amp;TRIM(INDEX($E$1:$I$1, MATCH(MIN(E662:I662), E662:I662, 0))), 技能库!$A:$F, 6, 0),"请针对该题型加强练习"), "🎉 表现优异，无明显弱项！"))</f>
        <v/>
      </c>
      <c r="AA662" s="5" t="str">
        <f>IF(T662="","", IF(U662&lt;=3, "⚠️ 薄弱环节: "&amp;INDEX($M$1:$S$1, MATCH(MIN(M662:S662), M662:S662, 0))&amp;CHAR(10)&amp;"📉 考察能力: "&amp;IFERROR(VLOOKUP(TRIM(D662)&amp;"_"&amp;TRIM(INDEX($M$1:$S$1, MATCH(MIN(M662:S662), M662:S662, 0))), 技能库!$A:$F, 5, 0),"建议查阅考纲")&amp;CHAR(10)&amp;"💡 提升建议: "&amp;IFERROR(VLOOKUP(TRIM(D662)&amp;"_"&amp;TRIM(INDEX($M$1:$S$1, MATCH(MIN(M662:S662), M662:S662, 0))), 技能库!$A:$F, 6, 0),"请针对该题型加强练习"), "🎉 表现优异，无明显弱项！"))</f>
        <v/>
      </c>
    </row>
    <row r="663" spans="10:27" ht="18" hidden="1" customHeight="1" x14ac:dyDescent="0.2">
      <c r="J663" t="str">
        <f t="shared" si="30"/>
        <v/>
      </c>
      <c r="K663" t="str">
        <f>IF(J663="","", IFERROR(VLOOKUP(J663, IF(D663="Movers", 换算标准!$C:$D, 换算标准!$I:$J), 2, TRUE), 0))</f>
        <v/>
      </c>
      <c r="T663" t="str">
        <f t="shared" si="31"/>
        <v/>
      </c>
      <c r="U663" t="str">
        <f>IF(T663="","", IFERROR(VLOOKUP(T663, IF(D663="Movers", 换算标准!$A:$B, 换算标准!$G:$H), 2, TRUE), 0))</f>
        <v/>
      </c>
      <c r="W663" t="str">
        <f t="shared" si="32"/>
        <v/>
      </c>
      <c r="Z663" s="5" t="str">
        <f>IF(J663="","", IF(K663&lt;=3, "⚠️ 薄弱环节: "&amp;INDEX($E$1:$I$1, MATCH(MIN(E663:I663), E663:I663, 0))&amp;CHAR(10)&amp;"📉 考察能力: "&amp;IFERROR(VLOOKUP(TRIM(D663)&amp;"_"&amp;TRIM(INDEX($E$1:$I$1, MATCH(MIN(E663:I663), E663:I663, 0))), 技能库!$A:$F, 5, 0),"建议查阅考纲")&amp;CHAR(10)&amp;"💡 提升建议: "&amp;IFERROR(VLOOKUP(TRIM(D663)&amp;"_"&amp;TRIM(INDEX($E$1:$I$1, MATCH(MIN(E663:I663), E663:I663, 0))), 技能库!$A:$F, 6, 0),"请针对该题型加强练习"), "🎉 表现优异，无明显弱项！"))</f>
        <v/>
      </c>
      <c r="AA663" s="5" t="str">
        <f>IF(T663="","", IF(U663&lt;=3, "⚠️ 薄弱环节: "&amp;INDEX($M$1:$S$1, MATCH(MIN(M663:S663), M663:S663, 0))&amp;CHAR(10)&amp;"📉 考察能力: "&amp;IFERROR(VLOOKUP(TRIM(D663)&amp;"_"&amp;TRIM(INDEX($M$1:$S$1, MATCH(MIN(M663:S663), M663:S663, 0))), 技能库!$A:$F, 5, 0),"建议查阅考纲")&amp;CHAR(10)&amp;"💡 提升建议: "&amp;IFERROR(VLOOKUP(TRIM(D663)&amp;"_"&amp;TRIM(INDEX($M$1:$S$1, MATCH(MIN(M663:S663), M663:S663, 0))), 技能库!$A:$F, 6, 0),"请针对该题型加强练习"), "🎉 表现优异，无明显弱项！"))</f>
        <v/>
      </c>
    </row>
    <row r="664" spans="10:27" ht="18" hidden="1" customHeight="1" x14ac:dyDescent="0.2">
      <c r="J664" t="str">
        <f t="shared" si="30"/>
        <v/>
      </c>
      <c r="K664" t="str">
        <f>IF(J664="","", IFERROR(VLOOKUP(J664, IF(D664="Movers", 换算标准!$C:$D, 换算标准!$I:$J), 2, TRUE), 0))</f>
        <v/>
      </c>
      <c r="T664" t="str">
        <f t="shared" si="31"/>
        <v/>
      </c>
      <c r="U664" t="str">
        <f>IF(T664="","", IFERROR(VLOOKUP(T664, IF(D664="Movers", 换算标准!$A:$B, 换算标准!$G:$H), 2, TRUE), 0))</f>
        <v/>
      </c>
      <c r="W664" t="str">
        <f t="shared" si="32"/>
        <v/>
      </c>
      <c r="Z664" s="5" t="str">
        <f>IF(J664="","", IF(K664&lt;=3, "⚠️ 薄弱环节: "&amp;INDEX($E$1:$I$1, MATCH(MIN(E664:I664), E664:I664, 0))&amp;CHAR(10)&amp;"📉 考察能力: "&amp;IFERROR(VLOOKUP(TRIM(D664)&amp;"_"&amp;TRIM(INDEX($E$1:$I$1, MATCH(MIN(E664:I664), E664:I664, 0))), 技能库!$A:$F, 5, 0),"建议查阅考纲")&amp;CHAR(10)&amp;"💡 提升建议: "&amp;IFERROR(VLOOKUP(TRIM(D664)&amp;"_"&amp;TRIM(INDEX($E$1:$I$1, MATCH(MIN(E664:I664), E664:I664, 0))), 技能库!$A:$F, 6, 0),"请针对该题型加强练习"), "🎉 表现优异，无明显弱项！"))</f>
        <v/>
      </c>
      <c r="AA664" s="5" t="str">
        <f>IF(T664="","", IF(U664&lt;=3, "⚠️ 薄弱环节: "&amp;INDEX($M$1:$S$1, MATCH(MIN(M664:S664), M664:S664, 0))&amp;CHAR(10)&amp;"📉 考察能力: "&amp;IFERROR(VLOOKUP(TRIM(D664)&amp;"_"&amp;TRIM(INDEX($M$1:$S$1, MATCH(MIN(M664:S664), M664:S664, 0))), 技能库!$A:$F, 5, 0),"建议查阅考纲")&amp;CHAR(10)&amp;"💡 提升建议: "&amp;IFERROR(VLOOKUP(TRIM(D664)&amp;"_"&amp;TRIM(INDEX($M$1:$S$1, MATCH(MIN(M664:S664), M664:S664, 0))), 技能库!$A:$F, 6, 0),"请针对该题型加强练习"), "🎉 表现优异，无明显弱项！"))</f>
        <v/>
      </c>
    </row>
    <row r="665" spans="10:27" ht="18" hidden="1" customHeight="1" x14ac:dyDescent="0.2">
      <c r="J665" t="str">
        <f t="shared" si="30"/>
        <v/>
      </c>
      <c r="K665" t="str">
        <f>IF(J665="","", IFERROR(VLOOKUP(J665, IF(D665="Movers", 换算标准!$C:$D, 换算标准!$I:$J), 2, TRUE), 0))</f>
        <v/>
      </c>
      <c r="T665" t="str">
        <f t="shared" si="31"/>
        <v/>
      </c>
      <c r="U665" t="str">
        <f>IF(T665="","", IFERROR(VLOOKUP(T665, IF(D665="Movers", 换算标准!$A:$B, 换算标准!$G:$H), 2, TRUE), 0))</f>
        <v/>
      </c>
      <c r="W665" t="str">
        <f t="shared" si="32"/>
        <v/>
      </c>
      <c r="Z665" s="5" t="str">
        <f>IF(J665="","", IF(K665&lt;=3, "⚠️ 薄弱环节: "&amp;INDEX($E$1:$I$1, MATCH(MIN(E665:I665), E665:I665, 0))&amp;CHAR(10)&amp;"📉 考察能力: "&amp;IFERROR(VLOOKUP(TRIM(D665)&amp;"_"&amp;TRIM(INDEX($E$1:$I$1, MATCH(MIN(E665:I665), E665:I665, 0))), 技能库!$A:$F, 5, 0),"建议查阅考纲")&amp;CHAR(10)&amp;"💡 提升建议: "&amp;IFERROR(VLOOKUP(TRIM(D665)&amp;"_"&amp;TRIM(INDEX($E$1:$I$1, MATCH(MIN(E665:I665), E665:I665, 0))), 技能库!$A:$F, 6, 0),"请针对该题型加强练习"), "🎉 表现优异，无明显弱项！"))</f>
        <v/>
      </c>
      <c r="AA665" s="5" t="str">
        <f>IF(T665="","", IF(U665&lt;=3, "⚠️ 薄弱环节: "&amp;INDEX($M$1:$S$1, MATCH(MIN(M665:S665), M665:S665, 0))&amp;CHAR(10)&amp;"📉 考察能力: "&amp;IFERROR(VLOOKUP(TRIM(D665)&amp;"_"&amp;TRIM(INDEX($M$1:$S$1, MATCH(MIN(M665:S665), M665:S665, 0))), 技能库!$A:$F, 5, 0),"建议查阅考纲")&amp;CHAR(10)&amp;"💡 提升建议: "&amp;IFERROR(VLOOKUP(TRIM(D665)&amp;"_"&amp;TRIM(INDEX($M$1:$S$1, MATCH(MIN(M665:S665), M665:S665, 0))), 技能库!$A:$F, 6, 0),"请针对该题型加强练习"), "🎉 表现优异，无明显弱项！"))</f>
        <v/>
      </c>
    </row>
    <row r="666" spans="10:27" ht="18" hidden="1" customHeight="1" x14ac:dyDescent="0.2">
      <c r="J666" t="str">
        <f t="shared" si="30"/>
        <v/>
      </c>
      <c r="K666" t="str">
        <f>IF(J666="","", IFERROR(VLOOKUP(J666, IF(D666="Movers", 换算标准!$C:$D, 换算标准!$I:$J), 2, TRUE), 0))</f>
        <v/>
      </c>
      <c r="T666" t="str">
        <f t="shared" si="31"/>
        <v/>
      </c>
      <c r="U666" t="str">
        <f>IF(T666="","", IFERROR(VLOOKUP(T666, IF(D666="Movers", 换算标准!$A:$B, 换算标准!$G:$H), 2, TRUE), 0))</f>
        <v/>
      </c>
      <c r="W666" t="str">
        <f t="shared" si="32"/>
        <v/>
      </c>
      <c r="Z666" s="5" t="str">
        <f>IF(J666="","", IF(K666&lt;=3, "⚠️ 薄弱环节: "&amp;INDEX($E$1:$I$1, MATCH(MIN(E666:I666), E666:I666, 0))&amp;CHAR(10)&amp;"📉 考察能力: "&amp;IFERROR(VLOOKUP(TRIM(D666)&amp;"_"&amp;TRIM(INDEX($E$1:$I$1, MATCH(MIN(E666:I666), E666:I666, 0))), 技能库!$A:$F, 5, 0),"建议查阅考纲")&amp;CHAR(10)&amp;"💡 提升建议: "&amp;IFERROR(VLOOKUP(TRIM(D666)&amp;"_"&amp;TRIM(INDEX($E$1:$I$1, MATCH(MIN(E666:I666), E666:I666, 0))), 技能库!$A:$F, 6, 0),"请针对该题型加强练习"), "🎉 表现优异，无明显弱项！"))</f>
        <v/>
      </c>
      <c r="AA666" s="5" t="str">
        <f>IF(T666="","", IF(U666&lt;=3, "⚠️ 薄弱环节: "&amp;INDEX($M$1:$S$1, MATCH(MIN(M666:S666), M666:S666, 0))&amp;CHAR(10)&amp;"📉 考察能力: "&amp;IFERROR(VLOOKUP(TRIM(D666)&amp;"_"&amp;TRIM(INDEX($M$1:$S$1, MATCH(MIN(M666:S666), M666:S666, 0))), 技能库!$A:$F, 5, 0),"建议查阅考纲")&amp;CHAR(10)&amp;"💡 提升建议: "&amp;IFERROR(VLOOKUP(TRIM(D666)&amp;"_"&amp;TRIM(INDEX($M$1:$S$1, MATCH(MIN(M666:S666), M666:S666, 0))), 技能库!$A:$F, 6, 0),"请针对该题型加强练习"), "🎉 表现优异，无明显弱项！"))</f>
        <v/>
      </c>
    </row>
    <row r="667" spans="10:27" ht="18" hidden="1" customHeight="1" x14ac:dyDescent="0.2">
      <c r="J667" t="str">
        <f t="shared" si="30"/>
        <v/>
      </c>
      <c r="K667" t="str">
        <f>IF(J667="","", IFERROR(VLOOKUP(J667, IF(D667="Movers", 换算标准!$C:$D, 换算标准!$I:$J), 2, TRUE), 0))</f>
        <v/>
      </c>
      <c r="T667" t="str">
        <f t="shared" si="31"/>
        <v/>
      </c>
      <c r="U667" t="str">
        <f>IF(T667="","", IFERROR(VLOOKUP(T667, IF(D667="Movers", 换算标准!$A:$B, 换算标准!$G:$H), 2, TRUE), 0))</f>
        <v/>
      </c>
      <c r="W667" t="str">
        <f t="shared" si="32"/>
        <v/>
      </c>
      <c r="Z667" s="5" t="str">
        <f>IF(J667="","", IF(K667&lt;=3, "⚠️ 薄弱环节: "&amp;INDEX($E$1:$I$1, MATCH(MIN(E667:I667), E667:I667, 0))&amp;CHAR(10)&amp;"📉 考察能力: "&amp;IFERROR(VLOOKUP(TRIM(D667)&amp;"_"&amp;TRIM(INDEX($E$1:$I$1, MATCH(MIN(E667:I667), E667:I667, 0))), 技能库!$A:$F, 5, 0),"建议查阅考纲")&amp;CHAR(10)&amp;"💡 提升建议: "&amp;IFERROR(VLOOKUP(TRIM(D667)&amp;"_"&amp;TRIM(INDEX($E$1:$I$1, MATCH(MIN(E667:I667), E667:I667, 0))), 技能库!$A:$F, 6, 0),"请针对该题型加强练习"), "🎉 表现优异，无明显弱项！"))</f>
        <v/>
      </c>
      <c r="AA667" s="5" t="str">
        <f>IF(T667="","", IF(U667&lt;=3, "⚠️ 薄弱环节: "&amp;INDEX($M$1:$S$1, MATCH(MIN(M667:S667), M667:S667, 0))&amp;CHAR(10)&amp;"📉 考察能力: "&amp;IFERROR(VLOOKUP(TRIM(D667)&amp;"_"&amp;TRIM(INDEX($M$1:$S$1, MATCH(MIN(M667:S667), M667:S667, 0))), 技能库!$A:$F, 5, 0),"建议查阅考纲")&amp;CHAR(10)&amp;"💡 提升建议: "&amp;IFERROR(VLOOKUP(TRIM(D667)&amp;"_"&amp;TRIM(INDEX($M$1:$S$1, MATCH(MIN(M667:S667), M667:S667, 0))), 技能库!$A:$F, 6, 0),"请针对该题型加强练习"), "🎉 表现优异，无明显弱项！"))</f>
        <v/>
      </c>
    </row>
    <row r="668" spans="10:27" ht="18" hidden="1" customHeight="1" x14ac:dyDescent="0.2">
      <c r="J668" t="str">
        <f t="shared" si="30"/>
        <v/>
      </c>
      <c r="K668" t="str">
        <f>IF(J668="","", IFERROR(VLOOKUP(J668, IF(D668="Movers", 换算标准!$C:$D, 换算标准!$I:$J), 2, TRUE), 0))</f>
        <v/>
      </c>
      <c r="T668" t="str">
        <f t="shared" si="31"/>
        <v/>
      </c>
      <c r="U668" t="str">
        <f>IF(T668="","", IFERROR(VLOOKUP(T668, IF(D668="Movers", 换算标准!$A:$B, 换算标准!$G:$H), 2, TRUE), 0))</f>
        <v/>
      </c>
      <c r="W668" t="str">
        <f t="shared" si="32"/>
        <v/>
      </c>
      <c r="Z668" s="5" t="str">
        <f>IF(J668="","", IF(K668&lt;=3, "⚠️ 薄弱环节: "&amp;INDEX($E$1:$I$1, MATCH(MIN(E668:I668), E668:I668, 0))&amp;CHAR(10)&amp;"📉 考察能力: "&amp;IFERROR(VLOOKUP(TRIM(D668)&amp;"_"&amp;TRIM(INDEX($E$1:$I$1, MATCH(MIN(E668:I668), E668:I668, 0))), 技能库!$A:$F, 5, 0),"建议查阅考纲")&amp;CHAR(10)&amp;"💡 提升建议: "&amp;IFERROR(VLOOKUP(TRIM(D668)&amp;"_"&amp;TRIM(INDEX($E$1:$I$1, MATCH(MIN(E668:I668), E668:I668, 0))), 技能库!$A:$F, 6, 0),"请针对该题型加强练习"), "🎉 表现优异，无明显弱项！"))</f>
        <v/>
      </c>
      <c r="AA668" s="5" t="str">
        <f>IF(T668="","", IF(U668&lt;=3, "⚠️ 薄弱环节: "&amp;INDEX($M$1:$S$1, MATCH(MIN(M668:S668), M668:S668, 0))&amp;CHAR(10)&amp;"📉 考察能力: "&amp;IFERROR(VLOOKUP(TRIM(D668)&amp;"_"&amp;TRIM(INDEX($M$1:$S$1, MATCH(MIN(M668:S668), M668:S668, 0))), 技能库!$A:$F, 5, 0),"建议查阅考纲")&amp;CHAR(10)&amp;"💡 提升建议: "&amp;IFERROR(VLOOKUP(TRIM(D668)&amp;"_"&amp;TRIM(INDEX($M$1:$S$1, MATCH(MIN(M668:S668), M668:S668, 0))), 技能库!$A:$F, 6, 0),"请针对该题型加强练习"), "🎉 表现优异，无明显弱项！"))</f>
        <v/>
      </c>
    </row>
    <row r="669" spans="10:27" ht="18" hidden="1" customHeight="1" x14ac:dyDescent="0.2">
      <c r="J669" t="str">
        <f t="shared" si="30"/>
        <v/>
      </c>
      <c r="K669" t="str">
        <f>IF(J669="","", IFERROR(VLOOKUP(J669, IF(D669="Movers", 换算标准!$C:$D, 换算标准!$I:$J), 2, TRUE), 0))</f>
        <v/>
      </c>
      <c r="T669" t="str">
        <f t="shared" si="31"/>
        <v/>
      </c>
      <c r="U669" t="str">
        <f>IF(T669="","", IFERROR(VLOOKUP(T669, IF(D669="Movers", 换算标准!$A:$B, 换算标准!$G:$H), 2, TRUE), 0))</f>
        <v/>
      </c>
      <c r="W669" t="str">
        <f t="shared" si="32"/>
        <v/>
      </c>
      <c r="Z669" s="5" t="str">
        <f>IF(J669="","", IF(K669&lt;=3, "⚠️ 薄弱环节: "&amp;INDEX($E$1:$I$1, MATCH(MIN(E669:I669), E669:I669, 0))&amp;CHAR(10)&amp;"📉 考察能力: "&amp;IFERROR(VLOOKUP(TRIM(D669)&amp;"_"&amp;TRIM(INDEX($E$1:$I$1, MATCH(MIN(E669:I669), E669:I669, 0))), 技能库!$A:$F, 5, 0),"建议查阅考纲")&amp;CHAR(10)&amp;"💡 提升建议: "&amp;IFERROR(VLOOKUP(TRIM(D669)&amp;"_"&amp;TRIM(INDEX($E$1:$I$1, MATCH(MIN(E669:I669), E669:I669, 0))), 技能库!$A:$F, 6, 0),"请针对该题型加强练习"), "🎉 表现优异，无明显弱项！"))</f>
        <v/>
      </c>
      <c r="AA669" s="5" t="str">
        <f>IF(T669="","", IF(U669&lt;=3, "⚠️ 薄弱环节: "&amp;INDEX($M$1:$S$1, MATCH(MIN(M669:S669), M669:S669, 0))&amp;CHAR(10)&amp;"📉 考察能力: "&amp;IFERROR(VLOOKUP(TRIM(D669)&amp;"_"&amp;TRIM(INDEX($M$1:$S$1, MATCH(MIN(M669:S669), M669:S669, 0))), 技能库!$A:$F, 5, 0),"建议查阅考纲")&amp;CHAR(10)&amp;"💡 提升建议: "&amp;IFERROR(VLOOKUP(TRIM(D669)&amp;"_"&amp;TRIM(INDEX($M$1:$S$1, MATCH(MIN(M669:S669), M669:S669, 0))), 技能库!$A:$F, 6, 0),"请针对该题型加强练习"), "🎉 表现优异，无明显弱项！"))</f>
        <v/>
      </c>
    </row>
    <row r="670" spans="10:27" ht="18" hidden="1" customHeight="1" x14ac:dyDescent="0.2">
      <c r="J670" t="str">
        <f t="shared" si="30"/>
        <v/>
      </c>
      <c r="K670" t="str">
        <f>IF(J670="","", IFERROR(VLOOKUP(J670, IF(D670="Movers", 换算标准!$C:$D, 换算标准!$I:$J), 2, TRUE), 0))</f>
        <v/>
      </c>
      <c r="T670" t="str">
        <f t="shared" si="31"/>
        <v/>
      </c>
      <c r="U670" t="str">
        <f>IF(T670="","", IFERROR(VLOOKUP(T670, IF(D670="Movers", 换算标准!$A:$B, 换算标准!$G:$H), 2, TRUE), 0))</f>
        <v/>
      </c>
      <c r="W670" t="str">
        <f t="shared" si="32"/>
        <v/>
      </c>
      <c r="Z670" s="5" t="str">
        <f>IF(J670="","", IF(K670&lt;=3, "⚠️ 薄弱环节: "&amp;INDEX($E$1:$I$1, MATCH(MIN(E670:I670), E670:I670, 0))&amp;CHAR(10)&amp;"📉 考察能力: "&amp;IFERROR(VLOOKUP(TRIM(D670)&amp;"_"&amp;TRIM(INDEX($E$1:$I$1, MATCH(MIN(E670:I670), E670:I670, 0))), 技能库!$A:$F, 5, 0),"建议查阅考纲")&amp;CHAR(10)&amp;"💡 提升建议: "&amp;IFERROR(VLOOKUP(TRIM(D670)&amp;"_"&amp;TRIM(INDEX($E$1:$I$1, MATCH(MIN(E670:I670), E670:I670, 0))), 技能库!$A:$F, 6, 0),"请针对该题型加强练习"), "🎉 表现优异，无明显弱项！"))</f>
        <v/>
      </c>
      <c r="AA670" s="5" t="str">
        <f>IF(T670="","", IF(U670&lt;=3, "⚠️ 薄弱环节: "&amp;INDEX($M$1:$S$1, MATCH(MIN(M670:S670), M670:S670, 0))&amp;CHAR(10)&amp;"📉 考察能力: "&amp;IFERROR(VLOOKUP(TRIM(D670)&amp;"_"&amp;TRIM(INDEX($M$1:$S$1, MATCH(MIN(M670:S670), M670:S670, 0))), 技能库!$A:$F, 5, 0),"建议查阅考纲")&amp;CHAR(10)&amp;"💡 提升建议: "&amp;IFERROR(VLOOKUP(TRIM(D670)&amp;"_"&amp;TRIM(INDEX($M$1:$S$1, MATCH(MIN(M670:S670), M670:S670, 0))), 技能库!$A:$F, 6, 0),"请针对该题型加强练习"), "🎉 表现优异，无明显弱项！"))</f>
        <v/>
      </c>
    </row>
    <row r="671" spans="10:27" ht="18" hidden="1" customHeight="1" x14ac:dyDescent="0.2">
      <c r="J671" t="str">
        <f t="shared" si="30"/>
        <v/>
      </c>
      <c r="K671" t="str">
        <f>IF(J671="","", IFERROR(VLOOKUP(J671, IF(D671="Movers", 换算标准!$C:$D, 换算标准!$I:$J), 2, TRUE), 0))</f>
        <v/>
      </c>
      <c r="T671" t="str">
        <f t="shared" si="31"/>
        <v/>
      </c>
      <c r="U671" t="str">
        <f>IF(T671="","", IFERROR(VLOOKUP(T671, IF(D671="Movers", 换算标准!$A:$B, 换算标准!$G:$H), 2, TRUE), 0))</f>
        <v/>
      </c>
      <c r="W671" t="str">
        <f t="shared" si="32"/>
        <v/>
      </c>
      <c r="Z671" s="5" t="str">
        <f>IF(J671="","", IF(K671&lt;=3, "⚠️ 薄弱环节: "&amp;INDEX($E$1:$I$1, MATCH(MIN(E671:I671), E671:I671, 0))&amp;CHAR(10)&amp;"📉 考察能力: "&amp;IFERROR(VLOOKUP(TRIM(D671)&amp;"_"&amp;TRIM(INDEX($E$1:$I$1, MATCH(MIN(E671:I671), E671:I671, 0))), 技能库!$A:$F, 5, 0),"建议查阅考纲")&amp;CHAR(10)&amp;"💡 提升建议: "&amp;IFERROR(VLOOKUP(TRIM(D671)&amp;"_"&amp;TRIM(INDEX($E$1:$I$1, MATCH(MIN(E671:I671), E671:I671, 0))), 技能库!$A:$F, 6, 0),"请针对该题型加强练习"), "🎉 表现优异，无明显弱项！"))</f>
        <v/>
      </c>
      <c r="AA671" s="5" t="str">
        <f>IF(T671="","", IF(U671&lt;=3, "⚠️ 薄弱环节: "&amp;INDEX($M$1:$S$1, MATCH(MIN(M671:S671), M671:S671, 0))&amp;CHAR(10)&amp;"📉 考察能力: "&amp;IFERROR(VLOOKUP(TRIM(D671)&amp;"_"&amp;TRIM(INDEX($M$1:$S$1, MATCH(MIN(M671:S671), M671:S671, 0))), 技能库!$A:$F, 5, 0),"建议查阅考纲")&amp;CHAR(10)&amp;"💡 提升建议: "&amp;IFERROR(VLOOKUP(TRIM(D671)&amp;"_"&amp;TRIM(INDEX($M$1:$S$1, MATCH(MIN(M671:S671), M671:S671, 0))), 技能库!$A:$F, 6, 0),"请针对该题型加强练习"), "🎉 表现优异，无明显弱项！"))</f>
        <v/>
      </c>
    </row>
    <row r="672" spans="10:27" ht="18" hidden="1" customHeight="1" x14ac:dyDescent="0.2">
      <c r="J672" t="str">
        <f t="shared" si="30"/>
        <v/>
      </c>
      <c r="K672" t="str">
        <f>IF(J672="","", IFERROR(VLOOKUP(J672, IF(D672="Movers", 换算标准!$C:$D, 换算标准!$I:$J), 2, TRUE), 0))</f>
        <v/>
      </c>
      <c r="T672" t="str">
        <f t="shared" si="31"/>
        <v/>
      </c>
      <c r="U672" t="str">
        <f>IF(T672="","", IFERROR(VLOOKUP(T672, IF(D672="Movers", 换算标准!$A:$B, 换算标准!$G:$H), 2, TRUE), 0))</f>
        <v/>
      </c>
      <c r="W672" t="str">
        <f t="shared" si="32"/>
        <v/>
      </c>
      <c r="Z672" s="5" t="str">
        <f>IF(J672="","", IF(K672&lt;=3, "⚠️ 薄弱环节: "&amp;INDEX($E$1:$I$1, MATCH(MIN(E672:I672), E672:I672, 0))&amp;CHAR(10)&amp;"📉 考察能力: "&amp;IFERROR(VLOOKUP(TRIM(D672)&amp;"_"&amp;TRIM(INDEX($E$1:$I$1, MATCH(MIN(E672:I672), E672:I672, 0))), 技能库!$A:$F, 5, 0),"建议查阅考纲")&amp;CHAR(10)&amp;"💡 提升建议: "&amp;IFERROR(VLOOKUP(TRIM(D672)&amp;"_"&amp;TRIM(INDEX($E$1:$I$1, MATCH(MIN(E672:I672), E672:I672, 0))), 技能库!$A:$F, 6, 0),"请针对该题型加强练习"), "🎉 表现优异，无明显弱项！"))</f>
        <v/>
      </c>
      <c r="AA672" s="5" t="str">
        <f>IF(T672="","", IF(U672&lt;=3, "⚠️ 薄弱环节: "&amp;INDEX($M$1:$S$1, MATCH(MIN(M672:S672), M672:S672, 0))&amp;CHAR(10)&amp;"📉 考察能力: "&amp;IFERROR(VLOOKUP(TRIM(D672)&amp;"_"&amp;TRIM(INDEX($M$1:$S$1, MATCH(MIN(M672:S672), M672:S672, 0))), 技能库!$A:$F, 5, 0),"建议查阅考纲")&amp;CHAR(10)&amp;"💡 提升建议: "&amp;IFERROR(VLOOKUP(TRIM(D672)&amp;"_"&amp;TRIM(INDEX($M$1:$S$1, MATCH(MIN(M672:S672), M672:S672, 0))), 技能库!$A:$F, 6, 0),"请针对该题型加强练习"), "🎉 表现优异，无明显弱项！"))</f>
        <v/>
      </c>
    </row>
    <row r="673" spans="10:27" ht="18" hidden="1" customHeight="1" x14ac:dyDescent="0.2">
      <c r="J673" t="str">
        <f t="shared" si="30"/>
        <v/>
      </c>
      <c r="K673" t="str">
        <f>IF(J673="","", IFERROR(VLOOKUP(J673, IF(D673="Movers", 换算标准!$C:$D, 换算标准!$I:$J), 2, TRUE), 0))</f>
        <v/>
      </c>
      <c r="T673" t="str">
        <f t="shared" si="31"/>
        <v/>
      </c>
      <c r="U673" t="str">
        <f>IF(T673="","", IFERROR(VLOOKUP(T673, IF(D673="Movers", 换算标准!$A:$B, 换算标准!$G:$H), 2, TRUE), 0))</f>
        <v/>
      </c>
      <c r="W673" t="str">
        <f t="shared" si="32"/>
        <v/>
      </c>
      <c r="Z673" s="5" t="str">
        <f>IF(J673="","", IF(K673&lt;=3, "⚠️ 薄弱环节: "&amp;INDEX($E$1:$I$1, MATCH(MIN(E673:I673), E673:I673, 0))&amp;CHAR(10)&amp;"📉 考察能力: "&amp;IFERROR(VLOOKUP(TRIM(D673)&amp;"_"&amp;TRIM(INDEX($E$1:$I$1, MATCH(MIN(E673:I673), E673:I673, 0))), 技能库!$A:$F, 5, 0),"建议查阅考纲")&amp;CHAR(10)&amp;"💡 提升建议: "&amp;IFERROR(VLOOKUP(TRIM(D673)&amp;"_"&amp;TRIM(INDEX($E$1:$I$1, MATCH(MIN(E673:I673), E673:I673, 0))), 技能库!$A:$F, 6, 0),"请针对该题型加强练习"), "🎉 表现优异，无明显弱项！"))</f>
        <v/>
      </c>
      <c r="AA673" s="5" t="str">
        <f>IF(T673="","", IF(U673&lt;=3, "⚠️ 薄弱环节: "&amp;INDEX($M$1:$S$1, MATCH(MIN(M673:S673), M673:S673, 0))&amp;CHAR(10)&amp;"📉 考察能力: "&amp;IFERROR(VLOOKUP(TRIM(D673)&amp;"_"&amp;TRIM(INDEX($M$1:$S$1, MATCH(MIN(M673:S673), M673:S673, 0))), 技能库!$A:$F, 5, 0),"建议查阅考纲")&amp;CHAR(10)&amp;"💡 提升建议: "&amp;IFERROR(VLOOKUP(TRIM(D673)&amp;"_"&amp;TRIM(INDEX($M$1:$S$1, MATCH(MIN(M673:S673), M673:S673, 0))), 技能库!$A:$F, 6, 0),"请针对该题型加强练习"), "🎉 表现优异，无明显弱项！"))</f>
        <v/>
      </c>
    </row>
    <row r="674" spans="10:27" ht="18" hidden="1" customHeight="1" x14ac:dyDescent="0.2">
      <c r="J674" t="str">
        <f t="shared" si="30"/>
        <v/>
      </c>
      <c r="K674" t="str">
        <f>IF(J674="","", IFERROR(VLOOKUP(J674, IF(D674="Movers", 换算标准!$C:$D, 换算标准!$I:$J), 2, TRUE), 0))</f>
        <v/>
      </c>
      <c r="T674" t="str">
        <f t="shared" si="31"/>
        <v/>
      </c>
      <c r="U674" t="str">
        <f>IF(T674="","", IFERROR(VLOOKUP(T674, IF(D674="Movers", 换算标准!$A:$B, 换算标准!$G:$H), 2, TRUE), 0))</f>
        <v/>
      </c>
      <c r="W674" t="str">
        <f t="shared" si="32"/>
        <v/>
      </c>
      <c r="Z674" s="5" t="str">
        <f>IF(J674="","", IF(K674&lt;=3, "⚠️ 薄弱环节: "&amp;INDEX($E$1:$I$1, MATCH(MIN(E674:I674), E674:I674, 0))&amp;CHAR(10)&amp;"📉 考察能力: "&amp;IFERROR(VLOOKUP(TRIM(D674)&amp;"_"&amp;TRIM(INDEX($E$1:$I$1, MATCH(MIN(E674:I674), E674:I674, 0))), 技能库!$A:$F, 5, 0),"建议查阅考纲")&amp;CHAR(10)&amp;"💡 提升建议: "&amp;IFERROR(VLOOKUP(TRIM(D674)&amp;"_"&amp;TRIM(INDEX($E$1:$I$1, MATCH(MIN(E674:I674), E674:I674, 0))), 技能库!$A:$F, 6, 0),"请针对该题型加强练习"), "🎉 表现优异，无明显弱项！"))</f>
        <v/>
      </c>
      <c r="AA674" s="5" t="str">
        <f>IF(T674="","", IF(U674&lt;=3, "⚠️ 薄弱环节: "&amp;INDEX($M$1:$S$1, MATCH(MIN(M674:S674), M674:S674, 0))&amp;CHAR(10)&amp;"📉 考察能力: "&amp;IFERROR(VLOOKUP(TRIM(D674)&amp;"_"&amp;TRIM(INDEX($M$1:$S$1, MATCH(MIN(M674:S674), M674:S674, 0))), 技能库!$A:$F, 5, 0),"建议查阅考纲")&amp;CHAR(10)&amp;"💡 提升建议: "&amp;IFERROR(VLOOKUP(TRIM(D674)&amp;"_"&amp;TRIM(INDEX($M$1:$S$1, MATCH(MIN(M674:S674), M674:S674, 0))), 技能库!$A:$F, 6, 0),"请针对该题型加强练习"), "🎉 表现优异，无明显弱项！"))</f>
        <v/>
      </c>
    </row>
    <row r="675" spans="10:27" ht="18" hidden="1" customHeight="1" x14ac:dyDescent="0.2">
      <c r="J675" t="str">
        <f t="shared" si="30"/>
        <v/>
      </c>
      <c r="K675" t="str">
        <f>IF(J675="","", IFERROR(VLOOKUP(J675, IF(D675="Movers", 换算标准!$C:$D, 换算标准!$I:$J), 2, TRUE), 0))</f>
        <v/>
      </c>
      <c r="T675" t="str">
        <f t="shared" si="31"/>
        <v/>
      </c>
      <c r="U675" t="str">
        <f>IF(T675="","", IFERROR(VLOOKUP(T675, IF(D675="Movers", 换算标准!$A:$B, 换算标准!$G:$H), 2, TRUE), 0))</f>
        <v/>
      </c>
      <c r="W675" t="str">
        <f t="shared" si="32"/>
        <v/>
      </c>
      <c r="Z675" s="5" t="str">
        <f>IF(J675="","", IF(K675&lt;=3, "⚠️ 薄弱环节: "&amp;INDEX($E$1:$I$1, MATCH(MIN(E675:I675), E675:I675, 0))&amp;CHAR(10)&amp;"📉 考察能力: "&amp;IFERROR(VLOOKUP(TRIM(D675)&amp;"_"&amp;TRIM(INDEX($E$1:$I$1, MATCH(MIN(E675:I675), E675:I675, 0))), 技能库!$A:$F, 5, 0),"建议查阅考纲")&amp;CHAR(10)&amp;"💡 提升建议: "&amp;IFERROR(VLOOKUP(TRIM(D675)&amp;"_"&amp;TRIM(INDEX($E$1:$I$1, MATCH(MIN(E675:I675), E675:I675, 0))), 技能库!$A:$F, 6, 0),"请针对该题型加强练习"), "🎉 表现优异，无明显弱项！"))</f>
        <v/>
      </c>
      <c r="AA675" s="5" t="str">
        <f>IF(T675="","", IF(U675&lt;=3, "⚠️ 薄弱环节: "&amp;INDEX($M$1:$S$1, MATCH(MIN(M675:S675), M675:S675, 0))&amp;CHAR(10)&amp;"📉 考察能力: "&amp;IFERROR(VLOOKUP(TRIM(D675)&amp;"_"&amp;TRIM(INDEX($M$1:$S$1, MATCH(MIN(M675:S675), M675:S675, 0))), 技能库!$A:$F, 5, 0),"建议查阅考纲")&amp;CHAR(10)&amp;"💡 提升建议: "&amp;IFERROR(VLOOKUP(TRIM(D675)&amp;"_"&amp;TRIM(INDEX($M$1:$S$1, MATCH(MIN(M675:S675), M675:S675, 0))), 技能库!$A:$F, 6, 0),"请针对该题型加强练习"), "🎉 表现优异，无明显弱项！"))</f>
        <v/>
      </c>
    </row>
    <row r="676" spans="10:27" ht="18" hidden="1" customHeight="1" x14ac:dyDescent="0.2">
      <c r="J676" t="str">
        <f t="shared" si="30"/>
        <v/>
      </c>
      <c r="K676" t="str">
        <f>IF(J676="","", IFERROR(VLOOKUP(J676, IF(D676="Movers", 换算标准!$C:$D, 换算标准!$I:$J), 2, TRUE), 0))</f>
        <v/>
      </c>
      <c r="T676" t="str">
        <f t="shared" si="31"/>
        <v/>
      </c>
      <c r="U676" t="str">
        <f>IF(T676="","", IFERROR(VLOOKUP(T676, IF(D676="Movers", 换算标准!$A:$B, 换算标准!$G:$H), 2, TRUE), 0))</f>
        <v/>
      </c>
      <c r="W676" t="str">
        <f t="shared" si="32"/>
        <v/>
      </c>
      <c r="Z676" s="5" t="str">
        <f>IF(J676="","", IF(K676&lt;=3, "⚠️ 薄弱环节: "&amp;INDEX($E$1:$I$1, MATCH(MIN(E676:I676), E676:I676, 0))&amp;CHAR(10)&amp;"📉 考察能力: "&amp;IFERROR(VLOOKUP(TRIM(D676)&amp;"_"&amp;TRIM(INDEX($E$1:$I$1, MATCH(MIN(E676:I676), E676:I676, 0))), 技能库!$A:$F, 5, 0),"建议查阅考纲")&amp;CHAR(10)&amp;"💡 提升建议: "&amp;IFERROR(VLOOKUP(TRIM(D676)&amp;"_"&amp;TRIM(INDEX($E$1:$I$1, MATCH(MIN(E676:I676), E676:I676, 0))), 技能库!$A:$F, 6, 0),"请针对该题型加强练习"), "🎉 表现优异，无明显弱项！"))</f>
        <v/>
      </c>
      <c r="AA676" s="5" t="str">
        <f>IF(T676="","", IF(U676&lt;=3, "⚠️ 薄弱环节: "&amp;INDEX($M$1:$S$1, MATCH(MIN(M676:S676), M676:S676, 0))&amp;CHAR(10)&amp;"📉 考察能力: "&amp;IFERROR(VLOOKUP(TRIM(D676)&amp;"_"&amp;TRIM(INDEX($M$1:$S$1, MATCH(MIN(M676:S676), M676:S676, 0))), 技能库!$A:$F, 5, 0),"建议查阅考纲")&amp;CHAR(10)&amp;"💡 提升建议: "&amp;IFERROR(VLOOKUP(TRIM(D676)&amp;"_"&amp;TRIM(INDEX($M$1:$S$1, MATCH(MIN(M676:S676), M676:S676, 0))), 技能库!$A:$F, 6, 0),"请针对该题型加强练习"), "🎉 表现优异，无明显弱项！"))</f>
        <v/>
      </c>
    </row>
    <row r="677" spans="10:27" ht="18" hidden="1" customHeight="1" x14ac:dyDescent="0.2">
      <c r="J677" t="str">
        <f t="shared" si="30"/>
        <v/>
      </c>
      <c r="K677" t="str">
        <f>IF(J677="","", IFERROR(VLOOKUP(J677, IF(D677="Movers", 换算标准!$C:$D, 换算标准!$I:$J), 2, TRUE), 0))</f>
        <v/>
      </c>
      <c r="T677" t="str">
        <f t="shared" si="31"/>
        <v/>
      </c>
      <c r="U677" t="str">
        <f>IF(T677="","", IFERROR(VLOOKUP(T677, IF(D677="Movers", 换算标准!$A:$B, 换算标准!$G:$H), 2, TRUE), 0))</f>
        <v/>
      </c>
      <c r="W677" t="str">
        <f t="shared" si="32"/>
        <v/>
      </c>
      <c r="Z677" s="5" t="str">
        <f>IF(J677="","", IF(K677&lt;=3, "⚠️ 薄弱环节: "&amp;INDEX($E$1:$I$1, MATCH(MIN(E677:I677), E677:I677, 0))&amp;CHAR(10)&amp;"📉 考察能力: "&amp;IFERROR(VLOOKUP(TRIM(D677)&amp;"_"&amp;TRIM(INDEX($E$1:$I$1, MATCH(MIN(E677:I677), E677:I677, 0))), 技能库!$A:$F, 5, 0),"建议查阅考纲")&amp;CHAR(10)&amp;"💡 提升建议: "&amp;IFERROR(VLOOKUP(TRIM(D677)&amp;"_"&amp;TRIM(INDEX($E$1:$I$1, MATCH(MIN(E677:I677), E677:I677, 0))), 技能库!$A:$F, 6, 0),"请针对该题型加强练习"), "🎉 表现优异，无明显弱项！"))</f>
        <v/>
      </c>
      <c r="AA677" s="5" t="str">
        <f>IF(T677="","", IF(U677&lt;=3, "⚠️ 薄弱环节: "&amp;INDEX($M$1:$S$1, MATCH(MIN(M677:S677), M677:S677, 0))&amp;CHAR(10)&amp;"📉 考察能力: "&amp;IFERROR(VLOOKUP(TRIM(D677)&amp;"_"&amp;TRIM(INDEX($M$1:$S$1, MATCH(MIN(M677:S677), M677:S677, 0))), 技能库!$A:$F, 5, 0),"建议查阅考纲")&amp;CHAR(10)&amp;"💡 提升建议: "&amp;IFERROR(VLOOKUP(TRIM(D677)&amp;"_"&amp;TRIM(INDEX($M$1:$S$1, MATCH(MIN(M677:S677), M677:S677, 0))), 技能库!$A:$F, 6, 0),"请针对该题型加强练习"), "🎉 表现优异，无明显弱项！"))</f>
        <v/>
      </c>
    </row>
    <row r="678" spans="10:27" ht="18" hidden="1" customHeight="1" x14ac:dyDescent="0.2">
      <c r="J678" t="str">
        <f t="shared" si="30"/>
        <v/>
      </c>
      <c r="K678" t="str">
        <f>IF(J678="","", IFERROR(VLOOKUP(J678, IF(D678="Movers", 换算标准!$C:$D, 换算标准!$I:$J), 2, TRUE), 0))</f>
        <v/>
      </c>
      <c r="T678" t="str">
        <f t="shared" si="31"/>
        <v/>
      </c>
      <c r="U678" t="str">
        <f>IF(T678="","", IFERROR(VLOOKUP(T678, IF(D678="Movers", 换算标准!$A:$B, 换算标准!$G:$H), 2, TRUE), 0))</f>
        <v/>
      </c>
      <c r="W678" t="str">
        <f t="shared" si="32"/>
        <v/>
      </c>
      <c r="Z678" s="5" t="str">
        <f>IF(J678="","", IF(K678&lt;=3, "⚠️ 薄弱环节: "&amp;INDEX($E$1:$I$1, MATCH(MIN(E678:I678), E678:I678, 0))&amp;CHAR(10)&amp;"📉 考察能力: "&amp;IFERROR(VLOOKUP(TRIM(D678)&amp;"_"&amp;TRIM(INDEX($E$1:$I$1, MATCH(MIN(E678:I678), E678:I678, 0))), 技能库!$A:$F, 5, 0),"建议查阅考纲")&amp;CHAR(10)&amp;"💡 提升建议: "&amp;IFERROR(VLOOKUP(TRIM(D678)&amp;"_"&amp;TRIM(INDEX($E$1:$I$1, MATCH(MIN(E678:I678), E678:I678, 0))), 技能库!$A:$F, 6, 0),"请针对该题型加强练习"), "🎉 表现优异，无明显弱项！"))</f>
        <v/>
      </c>
      <c r="AA678" s="5" t="str">
        <f>IF(T678="","", IF(U678&lt;=3, "⚠️ 薄弱环节: "&amp;INDEX($M$1:$S$1, MATCH(MIN(M678:S678), M678:S678, 0))&amp;CHAR(10)&amp;"📉 考察能力: "&amp;IFERROR(VLOOKUP(TRIM(D678)&amp;"_"&amp;TRIM(INDEX($M$1:$S$1, MATCH(MIN(M678:S678), M678:S678, 0))), 技能库!$A:$F, 5, 0),"建议查阅考纲")&amp;CHAR(10)&amp;"💡 提升建议: "&amp;IFERROR(VLOOKUP(TRIM(D678)&amp;"_"&amp;TRIM(INDEX($M$1:$S$1, MATCH(MIN(M678:S678), M678:S678, 0))), 技能库!$A:$F, 6, 0),"请针对该题型加强练习"), "🎉 表现优异，无明显弱项！"))</f>
        <v/>
      </c>
    </row>
    <row r="679" spans="10:27" ht="18" hidden="1" customHeight="1" x14ac:dyDescent="0.2">
      <c r="J679" t="str">
        <f t="shared" si="30"/>
        <v/>
      </c>
      <c r="K679" t="str">
        <f>IF(J679="","", IFERROR(VLOOKUP(J679, IF(D679="Movers", 换算标准!$C:$D, 换算标准!$I:$J), 2, TRUE), 0))</f>
        <v/>
      </c>
      <c r="T679" t="str">
        <f t="shared" si="31"/>
        <v/>
      </c>
      <c r="U679" t="str">
        <f>IF(T679="","", IFERROR(VLOOKUP(T679, IF(D679="Movers", 换算标准!$A:$B, 换算标准!$G:$H), 2, TRUE), 0))</f>
        <v/>
      </c>
      <c r="W679" t="str">
        <f t="shared" si="32"/>
        <v/>
      </c>
      <c r="Z679" s="5" t="str">
        <f>IF(J679="","", IF(K679&lt;=3, "⚠️ 薄弱环节: "&amp;INDEX($E$1:$I$1, MATCH(MIN(E679:I679), E679:I679, 0))&amp;CHAR(10)&amp;"📉 考察能力: "&amp;IFERROR(VLOOKUP(TRIM(D679)&amp;"_"&amp;TRIM(INDEX($E$1:$I$1, MATCH(MIN(E679:I679), E679:I679, 0))), 技能库!$A:$F, 5, 0),"建议查阅考纲")&amp;CHAR(10)&amp;"💡 提升建议: "&amp;IFERROR(VLOOKUP(TRIM(D679)&amp;"_"&amp;TRIM(INDEX($E$1:$I$1, MATCH(MIN(E679:I679), E679:I679, 0))), 技能库!$A:$F, 6, 0),"请针对该题型加强练习"), "🎉 表现优异，无明显弱项！"))</f>
        <v/>
      </c>
      <c r="AA679" s="5" t="str">
        <f>IF(T679="","", IF(U679&lt;=3, "⚠️ 薄弱环节: "&amp;INDEX($M$1:$S$1, MATCH(MIN(M679:S679), M679:S679, 0))&amp;CHAR(10)&amp;"📉 考察能力: "&amp;IFERROR(VLOOKUP(TRIM(D679)&amp;"_"&amp;TRIM(INDEX($M$1:$S$1, MATCH(MIN(M679:S679), M679:S679, 0))), 技能库!$A:$F, 5, 0),"建议查阅考纲")&amp;CHAR(10)&amp;"💡 提升建议: "&amp;IFERROR(VLOOKUP(TRIM(D679)&amp;"_"&amp;TRIM(INDEX($M$1:$S$1, MATCH(MIN(M679:S679), M679:S679, 0))), 技能库!$A:$F, 6, 0),"请针对该题型加强练习"), "🎉 表现优异，无明显弱项！"))</f>
        <v/>
      </c>
    </row>
    <row r="680" spans="10:27" ht="18" hidden="1" customHeight="1" x14ac:dyDescent="0.2">
      <c r="J680" t="str">
        <f t="shared" si="30"/>
        <v/>
      </c>
      <c r="K680" t="str">
        <f>IF(J680="","", IFERROR(VLOOKUP(J680, IF(D680="Movers", 换算标准!$C:$D, 换算标准!$I:$J), 2, TRUE), 0))</f>
        <v/>
      </c>
      <c r="T680" t="str">
        <f t="shared" si="31"/>
        <v/>
      </c>
      <c r="U680" t="str">
        <f>IF(T680="","", IFERROR(VLOOKUP(T680, IF(D680="Movers", 换算标准!$A:$B, 换算标准!$G:$H), 2, TRUE), 0))</f>
        <v/>
      </c>
      <c r="W680" t="str">
        <f t="shared" si="32"/>
        <v/>
      </c>
      <c r="Z680" s="5" t="str">
        <f>IF(J680="","", IF(K680&lt;=3, "⚠️ 薄弱环节: "&amp;INDEX($E$1:$I$1, MATCH(MIN(E680:I680), E680:I680, 0))&amp;CHAR(10)&amp;"📉 考察能力: "&amp;IFERROR(VLOOKUP(TRIM(D680)&amp;"_"&amp;TRIM(INDEX($E$1:$I$1, MATCH(MIN(E680:I680), E680:I680, 0))), 技能库!$A:$F, 5, 0),"建议查阅考纲")&amp;CHAR(10)&amp;"💡 提升建议: "&amp;IFERROR(VLOOKUP(TRIM(D680)&amp;"_"&amp;TRIM(INDEX($E$1:$I$1, MATCH(MIN(E680:I680), E680:I680, 0))), 技能库!$A:$F, 6, 0),"请针对该题型加强练习"), "🎉 表现优异，无明显弱项！"))</f>
        <v/>
      </c>
      <c r="AA680" s="5" t="str">
        <f>IF(T680="","", IF(U680&lt;=3, "⚠️ 薄弱环节: "&amp;INDEX($M$1:$S$1, MATCH(MIN(M680:S680), M680:S680, 0))&amp;CHAR(10)&amp;"📉 考察能力: "&amp;IFERROR(VLOOKUP(TRIM(D680)&amp;"_"&amp;TRIM(INDEX($M$1:$S$1, MATCH(MIN(M680:S680), M680:S680, 0))), 技能库!$A:$F, 5, 0),"建议查阅考纲")&amp;CHAR(10)&amp;"💡 提升建议: "&amp;IFERROR(VLOOKUP(TRIM(D680)&amp;"_"&amp;TRIM(INDEX($M$1:$S$1, MATCH(MIN(M680:S680), M680:S680, 0))), 技能库!$A:$F, 6, 0),"请针对该题型加强练习"), "🎉 表现优异，无明显弱项！"))</f>
        <v/>
      </c>
    </row>
    <row r="681" spans="10:27" ht="18" hidden="1" customHeight="1" x14ac:dyDescent="0.2">
      <c r="J681" t="str">
        <f t="shared" si="30"/>
        <v/>
      </c>
      <c r="K681" t="str">
        <f>IF(J681="","", IFERROR(VLOOKUP(J681, IF(D681="Movers", 换算标准!$C:$D, 换算标准!$I:$J), 2, TRUE), 0))</f>
        <v/>
      </c>
      <c r="T681" t="str">
        <f t="shared" si="31"/>
        <v/>
      </c>
      <c r="U681" t="str">
        <f>IF(T681="","", IFERROR(VLOOKUP(T681, IF(D681="Movers", 换算标准!$A:$B, 换算标准!$G:$H), 2, TRUE), 0))</f>
        <v/>
      </c>
      <c r="W681" t="str">
        <f t="shared" si="32"/>
        <v/>
      </c>
      <c r="Z681" s="5" t="str">
        <f>IF(J681="","", IF(K681&lt;=3, "⚠️ 薄弱环节: "&amp;INDEX($E$1:$I$1, MATCH(MIN(E681:I681), E681:I681, 0))&amp;CHAR(10)&amp;"📉 考察能力: "&amp;IFERROR(VLOOKUP(TRIM(D681)&amp;"_"&amp;TRIM(INDEX($E$1:$I$1, MATCH(MIN(E681:I681), E681:I681, 0))), 技能库!$A:$F, 5, 0),"建议查阅考纲")&amp;CHAR(10)&amp;"💡 提升建议: "&amp;IFERROR(VLOOKUP(TRIM(D681)&amp;"_"&amp;TRIM(INDEX($E$1:$I$1, MATCH(MIN(E681:I681), E681:I681, 0))), 技能库!$A:$F, 6, 0),"请针对该题型加强练习"), "🎉 表现优异，无明显弱项！"))</f>
        <v/>
      </c>
      <c r="AA681" s="5" t="str">
        <f>IF(T681="","", IF(U681&lt;=3, "⚠️ 薄弱环节: "&amp;INDEX($M$1:$S$1, MATCH(MIN(M681:S681), M681:S681, 0))&amp;CHAR(10)&amp;"📉 考察能力: "&amp;IFERROR(VLOOKUP(TRIM(D681)&amp;"_"&amp;TRIM(INDEX($M$1:$S$1, MATCH(MIN(M681:S681), M681:S681, 0))), 技能库!$A:$F, 5, 0),"建议查阅考纲")&amp;CHAR(10)&amp;"💡 提升建议: "&amp;IFERROR(VLOOKUP(TRIM(D681)&amp;"_"&amp;TRIM(INDEX($M$1:$S$1, MATCH(MIN(M681:S681), M681:S681, 0))), 技能库!$A:$F, 6, 0),"请针对该题型加强练习"), "🎉 表现优异，无明显弱项！"))</f>
        <v/>
      </c>
    </row>
    <row r="682" spans="10:27" ht="18" hidden="1" customHeight="1" x14ac:dyDescent="0.2">
      <c r="J682" t="str">
        <f t="shared" si="30"/>
        <v/>
      </c>
      <c r="K682" t="str">
        <f>IF(J682="","", IFERROR(VLOOKUP(J682, IF(D682="Movers", 换算标准!$C:$D, 换算标准!$I:$J), 2, TRUE), 0))</f>
        <v/>
      </c>
      <c r="T682" t="str">
        <f t="shared" si="31"/>
        <v/>
      </c>
      <c r="U682" t="str">
        <f>IF(T682="","", IFERROR(VLOOKUP(T682, IF(D682="Movers", 换算标准!$A:$B, 换算标准!$G:$H), 2, TRUE), 0))</f>
        <v/>
      </c>
      <c r="W682" t="str">
        <f t="shared" si="32"/>
        <v/>
      </c>
      <c r="Z682" s="5" t="str">
        <f>IF(J682="","", IF(K682&lt;=3, "⚠️ 薄弱环节: "&amp;INDEX($E$1:$I$1, MATCH(MIN(E682:I682), E682:I682, 0))&amp;CHAR(10)&amp;"📉 考察能力: "&amp;IFERROR(VLOOKUP(TRIM(D682)&amp;"_"&amp;TRIM(INDEX($E$1:$I$1, MATCH(MIN(E682:I682), E682:I682, 0))), 技能库!$A:$F, 5, 0),"建议查阅考纲")&amp;CHAR(10)&amp;"💡 提升建议: "&amp;IFERROR(VLOOKUP(TRIM(D682)&amp;"_"&amp;TRIM(INDEX($E$1:$I$1, MATCH(MIN(E682:I682), E682:I682, 0))), 技能库!$A:$F, 6, 0),"请针对该题型加强练习"), "🎉 表现优异，无明显弱项！"))</f>
        <v/>
      </c>
      <c r="AA682" s="5" t="str">
        <f>IF(T682="","", IF(U682&lt;=3, "⚠️ 薄弱环节: "&amp;INDEX($M$1:$S$1, MATCH(MIN(M682:S682), M682:S682, 0))&amp;CHAR(10)&amp;"📉 考察能力: "&amp;IFERROR(VLOOKUP(TRIM(D682)&amp;"_"&amp;TRIM(INDEX($M$1:$S$1, MATCH(MIN(M682:S682), M682:S682, 0))), 技能库!$A:$F, 5, 0),"建议查阅考纲")&amp;CHAR(10)&amp;"💡 提升建议: "&amp;IFERROR(VLOOKUP(TRIM(D682)&amp;"_"&amp;TRIM(INDEX($M$1:$S$1, MATCH(MIN(M682:S682), M682:S682, 0))), 技能库!$A:$F, 6, 0),"请针对该题型加强练习"), "🎉 表现优异，无明显弱项！"))</f>
        <v/>
      </c>
    </row>
    <row r="683" spans="10:27" ht="18" hidden="1" customHeight="1" x14ac:dyDescent="0.2">
      <c r="J683" t="str">
        <f t="shared" si="30"/>
        <v/>
      </c>
      <c r="K683" t="str">
        <f>IF(J683="","", IFERROR(VLOOKUP(J683, IF(D683="Movers", 换算标准!$C:$D, 换算标准!$I:$J), 2, TRUE), 0))</f>
        <v/>
      </c>
      <c r="T683" t="str">
        <f t="shared" si="31"/>
        <v/>
      </c>
      <c r="U683" t="str">
        <f>IF(T683="","", IFERROR(VLOOKUP(T683, IF(D683="Movers", 换算标准!$A:$B, 换算标准!$G:$H), 2, TRUE), 0))</f>
        <v/>
      </c>
      <c r="W683" t="str">
        <f t="shared" si="32"/>
        <v/>
      </c>
      <c r="Z683" s="5" t="str">
        <f>IF(J683="","", IF(K683&lt;=3, "⚠️ 薄弱环节: "&amp;INDEX($E$1:$I$1, MATCH(MIN(E683:I683), E683:I683, 0))&amp;CHAR(10)&amp;"📉 考察能力: "&amp;IFERROR(VLOOKUP(TRIM(D683)&amp;"_"&amp;TRIM(INDEX($E$1:$I$1, MATCH(MIN(E683:I683), E683:I683, 0))), 技能库!$A:$F, 5, 0),"建议查阅考纲")&amp;CHAR(10)&amp;"💡 提升建议: "&amp;IFERROR(VLOOKUP(TRIM(D683)&amp;"_"&amp;TRIM(INDEX($E$1:$I$1, MATCH(MIN(E683:I683), E683:I683, 0))), 技能库!$A:$F, 6, 0),"请针对该题型加强练习"), "🎉 表现优异，无明显弱项！"))</f>
        <v/>
      </c>
      <c r="AA683" s="5" t="str">
        <f>IF(T683="","", IF(U683&lt;=3, "⚠️ 薄弱环节: "&amp;INDEX($M$1:$S$1, MATCH(MIN(M683:S683), M683:S683, 0))&amp;CHAR(10)&amp;"📉 考察能力: "&amp;IFERROR(VLOOKUP(TRIM(D683)&amp;"_"&amp;TRIM(INDEX($M$1:$S$1, MATCH(MIN(M683:S683), M683:S683, 0))), 技能库!$A:$F, 5, 0),"建议查阅考纲")&amp;CHAR(10)&amp;"💡 提升建议: "&amp;IFERROR(VLOOKUP(TRIM(D683)&amp;"_"&amp;TRIM(INDEX($M$1:$S$1, MATCH(MIN(M683:S683), M683:S683, 0))), 技能库!$A:$F, 6, 0),"请针对该题型加强练习"), "🎉 表现优异，无明显弱项！"))</f>
        <v/>
      </c>
    </row>
    <row r="684" spans="10:27" ht="18" hidden="1" customHeight="1" x14ac:dyDescent="0.2">
      <c r="J684" t="str">
        <f t="shared" si="30"/>
        <v/>
      </c>
      <c r="K684" t="str">
        <f>IF(J684="","", IFERROR(VLOOKUP(J684, IF(D684="Movers", 换算标准!$C:$D, 换算标准!$I:$J), 2, TRUE), 0))</f>
        <v/>
      </c>
      <c r="T684" t="str">
        <f t="shared" si="31"/>
        <v/>
      </c>
      <c r="U684" t="str">
        <f>IF(T684="","", IFERROR(VLOOKUP(T684, IF(D684="Movers", 换算标准!$A:$B, 换算标准!$G:$H), 2, TRUE), 0))</f>
        <v/>
      </c>
      <c r="W684" t="str">
        <f t="shared" si="32"/>
        <v/>
      </c>
      <c r="Z684" s="5" t="str">
        <f>IF(J684="","", IF(K684&lt;=3, "⚠️ 薄弱环节: "&amp;INDEX($E$1:$I$1, MATCH(MIN(E684:I684), E684:I684, 0))&amp;CHAR(10)&amp;"📉 考察能力: "&amp;IFERROR(VLOOKUP(TRIM(D684)&amp;"_"&amp;TRIM(INDEX($E$1:$I$1, MATCH(MIN(E684:I684), E684:I684, 0))), 技能库!$A:$F, 5, 0),"建议查阅考纲")&amp;CHAR(10)&amp;"💡 提升建议: "&amp;IFERROR(VLOOKUP(TRIM(D684)&amp;"_"&amp;TRIM(INDEX($E$1:$I$1, MATCH(MIN(E684:I684), E684:I684, 0))), 技能库!$A:$F, 6, 0),"请针对该题型加强练习"), "🎉 表现优异，无明显弱项！"))</f>
        <v/>
      </c>
      <c r="AA684" s="5" t="str">
        <f>IF(T684="","", IF(U684&lt;=3, "⚠️ 薄弱环节: "&amp;INDEX($M$1:$S$1, MATCH(MIN(M684:S684), M684:S684, 0))&amp;CHAR(10)&amp;"📉 考察能力: "&amp;IFERROR(VLOOKUP(TRIM(D684)&amp;"_"&amp;TRIM(INDEX($M$1:$S$1, MATCH(MIN(M684:S684), M684:S684, 0))), 技能库!$A:$F, 5, 0),"建议查阅考纲")&amp;CHAR(10)&amp;"💡 提升建议: "&amp;IFERROR(VLOOKUP(TRIM(D684)&amp;"_"&amp;TRIM(INDEX($M$1:$S$1, MATCH(MIN(M684:S684), M684:S684, 0))), 技能库!$A:$F, 6, 0),"请针对该题型加强练习"), "🎉 表现优异，无明显弱项！"))</f>
        <v/>
      </c>
    </row>
    <row r="685" spans="10:27" ht="18" hidden="1" customHeight="1" x14ac:dyDescent="0.2">
      <c r="J685" t="str">
        <f t="shared" si="30"/>
        <v/>
      </c>
      <c r="K685" t="str">
        <f>IF(J685="","", IFERROR(VLOOKUP(J685, IF(D685="Movers", 换算标准!$C:$D, 换算标准!$I:$J), 2, TRUE), 0))</f>
        <v/>
      </c>
      <c r="T685" t="str">
        <f t="shared" si="31"/>
        <v/>
      </c>
      <c r="U685" t="str">
        <f>IF(T685="","", IFERROR(VLOOKUP(T685, IF(D685="Movers", 换算标准!$A:$B, 换算标准!$G:$H), 2, TRUE), 0))</f>
        <v/>
      </c>
      <c r="W685" t="str">
        <f t="shared" si="32"/>
        <v/>
      </c>
      <c r="Z685" s="5" t="str">
        <f>IF(J685="","", IF(K685&lt;=3, "⚠️ 薄弱环节: "&amp;INDEX($E$1:$I$1, MATCH(MIN(E685:I685), E685:I685, 0))&amp;CHAR(10)&amp;"📉 考察能力: "&amp;IFERROR(VLOOKUP(TRIM(D685)&amp;"_"&amp;TRIM(INDEX($E$1:$I$1, MATCH(MIN(E685:I685), E685:I685, 0))), 技能库!$A:$F, 5, 0),"建议查阅考纲")&amp;CHAR(10)&amp;"💡 提升建议: "&amp;IFERROR(VLOOKUP(TRIM(D685)&amp;"_"&amp;TRIM(INDEX($E$1:$I$1, MATCH(MIN(E685:I685), E685:I685, 0))), 技能库!$A:$F, 6, 0),"请针对该题型加强练习"), "🎉 表现优异，无明显弱项！"))</f>
        <v/>
      </c>
      <c r="AA685" s="5" t="str">
        <f>IF(T685="","", IF(U685&lt;=3, "⚠️ 薄弱环节: "&amp;INDEX($M$1:$S$1, MATCH(MIN(M685:S685), M685:S685, 0))&amp;CHAR(10)&amp;"📉 考察能力: "&amp;IFERROR(VLOOKUP(TRIM(D685)&amp;"_"&amp;TRIM(INDEX($M$1:$S$1, MATCH(MIN(M685:S685), M685:S685, 0))), 技能库!$A:$F, 5, 0),"建议查阅考纲")&amp;CHAR(10)&amp;"💡 提升建议: "&amp;IFERROR(VLOOKUP(TRIM(D685)&amp;"_"&amp;TRIM(INDEX($M$1:$S$1, MATCH(MIN(M685:S685), M685:S685, 0))), 技能库!$A:$F, 6, 0),"请针对该题型加强练习"), "🎉 表现优异，无明显弱项！"))</f>
        <v/>
      </c>
    </row>
    <row r="686" spans="10:27" ht="18" hidden="1" customHeight="1" x14ac:dyDescent="0.2">
      <c r="J686" t="str">
        <f t="shared" si="30"/>
        <v/>
      </c>
      <c r="K686" t="str">
        <f>IF(J686="","", IFERROR(VLOOKUP(J686, IF(D686="Movers", 换算标准!$C:$D, 换算标准!$I:$J), 2, TRUE), 0))</f>
        <v/>
      </c>
      <c r="T686" t="str">
        <f t="shared" si="31"/>
        <v/>
      </c>
      <c r="U686" t="str">
        <f>IF(T686="","", IFERROR(VLOOKUP(T686, IF(D686="Movers", 换算标准!$A:$B, 换算标准!$G:$H), 2, TRUE), 0))</f>
        <v/>
      </c>
      <c r="W686" t="str">
        <f t="shared" si="32"/>
        <v/>
      </c>
      <c r="Z686" s="5" t="str">
        <f>IF(J686="","", IF(K686&lt;=3, "⚠️ 薄弱环节: "&amp;INDEX($E$1:$I$1, MATCH(MIN(E686:I686), E686:I686, 0))&amp;CHAR(10)&amp;"📉 考察能力: "&amp;IFERROR(VLOOKUP(TRIM(D686)&amp;"_"&amp;TRIM(INDEX($E$1:$I$1, MATCH(MIN(E686:I686), E686:I686, 0))), 技能库!$A:$F, 5, 0),"建议查阅考纲")&amp;CHAR(10)&amp;"💡 提升建议: "&amp;IFERROR(VLOOKUP(TRIM(D686)&amp;"_"&amp;TRIM(INDEX($E$1:$I$1, MATCH(MIN(E686:I686), E686:I686, 0))), 技能库!$A:$F, 6, 0),"请针对该题型加强练习"), "🎉 表现优异，无明显弱项！"))</f>
        <v/>
      </c>
      <c r="AA686" s="5" t="str">
        <f>IF(T686="","", IF(U686&lt;=3, "⚠️ 薄弱环节: "&amp;INDEX($M$1:$S$1, MATCH(MIN(M686:S686), M686:S686, 0))&amp;CHAR(10)&amp;"📉 考察能力: "&amp;IFERROR(VLOOKUP(TRIM(D686)&amp;"_"&amp;TRIM(INDEX($M$1:$S$1, MATCH(MIN(M686:S686), M686:S686, 0))), 技能库!$A:$F, 5, 0),"建议查阅考纲")&amp;CHAR(10)&amp;"💡 提升建议: "&amp;IFERROR(VLOOKUP(TRIM(D686)&amp;"_"&amp;TRIM(INDEX($M$1:$S$1, MATCH(MIN(M686:S686), M686:S686, 0))), 技能库!$A:$F, 6, 0),"请针对该题型加强练习"), "🎉 表现优异，无明显弱项！"))</f>
        <v/>
      </c>
    </row>
    <row r="687" spans="10:27" ht="18" hidden="1" customHeight="1" x14ac:dyDescent="0.2">
      <c r="J687" t="str">
        <f t="shared" si="30"/>
        <v/>
      </c>
      <c r="K687" t="str">
        <f>IF(J687="","", IFERROR(VLOOKUP(J687, IF(D687="Movers", 换算标准!$C:$D, 换算标准!$I:$J), 2, TRUE), 0))</f>
        <v/>
      </c>
      <c r="T687" t="str">
        <f t="shared" si="31"/>
        <v/>
      </c>
      <c r="U687" t="str">
        <f>IF(T687="","", IFERROR(VLOOKUP(T687, IF(D687="Movers", 换算标准!$A:$B, 换算标准!$G:$H), 2, TRUE), 0))</f>
        <v/>
      </c>
      <c r="W687" t="str">
        <f t="shared" si="32"/>
        <v/>
      </c>
      <c r="Z687" s="5" t="str">
        <f>IF(J687="","", IF(K687&lt;=3, "⚠️ 薄弱环节: "&amp;INDEX($E$1:$I$1, MATCH(MIN(E687:I687), E687:I687, 0))&amp;CHAR(10)&amp;"📉 考察能力: "&amp;IFERROR(VLOOKUP(TRIM(D687)&amp;"_"&amp;TRIM(INDEX($E$1:$I$1, MATCH(MIN(E687:I687), E687:I687, 0))), 技能库!$A:$F, 5, 0),"建议查阅考纲")&amp;CHAR(10)&amp;"💡 提升建议: "&amp;IFERROR(VLOOKUP(TRIM(D687)&amp;"_"&amp;TRIM(INDEX($E$1:$I$1, MATCH(MIN(E687:I687), E687:I687, 0))), 技能库!$A:$F, 6, 0),"请针对该题型加强练习"), "🎉 表现优异，无明显弱项！"))</f>
        <v/>
      </c>
      <c r="AA687" s="5" t="str">
        <f>IF(T687="","", IF(U687&lt;=3, "⚠️ 薄弱环节: "&amp;INDEX($M$1:$S$1, MATCH(MIN(M687:S687), M687:S687, 0))&amp;CHAR(10)&amp;"📉 考察能力: "&amp;IFERROR(VLOOKUP(TRIM(D687)&amp;"_"&amp;TRIM(INDEX($M$1:$S$1, MATCH(MIN(M687:S687), M687:S687, 0))), 技能库!$A:$F, 5, 0),"建议查阅考纲")&amp;CHAR(10)&amp;"💡 提升建议: "&amp;IFERROR(VLOOKUP(TRIM(D687)&amp;"_"&amp;TRIM(INDEX($M$1:$S$1, MATCH(MIN(M687:S687), M687:S687, 0))), 技能库!$A:$F, 6, 0),"请针对该题型加强练习"), "🎉 表现优异，无明显弱项！"))</f>
        <v/>
      </c>
    </row>
    <row r="688" spans="10:27" ht="18" hidden="1" customHeight="1" x14ac:dyDescent="0.2">
      <c r="J688" t="str">
        <f t="shared" si="30"/>
        <v/>
      </c>
      <c r="K688" t="str">
        <f>IF(J688="","", IFERROR(VLOOKUP(J688, IF(D688="Movers", 换算标准!$C:$D, 换算标准!$I:$J), 2, TRUE), 0))</f>
        <v/>
      </c>
      <c r="T688" t="str">
        <f t="shared" si="31"/>
        <v/>
      </c>
      <c r="U688" t="str">
        <f>IF(T688="","", IFERROR(VLOOKUP(T688, IF(D688="Movers", 换算标准!$A:$B, 换算标准!$G:$H), 2, TRUE), 0))</f>
        <v/>
      </c>
      <c r="W688" t="str">
        <f t="shared" si="32"/>
        <v/>
      </c>
      <c r="Z688" s="5" t="str">
        <f>IF(J688="","", IF(K688&lt;=3, "⚠️ 薄弱环节: "&amp;INDEX($E$1:$I$1, MATCH(MIN(E688:I688), E688:I688, 0))&amp;CHAR(10)&amp;"📉 考察能力: "&amp;IFERROR(VLOOKUP(TRIM(D688)&amp;"_"&amp;TRIM(INDEX($E$1:$I$1, MATCH(MIN(E688:I688), E688:I688, 0))), 技能库!$A:$F, 5, 0),"建议查阅考纲")&amp;CHAR(10)&amp;"💡 提升建议: "&amp;IFERROR(VLOOKUP(TRIM(D688)&amp;"_"&amp;TRIM(INDEX($E$1:$I$1, MATCH(MIN(E688:I688), E688:I688, 0))), 技能库!$A:$F, 6, 0),"请针对该题型加强练习"), "🎉 表现优异，无明显弱项！"))</f>
        <v/>
      </c>
      <c r="AA688" s="5" t="str">
        <f>IF(T688="","", IF(U688&lt;=3, "⚠️ 薄弱环节: "&amp;INDEX($M$1:$S$1, MATCH(MIN(M688:S688), M688:S688, 0))&amp;CHAR(10)&amp;"📉 考察能力: "&amp;IFERROR(VLOOKUP(TRIM(D688)&amp;"_"&amp;TRIM(INDEX($M$1:$S$1, MATCH(MIN(M688:S688), M688:S688, 0))), 技能库!$A:$F, 5, 0),"建议查阅考纲")&amp;CHAR(10)&amp;"💡 提升建议: "&amp;IFERROR(VLOOKUP(TRIM(D688)&amp;"_"&amp;TRIM(INDEX($M$1:$S$1, MATCH(MIN(M688:S688), M688:S688, 0))), 技能库!$A:$F, 6, 0),"请针对该题型加强练习"), "🎉 表现优异，无明显弱项！"))</f>
        <v/>
      </c>
    </row>
    <row r="689" spans="10:27" ht="18" hidden="1" customHeight="1" x14ac:dyDescent="0.2">
      <c r="J689" t="str">
        <f t="shared" si="30"/>
        <v/>
      </c>
      <c r="K689" t="str">
        <f>IF(J689="","", IFERROR(VLOOKUP(J689, IF(D689="Movers", 换算标准!$C:$D, 换算标准!$I:$J), 2, TRUE), 0))</f>
        <v/>
      </c>
      <c r="T689" t="str">
        <f t="shared" si="31"/>
        <v/>
      </c>
      <c r="U689" t="str">
        <f>IF(T689="","", IFERROR(VLOOKUP(T689, IF(D689="Movers", 换算标准!$A:$B, 换算标准!$G:$H), 2, TRUE), 0))</f>
        <v/>
      </c>
      <c r="W689" t="str">
        <f t="shared" si="32"/>
        <v/>
      </c>
      <c r="Z689" s="5" t="str">
        <f>IF(J689="","", IF(K689&lt;=3, "⚠️ 薄弱环节: "&amp;INDEX($E$1:$I$1, MATCH(MIN(E689:I689), E689:I689, 0))&amp;CHAR(10)&amp;"📉 考察能力: "&amp;IFERROR(VLOOKUP(TRIM(D689)&amp;"_"&amp;TRIM(INDEX($E$1:$I$1, MATCH(MIN(E689:I689), E689:I689, 0))), 技能库!$A:$F, 5, 0),"建议查阅考纲")&amp;CHAR(10)&amp;"💡 提升建议: "&amp;IFERROR(VLOOKUP(TRIM(D689)&amp;"_"&amp;TRIM(INDEX($E$1:$I$1, MATCH(MIN(E689:I689), E689:I689, 0))), 技能库!$A:$F, 6, 0),"请针对该题型加强练习"), "🎉 表现优异，无明显弱项！"))</f>
        <v/>
      </c>
      <c r="AA689" s="5" t="str">
        <f>IF(T689="","", IF(U689&lt;=3, "⚠️ 薄弱环节: "&amp;INDEX($M$1:$S$1, MATCH(MIN(M689:S689), M689:S689, 0))&amp;CHAR(10)&amp;"📉 考察能力: "&amp;IFERROR(VLOOKUP(TRIM(D689)&amp;"_"&amp;TRIM(INDEX($M$1:$S$1, MATCH(MIN(M689:S689), M689:S689, 0))), 技能库!$A:$F, 5, 0),"建议查阅考纲")&amp;CHAR(10)&amp;"💡 提升建议: "&amp;IFERROR(VLOOKUP(TRIM(D689)&amp;"_"&amp;TRIM(INDEX($M$1:$S$1, MATCH(MIN(M689:S689), M689:S689, 0))), 技能库!$A:$F, 6, 0),"请针对该题型加强练习"), "🎉 表现优异，无明显弱项！"))</f>
        <v/>
      </c>
    </row>
    <row r="690" spans="10:27" ht="18" hidden="1" customHeight="1" x14ac:dyDescent="0.2">
      <c r="J690" t="str">
        <f t="shared" si="30"/>
        <v/>
      </c>
      <c r="K690" t="str">
        <f>IF(J690="","", IFERROR(VLOOKUP(J690, IF(D690="Movers", 换算标准!$C:$D, 换算标准!$I:$J), 2, TRUE), 0))</f>
        <v/>
      </c>
      <c r="T690" t="str">
        <f t="shared" si="31"/>
        <v/>
      </c>
      <c r="U690" t="str">
        <f>IF(T690="","", IFERROR(VLOOKUP(T690, IF(D690="Movers", 换算标准!$A:$B, 换算标准!$G:$H), 2, TRUE), 0))</f>
        <v/>
      </c>
      <c r="W690" t="str">
        <f t="shared" si="32"/>
        <v/>
      </c>
      <c r="Z690" s="5" t="str">
        <f>IF(J690="","", IF(K690&lt;=3, "⚠️ 薄弱环节: "&amp;INDEX($E$1:$I$1, MATCH(MIN(E690:I690), E690:I690, 0))&amp;CHAR(10)&amp;"📉 考察能力: "&amp;IFERROR(VLOOKUP(TRIM(D690)&amp;"_"&amp;TRIM(INDEX($E$1:$I$1, MATCH(MIN(E690:I690), E690:I690, 0))), 技能库!$A:$F, 5, 0),"建议查阅考纲")&amp;CHAR(10)&amp;"💡 提升建议: "&amp;IFERROR(VLOOKUP(TRIM(D690)&amp;"_"&amp;TRIM(INDEX($E$1:$I$1, MATCH(MIN(E690:I690), E690:I690, 0))), 技能库!$A:$F, 6, 0),"请针对该题型加强练习"), "🎉 表现优异，无明显弱项！"))</f>
        <v/>
      </c>
      <c r="AA690" s="5" t="str">
        <f>IF(T690="","", IF(U690&lt;=3, "⚠️ 薄弱环节: "&amp;INDEX($M$1:$S$1, MATCH(MIN(M690:S690), M690:S690, 0))&amp;CHAR(10)&amp;"📉 考察能力: "&amp;IFERROR(VLOOKUP(TRIM(D690)&amp;"_"&amp;TRIM(INDEX($M$1:$S$1, MATCH(MIN(M690:S690), M690:S690, 0))), 技能库!$A:$F, 5, 0),"建议查阅考纲")&amp;CHAR(10)&amp;"💡 提升建议: "&amp;IFERROR(VLOOKUP(TRIM(D690)&amp;"_"&amp;TRIM(INDEX($M$1:$S$1, MATCH(MIN(M690:S690), M690:S690, 0))), 技能库!$A:$F, 6, 0),"请针对该题型加强练习"), "🎉 表现优异，无明显弱项！"))</f>
        <v/>
      </c>
    </row>
    <row r="691" spans="10:27" ht="18" hidden="1" customHeight="1" x14ac:dyDescent="0.2">
      <c r="J691" t="str">
        <f t="shared" si="30"/>
        <v/>
      </c>
      <c r="K691" t="str">
        <f>IF(J691="","", IFERROR(VLOOKUP(J691, IF(D691="Movers", 换算标准!$C:$D, 换算标准!$I:$J), 2, TRUE), 0))</f>
        <v/>
      </c>
      <c r="T691" t="str">
        <f t="shared" si="31"/>
        <v/>
      </c>
      <c r="U691" t="str">
        <f>IF(T691="","", IFERROR(VLOOKUP(T691, IF(D691="Movers", 换算标准!$A:$B, 换算标准!$G:$H), 2, TRUE), 0))</f>
        <v/>
      </c>
      <c r="W691" t="str">
        <f t="shared" si="32"/>
        <v/>
      </c>
      <c r="Z691" s="5" t="str">
        <f>IF(J691="","", IF(K691&lt;=3, "⚠️ 薄弱环节: "&amp;INDEX($E$1:$I$1, MATCH(MIN(E691:I691), E691:I691, 0))&amp;CHAR(10)&amp;"📉 考察能力: "&amp;IFERROR(VLOOKUP(TRIM(D691)&amp;"_"&amp;TRIM(INDEX($E$1:$I$1, MATCH(MIN(E691:I691), E691:I691, 0))), 技能库!$A:$F, 5, 0),"建议查阅考纲")&amp;CHAR(10)&amp;"💡 提升建议: "&amp;IFERROR(VLOOKUP(TRIM(D691)&amp;"_"&amp;TRIM(INDEX($E$1:$I$1, MATCH(MIN(E691:I691), E691:I691, 0))), 技能库!$A:$F, 6, 0),"请针对该题型加强练习"), "🎉 表现优异，无明显弱项！"))</f>
        <v/>
      </c>
      <c r="AA691" s="5" t="str">
        <f>IF(T691="","", IF(U691&lt;=3, "⚠️ 薄弱环节: "&amp;INDEX($M$1:$S$1, MATCH(MIN(M691:S691), M691:S691, 0))&amp;CHAR(10)&amp;"📉 考察能力: "&amp;IFERROR(VLOOKUP(TRIM(D691)&amp;"_"&amp;TRIM(INDEX($M$1:$S$1, MATCH(MIN(M691:S691), M691:S691, 0))), 技能库!$A:$F, 5, 0),"建议查阅考纲")&amp;CHAR(10)&amp;"💡 提升建议: "&amp;IFERROR(VLOOKUP(TRIM(D691)&amp;"_"&amp;TRIM(INDEX($M$1:$S$1, MATCH(MIN(M691:S691), M691:S691, 0))), 技能库!$A:$F, 6, 0),"请针对该题型加强练习"), "🎉 表现优异，无明显弱项！"))</f>
        <v/>
      </c>
    </row>
    <row r="692" spans="10:27" ht="18" hidden="1" customHeight="1" x14ac:dyDescent="0.2">
      <c r="J692" t="str">
        <f t="shared" si="30"/>
        <v/>
      </c>
      <c r="K692" t="str">
        <f>IF(J692="","", IFERROR(VLOOKUP(J692, IF(D692="Movers", 换算标准!$C:$D, 换算标准!$I:$J), 2, TRUE), 0))</f>
        <v/>
      </c>
      <c r="T692" t="str">
        <f t="shared" si="31"/>
        <v/>
      </c>
      <c r="U692" t="str">
        <f>IF(T692="","", IFERROR(VLOOKUP(T692, IF(D692="Movers", 换算标准!$A:$B, 换算标准!$G:$H), 2, TRUE), 0))</f>
        <v/>
      </c>
      <c r="W692" t="str">
        <f t="shared" si="32"/>
        <v/>
      </c>
      <c r="Z692" s="5" t="str">
        <f>IF(J692="","", IF(K692&lt;=3, "⚠️ 薄弱环节: "&amp;INDEX($E$1:$I$1, MATCH(MIN(E692:I692), E692:I692, 0))&amp;CHAR(10)&amp;"📉 考察能力: "&amp;IFERROR(VLOOKUP(TRIM(D692)&amp;"_"&amp;TRIM(INDEX($E$1:$I$1, MATCH(MIN(E692:I692), E692:I692, 0))), 技能库!$A:$F, 5, 0),"建议查阅考纲")&amp;CHAR(10)&amp;"💡 提升建议: "&amp;IFERROR(VLOOKUP(TRIM(D692)&amp;"_"&amp;TRIM(INDEX($E$1:$I$1, MATCH(MIN(E692:I692), E692:I692, 0))), 技能库!$A:$F, 6, 0),"请针对该题型加强练习"), "🎉 表现优异，无明显弱项！"))</f>
        <v/>
      </c>
      <c r="AA692" s="5" t="str">
        <f>IF(T692="","", IF(U692&lt;=3, "⚠️ 薄弱环节: "&amp;INDEX($M$1:$S$1, MATCH(MIN(M692:S692), M692:S692, 0))&amp;CHAR(10)&amp;"📉 考察能力: "&amp;IFERROR(VLOOKUP(TRIM(D692)&amp;"_"&amp;TRIM(INDEX($M$1:$S$1, MATCH(MIN(M692:S692), M692:S692, 0))), 技能库!$A:$F, 5, 0),"建议查阅考纲")&amp;CHAR(10)&amp;"💡 提升建议: "&amp;IFERROR(VLOOKUP(TRIM(D692)&amp;"_"&amp;TRIM(INDEX($M$1:$S$1, MATCH(MIN(M692:S692), M692:S692, 0))), 技能库!$A:$F, 6, 0),"请针对该题型加强练习"), "🎉 表现优异，无明显弱项！"))</f>
        <v/>
      </c>
    </row>
    <row r="693" spans="10:27" ht="18" hidden="1" customHeight="1" x14ac:dyDescent="0.2">
      <c r="J693" t="str">
        <f t="shared" si="30"/>
        <v/>
      </c>
      <c r="K693" t="str">
        <f>IF(J693="","", IFERROR(VLOOKUP(J693, IF(D693="Movers", 换算标准!$C:$D, 换算标准!$I:$J), 2, TRUE), 0))</f>
        <v/>
      </c>
      <c r="T693" t="str">
        <f t="shared" si="31"/>
        <v/>
      </c>
      <c r="U693" t="str">
        <f>IF(T693="","", IFERROR(VLOOKUP(T693, IF(D693="Movers", 换算标准!$A:$B, 换算标准!$G:$H), 2, TRUE), 0))</f>
        <v/>
      </c>
      <c r="W693" t="str">
        <f t="shared" si="32"/>
        <v/>
      </c>
      <c r="Z693" s="5" t="str">
        <f>IF(J693="","", IF(K693&lt;=3, "⚠️ 薄弱环节: "&amp;INDEX($E$1:$I$1, MATCH(MIN(E693:I693), E693:I693, 0))&amp;CHAR(10)&amp;"📉 考察能力: "&amp;IFERROR(VLOOKUP(TRIM(D693)&amp;"_"&amp;TRIM(INDEX($E$1:$I$1, MATCH(MIN(E693:I693), E693:I693, 0))), 技能库!$A:$F, 5, 0),"建议查阅考纲")&amp;CHAR(10)&amp;"💡 提升建议: "&amp;IFERROR(VLOOKUP(TRIM(D693)&amp;"_"&amp;TRIM(INDEX($E$1:$I$1, MATCH(MIN(E693:I693), E693:I693, 0))), 技能库!$A:$F, 6, 0),"请针对该题型加强练习"), "🎉 表现优异，无明显弱项！"))</f>
        <v/>
      </c>
      <c r="AA693" s="5" t="str">
        <f>IF(T693="","", IF(U693&lt;=3, "⚠️ 薄弱环节: "&amp;INDEX($M$1:$S$1, MATCH(MIN(M693:S693), M693:S693, 0))&amp;CHAR(10)&amp;"📉 考察能力: "&amp;IFERROR(VLOOKUP(TRIM(D693)&amp;"_"&amp;TRIM(INDEX($M$1:$S$1, MATCH(MIN(M693:S693), M693:S693, 0))), 技能库!$A:$F, 5, 0),"建议查阅考纲")&amp;CHAR(10)&amp;"💡 提升建议: "&amp;IFERROR(VLOOKUP(TRIM(D693)&amp;"_"&amp;TRIM(INDEX($M$1:$S$1, MATCH(MIN(M693:S693), M693:S693, 0))), 技能库!$A:$F, 6, 0),"请针对该题型加强练习"), "🎉 表现优异，无明显弱项！"))</f>
        <v/>
      </c>
    </row>
    <row r="694" spans="10:27" ht="18" hidden="1" customHeight="1" x14ac:dyDescent="0.2">
      <c r="J694" t="str">
        <f t="shared" si="30"/>
        <v/>
      </c>
      <c r="K694" t="str">
        <f>IF(J694="","", IFERROR(VLOOKUP(J694, IF(D694="Movers", 换算标准!$C:$D, 换算标准!$I:$J), 2, TRUE), 0))</f>
        <v/>
      </c>
      <c r="T694" t="str">
        <f t="shared" si="31"/>
        <v/>
      </c>
      <c r="U694" t="str">
        <f>IF(T694="","", IFERROR(VLOOKUP(T694, IF(D694="Movers", 换算标准!$A:$B, 换算标准!$G:$H), 2, TRUE), 0))</f>
        <v/>
      </c>
      <c r="W694" t="str">
        <f t="shared" si="32"/>
        <v/>
      </c>
      <c r="Z694" s="5" t="str">
        <f>IF(J694="","", IF(K694&lt;=3, "⚠️ 薄弱环节: "&amp;INDEX($E$1:$I$1, MATCH(MIN(E694:I694), E694:I694, 0))&amp;CHAR(10)&amp;"📉 考察能力: "&amp;IFERROR(VLOOKUP(TRIM(D694)&amp;"_"&amp;TRIM(INDEX($E$1:$I$1, MATCH(MIN(E694:I694), E694:I694, 0))), 技能库!$A:$F, 5, 0),"建议查阅考纲")&amp;CHAR(10)&amp;"💡 提升建议: "&amp;IFERROR(VLOOKUP(TRIM(D694)&amp;"_"&amp;TRIM(INDEX($E$1:$I$1, MATCH(MIN(E694:I694), E694:I694, 0))), 技能库!$A:$F, 6, 0),"请针对该题型加强练习"), "🎉 表现优异，无明显弱项！"))</f>
        <v/>
      </c>
      <c r="AA694" s="5" t="str">
        <f>IF(T694="","", IF(U694&lt;=3, "⚠️ 薄弱环节: "&amp;INDEX($M$1:$S$1, MATCH(MIN(M694:S694), M694:S694, 0))&amp;CHAR(10)&amp;"📉 考察能力: "&amp;IFERROR(VLOOKUP(TRIM(D694)&amp;"_"&amp;TRIM(INDEX($M$1:$S$1, MATCH(MIN(M694:S694), M694:S694, 0))), 技能库!$A:$F, 5, 0),"建议查阅考纲")&amp;CHAR(10)&amp;"💡 提升建议: "&amp;IFERROR(VLOOKUP(TRIM(D694)&amp;"_"&amp;TRIM(INDEX($M$1:$S$1, MATCH(MIN(M694:S694), M694:S694, 0))), 技能库!$A:$F, 6, 0),"请针对该题型加强练习"), "🎉 表现优异，无明显弱项！"))</f>
        <v/>
      </c>
    </row>
    <row r="695" spans="10:27" ht="18" hidden="1" customHeight="1" x14ac:dyDescent="0.2">
      <c r="J695" t="str">
        <f t="shared" si="30"/>
        <v/>
      </c>
      <c r="K695" t="str">
        <f>IF(J695="","", IFERROR(VLOOKUP(J695, IF(D695="Movers", 换算标准!$C:$D, 换算标准!$I:$J), 2, TRUE), 0))</f>
        <v/>
      </c>
      <c r="T695" t="str">
        <f t="shared" si="31"/>
        <v/>
      </c>
      <c r="U695" t="str">
        <f>IF(T695="","", IFERROR(VLOOKUP(T695, IF(D695="Movers", 换算标准!$A:$B, 换算标准!$G:$H), 2, TRUE), 0))</f>
        <v/>
      </c>
      <c r="W695" t="str">
        <f t="shared" si="32"/>
        <v/>
      </c>
      <c r="Z695" s="5" t="str">
        <f>IF(J695="","", IF(K695&lt;=3, "⚠️ 薄弱环节: "&amp;INDEX($E$1:$I$1, MATCH(MIN(E695:I695), E695:I695, 0))&amp;CHAR(10)&amp;"📉 考察能力: "&amp;IFERROR(VLOOKUP(TRIM(D695)&amp;"_"&amp;TRIM(INDEX($E$1:$I$1, MATCH(MIN(E695:I695), E695:I695, 0))), 技能库!$A:$F, 5, 0),"建议查阅考纲")&amp;CHAR(10)&amp;"💡 提升建议: "&amp;IFERROR(VLOOKUP(TRIM(D695)&amp;"_"&amp;TRIM(INDEX($E$1:$I$1, MATCH(MIN(E695:I695), E695:I695, 0))), 技能库!$A:$F, 6, 0),"请针对该题型加强练习"), "🎉 表现优异，无明显弱项！"))</f>
        <v/>
      </c>
      <c r="AA695" s="5" t="str">
        <f>IF(T695="","", IF(U695&lt;=3, "⚠️ 薄弱环节: "&amp;INDEX($M$1:$S$1, MATCH(MIN(M695:S695), M695:S695, 0))&amp;CHAR(10)&amp;"📉 考察能力: "&amp;IFERROR(VLOOKUP(TRIM(D695)&amp;"_"&amp;TRIM(INDEX($M$1:$S$1, MATCH(MIN(M695:S695), M695:S695, 0))), 技能库!$A:$F, 5, 0),"建议查阅考纲")&amp;CHAR(10)&amp;"💡 提升建议: "&amp;IFERROR(VLOOKUP(TRIM(D695)&amp;"_"&amp;TRIM(INDEX($M$1:$S$1, MATCH(MIN(M695:S695), M695:S695, 0))), 技能库!$A:$F, 6, 0),"请针对该题型加强练习"), "🎉 表现优异，无明显弱项！"))</f>
        <v/>
      </c>
    </row>
    <row r="696" spans="10:27" ht="18" hidden="1" customHeight="1" x14ac:dyDescent="0.2">
      <c r="J696" t="str">
        <f t="shared" si="30"/>
        <v/>
      </c>
      <c r="K696" t="str">
        <f>IF(J696="","", IFERROR(VLOOKUP(J696, IF(D696="Movers", 换算标准!$C:$D, 换算标准!$I:$J), 2, TRUE), 0))</f>
        <v/>
      </c>
      <c r="T696" t="str">
        <f t="shared" si="31"/>
        <v/>
      </c>
      <c r="U696" t="str">
        <f>IF(T696="","", IFERROR(VLOOKUP(T696, IF(D696="Movers", 换算标准!$A:$B, 换算标准!$G:$H), 2, TRUE), 0))</f>
        <v/>
      </c>
      <c r="W696" t="str">
        <f t="shared" si="32"/>
        <v/>
      </c>
      <c r="Z696" s="5" t="str">
        <f>IF(J696="","", IF(K696&lt;=3, "⚠️ 薄弱环节: "&amp;INDEX($E$1:$I$1, MATCH(MIN(E696:I696), E696:I696, 0))&amp;CHAR(10)&amp;"📉 考察能力: "&amp;IFERROR(VLOOKUP(TRIM(D696)&amp;"_"&amp;TRIM(INDEX($E$1:$I$1, MATCH(MIN(E696:I696), E696:I696, 0))), 技能库!$A:$F, 5, 0),"建议查阅考纲")&amp;CHAR(10)&amp;"💡 提升建议: "&amp;IFERROR(VLOOKUP(TRIM(D696)&amp;"_"&amp;TRIM(INDEX($E$1:$I$1, MATCH(MIN(E696:I696), E696:I696, 0))), 技能库!$A:$F, 6, 0),"请针对该题型加强练习"), "🎉 表现优异，无明显弱项！"))</f>
        <v/>
      </c>
      <c r="AA696" s="5" t="str">
        <f>IF(T696="","", IF(U696&lt;=3, "⚠️ 薄弱环节: "&amp;INDEX($M$1:$S$1, MATCH(MIN(M696:S696), M696:S696, 0))&amp;CHAR(10)&amp;"📉 考察能力: "&amp;IFERROR(VLOOKUP(TRIM(D696)&amp;"_"&amp;TRIM(INDEX($M$1:$S$1, MATCH(MIN(M696:S696), M696:S696, 0))), 技能库!$A:$F, 5, 0),"建议查阅考纲")&amp;CHAR(10)&amp;"💡 提升建议: "&amp;IFERROR(VLOOKUP(TRIM(D696)&amp;"_"&amp;TRIM(INDEX($M$1:$S$1, MATCH(MIN(M696:S696), M696:S696, 0))), 技能库!$A:$F, 6, 0),"请针对该题型加强练习"), "🎉 表现优异，无明显弱项！"))</f>
        <v/>
      </c>
    </row>
    <row r="697" spans="10:27" ht="18" hidden="1" customHeight="1" x14ac:dyDescent="0.2">
      <c r="J697" t="str">
        <f t="shared" si="30"/>
        <v/>
      </c>
      <c r="K697" t="str">
        <f>IF(J697="","", IFERROR(VLOOKUP(J697, IF(D697="Movers", 换算标准!$C:$D, 换算标准!$I:$J), 2, TRUE), 0))</f>
        <v/>
      </c>
      <c r="T697" t="str">
        <f t="shared" si="31"/>
        <v/>
      </c>
      <c r="U697" t="str">
        <f>IF(T697="","", IFERROR(VLOOKUP(T697, IF(D697="Movers", 换算标准!$A:$B, 换算标准!$G:$H), 2, TRUE), 0))</f>
        <v/>
      </c>
      <c r="W697" t="str">
        <f t="shared" si="32"/>
        <v/>
      </c>
      <c r="Z697" s="5" t="str">
        <f>IF(J697="","", IF(K697&lt;=3, "⚠️ 薄弱环节: "&amp;INDEX($E$1:$I$1, MATCH(MIN(E697:I697), E697:I697, 0))&amp;CHAR(10)&amp;"📉 考察能力: "&amp;IFERROR(VLOOKUP(TRIM(D697)&amp;"_"&amp;TRIM(INDEX($E$1:$I$1, MATCH(MIN(E697:I697), E697:I697, 0))), 技能库!$A:$F, 5, 0),"建议查阅考纲")&amp;CHAR(10)&amp;"💡 提升建议: "&amp;IFERROR(VLOOKUP(TRIM(D697)&amp;"_"&amp;TRIM(INDEX($E$1:$I$1, MATCH(MIN(E697:I697), E697:I697, 0))), 技能库!$A:$F, 6, 0),"请针对该题型加强练习"), "🎉 表现优异，无明显弱项！"))</f>
        <v/>
      </c>
      <c r="AA697" s="5" t="str">
        <f>IF(T697="","", IF(U697&lt;=3, "⚠️ 薄弱环节: "&amp;INDEX($M$1:$S$1, MATCH(MIN(M697:S697), M697:S697, 0))&amp;CHAR(10)&amp;"📉 考察能力: "&amp;IFERROR(VLOOKUP(TRIM(D697)&amp;"_"&amp;TRIM(INDEX($M$1:$S$1, MATCH(MIN(M697:S697), M697:S697, 0))), 技能库!$A:$F, 5, 0),"建议查阅考纲")&amp;CHAR(10)&amp;"💡 提升建议: "&amp;IFERROR(VLOOKUP(TRIM(D697)&amp;"_"&amp;TRIM(INDEX($M$1:$S$1, MATCH(MIN(M697:S697), M697:S697, 0))), 技能库!$A:$F, 6, 0),"请针对该题型加强练习"), "🎉 表现优异，无明显弱项！"))</f>
        <v/>
      </c>
    </row>
    <row r="698" spans="10:27" ht="18" hidden="1" customHeight="1" x14ac:dyDescent="0.2">
      <c r="J698" t="str">
        <f t="shared" si="30"/>
        <v/>
      </c>
      <c r="K698" t="str">
        <f>IF(J698="","", IFERROR(VLOOKUP(J698, IF(D698="Movers", 换算标准!$C:$D, 换算标准!$I:$J), 2, TRUE), 0))</f>
        <v/>
      </c>
      <c r="T698" t="str">
        <f t="shared" si="31"/>
        <v/>
      </c>
      <c r="U698" t="str">
        <f>IF(T698="","", IFERROR(VLOOKUP(T698, IF(D698="Movers", 换算标准!$A:$B, 换算标准!$G:$H), 2, TRUE), 0))</f>
        <v/>
      </c>
      <c r="W698" t="str">
        <f t="shared" si="32"/>
        <v/>
      </c>
      <c r="Z698" s="5" t="str">
        <f>IF(J698="","", IF(K698&lt;=3, "⚠️ 薄弱环节: "&amp;INDEX($E$1:$I$1, MATCH(MIN(E698:I698), E698:I698, 0))&amp;CHAR(10)&amp;"📉 考察能力: "&amp;IFERROR(VLOOKUP(TRIM(D698)&amp;"_"&amp;TRIM(INDEX($E$1:$I$1, MATCH(MIN(E698:I698), E698:I698, 0))), 技能库!$A:$F, 5, 0),"建议查阅考纲")&amp;CHAR(10)&amp;"💡 提升建议: "&amp;IFERROR(VLOOKUP(TRIM(D698)&amp;"_"&amp;TRIM(INDEX($E$1:$I$1, MATCH(MIN(E698:I698), E698:I698, 0))), 技能库!$A:$F, 6, 0),"请针对该题型加强练习"), "🎉 表现优异，无明显弱项！"))</f>
        <v/>
      </c>
      <c r="AA698" s="5" t="str">
        <f>IF(T698="","", IF(U698&lt;=3, "⚠️ 薄弱环节: "&amp;INDEX($M$1:$S$1, MATCH(MIN(M698:S698), M698:S698, 0))&amp;CHAR(10)&amp;"📉 考察能力: "&amp;IFERROR(VLOOKUP(TRIM(D698)&amp;"_"&amp;TRIM(INDEX($M$1:$S$1, MATCH(MIN(M698:S698), M698:S698, 0))), 技能库!$A:$F, 5, 0),"建议查阅考纲")&amp;CHAR(10)&amp;"💡 提升建议: "&amp;IFERROR(VLOOKUP(TRIM(D698)&amp;"_"&amp;TRIM(INDEX($M$1:$S$1, MATCH(MIN(M698:S698), M698:S698, 0))), 技能库!$A:$F, 6, 0),"请针对该题型加强练习"), "🎉 表现优异，无明显弱项！"))</f>
        <v/>
      </c>
    </row>
    <row r="699" spans="10:27" ht="18" hidden="1" customHeight="1" x14ac:dyDescent="0.2">
      <c r="J699" t="str">
        <f t="shared" si="30"/>
        <v/>
      </c>
      <c r="K699" t="str">
        <f>IF(J699="","", IFERROR(VLOOKUP(J699, IF(D699="Movers", 换算标准!$C:$D, 换算标准!$I:$J), 2, TRUE), 0))</f>
        <v/>
      </c>
      <c r="T699" t="str">
        <f t="shared" si="31"/>
        <v/>
      </c>
      <c r="U699" t="str">
        <f>IF(T699="","", IFERROR(VLOOKUP(T699, IF(D699="Movers", 换算标准!$A:$B, 换算标准!$G:$H), 2, TRUE), 0))</f>
        <v/>
      </c>
      <c r="W699" t="str">
        <f t="shared" si="32"/>
        <v/>
      </c>
      <c r="Z699" s="5" t="str">
        <f>IF(J699="","", IF(K699&lt;=3, "⚠️ 薄弱环节: "&amp;INDEX($E$1:$I$1, MATCH(MIN(E699:I699), E699:I699, 0))&amp;CHAR(10)&amp;"📉 考察能力: "&amp;IFERROR(VLOOKUP(TRIM(D699)&amp;"_"&amp;TRIM(INDEX($E$1:$I$1, MATCH(MIN(E699:I699), E699:I699, 0))), 技能库!$A:$F, 5, 0),"建议查阅考纲")&amp;CHAR(10)&amp;"💡 提升建议: "&amp;IFERROR(VLOOKUP(TRIM(D699)&amp;"_"&amp;TRIM(INDEX($E$1:$I$1, MATCH(MIN(E699:I699), E699:I699, 0))), 技能库!$A:$F, 6, 0),"请针对该题型加强练习"), "🎉 表现优异，无明显弱项！"))</f>
        <v/>
      </c>
      <c r="AA699" s="5" t="str">
        <f>IF(T699="","", IF(U699&lt;=3, "⚠️ 薄弱环节: "&amp;INDEX($M$1:$S$1, MATCH(MIN(M699:S699), M699:S699, 0))&amp;CHAR(10)&amp;"📉 考察能力: "&amp;IFERROR(VLOOKUP(TRIM(D699)&amp;"_"&amp;TRIM(INDEX($M$1:$S$1, MATCH(MIN(M699:S699), M699:S699, 0))), 技能库!$A:$F, 5, 0),"建议查阅考纲")&amp;CHAR(10)&amp;"💡 提升建议: "&amp;IFERROR(VLOOKUP(TRIM(D699)&amp;"_"&amp;TRIM(INDEX($M$1:$S$1, MATCH(MIN(M699:S699), M699:S699, 0))), 技能库!$A:$F, 6, 0),"请针对该题型加强练习"), "🎉 表现优异，无明显弱项！"))</f>
        <v/>
      </c>
    </row>
    <row r="700" spans="10:27" ht="18" hidden="1" customHeight="1" x14ac:dyDescent="0.2">
      <c r="J700" t="str">
        <f t="shared" si="30"/>
        <v/>
      </c>
      <c r="K700" t="str">
        <f>IF(J700="","", IFERROR(VLOOKUP(J700, IF(D700="Movers", 换算标准!$C:$D, 换算标准!$I:$J), 2, TRUE), 0))</f>
        <v/>
      </c>
      <c r="T700" t="str">
        <f t="shared" si="31"/>
        <v/>
      </c>
      <c r="U700" t="str">
        <f>IF(T700="","", IFERROR(VLOOKUP(T700, IF(D700="Movers", 换算标准!$A:$B, 换算标准!$G:$H), 2, TRUE), 0))</f>
        <v/>
      </c>
      <c r="W700" t="str">
        <f t="shared" si="32"/>
        <v/>
      </c>
      <c r="Z700" s="5" t="str">
        <f>IF(J700="","", IF(K700&lt;=3, "⚠️ 薄弱环节: "&amp;INDEX($E$1:$I$1, MATCH(MIN(E700:I700), E700:I700, 0))&amp;CHAR(10)&amp;"📉 考察能力: "&amp;IFERROR(VLOOKUP(TRIM(D700)&amp;"_"&amp;TRIM(INDEX($E$1:$I$1, MATCH(MIN(E700:I700), E700:I700, 0))), 技能库!$A:$F, 5, 0),"建议查阅考纲")&amp;CHAR(10)&amp;"💡 提升建议: "&amp;IFERROR(VLOOKUP(TRIM(D700)&amp;"_"&amp;TRIM(INDEX($E$1:$I$1, MATCH(MIN(E700:I700), E700:I700, 0))), 技能库!$A:$F, 6, 0),"请针对该题型加强练习"), "🎉 表现优异，无明显弱项！"))</f>
        <v/>
      </c>
      <c r="AA700" s="5" t="str">
        <f>IF(T700="","", IF(U700&lt;=3, "⚠️ 薄弱环节: "&amp;INDEX($M$1:$S$1, MATCH(MIN(M700:S700), M700:S700, 0))&amp;CHAR(10)&amp;"📉 考察能力: "&amp;IFERROR(VLOOKUP(TRIM(D700)&amp;"_"&amp;TRIM(INDEX($M$1:$S$1, MATCH(MIN(M700:S700), M700:S700, 0))), 技能库!$A:$F, 5, 0),"建议查阅考纲")&amp;CHAR(10)&amp;"💡 提升建议: "&amp;IFERROR(VLOOKUP(TRIM(D700)&amp;"_"&amp;TRIM(INDEX($M$1:$S$1, MATCH(MIN(M700:S700), M700:S700, 0))), 技能库!$A:$F, 6, 0),"请针对该题型加强练习"), "🎉 表现优异，无明显弱项！"))</f>
        <v/>
      </c>
    </row>
    <row r="701" spans="10:27" ht="18" hidden="1" customHeight="1" x14ac:dyDescent="0.2">
      <c r="J701" t="str">
        <f t="shared" si="30"/>
        <v/>
      </c>
      <c r="K701" t="str">
        <f>IF(J701="","", IFERROR(VLOOKUP(J701, IF(D701="Movers", 换算标准!$C:$D, 换算标准!$I:$J), 2, TRUE), 0))</f>
        <v/>
      </c>
      <c r="T701" t="str">
        <f t="shared" si="31"/>
        <v/>
      </c>
      <c r="U701" t="str">
        <f>IF(T701="","", IFERROR(VLOOKUP(T701, IF(D701="Movers", 换算标准!$A:$B, 换算标准!$G:$H), 2, TRUE), 0))</f>
        <v/>
      </c>
      <c r="W701" t="str">
        <f t="shared" si="32"/>
        <v/>
      </c>
      <c r="Z701" s="5" t="str">
        <f>IF(J701="","", IF(K701&lt;=3, "⚠️ 薄弱环节: "&amp;INDEX($E$1:$I$1, MATCH(MIN(E701:I701), E701:I701, 0))&amp;CHAR(10)&amp;"📉 考察能力: "&amp;IFERROR(VLOOKUP(TRIM(D701)&amp;"_"&amp;TRIM(INDEX($E$1:$I$1, MATCH(MIN(E701:I701), E701:I701, 0))), 技能库!$A:$F, 5, 0),"建议查阅考纲")&amp;CHAR(10)&amp;"💡 提升建议: "&amp;IFERROR(VLOOKUP(TRIM(D701)&amp;"_"&amp;TRIM(INDEX($E$1:$I$1, MATCH(MIN(E701:I701), E701:I701, 0))), 技能库!$A:$F, 6, 0),"请针对该题型加强练习"), "🎉 表现优异，无明显弱项！"))</f>
        <v/>
      </c>
      <c r="AA701" s="5" t="str">
        <f>IF(T701="","", IF(U701&lt;=3, "⚠️ 薄弱环节: "&amp;INDEX($M$1:$S$1, MATCH(MIN(M701:S701), M701:S701, 0))&amp;CHAR(10)&amp;"📉 考察能力: "&amp;IFERROR(VLOOKUP(TRIM(D701)&amp;"_"&amp;TRIM(INDEX($M$1:$S$1, MATCH(MIN(M701:S701), M701:S701, 0))), 技能库!$A:$F, 5, 0),"建议查阅考纲")&amp;CHAR(10)&amp;"💡 提升建议: "&amp;IFERROR(VLOOKUP(TRIM(D701)&amp;"_"&amp;TRIM(INDEX($M$1:$S$1, MATCH(MIN(M701:S701), M701:S701, 0))), 技能库!$A:$F, 6, 0),"请针对该题型加强练习"), "🎉 表现优异，无明显弱项！"))</f>
        <v/>
      </c>
    </row>
    <row r="702" spans="10:27" ht="18" hidden="1" customHeight="1" x14ac:dyDescent="0.2">
      <c r="J702" t="str">
        <f t="shared" si="30"/>
        <v/>
      </c>
      <c r="K702" t="str">
        <f>IF(J702="","", IFERROR(VLOOKUP(J702, IF(D702="Movers", 换算标准!$C:$D, 换算标准!$I:$J), 2, TRUE), 0))</f>
        <v/>
      </c>
      <c r="T702" t="str">
        <f t="shared" si="31"/>
        <v/>
      </c>
      <c r="U702" t="str">
        <f>IF(T702="","", IFERROR(VLOOKUP(T702, IF(D702="Movers", 换算标准!$A:$B, 换算标准!$G:$H), 2, TRUE), 0))</f>
        <v/>
      </c>
      <c r="W702" t="str">
        <f t="shared" si="32"/>
        <v/>
      </c>
      <c r="Z702" s="5" t="str">
        <f>IF(J702="","", IF(K702&lt;=3, "⚠️ 薄弱环节: "&amp;INDEX($E$1:$I$1, MATCH(MIN(E702:I702), E702:I702, 0))&amp;CHAR(10)&amp;"📉 考察能力: "&amp;IFERROR(VLOOKUP(TRIM(D702)&amp;"_"&amp;TRIM(INDEX($E$1:$I$1, MATCH(MIN(E702:I702), E702:I702, 0))), 技能库!$A:$F, 5, 0),"建议查阅考纲")&amp;CHAR(10)&amp;"💡 提升建议: "&amp;IFERROR(VLOOKUP(TRIM(D702)&amp;"_"&amp;TRIM(INDEX($E$1:$I$1, MATCH(MIN(E702:I702), E702:I702, 0))), 技能库!$A:$F, 6, 0),"请针对该题型加强练习"), "🎉 表现优异，无明显弱项！"))</f>
        <v/>
      </c>
      <c r="AA702" s="5" t="str">
        <f>IF(T702="","", IF(U702&lt;=3, "⚠️ 薄弱环节: "&amp;INDEX($M$1:$S$1, MATCH(MIN(M702:S702), M702:S702, 0))&amp;CHAR(10)&amp;"📉 考察能力: "&amp;IFERROR(VLOOKUP(TRIM(D702)&amp;"_"&amp;TRIM(INDEX($M$1:$S$1, MATCH(MIN(M702:S702), M702:S702, 0))), 技能库!$A:$F, 5, 0),"建议查阅考纲")&amp;CHAR(10)&amp;"💡 提升建议: "&amp;IFERROR(VLOOKUP(TRIM(D702)&amp;"_"&amp;TRIM(INDEX($M$1:$S$1, MATCH(MIN(M702:S702), M702:S702, 0))), 技能库!$A:$F, 6, 0),"请针对该题型加强练习"), "🎉 表现优异，无明显弱项！"))</f>
        <v/>
      </c>
    </row>
    <row r="703" spans="10:27" ht="18" hidden="1" customHeight="1" x14ac:dyDescent="0.2">
      <c r="J703" t="str">
        <f t="shared" si="30"/>
        <v/>
      </c>
      <c r="K703" t="str">
        <f>IF(J703="","", IFERROR(VLOOKUP(J703, IF(D703="Movers", 换算标准!$C:$D, 换算标准!$I:$J), 2, TRUE), 0))</f>
        <v/>
      </c>
      <c r="T703" t="str">
        <f t="shared" si="31"/>
        <v/>
      </c>
      <c r="U703" t="str">
        <f>IF(T703="","", IFERROR(VLOOKUP(T703, IF(D703="Movers", 换算标准!$A:$B, 换算标准!$G:$H), 2, TRUE), 0))</f>
        <v/>
      </c>
      <c r="W703" t="str">
        <f t="shared" si="32"/>
        <v/>
      </c>
      <c r="Z703" s="5" t="str">
        <f>IF(J703="","", IF(K703&lt;=3, "⚠️ 薄弱环节: "&amp;INDEX($E$1:$I$1, MATCH(MIN(E703:I703), E703:I703, 0))&amp;CHAR(10)&amp;"📉 考察能力: "&amp;IFERROR(VLOOKUP(TRIM(D703)&amp;"_"&amp;TRIM(INDEX($E$1:$I$1, MATCH(MIN(E703:I703), E703:I703, 0))), 技能库!$A:$F, 5, 0),"建议查阅考纲")&amp;CHAR(10)&amp;"💡 提升建议: "&amp;IFERROR(VLOOKUP(TRIM(D703)&amp;"_"&amp;TRIM(INDEX($E$1:$I$1, MATCH(MIN(E703:I703), E703:I703, 0))), 技能库!$A:$F, 6, 0),"请针对该题型加强练习"), "🎉 表现优异，无明显弱项！"))</f>
        <v/>
      </c>
      <c r="AA703" s="5" t="str">
        <f>IF(T703="","", IF(U703&lt;=3, "⚠️ 薄弱环节: "&amp;INDEX($M$1:$S$1, MATCH(MIN(M703:S703), M703:S703, 0))&amp;CHAR(10)&amp;"📉 考察能力: "&amp;IFERROR(VLOOKUP(TRIM(D703)&amp;"_"&amp;TRIM(INDEX($M$1:$S$1, MATCH(MIN(M703:S703), M703:S703, 0))), 技能库!$A:$F, 5, 0),"建议查阅考纲")&amp;CHAR(10)&amp;"💡 提升建议: "&amp;IFERROR(VLOOKUP(TRIM(D703)&amp;"_"&amp;TRIM(INDEX($M$1:$S$1, MATCH(MIN(M703:S703), M703:S703, 0))), 技能库!$A:$F, 6, 0),"请针对该题型加强练习"), "🎉 表现优异，无明显弱项！"))</f>
        <v/>
      </c>
    </row>
    <row r="704" spans="10:27" ht="18" hidden="1" customHeight="1" x14ac:dyDescent="0.2">
      <c r="J704" t="str">
        <f t="shared" si="30"/>
        <v/>
      </c>
      <c r="K704" t="str">
        <f>IF(J704="","", IFERROR(VLOOKUP(J704, IF(D704="Movers", 换算标准!$C:$D, 换算标准!$I:$J), 2, TRUE), 0))</f>
        <v/>
      </c>
      <c r="T704" t="str">
        <f t="shared" si="31"/>
        <v/>
      </c>
      <c r="U704" t="str">
        <f>IF(T704="","", IFERROR(VLOOKUP(T704, IF(D704="Movers", 换算标准!$A:$B, 换算标准!$G:$H), 2, TRUE), 0))</f>
        <v/>
      </c>
      <c r="W704" t="str">
        <f t="shared" si="32"/>
        <v/>
      </c>
      <c r="Z704" s="5" t="str">
        <f>IF(J704="","", IF(K704&lt;=3, "⚠️ 薄弱环节: "&amp;INDEX($E$1:$I$1, MATCH(MIN(E704:I704), E704:I704, 0))&amp;CHAR(10)&amp;"📉 考察能力: "&amp;IFERROR(VLOOKUP(TRIM(D704)&amp;"_"&amp;TRIM(INDEX($E$1:$I$1, MATCH(MIN(E704:I704), E704:I704, 0))), 技能库!$A:$F, 5, 0),"建议查阅考纲")&amp;CHAR(10)&amp;"💡 提升建议: "&amp;IFERROR(VLOOKUP(TRIM(D704)&amp;"_"&amp;TRIM(INDEX($E$1:$I$1, MATCH(MIN(E704:I704), E704:I704, 0))), 技能库!$A:$F, 6, 0),"请针对该题型加强练习"), "🎉 表现优异，无明显弱项！"))</f>
        <v/>
      </c>
      <c r="AA704" s="5" t="str">
        <f>IF(T704="","", IF(U704&lt;=3, "⚠️ 薄弱环节: "&amp;INDEX($M$1:$S$1, MATCH(MIN(M704:S704), M704:S704, 0))&amp;CHAR(10)&amp;"📉 考察能力: "&amp;IFERROR(VLOOKUP(TRIM(D704)&amp;"_"&amp;TRIM(INDEX($M$1:$S$1, MATCH(MIN(M704:S704), M704:S704, 0))), 技能库!$A:$F, 5, 0),"建议查阅考纲")&amp;CHAR(10)&amp;"💡 提升建议: "&amp;IFERROR(VLOOKUP(TRIM(D704)&amp;"_"&amp;TRIM(INDEX($M$1:$S$1, MATCH(MIN(M704:S704), M704:S704, 0))), 技能库!$A:$F, 6, 0),"请针对该题型加强练习"), "🎉 表现优异，无明显弱项！"))</f>
        <v/>
      </c>
    </row>
    <row r="705" spans="10:27" ht="18" hidden="1" customHeight="1" x14ac:dyDescent="0.2">
      <c r="J705" t="str">
        <f t="shared" si="30"/>
        <v/>
      </c>
      <c r="K705" t="str">
        <f>IF(J705="","", IFERROR(VLOOKUP(J705, IF(D705="Movers", 换算标准!$C:$D, 换算标准!$I:$J), 2, TRUE), 0))</f>
        <v/>
      </c>
      <c r="T705" t="str">
        <f t="shared" si="31"/>
        <v/>
      </c>
      <c r="U705" t="str">
        <f>IF(T705="","", IFERROR(VLOOKUP(T705, IF(D705="Movers", 换算标准!$A:$B, 换算标准!$G:$H), 2, TRUE), 0))</f>
        <v/>
      </c>
      <c r="W705" t="str">
        <f t="shared" si="32"/>
        <v/>
      </c>
      <c r="Z705" s="5" t="str">
        <f>IF(J705="","", IF(K705&lt;=3, "⚠️ 薄弱环节: "&amp;INDEX($E$1:$I$1, MATCH(MIN(E705:I705), E705:I705, 0))&amp;CHAR(10)&amp;"📉 考察能力: "&amp;IFERROR(VLOOKUP(TRIM(D705)&amp;"_"&amp;TRIM(INDEX($E$1:$I$1, MATCH(MIN(E705:I705), E705:I705, 0))), 技能库!$A:$F, 5, 0),"建议查阅考纲")&amp;CHAR(10)&amp;"💡 提升建议: "&amp;IFERROR(VLOOKUP(TRIM(D705)&amp;"_"&amp;TRIM(INDEX($E$1:$I$1, MATCH(MIN(E705:I705), E705:I705, 0))), 技能库!$A:$F, 6, 0),"请针对该题型加强练习"), "🎉 表现优异，无明显弱项！"))</f>
        <v/>
      </c>
      <c r="AA705" s="5" t="str">
        <f>IF(T705="","", IF(U705&lt;=3, "⚠️ 薄弱环节: "&amp;INDEX($M$1:$S$1, MATCH(MIN(M705:S705), M705:S705, 0))&amp;CHAR(10)&amp;"📉 考察能力: "&amp;IFERROR(VLOOKUP(TRIM(D705)&amp;"_"&amp;TRIM(INDEX($M$1:$S$1, MATCH(MIN(M705:S705), M705:S705, 0))), 技能库!$A:$F, 5, 0),"建议查阅考纲")&amp;CHAR(10)&amp;"💡 提升建议: "&amp;IFERROR(VLOOKUP(TRIM(D705)&amp;"_"&amp;TRIM(INDEX($M$1:$S$1, MATCH(MIN(M705:S705), M705:S705, 0))), 技能库!$A:$F, 6, 0),"请针对该题型加强练习"), "🎉 表现优异，无明显弱项！"))</f>
        <v/>
      </c>
    </row>
    <row r="706" spans="10:27" ht="18" hidden="1" customHeight="1" x14ac:dyDescent="0.2">
      <c r="J706" t="str">
        <f t="shared" ref="J706:J769" si="33">IF(COUNT(E706:I706)&gt;0, SUM(E706:I706), "")</f>
        <v/>
      </c>
      <c r="K706" t="str">
        <f>IF(J706="","", IFERROR(VLOOKUP(J706, IF(D706="Movers", 换算标准!$C:$D, 换算标准!$I:$J), 2, TRUE), 0))</f>
        <v/>
      </c>
      <c r="T706" t="str">
        <f t="shared" ref="T706:T769" si="34">IF(COUNT(M706:S706)&gt;0, SUM(M706:S706), "")</f>
        <v/>
      </c>
      <c r="U706" t="str">
        <f>IF(T706="","", IFERROR(VLOOKUP(T706, IF(D706="Movers", 换算标准!$A:$B, 换算标准!$G:$H), 2, TRUE), 0))</f>
        <v/>
      </c>
      <c r="W706" t="str">
        <f t="shared" ref="W706:W769" si="35">IF(AND(K706&lt;&gt;"", U706&lt;&gt;""), K706+U706, "")</f>
        <v/>
      </c>
      <c r="Z706" s="5" t="str">
        <f>IF(J706="","", IF(K706&lt;=3, "⚠️ 薄弱环节: "&amp;INDEX($E$1:$I$1, MATCH(MIN(E706:I706), E706:I706, 0))&amp;CHAR(10)&amp;"📉 考察能力: "&amp;IFERROR(VLOOKUP(TRIM(D706)&amp;"_"&amp;TRIM(INDEX($E$1:$I$1, MATCH(MIN(E706:I706), E706:I706, 0))), 技能库!$A:$F, 5, 0),"建议查阅考纲")&amp;CHAR(10)&amp;"💡 提升建议: "&amp;IFERROR(VLOOKUP(TRIM(D706)&amp;"_"&amp;TRIM(INDEX($E$1:$I$1, MATCH(MIN(E706:I706), E706:I706, 0))), 技能库!$A:$F, 6, 0),"请针对该题型加强练习"), "🎉 表现优异，无明显弱项！"))</f>
        <v/>
      </c>
      <c r="AA706" s="5" t="str">
        <f>IF(T706="","", IF(U706&lt;=3, "⚠️ 薄弱环节: "&amp;INDEX($M$1:$S$1, MATCH(MIN(M706:S706), M706:S706, 0))&amp;CHAR(10)&amp;"📉 考察能力: "&amp;IFERROR(VLOOKUP(TRIM(D706)&amp;"_"&amp;TRIM(INDEX($M$1:$S$1, MATCH(MIN(M706:S706), M706:S706, 0))), 技能库!$A:$F, 5, 0),"建议查阅考纲")&amp;CHAR(10)&amp;"💡 提升建议: "&amp;IFERROR(VLOOKUP(TRIM(D706)&amp;"_"&amp;TRIM(INDEX($M$1:$S$1, MATCH(MIN(M706:S706), M706:S706, 0))), 技能库!$A:$F, 6, 0),"请针对该题型加强练习"), "🎉 表现优异，无明显弱项！"))</f>
        <v/>
      </c>
    </row>
    <row r="707" spans="10:27" ht="18" hidden="1" customHeight="1" x14ac:dyDescent="0.2">
      <c r="J707" t="str">
        <f t="shared" si="33"/>
        <v/>
      </c>
      <c r="K707" t="str">
        <f>IF(J707="","", IFERROR(VLOOKUP(J707, IF(D707="Movers", 换算标准!$C:$D, 换算标准!$I:$J), 2, TRUE), 0))</f>
        <v/>
      </c>
      <c r="T707" t="str">
        <f t="shared" si="34"/>
        <v/>
      </c>
      <c r="U707" t="str">
        <f>IF(T707="","", IFERROR(VLOOKUP(T707, IF(D707="Movers", 换算标准!$A:$B, 换算标准!$G:$H), 2, TRUE), 0))</f>
        <v/>
      </c>
      <c r="W707" t="str">
        <f t="shared" si="35"/>
        <v/>
      </c>
      <c r="Z707" s="5" t="str">
        <f>IF(J707="","", IF(K707&lt;=3, "⚠️ 薄弱环节: "&amp;INDEX($E$1:$I$1, MATCH(MIN(E707:I707), E707:I707, 0))&amp;CHAR(10)&amp;"📉 考察能力: "&amp;IFERROR(VLOOKUP(TRIM(D707)&amp;"_"&amp;TRIM(INDEX($E$1:$I$1, MATCH(MIN(E707:I707), E707:I707, 0))), 技能库!$A:$F, 5, 0),"建议查阅考纲")&amp;CHAR(10)&amp;"💡 提升建议: "&amp;IFERROR(VLOOKUP(TRIM(D707)&amp;"_"&amp;TRIM(INDEX($E$1:$I$1, MATCH(MIN(E707:I707), E707:I707, 0))), 技能库!$A:$F, 6, 0),"请针对该题型加强练习"), "🎉 表现优异，无明显弱项！"))</f>
        <v/>
      </c>
      <c r="AA707" s="5" t="str">
        <f>IF(T707="","", IF(U707&lt;=3, "⚠️ 薄弱环节: "&amp;INDEX($M$1:$S$1, MATCH(MIN(M707:S707), M707:S707, 0))&amp;CHAR(10)&amp;"📉 考察能力: "&amp;IFERROR(VLOOKUP(TRIM(D707)&amp;"_"&amp;TRIM(INDEX($M$1:$S$1, MATCH(MIN(M707:S707), M707:S707, 0))), 技能库!$A:$F, 5, 0),"建议查阅考纲")&amp;CHAR(10)&amp;"💡 提升建议: "&amp;IFERROR(VLOOKUP(TRIM(D707)&amp;"_"&amp;TRIM(INDEX($M$1:$S$1, MATCH(MIN(M707:S707), M707:S707, 0))), 技能库!$A:$F, 6, 0),"请针对该题型加强练习"), "🎉 表现优异，无明显弱项！"))</f>
        <v/>
      </c>
    </row>
    <row r="708" spans="10:27" ht="18" hidden="1" customHeight="1" x14ac:dyDescent="0.2">
      <c r="J708" t="str">
        <f t="shared" si="33"/>
        <v/>
      </c>
      <c r="K708" t="str">
        <f>IF(J708="","", IFERROR(VLOOKUP(J708, IF(D708="Movers", 换算标准!$C:$D, 换算标准!$I:$J), 2, TRUE), 0))</f>
        <v/>
      </c>
      <c r="T708" t="str">
        <f t="shared" si="34"/>
        <v/>
      </c>
      <c r="U708" t="str">
        <f>IF(T708="","", IFERROR(VLOOKUP(T708, IF(D708="Movers", 换算标准!$A:$B, 换算标准!$G:$H), 2, TRUE), 0))</f>
        <v/>
      </c>
      <c r="W708" t="str">
        <f t="shared" si="35"/>
        <v/>
      </c>
      <c r="Z708" s="5" t="str">
        <f>IF(J708="","", IF(K708&lt;=3, "⚠️ 薄弱环节: "&amp;INDEX($E$1:$I$1, MATCH(MIN(E708:I708), E708:I708, 0))&amp;CHAR(10)&amp;"📉 考察能力: "&amp;IFERROR(VLOOKUP(TRIM(D708)&amp;"_"&amp;TRIM(INDEX($E$1:$I$1, MATCH(MIN(E708:I708), E708:I708, 0))), 技能库!$A:$F, 5, 0),"建议查阅考纲")&amp;CHAR(10)&amp;"💡 提升建议: "&amp;IFERROR(VLOOKUP(TRIM(D708)&amp;"_"&amp;TRIM(INDEX($E$1:$I$1, MATCH(MIN(E708:I708), E708:I708, 0))), 技能库!$A:$F, 6, 0),"请针对该题型加强练习"), "🎉 表现优异，无明显弱项！"))</f>
        <v/>
      </c>
      <c r="AA708" s="5" t="str">
        <f>IF(T708="","", IF(U708&lt;=3, "⚠️ 薄弱环节: "&amp;INDEX($M$1:$S$1, MATCH(MIN(M708:S708), M708:S708, 0))&amp;CHAR(10)&amp;"📉 考察能力: "&amp;IFERROR(VLOOKUP(TRIM(D708)&amp;"_"&amp;TRIM(INDEX($M$1:$S$1, MATCH(MIN(M708:S708), M708:S708, 0))), 技能库!$A:$F, 5, 0),"建议查阅考纲")&amp;CHAR(10)&amp;"💡 提升建议: "&amp;IFERROR(VLOOKUP(TRIM(D708)&amp;"_"&amp;TRIM(INDEX($M$1:$S$1, MATCH(MIN(M708:S708), M708:S708, 0))), 技能库!$A:$F, 6, 0),"请针对该题型加强练习"), "🎉 表现优异，无明显弱项！"))</f>
        <v/>
      </c>
    </row>
    <row r="709" spans="10:27" ht="18" hidden="1" customHeight="1" x14ac:dyDescent="0.2">
      <c r="J709" t="str">
        <f t="shared" si="33"/>
        <v/>
      </c>
      <c r="K709" t="str">
        <f>IF(J709="","", IFERROR(VLOOKUP(J709, IF(D709="Movers", 换算标准!$C:$D, 换算标准!$I:$J), 2, TRUE), 0))</f>
        <v/>
      </c>
      <c r="T709" t="str">
        <f t="shared" si="34"/>
        <v/>
      </c>
      <c r="U709" t="str">
        <f>IF(T709="","", IFERROR(VLOOKUP(T709, IF(D709="Movers", 换算标准!$A:$B, 换算标准!$G:$H), 2, TRUE), 0))</f>
        <v/>
      </c>
      <c r="W709" t="str">
        <f t="shared" si="35"/>
        <v/>
      </c>
      <c r="Z709" s="5" t="str">
        <f>IF(J709="","", IF(K709&lt;=3, "⚠️ 薄弱环节: "&amp;INDEX($E$1:$I$1, MATCH(MIN(E709:I709), E709:I709, 0))&amp;CHAR(10)&amp;"📉 考察能力: "&amp;IFERROR(VLOOKUP(TRIM(D709)&amp;"_"&amp;TRIM(INDEX($E$1:$I$1, MATCH(MIN(E709:I709), E709:I709, 0))), 技能库!$A:$F, 5, 0),"建议查阅考纲")&amp;CHAR(10)&amp;"💡 提升建议: "&amp;IFERROR(VLOOKUP(TRIM(D709)&amp;"_"&amp;TRIM(INDEX($E$1:$I$1, MATCH(MIN(E709:I709), E709:I709, 0))), 技能库!$A:$F, 6, 0),"请针对该题型加强练习"), "🎉 表现优异，无明显弱项！"))</f>
        <v/>
      </c>
      <c r="AA709" s="5" t="str">
        <f>IF(T709="","", IF(U709&lt;=3, "⚠️ 薄弱环节: "&amp;INDEX($M$1:$S$1, MATCH(MIN(M709:S709), M709:S709, 0))&amp;CHAR(10)&amp;"📉 考察能力: "&amp;IFERROR(VLOOKUP(TRIM(D709)&amp;"_"&amp;TRIM(INDEX($M$1:$S$1, MATCH(MIN(M709:S709), M709:S709, 0))), 技能库!$A:$F, 5, 0),"建议查阅考纲")&amp;CHAR(10)&amp;"💡 提升建议: "&amp;IFERROR(VLOOKUP(TRIM(D709)&amp;"_"&amp;TRIM(INDEX($M$1:$S$1, MATCH(MIN(M709:S709), M709:S709, 0))), 技能库!$A:$F, 6, 0),"请针对该题型加强练习"), "🎉 表现优异，无明显弱项！"))</f>
        <v/>
      </c>
    </row>
    <row r="710" spans="10:27" ht="18" hidden="1" customHeight="1" x14ac:dyDescent="0.2">
      <c r="J710" t="str">
        <f t="shared" si="33"/>
        <v/>
      </c>
      <c r="K710" t="str">
        <f>IF(J710="","", IFERROR(VLOOKUP(J710, IF(D710="Movers", 换算标准!$C:$D, 换算标准!$I:$J), 2, TRUE), 0))</f>
        <v/>
      </c>
      <c r="T710" t="str">
        <f t="shared" si="34"/>
        <v/>
      </c>
      <c r="U710" t="str">
        <f>IF(T710="","", IFERROR(VLOOKUP(T710, IF(D710="Movers", 换算标准!$A:$B, 换算标准!$G:$H), 2, TRUE), 0))</f>
        <v/>
      </c>
      <c r="W710" t="str">
        <f t="shared" si="35"/>
        <v/>
      </c>
      <c r="Z710" s="5" t="str">
        <f>IF(J710="","", IF(K710&lt;=3, "⚠️ 薄弱环节: "&amp;INDEX($E$1:$I$1, MATCH(MIN(E710:I710), E710:I710, 0))&amp;CHAR(10)&amp;"📉 考察能力: "&amp;IFERROR(VLOOKUP(TRIM(D710)&amp;"_"&amp;TRIM(INDEX($E$1:$I$1, MATCH(MIN(E710:I710), E710:I710, 0))), 技能库!$A:$F, 5, 0),"建议查阅考纲")&amp;CHAR(10)&amp;"💡 提升建议: "&amp;IFERROR(VLOOKUP(TRIM(D710)&amp;"_"&amp;TRIM(INDEX($E$1:$I$1, MATCH(MIN(E710:I710), E710:I710, 0))), 技能库!$A:$F, 6, 0),"请针对该题型加强练习"), "🎉 表现优异，无明显弱项！"))</f>
        <v/>
      </c>
      <c r="AA710" s="5" t="str">
        <f>IF(T710="","", IF(U710&lt;=3, "⚠️ 薄弱环节: "&amp;INDEX($M$1:$S$1, MATCH(MIN(M710:S710), M710:S710, 0))&amp;CHAR(10)&amp;"📉 考察能力: "&amp;IFERROR(VLOOKUP(TRIM(D710)&amp;"_"&amp;TRIM(INDEX($M$1:$S$1, MATCH(MIN(M710:S710), M710:S710, 0))), 技能库!$A:$F, 5, 0),"建议查阅考纲")&amp;CHAR(10)&amp;"💡 提升建议: "&amp;IFERROR(VLOOKUP(TRIM(D710)&amp;"_"&amp;TRIM(INDEX($M$1:$S$1, MATCH(MIN(M710:S710), M710:S710, 0))), 技能库!$A:$F, 6, 0),"请针对该题型加强练习"), "🎉 表现优异，无明显弱项！"))</f>
        <v/>
      </c>
    </row>
    <row r="711" spans="10:27" ht="18" hidden="1" customHeight="1" x14ac:dyDescent="0.2">
      <c r="J711" t="str">
        <f t="shared" si="33"/>
        <v/>
      </c>
      <c r="K711" t="str">
        <f>IF(J711="","", IFERROR(VLOOKUP(J711, IF(D711="Movers", 换算标准!$C:$D, 换算标准!$I:$J), 2, TRUE), 0))</f>
        <v/>
      </c>
      <c r="T711" t="str">
        <f t="shared" si="34"/>
        <v/>
      </c>
      <c r="U711" t="str">
        <f>IF(T711="","", IFERROR(VLOOKUP(T711, IF(D711="Movers", 换算标准!$A:$B, 换算标准!$G:$H), 2, TRUE), 0))</f>
        <v/>
      </c>
      <c r="W711" t="str">
        <f t="shared" si="35"/>
        <v/>
      </c>
      <c r="Z711" s="5" t="str">
        <f>IF(J711="","", IF(K711&lt;=3, "⚠️ 薄弱环节: "&amp;INDEX($E$1:$I$1, MATCH(MIN(E711:I711), E711:I711, 0))&amp;CHAR(10)&amp;"📉 考察能力: "&amp;IFERROR(VLOOKUP(TRIM(D711)&amp;"_"&amp;TRIM(INDEX($E$1:$I$1, MATCH(MIN(E711:I711), E711:I711, 0))), 技能库!$A:$F, 5, 0),"建议查阅考纲")&amp;CHAR(10)&amp;"💡 提升建议: "&amp;IFERROR(VLOOKUP(TRIM(D711)&amp;"_"&amp;TRIM(INDEX($E$1:$I$1, MATCH(MIN(E711:I711), E711:I711, 0))), 技能库!$A:$F, 6, 0),"请针对该题型加强练习"), "🎉 表现优异，无明显弱项！"))</f>
        <v/>
      </c>
      <c r="AA711" s="5" t="str">
        <f>IF(T711="","", IF(U711&lt;=3, "⚠️ 薄弱环节: "&amp;INDEX($M$1:$S$1, MATCH(MIN(M711:S711), M711:S711, 0))&amp;CHAR(10)&amp;"📉 考察能力: "&amp;IFERROR(VLOOKUP(TRIM(D711)&amp;"_"&amp;TRIM(INDEX($M$1:$S$1, MATCH(MIN(M711:S711), M711:S711, 0))), 技能库!$A:$F, 5, 0),"建议查阅考纲")&amp;CHAR(10)&amp;"💡 提升建议: "&amp;IFERROR(VLOOKUP(TRIM(D711)&amp;"_"&amp;TRIM(INDEX($M$1:$S$1, MATCH(MIN(M711:S711), M711:S711, 0))), 技能库!$A:$F, 6, 0),"请针对该题型加强练习"), "🎉 表现优异，无明显弱项！"))</f>
        <v/>
      </c>
    </row>
    <row r="712" spans="10:27" ht="18" hidden="1" customHeight="1" x14ac:dyDescent="0.2">
      <c r="J712" t="str">
        <f t="shared" si="33"/>
        <v/>
      </c>
      <c r="K712" t="str">
        <f>IF(J712="","", IFERROR(VLOOKUP(J712, IF(D712="Movers", 换算标准!$C:$D, 换算标准!$I:$J), 2, TRUE), 0))</f>
        <v/>
      </c>
      <c r="T712" t="str">
        <f t="shared" si="34"/>
        <v/>
      </c>
      <c r="U712" t="str">
        <f>IF(T712="","", IFERROR(VLOOKUP(T712, IF(D712="Movers", 换算标准!$A:$B, 换算标准!$G:$H), 2, TRUE), 0))</f>
        <v/>
      </c>
      <c r="W712" t="str">
        <f t="shared" si="35"/>
        <v/>
      </c>
      <c r="Z712" s="5" t="str">
        <f>IF(J712="","", IF(K712&lt;=3, "⚠️ 薄弱环节: "&amp;INDEX($E$1:$I$1, MATCH(MIN(E712:I712), E712:I712, 0))&amp;CHAR(10)&amp;"📉 考察能力: "&amp;IFERROR(VLOOKUP(TRIM(D712)&amp;"_"&amp;TRIM(INDEX($E$1:$I$1, MATCH(MIN(E712:I712), E712:I712, 0))), 技能库!$A:$F, 5, 0),"建议查阅考纲")&amp;CHAR(10)&amp;"💡 提升建议: "&amp;IFERROR(VLOOKUP(TRIM(D712)&amp;"_"&amp;TRIM(INDEX($E$1:$I$1, MATCH(MIN(E712:I712), E712:I712, 0))), 技能库!$A:$F, 6, 0),"请针对该题型加强练习"), "🎉 表现优异，无明显弱项！"))</f>
        <v/>
      </c>
      <c r="AA712" s="5" t="str">
        <f>IF(T712="","", IF(U712&lt;=3, "⚠️ 薄弱环节: "&amp;INDEX($M$1:$S$1, MATCH(MIN(M712:S712), M712:S712, 0))&amp;CHAR(10)&amp;"📉 考察能力: "&amp;IFERROR(VLOOKUP(TRIM(D712)&amp;"_"&amp;TRIM(INDEX($M$1:$S$1, MATCH(MIN(M712:S712), M712:S712, 0))), 技能库!$A:$F, 5, 0),"建议查阅考纲")&amp;CHAR(10)&amp;"💡 提升建议: "&amp;IFERROR(VLOOKUP(TRIM(D712)&amp;"_"&amp;TRIM(INDEX($M$1:$S$1, MATCH(MIN(M712:S712), M712:S712, 0))), 技能库!$A:$F, 6, 0),"请针对该题型加强练习"), "🎉 表现优异，无明显弱项！"))</f>
        <v/>
      </c>
    </row>
    <row r="713" spans="10:27" ht="18" hidden="1" customHeight="1" x14ac:dyDescent="0.2">
      <c r="J713" t="str">
        <f t="shared" si="33"/>
        <v/>
      </c>
      <c r="K713" t="str">
        <f>IF(J713="","", IFERROR(VLOOKUP(J713, IF(D713="Movers", 换算标准!$C:$D, 换算标准!$I:$J), 2, TRUE), 0))</f>
        <v/>
      </c>
      <c r="T713" t="str">
        <f t="shared" si="34"/>
        <v/>
      </c>
      <c r="U713" t="str">
        <f>IF(T713="","", IFERROR(VLOOKUP(T713, IF(D713="Movers", 换算标准!$A:$B, 换算标准!$G:$H), 2, TRUE), 0))</f>
        <v/>
      </c>
      <c r="W713" t="str">
        <f t="shared" si="35"/>
        <v/>
      </c>
      <c r="Z713" s="5" t="str">
        <f>IF(J713="","", IF(K713&lt;=3, "⚠️ 薄弱环节: "&amp;INDEX($E$1:$I$1, MATCH(MIN(E713:I713), E713:I713, 0))&amp;CHAR(10)&amp;"📉 考察能力: "&amp;IFERROR(VLOOKUP(TRIM(D713)&amp;"_"&amp;TRIM(INDEX($E$1:$I$1, MATCH(MIN(E713:I713), E713:I713, 0))), 技能库!$A:$F, 5, 0),"建议查阅考纲")&amp;CHAR(10)&amp;"💡 提升建议: "&amp;IFERROR(VLOOKUP(TRIM(D713)&amp;"_"&amp;TRIM(INDEX($E$1:$I$1, MATCH(MIN(E713:I713), E713:I713, 0))), 技能库!$A:$F, 6, 0),"请针对该题型加强练习"), "🎉 表现优异，无明显弱项！"))</f>
        <v/>
      </c>
      <c r="AA713" s="5" t="str">
        <f>IF(T713="","", IF(U713&lt;=3, "⚠️ 薄弱环节: "&amp;INDEX($M$1:$S$1, MATCH(MIN(M713:S713), M713:S713, 0))&amp;CHAR(10)&amp;"📉 考察能力: "&amp;IFERROR(VLOOKUP(TRIM(D713)&amp;"_"&amp;TRIM(INDEX($M$1:$S$1, MATCH(MIN(M713:S713), M713:S713, 0))), 技能库!$A:$F, 5, 0),"建议查阅考纲")&amp;CHAR(10)&amp;"💡 提升建议: "&amp;IFERROR(VLOOKUP(TRIM(D713)&amp;"_"&amp;TRIM(INDEX($M$1:$S$1, MATCH(MIN(M713:S713), M713:S713, 0))), 技能库!$A:$F, 6, 0),"请针对该题型加强练习"), "🎉 表现优异，无明显弱项！"))</f>
        <v/>
      </c>
    </row>
    <row r="714" spans="10:27" ht="18" hidden="1" customHeight="1" x14ac:dyDescent="0.2">
      <c r="J714" t="str">
        <f t="shared" si="33"/>
        <v/>
      </c>
      <c r="K714" t="str">
        <f>IF(J714="","", IFERROR(VLOOKUP(J714, IF(D714="Movers", 换算标准!$C:$D, 换算标准!$I:$J), 2, TRUE), 0))</f>
        <v/>
      </c>
      <c r="T714" t="str">
        <f t="shared" si="34"/>
        <v/>
      </c>
      <c r="U714" t="str">
        <f>IF(T714="","", IFERROR(VLOOKUP(T714, IF(D714="Movers", 换算标准!$A:$B, 换算标准!$G:$H), 2, TRUE), 0))</f>
        <v/>
      </c>
      <c r="W714" t="str">
        <f t="shared" si="35"/>
        <v/>
      </c>
      <c r="Z714" s="5" t="str">
        <f>IF(J714="","", IF(K714&lt;=3, "⚠️ 薄弱环节: "&amp;INDEX($E$1:$I$1, MATCH(MIN(E714:I714), E714:I714, 0))&amp;CHAR(10)&amp;"📉 考察能力: "&amp;IFERROR(VLOOKUP(TRIM(D714)&amp;"_"&amp;TRIM(INDEX($E$1:$I$1, MATCH(MIN(E714:I714), E714:I714, 0))), 技能库!$A:$F, 5, 0),"建议查阅考纲")&amp;CHAR(10)&amp;"💡 提升建议: "&amp;IFERROR(VLOOKUP(TRIM(D714)&amp;"_"&amp;TRIM(INDEX($E$1:$I$1, MATCH(MIN(E714:I714), E714:I714, 0))), 技能库!$A:$F, 6, 0),"请针对该题型加强练习"), "🎉 表现优异，无明显弱项！"))</f>
        <v/>
      </c>
      <c r="AA714" s="5" t="str">
        <f>IF(T714="","", IF(U714&lt;=3, "⚠️ 薄弱环节: "&amp;INDEX($M$1:$S$1, MATCH(MIN(M714:S714), M714:S714, 0))&amp;CHAR(10)&amp;"📉 考察能力: "&amp;IFERROR(VLOOKUP(TRIM(D714)&amp;"_"&amp;TRIM(INDEX($M$1:$S$1, MATCH(MIN(M714:S714), M714:S714, 0))), 技能库!$A:$F, 5, 0),"建议查阅考纲")&amp;CHAR(10)&amp;"💡 提升建议: "&amp;IFERROR(VLOOKUP(TRIM(D714)&amp;"_"&amp;TRIM(INDEX($M$1:$S$1, MATCH(MIN(M714:S714), M714:S714, 0))), 技能库!$A:$F, 6, 0),"请针对该题型加强练习"), "🎉 表现优异，无明显弱项！"))</f>
        <v/>
      </c>
    </row>
    <row r="715" spans="10:27" ht="18" hidden="1" customHeight="1" x14ac:dyDescent="0.2">
      <c r="J715" t="str">
        <f t="shared" si="33"/>
        <v/>
      </c>
      <c r="K715" t="str">
        <f>IF(J715="","", IFERROR(VLOOKUP(J715, IF(D715="Movers", 换算标准!$C:$D, 换算标准!$I:$J), 2, TRUE), 0))</f>
        <v/>
      </c>
      <c r="T715" t="str">
        <f t="shared" si="34"/>
        <v/>
      </c>
      <c r="U715" t="str">
        <f>IF(T715="","", IFERROR(VLOOKUP(T715, IF(D715="Movers", 换算标准!$A:$B, 换算标准!$G:$H), 2, TRUE), 0))</f>
        <v/>
      </c>
      <c r="W715" t="str">
        <f t="shared" si="35"/>
        <v/>
      </c>
      <c r="Z715" s="5" t="str">
        <f>IF(J715="","", IF(K715&lt;=3, "⚠️ 薄弱环节: "&amp;INDEX($E$1:$I$1, MATCH(MIN(E715:I715), E715:I715, 0))&amp;CHAR(10)&amp;"📉 考察能力: "&amp;IFERROR(VLOOKUP(TRIM(D715)&amp;"_"&amp;TRIM(INDEX($E$1:$I$1, MATCH(MIN(E715:I715), E715:I715, 0))), 技能库!$A:$F, 5, 0),"建议查阅考纲")&amp;CHAR(10)&amp;"💡 提升建议: "&amp;IFERROR(VLOOKUP(TRIM(D715)&amp;"_"&amp;TRIM(INDEX($E$1:$I$1, MATCH(MIN(E715:I715), E715:I715, 0))), 技能库!$A:$F, 6, 0),"请针对该题型加强练习"), "🎉 表现优异，无明显弱项！"))</f>
        <v/>
      </c>
      <c r="AA715" s="5" t="str">
        <f>IF(T715="","", IF(U715&lt;=3, "⚠️ 薄弱环节: "&amp;INDEX($M$1:$S$1, MATCH(MIN(M715:S715), M715:S715, 0))&amp;CHAR(10)&amp;"📉 考察能力: "&amp;IFERROR(VLOOKUP(TRIM(D715)&amp;"_"&amp;TRIM(INDEX($M$1:$S$1, MATCH(MIN(M715:S715), M715:S715, 0))), 技能库!$A:$F, 5, 0),"建议查阅考纲")&amp;CHAR(10)&amp;"💡 提升建议: "&amp;IFERROR(VLOOKUP(TRIM(D715)&amp;"_"&amp;TRIM(INDEX($M$1:$S$1, MATCH(MIN(M715:S715), M715:S715, 0))), 技能库!$A:$F, 6, 0),"请针对该题型加强练习"), "🎉 表现优异，无明显弱项！"))</f>
        <v/>
      </c>
    </row>
    <row r="716" spans="10:27" ht="18" hidden="1" customHeight="1" x14ac:dyDescent="0.2">
      <c r="J716" t="str">
        <f t="shared" si="33"/>
        <v/>
      </c>
      <c r="K716" t="str">
        <f>IF(J716="","", IFERROR(VLOOKUP(J716, IF(D716="Movers", 换算标准!$C:$D, 换算标准!$I:$J), 2, TRUE), 0))</f>
        <v/>
      </c>
      <c r="T716" t="str">
        <f t="shared" si="34"/>
        <v/>
      </c>
      <c r="U716" t="str">
        <f>IF(T716="","", IFERROR(VLOOKUP(T716, IF(D716="Movers", 换算标准!$A:$B, 换算标准!$G:$H), 2, TRUE), 0))</f>
        <v/>
      </c>
      <c r="W716" t="str">
        <f t="shared" si="35"/>
        <v/>
      </c>
      <c r="Z716" s="5" t="str">
        <f>IF(J716="","", IF(K716&lt;=3, "⚠️ 薄弱环节: "&amp;INDEX($E$1:$I$1, MATCH(MIN(E716:I716), E716:I716, 0))&amp;CHAR(10)&amp;"📉 考察能力: "&amp;IFERROR(VLOOKUP(TRIM(D716)&amp;"_"&amp;TRIM(INDEX($E$1:$I$1, MATCH(MIN(E716:I716), E716:I716, 0))), 技能库!$A:$F, 5, 0),"建议查阅考纲")&amp;CHAR(10)&amp;"💡 提升建议: "&amp;IFERROR(VLOOKUP(TRIM(D716)&amp;"_"&amp;TRIM(INDEX($E$1:$I$1, MATCH(MIN(E716:I716), E716:I716, 0))), 技能库!$A:$F, 6, 0),"请针对该题型加强练习"), "🎉 表现优异，无明显弱项！"))</f>
        <v/>
      </c>
      <c r="AA716" s="5" t="str">
        <f>IF(T716="","", IF(U716&lt;=3, "⚠️ 薄弱环节: "&amp;INDEX($M$1:$S$1, MATCH(MIN(M716:S716), M716:S716, 0))&amp;CHAR(10)&amp;"📉 考察能力: "&amp;IFERROR(VLOOKUP(TRIM(D716)&amp;"_"&amp;TRIM(INDEX($M$1:$S$1, MATCH(MIN(M716:S716), M716:S716, 0))), 技能库!$A:$F, 5, 0),"建议查阅考纲")&amp;CHAR(10)&amp;"💡 提升建议: "&amp;IFERROR(VLOOKUP(TRIM(D716)&amp;"_"&amp;TRIM(INDEX($M$1:$S$1, MATCH(MIN(M716:S716), M716:S716, 0))), 技能库!$A:$F, 6, 0),"请针对该题型加强练习"), "🎉 表现优异，无明显弱项！"))</f>
        <v/>
      </c>
    </row>
    <row r="717" spans="10:27" ht="18" hidden="1" customHeight="1" x14ac:dyDescent="0.2">
      <c r="J717" t="str">
        <f t="shared" si="33"/>
        <v/>
      </c>
      <c r="K717" t="str">
        <f>IF(J717="","", IFERROR(VLOOKUP(J717, IF(D717="Movers", 换算标准!$C:$D, 换算标准!$I:$J), 2, TRUE), 0))</f>
        <v/>
      </c>
      <c r="T717" t="str">
        <f t="shared" si="34"/>
        <v/>
      </c>
      <c r="U717" t="str">
        <f>IF(T717="","", IFERROR(VLOOKUP(T717, IF(D717="Movers", 换算标准!$A:$B, 换算标准!$G:$H), 2, TRUE), 0))</f>
        <v/>
      </c>
      <c r="W717" t="str">
        <f t="shared" si="35"/>
        <v/>
      </c>
      <c r="Z717" s="5" t="str">
        <f>IF(J717="","", IF(K717&lt;=3, "⚠️ 薄弱环节: "&amp;INDEX($E$1:$I$1, MATCH(MIN(E717:I717), E717:I717, 0))&amp;CHAR(10)&amp;"📉 考察能力: "&amp;IFERROR(VLOOKUP(TRIM(D717)&amp;"_"&amp;TRIM(INDEX($E$1:$I$1, MATCH(MIN(E717:I717), E717:I717, 0))), 技能库!$A:$F, 5, 0),"建议查阅考纲")&amp;CHAR(10)&amp;"💡 提升建议: "&amp;IFERROR(VLOOKUP(TRIM(D717)&amp;"_"&amp;TRIM(INDEX($E$1:$I$1, MATCH(MIN(E717:I717), E717:I717, 0))), 技能库!$A:$F, 6, 0),"请针对该题型加强练习"), "🎉 表现优异，无明显弱项！"))</f>
        <v/>
      </c>
      <c r="AA717" s="5" t="str">
        <f>IF(T717="","", IF(U717&lt;=3, "⚠️ 薄弱环节: "&amp;INDEX($M$1:$S$1, MATCH(MIN(M717:S717), M717:S717, 0))&amp;CHAR(10)&amp;"📉 考察能力: "&amp;IFERROR(VLOOKUP(TRIM(D717)&amp;"_"&amp;TRIM(INDEX($M$1:$S$1, MATCH(MIN(M717:S717), M717:S717, 0))), 技能库!$A:$F, 5, 0),"建议查阅考纲")&amp;CHAR(10)&amp;"💡 提升建议: "&amp;IFERROR(VLOOKUP(TRIM(D717)&amp;"_"&amp;TRIM(INDEX($M$1:$S$1, MATCH(MIN(M717:S717), M717:S717, 0))), 技能库!$A:$F, 6, 0),"请针对该题型加强练习"), "🎉 表现优异，无明显弱项！"))</f>
        <v/>
      </c>
    </row>
    <row r="718" spans="10:27" ht="18" hidden="1" customHeight="1" x14ac:dyDescent="0.2">
      <c r="J718" t="str">
        <f t="shared" si="33"/>
        <v/>
      </c>
      <c r="K718" t="str">
        <f>IF(J718="","", IFERROR(VLOOKUP(J718, IF(D718="Movers", 换算标准!$C:$D, 换算标准!$I:$J), 2, TRUE), 0))</f>
        <v/>
      </c>
      <c r="T718" t="str">
        <f t="shared" si="34"/>
        <v/>
      </c>
      <c r="U718" t="str">
        <f>IF(T718="","", IFERROR(VLOOKUP(T718, IF(D718="Movers", 换算标准!$A:$B, 换算标准!$G:$H), 2, TRUE), 0))</f>
        <v/>
      </c>
      <c r="W718" t="str">
        <f t="shared" si="35"/>
        <v/>
      </c>
      <c r="Z718" s="5" t="str">
        <f>IF(J718="","", IF(K718&lt;=3, "⚠️ 薄弱环节: "&amp;INDEX($E$1:$I$1, MATCH(MIN(E718:I718), E718:I718, 0))&amp;CHAR(10)&amp;"📉 考察能力: "&amp;IFERROR(VLOOKUP(TRIM(D718)&amp;"_"&amp;TRIM(INDEX($E$1:$I$1, MATCH(MIN(E718:I718), E718:I718, 0))), 技能库!$A:$F, 5, 0),"建议查阅考纲")&amp;CHAR(10)&amp;"💡 提升建议: "&amp;IFERROR(VLOOKUP(TRIM(D718)&amp;"_"&amp;TRIM(INDEX($E$1:$I$1, MATCH(MIN(E718:I718), E718:I718, 0))), 技能库!$A:$F, 6, 0),"请针对该题型加强练习"), "🎉 表现优异，无明显弱项！"))</f>
        <v/>
      </c>
      <c r="AA718" s="5" t="str">
        <f>IF(T718="","", IF(U718&lt;=3, "⚠️ 薄弱环节: "&amp;INDEX($M$1:$S$1, MATCH(MIN(M718:S718), M718:S718, 0))&amp;CHAR(10)&amp;"📉 考察能力: "&amp;IFERROR(VLOOKUP(TRIM(D718)&amp;"_"&amp;TRIM(INDEX($M$1:$S$1, MATCH(MIN(M718:S718), M718:S718, 0))), 技能库!$A:$F, 5, 0),"建议查阅考纲")&amp;CHAR(10)&amp;"💡 提升建议: "&amp;IFERROR(VLOOKUP(TRIM(D718)&amp;"_"&amp;TRIM(INDEX($M$1:$S$1, MATCH(MIN(M718:S718), M718:S718, 0))), 技能库!$A:$F, 6, 0),"请针对该题型加强练习"), "🎉 表现优异，无明显弱项！"))</f>
        <v/>
      </c>
    </row>
    <row r="719" spans="10:27" ht="18" hidden="1" customHeight="1" x14ac:dyDescent="0.2">
      <c r="J719" t="str">
        <f t="shared" si="33"/>
        <v/>
      </c>
      <c r="K719" t="str">
        <f>IF(J719="","", IFERROR(VLOOKUP(J719, IF(D719="Movers", 换算标准!$C:$D, 换算标准!$I:$J), 2, TRUE), 0))</f>
        <v/>
      </c>
      <c r="T719" t="str">
        <f t="shared" si="34"/>
        <v/>
      </c>
      <c r="U719" t="str">
        <f>IF(T719="","", IFERROR(VLOOKUP(T719, IF(D719="Movers", 换算标准!$A:$B, 换算标准!$G:$H), 2, TRUE), 0))</f>
        <v/>
      </c>
      <c r="W719" t="str">
        <f t="shared" si="35"/>
        <v/>
      </c>
      <c r="Z719" s="5" t="str">
        <f>IF(J719="","", IF(K719&lt;=3, "⚠️ 薄弱环节: "&amp;INDEX($E$1:$I$1, MATCH(MIN(E719:I719), E719:I719, 0))&amp;CHAR(10)&amp;"📉 考察能力: "&amp;IFERROR(VLOOKUP(TRIM(D719)&amp;"_"&amp;TRIM(INDEX($E$1:$I$1, MATCH(MIN(E719:I719), E719:I719, 0))), 技能库!$A:$F, 5, 0),"建议查阅考纲")&amp;CHAR(10)&amp;"💡 提升建议: "&amp;IFERROR(VLOOKUP(TRIM(D719)&amp;"_"&amp;TRIM(INDEX($E$1:$I$1, MATCH(MIN(E719:I719), E719:I719, 0))), 技能库!$A:$F, 6, 0),"请针对该题型加强练习"), "🎉 表现优异，无明显弱项！"))</f>
        <v/>
      </c>
      <c r="AA719" s="5" t="str">
        <f>IF(T719="","", IF(U719&lt;=3, "⚠️ 薄弱环节: "&amp;INDEX($M$1:$S$1, MATCH(MIN(M719:S719), M719:S719, 0))&amp;CHAR(10)&amp;"📉 考察能力: "&amp;IFERROR(VLOOKUP(TRIM(D719)&amp;"_"&amp;TRIM(INDEX($M$1:$S$1, MATCH(MIN(M719:S719), M719:S719, 0))), 技能库!$A:$F, 5, 0),"建议查阅考纲")&amp;CHAR(10)&amp;"💡 提升建议: "&amp;IFERROR(VLOOKUP(TRIM(D719)&amp;"_"&amp;TRIM(INDEX($M$1:$S$1, MATCH(MIN(M719:S719), M719:S719, 0))), 技能库!$A:$F, 6, 0),"请针对该题型加强练习"), "🎉 表现优异，无明显弱项！"))</f>
        <v/>
      </c>
    </row>
    <row r="720" spans="10:27" ht="18" hidden="1" customHeight="1" x14ac:dyDescent="0.2">
      <c r="J720" t="str">
        <f t="shared" si="33"/>
        <v/>
      </c>
      <c r="K720" t="str">
        <f>IF(J720="","", IFERROR(VLOOKUP(J720, IF(D720="Movers", 换算标准!$C:$D, 换算标准!$I:$J), 2, TRUE), 0))</f>
        <v/>
      </c>
      <c r="T720" t="str">
        <f t="shared" si="34"/>
        <v/>
      </c>
      <c r="U720" t="str">
        <f>IF(T720="","", IFERROR(VLOOKUP(T720, IF(D720="Movers", 换算标准!$A:$B, 换算标准!$G:$H), 2, TRUE), 0))</f>
        <v/>
      </c>
      <c r="W720" t="str">
        <f t="shared" si="35"/>
        <v/>
      </c>
      <c r="Z720" s="5" t="str">
        <f>IF(J720="","", IF(K720&lt;=3, "⚠️ 薄弱环节: "&amp;INDEX($E$1:$I$1, MATCH(MIN(E720:I720), E720:I720, 0))&amp;CHAR(10)&amp;"📉 考察能力: "&amp;IFERROR(VLOOKUP(TRIM(D720)&amp;"_"&amp;TRIM(INDEX($E$1:$I$1, MATCH(MIN(E720:I720), E720:I720, 0))), 技能库!$A:$F, 5, 0),"建议查阅考纲")&amp;CHAR(10)&amp;"💡 提升建议: "&amp;IFERROR(VLOOKUP(TRIM(D720)&amp;"_"&amp;TRIM(INDEX($E$1:$I$1, MATCH(MIN(E720:I720), E720:I720, 0))), 技能库!$A:$F, 6, 0),"请针对该题型加强练习"), "🎉 表现优异，无明显弱项！"))</f>
        <v/>
      </c>
      <c r="AA720" s="5" t="str">
        <f>IF(T720="","", IF(U720&lt;=3, "⚠️ 薄弱环节: "&amp;INDEX($M$1:$S$1, MATCH(MIN(M720:S720), M720:S720, 0))&amp;CHAR(10)&amp;"📉 考察能力: "&amp;IFERROR(VLOOKUP(TRIM(D720)&amp;"_"&amp;TRIM(INDEX($M$1:$S$1, MATCH(MIN(M720:S720), M720:S720, 0))), 技能库!$A:$F, 5, 0),"建议查阅考纲")&amp;CHAR(10)&amp;"💡 提升建议: "&amp;IFERROR(VLOOKUP(TRIM(D720)&amp;"_"&amp;TRIM(INDEX($M$1:$S$1, MATCH(MIN(M720:S720), M720:S720, 0))), 技能库!$A:$F, 6, 0),"请针对该题型加强练习"), "🎉 表现优异，无明显弱项！"))</f>
        <v/>
      </c>
    </row>
    <row r="721" spans="10:27" ht="18" hidden="1" customHeight="1" x14ac:dyDescent="0.2">
      <c r="J721" t="str">
        <f t="shared" si="33"/>
        <v/>
      </c>
      <c r="K721" t="str">
        <f>IF(J721="","", IFERROR(VLOOKUP(J721, IF(D721="Movers", 换算标准!$C:$D, 换算标准!$I:$J), 2, TRUE), 0))</f>
        <v/>
      </c>
      <c r="T721" t="str">
        <f t="shared" si="34"/>
        <v/>
      </c>
      <c r="U721" t="str">
        <f>IF(T721="","", IFERROR(VLOOKUP(T721, IF(D721="Movers", 换算标准!$A:$B, 换算标准!$G:$H), 2, TRUE), 0))</f>
        <v/>
      </c>
      <c r="W721" t="str">
        <f t="shared" si="35"/>
        <v/>
      </c>
      <c r="Z721" s="5" t="str">
        <f>IF(J721="","", IF(K721&lt;=3, "⚠️ 薄弱环节: "&amp;INDEX($E$1:$I$1, MATCH(MIN(E721:I721), E721:I721, 0))&amp;CHAR(10)&amp;"📉 考察能力: "&amp;IFERROR(VLOOKUP(TRIM(D721)&amp;"_"&amp;TRIM(INDEX($E$1:$I$1, MATCH(MIN(E721:I721), E721:I721, 0))), 技能库!$A:$F, 5, 0),"建议查阅考纲")&amp;CHAR(10)&amp;"💡 提升建议: "&amp;IFERROR(VLOOKUP(TRIM(D721)&amp;"_"&amp;TRIM(INDEX($E$1:$I$1, MATCH(MIN(E721:I721), E721:I721, 0))), 技能库!$A:$F, 6, 0),"请针对该题型加强练习"), "🎉 表现优异，无明显弱项！"))</f>
        <v/>
      </c>
      <c r="AA721" s="5" t="str">
        <f>IF(T721="","", IF(U721&lt;=3, "⚠️ 薄弱环节: "&amp;INDEX($M$1:$S$1, MATCH(MIN(M721:S721), M721:S721, 0))&amp;CHAR(10)&amp;"📉 考察能力: "&amp;IFERROR(VLOOKUP(TRIM(D721)&amp;"_"&amp;TRIM(INDEX($M$1:$S$1, MATCH(MIN(M721:S721), M721:S721, 0))), 技能库!$A:$F, 5, 0),"建议查阅考纲")&amp;CHAR(10)&amp;"💡 提升建议: "&amp;IFERROR(VLOOKUP(TRIM(D721)&amp;"_"&amp;TRIM(INDEX($M$1:$S$1, MATCH(MIN(M721:S721), M721:S721, 0))), 技能库!$A:$F, 6, 0),"请针对该题型加强练习"), "🎉 表现优异，无明显弱项！"))</f>
        <v/>
      </c>
    </row>
    <row r="722" spans="10:27" ht="18" hidden="1" customHeight="1" x14ac:dyDescent="0.2">
      <c r="J722" t="str">
        <f t="shared" si="33"/>
        <v/>
      </c>
      <c r="K722" t="str">
        <f>IF(J722="","", IFERROR(VLOOKUP(J722, IF(D722="Movers", 换算标准!$C:$D, 换算标准!$I:$J), 2, TRUE), 0))</f>
        <v/>
      </c>
      <c r="T722" t="str">
        <f t="shared" si="34"/>
        <v/>
      </c>
      <c r="U722" t="str">
        <f>IF(T722="","", IFERROR(VLOOKUP(T722, IF(D722="Movers", 换算标准!$A:$B, 换算标准!$G:$H), 2, TRUE), 0))</f>
        <v/>
      </c>
      <c r="W722" t="str">
        <f t="shared" si="35"/>
        <v/>
      </c>
      <c r="Z722" s="5" t="str">
        <f>IF(J722="","", IF(K722&lt;=3, "⚠️ 薄弱环节: "&amp;INDEX($E$1:$I$1, MATCH(MIN(E722:I722), E722:I722, 0))&amp;CHAR(10)&amp;"📉 考察能力: "&amp;IFERROR(VLOOKUP(TRIM(D722)&amp;"_"&amp;TRIM(INDEX($E$1:$I$1, MATCH(MIN(E722:I722), E722:I722, 0))), 技能库!$A:$F, 5, 0),"建议查阅考纲")&amp;CHAR(10)&amp;"💡 提升建议: "&amp;IFERROR(VLOOKUP(TRIM(D722)&amp;"_"&amp;TRIM(INDEX($E$1:$I$1, MATCH(MIN(E722:I722), E722:I722, 0))), 技能库!$A:$F, 6, 0),"请针对该题型加强练习"), "🎉 表现优异，无明显弱项！"))</f>
        <v/>
      </c>
      <c r="AA722" s="5" t="str">
        <f>IF(T722="","", IF(U722&lt;=3, "⚠️ 薄弱环节: "&amp;INDEX($M$1:$S$1, MATCH(MIN(M722:S722), M722:S722, 0))&amp;CHAR(10)&amp;"📉 考察能力: "&amp;IFERROR(VLOOKUP(TRIM(D722)&amp;"_"&amp;TRIM(INDEX($M$1:$S$1, MATCH(MIN(M722:S722), M722:S722, 0))), 技能库!$A:$F, 5, 0),"建议查阅考纲")&amp;CHAR(10)&amp;"💡 提升建议: "&amp;IFERROR(VLOOKUP(TRIM(D722)&amp;"_"&amp;TRIM(INDEX($M$1:$S$1, MATCH(MIN(M722:S722), M722:S722, 0))), 技能库!$A:$F, 6, 0),"请针对该题型加强练习"), "🎉 表现优异，无明显弱项！"))</f>
        <v/>
      </c>
    </row>
    <row r="723" spans="10:27" ht="18" hidden="1" customHeight="1" x14ac:dyDescent="0.2">
      <c r="J723" t="str">
        <f t="shared" si="33"/>
        <v/>
      </c>
      <c r="K723" t="str">
        <f>IF(J723="","", IFERROR(VLOOKUP(J723, IF(D723="Movers", 换算标准!$C:$D, 换算标准!$I:$J), 2, TRUE), 0))</f>
        <v/>
      </c>
      <c r="T723" t="str">
        <f t="shared" si="34"/>
        <v/>
      </c>
      <c r="U723" t="str">
        <f>IF(T723="","", IFERROR(VLOOKUP(T723, IF(D723="Movers", 换算标准!$A:$B, 换算标准!$G:$H), 2, TRUE), 0))</f>
        <v/>
      </c>
      <c r="W723" t="str">
        <f t="shared" si="35"/>
        <v/>
      </c>
      <c r="Z723" s="5" t="str">
        <f>IF(J723="","", IF(K723&lt;=3, "⚠️ 薄弱环节: "&amp;INDEX($E$1:$I$1, MATCH(MIN(E723:I723), E723:I723, 0))&amp;CHAR(10)&amp;"📉 考察能力: "&amp;IFERROR(VLOOKUP(TRIM(D723)&amp;"_"&amp;TRIM(INDEX($E$1:$I$1, MATCH(MIN(E723:I723), E723:I723, 0))), 技能库!$A:$F, 5, 0),"建议查阅考纲")&amp;CHAR(10)&amp;"💡 提升建议: "&amp;IFERROR(VLOOKUP(TRIM(D723)&amp;"_"&amp;TRIM(INDEX($E$1:$I$1, MATCH(MIN(E723:I723), E723:I723, 0))), 技能库!$A:$F, 6, 0),"请针对该题型加强练习"), "🎉 表现优异，无明显弱项！"))</f>
        <v/>
      </c>
      <c r="AA723" s="5" t="str">
        <f>IF(T723="","", IF(U723&lt;=3, "⚠️ 薄弱环节: "&amp;INDEX($M$1:$S$1, MATCH(MIN(M723:S723), M723:S723, 0))&amp;CHAR(10)&amp;"📉 考察能力: "&amp;IFERROR(VLOOKUP(TRIM(D723)&amp;"_"&amp;TRIM(INDEX($M$1:$S$1, MATCH(MIN(M723:S723), M723:S723, 0))), 技能库!$A:$F, 5, 0),"建议查阅考纲")&amp;CHAR(10)&amp;"💡 提升建议: "&amp;IFERROR(VLOOKUP(TRIM(D723)&amp;"_"&amp;TRIM(INDEX($M$1:$S$1, MATCH(MIN(M723:S723), M723:S723, 0))), 技能库!$A:$F, 6, 0),"请针对该题型加强练习"), "🎉 表现优异，无明显弱项！"))</f>
        <v/>
      </c>
    </row>
    <row r="724" spans="10:27" ht="18" hidden="1" customHeight="1" x14ac:dyDescent="0.2">
      <c r="J724" t="str">
        <f t="shared" si="33"/>
        <v/>
      </c>
      <c r="K724" t="str">
        <f>IF(J724="","", IFERROR(VLOOKUP(J724, IF(D724="Movers", 换算标准!$C:$D, 换算标准!$I:$J), 2, TRUE), 0))</f>
        <v/>
      </c>
      <c r="T724" t="str">
        <f t="shared" si="34"/>
        <v/>
      </c>
      <c r="U724" t="str">
        <f>IF(T724="","", IFERROR(VLOOKUP(T724, IF(D724="Movers", 换算标准!$A:$B, 换算标准!$G:$H), 2, TRUE), 0))</f>
        <v/>
      </c>
      <c r="W724" t="str">
        <f t="shared" si="35"/>
        <v/>
      </c>
      <c r="Z724" s="5" t="str">
        <f>IF(J724="","", IF(K724&lt;=3, "⚠️ 薄弱环节: "&amp;INDEX($E$1:$I$1, MATCH(MIN(E724:I724), E724:I724, 0))&amp;CHAR(10)&amp;"📉 考察能力: "&amp;IFERROR(VLOOKUP(TRIM(D724)&amp;"_"&amp;TRIM(INDEX($E$1:$I$1, MATCH(MIN(E724:I724), E724:I724, 0))), 技能库!$A:$F, 5, 0),"建议查阅考纲")&amp;CHAR(10)&amp;"💡 提升建议: "&amp;IFERROR(VLOOKUP(TRIM(D724)&amp;"_"&amp;TRIM(INDEX($E$1:$I$1, MATCH(MIN(E724:I724), E724:I724, 0))), 技能库!$A:$F, 6, 0),"请针对该题型加强练习"), "🎉 表现优异，无明显弱项！"))</f>
        <v/>
      </c>
      <c r="AA724" s="5" t="str">
        <f>IF(T724="","", IF(U724&lt;=3, "⚠️ 薄弱环节: "&amp;INDEX($M$1:$S$1, MATCH(MIN(M724:S724), M724:S724, 0))&amp;CHAR(10)&amp;"📉 考察能力: "&amp;IFERROR(VLOOKUP(TRIM(D724)&amp;"_"&amp;TRIM(INDEX($M$1:$S$1, MATCH(MIN(M724:S724), M724:S724, 0))), 技能库!$A:$F, 5, 0),"建议查阅考纲")&amp;CHAR(10)&amp;"💡 提升建议: "&amp;IFERROR(VLOOKUP(TRIM(D724)&amp;"_"&amp;TRIM(INDEX($M$1:$S$1, MATCH(MIN(M724:S724), M724:S724, 0))), 技能库!$A:$F, 6, 0),"请针对该题型加强练习"), "🎉 表现优异，无明显弱项！"))</f>
        <v/>
      </c>
    </row>
    <row r="725" spans="10:27" ht="18" hidden="1" customHeight="1" x14ac:dyDescent="0.2">
      <c r="J725" t="str">
        <f t="shared" si="33"/>
        <v/>
      </c>
      <c r="K725" t="str">
        <f>IF(J725="","", IFERROR(VLOOKUP(J725, IF(D725="Movers", 换算标准!$C:$D, 换算标准!$I:$J), 2, TRUE), 0))</f>
        <v/>
      </c>
      <c r="T725" t="str">
        <f t="shared" si="34"/>
        <v/>
      </c>
      <c r="U725" t="str">
        <f>IF(T725="","", IFERROR(VLOOKUP(T725, IF(D725="Movers", 换算标准!$A:$B, 换算标准!$G:$H), 2, TRUE), 0))</f>
        <v/>
      </c>
      <c r="W725" t="str">
        <f t="shared" si="35"/>
        <v/>
      </c>
      <c r="Z725" s="5" t="str">
        <f>IF(J725="","", IF(K725&lt;=3, "⚠️ 薄弱环节: "&amp;INDEX($E$1:$I$1, MATCH(MIN(E725:I725), E725:I725, 0))&amp;CHAR(10)&amp;"📉 考察能力: "&amp;IFERROR(VLOOKUP(TRIM(D725)&amp;"_"&amp;TRIM(INDEX($E$1:$I$1, MATCH(MIN(E725:I725), E725:I725, 0))), 技能库!$A:$F, 5, 0),"建议查阅考纲")&amp;CHAR(10)&amp;"💡 提升建议: "&amp;IFERROR(VLOOKUP(TRIM(D725)&amp;"_"&amp;TRIM(INDEX($E$1:$I$1, MATCH(MIN(E725:I725), E725:I725, 0))), 技能库!$A:$F, 6, 0),"请针对该题型加强练习"), "🎉 表现优异，无明显弱项！"))</f>
        <v/>
      </c>
      <c r="AA725" s="5" t="str">
        <f>IF(T725="","", IF(U725&lt;=3, "⚠️ 薄弱环节: "&amp;INDEX($M$1:$S$1, MATCH(MIN(M725:S725), M725:S725, 0))&amp;CHAR(10)&amp;"📉 考察能力: "&amp;IFERROR(VLOOKUP(TRIM(D725)&amp;"_"&amp;TRIM(INDEX($M$1:$S$1, MATCH(MIN(M725:S725), M725:S725, 0))), 技能库!$A:$F, 5, 0),"建议查阅考纲")&amp;CHAR(10)&amp;"💡 提升建议: "&amp;IFERROR(VLOOKUP(TRIM(D725)&amp;"_"&amp;TRIM(INDEX($M$1:$S$1, MATCH(MIN(M725:S725), M725:S725, 0))), 技能库!$A:$F, 6, 0),"请针对该题型加强练习"), "🎉 表现优异，无明显弱项！"))</f>
        <v/>
      </c>
    </row>
    <row r="726" spans="10:27" ht="18" hidden="1" customHeight="1" x14ac:dyDescent="0.2">
      <c r="J726" t="str">
        <f t="shared" si="33"/>
        <v/>
      </c>
      <c r="K726" t="str">
        <f>IF(J726="","", IFERROR(VLOOKUP(J726, IF(D726="Movers", 换算标准!$C:$D, 换算标准!$I:$J), 2, TRUE), 0))</f>
        <v/>
      </c>
      <c r="T726" t="str">
        <f t="shared" si="34"/>
        <v/>
      </c>
      <c r="U726" t="str">
        <f>IF(T726="","", IFERROR(VLOOKUP(T726, IF(D726="Movers", 换算标准!$A:$B, 换算标准!$G:$H), 2, TRUE), 0))</f>
        <v/>
      </c>
      <c r="W726" t="str">
        <f t="shared" si="35"/>
        <v/>
      </c>
      <c r="Z726" s="5" t="str">
        <f>IF(J726="","", IF(K726&lt;=3, "⚠️ 薄弱环节: "&amp;INDEX($E$1:$I$1, MATCH(MIN(E726:I726), E726:I726, 0))&amp;CHAR(10)&amp;"📉 考察能力: "&amp;IFERROR(VLOOKUP(TRIM(D726)&amp;"_"&amp;TRIM(INDEX($E$1:$I$1, MATCH(MIN(E726:I726), E726:I726, 0))), 技能库!$A:$F, 5, 0),"建议查阅考纲")&amp;CHAR(10)&amp;"💡 提升建议: "&amp;IFERROR(VLOOKUP(TRIM(D726)&amp;"_"&amp;TRIM(INDEX($E$1:$I$1, MATCH(MIN(E726:I726), E726:I726, 0))), 技能库!$A:$F, 6, 0),"请针对该题型加强练习"), "🎉 表现优异，无明显弱项！"))</f>
        <v/>
      </c>
      <c r="AA726" s="5" t="str">
        <f>IF(T726="","", IF(U726&lt;=3, "⚠️ 薄弱环节: "&amp;INDEX($M$1:$S$1, MATCH(MIN(M726:S726), M726:S726, 0))&amp;CHAR(10)&amp;"📉 考察能力: "&amp;IFERROR(VLOOKUP(TRIM(D726)&amp;"_"&amp;TRIM(INDEX($M$1:$S$1, MATCH(MIN(M726:S726), M726:S726, 0))), 技能库!$A:$F, 5, 0),"建议查阅考纲")&amp;CHAR(10)&amp;"💡 提升建议: "&amp;IFERROR(VLOOKUP(TRIM(D726)&amp;"_"&amp;TRIM(INDEX($M$1:$S$1, MATCH(MIN(M726:S726), M726:S726, 0))), 技能库!$A:$F, 6, 0),"请针对该题型加强练习"), "🎉 表现优异，无明显弱项！"))</f>
        <v/>
      </c>
    </row>
    <row r="727" spans="10:27" ht="18" hidden="1" customHeight="1" x14ac:dyDescent="0.2">
      <c r="J727" t="str">
        <f t="shared" si="33"/>
        <v/>
      </c>
      <c r="K727" t="str">
        <f>IF(J727="","", IFERROR(VLOOKUP(J727, IF(D727="Movers", 换算标准!$C:$D, 换算标准!$I:$J), 2, TRUE), 0))</f>
        <v/>
      </c>
      <c r="T727" t="str">
        <f t="shared" si="34"/>
        <v/>
      </c>
      <c r="U727" t="str">
        <f>IF(T727="","", IFERROR(VLOOKUP(T727, IF(D727="Movers", 换算标准!$A:$B, 换算标准!$G:$H), 2, TRUE), 0))</f>
        <v/>
      </c>
      <c r="W727" t="str">
        <f t="shared" si="35"/>
        <v/>
      </c>
      <c r="Z727" s="5" t="str">
        <f>IF(J727="","", IF(K727&lt;=3, "⚠️ 薄弱环节: "&amp;INDEX($E$1:$I$1, MATCH(MIN(E727:I727), E727:I727, 0))&amp;CHAR(10)&amp;"📉 考察能力: "&amp;IFERROR(VLOOKUP(TRIM(D727)&amp;"_"&amp;TRIM(INDEX($E$1:$I$1, MATCH(MIN(E727:I727), E727:I727, 0))), 技能库!$A:$F, 5, 0),"建议查阅考纲")&amp;CHAR(10)&amp;"💡 提升建议: "&amp;IFERROR(VLOOKUP(TRIM(D727)&amp;"_"&amp;TRIM(INDEX($E$1:$I$1, MATCH(MIN(E727:I727), E727:I727, 0))), 技能库!$A:$F, 6, 0),"请针对该题型加强练习"), "🎉 表现优异，无明显弱项！"))</f>
        <v/>
      </c>
      <c r="AA727" s="5" t="str">
        <f>IF(T727="","", IF(U727&lt;=3, "⚠️ 薄弱环节: "&amp;INDEX($M$1:$S$1, MATCH(MIN(M727:S727), M727:S727, 0))&amp;CHAR(10)&amp;"📉 考察能力: "&amp;IFERROR(VLOOKUP(TRIM(D727)&amp;"_"&amp;TRIM(INDEX($M$1:$S$1, MATCH(MIN(M727:S727), M727:S727, 0))), 技能库!$A:$F, 5, 0),"建议查阅考纲")&amp;CHAR(10)&amp;"💡 提升建议: "&amp;IFERROR(VLOOKUP(TRIM(D727)&amp;"_"&amp;TRIM(INDEX($M$1:$S$1, MATCH(MIN(M727:S727), M727:S727, 0))), 技能库!$A:$F, 6, 0),"请针对该题型加强练习"), "🎉 表现优异，无明显弱项！"))</f>
        <v/>
      </c>
    </row>
    <row r="728" spans="10:27" ht="18" hidden="1" customHeight="1" x14ac:dyDescent="0.2">
      <c r="J728" t="str">
        <f t="shared" si="33"/>
        <v/>
      </c>
      <c r="K728" t="str">
        <f>IF(J728="","", IFERROR(VLOOKUP(J728, IF(D728="Movers", 换算标准!$C:$D, 换算标准!$I:$J), 2, TRUE), 0))</f>
        <v/>
      </c>
      <c r="T728" t="str">
        <f t="shared" si="34"/>
        <v/>
      </c>
      <c r="U728" t="str">
        <f>IF(T728="","", IFERROR(VLOOKUP(T728, IF(D728="Movers", 换算标准!$A:$B, 换算标准!$G:$H), 2, TRUE), 0))</f>
        <v/>
      </c>
      <c r="W728" t="str">
        <f t="shared" si="35"/>
        <v/>
      </c>
      <c r="Z728" s="5" t="str">
        <f>IF(J728="","", IF(K728&lt;=3, "⚠️ 薄弱环节: "&amp;INDEX($E$1:$I$1, MATCH(MIN(E728:I728), E728:I728, 0))&amp;CHAR(10)&amp;"📉 考察能力: "&amp;IFERROR(VLOOKUP(TRIM(D728)&amp;"_"&amp;TRIM(INDEX($E$1:$I$1, MATCH(MIN(E728:I728), E728:I728, 0))), 技能库!$A:$F, 5, 0),"建议查阅考纲")&amp;CHAR(10)&amp;"💡 提升建议: "&amp;IFERROR(VLOOKUP(TRIM(D728)&amp;"_"&amp;TRIM(INDEX($E$1:$I$1, MATCH(MIN(E728:I728), E728:I728, 0))), 技能库!$A:$F, 6, 0),"请针对该题型加强练习"), "🎉 表现优异，无明显弱项！"))</f>
        <v/>
      </c>
      <c r="AA728" s="5" t="str">
        <f>IF(T728="","", IF(U728&lt;=3, "⚠️ 薄弱环节: "&amp;INDEX($M$1:$S$1, MATCH(MIN(M728:S728), M728:S728, 0))&amp;CHAR(10)&amp;"📉 考察能力: "&amp;IFERROR(VLOOKUP(TRIM(D728)&amp;"_"&amp;TRIM(INDEX($M$1:$S$1, MATCH(MIN(M728:S728), M728:S728, 0))), 技能库!$A:$F, 5, 0),"建议查阅考纲")&amp;CHAR(10)&amp;"💡 提升建议: "&amp;IFERROR(VLOOKUP(TRIM(D728)&amp;"_"&amp;TRIM(INDEX($M$1:$S$1, MATCH(MIN(M728:S728), M728:S728, 0))), 技能库!$A:$F, 6, 0),"请针对该题型加强练习"), "🎉 表现优异，无明显弱项！"))</f>
        <v/>
      </c>
    </row>
    <row r="729" spans="10:27" ht="18" hidden="1" customHeight="1" x14ac:dyDescent="0.2">
      <c r="J729" t="str">
        <f t="shared" si="33"/>
        <v/>
      </c>
      <c r="K729" t="str">
        <f>IF(J729="","", IFERROR(VLOOKUP(J729, IF(D729="Movers", 换算标准!$C:$D, 换算标准!$I:$J), 2, TRUE), 0))</f>
        <v/>
      </c>
      <c r="T729" t="str">
        <f t="shared" si="34"/>
        <v/>
      </c>
      <c r="U729" t="str">
        <f>IF(T729="","", IFERROR(VLOOKUP(T729, IF(D729="Movers", 换算标准!$A:$B, 换算标准!$G:$H), 2, TRUE), 0))</f>
        <v/>
      </c>
      <c r="W729" t="str">
        <f t="shared" si="35"/>
        <v/>
      </c>
      <c r="Z729" s="5" t="str">
        <f>IF(J729="","", IF(K729&lt;=3, "⚠️ 薄弱环节: "&amp;INDEX($E$1:$I$1, MATCH(MIN(E729:I729), E729:I729, 0))&amp;CHAR(10)&amp;"📉 考察能力: "&amp;IFERROR(VLOOKUP(TRIM(D729)&amp;"_"&amp;TRIM(INDEX($E$1:$I$1, MATCH(MIN(E729:I729), E729:I729, 0))), 技能库!$A:$F, 5, 0),"建议查阅考纲")&amp;CHAR(10)&amp;"💡 提升建议: "&amp;IFERROR(VLOOKUP(TRIM(D729)&amp;"_"&amp;TRIM(INDEX($E$1:$I$1, MATCH(MIN(E729:I729), E729:I729, 0))), 技能库!$A:$F, 6, 0),"请针对该题型加强练习"), "🎉 表现优异，无明显弱项！"))</f>
        <v/>
      </c>
      <c r="AA729" s="5" t="str">
        <f>IF(T729="","", IF(U729&lt;=3, "⚠️ 薄弱环节: "&amp;INDEX($M$1:$S$1, MATCH(MIN(M729:S729), M729:S729, 0))&amp;CHAR(10)&amp;"📉 考察能力: "&amp;IFERROR(VLOOKUP(TRIM(D729)&amp;"_"&amp;TRIM(INDEX($M$1:$S$1, MATCH(MIN(M729:S729), M729:S729, 0))), 技能库!$A:$F, 5, 0),"建议查阅考纲")&amp;CHAR(10)&amp;"💡 提升建议: "&amp;IFERROR(VLOOKUP(TRIM(D729)&amp;"_"&amp;TRIM(INDEX($M$1:$S$1, MATCH(MIN(M729:S729), M729:S729, 0))), 技能库!$A:$F, 6, 0),"请针对该题型加强练习"), "🎉 表现优异，无明显弱项！"))</f>
        <v/>
      </c>
    </row>
    <row r="730" spans="10:27" ht="18" hidden="1" customHeight="1" x14ac:dyDescent="0.2">
      <c r="J730" t="str">
        <f t="shared" si="33"/>
        <v/>
      </c>
      <c r="K730" t="str">
        <f>IF(J730="","", IFERROR(VLOOKUP(J730, IF(D730="Movers", 换算标准!$C:$D, 换算标准!$I:$J), 2, TRUE), 0))</f>
        <v/>
      </c>
      <c r="T730" t="str">
        <f t="shared" si="34"/>
        <v/>
      </c>
      <c r="U730" t="str">
        <f>IF(T730="","", IFERROR(VLOOKUP(T730, IF(D730="Movers", 换算标准!$A:$B, 换算标准!$G:$H), 2, TRUE), 0))</f>
        <v/>
      </c>
      <c r="W730" t="str">
        <f t="shared" si="35"/>
        <v/>
      </c>
      <c r="Z730" s="5" t="str">
        <f>IF(J730="","", IF(K730&lt;=3, "⚠️ 薄弱环节: "&amp;INDEX($E$1:$I$1, MATCH(MIN(E730:I730), E730:I730, 0))&amp;CHAR(10)&amp;"📉 考察能力: "&amp;IFERROR(VLOOKUP(TRIM(D730)&amp;"_"&amp;TRIM(INDEX($E$1:$I$1, MATCH(MIN(E730:I730), E730:I730, 0))), 技能库!$A:$F, 5, 0),"建议查阅考纲")&amp;CHAR(10)&amp;"💡 提升建议: "&amp;IFERROR(VLOOKUP(TRIM(D730)&amp;"_"&amp;TRIM(INDEX($E$1:$I$1, MATCH(MIN(E730:I730), E730:I730, 0))), 技能库!$A:$F, 6, 0),"请针对该题型加强练习"), "🎉 表现优异，无明显弱项！"))</f>
        <v/>
      </c>
      <c r="AA730" s="5" t="str">
        <f>IF(T730="","", IF(U730&lt;=3, "⚠️ 薄弱环节: "&amp;INDEX($M$1:$S$1, MATCH(MIN(M730:S730), M730:S730, 0))&amp;CHAR(10)&amp;"📉 考察能力: "&amp;IFERROR(VLOOKUP(TRIM(D730)&amp;"_"&amp;TRIM(INDEX($M$1:$S$1, MATCH(MIN(M730:S730), M730:S730, 0))), 技能库!$A:$F, 5, 0),"建议查阅考纲")&amp;CHAR(10)&amp;"💡 提升建议: "&amp;IFERROR(VLOOKUP(TRIM(D730)&amp;"_"&amp;TRIM(INDEX($M$1:$S$1, MATCH(MIN(M730:S730), M730:S730, 0))), 技能库!$A:$F, 6, 0),"请针对该题型加强练习"), "🎉 表现优异，无明显弱项！"))</f>
        <v/>
      </c>
    </row>
    <row r="731" spans="10:27" ht="18" hidden="1" customHeight="1" x14ac:dyDescent="0.2">
      <c r="J731" t="str">
        <f t="shared" si="33"/>
        <v/>
      </c>
      <c r="K731" t="str">
        <f>IF(J731="","", IFERROR(VLOOKUP(J731, IF(D731="Movers", 换算标准!$C:$D, 换算标准!$I:$J), 2, TRUE), 0))</f>
        <v/>
      </c>
      <c r="T731" t="str">
        <f t="shared" si="34"/>
        <v/>
      </c>
      <c r="U731" t="str">
        <f>IF(T731="","", IFERROR(VLOOKUP(T731, IF(D731="Movers", 换算标准!$A:$B, 换算标准!$G:$H), 2, TRUE), 0))</f>
        <v/>
      </c>
      <c r="W731" t="str">
        <f t="shared" si="35"/>
        <v/>
      </c>
      <c r="Z731" s="5" t="str">
        <f>IF(J731="","", IF(K731&lt;=3, "⚠️ 薄弱环节: "&amp;INDEX($E$1:$I$1, MATCH(MIN(E731:I731), E731:I731, 0))&amp;CHAR(10)&amp;"📉 考察能力: "&amp;IFERROR(VLOOKUP(TRIM(D731)&amp;"_"&amp;TRIM(INDEX($E$1:$I$1, MATCH(MIN(E731:I731), E731:I731, 0))), 技能库!$A:$F, 5, 0),"建议查阅考纲")&amp;CHAR(10)&amp;"💡 提升建议: "&amp;IFERROR(VLOOKUP(TRIM(D731)&amp;"_"&amp;TRIM(INDEX($E$1:$I$1, MATCH(MIN(E731:I731), E731:I731, 0))), 技能库!$A:$F, 6, 0),"请针对该题型加强练习"), "🎉 表现优异，无明显弱项！"))</f>
        <v/>
      </c>
      <c r="AA731" s="5" t="str">
        <f>IF(T731="","", IF(U731&lt;=3, "⚠️ 薄弱环节: "&amp;INDEX($M$1:$S$1, MATCH(MIN(M731:S731), M731:S731, 0))&amp;CHAR(10)&amp;"📉 考察能力: "&amp;IFERROR(VLOOKUP(TRIM(D731)&amp;"_"&amp;TRIM(INDEX($M$1:$S$1, MATCH(MIN(M731:S731), M731:S731, 0))), 技能库!$A:$F, 5, 0),"建议查阅考纲")&amp;CHAR(10)&amp;"💡 提升建议: "&amp;IFERROR(VLOOKUP(TRIM(D731)&amp;"_"&amp;TRIM(INDEX($M$1:$S$1, MATCH(MIN(M731:S731), M731:S731, 0))), 技能库!$A:$F, 6, 0),"请针对该题型加强练习"), "🎉 表现优异，无明显弱项！"))</f>
        <v/>
      </c>
    </row>
    <row r="732" spans="10:27" ht="18" hidden="1" customHeight="1" x14ac:dyDescent="0.2">
      <c r="J732" t="str">
        <f t="shared" si="33"/>
        <v/>
      </c>
      <c r="K732" t="str">
        <f>IF(J732="","", IFERROR(VLOOKUP(J732, IF(D732="Movers", 换算标准!$C:$D, 换算标准!$I:$J), 2, TRUE), 0))</f>
        <v/>
      </c>
      <c r="T732" t="str">
        <f t="shared" si="34"/>
        <v/>
      </c>
      <c r="U732" t="str">
        <f>IF(T732="","", IFERROR(VLOOKUP(T732, IF(D732="Movers", 换算标准!$A:$B, 换算标准!$G:$H), 2, TRUE), 0))</f>
        <v/>
      </c>
      <c r="W732" t="str">
        <f t="shared" si="35"/>
        <v/>
      </c>
      <c r="Z732" s="5" t="str">
        <f>IF(J732="","", IF(K732&lt;=3, "⚠️ 薄弱环节: "&amp;INDEX($E$1:$I$1, MATCH(MIN(E732:I732), E732:I732, 0))&amp;CHAR(10)&amp;"📉 考察能力: "&amp;IFERROR(VLOOKUP(TRIM(D732)&amp;"_"&amp;TRIM(INDEX($E$1:$I$1, MATCH(MIN(E732:I732), E732:I732, 0))), 技能库!$A:$F, 5, 0),"建议查阅考纲")&amp;CHAR(10)&amp;"💡 提升建议: "&amp;IFERROR(VLOOKUP(TRIM(D732)&amp;"_"&amp;TRIM(INDEX($E$1:$I$1, MATCH(MIN(E732:I732), E732:I732, 0))), 技能库!$A:$F, 6, 0),"请针对该题型加强练习"), "🎉 表现优异，无明显弱项！"))</f>
        <v/>
      </c>
      <c r="AA732" s="5" t="str">
        <f>IF(T732="","", IF(U732&lt;=3, "⚠️ 薄弱环节: "&amp;INDEX($M$1:$S$1, MATCH(MIN(M732:S732), M732:S732, 0))&amp;CHAR(10)&amp;"📉 考察能力: "&amp;IFERROR(VLOOKUP(TRIM(D732)&amp;"_"&amp;TRIM(INDEX($M$1:$S$1, MATCH(MIN(M732:S732), M732:S732, 0))), 技能库!$A:$F, 5, 0),"建议查阅考纲")&amp;CHAR(10)&amp;"💡 提升建议: "&amp;IFERROR(VLOOKUP(TRIM(D732)&amp;"_"&amp;TRIM(INDEX($M$1:$S$1, MATCH(MIN(M732:S732), M732:S732, 0))), 技能库!$A:$F, 6, 0),"请针对该题型加强练习"), "🎉 表现优异，无明显弱项！"))</f>
        <v/>
      </c>
    </row>
    <row r="733" spans="10:27" ht="18" hidden="1" customHeight="1" x14ac:dyDescent="0.2">
      <c r="J733" t="str">
        <f t="shared" si="33"/>
        <v/>
      </c>
      <c r="K733" t="str">
        <f>IF(J733="","", IFERROR(VLOOKUP(J733, IF(D733="Movers", 换算标准!$C:$D, 换算标准!$I:$J), 2, TRUE), 0))</f>
        <v/>
      </c>
      <c r="T733" t="str">
        <f t="shared" si="34"/>
        <v/>
      </c>
      <c r="U733" t="str">
        <f>IF(T733="","", IFERROR(VLOOKUP(T733, IF(D733="Movers", 换算标准!$A:$B, 换算标准!$G:$H), 2, TRUE), 0))</f>
        <v/>
      </c>
      <c r="W733" t="str">
        <f t="shared" si="35"/>
        <v/>
      </c>
      <c r="Z733" s="5" t="str">
        <f>IF(J733="","", IF(K733&lt;=3, "⚠️ 薄弱环节: "&amp;INDEX($E$1:$I$1, MATCH(MIN(E733:I733), E733:I733, 0))&amp;CHAR(10)&amp;"📉 考察能力: "&amp;IFERROR(VLOOKUP(TRIM(D733)&amp;"_"&amp;TRIM(INDEX($E$1:$I$1, MATCH(MIN(E733:I733), E733:I733, 0))), 技能库!$A:$F, 5, 0),"建议查阅考纲")&amp;CHAR(10)&amp;"💡 提升建议: "&amp;IFERROR(VLOOKUP(TRIM(D733)&amp;"_"&amp;TRIM(INDEX($E$1:$I$1, MATCH(MIN(E733:I733), E733:I733, 0))), 技能库!$A:$F, 6, 0),"请针对该题型加强练习"), "🎉 表现优异，无明显弱项！"))</f>
        <v/>
      </c>
      <c r="AA733" s="5" t="str">
        <f>IF(T733="","", IF(U733&lt;=3, "⚠️ 薄弱环节: "&amp;INDEX($M$1:$S$1, MATCH(MIN(M733:S733), M733:S733, 0))&amp;CHAR(10)&amp;"📉 考察能力: "&amp;IFERROR(VLOOKUP(TRIM(D733)&amp;"_"&amp;TRIM(INDEX($M$1:$S$1, MATCH(MIN(M733:S733), M733:S733, 0))), 技能库!$A:$F, 5, 0),"建议查阅考纲")&amp;CHAR(10)&amp;"💡 提升建议: "&amp;IFERROR(VLOOKUP(TRIM(D733)&amp;"_"&amp;TRIM(INDEX($M$1:$S$1, MATCH(MIN(M733:S733), M733:S733, 0))), 技能库!$A:$F, 6, 0),"请针对该题型加强练习"), "🎉 表现优异，无明显弱项！"))</f>
        <v/>
      </c>
    </row>
    <row r="734" spans="10:27" ht="18" hidden="1" customHeight="1" x14ac:dyDescent="0.2">
      <c r="J734" t="str">
        <f t="shared" si="33"/>
        <v/>
      </c>
      <c r="K734" t="str">
        <f>IF(J734="","", IFERROR(VLOOKUP(J734, IF(D734="Movers", 换算标准!$C:$D, 换算标准!$I:$J), 2, TRUE), 0))</f>
        <v/>
      </c>
      <c r="T734" t="str">
        <f t="shared" si="34"/>
        <v/>
      </c>
      <c r="U734" t="str">
        <f>IF(T734="","", IFERROR(VLOOKUP(T734, IF(D734="Movers", 换算标准!$A:$B, 换算标准!$G:$H), 2, TRUE), 0))</f>
        <v/>
      </c>
      <c r="W734" t="str">
        <f t="shared" si="35"/>
        <v/>
      </c>
      <c r="Z734" s="5" t="str">
        <f>IF(J734="","", IF(K734&lt;=3, "⚠️ 薄弱环节: "&amp;INDEX($E$1:$I$1, MATCH(MIN(E734:I734), E734:I734, 0))&amp;CHAR(10)&amp;"📉 考察能力: "&amp;IFERROR(VLOOKUP(TRIM(D734)&amp;"_"&amp;TRIM(INDEX($E$1:$I$1, MATCH(MIN(E734:I734), E734:I734, 0))), 技能库!$A:$F, 5, 0),"建议查阅考纲")&amp;CHAR(10)&amp;"💡 提升建议: "&amp;IFERROR(VLOOKUP(TRIM(D734)&amp;"_"&amp;TRIM(INDEX($E$1:$I$1, MATCH(MIN(E734:I734), E734:I734, 0))), 技能库!$A:$F, 6, 0),"请针对该题型加强练习"), "🎉 表现优异，无明显弱项！"))</f>
        <v/>
      </c>
      <c r="AA734" s="5" t="str">
        <f>IF(T734="","", IF(U734&lt;=3, "⚠️ 薄弱环节: "&amp;INDEX($M$1:$S$1, MATCH(MIN(M734:S734), M734:S734, 0))&amp;CHAR(10)&amp;"📉 考察能力: "&amp;IFERROR(VLOOKUP(TRIM(D734)&amp;"_"&amp;TRIM(INDEX($M$1:$S$1, MATCH(MIN(M734:S734), M734:S734, 0))), 技能库!$A:$F, 5, 0),"建议查阅考纲")&amp;CHAR(10)&amp;"💡 提升建议: "&amp;IFERROR(VLOOKUP(TRIM(D734)&amp;"_"&amp;TRIM(INDEX($M$1:$S$1, MATCH(MIN(M734:S734), M734:S734, 0))), 技能库!$A:$F, 6, 0),"请针对该题型加强练习"), "🎉 表现优异，无明显弱项！"))</f>
        <v/>
      </c>
    </row>
    <row r="735" spans="10:27" ht="18" hidden="1" customHeight="1" x14ac:dyDescent="0.2">
      <c r="J735" t="str">
        <f t="shared" si="33"/>
        <v/>
      </c>
      <c r="K735" t="str">
        <f>IF(J735="","", IFERROR(VLOOKUP(J735, IF(D735="Movers", 换算标准!$C:$D, 换算标准!$I:$J), 2, TRUE), 0))</f>
        <v/>
      </c>
      <c r="T735" t="str">
        <f t="shared" si="34"/>
        <v/>
      </c>
      <c r="U735" t="str">
        <f>IF(T735="","", IFERROR(VLOOKUP(T735, IF(D735="Movers", 换算标准!$A:$B, 换算标准!$G:$H), 2, TRUE), 0))</f>
        <v/>
      </c>
      <c r="W735" t="str">
        <f t="shared" si="35"/>
        <v/>
      </c>
      <c r="Z735" s="5" t="str">
        <f>IF(J735="","", IF(K735&lt;=3, "⚠️ 薄弱环节: "&amp;INDEX($E$1:$I$1, MATCH(MIN(E735:I735), E735:I735, 0))&amp;CHAR(10)&amp;"📉 考察能力: "&amp;IFERROR(VLOOKUP(TRIM(D735)&amp;"_"&amp;TRIM(INDEX($E$1:$I$1, MATCH(MIN(E735:I735), E735:I735, 0))), 技能库!$A:$F, 5, 0),"建议查阅考纲")&amp;CHAR(10)&amp;"💡 提升建议: "&amp;IFERROR(VLOOKUP(TRIM(D735)&amp;"_"&amp;TRIM(INDEX($E$1:$I$1, MATCH(MIN(E735:I735), E735:I735, 0))), 技能库!$A:$F, 6, 0),"请针对该题型加强练习"), "🎉 表现优异，无明显弱项！"))</f>
        <v/>
      </c>
      <c r="AA735" s="5" t="str">
        <f>IF(T735="","", IF(U735&lt;=3, "⚠️ 薄弱环节: "&amp;INDEX($M$1:$S$1, MATCH(MIN(M735:S735), M735:S735, 0))&amp;CHAR(10)&amp;"📉 考察能力: "&amp;IFERROR(VLOOKUP(TRIM(D735)&amp;"_"&amp;TRIM(INDEX($M$1:$S$1, MATCH(MIN(M735:S735), M735:S735, 0))), 技能库!$A:$F, 5, 0),"建议查阅考纲")&amp;CHAR(10)&amp;"💡 提升建议: "&amp;IFERROR(VLOOKUP(TRIM(D735)&amp;"_"&amp;TRIM(INDEX($M$1:$S$1, MATCH(MIN(M735:S735), M735:S735, 0))), 技能库!$A:$F, 6, 0),"请针对该题型加强练习"), "🎉 表现优异，无明显弱项！"))</f>
        <v/>
      </c>
    </row>
    <row r="736" spans="10:27" ht="18" hidden="1" customHeight="1" x14ac:dyDescent="0.2">
      <c r="J736" t="str">
        <f t="shared" si="33"/>
        <v/>
      </c>
      <c r="K736" t="str">
        <f>IF(J736="","", IFERROR(VLOOKUP(J736, IF(D736="Movers", 换算标准!$C:$D, 换算标准!$I:$J), 2, TRUE), 0))</f>
        <v/>
      </c>
      <c r="T736" t="str">
        <f t="shared" si="34"/>
        <v/>
      </c>
      <c r="U736" t="str">
        <f>IF(T736="","", IFERROR(VLOOKUP(T736, IF(D736="Movers", 换算标准!$A:$B, 换算标准!$G:$H), 2, TRUE), 0))</f>
        <v/>
      </c>
      <c r="W736" t="str">
        <f t="shared" si="35"/>
        <v/>
      </c>
      <c r="Z736" s="5" t="str">
        <f>IF(J736="","", IF(K736&lt;=3, "⚠️ 薄弱环节: "&amp;INDEX($E$1:$I$1, MATCH(MIN(E736:I736), E736:I736, 0))&amp;CHAR(10)&amp;"📉 考察能力: "&amp;IFERROR(VLOOKUP(TRIM(D736)&amp;"_"&amp;TRIM(INDEX($E$1:$I$1, MATCH(MIN(E736:I736), E736:I736, 0))), 技能库!$A:$F, 5, 0),"建议查阅考纲")&amp;CHAR(10)&amp;"💡 提升建议: "&amp;IFERROR(VLOOKUP(TRIM(D736)&amp;"_"&amp;TRIM(INDEX($E$1:$I$1, MATCH(MIN(E736:I736), E736:I736, 0))), 技能库!$A:$F, 6, 0),"请针对该题型加强练习"), "🎉 表现优异，无明显弱项！"))</f>
        <v/>
      </c>
      <c r="AA736" s="5" t="str">
        <f>IF(T736="","", IF(U736&lt;=3, "⚠️ 薄弱环节: "&amp;INDEX($M$1:$S$1, MATCH(MIN(M736:S736), M736:S736, 0))&amp;CHAR(10)&amp;"📉 考察能力: "&amp;IFERROR(VLOOKUP(TRIM(D736)&amp;"_"&amp;TRIM(INDEX($M$1:$S$1, MATCH(MIN(M736:S736), M736:S736, 0))), 技能库!$A:$F, 5, 0),"建议查阅考纲")&amp;CHAR(10)&amp;"💡 提升建议: "&amp;IFERROR(VLOOKUP(TRIM(D736)&amp;"_"&amp;TRIM(INDEX($M$1:$S$1, MATCH(MIN(M736:S736), M736:S736, 0))), 技能库!$A:$F, 6, 0),"请针对该题型加强练习"), "🎉 表现优异，无明显弱项！"))</f>
        <v/>
      </c>
    </row>
    <row r="737" spans="10:27" ht="18" hidden="1" customHeight="1" x14ac:dyDescent="0.2">
      <c r="J737" t="str">
        <f t="shared" si="33"/>
        <v/>
      </c>
      <c r="K737" t="str">
        <f>IF(J737="","", IFERROR(VLOOKUP(J737, IF(D737="Movers", 换算标准!$C:$D, 换算标准!$I:$J), 2, TRUE), 0))</f>
        <v/>
      </c>
      <c r="T737" t="str">
        <f t="shared" si="34"/>
        <v/>
      </c>
      <c r="U737" t="str">
        <f>IF(T737="","", IFERROR(VLOOKUP(T737, IF(D737="Movers", 换算标准!$A:$B, 换算标准!$G:$H), 2, TRUE), 0))</f>
        <v/>
      </c>
      <c r="W737" t="str">
        <f t="shared" si="35"/>
        <v/>
      </c>
      <c r="Z737" s="5" t="str">
        <f>IF(J737="","", IF(K737&lt;=3, "⚠️ 薄弱环节: "&amp;INDEX($E$1:$I$1, MATCH(MIN(E737:I737), E737:I737, 0))&amp;CHAR(10)&amp;"📉 考察能力: "&amp;IFERROR(VLOOKUP(TRIM(D737)&amp;"_"&amp;TRIM(INDEX($E$1:$I$1, MATCH(MIN(E737:I737), E737:I737, 0))), 技能库!$A:$F, 5, 0),"建议查阅考纲")&amp;CHAR(10)&amp;"💡 提升建议: "&amp;IFERROR(VLOOKUP(TRIM(D737)&amp;"_"&amp;TRIM(INDEX($E$1:$I$1, MATCH(MIN(E737:I737), E737:I737, 0))), 技能库!$A:$F, 6, 0),"请针对该题型加强练习"), "🎉 表现优异，无明显弱项！"))</f>
        <v/>
      </c>
      <c r="AA737" s="5" t="str">
        <f>IF(T737="","", IF(U737&lt;=3, "⚠️ 薄弱环节: "&amp;INDEX($M$1:$S$1, MATCH(MIN(M737:S737), M737:S737, 0))&amp;CHAR(10)&amp;"📉 考察能力: "&amp;IFERROR(VLOOKUP(TRIM(D737)&amp;"_"&amp;TRIM(INDEX($M$1:$S$1, MATCH(MIN(M737:S737), M737:S737, 0))), 技能库!$A:$F, 5, 0),"建议查阅考纲")&amp;CHAR(10)&amp;"💡 提升建议: "&amp;IFERROR(VLOOKUP(TRIM(D737)&amp;"_"&amp;TRIM(INDEX($M$1:$S$1, MATCH(MIN(M737:S737), M737:S737, 0))), 技能库!$A:$F, 6, 0),"请针对该题型加强练习"), "🎉 表现优异，无明显弱项！"))</f>
        <v/>
      </c>
    </row>
    <row r="738" spans="10:27" ht="18" hidden="1" customHeight="1" x14ac:dyDescent="0.2">
      <c r="J738" t="str">
        <f t="shared" si="33"/>
        <v/>
      </c>
      <c r="K738" t="str">
        <f>IF(J738="","", IFERROR(VLOOKUP(J738, IF(D738="Movers", 换算标准!$C:$D, 换算标准!$I:$J), 2, TRUE), 0))</f>
        <v/>
      </c>
      <c r="T738" t="str">
        <f t="shared" si="34"/>
        <v/>
      </c>
      <c r="U738" t="str">
        <f>IF(T738="","", IFERROR(VLOOKUP(T738, IF(D738="Movers", 换算标准!$A:$B, 换算标准!$G:$H), 2, TRUE), 0))</f>
        <v/>
      </c>
      <c r="W738" t="str">
        <f t="shared" si="35"/>
        <v/>
      </c>
      <c r="Z738" s="5" t="str">
        <f>IF(J738="","", IF(K738&lt;=3, "⚠️ 薄弱环节: "&amp;INDEX($E$1:$I$1, MATCH(MIN(E738:I738), E738:I738, 0))&amp;CHAR(10)&amp;"📉 考察能力: "&amp;IFERROR(VLOOKUP(TRIM(D738)&amp;"_"&amp;TRIM(INDEX($E$1:$I$1, MATCH(MIN(E738:I738), E738:I738, 0))), 技能库!$A:$F, 5, 0),"建议查阅考纲")&amp;CHAR(10)&amp;"💡 提升建议: "&amp;IFERROR(VLOOKUP(TRIM(D738)&amp;"_"&amp;TRIM(INDEX($E$1:$I$1, MATCH(MIN(E738:I738), E738:I738, 0))), 技能库!$A:$F, 6, 0),"请针对该题型加强练习"), "🎉 表现优异，无明显弱项！"))</f>
        <v/>
      </c>
      <c r="AA738" s="5" t="str">
        <f>IF(T738="","", IF(U738&lt;=3, "⚠️ 薄弱环节: "&amp;INDEX($M$1:$S$1, MATCH(MIN(M738:S738), M738:S738, 0))&amp;CHAR(10)&amp;"📉 考察能力: "&amp;IFERROR(VLOOKUP(TRIM(D738)&amp;"_"&amp;TRIM(INDEX($M$1:$S$1, MATCH(MIN(M738:S738), M738:S738, 0))), 技能库!$A:$F, 5, 0),"建议查阅考纲")&amp;CHAR(10)&amp;"💡 提升建议: "&amp;IFERROR(VLOOKUP(TRIM(D738)&amp;"_"&amp;TRIM(INDEX($M$1:$S$1, MATCH(MIN(M738:S738), M738:S738, 0))), 技能库!$A:$F, 6, 0),"请针对该题型加强练习"), "🎉 表现优异，无明显弱项！"))</f>
        <v/>
      </c>
    </row>
    <row r="739" spans="10:27" ht="18" hidden="1" customHeight="1" x14ac:dyDescent="0.2">
      <c r="J739" t="str">
        <f t="shared" si="33"/>
        <v/>
      </c>
      <c r="K739" t="str">
        <f>IF(J739="","", IFERROR(VLOOKUP(J739, IF(D739="Movers", 换算标准!$C:$D, 换算标准!$I:$J), 2, TRUE), 0))</f>
        <v/>
      </c>
      <c r="T739" t="str">
        <f t="shared" si="34"/>
        <v/>
      </c>
      <c r="U739" t="str">
        <f>IF(T739="","", IFERROR(VLOOKUP(T739, IF(D739="Movers", 换算标准!$A:$B, 换算标准!$G:$H), 2, TRUE), 0))</f>
        <v/>
      </c>
      <c r="W739" t="str">
        <f t="shared" si="35"/>
        <v/>
      </c>
      <c r="Z739" s="5" t="str">
        <f>IF(J739="","", IF(K739&lt;=3, "⚠️ 薄弱环节: "&amp;INDEX($E$1:$I$1, MATCH(MIN(E739:I739), E739:I739, 0))&amp;CHAR(10)&amp;"📉 考察能力: "&amp;IFERROR(VLOOKUP(TRIM(D739)&amp;"_"&amp;TRIM(INDEX($E$1:$I$1, MATCH(MIN(E739:I739), E739:I739, 0))), 技能库!$A:$F, 5, 0),"建议查阅考纲")&amp;CHAR(10)&amp;"💡 提升建议: "&amp;IFERROR(VLOOKUP(TRIM(D739)&amp;"_"&amp;TRIM(INDEX($E$1:$I$1, MATCH(MIN(E739:I739), E739:I739, 0))), 技能库!$A:$F, 6, 0),"请针对该题型加强练习"), "🎉 表现优异，无明显弱项！"))</f>
        <v/>
      </c>
      <c r="AA739" s="5" t="str">
        <f>IF(T739="","", IF(U739&lt;=3, "⚠️ 薄弱环节: "&amp;INDEX($M$1:$S$1, MATCH(MIN(M739:S739), M739:S739, 0))&amp;CHAR(10)&amp;"📉 考察能力: "&amp;IFERROR(VLOOKUP(TRIM(D739)&amp;"_"&amp;TRIM(INDEX($M$1:$S$1, MATCH(MIN(M739:S739), M739:S739, 0))), 技能库!$A:$F, 5, 0),"建议查阅考纲")&amp;CHAR(10)&amp;"💡 提升建议: "&amp;IFERROR(VLOOKUP(TRIM(D739)&amp;"_"&amp;TRIM(INDEX($M$1:$S$1, MATCH(MIN(M739:S739), M739:S739, 0))), 技能库!$A:$F, 6, 0),"请针对该题型加强练习"), "🎉 表现优异，无明显弱项！"))</f>
        <v/>
      </c>
    </row>
    <row r="740" spans="10:27" ht="18" hidden="1" customHeight="1" x14ac:dyDescent="0.2">
      <c r="J740" t="str">
        <f t="shared" si="33"/>
        <v/>
      </c>
      <c r="K740" t="str">
        <f>IF(J740="","", IFERROR(VLOOKUP(J740, IF(D740="Movers", 换算标准!$C:$D, 换算标准!$I:$J), 2, TRUE), 0))</f>
        <v/>
      </c>
      <c r="T740" t="str">
        <f t="shared" si="34"/>
        <v/>
      </c>
      <c r="U740" t="str">
        <f>IF(T740="","", IFERROR(VLOOKUP(T740, IF(D740="Movers", 换算标准!$A:$B, 换算标准!$G:$H), 2, TRUE), 0))</f>
        <v/>
      </c>
      <c r="W740" t="str">
        <f t="shared" si="35"/>
        <v/>
      </c>
      <c r="Z740" s="5" t="str">
        <f>IF(J740="","", IF(K740&lt;=3, "⚠️ 薄弱环节: "&amp;INDEX($E$1:$I$1, MATCH(MIN(E740:I740), E740:I740, 0))&amp;CHAR(10)&amp;"📉 考察能力: "&amp;IFERROR(VLOOKUP(TRIM(D740)&amp;"_"&amp;TRIM(INDEX($E$1:$I$1, MATCH(MIN(E740:I740), E740:I740, 0))), 技能库!$A:$F, 5, 0),"建议查阅考纲")&amp;CHAR(10)&amp;"💡 提升建议: "&amp;IFERROR(VLOOKUP(TRIM(D740)&amp;"_"&amp;TRIM(INDEX($E$1:$I$1, MATCH(MIN(E740:I740), E740:I740, 0))), 技能库!$A:$F, 6, 0),"请针对该题型加强练习"), "🎉 表现优异，无明显弱项！"))</f>
        <v/>
      </c>
      <c r="AA740" s="5" t="str">
        <f>IF(T740="","", IF(U740&lt;=3, "⚠️ 薄弱环节: "&amp;INDEX($M$1:$S$1, MATCH(MIN(M740:S740), M740:S740, 0))&amp;CHAR(10)&amp;"📉 考察能力: "&amp;IFERROR(VLOOKUP(TRIM(D740)&amp;"_"&amp;TRIM(INDEX($M$1:$S$1, MATCH(MIN(M740:S740), M740:S740, 0))), 技能库!$A:$F, 5, 0),"建议查阅考纲")&amp;CHAR(10)&amp;"💡 提升建议: "&amp;IFERROR(VLOOKUP(TRIM(D740)&amp;"_"&amp;TRIM(INDEX($M$1:$S$1, MATCH(MIN(M740:S740), M740:S740, 0))), 技能库!$A:$F, 6, 0),"请针对该题型加强练习"), "🎉 表现优异，无明显弱项！"))</f>
        <v/>
      </c>
    </row>
    <row r="741" spans="10:27" ht="18" hidden="1" customHeight="1" x14ac:dyDescent="0.2">
      <c r="J741" t="str">
        <f t="shared" si="33"/>
        <v/>
      </c>
      <c r="K741" t="str">
        <f>IF(J741="","", IFERROR(VLOOKUP(J741, IF(D741="Movers", 换算标准!$C:$D, 换算标准!$I:$J), 2, TRUE), 0))</f>
        <v/>
      </c>
      <c r="T741" t="str">
        <f t="shared" si="34"/>
        <v/>
      </c>
      <c r="U741" t="str">
        <f>IF(T741="","", IFERROR(VLOOKUP(T741, IF(D741="Movers", 换算标准!$A:$B, 换算标准!$G:$H), 2, TRUE), 0))</f>
        <v/>
      </c>
      <c r="W741" t="str">
        <f t="shared" si="35"/>
        <v/>
      </c>
      <c r="Z741" s="5" t="str">
        <f>IF(J741="","", IF(K741&lt;=3, "⚠️ 薄弱环节: "&amp;INDEX($E$1:$I$1, MATCH(MIN(E741:I741), E741:I741, 0))&amp;CHAR(10)&amp;"📉 考察能力: "&amp;IFERROR(VLOOKUP(TRIM(D741)&amp;"_"&amp;TRIM(INDEX($E$1:$I$1, MATCH(MIN(E741:I741), E741:I741, 0))), 技能库!$A:$F, 5, 0),"建议查阅考纲")&amp;CHAR(10)&amp;"💡 提升建议: "&amp;IFERROR(VLOOKUP(TRIM(D741)&amp;"_"&amp;TRIM(INDEX($E$1:$I$1, MATCH(MIN(E741:I741), E741:I741, 0))), 技能库!$A:$F, 6, 0),"请针对该题型加强练习"), "🎉 表现优异，无明显弱项！"))</f>
        <v/>
      </c>
      <c r="AA741" s="5" t="str">
        <f>IF(T741="","", IF(U741&lt;=3, "⚠️ 薄弱环节: "&amp;INDEX($M$1:$S$1, MATCH(MIN(M741:S741), M741:S741, 0))&amp;CHAR(10)&amp;"📉 考察能力: "&amp;IFERROR(VLOOKUP(TRIM(D741)&amp;"_"&amp;TRIM(INDEX($M$1:$S$1, MATCH(MIN(M741:S741), M741:S741, 0))), 技能库!$A:$F, 5, 0),"建议查阅考纲")&amp;CHAR(10)&amp;"💡 提升建议: "&amp;IFERROR(VLOOKUP(TRIM(D741)&amp;"_"&amp;TRIM(INDEX($M$1:$S$1, MATCH(MIN(M741:S741), M741:S741, 0))), 技能库!$A:$F, 6, 0),"请针对该题型加强练习"), "🎉 表现优异，无明显弱项！"))</f>
        <v/>
      </c>
    </row>
    <row r="742" spans="10:27" ht="18" hidden="1" customHeight="1" x14ac:dyDescent="0.2">
      <c r="J742" t="str">
        <f t="shared" si="33"/>
        <v/>
      </c>
      <c r="K742" t="str">
        <f>IF(J742="","", IFERROR(VLOOKUP(J742, IF(D742="Movers", 换算标准!$C:$D, 换算标准!$I:$J), 2, TRUE), 0))</f>
        <v/>
      </c>
      <c r="T742" t="str">
        <f t="shared" si="34"/>
        <v/>
      </c>
      <c r="U742" t="str">
        <f>IF(T742="","", IFERROR(VLOOKUP(T742, IF(D742="Movers", 换算标准!$A:$B, 换算标准!$G:$H), 2, TRUE), 0))</f>
        <v/>
      </c>
      <c r="W742" t="str">
        <f t="shared" si="35"/>
        <v/>
      </c>
      <c r="Z742" s="5" t="str">
        <f>IF(J742="","", IF(K742&lt;=3, "⚠️ 薄弱环节: "&amp;INDEX($E$1:$I$1, MATCH(MIN(E742:I742), E742:I742, 0))&amp;CHAR(10)&amp;"📉 考察能力: "&amp;IFERROR(VLOOKUP(TRIM(D742)&amp;"_"&amp;TRIM(INDEX($E$1:$I$1, MATCH(MIN(E742:I742), E742:I742, 0))), 技能库!$A:$F, 5, 0),"建议查阅考纲")&amp;CHAR(10)&amp;"💡 提升建议: "&amp;IFERROR(VLOOKUP(TRIM(D742)&amp;"_"&amp;TRIM(INDEX($E$1:$I$1, MATCH(MIN(E742:I742), E742:I742, 0))), 技能库!$A:$F, 6, 0),"请针对该题型加强练习"), "🎉 表现优异，无明显弱项！"))</f>
        <v/>
      </c>
      <c r="AA742" s="5" t="str">
        <f>IF(T742="","", IF(U742&lt;=3, "⚠️ 薄弱环节: "&amp;INDEX($M$1:$S$1, MATCH(MIN(M742:S742), M742:S742, 0))&amp;CHAR(10)&amp;"📉 考察能力: "&amp;IFERROR(VLOOKUP(TRIM(D742)&amp;"_"&amp;TRIM(INDEX($M$1:$S$1, MATCH(MIN(M742:S742), M742:S742, 0))), 技能库!$A:$F, 5, 0),"建议查阅考纲")&amp;CHAR(10)&amp;"💡 提升建议: "&amp;IFERROR(VLOOKUP(TRIM(D742)&amp;"_"&amp;TRIM(INDEX($M$1:$S$1, MATCH(MIN(M742:S742), M742:S742, 0))), 技能库!$A:$F, 6, 0),"请针对该题型加强练习"), "🎉 表现优异，无明显弱项！"))</f>
        <v/>
      </c>
    </row>
    <row r="743" spans="10:27" ht="18" hidden="1" customHeight="1" x14ac:dyDescent="0.2">
      <c r="J743" t="str">
        <f t="shared" si="33"/>
        <v/>
      </c>
      <c r="K743" t="str">
        <f>IF(J743="","", IFERROR(VLOOKUP(J743, IF(D743="Movers", 换算标准!$C:$D, 换算标准!$I:$J), 2, TRUE), 0))</f>
        <v/>
      </c>
      <c r="T743" t="str">
        <f t="shared" si="34"/>
        <v/>
      </c>
      <c r="U743" t="str">
        <f>IF(T743="","", IFERROR(VLOOKUP(T743, IF(D743="Movers", 换算标准!$A:$B, 换算标准!$G:$H), 2, TRUE), 0))</f>
        <v/>
      </c>
      <c r="W743" t="str">
        <f t="shared" si="35"/>
        <v/>
      </c>
      <c r="Z743" s="5" t="str">
        <f>IF(J743="","", IF(K743&lt;=3, "⚠️ 薄弱环节: "&amp;INDEX($E$1:$I$1, MATCH(MIN(E743:I743), E743:I743, 0))&amp;CHAR(10)&amp;"📉 考察能力: "&amp;IFERROR(VLOOKUP(TRIM(D743)&amp;"_"&amp;TRIM(INDEX($E$1:$I$1, MATCH(MIN(E743:I743), E743:I743, 0))), 技能库!$A:$F, 5, 0),"建议查阅考纲")&amp;CHAR(10)&amp;"💡 提升建议: "&amp;IFERROR(VLOOKUP(TRIM(D743)&amp;"_"&amp;TRIM(INDEX($E$1:$I$1, MATCH(MIN(E743:I743), E743:I743, 0))), 技能库!$A:$F, 6, 0),"请针对该题型加强练习"), "🎉 表现优异，无明显弱项！"))</f>
        <v/>
      </c>
      <c r="AA743" s="5" t="str">
        <f>IF(T743="","", IF(U743&lt;=3, "⚠️ 薄弱环节: "&amp;INDEX($M$1:$S$1, MATCH(MIN(M743:S743), M743:S743, 0))&amp;CHAR(10)&amp;"📉 考察能力: "&amp;IFERROR(VLOOKUP(TRIM(D743)&amp;"_"&amp;TRIM(INDEX($M$1:$S$1, MATCH(MIN(M743:S743), M743:S743, 0))), 技能库!$A:$F, 5, 0),"建议查阅考纲")&amp;CHAR(10)&amp;"💡 提升建议: "&amp;IFERROR(VLOOKUP(TRIM(D743)&amp;"_"&amp;TRIM(INDEX($M$1:$S$1, MATCH(MIN(M743:S743), M743:S743, 0))), 技能库!$A:$F, 6, 0),"请针对该题型加强练习"), "🎉 表现优异，无明显弱项！"))</f>
        <v/>
      </c>
    </row>
    <row r="744" spans="10:27" ht="18" hidden="1" customHeight="1" x14ac:dyDescent="0.2">
      <c r="J744" t="str">
        <f t="shared" si="33"/>
        <v/>
      </c>
      <c r="K744" t="str">
        <f>IF(J744="","", IFERROR(VLOOKUP(J744, IF(D744="Movers", 换算标准!$C:$D, 换算标准!$I:$J), 2, TRUE), 0))</f>
        <v/>
      </c>
      <c r="T744" t="str">
        <f t="shared" si="34"/>
        <v/>
      </c>
      <c r="U744" t="str">
        <f>IF(T744="","", IFERROR(VLOOKUP(T744, IF(D744="Movers", 换算标准!$A:$B, 换算标准!$G:$H), 2, TRUE), 0))</f>
        <v/>
      </c>
      <c r="W744" t="str">
        <f t="shared" si="35"/>
        <v/>
      </c>
      <c r="Z744" s="5" t="str">
        <f>IF(J744="","", IF(K744&lt;=3, "⚠️ 薄弱环节: "&amp;INDEX($E$1:$I$1, MATCH(MIN(E744:I744), E744:I744, 0))&amp;CHAR(10)&amp;"📉 考察能力: "&amp;IFERROR(VLOOKUP(TRIM(D744)&amp;"_"&amp;TRIM(INDEX($E$1:$I$1, MATCH(MIN(E744:I744), E744:I744, 0))), 技能库!$A:$F, 5, 0),"建议查阅考纲")&amp;CHAR(10)&amp;"💡 提升建议: "&amp;IFERROR(VLOOKUP(TRIM(D744)&amp;"_"&amp;TRIM(INDEX($E$1:$I$1, MATCH(MIN(E744:I744), E744:I744, 0))), 技能库!$A:$F, 6, 0),"请针对该题型加强练习"), "🎉 表现优异，无明显弱项！"))</f>
        <v/>
      </c>
      <c r="AA744" s="5" t="str">
        <f>IF(T744="","", IF(U744&lt;=3, "⚠️ 薄弱环节: "&amp;INDEX($M$1:$S$1, MATCH(MIN(M744:S744), M744:S744, 0))&amp;CHAR(10)&amp;"📉 考察能力: "&amp;IFERROR(VLOOKUP(TRIM(D744)&amp;"_"&amp;TRIM(INDEX($M$1:$S$1, MATCH(MIN(M744:S744), M744:S744, 0))), 技能库!$A:$F, 5, 0),"建议查阅考纲")&amp;CHAR(10)&amp;"💡 提升建议: "&amp;IFERROR(VLOOKUP(TRIM(D744)&amp;"_"&amp;TRIM(INDEX($M$1:$S$1, MATCH(MIN(M744:S744), M744:S744, 0))), 技能库!$A:$F, 6, 0),"请针对该题型加强练习"), "🎉 表现优异，无明显弱项！"))</f>
        <v/>
      </c>
    </row>
    <row r="745" spans="10:27" ht="18" hidden="1" customHeight="1" x14ac:dyDescent="0.2">
      <c r="J745" t="str">
        <f t="shared" si="33"/>
        <v/>
      </c>
      <c r="K745" t="str">
        <f>IF(J745="","", IFERROR(VLOOKUP(J745, IF(D745="Movers", 换算标准!$C:$D, 换算标准!$I:$J), 2, TRUE), 0))</f>
        <v/>
      </c>
      <c r="T745" t="str">
        <f t="shared" si="34"/>
        <v/>
      </c>
      <c r="U745" t="str">
        <f>IF(T745="","", IFERROR(VLOOKUP(T745, IF(D745="Movers", 换算标准!$A:$B, 换算标准!$G:$H), 2, TRUE), 0))</f>
        <v/>
      </c>
      <c r="W745" t="str">
        <f t="shared" si="35"/>
        <v/>
      </c>
      <c r="Z745" s="5" t="str">
        <f>IF(J745="","", IF(K745&lt;=3, "⚠️ 薄弱环节: "&amp;INDEX($E$1:$I$1, MATCH(MIN(E745:I745), E745:I745, 0))&amp;CHAR(10)&amp;"📉 考察能力: "&amp;IFERROR(VLOOKUP(TRIM(D745)&amp;"_"&amp;TRIM(INDEX($E$1:$I$1, MATCH(MIN(E745:I745), E745:I745, 0))), 技能库!$A:$F, 5, 0),"建议查阅考纲")&amp;CHAR(10)&amp;"💡 提升建议: "&amp;IFERROR(VLOOKUP(TRIM(D745)&amp;"_"&amp;TRIM(INDEX($E$1:$I$1, MATCH(MIN(E745:I745), E745:I745, 0))), 技能库!$A:$F, 6, 0),"请针对该题型加强练习"), "🎉 表现优异，无明显弱项！"))</f>
        <v/>
      </c>
      <c r="AA745" s="5" t="str">
        <f>IF(T745="","", IF(U745&lt;=3, "⚠️ 薄弱环节: "&amp;INDEX($M$1:$S$1, MATCH(MIN(M745:S745), M745:S745, 0))&amp;CHAR(10)&amp;"📉 考察能力: "&amp;IFERROR(VLOOKUP(TRIM(D745)&amp;"_"&amp;TRIM(INDEX($M$1:$S$1, MATCH(MIN(M745:S745), M745:S745, 0))), 技能库!$A:$F, 5, 0),"建议查阅考纲")&amp;CHAR(10)&amp;"💡 提升建议: "&amp;IFERROR(VLOOKUP(TRIM(D745)&amp;"_"&amp;TRIM(INDEX($M$1:$S$1, MATCH(MIN(M745:S745), M745:S745, 0))), 技能库!$A:$F, 6, 0),"请针对该题型加强练习"), "🎉 表现优异，无明显弱项！"))</f>
        <v/>
      </c>
    </row>
    <row r="746" spans="10:27" ht="18" hidden="1" customHeight="1" x14ac:dyDescent="0.2">
      <c r="J746" t="str">
        <f t="shared" si="33"/>
        <v/>
      </c>
      <c r="K746" t="str">
        <f>IF(J746="","", IFERROR(VLOOKUP(J746, IF(D746="Movers", 换算标准!$C:$D, 换算标准!$I:$J), 2, TRUE), 0))</f>
        <v/>
      </c>
      <c r="T746" t="str">
        <f t="shared" si="34"/>
        <v/>
      </c>
      <c r="U746" t="str">
        <f>IF(T746="","", IFERROR(VLOOKUP(T746, IF(D746="Movers", 换算标准!$A:$B, 换算标准!$G:$H), 2, TRUE), 0))</f>
        <v/>
      </c>
      <c r="W746" t="str">
        <f t="shared" si="35"/>
        <v/>
      </c>
      <c r="Z746" s="5" t="str">
        <f>IF(J746="","", IF(K746&lt;=3, "⚠️ 薄弱环节: "&amp;INDEX($E$1:$I$1, MATCH(MIN(E746:I746), E746:I746, 0))&amp;CHAR(10)&amp;"📉 考察能力: "&amp;IFERROR(VLOOKUP(TRIM(D746)&amp;"_"&amp;TRIM(INDEX($E$1:$I$1, MATCH(MIN(E746:I746), E746:I746, 0))), 技能库!$A:$F, 5, 0),"建议查阅考纲")&amp;CHAR(10)&amp;"💡 提升建议: "&amp;IFERROR(VLOOKUP(TRIM(D746)&amp;"_"&amp;TRIM(INDEX($E$1:$I$1, MATCH(MIN(E746:I746), E746:I746, 0))), 技能库!$A:$F, 6, 0),"请针对该题型加强练习"), "🎉 表现优异，无明显弱项！"))</f>
        <v/>
      </c>
      <c r="AA746" s="5" t="str">
        <f>IF(T746="","", IF(U746&lt;=3, "⚠️ 薄弱环节: "&amp;INDEX($M$1:$S$1, MATCH(MIN(M746:S746), M746:S746, 0))&amp;CHAR(10)&amp;"📉 考察能力: "&amp;IFERROR(VLOOKUP(TRIM(D746)&amp;"_"&amp;TRIM(INDEX($M$1:$S$1, MATCH(MIN(M746:S746), M746:S746, 0))), 技能库!$A:$F, 5, 0),"建议查阅考纲")&amp;CHAR(10)&amp;"💡 提升建议: "&amp;IFERROR(VLOOKUP(TRIM(D746)&amp;"_"&amp;TRIM(INDEX($M$1:$S$1, MATCH(MIN(M746:S746), M746:S746, 0))), 技能库!$A:$F, 6, 0),"请针对该题型加强练习"), "🎉 表现优异，无明显弱项！"))</f>
        <v/>
      </c>
    </row>
    <row r="747" spans="10:27" ht="18" hidden="1" customHeight="1" x14ac:dyDescent="0.2">
      <c r="J747" t="str">
        <f t="shared" si="33"/>
        <v/>
      </c>
      <c r="K747" t="str">
        <f>IF(J747="","", IFERROR(VLOOKUP(J747, IF(D747="Movers", 换算标准!$C:$D, 换算标准!$I:$J), 2, TRUE), 0))</f>
        <v/>
      </c>
      <c r="T747" t="str">
        <f t="shared" si="34"/>
        <v/>
      </c>
      <c r="U747" t="str">
        <f>IF(T747="","", IFERROR(VLOOKUP(T747, IF(D747="Movers", 换算标准!$A:$B, 换算标准!$G:$H), 2, TRUE), 0))</f>
        <v/>
      </c>
      <c r="W747" t="str">
        <f t="shared" si="35"/>
        <v/>
      </c>
      <c r="Z747" s="5" t="str">
        <f>IF(J747="","", IF(K747&lt;=3, "⚠️ 薄弱环节: "&amp;INDEX($E$1:$I$1, MATCH(MIN(E747:I747), E747:I747, 0))&amp;CHAR(10)&amp;"📉 考察能力: "&amp;IFERROR(VLOOKUP(TRIM(D747)&amp;"_"&amp;TRIM(INDEX($E$1:$I$1, MATCH(MIN(E747:I747), E747:I747, 0))), 技能库!$A:$F, 5, 0),"建议查阅考纲")&amp;CHAR(10)&amp;"💡 提升建议: "&amp;IFERROR(VLOOKUP(TRIM(D747)&amp;"_"&amp;TRIM(INDEX($E$1:$I$1, MATCH(MIN(E747:I747), E747:I747, 0))), 技能库!$A:$F, 6, 0),"请针对该题型加强练习"), "🎉 表现优异，无明显弱项！"))</f>
        <v/>
      </c>
      <c r="AA747" s="5" t="str">
        <f>IF(T747="","", IF(U747&lt;=3, "⚠️ 薄弱环节: "&amp;INDEX($M$1:$S$1, MATCH(MIN(M747:S747), M747:S747, 0))&amp;CHAR(10)&amp;"📉 考察能力: "&amp;IFERROR(VLOOKUP(TRIM(D747)&amp;"_"&amp;TRIM(INDEX($M$1:$S$1, MATCH(MIN(M747:S747), M747:S747, 0))), 技能库!$A:$F, 5, 0),"建议查阅考纲")&amp;CHAR(10)&amp;"💡 提升建议: "&amp;IFERROR(VLOOKUP(TRIM(D747)&amp;"_"&amp;TRIM(INDEX($M$1:$S$1, MATCH(MIN(M747:S747), M747:S747, 0))), 技能库!$A:$F, 6, 0),"请针对该题型加强练习"), "🎉 表现优异，无明显弱项！"))</f>
        <v/>
      </c>
    </row>
    <row r="748" spans="10:27" ht="18" hidden="1" customHeight="1" x14ac:dyDescent="0.2">
      <c r="J748" t="str">
        <f t="shared" si="33"/>
        <v/>
      </c>
      <c r="K748" t="str">
        <f>IF(J748="","", IFERROR(VLOOKUP(J748, IF(D748="Movers", 换算标准!$C:$D, 换算标准!$I:$J), 2, TRUE), 0))</f>
        <v/>
      </c>
      <c r="T748" t="str">
        <f t="shared" si="34"/>
        <v/>
      </c>
      <c r="U748" t="str">
        <f>IF(T748="","", IFERROR(VLOOKUP(T748, IF(D748="Movers", 换算标准!$A:$B, 换算标准!$G:$H), 2, TRUE), 0))</f>
        <v/>
      </c>
      <c r="W748" t="str">
        <f t="shared" si="35"/>
        <v/>
      </c>
      <c r="Z748" s="5" t="str">
        <f>IF(J748="","", IF(K748&lt;=3, "⚠️ 薄弱环节: "&amp;INDEX($E$1:$I$1, MATCH(MIN(E748:I748), E748:I748, 0))&amp;CHAR(10)&amp;"📉 考察能力: "&amp;IFERROR(VLOOKUP(TRIM(D748)&amp;"_"&amp;TRIM(INDEX($E$1:$I$1, MATCH(MIN(E748:I748), E748:I748, 0))), 技能库!$A:$F, 5, 0),"建议查阅考纲")&amp;CHAR(10)&amp;"💡 提升建议: "&amp;IFERROR(VLOOKUP(TRIM(D748)&amp;"_"&amp;TRIM(INDEX($E$1:$I$1, MATCH(MIN(E748:I748), E748:I748, 0))), 技能库!$A:$F, 6, 0),"请针对该题型加强练习"), "🎉 表现优异，无明显弱项！"))</f>
        <v/>
      </c>
      <c r="AA748" s="5" t="str">
        <f>IF(T748="","", IF(U748&lt;=3, "⚠️ 薄弱环节: "&amp;INDEX($M$1:$S$1, MATCH(MIN(M748:S748), M748:S748, 0))&amp;CHAR(10)&amp;"📉 考察能力: "&amp;IFERROR(VLOOKUP(TRIM(D748)&amp;"_"&amp;TRIM(INDEX($M$1:$S$1, MATCH(MIN(M748:S748), M748:S748, 0))), 技能库!$A:$F, 5, 0),"建议查阅考纲")&amp;CHAR(10)&amp;"💡 提升建议: "&amp;IFERROR(VLOOKUP(TRIM(D748)&amp;"_"&amp;TRIM(INDEX($M$1:$S$1, MATCH(MIN(M748:S748), M748:S748, 0))), 技能库!$A:$F, 6, 0),"请针对该题型加强练习"), "🎉 表现优异，无明显弱项！"))</f>
        <v/>
      </c>
    </row>
    <row r="749" spans="10:27" ht="18" hidden="1" customHeight="1" x14ac:dyDescent="0.2">
      <c r="J749" t="str">
        <f t="shared" si="33"/>
        <v/>
      </c>
      <c r="K749" t="str">
        <f>IF(J749="","", IFERROR(VLOOKUP(J749, IF(D749="Movers", 换算标准!$C:$D, 换算标准!$I:$J), 2, TRUE), 0))</f>
        <v/>
      </c>
      <c r="T749" t="str">
        <f t="shared" si="34"/>
        <v/>
      </c>
      <c r="U749" t="str">
        <f>IF(T749="","", IFERROR(VLOOKUP(T749, IF(D749="Movers", 换算标准!$A:$B, 换算标准!$G:$H), 2, TRUE), 0))</f>
        <v/>
      </c>
      <c r="W749" t="str">
        <f t="shared" si="35"/>
        <v/>
      </c>
      <c r="Z749" s="5" t="str">
        <f>IF(J749="","", IF(K749&lt;=3, "⚠️ 薄弱环节: "&amp;INDEX($E$1:$I$1, MATCH(MIN(E749:I749), E749:I749, 0))&amp;CHAR(10)&amp;"📉 考察能力: "&amp;IFERROR(VLOOKUP(TRIM(D749)&amp;"_"&amp;TRIM(INDEX($E$1:$I$1, MATCH(MIN(E749:I749), E749:I749, 0))), 技能库!$A:$F, 5, 0),"建议查阅考纲")&amp;CHAR(10)&amp;"💡 提升建议: "&amp;IFERROR(VLOOKUP(TRIM(D749)&amp;"_"&amp;TRIM(INDEX($E$1:$I$1, MATCH(MIN(E749:I749), E749:I749, 0))), 技能库!$A:$F, 6, 0),"请针对该题型加强练习"), "🎉 表现优异，无明显弱项！"))</f>
        <v/>
      </c>
      <c r="AA749" s="5" t="str">
        <f>IF(T749="","", IF(U749&lt;=3, "⚠️ 薄弱环节: "&amp;INDEX($M$1:$S$1, MATCH(MIN(M749:S749), M749:S749, 0))&amp;CHAR(10)&amp;"📉 考察能力: "&amp;IFERROR(VLOOKUP(TRIM(D749)&amp;"_"&amp;TRIM(INDEX($M$1:$S$1, MATCH(MIN(M749:S749), M749:S749, 0))), 技能库!$A:$F, 5, 0),"建议查阅考纲")&amp;CHAR(10)&amp;"💡 提升建议: "&amp;IFERROR(VLOOKUP(TRIM(D749)&amp;"_"&amp;TRIM(INDEX($M$1:$S$1, MATCH(MIN(M749:S749), M749:S749, 0))), 技能库!$A:$F, 6, 0),"请针对该题型加强练习"), "🎉 表现优异，无明显弱项！"))</f>
        <v/>
      </c>
    </row>
    <row r="750" spans="10:27" ht="18" hidden="1" customHeight="1" x14ac:dyDescent="0.2">
      <c r="J750" t="str">
        <f t="shared" si="33"/>
        <v/>
      </c>
      <c r="K750" t="str">
        <f>IF(J750="","", IFERROR(VLOOKUP(J750, IF(D750="Movers", 换算标准!$C:$D, 换算标准!$I:$J), 2, TRUE), 0))</f>
        <v/>
      </c>
      <c r="T750" t="str">
        <f t="shared" si="34"/>
        <v/>
      </c>
      <c r="U750" t="str">
        <f>IF(T750="","", IFERROR(VLOOKUP(T750, IF(D750="Movers", 换算标准!$A:$B, 换算标准!$G:$H), 2, TRUE), 0))</f>
        <v/>
      </c>
      <c r="W750" t="str">
        <f t="shared" si="35"/>
        <v/>
      </c>
      <c r="Z750" s="5" t="str">
        <f>IF(J750="","", IF(K750&lt;=3, "⚠️ 薄弱环节: "&amp;INDEX($E$1:$I$1, MATCH(MIN(E750:I750), E750:I750, 0))&amp;CHAR(10)&amp;"📉 考察能力: "&amp;IFERROR(VLOOKUP(TRIM(D750)&amp;"_"&amp;TRIM(INDEX($E$1:$I$1, MATCH(MIN(E750:I750), E750:I750, 0))), 技能库!$A:$F, 5, 0),"建议查阅考纲")&amp;CHAR(10)&amp;"💡 提升建议: "&amp;IFERROR(VLOOKUP(TRIM(D750)&amp;"_"&amp;TRIM(INDEX($E$1:$I$1, MATCH(MIN(E750:I750), E750:I750, 0))), 技能库!$A:$F, 6, 0),"请针对该题型加强练习"), "🎉 表现优异，无明显弱项！"))</f>
        <v/>
      </c>
      <c r="AA750" s="5" t="str">
        <f>IF(T750="","", IF(U750&lt;=3, "⚠️ 薄弱环节: "&amp;INDEX($M$1:$S$1, MATCH(MIN(M750:S750), M750:S750, 0))&amp;CHAR(10)&amp;"📉 考察能力: "&amp;IFERROR(VLOOKUP(TRIM(D750)&amp;"_"&amp;TRIM(INDEX($M$1:$S$1, MATCH(MIN(M750:S750), M750:S750, 0))), 技能库!$A:$F, 5, 0),"建议查阅考纲")&amp;CHAR(10)&amp;"💡 提升建议: "&amp;IFERROR(VLOOKUP(TRIM(D750)&amp;"_"&amp;TRIM(INDEX($M$1:$S$1, MATCH(MIN(M750:S750), M750:S750, 0))), 技能库!$A:$F, 6, 0),"请针对该题型加强练习"), "🎉 表现优异，无明显弱项！"))</f>
        <v/>
      </c>
    </row>
    <row r="751" spans="10:27" ht="18" hidden="1" customHeight="1" x14ac:dyDescent="0.2">
      <c r="J751" t="str">
        <f t="shared" si="33"/>
        <v/>
      </c>
      <c r="K751" t="str">
        <f>IF(J751="","", IFERROR(VLOOKUP(J751, IF(D751="Movers", 换算标准!$C:$D, 换算标准!$I:$J), 2, TRUE), 0))</f>
        <v/>
      </c>
      <c r="T751" t="str">
        <f t="shared" si="34"/>
        <v/>
      </c>
      <c r="U751" t="str">
        <f>IF(T751="","", IFERROR(VLOOKUP(T751, IF(D751="Movers", 换算标准!$A:$B, 换算标准!$G:$H), 2, TRUE), 0))</f>
        <v/>
      </c>
      <c r="W751" t="str">
        <f t="shared" si="35"/>
        <v/>
      </c>
      <c r="Z751" s="5" t="str">
        <f>IF(J751="","", IF(K751&lt;=3, "⚠️ 薄弱环节: "&amp;INDEX($E$1:$I$1, MATCH(MIN(E751:I751), E751:I751, 0))&amp;CHAR(10)&amp;"📉 考察能力: "&amp;IFERROR(VLOOKUP(TRIM(D751)&amp;"_"&amp;TRIM(INDEX($E$1:$I$1, MATCH(MIN(E751:I751), E751:I751, 0))), 技能库!$A:$F, 5, 0),"建议查阅考纲")&amp;CHAR(10)&amp;"💡 提升建议: "&amp;IFERROR(VLOOKUP(TRIM(D751)&amp;"_"&amp;TRIM(INDEX($E$1:$I$1, MATCH(MIN(E751:I751), E751:I751, 0))), 技能库!$A:$F, 6, 0),"请针对该题型加强练习"), "🎉 表现优异，无明显弱项！"))</f>
        <v/>
      </c>
      <c r="AA751" s="5" t="str">
        <f>IF(T751="","", IF(U751&lt;=3, "⚠️ 薄弱环节: "&amp;INDEX($M$1:$S$1, MATCH(MIN(M751:S751), M751:S751, 0))&amp;CHAR(10)&amp;"📉 考察能力: "&amp;IFERROR(VLOOKUP(TRIM(D751)&amp;"_"&amp;TRIM(INDEX($M$1:$S$1, MATCH(MIN(M751:S751), M751:S751, 0))), 技能库!$A:$F, 5, 0),"建议查阅考纲")&amp;CHAR(10)&amp;"💡 提升建议: "&amp;IFERROR(VLOOKUP(TRIM(D751)&amp;"_"&amp;TRIM(INDEX($M$1:$S$1, MATCH(MIN(M751:S751), M751:S751, 0))), 技能库!$A:$F, 6, 0),"请针对该题型加强练习"), "🎉 表现优异，无明显弱项！"))</f>
        <v/>
      </c>
    </row>
    <row r="752" spans="10:27" ht="18" hidden="1" customHeight="1" x14ac:dyDescent="0.2">
      <c r="J752" t="str">
        <f t="shared" si="33"/>
        <v/>
      </c>
      <c r="K752" t="str">
        <f>IF(J752="","", IFERROR(VLOOKUP(J752, IF(D752="Movers", 换算标准!$C:$D, 换算标准!$I:$J), 2, TRUE), 0))</f>
        <v/>
      </c>
      <c r="T752" t="str">
        <f t="shared" si="34"/>
        <v/>
      </c>
      <c r="U752" t="str">
        <f>IF(T752="","", IFERROR(VLOOKUP(T752, IF(D752="Movers", 换算标准!$A:$B, 换算标准!$G:$H), 2, TRUE), 0))</f>
        <v/>
      </c>
      <c r="W752" t="str">
        <f t="shared" si="35"/>
        <v/>
      </c>
      <c r="Z752" s="5" t="str">
        <f>IF(J752="","", IF(K752&lt;=3, "⚠️ 薄弱环节: "&amp;INDEX($E$1:$I$1, MATCH(MIN(E752:I752), E752:I752, 0))&amp;CHAR(10)&amp;"📉 考察能力: "&amp;IFERROR(VLOOKUP(TRIM(D752)&amp;"_"&amp;TRIM(INDEX($E$1:$I$1, MATCH(MIN(E752:I752), E752:I752, 0))), 技能库!$A:$F, 5, 0),"建议查阅考纲")&amp;CHAR(10)&amp;"💡 提升建议: "&amp;IFERROR(VLOOKUP(TRIM(D752)&amp;"_"&amp;TRIM(INDEX($E$1:$I$1, MATCH(MIN(E752:I752), E752:I752, 0))), 技能库!$A:$F, 6, 0),"请针对该题型加强练习"), "🎉 表现优异，无明显弱项！"))</f>
        <v/>
      </c>
      <c r="AA752" s="5" t="str">
        <f>IF(T752="","", IF(U752&lt;=3, "⚠️ 薄弱环节: "&amp;INDEX($M$1:$S$1, MATCH(MIN(M752:S752), M752:S752, 0))&amp;CHAR(10)&amp;"📉 考察能力: "&amp;IFERROR(VLOOKUP(TRIM(D752)&amp;"_"&amp;TRIM(INDEX($M$1:$S$1, MATCH(MIN(M752:S752), M752:S752, 0))), 技能库!$A:$F, 5, 0),"建议查阅考纲")&amp;CHAR(10)&amp;"💡 提升建议: "&amp;IFERROR(VLOOKUP(TRIM(D752)&amp;"_"&amp;TRIM(INDEX($M$1:$S$1, MATCH(MIN(M752:S752), M752:S752, 0))), 技能库!$A:$F, 6, 0),"请针对该题型加强练习"), "🎉 表现优异，无明显弱项！"))</f>
        <v/>
      </c>
    </row>
    <row r="753" spans="10:27" ht="18" hidden="1" customHeight="1" x14ac:dyDescent="0.2">
      <c r="J753" t="str">
        <f t="shared" si="33"/>
        <v/>
      </c>
      <c r="K753" t="str">
        <f>IF(J753="","", IFERROR(VLOOKUP(J753, IF(D753="Movers", 换算标准!$C:$D, 换算标准!$I:$J), 2, TRUE), 0))</f>
        <v/>
      </c>
      <c r="T753" t="str">
        <f t="shared" si="34"/>
        <v/>
      </c>
      <c r="U753" t="str">
        <f>IF(T753="","", IFERROR(VLOOKUP(T753, IF(D753="Movers", 换算标准!$A:$B, 换算标准!$G:$H), 2, TRUE), 0))</f>
        <v/>
      </c>
      <c r="W753" t="str">
        <f t="shared" si="35"/>
        <v/>
      </c>
      <c r="Z753" s="5" t="str">
        <f>IF(J753="","", IF(K753&lt;=3, "⚠️ 薄弱环节: "&amp;INDEX($E$1:$I$1, MATCH(MIN(E753:I753), E753:I753, 0))&amp;CHAR(10)&amp;"📉 考察能力: "&amp;IFERROR(VLOOKUP(TRIM(D753)&amp;"_"&amp;TRIM(INDEX($E$1:$I$1, MATCH(MIN(E753:I753), E753:I753, 0))), 技能库!$A:$F, 5, 0),"建议查阅考纲")&amp;CHAR(10)&amp;"💡 提升建议: "&amp;IFERROR(VLOOKUP(TRIM(D753)&amp;"_"&amp;TRIM(INDEX($E$1:$I$1, MATCH(MIN(E753:I753), E753:I753, 0))), 技能库!$A:$F, 6, 0),"请针对该题型加强练习"), "🎉 表现优异，无明显弱项！"))</f>
        <v/>
      </c>
      <c r="AA753" s="5" t="str">
        <f>IF(T753="","", IF(U753&lt;=3, "⚠️ 薄弱环节: "&amp;INDEX($M$1:$S$1, MATCH(MIN(M753:S753), M753:S753, 0))&amp;CHAR(10)&amp;"📉 考察能力: "&amp;IFERROR(VLOOKUP(TRIM(D753)&amp;"_"&amp;TRIM(INDEX($M$1:$S$1, MATCH(MIN(M753:S753), M753:S753, 0))), 技能库!$A:$F, 5, 0),"建议查阅考纲")&amp;CHAR(10)&amp;"💡 提升建议: "&amp;IFERROR(VLOOKUP(TRIM(D753)&amp;"_"&amp;TRIM(INDEX($M$1:$S$1, MATCH(MIN(M753:S753), M753:S753, 0))), 技能库!$A:$F, 6, 0),"请针对该题型加强练习"), "🎉 表现优异，无明显弱项！"))</f>
        <v/>
      </c>
    </row>
    <row r="754" spans="10:27" ht="18" hidden="1" customHeight="1" x14ac:dyDescent="0.2">
      <c r="J754" t="str">
        <f t="shared" si="33"/>
        <v/>
      </c>
      <c r="K754" t="str">
        <f>IF(J754="","", IFERROR(VLOOKUP(J754, IF(D754="Movers", 换算标准!$C:$D, 换算标准!$I:$J), 2, TRUE), 0))</f>
        <v/>
      </c>
      <c r="T754" t="str">
        <f t="shared" si="34"/>
        <v/>
      </c>
      <c r="U754" t="str">
        <f>IF(T754="","", IFERROR(VLOOKUP(T754, IF(D754="Movers", 换算标准!$A:$B, 换算标准!$G:$H), 2, TRUE), 0))</f>
        <v/>
      </c>
      <c r="W754" t="str">
        <f t="shared" si="35"/>
        <v/>
      </c>
      <c r="Z754" s="5" t="str">
        <f>IF(J754="","", IF(K754&lt;=3, "⚠️ 薄弱环节: "&amp;INDEX($E$1:$I$1, MATCH(MIN(E754:I754), E754:I754, 0))&amp;CHAR(10)&amp;"📉 考察能力: "&amp;IFERROR(VLOOKUP(TRIM(D754)&amp;"_"&amp;TRIM(INDEX($E$1:$I$1, MATCH(MIN(E754:I754), E754:I754, 0))), 技能库!$A:$F, 5, 0),"建议查阅考纲")&amp;CHAR(10)&amp;"💡 提升建议: "&amp;IFERROR(VLOOKUP(TRIM(D754)&amp;"_"&amp;TRIM(INDEX($E$1:$I$1, MATCH(MIN(E754:I754), E754:I754, 0))), 技能库!$A:$F, 6, 0),"请针对该题型加强练习"), "🎉 表现优异，无明显弱项！"))</f>
        <v/>
      </c>
      <c r="AA754" s="5" t="str">
        <f>IF(T754="","", IF(U754&lt;=3, "⚠️ 薄弱环节: "&amp;INDEX($M$1:$S$1, MATCH(MIN(M754:S754), M754:S754, 0))&amp;CHAR(10)&amp;"📉 考察能力: "&amp;IFERROR(VLOOKUP(TRIM(D754)&amp;"_"&amp;TRIM(INDEX($M$1:$S$1, MATCH(MIN(M754:S754), M754:S754, 0))), 技能库!$A:$F, 5, 0),"建议查阅考纲")&amp;CHAR(10)&amp;"💡 提升建议: "&amp;IFERROR(VLOOKUP(TRIM(D754)&amp;"_"&amp;TRIM(INDEX($M$1:$S$1, MATCH(MIN(M754:S754), M754:S754, 0))), 技能库!$A:$F, 6, 0),"请针对该题型加强练习"), "🎉 表现优异，无明显弱项！"))</f>
        <v/>
      </c>
    </row>
    <row r="755" spans="10:27" ht="18" hidden="1" customHeight="1" x14ac:dyDescent="0.2">
      <c r="J755" t="str">
        <f t="shared" si="33"/>
        <v/>
      </c>
      <c r="K755" t="str">
        <f>IF(J755="","", IFERROR(VLOOKUP(J755, IF(D755="Movers", 换算标准!$C:$D, 换算标准!$I:$J), 2, TRUE), 0))</f>
        <v/>
      </c>
      <c r="T755" t="str">
        <f t="shared" si="34"/>
        <v/>
      </c>
      <c r="U755" t="str">
        <f>IF(T755="","", IFERROR(VLOOKUP(T755, IF(D755="Movers", 换算标准!$A:$B, 换算标准!$G:$H), 2, TRUE), 0))</f>
        <v/>
      </c>
      <c r="W755" t="str">
        <f t="shared" si="35"/>
        <v/>
      </c>
      <c r="Z755" s="5" t="str">
        <f>IF(J755="","", IF(K755&lt;=3, "⚠️ 薄弱环节: "&amp;INDEX($E$1:$I$1, MATCH(MIN(E755:I755), E755:I755, 0))&amp;CHAR(10)&amp;"📉 考察能力: "&amp;IFERROR(VLOOKUP(TRIM(D755)&amp;"_"&amp;TRIM(INDEX($E$1:$I$1, MATCH(MIN(E755:I755), E755:I755, 0))), 技能库!$A:$F, 5, 0),"建议查阅考纲")&amp;CHAR(10)&amp;"💡 提升建议: "&amp;IFERROR(VLOOKUP(TRIM(D755)&amp;"_"&amp;TRIM(INDEX($E$1:$I$1, MATCH(MIN(E755:I755), E755:I755, 0))), 技能库!$A:$F, 6, 0),"请针对该题型加强练习"), "🎉 表现优异，无明显弱项！"))</f>
        <v/>
      </c>
      <c r="AA755" s="5" t="str">
        <f>IF(T755="","", IF(U755&lt;=3, "⚠️ 薄弱环节: "&amp;INDEX($M$1:$S$1, MATCH(MIN(M755:S755), M755:S755, 0))&amp;CHAR(10)&amp;"📉 考察能力: "&amp;IFERROR(VLOOKUP(TRIM(D755)&amp;"_"&amp;TRIM(INDEX($M$1:$S$1, MATCH(MIN(M755:S755), M755:S755, 0))), 技能库!$A:$F, 5, 0),"建议查阅考纲")&amp;CHAR(10)&amp;"💡 提升建议: "&amp;IFERROR(VLOOKUP(TRIM(D755)&amp;"_"&amp;TRIM(INDEX($M$1:$S$1, MATCH(MIN(M755:S755), M755:S755, 0))), 技能库!$A:$F, 6, 0),"请针对该题型加强练习"), "🎉 表现优异，无明显弱项！"))</f>
        <v/>
      </c>
    </row>
    <row r="756" spans="10:27" ht="18" hidden="1" customHeight="1" x14ac:dyDescent="0.2">
      <c r="J756" t="str">
        <f t="shared" si="33"/>
        <v/>
      </c>
      <c r="K756" t="str">
        <f>IF(J756="","", IFERROR(VLOOKUP(J756, IF(D756="Movers", 换算标准!$C:$D, 换算标准!$I:$J), 2, TRUE), 0))</f>
        <v/>
      </c>
      <c r="T756" t="str">
        <f t="shared" si="34"/>
        <v/>
      </c>
      <c r="U756" t="str">
        <f>IF(T756="","", IFERROR(VLOOKUP(T756, IF(D756="Movers", 换算标准!$A:$B, 换算标准!$G:$H), 2, TRUE), 0))</f>
        <v/>
      </c>
      <c r="W756" t="str">
        <f t="shared" si="35"/>
        <v/>
      </c>
      <c r="Z756" s="5" t="str">
        <f>IF(J756="","", IF(K756&lt;=3, "⚠️ 薄弱环节: "&amp;INDEX($E$1:$I$1, MATCH(MIN(E756:I756), E756:I756, 0))&amp;CHAR(10)&amp;"📉 考察能力: "&amp;IFERROR(VLOOKUP(TRIM(D756)&amp;"_"&amp;TRIM(INDEX($E$1:$I$1, MATCH(MIN(E756:I756), E756:I756, 0))), 技能库!$A:$F, 5, 0),"建议查阅考纲")&amp;CHAR(10)&amp;"💡 提升建议: "&amp;IFERROR(VLOOKUP(TRIM(D756)&amp;"_"&amp;TRIM(INDEX($E$1:$I$1, MATCH(MIN(E756:I756), E756:I756, 0))), 技能库!$A:$F, 6, 0),"请针对该题型加强练习"), "🎉 表现优异，无明显弱项！"))</f>
        <v/>
      </c>
      <c r="AA756" s="5" t="str">
        <f>IF(T756="","", IF(U756&lt;=3, "⚠️ 薄弱环节: "&amp;INDEX($M$1:$S$1, MATCH(MIN(M756:S756), M756:S756, 0))&amp;CHAR(10)&amp;"📉 考察能力: "&amp;IFERROR(VLOOKUP(TRIM(D756)&amp;"_"&amp;TRIM(INDEX($M$1:$S$1, MATCH(MIN(M756:S756), M756:S756, 0))), 技能库!$A:$F, 5, 0),"建议查阅考纲")&amp;CHAR(10)&amp;"💡 提升建议: "&amp;IFERROR(VLOOKUP(TRIM(D756)&amp;"_"&amp;TRIM(INDEX($M$1:$S$1, MATCH(MIN(M756:S756), M756:S756, 0))), 技能库!$A:$F, 6, 0),"请针对该题型加强练习"), "🎉 表现优异，无明显弱项！"))</f>
        <v/>
      </c>
    </row>
    <row r="757" spans="10:27" ht="18" hidden="1" customHeight="1" x14ac:dyDescent="0.2">
      <c r="J757" t="str">
        <f t="shared" si="33"/>
        <v/>
      </c>
      <c r="K757" t="str">
        <f>IF(J757="","", IFERROR(VLOOKUP(J757, IF(D757="Movers", 换算标准!$C:$D, 换算标准!$I:$J), 2, TRUE), 0))</f>
        <v/>
      </c>
      <c r="T757" t="str">
        <f t="shared" si="34"/>
        <v/>
      </c>
      <c r="U757" t="str">
        <f>IF(T757="","", IFERROR(VLOOKUP(T757, IF(D757="Movers", 换算标准!$A:$B, 换算标准!$G:$H), 2, TRUE), 0))</f>
        <v/>
      </c>
      <c r="W757" t="str">
        <f t="shared" si="35"/>
        <v/>
      </c>
      <c r="Z757" s="5" t="str">
        <f>IF(J757="","", IF(K757&lt;=3, "⚠️ 薄弱环节: "&amp;INDEX($E$1:$I$1, MATCH(MIN(E757:I757), E757:I757, 0))&amp;CHAR(10)&amp;"📉 考察能力: "&amp;IFERROR(VLOOKUP(TRIM(D757)&amp;"_"&amp;TRIM(INDEX($E$1:$I$1, MATCH(MIN(E757:I757), E757:I757, 0))), 技能库!$A:$F, 5, 0),"建议查阅考纲")&amp;CHAR(10)&amp;"💡 提升建议: "&amp;IFERROR(VLOOKUP(TRIM(D757)&amp;"_"&amp;TRIM(INDEX($E$1:$I$1, MATCH(MIN(E757:I757), E757:I757, 0))), 技能库!$A:$F, 6, 0),"请针对该题型加强练习"), "🎉 表现优异，无明显弱项！"))</f>
        <v/>
      </c>
      <c r="AA757" s="5" t="str">
        <f>IF(T757="","", IF(U757&lt;=3, "⚠️ 薄弱环节: "&amp;INDEX($M$1:$S$1, MATCH(MIN(M757:S757), M757:S757, 0))&amp;CHAR(10)&amp;"📉 考察能力: "&amp;IFERROR(VLOOKUP(TRIM(D757)&amp;"_"&amp;TRIM(INDEX($M$1:$S$1, MATCH(MIN(M757:S757), M757:S757, 0))), 技能库!$A:$F, 5, 0),"建议查阅考纲")&amp;CHAR(10)&amp;"💡 提升建议: "&amp;IFERROR(VLOOKUP(TRIM(D757)&amp;"_"&amp;TRIM(INDEX($M$1:$S$1, MATCH(MIN(M757:S757), M757:S757, 0))), 技能库!$A:$F, 6, 0),"请针对该题型加强练习"), "🎉 表现优异，无明显弱项！"))</f>
        <v/>
      </c>
    </row>
    <row r="758" spans="10:27" ht="18" hidden="1" customHeight="1" x14ac:dyDescent="0.2">
      <c r="J758" t="str">
        <f t="shared" si="33"/>
        <v/>
      </c>
      <c r="K758" t="str">
        <f>IF(J758="","", IFERROR(VLOOKUP(J758, IF(D758="Movers", 换算标准!$C:$D, 换算标准!$I:$J), 2, TRUE), 0))</f>
        <v/>
      </c>
      <c r="T758" t="str">
        <f t="shared" si="34"/>
        <v/>
      </c>
      <c r="U758" t="str">
        <f>IF(T758="","", IFERROR(VLOOKUP(T758, IF(D758="Movers", 换算标准!$A:$B, 换算标准!$G:$H), 2, TRUE), 0))</f>
        <v/>
      </c>
      <c r="W758" t="str">
        <f t="shared" si="35"/>
        <v/>
      </c>
      <c r="Z758" s="5" t="str">
        <f>IF(J758="","", IF(K758&lt;=3, "⚠️ 薄弱环节: "&amp;INDEX($E$1:$I$1, MATCH(MIN(E758:I758), E758:I758, 0))&amp;CHAR(10)&amp;"📉 考察能力: "&amp;IFERROR(VLOOKUP(TRIM(D758)&amp;"_"&amp;TRIM(INDEX($E$1:$I$1, MATCH(MIN(E758:I758), E758:I758, 0))), 技能库!$A:$F, 5, 0),"建议查阅考纲")&amp;CHAR(10)&amp;"💡 提升建议: "&amp;IFERROR(VLOOKUP(TRIM(D758)&amp;"_"&amp;TRIM(INDEX($E$1:$I$1, MATCH(MIN(E758:I758), E758:I758, 0))), 技能库!$A:$F, 6, 0),"请针对该题型加强练习"), "🎉 表现优异，无明显弱项！"))</f>
        <v/>
      </c>
      <c r="AA758" s="5" t="str">
        <f>IF(T758="","", IF(U758&lt;=3, "⚠️ 薄弱环节: "&amp;INDEX($M$1:$S$1, MATCH(MIN(M758:S758), M758:S758, 0))&amp;CHAR(10)&amp;"📉 考察能力: "&amp;IFERROR(VLOOKUP(TRIM(D758)&amp;"_"&amp;TRIM(INDEX($M$1:$S$1, MATCH(MIN(M758:S758), M758:S758, 0))), 技能库!$A:$F, 5, 0),"建议查阅考纲")&amp;CHAR(10)&amp;"💡 提升建议: "&amp;IFERROR(VLOOKUP(TRIM(D758)&amp;"_"&amp;TRIM(INDEX($M$1:$S$1, MATCH(MIN(M758:S758), M758:S758, 0))), 技能库!$A:$F, 6, 0),"请针对该题型加强练习"), "🎉 表现优异，无明显弱项！"))</f>
        <v/>
      </c>
    </row>
    <row r="759" spans="10:27" ht="18" hidden="1" customHeight="1" x14ac:dyDescent="0.2">
      <c r="J759" t="str">
        <f t="shared" si="33"/>
        <v/>
      </c>
      <c r="K759" t="str">
        <f>IF(J759="","", IFERROR(VLOOKUP(J759, IF(D759="Movers", 换算标准!$C:$D, 换算标准!$I:$J), 2, TRUE), 0))</f>
        <v/>
      </c>
      <c r="T759" t="str">
        <f t="shared" si="34"/>
        <v/>
      </c>
      <c r="U759" t="str">
        <f>IF(T759="","", IFERROR(VLOOKUP(T759, IF(D759="Movers", 换算标准!$A:$B, 换算标准!$G:$H), 2, TRUE), 0))</f>
        <v/>
      </c>
      <c r="W759" t="str">
        <f t="shared" si="35"/>
        <v/>
      </c>
      <c r="Z759" s="5" t="str">
        <f>IF(J759="","", IF(K759&lt;=3, "⚠️ 薄弱环节: "&amp;INDEX($E$1:$I$1, MATCH(MIN(E759:I759), E759:I759, 0))&amp;CHAR(10)&amp;"📉 考察能力: "&amp;IFERROR(VLOOKUP(TRIM(D759)&amp;"_"&amp;TRIM(INDEX($E$1:$I$1, MATCH(MIN(E759:I759), E759:I759, 0))), 技能库!$A:$F, 5, 0),"建议查阅考纲")&amp;CHAR(10)&amp;"💡 提升建议: "&amp;IFERROR(VLOOKUP(TRIM(D759)&amp;"_"&amp;TRIM(INDEX($E$1:$I$1, MATCH(MIN(E759:I759), E759:I759, 0))), 技能库!$A:$F, 6, 0),"请针对该题型加强练习"), "🎉 表现优异，无明显弱项！"))</f>
        <v/>
      </c>
      <c r="AA759" s="5" t="str">
        <f>IF(T759="","", IF(U759&lt;=3, "⚠️ 薄弱环节: "&amp;INDEX($M$1:$S$1, MATCH(MIN(M759:S759), M759:S759, 0))&amp;CHAR(10)&amp;"📉 考察能力: "&amp;IFERROR(VLOOKUP(TRIM(D759)&amp;"_"&amp;TRIM(INDEX($M$1:$S$1, MATCH(MIN(M759:S759), M759:S759, 0))), 技能库!$A:$F, 5, 0),"建议查阅考纲")&amp;CHAR(10)&amp;"💡 提升建议: "&amp;IFERROR(VLOOKUP(TRIM(D759)&amp;"_"&amp;TRIM(INDEX($M$1:$S$1, MATCH(MIN(M759:S759), M759:S759, 0))), 技能库!$A:$F, 6, 0),"请针对该题型加强练习"), "🎉 表现优异，无明显弱项！"))</f>
        <v/>
      </c>
    </row>
    <row r="760" spans="10:27" ht="18" hidden="1" customHeight="1" x14ac:dyDescent="0.2">
      <c r="J760" t="str">
        <f t="shared" si="33"/>
        <v/>
      </c>
      <c r="K760" t="str">
        <f>IF(J760="","", IFERROR(VLOOKUP(J760, IF(D760="Movers", 换算标准!$C:$D, 换算标准!$I:$J), 2, TRUE), 0))</f>
        <v/>
      </c>
      <c r="T760" t="str">
        <f t="shared" si="34"/>
        <v/>
      </c>
      <c r="U760" t="str">
        <f>IF(T760="","", IFERROR(VLOOKUP(T760, IF(D760="Movers", 换算标准!$A:$B, 换算标准!$G:$H), 2, TRUE), 0))</f>
        <v/>
      </c>
      <c r="W760" t="str">
        <f t="shared" si="35"/>
        <v/>
      </c>
      <c r="Z760" s="5" t="str">
        <f>IF(J760="","", IF(K760&lt;=3, "⚠️ 薄弱环节: "&amp;INDEX($E$1:$I$1, MATCH(MIN(E760:I760), E760:I760, 0))&amp;CHAR(10)&amp;"📉 考察能力: "&amp;IFERROR(VLOOKUP(TRIM(D760)&amp;"_"&amp;TRIM(INDEX($E$1:$I$1, MATCH(MIN(E760:I760), E760:I760, 0))), 技能库!$A:$F, 5, 0),"建议查阅考纲")&amp;CHAR(10)&amp;"💡 提升建议: "&amp;IFERROR(VLOOKUP(TRIM(D760)&amp;"_"&amp;TRIM(INDEX($E$1:$I$1, MATCH(MIN(E760:I760), E760:I760, 0))), 技能库!$A:$F, 6, 0),"请针对该题型加强练习"), "🎉 表现优异，无明显弱项！"))</f>
        <v/>
      </c>
      <c r="AA760" s="5" t="str">
        <f>IF(T760="","", IF(U760&lt;=3, "⚠️ 薄弱环节: "&amp;INDEX($M$1:$S$1, MATCH(MIN(M760:S760), M760:S760, 0))&amp;CHAR(10)&amp;"📉 考察能力: "&amp;IFERROR(VLOOKUP(TRIM(D760)&amp;"_"&amp;TRIM(INDEX($M$1:$S$1, MATCH(MIN(M760:S760), M760:S760, 0))), 技能库!$A:$F, 5, 0),"建议查阅考纲")&amp;CHAR(10)&amp;"💡 提升建议: "&amp;IFERROR(VLOOKUP(TRIM(D760)&amp;"_"&amp;TRIM(INDEX($M$1:$S$1, MATCH(MIN(M760:S760), M760:S760, 0))), 技能库!$A:$F, 6, 0),"请针对该题型加强练习"), "🎉 表现优异，无明显弱项！"))</f>
        <v/>
      </c>
    </row>
    <row r="761" spans="10:27" ht="18" hidden="1" customHeight="1" x14ac:dyDescent="0.2">
      <c r="J761" t="str">
        <f t="shared" si="33"/>
        <v/>
      </c>
      <c r="K761" t="str">
        <f>IF(J761="","", IFERROR(VLOOKUP(J761, IF(D761="Movers", 换算标准!$C:$D, 换算标准!$I:$J), 2, TRUE), 0))</f>
        <v/>
      </c>
      <c r="T761" t="str">
        <f t="shared" si="34"/>
        <v/>
      </c>
      <c r="U761" t="str">
        <f>IF(T761="","", IFERROR(VLOOKUP(T761, IF(D761="Movers", 换算标准!$A:$B, 换算标准!$G:$H), 2, TRUE), 0))</f>
        <v/>
      </c>
      <c r="W761" t="str">
        <f t="shared" si="35"/>
        <v/>
      </c>
      <c r="Z761" s="5" t="str">
        <f>IF(J761="","", IF(K761&lt;=3, "⚠️ 薄弱环节: "&amp;INDEX($E$1:$I$1, MATCH(MIN(E761:I761), E761:I761, 0))&amp;CHAR(10)&amp;"📉 考察能力: "&amp;IFERROR(VLOOKUP(TRIM(D761)&amp;"_"&amp;TRIM(INDEX($E$1:$I$1, MATCH(MIN(E761:I761), E761:I761, 0))), 技能库!$A:$F, 5, 0),"建议查阅考纲")&amp;CHAR(10)&amp;"💡 提升建议: "&amp;IFERROR(VLOOKUP(TRIM(D761)&amp;"_"&amp;TRIM(INDEX($E$1:$I$1, MATCH(MIN(E761:I761), E761:I761, 0))), 技能库!$A:$F, 6, 0),"请针对该题型加强练习"), "🎉 表现优异，无明显弱项！"))</f>
        <v/>
      </c>
      <c r="AA761" s="5" t="str">
        <f>IF(T761="","", IF(U761&lt;=3, "⚠️ 薄弱环节: "&amp;INDEX($M$1:$S$1, MATCH(MIN(M761:S761), M761:S761, 0))&amp;CHAR(10)&amp;"📉 考察能力: "&amp;IFERROR(VLOOKUP(TRIM(D761)&amp;"_"&amp;TRIM(INDEX($M$1:$S$1, MATCH(MIN(M761:S761), M761:S761, 0))), 技能库!$A:$F, 5, 0),"建议查阅考纲")&amp;CHAR(10)&amp;"💡 提升建议: "&amp;IFERROR(VLOOKUP(TRIM(D761)&amp;"_"&amp;TRIM(INDEX($M$1:$S$1, MATCH(MIN(M761:S761), M761:S761, 0))), 技能库!$A:$F, 6, 0),"请针对该题型加强练习"), "🎉 表现优异，无明显弱项！"))</f>
        <v/>
      </c>
    </row>
    <row r="762" spans="10:27" ht="18" hidden="1" customHeight="1" x14ac:dyDescent="0.2">
      <c r="J762" t="str">
        <f t="shared" si="33"/>
        <v/>
      </c>
      <c r="K762" t="str">
        <f>IF(J762="","", IFERROR(VLOOKUP(J762, IF(D762="Movers", 换算标准!$C:$D, 换算标准!$I:$J), 2, TRUE), 0))</f>
        <v/>
      </c>
      <c r="T762" t="str">
        <f t="shared" si="34"/>
        <v/>
      </c>
      <c r="U762" t="str">
        <f>IF(T762="","", IFERROR(VLOOKUP(T762, IF(D762="Movers", 换算标准!$A:$B, 换算标准!$G:$H), 2, TRUE), 0))</f>
        <v/>
      </c>
      <c r="W762" t="str">
        <f t="shared" si="35"/>
        <v/>
      </c>
      <c r="Z762" s="5" t="str">
        <f>IF(J762="","", IF(K762&lt;=3, "⚠️ 薄弱环节: "&amp;INDEX($E$1:$I$1, MATCH(MIN(E762:I762), E762:I762, 0))&amp;CHAR(10)&amp;"📉 考察能力: "&amp;IFERROR(VLOOKUP(TRIM(D762)&amp;"_"&amp;TRIM(INDEX($E$1:$I$1, MATCH(MIN(E762:I762), E762:I762, 0))), 技能库!$A:$F, 5, 0),"建议查阅考纲")&amp;CHAR(10)&amp;"💡 提升建议: "&amp;IFERROR(VLOOKUP(TRIM(D762)&amp;"_"&amp;TRIM(INDEX($E$1:$I$1, MATCH(MIN(E762:I762), E762:I762, 0))), 技能库!$A:$F, 6, 0),"请针对该题型加强练习"), "🎉 表现优异，无明显弱项！"))</f>
        <v/>
      </c>
      <c r="AA762" s="5" t="str">
        <f>IF(T762="","", IF(U762&lt;=3, "⚠️ 薄弱环节: "&amp;INDEX($M$1:$S$1, MATCH(MIN(M762:S762), M762:S762, 0))&amp;CHAR(10)&amp;"📉 考察能力: "&amp;IFERROR(VLOOKUP(TRIM(D762)&amp;"_"&amp;TRIM(INDEX($M$1:$S$1, MATCH(MIN(M762:S762), M762:S762, 0))), 技能库!$A:$F, 5, 0),"建议查阅考纲")&amp;CHAR(10)&amp;"💡 提升建议: "&amp;IFERROR(VLOOKUP(TRIM(D762)&amp;"_"&amp;TRIM(INDEX($M$1:$S$1, MATCH(MIN(M762:S762), M762:S762, 0))), 技能库!$A:$F, 6, 0),"请针对该题型加强练习"), "🎉 表现优异，无明显弱项！"))</f>
        <v/>
      </c>
    </row>
    <row r="763" spans="10:27" ht="18" hidden="1" customHeight="1" x14ac:dyDescent="0.2">
      <c r="J763" t="str">
        <f t="shared" si="33"/>
        <v/>
      </c>
      <c r="K763" t="str">
        <f>IF(J763="","", IFERROR(VLOOKUP(J763, IF(D763="Movers", 换算标准!$C:$D, 换算标准!$I:$J), 2, TRUE), 0))</f>
        <v/>
      </c>
      <c r="T763" t="str">
        <f t="shared" si="34"/>
        <v/>
      </c>
      <c r="U763" t="str">
        <f>IF(T763="","", IFERROR(VLOOKUP(T763, IF(D763="Movers", 换算标准!$A:$B, 换算标准!$G:$H), 2, TRUE), 0))</f>
        <v/>
      </c>
      <c r="W763" t="str">
        <f t="shared" si="35"/>
        <v/>
      </c>
      <c r="Z763" s="5" t="str">
        <f>IF(J763="","", IF(K763&lt;=3, "⚠️ 薄弱环节: "&amp;INDEX($E$1:$I$1, MATCH(MIN(E763:I763), E763:I763, 0))&amp;CHAR(10)&amp;"📉 考察能力: "&amp;IFERROR(VLOOKUP(TRIM(D763)&amp;"_"&amp;TRIM(INDEX($E$1:$I$1, MATCH(MIN(E763:I763), E763:I763, 0))), 技能库!$A:$F, 5, 0),"建议查阅考纲")&amp;CHAR(10)&amp;"💡 提升建议: "&amp;IFERROR(VLOOKUP(TRIM(D763)&amp;"_"&amp;TRIM(INDEX($E$1:$I$1, MATCH(MIN(E763:I763), E763:I763, 0))), 技能库!$A:$F, 6, 0),"请针对该题型加强练习"), "🎉 表现优异，无明显弱项！"))</f>
        <v/>
      </c>
      <c r="AA763" s="5" t="str">
        <f>IF(T763="","", IF(U763&lt;=3, "⚠️ 薄弱环节: "&amp;INDEX($M$1:$S$1, MATCH(MIN(M763:S763), M763:S763, 0))&amp;CHAR(10)&amp;"📉 考察能力: "&amp;IFERROR(VLOOKUP(TRIM(D763)&amp;"_"&amp;TRIM(INDEX($M$1:$S$1, MATCH(MIN(M763:S763), M763:S763, 0))), 技能库!$A:$F, 5, 0),"建议查阅考纲")&amp;CHAR(10)&amp;"💡 提升建议: "&amp;IFERROR(VLOOKUP(TRIM(D763)&amp;"_"&amp;TRIM(INDEX($M$1:$S$1, MATCH(MIN(M763:S763), M763:S763, 0))), 技能库!$A:$F, 6, 0),"请针对该题型加强练习"), "🎉 表现优异，无明显弱项！"))</f>
        <v/>
      </c>
    </row>
    <row r="764" spans="10:27" ht="18" hidden="1" customHeight="1" x14ac:dyDescent="0.2">
      <c r="J764" t="str">
        <f t="shared" si="33"/>
        <v/>
      </c>
      <c r="K764" t="str">
        <f>IF(J764="","", IFERROR(VLOOKUP(J764, IF(D764="Movers", 换算标准!$C:$D, 换算标准!$I:$J), 2, TRUE), 0))</f>
        <v/>
      </c>
      <c r="T764" t="str">
        <f t="shared" si="34"/>
        <v/>
      </c>
      <c r="U764" t="str">
        <f>IF(T764="","", IFERROR(VLOOKUP(T764, IF(D764="Movers", 换算标准!$A:$B, 换算标准!$G:$H), 2, TRUE), 0))</f>
        <v/>
      </c>
      <c r="W764" t="str">
        <f t="shared" si="35"/>
        <v/>
      </c>
      <c r="Z764" s="5" t="str">
        <f>IF(J764="","", IF(K764&lt;=3, "⚠️ 薄弱环节: "&amp;INDEX($E$1:$I$1, MATCH(MIN(E764:I764), E764:I764, 0))&amp;CHAR(10)&amp;"📉 考察能力: "&amp;IFERROR(VLOOKUP(TRIM(D764)&amp;"_"&amp;TRIM(INDEX($E$1:$I$1, MATCH(MIN(E764:I764), E764:I764, 0))), 技能库!$A:$F, 5, 0),"建议查阅考纲")&amp;CHAR(10)&amp;"💡 提升建议: "&amp;IFERROR(VLOOKUP(TRIM(D764)&amp;"_"&amp;TRIM(INDEX($E$1:$I$1, MATCH(MIN(E764:I764), E764:I764, 0))), 技能库!$A:$F, 6, 0),"请针对该题型加强练习"), "🎉 表现优异，无明显弱项！"))</f>
        <v/>
      </c>
      <c r="AA764" s="5" t="str">
        <f>IF(T764="","", IF(U764&lt;=3, "⚠️ 薄弱环节: "&amp;INDEX($M$1:$S$1, MATCH(MIN(M764:S764), M764:S764, 0))&amp;CHAR(10)&amp;"📉 考察能力: "&amp;IFERROR(VLOOKUP(TRIM(D764)&amp;"_"&amp;TRIM(INDEX($M$1:$S$1, MATCH(MIN(M764:S764), M764:S764, 0))), 技能库!$A:$F, 5, 0),"建议查阅考纲")&amp;CHAR(10)&amp;"💡 提升建议: "&amp;IFERROR(VLOOKUP(TRIM(D764)&amp;"_"&amp;TRIM(INDEX($M$1:$S$1, MATCH(MIN(M764:S764), M764:S764, 0))), 技能库!$A:$F, 6, 0),"请针对该题型加强练习"), "🎉 表现优异，无明显弱项！"))</f>
        <v/>
      </c>
    </row>
    <row r="765" spans="10:27" ht="18" hidden="1" customHeight="1" x14ac:dyDescent="0.2">
      <c r="J765" t="str">
        <f t="shared" si="33"/>
        <v/>
      </c>
      <c r="K765" t="str">
        <f>IF(J765="","", IFERROR(VLOOKUP(J765, IF(D765="Movers", 换算标准!$C:$D, 换算标准!$I:$J), 2, TRUE), 0))</f>
        <v/>
      </c>
      <c r="T765" t="str">
        <f t="shared" si="34"/>
        <v/>
      </c>
      <c r="U765" t="str">
        <f>IF(T765="","", IFERROR(VLOOKUP(T765, IF(D765="Movers", 换算标准!$A:$B, 换算标准!$G:$H), 2, TRUE), 0))</f>
        <v/>
      </c>
      <c r="W765" t="str">
        <f t="shared" si="35"/>
        <v/>
      </c>
      <c r="Z765" s="5" t="str">
        <f>IF(J765="","", IF(K765&lt;=3, "⚠️ 薄弱环节: "&amp;INDEX($E$1:$I$1, MATCH(MIN(E765:I765), E765:I765, 0))&amp;CHAR(10)&amp;"📉 考察能力: "&amp;IFERROR(VLOOKUP(TRIM(D765)&amp;"_"&amp;TRIM(INDEX($E$1:$I$1, MATCH(MIN(E765:I765), E765:I765, 0))), 技能库!$A:$F, 5, 0),"建议查阅考纲")&amp;CHAR(10)&amp;"💡 提升建议: "&amp;IFERROR(VLOOKUP(TRIM(D765)&amp;"_"&amp;TRIM(INDEX($E$1:$I$1, MATCH(MIN(E765:I765), E765:I765, 0))), 技能库!$A:$F, 6, 0),"请针对该题型加强练习"), "🎉 表现优异，无明显弱项！"))</f>
        <v/>
      </c>
      <c r="AA765" s="5" t="str">
        <f>IF(T765="","", IF(U765&lt;=3, "⚠️ 薄弱环节: "&amp;INDEX($M$1:$S$1, MATCH(MIN(M765:S765), M765:S765, 0))&amp;CHAR(10)&amp;"📉 考察能力: "&amp;IFERROR(VLOOKUP(TRIM(D765)&amp;"_"&amp;TRIM(INDEX($M$1:$S$1, MATCH(MIN(M765:S765), M765:S765, 0))), 技能库!$A:$F, 5, 0),"建议查阅考纲")&amp;CHAR(10)&amp;"💡 提升建议: "&amp;IFERROR(VLOOKUP(TRIM(D765)&amp;"_"&amp;TRIM(INDEX($M$1:$S$1, MATCH(MIN(M765:S765), M765:S765, 0))), 技能库!$A:$F, 6, 0),"请针对该题型加强练习"), "🎉 表现优异，无明显弱项！"))</f>
        <v/>
      </c>
    </row>
    <row r="766" spans="10:27" ht="18" hidden="1" customHeight="1" x14ac:dyDescent="0.2">
      <c r="J766" t="str">
        <f t="shared" si="33"/>
        <v/>
      </c>
      <c r="K766" t="str">
        <f>IF(J766="","", IFERROR(VLOOKUP(J766, IF(D766="Movers", 换算标准!$C:$D, 换算标准!$I:$J), 2, TRUE), 0))</f>
        <v/>
      </c>
      <c r="T766" t="str">
        <f t="shared" si="34"/>
        <v/>
      </c>
      <c r="U766" t="str">
        <f>IF(T766="","", IFERROR(VLOOKUP(T766, IF(D766="Movers", 换算标准!$A:$B, 换算标准!$G:$H), 2, TRUE), 0))</f>
        <v/>
      </c>
      <c r="W766" t="str">
        <f t="shared" si="35"/>
        <v/>
      </c>
      <c r="Z766" s="5" t="str">
        <f>IF(J766="","", IF(K766&lt;=3, "⚠️ 薄弱环节: "&amp;INDEX($E$1:$I$1, MATCH(MIN(E766:I766), E766:I766, 0))&amp;CHAR(10)&amp;"📉 考察能力: "&amp;IFERROR(VLOOKUP(TRIM(D766)&amp;"_"&amp;TRIM(INDEX($E$1:$I$1, MATCH(MIN(E766:I766), E766:I766, 0))), 技能库!$A:$F, 5, 0),"建议查阅考纲")&amp;CHAR(10)&amp;"💡 提升建议: "&amp;IFERROR(VLOOKUP(TRIM(D766)&amp;"_"&amp;TRIM(INDEX($E$1:$I$1, MATCH(MIN(E766:I766), E766:I766, 0))), 技能库!$A:$F, 6, 0),"请针对该题型加强练习"), "🎉 表现优异，无明显弱项！"))</f>
        <v/>
      </c>
      <c r="AA766" s="5" t="str">
        <f>IF(T766="","", IF(U766&lt;=3, "⚠️ 薄弱环节: "&amp;INDEX($M$1:$S$1, MATCH(MIN(M766:S766), M766:S766, 0))&amp;CHAR(10)&amp;"📉 考察能力: "&amp;IFERROR(VLOOKUP(TRIM(D766)&amp;"_"&amp;TRIM(INDEX($M$1:$S$1, MATCH(MIN(M766:S766), M766:S766, 0))), 技能库!$A:$F, 5, 0),"建议查阅考纲")&amp;CHAR(10)&amp;"💡 提升建议: "&amp;IFERROR(VLOOKUP(TRIM(D766)&amp;"_"&amp;TRIM(INDEX($M$1:$S$1, MATCH(MIN(M766:S766), M766:S766, 0))), 技能库!$A:$F, 6, 0),"请针对该题型加强练习"), "🎉 表现优异，无明显弱项！"))</f>
        <v/>
      </c>
    </row>
    <row r="767" spans="10:27" ht="18" hidden="1" customHeight="1" x14ac:dyDescent="0.2">
      <c r="J767" t="str">
        <f t="shared" si="33"/>
        <v/>
      </c>
      <c r="K767" t="str">
        <f>IF(J767="","", IFERROR(VLOOKUP(J767, IF(D767="Movers", 换算标准!$C:$D, 换算标准!$I:$J), 2, TRUE), 0))</f>
        <v/>
      </c>
      <c r="T767" t="str">
        <f t="shared" si="34"/>
        <v/>
      </c>
      <c r="U767" t="str">
        <f>IF(T767="","", IFERROR(VLOOKUP(T767, IF(D767="Movers", 换算标准!$A:$B, 换算标准!$G:$H), 2, TRUE), 0))</f>
        <v/>
      </c>
      <c r="W767" t="str">
        <f t="shared" si="35"/>
        <v/>
      </c>
      <c r="Z767" s="5" t="str">
        <f>IF(J767="","", IF(K767&lt;=3, "⚠️ 薄弱环节: "&amp;INDEX($E$1:$I$1, MATCH(MIN(E767:I767), E767:I767, 0))&amp;CHAR(10)&amp;"📉 考察能力: "&amp;IFERROR(VLOOKUP(TRIM(D767)&amp;"_"&amp;TRIM(INDEX($E$1:$I$1, MATCH(MIN(E767:I767), E767:I767, 0))), 技能库!$A:$F, 5, 0),"建议查阅考纲")&amp;CHAR(10)&amp;"💡 提升建议: "&amp;IFERROR(VLOOKUP(TRIM(D767)&amp;"_"&amp;TRIM(INDEX($E$1:$I$1, MATCH(MIN(E767:I767), E767:I767, 0))), 技能库!$A:$F, 6, 0),"请针对该题型加强练习"), "🎉 表现优异，无明显弱项！"))</f>
        <v/>
      </c>
      <c r="AA767" s="5" t="str">
        <f>IF(T767="","", IF(U767&lt;=3, "⚠️ 薄弱环节: "&amp;INDEX($M$1:$S$1, MATCH(MIN(M767:S767), M767:S767, 0))&amp;CHAR(10)&amp;"📉 考察能力: "&amp;IFERROR(VLOOKUP(TRIM(D767)&amp;"_"&amp;TRIM(INDEX($M$1:$S$1, MATCH(MIN(M767:S767), M767:S767, 0))), 技能库!$A:$F, 5, 0),"建议查阅考纲")&amp;CHAR(10)&amp;"💡 提升建议: "&amp;IFERROR(VLOOKUP(TRIM(D767)&amp;"_"&amp;TRIM(INDEX($M$1:$S$1, MATCH(MIN(M767:S767), M767:S767, 0))), 技能库!$A:$F, 6, 0),"请针对该题型加强练习"), "🎉 表现优异，无明显弱项！"))</f>
        <v/>
      </c>
    </row>
    <row r="768" spans="10:27" ht="18" hidden="1" customHeight="1" x14ac:dyDescent="0.2">
      <c r="J768" t="str">
        <f t="shared" si="33"/>
        <v/>
      </c>
      <c r="K768" t="str">
        <f>IF(J768="","", IFERROR(VLOOKUP(J768, IF(D768="Movers", 换算标准!$C:$D, 换算标准!$I:$J), 2, TRUE), 0))</f>
        <v/>
      </c>
      <c r="T768" t="str">
        <f t="shared" si="34"/>
        <v/>
      </c>
      <c r="U768" t="str">
        <f>IF(T768="","", IFERROR(VLOOKUP(T768, IF(D768="Movers", 换算标准!$A:$B, 换算标准!$G:$H), 2, TRUE), 0))</f>
        <v/>
      </c>
      <c r="W768" t="str">
        <f t="shared" si="35"/>
        <v/>
      </c>
      <c r="Z768" s="5" t="str">
        <f>IF(J768="","", IF(K768&lt;=3, "⚠️ 薄弱环节: "&amp;INDEX($E$1:$I$1, MATCH(MIN(E768:I768), E768:I768, 0))&amp;CHAR(10)&amp;"📉 考察能力: "&amp;IFERROR(VLOOKUP(TRIM(D768)&amp;"_"&amp;TRIM(INDEX($E$1:$I$1, MATCH(MIN(E768:I768), E768:I768, 0))), 技能库!$A:$F, 5, 0),"建议查阅考纲")&amp;CHAR(10)&amp;"💡 提升建议: "&amp;IFERROR(VLOOKUP(TRIM(D768)&amp;"_"&amp;TRIM(INDEX($E$1:$I$1, MATCH(MIN(E768:I768), E768:I768, 0))), 技能库!$A:$F, 6, 0),"请针对该题型加强练习"), "🎉 表现优异，无明显弱项！"))</f>
        <v/>
      </c>
      <c r="AA768" s="5" t="str">
        <f>IF(T768="","", IF(U768&lt;=3, "⚠️ 薄弱环节: "&amp;INDEX($M$1:$S$1, MATCH(MIN(M768:S768), M768:S768, 0))&amp;CHAR(10)&amp;"📉 考察能力: "&amp;IFERROR(VLOOKUP(TRIM(D768)&amp;"_"&amp;TRIM(INDEX($M$1:$S$1, MATCH(MIN(M768:S768), M768:S768, 0))), 技能库!$A:$F, 5, 0),"建议查阅考纲")&amp;CHAR(10)&amp;"💡 提升建议: "&amp;IFERROR(VLOOKUP(TRIM(D768)&amp;"_"&amp;TRIM(INDEX($M$1:$S$1, MATCH(MIN(M768:S768), M768:S768, 0))), 技能库!$A:$F, 6, 0),"请针对该题型加强练习"), "🎉 表现优异，无明显弱项！"))</f>
        <v/>
      </c>
    </row>
    <row r="769" spans="10:27" ht="18" hidden="1" customHeight="1" x14ac:dyDescent="0.2">
      <c r="J769" t="str">
        <f t="shared" si="33"/>
        <v/>
      </c>
      <c r="K769" t="str">
        <f>IF(J769="","", IFERROR(VLOOKUP(J769, IF(D769="Movers", 换算标准!$C:$D, 换算标准!$I:$J), 2, TRUE), 0))</f>
        <v/>
      </c>
      <c r="T769" t="str">
        <f t="shared" si="34"/>
        <v/>
      </c>
      <c r="U769" t="str">
        <f>IF(T769="","", IFERROR(VLOOKUP(T769, IF(D769="Movers", 换算标准!$A:$B, 换算标准!$G:$H), 2, TRUE), 0))</f>
        <v/>
      </c>
      <c r="W769" t="str">
        <f t="shared" si="35"/>
        <v/>
      </c>
      <c r="Z769" s="5" t="str">
        <f>IF(J769="","", IF(K769&lt;=3, "⚠️ 薄弱环节: "&amp;INDEX($E$1:$I$1, MATCH(MIN(E769:I769), E769:I769, 0))&amp;CHAR(10)&amp;"📉 考察能力: "&amp;IFERROR(VLOOKUP(TRIM(D769)&amp;"_"&amp;TRIM(INDEX($E$1:$I$1, MATCH(MIN(E769:I769), E769:I769, 0))), 技能库!$A:$F, 5, 0),"建议查阅考纲")&amp;CHAR(10)&amp;"💡 提升建议: "&amp;IFERROR(VLOOKUP(TRIM(D769)&amp;"_"&amp;TRIM(INDEX($E$1:$I$1, MATCH(MIN(E769:I769), E769:I769, 0))), 技能库!$A:$F, 6, 0),"请针对该题型加强练习"), "🎉 表现优异，无明显弱项！"))</f>
        <v/>
      </c>
      <c r="AA769" s="5" t="str">
        <f>IF(T769="","", IF(U769&lt;=3, "⚠️ 薄弱环节: "&amp;INDEX($M$1:$S$1, MATCH(MIN(M769:S769), M769:S769, 0))&amp;CHAR(10)&amp;"📉 考察能力: "&amp;IFERROR(VLOOKUP(TRIM(D769)&amp;"_"&amp;TRIM(INDEX($M$1:$S$1, MATCH(MIN(M769:S769), M769:S769, 0))), 技能库!$A:$F, 5, 0),"建议查阅考纲")&amp;CHAR(10)&amp;"💡 提升建议: "&amp;IFERROR(VLOOKUP(TRIM(D769)&amp;"_"&amp;TRIM(INDEX($M$1:$S$1, MATCH(MIN(M769:S769), M769:S769, 0))), 技能库!$A:$F, 6, 0),"请针对该题型加强练习"), "🎉 表现优异，无明显弱项！"))</f>
        <v/>
      </c>
    </row>
    <row r="770" spans="10:27" ht="18" hidden="1" customHeight="1" x14ac:dyDescent="0.2">
      <c r="J770" t="str">
        <f t="shared" ref="J770:J833" si="36">IF(COUNT(E770:I770)&gt;0, SUM(E770:I770), "")</f>
        <v/>
      </c>
      <c r="K770" t="str">
        <f>IF(J770="","", IFERROR(VLOOKUP(J770, IF(D770="Movers", 换算标准!$C:$D, 换算标准!$I:$J), 2, TRUE), 0))</f>
        <v/>
      </c>
      <c r="T770" t="str">
        <f t="shared" ref="T770:T833" si="37">IF(COUNT(M770:S770)&gt;0, SUM(M770:S770), "")</f>
        <v/>
      </c>
      <c r="U770" t="str">
        <f>IF(T770="","", IFERROR(VLOOKUP(T770, IF(D770="Movers", 换算标准!$A:$B, 换算标准!$G:$H), 2, TRUE), 0))</f>
        <v/>
      </c>
      <c r="W770" t="str">
        <f t="shared" ref="W770:W833" si="38">IF(AND(K770&lt;&gt;"", U770&lt;&gt;""), K770+U770, "")</f>
        <v/>
      </c>
      <c r="Z770" s="5" t="str">
        <f>IF(J770="","", IF(K770&lt;=3, "⚠️ 薄弱环节: "&amp;INDEX($E$1:$I$1, MATCH(MIN(E770:I770), E770:I770, 0))&amp;CHAR(10)&amp;"📉 考察能力: "&amp;IFERROR(VLOOKUP(TRIM(D770)&amp;"_"&amp;TRIM(INDEX($E$1:$I$1, MATCH(MIN(E770:I770), E770:I770, 0))), 技能库!$A:$F, 5, 0),"建议查阅考纲")&amp;CHAR(10)&amp;"💡 提升建议: "&amp;IFERROR(VLOOKUP(TRIM(D770)&amp;"_"&amp;TRIM(INDEX($E$1:$I$1, MATCH(MIN(E770:I770), E770:I770, 0))), 技能库!$A:$F, 6, 0),"请针对该题型加强练习"), "🎉 表现优异，无明显弱项！"))</f>
        <v/>
      </c>
      <c r="AA770" s="5" t="str">
        <f>IF(T770="","", IF(U770&lt;=3, "⚠️ 薄弱环节: "&amp;INDEX($M$1:$S$1, MATCH(MIN(M770:S770), M770:S770, 0))&amp;CHAR(10)&amp;"📉 考察能力: "&amp;IFERROR(VLOOKUP(TRIM(D770)&amp;"_"&amp;TRIM(INDEX($M$1:$S$1, MATCH(MIN(M770:S770), M770:S770, 0))), 技能库!$A:$F, 5, 0),"建议查阅考纲")&amp;CHAR(10)&amp;"💡 提升建议: "&amp;IFERROR(VLOOKUP(TRIM(D770)&amp;"_"&amp;TRIM(INDEX($M$1:$S$1, MATCH(MIN(M770:S770), M770:S770, 0))), 技能库!$A:$F, 6, 0),"请针对该题型加强练习"), "🎉 表现优异，无明显弱项！"))</f>
        <v/>
      </c>
    </row>
    <row r="771" spans="10:27" ht="18" hidden="1" customHeight="1" x14ac:dyDescent="0.2">
      <c r="J771" t="str">
        <f t="shared" si="36"/>
        <v/>
      </c>
      <c r="K771" t="str">
        <f>IF(J771="","", IFERROR(VLOOKUP(J771, IF(D771="Movers", 换算标准!$C:$D, 换算标准!$I:$J), 2, TRUE), 0))</f>
        <v/>
      </c>
      <c r="T771" t="str">
        <f t="shared" si="37"/>
        <v/>
      </c>
      <c r="U771" t="str">
        <f>IF(T771="","", IFERROR(VLOOKUP(T771, IF(D771="Movers", 换算标准!$A:$B, 换算标准!$G:$H), 2, TRUE), 0))</f>
        <v/>
      </c>
      <c r="W771" t="str">
        <f t="shared" si="38"/>
        <v/>
      </c>
      <c r="Z771" s="5" t="str">
        <f>IF(J771="","", IF(K771&lt;=3, "⚠️ 薄弱环节: "&amp;INDEX($E$1:$I$1, MATCH(MIN(E771:I771), E771:I771, 0))&amp;CHAR(10)&amp;"📉 考察能力: "&amp;IFERROR(VLOOKUP(TRIM(D771)&amp;"_"&amp;TRIM(INDEX($E$1:$I$1, MATCH(MIN(E771:I771), E771:I771, 0))), 技能库!$A:$F, 5, 0),"建议查阅考纲")&amp;CHAR(10)&amp;"💡 提升建议: "&amp;IFERROR(VLOOKUP(TRIM(D771)&amp;"_"&amp;TRIM(INDEX($E$1:$I$1, MATCH(MIN(E771:I771), E771:I771, 0))), 技能库!$A:$F, 6, 0),"请针对该题型加强练习"), "🎉 表现优异，无明显弱项！"))</f>
        <v/>
      </c>
      <c r="AA771" s="5" t="str">
        <f>IF(T771="","", IF(U771&lt;=3, "⚠️ 薄弱环节: "&amp;INDEX($M$1:$S$1, MATCH(MIN(M771:S771), M771:S771, 0))&amp;CHAR(10)&amp;"📉 考察能力: "&amp;IFERROR(VLOOKUP(TRIM(D771)&amp;"_"&amp;TRIM(INDEX($M$1:$S$1, MATCH(MIN(M771:S771), M771:S771, 0))), 技能库!$A:$F, 5, 0),"建议查阅考纲")&amp;CHAR(10)&amp;"💡 提升建议: "&amp;IFERROR(VLOOKUP(TRIM(D771)&amp;"_"&amp;TRIM(INDEX($M$1:$S$1, MATCH(MIN(M771:S771), M771:S771, 0))), 技能库!$A:$F, 6, 0),"请针对该题型加强练习"), "🎉 表现优异，无明显弱项！"))</f>
        <v/>
      </c>
    </row>
    <row r="772" spans="10:27" ht="18" hidden="1" customHeight="1" x14ac:dyDescent="0.2">
      <c r="J772" t="str">
        <f t="shared" si="36"/>
        <v/>
      </c>
      <c r="K772" t="str">
        <f>IF(J772="","", IFERROR(VLOOKUP(J772, IF(D772="Movers", 换算标准!$C:$D, 换算标准!$I:$J), 2, TRUE), 0))</f>
        <v/>
      </c>
      <c r="T772" t="str">
        <f t="shared" si="37"/>
        <v/>
      </c>
      <c r="U772" t="str">
        <f>IF(T772="","", IFERROR(VLOOKUP(T772, IF(D772="Movers", 换算标准!$A:$B, 换算标准!$G:$H), 2, TRUE), 0))</f>
        <v/>
      </c>
      <c r="W772" t="str">
        <f t="shared" si="38"/>
        <v/>
      </c>
      <c r="Z772" s="5" t="str">
        <f>IF(J772="","", IF(K772&lt;=3, "⚠️ 薄弱环节: "&amp;INDEX($E$1:$I$1, MATCH(MIN(E772:I772), E772:I772, 0))&amp;CHAR(10)&amp;"📉 考察能力: "&amp;IFERROR(VLOOKUP(TRIM(D772)&amp;"_"&amp;TRIM(INDEX($E$1:$I$1, MATCH(MIN(E772:I772), E772:I772, 0))), 技能库!$A:$F, 5, 0),"建议查阅考纲")&amp;CHAR(10)&amp;"💡 提升建议: "&amp;IFERROR(VLOOKUP(TRIM(D772)&amp;"_"&amp;TRIM(INDEX($E$1:$I$1, MATCH(MIN(E772:I772), E772:I772, 0))), 技能库!$A:$F, 6, 0),"请针对该题型加强练习"), "🎉 表现优异，无明显弱项！"))</f>
        <v/>
      </c>
      <c r="AA772" s="5" t="str">
        <f>IF(T772="","", IF(U772&lt;=3, "⚠️ 薄弱环节: "&amp;INDEX($M$1:$S$1, MATCH(MIN(M772:S772), M772:S772, 0))&amp;CHAR(10)&amp;"📉 考察能力: "&amp;IFERROR(VLOOKUP(TRIM(D772)&amp;"_"&amp;TRIM(INDEX($M$1:$S$1, MATCH(MIN(M772:S772), M772:S772, 0))), 技能库!$A:$F, 5, 0),"建议查阅考纲")&amp;CHAR(10)&amp;"💡 提升建议: "&amp;IFERROR(VLOOKUP(TRIM(D772)&amp;"_"&amp;TRIM(INDEX($M$1:$S$1, MATCH(MIN(M772:S772), M772:S772, 0))), 技能库!$A:$F, 6, 0),"请针对该题型加强练习"), "🎉 表现优异，无明显弱项！"))</f>
        <v/>
      </c>
    </row>
    <row r="773" spans="10:27" ht="18" hidden="1" customHeight="1" x14ac:dyDescent="0.2">
      <c r="J773" t="str">
        <f t="shared" si="36"/>
        <v/>
      </c>
      <c r="K773" t="str">
        <f>IF(J773="","", IFERROR(VLOOKUP(J773, IF(D773="Movers", 换算标准!$C:$D, 换算标准!$I:$J), 2, TRUE), 0))</f>
        <v/>
      </c>
      <c r="T773" t="str">
        <f t="shared" si="37"/>
        <v/>
      </c>
      <c r="U773" t="str">
        <f>IF(T773="","", IFERROR(VLOOKUP(T773, IF(D773="Movers", 换算标准!$A:$B, 换算标准!$G:$H), 2, TRUE), 0))</f>
        <v/>
      </c>
      <c r="W773" t="str">
        <f t="shared" si="38"/>
        <v/>
      </c>
      <c r="Z773" s="5" t="str">
        <f>IF(J773="","", IF(K773&lt;=3, "⚠️ 薄弱环节: "&amp;INDEX($E$1:$I$1, MATCH(MIN(E773:I773), E773:I773, 0))&amp;CHAR(10)&amp;"📉 考察能力: "&amp;IFERROR(VLOOKUP(TRIM(D773)&amp;"_"&amp;TRIM(INDEX($E$1:$I$1, MATCH(MIN(E773:I773), E773:I773, 0))), 技能库!$A:$F, 5, 0),"建议查阅考纲")&amp;CHAR(10)&amp;"💡 提升建议: "&amp;IFERROR(VLOOKUP(TRIM(D773)&amp;"_"&amp;TRIM(INDEX($E$1:$I$1, MATCH(MIN(E773:I773), E773:I773, 0))), 技能库!$A:$F, 6, 0),"请针对该题型加强练习"), "🎉 表现优异，无明显弱项！"))</f>
        <v/>
      </c>
      <c r="AA773" s="5" t="str">
        <f>IF(T773="","", IF(U773&lt;=3, "⚠️ 薄弱环节: "&amp;INDEX($M$1:$S$1, MATCH(MIN(M773:S773), M773:S773, 0))&amp;CHAR(10)&amp;"📉 考察能力: "&amp;IFERROR(VLOOKUP(TRIM(D773)&amp;"_"&amp;TRIM(INDEX($M$1:$S$1, MATCH(MIN(M773:S773), M773:S773, 0))), 技能库!$A:$F, 5, 0),"建议查阅考纲")&amp;CHAR(10)&amp;"💡 提升建议: "&amp;IFERROR(VLOOKUP(TRIM(D773)&amp;"_"&amp;TRIM(INDEX($M$1:$S$1, MATCH(MIN(M773:S773), M773:S773, 0))), 技能库!$A:$F, 6, 0),"请针对该题型加强练习"), "🎉 表现优异，无明显弱项！"))</f>
        <v/>
      </c>
    </row>
    <row r="774" spans="10:27" ht="18" hidden="1" customHeight="1" x14ac:dyDescent="0.2">
      <c r="J774" t="str">
        <f t="shared" si="36"/>
        <v/>
      </c>
      <c r="K774" t="str">
        <f>IF(J774="","", IFERROR(VLOOKUP(J774, IF(D774="Movers", 换算标准!$C:$D, 换算标准!$I:$J), 2, TRUE), 0))</f>
        <v/>
      </c>
      <c r="T774" t="str">
        <f t="shared" si="37"/>
        <v/>
      </c>
      <c r="U774" t="str">
        <f>IF(T774="","", IFERROR(VLOOKUP(T774, IF(D774="Movers", 换算标准!$A:$B, 换算标准!$G:$H), 2, TRUE), 0))</f>
        <v/>
      </c>
      <c r="W774" t="str">
        <f t="shared" si="38"/>
        <v/>
      </c>
      <c r="Z774" s="5" t="str">
        <f>IF(J774="","", IF(K774&lt;=3, "⚠️ 薄弱环节: "&amp;INDEX($E$1:$I$1, MATCH(MIN(E774:I774), E774:I774, 0))&amp;CHAR(10)&amp;"📉 考察能力: "&amp;IFERROR(VLOOKUP(TRIM(D774)&amp;"_"&amp;TRIM(INDEX($E$1:$I$1, MATCH(MIN(E774:I774), E774:I774, 0))), 技能库!$A:$F, 5, 0),"建议查阅考纲")&amp;CHAR(10)&amp;"💡 提升建议: "&amp;IFERROR(VLOOKUP(TRIM(D774)&amp;"_"&amp;TRIM(INDEX($E$1:$I$1, MATCH(MIN(E774:I774), E774:I774, 0))), 技能库!$A:$F, 6, 0),"请针对该题型加强练习"), "🎉 表现优异，无明显弱项！"))</f>
        <v/>
      </c>
      <c r="AA774" s="5" t="str">
        <f>IF(T774="","", IF(U774&lt;=3, "⚠️ 薄弱环节: "&amp;INDEX($M$1:$S$1, MATCH(MIN(M774:S774), M774:S774, 0))&amp;CHAR(10)&amp;"📉 考察能力: "&amp;IFERROR(VLOOKUP(TRIM(D774)&amp;"_"&amp;TRIM(INDEX($M$1:$S$1, MATCH(MIN(M774:S774), M774:S774, 0))), 技能库!$A:$F, 5, 0),"建议查阅考纲")&amp;CHAR(10)&amp;"💡 提升建议: "&amp;IFERROR(VLOOKUP(TRIM(D774)&amp;"_"&amp;TRIM(INDEX($M$1:$S$1, MATCH(MIN(M774:S774), M774:S774, 0))), 技能库!$A:$F, 6, 0),"请针对该题型加强练习"), "🎉 表现优异，无明显弱项！"))</f>
        <v/>
      </c>
    </row>
    <row r="775" spans="10:27" ht="18" hidden="1" customHeight="1" x14ac:dyDescent="0.2">
      <c r="J775" t="str">
        <f t="shared" si="36"/>
        <v/>
      </c>
      <c r="K775" t="str">
        <f>IF(J775="","", IFERROR(VLOOKUP(J775, IF(D775="Movers", 换算标准!$C:$D, 换算标准!$I:$J), 2, TRUE), 0))</f>
        <v/>
      </c>
      <c r="T775" t="str">
        <f t="shared" si="37"/>
        <v/>
      </c>
      <c r="U775" t="str">
        <f>IF(T775="","", IFERROR(VLOOKUP(T775, IF(D775="Movers", 换算标准!$A:$B, 换算标准!$G:$H), 2, TRUE), 0))</f>
        <v/>
      </c>
      <c r="W775" t="str">
        <f t="shared" si="38"/>
        <v/>
      </c>
      <c r="Z775" s="5" t="str">
        <f>IF(J775="","", IF(K775&lt;=3, "⚠️ 薄弱环节: "&amp;INDEX($E$1:$I$1, MATCH(MIN(E775:I775), E775:I775, 0))&amp;CHAR(10)&amp;"📉 考察能力: "&amp;IFERROR(VLOOKUP(TRIM(D775)&amp;"_"&amp;TRIM(INDEX($E$1:$I$1, MATCH(MIN(E775:I775), E775:I775, 0))), 技能库!$A:$F, 5, 0),"建议查阅考纲")&amp;CHAR(10)&amp;"💡 提升建议: "&amp;IFERROR(VLOOKUP(TRIM(D775)&amp;"_"&amp;TRIM(INDEX($E$1:$I$1, MATCH(MIN(E775:I775), E775:I775, 0))), 技能库!$A:$F, 6, 0),"请针对该题型加强练习"), "🎉 表现优异，无明显弱项！"))</f>
        <v/>
      </c>
      <c r="AA775" s="5" t="str">
        <f>IF(T775="","", IF(U775&lt;=3, "⚠️ 薄弱环节: "&amp;INDEX($M$1:$S$1, MATCH(MIN(M775:S775), M775:S775, 0))&amp;CHAR(10)&amp;"📉 考察能力: "&amp;IFERROR(VLOOKUP(TRIM(D775)&amp;"_"&amp;TRIM(INDEX($M$1:$S$1, MATCH(MIN(M775:S775), M775:S775, 0))), 技能库!$A:$F, 5, 0),"建议查阅考纲")&amp;CHAR(10)&amp;"💡 提升建议: "&amp;IFERROR(VLOOKUP(TRIM(D775)&amp;"_"&amp;TRIM(INDEX($M$1:$S$1, MATCH(MIN(M775:S775), M775:S775, 0))), 技能库!$A:$F, 6, 0),"请针对该题型加强练习"), "🎉 表现优异，无明显弱项！"))</f>
        <v/>
      </c>
    </row>
    <row r="776" spans="10:27" ht="18" hidden="1" customHeight="1" x14ac:dyDescent="0.2">
      <c r="J776" t="str">
        <f t="shared" si="36"/>
        <v/>
      </c>
      <c r="K776" t="str">
        <f>IF(J776="","", IFERROR(VLOOKUP(J776, IF(D776="Movers", 换算标准!$C:$D, 换算标准!$I:$J), 2, TRUE), 0))</f>
        <v/>
      </c>
      <c r="T776" t="str">
        <f t="shared" si="37"/>
        <v/>
      </c>
      <c r="U776" t="str">
        <f>IF(T776="","", IFERROR(VLOOKUP(T776, IF(D776="Movers", 换算标准!$A:$B, 换算标准!$G:$H), 2, TRUE), 0))</f>
        <v/>
      </c>
      <c r="W776" t="str">
        <f t="shared" si="38"/>
        <v/>
      </c>
      <c r="Z776" s="5" t="str">
        <f>IF(J776="","", IF(K776&lt;=3, "⚠️ 薄弱环节: "&amp;INDEX($E$1:$I$1, MATCH(MIN(E776:I776), E776:I776, 0))&amp;CHAR(10)&amp;"📉 考察能力: "&amp;IFERROR(VLOOKUP(TRIM(D776)&amp;"_"&amp;TRIM(INDEX($E$1:$I$1, MATCH(MIN(E776:I776), E776:I776, 0))), 技能库!$A:$F, 5, 0),"建议查阅考纲")&amp;CHAR(10)&amp;"💡 提升建议: "&amp;IFERROR(VLOOKUP(TRIM(D776)&amp;"_"&amp;TRIM(INDEX($E$1:$I$1, MATCH(MIN(E776:I776), E776:I776, 0))), 技能库!$A:$F, 6, 0),"请针对该题型加强练习"), "🎉 表现优异，无明显弱项！"))</f>
        <v/>
      </c>
      <c r="AA776" s="5" t="str">
        <f>IF(T776="","", IF(U776&lt;=3, "⚠️ 薄弱环节: "&amp;INDEX($M$1:$S$1, MATCH(MIN(M776:S776), M776:S776, 0))&amp;CHAR(10)&amp;"📉 考察能力: "&amp;IFERROR(VLOOKUP(TRIM(D776)&amp;"_"&amp;TRIM(INDEX($M$1:$S$1, MATCH(MIN(M776:S776), M776:S776, 0))), 技能库!$A:$F, 5, 0),"建议查阅考纲")&amp;CHAR(10)&amp;"💡 提升建议: "&amp;IFERROR(VLOOKUP(TRIM(D776)&amp;"_"&amp;TRIM(INDEX($M$1:$S$1, MATCH(MIN(M776:S776), M776:S776, 0))), 技能库!$A:$F, 6, 0),"请针对该题型加强练习"), "🎉 表现优异，无明显弱项！"))</f>
        <v/>
      </c>
    </row>
    <row r="777" spans="10:27" ht="18" hidden="1" customHeight="1" x14ac:dyDescent="0.2">
      <c r="J777" t="str">
        <f t="shared" si="36"/>
        <v/>
      </c>
      <c r="K777" t="str">
        <f>IF(J777="","", IFERROR(VLOOKUP(J777, IF(D777="Movers", 换算标准!$C:$D, 换算标准!$I:$J), 2, TRUE), 0))</f>
        <v/>
      </c>
      <c r="T777" t="str">
        <f t="shared" si="37"/>
        <v/>
      </c>
      <c r="U777" t="str">
        <f>IF(T777="","", IFERROR(VLOOKUP(T777, IF(D777="Movers", 换算标准!$A:$B, 换算标准!$G:$H), 2, TRUE), 0))</f>
        <v/>
      </c>
      <c r="W777" t="str">
        <f t="shared" si="38"/>
        <v/>
      </c>
      <c r="Z777" s="5" t="str">
        <f>IF(J777="","", IF(K777&lt;=3, "⚠️ 薄弱环节: "&amp;INDEX($E$1:$I$1, MATCH(MIN(E777:I777), E777:I777, 0))&amp;CHAR(10)&amp;"📉 考察能力: "&amp;IFERROR(VLOOKUP(TRIM(D777)&amp;"_"&amp;TRIM(INDEX($E$1:$I$1, MATCH(MIN(E777:I777), E777:I777, 0))), 技能库!$A:$F, 5, 0),"建议查阅考纲")&amp;CHAR(10)&amp;"💡 提升建议: "&amp;IFERROR(VLOOKUP(TRIM(D777)&amp;"_"&amp;TRIM(INDEX($E$1:$I$1, MATCH(MIN(E777:I777), E777:I777, 0))), 技能库!$A:$F, 6, 0),"请针对该题型加强练习"), "🎉 表现优异，无明显弱项！"))</f>
        <v/>
      </c>
      <c r="AA777" s="5" t="str">
        <f>IF(T777="","", IF(U777&lt;=3, "⚠️ 薄弱环节: "&amp;INDEX($M$1:$S$1, MATCH(MIN(M777:S777), M777:S777, 0))&amp;CHAR(10)&amp;"📉 考察能力: "&amp;IFERROR(VLOOKUP(TRIM(D777)&amp;"_"&amp;TRIM(INDEX($M$1:$S$1, MATCH(MIN(M777:S777), M777:S777, 0))), 技能库!$A:$F, 5, 0),"建议查阅考纲")&amp;CHAR(10)&amp;"💡 提升建议: "&amp;IFERROR(VLOOKUP(TRIM(D777)&amp;"_"&amp;TRIM(INDEX($M$1:$S$1, MATCH(MIN(M777:S777), M777:S777, 0))), 技能库!$A:$F, 6, 0),"请针对该题型加强练习"), "🎉 表现优异，无明显弱项！"))</f>
        <v/>
      </c>
    </row>
    <row r="778" spans="10:27" ht="18" hidden="1" customHeight="1" x14ac:dyDescent="0.2">
      <c r="J778" t="str">
        <f t="shared" si="36"/>
        <v/>
      </c>
      <c r="K778" t="str">
        <f>IF(J778="","", IFERROR(VLOOKUP(J778, IF(D778="Movers", 换算标准!$C:$D, 换算标准!$I:$J), 2, TRUE), 0))</f>
        <v/>
      </c>
      <c r="T778" t="str">
        <f t="shared" si="37"/>
        <v/>
      </c>
      <c r="U778" t="str">
        <f>IF(T778="","", IFERROR(VLOOKUP(T778, IF(D778="Movers", 换算标准!$A:$B, 换算标准!$G:$H), 2, TRUE), 0))</f>
        <v/>
      </c>
      <c r="W778" t="str">
        <f t="shared" si="38"/>
        <v/>
      </c>
      <c r="Z778" s="5" t="str">
        <f>IF(J778="","", IF(K778&lt;=3, "⚠️ 薄弱环节: "&amp;INDEX($E$1:$I$1, MATCH(MIN(E778:I778), E778:I778, 0))&amp;CHAR(10)&amp;"📉 考察能力: "&amp;IFERROR(VLOOKUP(TRIM(D778)&amp;"_"&amp;TRIM(INDEX($E$1:$I$1, MATCH(MIN(E778:I778), E778:I778, 0))), 技能库!$A:$F, 5, 0),"建议查阅考纲")&amp;CHAR(10)&amp;"💡 提升建议: "&amp;IFERROR(VLOOKUP(TRIM(D778)&amp;"_"&amp;TRIM(INDEX($E$1:$I$1, MATCH(MIN(E778:I778), E778:I778, 0))), 技能库!$A:$F, 6, 0),"请针对该题型加强练习"), "🎉 表现优异，无明显弱项！"))</f>
        <v/>
      </c>
      <c r="AA778" s="5" t="str">
        <f>IF(T778="","", IF(U778&lt;=3, "⚠️ 薄弱环节: "&amp;INDEX($M$1:$S$1, MATCH(MIN(M778:S778), M778:S778, 0))&amp;CHAR(10)&amp;"📉 考察能力: "&amp;IFERROR(VLOOKUP(TRIM(D778)&amp;"_"&amp;TRIM(INDEX($M$1:$S$1, MATCH(MIN(M778:S778), M778:S778, 0))), 技能库!$A:$F, 5, 0),"建议查阅考纲")&amp;CHAR(10)&amp;"💡 提升建议: "&amp;IFERROR(VLOOKUP(TRIM(D778)&amp;"_"&amp;TRIM(INDEX($M$1:$S$1, MATCH(MIN(M778:S778), M778:S778, 0))), 技能库!$A:$F, 6, 0),"请针对该题型加强练习"), "🎉 表现优异，无明显弱项！"))</f>
        <v/>
      </c>
    </row>
    <row r="779" spans="10:27" ht="18" hidden="1" customHeight="1" x14ac:dyDescent="0.2">
      <c r="J779" t="str">
        <f t="shared" si="36"/>
        <v/>
      </c>
      <c r="K779" t="str">
        <f>IF(J779="","", IFERROR(VLOOKUP(J779, IF(D779="Movers", 换算标准!$C:$D, 换算标准!$I:$J), 2, TRUE), 0))</f>
        <v/>
      </c>
      <c r="T779" t="str">
        <f t="shared" si="37"/>
        <v/>
      </c>
      <c r="U779" t="str">
        <f>IF(T779="","", IFERROR(VLOOKUP(T779, IF(D779="Movers", 换算标准!$A:$B, 换算标准!$G:$H), 2, TRUE), 0))</f>
        <v/>
      </c>
      <c r="W779" t="str">
        <f t="shared" si="38"/>
        <v/>
      </c>
      <c r="Z779" s="5" t="str">
        <f>IF(J779="","", IF(K779&lt;=3, "⚠️ 薄弱环节: "&amp;INDEX($E$1:$I$1, MATCH(MIN(E779:I779), E779:I779, 0))&amp;CHAR(10)&amp;"📉 考察能力: "&amp;IFERROR(VLOOKUP(TRIM(D779)&amp;"_"&amp;TRIM(INDEX($E$1:$I$1, MATCH(MIN(E779:I779), E779:I779, 0))), 技能库!$A:$F, 5, 0),"建议查阅考纲")&amp;CHAR(10)&amp;"💡 提升建议: "&amp;IFERROR(VLOOKUP(TRIM(D779)&amp;"_"&amp;TRIM(INDEX($E$1:$I$1, MATCH(MIN(E779:I779), E779:I779, 0))), 技能库!$A:$F, 6, 0),"请针对该题型加强练习"), "🎉 表现优异，无明显弱项！"))</f>
        <v/>
      </c>
      <c r="AA779" s="5" t="str">
        <f>IF(T779="","", IF(U779&lt;=3, "⚠️ 薄弱环节: "&amp;INDEX($M$1:$S$1, MATCH(MIN(M779:S779), M779:S779, 0))&amp;CHAR(10)&amp;"📉 考察能力: "&amp;IFERROR(VLOOKUP(TRIM(D779)&amp;"_"&amp;TRIM(INDEX($M$1:$S$1, MATCH(MIN(M779:S779), M779:S779, 0))), 技能库!$A:$F, 5, 0),"建议查阅考纲")&amp;CHAR(10)&amp;"💡 提升建议: "&amp;IFERROR(VLOOKUP(TRIM(D779)&amp;"_"&amp;TRIM(INDEX($M$1:$S$1, MATCH(MIN(M779:S779), M779:S779, 0))), 技能库!$A:$F, 6, 0),"请针对该题型加强练习"), "🎉 表现优异，无明显弱项！"))</f>
        <v/>
      </c>
    </row>
    <row r="780" spans="10:27" ht="18" hidden="1" customHeight="1" x14ac:dyDescent="0.2">
      <c r="J780" t="str">
        <f t="shared" si="36"/>
        <v/>
      </c>
      <c r="K780" t="str">
        <f>IF(J780="","", IFERROR(VLOOKUP(J780, IF(D780="Movers", 换算标准!$C:$D, 换算标准!$I:$J), 2, TRUE), 0))</f>
        <v/>
      </c>
      <c r="T780" t="str">
        <f t="shared" si="37"/>
        <v/>
      </c>
      <c r="U780" t="str">
        <f>IF(T780="","", IFERROR(VLOOKUP(T780, IF(D780="Movers", 换算标准!$A:$B, 换算标准!$G:$H), 2, TRUE), 0))</f>
        <v/>
      </c>
      <c r="W780" t="str">
        <f t="shared" si="38"/>
        <v/>
      </c>
      <c r="Z780" s="5" t="str">
        <f>IF(J780="","", IF(K780&lt;=3, "⚠️ 薄弱环节: "&amp;INDEX($E$1:$I$1, MATCH(MIN(E780:I780), E780:I780, 0))&amp;CHAR(10)&amp;"📉 考察能力: "&amp;IFERROR(VLOOKUP(TRIM(D780)&amp;"_"&amp;TRIM(INDEX($E$1:$I$1, MATCH(MIN(E780:I780), E780:I780, 0))), 技能库!$A:$F, 5, 0),"建议查阅考纲")&amp;CHAR(10)&amp;"💡 提升建议: "&amp;IFERROR(VLOOKUP(TRIM(D780)&amp;"_"&amp;TRIM(INDEX($E$1:$I$1, MATCH(MIN(E780:I780), E780:I780, 0))), 技能库!$A:$F, 6, 0),"请针对该题型加强练习"), "🎉 表现优异，无明显弱项！"))</f>
        <v/>
      </c>
      <c r="AA780" s="5" t="str">
        <f>IF(T780="","", IF(U780&lt;=3, "⚠️ 薄弱环节: "&amp;INDEX($M$1:$S$1, MATCH(MIN(M780:S780), M780:S780, 0))&amp;CHAR(10)&amp;"📉 考察能力: "&amp;IFERROR(VLOOKUP(TRIM(D780)&amp;"_"&amp;TRIM(INDEX($M$1:$S$1, MATCH(MIN(M780:S780), M780:S780, 0))), 技能库!$A:$F, 5, 0),"建议查阅考纲")&amp;CHAR(10)&amp;"💡 提升建议: "&amp;IFERROR(VLOOKUP(TRIM(D780)&amp;"_"&amp;TRIM(INDEX($M$1:$S$1, MATCH(MIN(M780:S780), M780:S780, 0))), 技能库!$A:$F, 6, 0),"请针对该题型加强练习"), "🎉 表现优异，无明显弱项！"))</f>
        <v/>
      </c>
    </row>
    <row r="781" spans="10:27" ht="18" hidden="1" customHeight="1" x14ac:dyDescent="0.2">
      <c r="J781" t="str">
        <f t="shared" si="36"/>
        <v/>
      </c>
      <c r="K781" t="str">
        <f>IF(J781="","", IFERROR(VLOOKUP(J781, IF(D781="Movers", 换算标准!$C:$D, 换算标准!$I:$J), 2, TRUE), 0))</f>
        <v/>
      </c>
      <c r="T781" t="str">
        <f t="shared" si="37"/>
        <v/>
      </c>
      <c r="U781" t="str">
        <f>IF(T781="","", IFERROR(VLOOKUP(T781, IF(D781="Movers", 换算标准!$A:$B, 换算标准!$G:$H), 2, TRUE), 0))</f>
        <v/>
      </c>
      <c r="W781" t="str">
        <f t="shared" si="38"/>
        <v/>
      </c>
      <c r="Z781" s="5" t="str">
        <f>IF(J781="","", IF(K781&lt;=3, "⚠️ 薄弱环节: "&amp;INDEX($E$1:$I$1, MATCH(MIN(E781:I781), E781:I781, 0))&amp;CHAR(10)&amp;"📉 考察能力: "&amp;IFERROR(VLOOKUP(TRIM(D781)&amp;"_"&amp;TRIM(INDEX($E$1:$I$1, MATCH(MIN(E781:I781), E781:I781, 0))), 技能库!$A:$F, 5, 0),"建议查阅考纲")&amp;CHAR(10)&amp;"💡 提升建议: "&amp;IFERROR(VLOOKUP(TRIM(D781)&amp;"_"&amp;TRIM(INDEX($E$1:$I$1, MATCH(MIN(E781:I781), E781:I781, 0))), 技能库!$A:$F, 6, 0),"请针对该题型加强练习"), "🎉 表现优异，无明显弱项！"))</f>
        <v/>
      </c>
      <c r="AA781" s="5" t="str">
        <f>IF(T781="","", IF(U781&lt;=3, "⚠️ 薄弱环节: "&amp;INDEX($M$1:$S$1, MATCH(MIN(M781:S781), M781:S781, 0))&amp;CHAR(10)&amp;"📉 考察能力: "&amp;IFERROR(VLOOKUP(TRIM(D781)&amp;"_"&amp;TRIM(INDEX($M$1:$S$1, MATCH(MIN(M781:S781), M781:S781, 0))), 技能库!$A:$F, 5, 0),"建议查阅考纲")&amp;CHAR(10)&amp;"💡 提升建议: "&amp;IFERROR(VLOOKUP(TRIM(D781)&amp;"_"&amp;TRIM(INDEX($M$1:$S$1, MATCH(MIN(M781:S781), M781:S781, 0))), 技能库!$A:$F, 6, 0),"请针对该题型加强练习"), "🎉 表现优异，无明显弱项！"))</f>
        <v/>
      </c>
    </row>
    <row r="782" spans="10:27" ht="18" hidden="1" customHeight="1" x14ac:dyDescent="0.2">
      <c r="J782" t="str">
        <f t="shared" si="36"/>
        <v/>
      </c>
      <c r="K782" t="str">
        <f>IF(J782="","", IFERROR(VLOOKUP(J782, IF(D782="Movers", 换算标准!$C:$D, 换算标准!$I:$J), 2, TRUE), 0))</f>
        <v/>
      </c>
      <c r="T782" t="str">
        <f t="shared" si="37"/>
        <v/>
      </c>
      <c r="U782" t="str">
        <f>IF(T782="","", IFERROR(VLOOKUP(T782, IF(D782="Movers", 换算标准!$A:$B, 换算标准!$G:$H), 2, TRUE), 0))</f>
        <v/>
      </c>
      <c r="W782" t="str">
        <f t="shared" si="38"/>
        <v/>
      </c>
      <c r="Z782" s="5" t="str">
        <f>IF(J782="","", IF(K782&lt;=3, "⚠️ 薄弱环节: "&amp;INDEX($E$1:$I$1, MATCH(MIN(E782:I782), E782:I782, 0))&amp;CHAR(10)&amp;"📉 考察能力: "&amp;IFERROR(VLOOKUP(TRIM(D782)&amp;"_"&amp;TRIM(INDEX($E$1:$I$1, MATCH(MIN(E782:I782), E782:I782, 0))), 技能库!$A:$F, 5, 0),"建议查阅考纲")&amp;CHAR(10)&amp;"💡 提升建议: "&amp;IFERROR(VLOOKUP(TRIM(D782)&amp;"_"&amp;TRIM(INDEX($E$1:$I$1, MATCH(MIN(E782:I782), E782:I782, 0))), 技能库!$A:$F, 6, 0),"请针对该题型加强练习"), "🎉 表现优异，无明显弱项！"))</f>
        <v/>
      </c>
      <c r="AA782" s="5" t="str">
        <f>IF(T782="","", IF(U782&lt;=3, "⚠️ 薄弱环节: "&amp;INDEX($M$1:$S$1, MATCH(MIN(M782:S782), M782:S782, 0))&amp;CHAR(10)&amp;"📉 考察能力: "&amp;IFERROR(VLOOKUP(TRIM(D782)&amp;"_"&amp;TRIM(INDEX($M$1:$S$1, MATCH(MIN(M782:S782), M782:S782, 0))), 技能库!$A:$F, 5, 0),"建议查阅考纲")&amp;CHAR(10)&amp;"💡 提升建议: "&amp;IFERROR(VLOOKUP(TRIM(D782)&amp;"_"&amp;TRIM(INDEX($M$1:$S$1, MATCH(MIN(M782:S782), M782:S782, 0))), 技能库!$A:$F, 6, 0),"请针对该题型加强练习"), "🎉 表现优异，无明显弱项！"))</f>
        <v/>
      </c>
    </row>
    <row r="783" spans="10:27" ht="18" hidden="1" customHeight="1" x14ac:dyDescent="0.2">
      <c r="J783" t="str">
        <f t="shared" si="36"/>
        <v/>
      </c>
      <c r="K783" t="str">
        <f>IF(J783="","", IFERROR(VLOOKUP(J783, IF(D783="Movers", 换算标准!$C:$D, 换算标准!$I:$J), 2, TRUE), 0))</f>
        <v/>
      </c>
      <c r="T783" t="str">
        <f t="shared" si="37"/>
        <v/>
      </c>
      <c r="U783" t="str">
        <f>IF(T783="","", IFERROR(VLOOKUP(T783, IF(D783="Movers", 换算标准!$A:$B, 换算标准!$G:$H), 2, TRUE), 0))</f>
        <v/>
      </c>
      <c r="W783" t="str">
        <f t="shared" si="38"/>
        <v/>
      </c>
      <c r="Z783" s="5" t="str">
        <f>IF(J783="","", IF(K783&lt;=3, "⚠️ 薄弱环节: "&amp;INDEX($E$1:$I$1, MATCH(MIN(E783:I783), E783:I783, 0))&amp;CHAR(10)&amp;"📉 考察能力: "&amp;IFERROR(VLOOKUP(TRIM(D783)&amp;"_"&amp;TRIM(INDEX($E$1:$I$1, MATCH(MIN(E783:I783), E783:I783, 0))), 技能库!$A:$F, 5, 0),"建议查阅考纲")&amp;CHAR(10)&amp;"💡 提升建议: "&amp;IFERROR(VLOOKUP(TRIM(D783)&amp;"_"&amp;TRIM(INDEX($E$1:$I$1, MATCH(MIN(E783:I783), E783:I783, 0))), 技能库!$A:$F, 6, 0),"请针对该题型加强练习"), "🎉 表现优异，无明显弱项！"))</f>
        <v/>
      </c>
      <c r="AA783" s="5" t="str">
        <f>IF(T783="","", IF(U783&lt;=3, "⚠️ 薄弱环节: "&amp;INDEX($M$1:$S$1, MATCH(MIN(M783:S783), M783:S783, 0))&amp;CHAR(10)&amp;"📉 考察能力: "&amp;IFERROR(VLOOKUP(TRIM(D783)&amp;"_"&amp;TRIM(INDEX($M$1:$S$1, MATCH(MIN(M783:S783), M783:S783, 0))), 技能库!$A:$F, 5, 0),"建议查阅考纲")&amp;CHAR(10)&amp;"💡 提升建议: "&amp;IFERROR(VLOOKUP(TRIM(D783)&amp;"_"&amp;TRIM(INDEX($M$1:$S$1, MATCH(MIN(M783:S783), M783:S783, 0))), 技能库!$A:$F, 6, 0),"请针对该题型加强练习"), "🎉 表现优异，无明显弱项！"))</f>
        <v/>
      </c>
    </row>
    <row r="784" spans="10:27" ht="18" hidden="1" customHeight="1" x14ac:dyDescent="0.2">
      <c r="J784" t="str">
        <f t="shared" si="36"/>
        <v/>
      </c>
      <c r="K784" t="str">
        <f>IF(J784="","", IFERROR(VLOOKUP(J784, IF(D784="Movers", 换算标准!$C:$D, 换算标准!$I:$J), 2, TRUE), 0))</f>
        <v/>
      </c>
      <c r="T784" t="str">
        <f t="shared" si="37"/>
        <v/>
      </c>
      <c r="U784" t="str">
        <f>IF(T784="","", IFERROR(VLOOKUP(T784, IF(D784="Movers", 换算标准!$A:$B, 换算标准!$G:$H), 2, TRUE), 0))</f>
        <v/>
      </c>
      <c r="W784" t="str">
        <f t="shared" si="38"/>
        <v/>
      </c>
      <c r="Z784" s="5" t="str">
        <f>IF(J784="","", IF(K784&lt;=3, "⚠️ 薄弱环节: "&amp;INDEX($E$1:$I$1, MATCH(MIN(E784:I784), E784:I784, 0))&amp;CHAR(10)&amp;"📉 考察能力: "&amp;IFERROR(VLOOKUP(TRIM(D784)&amp;"_"&amp;TRIM(INDEX($E$1:$I$1, MATCH(MIN(E784:I784), E784:I784, 0))), 技能库!$A:$F, 5, 0),"建议查阅考纲")&amp;CHAR(10)&amp;"💡 提升建议: "&amp;IFERROR(VLOOKUP(TRIM(D784)&amp;"_"&amp;TRIM(INDEX($E$1:$I$1, MATCH(MIN(E784:I784), E784:I784, 0))), 技能库!$A:$F, 6, 0),"请针对该题型加强练习"), "🎉 表现优异，无明显弱项！"))</f>
        <v/>
      </c>
      <c r="AA784" s="5" t="str">
        <f>IF(T784="","", IF(U784&lt;=3, "⚠️ 薄弱环节: "&amp;INDEX($M$1:$S$1, MATCH(MIN(M784:S784), M784:S784, 0))&amp;CHAR(10)&amp;"📉 考察能力: "&amp;IFERROR(VLOOKUP(TRIM(D784)&amp;"_"&amp;TRIM(INDEX($M$1:$S$1, MATCH(MIN(M784:S784), M784:S784, 0))), 技能库!$A:$F, 5, 0),"建议查阅考纲")&amp;CHAR(10)&amp;"💡 提升建议: "&amp;IFERROR(VLOOKUP(TRIM(D784)&amp;"_"&amp;TRIM(INDEX($M$1:$S$1, MATCH(MIN(M784:S784), M784:S784, 0))), 技能库!$A:$F, 6, 0),"请针对该题型加强练习"), "🎉 表现优异，无明显弱项！"))</f>
        <v/>
      </c>
    </row>
    <row r="785" spans="10:27" ht="18" hidden="1" customHeight="1" x14ac:dyDescent="0.2">
      <c r="J785" t="str">
        <f t="shared" si="36"/>
        <v/>
      </c>
      <c r="K785" t="str">
        <f>IF(J785="","", IFERROR(VLOOKUP(J785, IF(D785="Movers", 换算标准!$C:$D, 换算标准!$I:$J), 2, TRUE), 0))</f>
        <v/>
      </c>
      <c r="T785" t="str">
        <f t="shared" si="37"/>
        <v/>
      </c>
      <c r="U785" t="str">
        <f>IF(T785="","", IFERROR(VLOOKUP(T785, IF(D785="Movers", 换算标准!$A:$B, 换算标准!$G:$H), 2, TRUE), 0))</f>
        <v/>
      </c>
      <c r="W785" t="str">
        <f t="shared" si="38"/>
        <v/>
      </c>
      <c r="Z785" s="5" t="str">
        <f>IF(J785="","", IF(K785&lt;=3, "⚠️ 薄弱环节: "&amp;INDEX($E$1:$I$1, MATCH(MIN(E785:I785), E785:I785, 0))&amp;CHAR(10)&amp;"📉 考察能力: "&amp;IFERROR(VLOOKUP(TRIM(D785)&amp;"_"&amp;TRIM(INDEX($E$1:$I$1, MATCH(MIN(E785:I785), E785:I785, 0))), 技能库!$A:$F, 5, 0),"建议查阅考纲")&amp;CHAR(10)&amp;"💡 提升建议: "&amp;IFERROR(VLOOKUP(TRIM(D785)&amp;"_"&amp;TRIM(INDEX($E$1:$I$1, MATCH(MIN(E785:I785), E785:I785, 0))), 技能库!$A:$F, 6, 0),"请针对该题型加强练习"), "🎉 表现优异，无明显弱项！"))</f>
        <v/>
      </c>
      <c r="AA785" s="5" t="str">
        <f>IF(T785="","", IF(U785&lt;=3, "⚠️ 薄弱环节: "&amp;INDEX($M$1:$S$1, MATCH(MIN(M785:S785), M785:S785, 0))&amp;CHAR(10)&amp;"📉 考察能力: "&amp;IFERROR(VLOOKUP(TRIM(D785)&amp;"_"&amp;TRIM(INDEX($M$1:$S$1, MATCH(MIN(M785:S785), M785:S785, 0))), 技能库!$A:$F, 5, 0),"建议查阅考纲")&amp;CHAR(10)&amp;"💡 提升建议: "&amp;IFERROR(VLOOKUP(TRIM(D785)&amp;"_"&amp;TRIM(INDEX($M$1:$S$1, MATCH(MIN(M785:S785), M785:S785, 0))), 技能库!$A:$F, 6, 0),"请针对该题型加强练习"), "🎉 表现优异，无明显弱项！"))</f>
        <v/>
      </c>
    </row>
    <row r="786" spans="10:27" ht="18" hidden="1" customHeight="1" x14ac:dyDescent="0.2">
      <c r="J786" t="str">
        <f t="shared" si="36"/>
        <v/>
      </c>
      <c r="K786" t="str">
        <f>IF(J786="","", IFERROR(VLOOKUP(J786, IF(D786="Movers", 换算标准!$C:$D, 换算标准!$I:$J), 2, TRUE), 0))</f>
        <v/>
      </c>
      <c r="T786" t="str">
        <f t="shared" si="37"/>
        <v/>
      </c>
      <c r="U786" t="str">
        <f>IF(T786="","", IFERROR(VLOOKUP(T786, IF(D786="Movers", 换算标准!$A:$B, 换算标准!$G:$H), 2, TRUE), 0))</f>
        <v/>
      </c>
      <c r="W786" t="str">
        <f t="shared" si="38"/>
        <v/>
      </c>
      <c r="Z786" s="5" t="str">
        <f>IF(J786="","", IF(K786&lt;=3, "⚠️ 薄弱环节: "&amp;INDEX($E$1:$I$1, MATCH(MIN(E786:I786), E786:I786, 0))&amp;CHAR(10)&amp;"📉 考察能力: "&amp;IFERROR(VLOOKUP(TRIM(D786)&amp;"_"&amp;TRIM(INDEX($E$1:$I$1, MATCH(MIN(E786:I786), E786:I786, 0))), 技能库!$A:$F, 5, 0),"建议查阅考纲")&amp;CHAR(10)&amp;"💡 提升建议: "&amp;IFERROR(VLOOKUP(TRIM(D786)&amp;"_"&amp;TRIM(INDEX($E$1:$I$1, MATCH(MIN(E786:I786), E786:I786, 0))), 技能库!$A:$F, 6, 0),"请针对该题型加强练习"), "🎉 表现优异，无明显弱项！"))</f>
        <v/>
      </c>
      <c r="AA786" s="5" t="str">
        <f>IF(T786="","", IF(U786&lt;=3, "⚠️ 薄弱环节: "&amp;INDEX($M$1:$S$1, MATCH(MIN(M786:S786), M786:S786, 0))&amp;CHAR(10)&amp;"📉 考察能力: "&amp;IFERROR(VLOOKUP(TRIM(D786)&amp;"_"&amp;TRIM(INDEX($M$1:$S$1, MATCH(MIN(M786:S786), M786:S786, 0))), 技能库!$A:$F, 5, 0),"建议查阅考纲")&amp;CHAR(10)&amp;"💡 提升建议: "&amp;IFERROR(VLOOKUP(TRIM(D786)&amp;"_"&amp;TRIM(INDEX($M$1:$S$1, MATCH(MIN(M786:S786), M786:S786, 0))), 技能库!$A:$F, 6, 0),"请针对该题型加强练习"), "🎉 表现优异，无明显弱项！"))</f>
        <v/>
      </c>
    </row>
    <row r="787" spans="10:27" ht="18" hidden="1" customHeight="1" x14ac:dyDescent="0.2">
      <c r="J787" t="str">
        <f t="shared" si="36"/>
        <v/>
      </c>
      <c r="K787" t="str">
        <f>IF(J787="","", IFERROR(VLOOKUP(J787, IF(D787="Movers", 换算标准!$C:$D, 换算标准!$I:$J), 2, TRUE), 0))</f>
        <v/>
      </c>
      <c r="T787" t="str">
        <f t="shared" si="37"/>
        <v/>
      </c>
      <c r="U787" t="str">
        <f>IF(T787="","", IFERROR(VLOOKUP(T787, IF(D787="Movers", 换算标准!$A:$B, 换算标准!$G:$H), 2, TRUE), 0))</f>
        <v/>
      </c>
      <c r="W787" t="str">
        <f t="shared" si="38"/>
        <v/>
      </c>
      <c r="Z787" s="5" t="str">
        <f>IF(J787="","", IF(K787&lt;=3, "⚠️ 薄弱环节: "&amp;INDEX($E$1:$I$1, MATCH(MIN(E787:I787), E787:I787, 0))&amp;CHAR(10)&amp;"📉 考察能力: "&amp;IFERROR(VLOOKUP(TRIM(D787)&amp;"_"&amp;TRIM(INDEX($E$1:$I$1, MATCH(MIN(E787:I787), E787:I787, 0))), 技能库!$A:$F, 5, 0),"建议查阅考纲")&amp;CHAR(10)&amp;"💡 提升建议: "&amp;IFERROR(VLOOKUP(TRIM(D787)&amp;"_"&amp;TRIM(INDEX($E$1:$I$1, MATCH(MIN(E787:I787), E787:I787, 0))), 技能库!$A:$F, 6, 0),"请针对该题型加强练习"), "🎉 表现优异，无明显弱项！"))</f>
        <v/>
      </c>
      <c r="AA787" s="5" t="str">
        <f>IF(T787="","", IF(U787&lt;=3, "⚠️ 薄弱环节: "&amp;INDEX($M$1:$S$1, MATCH(MIN(M787:S787), M787:S787, 0))&amp;CHAR(10)&amp;"📉 考察能力: "&amp;IFERROR(VLOOKUP(TRIM(D787)&amp;"_"&amp;TRIM(INDEX($M$1:$S$1, MATCH(MIN(M787:S787), M787:S787, 0))), 技能库!$A:$F, 5, 0),"建议查阅考纲")&amp;CHAR(10)&amp;"💡 提升建议: "&amp;IFERROR(VLOOKUP(TRIM(D787)&amp;"_"&amp;TRIM(INDEX($M$1:$S$1, MATCH(MIN(M787:S787), M787:S787, 0))), 技能库!$A:$F, 6, 0),"请针对该题型加强练习"), "🎉 表现优异，无明显弱项！"))</f>
        <v/>
      </c>
    </row>
    <row r="788" spans="10:27" ht="18" hidden="1" customHeight="1" x14ac:dyDescent="0.2">
      <c r="J788" t="str">
        <f t="shared" si="36"/>
        <v/>
      </c>
      <c r="K788" t="str">
        <f>IF(J788="","", IFERROR(VLOOKUP(J788, IF(D788="Movers", 换算标准!$C:$D, 换算标准!$I:$J), 2, TRUE), 0))</f>
        <v/>
      </c>
      <c r="T788" t="str">
        <f t="shared" si="37"/>
        <v/>
      </c>
      <c r="U788" t="str">
        <f>IF(T788="","", IFERROR(VLOOKUP(T788, IF(D788="Movers", 换算标准!$A:$B, 换算标准!$G:$H), 2, TRUE), 0))</f>
        <v/>
      </c>
      <c r="W788" t="str">
        <f t="shared" si="38"/>
        <v/>
      </c>
      <c r="Z788" s="5" t="str">
        <f>IF(J788="","", IF(K788&lt;=3, "⚠️ 薄弱环节: "&amp;INDEX($E$1:$I$1, MATCH(MIN(E788:I788), E788:I788, 0))&amp;CHAR(10)&amp;"📉 考察能力: "&amp;IFERROR(VLOOKUP(TRIM(D788)&amp;"_"&amp;TRIM(INDEX($E$1:$I$1, MATCH(MIN(E788:I788), E788:I788, 0))), 技能库!$A:$F, 5, 0),"建议查阅考纲")&amp;CHAR(10)&amp;"💡 提升建议: "&amp;IFERROR(VLOOKUP(TRIM(D788)&amp;"_"&amp;TRIM(INDEX($E$1:$I$1, MATCH(MIN(E788:I788), E788:I788, 0))), 技能库!$A:$F, 6, 0),"请针对该题型加强练习"), "🎉 表现优异，无明显弱项！"))</f>
        <v/>
      </c>
      <c r="AA788" s="5" t="str">
        <f>IF(T788="","", IF(U788&lt;=3, "⚠️ 薄弱环节: "&amp;INDEX($M$1:$S$1, MATCH(MIN(M788:S788), M788:S788, 0))&amp;CHAR(10)&amp;"📉 考察能力: "&amp;IFERROR(VLOOKUP(TRIM(D788)&amp;"_"&amp;TRIM(INDEX($M$1:$S$1, MATCH(MIN(M788:S788), M788:S788, 0))), 技能库!$A:$F, 5, 0),"建议查阅考纲")&amp;CHAR(10)&amp;"💡 提升建议: "&amp;IFERROR(VLOOKUP(TRIM(D788)&amp;"_"&amp;TRIM(INDEX($M$1:$S$1, MATCH(MIN(M788:S788), M788:S788, 0))), 技能库!$A:$F, 6, 0),"请针对该题型加强练习"), "🎉 表现优异，无明显弱项！"))</f>
        <v/>
      </c>
    </row>
    <row r="789" spans="10:27" ht="18" hidden="1" customHeight="1" x14ac:dyDescent="0.2">
      <c r="J789" t="str">
        <f t="shared" si="36"/>
        <v/>
      </c>
      <c r="K789" t="str">
        <f>IF(J789="","", IFERROR(VLOOKUP(J789, IF(D789="Movers", 换算标准!$C:$D, 换算标准!$I:$J), 2, TRUE), 0))</f>
        <v/>
      </c>
      <c r="T789" t="str">
        <f t="shared" si="37"/>
        <v/>
      </c>
      <c r="U789" t="str">
        <f>IF(T789="","", IFERROR(VLOOKUP(T789, IF(D789="Movers", 换算标准!$A:$B, 换算标准!$G:$H), 2, TRUE), 0))</f>
        <v/>
      </c>
      <c r="W789" t="str">
        <f t="shared" si="38"/>
        <v/>
      </c>
      <c r="Z789" s="5" t="str">
        <f>IF(J789="","", IF(K789&lt;=3, "⚠️ 薄弱环节: "&amp;INDEX($E$1:$I$1, MATCH(MIN(E789:I789), E789:I789, 0))&amp;CHAR(10)&amp;"📉 考察能力: "&amp;IFERROR(VLOOKUP(TRIM(D789)&amp;"_"&amp;TRIM(INDEX($E$1:$I$1, MATCH(MIN(E789:I789), E789:I789, 0))), 技能库!$A:$F, 5, 0),"建议查阅考纲")&amp;CHAR(10)&amp;"💡 提升建议: "&amp;IFERROR(VLOOKUP(TRIM(D789)&amp;"_"&amp;TRIM(INDEX($E$1:$I$1, MATCH(MIN(E789:I789), E789:I789, 0))), 技能库!$A:$F, 6, 0),"请针对该题型加强练习"), "🎉 表现优异，无明显弱项！"))</f>
        <v/>
      </c>
      <c r="AA789" s="5" t="str">
        <f>IF(T789="","", IF(U789&lt;=3, "⚠️ 薄弱环节: "&amp;INDEX($M$1:$S$1, MATCH(MIN(M789:S789), M789:S789, 0))&amp;CHAR(10)&amp;"📉 考察能力: "&amp;IFERROR(VLOOKUP(TRIM(D789)&amp;"_"&amp;TRIM(INDEX($M$1:$S$1, MATCH(MIN(M789:S789), M789:S789, 0))), 技能库!$A:$F, 5, 0),"建议查阅考纲")&amp;CHAR(10)&amp;"💡 提升建议: "&amp;IFERROR(VLOOKUP(TRIM(D789)&amp;"_"&amp;TRIM(INDEX($M$1:$S$1, MATCH(MIN(M789:S789), M789:S789, 0))), 技能库!$A:$F, 6, 0),"请针对该题型加强练习"), "🎉 表现优异，无明显弱项！"))</f>
        <v/>
      </c>
    </row>
    <row r="790" spans="10:27" ht="18" hidden="1" customHeight="1" x14ac:dyDescent="0.2">
      <c r="J790" t="str">
        <f t="shared" si="36"/>
        <v/>
      </c>
      <c r="K790" t="str">
        <f>IF(J790="","", IFERROR(VLOOKUP(J790, IF(D790="Movers", 换算标准!$C:$D, 换算标准!$I:$J), 2, TRUE), 0))</f>
        <v/>
      </c>
      <c r="T790" t="str">
        <f t="shared" si="37"/>
        <v/>
      </c>
      <c r="U790" t="str">
        <f>IF(T790="","", IFERROR(VLOOKUP(T790, IF(D790="Movers", 换算标准!$A:$B, 换算标准!$G:$H), 2, TRUE), 0))</f>
        <v/>
      </c>
      <c r="W790" t="str">
        <f t="shared" si="38"/>
        <v/>
      </c>
      <c r="Z790" s="5" t="str">
        <f>IF(J790="","", IF(K790&lt;=3, "⚠️ 薄弱环节: "&amp;INDEX($E$1:$I$1, MATCH(MIN(E790:I790), E790:I790, 0))&amp;CHAR(10)&amp;"📉 考察能力: "&amp;IFERROR(VLOOKUP(TRIM(D790)&amp;"_"&amp;TRIM(INDEX($E$1:$I$1, MATCH(MIN(E790:I790), E790:I790, 0))), 技能库!$A:$F, 5, 0),"建议查阅考纲")&amp;CHAR(10)&amp;"💡 提升建议: "&amp;IFERROR(VLOOKUP(TRIM(D790)&amp;"_"&amp;TRIM(INDEX($E$1:$I$1, MATCH(MIN(E790:I790), E790:I790, 0))), 技能库!$A:$F, 6, 0),"请针对该题型加强练习"), "🎉 表现优异，无明显弱项！"))</f>
        <v/>
      </c>
      <c r="AA790" s="5" t="str">
        <f>IF(T790="","", IF(U790&lt;=3, "⚠️ 薄弱环节: "&amp;INDEX($M$1:$S$1, MATCH(MIN(M790:S790), M790:S790, 0))&amp;CHAR(10)&amp;"📉 考察能力: "&amp;IFERROR(VLOOKUP(TRIM(D790)&amp;"_"&amp;TRIM(INDEX($M$1:$S$1, MATCH(MIN(M790:S790), M790:S790, 0))), 技能库!$A:$F, 5, 0),"建议查阅考纲")&amp;CHAR(10)&amp;"💡 提升建议: "&amp;IFERROR(VLOOKUP(TRIM(D790)&amp;"_"&amp;TRIM(INDEX($M$1:$S$1, MATCH(MIN(M790:S790), M790:S790, 0))), 技能库!$A:$F, 6, 0),"请针对该题型加强练习"), "🎉 表现优异，无明显弱项！"))</f>
        <v/>
      </c>
    </row>
    <row r="791" spans="10:27" ht="18" hidden="1" customHeight="1" x14ac:dyDescent="0.2">
      <c r="J791" t="str">
        <f t="shared" si="36"/>
        <v/>
      </c>
      <c r="K791" t="str">
        <f>IF(J791="","", IFERROR(VLOOKUP(J791, IF(D791="Movers", 换算标准!$C:$D, 换算标准!$I:$J), 2, TRUE), 0))</f>
        <v/>
      </c>
      <c r="T791" t="str">
        <f t="shared" si="37"/>
        <v/>
      </c>
      <c r="U791" t="str">
        <f>IF(T791="","", IFERROR(VLOOKUP(T791, IF(D791="Movers", 换算标准!$A:$B, 换算标准!$G:$H), 2, TRUE), 0))</f>
        <v/>
      </c>
      <c r="W791" t="str">
        <f t="shared" si="38"/>
        <v/>
      </c>
      <c r="Z791" s="5" t="str">
        <f>IF(J791="","", IF(K791&lt;=3, "⚠️ 薄弱环节: "&amp;INDEX($E$1:$I$1, MATCH(MIN(E791:I791), E791:I791, 0))&amp;CHAR(10)&amp;"📉 考察能力: "&amp;IFERROR(VLOOKUP(TRIM(D791)&amp;"_"&amp;TRIM(INDEX($E$1:$I$1, MATCH(MIN(E791:I791), E791:I791, 0))), 技能库!$A:$F, 5, 0),"建议查阅考纲")&amp;CHAR(10)&amp;"💡 提升建议: "&amp;IFERROR(VLOOKUP(TRIM(D791)&amp;"_"&amp;TRIM(INDEX($E$1:$I$1, MATCH(MIN(E791:I791), E791:I791, 0))), 技能库!$A:$F, 6, 0),"请针对该题型加强练习"), "🎉 表现优异，无明显弱项！"))</f>
        <v/>
      </c>
      <c r="AA791" s="5" t="str">
        <f>IF(T791="","", IF(U791&lt;=3, "⚠️ 薄弱环节: "&amp;INDEX($M$1:$S$1, MATCH(MIN(M791:S791), M791:S791, 0))&amp;CHAR(10)&amp;"📉 考察能力: "&amp;IFERROR(VLOOKUP(TRIM(D791)&amp;"_"&amp;TRIM(INDEX($M$1:$S$1, MATCH(MIN(M791:S791), M791:S791, 0))), 技能库!$A:$F, 5, 0),"建议查阅考纲")&amp;CHAR(10)&amp;"💡 提升建议: "&amp;IFERROR(VLOOKUP(TRIM(D791)&amp;"_"&amp;TRIM(INDEX($M$1:$S$1, MATCH(MIN(M791:S791), M791:S791, 0))), 技能库!$A:$F, 6, 0),"请针对该题型加强练习"), "🎉 表现优异，无明显弱项！"))</f>
        <v/>
      </c>
    </row>
    <row r="792" spans="10:27" ht="18" hidden="1" customHeight="1" x14ac:dyDescent="0.2">
      <c r="J792" t="str">
        <f t="shared" si="36"/>
        <v/>
      </c>
      <c r="K792" t="str">
        <f>IF(J792="","", IFERROR(VLOOKUP(J792, IF(D792="Movers", 换算标准!$C:$D, 换算标准!$I:$J), 2, TRUE), 0))</f>
        <v/>
      </c>
      <c r="T792" t="str">
        <f t="shared" si="37"/>
        <v/>
      </c>
      <c r="U792" t="str">
        <f>IF(T792="","", IFERROR(VLOOKUP(T792, IF(D792="Movers", 换算标准!$A:$B, 换算标准!$G:$H), 2, TRUE), 0))</f>
        <v/>
      </c>
      <c r="W792" t="str">
        <f t="shared" si="38"/>
        <v/>
      </c>
      <c r="Z792" s="5" t="str">
        <f>IF(J792="","", IF(K792&lt;=3, "⚠️ 薄弱环节: "&amp;INDEX($E$1:$I$1, MATCH(MIN(E792:I792), E792:I792, 0))&amp;CHAR(10)&amp;"📉 考察能力: "&amp;IFERROR(VLOOKUP(TRIM(D792)&amp;"_"&amp;TRIM(INDEX($E$1:$I$1, MATCH(MIN(E792:I792), E792:I792, 0))), 技能库!$A:$F, 5, 0),"建议查阅考纲")&amp;CHAR(10)&amp;"💡 提升建议: "&amp;IFERROR(VLOOKUP(TRIM(D792)&amp;"_"&amp;TRIM(INDEX($E$1:$I$1, MATCH(MIN(E792:I792), E792:I792, 0))), 技能库!$A:$F, 6, 0),"请针对该题型加强练习"), "🎉 表现优异，无明显弱项！"))</f>
        <v/>
      </c>
      <c r="AA792" s="5" t="str">
        <f>IF(T792="","", IF(U792&lt;=3, "⚠️ 薄弱环节: "&amp;INDEX($M$1:$S$1, MATCH(MIN(M792:S792), M792:S792, 0))&amp;CHAR(10)&amp;"📉 考察能力: "&amp;IFERROR(VLOOKUP(TRIM(D792)&amp;"_"&amp;TRIM(INDEX($M$1:$S$1, MATCH(MIN(M792:S792), M792:S792, 0))), 技能库!$A:$F, 5, 0),"建议查阅考纲")&amp;CHAR(10)&amp;"💡 提升建议: "&amp;IFERROR(VLOOKUP(TRIM(D792)&amp;"_"&amp;TRIM(INDEX($M$1:$S$1, MATCH(MIN(M792:S792), M792:S792, 0))), 技能库!$A:$F, 6, 0),"请针对该题型加强练习"), "🎉 表现优异，无明显弱项！"))</f>
        <v/>
      </c>
    </row>
    <row r="793" spans="10:27" ht="18" hidden="1" customHeight="1" x14ac:dyDescent="0.2">
      <c r="J793" t="str">
        <f t="shared" si="36"/>
        <v/>
      </c>
      <c r="K793" t="str">
        <f>IF(J793="","", IFERROR(VLOOKUP(J793, IF(D793="Movers", 换算标准!$C:$D, 换算标准!$I:$J), 2, TRUE), 0))</f>
        <v/>
      </c>
      <c r="T793" t="str">
        <f t="shared" si="37"/>
        <v/>
      </c>
      <c r="U793" t="str">
        <f>IF(T793="","", IFERROR(VLOOKUP(T793, IF(D793="Movers", 换算标准!$A:$B, 换算标准!$G:$H), 2, TRUE), 0))</f>
        <v/>
      </c>
      <c r="W793" t="str">
        <f t="shared" si="38"/>
        <v/>
      </c>
      <c r="Z793" s="5" t="str">
        <f>IF(J793="","", IF(K793&lt;=3, "⚠️ 薄弱环节: "&amp;INDEX($E$1:$I$1, MATCH(MIN(E793:I793), E793:I793, 0))&amp;CHAR(10)&amp;"📉 考察能力: "&amp;IFERROR(VLOOKUP(TRIM(D793)&amp;"_"&amp;TRIM(INDEX($E$1:$I$1, MATCH(MIN(E793:I793), E793:I793, 0))), 技能库!$A:$F, 5, 0),"建议查阅考纲")&amp;CHAR(10)&amp;"💡 提升建议: "&amp;IFERROR(VLOOKUP(TRIM(D793)&amp;"_"&amp;TRIM(INDEX($E$1:$I$1, MATCH(MIN(E793:I793), E793:I793, 0))), 技能库!$A:$F, 6, 0),"请针对该题型加强练习"), "🎉 表现优异，无明显弱项！"))</f>
        <v/>
      </c>
      <c r="AA793" s="5" t="str">
        <f>IF(T793="","", IF(U793&lt;=3, "⚠️ 薄弱环节: "&amp;INDEX($M$1:$S$1, MATCH(MIN(M793:S793), M793:S793, 0))&amp;CHAR(10)&amp;"📉 考察能力: "&amp;IFERROR(VLOOKUP(TRIM(D793)&amp;"_"&amp;TRIM(INDEX($M$1:$S$1, MATCH(MIN(M793:S793), M793:S793, 0))), 技能库!$A:$F, 5, 0),"建议查阅考纲")&amp;CHAR(10)&amp;"💡 提升建议: "&amp;IFERROR(VLOOKUP(TRIM(D793)&amp;"_"&amp;TRIM(INDEX($M$1:$S$1, MATCH(MIN(M793:S793), M793:S793, 0))), 技能库!$A:$F, 6, 0),"请针对该题型加强练习"), "🎉 表现优异，无明显弱项！"))</f>
        <v/>
      </c>
    </row>
    <row r="794" spans="10:27" ht="18" hidden="1" customHeight="1" x14ac:dyDescent="0.2">
      <c r="J794" t="str">
        <f t="shared" si="36"/>
        <v/>
      </c>
      <c r="K794" t="str">
        <f>IF(J794="","", IFERROR(VLOOKUP(J794, IF(D794="Movers", 换算标准!$C:$D, 换算标准!$I:$J), 2, TRUE), 0))</f>
        <v/>
      </c>
      <c r="T794" t="str">
        <f t="shared" si="37"/>
        <v/>
      </c>
      <c r="U794" t="str">
        <f>IF(T794="","", IFERROR(VLOOKUP(T794, IF(D794="Movers", 换算标准!$A:$B, 换算标准!$G:$H), 2, TRUE), 0))</f>
        <v/>
      </c>
      <c r="W794" t="str">
        <f t="shared" si="38"/>
        <v/>
      </c>
      <c r="Z794" s="5" t="str">
        <f>IF(J794="","", IF(K794&lt;=3, "⚠️ 薄弱环节: "&amp;INDEX($E$1:$I$1, MATCH(MIN(E794:I794), E794:I794, 0))&amp;CHAR(10)&amp;"📉 考察能力: "&amp;IFERROR(VLOOKUP(TRIM(D794)&amp;"_"&amp;TRIM(INDEX($E$1:$I$1, MATCH(MIN(E794:I794), E794:I794, 0))), 技能库!$A:$F, 5, 0),"建议查阅考纲")&amp;CHAR(10)&amp;"💡 提升建议: "&amp;IFERROR(VLOOKUP(TRIM(D794)&amp;"_"&amp;TRIM(INDEX($E$1:$I$1, MATCH(MIN(E794:I794), E794:I794, 0))), 技能库!$A:$F, 6, 0),"请针对该题型加强练习"), "🎉 表现优异，无明显弱项！"))</f>
        <v/>
      </c>
      <c r="AA794" s="5" t="str">
        <f>IF(T794="","", IF(U794&lt;=3, "⚠️ 薄弱环节: "&amp;INDEX($M$1:$S$1, MATCH(MIN(M794:S794), M794:S794, 0))&amp;CHAR(10)&amp;"📉 考察能力: "&amp;IFERROR(VLOOKUP(TRIM(D794)&amp;"_"&amp;TRIM(INDEX($M$1:$S$1, MATCH(MIN(M794:S794), M794:S794, 0))), 技能库!$A:$F, 5, 0),"建议查阅考纲")&amp;CHAR(10)&amp;"💡 提升建议: "&amp;IFERROR(VLOOKUP(TRIM(D794)&amp;"_"&amp;TRIM(INDEX($M$1:$S$1, MATCH(MIN(M794:S794), M794:S794, 0))), 技能库!$A:$F, 6, 0),"请针对该题型加强练习"), "🎉 表现优异，无明显弱项！"))</f>
        <v/>
      </c>
    </row>
    <row r="795" spans="10:27" ht="18" hidden="1" customHeight="1" x14ac:dyDescent="0.2">
      <c r="J795" t="str">
        <f t="shared" si="36"/>
        <v/>
      </c>
      <c r="K795" t="str">
        <f>IF(J795="","", IFERROR(VLOOKUP(J795, IF(D795="Movers", 换算标准!$C:$D, 换算标准!$I:$J), 2, TRUE), 0))</f>
        <v/>
      </c>
      <c r="T795" t="str">
        <f t="shared" si="37"/>
        <v/>
      </c>
      <c r="U795" t="str">
        <f>IF(T795="","", IFERROR(VLOOKUP(T795, IF(D795="Movers", 换算标准!$A:$B, 换算标准!$G:$H), 2, TRUE), 0))</f>
        <v/>
      </c>
      <c r="W795" t="str">
        <f t="shared" si="38"/>
        <v/>
      </c>
      <c r="Z795" s="5" t="str">
        <f>IF(J795="","", IF(K795&lt;=3, "⚠️ 薄弱环节: "&amp;INDEX($E$1:$I$1, MATCH(MIN(E795:I795), E795:I795, 0))&amp;CHAR(10)&amp;"📉 考察能力: "&amp;IFERROR(VLOOKUP(TRIM(D795)&amp;"_"&amp;TRIM(INDEX($E$1:$I$1, MATCH(MIN(E795:I795), E795:I795, 0))), 技能库!$A:$F, 5, 0),"建议查阅考纲")&amp;CHAR(10)&amp;"💡 提升建议: "&amp;IFERROR(VLOOKUP(TRIM(D795)&amp;"_"&amp;TRIM(INDEX($E$1:$I$1, MATCH(MIN(E795:I795), E795:I795, 0))), 技能库!$A:$F, 6, 0),"请针对该题型加强练习"), "🎉 表现优异，无明显弱项！"))</f>
        <v/>
      </c>
      <c r="AA795" s="5" t="str">
        <f>IF(T795="","", IF(U795&lt;=3, "⚠️ 薄弱环节: "&amp;INDEX($M$1:$S$1, MATCH(MIN(M795:S795), M795:S795, 0))&amp;CHAR(10)&amp;"📉 考察能力: "&amp;IFERROR(VLOOKUP(TRIM(D795)&amp;"_"&amp;TRIM(INDEX($M$1:$S$1, MATCH(MIN(M795:S795), M795:S795, 0))), 技能库!$A:$F, 5, 0),"建议查阅考纲")&amp;CHAR(10)&amp;"💡 提升建议: "&amp;IFERROR(VLOOKUP(TRIM(D795)&amp;"_"&amp;TRIM(INDEX($M$1:$S$1, MATCH(MIN(M795:S795), M795:S795, 0))), 技能库!$A:$F, 6, 0),"请针对该题型加强练习"), "🎉 表现优异，无明显弱项！"))</f>
        <v/>
      </c>
    </row>
    <row r="796" spans="10:27" ht="18" hidden="1" customHeight="1" x14ac:dyDescent="0.2">
      <c r="J796" t="str">
        <f t="shared" si="36"/>
        <v/>
      </c>
      <c r="K796" t="str">
        <f>IF(J796="","", IFERROR(VLOOKUP(J796, IF(D796="Movers", 换算标准!$C:$D, 换算标准!$I:$J), 2, TRUE), 0))</f>
        <v/>
      </c>
      <c r="T796" t="str">
        <f t="shared" si="37"/>
        <v/>
      </c>
      <c r="U796" t="str">
        <f>IF(T796="","", IFERROR(VLOOKUP(T796, IF(D796="Movers", 换算标准!$A:$B, 换算标准!$G:$H), 2, TRUE), 0))</f>
        <v/>
      </c>
      <c r="W796" t="str">
        <f t="shared" si="38"/>
        <v/>
      </c>
      <c r="Z796" s="5" t="str">
        <f>IF(J796="","", IF(K796&lt;=3, "⚠️ 薄弱环节: "&amp;INDEX($E$1:$I$1, MATCH(MIN(E796:I796), E796:I796, 0))&amp;CHAR(10)&amp;"📉 考察能力: "&amp;IFERROR(VLOOKUP(TRIM(D796)&amp;"_"&amp;TRIM(INDEX($E$1:$I$1, MATCH(MIN(E796:I796), E796:I796, 0))), 技能库!$A:$F, 5, 0),"建议查阅考纲")&amp;CHAR(10)&amp;"💡 提升建议: "&amp;IFERROR(VLOOKUP(TRIM(D796)&amp;"_"&amp;TRIM(INDEX($E$1:$I$1, MATCH(MIN(E796:I796), E796:I796, 0))), 技能库!$A:$F, 6, 0),"请针对该题型加强练习"), "🎉 表现优异，无明显弱项！"))</f>
        <v/>
      </c>
      <c r="AA796" s="5" t="str">
        <f>IF(T796="","", IF(U796&lt;=3, "⚠️ 薄弱环节: "&amp;INDEX($M$1:$S$1, MATCH(MIN(M796:S796), M796:S796, 0))&amp;CHAR(10)&amp;"📉 考察能力: "&amp;IFERROR(VLOOKUP(TRIM(D796)&amp;"_"&amp;TRIM(INDEX($M$1:$S$1, MATCH(MIN(M796:S796), M796:S796, 0))), 技能库!$A:$F, 5, 0),"建议查阅考纲")&amp;CHAR(10)&amp;"💡 提升建议: "&amp;IFERROR(VLOOKUP(TRIM(D796)&amp;"_"&amp;TRIM(INDEX($M$1:$S$1, MATCH(MIN(M796:S796), M796:S796, 0))), 技能库!$A:$F, 6, 0),"请针对该题型加强练习"), "🎉 表现优异，无明显弱项！"))</f>
        <v/>
      </c>
    </row>
    <row r="797" spans="10:27" ht="18" hidden="1" customHeight="1" x14ac:dyDescent="0.2">
      <c r="J797" t="str">
        <f t="shared" si="36"/>
        <v/>
      </c>
      <c r="K797" t="str">
        <f>IF(J797="","", IFERROR(VLOOKUP(J797, IF(D797="Movers", 换算标准!$C:$D, 换算标准!$I:$J), 2, TRUE), 0))</f>
        <v/>
      </c>
      <c r="T797" t="str">
        <f t="shared" si="37"/>
        <v/>
      </c>
      <c r="U797" t="str">
        <f>IF(T797="","", IFERROR(VLOOKUP(T797, IF(D797="Movers", 换算标准!$A:$B, 换算标准!$G:$H), 2, TRUE), 0))</f>
        <v/>
      </c>
      <c r="W797" t="str">
        <f t="shared" si="38"/>
        <v/>
      </c>
      <c r="Z797" s="5" t="str">
        <f>IF(J797="","", IF(K797&lt;=3, "⚠️ 薄弱环节: "&amp;INDEX($E$1:$I$1, MATCH(MIN(E797:I797), E797:I797, 0))&amp;CHAR(10)&amp;"📉 考察能力: "&amp;IFERROR(VLOOKUP(TRIM(D797)&amp;"_"&amp;TRIM(INDEX($E$1:$I$1, MATCH(MIN(E797:I797), E797:I797, 0))), 技能库!$A:$F, 5, 0),"建议查阅考纲")&amp;CHAR(10)&amp;"💡 提升建议: "&amp;IFERROR(VLOOKUP(TRIM(D797)&amp;"_"&amp;TRIM(INDEX($E$1:$I$1, MATCH(MIN(E797:I797), E797:I797, 0))), 技能库!$A:$F, 6, 0),"请针对该题型加强练习"), "🎉 表现优异，无明显弱项！"))</f>
        <v/>
      </c>
      <c r="AA797" s="5" t="str">
        <f>IF(T797="","", IF(U797&lt;=3, "⚠️ 薄弱环节: "&amp;INDEX($M$1:$S$1, MATCH(MIN(M797:S797), M797:S797, 0))&amp;CHAR(10)&amp;"📉 考察能力: "&amp;IFERROR(VLOOKUP(TRIM(D797)&amp;"_"&amp;TRIM(INDEX($M$1:$S$1, MATCH(MIN(M797:S797), M797:S797, 0))), 技能库!$A:$F, 5, 0),"建议查阅考纲")&amp;CHAR(10)&amp;"💡 提升建议: "&amp;IFERROR(VLOOKUP(TRIM(D797)&amp;"_"&amp;TRIM(INDEX($M$1:$S$1, MATCH(MIN(M797:S797), M797:S797, 0))), 技能库!$A:$F, 6, 0),"请针对该题型加强练习"), "🎉 表现优异，无明显弱项！"))</f>
        <v/>
      </c>
    </row>
    <row r="798" spans="10:27" ht="18" hidden="1" customHeight="1" x14ac:dyDescent="0.2">
      <c r="J798" t="str">
        <f t="shared" si="36"/>
        <v/>
      </c>
      <c r="K798" t="str">
        <f>IF(J798="","", IFERROR(VLOOKUP(J798, IF(D798="Movers", 换算标准!$C:$D, 换算标准!$I:$J), 2, TRUE), 0))</f>
        <v/>
      </c>
      <c r="T798" t="str">
        <f t="shared" si="37"/>
        <v/>
      </c>
      <c r="U798" t="str">
        <f>IF(T798="","", IFERROR(VLOOKUP(T798, IF(D798="Movers", 换算标准!$A:$B, 换算标准!$G:$H), 2, TRUE), 0))</f>
        <v/>
      </c>
      <c r="W798" t="str">
        <f t="shared" si="38"/>
        <v/>
      </c>
      <c r="Z798" s="5" t="str">
        <f>IF(J798="","", IF(K798&lt;=3, "⚠️ 薄弱环节: "&amp;INDEX($E$1:$I$1, MATCH(MIN(E798:I798), E798:I798, 0))&amp;CHAR(10)&amp;"📉 考察能力: "&amp;IFERROR(VLOOKUP(TRIM(D798)&amp;"_"&amp;TRIM(INDEX($E$1:$I$1, MATCH(MIN(E798:I798), E798:I798, 0))), 技能库!$A:$F, 5, 0),"建议查阅考纲")&amp;CHAR(10)&amp;"💡 提升建议: "&amp;IFERROR(VLOOKUP(TRIM(D798)&amp;"_"&amp;TRIM(INDEX($E$1:$I$1, MATCH(MIN(E798:I798), E798:I798, 0))), 技能库!$A:$F, 6, 0),"请针对该题型加强练习"), "🎉 表现优异，无明显弱项！"))</f>
        <v/>
      </c>
      <c r="AA798" s="5" t="str">
        <f>IF(T798="","", IF(U798&lt;=3, "⚠️ 薄弱环节: "&amp;INDEX($M$1:$S$1, MATCH(MIN(M798:S798), M798:S798, 0))&amp;CHAR(10)&amp;"📉 考察能力: "&amp;IFERROR(VLOOKUP(TRIM(D798)&amp;"_"&amp;TRIM(INDEX($M$1:$S$1, MATCH(MIN(M798:S798), M798:S798, 0))), 技能库!$A:$F, 5, 0),"建议查阅考纲")&amp;CHAR(10)&amp;"💡 提升建议: "&amp;IFERROR(VLOOKUP(TRIM(D798)&amp;"_"&amp;TRIM(INDEX($M$1:$S$1, MATCH(MIN(M798:S798), M798:S798, 0))), 技能库!$A:$F, 6, 0),"请针对该题型加强练习"), "🎉 表现优异，无明显弱项！"))</f>
        <v/>
      </c>
    </row>
    <row r="799" spans="10:27" ht="18" hidden="1" customHeight="1" x14ac:dyDescent="0.2">
      <c r="J799" t="str">
        <f t="shared" si="36"/>
        <v/>
      </c>
      <c r="K799" t="str">
        <f>IF(J799="","", IFERROR(VLOOKUP(J799, IF(D799="Movers", 换算标准!$C:$D, 换算标准!$I:$J), 2, TRUE), 0))</f>
        <v/>
      </c>
      <c r="T799" t="str">
        <f t="shared" si="37"/>
        <v/>
      </c>
      <c r="U799" t="str">
        <f>IF(T799="","", IFERROR(VLOOKUP(T799, IF(D799="Movers", 换算标准!$A:$B, 换算标准!$G:$H), 2, TRUE), 0))</f>
        <v/>
      </c>
      <c r="W799" t="str">
        <f t="shared" si="38"/>
        <v/>
      </c>
      <c r="Z799" s="5" t="str">
        <f>IF(J799="","", IF(K799&lt;=3, "⚠️ 薄弱环节: "&amp;INDEX($E$1:$I$1, MATCH(MIN(E799:I799), E799:I799, 0))&amp;CHAR(10)&amp;"📉 考察能力: "&amp;IFERROR(VLOOKUP(TRIM(D799)&amp;"_"&amp;TRIM(INDEX($E$1:$I$1, MATCH(MIN(E799:I799), E799:I799, 0))), 技能库!$A:$F, 5, 0),"建议查阅考纲")&amp;CHAR(10)&amp;"💡 提升建议: "&amp;IFERROR(VLOOKUP(TRIM(D799)&amp;"_"&amp;TRIM(INDEX($E$1:$I$1, MATCH(MIN(E799:I799), E799:I799, 0))), 技能库!$A:$F, 6, 0),"请针对该题型加强练习"), "🎉 表现优异，无明显弱项！"))</f>
        <v/>
      </c>
      <c r="AA799" s="5" t="str">
        <f>IF(T799="","", IF(U799&lt;=3, "⚠️ 薄弱环节: "&amp;INDEX($M$1:$S$1, MATCH(MIN(M799:S799), M799:S799, 0))&amp;CHAR(10)&amp;"📉 考察能力: "&amp;IFERROR(VLOOKUP(TRIM(D799)&amp;"_"&amp;TRIM(INDEX($M$1:$S$1, MATCH(MIN(M799:S799), M799:S799, 0))), 技能库!$A:$F, 5, 0),"建议查阅考纲")&amp;CHAR(10)&amp;"💡 提升建议: "&amp;IFERROR(VLOOKUP(TRIM(D799)&amp;"_"&amp;TRIM(INDEX($M$1:$S$1, MATCH(MIN(M799:S799), M799:S799, 0))), 技能库!$A:$F, 6, 0),"请针对该题型加强练习"), "🎉 表现优异，无明显弱项！"))</f>
        <v/>
      </c>
    </row>
    <row r="800" spans="10:27" ht="18" hidden="1" customHeight="1" x14ac:dyDescent="0.2">
      <c r="J800" t="str">
        <f t="shared" si="36"/>
        <v/>
      </c>
      <c r="K800" t="str">
        <f>IF(J800="","", IFERROR(VLOOKUP(J800, IF(D800="Movers", 换算标准!$C:$D, 换算标准!$I:$J), 2, TRUE), 0))</f>
        <v/>
      </c>
      <c r="T800" t="str">
        <f t="shared" si="37"/>
        <v/>
      </c>
      <c r="U800" t="str">
        <f>IF(T800="","", IFERROR(VLOOKUP(T800, IF(D800="Movers", 换算标准!$A:$B, 换算标准!$G:$H), 2, TRUE), 0))</f>
        <v/>
      </c>
      <c r="W800" t="str">
        <f t="shared" si="38"/>
        <v/>
      </c>
      <c r="Z800" s="5" t="str">
        <f>IF(J800="","", IF(K800&lt;=3, "⚠️ 薄弱环节: "&amp;INDEX($E$1:$I$1, MATCH(MIN(E800:I800), E800:I800, 0))&amp;CHAR(10)&amp;"📉 考察能力: "&amp;IFERROR(VLOOKUP(TRIM(D800)&amp;"_"&amp;TRIM(INDEX($E$1:$I$1, MATCH(MIN(E800:I800), E800:I800, 0))), 技能库!$A:$F, 5, 0),"建议查阅考纲")&amp;CHAR(10)&amp;"💡 提升建议: "&amp;IFERROR(VLOOKUP(TRIM(D800)&amp;"_"&amp;TRIM(INDEX($E$1:$I$1, MATCH(MIN(E800:I800), E800:I800, 0))), 技能库!$A:$F, 6, 0),"请针对该题型加强练习"), "🎉 表现优异，无明显弱项！"))</f>
        <v/>
      </c>
      <c r="AA800" s="5" t="str">
        <f>IF(T800="","", IF(U800&lt;=3, "⚠️ 薄弱环节: "&amp;INDEX($M$1:$S$1, MATCH(MIN(M800:S800), M800:S800, 0))&amp;CHAR(10)&amp;"📉 考察能力: "&amp;IFERROR(VLOOKUP(TRIM(D800)&amp;"_"&amp;TRIM(INDEX($M$1:$S$1, MATCH(MIN(M800:S800), M800:S800, 0))), 技能库!$A:$F, 5, 0),"建议查阅考纲")&amp;CHAR(10)&amp;"💡 提升建议: "&amp;IFERROR(VLOOKUP(TRIM(D800)&amp;"_"&amp;TRIM(INDEX($M$1:$S$1, MATCH(MIN(M800:S800), M800:S800, 0))), 技能库!$A:$F, 6, 0),"请针对该题型加强练习"), "🎉 表现优异，无明显弱项！"))</f>
        <v/>
      </c>
    </row>
    <row r="801" spans="10:27" ht="18" hidden="1" customHeight="1" x14ac:dyDescent="0.2">
      <c r="J801" t="str">
        <f t="shared" si="36"/>
        <v/>
      </c>
      <c r="K801" t="str">
        <f>IF(J801="","", IFERROR(VLOOKUP(J801, IF(D801="Movers", 换算标准!$C:$D, 换算标准!$I:$J), 2, TRUE), 0))</f>
        <v/>
      </c>
      <c r="T801" t="str">
        <f t="shared" si="37"/>
        <v/>
      </c>
      <c r="U801" t="str">
        <f>IF(T801="","", IFERROR(VLOOKUP(T801, IF(D801="Movers", 换算标准!$A:$B, 换算标准!$G:$H), 2, TRUE), 0))</f>
        <v/>
      </c>
      <c r="W801" t="str">
        <f t="shared" si="38"/>
        <v/>
      </c>
      <c r="Z801" s="5" t="str">
        <f>IF(J801="","", IF(K801&lt;=3, "⚠️ 薄弱环节: "&amp;INDEX($E$1:$I$1, MATCH(MIN(E801:I801), E801:I801, 0))&amp;CHAR(10)&amp;"📉 考察能力: "&amp;IFERROR(VLOOKUP(TRIM(D801)&amp;"_"&amp;TRIM(INDEX($E$1:$I$1, MATCH(MIN(E801:I801), E801:I801, 0))), 技能库!$A:$F, 5, 0),"建议查阅考纲")&amp;CHAR(10)&amp;"💡 提升建议: "&amp;IFERROR(VLOOKUP(TRIM(D801)&amp;"_"&amp;TRIM(INDEX($E$1:$I$1, MATCH(MIN(E801:I801), E801:I801, 0))), 技能库!$A:$F, 6, 0),"请针对该题型加强练习"), "🎉 表现优异，无明显弱项！"))</f>
        <v/>
      </c>
      <c r="AA801" s="5" t="str">
        <f>IF(T801="","", IF(U801&lt;=3, "⚠️ 薄弱环节: "&amp;INDEX($M$1:$S$1, MATCH(MIN(M801:S801), M801:S801, 0))&amp;CHAR(10)&amp;"📉 考察能力: "&amp;IFERROR(VLOOKUP(TRIM(D801)&amp;"_"&amp;TRIM(INDEX($M$1:$S$1, MATCH(MIN(M801:S801), M801:S801, 0))), 技能库!$A:$F, 5, 0),"建议查阅考纲")&amp;CHAR(10)&amp;"💡 提升建议: "&amp;IFERROR(VLOOKUP(TRIM(D801)&amp;"_"&amp;TRIM(INDEX($M$1:$S$1, MATCH(MIN(M801:S801), M801:S801, 0))), 技能库!$A:$F, 6, 0),"请针对该题型加强练习"), "🎉 表现优异，无明显弱项！"))</f>
        <v/>
      </c>
    </row>
    <row r="802" spans="10:27" ht="18" hidden="1" customHeight="1" x14ac:dyDescent="0.2">
      <c r="J802" t="str">
        <f t="shared" si="36"/>
        <v/>
      </c>
      <c r="K802" t="str">
        <f>IF(J802="","", IFERROR(VLOOKUP(J802, IF(D802="Movers", 换算标准!$C:$D, 换算标准!$I:$J), 2, TRUE), 0))</f>
        <v/>
      </c>
      <c r="T802" t="str">
        <f t="shared" si="37"/>
        <v/>
      </c>
      <c r="U802" t="str">
        <f>IF(T802="","", IFERROR(VLOOKUP(T802, IF(D802="Movers", 换算标准!$A:$B, 换算标准!$G:$H), 2, TRUE), 0))</f>
        <v/>
      </c>
      <c r="W802" t="str">
        <f t="shared" si="38"/>
        <v/>
      </c>
      <c r="Z802" s="5" t="str">
        <f>IF(J802="","", IF(K802&lt;=3, "⚠️ 薄弱环节: "&amp;INDEX($E$1:$I$1, MATCH(MIN(E802:I802), E802:I802, 0))&amp;CHAR(10)&amp;"📉 考察能力: "&amp;IFERROR(VLOOKUP(TRIM(D802)&amp;"_"&amp;TRIM(INDEX($E$1:$I$1, MATCH(MIN(E802:I802), E802:I802, 0))), 技能库!$A:$F, 5, 0),"建议查阅考纲")&amp;CHAR(10)&amp;"💡 提升建议: "&amp;IFERROR(VLOOKUP(TRIM(D802)&amp;"_"&amp;TRIM(INDEX($E$1:$I$1, MATCH(MIN(E802:I802), E802:I802, 0))), 技能库!$A:$F, 6, 0),"请针对该题型加强练习"), "🎉 表现优异，无明显弱项！"))</f>
        <v/>
      </c>
      <c r="AA802" s="5" t="str">
        <f>IF(T802="","", IF(U802&lt;=3, "⚠️ 薄弱环节: "&amp;INDEX($M$1:$S$1, MATCH(MIN(M802:S802), M802:S802, 0))&amp;CHAR(10)&amp;"📉 考察能力: "&amp;IFERROR(VLOOKUP(TRIM(D802)&amp;"_"&amp;TRIM(INDEX($M$1:$S$1, MATCH(MIN(M802:S802), M802:S802, 0))), 技能库!$A:$F, 5, 0),"建议查阅考纲")&amp;CHAR(10)&amp;"💡 提升建议: "&amp;IFERROR(VLOOKUP(TRIM(D802)&amp;"_"&amp;TRIM(INDEX($M$1:$S$1, MATCH(MIN(M802:S802), M802:S802, 0))), 技能库!$A:$F, 6, 0),"请针对该题型加强练习"), "🎉 表现优异，无明显弱项！"))</f>
        <v/>
      </c>
    </row>
    <row r="803" spans="10:27" ht="18" hidden="1" customHeight="1" x14ac:dyDescent="0.2">
      <c r="J803" t="str">
        <f t="shared" si="36"/>
        <v/>
      </c>
      <c r="K803" t="str">
        <f>IF(J803="","", IFERROR(VLOOKUP(J803, IF(D803="Movers", 换算标准!$C:$D, 换算标准!$I:$J), 2, TRUE), 0))</f>
        <v/>
      </c>
      <c r="T803" t="str">
        <f t="shared" si="37"/>
        <v/>
      </c>
      <c r="U803" t="str">
        <f>IF(T803="","", IFERROR(VLOOKUP(T803, IF(D803="Movers", 换算标准!$A:$B, 换算标准!$G:$H), 2, TRUE), 0))</f>
        <v/>
      </c>
      <c r="W803" t="str">
        <f t="shared" si="38"/>
        <v/>
      </c>
      <c r="Z803" s="5" t="str">
        <f>IF(J803="","", IF(K803&lt;=3, "⚠️ 薄弱环节: "&amp;INDEX($E$1:$I$1, MATCH(MIN(E803:I803), E803:I803, 0))&amp;CHAR(10)&amp;"📉 考察能力: "&amp;IFERROR(VLOOKUP(TRIM(D803)&amp;"_"&amp;TRIM(INDEX($E$1:$I$1, MATCH(MIN(E803:I803), E803:I803, 0))), 技能库!$A:$F, 5, 0),"建议查阅考纲")&amp;CHAR(10)&amp;"💡 提升建议: "&amp;IFERROR(VLOOKUP(TRIM(D803)&amp;"_"&amp;TRIM(INDEX($E$1:$I$1, MATCH(MIN(E803:I803), E803:I803, 0))), 技能库!$A:$F, 6, 0),"请针对该题型加强练习"), "🎉 表现优异，无明显弱项！"))</f>
        <v/>
      </c>
      <c r="AA803" s="5" t="str">
        <f>IF(T803="","", IF(U803&lt;=3, "⚠️ 薄弱环节: "&amp;INDEX($M$1:$S$1, MATCH(MIN(M803:S803), M803:S803, 0))&amp;CHAR(10)&amp;"📉 考察能力: "&amp;IFERROR(VLOOKUP(TRIM(D803)&amp;"_"&amp;TRIM(INDEX($M$1:$S$1, MATCH(MIN(M803:S803), M803:S803, 0))), 技能库!$A:$F, 5, 0),"建议查阅考纲")&amp;CHAR(10)&amp;"💡 提升建议: "&amp;IFERROR(VLOOKUP(TRIM(D803)&amp;"_"&amp;TRIM(INDEX($M$1:$S$1, MATCH(MIN(M803:S803), M803:S803, 0))), 技能库!$A:$F, 6, 0),"请针对该题型加强练习"), "🎉 表现优异，无明显弱项！"))</f>
        <v/>
      </c>
    </row>
    <row r="804" spans="10:27" ht="18" hidden="1" customHeight="1" x14ac:dyDescent="0.2">
      <c r="J804" t="str">
        <f t="shared" si="36"/>
        <v/>
      </c>
      <c r="K804" t="str">
        <f>IF(J804="","", IFERROR(VLOOKUP(J804, IF(D804="Movers", 换算标准!$C:$D, 换算标准!$I:$J), 2, TRUE), 0))</f>
        <v/>
      </c>
      <c r="T804" t="str">
        <f t="shared" si="37"/>
        <v/>
      </c>
      <c r="U804" t="str">
        <f>IF(T804="","", IFERROR(VLOOKUP(T804, IF(D804="Movers", 换算标准!$A:$B, 换算标准!$G:$H), 2, TRUE), 0))</f>
        <v/>
      </c>
      <c r="W804" t="str">
        <f t="shared" si="38"/>
        <v/>
      </c>
      <c r="Z804" s="5" t="str">
        <f>IF(J804="","", IF(K804&lt;=3, "⚠️ 薄弱环节: "&amp;INDEX($E$1:$I$1, MATCH(MIN(E804:I804), E804:I804, 0))&amp;CHAR(10)&amp;"📉 考察能力: "&amp;IFERROR(VLOOKUP(TRIM(D804)&amp;"_"&amp;TRIM(INDEX($E$1:$I$1, MATCH(MIN(E804:I804), E804:I804, 0))), 技能库!$A:$F, 5, 0),"建议查阅考纲")&amp;CHAR(10)&amp;"💡 提升建议: "&amp;IFERROR(VLOOKUP(TRIM(D804)&amp;"_"&amp;TRIM(INDEX($E$1:$I$1, MATCH(MIN(E804:I804), E804:I804, 0))), 技能库!$A:$F, 6, 0),"请针对该题型加强练习"), "🎉 表现优异，无明显弱项！"))</f>
        <v/>
      </c>
      <c r="AA804" s="5" t="str">
        <f>IF(T804="","", IF(U804&lt;=3, "⚠️ 薄弱环节: "&amp;INDEX($M$1:$S$1, MATCH(MIN(M804:S804), M804:S804, 0))&amp;CHAR(10)&amp;"📉 考察能力: "&amp;IFERROR(VLOOKUP(TRIM(D804)&amp;"_"&amp;TRIM(INDEX($M$1:$S$1, MATCH(MIN(M804:S804), M804:S804, 0))), 技能库!$A:$F, 5, 0),"建议查阅考纲")&amp;CHAR(10)&amp;"💡 提升建议: "&amp;IFERROR(VLOOKUP(TRIM(D804)&amp;"_"&amp;TRIM(INDEX($M$1:$S$1, MATCH(MIN(M804:S804), M804:S804, 0))), 技能库!$A:$F, 6, 0),"请针对该题型加强练习"), "🎉 表现优异，无明显弱项！"))</f>
        <v/>
      </c>
    </row>
    <row r="805" spans="10:27" ht="18" hidden="1" customHeight="1" x14ac:dyDescent="0.2">
      <c r="J805" t="str">
        <f t="shared" si="36"/>
        <v/>
      </c>
      <c r="K805" t="str">
        <f>IF(J805="","", IFERROR(VLOOKUP(J805, IF(D805="Movers", 换算标准!$C:$D, 换算标准!$I:$J), 2, TRUE), 0))</f>
        <v/>
      </c>
      <c r="T805" t="str">
        <f t="shared" si="37"/>
        <v/>
      </c>
      <c r="U805" t="str">
        <f>IF(T805="","", IFERROR(VLOOKUP(T805, IF(D805="Movers", 换算标准!$A:$B, 换算标准!$G:$H), 2, TRUE), 0))</f>
        <v/>
      </c>
      <c r="W805" t="str">
        <f t="shared" si="38"/>
        <v/>
      </c>
      <c r="Z805" s="5" t="str">
        <f>IF(J805="","", IF(K805&lt;=3, "⚠️ 薄弱环节: "&amp;INDEX($E$1:$I$1, MATCH(MIN(E805:I805), E805:I805, 0))&amp;CHAR(10)&amp;"📉 考察能力: "&amp;IFERROR(VLOOKUP(TRIM(D805)&amp;"_"&amp;TRIM(INDEX($E$1:$I$1, MATCH(MIN(E805:I805), E805:I805, 0))), 技能库!$A:$F, 5, 0),"建议查阅考纲")&amp;CHAR(10)&amp;"💡 提升建议: "&amp;IFERROR(VLOOKUP(TRIM(D805)&amp;"_"&amp;TRIM(INDEX($E$1:$I$1, MATCH(MIN(E805:I805), E805:I805, 0))), 技能库!$A:$F, 6, 0),"请针对该题型加强练习"), "🎉 表现优异，无明显弱项！"))</f>
        <v/>
      </c>
      <c r="AA805" s="5" t="str">
        <f>IF(T805="","", IF(U805&lt;=3, "⚠️ 薄弱环节: "&amp;INDEX($M$1:$S$1, MATCH(MIN(M805:S805), M805:S805, 0))&amp;CHAR(10)&amp;"📉 考察能力: "&amp;IFERROR(VLOOKUP(TRIM(D805)&amp;"_"&amp;TRIM(INDEX($M$1:$S$1, MATCH(MIN(M805:S805), M805:S805, 0))), 技能库!$A:$F, 5, 0),"建议查阅考纲")&amp;CHAR(10)&amp;"💡 提升建议: "&amp;IFERROR(VLOOKUP(TRIM(D805)&amp;"_"&amp;TRIM(INDEX($M$1:$S$1, MATCH(MIN(M805:S805), M805:S805, 0))), 技能库!$A:$F, 6, 0),"请针对该题型加强练习"), "🎉 表现优异，无明显弱项！"))</f>
        <v/>
      </c>
    </row>
    <row r="806" spans="10:27" ht="18" hidden="1" customHeight="1" x14ac:dyDescent="0.2">
      <c r="J806" t="str">
        <f t="shared" si="36"/>
        <v/>
      </c>
      <c r="K806" t="str">
        <f>IF(J806="","", IFERROR(VLOOKUP(J806, IF(D806="Movers", 换算标准!$C:$D, 换算标准!$I:$J), 2, TRUE), 0))</f>
        <v/>
      </c>
      <c r="T806" t="str">
        <f t="shared" si="37"/>
        <v/>
      </c>
      <c r="U806" t="str">
        <f>IF(T806="","", IFERROR(VLOOKUP(T806, IF(D806="Movers", 换算标准!$A:$B, 换算标准!$G:$H), 2, TRUE), 0))</f>
        <v/>
      </c>
      <c r="W806" t="str">
        <f t="shared" si="38"/>
        <v/>
      </c>
      <c r="Z806" s="5" t="str">
        <f>IF(J806="","", IF(K806&lt;=3, "⚠️ 薄弱环节: "&amp;INDEX($E$1:$I$1, MATCH(MIN(E806:I806), E806:I806, 0))&amp;CHAR(10)&amp;"📉 考察能力: "&amp;IFERROR(VLOOKUP(TRIM(D806)&amp;"_"&amp;TRIM(INDEX($E$1:$I$1, MATCH(MIN(E806:I806), E806:I806, 0))), 技能库!$A:$F, 5, 0),"建议查阅考纲")&amp;CHAR(10)&amp;"💡 提升建议: "&amp;IFERROR(VLOOKUP(TRIM(D806)&amp;"_"&amp;TRIM(INDEX($E$1:$I$1, MATCH(MIN(E806:I806), E806:I806, 0))), 技能库!$A:$F, 6, 0),"请针对该题型加强练习"), "🎉 表现优异，无明显弱项！"))</f>
        <v/>
      </c>
      <c r="AA806" s="5" t="str">
        <f>IF(T806="","", IF(U806&lt;=3, "⚠️ 薄弱环节: "&amp;INDEX($M$1:$S$1, MATCH(MIN(M806:S806), M806:S806, 0))&amp;CHAR(10)&amp;"📉 考察能力: "&amp;IFERROR(VLOOKUP(TRIM(D806)&amp;"_"&amp;TRIM(INDEX($M$1:$S$1, MATCH(MIN(M806:S806), M806:S806, 0))), 技能库!$A:$F, 5, 0),"建议查阅考纲")&amp;CHAR(10)&amp;"💡 提升建议: "&amp;IFERROR(VLOOKUP(TRIM(D806)&amp;"_"&amp;TRIM(INDEX($M$1:$S$1, MATCH(MIN(M806:S806), M806:S806, 0))), 技能库!$A:$F, 6, 0),"请针对该题型加强练习"), "🎉 表现优异，无明显弱项！"))</f>
        <v/>
      </c>
    </row>
    <row r="807" spans="10:27" ht="18" hidden="1" customHeight="1" x14ac:dyDescent="0.2">
      <c r="J807" t="str">
        <f t="shared" si="36"/>
        <v/>
      </c>
      <c r="K807" t="str">
        <f>IF(J807="","", IFERROR(VLOOKUP(J807, IF(D807="Movers", 换算标准!$C:$D, 换算标准!$I:$J), 2, TRUE), 0))</f>
        <v/>
      </c>
      <c r="T807" t="str">
        <f t="shared" si="37"/>
        <v/>
      </c>
      <c r="U807" t="str">
        <f>IF(T807="","", IFERROR(VLOOKUP(T807, IF(D807="Movers", 换算标准!$A:$B, 换算标准!$G:$H), 2, TRUE), 0))</f>
        <v/>
      </c>
      <c r="W807" t="str">
        <f t="shared" si="38"/>
        <v/>
      </c>
      <c r="Z807" s="5" t="str">
        <f>IF(J807="","", IF(K807&lt;=3, "⚠️ 薄弱环节: "&amp;INDEX($E$1:$I$1, MATCH(MIN(E807:I807), E807:I807, 0))&amp;CHAR(10)&amp;"📉 考察能力: "&amp;IFERROR(VLOOKUP(TRIM(D807)&amp;"_"&amp;TRIM(INDEX($E$1:$I$1, MATCH(MIN(E807:I807), E807:I807, 0))), 技能库!$A:$F, 5, 0),"建议查阅考纲")&amp;CHAR(10)&amp;"💡 提升建议: "&amp;IFERROR(VLOOKUP(TRIM(D807)&amp;"_"&amp;TRIM(INDEX($E$1:$I$1, MATCH(MIN(E807:I807), E807:I807, 0))), 技能库!$A:$F, 6, 0),"请针对该题型加强练习"), "🎉 表现优异，无明显弱项！"))</f>
        <v/>
      </c>
      <c r="AA807" s="5" t="str">
        <f>IF(T807="","", IF(U807&lt;=3, "⚠️ 薄弱环节: "&amp;INDEX($M$1:$S$1, MATCH(MIN(M807:S807), M807:S807, 0))&amp;CHAR(10)&amp;"📉 考察能力: "&amp;IFERROR(VLOOKUP(TRIM(D807)&amp;"_"&amp;TRIM(INDEX($M$1:$S$1, MATCH(MIN(M807:S807), M807:S807, 0))), 技能库!$A:$F, 5, 0),"建议查阅考纲")&amp;CHAR(10)&amp;"💡 提升建议: "&amp;IFERROR(VLOOKUP(TRIM(D807)&amp;"_"&amp;TRIM(INDEX($M$1:$S$1, MATCH(MIN(M807:S807), M807:S807, 0))), 技能库!$A:$F, 6, 0),"请针对该题型加强练习"), "🎉 表现优异，无明显弱项！"))</f>
        <v/>
      </c>
    </row>
    <row r="808" spans="10:27" ht="18" hidden="1" customHeight="1" x14ac:dyDescent="0.2">
      <c r="J808" t="str">
        <f t="shared" si="36"/>
        <v/>
      </c>
      <c r="K808" t="str">
        <f>IF(J808="","", IFERROR(VLOOKUP(J808, IF(D808="Movers", 换算标准!$C:$D, 换算标准!$I:$J), 2, TRUE), 0))</f>
        <v/>
      </c>
      <c r="T808" t="str">
        <f t="shared" si="37"/>
        <v/>
      </c>
      <c r="U808" t="str">
        <f>IF(T808="","", IFERROR(VLOOKUP(T808, IF(D808="Movers", 换算标准!$A:$B, 换算标准!$G:$H), 2, TRUE), 0))</f>
        <v/>
      </c>
      <c r="W808" t="str">
        <f t="shared" si="38"/>
        <v/>
      </c>
      <c r="Z808" s="5" t="str">
        <f>IF(J808="","", IF(K808&lt;=3, "⚠️ 薄弱环节: "&amp;INDEX($E$1:$I$1, MATCH(MIN(E808:I808), E808:I808, 0))&amp;CHAR(10)&amp;"📉 考察能力: "&amp;IFERROR(VLOOKUP(TRIM(D808)&amp;"_"&amp;TRIM(INDEX($E$1:$I$1, MATCH(MIN(E808:I808), E808:I808, 0))), 技能库!$A:$F, 5, 0),"建议查阅考纲")&amp;CHAR(10)&amp;"💡 提升建议: "&amp;IFERROR(VLOOKUP(TRIM(D808)&amp;"_"&amp;TRIM(INDEX($E$1:$I$1, MATCH(MIN(E808:I808), E808:I808, 0))), 技能库!$A:$F, 6, 0),"请针对该题型加强练习"), "🎉 表现优异，无明显弱项！"))</f>
        <v/>
      </c>
      <c r="AA808" s="5" t="str">
        <f>IF(T808="","", IF(U808&lt;=3, "⚠️ 薄弱环节: "&amp;INDEX($M$1:$S$1, MATCH(MIN(M808:S808), M808:S808, 0))&amp;CHAR(10)&amp;"📉 考察能力: "&amp;IFERROR(VLOOKUP(TRIM(D808)&amp;"_"&amp;TRIM(INDEX($M$1:$S$1, MATCH(MIN(M808:S808), M808:S808, 0))), 技能库!$A:$F, 5, 0),"建议查阅考纲")&amp;CHAR(10)&amp;"💡 提升建议: "&amp;IFERROR(VLOOKUP(TRIM(D808)&amp;"_"&amp;TRIM(INDEX($M$1:$S$1, MATCH(MIN(M808:S808), M808:S808, 0))), 技能库!$A:$F, 6, 0),"请针对该题型加强练习"), "🎉 表现优异，无明显弱项！"))</f>
        <v/>
      </c>
    </row>
    <row r="809" spans="10:27" ht="18" hidden="1" customHeight="1" x14ac:dyDescent="0.2">
      <c r="J809" t="str">
        <f t="shared" si="36"/>
        <v/>
      </c>
      <c r="K809" t="str">
        <f>IF(J809="","", IFERROR(VLOOKUP(J809, IF(D809="Movers", 换算标准!$C:$D, 换算标准!$I:$J), 2, TRUE), 0))</f>
        <v/>
      </c>
      <c r="T809" t="str">
        <f t="shared" si="37"/>
        <v/>
      </c>
      <c r="U809" t="str">
        <f>IF(T809="","", IFERROR(VLOOKUP(T809, IF(D809="Movers", 换算标准!$A:$B, 换算标准!$G:$H), 2, TRUE), 0))</f>
        <v/>
      </c>
      <c r="W809" t="str">
        <f t="shared" si="38"/>
        <v/>
      </c>
      <c r="Z809" s="5" t="str">
        <f>IF(J809="","", IF(K809&lt;=3, "⚠️ 薄弱环节: "&amp;INDEX($E$1:$I$1, MATCH(MIN(E809:I809), E809:I809, 0))&amp;CHAR(10)&amp;"📉 考察能力: "&amp;IFERROR(VLOOKUP(TRIM(D809)&amp;"_"&amp;TRIM(INDEX($E$1:$I$1, MATCH(MIN(E809:I809), E809:I809, 0))), 技能库!$A:$F, 5, 0),"建议查阅考纲")&amp;CHAR(10)&amp;"💡 提升建议: "&amp;IFERROR(VLOOKUP(TRIM(D809)&amp;"_"&amp;TRIM(INDEX($E$1:$I$1, MATCH(MIN(E809:I809), E809:I809, 0))), 技能库!$A:$F, 6, 0),"请针对该题型加强练习"), "🎉 表现优异，无明显弱项！"))</f>
        <v/>
      </c>
      <c r="AA809" s="5" t="str">
        <f>IF(T809="","", IF(U809&lt;=3, "⚠️ 薄弱环节: "&amp;INDEX($M$1:$S$1, MATCH(MIN(M809:S809), M809:S809, 0))&amp;CHAR(10)&amp;"📉 考察能力: "&amp;IFERROR(VLOOKUP(TRIM(D809)&amp;"_"&amp;TRIM(INDEX($M$1:$S$1, MATCH(MIN(M809:S809), M809:S809, 0))), 技能库!$A:$F, 5, 0),"建议查阅考纲")&amp;CHAR(10)&amp;"💡 提升建议: "&amp;IFERROR(VLOOKUP(TRIM(D809)&amp;"_"&amp;TRIM(INDEX($M$1:$S$1, MATCH(MIN(M809:S809), M809:S809, 0))), 技能库!$A:$F, 6, 0),"请针对该题型加强练习"), "🎉 表现优异，无明显弱项！"))</f>
        <v/>
      </c>
    </row>
    <row r="810" spans="10:27" ht="18" hidden="1" customHeight="1" x14ac:dyDescent="0.2">
      <c r="J810" t="str">
        <f t="shared" si="36"/>
        <v/>
      </c>
      <c r="K810" t="str">
        <f>IF(J810="","", IFERROR(VLOOKUP(J810, IF(D810="Movers", 换算标准!$C:$D, 换算标准!$I:$J), 2, TRUE), 0))</f>
        <v/>
      </c>
      <c r="T810" t="str">
        <f t="shared" si="37"/>
        <v/>
      </c>
      <c r="U810" t="str">
        <f>IF(T810="","", IFERROR(VLOOKUP(T810, IF(D810="Movers", 换算标准!$A:$B, 换算标准!$G:$H), 2, TRUE), 0))</f>
        <v/>
      </c>
      <c r="W810" t="str">
        <f t="shared" si="38"/>
        <v/>
      </c>
      <c r="Z810" s="5" t="str">
        <f>IF(J810="","", IF(K810&lt;=3, "⚠️ 薄弱环节: "&amp;INDEX($E$1:$I$1, MATCH(MIN(E810:I810), E810:I810, 0))&amp;CHAR(10)&amp;"📉 考察能力: "&amp;IFERROR(VLOOKUP(TRIM(D810)&amp;"_"&amp;TRIM(INDEX($E$1:$I$1, MATCH(MIN(E810:I810), E810:I810, 0))), 技能库!$A:$F, 5, 0),"建议查阅考纲")&amp;CHAR(10)&amp;"💡 提升建议: "&amp;IFERROR(VLOOKUP(TRIM(D810)&amp;"_"&amp;TRIM(INDEX($E$1:$I$1, MATCH(MIN(E810:I810), E810:I810, 0))), 技能库!$A:$F, 6, 0),"请针对该题型加强练习"), "🎉 表现优异，无明显弱项！"))</f>
        <v/>
      </c>
      <c r="AA810" s="5" t="str">
        <f>IF(T810="","", IF(U810&lt;=3, "⚠️ 薄弱环节: "&amp;INDEX($M$1:$S$1, MATCH(MIN(M810:S810), M810:S810, 0))&amp;CHAR(10)&amp;"📉 考察能力: "&amp;IFERROR(VLOOKUP(TRIM(D810)&amp;"_"&amp;TRIM(INDEX($M$1:$S$1, MATCH(MIN(M810:S810), M810:S810, 0))), 技能库!$A:$F, 5, 0),"建议查阅考纲")&amp;CHAR(10)&amp;"💡 提升建议: "&amp;IFERROR(VLOOKUP(TRIM(D810)&amp;"_"&amp;TRIM(INDEX($M$1:$S$1, MATCH(MIN(M810:S810), M810:S810, 0))), 技能库!$A:$F, 6, 0),"请针对该题型加强练习"), "🎉 表现优异，无明显弱项！"))</f>
        <v/>
      </c>
    </row>
    <row r="811" spans="10:27" ht="18" hidden="1" customHeight="1" x14ac:dyDescent="0.2">
      <c r="J811" t="str">
        <f t="shared" si="36"/>
        <v/>
      </c>
      <c r="K811" t="str">
        <f>IF(J811="","", IFERROR(VLOOKUP(J811, IF(D811="Movers", 换算标准!$C:$D, 换算标准!$I:$J), 2, TRUE), 0))</f>
        <v/>
      </c>
      <c r="T811" t="str">
        <f t="shared" si="37"/>
        <v/>
      </c>
      <c r="U811" t="str">
        <f>IF(T811="","", IFERROR(VLOOKUP(T811, IF(D811="Movers", 换算标准!$A:$B, 换算标准!$G:$H), 2, TRUE), 0))</f>
        <v/>
      </c>
      <c r="W811" t="str">
        <f t="shared" si="38"/>
        <v/>
      </c>
      <c r="Z811" s="5" t="str">
        <f>IF(J811="","", IF(K811&lt;=3, "⚠️ 薄弱环节: "&amp;INDEX($E$1:$I$1, MATCH(MIN(E811:I811), E811:I811, 0))&amp;CHAR(10)&amp;"📉 考察能力: "&amp;IFERROR(VLOOKUP(TRIM(D811)&amp;"_"&amp;TRIM(INDEX($E$1:$I$1, MATCH(MIN(E811:I811), E811:I811, 0))), 技能库!$A:$F, 5, 0),"建议查阅考纲")&amp;CHAR(10)&amp;"💡 提升建议: "&amp;IFERROR(VLOOKUP(TRIM(D811)&amp;"_"&amp;TRIM(INDEX($E$1:$I$1, MATCH(MIN(E811:I811), E811:I811, 0))), 技能库!$A:$F, 6, 0),"请针对该题型加强练习"), "🎉 表现优异，无明显弱项！"))</f>
        <v/>
      </c>
      <c r="AA811" s="5" t="str">
        <f>IF(T811="","", IF(U811&lt;=3, "⚠️ 薄弱环节: "&amp;INDEX($M$1:$S$1, MATCH(MIN(M811:S811), M811:S811, 0))&amp;CHAR(10)&amp;"📉 考察能力: "&amp;IFERROR(VLOOKUP(TRIM(D811)&amp;"_"&amp;TRIM(INDEX($M$1:$S$1, MATCH(MIN(M811:S811), M811:S811, 0))), 技能库!$A:$F, 5, 0),"建议查阅考纲")&amp;CHAR(10)&amp;"💡 提升建议: "&amp;IFERROR(VLOOKUP(TRIM(D811)&amp;"_"&amp;TRIM(INDEX($M$1:$S$1, MATCH(MIN(M811:S811), M811:S811, 0))), 技能库!$A:$F, 6, 0),"请针对该题型加强练习"), "🎉 表现优异，无明显弱项！"))</f>
        <v/>
      </c>
    </row>
    <row r="812" spans="10:27" ht="18" hidden="1" customHeight="1" x14ac:dyDescent="0.2">
      <c r="J812" t="str">
        <f t="shared" si="36"/>
        <v/>
      </c>
      <c r="K812" t="str">
        <f>IF(J812="","", IFERROR(VLOOKUP(J812, IF(D812="Movers", 换算标准!$C:$D, 换算标准!$I:$J), 2, TRUE), 0))</f>
        <v/>
      </c>
      <c r="T812" t="str">
        <f t="shared" si="37"/>
        <v/>
      </c>
      <c r="U812" t="str">
        <f>IF(T812="","", IFERROR(VLOOKUP(T812, IF(D812="Movers", 换算标准!$A:$B, 换算标准!$G:$H), 2, TRUE), 0))</f>
        <v/>
      </c>
      <c r="W812" t="str">
        <f t="shared" si="38"/>
        <v/>
      </c>
      <c r="Z812" s="5" t="str">
        <f>IF(J812="","", IF(K812&lt;=3, "⚠️ 薄弱环节: "&amp;INDEX($E$1:$I$1, MATCH(MIN(E812:I812), E812:I812, 0))&amp;CHAR(10)&amp;"📉 考察能力: "&amp;IFERROR(VLOOKUP(TRIM(D812)&amp;"_"&amp;TRIM(INDEX($E$1:$I$1, MATCH(MIN(E812:I812), E812:I812, 0))), 技能库!$A:$F, 5, 0),"建议查阅考纲")&amp;CHAR(10)&amp;"💡 提升建议: "&amp;IFERROR(VLOOKUP(TRIM(D812)&amp;"_"&amp;TRIM(INDEX($E$1:$I$1, MATCH(MIN(E812:I812), E812:I812, 0))), 技能库!$A:$F, 6, 0),"请针对该题型加强练习"), "🎉 表现优异，无明显弱项！"))</f>
        <v/>
      </c>
      <c r="AA812" s="5" t="str">
        <f>IF(T812="","", IF(U812&lt;=3, "⚠️ 薄弱环节: "&amp;INDEX($M$1:$S$1, MATCH(MIN(M812:S812), M812:S812, 0))&amp;CHAR(10)&amp;"📉 考察能力: "&amp;IFERROR(VLOOKUP(TRIM(D812)&amp;"_"&amp;TRIM(INDEX($M$1:$S$1, MATCH(MIN(M812:S812), M812:S812, 0))), 技能库!$A:$F, 5, 0),"建议查阅考纲")&amp;CHAR(10)&amp;"💡 提升建议: "&amp;IFERROR(VLOOKUP(TRIM(D812)&amp;"_"&amp;TRIM(INDEX($M$1:$S$1, MATCH(MIN(M812:S812), M812:S812, 0))), 技能库!$A:$F, 6, 0),"请针对该题型加强练习"), "🎉 表现优异，无明显弱项！"))</f>
        <v/>
      </c>
    </row>
    <row r="813" spans="10:27" ht="18" hidden="1" customHeight="1" x14ac:dyDescent="0.2">
      <c r="J813" t="str">
        <f t="shared" si="36"/>
        <v/>
      </c>
      <c r="K813" t="str">
        <f>IF(J813="","", IFERROR(VLOOKUP(J813, IF(D813="Movers", 换算标准!$C:$D, 换算标准!$I:$J), 2, TRUE), 0))</f>
        <v/>
      </c>
      <c r="T813" t="str">
        <f t="shared" si="37"/>
        <v/>
      </c>
      <c r="U813" t="str">
        <f>IF(T813="","", IFERROR(VLOOKUP(T813, IF(D813="Movers", 换算标准!$A:$B, 换算标准!$G:$H), 2, TRUE), 0))</f>
        <v/>
      </c>
      <c r="W813" t="str">
        <f t="shared" si="38"/>
        <v/>
      </c>
      <c r="Z813" s="5" t="str">
        <f>IF(J813="","", IF(K813&lt;=3, "⚠️ 薄弱环节: "&amp;INDEX($E$1:$I$1, MATCH(MIN(E813:I813), E813:I813, 0))&amp;CHAR(10)&amp;"📉 考察能力: "&amp;IFERROR(VLOOKUP(TRIM(D813)&amp;"_"&amp;TRIM(INDEX($E$1:$I$1, MATCH(MIN(E813:I813), E813:I813, 0))), 技能库!$A:$F, 5, 0),"建议查阅考纲")&amp;CHAR(10)&amp;"💡 提升建议: "&amp;IFERROR(VLOOKUP(TRIM(D813)&amp;"_"&amp;TRIM(INDEX($E$1:$I$1, MATCH(MIN(E813:I813), E813:I813, 0))), 技能库!$A:$F, 6, 0),"请针对该题型加强练习"), "🎉 表现优异，无明显弱项！"))</f>
        <v/>
      </c>
      <c r="AA813" s="5" t="str">
        <f>IF(T813="","", IF(U813&lt;=3, "⚠️ 薄弱环节: "&amp;INDEX($M$1:$S$1, MATCH(MIN(M813:S813), M813:S813, 0))&amp;CHAR(10)&amp;"📉 考察能力: "&amp;IFERROR(VLOOKUP(TRIM(D813)&amp;"_"&amp;TRIM(INDEX($M$1:$S$1, MATCH(MIN(M813:S813), M813:S813, 0))), 技能库!$A:$F, 5, 0),"建议查阅考纲")&amp;CHAR(10)&amp;"💡 提升建议: "&amp;IFERROR(VLOOKUP(TRIM(D813)&amp;"_"&amp;TRIM(INDEX($M$1:$S$1, MATCH(MIN(M813:S813), M813:S813, 0))), 技能库!$A:$F, 6, 0),"请针对该题型加强练习"), "🎉 表现优异，无明显弱项！"))</f>
        <v/>
      </c>
    </row>
    <row r="814" spans="10:27" ht="18" hidden="1" customHeight="1" x14ac:dyDescent="0.2">
      <c r="J814" t="str">
        <f t="shared" si="36"/>
        <v/>
      </c>
      <c r="K814" t="str">
        <f>IF(J814="","", IFERROR(VLOOKUP(J814, IF(D814="Movers", 换算标准!$C:$D, 换算标准!$I:$J), 2, TRUE), 0))</f>
        <v/>
      </c>
      <c r="T814" t="str">
        <f t="shared" si="37"/>
        <v/>
      </c>
      <c r="U814" t="str">
        <f>IF(T814="","", IFERROR(VLOOKUP(T814, IF(D814="Movers", 换算标准!$A:$B, 换算标准!$G:$H), 2, TRUE), 0))</f>
        <v/>
      </c>
      <c r="W814" t="str">
        <f t="shared" si="38"/>
        <v/>
      </c>
      <c r="Z814" s="5" t="str">
        <f>IF(J814="","", IF(K814&lt;=3, "⚠️ 薄弱环节: "&amp;INDEX($E$1:$I$1, MATCH(MIN(E814:I814), E814:I814, 0))&amp;CHAR(10)&amp;"📉 考察能力: "&amp;IFERROR(VLOOKUP(TRIM(D814)&amp;"_"&amp;TRIM(INDEX($E$1:$I$1, MATCH(MIN(E814:I814), E814:I814, 0))), 技能库!$A:$F, 5, 0),"建议查阅考纲")&amp;CHAR(10)&amp;"💡 提升建议: "&amp;IFERROR(VLOOKUP(TRIM(D814)&amp;"_"&amp;TRIM(INDEX($E$1:$I$1, MATCH(MIN(E814:I814), E814:I814, 0))), 技能库!$A:$F, 6, 0),"请针对该题型加强练习"), "🎉 表现优异，无明显弱项！"))</f>
        <v/>
      </c>
      <c r="AA814" s="5" t="str">
        <f>IF(T814="","", IF(U814&lt;=3, "⚠️ 薄弱环节: "&amp;INDEX($M$1:$S$1, MATCH(MIN(M814:S814), M814:S814, 0))&amp;CHAR(10)&amp;"📉 考察能力: "&amp;IFERROR(VLOOKUP(TRIM(D814)&amp;"_"&amp;TRIM(INDEX($M$1:$S$1, MATCH(MIN(M814:S814), M814:S814, 0))), 技能库!$A:$F, 5, 0),"建议查阅考纲")&amp;CHAR(10)&amp;"💡 提升建议: "&amp;IFERROR(VLOOKUP(TRIM(D814)&amp;"_"&amp;TRIM(INDEX($M$1:$S$1, MATCH(MIN(M814:S814), M814:S814, 0))), 技能库!$A:$F, 6, 0),"请针对该题型加强练习"), "🎉 表现优异，无明显弱项！"))</f>
        <v/>
      </c>
    </row>
    <row r="815" spans="10:27" ht="18" hidden="1" customHeight="1" x14ac:dyDescent="0.2">
      <c r="J815" t="str">
        <f t="shared" si="36"/>
        <v/>
      </c>
      <c r="K815" t="str">
        <f>IF(J815="","", IFERROR(VLOOKUP(J815, IF(D815="Movers", 换算标准!$C:$D, 换算标准!$I:$J), 2, TRUE), 0))</f>
        <v/>
      </c>
      <c r="T815" t="str">
        <f t="shared" si="37"/>
        <v/>
      </c>
      <c r="U815" t="str">
        <f>IF(T815="","", IFERROR(VLOOKUP(T815, IF(D815="Movers", 换算标准!$A:$B, 换算标准!$G:$H), 2, TRUE), 0))</f>
        <v/>
      </c>
      <c r="W815" t="str">
        <f t="shared" si="38"/>
        <v/>
      </c>
      <c r="Z815" s="5" t="str">
        <f>IF(J815="","", IF(K815&lt;=3, "⚠️ 薄弱环节: "&amp;INDEX($E$1:$I$1, MATCH(MIN(E815:I815), E815:I815, 0))&amp;CHAR(10)&amp;"📉 考察能力: "&amp;IFERROR(VLOOKUP(TRIM(D815)&amp;"_"&amp;TRIM(INDEX($E$1:$I$1, MATCH(MIN(E815:I815), E815:I815, 0))), 技能库!$A:$F, 5, 0),"建议查阅考纲")&amp;CHAR(10)&amp;"💡 提升建议: "&amp;IFERROR(VLOOKUP(TRIM(D815)&amp;"_"&amp;TRIM(INDEX($E$1:$I$1, MATCH(MIN(E815:I815), E815:I815, 0))), 技能库!$A:$F, 6, 0),"请针对该题型加强练习"), "🎉 表现优异，无明显弱项！"))</f>
        <v/>
      </c>
      <c r="AA815" s="5" t="str">
        <f>IF(T815="","", IF(U815&lt;=3, "⚠️ 薄弱环节: "&amp;INDEX($M$1:$S$1, MATCH(MIN(M815:S815), M815:S815, 0))&amp;CHAR(10)&amp;"📉 考察能力: "&amp;IFERROR(VLOOKUP(TRIM(D815)&amp;"_"&amp;TRIM(INDEX($M$1:$S$1, MATCH(MIN(M815:S815), M815:S815, 0))), 技能库!$A:$F, 5, 0),"建议查阅考纲")&amp;CHAR(10)&amp;"💡 提升建议: "&amp;IFERROR(VLOOKUP(TRIM(D815)&amp;"_"&amp;TRIM(INDEX($M$1:$S$1, MATCH(MIN(M815:S815), M815:S815, 0))), 技能库!$A:$F, 6, 0),"请针对该题型加强练习"), "🎉 表现优异，无明显弱项！"))</f>
        <v/>
      </c>
    </row>
    <row r="816" spans="10:27" ht="18" hidden="1" customHeight="1" x14ac:dyDescent="0.2">
      <c r="J816" t="str">
        <f t="shared" si="36"/>
        <v/>
      </c>
      <c r="K816" t="str">
        <f>IF(J816="","", IFERROR(VLOOKUP(J816, IF(D816="Movers", 换算标准!$C:$D, 换算标准!$I:$J), 2, TRUE), 0))</f>
        <v/>
      </c>
      <c r="T816" t="str">
        <f t="shared" si="37"/>
        <v/>
      </c>
      <c r="U816" t="str">
        <f>IF(T816="","", IFERROR(VLOOKUP(T816, IF(D816="Movers", 换算标准!$A:$B, 换算标准!$G:$H), 2, TRUE), 0))</f>
        <v/>
      </c>
      <c r="W816" t="str">
        <f t="shared" si="38"/>
        <v/>
      </c>
      <c r="Z816" s="5" t="str">
        <f>IF(J816="","", IF(K816&lt;=3, "⚠️ 薄弱环节: "&amp;INDEX($E$1:$I$1, MATCH(MIN(E816:I816), E816:I816, 0))&amp;CHAR(10)&amp;"📉 考察能力: "&amp;IFERROR(VLOOKUP(TRIM(D816)&amp;"_"&amp;TRIM(INDEX($E$1:$I$1, MATCH(MIN(E816:I816), E816:I816, 0))), 技能库!$A:$F, 5, 0),"建议查阅考纲")&amp;CHAR(10)&amp;"💡 提升建议: "&amp;IFERROR(VLOOKUP(TRIM(D816)&amp;"_"&amp;TRIM(INDEX($E$1:$I$1, MATCH(MIN(E816:I816), E816:I816, 0))), 技能库!$A:$F, 6, 0),"请针对该题型加强练习"), "🎉 表现优异，无明显弱项！"))</f>
        <v/>
      </c>
      <c r="AA816" s="5" t="str">
        <f>IF(T816="","", IF(U816&lt;=3, "⚠️ 薄弱环节: "&amp;INDEX($M$1:$S$1, MATCH(MIN(M816:S816), M816:S816, 0))&amp;CHAR(10)&amp;"📉 考察能力: "&amp;IFERROR(VLOOKUP(TRIM(D816)&amp;"_"&amp;TRIM(INDEX($M$1:$S$1, MATCH(MIN(M816:S816), M816:S816, 0))), 技能库!$A:$F, 5, 0),"建议查阅考纲")&amp;CHAR(10)&amp;"💡 提升建议: "&amp;IFERROR(VLOOKUP(TRIM(D816)&amp;"_"&amp;TRIM(INDEX($M$1:$S$1, MATCH(MIN(M816:S816), M816:S816, 0))), 技能库!$A:$F, 6, 0),"请针对该题型加强练习"), "🎉 表现优异，无明显弱项！"))</f>
        <v/>
      </c>
    </row>
    <row r="817" spans="10:27" ht="18" hidden="1" customHeight="1" x14ac:dyDescent="0.2">
      <c r="J817" t="str">
        <f t="shared" si="36"/>
        <v/>
      </c>
      <c r="K817" t="str">
        <f>IF(J817="","", IFERROR(VLOOKUP(J817, IF(D817="Movers", 换算标准!$C:$D, 换算标准!$I:$J), 2, TRUE), 0))</f>
        <v/>
      </c>
      <c r="T817" t="str">
        <f t="shared" si="37"/>
        <v/>
      </c>
      <c r="U817" t="str">
        <f>IF(T817="","", IFERROR(VLOOKUP(T817, IF(D817="Movers", 换算标准!$A:$B, 换算标准!$G:$H), 2, TRUE), 0))</f>
        <v/>
      </c>
      <c r="W817" t="str">
        <f t="shared" si="38"/>
        <v/>
      </c>
      <c r="Z817" s="5" t="str">
        <f>IF(J817="","", IF(K817&lt;=3, "⚠️ 薄弱环节: "&amp;INDEX($E$1:$I$1, MATCH(MIN(E817:I817), E817:I817, 0))&amp;CHAR(10)&amp;"📉 考察能力: "&amp;IFERROR(VLOOKUP(TRIM(D817)&amp;"_"&amp;TRIM(INDEX($E$1:$I$1, MATCH(MIN(E817:I817), E817:I817, 0))), 技能库!$A:$F, 5, 0),"建议查阅考纲")&amp;CHAR(10)&amp;"💡 提升建议: "&amp;IFERROR(VLOOKUP(TRIM(D817)&amp;"_"&amp;TRIM(INDEX($E$1:$I$1, MATCH(MIN(E817:I817), E817:I817, 0))), 技能库!$A:$F, 6, 0),"请针对该题型加强练习"), "🎉 表现优异，无明显弱项！"))</f>
        <v/>
      </c>
      <c r="AA817" s="5" t="str">
        <f>IF(T817="","", IF(U817&lt;=3, "⚠️ 薄弱环节: "&amp;INDEX($M$1:$S$1, MATCH(MIN(M817:S817), M817:S817, 0))&amp;CHAR(10)&amp;"📉 考察能力: "&amp;IFERROR(VLOOKUP(TRIM(D817)&amp;"_"&amp;TRIM(INDEX($M$1:$S$1, MATCH(MIN(M817:S817), M817:S817, 0))), 技能库!$A:$F, 5, 0),"建议查阅考纲")&amp;CHAR(10)&amp;"💡 提升建议: "&amp;IFERROR(VLOOKUP(TRIM(D817)&amp;"_"&amp;TRIM(INDEX($M$1:$S$1, MATCH(MIN(M817:S817), M817:S817, 0))), 技能库!$A:$F, 6, 0),"请针对该题型加强练习"), "🎉 表现优异，无明显弱项！"))</f>
        <v/>
      </c>
    </row>
    <row r="818" spans="10:27" ht="18" hidden="1" customHeight="1" x14ac:dyDescent="0.2">
      <c r="J818" t="str">
        <f t="shared" si="36"/>
        <v/>
      </c>
      <c r="K818" t="str">
        <f>IF(J818="","", IFERROR(VLOOKUP(J818, IF(D818="Movers", 换算标准!$C:$D, 换算标准!$I:$J), 2, TRUE), 0))</f>
        <v/>
      </c>
      <c r="T818" t="str">
        <f t="shared" si="37"/>
        <v/>
      </c>
      <c r="U818" t="str">
        <f>IF(T818="","", IFERROR(VLOOKUP(T818, IF(D818="Movers", 换算标准!$A:$B, 换算标准!$G:$H), 2, TRUE), 0))</f>
        <v/>
      </c>
      <c r="W818" t="str">
        <f t="shared" si="38"/>
        <v/>
      </c>
      <c r="Z818" s="5" t="str">
        <f>IF(J818="","", IF(K818&lt;=3, "⚠️ 薄弱环节: "&amp;INDEX($E$1:$I$1, MATCH(MIN(E818:I818), E818:I818, 0))&amp;CHAR(10)&amp;"📉 考察能力: "&amp;IFERROR(VLOOKUP(TRIM(D818)&amp;"_"&amp;TRIM(INDEX($E$1:$I$1, MATCH(MIN(E818:I818), E818:I818, 0))), 技能库!$A:$F, 5, 0),"建议查阅考纲")&amp;CHAR(10)&amp;"💡 提升建议: "&amp;IFERROR(VLOOKUP(TRIM(D818)&amp;"_"&amp;TRIM(INDEX($E$1:$I$1, MATCH(MIN(E818:I818), E818:I818, 0))), 技能库!$A:$F, 6, 0),"请针对该题型加强练习"), "🎉 表现优异，无明显弱项！"))</f>
        <v/>
      </c>
      <c r="AA818" s="5" t="str">
        <f>IF(T818="","", IF(U818&lt;=3, "⚠️ 薄弱环节: "&amp;INDEX($M$1:$S$1, MATCH(MIN(M818:S818), M818:S818, 0))&amp;CHAR(10)&amp;"📉 考察能力: "&amp;IFERROR(VLOOKUP(TRIM(D818)&amp;"_"&amp;TRIM(INDEX($M$1:$S$1, MATCH(MIN(M818:S818), M818:S818, 0))), 技能库!$A:$F, 5, 0),"建议查阅考纲")&amp;CHAR(10)&amp;"💡 提升建议: "&amp;IFERROR(VLOOKUP(TRIM(D818)&amp;"_"&amp;TRIM(INDEX($M$1:$S$1, MATCH(MIN(M818:S818), M818:S818, 0))), 技能库!$A:$F, 6, 0),"请针对该题型加强练习"), "🎉 表现优异，无明显弱项！"))</f>
        <v/>
      </c>
    </row>
    <row r="819" spans="10:27" ht="18" hidden="1" customHeight="1" x14ac:dyDescent="0.2">
      <c r="J819" t="str">
        <f t="shared" si="36"/>
        <v/>
      </c>
      <c r="K819" t="str">
        <f>IF(J819="","", IFERROR(VLOOKUP(J819, IF(D819="Movers", 换算标准!$C:$D, 换算标准!$I:$J), 2, TRUE), 0))</f>
        <v/>
      </c>
      <c r="T819" t="str">
        <f t="shared" si="37"/>
        <v/>
      </c>
      <c r="U819" t="str">
        <f>IF(T819="","", IFERROR(VLOOKUP(T819, IF(D819="Movers", 换算标准!$A:$B, 换算标准!$G:$H), 2, TRUE), 0))</f>
        <v/>
      </c>
      <c r="W819" t="str">
        <f t="shared" si="38"/>
        <v/>
      </c>
      <c r="Z819" s="5" t="str">
        <f>IF(J819="","", IF(K819&lt;=3, "⚠️ 薄弱环节: "&amp;INDEX($E$1:$I$1, MATCH(MIN(E819:I819), E819:I819, 0))&amp;CHAR(10)&amp;"📉 考察能力: "&amp;IFERROR(VLOOKUP(TRIM(D819)&amp;"_"&amp;TRIM(INDEX($E$1:$I$1, MATCH(MIN(E819:I819), E819:I819, 0))), 技能库!$A:$F, 5, 0),"建议查阅考纲")&amp;CHAR(10)&amp;"💡 提升建议: "&amp;IFERROR(VLOOKUP(TRIM(D819)&amp;"_"&amp;TRIM(INDEX($E$1:$I$1, MATCH(MIN(E819:I819), E819:I819, 0))), 技能库!$A:$F, 6, 0),"请针对该题型加强练习"), "🎉 表现优异，无明显弱项！"))</f>
        <v/>
      </c>
      <c r="AA819" s="5" t="str">
        <f>IF(T819="","", IF(U819&lt;=3, "⚠️ 薄弱环节: "&amp;INDEX($M$1:$S$1, MATCH(MIN(M819:S819), M819:S819, 0))&amp;CHAR(10)&amp;"📉 考察能力: "&amp;IFERROR(VLOOKUP(TRIM(D819)&amp;"_"&amp;TRIM(INDEX($M$1:$S$1, MATCH(MIN(M819:S819), M819:S819, 0))), 技能库!$A:$F, 5, 0),"建议查阅考纲")&amp;CHAR(10)&amp;"💡 提升建议: "&amp;IFERROR(VLOOKUP(TRIM(D819)&amp;"_"&amp;TRIM(INDEX($M$1:$S$1, MATCH(MIN(M819:S819), M819:S819, 0))), 技能库!$A:$F, 6, 0),"请针对该题型加强练习"), "🎉 表现优异，无明显弱项！"))</f>
        <v/>
      </c>
    </row>
    <row r="820" spans="10:27" ht="18" hidden="1" customHeight="1" x14ac:dyDescent="0.2">
      <c r="J820" t="str">
        <f t="shared" si="36"/>
        <v/>
      </c>
      <c r="K820" t="str">
        <f>IF(J820="","", IFERROR(VLOOKUP(J820, IF(D820="Movers", 换算标准!$C:$D, 换算标准!$I:$J), 2, TRUE), 0))</f>
        <v/>
      </c>
      <c r="T820" t="str">
        <f t="shared" si="37"/>
        <v/>
      </c>
      <c r="U820" t="str">
        <f>IF(T820="","", IFERROR(VLOOKUP(T820, IF(D820="Movers", 换算标准!$A:$B, 换算标准!$G:$H), 2, TRUE), 0))</f>
        <v/>
      </c>
      <c r="W820" t="str">
        <f t="shared" si="38"/>
        <v/>
      </c>
      <c r="Z820" s="5" t="str">
        <f>IF(J820="","", IF(K820&lt;=3, "⚠️ 薄弱环节: "&amp;INDEX($E$1:$I$1, MATCH(MIN(E820:I820), E820:I820, 0))&amp;CHAR(10)&amp;"📉 考察能力: "&amp;IFERROR(VLOOKUP(TRIM(D820)&amp;"_"&amp;TRIM(INDEX($E$1:$I$1, MATCH(MIN(E820:I820), E820:I820, 0))), 技能库!$A:$F, 5, 0),"建议查阅考纲")&amp;CHAR(10)&amp;"💡 提升建议: "&amp;IFERROR(VLOOKUP(TRIM(D820)&amp;"_"&amp;TRIM(INDEX($E$1:$I$1, MATCH(MIN(E820:I820), E820:I820, 0))), 技能库!$A:$F, 6, 0),"请针对该题型加强练习"), "🎉 表现优异，无明显弱项！"))</f>
        <v/>
      </c>
      <c r="AA820" s="5" t="str">
        <f>IF(T820="","", IF(U820&lt;=3, "⚠️ 薄弱环节: "&amp;INDEX($M$1:$S$1, MATCH(MIN(M820:S820), M820:S820, 0))&amp;CHAR(10)&amp;"📉 考察能力: "&amp;IFERROR(VLOOKUP(TRIM(D820)&amp;"_"&amp;TRIM(INDEX($M$1:$S$1, MATCH(MIN(M820:S820), M820:S820, 0))), 技能库!$A:$F, 5, 0),"建议查阅考纲")&amp;CHAR(10)&amp;"💡 提升建议: "&amp;IFERROR(VLOOKUP(TRIM(D820)&amp;"_"&amp;TRIM(INDEX($M$1:$S$1, MATCH(MIN(M820:S820), M820:S820, 0))), 技能库!$A:$F, 6, 0),"请针对该题型加强练习"), "🎉 表现优异，无明显弱项！"))</f>
        <v/>
      </c>
    </row>
    <row r="821" spans="10:27" ht="18" hidden="1" customHeight="1" x14ac:dyDescent="0.2">
      <c r="J821" t="str">
        <f t="shared" si="36"/>
        <v/>
      </c>
      <c r="K821" t="str">
        <f>IF(J821="","", IFERROR(VLOOKUP(J821, IF(D821="Movers", 换算标准!$C:$D, 换算标准!$I:$J), 2, TRUE), 0))</f>
        <v/>
      </c>
      <c r="T821" t="str">
        <f t="shared" si="37"/>
        <v/>
      </c>
      <c r="U821" t="str">
        <f>IF(T821="","", IFERROR(VLOOKUP(T821, IF(D821="Movers", 换算标准!$A:$B, 换算标准!$G:$H), 2, TRUE), 0))</f>
        <v/>
      </c>
      <c r="W821" t="str">
        <f t="shared" si="38"/>
        <v/>
      </c>
      <c r="Z821" s="5" t="str">
        <f>IF(J821="","", IF(K821&lt;=3, "⚠️ 薄弱环节: "&amp;INDEX($E$1:$I$1, MATCH(MIN(E821:I821), E821:I821, 0))&amp;CHAR(10)&amp;"📉 考察能力: "&amp;IFERROR(VLOOKUP(TRIM(D821)&amp;"_"&amp;TRIM(INDEX($E$1:$I$1, MATCH(MIN(E821:I821), E821:I821, 0))), 技能库!$A:$F, 5, 0),"建议查阅考纲")&amp;CHAR(10)&amp;"💡 提升建议: "&amp;IFERROR(VLOOKUP(TRIM(D821)&amp;"_"&amp;TRIM(INDEX($E$1:$I$1, MATCH(MIN(E821:I821), E821:I821, 0))), 技能库!$A:$F, 6, 0),"请针对该题型加强练习"), "🎉 表现优异，无明显弱项！"))</f>
        <v/>
      </c>
      <c r="AA821" s="5" t="str">
        <f>IF(T821="","", IF(U821&lt;=3, "⚠️ 薄弱环节: "&amp;INDEX($M$1:$S$1, MATCH(MIN(M821:S821), M821:S821, 0))&amp;CHAR(10)&amp;"📉 考察能力: "&amp;IFERROR(VLOOKUP(TRIM(D821)&amp;"_"&amp;TRIM(INDEX($M$1:$S$1, MATCH(MIN(M821:S821), M821:S821, 0))), 技能库!$A:$F, 5, 0),"建议查阅考纲")&amp;CHAR(10)&amp;"💡 提升建议: "&amp;IFERROR(VLOOKUP(TRIM(D821)&amp;"_"&amp;TRIM(INDEX($M$1:$S$1, MATCH(MIN(M821:S821), M821:S821, 0))), 技能库!$A:$F, 6, 0),"请针对该题型加强练习"), "🎉 表现优异，无明显弱项！"))</f>
        <v/>
      </c>
    </row>
    <row r="822" spans="10:27" ht="18" hidden="1" customHeight="1" x14ac:dyDescent="0.2">
      <c r="J822" t="str">
        <f t="shared" si="36"/>
        <v/>
      </c>
      <c r="K822" t="str">
        <f>IF(J822="","", IFERROR(VLOOKUP(J822, IF(D822="Movers", 换算标准!$C:$D, 换算标准!$I:$J), 2, TRUE), 0))</f>
        <v/>
      </c>
      <c r="T822" t="str">
        <f t="shared" si="37"/>
        <v/>
      </c>
      <c r="U822" t="str">
        <f>IF(T822="","", IFERROR(VLOOKUP(T822, IF(D822="Movers", 换算标准!$A:$B, 换算标准!$G:$H), 2, TRUE), 0))</f>
        <v/>
      </c>
      <c r="W822" t="str">
        <f t="shared" si="38"/>
        <v/>
      </c>
      <c r="Z822" s="5" t="str">
        <f>IF(J822="","", IF(K822&lt;=3, "⚠️ 薄弱环节: "&amp;INDEX($E$1:$I$1, MATCH(MIN(E822:I822), E822:I822, 0))&amp;CHAR(10)&amp;"📉 考察能力: "&amp;IFERROR(VLOOKUP(TRIM(D822)&amp;"_"&amp;TRIM(INDEX($E$1:$I$1, MATCH(MIN(E822:I822), E822:I822, 0))), 技能库!$A:$F, 5, 0),"建议查阅考纲")&amp;CHAR(10)&amp;"💡 提升建议: "&amp;IFERROR(VLOOKUP(TRIM(D822)&amp;"_"&amp;TRIM(INDEX($E$1:$I$1, MATCH(MIN(E822:I822), E822:I822, 0))), 技能库!$A:$F, 6, 0),"请针对该题型加强练习"), "🎉 表现优异，无明显弱项！"))</f>
        <v/>
      </c>
      <c r="AA822" s="5" t="str">
        <f>IF(T822="","", IF(U822&lt;=3, "⚠️ 薄弱环节: "&amp;INDEX($M$1:$S$1, MATCH(MIN(M822:S822), M822:S822, 0))&amp;CHAR(10)&amp;"📉 考察能力: "&amp;IFERROR(VLOOKUP(TRIM(D822)&amp;"_"&amp;TRIM(INDEX($M$1:$S$1, MATCH(MIN(M822:S822), M822:S822, 0))), 技能库!$A:$F, 5, 0),"建议查阅考纲")&amp;CHAR(10)&amp;"💡 提升建议: "&amp;IFERROR(VLOOKUP(TRIM(D822)&amp;"_"&amp;TRIM(INDEX($M$1:$S$1, MATCH(MIN(M822:S822), M822:S822, 0))), 技能库!$A:$F, 6, 0),"请针对该题型加强练习"), "🎉 表现优异，无明显弱项！"))</f>
        <v/>
      </c>
    </row>
    <row r="823" spans="10:27" ht="18" hidden="1" customHeight="1" x14ac:dyDescent="0.2">
      <c r="J823" t="str">
        <f t="shared" si="36"/>
        <v/>
      </c>
      <c r="K823" t="str">
        <f>IF(J823="","", IFERROR(VLOOKUP(J823, IF(D823="Movers", 换算标准!$C:$D, 换算标准!$I:$J), 2, TRUE), 0))</f>
        <v/>
      </c>
      <c r="T823" t="str">
        <f t="shared" si="37"/>
        <v/>
      </c>
      <c r="U823" t="str">
        <f>IF(T823="","", IFERROR(VLOOKUP(T823, IF(D823="Movers", 换算标准!$A:$B, 换算标准!$G:$H), 2, TRUE), 0))</f>
        <v/>
      </c>
      <c r="W823" t="str">
        <f t="shared" si="38"/>
        <v/>
      </c>
      <c r="Z823" s="5" t="str">
        <f>IF(J823="","", IF(K823&lt;=3, "⚠️ 薄弱环节: "&amp;INDEX($E$1:$I$1, MATCH(MIN(E823:I823), E823:I823, 0))&amp;CHAR(10)&amp;"📉 考察能力: "&amp;IFERROR(VLOOKUP(TRIM(D823)&amp;"_"&amp;TRIM(INDEX($E$1:$I$1, MATCH(MIN(E823:I823), E823:I823, 0))), 技能库!$A:$F, 5, 0),"建议查阅考纲")&amp;CHAR(10)&amp;"💡 提升建议: "&amp;IFERROR(VLOOKUP(TRIM(D823)&amp;"_"&amp;TRIM(INDEX($E$1:$I$1, MATCH(MIN(E823:I823), E823:I823, 0))), 技能库!$A:$F, 6, 0),"请针对该题型加强练习"), "🎉 表现优异，无明显弱项！"))</f>
        <v/>
      </c>
      <c r="AA823" s="5" t="str">
        <f>IF(T823="","", IF(U823&lt;=3, "⚠️ 薄弱环节: "&amp;INDEX($M$1:$S$1, MATCH(MIN(M823:S823), M823:S823, 0))&amp;CHAR(10)&amp;"📉 考察能力: "&amp;IFERROR(VLOOKUP(TRIM(D823)&amp;"_"&amp;TRIM(INDEX($M$1:$S$1, MATCH(MIN(M823:S823), M823:S823, 0))), 技能库!$A:$F, 5, 0),"建议查阅考纲")&amp;CHAR(10)&amp;"💡 提升建议: "&amp;IFERROR(VLOOKUP(TRIM(D823)&amp;"_"&amp;TRIM(INDEX($M$1:$S$1, MATCH(MIN(M823:S823), M823:S823, 0))), 技能库!$A:$F, 6, 0),"请针对该题型加强练习"), "🎉 表现优异，无明显弱项！"))</f>
        <v/>
      </c>
    </row>
    <row r="824" spans="10:27" ht="18" hidden="1" customHeight="1" x14ac:dyDescent="0.2">
      <c r="J824" t="str">
        <f t="shared" si="36"/>
        <v/>
      </c>
      <c r="K824" t="str">
        <f>IF(J824="","", IFERROR(VLOOKUP(J824, IF(D824="Movers", 换算标准!$C:$D, 换算标准!$I:$J), 2, TRUE), 0))</f>
        <v/>
      </c>
      <c r="T824" t="str">
        <f t="shared" si="37"/>
        <v/>
      </c>
      <c r="U824" t="str">
        <f>IF(T824="","", IFERROR(VLOOKUP(T824, IF(D824="Movers", 换算标准!$A:$B, 换算标准!$G:$H), 2, TRUE), 0))</f>
        <v/>
      </c>
      <c r="W824" t="str">
        <f t="shared" si="38"/>
        <v/>
      </c>
      <c r="Z824" s="5" t="str">
        <f>IF(J824="","", IF(K824&lt;=3, "⚠️ 薄弱环节: "&amp;INDEX($E$1:$I$1, MATCH(MIN(E824:I824), E824:I824, 0))&amp;CHAR(10)&amp;"📉 考察能力: "&amp;IFERROR(VLOOKUP(TRIM(D824)&amp;"_"&amp;TRIM(INDEX($E$1:$I$1, MATCH(MIN(E824:I824), E824:I824, 0))), 技能库!$A:$F, 5, 0),"建议查阅考纲")&amp;CHAR(10)&amp;"💡 提升建议: "&amp;IFERROR(VLOOKUP(TRIM(D824)&amp;"_"&amp;TRIM(INDEX($E$1:$I$1, MATCH(MIN(E824:I824), E824:I824, 0))), 技能库!$A:$F, 6, 0),"请针对该题型加强练习"), "🎉 表现优异，无明显弱项！"))</f>
        <v/>
      </c>
      <c r="AA824" s="5" t="str">
        <f>IF(T824="","", IF(U824&lt;=3, "⚠️ 薄弱环节: "&amp;INDEX($M$1:$S$1, MATCH(MIN(M824:S824), M824:S824, 0))&amp;CHAR(10)&amp;"📉 考察能力: "&amp;IFERROR(VLOOKUP(TRIM(D824)&amp;"_"&amp;TRIM(INDEX($M$1:$S$1, MATCH(MIN(M824:S824), M824:S824, 0))), 技能库!$A:$F, 5, 0),"建议查阅考纲")&amp;CHAR(10)&amp;"💡 提升建议: "&amp;IFERROR(VLOOKUP(TRIM(D824)&amp;"_"&amp;TRIM(INDEX($M$1:$S$1, MATCH(MIN(M824:S824), M824:S824, 0))), 技能库!$A:$F, 6, 0),"请针对该题型加强练习"), "🎉 表现优异，无明显弱项！"))</f>
        <v/>
      </c>
    </row>
    <row r="825" spans="10:27" ht="18" hidden="1" customHeight="1" x14ac:dyDescent="0.2">
      <c r="J825" t="str">
        <f t="shared" si="36"/>
        <v/>
      </c>
      <c r="K825" t="str">
        <f>IF(J825="","", IFERROR(VLOOKUP(J825, IF(D825="Movers", 换算标准!$C:$D, 换算标准!$I:$J), 2, TRUE), 0))</f>
        <v/>
      </c>
      <c r="T825" t="str">
        <f t="shared" si="37"/>
        <v/>
      </c>
      <c r="U825" t="str">
        <f>IF(T825="","", IFERROR(VLOOKUP(T825, IF(D825="Movers", 换算标准!$A:$B, 换算标准!$G:$H), 2, TRUE), 0))</f>
        <v/>
      </c>
      <c r="W825" t="str">
        <f t="shared" si="38"/>
        <v/>
      </c>
      <c r="Z825" s="5" t="str">
        <f>IF(J825="","", IF(K825&lt;=3, "⚠️ 薄弱环节: "&amp;INDEX($E$1:$I$1, MATCH(MIN(E825:I825), E825:I825, 0))&amp;CHAR(10)&amp;"📉 考察能力: "&amp;IFERROR(VLOOKUP(TRIM(D825)&amp;"_"&amp;TRIM(INDEX($E$1:$I$1, MATCH(MIN(E825:I825), E825:I825, 0))), 技能库!$A:$F, 5, 0),"建议查阅考纲")&amp;CHAR(10)&amp;"💡 提升建议: "&amp;IFERROR(VLOOKUP(TRIM(D825)&amp;"_"&amp;TRIM(INDEX($E$1:$I$1, MATCH(MIN(E825:I825), E825:I825, 0))), 技能库!$A:$F, 6, 0),"请针对该题型加强练习"), "🎉 表现优异，无明显弱项！"))</f>
        <v/>
      </c>
      <c r="AA825" s="5" t="str">
        <f>IF(T825="","", IF(U825&lt;=3, "⚠️ 薄弱环节: "&amp;INDEX($M$1:$S$1, MATCH(MIN(M825:S825), M825:S825, 0))&amp;CHAR(10)&amp;"📉 考察能力: "&amp;IFERROR(VLOOKUP(TRIM(D825)&amp;"_"&amp;TRIM(INDEX($M$1:$S$1, MATCH(MIN(M825:S825), M825:S825, 0))), 技能库!$A:$F, 5, 0),"建议查阅考纲")&amp;CHAR(10)&amp;"💡 提升建议: "&amp;IFERROR(VLOOKUP(TRIM(D825)&amp;"_"&amp;TRIM(INDEX($M$1:$S$1, MATCH(MIN(M825:S825), M825:S825, 0))), 技能库!$A:$F, 6, 0),"请针对该题型加强练习"), "🎉 表现优异，无明显弱项！"))</f>
        <v/>
      </c>
    </row>
    <row r="826" spans="10:27" ht="18" hidden="1" customHeight="1" x14ac:dyDescent="0.2">
      <c r="J826" t="str">
        <f t="shared" si="36"/>
        <v/>
      </c>
      <c r="K826" t="str">
        <f>IF(J826="","", IFERROR(VLOOKUP(J826, IF(D826="Movers", 换算标准!$C:$D, 换算标准!$I:$J), 2, TRUE), 0))</f>
        <v/>
      </c>
      <c r="T826" t="str">
        <f t="shared" si="37"/>
        <v/>
      </c>
      <c r="U826" t="str">
        <f>IF(T826="","", IFERROR(VLOOKUP(T826, IF(D826="Movers", 换算标准!$A:$B, 换算标准!$G:$H), 2, TRUE), 0))</f>
        <v/>
      </c>
      <c r="W826" t="str">
        <f t="shared" si="38"/>
        <v/>
      </c>
      <c r="Z826" s="5" t="str">
        <f>IF(J826="","", IF(K826&lt;=3, "⚠️ 薄弱环节: "&amp;INDEX($E$1:$I$1, MATCH(MIN(E826:I826), E826:I826, 0))&amp;CHAR(10)&amp;"📉 考察能力: "&amp;IFERROR(VLOOKUP(TRIM(D826)&amp;"_"&amp;TRIM(INDEX($E$1:$I$1, MATCH(MIN(E826:I826), E826:I826, 0))), 技能库!$A:$F, 5, 0),"建议查阅考纲")&amp;CHAR(10)&amp;"💡 提升建议: "&amp;IFERROR(VLOOKUP(TRIM(D826)&amp;"_"&amp;TRIM(INDEX($E$1:$I$1, MATCH(MIN(E826:I826), E826:I826, 0))), 技能库!$A:$F, 6, 0),"请针对该题型加强练习"), "🎉 表现优异，无明显弱项！"))</f>
        <v/>
      </c>
      <c r="AA826" s="5" t="str">
        <f>IF(T826="","", IF(U826&lt;=3, "⚠️ 薄弱环节: "&amp;INDEX($M$1:$S$1, MATCH(MIN(M826:S826), M826:S826, 0))&amp;CHAR(10)&amp;"📉 考察能力: "&amp;IFERROR(VLOOKUP(TRIM(D826)&amp;"_"&amp;TRIM(INDEX($M$1:$S$1, MATCH(MIN(M826:S826), M826:S826, 0))), 技能库!$A:$F, 5, 0),"建议查阅考纲")&amp;CHAR(10)&amp;"💡 提升建议: "&amp;IFERROR(VLOOKUP(TRIM(D826)&amp;"_"&amp;TRIM(INDEX($M$1:$S$1, MATCH(MIN(M826:S826), M826:S826, 0))), 技能库!$A:$F, 6, 0),"请针对该题型加强练习"), "🎉 表现优异，无明显弱项！"))</f>
        <v/>
      </c>
    </row>
    <row r="827" spans="10:27" ht="18" hidden="1" customHeight="1" x14ac:dyDescent="0.2">
      <c r="J827" t="str">
        <f t="shared" si="36"/>
        <v/>
      </c>
      <c r="K827" t="str">
        <f>IF(J827="","", IFERROR(VLOOKUP(J827, IF(D827="Movers", 换算标准!$C:$D, 换算标准!$I:$J), 2, TRUE), 0))</f>
        <v/>
      </c>
      <c r="T827" t="str">
        <f t="shared" si="37"/>
        <v/>
      </c>
      <c r="U827" t="str">
        <f>IF(T827="","", IFERROR(VLOOKUP(T827, IF(D827="Movers", 换算标准!$A:$B, 换算标准!$G:$H), 2, TRUE), 0))</f>
        <v/>
      </c>
      <c r="W827" t="str">
        <f t="shared" si="38"/>
        <v/>
      </c>
      <c r="Z827" s="5" t="str">
        <f>IF(J827="","", IF(K827&lt;=3, "⚠️ 薄弱环节: "&amp;INDEX($E$1:$I$1, MATCH(MIN(E827:I827), E827:I827, 0))&amp;CHAR(10)&amp;"📉 考察能力: "&amp;IFERROR(VLOOKUP(TRIM(D827)&amp;"_"&amp;TRIM(INDEX($E$1:$I$1, MATCH(MIN(E827:I827), E827:I827, 0))), 技能库!$A:$F, 5, 0),"建议查阅考纲")&amp;CHAR(10)&amp;"💡 提升建议: "&amp;IFERROR(VLOOKUP(TRIM(D827)&amp;"_"&amp;TRIM(INDEX($E$1:$I$1, MATCH(MIN(E827:I827), E827:I827, 0))), 技能库!$A:$F, 6, 0),"请针对该题型加强练习"), "🎉 表现优异，无明显弱项！"))</f>
        <v/>
      </c>
      <c r="AA827" s="5" t="str">
        <f>IF(T827="","", IF(U827&lt;=3, "⚠️ 薄弱环节: "&amp;INDEX($M$1:$S$1, MATCH(MIN(M827:S827), M827:S827, 0))&amp;CHAR(10)&amp;"📉 考察能力: "&amp;IFERROR(VLOOKUP(TRIM(D827)&amp;"_"&amp;TRIM(INDEX($M$1:$S$1, MATCH(MIN(M827:S827), M827:S827, 0))), 技能库!$A:$F, 5, 0),"建议查阅考纲")&amp;CHAR(10)&amp;"💡 提升建议: "&amp;IFERROR(VLOOKUP(TRIM(D827)&amp;"_"&amp;TRIM(INDEX($M$1:$S$1, MATCH(MIN(M827:S827), M827:S827, 0))), 技能库!$A:$F, 6, 0),"请针对该题型加强练习"), "🎉 表现优异，无明显弱项！"))</f>
        <v/>
      </c>
    </row>
    <row r="828" spans="10:27" ht="18" hidden="1" customHeight="1" x14ac:dyDescent="0.2">
      <c r="J828" t="str">
        <f t="shared" si="36"/>
        <v/>
      </c>
      <c r="K828" t="str">
        <f>IF(J828="","", IFERROR(VLOOKUP(J828, IF(D828="Movers", 换算标准!$C:$D, 换算标准!$I:$J), 2, TRUE), 0))</f>
        <v/>
      </c>
      <c r="T828" t="str">
        <f t="shared" si="37"/>
        <v/>
      </c>
      <c r="U828" t="str">
        <f>IF(T828="","", IFERROR(VLOOKUP(T828, IF(D828="Movers", 换算标准!$A:$B, 换算标准!$G:$H), 2, TRUE), 0))</f>
        <v/>
      </c>
      <c r="W828" t="str">
        <f t="shared" si="38"/>
        <v/>
      </c>
      <c r="Z828" s="5" t="str">
        <f>IF(J828="","", IF(K828&lt;=3, "⚠️ 薄弱环节: "&amp;INDEX($E$1:$I$1, MATCH(MIN(E828:I828), E828:I828, 0))&amp;CHAR(10)&amp;"📉 考察能力: "&amp;IFERROR(VLOOKUP(TRIM(D828)&amp;"_"&amp;TRIM(INDEX($E$1:$I$1, MATCH(MIN(E828:I828), E828:I828, 0))), 技能库!$A:$F, 5, 0),"建议查阅考纲")&amp;CHAR(10)&amp;"💡 提升建议: "&amp;IFERROR(VLOOKUP(TRIM(D828)&amp;"_"&amp;TRIM(INDEX($E$1:$I$1, MATCH(MIN(E828:I828), E828:I828, 0))), 技能库!$A:$F, 6, 0),"请针对该题型加强练习"), "🎉 表现优异，无明显弱项！"))</f>
        <v/>
      </c>
      <c r="AA828" s="5" t="str">
        <f>IF(T828="","", IF(U828&lt;=3, "⚠️ 薄弱环节: "&amp;INDEX($M$1:$S$1, MATCH(MIN(M828:S828), M828:S828, 0))&amp;CHAR(10)&amp;"📉 考察能力: "&amp;IFERROR(VLOOKUP(TRIM(D828)&amp;"_"&amp;TRIM(INDEX($M$1:$S$1, MATCH(MIN(M828:S828), M828:S828, 0))), 技能库!$A:$F, 5, 0),"建议查阅考纲")&amp;CHAR(10)&amp;"💡 提升建议: "&amp;IFERROR(VLOOKUP(TRIM(D828)&amp;"_"&amp;TRIM(INDEX($M$1:$S$1, MATCH(MIN(M828:S828), M828:S828, 0))), 技能库!$A:$F, 6, 0),"请针对该题型加强练习"), "🎉 表现优异，无明显弱项！"))</f>
        <v/>
      </c>
    </row>
    <row r="829" spans="10:27" ht="18" hidden="1" customHeight="1" x14ac:dyDescent="0.2">
      <c r="J829" t="str">
        <f t="shared" si="36"/>
        <v/>
      </c>
      <c r="K829" t="str">
        <f>IF(J829="","", IFERROR(VLOOKUP(J829, IF(D829="Movers", 换算标准!$C:$D, 换算标准!$I:$J), 2, TRUE), 0))</f>
        <v/>
      </c>
      <c r="T829" t="str">
        <f t="shared" si="37"/>
        <v/>
      </c>
      <c r="U829" t="str">
        <f>IF(T829="","", IFERROR(VLOOKUP(T829, IF(D829="Movers", 换算标准!$A:$B, 换算标准!$G:$H), 2, TRUE), 0))</f>
        <v/>
      </c>
      <c r="W829" t="str">
        <f t="shared" si="38"/>
        <v/>
      </c>
      <c r="Z829" s="5" t="str">
        <f>IF(J829="","", IF(K829&lt;=3, "⚠️ 薄弱环节: "&amp;INDEX($E$1:$I$1, MATCH(MIN(E829:I829), E829:I829, 0))&amp;CHAR(10)&amp;"📉 考察能力: "&amp;IFERROR(VLOOKUP(TRIM(D829)&amp;"_"&amp;TRIM(INDEX($E$1:$I$1, MATCH(MIN(E829:I829), E829:I829, 0))), 技能库!$A:$F, 5, 0),"建议查阅考纲")&amp;CHAR(10)&amp;"💡 提升建议: "&amp;IFERROR(VLOOKUP(TRIM(D829)&amp;"_"&amp;TRIM(INDEX($E$1:$I$1, MATCH(MIN(E829:I829), E829:I829, 0))), 技能库!$A:$F, 6, 0),"请针对该题型加强练习"), "🎉 表现优异，无明显弱项！"))</f>
        <v/>
      </c>
      <c r="AA829" s="5" t="str">
        <f>IF(T829="","", IF(U829&lt;=3, "⚠️ 薄弱环节: "&amp;INDEX($M$1:$S$1, MATCH(MIN(M829:S829), M829:S829, 0))&amp;CHAR(10)&amp;"📉 考察能力: "&amp;IFERROR(VLOOKUP(TRIM(D829)&amp;"_"&amp;TRIM(INDEX($M$1:$S$1, MATCH(MIN(M829:S829), M829:S829, 0))), 技能库!$A:$F, 5, 0),"建议查阅考纲")&amp;CHAR(10)&amp;"💡 提升建议: "&amp;IFERROR(VLOOKUP(TRIM(D829)&amp;"_"&amp;TRIM(INDEX($M$1:$S$1, MATCH(MIN(M829:S829), M829:S829, 0))), 技能库!$A:$F, 6, 0),"请针对该题型加强练习"), "🎉 表现优异，无明显弱项！"))</f>
        <v/>
      </c>
    </row>
    <row r="830" spans="10:27" ht="18" hidden="1" customHeight="1" x14ac:dyDescent="0.2">
      <c r="J830" t="str">
        <f t="shared" si="36"/>
        <v/>
      </c>
      <c r="K830" t="str">
        <f>IF(J830="","", IFERROR(VLOOKUP(J830, IF(D830="Movers", 换算标准!$C:$D, 换算标准!$I:$J), 2, TRUE), 0))</f>
        <v/>
      </c>
      <c r="T830" t="str">
        <f t="shared" si="37"/>
        <v/>
      </c>
      <c r="U830" t="str">
        <f>IF(T830="","", IFERROR(VLOOKUP(T830, IF(D830="Movers", 换算标准!$A:$B, 换算标准!$G:$H), 2, TRUE), 0))</f>
        <v/>
      </c>
      <c r="W830" t="str">
        <f t="shared" si="38"/>
        <v/>
      </c>
      <c r="Z830" s="5" t="str">
        <f>IF(J830="","", IF(K830&lt;=3, "⚠️ 薄弱环节: "&amp;INDEX($E$1:$I$1, MATCH(MIN(E830:I830), E830:I830, 0))&amp;CHAR(10)&amp;"📉 考察能力: "&amp;IFERROR(VLOOKUP(TRIM(D830)&amp;"_"&amp;TRIM(INDEX($E$1:$I$1, MATCH(MIN(E830:I830), E830:I830, 0))), 技能库!$A:$F, 5, 0),"建议查阅考纲")&amp;CHAR(10)&amp;"💡 提升建议: "&amp;IFERROR(VLOOKUP(TRIM(D830)&amp;"_"&amp;TRIM(INDEX($E$1:$I$1, MATCH(MIN(E830:I830), E830:I830, 0))), 技能库!$A:$F, 6, 0),"请针对该题型加强练习"), "🎉 表现优异，无明显弱项！"))</f>
        <v/>
      </c>
      <c r="AA830" s="5" t="str">
        <f>IF(T830="","", IF(U830&lt;=3, "⚠️ 薄弱环节: "&amp;INDEX($M$1:$S$1, MATCH(MIN(M830:S830), M830:S830, 0))&amp;CHAR(10)&amp;"📉 考察能力: "&amp;IFERROR(VLOOKUP(TRIM(D830)&amp;"_"&amp;TRIM(INDEX($M$1:$S$1, MATCH(MIN(M830:S830), M830:S830, 0))), 技能库!$A:$F, 5, 0),"建议查阅考纲")&amp;CHAR(10)&amp;"💡 提升建议: "&amp;IFERROR(VLOOKUP(TRIM(D830)&amp;"_"&amp;TRIM(INDEX($M$1:$S$1, MATCH(MIN(M830:S830), M830:S830, 0))), 技能库!$A:$F, 6, 0),"请针对该题型加强练习"), "🎉 表现优异，无明显弱项！"))</f>
        <v/>
      </c>
    </row>
    <row r="831" spans="10:27" ht="18" hidden="1" customHeight="1" x14ac:dyDescent="0.2">
      <c r="J831" t="str">
        <f t="shared" si="36"/>
        <v/>
      </c>
      <c r="K831" t="str">
        <f>IF(J831="","", IFERROR(VLOOKUP(J831, IF(D831="Movers", 换算标准!$C:$D, 换算标准!$I:$J), 2, TRUE), 0))</f>
        <v/>
      </c>
      <c r="T831" t="str">
        <f t="shared" si="37"/>
        <v/>
      </c>
      <c r="U831" t="str">
        <f>IF(T831="","", IFERROR(VLOOKUP(T831, IF(D831="Movers", 换算标准!$A:$B, 换算标准!$G:$H), 2, TRUE), 0))</f>
        <v/>
      </c>
      <c r="W831" t="str">
        <f t="shared" si="38"/>
        <v/>
      </c>
      <c r="Z831" s="5" t="str">
        <f>IF(J831="","", IF(K831&lt;=3, "⚠️ 薄弱环节: "&amp;INDEX($E$1:$I$1, MATCH(MIN(E831:I831), E831:I831, 0))&amp;CHAR(10)&amp;"📉 考察能力: "&amp;IFERROR(VLOOKUP(TRIM(D831)&amp;"_"&amp;TRIM(INDEX($E$1:$I$1, MATCH(MIN(E831:I831), E831:I831, 0))), 技能库!$A:$F, 5, 0),"建议查阅考纲")&amp;CHAR(10)&amp;"💡 提升建议: "&amp;IFERROR(VLOOKUP(TRIM(D831)&amp;"_"&amp;TRIM(INDEX($E$1:$I$1, MATCH(MIN(E831:I831), E831:I831, 0))), 技能库!$A:$F, 6, 0),"请针对该题型加强练习"), "🎉 表现优异，无明显弱项！"))</f>
        <v/>
      </c>
      <c r="AA831" s="5" t="str">
        <f>IF(T831="","", IF(U831&lt;=3, "⚠️ 薄弱环节: "&amp;INDEX($M$1:$S$1, MATCH(MIN(M831:S831), M831:S831, 0))&amp;CHAR(10)&amp;"📉 考察能力: "&amp;IFERROR(VLOOKUP(TRIM(D831)&amp;"_"&amp;TRIM(INDEX($M$1:$S$1, MATCH(MIN(M831:S831), M831:S831, 0))), 技能库!$A:$F, 5, 0),"建议查阅考纲")&amp;CHAR(10)&amp;"💡 提升建议: "&amp;IFERROR(VLOOKUP(TRIM(D831)&amp;"_"&amp;TRIM(INDEX($M$1:$S$1, MATCH(MIN(M831:S831), M831:S831, 0))), 技能库!$A:$F, 6, 0),"请针对该题型加强练习"), "🎉 表现优异，无明显弱项！"))</f>
        <v/>
      </c>
    </row>
    <row r="832" spans="10:27" ht="18" hidden="1" customHeight="1" x14ac:dyDescent="0.2">
      <c r="J832" t="str">
        <f t="shared" si="36"/>
        <v/>
      </c>
      <c r="K832" t="str">
        <f>IF(J832="","", IFERROR(VLOOKUP(J832, IF(D832="Movers", 换算标准!$C:$D, 换算标准!$I:$J), 2, TRUE), 0))</f>
        <v/>
      </c>
      <c r="T832" t="str">
        <f t="shared" si="37"/>
        <v/>
      </c>
      <c r="U832" t="str">
        <f>IF(T832="","", IFERROR(VLOOKUP(T832, IF(D832="Movers", 换算标准!$A:$B, 换算标准!$G:$H), 2, TRUE), 0))</f>
        <v/>
      </c>
      <c r="W832" t="str">
        <f t="shared" si="38"/>
        <v/>
      </c>
      <c r="Z832" s="5" t="str">
        <f>IF(J832="","", IF(K832&lt;=3, "⚠️ 薄弱环节: "&amp;INDEX($E$1:$I$1, MATCH(MIN(E832:I832), E832:I832, 0))&amp;CHAR(10)&amp;"📉 考察能力: "&amp;IFERROR(VLOOKUP(TRIM(D832)&amp;"_"&amp;TRIM(INDEX($E$1:$I$1, MATCH(MIN(E832:I832), E832:I832, 0))), 技能库!$A:$F, 5, 0),"建议查阅考纲")&amp;CHAR(10)&amp;"💡 提升建议: "&amp;IFERROR(VLOOKUP(TRIM(D832)&amp;"_"&amp;TRIM(INDEX($E$1:$I$1, MATCH(MIN(E832:I832), E832:I832, 0))), 技能库!$A:$F, 6, 0),"请针对该题型加强练习"), "🎉 表现优异，无明显弱项！"))</f>
        <v/>
      </c>
      <c r="AA832" s="5" t="str">
        <f>IF(T832="","", IF(U832&lt;=3, "⚠️ 薄弱环节: "&amp;INDEX($M$1:$S$1, MATCH(MIN(M832:S832), M832:S832, 0))&amp;CHAR(10)&amp;"📉 考察能力: "&amp;IFERROR(VLOOKUP(TRIM(D832)&amp;"_"&amp;TRIM(INDEX($M$1:$S$1, MATCH(MIN(M832:S832), M832:S832, 0))), 技能库!$A:$F, 5, 0),"建议查阅考纲")&amp;CHAR(10)&amp;"💡 提升建议: "&amp;IFERROR(VLOOKUP(TRIM(D832)&amp;"_"&amp;TRIM(INDEX($M$1:$S$1, MATCH(MIN(M832:S832), M832:S832, 0))), 技能库!$A:$F, 6, 0),"请针对该题型加强练习"), "🎉 表现优异，无明显弱项！"))</f>
        <v/>
      </c>
    </row>
    <row r="833" spans="10:27" ht="18" hidden="1" customHeight="1" x14ac:dyDescent="0.2">
      <c r="J833" t="str">
        <f t="shared" si="36"/>
        <v/>
      </c>
      <c r="K833" t="str">
        <f>IF(J833="","", IFERROR(VLOOKUP(J833, IF(D833="Movers", 换算标准!$C:$D, 换算标准!$I:$J), 2, TRUE), 0))</f>
        <v/>
      </c>
      <c r="T833" t="str">
        <f t="shared" si="37"/>
        <v/>
      </c>
      <c r="U833" t="str">
        <f>IF(T833="","", IFERROR(VLOOKUP(T833, IF(D833="Movers", 换算标准!$A:$B, 换算标准!$G:$H), 2, TRUE), 0))</f>
        <v/>
      </c>
      <c r="W833" t="str">
        <f t="shared" si="38"/>
        <v/>
      </c>
      <c r="Z833" s="5" t="str">
        <f>IF(J833="","", IF(K833&lt;=3, "⚠️ 薄弱环节: "&amp;INDEX($E$1:$I$1, MATCH(MIN(E833:I833), E833:I833, 0))&amp;CHAR(10)&amp;"📉 考察能力: "&amp;IFERROR(VLOOKUP(TRIM(D833)&amp;"_"&amp;TRIM(INDEX($E$1:$I$1, MATCH(MIN(E833:I833), E833:I833, 0))), 技能库!$A:$F, 5, 0),"建议查阅考纲")&amp;CHAR(10)&amp;"💡 提升建议: "&amp;IFERROR(VLOOKUP(TRIM(D833)&amp;"_"&amp;TRIM(INDEX($E$1:$I$1, MATCH(MIN(E833:I833), E833:I833, 0))), 技能库!$A:$F, 6, 0),"请针对该题型加强练习"), "🎉 表现优异，无明显弱项！"))</f>
        <v/>
      </c>
      <c r="AA833" s="5" t="str">
        <f>IF(T833="","", IF(U833&lt;=3, "⚠️ 薄弱环节: "&amp;INDEX($M$1:$S$1, MATCH(MIN(M833:S833), M833:S833, 0))&amp;CHAR(10)&amp;"📉 考察能力: "&amp;IFERROR(VLOOKUP(TRIM(D833)&amp;"_"&amp;TRIM(INDEX($M$1:$S$1, MATCH(MIN(M833:S833), M833:S833, 0))), 技能库!$A:$F, 5, 0),"建议查阅考纲")&amp;CHAR(10)&amp;"💡 提升建议: "&amp;IFERROR(VLOOKUP(TRIM(D833)&amp;"_"&amp;TRIM(INDEX($M$1:$S$1, MATCH(MIN(M833:S833), M833:S833, 0))), 技能库!$A:$F, 6, 0),"请针对该题型加强练习"), "🎉 表现优异，无明显弱项！"))</f>
        <v/>
      </c>
    </row>
    <row r="834" spans="10:27" ht="18" hidden="1" customHeight="1" x14ac:dyDescent="0.2">
      <c r="J834" t="str">
        <f t="shared" ref="J834:J897" si="39">IF(COUNT(E834:I834)&gt;0, SUM(E834:I834), "")</f>
        <v/>
      </c>
      <c r="K834" t="str">
        <f>IF(J834="","", IFERROR(VLOOKUP(J834, IF(D834="Movers", 换算标准!$C:$D, 换算标准!$I:$J), 2, TRUE), 0))</f>
        <v/>
      </c>
      <c r="T834" t="str">
        <f t="shared" ref="T834:T897" si="40">IF(COUNT(M834:S834)&gt;0, SUM(M834:S834), "")</f>
        <v/>
      </c>
      <c r="U834" t="str">
        <f>IF(T834="","", IFERROR(VLOOKUP(T834, IF(D834="Movers", 换算标准!$A:$B, 换算标准!$G:$H), 2, TRUE), 0))</f>
        <v/>
      </c>
      <c r="W834" t="str">
        <f t="shared" ref="W834:W897" si="41">IF(AND(K834&lt;&gt;"", U834&lt;&gt;""), K834+U834, "")</f>
        <v/>
      </c>
      <c r="Z834" s="5" t="str">
        <f>IF(J834="","", IF(K834&lt;=3, "⚠️ 薄弱环节: "&amp;INDEX($E$1:$I$1, MATCH(MIN(E834:I834), E834:I834, 0))&amp;CHAR(10)&amp;"📉 考察能力: "&amp;IFERROR(VLOOKUP(TRIM(D834)&amp;"_"&amp;TRIM(INDEX($E$1:$I$1, MATCH(MIN(E834:I834), E834:I834, 0))), 技能库!$A:$F, 5, 0),"建议查阅考纲")&amp;CHAR(10)&amp;"💡 提升建议: "&amp;IFERROR(VLOOKUP(TRIM(D834)&amp;"_"&amp;TRIM(INDEX($E$1:$I$1, MATCH(MIN(E834:I834), E834:I834, 0))), 技能库!$A:$F, 6, 0),"请针对该题型加强练习"), "🎉 表现优异，无明显弱项！"))</f>
        <v/>
      </c>
      <c r="AA834" s="5" t="str">
        <f>IF(T834="","", IF(U834&lt;=3, "⚠️ 薄弱环节: "&amp;INDEX($M$1:$S$1, MATCH(MIN(M834:S834), M834:S834, 0))&amp;CHAR(10)&amp;"📉 考察能力: "&amp;IFERROR(VLOOKUP(TRIM(D834)&amp;"_"&amp;TRIM(INDEX($M$1:$S$1, MATCH(MIN(M834:S834), M834:S834, 0))), 技能库!$A:$F, 5, 0),"建议查阅考纲")&amp;CHAR(10)&amp;"💡 提升建议: "&amp;IFERROR(VLOOKUP(TRIM(D834)&amp;"_"&amp;TRIM(INDEX($M$1:$S$1, MATCH(MIN(M834:S834), M834:S834, 0))), 技能库!$A:$F, 6, 0),"请针对该题型加强练习"), "🎉 表现优异，无明显弱项！"))</f>
        <v/>
      </c>
    </row>
    <row r="835" spans="10:27" ht="18" hidden="1" customHeight="1" x14ac:dyDescent="0.2">
      <c r="J835" t="str">
        <f t="shared" si="39"/>
        <v/>
      </c>
      <c r="K835" t="str">
        <f>IF(J835="","", IFERROR(VLOOKUP(J835, IF(D835="Movers", 换算标准!$C:$D, 换算标准!$I:$J), 2, TRUE), 0))</f>
        <v/>
      </c>
      <c r="T835" t="str">
        <f t="shared" si="40"/>
        <v/>
      </c>
      <c r="U835" t="str">
        <f>IF(T835="","", IFERROR(VLOOKUP(T835, IF(D835="Movers", 换算标准!$A:$B, 换算标准!$G:$H), 2, TRUE), 0))</f>
        <v/>
      </c>
      <c r="W835" t="str">
        <f t="shared" si="41"/>
        <v/>
      </c>
      <c r="Z835" s="5" t="str">
        <f>IF(J835="","", IF(K835&lt;=3, "⚠️ 薄弱环节: "&amp;INDEX($E$1:$I$1, MATCH(MIN(E835:I835), E835:I835, 0))&amp;CHAR(10)&amp;"📉 考察能力: "&amp;IFERROR(VLOOKUP(TRIM(D835)&amp;"_"&amp;TRIM(INDEX($E$1:$I$1, MATCH(MIN(E835:I835), E835:I835, 0))), 技能库!$A:$F, 5, 0),"建议查阅考纲")&amp;CHAR(10)&amp;"💡 提升建议: "&amp;IFERROR(VLOOKUP(TRIM(D835)&amp;"_"&amp;TRIM(INDEX($E$1:$I$1, MATCH(MIN(E835:I835), E835:I835, 0))), 技能库!$A:$F, 6, 0),"请针对该题型加强练习"), "🎉 表现优异，无明显弱项！"))</f>
        <v/>
      </c>
      <c r="AA835" s="5" t="str">
        <f>IF(T835="","", IF(U835&lt;=3, "⚠️ 薄弱环节: "&amp;INDEX($M$1:$S$1, MATCH(MIN(M835:S835), M835:S835, 0))&amp;CHAR(10)&amp;"📉 考察能力: "&amp;IFERROR(VLOOKUP(TRIM(D835)&amp;"_"&amp;TRIM(INDEX($M$1:$S$1, MATCH(MIN(M835:S835), M835:S835, 0))), 技能库!$A:$F, 5, 0),"建议查阅考纲")&amp;CHAR(10)&amp;"💡 提升建议: "&amp;IFERROR(VLOOKUP(TRIM(D835)&amp;"_"&amp;TRIM(INDEX($M$1:$S$1, MATCH(MIN(M835:S835), M835:S835, 0))), 技能库!$A:$F, 6, 0),"请针对该题型加强练习"), "🎉 表现优异，无明显弱项！"))</f>
        <v/>
      </c>
    </row>
    <row r="836" spans="10:27" ht="18" hidden="1" customHeight="1" x14ac:dyDescent="0.2">
      <c r="J836" t="str">
        <f t="shared" si="39"/>
        <v/>
      </c>
      <c r="K836" t="str">
        <f>IF(J836="","", IFERROR(VLOOKUP(J836, IF(D836="Movers", 换算标准!$C:$D, 换算标准!$I:$J), 2, TRUE), 0))</f>
        <v/>
      </c>
      <c r="T836" t="str">
        <f t="shared" si="40"/>
        <v/>
      </c>
      <c r="U836" t="str">
        <f>IF(T836="","", IFERROR(VLOOKUP(T836, IF(D836="Movers", 换算标准!$A:$B, 换算标准!$G:$H), 2, TRUE), 0))</f>
        <v/>
      </c>
      <c r="W836" t="str">
        <f t="shared" si="41"/>
        <v/>
      </c>
      <c r="Z836" s="5" t="str">
        <f>IF(J836="","", IF(K836&lt;=3, "⚠️ 薄弱环节: "&amp;INDEX($E$1:$I$1, MATCH(MIN(E836:I836), E836:I836, 0))&amp;CHAR(10)&amp;"📉 考察能力: "&amp;IFERROR(VLOOKUP(TRIM(D836)&amp;"_"&amp;TRIM(INDEX($E$1:$I$1, MATCH(MIN(E836:I836), E836:I836, 0))), 技能库!$A:$F, 5, 0),"建议查阅考纲")&amp;CHAR(10)&amp;"💡 提升建议: "&amp;IFERROR(VLOOKUP(TRIM(D836)&amp;"_"&amp;TRIM(INDEX($E$1:$I$1, MATCH(MIN(E836:I836), E836:I836, 0))), 技能库!$A:$F, 6, 0),"请针对该题型加强练习"), "🎉 表现优异，无明显弱项！"))</f>
        <v/>
      </c>
      <c r="AA836" s="5" t="str">
        <f>IF(T836="","", IF(U836&lt;=3, "⚠️ 薄弱环节: "&amp;INDEX($M$1:$S$1, MATCH(MIN(M836:S836), M836:S836, 0))&amp;CHAR(10)&amp;"📉 考察能力: "&amp;IFERROR(VLOOKUP(TRIM(D836)&amp;"_"&amp;TRIM(INDEX($M$1:$S$1, MATCH(MIN(M836:S836), M836:S836, 0))), 技能库!$A:$F, 5, 0),"建议查阅考纲")&amp;CHAR(10)&amp;"💡 提升建议: "&amp;IFERROR(VLOOKUP(TRIM(D836)&amp;"_"&amp;TRIM(INDEX($M$1:$S$1, MATCH(MIN(M836:S836), M836:S836, 0))), 技能库!$A:$F, 6, 0),"请针对该题型加强练习"), "🎉 表现优异，无明显弱项！"))</f>
        <v/>
      </c>
    </row>
    <row r="837" spans="10:27" ht="18" hidden="1" customHeight="1" x14ac:dyDescent="0.2">
      <c r="J837" t="str">
        <f t="shared" si="39"/>
        <v/>
      </c>
      <c r="K837" t="str">
        <f>IF(J837="","", IFERROR(VLOOKUP(J837, IF(D837="Movers", 换算标准!$C:$D, 换算标准!$I:$J), 2, TRUE), 0))</f>
        <v/>
      </c>
      <c r="T837" t="str">
        <f t="shared" si="40"/>
        <v/>
      </c>
      <c r="U837" t="str">
        <f>IF(T837="","", IFERROR(VLOOKUP(T837, IF(D837="Movers", 换算标准!$A:$B, 换算标准!$G:$H), 2, TRUE), 0))</f>
        <v/>
      </c>
      <c r="W837" t="str">
        <f t="shared" si="41"/>
        <v/>
      </c>
      <c r="Z837" s="5" t="str">
        <f>IF(J837="","", IF(K837&lt;=3, "⚠️ 薄弱环节: "&amp;INDEX($E$1:$I$1, MATCH(MIN(E837:I837), E837:I837, 0))&amp;CHAR(10)&amp;"📉 考察能力: "&amp;IFERROR(VLOOKUP(TRIM(D837)&amp;"_"&amp;TRIM(INDEX($E$1:$I$1, MATCH(MIN(E837:I837), E837:I837, 0))), 技能库!$A:$F, 5, 0),"建议查阅考纲")&amp;CHAR(10)&amp;"💡 提升建议: "&amp;IFERROR(VLOOKUP(TRIM(D837)&amp;"_"&amp;TRIM(INDEX($E$1:$I$1, MATCH(MIN(E837:I837), E837:I837, 0))), 技能库!$A:$F, 6, 0),"请针对该题型加强练习"), "🎉 表现优异，无明显弱项！"))</f>
        <v/>
      </c>
      <c r="AA837" s="5" t="str">
        <f>IF(T837="","", IF(U837&lt;=3, "⚠️ 薄弱环节: "&amp;INDEX($M$1:$S$1, MATCH(MIN(M837:S837), M837:S837, 0))&amp;CHAR(10)&amp;"📉 考察能力: "&amp;IFERROR(VLOOKUP(TRIM(D837)&amp;"_"&amp;TRIM(INDEX($M$1:$S$1, MATCH(MIN(M837:S837), M837:S837, 0))), 技能库!$A:$F, 5, 0),"建议查阅考纲")&amp;CHAR(10)&amp;"💡 提升建议: "&amp;IFERROR(VLOOKUP(TRIM(D837)&amp;"_"&amp;TRIM(INDEX($M$1:$S$1, MATCH(MIN(M837:S837), M837:S837, 0))), 技能库!$A:$F, 6, 0),"请针对该题型加强练习"), "🎉 表现优异，无明显弱项！"))</f>
        <v/>
      </c>
    </row>
    <row r="838" spans="10:27" ht="18" hidden="1" customHeight="1" x14ac:dyDescent="0.2">
      <c r="J838" t="str">
        <f t="shared" si="39"/>
        <v/>
      </c>
      <c r="K838" t="str">
        <f>IF(J838="","", IFERROR(VLOOKUP(J838, IF(D838="Movers", 换算标准!$C:$D, 换算标准!$I:$J), 2, TRUE), 0))</f>
        <v/>
      </c>
      <c r="T838" t="str">
        <f t="shared" si="40"/>
        <v/>
      </c>
      <c r="U838" t="str">
        <f>IF(T838="","", IFERROR(VLOOKUP(T838, IF(D838="Movers", 换算标准!$A:$B, 换算标准!$G:$H), 2, TRUE), 0))</f>
        <v/>
      </c>
      <c r="W838" t="str">
        <f t="shared" si="41"/>
        <v/>
      </c>
      <c r="Z838" s="5" t="str">
        <f>IF(J838="","", IF(K838&lt;=3, "⚠️ 薄弱环节: "&amp;INDEX($E$1:$I$1, MATCH(MIN(E838:I838), E838:I838, 0))&amp;CHAR(10)&amp;"📉 考察能力: "&amp;IFERROR(VLOOKUP(TRIM(D838)&amp;"_"&amp;TRIM(INDEX($E$1:$I$1, MATCH(MIN(E838:I838), E838:I838, 0))), 技能库!$A:$F, 5, 0),"建议查阅考纲")&amp;CHAR(10)&amp;"💡 提升建议: "&amp;IFERROR(VLOOKUP(TRIM(D838)&amp;"_"&amp;TRIM(INDEX($E$1:$I$1, MATCH(MIN(E838:I838), E838:I838, 0))), 技能库!$A:$F, 6, 0),"请针对该题型加强练习"), "🎉 表现优异，无明显弱项！"))</f>
        <v/>
      </c>
      <c r="AA838" s="5" t="str">
        <f>IF(T838="","", IF(U838&lt;=3, "⚠️ 薄弱环节: "&amp;INDEX($M$1:$S$1, MATCH(MIN(M838:S838), M838:S838, 0))&amp;CHAR(10)&amp;"📉 考察能力: "&amp;IFERROR(VLOOKUP(TRIM(D838)&amp;"_"&amp;TRIM(INDEX($M$1:$S$1, MATCH(MIN(M838:S838), M838:S838, 0))), 技能库!$A:$F, 5, 0),"建议查阅考纲")&amp;CHAR(10)&amp;"💡 提升建议: "&amp;IFERROR(VLOOKUP(TRIM(D838)&amp;"_"&amp;TRIM(INDEX($M$1:$S$1, MATCH(MIN(M838:S838), M838:S838, 0))), 技能库!$A:$F, 6, 0),"请针对该题型加强练习"), "🎉 表现优异，无明显弱项！"))</f>
        <v/>
      </c>
    </row>
    <row r="839" spans="10:27" ht="18" hidden="1" customHeight="1" x14ac:dyDescent="0.2">
      <c r="J839" t="str">
        <f t="shared" si="39"/>
        <v/>
      </c>
      <c r="K839" t="str">
        <f>IF(J839="","", IFERROR(VLOOKUP(J839, IF(D839="Movers", 换算标准!$C:$D, 换算标准!$I:$J), 2, TRUE), 0))</f>
        <v/>
      </c>
      <c r="T839" t="str">
        <f t="shared" si="40"/>
        <v/>
      </c>
      <c r="U839" t="str">
        <f>IF(T839="","", IFERROR(VLOOKUP(T839, IF(D839="Movers", 换算标准!$A:$B, 换算标准!$G:$H), 2, TRUE), 0))</f>
        <v/>
      </c>
      <c r="W839" t="str">
        <f t="shared" si="41"/>
        <v/>
      </c>
      <c r="Z839" s="5" t="str">
        <f>IF(J839="","", IF(K839&lt;=3, "⚠️ 薄弱环节: "&amp;INDEX($E$1:$I$1, MATCH(MIN(E839:I839), E839:I839, 0))&amp;CHAR(10)&amp;"📉 考察能力: "&amp;IFERROR(VLOOKUP(TRIM(D839)&amp;"_"&amp;TRIM(INDEX($E$1:$I$1, MATCH(MIN(E839:I839), E839:I839, 0))), 技能库!$A:$F, 5, 0),"建议查阅考纲")&amp;CHAR(10)&amp;"💡 提升建议: "&amp;IFERROR(VLOOKUP(TRIM(D839)&amp;"_"&amp;TRIM(INDEX($E$1:$I$1, MATCH(MIN(E839:I839), E839:I839, 0))), 技能库!$A:$F, 6, 0),"请针对该题型加强练习"), "🎉 表现优异，无明显弱项！"))</f>
        <v/>
      </c>
      <c r="AA839" s="5" t="str">
        <f>IF(T839="","", IF(U839&lt;=3, "⚠️ 薄弱环节: "&amp;INDEX($M$1:$S$1, MATCH(MIN(M839:S839), M839:S839, 0))&amp;CHAR(10)&amp;"📉 考察能力: "&amp;IFERROR(VLOOKUP(TRIM(D839)&amp;"_"&amp;TRIM(INDEX($M$1:$S$1, MATCH(MIN(M839:S839), M839:S839, 0))), 技能库!$A:$F, 5, 0),"建议查阅考纲")&amp;CHAR(10)&amp;"💡 提升建议: "&amp;IFERROR(VLOOKUP(TRIM(D839)&amp;"_"&amp;TRIM(INDEX($M$1:$S$1, MATCH(MIN(M839:S839), M839:S839, 0))), 技能库!$A:$F, 6, 0),"请针对该题型加强练习"), "🎉 表现优异，无明显弱项！"))</f>
        <v/>
      </c>
    </row>
    <row r="840" spans="10:27" ht="18" hidden="1" customHeight="1" x14ac:dyDescent="0.2">
      <c r="J840" t="str">
        <f t="shared" si="39"/>
        <v/>
      </c>
      <c r="K840" t="str">
        <f>IF(J840="","", IFERROR(VLOOKUP(J840, IF(D840="Movers", 换算标准!$C:$D, 换算标准!$I:$J), 2, TRUE), 0))</f>
        <v/>
      </c>
      <c r="T840" t="str">
        <f t="shared" si="40"/>
        <v/>
      </c>
      <c r="U840" t="str">
        <f>IF(T840="","", IFERROR(VLOOKUP(T840, IF(D840="Movers", 换算标准!$A:$B, 换算标准!$G:$H), 2, TRUE), 0))</f>
        <v/>
      </c>
      <c r="W840" t="str">
        <f t="shared" si="41"/>
        <v/>
      </c>
      <c r="Z840" s="5" t="str">
        <f>IF(J840="","", IF(K840&lt;=3, "⚠️ 薄弱环节: "&amp;INDEX($E$1:$I$1, MATCH(MIN(E840:I840), E840:I840, 0))&amp;CHAR(10)&amp;"📉 考察能力: "&amp;IFERROR(VLOOKUP(TRIM(D840)&amp;"_"&amp;TRIM(INDEX($E$1:$I$1, MATCH(MIN(E840:I840), E840:I840, 0))), 技能库!$A:$F, 5, 0),"建议查阅考纲")&amp;CHAR(10)&amp;"💡 提升建议: "&amp;IFERROR(VLOOKUP(TRIM(D840)&amp;"_"&amp;TRIM(INDEX($E$1:$I$1, MATCH(MIN(E840:I840), E840:I840, 0))), 技能库!$A:$F, 6, 0),"请针对该题型加强练习"), "🎉 表现优异，无明显弱项！"))</f>
        <v/>
      </c>
      <c r="AA840" s="5" t="str">
        <f>IF(T840="","", IF(U840&lt;=3, "⚠️ 薄弱环节: "&amp;INDEX($M$1:$S$1, MATCH(MIN(M840:S840), M840:S840, 0))&amp;CHAR(10)&amp;"📉 考察能力: "&amp;IFERROR(VLOOKUP(TRIM(D840)&amp;"_"&amp;TRIM(INDEX($M$1:$S$1, MATCH(MIN(M840:S840), M840:S840, 0))), 技能库!$A:$F, 5, 0),"建议查阅考纲")&amp;CHAR(10)&amp;"💡 提升建议: "&amp;IFERROR(VLOOKUP(TRIM(D840)&amp;"_"&amp;TRIM(INDEX($M$1:$S$1, MATCH(MIN(M840:S840), M840:S840, 0))), 技能库!$A:$F, 6, 0),"请针对该题型加强练习"), "🎉 表现优异，无明显弱项！"))</f>
        <v/>
      </c>
    </row>
    <row r="841" spans="10:27" ht="18" hidden="1" customHeight="1" x14ac:dyDescent="0.2">
      <c r="J841" t="str">
        <f t="shared" si="39"/>
        <v/>
      </c>
      <c r="K841" t="str">
        <f>IF(J841="","", IFERROR(VLOOKUP(J841, IF(D841="Movers", 换算标准!$C:$D, 换算标准!$I:$J), 2, TRUE), 0))</f>
        <v/>
      </c>
      <c r="T841" t="str">
        <f t="shared" si="40"/>
        <v/>
      </c>
      <c r="U841" t="str">
        <f>IF(T841="","", IFERROR(VLOOKUP(T841, IF(D841="Movers", 换算标准!$A:$B, 换算标准!$G:$H), 2, TRUE), 0))</f>
        <v/>
      </c>
      <c r="W841" t="str">
        <f t="shared" si="41"/>
        <v/>
      </c>
      <c r="Z841" s="5" t="str">
        <f>IF(J841="","", IF(K841&lt;=3, "⚠️ 薄弱环节: "&amp;INDEX($E$1:$I$1, MATCH(MIN(E841:I841), E841:I841, 0))&amp;CHAR(10)&amp;"📉 考察能力: "&amp;IFERROR(VLOOKUP(TRIM(D841)&amp;"_"&amp;TRIM(INDEX($E$1:$I$1, MATCH(MIN(E841:I841), E841:I841, 0))), 技能库!$A:$F, 5, 0),"建议查阅考纲")&amp;CHAR(10)&amp;"💡 提升建议: "&amp;IFERROR(VLOOKUP(TRIM(D841)&amp;"_"&amp;TRIM(INDEX($E$1:$I$1, MATCH(MIN(E841:I841), E841:I841, 0))), 技能库!$A:$F, 6, 0),"请针对该题型加强练习"), "🎉 表现优异，无明显弱项！"))</f>
        <v/>
      </c>
      <c r="AA841" s="5" t="str">
        <f>IF(T841="","", IF(U841&lt;=3, "⚠️ 薄弱环节: "&amp;INDEX($M$1:$S$1, MATCH(MIN(M841:S841), M841:S841, 0))&amp;CHAR(10)&amp;"📉 考察能力: "&amp;IFERROR(VLOOKUP(TRIM(D841)&amp;"_"&amp;TRIM(INDEX($M$1:$S$1, MATCH(MIN(M841:S841), M841:S841, 0))), 技能库!$A:$F, 5, 0),"建议查阅考纲")&amp;CHAR(10)&amp;"💡 提升建议: "&amp;IFERROR(VLOOKUP(TRIM(D841)&amp;"_"&amp;TRIM(INDEX($M$1:$S$1, MATCH(MIN(M841:S841), M841:S841, 0))), 技能库!$A:$F, 6, 0),"请针对该题型加强练习"), "🎉 表现优异，无明显弱项！"))</f>
        <v/>
      </c>
    </row>
    <row r="842" spans="10:27" ht="18" hidden="1" customHeight="1" x14ac:dyDescent="0.2">
      <c r="J842" t="str">
        <f t="shared" si="39"/>
        <v/>
      </c>
      <c r="K842" t="str">
        <f>IF(J842="","", IFERROR(VLOOKUP(J842, IF(D842="Movers", 换算标准!$C:$D, 换算标准!$I:$J), 2, TRUE), 0))</f>
        <v/>
      </c>
      <c r="T842" t="str">
        <f t="shared" si="40"/>
        <v/>
      </c>
      <c r="U842" t="str">
        <f>IF(T842="","", IFERROR(VLOOKUP(T842, IF(D842="Movers", 换算标准!$A:$B, 换算标准!$G:$H), 2, TRUE), 0))</f>
        <v/>
      </c>
      <c r="W842" t="str">
        <f t="shared" si="41"/>
        <v/>
      </c>
      <c r="Z842" s="5" t="str">
        <f>IF(J842="","", IF(K842&lt;=3, "⚠️ 薄弱环节: "&amp;INDEX($E$1:$I$1, MATCH(MIN(E842:I842), E842:I842, 0))&amp;CHAR(10)&amp;"📉 考察能力: "&amp;IFERROR(VLOOKUP(TRIM(D842)&amp;"_"&amp;TRIM(INDEX($E$1:$I$1, MATCH(MIN(E842:I842), E842:I842, 0))), 技能库!$A:$F, 5, 0),"建议查阅考纲")&amp;CHAR(10)&amp;"💡 提升建议: "&amp;IFERROR(VLOOKUP(TRIM(D842)&amp;"_"&amp;TRIM(INDEX($E$1:$I$1, MATCH(MIN(E842:I842), E842:I842, 0))), 技能库!$A:$F, 6, 0),"请针对该题型加强练习"), "🎉 表现优异，无明显弱项！"))</f>
        <v/>
      </c>
      <c r="AA842" s="5" t="str">
        <f>IF(T842="","", IF(U842&lt;=3, "⚠️ 薄弱环节: "&amp;INDEX($M$1:$S$1, MATCH(MIN(M842:S842), M842:S842, 0))&amp;CHAR(10)&amp;"📉 考察能力: "&amp;IFERROR(VLOOKUP(TRIM(D842)&amp;"_"&amp;TRIM(INDEX($M$1:$S$1, MATCH(MIN(M842:S842), M842:S842, 0))), 技能库!$A:$F, 5, 0),"建议查阅考纲")&amp;CHAR(10)&amp;"💡 提升建议: "&amp;IFERROR(VLOOKUP(TRIM(D842)&amp;"_"&amp;TRIM(INDEX($M$1:$S$1, MATCH(MIN(M842:S842), M842:S842, 0))), 技能库!$A:$F, 6, 0),"请针对该题型加强练习"), "🎉 表现优异，无明显弱项！"))</f>
        <v/>
      </c>
    </row>
    <row r="843" spans="10:27" ht="18" hidden="1" customHeight="1" x14ac:dyDescent="0.2">
      <c r="J843" t="str">
        <f t="shared" si="39"/>
        <v/>
      </c>
      <c r="K843" t="str">
        <f>IF(J843="","", IFERROR(VLOOKUP(J843, IF(D843="Movers", 换算标准!$C:$D, 换算标准!$I:$J), 2, TRUE), 0))</f>
        <v/>
      </c>
      <c r="T843" t="str">
        <f t="shared" si="40"/>
        <v/>
      </c>
      <c r="U843" t="str">
        <f>IF(T843="","", IFERROR(VLOOKUP(T843, IF(D843="Movers", 换算标准!$A:$B, 换算标准!$G:$H), 2, TRUE), 0))</f>
        <v/>
      </c>
      <c r="W843" t="str">
        <f t="shared" si="41"/>
        <v/>
      </c>
      <c r="Z843" s="5" t="str">
        <f>IF(J843="","", IF(K843&lt;=3, "⚠️ 薄弱环节: "&amp;INDEX($E$1:$I$1, MATCH(MIN(E843:I843), E843:I843, 0))&amp;CHAR(10)&amp;"📉 考察能力: "&amp;IFERROR(VLOOKUP(TRIM(D843)&amp;"_"&amp;TRIM(INDEX($E$1:$I$1, MATCH(MIN(E843:I843), E843:I843, 0))), 技能库!$A:$F, 5, 0),"建议查阅考纲")&amp;CHAR(10)&amp;"💡 提升建议: "&amp;IFERROR(VLOOKUP(TRIM(D843)&amp;"_"&amp;TRIM(INDEX($E$1:$I$1, MATCH(MIN(E843:I843), E843:I843, 0))), 技能库!$A:$F, 6, 0),"请针对该题型加强练习"), "🎉 表现优异，无明显弱项！"))</f>
        <v/>
      </c>
      <c r="AA843" s="5" t="str">
        <f>IF(T843="","", IF(U843&lt;=3, "⚠️ 薄弱环节: "&amp;INDEX($M$1:$S$1, MATCH(MIN(M843:S843), M843:S843, 0))&amp;CHAR(10)&amp;"📉 考察能力: "&amp;IFERROR(VLOOKUP(TRIM(D843)&amp;"_"&amp;TRIM(INDEX($M$1:$S$1, MATCH(MIN(M843:S843), M843:S843, 0))), 技能库!$A:$F, 5, 0),"建议查阅考纲")&amp;CHAR(10)&amp;"💡 提升建议: "&amp;IFERROR(VLOOKUP(TRIM(D843)&amp;"_"&amp;TRIM(INDEX($M$1:$S$1, MATCH(MIN(M843:S843), M843:S843, 0))), 技能库!$A:$F, 6, 0),"请针对该题型加强练习"), "🎉 表现优异，无明显弱项！"))</f>
        <v/>
      </c>
    </row>
    <row r="844" spans="10:27" ht="18" hidden="1" customHeight="1" x14ac:dyDescent="0.2">
      <c r="J844" t="str">
        <f t="shared" si="39"/>
        <v/>
      </c>
      <c r="K844" t="str">
        <f>IF(J844="","", IFERROR(VLOOKUP(J844, IF(D844="Movers", 换算标准!$C:$D, 换算标准!$I:$J), 2, TRUE), 0))</f>
        <v/>
      </c>
      <c r="T844" t="str">
        <f t="shared" si="40"/>
        <v/>
      </c>
      <c r="U844" t="str">
        <f>IF(T844="","", IFERROR(VLOOKUP(T844, IF(D844="Movers", 换算标准!$A:$B, 换算标准!$G:$H), 2, TRUE), 0))</f>
        <v/>
      </c>
      <c r="W844" t="str">
        <f t="shared" si="41"/>
        <v/>
      </c>
      <c r="Z844" s="5" t="str">
        <f>IF(J844="","", IF(K844&lt;=3, "⚠️ 薄弱环节: "&amp;INDEX($E$1:$I$1, MATCH(MIN(E844:I844), E844:I844, 0))&amp;CHAR(10)&amp;"📉 考察能力: "&amp;IFERROR(VLOOKUP(TRIM(D844)&amp;"_"&amp;TRIM(INDEX($E$1:$I$1, MATCH(MIN(E844:I844), E844:I844, 0))), 技能库!$A:$F, 5, 0),"建议查阅考纲")&amp;CHAR(10)&amp;"💡 提升建议: "&amp;IFERROR(VLOOKUP(TRIM(D844)&amp;"_"&amp;TRIM(INDEX($E$1:$I$1, MATCH(MIN(E844:I844), E844:I844, 0))), 技能库!$A:$F, 6, 0),"请针对该题型加强练习"), "🎉 表现优异，无明显弱项！"))</f>
        <v/>
      </c>
      <c r="AA844" s="5" t="str">
        <f>IF(T844="","", IF(U844&lt;=3, "⚠️ 薄弱环节: "&amp;INDEX($M$1:$S$1, MATCH(MIN(M844:S844), M844:S844, 0))&amp;CHAR(10)&amp;"📉 考察能力: "&amp;IFERROR(VLOOKUP(TRIM(D844)&amp;"_"&amp;TRIM(INDEX($M$1:$S$1, MATCH(MIN(M844:S844), M844:S844, 0))), 技能库!$A:$F, 5, 0),"建议查阅考纲")&amp;CHAR(10)&amp;"💡 提升建议: "&amp;IFERROR(VLOOKUP(TRIM(D844)&amp;"_"&amp;TRIM(INDEX($M$1:$S$1, MATCH(MIN(M844:S844), M844:S844, 0))), 技能库!$A:$F, 6, 0),"请针对该题型加强练习"), "🎉 表现优异，无明显弱项！"))</f>
        <v/>
      </c>
    </row>
    <row r="845" spans="10:27" ht="18" hidden="1" customHeight="1" x14ac:dyDescent="0.2">
      <c r="J845" t="str">
        <f t="shared" si="39"/>
        <v/>
      </c>
      <c r="K845" t="str">
        <f>IF(J845="","", IFERROR(VLOOKUP(J845, IF(D845="Movers", 换算标准!$C:$D, 换算标准!$I:$J), 2, TRUE), 0))</f>
        <v/>
      </c>
      <c r="T845" t="str">
        <f t="shared" si="40"/>
        <v/>
      </c>
      <c r="U845" t="str">
        <f>IF(T845="","", IFERROR(VLOOKUP(T845, IF(D845="Movers", 换算标准!$A:$B, 换算标准!$G:$H), 2, TRUE), 0))</f>
        <v/>
      </c>
      <c r="W845" t="str">
        <f t="shared" si="41"/>
        <v/>
      </c>
      <c r="Z845" s="5" t="str">
        <f>IF(J845="","", IF(K845&lt;=3, "⚠️ 薄弱环节: "&amp;INDEX($E$1:$I$1, MATCH(MIN(E845:I845), E845:I845, 0))&amp;CHAR(10)&amp;"📉 考察能力: "&amp;IFERROR(VLOOKUP(TRIM(D845)&amp;"_"&amp;TRIM(INDEX($E$1:$I$1, MATCH(MIN(E845:I845), E845:I845, 0))), 技能库!$A:$F, 5, 0),"建议查阅考纲")&amp;CHAR(10)&amp;"💡 提升建议: "&amp;IFERROR(VLOOKUP(TRIM(D845)&amp;"_"&amp;TRIM(INDEX($E$1:$I$1, MATCH(MIN(E845:I845), E845:I845, 0))), 技能库!$A:$F, 6, 0),"请针对该题型加强练习"), "🎉 表现优异，无明显弱项！"))</f>
        <v/>
      </c>
      <c r="AA845" s="5" t="str">
        <f>IF(T845="","", IF(U845&lt;=3, "⚠️ 薄弱环节: "&amp;INDEX($M$1:$S$1, MATCH(MIN(M845:S845), M845:S845, 0))&amp;CHAR(10)&amp;"📉 考察能力: "&amp;IFERROR(VLOOKUP(TRIM(D845)&amp;"_"&amp;TRIM(INDEX($M$1:$S$1, MATCH(MIN(M845:S845), M845:S845, 0))), 技能库!$A:$F, 5, 0),"建议查阅考纲")&amp;CHAR(10)&amp;"💡 提升建议: "&amp;IFERROR(VLOOKUP(TRIM(D845)&amp;"_"&amp;TRIM(INDEX($M$1:$S$1, MATCH(MIN(M845:S845), M845:S845, 0))), 技能库!$A:$F, 6, 0),"请针对该题型加强练习"), "🎉 表现优异，无明显弱项！"))</f>
        <v/>
      </c>
    </row>
    <row r="846" spans="10:27" ht="18" hidden="1" customHeight="1" x14ac:dyDescent="0.2">
      <c r="J846" t="str">
        <f t="shared" si="39"/>
        <v/>
      </c>
      <c r="K846" t="str">
        <f>IF(J846="","", IFERROR(VLOOKUP(J846, IF(D846="Movers", 换算标准!$C:$D, 换算标准!$I:$J), 2, TRUE), 0))</f>
        <v/>
      </c>
      <c r="T846" t="str">
        <f t="shared" si="40"/>
        <v/>
      </c>
      <c r="U846" t="str">
        <f>IF(T846="","", IFERROR(VLOOKUP(T846, IF(D846="Movers", 换算标准!$A:$B, 换算标准!$G:$H), 2, TRUE), 0))</f>
        <v/>
      </c>
      <c r="W846" t="str">
        <f t="shared" si="41"/>
        <v/>
      </c>
      <c r="Z846" s="5" t="str">
        <f>IF(J846="","", IF(K846&lt;=3, "⚠️ 薄弱环节: "&amp;INDEX($E$1:$I$1, MATCH(MIN(E846:I846), E846:I846, 0))&amp;CHAR(10)&amp;"📉 考察能力: "&amp;IFERROR(VLOOKUP(TRIM(D846)&amp;"_"&amp;TRIM(INDEX($E$1:$I$1, MATCH(MIN(E846:I846), E846:I846, 0))), 技能库!$A:$F, 5, 0),"建议查阅考纲")&amp;CHAR(10)&amp;"💡 提升建议: "&amp;IFERROR(VLOOKUP(TRIM(D846)&amp;"_"&amp;TRIM(INDEX($E$1:$I$1, MATCH(MIN(E846:I846), E846:I846, 0))), 技能库!$A:$F, 6, 0),"请针对该题型加强练习"), "🎉 表现优异，无明显弱项！"))</f>
        <v/>
      </c>
      <c r="AA846" s="5" t="str">
        <f>IF(T846="","", IF(U846&lt;=3, "⚠️ 薄弱环节: "&amp;INDEX($M$1:$S$1, MATCH(MIN(M846:S846), M846:S846, 0))&amp;CHAR(10)&amp;"📉 考察能力: "&amp;IFERROR(VLOOKUP(TRIM(D846)&amp;"_"&amp;TRIM(INDEX($M$1:$S$1, MATCH(MIN(M846:S846), M846:S846, 0))), 技能库!$A:$F, 5, 0),"建议查阅考纲")&amp;CHAR(10)&amp;"💡 提升建议: "&amp;IFERROR(VLOOKUP(TRIM(D846)&amp;"_"&amp;TRIM(INDEX($M$1:$S$1, MATCH(MIN(M846:S846), M846:S846, 0))), 技能库!$A:$F, 6, 0),"请针对该题型加强练习"), "🎉 表现优异，无明显弱项！"))</f>
        <v/>
      </c>
    </row>
    <row r="847" spans="10:27" ht="18" hidden="1" customHeight="1" x14ac:dyDescent="0.2">
      <c r="J847" t="str">
        <f t="shared" si="39"/>
        <v/>
      </c>
      <c r="K847" t="str">
        <f>IF(J847="","", IFERROR(VLOOKUP(J847, IF(D847="Movers", 换算标准!$C:$D, 换算标准!$I:$J), 2, TRUE), 0))</f>
        <v/>
      </c>
      <c r="T847" t="str">
        <f t="shared" si="40"/>
        <v/>
      </c>
      <c r="U847" t="str">
        <f>IF(T847="","", IFERROR(VLOOKUP(T847, IF(D847="Movers", 换算标准!$A:$B, 换算标准!$G:$H), 2, TRUE), 0))</f>
        <v/>
      </c>
      <c r="W847" t="str">
        <f t="shared" si="41"/>
        <v/>
      </c>
      <c r="Z847" s="5" t="str">
        <f>IF(J847="","", IF(K847&lt;=3, "⚠️ 薄弱环节: "&amp;INDEX($E$1:$I$1, MATCH(MIN(E847:I847), E847:I847, 0))&amp;CHAR(10)&amp;"📉 考察能力: "&amp;IFERROR(VLOOKUP(TRIM(D847)&amp;"_"&amp;TRIM(INDEX($E$1:$I$1, MATCH(MIN(E847:I847), E847:I847, 0))), 技能库!$A:$F, 5, 0),"建议查阅考纲")&amp;CHAR(10)&amp;"💡 提升建议: "&amp;IFERROR(VLOOKUP(TRIM(D847)&amp;"_"&amp;TRIM(INDEX($E$1:$I$1, MATCH(MIN(E847:I847), E847:I847, 0))), 技能库!$A:$F, 6, 0),"请针对该题型加强练习"), "🎉 表现优异，无明显弱项！"))</f>
        <v/>
      </c>
      <c r="AA847" s="5" t="str">
        <f>IF(T847="","", IF(U847&lt;=3, "⚠️ 薄弱环节: "&amp;INDEX($M$1:$S$1, MATCH(MIN(M847:S847), M847:S847, 0))&amp;CHAR(10)&amp;"📉 考察能力: "&amp;IFERROR(VLOOKUP(TRIM(D847)&amp;"_"&amp;TRIM(INDEX($M$1:$S$1, MATCH(MIN(M847:S847), M847:S847, 0))), 技能库!$A:$F, 5, 0),"建议查阅考纲")&amp;CHAR(10)&amp;"💡 提升建议: "&amp;IFERROR(VLOOKUP(TRIM(D847)&amp;"_"&amp;TRIM(INDEX($M$1:$S$1, MATCH(MIN(M847:S847), M847:S847, 0))), 技能库!$A:$F, 6, 0),"请针对该题型加强练习"), "🎉 表现优异，无明显弱项！"))</f>
        <v/>
      </c>
    </row>
    <row r="848" spans="10:27" ht="18" hidden="1" customHeight="1" x14ac:dyDescent="0.2">
      <c r="J848" t="str">
        <f t="shared" si="39"/>
        <v/>
      </c>
      <c r="K848" t="str">
        <f>IF(J848="","", IFERROR(VLOOKUP(J848, IF(D848="Movers", 换算标准!$C:$D, 换算标准!$I:$J), 2, TRUE), 0))</f>
        <v/>
      </c>
      <c r="T848" t="str">
        <f t="shared" si="40"/>
        <v/>
      </c>
      <c r="U848" t="str">
        <f>IF(T848="","", IFERROR(VLOOKUP(T848, IF(D848="Movers", 换算标准!$A:$B, 换算标准!$G:$H), 2, TRUE), 0))</f>
        <v/>
      </c>
      <c r="W848" t="str">
        <f t="shared" si="41"/>
        <v/>
      </c>
      <c r="Z848" s="5" t="str">
        <f>IF(J848="","", IF(K848&lt;=3, "⚠️ 薄弱环节: "&amp;INDEX($E$1:$I$1, MATCH(MIN(E848:I848), E848:I848, 0))&amp;CHAR(10)&amp;"📉 考察能力: "&amp;IFERROR(VLOOKUP(TRIM(D848)&amp;"_"&amp;TRIM(INDEX($E$1:$I$1, MATCH(MIN(E848:I848), E848:I848, 0))), 技能库!$A:$F, 5, 0),"建议查阅考纲")&amp;CHAR(10)&amp;"💡 提升建议: "&amp;IFERROR(VLOOKUP(TRIM(D848)&amp;"_"&amp;TRIM(INDEX($E$1:$I$1, MATCH(MIN(E848:I848), E848:I848, 0))), 技能库!$A:$F, 6, 0),"请针对该题型加强练习"), "🎉 表现优异，无明显弱项！"))</f>
        <v/>
      </c>
      <c r="AA848" s="5" t="str">
        <f>IF(T848="","", IF(U848&lt;=3, "⚠️ 薄弱环节: "&amp;INDEX($M$1:$S$1, MATCH(MIN(M848:S848), M848:S848, 0))&amp;CHAR(10)&amp;"📉 考察能力: "&amp;IFERROR(VLOOKUP(TRIM(D848)&amp;"_"&amp;TRIM(INDEX($M$1:$S$1, MATCH(MIN(M848:S848), M848:S848, 0))), 技能库!$A:$F, 5, 0),"建议查阅考纲")&amp;CHAR(10)&amp;"💡 提升建议: "&amp;IFERROR(VLOOKUP(TRIM(D848)&amp;"_"&amp;TRIM(INDEX($M$1:$S$1, MATCH(MIN(M848:S848), M848:S848, 0))), 技能库!$A:$F, 6, 0),"请针对该题型加强练习"), "🎉 表现优异，无明显弱项！"))</f>
        <v/>
      </c>
    </row>
    <row r="849" spans="10:27" ht="18" hidden="1" customHeight="1" x14ac:dyDescent="0.2">
      <c r="J849" t="str">
        <f t="shared" si="39"/>
        <v/>
      </c>
      <c r="K849" t="str">
        <f>IF(J849="","", IFERROR(VLOOKUP(J849, IF(D849="Movers", 换算标准!$C:$D, 换算标准!$I:$J), 2, TRUE), 0))</f>
        <v/>
      </c>
      <c r="T849" t="str">
        <f t="shared" si="40"/>
        <v/>
      </c>
      <c r="U849" t="str">
        <f>IF(T849="","", IFERROR(VLOOKUP(T849, IF(D849="Movers", 换算标准!$A:$B, 换算标准!$G:$H), 2, TRUE), 0))</f>
        <v/>
      </c>
      <c r="W849" t="str">
        <f t="shared" si="41"/>
        <v/>
      </c>
      <c r="Z849" s="5" t="str">
        <f>IF(J849="","", IF(K849&lt;=3, "⚠️ 薄弱环节: "&amp;INDEX($E$1:$I$1, MATCH(MIN(E849:I849), E849:I849, 0))&amp;CHAR(10)&amp;"📉 考察能力: "&amp;IFERROR(VLOOKUP(TRIM(D849)&amp;"_"&amp;TRIM(INDEX($E$1:$I$1, MATCH(MIN(E849:I849), E849:I849, 0))), 技能库!$A:$F, 5, 0),"建议查阅考纲")&amp;CHAR(10)&amp;"💡 提升建议: "&amp;IFERROR(VLOOKUP(TRIM(D849)&amp;"_"&amp;TRIM(INDEX($E$1:$I$1, MATCH(MIN(E849:I849), E849:I849, 0))), 技能库!$A:$F, 6, 0),"请针对该题型加强练习"), "🎉 表现优异，无明显弱项！"))</f>
        <v/>
      </c>
      <c r="AA849" s="5" t="str">
        <f>IF(T849="","", IF(U849&lt;=3, "⚠️ 薄弱环节: "&amp;INDEX($M$1:$S$1, MATCH(MIN(M849:S849), M849:S849, 0))&amp;CHAR(10)&amp;"📉 考察能力: "&amp;IFERROR(VLOOKUP(TRIM(D849)&amp;"_"&amp;TRIM(INDEX($M$1:$S$1, MATCH(MIN(M849:S849), M849:S849, 0))), 技能库!$A:$F, 5, 0),"建议查阅考纲")&amp;CHAR(10)&amp;"💡 提升建议: "&amp;IFERROR(VLOOKUP(TRIM(D849)&amp;"_"&amp;TRIM(INDEX($M$1:$S$1, MATCH(MIN(M849:S849), M849:S849, 0))), 技能库!$A:$F, 6, 0),"请针对该题型加强练习"), "🎉 表现优异，无明显弱项！"))</f>
        <v/>
      </c>
    </row>
    <row r="850" spans="10:27" ht="18" hidden="1" customHeight="1" x14ac:dyDescent="0.2">
      <c r="J850" t="str">
        <f t="shared" si="39"/>
        <v/>
      </c>
      <c r="K850" t="str">
        <f>IF(J850="","", IFERROR(VLOOKUP(J850, IF(D850="Movers", 换算标准!$C:$D, 换算标准!$I:$J), 2, TRUE), 0))</f>
        <v/>
      </c>
      <c r="T850" t="str">
        <f t="shared" si="40"/>
        <v/>
      </c>
      <c r="U850" t="str">
        <f>IF(T850="","", IFERROR(VLOOKUP(T850, IF(D850="Movers", 换算标准!$A:$B, 换算标准!$G:$H), 2, TRUE), 0))</f>
        <v/>
      </c>
      <c r="W850" t="str">
        <f t="shared" si="41"/>
        <v/>
      </c>
      <c r="Z850" s="5" t="str">
        <f>IF(J850="","", IF(K850&lt;=3, "⚠️ 薄弱环节: "&amp;INDEX($E$1:$I$1, MATCH(MIN(E850:I850), E850:I850, 0))&amp;CHAR(10)&amp;"📉 考察能力: "&amp;IFERROR(VLOOKUP(TRIM(D850)&amp;"_"&amp;TRIM(INDEX($E$1:$I$1, MATCH(MIN(E850:I850), E850:I850, 0))), 技能库!$A:$F, 5, 0),"建议查阅考纲")&amp;CHAR(10)&amp;"💡 提升建议: "&amp;IFERROR(VLOOKUP(TRIM(D850)&amp;"_"&amp;TRIM(INDEX($E$1:$I$1, MATCH(MIN(E850:I850), E850:I850, 0))), 技能库!$A:$F, 6, 0),"请针对该题型加强练习"), "🎉 表现优异，无明显弱项！"))</f>
        <v/>
      </c>
      <c r="AA850" s="5" t="str">
        <f>IF(T850="","", IF(U850&lt;=3, "⚠️ 薄弱环节: "&amp;INDEX($M$1:$S$1, MATCH(MIN(M850:S850), M850:S850, 0))&amp;CHAR(10)&amp;"📉 考察能力: "&amp;IFERROR(VLOOKUP(TRIM(D850)&amp;"_"&amp;TRIM(INDEX($M$1:$S$1, MATCH(MIN(M850:S850), M850:S850, 0))), 技能库!$A:$F, 5, 0),"建议查阅考纲")&amp;CHAR(10)&amp;"💡 提升建议: "&amp;IFERROR(VLOOKUP(TRIM(D850)&amp;"_"&amp;TRIM(INDEX($M$1:$S$1, MATCH(MIN(M850:S850), M850:S850, 0))), 技能库!$A:$F, 6, 0),"请针对该题型加强练习"), "🎉 表现优异，无明显弱项！"))</f>
        <v/>
      </c>
    </row>
    <row r="851" spans="10:27" ht="18" hidden="1" customHeight="1" x14ac:dyDescent="0.2">
      <c r="J851" t="str">
        <f t="shared" si="39"/>
        <v/>
      </c>
      <c r="K851" t="str">
        <f>IF(J851="","", IFERROR(VLOOKUP(J851, IF(D851="Movers", 换算标准!$C:$D, 换算标准!$I:$J), 2, TRUE), 0))</f>
        <v/>
      </c>
      <c r="T851" t="str">
        <f t="shared" si="40"/>
        <v/>
      </c>
      <c r="U851" t="str">
        <f>IF(T851="","", IFERROR(VLOOKUP(T851, IF(D851="Movers", 换算标准!$A:$B, 换算标准!$G:$H), 2, TRUE), 0))</f>
        <v/>
      </c>
      <c r="W851" t="str">
        <f t="shared" si="41"/>
        <v/>
      </c>
      <c r="Z851" s="5" t="str">
        <f>IF(J851="","", IF(K851&lt;=3, "⚠️ 薄弱环节: "&amp;INDEX($E$1:$I$1, MATCH(MIN(E851:I851), E851:I851, 0))&amp;CHAR(10)&amp;"📉 考察能力: "&amp;IFERROR(VLOOKUP(TRIM(D851)&amp;"_"&amp;TRIM(INDEX($E$1:$I$1, MATCH(MIN(E851:I851), E851:I851, 0))), 技能库!$A:$F, 5, 0),"建议查阅考纲")&amp;CHAR(10)&amp;"💡 提升建议: "&amp;IFERROR(VLOOKUP(TRIM(D851)&amp;"_"&amp;TRIM(INDEX($E$1:$I$1, MATCH(MIN(E851:I851), E851:I851, 0))), 技能库!$A:$F, 6, 0),"请针对该题型加强练习"), "🎉 表现优异，无明显弱项！"))</f>
        <v/>
      </c>
      <c r="AA851" s="5" t="str">
        <f>IF(T851="","", IF(U851&lt;=3, "⚠️ 薄弱环节: "&amp;INDEX($M$1:$S$1, MATCH(MIN(M851:S851), M851:S851, 0))&amp;CHAR(10)&amp;"📉 考察能力: "&amp;IFERROR(VLOOKUP(TRIM(D851)&amp;"_"&amp;TRIM(INDEX($M$1:$S$1, MATCH(MIN(M851:S851), M851:S851, 0))), 技能库!$A:$F, 5, 0),"建议查阅考纲")&amp;CHAR(10)&amp;"💡 提升建议: "&amp;IFERROR(VLOOKUP(TRIM(D851)&amp;"_"&amp;TRIM(INDEX($M$1:$S$1, MATCH(MIN(M851:S851), M851:S851, 0))), 技能库!$A:$F, 6, 0),"请针对该题型加强练习"), "🎉 表现优异，无明显弱项！"))</f>
        <v/>
      </c>
    </row>
    <row r="852" spans="10:27" ht="18" hidden="1" customHeight="1" x14ac:dyDescent="0.2">
      <c r="J852" t="str">
        <f t="shared" si="39"/>
        <v/>
      </c>
      <c r="K852" t="str">
        <f>IF(J852="","", IFERROR(VLOOKUP(J852, IF(D852="Movers", 换算标准!$C:$D, 换算标准!$I:$J), 2, TRUE), 0))</f>
        <v/>
      </c>
      <c r="T852" t="str">
        <f t="shared" si="40"/>
        <v/>
      </c>
      <c r="U852" t="str">
        <f>IF(T852="","", IFERROR(VLOOKUP(T852, IF(D852="Movers", 换算标准!$A:$B, 换算标准!$G:$H), 2, TRUE), 0))</f>
        <v/>
      </c>
      <c r="W852" t="str">
        <f t="shared" si="41"/>
        <v/>
      </c>
      <c r="Z852" s="5" t="str">
        <f>IF(J852="","", IF(K852&lt;=3, "⚠️ 薄弱环节: "&amp;INDEX($E$1:$I$1, MATCH(MIN(E852:I852), E852:I852, 0))&amp;CHAR(10)&amp;"📉 考察能力: "&amp;IFERROR(VLOOKUP(TRIM(D852)&amp;"_"&amp;TRIM(INDEX($E$1:$I$1, MATCH(MIN(E852:I852), E852:I852, 0))), 技能库!$A:$F, 5, 0),"建议查阅考纲")&amp;CHAR(10)&amp;"💡 提升建议: "&amp;IFERROR(VLOOKUP(TRIM(D852)&amp;"_"&amp;TRIM(INDEX($E$1:$I$1, MATCH(MIN(E852:I852), E852:I852, 0))), 技能库!$A:$F, 6, 0),"请针对该题型加强练习"), "🎉 表现优异，无明显弱项！"))</f>
        <v/>
      </c>
      <c r="AA852" s="5" t="str">
        <f>IF(T852="","", IF(U852&lt;=3, "⚠️ 薄弱环节: "&amp;INDEX($M$1:$S$1, MATCH(MIN(M852:S852), M852:S852, 0))&amp;CHAR(10)&amp;"📉 考察能力: "&amp;IFERROR(VLOOKUP(TRIM(D852)&amp;"_"&amp;TRIM(INDEX($M$1:$S$1, MATCH(MIN(M852:S852), M852:S852, 0))), 技能库!$A:$F, 5, 0),"建议查阅考纲")&amp;CHAR(10)&amp;"💡 提升建议: "&amp;IFERROR(VLOOKUP(TRIM(D852)&amp;"_"&amp;TRIM(INDEX($M$1:$S$1, MATCH(MIN(M852:S852), M852:S852, 0))), 技能库!$A:$F, 6, 0),"请针对该题型加强练习"), "🎉 表现优异，无明显弱项！"))</f>
        <v/>
      </c>
    </row>
    <row r="853" spans="10:27" ht="18" hidden="1" customHeight="1" x14ac:dyDescent="0.2">
      <c r="J853" t="str">
        <f t="shared" si="39"/>
        <v/>
      </c>
      <c r="K853" t="str">
        <f>IF(J853="","", IFERROR(VLOOKUP(J853, IF(D853="Movers", 换算标准!$C:$D, 换算标准!$I:$J), 2, TRUE), 0))</f>
        <v/>
      </c>
      <c r="T853" t="str">
        <f t="shared" si="40"/>
        <v/>
      </c>
      <c r="U853" t="str">
        <f>IF(T853="","", IFERROR(VLOOKUP(T853, IF(D853="Movers", 换算标准!$A:$B, 换算标准!$G:$H), 2, TRUE), 0))</f>
        <v/>
      </c>
      <c r="W853" t="str">
        <f t="shared" si="41"/>
        <v/>
      </c>
      <c r="Z853" s="5" t="str">
        <f>IF(J853="","", IF(K853&lt;=3, "⚠️ 薄弱环节: "&amp;INDEX($E$1:$I$1, MATCH(MIN(E853:I853), E853:I853, 0))&amp;CHAR(10)&amp;"📉 考察能力: "&amp;IFERROR(VLOOKUP(TRIM(D853)&amp;"_"&amp;TRIM(INDEX($E$1:$I$1, MATCH(MIN(E853:I853), E853:I853, 0))), 技能库!$A:$F, 5, 0),"建议查阅考纲")&amp;CHAR(10)&amp;"💡 提升建议: "&amp;IFERROR(VLOOKUP(TRIM(D853)&amp;"_"&amp;TRIM(INDEX($E$1:$I$1, MATCH(MIN(E853:I853), E853:I853, 0))), 技能库!$A:$F, 6, 0),"请针对该题型加强练习"), "🎉 表现优异，无明显弱项！"))</f>
        <v/>
      </c>
      <c r="AA853" s="5" t="str">
        <f>IF(T853="","", IF(U853&lt;=3, "⚠️ 薄弱环节: "&amp;INDEX($M$1:$S$1, MATCH(MIN(M853:S853), M853:S853, 0))&amp;CHAR(10)&amp;"📉 考察能力: "&amp;IFERROR(VLOOKUP(TRIM(D853)&amp;"_"&amp;TRIM(INDEX($M$1:$S$1, MATCH(MIN(M853:S853), M853:S853, 0))), 技能库!$A:$F, 5, 0),"建议查阅考纲")&amp;CHAR(10)&amp;"💡 提升建议: "&amp;IFERROR(VLOOKUP(TRIM(D853)&amp;"_"&amp;TRIM(INDEX($M$1:$S$1, MATCH(MIN(M853:S853), M853:S853, 0))), 技能库!$A:$F, 6, 0),"请针对该题型加强练习"), "🎉 表现优异，无明显弱项！"))</f>
        <v/>
      </c>
    </row>
    <row r="854" spans="10:27" ht="18" hidden="1" customHeight="1" x14ac:dyDescent="0.2">
      <c r="J854" t="str">
        <f t="shared" si="39"/>
        <v/>
      </c>
      <c r="K854" t="str">
        <f>IF(J854="","", IFERROR(VLOOKUP(J854, IF(D854="Movers", 换算标准!$C:$D, 换算标准!$I:$J), 2, TRUE), 0))</f>
        <v/>
      </c>
      <c r="T854" t="str">
        <f t="shared" si="40"/>
        <v/>
      </c>
      <c r="U854" t="str">
        <f>IF(T854="","", IFERROR(VLOOKUP(T854, IF(D854="Movers", 换算标准!$A:$B, 换算标准!$G:$H), 2, TRUE), 0))</f>
        <v/>
      </c>
      <c r="W854" t="str">
        <f t="shared" si="41"/>
        <v/>
      </c>
      <c r="Z854" s="5" t="str">
        <f>IF(J854="","", IF(K854&lt;=3, "⚠️ 薄弱环节: "&amp;INDEX($E$1:$I$1, MATCH(MIN(E854:I854), E854:I854, 0))&amp;CHAR(10)&amp;"📉 考察能力: "&amp;IFERROR(VLOOKUP(TRIM(D854)&amp;"_"&amp;TRIM(INDEX($E$1:$I$1, MATCH(MIN(E854:I854), E854:I854, 0))), 技能库!$A:$F, 5, 0),"建议查阅考纲")&amp;CHAR(10)&amp;"💡 提升建议: "&amp;IFERROR(VLOOKUP(TRIM(D854)&amp;"_"&amp;TRIM(INDEX($E$1:$I$1, MATCH(MIN(E854:I854), E854:I854, 0))), 技能库!$A:$F, 6, 0),"请针对该题型加强练习"), "🎉 表现优异，无明显弱项！"))</f>
        <v/>
      </c>
      <c r="AA854" s="5" t="str">
        <f>IF(T854="","", IF(U854&lt;=3, "⚠️ 薄弱环节: "&amp;INDEX($M$1:$S$1, MATCH(MIN(M854:S854), M854:S854, 0))&amp;CHAR(10)&amp;"📉 考察能力: "&amp;IFERROR(VLOOKUP(TRIM(D854)&amp;"_"&amp;TRIM(INDEX($M$1:$S$1, MATCH(MIN(M854:S854), M854:S854, 0))), 技能库!$A:$F, 5, 0),"建议查阅考纲")&amp;CHAR(10)&amp;"💡 提升建议: "&amp;IFERROR(VLOOKUP(TRIM(D854)&amp;"_"&amp;TRIM(INDEX($M$1:$S$1, MATCH(MIN(M854:S854), M854:S854, 0))), 技能库!$A:$F, 6, 0),"请针对该题型加强练习"), "🎉 表现优异，无明显弱项！"))</f>
        <v/>
      </c>
    </row>
    <row r="855" spans="10:27" ht="18" hidden="1" customHeight="1" x14ac:dyDescent="0.2">
      <c r="J855" t="str">
        <f t="shared" si="39"/>
        <v/>
      </c>
      <c r="K855" t="str">
        <f>IF(J855="","", IFERROR(VLOOKUP(J855, IF(D855="Movers", 换算标准!$C:$D, 换算标准!$I:$J), 2, TRUE), 0))</f>
        <v/>
      </c>
      <c r="T855" t="str">
        <f t="shared" si="40"/>
        <v/>
      </c>
      <c r="U855" t="str">
        <f>IF(T855="","", IFERROR(VLOOKUP(T855, IF(D855="Movers", 换算标准!$A:$B, 换算标准!$G:$H), 2, TRUE), 0))</f>
        <v/>
      </c>
      <c r="W855" t="str">
        <f t="shared" si="41"/>
        <v/>
      </c>
      <c r="Z855" s="5" t="str">
        <f>IF(J855="","", IF(K855&lt;=3, "⚠️ 薄弱环节: "&amp;INDEX($E$1:$I$1, MATCH(MIN(E855:I855), E855:I855, 0))&amp;CHAR(10)&amp;"📉 考察能力: "&amp;IFERROR(VLOOKUP(TRIM(D855)&amp;"_"&amp;TRIM(INDEX($E$1:$I$1, MATCH(MIN(E855:I855), E855:I855, 0))), 技能库!$A:$F, 5, 0),"建议查阅考纲")&amp;CHAR(10)&amp;"💡 提升建议: "&amp;IFERROR(VLOOKUP(TRIM(D855)&amp;"_"&amp;TRIM(INDEX($E$1:$I$1, MATCH(MIN(E855:I855), E855:I855, 0))), 技能库!$A:$F, 6, 0),"请针对该题型加强练习"), "🎉 表现优异，无明显弱项！"))</f>
        <v/>
      </c>
      <c r="AA855" s="5" t="str">
        <f>IF(T855="","", IF(U855&lt;=3, "⚠️ 薄弱环节: "&amp;INDEX($M$1:$S$1, MATCH(MIN(M855:S855), M855:S855, 0))&amp;CHAR(10)&amp;"📉 考察能力: "&amp;IFERROR(VLOOKUP(TRIM(D855)&amp;"_"&amp;TRIM(INDEX($M$1:$S$1, MATCH(MIN(M855:S855), M855:S855, 0))), 技能库!$A:$F, 5, 0),"建议查阅考纲")&amp;CHAR(10)&amp;"💡 提升建议: "&amp;IFERROR(VLOOKUP(TRIM(D855)&amp;"_"&amp;TRIM(INDEX($M$1:$S$1, MATCH(MIN(M855:S855), M855:S855, 0))), 技能库!$A:$F, 6, 0),"请针对该题型加强练习"), "🎉 表现优异，无明显弱项！"))</f>
        <v/>
      </c>
    </row>
    <row r="856" spans="10:27" ht="18" hidden="1" customHeight="1" x14ac:dyDescent="0.2">
      <c r="J856" t="str">
        <f t="shared" si="39"/>
        <v/>
      </c>
      <c r="K856" t="str">
        <f>IF(J856="","", IFERROR(VLOOKUP(J856, IF(D856="Movers", 换算标准!$C:$D, 换算标准!$I:$J), 2, TRUE), 0))</f>
        <v/>
      </c>
      <c r="T856" t="str">
        <f t="shared" si="40"/>
        <v/>
      </c>
      <c r="U856" t="str">
        <f>IF(T856="","", IFERROR(VLOOKUP(T856, IF(D856="Movers", 换算标准!$A:$B, 换算标准!$G:$H), 2, TRUE), 0))</f>
        <v/>
      </c>
      <c r="W856" t="str">
        <f t="shared" si="41"/>
        <v/>
      </c>
      <c r="Z856" s="5" t="str">
        <f>IF(J856="","", IF(K856&lt;=3, "⚠️ 薄弱环节: "&amp;INDEX($E$1:$I$1, MATCH(MIN(E856:I856), E856:I856, 0))&amp;CHAR(10)&amp;"📉 考察能力: "&amp;IFERROR(VLOOKUP(TRIM(D856)&amp;"_"&amp;TRIM(INDEX($E$1:$I$1, MATCH(MIN(E856:I856), E856:I856, 0))), 技能库!$A:$F, 5, 0),"建议查阅考纲")&amp;CHAR(10)&amp;"💡 提升建议: "&amp;IFERROR(VLOOKUP(TRIM(D856)&amp;"_"&amp;TRIM(INDEX($E$1:$I$1, MATCH(MIN(E856:I856), E856:I856, 0))), 技能库!$A:$F, 6, 0),"请针对该题型加强练习"), "🎉 表现优异，无明显弱项！"))</f>
        <v/>
      </c>
      <c r="AA856" s="5" t="str">
        <f>IF(T856="","", IF(U856&lt;=3, "⚠️ 薄弱环节: "&amp;INDEX($M$1:$S$1, MATCH(MIN(M856:S856), M856:S856, 0))&amp;CHAR(10)&amp;"📉 考察能力: "&amp;IFERROR(VLOOKUP(TRIM(D856)&amp;"_"&amp;TRIM(INDEX($M$1:$S$1, MATCH(MIN(M856:S856), M856:S856, 0))), 技能库!$A:$F, 5, 0),"建议查阅考纲")&amp;CHAR(10)&amp;"💡 提升建议: "&amp;IFERROR(VLOOKUP(TRIM(D856)&amp;"_"&amp;TRIM(INDEX($M$1:$S$1, MATCH(MIN(M856:S856), M856:S856, 0))), 技能库!$A:$F, 6, 0),"请针对该题型加强练习"), "🎉 表现优异，无明显弱项！"))</f>
        <v/>
      </c>
    </row>
    <row r="857" spans="10:27" ht="18" hidden="1" customHeight="1" x14ac:dyDescent="0.2">
      <c r="J857" t="str">
        <f t="shared" si="39"/>
        <v/>
      </c>
      <c r="K857" t="str">
        <f>IF(J857="","", IFERROR(VLOOKUP(J857, IF(D857="Movers", 换算标准!$C:$D, 换算标准!$I:$J), 2, TRUE), 0))</f>
        <v/>
      </c>
      <c r="T857" t="str">
        <f t="shared" si="40"/>
        <v/>
      </c>
      <c r="U857" t="str">
        <f>IF(T857="","", IFERROR(VLOOKUP(T857, IF(D857="Movers", 换算标准!$A:$B, 换算标准!$G:$H), 2, TRUE), 0))</f>
        <v/>
      </c>
      <c r="W857" t="str">
        <f t="shared" si="41"/>
        <v/>
      </c>
      <c r="Z857" s="5" t="str">
        <f>IF(J857="","", IF(K857&lt;=3, "⚠️ 薄弱环节: "&amp;INDEX($E$1:$I$1, MATCH(MIN(E857:I857), E857:I857, 0))&amp;CHAR(10)&amp;"📉 考察能力: "&amp;IFERROR(VLOOKUP(TRIM(D857)&amp;"_"&amp;TRIM(INDEX($E$1:$I$1, MATCH(MIN(E857:I857), E857:I857, 0))), 技能库!$A:$F, 5, 0),"建议查阅考纲")&amp;CHAR(10)&amp;"💡 提升建议: "&amp;IFERROR(VLOOKUP(TRIM(D857)&amp;"_"&amp;TRIM(INDEX($E$1:$I$1, MATCH(MIN(E857:I857), E857:I857, 0))), 技能库!$A:$F, 6, 0),"请针对该题型加强练习"), "🎉 表现优异，无明显弱项！"))</f>
        <v/>
      </c>
      <c r="AA857" s="5" t="str">
        <f>IF(T857="","", IF(U857&lt;=3, "⚠️ 薄弱环节: "&amp;INDEX($M$1:$S$1, MATCH(MIN(M857:S857), M857:S857, 0))&amp;CHAR(10)&amp;"📉 考察能力: "&amp;IFERROR(VLOOKUP(TRIM(D857)&amp;"_"&amp;TRIM(INDEX($M$1:$S$1, MATCH(MIN(M857:S857), M857:S857, 0))), 技能库!$A:$F, 5, 0),"建议查阅考纲")&amp;CHAR(10)&amp;"💡 提升建议: "&amp;IFERROR(VLOOKUP(TRIM(D857)&amp;"_"&amp;TRIM(INDEX($M$1:$S$1, MATCH(MIN(M857:S857), M857:S857, 0))), 技能库!$A:$F, 6, 0),"请针对该题型加强练习"), "🎉 表现优异，无明显弱项！"))</f>
        <v/>
      </c>
    </row>
    <row r="858" spans="10:27" ht="18" hidden="1" customHeight="1" x14ac:dyDescent="0.2">
      <c r="J858" t="str">
        <f t="shared" si="39"/>
        <v/>
      </c>
      <c r="K858" t="str">
        <f>IF(J858="","", IFERROR(VLOOKUP(J858, IF(D858="Movers", 换算标准!$C:$D, 换算标准!$I:$J), 2, TRUE), 0))</f>
        <v/>
      </c>
      <c r="T858" t="str">
        <f t="shared" si="40"/>
        <v/>
      </c>
      <c r="U858" t="str">
        <f>IF(T858="","", IFERROR(VLOOKUP(T858, IF(D858="Movers", 换算标准!$A:$B, 换算标准!$G:$H), 2, TRUE), 0))</f>
        <v/>
      </c>
      <c r="W858" t="str">
        <f t="shared" si="41"/>
        <v/>
      </c>
      <c r="Z858" s="5" t="str">
        <f>IF(J858="","", IF(K858&lt;=3, "⚠️ 薄弱环节: "&amp;INDEX($E$1:$I$1, MATCH(MIN(E858:I858), E858:I858, 0))&amp;CHAR(10)&amp;"📉 考察能力: "&amp;IFERROR(VLOOKUP(TRIM(D858)&amp;"_"&amp;TRIM(INDEX($E$1:$I$1, MATCH(MIN(E858:I858), E858:I858, 0))), 技能库!$A:$F, 5, 0),"建议查阅考纲")&amp;CHAR(10)&amp;"💡 提升建议: "&amp;IFERROR(VLOOKUP(TRIM(D858)&amp;"_"&amp;TRIM(INDEX($E$1:$I$1, MATCH(MIN(E858:I858), E858:I858, 0))), 技能库!$A:$F, 6, 0),"请针对该题型加强练习"), "🎉 表现优异，无明显弱项！"))</f>
        <v/>
      </c>
      <c r="AA858" s="5" t="str">
        <f>IF(T858="","", IF(U858&lt;=3, "⚠️ 薄弱环节: "&amp;INDEX($M$1:$S$1, MATCH(MIN(M858:S858), M858:S858, 0))&amp;CHAR(10)&amp;"📉 考察能力: "&amp;IFERROR(VLOOKUP(TRIM(D858)&amp;"_"&amp;TRIM(INDEX($M$1:$S$1, MATCH(MIN(M858:S858), M858:S858, 0))), 技能库!$A:$F, 5, 0),"建议查阅考纲")&amp;CHAR(10)&amp;"💡 提升建议: "&amp;IFERROR(VLOOKUP(TRIM(D858)&amp;"_"&amp;TRIM(INDEX($M$1:$S$1, MATCH(MIN(M858:S858), M858:S858, 0))), 技能库!$A:$F, 6, 0),"请针对该题型加强练习"), "🎉 表现优异，无明显弱项！"))</f>
        <v/>
      </c>
    </row>
    <row r="859" spans="10:27" ht="18" hidden="1" customHeight="1" x14ac:dyDescent="0.2">
      <c r="J859" t="str">
        <f t="shared" si="39"/>
        <v/>
      </c>
      <c r="K859" t="str">
        <f>IF(J859="","", IFERROR(VLOOKUP(J859, IF(D859="Movers", 换算标准!$C:$D, 换算标准!$I:$J), 2, TRUE), 0))</f>
        <v/>
      </c>
      <c r="T859" t="str">
        <f t="shared" si="40"/>
        <v/>
      </c>
      <c r="U859" t="str">
        <f>IF(T859="","", IFERROR(VLOOKUP(T859, IF(D859="Movers", 换算标准!$A:$B, 换算标准!$G:$H), 2, TRUE), 0))</f>
        <v/>
      </c>
      <c r="W859" t="str">
        <f t="shared" si="41"/>
        <v/>
      </c>
      <c r="Z859" s="5" t="str">
        <f>IF(J859="","", IF(K859&lt;=3, "⚠️ 薄弱环节: "&amp;INDEX($E$1:$I$1, MATCH(MIN(E859:I859), E859:I859, 0))&amp;CHAR(10)&amp;"📉 考察能力: "&amp;IFERROR(VLOOKUP(TRIM(D859)&amp;"_"&amp;TRIM(INDEX($E$1:$I$1, MATCH(MIN(E859:I859), E859:I859, 0))), 技能库!$A:$F, 5, 0),"建议查阅考纲")&amp;CHAR(10)&amp;"💡 提升建议: "&amp;IFERROR(VLOOKUP(TRIM(D859)&amp;"_"&amp;TRIM(INDEX($E$1:$I$1, MATCH(MIN(E859:I859), E859:I859, 0))), 技能库!$A:$F, 6, 0),"请针对该题型加强练习"), "🎉 表现优异，无明显弱项！"))</f>
        <v/>
      </c>
      <c r="AA859" s="5" t="str">
        <f>IF(T859="","", IF(U859&lt;=3, "⚠️ 薄弱环节: "&amp;INDEX($M$1:$S$1, MATCH(MIN(M859:S859), M859:S859, 0))&amp;CHAR(10)&amp;"📉 考察能力: "&amp;IFERROR(VLOOKUP(TRIM(D859)&amp;"_"&amp;TRIM(INDEX($M$1:$S$1, MATCH(MIN(M859:S859), M859:S859, 0))), 技能库!$A:$F, 5, 0),"建议查阅考纲")&amp;CHAR(10)&amp;"💡 提升建议: "&amp;IFERROR(VLOOKUP(TRIM(D859)&amp;"_"&amp;TRIM(INDEX($M$1:$S$1, MATCH(MIN(M859:S859), M859:S859, 0))), 技能库!$A:$F, 6, 0),"请针对该题型加强练习"), "🎉 表现优异，无明显弱项！"))</f>
        <v/>
      </c>
    </row>
    <row r="860" spans="10:27" ht="18" hidden="1" customHeight="1" x14ac:dyDescent="0.2">
      <c r="J860" t="str">
        <f t="shared" si="39"/>
        <v/>
      </c>
      <c r="K860" t="str">
        <f>IF(J860="","", IFERROR(VLOOKUP(J860, IF(D860="Movers", 换算标准!$C:$D, 换算标准!$I:$J), 2, TRUE), 0))</f>
        <v/>
      </c>
      <c r="T860" t="str">
        <f t="shared" si="40"/>
        <v/>
      </c>
      <c r="U860" t="str">
        <f>IF(T860="","", IFERROR(VLOOKUP(T860, IF(D860="Movers", 换算标准!$A:$B, 换算标准!$G:$H), 2, TRUE), 0))</f>
        <v/>
      </c>
      <c r="W860" t="str">
        <f t="shared" si="41"/>
        <v/>
      </c>
      <c r="Z860" s="5" t="str">
        <f>IF(J860="","", IF(K860&lt;=3, "⚠️ 薄弱环节: "&amp;INDEX($E$1:$I$1, MATCH(MIN(E860:I860), E860:I860, 0))&amp;CHAR(10)&amp;"📉 考察能力: "&amp;IFERROR(VLOOKUP(TRIM(D860)&amp;"_"&amp;TRIM(INDEX($E$1:$I$1, MATCH(MIN(E860:I860), E860:I860, 0))), 技能库!$A:$F, 5, 0),"建议查阅考纲")&amp;CHAR(10)&amp;"💡 提升建议: "&amp;IFERROR(VLOOKUP(TRIM(D860)&amp;"_"&amp;TRIM(INDEX($E$1:$I$1, MATCH(MIN(E860:I860), E860:I860, 0))), 技能库!$A:$F, 6, 0),"请针对该题型加强练习"), "🎉 表现优异，无明显弱项！"))</f>
        <v/>
      </c>
      <c r="AA860" s="5" t="str">
        <f>IF(T860="","", IF(U860&lt;=3, "⚠️ 薄弱环节: "&amp;INDEX($M$1:$S$1, MATCH(MIN(M860:S860), M860:S860, 0))&amp;CHAR(10)&amp;"📉 考察能力: "&amp;IFERROR(VLOOKUP(TRIM(D860)&amp;"_"&amp;TRIM(INDEX($M$1:$S$1, MATCH(MIN(M860:S860), M860:S860, 0))), 技能库!$A:$F, 5, 0),"建议查阅考纲")&amp;CHAR(10)&amp;"💡 提升建议: "&amp;IFERROR(VLOOKUP(TRIM(D860)&amp;"_"&amp;TRIM(INDEX($M$1:$S$1, MATCH(MIN(M860:S860), M860:S860, 0))), 技能库!$A:$F, 6, 0),"请针对该题型加强练习"), "🎉 表现优异，无明显弱项！"))</f>
        <v/>
      </c>
    </row>
    <row r="861" spans="10:27" ht="18" hidden="1" customHeight="1" x14ac:dyDescent="0.2">
      <c r="J861" t="str">
        <f t="shared" si="39"/>
        <v/>
      </c>
      <c r="K861" t="str">
        <f>IF(J861="","", IFERROR(VLOOKUP(J861, IF(D861="Movers", 换算标准!$C:$D, 换算标准!$I:$J), 2, TRUE), 0))</f>
        <v/>
      </c>
      <c r="T861" t="str">
        <f t="shared" si="40"/>
        <v/>
      </c>
      <c r="U861" t="str">
        <f>IF(T861="","", IFERROR(VLOOKUP(T861, IF(D861="Movers", 换算标准!$A:$B, 换算标准!$G:$H), 2, TRUE), 0))</f>
        <v/>
      </c>
      <c r="W861" t="str">
        <f t="shared" si="41"/>
        <v/>
      </c>
      <c r="Z861" s="5" t="str">
        <f>IF(J861="","", IF(K861&lt;=3, "⚠️ 薄弱环节: "&amp;INDEX($E$1:$I$1, MATCH(MIN(E861:I861), E861:I861, 0))&amp;CHAR(10)&amp;"📉 考察能力: "&amp;IFERROR(VLOOKUP(TRIM(D861)&amp;"_"&amp;TRIM(INDEX($E$1:$I$1, MATCH(MIN(E861:I861), E861:I861, 0))), 技能库!$A:$F, 5, 0),"建议查阅考纲")&amp;CHAR(10)&amp;"💡 提升建议: "&amp;IFERROR(VLOOKUP(TRIM(D861)&amp;"_"&amp;TRIM(INDEX($E$1:$I$1, MATCH(MIN(E861:I861), E861:I861, 0))), 技能库!$A:$F, 6, 0),"请针对该题型加强练习"), "🎉 表现优异，无明显弱项！"))</f>
        <v/>
      </c>
      <c r="AA861" s="5" t="str">
        <f>IF(T861="","", IF(U861&lt;=3, "⚠️ 薄弱环节: "&amp;INDEX($M$1:$S$1, MATCH(MIN(M861:S861), M861:S861, 0))&amp;CHAR(10)&amp;"📉 考察能力: "&amp;IFERROR(VLOOKUP(TRIM(D861)&amp;"_"&amp;TRIM(INDEX($M$1:$S$1, MATCH(MIN(M861:S861), M861:S861, 0))), 技能库!$A:$F, 5, 0),"建议查阅考纲")&amp;CHAR(10)&amp;"💡 提升建议: "&amp;IFERROR(VLOOKUP(TRIM(D861)&amp;"_"&amp;TRIM(INDEX($M$1:$S$1, MATCH(MIN(M861:S861), M861:S861, 0))), 技能库!$A:$F, 6, 0),"请针对该题型加强练习"), "🎉 表现优异，无明显弱项！"))</f>
        <v/>
      </c>
    </row>
    <row r="862" spans="10:27" ht="18" hidden="1" customHeight="1" x14ac:dyDescent="0.2">
      <c r="J862" t="str">
        <f t="shared" si="39"/>
        <v/>
      </c>
      <c r="K862" t="str">
        <f>IF(J862="","", IFERROR(VLOOKUP(J862, IF(D862="Movers", 换算标准!$C:$D, 换算标准!$I:$J), 2, TRUE), 0))</f>
        <v/>
      </c>
      <c r="T862" t="str">
        <f t="shared" si="40"/>
        <v/>
      </c>
      <c r="U862" t="str">
        <f>IF(T862="","", IFERROR(VLOOKUP(T862, IF(D862="Movers", 换算标准!$A:$B, 换算标准!$G:$H), 2, TRUE), 0))</f>
        <v/>
      </c>
      <c r="W862" t="str">
        <f t="shared" si="41"/>
        <v/>
      </c>
      <c r="Z862" s="5" t="str">
        <f>IF(J862="","", IF(K862&lt;=3, "⚠️ 薄弱环节: "&amp;INDEX($E$1:$I$1, MATCH(MIN(E862:I862), E862:I862, 0))&amp;CHAR(10)&amp;"📉 考察能力: "&amp;IFERROR(VLOOKUP(TRIM(D862)&amp;"_"&amp;TRIM(INDEX($E$1:$I$1, MATCH(MIN(E862:I862), E862:I862, 0))), 技能库!$A:$F, 5, 0),"建议查阅考纲")&amp;CHAR(10)&amp;"💡 提升建议: "&amp;IFERROR(VLOOKUP(TRIM(D862)&amp;"_"&amp;TRIM(INDEX($E$1:$I$1, MATCH(MIN(E862:I862), E862:I862, 0))), 技能库!$A:$F, 6, 0),"请针对该题型加强练习"), "🎉 表现优异，无明显弱项！"))</f>
        <v/>
      </c>
      <c r="AA862" s="5" t="str">
        <f>IF(T862="","", IF(U862&lt;=3, "⚠️ 薄弱环节: "&amp;INDEX($M$1:$S$1, MATCH(MIN(M862:S862), M862:S862, 0))&amp;CHAR(10)&amp;"📉 考察能力: "&amp;IFERROR(VLOOKUP(TRIM(D862)&amp;"_"&amp;TRIM(INDEX($M$1:$S$1, MATCH(MIN(M862:S862), M862:S862, 0))), 技能库!$A:$F, 5, 0),"建议查阅考纲")&amp;CHAR(10)&amp;"💡 提升建议: "&amp;IFERROR(VLOOKUP(TRIM(D862)&amp;"_"&amp;TRIM(INDEX($M$1:$S$1, MATCH(MIN(M862:S862), M862:S862, 0))), 技能库!$A:$F, 6, 0),"请针对该题型加强练习"), "🎉 表现优异，无明显弱项！"))</f>
        <v/>
      </c>
    </row>
    <row r="863" spans="10:27" ht="18" hidden="1" customHeight="1" x14ac:dyDescent="0.2">
      <c r="J863" t="str">
        <f t="shared" si="39"/>
        <v/>
      </c>
      <c r="K863" t="str">
        <f>IF(J863="","", IFERROR(VLOOKUP(J863, IF(D863="Movers", 换算标准!$C:$D, 换算标准!$I:$J), 2, TRUE), 0))</f>
        <v/>
      </c>
      <c r="T863" t="str">
        <f t="shared" si="40"/>
        <v/>
      </c>
      <c r="U863" t="str">
        <f>IF(T863="","", IFERROR(VLOOKUP(T863, IF(D863="Movers", 换算标准!$A:$B, 换算标准!$G:$H), 2, TRUE), 0))</f>
        <v/>
      </c>
      <c r="W863" t="str">
        <f t="shared" si="41"/>
        <v/>
      </c>
      <c r="Z863" s="5" t="str">
        <f>IF(J863="","", IF(K863&lt;=3, "⚠️ 薄弱环节: "&amp;INDEX($E$1:$I$1, MATCH(MIN(E863:I863), E863:I863, 0))&amp;CHAR(10)&amp;"📉 考察能力: "&amp;IFERROR(VLOOKUP(TRIM(D863)&amp;"_"&amp;TRIM(INDEX($E$1:$I$1, MATCH(MIN(E863:I863), E863:I863, 0))), 技能库!$A:$F, 5, 0),"建议查阅考纲")&amp;CHAR(10)&amp;"💡 提升建议: "&amp;IFERROR(VLOOKUP(TRIM(D863)&amp;"_"&amp;TRIM(INDEX($E$1:$I$1, MATCH(MIN(E863:I863), E863:I863, 0))), 技能库!$A:$F, 6, 0),"请针对该题型加强练习"), "🎉 表现优异，无明显弱项！"))</f>
        <v/>
      </c>
      <c r="AA863" s="5" t="str">
        <f>IF(T863="","", IF(U863&lt;=3, "⚠️ 薄弱环节: "&amp;INDEX($M$1:$S$1, MATCH(MIN(M863:S863), M863:S863, 0))&amp;CHAR(10)&amp;"📉 考察能力: "&amp;IFERROR(VLOOKUP(TRIM(D863)&amp;"_"&amp;TRIM(INDEX($M$1:$S$1, MATCH(MIN(M863:S863), M863:S863, 0))), 技能库!$A:$F, 5, 0),"建议查阅考纲")&amp;CHAR(10)&amp;"💡 提升建议: "&amp;IFERROR(VLOOKUP(TRIM(D863)&amp;"_"&amp;TRIM(INDEX($M$1:$S$1, MATCH(MIN(M863:S863), M863:S863, 0))), 技能库!$A:$F, 6, 0),"请针对该题型加强练习"), "🎉 表现优异，无明显弱项！"))</f>
        <v/>
      </c>
    </row>
    <row r="864" spans="10:27" ht="18" hidden="1" customHeight="1" x14ac:dyDescent="0.2">
      <c r="J864" t="str">
        <f t="shared" si="39"/>
        <v/>
      </c>
      <c r="K864" t="str">
        <f>IF(J864="","", IFERROR(VLOOKUP(J864, IF(D864="Movers", 换算标准!$C:$D, 换算标准!$I:$J), 2, TRUE), 0))</f>
        <v/>
      </c>
      <c r="T864" t="str">
        <f t="shared" si="40"/>
        <v/>
      </c>
      <c r="U864" t="str">
        <f>IF(T864="","", IFERROR(VLOOKUP(T864, IF(D864="Movers", 换算标准!$A:$B, 换算标准!$G:$H), 2, TRUE), 0))</f>
        <v/>
      </c>
      <c r="W864" t="str">
        <f t="shared" si="41"/>
        <v/>
      </c>
      <c r="Z864" s="5" t="str">
        <f>IF(J864="","", IF(K864&lt;=3, "⚠️ 薄弱环节: "&amp;INDEX($E$1:$I$1, MATCH(MIN(E864:I864), E864:I864, 0))&amp;CHAR(10)&amp;"📉 考察能力: "&amp;IFERROR(VLOOKUP(TRIM(D864)&amp;"_"&amp;TRIM(INDEX($E$1:$I$1, MATCH(MIN(E864:I864), E864:I864, 0))), 技能库!$A:$F, 5, 0),"建议查阅考纲")&amp;CHAR(10)&amp;"💡 提升建议: "&amp;IFERROR(VLOOKUP(TRIM(D864)&amp;"_"&amp;TRIM(INDEX($E$1:$I$1, MATCH(MIN(E864:I864), E864:I864, 0))), 技能库!$A:$F, 6, 0),"请针对该题型加强练习"), "🎉 表现优异，无明显弱项！"))</f>
        <v/>
      </c>
      <c r="AA864" s="5" t="str">
        <f>IF(T864="","", IF(U864&lt;=3, "⚠️ 薄弱环节: "&amp;INDEX($M$1:$S$1, MATCH(MIN(M864:S864), M864:S864, 0))&amp;CHAR(10)&amp;"📉 考察能力: "&amp;IFERROR(VLOOKUP(TRIM(D864)&amp;"_"&amp;TRIM(INDEX($M$1:$S$1, MATCH(MIN(M864:S864), M864:S864, 0))), 技能库!$A:$F, 5, 0),"建议查阅考纲")&amp;CHAR(10)&amp;"💡 提升建议: "&amp;IFERROR(VLOOKUP(TRIM(D864)&amp;"_"&amp;TRIM(INDEX($M$1:$S$1, MATCH(MIN(M864:S864), M864:S864, 0))), 技能库!$A:$F, 6, 0),"请针对该题型加强练习"), "🎉 表现优异，无明显弱项！"))</f>
        <v/>
      </c>
    </row>
    <row r="865" spans="10:27" ht="18" hidden="1" customHeight="1" x14ac:dyDescent="0.2">
      <c r="J865" t="str">
        <f t="shared" si="39"/>
        <v/>
      </c>
      <c r="K865" t="str">
        <f>IF(J865="","", IFERROR(VLOOKUP(J865, IF(D865="Movers", 换算标准!$C:$D, 换算标准!$I:$J), 2, TRUE), 0))</f>
        <v/>
      </c>
      <c r="T865" t="str">
        <f t="shared" si="40"/>
        <v/>
      </c>
      <c r="U865" t="str">
        <f>IF(T865="","", IFERROR(VLOOKUP(T865, IF(D865="Movers", 换算标准!$A:$B, 换算标准!$G:$H), 2, TRUE), 0))</f>
        <v/>
      </c>
      <c r="W865" t="str">
        <f t="shared" si="41"/>
        <v/>
      </c>
      <c r="Z865" s="5" t="str">
        <f>IF(J865="","", IF(K865&lt;=3, "⚠️ 薄弱环节: "&amp;INDEX($E$1:$I$1, MATCH(MIN(E865:I865), E865:I865, 0))&amp;CHAR(10)&amp;"📉 考察能力: "&amp;IFERROR(VLOOKUP(TRIM(D865)&amp;"_"&amp;TRIM(INDEX($E$1:$I$1, MATCH(MIN(E865:I865), E865:I865, 0))), 技能库!$A:$F, 5, 0),"建议查阅考纲")&amp;CHAR(10)&amp;"💡 提升建议: "&amp;IFERROR(VLOOKUP(TRIM(D865)&amp;"_"&amp;TRIM(INDEX($E$1:$I$1, MATCH(MIN(E865:I865), E865:I865, 0))), 技能库!$A:$F, 6, 0),"请针对该题型加强练习"), "🎉 表现优异，无明显弱项！"))</f>
        <v/>
      </c>
      <c r="AA865" s="5" t="str">
        <f>IF(T865="","", IF(U865&lt;=3, "⚠️ 薄弱环节: "&amp;INDEX($M$1:$S$1, MATCH(MIN(M865:S865), M865:S865, 0))&amp;CHAR(10)&amp;"📉 考察能力: "&amp;IFERROR(VLOOKUP(TRIM(D865)&amp;"_"&amp;TRIM(INDEX($M$1:$S$1, MATCH(MIN(M865:S865), M865:S865, 0))), 技能库!$A:$F, 5, 0),"建议查阅考纲")&amp;CHAR(10)&amp;"💡 提升建议: "&amp;IFERROR(VLOOKUP(TRIM(D865)&amp;"_"&amp;TRIM(INDEX($M$1:$S$1, MATCH(MIN(M865:S865), M865:S865, 0))), 技能库!$A:$F, 6, 0),"请针对该题型加强练习"), "🎉 表现优异，无明显弱项！"))</f>
        <v/>
      </c>
    </row>
    <row r="866" spans="10:27" ht="18" hidden="1" customHeight="1" x14ac:dyDescent="0.2">
      <c r="J866" t="str">
        <f t="shared" si="39"/>
        <v/>
      </c>
      <c r="K866" t="str">
        <f>IF(J866="","", IFERROR(VLOOKUP(J866, IF(D866="Movers", 换算标准!$C:$D, 换算标准!$I:$J), 2, TRUE), 0))</f>
        <v/>
      </c>
      <c r="T866" t="str">
        <f t="shared" si="40"/>
        <v/>
      </c>
      <c r="U866" t="str">
        <f>IF(T866="","", IFERROR(VLOOKUP(T866, IF(D866="Movers", 换算标准!$A:$B, 换算标准!$G:$H), 2, TRUE), 0))</f>
        <v/>
      </c>
      <c r="W866" t="str">
        <f t="shared" si="41"/>
        <v/>
      </c>
      <c r="Z866" s="5" t="str">
        <f>IF(J866="","", IF(K866&lt;=3, "⚠️ 薄弱环节: "&amp;INDEX($E$1:$I$1, MATCH(MIN(E866:I866), E866:I866, 0))&amp;CHAR(10)&amp;"📉 考察能力: "&amp;IFERROR(VLOOKUP(TRIM(D866)&amp;"_"&amp;TRIM(INDEX($E$1:$I$1, MATCH(MIN(E866:I866), E866:I866, 0))), 技能库!$A:$F, 5, 0),"建议查阅考纲")&amp;CHAR(10)&amp;"💡 提升建议: "&amp;IFERROR(VLOOKUP(TRIM(D866)&amp;"_"&amp;TRIM(INDEX($E$1:$I$1, MATCH(MIN(E866:I866), E866:I866, 0))), 技能库!$A:$F, 6, 0),"请针对该题型加强练习"), "🎉 表现优异，无明显弱项！"))</f>
        <v/>
      </c>
      <c r="AA866" s="5" t="str">
        <f>IF(T866="","", IF(U866&lt;=3, "⚠️ 薄弱环节: "&amp;INDEX($M$1:$S$1, MATCH(MIN(M866:S866), M866:S866, 0))&amp;CHAR(10)&amp;"📉 考察能力: "&amp;IFERROR(VLOOKUP(TRIM(D866)&amp;"_"&amp;TRIM(INDEX($M$1:$S$1, MATCH(MIN(M866:S866), M866:S866, 0))), 技能库!$A:$F, 5, 0),"建议查阅考纲")&amp;CHAR(10)&amp;"💡 提升建议: "&amp;IFERROR(VLOOKUP(TRIM(D866)&amp;"_"&amp;TRIM(INDEX($M$1:$S$1, MATCH(MIN(M866:S866), M866:S866, 0))), 技能库!$A:$F, 6, 0),"请针对该题型加强练习"), "🎉 表现优异，无明显弱项！"))</f>
        <v/>
      </c>
    </row>
    <row r="867" spans="10:27" ht="18" hidden="1" customHeight="1" x14ac:dyDescent="0.2">
      <c r="J867" t="str">
        <f t="shared" si="39"/>
        <v/>
      </c>
      <c r="K867" t="str">
        <f>IF(J867="","", IFERROR(VLOOKUP(J867, IF(D867="Movers", 换算标准!$C:$D, 换算标准!$I:$J), 2, TRUE), 0))</f>
        <v/>
      </c>
      <c r="T867" t="str">
        <f t="shared" si="40"/>
        <v/>
      </c>
      <c r="U867" t="str">
        <f>IF(T867="","", IFERROR(VLOOKUP(T867, IF(D867="Movers", 换算标准!$A:$B, 换算标准!$G:$H), 2, TRUE), 0))</f>
        <v/>
      </c>
      <c r="W867" t="str">
        <f t="shared" si="41"/>
        <v/>
      </c>
      <c r="Z867" s="5" t="str">
        <f>IF(J867="","", IF(K867&lt;=3, "⚠️ 薄弱环节: "&amp;INDEX($E$1:$I$1, MATCH(MIN(E867:I867), E867:I867, 0))&amp;CHAR(10)&amp;"📉 考察能力: "&amp;IFERROR(VLOOKUP(TRIM(D867)&amp;"_"&amp;TRIM(INDEX($E$1:$I$1, MATCH(MIN(E867:I867), E867:I867, 0))), 技能库!$A:$F, 5, 0),"建议查阅考纲")&amp;CHAR(10)&amp;"💡 提升建议: "&amp;IFERROR(VLOOKUP(TRIM(D867)&amp;"_"&amp;TRIM(INDEX($E$1:$I$1, MATCH(MIN(E867:I867), E867:I867, 0))), 技能库!$A:$F, 6, 0),"请针对该题型加强练习"), "🎉 表现优异，无明显弱项！"))</f>
        <v/>
      </c>
      <c r="AA867" s="5" t="str">
        <f>IF(T867="","", IF(U867&lt;=3, "⚠️ 薄弱环节: "&amp;INDEX($M$1:$S$1, MATCH(MIN(M867:S867), M867:S867, 0))&amp;CHAR(10)&amp;"📉 考察能力: "&amp;IFERROR(VLOOKUP(TRIM(D867)&amp;"_"&amp;TRIM(INDEX($M$1:$S$1, MATCH(MIN(M867:S867), M867:S867, 0))), 技能库!$A:$F, 5, 0),"建议查阅考纲")&amp;CHAR(10)&amp;"💡 提升建议: "&amp;IFERROR(VLOOKUP(TRIM(D867)&amp;"_"&amp;TRIM(INDEX($M$1:$S$1, MATCH(MIN(M867:S867), M867:S867, 0))), 技能库!$A:$F, 6, 0),"请针对该题型加强练习"), "🎉 表现优异，无明显弱项！"))</f>
        <v/>
      </c>
    </row>
    <row r="868" spans="10:27" ht="18" hidden="1" customHeight="1" x14ac:dyDescent="0.2">
      <c r="J868" t="str">
        <f t="shared" si="39"/>
        <v/>
      </c>
      <c r="K868" t="str">
        <f>IF(J868="","", IFERROR(VLOOKUP(J868, IF(D868="Movers", 换算标准!$C:$D, 换算标准!$I:$J), 2, TRUE), 0))</f>
        <v/>
      </c>
      <c r="T868" t="str">
        <f t="shared" si="40"/>
        <v/>
      </c>
      <c r="U868" t="str">
        <f>IF(T868="","", IFERROR(VLOOKUP(T868, IF(D868="Movers", 换算标准!$A:$B, 换算标准!$G:$H), 2, TRUE), 0))</f>
        <v/>
      </c>
      <c r="W868" t="str">
        <f t="shared" si="41"/>
        <v/>
      </c>
      <c r="Z868" s="5" t="str">
        <f>IF(J868="","", IF(K868&lt;=3, "⚠️ 薄弱环节: "&amp;INDEX($E$1:$I$1, MATCH(MIN(E868:I868), E868:I868, 0))&amp;CHAR(10)&amp;"📉 考察能力: "&amp;IFERROR(VLOOKUP(TRIM(D868)&amp;"_"&amp;TRIM(INDEX($E$1:$I$1, MATCH(MIN(E868:I868), E868:I868, 0))), 技能库!$A:$F, 5, 0),"建议查阅考纲")&amp;CHAR(10)&amp;"💡 提升建议: "&amp;IFERROR(VLOOKUP(TRIM(D868)&amp;"_"&amp;TRIM(INDEX($E$1:$I$1, MATCH(MIN(E868:I868), E868:I868, 0))), 技能库!$A:$F, 6, 0),"请针对该题型加强练习"), "🎉 表现优异，无明显弱项！"))</f>
        <v/>
      </c>
      <c r="AA868" s="5" t="str">
        <f>IF(T868="","", IF(U868&lt;=3, "⚠️ 薄弱环节: "&amp;INDEX($M$1:$S$1, MATCH(MIN(M868:S868), M868:S868, 0))&amp;CHAR(10)&amp;"📉 考察能力: "&amp;IFERROR(VLOOKUP(TRIM(D868)&amp;"_"&amp;TRIM(INDEX($M$1:$S$1, MATCH(MIN(M868:S868), M868:S868, 0))), 技能库!$A:$F, 5, 0),"建议查阅考纲")&amp;CHAR(10)&amp;"💡 提升建议: "&amp;IFERROR(VLOOKUP(TRIM(D868)&amp;"_"&amp;TRIM(INDEX($M$1:$S$1, MATCH(MIN(M868:S868), M868:S868, 0))), 技能库!$A:$F, 6, 0),"请针对该题型加强练习"), "🎉 表现优异，无明显弱项！"))</f>
        <v/>
      </c>
    </row>
    <row r="869" spans="10:27" ht="18" hidden="1" customHeight="1" x14ac:dyDescent="0.2">
      <c r="J869" t="str">
        <f t="shared" si="39"/>
        <v/>
      </c>
      <c r="K869" t="str">
        <f>IF(J869="","", IFERROR(VLOOKUP(J869, IF(D869="Movers", 换算标准!$C:$D, 换算标准!$I:$J), 2, TRUE), 0))</f>
        <v/>
      </c>
      <c r="T869" t="str">
        <f t="shared" si="40"/>
        <v/>
      </c>
      <c r="U869" t="str">
        <f>IF(T869="","", IFERROR(VLOOKUP(T869, IF(D869="Movers", 换算标准!$A:$B, 换算标准!$G:$H), 2, TRUE), 0))</f>
        <v/>
      </c>
      <c r="W869" t="str">
        <f t="shared" si="41"/>
        <v/>
      </c>
      <c r="Z869" s="5" t="str">
        <f>IF(J869="","", IF(K869&lt;=3, "⚠️ 薄弱环节: "&amp;INDEX($E$1:$I$1, MATCH(MIN(E869:I869), E869:I869, 0))&amp;CHAR(10)&amp;"📉 考察能力: "&amp;IFERROR(VLOOKUP(TRIM(D869)&amp;"_"&amp;TRIM(INDEX($E$1:$I$1, MATCH(MIN(E869:I869), E869:I869, 0))), 技能库!$A:$F, 5, 0),"建议查阅考纲")&amp;CHAR(10)&amp;"💡 提升建议: "&amp;IFERROR(VLOOKUP(TRIM(D869)&amp;"_"&amp;TRIM(INDEX($E$1:$I$1, MATCH(MIN(E869:I869), E869:I869, 0))), 技能库!$A:$F, 6, 0),"请针对该题型加强练习"), "🎉 表现优异，无明显弱项！"))</f>
        <v/>
      </c>
      <c r="AA869" s="5" t="str">
        <f>IF(T869="","", IF(U869&lt;=3, "⚠️ 薄弱环节: "&amp;INDEX($M$1:$S$1, MATCH(MIN(M869:S869), M869:S869, 0))&amp;CHAR(10)&amp;"📉 考察能力: "&amp;IFERROR(VLOOKUP(TRIM(D869)&amp;"_"&amp;TRIM(INDEX($M$1:$S$1, MATCH(MIN(M869:S869), M869:S869, 0))), 技能库!$A:$F, 5, 0),"建议查阅考纲")&amp;CHAR(10)&amp;"💡 提升建议: "&amp;IFERROR(VLOOKUP(TRIM(D869)&amp;"_"&amp;TRIM(INDEX($M$1:$S$1, MATCH(MIN(M869:S869), M869:S869, 0))), 技能库!$A:$F, 6, 0),"请针对该题型加强练习"), "🎉 表现优异，无明显弱项！"))</f>
        <v/>
      </c>
    </row>
    <row r="870" spans="10:27" ht="18" hidden="1" customHeight="1" x14ac:dyDescent="0.2">
      <c r="J870" t="str">
        <f t="shared" si="39"/>
        <v/>
      </c>
      <c r="K870" t="str">
        <f>IF(J870="","", IFERROR(VLOOKUP(J870, IF(D870="Movers", 换算标准!$C:$D, 换算标准!$I:$J), 2, TRUE), 0))</f>
        <v/>
      </c>
      <c r="T870" t="str">
        <f t="shared" si="40"/>
        <v/>
      </c>
      <c r="U870" t="str">
        <f>IF(T870="","", IFERROR(VLOOKUP(T870, IF(D870="Movers", 换算标准!$A:$B, 换算标准!$G:$H), 2, TRUE), 0))</f>
        <v/>
      </c>
      <c r="W870" t="str">
        <f t="shared" si="41"/>
        <v/>
      </c>
      <c r="Z870" s="5" t="str">
        <f>IF(J870="","", IF(K870&lt;=3, "⚠️ 薄弱环节: "&amp;INDEX($E$1:$I$1, MATCH(MIN(E870:I870), E870:I870, 0))&amp;CHAR(10)&amp;"📉 考察能力: "&amp;IFERROR(VLOOKUP(TRIM(D870)&amp;"_"&amp;TRIM(INDEX($E$1:$I$1, MATCH(MIN(E870:I870), E870:I870, 0))), 技能库!$A:$F, 5, 0),"建议查阅考纲")&amp;CHAR(10)&amp;"💡 提升建议: "&amp;IFERROR(VLOOKUP(TRIM(D870)&amp;"_"&amp;TRIM(INDEX($E$1:$I$1, MATCH(MIN(E870:I870), E870:I870, 0))), 技能库!$A:$F, 6, 0),"请针对该题型加强练习"), "🎉 表现优异，无明显弱项！"))</f>
        <v/>
      </c>
      <c r="AA870" s="5" t="str">
        <f>IF(T870="","", IF(U870&lt;=3, "⚠️ 薄弱环节: "&amp;INDEX($M$1:$S$1, MATCH(MIN(M870:S870), M870:S870, 0))&amp;CHAR(10)&amp;"📉 考察能力: "&amp;IFERROR(VLOOKUP(TRIM(D870)&amp;"_"&amp;TRIM(INDEX($M$1:$S$1, MATCH(MIN(M870:S870), M870:S870, 0))), 技能库!$A:$F, 5, 0),"建议查阅考纲")&amp;CHAR(10)&amp;"💡 提升建议: "&amp;IFERROR(VLOOKUP(TRIM(D870)&amp;"_"&amp;TRIM(INDEX($M$1:$S$1, MATCH(MIN(M870:S870), M870:S870, 0))), 技能库!$A:$F, 6, 0),"请针对该题型加强练习"), "🎉 表现优异，无明显弱项！"))</f>
        <v/>
      </c>
    </row>
    <row r="871" spans="10:27" ht="18" hidden="1" customHeight="1" x14ac:dyDescent="0.2">
      <c r="J871" t="str">
        <f t="shared" si="39"/>
        <v/>
      </c>
      <c r="K871" t="str">
        <f>IF(J871="","", IFERROR(VLOOKUP(J871, IF(D871="Movers", 换算标准!$C:$D, 换算标准!$I:$J), 2, TRUE), 0))</f>
        <v/>
      </c>
      <c r="T871" t="str">
        <f t="shared" si="40"/>
        <v/>
      </c>
      <c r="U871" t="str">
        <f>IF(T871="","", IFERROR(VLOOKUP(T871, IF(D871="Movers", 换算标准!$A:$B, 换算标准!$G:$H), 2, TRUE), 0))</f>
        <v/>
      </c>
      <c r="W871" t="str">
        <f t="shared" si="41"/>
        <v/>
      </c>
      <c r="Z871" s="5" t="str">
        <f>IF(J871="","", IF(K871&lt;=3, "⚠️ 薄弱环节: "&amp;INDEX($E$1:$I$1, MATCH(MIN(E871:I871), E871:I871, 0))&amp;CHAR(10)&amp;"📉 考察能力: "&amp;IFERROR(VLOOKUP(TRIM(D871)&amp;"_"&amp;TRIM(INDEX($E$1:$I$1, MATCH(MIN(E871:I871), E871:I871, 0))), 技能库!$A:$F, 5, 0),"建议查阅考纲")&amp;CHAR(10)&amp;"💡 提升建议: "&amp;IFERROR(VLOOKUP(TRIM(D871)&amp;"_"&amp;TRIM(INDEX($E$1:$I$1, MATCH(MIN(E871:I871), E871:I871, 0))), 技能库!$A:$F, 6, 0),"请针对该题型加强练习"), "🎉 表现优异，无明显弱项！"))</f>
        <v/>
      </c>
      <c r="AA871" s="5" t="str">
        <f>IF(T871="","", IF(U871&lt;=3, "⚠️ 薄弱环节: "&amp;INDEX($M$1:$S$1, MATCH(MIN(M871:S871), M871:S871, 0))&amp;CHAR(10)&amp;"📉 考察能力: "&amp;IFERROR(VLOOKUP(TRIM(D871)&amp;"_"&amp;TRIM(INDEX($M$1:$S$1, MATCH(MIN(M871:S871), M871:S871, 0))), 技能库!$A:$F, 5, 0),"建议查阅考纲")&amp;CHAR(10)&amp;"💡 提升建议: "&amp;IFERROR(VLOOKUP(TRIM(D871)&amp;"_"&amp;TRIM(INDEX($M$1:$S$1, MATCH(MIN(M871:S871), M871:S871, 0))), 技能库!$A:$F, 6, 0),"请针对该题型加强练习"), "🎉 表现优异，无明显弱项！"))</f>
        <v/>
      </c>
    </row>
    <row r="872" spans="10:27" ht="18" hidden="1" customHeight="1" x14ac:dyDescent="0.2">
      <c r="J872" t="str">
        <f t="shared" si="39"/>
        <v/>
      </c>
      <c r="K872" t="str">
        <f>IF(J872="","", IFERROR(VLOOKUP(J872, IF(D872="Movers", 换算标准!$C:$D, 换算标准!$I:$J), 2, TRUE), 0))</f>
        <v/>
      </c>
      <c r="T872" t="str">
        <f t="shared" si="40"/>
        <v/>
      </c>
      <c r="U872" t="str">
        <f>IF(T872="","", IFERROR(VLOOKUP(T872, IF(D872="Movers", 换算标准!$A:$B, 换算标准!$G:$H), 2, TRUE), 0))</f>
        <v/>
      </c>
      <c r="W872" t="str">
        <f t="shared" si="41"/>
        <v/>
      </c>
      <c r="Z872" s="5" t="str">
        <f>IF(J872="","", IF(K872&lt;=3, "⚠️ 薄弱环节: "&amp;INDEX($E$1:$I$1, MATCH(MIN(E872:I872), E872:I872, 0))&amp;CHAR(10)&amp;"📉 考察能力: "&amp;IFERROR(VLOOKUP(TRIM(D872)&amp;"_"&amp;TRIM(INDEX($E$1:$I$1, MATCH(MIN(E872:I872), E872:I872, 0))), 技能库!$A:$F, 5, 0),"建议查阅考纲")&amp;CHAR(10)&amp;"💡 提升建议: "&amp;IFERROR(VLOOKUP(TRIM(D872)&amp;"_"&amp;TRIM(INDEX($E$1:$I$1, MATCH(MIN(E872:I872), E872:I872, 0))), 技能库!$A:$F, 6, 0),"请针对该题型加强练习"), "🎉 表现优异，无明显弱项！"))</f>
        <v/>
      </c>
      <c r="AA872" s="5" t="str">
        <f>IF(T872="","", IF(U872&lt;=3, "⚠️ 薄弱环节: "&amp;INDEX($M$1:$S$1, MATCH(MIN(M872:S872), M872:S872, 0))&amp;CHAR(10)&amp;"📉 考察能力: "&amp;IFERROR(VLOOKUP(TRIM(D872)&amp;"_"&amp;TRIM(INDEX($M$1:$S$1, MATCH(MIN(M872:S872), M872:S872, 0))), 技能库!$A:$F, 5, 0),"建议查阅考纲")&amp;CHAR(10)&amp;"💡 提升建议: "&amp;IFERROR(VLOOKUP(TRIM(D872)&amp;"_"&amp;TRIM(INDEX($M$1:$S$1, MATCH(MIN(M872:S872), M872:S872, 0))), 技能库!$A:$F, 6, 0),"请针对该题型加强练习"), "🎉 表现优异，无明显弱项！"))</f>
        <v/>
      </c>
    </row>
    <row r="873" spans="10:27" ht="18" hidden="1" customHeight="1" x14ac:dyDescent="0.2">
      <c r="J873" t="str">
        <f t="shared" si="39"/>
        <v/>
      </c>
      <c r="K873" t="str">
        <f>IF(J873="","", IFERROR(VLOOKUP(J873, IF(D873="Movers", 换算标准!$C:$D, 换算标准!$I:$J), 2, TRUE), 0))</f>
        <v/>
      </c>
      <c r="T873" t="str">
        <f t="shared" si="40"/>
        <v/>
      </c>
      <c r="U873" t="str">
        <f>IF(T873="","", IFERROR(VLOOKUP(T873, IF(D873="Movers", 换算标准!$A:$B, 换算标准!$G:$H), 2, TRUE), 0))</f>
        <v/>
      </c>
      <c r="W873" t="str">
        <f t="shared" si="41"/>
        <v/>
      </c>
      <c r="Z873" s="5" t="str">
        <f>IF(J873="","", IF(K873&lt;=3, "⚠️ 薄弱环节: "&amp;INDEX($E$1:$I$1, MATCH(MIN(E873:I873), E873:I873, 0))&amp;CHAR(10)&amp;"📉 考察能力: "&amp;IFERROR(VLOOKUP(TRIM(D873)&amp;"_"&amp;TRIM(INDEX($E$1:$I$1, MATCH(MIN(E873:I873), E873:I873, 0))), 技能库!$A:$F, 5, 0),"建议查阅考纲")&amp;CHAR(10)&amp;"💡 提升建议: "&amp;IFERROR(VLOOKUP(TRIM(D873)&amp;"_"&amp;TRIM(INDEX($E$1:$I$1, MATCH(MIN(E873:I873), E873:I873, 0))), 技能库!$A:$F, 6, 0),"请针对该题型加强练习"), "🎉 表现优异，无明显弱项！"))</f>
        <v/>
      </c>
      <c r="AA873" s="5" t="str">
        <f>IF(T873="","", IF(U873&lt;=3, "⚠️ 薄弱环节: "&amp;INDEX($M$1:$S$1, MATCH(MIN(M873:S873), M873:S873, 0))&amp;CHAR(10)&amp;"📉 考察能力: "&amp;IFERROR(VLOOKUP(TRIM(D873)&amp;"_"&amp;TRIM(INDEX($M$1:$S$1, MATCH(MIN(M873:S873), M873:S873, 0))), 技能库!$A:$F, 5, 0),"建议查阅考纲")&amp;CHAR(10)&amp;"💡 提升建议: "&amp;IFERROR(VLOOKUP(TRIM(D873)&amp;"_"&amp;TRIM(INDEX($M$1:$S$1, MATCH(MIN(M873:S873), M873:S873, 0))), 技能库!$A:$F, 6, 0),"请针对该题型加强练习"), "🎉 表现优异，无明显弱项！"))</f>
        <v/>
      </c>
    </row>
    <row r="874" spans="10:27" ht="18" hidden="1" customHeight="1" x14ac:dyDescent="0.2">
      <c r="J874" t="str">
        <f t="shared" si="39"/>
        <v/>
      </c>
      <c r="K874" t="str">
        <f>IF(J874="","", IFERROR(VLOOKUP(J874, IF(D874="Movers", 换算标准!$C:$D, 换算标准!$I:$J), 2, TRUE), 0))</f>
        <v/>
      </c>
      <c r="T874" t="str">
        <f t="shared" si="40"/>
        <v/>
      </c>
      <c r="U874" t="str">
        <f>IF(T874="","", IFERROR(VLOOKUP(T874, IF(D874="Movers", 换算标准!$A:$B, 换算标准!$G:$H), 2, TRUE), 0))</f>
        <v/>
      </c>
      <c r="W874" t="str">
        <f t="shared" si="41"/>
        <v/>
      </c>
      <c r="Z874" s="5" t="str">
        <f>IF(J874="","", IF(K874&lt;=3, "⚠️ 薄弱环节: "&amp;INDEX($E$1:$I$1, MATCH(MIN(E874:I874), E874:I874, 0))&amp;CHAR(10)&amp;"📉 考察能力: "&amp;IFERROR(VLOOKUP(TRIM(D874)&amp;"_"&amp;TRIM(INDEX($E$1:$I$1, MATCH(MIN(E874:I874), E874:I874, 0))), 技能库!$A:$F, 5, 0),"建议查阅考纲")&amp;CHAR(10)&amp;"💡 提升建议: "&amp;IFERROR(VLOOKUP(TRIM(D874)&amp;"_"&amp;TRIM(INDEX($E$1:$I$1, MATCH(MIN(E874:I874), E874:I874, 0))), 技能库!$A:$F, 6, 0),"请针对该题型加强练习"), "🎉 表现优异，无明显弱项！"))</f>
        <v/>
      </c>
      <c r="AA874" s="5" t="str">
        <f>IF(T874="","", IF(U874&lt;=3, "⚠️ 薄弱环节: "&amp;INDEX($M$1:$S$1, MATCH(MIN(M874:S874), M874:S874, 0))&amp;CHAR(10)&amp;"📉 考察能力: "&amp;IFERROR(VLOOKUP(TRIM(D874)&amp;"_"&amp;TRIM(INDEX($M$1:$S$1, MATCH(MIN(M874:S874), M874:S874, 0))), 技能库!$A:$F, 5, 0),"建议查阅考纲")&amp;CHAR(10)&amp;"💡 提升建议: "&amp;IFERROR(VLOOKUP(TRIM(D874)&amp;"_"&amp;TRIM(INDEX($M$1:$S$1, MATCH(MIN(M874:S874), M874:S874, 0))), 技能库!$A:$F, 6, 0),"请针对该题型加强练习"), "🎉 表现优异，无明显弱项！"))</f>
        <v/>
      </c>
    </row>
    <row r="875" spans="10:27" ht="18" hidden="1" customHeight="1" x14ac:dyDescent="0.2">
      <c r="J875" t="str">
        <f t="shared" si="39"/>
        <v/>
      </c>
      <c r="K875" t="str">
        <f>IF(J875="","", IFERROR(VLOOKUP(J875, IF(D875="Movers", 换算标准!$C:$D, 换算标准!$I:$J), 2, TRUE), 0))</f>
        <v/>
      </c>
      <c r="T875" t="str">
        <f t="shared" si="40"/>
        <v/>
      </c>
      <c r="U875" t="str">
        <f>IF(T875="","", IFERROR(VLOOKUP(T875, IF(D875="Movers", 换算标准!$A:$B, 换算标准!$G:$H), 2, TRUE), 0))</f>
        <v/>
      </c>
      <c r="W875" t="str">
        <f t="shared" si="41"/>
        <v/>
      </c>
      <c r="Z875" s="5" t="str">
        <f>IF(J875="","", IF(K875&lt;=3, "⚠️ 薄弱环节: "&amp;INDEX($E$1:$I$1, MATCH(MIN(E875:I875), E875:I875, 0))&amp;CHAR(10)&amp;"📉 考察能力: "&amp;IFERROR(VLOOKUP(TRIM(D875)&amp;"_"&amp;TRIM(INDEX($E$1:$I$1, MATCH(MIN(E875:I875), E875:I875, 0))), 技能库!$A:$F, 5, 0),"建议查阅考纲")&amp;CHAR(10)&amp;"💡 提升建议: "&amp;IFERROR(VLOOKUP(TRIM(D875)&amp;"_"&amp;TRIM(INDEX($E$1:$I$1, MATCH(MIN(E875:I875), E875:I875, 0))), 技能库!$A:$F, 6, 0),"请针对该题型加强练习"), "🎉 表现优异，无明显弱项！"))</f>
        <v/>
      </c>
      <c r="AA875" s="5" t="str">
        <f>IF(T875="","", IF(U875&lt;=3, "⚠️ 薄弱环节: "&amp;INDEX($M$1:$S$1, MATCH(MIN(M875:S875), M875:S875, 0))&amp;CHAR(10)&amp;"📉 考察能力: "&amp;IFERROR(VLOOKUP(TRIM(D875)&amp;"_"&amp;TRIM(INDEX($M$1:$S$1, MATCH(MIN(M875:S875), M875:S875, 0))), 技能库!$A:$F, 5, 0),"建议查阅考纲")&amp;CHAR(10)&amp;"💡 提升建议: "&amp;IFERROR(VLOOKUP(TRIM(D875)&amp;"_"&amp;TRIM(INDEX($M$1:$S$1, MATCH(MIN(M875:S875), M875:S875, 0))), 技能库!$A:$F, 6, 0),"请针对该题型加强练习"), "🎉 表现优异，无明显弱项！"))</f>
        <v/>
      </c>
    </row>
    <row r="876" spans="10:27" ht="18" hidden="1" customHeight="1" x14ac:dyDescent="0.2">
      <c r="J876" t="str">
        <f t="shared" si="39"/>
        <v/>
      </c>
      <c r="K876" t="str">
        <f>IF(J876="","", IFERROR(VLOOKUP(J876, IF(D876="Movers", 换算标准!$C:$D, 换算标准!$I:$J), 2, TRUE), 0))</f>
        <v/>
      </c>
      <c r="T876" t="str">
        <f t="shared" si="40"/>
        <v/>
      </c>
      <c r="U876" t="str">
        <f>IF(T876="","", IFERROR(VLOOKUP(T876, IF(D876="Movers", 换算标准!$A:$B, 换算标准!$G:$H), 2, TRUE), 0))</f>
        <v/>
      </c>
      <c r="W876" t="str">
        <f t="shared" si="41"/>
        <v/>
      </c>
      <c r="Z876" s="5" t="str">
        <f>IF(J876="","", IF(K876&lt;=3, "⚠️ 薄弱环节: "&amp;INDEX($E$1:$I$1, MATCH(MIN(E876:I876), E876:I876, 0))&amp;CHAR(10)&amp;"📉 考察能力: "&amp;IFERROR(VLOOKUP(TRIM(D876)&amp;"_"&amp;TRIM(INDEX($E$1:$I$1, MATCH(MIN(E876:I876), E876:I876, 0))), 技能库!$A:$F, 5, 0),"建议查阅考纲")&amp;CHAR(10)&amp;"💡 提升建议: "&amp;IFERROR(VLOOKUP(TRIM(D876)&amp;"_"&amp;TRIM(INDEX($E$1:$I$1, MATCH(MIN(E876:I876), E876:I876, 0))), 技能库!$A:$F, 6, 0),"请针对该题型加强练习"), "🎉 表现优异，无明显弱项！"))</f>
        <v/>
      </c>
      <c r="AA876" s="5" t="str">
        <f>IF(T876="","", IF(U876&lt;=3, "⚠️ 薄弱环节: "&amp;INDEX($M$1:$S$1, MATCH(MIN(M876:S876), M876:S876, 0))&amp;CHAR(10)&amp;"📉 考察能力: "&amp;IFERROR(VLOOKUP(TRIM(D876)&amp;"_"&amp;TRIM(INDEX($M$1:$S$1, MATCH(MIN(M876:S876), M876:S876, 0))), 技能库!$A:$F, 5, 0),"建议查阅考纲")&amp;CHAR(10)&amp;"💡 提升建议: "&amp;IFERROR(VLOOKUP(TRIM(D876)&amp;"_"&amp;TRIM(INDEX($M$1:$S$1, MATCH(MIN(M876:S876), M876:S876, 0))), 技能库!$A:$F, 6, 0),"请针对该题型加强练习"), "🎉 表现优异，无明显弱项！"))</f>
        <v/>
      </c>
    </row>
    <row r="877" spans="10:27" ht="18" hidden="1" customHeight="1" x14ac:dyDescent="0.2">
      <c r="J877" t="str">
        <f t="shared" si="39"/>
        <v/>
      </c>
      <c r="K877" t="str">
        <f>IF(J877="","", IFERROR(VLOOKUP(J877, IF(D877="Movers", 换算标准!$C:$D, 换算标准!$I:$J), 2, TRUE), 0))</f>
        <v/>
      </c>
      <c r="T877" t="str">
        <f t="shared" si="40"/>
        <v/>
      </c>
      <c r="U877" t="str">
        <f>IF(T877="","", IFERROR(VLOOKUP(T877, IF(D877="Movers", 换算标准!$A:$B, 换算标准!$G:$H), 2, TRUE), 0))</f>
        <v/>
      </c>
      <c r="W877" t="str">
        <f t="shared" si="41"/>
        <v/>
      </c>
      <c r="Z877" s="5" t="str">
        <f>IF(J877="","", IF(K877&lt;=3, "⚠️ 薄弱环节: "&amp;INDEX($E$1:$I$1, MATCH(MIN(E877:I877), E877:I877, 0))&amp;CHAR(10)&amp;"📉 考察能力: "&amp;IFERROR(VLOOKUP(TRIM(D877)&amp;"_"&amp;TRIM(INDEX($E$1:$I$1, MATCH(MIN(E877:I877), E877:I877, 0))), 技能库!$A:$F, 5, 0),"建议查阅考纲")&amp;CHAR(10)&amp;"💡 提升建议: "&amp;IFERROR(VLOOKUP(TRIM(D877)&amp;"_"&amp;TRIM(INDEX($E$1:$I$1, MATCH(MIN(E877:I877), E877:I877, 0))), 技能库!$A:$F, 6, 0),"请针对该题型加强练习"), "🎉 表现优异，无明显弱项！"))</f>
        <v/>
      </c>
      <c r="AA877" s="5" t="str">
        <f>IF(T877="","", IF(U877&lt;=3, "⚠️ 薄弱环节: "&amp;INDEX($M$1:$S$1, MATCH(MIN(M877:S877), M877:S877, 0))&amp;CHAR(10)&amp;"📉 考察能力: "&amp;IFERROR(VLOOKUP(TRIM(D877)&amp;"_"&amp;TRIM(INDEX($M$1:$S$1, MATCH(MIN(M877:S877), M877:S877, 0))), 技能库!$A:$F, 5, 0),"建议查阅考纲")&amp;CHAR(10)&amp;"💡 提升建议: "&amp;IFERROR(VLOOKUP(TRIM(D877)&amp;"_"&amp;TRIM(INDEX($M$1:$S$1, MATCH(MIN(M877:S877), M877:S877, 0))), 技能库!$A:$F, 6, 0),"请针对该题型加强练习"), "🎉 表现优异，无明显弱项！"))</f>
        <v/>
      </c>
    </row>
    <row r="878" spans="10:27" ht="18" hidden="1" customHeight="1" x14ac:dyDescent="0.2">
      <c r="J878" t="str">
        <f t="shared" si="39"/>
        <v/>
      </c>
      <c r="K878" t="str">
        <f>IF(J878="","", IFERROR(VLOOKUP(J878, IF(D878="Movers", 换算标准!$C:$D, 换算标准!$I:$J), 2, TRUE), 0))</f>
        <v/>
      </c>
      <c r="T878" t="str">
        <f t="shared" si="40"/>
        <v/>
      </c>
      <c r="U878" t="str">
        <f>IF(T878="","", IFERROR(VLOOKUP(T878, IF(D878="Movers", 换算标准!$A:$B, 换算标准!$G:$H), 2, TRUE), 0))</f>
        <v/>
      </c>
      <c r="W878" t="str">
        <f t="shared" si="41"/>
        <v/>
      </c>
      <c r="Z878" s="5" t="str">
        <f>IF(J878="","", IF(K878&lt;=3, "⚠️ 薄弱环节: "&amp;INDEX($E$1:$I$1, MATCH(MIN(E878:I878), E878:I878, 0))&amp;CHAR(10)&amp;"📉 考察能力: "&amp;IFERROR(VLOOKUP(TRIM(D878)&amp;"_"&amp;TRIM(INDEX($E$1:$I$1, MATCH(MIN(E878:I878), E878:I878, 0))), 技能库!$A:$F, 5, 0),"建议查阅考纲")&amp;CHAR(10)&amp;"💡 提升建议: "&amp;IFERROR(VLOOKUP(TRIM(D878)&amp;"_"&amp;TRIM(INDEX($E$1:$I$1, MATCH(MIN(E878:I878), E878:I878, 0))), 技能库!$A:$F, 6, 0),"请针对该题型加强练习"), "🎉 表现优异，无明显弱项！"))</f>
        <v/>
      </c>
      <c r="AA878" s="5" t="str">
        <f>IF(T878="","", IF(U878&lt;=3, "⚠️ 薄弱环节: "&amp;INDEX($M$1:$S$1, MATCH(MIN(M878:S878), M878:S878, 0))&amp;CHAR(10)&amp;"📉 考察能力: "&amp;IFERROR(VLOOKUP(TRIM(D878)&amp;"_"&amp;TRIM(INDEX($M$1:$S$1, MATCH(MIN(M878:S878), M878:S878, 0))), 技能库!$A:$F, 5, 0),"建议查阅考纲")&amp;CHAR(10)&amp;"💡 提升建议: "&amp;IFERROR(VLOOKUP(TRIM(D878)&amp;"_"&amp;TRIM(INDEX($M$1:$S$1, MATCH(MIN(M878:S878), M878:S878, 0))), 技能库!$A:$F, 6, 0),"请针对该题型加强练习"), "🎉 表现优异，无明显弱项！"))</f>
        <v/>
      </c>
    </row>
    <row r="879" spans="10:27" ht="18" hidden="1" customHeight="1" x14ac:dyDescent="0.2">
      <c r="J879" t="str">
        <f t="shared" si="39"/>
        <v/>
      </c>
      <c r="K879" t="str">
        <f>IF(J879="","", IFERROR(VLOOKUP(J879, IF(D879="Movers", 换算标准!$C:$D, 换算标准!$I:$J), 2, TRUE), 0))</f>
        <v/>
      </c>
      <c r="T879" t="str">
        <f t="shared" si="40"/>
        <v/>
      </c>
      <c r="U879" t="str">
        <f>IF(T879="","", IFERROR(VLOOKUP(T879, IF(D879="Movers", 换算标准!$A:$B, 换算标准!$G:$H), 2, TRUE), 0))</f>
        <v/>
      </c>
      <c r="W879" t="str">
        <f t="shared" si="41"/>
        <v/>
      </c>
      <c r="Z879" s="5" t="str">
        <f>IF(J879="","", IF(K879&lt;=3, "⚠️ 薄弱环节: "&amp;INDEX($E$1:$I$1, MATCH(MIN(E879:I879), E879:I879, 0))&amp;CHAR(10)&amp;"📉 考察能力: "&amp;IFERROR(VLOOKUP(TRIM(D879)&amp;"_"&amp;TRIM(INDEX($E$1:$I$1, MATCH(MIN(E879:I879), E879:I879, 0))), 技能库!$A:$F, 5, 0),"建议查阅考纲")&amp;CHAR(10)&amp;"💡 提升建议: "&amp;IFERROR(VLOOKUP(TRIM(D879)&amp;"_"&amp;TRIM(INDEX($E$1:$I$1, MATCH(MIN(E879:I879), E879:I879, 0))), 技能库!$A:$F, 6, 0),"请针对该题型加强练习"), "🎉 表现优异，无明显弱项！"))</f>
        <v/>
      </c>
      <c r="AA879" s="5" t="str">
        <f>IF(T879="","", IF(U879&lt;=3, "⚠️ 薄弱环节: "&amp;INDEX($M$1:$S$1, MATCH(MIN(M879:S879), M879:S879, 0))&amp;CHAR(10)&amp;"📉 考察能力: "&amp;IFERROR(VLOOKUP(TRIM(D879)&amp;"_"&amp;TRIM(INDEX($M$1:$S$1, MATCH(MIN(M879:S879), M879:S879, 0))), 技能库!$A:$F, 5, 0),"建议查阅考纲")&amp;CHAR(10)&amp;"💡 提升建议: "&amp;IFERROR(VLOOKUP(TRIM(D879)&amp;"_"&amp;TRIM(INDEX($M$1:$S$1, MATCH(MIN(M879:S879), M879:S879, 0))), 技能库!$A:$F, 6, 0),"请针对该题型加强练习"), "🎉 表现优异，无明显弱项！"))</f>
        <v/>
      </c>
    </row>
    <row r="880" spans="10:27" ht="18" hidden="1" customHeight="1" x14ac:dyDescent="0.2">
      <c r="J880" t="str">
        <f t="shared" si="39"/>
        <v/>
      </c>
      <c r="K880" t="str">
        <f>IF(J880="","", IFERROR(VLOOKUP(J880, IF(D880="Movers", 换算标准!$C:$D, 换算标准!$I:$J), 2, TRUE), 0))</f>
        <v/>
      </c>
      <c r="T880" t="str">
        <f t="shared" si="40"/>
        <v/>
      </c>
      <c r="U880" t="str">
        <f>IF(T880="","", IFERROR(VLOOKUP(T880, IF(D880="Movers", 换算标准!$A:$B, 换算标准!$G:$H), 2, TRUE), 0))</f>
        <v/>
      </c>
      <c r="W880" t="str">
        <f t="shared" si="41"/>
        <v/>
      </c>
      <c r="Z880" s="5" t="str">
        <f>IF(J880="","", IF(K880&lt;=3, "⚠️ 薄弱环节: "&amp;INDEX($E$1:$I$1, MATCH(MIN(E880:I880), E880:I880, 0))&amp;CHAR(10)&amp;"📉 考察能力: "&amp;IFERROR(VLOOKUP(TRIM(D880)&amp;"_"&amp;TRIM(INDEX($E$1:$I$1, MATCH(MIN(E880:I880), E880:I880, 0))), 技能库!$A:$F, 5, 0),"建议查阅考纲")&amp;CHAR(10)&amp;"💡 提升建议: "&amp;IFERROR(VLOOKUP(TRIM(D880)&amp;"_"&amp;TRIM(INDEX($E$1:$I$1, MATCH(MIN(E880:I880), E880:I880, 0))), 技能库!$A:$F, 6, 0),"请针对该题型加强练习"), "🎉 表现优异，无明显弱项！"))</f>
        <v/>
      </c>
      <c r="AA880" s="5" t="str">
        <f>IF(T880="","", IF(U880&lt;=3, "⚠️ 薄弱环节: "&amp;INDEX($M$1:$S$1, MATCH(MIN(M880:S880), M880:S880, 0))&amp;CHAR(10)&amp;"📉 考察能力: "&amp;IFERROR(VLOOKUP(TRIM(D880)&amp;"_"&amp;TRIM(INDEX($M$1:$S$1, MATCH(MIN(M880:S880), M880:S880, 0))), 技能库!$A:$F, 5, 0),"建议查阅考纲")&amp;CHAR(10)&amp;"💡 提升建议: "&amp;IFERROR(VLOOKUP(TRIM(D880)&amp;"_"&amp;TRIM(INDEX($M$1:$S$1, MATCH(MIN(M880:S880), M880:S880, 0))), 技能库!$A:$F, 6, 0),"请针对该题型加强练习"), "🎉 表现优异，无明显弱项！"))</f>
        <v/>
      </c>
    </row>
    <row r="881" spans="10:27" ht="18" hidden="1" customHeight="1" x14ac:dyDescent="0.2">
      <c r="J881" t="str">
        <f t="shared" si="39"/>
        <v/>
      </c>
      <c r="K881" t="str">
        <f>IF(J881="","", IFERROR(VLOOKUP(J881, IF(D881="Movers", 换算标准!$C:$D, 换算标准!$I:$J), 2, TRUE), 0))</f>
        <v/>
      </c>
      <c r="T881" t="str">
        <f t="shared" si="40"/>
        <v/>
      </c>
      <c r="U881" t="str">
        <f>IF(T881="","", IFERROR(VLOOKUP(T881, IF(D881="Movers", 换算标准!$A:$B, 换算标准!$G:$H), 2, TRUE), 0))</f>
        <v/>
      </c>
      <c r="W881" t="str">
        <f t="shared" si="41"/>
        <v/>
      </c>
      <c r="Z881" s="5" t="str">
        <f>IF(J881="","", IF(K881&lt;=3, "⚠️ 薄弱环节: "&amp;INDEX($E$1:$I$1, MATCH(MIN(E881:I881), E881:I881, 0))&amp;CHAR(10)&amp;"📉 考察能力: "&amp;IFERROR(VLOOKUP(TRIM(D881)&amp;"_"&amp;TRIM(INDEX($E$1:$I$1, MATCH(MIN(E881:I881), E881:I881, 0))), 技能库!$A:$F, 5, 0),"建议查阅考纲")&amp;CHAR(10)&amp;"💡 提升建议: "&amp;IFERROR(VLOOKUP(TRIM(D881)&amp;"_"&amp;TRIM(INDEX($E$1:$I$1, MATCH(MIN(E881:I881), E881:I881, 0))), 技能库!$A:$F, 6, 0),"请针对该题型加强练习"), "🎉 表现优异，无明显弱项！"))</f>
        <v/>
      </c>
      <c r="AA881" s="5" t="str">
        <f>IF(T881="","", IF(U881&lt;=3, "⚠️ 薄弱环节: "&amp;INDEX($M$1:$S$1, MATCH(MIN(M881:S881), M881:S881, 0))&amp;CHAR(10)&amp;"📉 考察能力: "&amp;IFERROR(VLOOKUP(TRIM(D881)&amp;"_"&amp;TRIM(INDEX($M$1:$S$1, MATCH(MIN(M881:S881), M881:S881, 0))), 技能库!$A:$F, 5, 0),"建议查阅考纲")&amp;CHAR(10)&amp;"💡 提升建议: "&amp;IFERROR(VLOOKUP(TRIM(D881)&amp;"_"&amp;TRIM(INDEX($M$1:$S$1, MATCH(MIN(M881:S881), M881:S881, 0))), 技能库!$A:$F, 6, 0),"请针对该题型加强练习"), "🎉 表现优异，无明显弱项！"))</f>
        <v/>
      </c>
    </row>
    <row r="882" spans="10:27" ht="18" hidden="1" customHeight="1" x14ac:dyDescent="0.2">
      <c r="J882" t="str">
        <f t="shared" si="39"/>
        <v/>
      </c>
      <c r="K882" t="str">
        <f>IF(J882="","", IFERROR(VLOOKUP(J882, IF(D882="Movers", 换算标准!$C:$D, 换算标准!$I:$J), 2, TRUE), 0))</f>
        <v/>
      </c>
      <c r="T882" t="str">
        <f t="shared" si="40"/>
        <v/>
      </c>
      <c r="U882" t="str">
        <f>IF(T882="","", IFERROR(VLOOKUP(T882, IF(D882="Movers", 换算标准!$A:$B, 换算标准!$G:$H), 2, TRUE), 0))</f>
        <v/>
      </c>
      <c r="W882" t="str">
        <f t="shared" si="41"/>
        <v/>
      </c>
      <c r="Z882" s="5" t="str">
        <f>IF(J882="","", IF(K882&lt;=3, "⚠️ 薄弱环节: "&amp;INDEX($E$1:$I$1, MATCH(MIN(E882:I882), E882:I882, 0))&amp;CHAR(10)&amp;"📉 考察能力: "&amp;IFERROR(VLOOKUP(TRIM(D882)&amp;"_"&amp;TRIM(INDEX($E$1:$I$1, MATCH(MIN(E882:I882), E882:I882, 0))), 技能库!$A:$F, 5, 0),"建议查阅考纲")&amp;CHAR(10)&amp;"💡 提升建议: "&amp;IFERROR(VLOOKUP(TRIM(D882)&amp;"_"&amp;TRIM(INDEX($E$1:$I$1, MATCH(MIN(E882:I882), E882:I882, 0))), 技能库!$A:$F, 6, 0),"请针对该题型加强练习"), "🎉 表现优异，无明显弱项！"))</f>
        <v/>
      </c>
      <c r="AA882" s="5" t="str">
        <f>IF(T882="","", IF(U882&lt;=3, "⚠️ 薄弱环节: "&amp;INDEX($M$1:$S$1, MATCH(MIN(M882:S882), M882:S882, 0))&amp;CHAR(10)&amp;"📉 考察能力: "&amp;IFERROR(VLOOKUP(TRIM(D882)&amp;"_"&amp;TRIM(INDEX($M$1:$S$1, MATCH(MIN(M882:S882), M882:S882, 0))), 技能库!$A:$F, 5, 0),"建议查阅考纲")&amp;CHAR(10)&amp;"💡 提升建议: "&amp;IFERROR(VLOOKUP(TRIM(D882)&amp;"_"&amp;TRIM(INDEX($M$1:$S$1, MATCH(MIN(M882:S882), M882:S882, 0))), 技能库!$A:$F, 6, 0),"请针对该题型加强练习"), "🎉 表现优异，无明显弱项！"))</f>
        <v/>
      </c>
    </row>
    <row r="883" spans="10:27" ht="18" hidden="1" customHeight="1" x14ac:dyDescent="0.2">
      <c r="J883" t="str">
        <f t="shared" si="39"/>
        <v/>
      </c>
      <c r="K883" t="str">
        <f>IF(J883="","", IFERROR(VLOOKUP(J883, IF(D883="Movers", 换算标准!$C:$D, 换算标准!$I:$J), 2, TRUE), 0))</f>
        <v/>
      </c>
      <c r="T883" t="str">
        <f t="shared" si="40"/>
        <v/>
      </c>
      <c r="U883" t="str">
        <f>IF(T883="","", IFERROR(VLOOKUP(T883, IF(D883="Movers", 换算标准!$A:$B, 换算标准!$G:$H), 2, TRUE), 0))</f>
        <v/>
      </c>
      <c r="W883" t="str">
        <f t="shared" si="41"/>
        <v/>
      </c>
      <c r="Z883" s="5" t="str">
        <f>IF(J883="","", IF(K883&lt;=3, "⚠️ 薄弱环节: "&amp;INDEX($E$1:$I$1, MATCH(MIN(E883:I883), E883:I883, 0))&amp;CHAR(10)&amp;"📉 考察能力: "&amp;IFERROR(VLOOKUP(TRIM(D883)&amp;"_"&amp;TRIM(INDEX($E$1:$I$1, MATCH(MIN(E883:I883), E883:I883, 0))), 技能库!$A:$F, 5, 0),"建议查阅考纲")&amp;CHAR(10)&amp;"💡 提升建议: "&amp;IFERROR(VLOOKUP(TRIM(D883)&amp;"_"&amp;TRIM(INDEX($E$1:$I$1, MATCH(MIN(E883:I883), E883:I883, 0))), 技能库!$A:$F, 6, 0),"请针对该题型加强练习"), "🎉 表现优异，无明显弱项！"))</f>
        <v/>
      </c>
      <c r="AA883" s="5" t="str">
        <f>IF(T883="","", IF(U883&lt;=3, "⚠️ 薄弱环节: "&amp;INDEX($M$1:$S$1, MATCH(MIN(M883:S883), M883:S883, 0))&amp;CHAR(10)&amp;"📉 考察能力: "&amp;IFERROR(VLOOKUP(TRIM(D883)&amp;"_"&amp;TRIM(INDEX($M$1:$S$1, MATCH(MIN(M883:S883), M883:S883, 0))), 技能库!$A:$F, 5, 0),"建议查阅考纲")&amp;CHAR(10)&amp;"💡 提升建议: "&amp;IFERROR(VLOOKUP(TRIM(D883)&amp;"_"&amp;TRIM(INDEX($M$1:$S$1, MATCH(MIN(M883:S883), M883:S883, 0))), 技能库!$A:$F, 6, 0),"请针对该题型加强练习"), "🎉 表现优异，无明显弱项！"))</f>
        <v/>
      </c>
    </row>
    <row r="884" spans="10:27" ht="18" hidden="1" customHeight="1" x14ac:dyDescent="0.2">
      <c r="J884" t="str">
        <f t="shared" si="39"/>
        <v/>
      </c>
      <c r="K884" t="str">
        <f>IF(J884="","", IFERROR(VLOOKUP(J884, IF(D884="Movers", 换算标准!$C:$D, 换算标准!$I:$J), 2, TRUE), 0))</f>
        <v/>
      </c>
      <c r="T884" t="str">
        <f t="shared" si="40"/>
        <v/>
      </c>
      <c r="U884" t="str">
        <f>IF(T884="","", IFERROR(VLOOKUP(T884, IF(D884="Movers", 换算标准!$A:$B, 换算标准!$G:$H), 2, TRUE), 0))</f>
        <v/>
      </c>
      <c r="W884" t="str">
        <f t="shared" si="41"/>
        <v/>
      </c>
      <c r="Z884" s="5" t="str">
        <f>IF(J884="","", IF(K884&lt;=3, "⚠️ 薄弱环节: "&amp;INDEX($E$1:$I$1, MATCH(MIN(E884:I884), E884:I884, 0))&amp;CHAR(10)&amp;"📉 考察能力: "&amp;IFERROR(VLOOKUP(TRIM(D884)&amp;"_"&amp;TRIM(INDEX($E$1:$I$1, MATCH(MIN(E884:I884), E884:I884, 0))), 技能库!$A:$F, 5, 0),"建议查阅考纲")&amp;CHAR(10)&amp;"💡 提升建议: "&amp;IFERROR(VLOOKUP(TRIM(D884)&amp;"_"&amp;TRIM(INDEX($E$1:$I$1, MATCH(MIN(E884:I884), E884:I884, 0))), 技能库!$A:$F, 6, 0),"请针对该题型加强练习"), "🎉 表现优异，无明显弱项！"))</f>
        <v/>
      </c>
      <c r="AA884" s="5" t="str">
        <f>IF(T884="","", IF(U884&lt;=3, "⚠️ 薄弱环节: "&amp;INDEX($M$1:$S$1, MATCH(MIN(M884:S884), M884:S884, 0))&amp;CHAR(10)&amp;"📉 考察能力: "&amp;IFERROR(VLOOKUP(TRIM(D884)&amp;"_"&amp;TRIM(INDEX($M$1:$S$1, MATCH(MIN(M884:S884), M884:S884, 0))), 技能库!$A:$F, 5, 0),"建议查阅考纲")&amp;CHAR(10)&amp;"💡 提升建议: "&amp;IFERROR(VLOOKUP(TRIM(D884)&amp;"_"&amp;TRIM(INDEX($M$1:$S$1, MATCH(MIN(M884:S884), M884:S884, 0))), 技能库!$A:$F, 6, 0),"请针对该题型加强练习"), "🎉 表现优异，无明显弱项！"))</f>
        <v/>
      </c>
    </row>
    <row r="885" spans="10:27" ht="18" hidden="1" customHeight="1" x14ac:dyDescent="0.2">
      <c r="J885" t="str">
        <f t="shared" si="39"/>
        <v/>
      </c>
      <c r="K885" t="str">
        <f>IF(J885="","", IFERROR(VLOOKUP(J885, IF(D885="Movers", 换算标准!$C:$D, 换算标准!$I:$J), 2, TRUE), 0))</f>
        <v/>
      </c>
      <c r="T885" t="str">
        <f t="shared" si="40"/>
        <v/>
      </c>
      <c r="U885" t="str">
        <f>IF(T885="","", IFERROR(VLOOKUP(T885, IF(D885="Movers", 换算标准!$A:$B, 换算标准!$G:$H), 2, TRUE), 0))</f>
        <v/>
      </c>
      <c r="W885" t="str">
        <f t="shared" si="41"/>
        <v/>
      </c>
      <c r="Z885" s="5" t="str">
        <f>IF(J885="","", IF(K885&lt;=3, "⚠️ 薄弱环节: "&amp;INDEX($E$1:$I$1, MATCH(MIN(E885:I885), E885:I885, 0))&amp;CHAR(10)&amp;"📉 考察能力: "&amp;IFERROR(VLOOKUP(TRIM(D885)&amp;"_"&amp;TRIM(INDEX($E$1:$I$1, MATCH(MIN(E885:I885), E885:I885, 0))), 技能库!$A:$F, 5, 0),"建议查阅考纲")&amp;CHAR(10)&amp;"💡 提升建议: "&amp;IFERROR(VLOOKUP(TRIM(D885)&amp;"_"&amp;TRIM(INDEX($E$1:$I$1, MATCH(MIN(E885:I885), E885:I885, 0))), 技能库!$A:$F, 6, 0),"请针对该题型加强练习"), "🎉 表现优异，无明显弱项！"))</f>
        <v/>
      </c>
      <c r="AA885" s="5" t="str">
        <f>IF(T885="","", IF(U885&lt;=3, "⚠️ 薄弱环节: "&amp;INDEX($M$1:$S$1, MATCH(MIN(M885:S885), M885:S885, 0))&amp;CHAR(10)&amp;"📉 考察能力: "&amp;IFERROR(VLOOKUP(TRIM(D885)&amp;"_"&amp;TRIM(INDEX($M$1:$S$1, MATCH(MIN(M885:S885), M885:S885, 0))), 技能库!$A:$F, 5, 0),"建议查阅考纲")&amp;CHAR(10)&amp;"💡 提升建议: "&amp;IFERROR(VLOOKUP(TRIM(D885)&amp;"_"&amp;TRIM(INDEX($M$1:$S$1, MATCH(MIN(M885:S885), M885:S885, 0))), 技能库!$A:$F, 6, 0),"请针对该题型加强练习"), "🎉 表现优异，无明显弱项！"))</f>
        <v/>
      </c>
    </row>
    <row r="886" spans="10:27" ht="18" hidden="1" customHeight="1" x14ac:dyDescent="0.2">
      <c r="J886" t="str">
        <f t="shared" si="39"/>
        <v/>
      </c>
      <c r="K886" t="str">
        <f>IF(J886="","", IFERROR(VLOOKUP(J886, IF(D886="Movers", 换算标准!$C:$D, 换算标准!$I:$J), 2, TRUE), 0))</f>
        <v/>
      </c>
      <c r="T886" t="str">
        <f t="shared" si="40"/>
        <v/>
      </c>
      <c r="U886" t="str">
        <f>IF(T886="","", IFERROR(VLOOKUP(T886, IF(D886="Movers", 换算标准!$A:$B, 换算标准!$G:$H), 2, TRUE), 0))</f>
        <v/>
      </c>
      <c r="W886" t="str">
        <f t="shared" si="41"/>
        <v/>
      </c>
      <c r="Z886" s="5" t="str">
        <f>IF(J886="","", IF(K886&lt;=3, "⚠️ 薄弱环节: "&amp;INDEX($E$1:$I$1, MATCH(MIN(E886:I886), E886:I886, 0))&amp;CHAR(10)&amp;"📉 考察能力: "&amp;IFERROR(VLOOKUP(TRIM(D886)&amp;"_"&amp;TRIM(INDEX($E$1:$I$1, MATCH(MIN(E886:I886), E886:I886, 0))), 技能库!$A:$F, 5, 0),"建议查阅考纲")&amp;CHAR(10)&amp;"💡 提升建议: "&amp;IFERROR(VLOOKUP(TRIM(D886)&amp;"_"&amp;TRIM(INDEX($E$1:$I$1, MATCH(MIN(E886:I886), E886:I886, 0))), 技能库!$A:$F, 6, 0),"请针对该题型加强练习"), "🎉 表现优异，无明显弱项！"))</f>
        <v/>
      </c>
      <c r="AA886" s="5" t="str">
        <f>IF(T886="","", IF(U886&lt;=3, "⚠️ 薄弱环节: "&amp;INDEX($M$1:$S$1, MATCH(MIN(M886:S886), M886:S886, 0))&amp;CHAR(10)&amp;"📉 考察能力: "&amp;IFERROR(VLOOKUP(TRIM(D886)&amp;"_"&amp;TRIM(INDEX($M$1:$S$1, MATCH(MIN(M886:S886), M886:S886, 0))), 技能库!$A:$F, 5, 0),"建议查阅考纲")&amp;CHAR(10)&amp;"💡 提升建议: "&amp;IFERROR(VLOOKUP(TRIM(D886)&amp;"_"&amp;TRIM(INDEX($M$1:$S$1, MATCH(MIN(M886:S886), M886:S886, 0))), 技能库!$A:$F, 6, 0),"请针对该题型加强练习"), "🎉 表现优异，无明显弱项！"))</f>
        <v/>
      </c>
    </row>
    <row r="887" spans="10:27" ht="18" hidden="1" customHeight="1" x14ac:dyDescent="0.2">
      <c r="J887" t="str">
        <f t="shared" si="39"/>
        <v/>
      </c>
      <c r="K887" t="str">
        <f>IF(J887="","", IFERROR(VLOOKUP(J887, IF(D887="Movers", 换算标准!$C:$D, 换算标准!$I:$J), 2, TRUE), 0))</f>
        <v/>
      </c>
      <c r="T887" t="str">
        <f t="shared" si="40"/>
        <v/>
      </c>
      <c r="U887" t="str">
        <f>IF(T887="","", IFERROR(VLOOKUP(T887, IF(D887="Movers", 换算标准!$A:$B, 换算标准!$G:$H), 2, TRUE), 0))</f>
        <v/>
      </c>
      <c r="W887" t="str">
        <f t="shared" si="41"/>
        <v/>
      </c>
      <c r="Z887" s="5" t="str">
        <f>IF(J887="","", IF(K887&lt;=3, "⚠️ 薄弱环节: "&amp;INDEX($E$1:$I$1, MATCH(MIN(E887:I887), E887:I887, 0))&amp;CHAR(10)&amp;"📉 考察能力: "&amp;IFERROR(VLOOKUP(TRIM(D887)&amp;"_"&amp;TRIM(INDEX($E$1:$I$1, MATCH(MIN(E887:I887), E887:I887, 0))), 技能库!$A:$F, 5, 0),"建议查阅考纲")&amp;CHAR(10)&amp;"💡 提升建议: "&amp;IFERROR(VLOOKUP(TRIM(D887)&amp;"_"&amp;TRIM(INDEX($E$1:$I$1, MATCH(MIN(E887:I887), E887:I887, 0))), 技能库!$A:$F, 6, 0),"请针对该题型加强练习"), "🎉 表现优异，无明显弱项！"))</f>
        <v/>
      </c>
      <c r="AA887" s="5" t="str">
        <f>IF(T887="","", IF(U887&lt;=3, "⚠️ 薄弱环节: "&amp;INDEX($M$1:$S$1, MATCH(MIN(M887:S887), M887:S887, 0))&amp;CHAR(10)&amp;"📉 考察能力: "&amp;IFERROR(VLOOKUP(TRIM(D887)&amp;"_"&amp;TRIM(INDEX($M$1:$S$1, MATCH(MIN(M887:S887), M887:S887, 0))), 技能库!$A:$F, 5, 0),"建议查阅考纲")&amp;CHAR(10)&amp;"💡 提升建议: "&amp;IFERROR(VLOOKUP(TRIM(D887)&amp;"_"&amp;TRIM(INDEX($M$1:$S$1, MATCH(MIN(M887:S887), M887:S887, 0))), 技能库!$A:$F, 6, 0),"请针对该题型加强练习"), "🎉 表现优异，无明显弱项！"))</f>
        <v/>
      </c>
    </row>
    <row r="888" spans="10:27" ht="18" hidden="1" customHeight="1" x14ac:dyDescent="0.2">
      <c r="J888" t="str">
        <f t="shared" si="39"/>
        <v/>
      </c>
      <c r="K888" t="str">
        <f>IF(J888="","", IFERROR(VLOOKUP(J888, IF(D888="Movers", 换算标准!$C:$D, 换算标准!$I:$J), 2, TRUE), 0))</f>
        <v/>
      </c>
      <c r="T888" t="str">
        <f t="shared" si="40"/>
        <v/>
      </c>
      <c r="U888" t="str">
        <f>IF(T888="","", IFERROR(VLOOKUP(T888, IF(D888="Movers", 换算标准!$A:$B, 换算标准!$G:$H), 2, TRUE), 0))</f>
        <v/>
      </c>
      <c r="W888" t="str">
        <f t="shared" si="41"/>
        <v/>
      </c>
      <c r="Z888" s="5" t="str">
        <f>IF(J888="","", IF(K888&lt;=3, "⚠️ 薄弱环节: "&amp;INDEX($E$1:$I$1, MATCH(MIN(E888:I888), E888:I888, 0))&amp;CHAR(10)&amp;"📉 考察能力: "&amp;IFERROR(VLOOKUP(TRIM(D888)&amp;"_"&amp;TRIM(INDEX($E$1:$I$1, MATCH(MIN(E888:I888), E888:I888, 0))), 技能库!$A:$F, 5, 0),"建议查阅考纲")&amp;CHAR(10)&amp;"💡 提升建议: "&amp;IFERROR(VLOOKUP(TRIM(D888)&amp;"_"&amp;TRIM(INDEX($E$1:$I$1, MATCH(MIN(E888:I888), E888:I888, 0))), 技能库!$A:$F, 6, 0),"请针对该题型加强练习"), "🎉 表现优异，无明显弱项！"))</f>
        <v/>
      </c>
      <c r="AA888" s="5" t="str">
        <f>IF(T888="","", IF(U888&lt;=3, "⚠️ 薄弱环节: "&amp;INDEX($M$1:$S$1, MATCH(MIN(M888:S888), M888:S888, 0))&amp;CHAR(10)&amp;"📉 考察能力: "&amp;IFERROR(VLOOKUP(TRIM(D888)&amp;"_"&amp;TRIM(INDEX($M$1:$S$1, MATCH(MIN(M888:S888), M888:S888, 0))), 技能库!$A:$F, 5, 0),"建议查阅考纲")&amp;CHAR(10)&amp;"💡 提升建议: "&amp;IFERROR(VLOOKUP(TRIM(D888)&amp;"_"&amp;TRIM(INDEX($M$1:$S$1, MATCH(MIN(M888:S888), M888:S888, 0))), 技能库!$A:$F, 6, 0),"请针对该题型加强练习"), "🎉 表现优异，无明显弱项！"))</f>
        <v/>
      </c>
    </row>
    <row r="889" spans="10:27" ht="18" hidden="1" customHeight="1" x14ac:dyDescent="0.2">
      <c r="J889" t="str">
        <f t="shared" si="39"/>
        <v/>
      </c>
      <c r="K889" t="str">
        <f>IF(J889="","", IFERROR(VLOOKUP(J889, IF(D889="Movers", 换算标准!$C:$D, 换算标准!$I:$J), 2, TRUE), 0))</f>
        <v/>
      </c>
      <c r="T889" t="str">
        <f t="shared" si="40"/>
        <v/>
      </c>
      <c r="U889" t="str">
        <f>IF(T889="","", IFERROR(VLOOKUP(T889, IF(D889="Movers", 换算标准!$A:$B, 换算标准!$G:$H), 2, TRUE), 0))</f>
        <v/>
      </c>
      <c r="W889" t="str">
        <f t="shared" si="41"/>
        <v/>
      </c>
      <c r="Z889" s="5" t="str">
        <f>IF(J889="","", IF(K889&lt;=3, "⚠️ 薄弱环节: "&amp;INDEX($E$1:$I$1, MATCH(MIN(E889:I889), E889:I889, 0))&amp;CHAR(10)&amp;"📉 考察能力: "&amp;IFERROR(VLOOKUP(TRIM(D889)&amp;"_"&amp;TRIM(INDEX($E$1:$I$1, MATCH(MIN(E889:I889), E889:I889, 0))), 技能库!$A:$F, 5, 0),"建议查阅考纲")&amp;CHAR(10)&amp;"💡 提升建议: "&amp;IFERROR(VLOOKUP(TRIM(D889)&amp;"_"&amp;TRIM(INDEX($E$1:$I$1, MATCH(MIN(E889:I889), E889:I889, 0))), 技能库!$A:$F, 6, 0),"请针对该题型加强练习"), "🎉 表现优异，无明显弱项！"))</f>
        <v/>
      </c>
      <c r="AA889" s="5" t="str">
        <f>IF(T889="","", IF(U889&lt;=3, "⚠️ 薄弱环节: "&amp;INDEX($M$1:$S$1, MATCH(MIN(M889:S889), M889:S889, 0))&amp;CHAR(10)&amp;"📉 考察能力: "&amp;IFERROR(VLOOKUP(TRIM(D889)&amp;"_"&amp;TRIM(INDEX($M$1:$S$1, MATCH(MIN(M889:S889), M889:S889, 0))), 技能库!$A:$F, 5, 0),"建议查阅考纲")&amp;CHAR(10)&amp;"💡 提升建议: "&amp;IFERROR(VLOOKUP(TRIM(D889)&amp;"_"&amp;TRIM(INDEX($M$1:$S$1, MATCH(MIN(M889:S889), M889:S889, 0))), 技能库!$A:$F, 6, 0),"请针对该题型加强练习"), "🎉 表现优异，无明显弱项！"))</f>
        <v/>
      </c>
    </row>
    <row r="890" spans="10:27" ht="18" hidden="1" customHeight="1" x14ac:dyDescent="0.2">
      <c r="J890" t="str">
        <f t="shared" si="39"/>
        <v/>
      </c>
      <c r="K890" t="str">
        <f>IF(J890="","", IFERROR(VLOOKUP(J890, IF(D890="Movers", 换算标准!$C:$D, 换算标准!$I:$J), 2, TRUE), 0))</f>
        <v/>
      </c>
      <c r="T890" t="str">
        <f t="shared" si="40"/>
        <v/>
      </c>
      <c r="U890" t="str">
        <f>IF(T890="","", IFERROR(VLOOKUP(T890, IF(D890="Movers", 换算标准!$A:$B, 换算标准!$G:$H), 2, TRUE), 0))</f>
        <v/>
      </c>
      <c r="W890" t="str">
        <f t="shared" si="41"/>
        <v/>
      </c>
      <c r="Z890" s="5" t="str">
        <f>IF(J890="","", IF(K890&lt;=3, "⚠️ 薄弱环节: "&amp;INDEX($E$1:$I$1, MATCH(MIN(E890:I890), E890:I890, 0))&amp;CHAR(10)&amp;"📉 考察能力: "&amp;IFERROR(VLOOKUP(TRIM(D890)&amp;"_"&amp;TRIM(INDEX($E$1:$I$1, MATCH(MIN(E890:I890), E890:I890, 0))), 技能库!$A:$F, 5, 0),"建议查阅考纲")&amp;CHAR(10)&amp;"💡 提升建议: "&amp;IFERROR(VLOOKUP(TRIM(D890)&amp;"_"&amp;TRIM(INDEX($E$1:$I$1, MATCH(MIN(E890:I890), E890:I890, 0))), 技能库!$A:$F, 6, 0),"请针对该题型加强练习"), "🎉 表现优异，无明显弱项！"))</f>
        <v/>
      </c>
      <c r="AA890" s="5" t="str">
        <f>IF(T890="","", IF(U890&lt;=3, "⚠️ 薄弱环节: "&amp;INDEX($M$1:$S$1, MATCH(MIN(M890:S890), M890:S890, 0))&amp;CHAR(10)&amp;"📉 考察能力: "&amp;IFERROR(VLOOKUP(TRIM(D890)&amp;"_"&amp;TRIM(INDEX($M$1:$S$1, MATCH(MIN(M890:S890), M890:S890, 0))), 技能库!$A:$F, 5, 0),"建议查阅考纲")&amp;CHAR(10)&amp;"💡 提升建议: "&amp;IFERROR(VLOOKUP(TRIM(D890)&amp;"_"&amp;TRIM(INDEX($M$1:$S$1, MATCH(MIN(M890:S890), M890:S890, 0))), 技能库!$A:$F, 6, 0),"请针对该题型加强练习"), "🎉 表现优异，无明显弱项！"))</f>
        <v/>
      </c>
    </row>
    <row r="891" spans="10:27" ht="18" hidden="1" customHeight="1" x14ac:dyDescent="0.2">
      <c r="J891" t="str">
        <f t="shared" si="39"/>
        <v/>
      </c>
      <c r="K891" t="str">
        <f>IF(J891="","", IFERROR(VLOOKUP(J891, IF(D891="Movers", 换算标准!$C:$D, 换算标准!$I:$J), 2, TRUE), 0))</f>
        <v/>
      </c>
      <c r="T891" t="str">
        <f t="shared" si="40"/>
        <v/>
      </c>
      <c r="U891" t="str">
        <f>IF(T891="","", IFERROR(VLOOKUP(T891, IF(D891="Movers", 换算标准!$A:$B, 换算标准!$G:$H), 2, TRUE), 0))</f>
        <v/>
      </c>
      <c r="W891" t="str">
        <f t="shared" si="41"/>
        <v/>
      </c>
      <c r="Z891" s="5" t="str">
        <f>IF(J891="","", IF(K891&lt;=3, "⚠️ 薄弱环节: "&amp;INDEX($E$1:$I$1, MATCH(MIN(E891:I891), E891:I891, 0))&amp;CHAR(10)&amp;"📉 考察能力: "&amp;IFERROR(VLOOKUP(TRIM(D891)&amp;"_"&amp;TRIM(INDEX($E$1:$I$1, MATCH(MIN(E891:I891), E891:I891, 0))), 技能库!$A:$F, 5, 0),"建议查阅考纲")&amp;CHAR(10)&amp;"💡 提升建议: "&amp;IFERROR(VLOOKUP(TRIM(D891)&amp;"_"&amp;TRIM(INDEX($E$1:$I$1, MATCH(MIN(E891:I891), E891:I891, 0))), 技能库!$A:$F, 6, 0),"请针对该题型加强练习"), "🎉 表现优异，无明显弱项！"))</f>
        <v/>
      </c>
      <c r="AA891" s="5" t="str">
        <f>IF(T891="","", IF(U891&lt;=3, "⚠️ 薄弱环节: "&amp;INDEX($M$1:$S$1, MATCH(MIN(M891:S891), M891:S891, 0))&amp;CHAR(10)&amp;"📉 考察能力: "&amp;IFERROR(VLOOKUP(TRIM(D891)&amp;"_"&amp;TRIM(INDEX($M$1:$S$1, MATCH(MIN(M891:S891), M891:S891, 0))), 技能库!$A:$F, 5, 0),"建议查阅考纲")&amp;CHAR(10)&amp;"💡 提升建议: "&amp;IFERROR(VLOOKUP(TRIM(D891)&amp;"_"&amp;TRIM(INDEX($M$1:$S$1, MATCH(MIN(M891:S891), M891:S891, 0))), 技能库!$A:$F, 6, 0),"请针对该题型加强练习"), "🎉 表现优异，无明显弱项！"))</f>
        <v/>
      </c>
    </row>
    <row r="892" spans="10:27" ht="18" hidden="1" customHeight="1" x14ac:dyDescent="0.2">
      <c r="J892" t="str">
        <f t="shared" si="39"/>
        <v/>
      </c>
      <c r="K892" t="str">
        <f>IF(J892="","", IFERROR(VLOOKUP(J892, IF(D892="Movers", 换算标准!$C:$D, 换算标准!$I:$J), 2, TRUE), 0))</f>
        <v/>
      </c>
      <c r="T892" t="str">
        <f t="shared" si="40"/>
        <v/>
      </c>
      <c r="U892" t="str">
        <f>IF(T892="","", IFERROR(VLOOKUP(T892, IF(D892="Movers", 换算标准!$A:$B, 换算标准!$G:$H), 2, TRUE), 0))</f>
        <v/>
      </c>
      <c r="W892" t="str">
        <f t="shared" si="41"/>
        <v/>
      </c>
      <c r="Z892" s="5" t="str">
        <f>IF(J892="","", IF(K892&lt;=3, "⚠️ 薄弱环节: "&amp;INDEX($E$1:$I$1, MATCH(MIN(E892:I892), E892:I892, 0))&amp;CHAR(10)&amp;"📉 考察能力: "&amp;IFERROR(VLOOKUP(TRIM(D892)&amp;"_"&amp;TRIM(INDEX($E$1:$I$1, MATCH(MIN(E892:I892), E892:I892, 0))), 技能库!$A:$F, 5, 0),"建议查阅考纲")&amp;CHAR(10)&amp;"💡 提升建议: "&amp;IFERROR(VLOOKUP(TRIM(D892)&amp;"_"&amp;TRIM(INDEX($E$1:$I$1, MATCH(MIN(E892:I892), E892:I892, 0))), 技能库!$A:$F, 6, 0),"请针对该题型加强练习"), "🎉 表现优异，无明显弱项！"))</f>
        <v/>
      </c>
      <c r="AA892" s="5" t="str">
        <f>IF(T892="","", IF(U892&lt;=3, "⚠️ 薄弱环节: "&amp;INDEX($M$1:$S$1, MATCH(MIN(M892:S892), M892:S892, 0))&amp;CHAR(10)&amp;"📉 考察能力: "&amp;IFERROR(VLOOKUP(TRIM(D892)&amp;"_"&amp;TRIM(INDEX($M$1:$S$1, MATCH(MIN(M892:S892), M892:S892, 0))), 技能库!$A:$F, 5, 0),"建议查阅考纲")&amp;CHAR(10)&amp;"💡 提升建议: "&amp;IFERROR(VLOOKUP(TRIM(D892)&amp;"_"&amp;TRIM(INDEX($M$1:$S$1, MATCH(MIN(M892:S892), M892:S892, 0))), 技能库!$A:$F, 6, 0),"请针对该题型加强练习"), "🎉 表现优异，无明显弱项！"))</f>
        <v/>
      </c>
    </row>
    <row r="893" spans="10:27" ht="18" hidden="1" customHeight="1" x14ac:dyDescent="0.2">
      <c r="J893" t="str">
        <f t="shared" si="39"/>
        <v/>
      </c>
      <c r="K893" t="str">
        <f>IF(J893="","", IFERROR(VLOOKUP(J893, IF(D893="Movers", 换算标准!$C:$D, 换算标准!$I:$J), 2, TRUE), 0))</f>
        <v/>
      </c>
      <c r="T893" t="str">
        <f t="shared" si="40"/>
        <v/>
      </c>
      <c r="U893" t="str">
        <f>IF(T893="","", IFERROR(VLOOKUP(T893, IF(D893="Movers", 换算标准!$A:$B, 换算标准!$G:$H), 2, TRUE), 0))</f>
        <v/>
      </c>
      <c r="W893" t="str">
        <f t="shared" si="41"/>
        <v/>
      </c>
      <c r="Z893" s="5" t="str">
        <f>IF(J893="","", IF(K893&lt;=3, "⚠️ 薄弱环节: "&amp;INDEX($E$1:$I$1, MATCH(MIN(E893:I893), E893:I893, 0))&amp;CHAR(10)&amp;"📉 考察能力: "&amp;IFERROR(VLOOKUP(TRIM(D893)&amp;"_"&amp;TRIM(INDEX($E$1:$I$1, MATCH(MIN(E893:I893), E893:I893, 0))), 技能库!$A:$F, 5, 0),"建议查阅考纲")&amp;CHAR(10)&amp;"💡 提升建议: "&amp;IFERROR(VLOOKUP(TRIM(D893)&amp;"_"&amp;TRIM(INDEX($E$1:$I$1, MATCH(MIN(E893:I893), E893:I893, 0))), 技能库!$A:$F, 6, 0),"请针对该题型加强练习"), "🎉 表现优异，无明显弱项！"))</f>
        <v/>
      </c>
      <c r="AA893" s="5" t="str">
        <f>IF(T893="","", IF(U893&lt;=3, "⚠️ 薄弱环节: "&amp;INDEX($M$1:$S$1, MATCH(MIN(M893:S893), M893:S893, 0))&amp;CHAR(10)&amp;"📉 考察能力: "&amp;IFERROR(VLOOKUP(TRIM(D893)&amp;"_"&amp;TRIM(INDEX($M$1:$S$1, MATCH(MIN(M893:S893), M893:S893, 0))), 技能库!$A:$F, 5, 0),"建议查阅考纲")&amp;CHAR(10)&amp;"💡 提升建议: "&amp;IFERROR(VLOOKUP(TRIM(D893)&amp;"_"&amp;TRIM(INDEX($M$1:$S$1, MATCH(MIN(M893:S893), M893:S893, 0))), 技能库!$A:$F, 6, 0),"请针对该题型加强练习"), "🎉 表现优异，无明显弱项！"))</f>
        <v/>
      </c>
    </row>
    <row r="894" spans="10:27" ht="18" hidden="1" customHeight="1" x14ac:dyDescent="0.2">
      <c r="J894" t="str">
        <f t="shared" si="39"/>
        <v/>
      </c>
      <c r="K894" t="str">
        <f>IF(J894="","", IFERROR(VLOOKUP(J894, IF(D894="Movers", 换算标准!$C:$D, 换算标准!$I:$J), 2, TRUE), 0))</f>
        <v/>
      </c>
      <c r="T894" t="str">
        <f t="shared" si="40"/>
        <v/>
      </c>
      <c r="U894" t="str">
        <f>IF(T894="","", IFERROR(VLOOKUP(T894, IF(D894="Movers", 换算标准!$A:$B, 换算标准!$G:$H), 2, TRUE), 0))</f>
        <v/>
      </c>
      <c r="W894" t="str">
        <f t="shared" si="41"/>
        <v/>
      </c>
      <c r="Z894" s="5" t="str">
        <f>IF(J894="","", IF(K894&lt;=3, "⚠️ 薄弱环节: "&amp;INDEX($E$1:$I$1, MATCH(MIN(E894:I894), E894:I894, 0))&amp;CHAR(10)&amp;"📉 考察能力: "&amp;IFERROR(VLOOKUP(TRIM(D894)&amp;"_"&amp;TRIM(INDEX($E$1:$I$1, MATCH(MIN(E894:I894), E894:I894, 0))), 技能库!$A:$F, 5, 0),"建议查阅考纲")&amp;CHAR(10)&amp;"💡 提升建议: "&amp;IFERROR(VLOOKUP(TRIM(D894)&amp;"_"&amp;TRIM(INDEX($E$1:$I$1, MATCH(MIN(E894:I894), E894:I894, 0))), 技能库!$A:$F, 6, 0),"请针对该题型加强练习"), "🎉 表现优异，无明显弱项！"))</f>
        <v/>
      </c>
      <c r="AA894" s="5" t="str">
        <f>IF(T894="","", IF(U894&lt;=3, "⚠️ 薄弱环节: "&amp;INDEX($M$1:$S$1, MATCH(MIN(M894:S894), M894:S894, 0))&amp;CHAR(10)&amp;"📉 考察能力: "&amp;IFERROR(VLOOKUP(TRIM(D894)&amp;"_"&amp;TRIM(INDEX($M$1:$S$1, MATCH(MIN(M894:S894), M894:S894, 0))), 技能库!$A:$F, 5, 0),"建议查阅考纲")&amp;CHAR(10)&amp;"💡 提升建议: "&amp;IFERROR(VLOOKUP(TRIM(D894)&amp;"_"&amp;TRIM(INDEX($M$1:$S$1, MATCH(MIN(M894:S894), M894:S894, 0))), 技能库!$A:$F, 6, 0),"请针对该题型加强练习"), "🎉 表现优异，无明显弱项！"))</f>
        <v/>
      </c>
    </row>
    <row r="895" spans="10:27" ht="18" hidden="1" customHeight="1" x14ac:dyDescent="0.2">
      <c r="J895" t="str">
        <f t="shared" si="39"/>
        <v/>
      </c>
      <c r="K895" t="str">
        <f>IF(J895="","", IFERROR(VLOOKUP(J895, IF(D895="Movers", 换算标准!$C:$D, 换算标准!$I:$J), 2, TRUE), 0))</f>
        <v/>
      </c>
      <c r="T895" t="str">
        <f t="shared" si="40"/>
        <v/>
      </c>
      <c r="U895" t="str">
        <f>IF(T895="","", IFERROR(VLOOKUP(T895, IF(D895="Movers", 换算标准!$A:$B, 换算标准!$G:$H), 2, TRUE), 0))</f>
        <v/>
      </c>
      <c r="W895" t="str">
        <f t="shared" si="41"/>
        <v/>
      </c>
      <c r="Z895" s="5" t="str">
        <f>IF(J895="","", IF(K895&lt;=3, "⚠️ 薄弱环节: "&amp;INDEX($E$1:$I$1, MATCH(MIN(E895:I895), E895:I895, 0))&amp;CHAR(10)&amp;"📉 考察能力: "&amp;IFERROR(VLOOKUP(TRIM(D895)&amp;"_"&amp;TRIM(INDEX($E$1:$I$1, MATCH(MIN(E895:I895), E895:I895, 0))), 技能库!$A:$F, 5, 0),"建议查阅考纲")&amp;CHAR(10)&amp;"💡 提升建议: "&amp;IFERROR(VLOOKUP(TRIM(D895)&amp;"_"&amp;TRIM(INDEX($E$1:$I$1, MATCH(MIN(E895:I895), E895:I895, 0))), 技能库!$A:$F, 6, 0),"请针对该题型加强练习"), "🎉 表现优异，无明显弱项！"))</f>
        <v/>
      </c>
      <c r="AA895" s="5" t="str">
        <f>IF(T895="","", IF(U895&lt;=3, "⚠️ 薄弱环节: "&amp;INDEX($M$1:$S$1, MATCH(MIN(M895:S895), M895:S895, 0))&amp;CHAR(10)&amp;"📉 考察能力: "&amp;IFERROR(VLOOKUP(TRIM(D895)&amp;"_"&amp;TRIM(INDEX($M$1:$S$1, MATCH(MIN(M895:S895), M895:S895, 0))), 技能库!$A:$F, 5, 0),"建议查阅考纲")&amp;CHAR(10)&amp;"💡 提升建议: "&amp;IFERROR(VLOOKUP(TRIM(D895)&amp;"_"&amp;TRIM(INDEX($M$1:$S$1, MATCH(MIN(M895:S895), M895:S895, 0))), 技能库!$A:$F, 6, 0),"请针对该题型加强练习"), "🎉 表现优异，无明显弱项！"))</f>
        <v/>
      </c>
    </row>
    <row r="896" spans="10:27" ht="18" hidden="1" customHeight="1" x14ac:dyDescent="0.2">
      <c r="J896" t="str">
        <f t="shared" si="39"/>
        <v/>
      </c>
      <c r="K896" t="str">
        <f>IF(J896="","", IFERROR(VLOOKUP(J896, IF(D896="Movers", 换算标准!$C:$D, 换算标准!$I:$J), 2, TRUE), 0))</f>
        <v/>
      </c>
      <c r="T896" t="str">
        <f t="shared" si="40"/>
        <v/>
      </c>
      <c r="U896" t="str">
        <f>IF(T896="","", IFERROR(VLOOKUP(T896, IF(D896="Movers", 换算标准!$A:$B, 换算标准!$G:$H), 2, TRUE), 0))</f>
        <v/>
      </c>
      <c r="W896" t="str">
        <f t="shared" si="41"/>
        <v/>
      </c>
      <c r="Z896" s="5" t="str">
        <f>IF(J896="","", IF(K896&lt;=3, "⚠️ 薄弱环节: "&amp;INDEX($E$1:$I$1, MATCH(MIN(E896:I896), E896:I896, 0))&amp;CHAR(10)&amp;"📉 考察能力: "&amp;IFERROR(VLOOKUP(TRIM(D896)&amp;"_"&amp;TRIM(INDEX($E$1:$I$1, MATCH(MIN(E896:I896), E896:I896, 0))), 技能库!$A:$F, 5, 0),"建议查阅考纲")&amp;CHAR(10)&amp;"💡 提升建议: "&amp;IFERROR(VLOOKUP(TRIM(D896)&amp;"_"&amp;TRIM(INDEX($E$1:$I$1, MATCH(MIN(E896:I896), E896:I896, 0))), 技能库!$A:$F, 6, 0),"请针对该题型加强练习"), "🎉 表现优异，无明显弱项！"))</f>
        <v/>
      </c>
      <c r="AA896" s="5" t="str">
        <f>IF(T896="","", IF(U896&lt;=3, "⚠️ 薄弱环节: "&amp;INDEX($M$1:$S$1, MATCH(MIN(M896:S896), M896:S896, 0))&amp;CHAR(10)&amp;"📉 考察能力: "&amp;IFERROR(VLOOKUP(TRIM(D896)&amp;"_"&amp;TRIM(INDEX($M$1:$S$1, MATCH(MIN(M896:S896), M896:S896, 0))), 技能库!$A:$F, 5, 0),"建议查阅考纲")&amp;CHAR(10)&amp;"💡 提升建议: "&amp;IFERROR(VLOOKUP(TRIM(D896)&amp;"_"&amp;TRIM(INDEX($M$1:$S$1, MATCH(MIN(M896:S896), M896:S896, 0))), 技能库!$A:$F, 6, 0),"请针对该题型加强练习"), "🎉 表现优异，无明显弱项！"))</f>
        <v/>
      </c>
    </row>
    <row r="897" spans="10:27" ht="18" hidden="1" customHeight="1" x14ac:dyDescent="0.2">
      <c r="J897" t="str">
        <f t="shared" si="39"/>
        <v/>
      </c>
      <c r="K897" t="str">
        <f>IF(J897="","", IFERROR(VLOOKUP(J897, IF(D897="Movers", 换算标准!$C:$D, 换算标准!$I:$J), 2, TRUE), 0))</f>
        <v/>
      </c>
      <c r="T897" t="str">
        <f t="shared" si="40"/>
        <v/>
      </c>
      <c r="U897" t="str">
        <f>IF(T897="","", IFERROR(VLOOKUP(T897, IF(D897="Movers", 换算标准!$A:$B, 换算标准!$G:$H), 2, TRUE), 0))</f>
        <v/>
      </c>
      <c r="W897" t="str">
        <f t="shared" si="41"/>
        <v/>
      </c>
      <c r="Z897" s="5" t="str">
        <f>IF(J897="","", IF(K897&lt;=3, "⚠️ 薄弱环节: "&amp;INDEX($E$1:$I$1, MATCH(MIN(E897:I897), E897:I897, 0))&amp;CHAR(10)&amp;"📉 考察能力: "&amp;IFERROR(VLOOKUP(TRIM(D897)&amp;"_"&amp;TRIM(INDEX($E$1:$I$1, MATCH(MIN(E897:I897), E897:I897, 0))), 技能库!$A:$F, 5, 0),"建议查阅考纲")&amp;CHAR(10)&amp;"💡 提升建议: "&amp;IFERROR(VLOOKUP(TRIM(D897)&amp;"_"&amp;TRIM(INDEX($E$1:$I$1, MATCH(MIN(E897:I897), E897:I897, 0))), 技能库!$A:$F, 6, 0),"请针对该题型加强练习"), "🎉 表现优异，无明显弱项！"))</f>
        <v/>
      </c>
      <c r="AA897" s="5" t="str">
        <f>IF(T897="","", IF(U897&lt;=3, "⚠️ 薄弱环节: "&amp;INDEX($M$1:$S$1, MATCH(MIN(M897:S897), M897:S897, 0))&amp;CHAR(10)&amp;"📉 考察能力: "&amp;IFERROR(VLOOKUP(TRIM(D897)&amp;"_"&amp;TRIM(INDEX($M$1:$S$1, MATCH(MIN(M897:S897), M897:S897, 0))), 技能库!$A:$F, 5, 0),"建议查阅考纲")&amp;CHAR(10)&amp;"💡 提升建议: "&amp;IFERROR(VLOOKUP(TRIM(D897)&amp;"_"&amp;TRIM(INDEX($M$1:$S$1, MATCH(MIN(M897:S897), M897:S897, 0))), 技能库!$A:$F, 6, 0),"请针对该题型加强练习"), "🎉 表现优异，无明显弱项！"))</f>
        <v/>
      </c>
    </row>
    <row r="898" spans="10:27" ht="18" hidden="1" customHeight="1" x14ac:dyDescent="0.2">
      <c r="J898" t="str">
        <f t="shared" ref="J898:J961" si="42">IF(COUNT(E898:I898)&gt;0, SUM(E898:I898), "")</f>
        <v/>
      </c>
      <c r="K898" t="str">
        <f>IF(J898="","", IFERROR(VLOOKUP(J898, IF(D898="Movers", 换算标准!$C:$D, 换算标准!$I:$J), 2, TRUE), 0))</f>
        <v/>
      </c>
      <c r="T898" t="str">
        <f t="shared" ref="T898:T961" si="43">IF(COUNT(M898:S898)&gt;0, SUM(M898:S898), "")</f>
        <v/>
      </c>
      <c r="U898" t="str">
        <f>IF(T898="","", IFERROR(VLOOKUP(T898, IF(D898="Movers", 换算标准!$A:$B, 换算标准!$G:$H), 2, TRUE), 0))</f>
        <v/>
      </c>
      <c r="W898" t="str">
        <f t="shared" ref="W898:W961" si="44">IF(AND(K898&lt;&gt;"", U898&lt;&gt;""), K898+U898, "")</f>
        <v/>
      </c>
      <c r="Z898" s="5" t="str">
        <f>IF(J898="","", IF(K898&lt;=3, "⚠️ 薄弱环节: "&amp;INDEX($E$1:$I$1, MATCH(MIN(E898:I898), E898:I898, 0))&amp;CHAR(10)&amp;"📉 考察能力: "&amp;IFERROR(VLOOKUP(TRIM(D898)&amp;"_"&amp;TRIM(INDEX($E$1:$I$1, MATCH(MIN(E898:I898), E898:I898, 0))), 技能库!$A:$F, 5, 0),"建议查阅考纲")&amp;CHAR(10)&amp;"💡 提升建议: "&amp;IFERROR(VLOOKUP(TRIM(D898)&amp;"_"&amp;TRIM(INDEX($E$1:$I$1, MATCH(MIN(E898:I898), E898:I898, 0))), 技能库!$A:$F, 6, 0),"请针对该题型加强练习"), "🎉 表现优异，无明显弱项！"))</f>
        <v/>
      </c>
      <c r="AA898" s="5" t="str">
        <f>IF(T898="","", IF(U898&lt;=3, "⚠️ 薄弱环节: "&amp;INDEX($M$1:$S$1, MATCH(MIN(M898:S898), M898:S898, 0))&amp;CHAR(10)&amp;"📉 考察能力: "&amp;IFERROR(VLOOKUP(TRIM(D898)&amp;"_"&amp;TRIM(INDEX($M$1:$S$1, MATCH(MIN(M898:S898), M898:S898, 0))), 技能库!$A:$F, 5, 0),"建议查阅考纲")&amp;CHAR(10)&amp;"💡 提升建议: "&amp;IFERROR(VLOOKUP(TRIM(D898)&amp;"_"&amp;TRIM(INDEX($M$1:$S$1, MATCH(MIN(M898:S898), M898:S898, 0))), 技能库!$A:$F, 6, 0),"请针对该题型加强练习"), "🎉 表现优异，无明显弱项！"))</f>
        <v/>
      </c>
    </row>
    <row r="899" spans="10:27" ht="18" hidden="1" customHeight="1" x14ac:dyDescent="0.2">
      <c r="J899" t="str">
        <f t="shared" si="42"/>
        <v/>
      </c>
      <c r="K899" t="str">
        <f>IF(J899="","", IFERROR(VLOOKUP(J899, IF(D899="Movers", 换算标准!$C:$D, 换算标准!$I:$J), 2, TRUE), 0))</f>
        <v/>
      </c>
      <c r="T899" t="str">
        <f t="shared" si="43"/>
        <v/>
      </c>
      <c r="U899" t="str">
        <f>IF(T899="","", IFERROR(VLOOKUP(T899, IF(D899="Movers", 换算标准!$A:$B, 换算标准!$G:$H), 2, TRUE), 0))</f>
        <v/>
      </c>
      <c r="W899" t="str">
        <f t="shared" si="44"/>
        <v/>
      </c>
      <c r="Z899" s="5" t="str">
        <f>IF(J899="","", IF(K899&lt;=3, "⚠️ 薄弱环节: "&amp;INDEX($E$1:$I$1, MATCH(MIN(E899:I899), E899:I899, 0))&amp;CHAR(10)&amp;"📉 考察能力: "&amp;IFERROR(VLOOKUP(TRIM(D899)&amp;"_"&amp;TRIM(INDEX($E$1:$I$1, MATCH(MIN(E899:I899), E899:I899, 0))), 技能库!$A:$F, 5, 0),"建议查阅考纲")&amp;CHAR(10)&amp;"💡 提升建议: "&amp;IFERROR(VLOOKUP(TRIM(D899)&amp;"_"&amp;TRIM(INDEX($E$1:$I$1, MATCH(MIN(E899:I899), E899:I899, 0))), 技能库!$A:$F, 6, 0),"请针对该题型加强练习"), "🎉 表现优异，无明显弱项！"))</f>
        <v/>
      </c>
      <c r="AA899" s="5" t="str">
        <f>IF(T899="","", IF(U899&lt;=3, "⚠️ 薄弱环节: "&amp;INDEX($M$1:$S$1, MATCH(MIN(M899:S899), M899:S899, 0))&amp;CHAR(10)&amp;"📉 考察能力: "&amp;IFERROR(VLOOKUP(TRIM(D899)&amp;"_"&amp;TRIM(INDEX($M$1:$S$1, MATCH(MIN(M899:S899), M899:S899, 0))), 技能库!$A:$F, 5, 0),"建议查阅考纲")&amp;CHAR(10)&amp;"💡 提升建议: "&amp;IFERROR(VLOOKUP(TRIM(D899)&amp;"_"&amp;TRIM(INDEX($M$1:$S$1, MATCH(MIN(M899:S899), M899:S899, 0))), 技能库!$A:$F, 6, 0),"请针对该题型加强练习"), "🎉 表现优异，无明显弱项！"))</f>
        <v/>
      </c>
    </row>
    <row r="900" spans="10:27" ht="18" hidden="1" customHeight="1" x14ac:dyDescent="0.2">
      <c r="J900" t="str">
        <f t="shared" si="42"/>
        <v/>
      </c>
      <c r="K900" t="str">
        <f>IF(J900="","", IFERROR(VLOOKUP(J900, IF(D900="Movers", 换算标准!$C:$D, 换算标准!$I:$J), 2, TRUE), 0))</f>
        <v/>
      </c>
      <c r="T900" t="str">
        <f t="shared" si="43"/>
        <v/>
      </c>
      <c r="U900" t="str">
        <f>IF(T900="","", IFERROR(VLOOKUP(T900, IF(D900="Movers", 换算标准!$A:$B, 换算标准!$G:$H), 2, TRUE), 0))</f>
        <v/>
      </c>
      <c r="W900" t="str">
        <f t="shared" si="44"/>
        <v/>
      </c>
      <c r="Z900" s="5" t="str">
        <f>IF(J900="","", IF(K900&lt;=3, "⚠️ 薄弱环节: "&amp;INDEX($E$1:$I$1, MATCH(MIN(E900:I900), E900:I900, 0))&amp;CHAR(10)&amp;"📉 考察能力: "&amp;IFERROR(VLOOKUP(TRIM(D900)&amp;"_"&amp;TRIM(INDEX($E$1:$I$1, MATCH(MIN(E900:I900), E900:I900, 0))), 技能库!$A:$F, 5, 0),"建议查阅考纲")&amp;CHAR(10)&amp;"💡 提升建议: "&amp;IFERROR(VLOOKUP(TRIM(D900)&amp;"_"&amp;TRIM(INDEX($E$1:$I$1, MATCH(MIN(E900:I900), E900:I900, 0))), 技能库!$A:$F, 6, 0),"请针对该题型加强练习"), "🎉 表现优异，无明显弱项！"))</f>
        <v/>
      </c>
      <c r="AA900" s="5" t="str">
        <f>IF(T900="","", IF(U900&lt;=3, "⚠️ 薄弱环节: "&amp;INDEX($M$1:$S$1, MATCH(MIN(M900:S900), M900:S900, 0))&amp;CHAR(10)&amp;"📉 考察能力: "&amp;IFERROR(VLOOKUP(TRIM(D900)&amp;"_"&amp;TRIM(INDEX($M$1:$S$1, MATCH(MIN(M900:S900), M900:S900, 0))), 技能库!$A:$F, 5, 0),"建议查阅考纲")&amp;CHAR(10)&amp;"💡 提升建议: "&amp;IFERROR(VLOOKUP(TRIM(D900)&amp;"_"&amp;TRIM(INDEX($M$1:$S$1, MATCH(MIN(M900:S900), M900:S900, 0))), 技能库!$A:$F, 6, 0),"请针对该题型加强练习"), "🎉 表现优异，无明显弱项！"))</f>
        <v/>
      </c>
    </row>
    <row r="901" spans="10:27" ht="18" hidden="1" customHeight="1" x14ac:dyDescent="0.2">
      <c r="J901" t="str">
        <f t="shared" si="42"/>
        <v/>
      </c>
      <c r="K901" t="str">
        <f>IF(J901="","", IFERROR(VLOOKUP(J901, IF(D901="Movers", 换算标准!$C:$D, 换算标准!$I:$J), 2, TRUE), 0))</f>
        <v/>
      </c>
      <c r="T901" t="str">
        <f t="shared" si="43"/>
        <v/>
      </c>
      <c r="U901" t="str">
        <f>IF(T901="","", IFERROR(VLOOKUP(T901, IF(D901="Movers", 换算标准!$A:$B, 换算标准!$G:$H), 2, TRUE), 0))</f>
        <v/>
      </c>
      <c r="W901" t="str">
        <f t="shared" si="44"/>
        <v/>
      </c>
      <c r="Z901" s="5" t="str">
        <f>IF(J901="","", IF(K901&lt;=3, "⚠️ 薄弱环节: "&amp;INDEX($E$1:$I$1, MATCH(MIN(E901:I901), E901:I901, 0))&amp;CHAR(10)&amp;"📉 考察能力: "&amp;IFERROR(VLOOKUP(TRIM(D901)&amp;"_"&amp;TRIM(INDEX($E$1:$I$1, MATCH(MIN(E901:I901), E901:I901, 0))), 技能库!$A:$F, 5, 0),"建议查阅考纲")&amp;CHAR(10)&amp;"💡 提升建议: "&amp;IFERROR(VLOOKUP(TRIM(D901)&amp;"_"&amp;TRIM(INDEX($E$1:$I$1, MATCH(MIN(E901:I901), E901:I901, 0))), 技能库!$A:$F, 6, 0),"请针对该题型加强练习"), "🎉 表现优异，无明显弱项！"))</f>
        <v/>
      </c>
      <c r="AA901" s="5" t="str">
        <f>IF(T901="","", IF(U901&lt;=3, "⚠️ 薄弱环节: "&amp;INDEX($M$1:$S$1, MATCH(MIN(M901:S901), M901:S901, 0))&amp;CHAR(10)&amp;"📉 考察能力: "&amp;IFERROR(VLOOKUP(TRIM(D901)&amp;"_"&amp;TRIM(INDEX($M$1:$S$1, MATCH(MIN(M901:S901), M901:S901, 0))), 技能库!$A:$F, 5, 0),"建议查阅考纲")&amp;CHAR(10)&amp;"💡 提升建议: "&amp;IFERROR(VLOOKUP(TRIM(D901)&amp;"_"&amp;TRIM(INDEX($M$1:$S$1, MATCH(MIN(M901:S901), M901:S901, 0))), 技能库!$A:$F, 6, 0),"请针对该题型加强练习"), "🎉 表现优异，无明显弱项！"))</f>
        <v/>
      </c>
    </row>
    <row r="902" spans="10:27" ht="18" hidden="1" customHeight="1" x14ac:dyDescent="0.2">
      <c r="J902" t="str">
        <f t="shared" si="42"/>
        <v/>
      </c>
      <c r="K902" t="str">
        <f>IF(J902="","", IFERROR(VLOOKUP(J902, IF(D902="Movers", 换算标准!$C:$D, 换算标准!$I:$J), 2, TRUE), 0))</f>
        <v/>
      </c>
      <c r="T902" t="str">
        <f t="shared" si="43"/>
        <v/>
      </c>
      <c r="U902" t="str">
        <f>IF(T902="","", IFERROR(VLOOKUP(T902, IF(D902="Movers", 换算标准!$A:$B, 换算标准!$G:$H), 2, TRUE), 0))</f>
        <v/>
      </c>
      <c r="W902" t="str">
        <f t="shared" si="44"/>
        <v/>
      </c>
      <c r="Z902" s="5" t="str">
        <f>IF(J902="","", IF(K902&lt;=3, "⚠️ 薄弱环节: "&amp;INDEX($E$1:$I$1, MATCH(MIN(E902:I902), E902:I902, 0))&amp;CHAR(10)&amp;"📉 考察能力: "&amp;IFERROR(VLOOKUP(TRIM(D902)&amp;"_"&amp;TRIM(INDEX($E$1:$I$1, MATCH(MIN(E902:I902), E902:I902, 0))), 技能库!$A:$F, 5, 0),"建议查阅考纲")&amp;CHAR(10)&amp;"💡 提升建议: "&amp;IFERROR(VLOOKUP(TRIM(D902)&amp;"_"&amp;TRIM(INDEX($E$1:$I$1, MATCH(MIN(E902:I902), E902:I902, 0))), 技能库!$A:$F, 6, 0),"请针对该题型加强练习"), "🎉 表现优异，无明显弱项！"))</f>
        <v/>
      </c>
      <c r="AA902" s="5" t="str">
        <f>IF(T902="","", IF(U902&lt;=3, "⚠️ 薄弱环节: "&amp;INDEX($M$1:$S$1, MATCH(MIN(M902:S902), M902:S902, 0))&amp;CHAR(10)&amp;"📉 考察能力: "&amp;IFERROR(VLOOKUP(TRIM(D902)&amp;"_"&amp;TRIM(INDEX($M$1:$S$1, MATCH(MIN(M902:S902), M902:S902, 0))), 技能库!$A:$F, 5, 0),"建议查阅考纲")&amp;CHAR(10)&amp;"💡 提升建议: "&amp;IFERROR(VLOOKUP(TRIM(D902)&amp;"_"&amp;TRIM(INDEX($M$1:$S$1, MATCH(MIN(M902:S902), M902:S902, 0))), 技能库!$A:$F, 6, 0),"请针对该题型加强练习"), "🎉 表现优异，无明显弱项！"))</f>
        <v/>
      </c>
    </row>
    <row r="903" spans="10:27" ht="18" hidden="1" customHeight="1" x14ac:dyDescent="0.2">
      <c r="J903" t="str">
        <f t="shared" si="42"/>
        <v/>
      </c>
      <c r="K903" t="str">
        <f>IF(J903="","", IFERROR(VLOOKUP(J903, IF(D903="Movers", 换算标准!$C:$D, 换算标准!$I:$J), 2, TRUE), 0))</f>
        <v/>
      </c>
      <c r="T903" t="str">
        <f t="shared" si="43"/>
        <v/>
      </c>
      <c r="U903" t="str">
        <f>IF(T903="","", IFERROR(VLOOKUP(T903, IF(D903="Movers", 换算标准!$A:$B, 换算标准!$G:$H), 2, TRUE), 0))</f>
        <v/>
      </c>
      <c r="W903" t="str">
        <f t="shared" si="44"/>
        <v/>
      </c>
      <c r="Z903" s="5" t="str">
        <f>IF(J903="","", IF(K903&lt;=3, "⚠️ 薄弱环节: "&amp;INDEX($E$1:$I$1, MATCH(MIN(E903:I903), E903:I903, 0))&amp;CHAR(10)&amp;"📉 考察能力: "&amp;IFERROR(VLOOKUP(TRIM(D903)&amp;"_"&amp;TRIM(INDEX($E$1:$I$1, MATCH(MIN(E903:I903), E903:I903, 0))), 技能库!$A:$F, 5, 0),"建议查阅考纲")&amp;CHAR(10)&amp;"💡 提升建议: "&amp;IFERROR(VLOOKUP(TRIM(D903)&amp;"_"&amp;TRIM(INDEX($E$1:$I$1, MATCH(MIN(E903:I903), E903:I903, 0))), 技能库!$A:$F, 6, 0),"请针对该题型加强练习"), "🎉 表现优异，无明显弱项！"))</f>
        <v/>
      </c>
      <c r="AA903" s="5" t="str">
        <f>IF(T903="","", IF(U903&lt;=3, "⚠️ 薄弱环节: "&amp;INDEX($M$1:$S$1, MATCH(MIN(M903:S903), M903:S903, 0))&amp;CHAR(10)&amp;"📉 考察能力: "&amp;IFERROR(VLOOKUP(TRIM(D903)&amp;"_"&amp;TRIM(INDEX($M$1:$S$1, MATCH(MIN(M903:S903), M903:S903, 0))), 技能库!$A:$F, 5, 0),"建议查阅考纲")&amp;CHAR(10)&amp;"💡 提升建议: "&amp;IFERROR(VLOOKUP(TRIM(D903)&amp;"_"&amp;TRIM(INDEX($M$1:$S$1, MATCH(MIN(M903:S903), M903:S903, 0))), 技能库!$A:$F, 6, 0),"请针对该题型加强练习"), "🎉 表现优异，无明显弱项！"))</f>
        <v/>
      </c>
    </row>
    <row r="904" spans="10:27" ht="18" hidden="1" customHeight="1" x14ac:dyDescent="0.2">
      <c r="J904" t="str">
        <f t="shared" si="42"/>
        <v/>
      </c>
      <c r="K904" t="str">
        <f>IF(J904="","", IFERROR(VLOOKUP(J904, IF(D904="Movers", 换算标准!$C:$D, 换算标准!$I:$J), 2, TRUE), 0))</f>
        <v/>
      </c>
      <c r="T904" t="str">
        <f t="shared" si="43"/>
        <v/>
      </c>
      <c r="U904" t="str">
        <f>IF(T904="","", IFERROR(VLOOKUP(T904, IF(D904="Movers", 换算标准!$A:$B, 换算标准!$G:$H), 2, TRUE), 0))</f>
        <v/>
      </c>
      <c r="W904" t="str">
        <f t="shared" si="44"/>
        <v/>
      </c>
      <c r="Z904" s="5" t="str">
        <f>IF(J904="","", IF(K904&lt;=3, "⚠️ 薄弱环节: "&amp;INDEX($E$1:$I$1, MATCH(MIN(E904:I904), E904:I904, 0))&amp;CHAR(10)&amp;"📉 考察能力: "&amp;IFERROR(VLOOKUP(TRIM(D904)&amp;"_"&amp;TRIM(INDEX($E$1:$I$1, MATCH(MIN(E904:I904), E904:I904, 0))), 技能库!$A:$F, 5, 0),"建议查阅考纲")&amp;CHAR(10)&amp;"💡 提升建议: "&amp;IFERROR(VLOOKUP(TRIM(D904)&amp;"_"&amp;TRIM(INDEX($E$1:$I$1, MATCH(MIN(E904:I904), E904:I904, 0))), 技能库!$A:$F, 6, 0),"请针对该题型加强练习"), "🎉 表现优异，无明显弱项！"))</f>
        <v/>
      </c>
      <c r="AA904" s="5" t="str">
        <f>IF(T904="","", IF(U904&lt;=3, "⚠️ 薄弱环节: "&amp;INDEX($M$1:$S$1, MATCH(MIN(M904:S904), M904:S904, 0))&amp;CHAR(10)&amp;"📉 考察能力: "&amp;IFERROR(VLOOKUP(TRIM(D904)&amp;"_"&amp;TRIM(INDEX($M$1:$S$1, MATCH(MIN(M904:S904), M904:S904, 0))), 技能库!$A:$F, 5, 0),"建议查阅考纲")&amp;CHAR(10)&amp;"💡 提升建议: "&amp;IFERROR(VLOOKUP(TRIM(D904)&amp;"_"&amp;TRIM(INDEX($M$1:$S$1, MATCH(MIN(M904:S904), M904:S904, 0))), 技能库!$A:$F, 6, 0),"请针对该题型加强练习"), "🎉 表现优异，无明显弱项！"))</f>
        <v/>
      </c>
    </row>
    <row r="905" spans="10:27" ht="18" hidden="1" customHeight="1" x14ac:dyDescent="0.2">
      <c r="J905" t="str">
        <f t="shared" si="42"/>
        <v/>
      </c>
      <c r="K905" t="str">
        <f>IF(J905="","", IFERROR(VLOOKUP(J905, IF(D905="Movers", 换算标准!$C:$D, 换算标准!$I:$J), 2, TRUE), 0))</f>
        <v/>
      </c>
      <c r="T905" t="str">
        <f t="shared" si="43"/>
        <v/>
      </c>
      <c r="U905" t="str">
        <f>IF(T905="","", IFERROR(VLOOKUP(T905, IF(D905="Movers", 换算标准!$A:$B, 换算标准!$G:$H), 2, TRUE), 0))</f>
        <v/>
      </c>
      <c r="W905" t="str">
        <f t="shared" si="44"/>
        <v/>
      </c>
      <c r="Z905" s="5" t="str">
        <f>IF(J905="","", IF(K905&lt;=3, "⚠️ 薄弱环节: "&amp;INDEX($E$1:$I$1, MATCH(MIN(E905:I905), E905:I905, 0))&amp;CHAR(10)&amp;"📉 考察能力: "&amp;IFERROR(VLOOKUP(TRIM(D905)&amp;"_"&amp;TRIM(INDEX($E$1:$I$1, MATCH(MIN(E905:I905), E905:I905, 0))), 技能库!$A:$F, 5, 0),"建议查阅考纲")&amp;CHAR(10)&amp;"💡 提升建议: "&amp;IFERROR(VLOOKUP(TRIM(D905)&amp;"_"&amp;TRIM(INDEX($E$1:$I$1, MATCH(MIN(E905:I905), E905:I905, 0))), 技能库!$A:$F, 6, 0),"请针对该题型加强练习"), "🎉 表现优异，无明显弱项！"))</f>
        <v/>
      </c>
      <c r="AA905" s="5" t="str">
        <f>IF(T905="","", IF(U905&lt;=3, "⚠️ 薄弱环节: "&amp;INDEX($M$1:$S$1, MATCH(MIN(M905:S905), M905:S905, 0))&amp;CHAR(10)&amp;"📉 考察能力: "&amp;IFERROR(VLOOKUP(TRIM(D905)&amp;"_"&amp;TRIM(INDEX($M$1:$S$1, MATCH(MIN(M905:S905), M905:S905, 0))), 技能库!$A:$F, 5, 0),"建议查阅考纲")&amp;CHAR(10)&amp;"💡 提升建议: "&amp;IFERROR(VLOOKUP(TRIM(D905)&amp;"_"&amp;TRIM(INDEX($M$1:$S$1, MATCH(MIN(M905:S905), M905:S905, 0))), 技能库!$A:$F, 6, 0),"请针对该题型加强练习"), "🎉 表现优异，无明显弱项！"))</f>
        <v/>
      </c>
    </row>
    <row r="906" spans="10:27" ht="18" hidden="1" customHeight="1" x14ac:dyDescent="0.2">
      <c r="J906" t="str">
        <f t="shared" si="42"/>
        <v/>
      </c>
      <c r="K906" t="str">
        <f>IF(J906="","", IFERROR(VLOOKUP(J906, IF(D906="Movers", 换算标准!$C:$D, 换算标准!$I:$J), 2, TRUE), 0))</f>
        <v/>
      </c>
      <c r="T906" t="str">
        <f t="shared" si="43"/>
        <v/>
      </c>
      <c r="U906" t="str">
        <f>IF(T906="","", IFERROR(VLOOKUP(T906, IF(D906="Movers", 换算标准!$A:$B, 换算标准!$G:$H), 2, TRUE), 0))</f>
        <v/>
      </c>
      <c r="W906" t="str">
        <f t="shared" si="44"/>
        <v/>
      </c>
      <c r="Z906" s="5" t="str">
        <f>IF(J906="","", IF(K906&lt;=3, "⚠️ 薄弱环节: "&amp;INDEX($E$1:$I$1, MATCH(MIN(E906:I906), E906:I906, 0))&amp;CHAR(10)&amp;"📉 考察能力: "&amp;IFERROR(VLOOKUP(TRIM(D906)&amp;"_"&amp;TRIM(INDEX($E$1:$I$1, MATCH(MIN(E906:I906), E906:I906, 0))), 技能库!$A:$F, 5, 0),"建议查阅考纲")&amp;CHAR(10)&amp;"💡 提升建议: "&amp;IFERROR(VLOOKUP(TRIM(D906)&amp;"_"&amp;TRIM(INDEX($E$1:$I$1, MATCH(MIN(E906:I906), E906:I906, 0))), 技能库!$A:$F, 6, 0),"请针对该题型加强练习"), "🎉 表现优异，无明显弱项！"))</f>
        <v/>
      </c>
      <c r="AA906" s="5" t="str">
        <f>IF(T906="","", IF(U906&lt;=3, "⚠️ 薄弱环节: "&amp;INDEX($M$1:$S$1, MATCH(MIN(M906:S906), M906:S906, 0))&amp;CHAR(10)&amp;"📉 考察能力: "&amp;IFERROR(VLOOKUP(TRIM(D906)&amp;"_"&amp;TRIM(INDEX($M$1:$S$1, MATCH(MIN(M906:S906), M906:S906, 0))), 技能库!$A:$F, 5, 0),"建议查阅考纲")&amp;CHAR(10)&amp;"💡 提升建议: "&amp;IFERROR(VLOOKUP(TRIM(D906)&amp;"_"&amp;TRIM(INDEX($M$1:$S$1, MATCH(MIN(M906:S906), M906:S906, 0))), 技能库!$A:$F, 6, 0),"请针对该题型加强练习"), "🎉 表现优异，无明显弱项！"))</f>
        <v/>
      </c>
    </row>
    <row r="907" spans="10:27" ht="18" hidden="1" customHeight="1" x14ac:dyDescent="0.2">
      <c r="J907" t="str">
        <f t="shared" si="42"/>
        <v/>
      </c>
      <c r="K907" t="str">
        <f>IF(J907="","", IFERROR(VLOOKUP(J907, IF(D907="Movers", 换算标准!$C:$D, 换算标准!$I:$J), 2, TRUE), 0))</f>
        <v/>
      </c>
      <c r="T907" t="str">
        <f t="shared" si="43"/>
        <v/>
      </c>
      <c r="U907" t="str">
        <f>IF(T907="","", IFERROR(VLOOKUP(T907, IF(D907="Movers", 换算标准!$A:$B, 换算标准!$G:$H), 2, TRUE), 0))</f>
        <v/>
      </c>
      <c r="W907" t="str">
        <f t="shared" si="44"/>
        <v/>
      </c>
      <c r="Z907" s="5" t="str">
        <f>IF(J907="","", IF(K907&lt;=3, "⚠️ 薄弱环节: "&amp;INDEX($E$1:$I$1, MATCH(MIN(E907:I907), E907:I907, 0))&amp;CHAR(10)&amp;"📉 考察能力: "&amp;IFERROR(VLOOKUP(TRIM(D907)&amp;"_"&amp;TRIM(INDEX($E$1:$I$1, MATCH(MIN(E907:I907), E907:I907, 0))), 技能库!$A:$F, 5, 0),"建议查阅考纲")&amp;CHAR(10)&amp;"💡 提升建议: "&amp;IFERROR(VLOOKUP(TRIM(D907)&amp;"_"&amp;TRIM(INDEX($E$1:$I$1, MATCH(MIN(E907:I907), E907:I907, 0))), 技能库!$A:$F, 6, 0),"请针对该题型加强练习"), "🎉 表现优异，无明显弱项！"))</f>
        <v/>
      </c>
      <c r="AA907" s="5" t="str">
        <f>IF(T907="","", IF(U907&lt;=3, "⚠️ 薄弱环节: "&amp;INDEX($M$1:$S$1, MATCH(MIN(M907:S907), M907:S907, 0))&amp;CHAR(10)&amp;"📉 考察能力: "&amp;IFERROR(VLOOKUP(TRIM(D907)&amp;"_"&amp;TRIM(INDEX($M$1:$S$1, MATCH(MIN(M907:S907), M907:S907, 0))), 技能库!$A:$F, 5, 0),"建议查阅考纲")&amp;CHAR(10)&amp;"💡 提升建议: "&amp;IFERROR(VLOOKUP(TRIM(D907)&amp;"_"&amp;TRIM(INDEX($M$1:$S$1, MATCH(MIN(M907:S907), M907:S907, 0))), 技能库!$A:$F, 6, 0),"请针对该题型加强练习"), "🎉 表现优异，无明显弱项！"))</f>
        <v/>
      </c>
    </row>
    <row r="908" spans="10:27" ht="18" hidden="1" customHeight="1" x14ac:dyDescent="0.2">
      <c r="J908" t="str">
        <f t="shared" si="42"/>
        <v/>
      </c>
      <c r="K908" t="str">
        <f>IF(J908="","", IFERROR(VLOOKUP(J908, IF(D908="Movers", 换算标准!$C:$D, 换算标准!$I:$J), 2, TRUE), 0))</f>
        <v/>
      </c>
      <c r="T908" t="str">
        <f t="shared" si="43"/>
        <v/>
      </c>
      <c r="U908" t="str">
        <f>IF(T908="","", IFERROR(VLOOKUP(T908, IF(D908="Movers", 换算标准!$A:$B, 换算标准!$G:$H), 2, TRUE), 0))</f>
        <v/>
      </c>
      <c r="W908" t="str">
        <f t="shared" si="44"/>
        <v/>
      </c>
      <c r="Z908" s="5" t="str">
        <f>IF(J908="","", IF(K908&lt;=3, "⚠️ 薄弱环节: "&amp;INDEX($E$1:$I$1, MATCH(MIN(E908:I908), E908:I908, 0))&amp;CHAR(10)&amp;"📉 考察能力: "&amp;IFERROR(VLOOKUP(TRIM(D908)&amp;"_"&amp;TRIM(INDEX($E$1:$I$1, MATCH(MIN(E908:I908), E908:I908, 0))), 技能库!$A:$F, 5, 0),"建议查阅考纲")&amp;CHAR(10)&amp;"💡 提升建议: "&amp;IFERROR(VLOOKUP(TRIM(D908)&amp;"_"&amp;TRIM(INDEX($E$1:$I$1, MATCH(MIN(E908:I908), E908:I908, 0))), 技能库!$A:$F, 6, 0),"请针对该题型加强练习"), "🎉 表现优异，无明显弱项！"))</f>
        <v/>
      </c>
      <c r="AA908" s="5" t="str">
        <f>IF(T908="","", IF(U908&lt;=3, "⚠️ 薄弱环节: "&amp;INDEX($M$1:$S$1, MATCH(MIN(M908:S908), M908:S908, 0))&amp;CHAR(10)&amp;"📉 考察能力: "&amp;IFERROR(VLOOKUP(TRIM(D908)&amp;"_"&amp;TRIM(INDEX($M$1:$S$1, MATCH(MIN(M908:S908), M908:S908, 0))), 技能库!$A:$F, 5, 0),"建议查阅考纲")&amp;CHAR(10)&amp;"💡 提升建议: "&amp;IFERROR(VLOOKUP(TRIM(D908)&amp;"_"&amp;TRIM(INDEX($M$1:$S$1, MATCH(MIN(M908:S908), M908:S908, 0))), 技能库!$A:$F, 6, 0),"请针对该题型加强练习"), "🎉 表现优异，无明显弱项！"))</f>
        <v/>
      </c>
    </row>
    <row r="909" spans="10:27" ht="18" hidden="1" customHeight="1" x14ac:dyDescent="0.2">
      <c r="J909" t="str">
        <f t="shared" si="42"/>
        <v/>
      </c>
      <c r="K909" t="str">
        <f>IF(J909="","", IFERROR(VLOOKUP(J909, IF(D909="Movers", 换算标准!$C:$D, 换算标准!$I:$J), 2, TRUE), 0))</f>
        <v/>
      </c>
      <c r="T909" t="str">
        <f t="shared" si="43"/>
        <v/>
      </c>
      <c r="U909" t="str">
        <f>IF(T909="","", IFERROR(VLOOKUP(T909, IF(D909="Movers", 换算标准!$A:$B, 换算标准!$G:$H), 2, TRUE), 0))</f>
        <v/>
      </c>
      <c r="W909" t="str">
        <f t="shared" si="44"/>
        <v/>
      </c>
      <c r="Z909" s="5" t="str">
        <f>IF(J909="","", IF(K909&lt;=3, "⚠️ 薄弱环节: "&amp;INDEX($E$1:$I$1, MATCH(MIN(E909:I909), E909:I909, 0))&amp;CHAR(10)&amp;"📉 考察能力: "&amp;IFERROR(VLOOKUP(TRIM(D909)&amp;"_"&amp;TRIM(INDEX($E$1:$I$1, MATCH(MIN(E909:I909), E909:I909, 0))), 技能库!$A:$F, 5, 0),"建议查阅考纲")&amp;CHAR(10)&amp;"💡 提升建议: "&amp;IFERROR(VLOOKUP(TRIM(D909)&amp;"_"&amp;TRIM(INDEX($E$1:$I$1, MATCH(MIN(E909:I909), E909:I909, 0))), 技能库!$A:$F, 6, 0),"请针对该题型加强练习"), "🎉 表现优异，无明显弱项！"))</f>
        <v/>
      </c>
      <c r="AA909" s="5" t="str">
        <f>IF(T909="","", IF(U909&lt;=3, "⚠️ 薄弱环节: "&amp;INDEX($M$1:$S$1, MATCH(MIN(M909:S909), M909:S909, 0))&amp;CHAR(10)&amp;"📉 考察能力: "&amp;IFERROR(VLOOKUP(TRIM(D909)&amp;"_"&amp;TRIM(INDEX($M$1:$S$1, MATCH(MIN(M909:S909), M909:S909, 0))), 技能库!$A:$F, 5, 0),"建议查阅考纲")&amp;CHAR(10)&amp;"💡 提升建议: "&amp;IFERROR(VLOOKUP(TRIM(D909)&amp;"_"&amp;TRIM(INDEX($M$1:$S$1, MATCH(MIN(M909:S909), M909:S909, 0))), 技能库!$A:$F, 6, 0),"请针对该题型加强练习"), "🎉 表现优异，无明显弱项！"))</f>
        <v/>
      </c>
    </row>
    <row r="910" spans="10:27" ht="18" hidden="1" customHeight="1" x14ac:dyDescent="0.2">
      <c r="J910" t="str">
        <f t="shared" si="42"/>
        <v/>
      </c>
      <c r="K910" t="str">
        <f>IF(J910="","", IFERROR(VLOOKUP(J910, IF(D910="Movers", 换算标准!$C:$D, 换算标准!$I:$J), 2, TRUE), 0))</f>
        <v/>
      </c>
      <c r="T910" t="str">
        <f t="shared" si="43"/>
        <v/>
      </c>
      <c r="U910" t="str">
        <f>IF(T910="","", IFERROR(VLOOKUP(T910, IF(D910="Movers", 换算标准!$A:$B, 换算标准!$G:$H), 2, TRUE), 0))</f>
        <v/>
      </c>
      <c r="W910" t="str">
        <f t="shared" si="44"/>
        <v/>
      </c>
      <c r="Z910" s="5" t="str">
        <f>IF(J910="","", IF(K910&lt;=3, "⚠️ 薄弱环节: "&amp;INDEX($E$1:$I$1, MATCH(MIN(E910:I910), E910:I910, 0))&amp;CHAR(10)&amp;"📉 考察能力: "&amp;IFERROR(VLOOKUP(TRIM(D910)&amp;"_"&amp;TRIM(INDEX($E$1:$I$1, MATCH(MIN(E910:I910), E910:I910, 0))), 技能库!$A:$F, 5, 0),"建议查阅考纲")&amp;CHAR(10)&amp;"💡 提升建议: "&amp;IFERROR(VLOOKUP(TRIM(D910)&amp;"_"&amp;TRIM(INDEX($E$1:$I$1, MATCH(MIN(E910:I910), E910:I910, 0))), 技能库!$A:$F, 6, 0),"请针对该题型加强练习"), "🎉 表现优异，无明显弱项！"))</f>
        <v/>
      </c>
      <c r="AA910" s="5" t="str">
        <f>IF(T910="","", IF(U910&lt;=3, "⚠️ 薄弱环节: "&amp;INDEX($M$1:$S$1, MATCH(MIN(M910:S910), M910:S910, 0))&amp;CHAR(10)&amp;"📉 考察能力: "&amp;IFERROR(VLOOKUP(TRIM(D910)&amp;"_"&amp;TRIM(INDEX($M$1:$S$1, MATCH(MIN(M910:S910), M910:S910, 0))), 技能库!$A:$F, 5, 0),"建议查阅考纲")&amp;CHAR(10)&amp;"💡 提升建议: "&amp;IFERROR(VLOOKUP(TRIM(D910)&amp;"_"&amp;TRIM(INDEX($M$1:$S$1, MATCH(MIN(M910:S910), M910:S910, 0))), 技能库!$A:$F, 6, 0),"请针对该题型加强练习"), "🎉 表现优异，无明显弱项！"))</f>
        <v/>
      </c>
    </row>
    <row r="911" spans="10:27" ht="18" hidden="1" customHeight="1" x14ac:dyDescent="0.2">
      <c r="J911" t="str">
        <f t="shared" si="42"/>
        <v/>
      </c>
      <c r="K911" t="str">
        <f>IF(J911="","", IFERROR(VLOOKUP(J911, IF(D911="Movers", 换算标准!$C:$D, 换算标准!$I:$J), 2, TRUE), 0))</f>
        <v/>
      </c>
      <c r="T911" t="str">
        <f t="shared" si="43"/>
        <v/>
      </c>
      <c r="U911" t="str">
        <f>IF(T911="","", IFERROR(VLOOKUP(T911, IF(D911="Movers", 换算标准!$A:$B, 换算标准!$G:$H), 2, TRUE), 0))</f>
        <v/>
      </c>
      <c r="W911" t="str">
        <f t="shared" si="44"/>
        <v/>
      </c>
      <c r="Z911" s="5" t="str">
        <f>IF(J911="","", IF(K911&lt;=3, "⚠️ 薄弱环节: "&amp;INDEX($E$1:$I$1, MATCH(MIN(E911:I911), E911:I911, 0))&amp;CHAR(10)&amp;"📉 考察能力: "&amp;IFERROR(VLOOKUP(TRIM(D911)&amp;"_"&amp;TRIM(INDEX($E$1:$I$1, MATCH(MIN(E911:I911), E911:I911, 0))), 技能库!$A:$F, 5, 0),"建议查阅考纲")&amp;CHAR(10)&amp;"💡 提升建议: "&amp;IFERROR(VLOOKUP(TRIM(D911)&amp;"_"&amp;TRIM(INDEX($E$1:$I$1, MATCH(MIN(E911:I911), E911:I911, 0))), 技能库!$A:$F, 6, 0),"请针对该题型加强练习"), "🎉 表现优异，无明显弱项！"))</f>
        <v/>
      </c>
      <c r="AA911" s="5" t="str">
        <f>IF(T911="","", IF(U911&lt;=3, "⚠️ 薄弱环节: "&amp;INDEX($M$1:$S$1, MATCH(MIN(M911:S911), M911:S911, 0))&amp;CHAR(10)&amp;"📉 考察能力: "&amp;IFERROR(VLOOKUP(TRIM(D911)&amp;"_"&amp;TRIM(INDEX($M$1:$S$1, MATCH(MIN(M911:S911), M911:S911, 0))), 技能库!$A:$F, 5, 0),"建议查阅考纲")&amp;CHAR(10)&amp;"💡 提升建议: "&amp;IFERROR(VLOOKUP(TRIM(D911)&amp;"_"&amp;TRIM(INDEX($M$1:$S$1, MATCH(MIN(M911:S911), M911:S911, 0))), 技能库!$A:$F, 6, 0),"请针对该题型加强练习"), "🎉 表现优异，无明显弱项！"))</f>
        <v/>
      </c>
    </row>
    <row r="912" spans="10:27" ht="18" hidden="1" customHeight="1" x14ac:dyDescent="0.2">
      <c r="J912" t="str">
        <f t="shared" si="42"/>
        <v/>
      </c>
      <c r="K912" t="str">
        <f>IF(J912="","", IFERROR(VLOOKUP(J912, IF(D912="Movers", 换算标准!$C:$D, 换算标准!$I:$J), 2, TRUE), 0))</f>
        <v/>
      </c>
      <c r="T912" t="str">
        <f t="shared" si="43"/>
        <v/>
      </c>
      <c r="U912" t="str">
        <f>IF(T912="","", IFERROR(VLOOKUP(T912, IF(D912="Movers", 换算标准!$A:$B, 换算标准!$G:$H), 2, TRUE), 0))</f>
        <v/>
      </c>
      <c r="W912" t="str">
        <f t="shared" si="44"/>
        <v/>
      </c>
      <c r="Z912" s="5" t="str">
        <f>IF(J912="","", IF(K912&lt;=3, "⚠️ 薄弱环节: "&amp;INDEX($E$1:$I$1, MATCH(MIN(E912:I912), E912:I912, 0))&amp;CHAR(10)&amp;"📉 考察能力: "&amp;IFERROR(VLOOKUP(TRIM(D912)&amp;"_"&amp;TRIM(INDEX($E$1:$I$1, MATCH(MIN(E912:I912), E912:I912, 0))), 技能库!$A:$F, 5, 0),"建议查阅考纲")&amp;CHAR(10)&amp;"💡 提升建议: "&amp;IFERROR(VLOOKUP(TRIM(D912)&amp;"_"&amp;TRIM(INDEX($E$1:$I$1, MATCH(MIN(E912:I912), E912:I912, 0))), 技能库!$A:$F, 6, 0),"请针对该题型加强练习"), "🎉 表现优异，无明显弱项！"))</f>
        <v/>
      </c>
      <c r="AA912" s="5" t="str">
        <f>IF(T912="","", IF(U912&lt;=3, "⚠️ 薄弱环节: "&amp;INDEX($M$1:$S$1, MATCH(MIN(M912:S912), M912:S912, 0))&amp;CHAR(10)&amp;"📉 考察能力: "&amp;IFERROR(VLOOKUP(TRIM(D912)&amp;"_"&amp;TRIM(INDEX($M$1:$S$1, MATCH(MIN(M912:S912), M912:S912, 0))), 技能库!$A:$F, 5, 0),"建议查阅考纲")&amp;CHAR(10)&amp;"💡 提升建议: "&amp;IFERROR(VLOOKUP(TRIM(D912)&amp;"_"&amp;TRIM(INDEX($M$1:$S$1, MATCH(MIN(M912:S912), M912:S912, 0))), 技能库!$A:$F, 6, 0),"请针对该题型加强练习"), "🎉 表现优异，无明显弱项！"))</f>
        <v/>
      </c>
    </row>
    <row r="913" spans="10:27" ht="18" hidden="1" customHeight="1" x14ac:dyDescent="0.2">
      <c r="J913" t="str">
        <f t="shared" si="42"/>
        <v/>
      </c>
      <c r="K913" t="str">
        <f>IF(J913="","", IFERROR(VLOOKUP(J913, IF(D913="Movers", 换算标准!$C:$D, 换算标准!$I:$J), 2, TRUE), 0))</f>
        <v/>
      </c>
      <c r="T913" t="str">
        <f t="shared" si="43"/>
        <v/>
      </c>
      <c r="U913" t="str">
        <f>IF(T913="","", IFERROR(VLOOKUP(T913, IF(D913="Movers", 换算标准!$A:$B, 换算标准!$G:$H), 2, TRUE), 0))</f>
        <v/>
      </c>
      <c r="W913" t="str">
        <f t="shared" si="44"/>
        <v/>
      </c>
      <c r="Z913" s="5" t="str">
        <f>IF(J913="","", IF(K913&lt;=3, "⚠️ 薄弱环节: "&amp;INDEX($E$1:$I$1, MATCH(MIN(E913:I913), E913:I913, 0))&amp;CHAR(10)&amp;"📉 考察能力: "&amp;IFERROR(VLOOKUP(TRIM(D913)&amp;"_"&amp;TRIM(INDEX($E$1:$I$1, MATCH(MIN(E913:I913), E913:I913, 0))), 技能库!$A:$F, 5, 0),"建议查阅考纲")&amp;CHAR(10)&amp;"💡 提升建议: "&amp;IFERROR(VLOOKUP(TRIM(D913)&amp;"_"&amp;TRIM(INDEX($E$1:$I$1, MATCH(MIN(E913:I913), E913:I913, 0))), 技能库!$A:$F, 6, 0),"请针对该题型加强练习"), "🎉 表现优异，无明显弱项！"))</f>
        <v/>
      </c>
      <c r="AA913" s="5" t="str">
        <f>IF(T913="","", IF(U913&lt;=3, "⚠️ 薄弱环节: "&amp;INDEX($M$1:$S$1, MATCH(MIN(M913:S913), M913:S913, 0))&amp;CHAR(10)&amp;"📉 考察能力: "&amp;IFERROR(VLOOKUP(TRIM(D913)&amp;"_"&amp;TRIM(INDEX($M$1:$S$1, MATCH(MIN(M913:S913), M913:S913, 0))), 技能库!$A:$F, 5, 0),"建议查阅考纲")&amp;CHAR(10)&amp;"💡 提升建议: "&amp;IFERROR(VLOOKUP(TRIM(D913)&amp;"_"&amp;TRIM(INDEX($M$1:$S$1, MATCH(MIN(M913:S913), M913:S913, 0))), 技能库!$A:$F, 6, 0),"请针对该题型加强练习"), "🎉 表现优异，无明显弱项！"))</f>
        <v/>
      </c>
    </row>
    <row r="914" spans="10:27" ht="18" hidden="1" customHeight="1" x14ac:dyDescent="0.2">
      <c r="J914" t="str">
        <f t="shared" si="42"/>
        <v/>
      </c>
      <c r="K914" t="str">
        <f>IF(J914="","", IFERROR(VLOOKUP(J914, IF(D914="Movers", 换算标准!$C:$D, 换算标准!$I:$J), 2, TRUE), 0))</f>
        <v/>
      </c>
      <c r="T914" t="str">
        <f t="shared" si="43"/>
        <v/>
      </c>
      <c r="U914" t="str">
        <f>IF(T914="","", IFERROR(VLOOKUP(T914, IF(D914="Movers", 换算标准!$A:$B, 换算标准!$G:$H), 2, TRUE), 0))</f>
        <v/>
      </c>
      <c r="W914" t="str">
        <f t="shared" si="44"/>
        <v/>
      </c>
      <c r="Z914" s="5" t="str">
        <f>IF(J914="","", IF(K914&lt;=3, "⚠️ 薄弱环节: "&amp;INDEX($E$1:$I$1, MATCH(MIN(E914:I914), E914:I914, 0))&amp;CHAR(10)&amp;"📉 考察能力: "&amp;IFERROR(VLOOKUP(TRIM(D914)&amp;"_"&amp;TRIM(INDEX($E$1:$I$1, MATCH(MIN(E914:I914), E914:I914, 0))), 技能库!$A:$F, 5, 0),"建议查阅考纲")&amp;CHAR(10)&amp;"💡 提升建议: "&amp;IFERROR(VLOOKUP(TRIM(D914)&amp;"_"&amp;TRIM(INDEX($E$1:$I$1, MATCH(MIN(E914:I914), E914:I914, 0))), 技能库!$A:$F, 6, 0),"请针对该题型加强练习"), "🎉 表现优异，无明显弱项！"))</f>
        <v/>
      </c>
      <c r="AA914" s="5" t="str">
        <f>IF(T914="","", IF(U914&lt;=3, "⚠️ 薄弱环节: "&amp;INDEX($M$1:$S$1, MATCH(MIN(M914:S914), M914:S914, 0))&amp;CHAR(10)&amp;"📉 考察能力: "&amp;IFERROR(VLOOKUP(TRIM(D914)&amp;"_"&amp;TRIM(INDEX($M$1:$S$1, MATCH(MIN(M914:S914), M914:S914, 0))), 技能库!$A:$F, 5, 0),"建议查阅考纲")&amp;CHAR(10)&amp;"💡 提升建议: "&amp;IFERROR(VLOOKUP(TRIM(D914)&amp;"_"&amp;TRIM(INDEX($M$1:$S$1, MATCH(MIN(M914:S914), M914:S914, 0))), 技能库!$A:$F, 6, 0),"请针对该题型加强练习"), "🎉 表现优异，无明显弱项！"))</f>
        <v/>
      </c>
    </row>
    <row r="915" spans="10:27" ht="18" hidden="1" customHeight="1" x14ac:dyDescent="0.2">
      <c r="J915" t="str">
        <f t="shared" si="42"/>
        <v/>
      </c>
      <c r="K915" t="str">
        <f>IF(J915="","", IFERROR(VLOOKUP(J915, IF(D915="Movers", 换算标准!$C:$D, 换算标准!$I:$J), 2, TRUE), 0))</f>
        <v/>
      </c>
      <c r="T915" t="str">
        <f t="shared" si="43"/>
        <v/>
      </c>
      <c r="U915" t="str">
        <f>IF(T915="","", IFERROR(VLOOKUP(T915, IF(D915="Movers", 换算标准!$A:$B, 换算标准!$G:$H), 2, TRUE), 0))</f>
        <v/>
      </c>
      <c r="W915" t="str">
        <f t="shared" si="44"/>
        <v/>
      </c>
      <c r="Z915" s="5" t="str">
        <f>IF(J915="","", IF(K915&lt;=3, "⚠️ 薄弱环节: "&amp;INDEX($E$1:$I$1, MATCH(MIN(E915:I915), E915:I915, 0))&amp;CHAR(10)&amp;"📉 考察能力: "&amp;IFERROR(VLOOKUP(TRIM(D915)&amp;"_"&amp;TRIM(INDEX($E$1:$I$1, MATCH(MIN(E915:I915), E915:I915, 0))), 技能库!$A:$F, 5, 0),"建议查阅考纲")&amp;CHAR(10)&amp;"💡 提升建议: "&amp;IFERROR(VLOOKUP(TRIM(D915)&amp;"_"&amp;TRIM(INDEX($E$1:$I$1, MATCH(MIN(E915:I915), E915:I915, 0))), 技能库!$A:$F, 6, 0),"请针对该题型加强练习"), "🎉 表现优异，无明显弱项！"))</f>
        <v/>
      </c>
      <c r="AA915" s="5" t="str">
        <f>IF(T915="","", IF(U915&lt;=3, "⚠️ 薄弱环节: "&amp;INDEX($M$1:$S$1, MATCH(MIN(M915:S915), M915:S915, 0))&amp;CHAR(10)&amp;"📉 考察能力: "&amp;IFERROR(VLOOKUP(TRIM(D915)&amp;"_"&amp;TRIM(INDEX($M$1:$S$1, MATCH(MIN(M915:S915), M915:S915, 0))), 技能库!$A:$F, 5, 0),"建议查阅考纲")&amp;CHAR(10)&amp;"💡 提升建议: "&amp;IFERROR(VLOOKUP(TRIM(D915)&amp;"_"&amp;TRIM(INDEX($M$1:$S$1, MATCH(MIN(M915:S915), M915:S915, 0))), 技能库!$A:$F, 6, 0),"请针对该题型加强练习"), "🎉 表现优异，无明显弱项！"))</f>
        <v/>
      </c>
    </row>
    <row r="916" spans="10:27" ht="18" hidden="1" customHeight="1" x14ac:dyDescent="0.2">
      <c r="J916" t="str">
        <f t="shared" si="42"/>
        <v/>
      </c>
      <c r="K916" t="str">
        <f>IF(J916="","", IFERROR(VLOOKUP(J916, IF(D916="Movers", 换算标准!$C:$D, 换算标准!$I:$J), 2, TRUE), 0))</f>
        <v/>
      </c>
      <c r="T916" t="str">
        <f t="shared" si="43"/>
        <v/>
      </c>
      <c r="U916" t="str">
        <f>IF(T916="","", IFERROR(VLOOKUP(T916, IF(D916="Movers", 换算标准!$A:$B, 换算标准!$G:$H), 2, TRUE), 0))</f>
        <v/>
      </c>
      <c r="W916" t="str">
        <f t="shared" si="44"/>
        <v/>
      </c>
      <c r="Z916" s="5" t="str">
        <f>IF(J916="","", IF(K916&lt;=3, "⚠️ 薄弱环节: "&amp;INDEX($E$1:$I$1, MATCH(MIN(E916:I916), E916:I916, 0))&amp;CHAR(10)&amp;"📉 考察能力: "&amp;IFERROR(VLOOKUP(TRIM(D916)&amp;"_"&amp;TRIM(INDEX($E$1:$I$1, MATCH(MIN(E916:I916), E916:I916, 0))), 技能库!$A:$F, 5, 0),"建议查阅考纲")&amp;CHAR(10)&amp;"💡 提升建议: "&amp;IFERROR(VLOOKUP(TRIM(D916)&amp;"_"&amp;TRIM(INDEX($E$1:$I$1, MATCH(MIN(E916:I916), E916:I916, 0))), 技能库!$A:$F, 6, 0),"请针对该题型加强练习"), "🎉 表现优异，无明显弱项！"))</f>
        <v/>
      </c>
      <c r="AA916" s="5" t="str">
        <f>IF(T916="","", IF(U916&lt;=3, "⚠️ 薄弱环节: "&amp;INDEX($M$1:$S$1, MATCH(MIN(M916:S916), M916:S916, 0))&amp;CHAR(10)&amp;"📉 考察能力: "&amp;IFERROR(VLOOKUP(TRIM(D916)&amp;"_"&amp;TRIM(INDEX($M$1:$S$1, MATCH(MIN(M916:S916), M916:S916, 0))), 技能库!$A:$F, 5, 0),"建议查阅考纲")&amp;CHAR(10)&amp;"💡 提升建议: "&amp;IFERROR(VLOOKUP(TRIM(D916)&amp;"_"&amp;TRIM(INDEX($M$1:$S$1, MATCH(MIN(M916:S916), M916:S916, 0))), 技能库!$A:$F, 6, 0),"请针对该题型加强练习"), "🎉 表现优异，无明显弱项！"))</f>
        <v/>
      </c>
    </row>
    <row r="917" spans="10:27" ht="18" hidden="1" customHeight="1" x14ac:dyDescent="0.2">
      <c r="J917" t="str">
        <f t="shared" si="42"/>
        <v/>
      </c>
      <c r="K917" t="str">
        <f>IF(J917="","", IFERROR(VLOOKUP(J917, IF(D917="Movers", 换算标准!$C:$D, 换算标准!$I:$J), 2, TRUE), 0))</f>
        <v/>
      </c>
      <c r="T917" t="str">
        <f t="shared" si="43"/>
        <v/>
      </c>
      <c r="U917" t="str">
        <f>IF(T917="","", IFERROR(VLOOKUP(T917, IF(D917="Movers", 换算标准!$A:$B, 换算标准!$G:$H), 2, TRUE), 0))</f>
        <v/>
      </c>
      <c r="W917" t="str">
        <f t="shared" si="44"/>
        <v/>
      </c>
      <c r="Z917" s="5" t="str">
        <f>IF(J917="","", IF(K917&lt;=3, "⚠️ 薄弱环节: "&amp;INDEX($E$1:$I$1, MATCH(MIN(E917:I917), E917:I917, 0))&amp;CHAR(10)&amp;"📉 考察能力: "&amp;IFERROR(VLOOKUP(TRIM(D917)&amp;"_"&amp;TRIM(INDEX($E$1:$I$1, MATCH(MIN(E917:I917), E917:I917, 0))), 技能库!$A:$F, 5, 0),"建议查阅考纲")&amp;CHAR(10)&amp;"💡 提升建议: "&amp;IFERROR(VLOOKUP(TRIM(D917)&amp;"_"&amp;TRIM(INDEX($E$1:$I$1, MATCH(MIN(E917:I917), E917:I917, 0))), 技能库!$A:$F, 6, 0),"请针对该题型加强练习"), "🎉 表现优异，无明显弱项！"))</f>
        <v/>
      </c>
      <c r="AA917" s="5" t="str">
        <f>IF(T917="","", IF(U917&lt;=3, "⚠️ 薄弱环节: "&amp;INDEX($M$1:$S$1, MATCH(MIN(M917:S917), M917:S917, 0))&amp;CHAR(10)&amp;"📉 考察能力: "&amp;IFERROR(VLOOKUP(TRIM(D917)&amp;"_"&amp;TRIM(INDEX($M$1:$S$1, MATCH(MIN(M917:S917), M917:S917, 0))), 技能库!$A:$F, 5, 0),"建议查阅考纲")&amp;CHAR(10)&amp;"💡 提升建议: "&amp;IFERROR(VLOOKUP(TRIM(D917)&amp;"_"&amp;TRIM(INDEX($M$1:$S$1, MATCH(MIN(M917:S917), M917:S917, 0))), 技能库!$A:$F, 6, 0),"请针对该题型加强练习"), "🎉 表现优异，无明显弱项！"))</f>
        <v/>
      </c>
    </row>
    <row r="918" spans="10:27" ht="18" hidden="1" customHeight="1" x14ac:dyDescent="0.2">
      <c r="J918" t="str">
        <f t="shared" si="42"/>
        <v/>
      </c>
      <c r="K918" t="str">
        <f>IF(J918="","", IFERROR(VLOOKUP(J918, IF(D918="Movers", 换算标准!$C:$D, 换算标准!$I:$J), 2, TRUE), 0))</f>
        <v/>
      </c>
      <c r="T918" t="str">
        <f t="shared" si="43"/>
        <v/>
      </c>
      <c r="U918" t="str">
        <f>IF(T918="","", IFERROR(VLOOKUP(T918, IF(D918="Movers", 换算标准!$A:$B, 换算标准!$G:$H), 2, TRUE), 0))</f>
        <v/>
      </c>
      <c r="W918" t="str">
        <f t="shared" si="44"/>
        <v/>
      </c>
      <c r="Z918" s="5" t="str">
        <f>IF(J918="","", IF(K918&lt;=3, "⚠️ 薄弱环节: "&amp;INDEX($E$1:$I$1, MATCH(MIN(E918:I918), E918:I918, 0))&amp;CHAR(10)&amp;"📉 考察能力: "&amp;IFERROR(VLOOKUP(TRIM(D918)&amp;"_"&amp;TRIM(INDEX($E$1:$I$1, MATCH(MIN(E918:I918), E918:I918, 0))), 技能库!$A:$F, 5, 0),"建议查阅考纲")&amp;CHAR(10)&amp;"💡 提升建议: "&amp;IFERROR(VLOOKUP(TRIM(D918)&amp;"_"&amp;TRIM(INDEX($E$1:$I$1, MATCH(MIN(E918:I918), E918:I918, 0))), 技能库!$A:$F, 6, 0),"请针对该题型加强练习"), "🎉 表现优异，无明显弱项！"))</f>
        <v/>
      </c>
      <c r="AA918" s="5" t="str">
        <f>IF(T918="","", IF(U918&lt;=3, "⚠️ 薄弱环节: "&amp;INDEX($M$1:$S$1, MATCH(MIN(M918:S918), M918:S918, 0))&amp;CHAR(10)&amp;"📉 考察能力: "&amp;IFERROR(VLOOKUP(TRIM(D918)&amp;"_"&amp;TRIM(INDEX($M$1:$S$1, MATCH(MIN(M918:S918), M918:S918, 0))), 技能库!$A:$F, 5, 0),"建议查阅考纲")&amp;CHAR(10)&amp;"💡 提升建议: "&amp;IFERROR(VLOOKUP(TRIM(D918)&amp;"_"&amp;TRIM(INDEX($M$1:$S$1, MATCH(MIN(M918:S918), M918:S918, 0))), 技能库!$A:$F, 6, 0),"请针对该题型加强练习"), "🎉 表现优异，无明显弱项！"))</f>
        <v/>
      </c>
    </row>
    <row r="919" spans="10:27" ht="18" hidden="1" customHeight="1" x14ac:dyDescent="0.2">
      <c r="J919" t="str">
        <f t="shared" si="42"/>
        <v/>
      </c>
      <c r="K919" t="str">
        <f>IF(J919="","", IFERROR(VLOOKUP(J919, IF(D919="Movers", 换算标准!$C:$D, 换算标准!$I:$J), 2, TRUE), 0))</f>
        <v/>
      </c>
      <c r="T919" t="str">
        <f t="shared" si="43"/>
        <v/>
      </c>
      <c r="U919" t="str">
        <f>IF(T919="","", IFERROR(VLOOKUP(T919, IF(D919="Movers", 换算标准!$A:$B, 换算标准!$G:$H), 2, TRUE), 0))</f>
        <v/>
      </c>
      <c r="W919" t="str">
        <f t="shared" si="44"/>
        <v/>
      </c>
      <c r="Z919" s="5" t="str">
        <f>IF(J919="","", IF(K919&lt;=3, "⚠️ 薄弱环节: "&amp;INDEX($E$1:$I$1, MATCH(MIN(E919:I919), E919:I919, 0))&amp;CHAR(10)&amp;"📉 考察能力: "&amp;IFERROR(VLOOKUP(TRIM(D919)&amp;"_"&amp;TRIM(INDEX($E$1:$I$1, MATCH(MIN(E919:I919), E919:I919, 0))), 技能库!$A:$F, 5, 0),"建议查阅考纲")&amp;CHAR(10)&amp;"💡 提升建议: "&amp;IFERROR(VLOOKUP(TRIM(D919)&amp;"_"&amp;TRIM(INDEX($E$1:$I$1, MATCH(MIN(E919:I919), E919:I919, 0))), 技能库!$A:$F, 6, 0),"请针对该题型加强练习"), "🎉 表现优异，无明显弱项！"))</f>
        <v/>
      </c>
      <c r="AA919" s="5" t="str">
        <f>IF(T919="","", IF(U919&lt;=3, "⚠️ 薄弱环节: "&amp;INDEX($M$1:$S$1, MATCH(MIN(M919:S919), M919:S919, 0))&amp;CHAR(10)&amp;"📉 考察能力: "&amp;IFERROR(VLOOKUP(TRIM(D919)&amp;"_"&amp;TRIM(INDEX($M$1:$S$1, MATCH(MIN(M919:S919), M919:S919, 0))), 技能库!$A:$F, 5, 0),"建议查阅考纲")&amp;CHAR(10)&amp;"💡 提升建议: "&amp;IFERROR(VLOOKUP(TRIM(D919)&amp;"_"&amp;TRIM(INDEX($M$1:$S$1, MATCH(MIN(M919:S919), M919:S919, 0))), 技能库!$A:$F, 6, 0),"请针对该题型加强练习"), "🎉 表现优异，无明显弱项！"))</f>
        <v/>
      </c>
    </row>
    <row r="920" spans="10:27" ht="18" hidden="1" customHeight="1" x14ac:dyDescent="0.2">
      <c r="J920" t="str">
        <f t="shared" si="42"/>
        <v/>
      </c>
      <c r="K920" t="str">
        <f>IF(J920="","", IFERROR(VLOOKUP(J920, IF(D920="Movers", 换算标准!$C:$D, 换算标准!$I:$J), 2, TRUE), 0))</f>
        <v/>
      </c>
      <c r="T920" t="str">
        <f t="shared" si="43"/>
        <v/>
      </c>
      <c r="U920" t="str">
        <f>IF(T920="","", IFERROR(VLOOKUP(T920, IF(D920="Movers", 换算标准!$A:$B, 换算标准!$G:$H), 2, TRUE), 0))</f>
        <v/>
      </c>
      <c r="W920" t="str">
        <f t="shared" si="44"/>
        <v/>
      </c>
      <c r="Z920" s="5" t="str">
        <f>IF(J920="","", IF(K920&lt;=3, "⚠️ 薄弱环节: "&amp;INDEX($E$1:$I$1, MATCH(MIN(E920:I920), E920:I920, 0))&amp;CHAR(10)&amp;"📉 考察能力: "&amp;IFERROR(VLOOKUP(TRIM(D920)&amp;"_"&amp;TRIM(INDEX($E$1:$I$1, MATCH(MIN(E920:I920), E920:I920, 0))), 技能库!$A:$F, 5, 0),"建议查阅考纲")&amp;CHAR(10)&amp;"💡 提升建议: "&amp;IFERROR(VLOOKUP(TRIM(D920)&amp;"_"&amp;TRIM(INDEX($E$1:$I$1, MATCH(MIN(E920:I920), E920:I920, 0))), 技能库!$A:$F, 6, 0),"请针对该题型加强练习"), "🎉 表现优异，无明显弱项！"))</f>
        <v/>
      </c>
      <c r="AA920" s="5" t="str">
        <f>IF(T920="","", IF(U920&lt;=3, "⚠️ 薄弱环节: "&amp;INDEX($M$1:$S$1, MATCH(MIN(M920:S920), M920:S920, 0))&amp;CHAR(10)&amp;"📉 考察能力: "&amp;IFERROR(VLOOKUP(TRIM(D920)&amp;"_"&amp;TRIM(INDEX($M$1:$S$1, MATCH(MIN(M920:S920), M920:S920, 0))), 技能库!$A:$F, 5, 0),"建议查阅考纲")&amp;CHAR(10)&amp;"💡 提升建议: "&amp;IFERROR(VLOOKUP(TRIM(D920)&amp;"_"&amp;TRIM(INDEX($M$1:$S$1, MATCH(MIN(M920:S920), M920:S920, 0))), 技能库!$A:$F, 6, 0),"请针对该题型加强练习"), "🎉 表现优异，无明显弱项！"))</f>
        <v/>
      </c>
    </row>
    <row r="921" spans="10:27" ht="18" hidden="1" customHeight="1" x14ac:dyDescent="0.2">
      <c r="J921" t="str">
        <f t="shared" si="42"/>
        <v/>
      </c>
      <c r="K921" t="str">
        <f>IF(J921="","", IFERROR(VLOOKUP(J921, IF(D921="Movers", 换算标准!$C:$D, 换算标准!$I:$J), 2, TRUE), 0))</f>
        <v/>
      </c>
      <c r="T921" t="str">
        <f t="shared" si="43"/>
        <v/>
      </c>
      <c r="U921" t="str">
        <f>IF(T921="","", IFERROR(VLOOKUP(T921, IF(D921="Movers", 换算标准!$A:$B, 换算标准!$G:$H), 2, TRUE), 0))</f>
        <v/>
      </c>
      <c r="W921" t="str">
        <f t="shared" si="44"/>
        <v/>
      </c>
      <c r="Z921" s="5" t="str">
        <f>IF(J921="","", IF(K921&lt;=3, "⚠️ 薄弱环节: "&amp;INDEX($E$1:$I$1, MATCH(MIN(E921:I921), E921:I921, 0))&amp;CHAR(10)&amp;"📉 考察能力: "&amp;IFERROR(VLOOKUP(TRIM(D921)&amp;"_"&amp;TRIM(INDEX($E$1:$I$1, MATCH(MIN(E921:I921), E921:I921, 0))), 技能库!$A:$F, 5, 0),"建议查阅考纲")&amp;CHAR(10)&amp;"💡 提升建议: "&amp;IFERROR(VLOOKUP(TRIM(D921)&amp;"_"&amp;TRIM(INDEX($E$1:$I$1, MATCH(MIN(E921:I921), E921:I921, 0))), 技能库!$A:$F, 6, 0),"请针对该题型加强练习"), "🎉 表现优异，无明显弱项！"))</f>
        <v/>
      </c>
      <c r="AA921" s="5" t="str">
        <f>IF(T921="","", IF(U921&lt;=3, "⚠️ 薄弱环节: "&amp;INDEX($M$1:$S$1, MATCH(MIN(M921:S921), M921:S921, 0))&amp;CHAR(10)&amp;"📉 考察能力: "&amp;IFERROR(VLOOKUP(TRIM(D921)&amp;"_"&amp;TRIM(INDEX($M$1:$S$1, MATCH(MIN(M921:S921), M921:S921, 0))), 技能库!$A:$F, 5, 0),"建议查阅考纲")&amp;CHAR(10)&amp;"💡 提升建议: "&amp;IFERROR(VLOOKUP(TRIM(D921)&amp;"_"&amp;TRIM(INDEX($M$1:$S$1, MATCH(MIN(M921:S921), M921:S921, 0))), 技能库!$A:$F, 6, 0),"请针对该题型加强练习"), "🎉 表现优异，无明显弱项！"))</f>
        <v/>
      </c>
    </row>
    <row r="922" spans="10:27" ht="18" hidden="1" customHeight="1" x14ac:dyDescent="0.2">
      <c r="J922" t="str">
        <f t="shared" si="42"/>
        <v/>
      </c>
      <c r="K922" t="str">
        <f>IF(J922="","", IFERROR(VLOOKUP(J922, IF(D922="Movers", 换算标准!$C:$D, 换算标准!$I:$J), 2, TRUE), 0))</f>
        <v/>
      </c>
      <c r="T922" t="str">
        <f t="shared" si="43"/>
        <v/>
      </c>
      <c r="U922" t="str">
        <f>IF(T922="","", IFERROR(VLOOKUP(T922, IF(D922="Movers", 换算标准!$A:$B, 换算标准!$G:$H), 2, TRUE), 0))</f>
        <v/>
      </c>
      <c r="W922" t="str">
        <f t="shared" si="44"/>
        <v/>
      </c>
      <c r="Z922" s="5" t="str">
        <f>IF(J922="","", IF(K922&lt;=3, "⚠️ 薄弱环节: "&amp;INDEX($E$1:$I$1, MATCH(MIN(E922:I922), E922:I922, 0))&amp;CHAR(10)&amp;"📉 考察能力: "&amp;IFERROR(VLOOKUP(TRIM(D922)&amp;"_"&amp;TRIM(INDEX($E$1:$I$1, MATCH(MIN(E922:I922), E922:I922, 0))), 技能库!$A:$F, 5, 0),"建议查阅考纲")&amp;CHAR(10)&amp;"💡 提升建议: "&amp;IFERROR(VLOOKUP(TRIM(D922)&amp;"_"&amp;TRIM(INDEX($E$1:$I$1, MATCH(MIN(E922:I922), E922:I922, 0))), 技能库!$A:$F, 6, 0),"请针对该题型加强练习"), "🎉 表现优异，无明显弱项！"))</f>
        <v/>
      </c>
      <c r="AA922" s="5" t="str">
        <f>IF(T922="","", IF(U922&lt;=3, "⚠️ 薄弱环节: "&amp;INDEX($M$1:$S$1, MATCH(MIN(M922:S922), M922:S922, 0))&amp;CHAR(10)&amp;"📉 考察能力: "&amp;IFERROR(VLOOKUP(TRIM(D922)&amp;"_"&amp;TRIM(INDEX($M$1:$S$1, MATCH(MIN(M922:S922), M922:S922, 0))), 技能库!$A:$F, 5, 0),"建议查阅考纲")&amp;CHAR(10)&amp;"💡 提升建议: "&amp;IFERROR(VLOOKUP(TRIM(D922)&amp;"_"&amp;TRIM(INDEX($M$1:$S$1, MATCH(MIN(M922:S922), M922:S922, 0))), 技能库!$A:$F, 6, 0),"请针对该题型加强练习"), "🎉 表现优异，无明显弱项！"))</f>
        <v/>
      </c>
    </row>
    <row r="923" spans="10:27" ht="18" hidden="1" customHeight="1" x14ac:dyDescent="0.2">
      <c r="J923" t="str">
        <f t="shared" si="42"/>
        <v/>
      </c>
      <c r="K923" t="str">
        <f>IF(J923="","", IFERROR(VLOOKUP(J923, IF(D923="Movers", 换算标准!$C:$D, 换算标准!$I:$J), 2, TRUE), 0))</f>
        <v/>
      </c>
      <c r="T923" t="str">
        <f t="shared" si="43"/>
        <v/>
      </c>
      <c r="U923" t="str">
        <f>IF(T923="","", IFERROR(VLOOKUP(T923, IF(D923="Movers", 换算标准!$A:$B, 换算标准!$G:$H), 2, TRUE), 0))</f>
        <v/>
      </c>
      <c r="W923" t="str">
        <f t="shared" si="44"/>
        <v/>
      </c>
      <c r="Z923" s="5" t="str">
        <f>IF(J923="","", IF(K923&lt;=3, "⚠️ 薄弱环节: "&amp;INDEX($E$1:$I$1, MATCH(MIN(E923:I923), E923:I923, 0))&amp;CHAR(10)&amp;"📉 考察能力: "&amp;IFERROR(VLOOKUP(TRIM(D923)&amp;"_"&amp;TRIM(INDEX($E$1:$I$1, MATCH(MIN(E923:I923), E923:I923, 0))), 技能库!$A:$F, 5, 0),"建议查阅考纲")&amp;CHAR(10)&amp;"💡 提升建议: "&amp;IFERROR(VLOOKUP(TRIM(D923)&amp;"_"&amp;TRIM(INDEX($E$1:$I$1, MATCH(MIN(E923:I923), E923:I923, 0))), 技能库!$A:$F, 6, 0),"请针对该题型加强练习"), "🎉 表现优异，无明显弱项！"))</f>
        <v/>
      </c>
      <c r="AA923" s="5" t="str">
        <f>IF(T923="","", IF(U923&lt;=3, "⚠️ 薄弱环节: "&amp;INDEX($M$1:$S$1, MATCH(MIN(M923:S923), M923:S923, 0))&amp;CHAR(10)&amp;"📉 考察能力: "&amp;IFERROR(VLOOKUP(TRIM(D923)&amp;"_"&amp;TRIM(INDEX($M$1:$S$1, MATCH(MIN(M923:S923), M923:S923, 0))), 技能库!$A:$F, 5, 0),"建议查阅考纲")&amp;CHAR(10)&amp;"💡 提升建议: "&amp;IFERROR(VLOOKUP(TRIM(D923)&amp;"_"&amp;TRIM(INDEX($M$1:$S$1, MATCH(MIN(M923:S923), M923:S923, 0))), 技能库!$A:$F, 6, 0),"请针对该题型加强练习"), "🎉 表现优异，无明显弱项！"))</f>
        <v/>
      </c>
    </row>
    <row r="924" spans="10:27" ht="18" hidden="1" customHeight="1" x14ac:dyDescent="0.2">
      <c r="J924" t="str">
        <f t="shared" si="42"/>
        <v/>
      </c>
      <c r="K924" t="str">
        <f>IF(J924="","", IFERROR(VLOOKUP(J924, IF(D924="Movers", 换算标准!$C:$D, 换算标准!$I:$J), 2, TRUE), 0))</f>
        <v/>
      </c>
      <c r="T924" t="str">
        <f t="shared" si="43"/>
        <v/>
      </c>
      <c r="U924" t="str">
        <f>IF(T924="","", IFERROR(VLOOKUP(T924, IF(D924="Movers", 换算标准!$A:$B, 换算标准!$G:$H), 2, TRUE), 0))</f>
        <v/>
      </c>
      <c r="W924" t="str">
        <f t="shared" si="44"/>
        <v/>
      </c>
      <c r="Z924" s="5" t="str">
        <f>IF(J924="","", IF(K924&lt;=3, "⚠️ 薄弱环节: "&amp;INDEX($E$1:$I$1, MATCH(MIN(E924:I924), E924:I924, 0))&amp;CHAR(10)&amp;"📉 考察能力: "&amp;IFERROR(VLOOKUP(TRIM(D924)&amp;"_"&amp;TRIM(INDEX($E$1:$I$1, MATCH(MIN(E924:I924), E924:I924, 0))), 技能库!$A:$F, 5, 0),"建议查阅考纲")&amp;CHAR(10)&amp;"💡 提升建议: "&amp;IFERROR(VLOOKUP(TRIM(D924)&amp;"_"&amp;TRIM(INDEX($E$1:$I$1, MATCH(MIN(E924:I924), E924:I924, 0))), 技能库!$A:$F, 6, 0),"请针对该题型加强练习"), "🎉 表现优异，无明显弱项！"))</f>
        <v/>
      </c>
      <c r="AA924" s="5" t="str">
        <f>IF(T924="","", IF(U924&lt;=3, "⚠️ 薄弱环节: "&amp;INDEX($M$1:$S$1, MATCH(MIN(M924:S924), M924:S924, 0))&amp;CHAR(10)&amp;"📉 考察能力: "&amp;IFERROR(VLOOKUP(TRIM(D924)&amp;"_"&amp;TRIM(INDEX($M$1:$S$1, MATCH(MIN(M924:S924), M924:S924, 0))), 技能库!$A:$F, 5, 0),"建议查阅考纲")&amp;CHAR(10)&amp;"💡 提升建议: "&amp;IFERROR(VLOOKUP(TRIM(D924)&amp;"_"&amp;TRIM(INDEX($M$1:$S$1, MATCH(MIN(M924:S924), M924:S924, 0))), 技能库!$A:$F, 6, 0),"请针对该题型加强练习"), "🎉 表现优异，无明显弱项！"))</f>
        <v/>
      </c>
    </row>
    <row r="925" spans="10:27" ht="18" hidden="1" customHeight="1" x14ac:dyDescent="0.2">
      <c r="J925" t="str">
        <f t="shared" si="42"/>
        <v/>
      </c>
      <c r="K925" t="str">
        <f>IF(J925="","", IFERROR(VLOOKUP(J925, IF(D925="Movers", 换算标准!$C:$D, 换算标准!$I:$J), 2, TRUE), 0))</f>
        <v/>
      </c>
      <c r="T925" t="str">
        <f t="shared" si="43"/>
        <v/>
      </c>
      <c r="U925" t="str">
        <f>IF(T925="","", IFERROR(VLOOKUP(T925, IF(D925="Movers", 换算标准!$A:$B, 换算标准!$G:$H), 2, TRUE), 0))</f>
        <v/>
      </c>
      <c r="W925" t="str">
        <f t="shared" si="44"/>
        <v/>
      </c>
      <c r="Z925" s="5" t="str">
        <f>IF(J925="","", IF(K925&lt;=3, "⚠️ 薄弱环节: "&amp;INDEX($E$1:$I$1, MATCH(MIN(E925:I925), E925:I925, 0))&amp;CHAR(10)&amp;"📉 考察能力: "&amp;IFERROR(VLOOKUP(TRIM(D925)&amp;"_"&amp;TRIM(INDEX($E$1:$I$1, MATCH(MIN(E925:I925), E925:I925, 0))), 技能库!$A:$F, 5, 0),"建议查阅考纲")&amp;CHAR(10)&amp;"💡 提升建议: "&amp;IFERROR(VLOOKUP(TRIM(D925)&amp;"_"&amp;TRIM(INDEX($E$1:$I$1, MATCH(MIN(E925:I925), E925:I925, 0))), 技能库!$A:$F, 6, 0),"请针对该题型加强练习"), "🎉 表现优异，无明显弱项！"))</f>
        <v/>
      </c>
      <c r="AA925" s="5" t="str">
        <f>IF(T925="","", IF(U925&lt;=3, "⚠️ 薄弱环节: "&amp;INDEX($M$1:$S$1, MATCH(MIN(M925:S925), M925:S925, 0))&amp;CHAR(10)&amp;"📉 考察能力: "&amp;IFERROR(VLOOKUP(TRIM(D925)&amp;"_"&amp;TRIM(INDEX($M$1:$S$1, MATCH(MIN(M925:S925), M925:S925, 0))), 技能库!$A:$F, 5, 0),"建议查阅考纲")&amp;CHAR(10)&amp;"💡 提升建议: "&amp;IFERROR(VLOOKUP(TRIM(D925)&amp;"_"&amp;TRIM(INDEX($M$1:$S$1, MATCH(MIN(M925:S925), M925:S925, 0))), 技能库!$A:$F, 6, 0),"请针对该题型加强练习"), "🎉 表现优异，无明显弱项！"))</f>
        <v/>
      </c>
    </row>
    <row r="926" spans="10:27" ht="18" hidden="1" customHeight="1" x14ac:dyDescent="0.2">
      <c r="J926" t="str">
        <f t="shared" si="42"/>
        <v/>
      </c>
      <c r="K926" t="str">
        <f>IF(J926="","", IFERROR(VLOOKUP(J926, IF(D926="Movers", 换算标准!$C:$D, 换算标准!$I:$J), 2, TRUE), 0))</f>
        <v/>
      </c>
      <c r="T926" t="str">
        <f t="shared" si="43"/>
        <v/>
      </c>
      <c r="U926" t="str">
        <f>IF(T926="","", IFERROR(VLOOKUP(T926, IF(D926="Movers", 换算标准!$A:$B, 换算标准!$G:$H), 2, TRUE), 0))</f>
        <v/>
      </c>
      <c r="W926" t="str">
        <f t="shared" si="44"/>
        <v/>
      </c>
      <c r="Z926" s="5" t="str">
        <f>IF(J926="","", IF(K926&lt;=3, "⚠️ 薄弱环节: "&amp;INDEX($E$1:$I$1, MATCH(MIN(E926:I926), E926:I926, 0))&amp;CHAR(10)&amp;"📉 考察能力: "&amp;IFERROR(VLOOKUP(TRIM(D926)&amp;"_"&amp;TRIM(INDEX($E$1:$I$1, MATCH(MIN(E926:I926), E926:I926, 0))), 技能库!$A:$F, 5, 0),"建议查阅考纲")&amp;CHAR(10)&amp;"💡 提升建议: "&amp;IFERROR(VLOOKUP(TRIM(D926)&amp;"_"&amp;TRIM(INDEX($E$1:$I$1, MATCH(MIN(E926:I926), E926:I926, 0))), 技能库!$A:$F, 6, 0),"请针对该题型加强练习"), "🎉 表现优异，无明显弱项！"))</f>
        <v/>
      </c>
      <c r="AA926" s="5" t="str">
        <f>IF(T926="","", IF(U926&lt;=3, "⚠️ 薄弱环节: "&amp;INDEX($M$1:$S$1, MATCH(MIN(M926:S926), M926:S926, 0))&amp;CHAR(10)&amp;"📉 考察能力: "&amp;IFERROR(VLOOKUP(TRIM(D926)&amp;"_"&amp;TRIM(INDEX($M$1:$S$1, MATCH(MIN(M926:S926), M926:S926, 0))), 技能库!$A:$F, 5, 0),"建议查阅考纲")&amp;CHAR(10)&amp;"💡 提升建议: "&amp;IFERROR(VLOOKUP(TRIM(D926)&amp;"_"&amp;TRIM(INDEX($M$1:$S$1, MATCH(MIN(M926:S926), M926:S926, 0))), 技能库!$A:$F, 6, 0),"请针对该题型加强练习"), "🎉 表现优异，无明显弱项！"))</f>
        <v/>
      </c>
    </row>
    <row r="927" spans="10:27" ht="18" hidden="1" customHeight="1" x14ac:dyDescent="0.2">
      <c r="J927" t="str">
        <f t="shared" si="42"/>
        <v/>
      </c>
      <c r="K927" t="str">
        <f>IF(J927="","", IFERROR(VLOOKUP(J927, IF(D927="Movers", 换算标准!$C:$D, 换算标准!$I:$J), 2, TRUE), 0))</f>
        <v/>
      </c>
      <c r="T927" t="str">
        <f t="shared" si="43"/>
        <v/>
      </c>
      <c r="U927" t="str">
        <f>IF(T927="","", IFERROR(VLOOKUP(T927, IF(D927="Movers", 换算标准!$A:$B, 换算标准!$G:$H), 2, TRUE), 0))</f>
        <v/>
      </c>
      <c r="W927" t="str">
        <f t="shared" si="44"/>
        <v/>
      </c>
      <c r="Z927" s="5" t="str">
        <f>IF(J927="","", IF(K927&lt;=3, "⚠️ 薄弱环节: "&amp;INDEX($E$1:$I$1, MATCH(MIN(E927:I927), E927:I927, 0))&amp;CHAR(10)&amp;"📉 考察能力: "&amp;IFERROR(VLOOKUP(TRIM(D927)&amp;"_"&amp;TRIM(INDEX($E$1:$I$1, MATCH(MIN(E927:I927), E927:I927, 0))), 技能库!$A:$F, 5, 0),"建议查阅考纲")&amp;CHAR(10)&amp;"💡 提升建议: "&amp;IFERROR(VLOOKUP(TRIM(D927)&amp;"_"&amp;TRIM(INDEX($E$1:$I$1, MATCH(MIN(E927:I927), E927:I927, 0))), 技能库!$A:$F, 6, 0),"请针对该题型加强练习"), "🎉 表现优异，无明显弱项！"))</f>
        <v/>
      </c>
      <c r="AA927" s="5" t="str">
        <f>IF(T927="","", IF(U927&lt;=3, "⚠️ 薄弱环节: "&amp;INDEX($M$1:$S$1, MATCH(MIN(M927:S927), M927:S927, 0))&amp;CHAR(10)&amp;"📉 考察能力: "&amp;IFERROR(VLOOKUP(TRIM(D927)&amp;"_"&amp;TRIM(INDEX($M$1:$S$1, MATCH(MIN(M927:S927), M927:S927, 0))), 技能库!$A:$F, 5, 0),"建议查阅考纲")&amp;CHAR(10)&amp;"💡 提升建议: "&amp;IFERROR(VLOOKUP(TRIM(D927)&amp;"_"&amp;TRIM(INDEX($M$1:$S$1, MATCH(MIN(M927:S927), M927:S927, 0))), 技能库!$A:$F, 6, 0),"请针对该题型加强练习"), "🎉 表现优异，无明显弱项！"))</f>
        <v/>
      </c>
    </row>
    <row r="928" spans="10:27" ht="18" hidden="1" customHeight="1" x14ac:dyDescent="0.2">
      <c r="J928" t="str">
        <f t="shared" si="42"/>
        <v/>
      </c>
      <c r="K928" t="str">
        <f>IF(J928="","", IFERROR(VLOOKUP(J928, IF(D928="Movers", 换算标准!$C:$D, 换算标准!$I:$J), 2, TRUE), 0))</f>
        <v/>
      </c>
      <c r="T928" t="str">
        <f t="shared" si="43"/>
        <v/>
      </c>
      <c r="U928" t="str">
        <f>IF(T928="","", IFERROR(VLOOKUP(T928, IF(D928="Movers", 换算标准!$A:$B, 换算标准!$G:$H), 2, TRUE), 0))</f>
        <v/>
      </c>
      <c r="W928" t="str">
        <f t="shared" si="44"/>
        <v/>
      </c>
      <c r="Z928" s="5" t="str">
        <f>IF(J928="","", IF(K928&lt;=3, "⚠️ 薄弱环节: "&amp;INDEX($E$1:$I$1, MATCH(MIN(E928:I928), E928:I928, 0))&amp;CHAR(10)&amp;"📉 考察能力: "&amp;IFERROR(VLOOKUP(TRIM(D928)&amp;"_"&amp;TRIM(INDEX($E$1:$I$1, MATCH(MIN(E928:I928), E928:I928, 0))), 技能库!$A:$F, 5, 0),"建议查阅考纲")&amp;CHAR(10)&amp;"💡 提升建议: "&amp;IFERROR(VLOOKUP(TRIM(D928)&amp;"_"&amp;TRIM(INDEX($E$1:$I$1, MATCH(MIN(E928:I928), E928:I928, 0))), 技能库!$A:$F, 6, 0),"请针对该题型加强练习"), "🎉 表现优异，无明显弱项！"))</f>
        <v/>
      </c>
      <c r="AA928" s="5" t="str">
        <f>IF(T928="","", IF(U928&lt;=3, "⚠️ 薄弱环节: "&amp;INDEX($M$1:$S$1, MATCH(MIN(M928:S928), M928:S928, 0))&amp;CHAR(10)&amp;"📉 考察能力: "&amp;IFERROR(VLOOKUP(TRIM(D928)&amp;"_"&amp;TRIM(INDEX($M$1:$S$1, MATCH(MIN(M928:S928), M928:S928, 0))), 技能库!$A:$F, 5, 0),"建议查阅考纲")&amp;CHAR(10)&amp;"💡 提升建议: "&amp;IFERROR(VLOOKUP(TRIM(D928)&amp;"_"&amp;TRIM(INDEX($M$1:$S$1, MATCH(MIN(M928:S928), M928:S928, 0))), 技能库!$A:$F, 6, 0),"请针对该题型加强练习"), "🎉 表现优异，无明显弱项！"))</f>
        <v/>
      </c>
    </row>
    <row r="929" spans="10:27" ht="18" hidden="1" customHeight="1" x14ac:dyDescent="0.2">
      <c r="J929" t="str">
        <f t="shared" si="42"/>
        <v/>
      </c>
      <c r="K929" t="str">
        <f>IF(J929="","", IFERROR(VLOOKUP(J929, IF(D929="Movers", 换算标准!$C:$D, 换算标准!$I:$J), 2, TRUE), 0))</f>
        <v/>
      </c>
      <c r="T929" t="str">
        <f t="shared" si="43"/>
        <v/>
      </c>
      <c r="U929" t="str">
        <f>IF(T929="","", IFERROR(VLOOKUP(T929, IF(D929="Movers", 换算标准!$A:$B, 换算标准!$G:$H), 2, TRUE), 0))</f>
        <v/>
      </c>
      <c r="W929" t="str">
        <f t="shared" si="44"/>
        <v/>
      </c>
      <c r="Z929" s="5" t="str">
        <f>IF(J929="","", IF(K929&lt;=3, "⚠️ 薄弱环节: "&amp;INDEX($E$1:$I$1, MATCH(MIN(E929:I929), E929:I929, 0))&amp;CHAR(10)&amp;"📉 考察能力: "&amp;IFERROR(VLOOKUP(TRIM(D929)&amp;"_"&amp;TRIM(INDEX($E$1:$I$1, MATCH(MIN(E929:I929), E929:I929, 0))), 技能库!$A:$F, 5, 0),"建议查阅考纲")&amp;CHAR(10)&amp;"💡 提升建议: "&amp;IFERROR(VLOOKUP(TRIM(D929)&amp;"_"&amp;TRIM(INDEX($E$1:$I$1, MATCH(MIN(E929:I929), E929:I929, 0))), 技能库!$A:$F, 6, 0),"请针对该题型加强练习"), "🎉 表现优异，无明显弱项！"))</f>
        <v/>
      </c>
      <c r="AA929" s="5" t="str">
        <f>IF(T929="","", IF(U929&lt;=3, "⚠️ 薄弱环节: "&amp;INDEX($M$1:$S$1, MATCH(MIN(M929:S929), M929:S929, 0))&amp;CHAR(10)&amp;"📉 考察能力: "&amp;IFERROR(VLOOKUP(TRIM(D929)&amp;"_"&amp;TRIM(INDEX($M$1:$S$1, MATCH(MIN(M929:S929), M929:S929, 0))), 技能库!$A:$F, 5, 0),"建议查阅考纲")&amp;CHAR(10)&amp;"💡 提升建议: "&amp;IFERROR(VLOOKUP(TRIM(D929)&amp;"_"&amp;TRIM(INDEX($M$1:$S$1, MATCH(MIN(M929:S929), M929:S929, 0))), 技能库!$A:$F, 6, 0),"请针对该题型加强练习"), "🎉 表现优异，无明显弱项！"))</f>
        <v/>
      </c>
    </row>
    <row r="930" spans="10:27" ht="18" hidden="1" customHeight="1" x14ac:dyDescent="0.2">
      <c r="J930" t="str">
        <f t="shared" si="42"/>
        <v/>
      </c>
      <c r="K930" t="str">
        <f>IF(J930="","", IFERROR(VLOOKUP(J930, IF(D930="Movers", 换算标准!$C:$D, 换算标准!$I:$J), 2, TRUE), 0))</f>
        <v/>
      </c>
      <c r="T930" t="str">
        <f t="shared" si="43"/>
        <v/>
      </c>
      <c r="U930" t="str">
        <f>IF(T930="","", IFERROR(VLOOKUP(T930, IF(D930="Movers", 换算标准!$A:$B, 换算标准!$G:$H), 2, TRUE), 0))</f>
        <v/>
      </c>
      <c r="W930" t="str">
        <f t="shared" si="44"/>
        <v/>
      </c>
      <c r="Z930" s="5" t="str">
        <f>IF(J930="","", IF(K930&lt;=3, "⚠️ 薄弱环节: "&amp;INDEX($E$1:$I$1, MATCH(MIN(E930:I930), E930:I930, 0))&amp;CHAR(10)&amp;"📉 考察能力: "&amp;IFERROR(VLOOKUP(TRIM(D930)&amp;"_"&amp;TRIM(INDEX($E$1:$I$1, MATCH(MIN(E930:I930), E930:I930, 0))), 技能库!$A:$F, 5, 0),"建议查阅考纲")&amp;CHAR(10)&amp;"💡 提升建议: "&amp;IFERROR(VLOOKUP(TRIM(D930)&amp;"_"&amp;TRIM(INDEX($E$1:$I$1, MATCH(MIN(E930:I930), E930:I930, 0))), 技能库!$A:$F, 6, 0),"请针对该题型加强练习"), "🎉 表现优异，无明显弱项！"))</f>
        <v/>
      </c>
      <c r="AA930" s="5" t="str">
        <f>IF(T930="","", IF(U930&lt;=3, "⚠️ 薄弱环节: "&amp;INDEX($M$1:$S$1, MATCH(MIN(M930:S930), M930:S930, 0))&amp;CHAR(10)&amp;"📉 考察能力: "&amp;IFERROR(VLOOKUP(TRIM(D930)&amp;"_"&amp;TRIM(INDEX($M$1:$S$1, MATCH(MIN(M930:S930), M930:S930, 0))), 技能库!$A:$F, 5, 0),"建议查阅考纲")&amp;CHAR(10)&amp;"💡 提升建议: "&amp;IFERROR(VLOOKUP(TRIM(D930)&amp;"_"&amp;TRIM(INDEX($M$1:$S$1, MATCH(MIN(M930:S930), M930:S930, 0))), 技能库!$A:$F, 6, 0),"请针对该题型加强练习"), "🎉 表现优异，无明显弱项！"))</f>
        <v/>
      </c>
    </row>
    <row r="931" spans="10:27" ht="18" hidden="1" customHeight="1" x14ac:dyDescent="0.2">
      <c r="J931" t="str">
        <f t="shared" si="42"/>
        <v/>
      </c>
      <c r="K931" t="str">
        <f>IF(J931="","", IFERROR(VLOOKUP(J931, IF(D931="Movers", 换算标准!$C:$D, 换算标准!$I:$J), 2, TRUE), 0))</f>
        <v/>
      </c>
      <c r="T931" t="str">
        <f t="shared" si="43"/>
        <v/>
      </c>
      <c r="U931" t="str">
        <f>IF(T931="","", IFERROR(VLOOKUP(T931, IF(D931="Movers", 换算标准!$A:$B, 换算标准!$G:$H), 2, TRUE), 0))</f>
        <v/>
      </c>
      <c r="W931" t="str">
        <f t="shared" si="44"/>
        <v/>
      </c>
      <c r="Z931" s="5" t="str">
        <f>IF(J931="","", IF(K931&lt;=3, "⚠️ 薄弱环节: "&amp;INDEX($E$1:$I$1, MATCH(MIN(E931:I931), E931:I931, 0))&amp;CHAR(10)&amp;"📉 考察能力: "&amp;IFERROR(VLOOKUP(TRIM(D931)&amp;"_"&amp;TRIM(INDEX($E$1:$I$1, MATCH(MIN(E931:I931), E931:I931, 0))), 技能库!$A:$F, 5, 0),"建议查阅考纲")&amp;CHAR(10)&amp;"💡 提升建议: "&amp;IFERROR(VLOOKUP(TRIM(D931)&amp;"_"&amp;TRIM(INDEX($E$1:$I$1, MATCH(MIN(E931:I931), E931:I931, 0))), 技能库!$A:$F, 6, 0),"请针对该题型加强练习"), "🎉 表现优异，无明显弱项！"))</f>
        <v/>
      </c>
      <c r="AA931" s="5" t="str">
        <f>IF(T931="","", IF(U931&lt;=3, "⚠️ 薄弱环节: "&amp;INDEX($M$1:$S$1, MATCH(MIN(M931:S931), M931:S931, 0))&amp;CHAR(10)&amp;"📉 考察能力: "&amp;IFERROR(VLOOKUP(TRIM(D931)&amp;"_"&amp;TRIM(INDEX($M$1:$S$1, MATCH(MIN(M931:S931), M931:S931, 0))), 技能库!$A:$F, 5, 0),"建议查阅考纲")&amp;CHAR(10)&amp;"💡 提升建议: "&amp;IFERROR(VLOOKUP(TRIM(D931)&amp;"_"&amp;TRIM(INDEX($M$1:$S$1, MATCH(MIN(M931:S931), M931:S931, 0))), 技能库!$A:$F, 6, 0),"请针对该题型加强练习"), "🎉 表现优异，无明显弱项！"))</f>
        <v/>
      </c>
    </row>
    <row r="932" spans="10:27" ht="18" hidden="1" customHeight="1" x14ac:dyDescent="0.2">
      <c r="J932" t="str">
        <f t="shared" si="42"/>
        <v/>
      </c>
      <c r="K932" t="str">
        <f>IF(J932="","", IFERROR(VLOOKUP(J932, IF(D932="Movers", 换算标准!$C:$D, 换算标准!$I:$J), 2, TRUE), 0))</f>
        <v/>
      </c>
      <c r="T932" t="str">
        <f t="shared" si="43"/>
        <v/>
      </c>
      <c r="U932" t="str">
        <f>IF(T932="","", IFERROR(VLOOKUP(T932, IF(D932="Movers", 换算标准!$A:$B, 换算标准!$G:$H), 2, TRUE), 0))</f>
        <v/>
      </c>
      <c r="W932" t="str">
        <f t="shared" si="44"/>
        <v/>
      </c>
      <c r="Z932" s="5" t="str">
        <f>IF(J932="","", IF(K932&lt;=3, "⚠️ 薄弱环节: "&amp;INDEX($E$1:$I$1, MATCH(MIN(E932:I932), E932:I932, 0))&amp;CHAR(10)&amp;"📉 考察能力: "&amp;IFERROR(VLOOKUP(TRIM(D932)&amp;"_"&amp;TRIM(INDEX($E$1:$I$1, MATCH(MIN(E932:I932), E932:I932, 0))), 技能库!$A:$F, 5, 0),"建议查阅考纲")&amp;CHAR(10)&amp;"💡 提升建议: "&amp;IFERROR(VLOOKUP(TRIM(D932)&amp;"_"&amp;TRIM(INDEX($E$1:$I$1, MATCH(MIN(E932:I932), E932:I932, 0))), 技能库!$A:$F, 6, 0),"请针对该题型加强练习"), "🎉 表现优异，无明显弱项！"))</f>
        <v/>
      </c>
      <c r="AA932" s="5" t="str">
        <f>IF(T932="","", IF(U932&lt;=3, "⚠️ 薄弱环节: "&amp;INDEX($M$1:$S$1, MATCH(MIN(M932:S932), M932:S932, 0))&amp;CHAR(10)&amp;"📉 考察能力: "&amp;IFERROR(VLOOKUP(TRIM(D932)&amp;"_"&amp;TRIM(INDEX($M$1:$S$1, MATCH(MIN(M932:S932), M932:S932, 0))), 技能库!$A:$F, 5, 0),"建议查阅考纲")&amp;CHAR(10)&amp;"💡 提升建议: "&amp;IFERROR(VLOOKUP(TRIM(D932)&amp;"_"&amp;TRIM(INDEX($M$1:$S$1, MATCH(MIN(M932:S932), M932:S932, 0))), 技能库!$A:$F, 6, 0),"请针对该题型加强练习"), "🎉 表现优异，无明显弱项！"))</f>
        <v/>
      </c>
    </row>
    <row r="933" spans="10:27" ht="18" hidden="1" customHeight="1" x14ac:dyDescent="0.2">
      <c r="J933" t="str">
        <f t="shared" si="42"/>
        <v/>
      </c>
      <c r="K933" t="str">
        <f>IF(J933="","", IFERROR(VLOOKUP(J933, IF(D933="Movers", 换算标准!$C:$D, 换算标准!$I:$J), 2, TRUE), 0))</f>
        <v/>
      </c>
      <c r="T933" t="str">
        <f t="shared" si="43"/>
        <v/>
      </c>
      <c r="U933" t="str">
        <f>IF(T933="","", IFERROR(VLOOKUP(T933, IF(D933="Movers", 换算标准!$A:$B, 换算标准!$G:$H), 2, TRUE), 0))</f>
        <v/>
      </c>
      <c r="W933" t="str">
        <f t="shared" si="44"/>
        <v/>
      </c>
      <c r="Z933" s="5" t="str">
        <f>IF(J933="","", IF(K933&lt;=3, "⚠️ 薄弱环节: "&amp;INDEX($E$1:$I$1, MATCH(MIN(E933:I933), E933:I933, 0))&amp;CHAR(10)&amp;"📉 考察能力: "&amp;IFERROR(VLOOKUP(TRIM(D933)&amp;"_"&amp;TRIM(INDEX($E$1:$I$1, MATCH(MIN(E933:I933), E933:I933, 0))), 技能库!$A:$F, 5, 0),"建议查阅考纲")&amp;CHAR(10)&amp;"💡 提升建议: "&amp;IFERROR(VLOOKUP(TRIM(D933)&amp;"_"&amp;TRIM(INDEX($E$1:$I$1, MATCH(MIN(E933:I933), E933:I933, 0))), 技能库!$A:$F, 6, 0),"请针对该题型加强练习"), "🎉 表现优异，无明显弱项！"))</f>
        <v/>
      </c>
      <c r="AA933" s="5" t="str">
        <f>IF(T933="","", IF(U933&lt;=3, "⚠️ 薄弱环节: "&amp;INDEX($M$1:$S$1, MATCH(MIN(M933:S933), M933:S933, 0))&amp;CHAR(10)&amp;"📉 考察能力: "&amp;IFERROR(VLOOKUP(TRIM(D933)&amp;"_"&amp;TRIM(INDEX($M$1:$S$1, MATCH(MIN(M933:S933), M933:S933, 0))), 技能库!$A:$F, 5, 0),"建议查阅考纲")&amp;CHAR(10)&amp;"💡 提升建议: "&amp;IFERROR(VLOOKUP(TRIM(D933)&amp;"_"&amp;TRIM(INDEX($M$1:$S$1, MATCH(MIN(M933:S933), M933:S933, 0))), 技能库!$A:$F, 6, 0),"请针对该题型加强练习"), "🎉 表现优异，无明显弱项！"))</f>
        <v/>
      </c>
    </row>
    <row r="934" spans="10:27" ht="18" hidden="1" customHeight="1" x14ac:dyDescent="0.2">
      <c r="J934" t="str">
        <f t="shared" si="42"/>
        <v/>
      </c>
      <c r="K934" t="str">
        <f>IF(J934="","", IFERROR(VLOOKUP(J934, IF(D934="Movers", 换算标准!$C:$D, 换算标准!$I:$J), 2, TRUE), 0))</f>
        <v/>
      </c>
      <c r="T934" t="str">
        <f t="shared" si="43"/>
        <v/>
      </c>
      <c r="U934" t="str">
        <f>IF(T934="","", IFERROR(VLOOKUP(T934, IF(D934="Movers", 换算标准!$A:$B, 换算标准!$G:$H), 2, TRUE), 0))</f>
        <v/>
      </c>
      <c r="W934" t="str">
        <f t="shared" si="44"/>
        <v/>
      </c>
      <c r="Z934" s="5" t="str">
        <f>IF(J934="","", IF(K934&lt;=3, "⚠️ 薄弱环节: "&amp;INDEX($E$1:$I$1, MATCH(MIN(E934:I934), E934:I934, 0))&amp;CHAR(10)&amp;"📉 考察能力: "&amp;IFERROR(VLOOKUP(TRIM(D934)&amp;"_"&amp;TRIM(INDEX($E$1:$I$1, MATCH(MIN(E934:I934), E934:I934, 0))), 技能库!$A:$F, 5, 0),"建议查阅考纲")&amp;CHAR(10)&amp;"💡 提升建议: "&amp;IFERROR(VLOOKUP(TRIM(D934)&amp;"_"&amp;TRIM(INDEX($E$1:$I$1, MATCH(MIN(E934:I934), E934:I934, 0))), 技能库!$A:$F, 6, 0),"请针对该题型加强练习"), "🎉 表现优异，无明显弱项！"))</f>
        <v/>
      </c>
      <c r="AA934" s="5" t="str">
        <f>IF(T934="","", IF(U934&lt;=3, "⚠️ 薄弱环节: "&amp;INDEX($M$1:$S$1, MATCH(MIN(M934:S934), M934:S934, 0))&amp;CHAR(10)&amp;"📉 考察能力: "&amp;IFERROR(VLOOKUP(TRIM(D934)&amp;"_"&amp;TRIM(INDEX($M$1:$S$1, MATCH(MIN(M934:S934), M934:S934, 0))), 技能库!$A:$F, 5, 0),"建议查阅考纲")&amp;CHAR(10)&amp;"💡 提升建议: "&amp;IFERROR(VLOOKUP(TRIM(D934)&amp;"_"&amp;TRIM(INDEX($M$1:$S$1, MATCH(MIN(M934:S934), M934:S934, 0))), 技能库!$A:$F, 6, 0),"请针对该题型加强练习"), "🎉 表现优异，无明显弱项！"))</f>
        <v/>
      </c>
    </row>
    <row r="935" spans="10:27" ht="18" hidden="1" customHeight="1" x14ac:dyDescent="0.2">
      <c r="J935" t="str">
        <f t="shared" si="42"/>
        <v/>
      </c>
      <c r="K935" t="str">
        <f>IF(J935="","", IFERROR(VLOOKUP(J935, IF(D935="Movers", 换算标准!$C:$D, 换算标准!$I:$J), 2, TRUE), 0))</f>
        <v/>
      </c>
      <c r="T935" t="str">
        <f t="shared" si="43"/>
        <v/>
      </c>
      <c r="U935" t="str">
        <f>IF(T935="","", IFERROR(VLOOKUP(T935, IF(D935="Movers", 换算标准!$A:$B, 换算标准!$G:$H), 2, TRUE), 0))</f>
        <v/>
      </c>
      <c r="W935" t="str">
        <f t="shared" si="44"/>
        <v/>
      </c>
      <c r="Z935" s="5" t="str">
        <f>IF(J935="","", IF(K935&lt;=3, "⚠️ 薄弱环节: "&amp;INDEX($E$1:$I$1, MATCH(MIN(E935:I935), E935:I935, 0))&amp;CHAR(10)&amp;"📉 考察能力: "&amp;IFERROR(VLOOKUP(TRIM(D935)&amp;"_"&amp;TRIM(INDEX($E$1:$I$1, MATCH(MIN(E935:I935), E935:I935, 0))), 技能库!$A:$F, 5, 0),"建议查阅考纲")&amp;CHAR(10)&amp;"💡 提升建议: "&amp;IFERROR(VLOOKUP(TRIM(D935)&amp;"_"&amp;TRIM(INDEX($E$1:$I$1, MATCH(MIN(E935:I935), E935:I935, 0))), 技能库!$A:$F, 6, 0),"请针对该题型加强练习"), "🎉 表现优异，无明显弱项！"))</f>
        <v/>
      </c>
      <c r="AA935" s="5" t="str">
        <f>IF(T935="","", IF(U935&lt;=3, "⚠️ 薄弱环节: "&amp;INDEX($M$1:$S$1, MATCH(MIN(M935:S935), M935:S935, 0))&amp;CHAR(10)&amp;"📉 考察能力: "&amp;IFERROR(VLOOKUP(TRIM(D935)&amp;"_"&amp;TRIM(INDEX($M$1:$S$1, MATCH(MIN(M935:S935), M935:S935, 0))), 技能库!$A:$F, 5, 0),"建议查阅考纲")&amp;CHAR(10)&amp;"💡 提升建议: "&amp;IFERROR(VLOOKUP(TRIM(D935)&amp;"_"&amp;TRIM(INDEX($M$1:$S$1, MATCH(MIN(M935:S935), M935:S935, 0))), 技能库!$A:$F, 6, 0),"请针对该题型加强练习"), "🎉 表现优异，无明显弱项！"))</f>
        <v/>
      </c>
    </row>
    <row r="936" spans="10:27" ht="18" hidden="1" customHeight="1" x14ac:dyDescent="0.2">
      <c r="J936" t="str">
        <f t="shared" si="42"/>
        <v/>
      </c>
      <c r="K936" t="str">
        <f>IF(J936="","", IFERROR(VLOOKUP(J936, IF(D936="Movers", 换算标准!$C:$D, 换算标准!$I:$J), 2, TRUE), 0))</f>
        <v/>
      </c>
      <c r="T936" t="str">
        <f t="shared" si="43"/>
        <v/>
      </c>
      <c r="U936" t="str">
        <f>IF(T936="","", IFERROR(VLOOKUP(T936, IF(D936="Movers", 换算标准!$A:$B, 换算标准!$G:$H), 2, TRUE), 0))</f>
        <v/>
      </c>
      <c r="W936" t="str">
        <f t="shared" si="44"/>
        <v/>
      </c>
      <c r="Z936" s="5" t="str">
        <f>IF(J936="","", IF(K936&lt;=3, "⚠️ 薄弱环节: "&amp;INDEX($E$1:$I$1, MATCH(MIN(E936:I936), E936:I936, 0))&amp;CHAR(10)&amp;"📉 考察能力: "&amp;IFERROR(VLOOKUP(TRIM(D936)&amp;"_"&amp;TRIM(INDEX($E$1:$I$1, MATCH(MIN(E936:I936), E936:I936, 0))), 技能库!$A:$F, 5, 0),"建议查阅考纲")&amp;CHAR(10)&amp;"💡 提升建议: "&amp;IFERROR(VLOOKUP(TRIM(D936)&amp;"_"&amp;TRIM(INDEX($E$1:$I$1, MATCH(MIN(E936:I936), E936:I936, 0))), 技能库!$A:$F, 6, 0),"请针对该题型加强练习"), "🎉 表现优异，无明显弱项！"))</f>
        <v/>
      </c>
      <c r="AA936" s="5" t="str">
        <f>IF(T936="","", IF(U936&lt;=3, "⚠️ 薄弱环节: "&amp;INDEX($M$1:$S$1, MATCH(MIN(M936:S936), M936:S936, 0))&amp;CHAR(10)&amp;"📉 考察能力: "&amp;IFERROR(VLOOKUP(TRIM(D936)&amp;"_"&amp;TRIM(INDEX($M$1:$S$1, MATCH(MIN(M936:S936), M936:S936, 0))), 技能库!$A:$F, 5, 0),"建议查阅考纲")&amp;CHAR(10)&amp;"💡 提升建议: "&amp;IFERROR(VLOOKUP(TRIM(D936)&amp;"_"&amp;TRIM(INDEX($M$1:$S$1, MATCH(MIN(M936:S936), M936:S936, 0))), 技能库!$A:$F, 6, 0),"请针对该题型加强练习"), "🎉 表现优异，无明显弱项！"))</f>
        <v/>
      </c>
    </row>
    <row r="937" spans="10:27" ht="18" hidden="1" customHeight="1" x14ac:dyDescent="0.2">
      <c r="J937" t="str">
        <f t="shared" si="42"/>
        <v/>
      </c>
      <c r="K937" t="str">
        <f>IF(J937="","", IFERROR(VLOOKUP(J937, IF(D937="Movers", 换算标准!$C:$D, 换算标准!$I:$J), 2, TRUE), 0))</f>
        <v/>
      </c>
      <c r="T937" t="str">
        <f t="shared" si="43"/>
        <v/>
      </c>
      <c r="U937" t="str">
        <f>IF(T937="","", IFERROR(VLOOKUP(T937, IF(D937="Movers", 换算标准!$A:$B, 换算标准!$G:$H), 2, TRUE), 0))</f>
        <v/>
      </c>
      <c r="W937" t="str">
        <f t="shared" si="44"/>
        <v/>
      </c>
      <c r="Z937" s="5" t="str">
        <f>IF(J937="","", IF(K937&lt;=3, "⚠️ 薄弱环节: "&amp;INDEX($E$1:$I$1, MATCH(MIN(E937:I937), E937:I937, 0))&amp;CHAR(10)&amp;"📉 考察能力: "&amp;IFERROR(VLOOKUP(TRIM(D937)&amp;"_"&amp;TRIM(INDEX($E$1:$I$1, MATCH(MIN(E937:I937), E937:I937, 0))), 技能库!$A:$F, 5, 0),"建议查阅考纲")&amp;CHAR(10)&amp;"💡 提升建议: "&amp;IFERROR(VLOOKUP(TRIM(D937)&amp;"_"&amp;TRIM(INDEX($E$1:$I$1, MATCH(MIN(E937:I937), E937:I937, 0))), 技能库!$A:$F, 6, 0),"请针对该题型加强练习"), "🎉 表现优异，无明显弱项！"))</f>
        <v/>
      </c>
      <c r="AA937" s="5" t="str">
        <f>IF(T937="","", IF(U937&lt;=3, "⚠️ 薄弱环节: "&amp;INDEX($M$1:$S$1, MATCH(MIN(M937:S937), M937:S937, 0))&amp;CHAR(10)&amp;"📉 考察能力: "&amp;IFERROR(VLOOKUP(TRIM(D937)&amp;"_"&amp;TRIM(INDEX($M$1:$S$1, MATCH(MIN(M937:S937), M937:S937, 0))), 技能库!$A:$F, 5, 0),"建议查阅考纲")&amp;CHAR(10)&amp;"💡 提升建议: "&amp;IFERROR(VLOOKUP(TRIM(D937)&amp;"_"&amp;TRIM(INDEX($M$1:$S$1, MATCH(MIN(M937:S937), M937:S937, 0))), 技能库!$A:$F, 6, 0),"请针对该题型加强练习"), "🎉 表现优异，无明显弱项！"))</f>
        <v/>
      </c>
    </row>
    <row r="938" spans="10:27" ht="18" hidden="1" customHeight="1" x14ac:dyDescent="0.2">
      <c r="J938" t="str">
        <f t="shared" si="42"/>
        <v/>
      </c>
      <c r="K938" t="str">
        <f>IF(J938="","", IFERROR(VLOOKUP(J938, IF(D938="Movers", 换算标准!$C:$D, 换算标准!$I:$J), 2, TRUE), 0))</f>
        <v/>
      </c>
      <c r="T938" t="str">
        <f t="shared" si="43"/>
        <v/>
      </c>
      <c r="U938" t="str">
        <f>IF(T938="","", IFERROR(VLOOKUP(T938, IF(D938="Movers", 换算标准!$A:$B, 换算标准!$G:$H), 2, TRUE), 0))</f>
        <v/>
      </c>
      <c r="W938" t="str">
        <f t="shared" si="44"/>
        <v/>
      </c>
      <c r="Z938" s="5" t="str">
        <f>IF(J938="","", IF(K938&lt;=3, "⚠️ 薄弱环节: "&amp;INDEX($E$1:$I$1, MATCH(MIN(E938:I938), E938:I938, 0))&amp;CHAR(10)&amp;"📉 考察能力: "&amp;IFERROR(VLOOKUP(TRIM(D938)&amp;"_"&amp;TRIM(INDEX($E$1:$I$1, MATCH(MIN(E938:I938), E938:I938, 0))), 技能库!$A:$F, 5, 0),"建议查阅考纲")&amp;CHAR(10)&amp;"💡 提升建议: "&amp;IFERROR(VLOOKUP(TRIM(D938)&amp;"_"&amp;TRIM(INDEX($E$1:$I$1, MATCH(MIN(E938:I938), E938:I938, 0))), 技能库!$A:$F, 6, 0),"请针对该题型加强练习"), "🎉 表现优异，无明显弱项！"))</f>
        <v/>
      </c>
      <c r="AA938" s="5" t="str">
        <f>IF(T938="","", IF(U938&lt;=3, "⚠️ 薄弱环节: "&amp;INDEX($M$1:$S$1, MATCH(MIN(M938:S938), M938:S938, 0))&amp;CHAR(10)&amp;"📉 考察能力: "&amp;IFERROR(VLOOKUP(TRIM(D938)&amp;"_"&amp;TRIM(INDEX($M$1:$S$1, MATCH(MIN(M938:S938), M938:S938, 0))), 技能库!$A:$F, 5, 0),"建议查阅考纲")&amp;CHAR(10)&amp;"💡 提升建议: "&amp;IFERROR(VLOOKUP(TRIM(D938)&amp;"_"&amp;TRIM(INDEX($M$1:$S$1, MATCH(MIN(M938:S938), M938:S938, 0))), 技能库!$A:$F, 6, 0),"请针对该题型加强练习"), "🎉 表现优异，无明显弱项！"))</f>
        <v/>
      </c>
    </row>
    <row r="939" spans="10:27" ht="18" hidden="1" customHeight="1" x14ac:dyDescent="0.2">
      <c r="J939" t="str">
        <f t="shared" si="42"/>
        <v/>
      </c>
      <c r="K939" t="str">
        <f>IF(J939="","", IFERROR(VLOOKUP(J939, IF(D939="Movers", 换算标准!$C:$D, 换算标准!$I:$J), 2, TRUE), 0))</f>
        <v/>
      </c>
      <c r="T939" t="str">
        <f t="shared" si="43"/>
        <v/>
      </c>
      <c r="U939" t="str">
        <f>IF(T939="","", IFERROR(VLOOKUP(T939, IF(D939="Movers", 换算标准!$A:$B, 换算标准!$G:$H), 2, TRUE), 0))</f>
        <v/>
      </c>
      <c r="W939" t="str">
        <f t="shared" si="44"/>
        <v/>
      </c>
      <c r="Z939" s="5" t="str">
        <f>IF(J939="","", IF(K939&lt;=3, "⚠️ 薄弱环节: "&amp;INDEX($E$1:$I$1, MATCH(MIN(E939:I939), E939:I939, 0))&amp;CHAR(10)&amp;"📉 考察能力: "&amp;IFERROR(VLOOKUP(TRIM(D939)&amp;"_"&amp;TRIM(INDEX($E$1:$I$1, MATCH(MIN(E939:I939), E939:I939, 0))), 技能库!$A:$F, 5, 0),"建议查阅考纲")&amp;CHAR(10)&amp;"💡 提升建议: "&amp;IFERROR(VLOOKUP(TRIM(D939)&amp;"_"&amp;TRIM(INDEX($E$1:$I$1, MATCH(MIN(E939:I939), E939:I939, 0))), 技能库!$A:$F, 6, 0),"请针对该题型加强练习"), "🎉 表现优异，无明显弱项！"))</f>
        <v/>
      </c>
      <c r="AA939" s="5" t="str">
        <f>IF(T939="","", IF(U939&lt;=3, "⚠️ 薄弱环节: "&amp;INDEX($M$1:$S$1, MATCH(MIN(M939:S939), M939:S939, 0))&amp;CHAR(10)&amp;"📉 考察能力: "&amp;IFERROR(VLOOKUP(TRIM(D939)&amp;"_"&amp;TRIM(INDEX($M$1:$S$1, MATCH(MIN(M939:S939), M939:S939, 0))), 技能库!$A:$F, 5, 0),"建议查阅考纲")&amp;CHAR(10)&amp;"💡 提升建议: "&amp;IFERROR(VLOOKUP(TRIM(D939)&amp;"_"&amp;TRIM(INDEX($M$1:$S$1, MATCH(MIN(M939:S939), M939:S939, 0))), 技能库!$A:$F, 6, 0),"请针对该题型加强练习"), "🎉 表现优异，无明显弱项！"))</f>
        <v/>
      </c>
    </row>
    <row r="940" spans="10:27" ht="18" hidden="1" customHeight="1" x14ac:dyDescent="0.2">
      <c r="J940" t="str">
        <f t="shared" si="42"/>
        <v/>
      </c>
      <c r="K940" t="str">
        <f>IF(J940="","", IFERROR(VLOOKUP(J940, IF(D940="Movers", 换算标准!$C:$D, 换算标准!$I:$J), 2, TRUE), 0))</f>
        <v/>
      </c>
      <c r="T940" t="str">
        <f t="shared" si="43"/>
        <v/>
      </c>
      <c r="U940" t="str">
        <f>IF(T940="","", IFERROR(VLOOKUP(T940, IF(D940="Movers", 换算标准!$A:$B, 换算标准!$G:$H), 2, TRUE), 0))</f>
        <v/>
      </c>
      <c r="W940" t="str">
        <f t="shared" si="44"/>
        <v/>
      </c>
      <c r="Z940" s="5" t="str">
        <f>IF(J940="","", IF(K940&lt;=3, "⚠️ 薄弱环节: "&amp;INDEX($E$1:$I$1, MATCH(MIN(E940:I940), E940:I940, 0))&amp;CHAR(10)&amp;"📉 考察能力: "&amp;IFERROR(VLOOKUP(TRIM(D940)&amp;"_"&amp;TRIM(INDEX($E$1:$I$1, MATCH(MIN(E940:I940), E940:I940, 0))), 技能库!$A:$F, 5, 0),"建议查阅考纲")&amp;CHAR(10)&amp;"💡 提升建议: "&amp;IFERROR(VLOOKUP(TRIM(D940)&amp;"_"&amp;TRIM(INDEX($E$1:$I$1, MATCH(MIN(E940:I940), E940:I940, 0))), 技能库!$A:$F, 6, 0),"请针对该题型加强练习"), "🎉 表现优异，无明显弱项！"))</f>
        <v/>
      </c>
      <c r="AA940" s="5" t="str">
        <f>IF(T940="","", IF(U940&lt;=3, "⚠️ 薄弱环节: "&amp;INDEX($M$1:$S$1, MATCH(MIN(M940:S940), M940:S940, 0))&amp;CHAR(10)&amp;"📉 考察能力: "&amp;IFERROR(VLOOKUP(TRIM(D940)&amp;"_"&amp;TRIM(INDEX($M$1:$S$1, MATCH(MIN(M940:S940), M940:S940, 0))), 技能库!$A:$F, 5, 0),"建议查阅考纲")&amp;CHAR(10)&amp;"💡 提升建议: "&amp;IFERROR(VLOOKUP(TRIM(D940)&amp;"_"&amp;TRIM(INDEX($M$1:$S$1, MATCH(MIN(M940:S940), M940:S940, 0))), 技能库!$A:$F, 6, 0),"请针对该题型加强练习"), "🎉 表现优异，无明显弱项！"))</f>
        <v/>
      </c>
    </row>
    <row r="941" spans="10:27" ht="18" hidden="1" customHeight="1" x14ac:dyDescent="0.2">
      <c r="J941" t="str">
        <f t="shared" si="42"/>
        <v/>
      </c>
      <c r="K941" t="str">
        <f>IF(J941="","", IFERROR(VLOOKUP(J941, IF(D941="Movers", 换算标准!$C:$D, 换算标准!$I:$J), 2, TRUE), 0))</f>
        <v/>
      </c>
      <c r="T941" t="str">
        <f t="shared" si="43"/>
        <v/>
      </c>
      <c r="U941" t="str">
        <f>IF(T941="","", IFERROR(VLOOKUP(T941, IF(D941="Movers", 换算标准!$A:$B, 换算标准!$G:$H), 2, TRUE), 0))</f>
        <v/>
      </c>
      <c r="W941" t="str">
        <f t="shared" si="44"/>
        <v/>
      </c>
      <c r="Z941" s="5" t="str">
        <f>IF(J941="","", IF(K941&lt;=3, "⚠️ 薄弱环节: "&amp;INDEX($E$1:$I$1, MATCH(MIN(E941:I941), E941:I941, 0))&amp;CHAR(10)&amp;"📉 考察能力: "&amp;IFERROR(VLOOKUP(TRIM(D941)&amp;"_"&amp;TRIM(INDEX($E$1:$I$1, MATCH(MIN(E941:I941), E941:I941, 0))), 技能库!$A:$F, 5, 0),"建议查阅考纲")&amp;CHAR(10)&amp;"💡 提升建议: "&amp;IFERROR(VLOOKUP(TRIM(D941)&amp;"_"&amp;TRIM(INDEX($E$1:$I$1, MATCH(MIN(E941:I941), E941:I941, 0))), 技能库!$A:$F, 6, 0),"请针对该题型加强练习"), "🎉 表现优异，无明显弱项！"))</f>
        <v/>
      </c>
      <c r="AA941" s="5" t="str">
        <f>IF(T941="","", IF(U941&lt;=3, "⚠️ 薄弱环节: "&amp;INDEX($M$1:$S$1, MATCH(MIN(M941:S941), M941:S941, 0))&amp;CHAR(10)&amp;"📉 考察能力: "&amp;IFERROR(VLOOKUP(TRIM(D941)&amp;"_"&amp;TRIM(INDEX($M$1:$S$1, MATCH(MIN(M941:S941), M941:S941, 0))), 技能库!$A:$F, 5, 0),"建议查阅考纲")&amp;CHAR(10)&amp;"💡 提升建议: "&amp;IFERROR(VLOOKUP(TRIM(D941)&amp;"_"&amp;TRIM(INDEX($M$1:$S$1, MATCH(MIN(M941:S941), M941:S941, 0))), 技能库!$A:$F, 6, 0),"请针对该题型加强练习"), "🎉 表现优异，无明显弱项！"))</f>
        <v/>
      </c>
    </row>
    <row r="942" spans="10:27" ht="18" hidden="1" customHeight="1" x14ac:dyDescent="0.2">
      <c r="J942" t="str">
        <f t="shared" si="42"/>
        <v/>
      </c>
      <c r="K942" t="str">
        <f>IF(J942="","", IFERROR(VLOOKUP(J942, IF(D942="Movers", 换算标准!$C:$D, 换算标准!$I:$J), 2, TRUE), 0))</f>
        <v/>
      </c>
      <c r="T942" t="str">
        <f t="shared" si="43"/>
        <v/>
      </c>
      <c r="U942" t="str">
        <f>IF(T942="","", IFERROR(VLOOKUP(T942, IF(D942="Movers", 换算标准!$A:$B, 换算标准!$G:$H), 2, TRUE), 0))</f>
        <v/>
      </c>
      <c r="W942" t="str">
        <f t="shared" si="44"/>
        <v/>
      </c>
      <c r="Z942" s="5" t="str">
        <f>IF(J942="","", IF(K942&lt;=3, "⚠️ 薄弱环节: "&amp;INDEX($E$1:$I$1, MATCH(MIN(E942:I942), E942:I942, 0))&amp;CHAR(10)&amp;"📉 考察能力: "&amp;IFERROR(VLOOKUP(TRIM(D942)&amp;"_"&amp;TRIM(INDEX($E$1:$I$1, MATCH(MIN(E942:I942), E942:I942, 0))), 技能库!$A:$F, 5, 0),"建议查阅考纲")&amp;CHAR(10)&amp;"💡 提升建议: "&amp;IFERROR(VLOOKUP(TRIM(D942)&amp;"_"&amp;TRIM(INDEX($E$1:$I$1, MATCH(MIN(E942:I942), E942:I942, 0))), 技能库!$A:$F, 6, 0),"请针对该题型加强练习"), "🎉 表现优异，无明显弱项！"))</f>
        <v/>
      </c>
      <c r="AA942" s="5" t="str">
        <f>IF(T942="","", IF(U942&lt;=3, "⚠️ 薄弱环节: "&amp;INDEX($M$1:$S$1, MATCH(MIN(M942:S942), M942:S942, 0))&amp;CHAR(10)&amp;"📉 考察能力: "&amp;IFERROR(VLOOKUP(TRIM(D942)&amp;"_"&amp;TRIM(INDEX($M$1:$S$1, MATCH(MIN(M942:S942), M942:S942, 0))), 技能库!$A:$F, 5, 0),"建议查阅考纲")&amp;CHAR(10)&amp;"💡 提升建议: "&amp;IFERROR(VLOOKUP(TRIM(D942)&amp;"_"&amp;TRIM(INDEX($M$1:$S$1, MATCH(MIN(M942:S942), M942:S942, 0))), 技能库!$A:$F, 6, 0),"请针对该题型加强练习"), "🎉 表现优异，无明显弱项！"))</f>
        <v/>
      </c>
    </row>
    <row r="943" spans="10:27" ht="18" hidden="1" customHeight="1" x14ac:dyDescent="0.2">
      <c r="J943" t="str">
        <f t="shared" si="42"/>
        <v/>
      </c>
      <c r="K943" t="str">
        <f>IF(J943="","", IFERROR(VLOOKUP(J943, IF(D943="Movers", 换算标准!$C:$D, 换算标准!$I:$J), 2, TRUE), 0))</f>
        <v/>
      </c>
      <c r="T943" t="str">
        <f t="shared" si="43"/>
        <v/>
      </c>
      <c r="U943" t="str">
        <f>IF(T943="","", IFERROR(VLOOKUP(T943, IF(D943="Movers", 换算标准!$A:$B, 换算标准!$G:$H), 2, TRUE), 0))</f>
        <v/>
      </c>
      <c r="W943" t="str">
        <f t="shared" si="44"/>
        <v/>
      </c>
      <c r="Z943" s="5" t="str">
        <f>IF(J943="","", IF(K943&lt;=3, "⚠️ 薄弱环节: "&amp;INDEX($E$1:$I$1, MATCH(MIN(E943:I943), E943:I943, 0))&amp;CHAR(10)&amp;"📉 考察能力: "&amp;IFERROR(VLOOKUP(TRIM(D943)&amp;"_"&amp;TRIM(INDEX($E$1:$I$1, MATCH(MIN(E943:I943), E943:I943, 0))), 技能库!$A:$F, 5, 0),"建议查阅考纲")&amp;CHAR(10)&amp;"💡 提升建议: "&amp;IFERROR(VLOOKUP(TRIM(D943)&amp;"_"&amp;TRIM(INDEX($E$1:$I$1, MATCH(MIN(E943:I943), E943:I943, 0))), 技能库!$A:$F, 6, 0),"请针对该题型加强练习"), "🎉 表现优异，无明显弱项！"))</f>
        <v/>
      </c>
      <c r="AA943" s="5" t="str">
        <f>IF(T943="","", IF(U943&lt;=3, "⚠️ 薄弱环节: "&amp;INDEX($M$1:$S$1, MATCH(MIN(M943:S943), M943:S943, 0))&amp;CHAR(10)&amp;"📉 考察能力: "&amp;IFERROR(VLOOKUP(TRIM(D943)&amp;"_"&amp;TRIM(INDEX($M$1:$S$1, MATCH(MIN(M943:S943), M943:S943, 0))), 技能库!$A:$F, 5, 0),"建议查阅考纲")&amp;CHAR(10)&amp;"💡 提升建议: "&amp;IFERROR(VLOOKUP(TRIM(D943)&amp;"_"&amp;TRIM(INDEX($M$1:$S$1, MATCH(MIN(M943:S943), M943:S943, 0))), 技能库!$A:$F, 6, 0),"请针对该题型加强练习"), "🎉 表现优异，无明显弱项！"))</f>
        <v/>
      </c>
    </row>
    <row r="944" spans="10:27" ht="18" hidden="1" customHeight="1" x14ac:dyDescent="0.2">
      <c r="J944" t="str">
        <f t="shared" si="42"/>
        <v/>
      </c>
      <c r="K944" t="str">
        <f>IF(J944="","", IFERROR(VLOOKUP(J944, IF(D944="Movers", 换算标准!$C:$D, 换算标准!$I:$J), 2, TRUE), 0))</f>
        <v/>
      </c>
      <c r="T944" t="str">
        <f t="shared" si="43"/>
        <v/>
      </c>
      <c r="U944" t="str">
        <f>IF(T944="","", IFERROR(VLOOKUP(T944, IF(D944="Movers", 换算标准!$A:$B, 换算标准!$G:$H), 2, TRUE), 0))</f>
        <v/>
      </c>
      <c r="W944" t="str">
        <f t="shared" si="44"/>
        <v/>
      </c>
      <c r="Z944" s="5" t="str">
        <f>IF(J944="","", IF(K944&lt;=3, "⚠️ 薄弱环节: "&amp;INDEX($E$1:$I$1, MATCH(MIN(E944:I944), E944:I944, 0))&amp;CHAR(10)&amp;"📉 考察能力: "&amp;IFERROR(VLOOKUP(TRIM(D944)&amp;"_"&amp;TRIM(INDEX($E$1:$I$1, MATCH(MIN(E944:I944), E944:I944, 0))), 技能库!$A:$F, 5, 0),"建议查阅考纲")&amp;CHAR(10)&amp;"💡 提升建议: "&amp;IFERROR(VLOOKUP(TRIM(D944)&amp;"_"&amp;TRIM(INDEX($E$1:$I$1, MATCH(MIN(E944:I944), E944:I944, 0))), 技能库!$A:$F, 6, 0),"请针对该题型加强练习"), "🎉 表现优异，无明显弱项！"))</f>
        <v/>
      </c>
      <c r="AA944" s="5" t="str">
        <f>IF(T944="","", IF(U944&lt;=3, "⚠️ 薄弱环节: "&amp;INDEX($M$1:$S$1, MATCH(MIN(M944:S944), M944:S944, 0))&amp;CHAR(10)&amp;"📉 考察能力: "&amp;IFERROR(VLOOKUP(TRIM(D944)&amp;"_"&amp;TRIM(INDEX($M$1:$S$1, MATCH(MIN(M944:S944), M944:S944, 0))), 技能库!$A:$F, 5, 0),"建议查阅考纲")&amp;CHAR(10)&amp;"💡 提升建议: "&amp;IFERROR(VLOOKUP(TRIM(D944)&amp;"_"&amp;TRIM(INDEX($M$1:$S$1, MATCH(MIN(M944:S944), M944:S944, 0))), 技能库!$A:$F, 6, 0),"请针对该题型加强练习"), "🎉 表现优异，无明显弱项！"))</f>
        <v/>
      </c>
    </row>
    <row r="945" spans="10:27" ht="18" hidden="1" customHeight="1" x14ac:dyDescent="0.2">
      <c r="J945" t="str">
        <f t="shared" si="42"/>
        <v/>
      </c>
      <c r="K945" t="str">
        <f>IF(J945="","", IFERROR(VLOOKUP(J945, IF(D945="Movers", 换算标准!$C:$D, 换算标准!$I:$J), 2, TRUE), 0))</f>
        <v/>
      </c>
      <c r="T945" t="str">
        <f t="shared" si="43"/>
        <v/>
      </c>
      <c r="U945" t="str">
        <f>IF(T945="","", IFERROR(VLOOKUP(T945, IF(D945="Movers", 换算标准!$A:$B, 换算标准!$G:$H), 2, TRUE), 0))</f>
        <v/>
      </c>
      <c r="W945" t="str">
        <f t="shared" si="44"/>
        <v/>
      </c>
      <c r="Z945" s="5" t="str">
        <f>IF(J945="","", IF(K945&lt;=3, "⚠️ 薄弱环节: "&amp;INDEX($E$1:$I$1, MATCH(MIN(E945:I945), E945:I945, 0))&amp;CHAR(10)&amp;"📉 考察能力: "&amp;IFERROR(VLOOKUP(TRIM(D945)&amp;"_"&amp;TRIM(INDEX($E$1:$I$1, MATCH(MIN(E945:I945), E945:I945, 0))), 技能库!$A:$F, 5, 0),"建议查阅考纲")&amp;CHAR(10)&amp;"💡 提升建议: "&amp;IFERROR(VLOOKUP(TRIM(D945)&amp;"_"&amp;TRIM(INDEX($E$1:$I$1, MATCH(MIN(E945:I945), E945:I945, 0))), 技能库!$A:$F, 6, 0),"请针对该题型加强练习"), "🎉 表现优异，无明显弱项！"))</f>
        <v/>
      </c>
      <c r="AA945" s="5" t="str">
        <f>IF(T945="","", IF(U945&lt;=3, "⚠️ 薄弱环节: "&amp;INDEX($M$1:$S$1, MATCH(MIN(M945:S945), M945:S945, 0))&amp;CHAR(10)&amp;"📉 考察能力: "&amp;IFERROR(VLOOKUP(TRIM(D945)&amp;"_"&amp;TRIM(INDEX($M$1:$S$1, MATCH(MIN(M945:S945), M945:S945, 0))), 技能库!$A:$F, 5, 0),"建议查阅考纲")&amp;CHAR(10)&amp;"💡 提升建议: "&amp;IFERROR(VLOOKUP(TRIM(D945)&amp;"_"&amp;TRIM(INDEX($M$1:$S$1, MATCH(MIN(M945:S945), M945:S945, 0))), 技能库!$A:$F, 6, 0),"请针对该题型加强练习"), "🎉 表现优异，无明显弱项！"))</f>
        <v/>
      </c>
    </row>
    <row r="946" spans="10:27" ht="18" hidden="1" customHeight="1" x14ac:dyDescent="0.2">
      <c r="J946" t="str">
        <f t="shared" si="42"/>
        <v/>
      </c>
      <c r="K946" t="str">
        <f>IF(J946="","", IFERROR(VLOOKUP(J946, IF(D946="Movers", 换算标准!$C:$D, 换算标准!$I:$J), 2, TRUE), 0))</f>
        <v/>
      </c>
      <c r="T946" t="str">
        <f t="shared" si="43"/>
        <v/>
      </c>
      <c r="U946" t="str">
        <f>IF(T946="","", IFERROR(VLOOKUP(T946, IF(D946="Movers", 换算标准!$A:$B, 换算标准!$G:$H), 2, TRUE), 0))</f>
        <v/>
      </c>
      <c r="W946" t="str">
        <f t="shared" si="44"/>
        <v/>
      </c>
      <c r="Z946" s="5" t="str">
        <f>IF(J946="","", IF(K946&lt;=3, "⚠️ 薄弱环节: "&amp;INDEX($E$1:$I$1, MATCH(MIN(E946:I946), E946:I946, 0))&amp;CHAR(10)&amp;"📉 考察能力: "&amp;IFERROR(VLOOKUP(TRIM(D946)&amp;"_"&amp;TRIM(INDEX($E$1:$I$1, MATCH(MIN(E946:I946), E946:I946, 0))), 技能库!$A:$F, 5, 0),"建议查阅考纲")&amp;CHAR(10)&amp;"💡 提升建议: "&amp;IFERROR(VLOOKUP(TRIM(D946)&amp;"_"&amp;TRIM(INDEX($E$1:$I$1, MATCH(MIN(E946:I946), E946:I946, 0))), 技能库!$A:$F, 6, 0),"请针对该题型加强练习"), "🎉 表现优异，无明显弱项！"))</f>
        <v/>
      </c>
      <c r="AA946" s="5" t="str">
        <f>IF(T946="","", IF(U946&lt;=3, "⚠️ 薄弱环节: "&amp;INDEX($M$1:$S$1, MATCH(MIN(M946:S946), M946:S946, 0))&amp;CHAR(10)&amp;"📉 考察能力: "&amp;IFERROR(VLOOKUP(TRIM(D946)&amp;"_"&amp;TRIM(INDEX($M$1:$S$1, MATCH(MIN(M946:S946), M946:S946, 0))), 技能库!$A:$F, 5, 0),"建议查阅考纲")&amp;CHAR(10)&amp;"💡 提升建议: "&amp;IFERROR(VLOOKUP(TRIM(D946)&amp;"_"&amp;TRIM(INDEX($M$1:$S$1, MATCH(MIN(M946:S946), M946:S946, 0))), 技能库!$A:$F, 6, 0),"请针对该题型加强练习"), "🎉 表现优异，无明显弱项！"))</f>
        <v/>
      </c>
    </row>
    <row r="947" spans="10:27" ht="18" hidden="1" customHeight="1" x14ac:dyDescent="0.2">
      <c r="J947" t="str">
        <f t="shared" si="42"/>
        <v/>
      </c>
      <c r="K947" t="str">
        <f>IF(J947="","", IFERROR(VLOOKUP(J947, IF(D947="Movers", 换算标准!$C:$D, 换算标准!$I:$J), 2, TRUE), 0))</f>
        <v/>
      </c>
      <c r="T947" t="str">
        <f t="shared" si="43"/>
        <v/>
      </c>
      <c r="U947" t="str">
        <f>IF(T947="","", IFERROR(VLOOKUP(T947, IF(D947="Movers", 换算标准!$A:$B, 换算标准!$G:$H), 2, TRUE), 0))</f>
        <v/>
      </c>
      <c r="W947" t="str">
        <f t="shared" si="44"/>
        <v/>
      </c>
      <c r="Z947" s="5" t="str">
        <f>IF(J947="","", IF(K947&lt;=3, "⚠️ 薄弱环节: "&amp;INDEX($E$1:$I$1, MATCH(MIN(E947:I947), E947:I947, 0))&amp;CHAR(10)&amp;"📉 考察能力: "&amp;IFERROR(VLOOKUP(TRIM(D947)&amp;"_"&amp;TRIM(INDEX($E$1:$I$1, MATCH(MIN(E947:I947), E947:I947, 0))), 技能库!$A:$F, 5, 0),"建议查阅考纲")&amp;CHAR(10)&amp;"💡 提升建议: "&amp;IFERROR(VLOOKUP(TRIM(D947)&amp;"_"&amp;TRIM(INDEX($E$1:$I$1, MATCH(MIN(E947:I947), E947:I947, 0))), 技能库!$A:$F, 6, 0),"请针对该题型加强练习"), "🎉 表现优异，无明显弱项！"))</f>
        <v/>
      </c>
      <c r="AA947" s="5" t="str">
        <f>IF(T947="","", IF(U947&lt;=3, "⚠️ 薄弱环节: "&amp;INDEX($M$1:$S$1, MATCH(MIN(M947:S947), M947:S947, 0))&amp;CHAR(10)&amp;"📉 考察能力: "&amp;IFERROR(VLOOKUP(TRIM(D947)&amp;"_"&amp;TRIM(INDEX($M$1:$S$1, MATCH(MIN(M947:S947), M947:S947, 0))), 技能库!$A:$F, 5, 0),"建议查阅考纲")&amp;CHAR(10)&amp;"💡 提升建议: "&amp;IFERROR(VLOOKUP(TRIM(D947)&amp;"_"&amp;TRIM(INDEX($M$1:$S$1, MATCH(MIN(M947:S947), M947:S947, 0))), 技能库!$A:$F, 6, 0),"请针对该题型加强练习"), "🎉 表现优异，无明显弱项！"))</f>
        <v/>
      </c>
    </row>
    <row r="948" spans="10:27" ht="18" hidden="1" customHeight="1" x14ac:dyDescent="0.2">
      <c r="J948" t="str">
        <f t="shared" si="42"/>
        <v/>
      </c>
      <c r="K948" t="str">
        <f>IF(J948="","", IFERROR(VLOOKUP(J948, IF(D948="Movers", 换算标准!$C:$D, 换算标准!$I:$J), 2, TRUE), 0))</f>
        <v/>
      </c>
      <c r="T948" t="str">
        <f t="shared" si="43"/>
        <v/>
      </c>
      <c r="U948" t="str">
        <f>IF(T948="","", IFERROR(VLOOKUP(T948, IF(D948="Movers", 换算标准!$A:$B, 换算标准!$G:$H), 2, TRUE), 0))</f>
        <v/>
      </c>
      <c r="W948" t="str">
        <f t="shared" si="44"/>
        <v/>
      </c>
      <c r="Z948" s="5" t="str">
        <f>IF(J948="","", IF(K948&lt;=3, "⚠️ 薄弱环节: "&amp;INDEX($E$1:$I$1, MATCH(MIN(E948:I948), E948:I948, 0))&amp;CHAR(10)&amp;"📉 考察能力: "&amp;IFERROR(VLOOKUP(TRIM(D948)&amp;"_"&amp;TRIM(INDEX($E$1:$I$1, MATCH(MIN(E948:I948), E948:I948, 0))), 技能库!$A:$F, 5, 0),"建议查阅考纲")&amp;CHAR(10)&amp;"💡 提升建议: "&amp;IFERROR(VLOOKUP(TRIM(D948)&amp;"_"&amp;TRIM(INDEX($E$1:$I$1, MATCH(MIN(E948:I948), E948:I948, 0))), 技能库!$A:$F, 6, 0),"请针对该题型加强练习"), "🎉 表现优异，无明显弱项！"))</f>
        <v/>
      </c>
      <c r="AA948" s="5" t="str">
        <f>IF(T948="","", IF(U948&lt;=3, "⚠️ 薄弱环节: "&amp;INDEX($M$1:$S$1, MATCH(MIN(M948:S948), M948:S948, 0))&amp;CHAR(10)&amp;"📉 考察能力: "&amp;IFERROR(VLOOKUP(TRIM(D948)&amp;"_"&amp;TRIM(INDEX($M$1:$S$1, MATCH(MIN(M948:S948), M948:S948, 0))), 技能库!$A:$F, 5, 0),"建议查阅考纲")&amp;CHAR(10)&amp;"💡 提升建议: "&amp;IFERROR(VLOOKUP(TRIM(D948)&amp;"_"&amp;TRIM(INDEX($M$1:$S$1, MATCH(MIN(M948:S948), M948:S948, 0))), 技能库!$A:$F, 6, 0),"请针对该题型加强练习"), "🎉 表现优异，无明显弱项！"))</f>
        <v/>
      </c>
    </row>
    <row r="949" spans="10:27" ht="18" hidden="1" customHeight="1" x14ac:dyDescent="0.2">
      <c r="J949" t="str">
        <f t="shared" si="42"/>
        <v/>
      </c>
      <c r="K949" t="str">
        <f>IF(J949="","", IFERROR(VLOOKUP(J949, IF(D949="Movers", 换算标准!$C:$D, 换算标准!$I:$J), 2, TRUE), 0))</f>
        <v/>
      </c>
      <c r="T949" t="str">
        <f t="shared" si="43"/>
        <v/>
      </c>
      <c r="U949" t="str">
        <f>IF(T949="","", IFERROR(VLOOKUP(T949, IF(D949="Movers", 换算标准!$A:$B, 换算标准!$G:$H), 2, TRUE), 0))</f>
        <v/>
      </c>
      <c r="W949" t="str">
        <f t="shared" si="44"/>
        <v/>
      </c>
      <c r="Z949" s="5" t="str">
        <f>IF(J949="","", IF(K949&lt;=3, "⚠️ 薄弱环节: "&amp;INDEX($E$1:$I$1, MATCH(MIN(E949:I949), E949:I949, 0))&amp;CHAR(10)&amp;"📉 考察能力: "&amp;IFERROR(VLOOKUP(TRIM(D949)&amp;"_"&amp;TRIM(INDEX($E$1:$I$1, MATCH(MIN(E949:I949), E949:I949, 0))), 技能库!$A:$F, 5, 0),"建议查阅考纲")&amp;CHAR(10)&amp;"💡 提升建议: "&amp;IFERROR(VLOOKUP(TRIM(D949)&amp;"_"&amp;TRIM(INDEX($E$1:$I$1, MATCH(MIN(E949:I949), E949:I949, 0))), 技能库!$A:$F, 6, 0),"请针对该题型加强练习"), "🎉 表现优异，无明显弱项！"))</f>
        <v/>
      </c>
      <c r="AA949" s="5" t="str">
        <f>IF(T949="","", IF(U949&lt;=3, "⚠️ 薄弱环节: "&amp;INDEX($M$1:$S$1, MATCH(MIN(M949:S949), M949:S949, 0))&amp;CHAR(10)&amp;"📉 考察能力: "&amp;IFERROR(VLOOKUP(TRIM(D949)&amp;"_"&amp;TRIM(INDEX($M$1:$S$1, MATCH(MIN(M949:S949), M949:S949, 0))), 技能库!$A:$F, 5, 0),"建议查阅考纲")&amp;CHAR(10)&amp;"💡 提升建议: "&amp;IFERROR(VLOOKUP(TRIM(D949)&amp;"_"&amp;TRIM(INDEX($M$1:$S$1, MATCH(MIN(M949:S949), M949:S949, 0))), 技能库!$A:$F, 6, 0),"请针对该题型加强练习"), "🎉 表现优异，无明显弱项！"))</f>
        <v/>
      </c>
    </row>
    <row r="950" spans="10:27" ht="18" hidden="1" customHeight="1" x14ac:dyDescent="0.2">
      <c r="J950" t="str">
        <f t="shared" si="42"/>
        <v/>
      </c>
      <c r="K950" t="str">
        <f>IF(J950="","", IFERROR(VLOOKUP(J950, IF(D950="Movers", 换算标准!$C:$D, 换算标准!$I:$J), 2, TRUE), 0))</f>
        <v/>
      </c>
      <c r="T950" t="str">
        <f t="shared" si="43"/>
        <v/>
      </c>
      <c r="U950" t="str">
        <f>IF(T950="","", IFERROR(VLOOKUP(T950, IF(D950="Movers", 换算标准!$A:$B, 换算标准!$G:$H), 2, TRUE), 0))</f>
        <v/>
      </c>
      <c r="W950" t="str">
        <f t="shared" si="44"/>
        <v/>
      </c>
      <c r="Z950" s="5" t="str">
        <f>IF(J950="","", IF(K950&lt;=3, "⚠️ 薄弱环节: "&amp;INDEX($E$1:$I$1, MATCH(MIN(E950:I950), E950:I950, 0))&amp;CHAR(10)&amp;"📉 考察能力: "&amp;IFERROR(VLOOKUP(TRIM(D950)&amp;"_"&amp;TRIM(INDEX($E$1:$I$1, MATCH(MIN(E950:I950), E950:I950, 0))), 技能库!$A:$F, 5, 0),"建议查阅考纲")&amp;CHAR(10)&amp;"💡 提升建议: "&amp;IFERROR(VLOOKUP(TRIM(D950)&amp;"_"&amp;TRIM(INDEX($E$1:$I$1, MATCH(MIN(E950:I950), E950:I950, 0))), 技能库!$A:$F, 6, 0),"请针对该题型加强练习"), "🎉 表现优异，无明显弱项！"))</f>
        <v/>
      </c>
      <c r="AA950" s="5" t="str">
        <f>IF(T950="","", IF(U950&lt;=3, "⚠️ 薄弱环节: "&amp;INDEX($M$1:$S$1, MATCH(MIN(M950:S950), M950:S950, 0))&amp;CHAR(10)&amp;"📉 考察能力: "&amp;IFERROR(VLOOKUP(TRIM(D950)&amp;"_"&amp;TRIM(INDEX($M$1:$S$1, MATCH(MIN(M950:S950), M950:S950, 0))), 技能库!$A:$F, 5, 0),"建议查阅考纲")&amp;CHAR(10)&amp;"💡 提升建议: "&amp;IFERROR(VLOOKUP(TRIM(D950)&amp;"_"&amp;TRIM(INDEX($M$1:$S$1, MATCH(MIN(M950:S950), M950:S950, 0))), 技能库!$A:$F, 6, 0),"请针对该题型加强练习"), "🎉 表现优异，无明显弱项！"))</f>
        <v/>
      </c>
    </row>
    <row r="951" spans="10:27" ht="18" hidden="1" customHeight="1" x14ac:dyDescent="0.2">
      <c r="J951" t="str">
        <f t="shared" si="42"/>
        <v/>
      </c>
      <c r="K951" t="str">
        <f>IF(J951="","", IFERROR(VLOOKUP(J951, IF(D951="Movers", 换算标准!$C:$D, 换算标准!$I:$J), 2, TRUE), 0))</f>
        <v/>
      </c>
      <c r="T951" t="str">
        <f t="shared" si="43"/>
        <v/>
      </c>
      <c r="U951" t="str">
        <f>IF(T951="","", IFERROR(VLOOKUP(T951, IF(D951="Movers", 换算标准!$A:$B, 换算标准!$G:$H), 2, TRUE), 0))</f>
        <v/>
      </c>
      <c r="W951" t="str">
        <f t="shared" si="44"/>
        <v/>
      </c>
      <c r="Z951" s="5" t="str">
        <f>IF(J951="","", IF(K951&lt;=3, "⚠️ 薄弱环节: "&amp;INDEX($E$1:$I$1, MATCH(MIN(E951:I951), E951:I951, 0))&amp;CHAR(10)&amp;"📉 考察能力: "&amp;IFERROR(VLOOKUP(TRIM(D951)&amp;"_"&amp;TRIM(INDEX($E$1:$I$1, MATCH(MIN(E951:I951), E951:I951, 0))), 技能库!$A:$F, 5, 0),"建议查阅考纲")&amp;CHAR(10)&amp;"💡 提升建议: "&amp;IFERROR(VLOOKUP(TRIM(D951)&amp;"_"&amp;TRIM(INDEX($E$1:$I$1, MATCH(MIN(E951:I951), E951:I951, 0))), 技能库!$A:$F, 6, 0),"请针对该题型加强练习"), "🎉 表现优异，无明显弱项！"))</f>
        <v/>
      </c>
      <c r="AA951" s="5" t="str">
        <f>IF(T951="","", IF(U951&lt;=3, "⚠️ 薄弱环节: "&amp;INDEX($M$1:$S$1, MATCH(MIN(M951:S951), M951:S951, 0))&amp;CHAR(10)&amp;"📉 考察能力: "&amp;IFERROR(VLOOKUP(TRIM(D951)&amp;"_"&amp;TRIM(INDEX($M$1:$S$1, MATCH(MIN(M951:S951), M951:S951, 0))), 技能库!$A:$F, 5, 0),"建议查阅考纲")&amp;CHAR(10)&amp;"💡 提升建议: "&amp;IFERROR(VLOOKUP(TRIM(D951)&amp;"_"&amp;TRIM(INDEX($M$1:$S$1, MATCH(MIN(M951:S951), M951:S951, 0))), 技能库!$A:$F, 6, 0),"请针对该题型加强练习"), "🎉 表现优异，无明显弱项！"))</f>
        <v/>
      </c>
    </row>
    <row r="952" spans="10:27" ht="18" hidden="1" customHeight="1" x14ac:dyDescent="0.2">
      <c r="J952" t="str">
        <f t="shared" si="42"/>
        <v/>
      </c>
      <c r="K952" t="str">
        <f>IF(J952="","", IFERROR(VLOOKUP(J952, IF(D952="Movers", 换算标准!$C:$D, 换算标准!$I:$J), 2, TRUE), 0))</f>
        <v/>
      </c>
      <c r="T952" t="str">
        <f t="shared" si="43"/>
        <v/>
      </c>
      <c r="U952" t="str">
        <f>IF(T952="","", IFERROR(VLOOKUP(T952, IF(D952="Movers", 换算标准!$A:$B, 换算标准!$G:$H), 2, TRUE), 0))</f>
        <v/>
      </c>
      <c r="W952" t="str">
        <f t="shared" si="44"/>
        <v/>
      </c>
      <c r="Z952" s="5" t="str">
        <f>IF(J952="","", IF(K952&lt;=3, "⚠️ 薄弱环节: "&amp;INDEX($E$1:$I$1, MATCH(MIN(E952:I952), E952:I952, 0))&amp;CHAR(10)&amp;"📉 考察能力: "&amp;IFERROR(VLOOKUP(TRIM(D952)&amp;"_"&amp;TRIM(INDEX($E$1:$I$1, MATCH(MIN(E952:I952), E952:I952, 0))), 技能库!$A:$F, 5, 0),"建议查阅考纲")&amp;CHAR(10)&amp;"💡 提升建议: "&amp;IFERROR(VLOOKUP(TRIM(D952)&amp;"_"&amp;TRIM(INDEX($E$1:$I$1, MATCH(MIN(E952:I952), E952:I952, 0))), 技能库!$A:$F, 6, 0),"请针对该题型加强练习"), "🎉 表现优异，无明显弱项！"))</f>
        <v/>
      </c>
      <c r="AA952" s="5" t="str">
        <f>IF(T952="","", IF(U952&lt;=3, "⚠️ 薄弱环节: "&amp;INDEX($M$1:$S$1, MATCH(MIN(M952:S952), M952:S952, 0))&amp;CHAR(10)&amp;"📉 考察能力: "&amp;IFERROR(VLOOKUP(TRIM(D952)&amp;"_"&amp;TRIM(INDEX($M$1:$S$1, MATCH(MIN(M952:S952), M952:S952, 0))), 技能库!$A:$F, 5, 0),"建议查阅考纲")&amp;CHAR(10)&amp;"💡 提升建议: "&amp;IFERROR(VLOOKUP(TRIM(D952)&amp;"_"&amp;TRIM(INDEX($M$1:$S$1, MATCH(MIN(M952:S952), M952:S952, 0))), 技能库!$A:$F, 6, 0),"请针对该题型加强练习"), "🎉 表现优异，无明显弱项！"))</f>
        <v/>
      </c>
    </row>
    <row r="953" spans="10:27" ht="18" hidden="1" customHeight="1" x14ac:dyDescent="0.2">
      <c r="J953" t="str">
        <f t="shared" si="42"/>
        <v/>
      </c>
      <c r="K953" t="str">
        <f>IF(J953="","", IFERROR(VLOOKUP(J953, IF(D953="Movers", 换算标准!$C:$D, 换算标准!$I:$J), 2, TRUE), 0))</f>
        <v/>
      </c>
      <c r="T953" t="str">
        <f t="shared" si="43"/>
        <v/>
      </c>
      <c r="U953" t="str">
        <f>IF(T953="","", IFERROR(VLOOKUP(T953, IF(D953="Movers", 换算标准!$A:$B, 换算标准!$G:$H), 2, TRUE), 0))</f>
        <v/>
      </c>
      <c r="W953" t="str">
        <f t="shared" si="44"/>
        <v/>
      </c>
      <c r="Z953" s="5" t="str">
        <f>IF(J953="","", IF(K953&lt;=3, "⚠️ 薄弱环节: "&amp;INDEX($E$1:$I$1, MATCH(MIN(E953:I953), E953:I953, 0))&amp;CHAR(10)&amp;"📉 考察能力: "&amp;IFERROR(VLOOKUP(TRIM(D953)&amp;"_"&amp;TRIM(INDEX($E$1:$I$1, MATCH(MIN(E953:I953), E953:I953, 0))), 技能库!$A:$F, 5, 0),"建议查阅考纲")&amp;CHAR(10)&amp;"💡 提升建议: "&amp;IFERROR(VLOOKUP(TRIM(D953)&amp;"_"&amp;TRIM(INDEX($E$1:$I$1, MATCH(MIN(E953:I953), E953:I953, 0))), 技能库!$A:$F, 6, 0),"请针对该题型加强练习"), "🎉 表现优异，无明显弱项！"))</f>
        <v/>
      </c>
      <c r="AA953" s="5" t="str">
        <f>IF(T953="","", IF(U953&lt;=3, "⚠️ 薄弱环节: "&amp;INDEX($M$1:$S$1, MATCH(MIN(M953:S953), M953:S953, 0))&amp;CHAR(10)&amp;"📉 考察能力: "&amp;IFERROR(VLOOKUP(TRIM(D953)&amp;"_"&amp;TRIM(INDEX($M$1:$S$1, MATCH(MIN(M953:S953), M953:S953, 0))), 技能库!$A:$F, 5, 0),"建议查阅考纲")&amp;CHAR(10)&amp;"💡 提升建议: "&amp;IFERROR(VLOOKUP(TRIM(D953)&amp;"_"&amp;TRIM(INDEX($M$1:$S$1, MATCH(MIN(M953:S953), M953:S953, 0))), 技能库!$A:$F, 6, 0),"请针对该题型加强练习"), "🎉 表现优异，无明显弱项！"))</f>
        <v/>
      </c>
    </row>
    <row r="954" spans="10:27" ht="18" hidden="1" customHeight="1" x14ac:dyDescent="0.2">
      <c r="J954" t="str">
        <f t="shared" si="42"/>
        <v/>
      </c>
      <c r="K954" t="str">
        <f>IF(J954="","", IFERROR(VLOOKUP(J954, IF(D954="Movers", 换算标准!$C:$D, 换算标准!$I:$J), 2, TRUE), 0))</f>
        <v/>
      </c>
      <c r="T954" t="str">
        <f t="shared" si="43"/>
        <v/>
      </c>
      <c r="U954" t="str">
        <f>IF(T954="","", IFERROR(VLOOKUP(T954, IF(D954="Movers", 换算标准!$A:$B, 换算标准!$G:$H), 2, TRUE), 0))</f>
        <v/>
      </c>
      <c r="W954" t="str">
        <f t="shared" si="44"/>
        <v/>
      </c>
      <c r="Z954" s="5" t="str">
        <f>IF(J954="","", IF(K954&lt;=3, "⚠️ 薄弱环节: "&amp;INDEX($E$1:$I$1, MATCH(MIN(E954:I954), E954:I954, 0))&amp;CHAR(10)&amp;"📉 考察能力: "&amp;IFERROR(VLOOKUP(TRIM(D954)&amp;"_"&amp;TRIM(INDEX($E$1:$I$1, MATCH(MIN(E954:I954), E954:I954, 0))), 技能库!$A:$F, 5, 0),"建议查阅考纲")&amp;CHAR(10)&amp;"💡 提升建议: "&amp;IFERROR(VLOOKUP(TRIM(D954)&amp;"_"&amp;TRIM(INDEX($E$1:$I$1, MATCH(MIN(E954:I954), E954:I954, 0))), 技能库!$A:$F, 6, 0),"请针对该题型加强练习"), "🎉 表现优异，无明显弱项！"))</f>
        <v/>
      </c>
      <c r="AA954" s="5" t="str">
        <f>IF(T954="","", IF(U954&lt;=3, "⚠️ 薄弱环节: "&amp;INDEX($M$1:$S$1, MATCH(MIN(M954:S954), M954:S954, 0))&amp;CHAR(10)&amp;"📉 考察能力: "&amp;IFERROR(VLOOKUP(TRIM(D954)&amp;"_"&amp;TRIM(INDEX($M$1:$S$1, MATCH(MIN(M954:S954), M954:S954, 0))), 技能库!$A:$F, 5, 0),"建议查阅考纲")&amp;CHAR(10)&amp;"💡 提升建议: "&amp;IFERROR(VLOOKUP(TRIM(D954)&amp;"_"&amp;TRIM(INDEX($M$1:$S$1, MATCH(MIN(M954:S954), M954:S954, 0))), 技能库!$A:$F, 6, 0),"请针对该题型加强练习"), "🎉 表现优异，无明显弱项！"))</f>
        <v/>
      </c>
    </row>
    <row r="955" spans="10:27" ht="18" hidden="1" customHeight="1" x14ac:dyDescent="0.2">
      <c r="J955" t="str">
        <f t="shared" si="42"/>
        <v/>
      </c>
      <c r="K955" t="str">
        <f>IF(J955="","", IFERROR(VLOOKUP(J955, IF(D955="Movers", 换算标准!$C:$D, 换算标准!$I:$J), 2, TRUE), 0))</f>
        <v/>
      </c>
      <c r="T955" t="str">
        <f t="shared" si="43"/>
        <v/>
      </c>
      <c r="U955" t="str">
        <f>IF(T955="","", IFERROR(VLOOKUP(T955, IF(D955="Movers", 换算标准!$A:$B, 换算标准!$G:$H), 2, TRUE), 0))</f>
        <v/>
      </c>
      <c r="W955" t="str">
        <f t="shared" si="44"/>
        <v/>
      </c>
      <c r="Z955" s="5" t="str">
        <f>IF(J955="","", IF(K955&lt;=3, "⚠️ 薄弱环节: "&amp;INDEX($E$1:$I$1, MATCH(MIN(E955:I955), E955:I955, 0))&amp;CHAR(10)&amp;"📉 考察能力: "&amp;IFERROR(VLOOKUP(TRIM(D955)&amp;"_"&amp;TRIM(INDEX($E$1:$I$1, MATCH(MIN(E955:I955), E955:I955, 0))), 技能库!$A:$F, 5, 0),"建议查阅考纲")&amp;CHAR(10)&amp;"💡 提升建议: "&amp;IFERROR(VLOOKUP(TRIM(D955)&amp;"_"&amp;TRIM(INDEX($E$1:$I$1, MATCH(MIN(E955:I955), E955:I955, 0))), 技能库!$A:$F, 6, 0),"请针对该题型加强练习"), "🎉 表现优异，无明显弱项！"))</f>
        <v/>
      </c>
      <c r="AA955" s="5" t="str">
        <f>IF(T955="","", IF(U955&lt;=3, "⚠️ 薄弱环节: "&amp;INDEX($M$1:$S$1, MATCH(MIN(M955:S955), M955:S955, 0))&amp;CHAR(10)&amp;"📉 考察能力: "&amp;IFERROR(VLOOKUP(TRIM(D955)&amp;"_"&amp;TRIM(INDEX($M$1:$S$1, MATCH(MIN(M955:S955), M955:S955, 0))), 技能库!$A:$F, 5, 0),"建议查阅考纲")&amp;CHAR(10)&amp;"💡 提升建议: "&amp;IFERROR(VLOOKUP(TRIM(D955)&amp;"_"&amp;TRIM(INDEX($M$1:$S$1, MATCH(MIN(M955:S955), M955:S955, 0))), 技能库!$A:$F, 6, 0),"请针对该题型加强练习"), "🎉 表现优异，无明显弱项！"))</f>
        <v/>
      </c>
    </row>
    <row r="956" spans="10:27" ht="18" hidden="1" customHeight="1" x14ac:dyDescent="0.2">
      <c r="J956" t="str">
        <f t="shared" si="42"/>
        <v/>
      </c>
      <c r="K956" t="str">
        <f>IF(J956="","", IFERROR(VLOOKUP(J956, IF(D956="Movers", 换算标准!$C:$D, 换算标准!$I:$J), 2, TRUE), 0))</f>
        <v/>
      </c>
      <c r="T956" t="str">
        <f t="shared" si="43"/>
        <v/>
      </c>
      <c r="U956" t="str">
        <f>IF(T956="","", IFERROR(VLOOKUP(T956, IF(D956="Movers", 换算标准!$A:$B, 换算标准!$G:$H), 2, TRUE), 0))</f>
        <v/>
      </c>
      <c r="W956" t="str">
        <f t="shared" si="44"/>
        <v/>
      </c>
      <c r="Z956" s="5" t="str">
        <f>IF(J956="","", IF(K956&lt;=3, "⚠️ 薄弱环节: "&amp;INDEX($E$1:$I$1, MATCH(MIN(E956:I956), E956:I956, 0))&amp;CHAR(10)&amp;"📉 考察能力: "&amp;IFERROR(VLOOKUP(TRIM(D956)&amp;"_"&amp;TRIM(INDEX($E$1:$I$1, MATCH(MIN(E956:I956), E956:I956, 0))), 技能库!$A:$F, 5, 0),"建议查阅考纲")&amp;CHAR(10)&amp;"💡 提升建议: "&amp;IFERROR(VLOOKUP(TRIM(D956)&amp;"_"&amp;TRIM(INDEX($E$1:$I$1, MATCH(MIN(E956:I956), E956:I956, 0))), 技能库!$A:$F, 6, 0),"请针对该题型加强练习"), "🎉 表现优异，无明显弱项！"))</f>
        <v/>
      </c>
      <c r="AA956" s="5" t="str">
        <f>IF(T956="","", IF(U956&lt;=3, "⚠️ 薄弱环节: "&amp;INDEX($M$1:$S$1, MATCH(MIN(M956:S956), M956:S956, 0))&amp;CHAR(10)&amp;"📉 考察能力: "&amp;IFERROR(VLOOKUP(TRIM(D956)&amp;"_"&amp;TRIM(INDEX($M$1:$S$1, MATCH(MIN(M956:S956), M956:S956, 0))), 技能库!$A:$F, 5, 0),"建议查阅考纲")&amp;CHAR(10)&amp;"💡 提升建议: "&amp;IFERROR(VLOOKUP(TRIM(D956)&amp;"_"&amp;TRIM(INDEX($M$1:$S$1, MATCH(MIN(M956:S956), M956:S956, 0))), 技能库!$A:$F, 6, 0),"请针对该题型加强练习"), "🎉 表现优异，无明显弱项！"))</f>
        <v/>
      </c>
    </row>
    <row r="957" spans="10:27" ht="18" hidden="1" customHeight="1" x14ac:dyDescent="0.2">
      <c r="J957" t="str">
        <f t="shared" si="42"/>
        <v/>
      </c>
      <c r="K957" t="str">
        <f>IF(J957="","", IFERROR(VLOOKUP(J957, IF(D957="Movers", 换算标准!$C:$D, 换算标准!$I:$J), 2, TRUE), 0))</f>
        <v/>
      </c>
      <c r="T957" t="str">
        <f t="shared" si="43"/>
        <v/>
      </c>
      <c r="U957" t="str">
        <f>IF(T957="","", IFERROR(VLOOKUP(T957, IF(D957="Movers", 换算标准!$A:$B, 换算标准!$G:$H), 2, TRUE), 0))</f>
        <v/>
      </c>
      <c r="W957" t="str">
        <f t="shared" si="44"/>
        <v/>
      </c>
      <c r="Z957" s="5" t="str">
        <f>IF(J957="","", IF(K957&lt;=3, "⚠️ 薄弱环节: "&amp;INDEX($E$1:$I$1, MATCH(MIN(E957:I957), E957:I957, 0))&amp;CHAR(10)&amp;"📉 考察能力: "&amp;IFERROR(VLOOKUP(TRIM(D957)&amp;"_"&amp;TRIM(INDEX($E$1:$I$1, MATCH(MIN(E957:I957), E957:I957, 0))), 技能库!$A:$F, 5, 0),"建议查阅考纲")&amp;CHAR(10)&amp;"💡 提升建议: "&amp;IFERROR(VLOOKUP(TRIM(D957)&amp;"_"&amp;TRIM(INDEX($E$1:$I$1, MATCH(MIN(E957:I957), E957:I957, 0))), 技能库!$A:$F, 6, 0),"请针对该题型加强练习"), "🎉 表现优异，无明显弱项！"))</f>
        <v/>
      </c>
      <c r="AA957" s="5" t="str">
        <f>IF(T957="","", IF(U957&lt;=3, "⚠️ 薄弱环节: "&amp;INDEX($M$1:$S$1, MATCH(MIN(M957:S957), M957:S957, 0))&amp;CHAR(10)&amp;"📉 考察能力: "&amp;IFERROR(VLOOKUP(TRIM(D957)&amp;"_"&amp;TRIM(INDEX($M$1:$S$1, MATCH(MIN(M957:S957), M957:S957, 0))), 技能库!$A:$F, 5, 0),"建议查阅考纲")&amp;CHAR(10)&amp;"💡 提升建议: "&amp;IFERROR(VLOOKUP(TRIM(D957)&amp;"_"&amp;TRIM(INDEX($M$1:$S$1, MATCH(MIN(M957:S957), M957:S957, 0))), 技能库!$A:$F, 6, 0),"请针对该题型加强练习"), "🎉 表现优异，无明显弱项！"))</f>
        <v/>
      </c>
    </row>
    <row r="958" spans="10:27" ht="18" hidden="1" customHeight="1" x14ac:dyDescent="0.2">
      <c r="J958" t="str">
        <f t="shared" si="42"/>
        <v/>
      </c>
      <c r="K958" t="str">
        <f>IF(J958="","", IFERROR(VLOOKUP(J958, IF(D958="Movers", 换算标准!$C:$D, 换算标准!$I:$J), 2, TRUE), 0))</f>
        <v/>
      </c>
      <c r="T958" t="str">
        <f t="shared" si="43"/>
        <v/>
      </c>
      <c r="U958" t="str">
        <f>IF(T958="","", IFERROR(VLOOKUP(T958, IF(D958="Movers", 换算标准!$A:$B, 换算标准!$G:$H), 2, TRUE), 0))</f>
        <v/>
      </c>
      <c r="W958" t="str">
        <f t="shared" si="44"/>
        <v/>
      </c>
      <c r="Z958" s="5" t="str">
        <f>IF(J958="","", IF(K958&lt;=3, "⚠️ 薄弱环节: "&amp;INDEX($E$1:$I$1, MATCH(MIN(E958:I958), E958:I958, 0))&amp;CHAR(10)&amp;"📉 考察能力: "&amp;IFERROR(VLOOKUP(TRIM(D958)&amp;"_"&amp;TRIM(INDEX($E$1:$I$1, MATCH(MIN(E958:I958), E958:I958, 0))), 技能库!$A:$F, 5, 0),"建议查阅考纲")&amp;CHAR(10)&amp;"💡 提升建议: "&amp;IFERROR(VLOOKUP(TRIM(D958)&amp;"_"&amp;TRIM(INDEX($E$1:$I$1, MATCH(MIN(E958:I958), E958:I958, 0))), 技能库!$A:$F, 6, 0),"请针对该题型加强练习"), "🎉 表现优异，无明显弱项！"))</f>
        <v/>
      </c>
      <c r="AA958" s="5" t="str">
        <f>IF(T958="","", IF(U958&lt;=3, "⚠️ 薄弱环节: "&amp;INDEX($M$1:$S$1, MATCH(MIN(M958:S958), M958:S958, 0))&amp;CHAR(10)&amp;"📉 考察能力: "&amp;IFERROR(VLOOKUP(TRIM(D958)&amp;"_"&amp;TRIM(INDEX($M$1:$S$1, MATCH(MIN(M958:S958), M958:S958, 0))), 技能库!$A:$F, 5, 0),"建议查阅考纲")&amp;CHAR(10)&amp;"💡 提升建议: "&amp;IFERROR(VLOOKUP(TRIM(D958)&amp;"_"&amp;TRIM(INDEX($M$1:$S$1, MATCH(MIN(M958:S958), M958:S958, 0))), 技能库!$A:$F, 6, 0),"请针对该题型加强练习"), "🎉 表现优异，无明显弱项！"))</f>
        <v/>
      </c>
    </row>
    <row r="959" spans="10:27" ht="18" hidden="1" customHeight="1" x14ac:dyDescent="0.2">
      <c r="J959" t="str">
        <f t="shared" si="42"/>
        <v/>
      </c>
      <c r="K959" t="str">
        <f>IF(J959="","", IFERROR(VLOOKUP(J959, IF(D959="Movers", 换算标准!$C:$D, 换算标准!$I:$J), 2, TRUE), 0))</f>
        <v/>
      </c>
      <c r="T959" t="str">
        <f t="shared" si="43"/>
        <v/>
      </c>
      <c r="U959" t="str">
        <f>IF(T959="","", IFERROR(VLOOKUP(T959, IF(D959="Movers", 换算标准!$A:$B, 换算标准!$G:$H), 2, TRUE), 0))</f>
        <v/>
      </c>
      <c r="W959" t="str">
        <f t="shared" si="44"/>
        <v/>
      </c>
      <c r="Z959" s="5" t="str">
        <f>IF(J959="","", IF(K959&lt;=3, "⚠️ 薄弱环节: "&amp;INDEX($E$1:$I$1, MATCH(MIN(E959:I959), E959:I959, 0))&amp;CHAR(10)&amp;"📉 考察能力: "&amp;IFERROR(VLOOKUP(TRIM(D959)&amp;"_"&amp;TRIM(INDEX($E$1:$I$1, MATCH(MIN(E959:I959), E959:I959, 0))), 技能库!$A:$F, 5, 0),"建议查阅考纲")&amp;CHAR(10)&amp;"💡 提升建议: "&amp;IFERROR(VLOOKUP(TRIM(D959)&amp;"_"&amp;TRIM(INDEX($E$1:$I$1, MATCH(MIN(E959:I959), E959:I959, 0))), 技能库!$A:$F, 6, 0),"请针对该题型加强练习"), "🎉 表现优异，无明显弱项！"))</f>
        <v/>
      </c>
      <c r="AA959" s="5" t="str">
        <f>IF(T959="","", IF(U959&lt;=3, "⚠️ 薄弱环节: "&amp;INDEX($M$1:$S$1, MATCH(MIN(M959:S959), M959:S959, 0))&amp;CHAR(10)&amp;"📉 考察能力: "&amp;IFERROR(VLOOKUP(TRIM(D959)&amp;"_"&amp;TRIM(INDEX($M$1:$S$1, MATCH(MIN(M959:S959), M959:S959, 0))), 技能库!$A:$F, 5, 0),"建议查阅考纲")&amp;CHAR(10)&amp;"💡 提升建议: "&amp;IFERROR(VLOOKUP(TRIM(D959)&amp;"_"&amp;TRIM(INDEX($M$1:$S$1, MATCH(MIN(M959:S959), M959:S959, 0))), 技能库!$A:$F, 6, 0),"请针对该题型加强练习"), "🎉 表现优异，无明显弱项！"))</f>
        <v/>
      </c>
    </row>
    <row r="960" spans="10:27" ht="18" hidden="1" customHeight="1" x14ac:dyDescent="0.2">
      <c r="J960" t="str">
        <f t="shared" si="42"/>
        <v/>
      </c>
      <c r="K960" t="str">
        <f>IF(J960="","", IFERROR(VLOOKUP(J960, IF(D960="Movers", 换算标准!$C:$D, 换算标准!$I:$J), 2, TRUE), 0))</f>
        <v/>
      </c>
      <c r="T960" t="str">
        <f t="shared" si="43"/>
        <v/>
      </c>
      <c r="U960" t="str">
        <f>IF(T960="","", IFERROR(VLOOKUP(T960, IF(D960="Movers", 换算标准!$A:$B, 换算标准!$G:$H), 2, TRUE), 0))</f>
        <v/>
      </c>
      <c r="W960" t="str">
        <f t="shared" si="44"/>
        <v/>
      </c>
      <c r="Z960" s="5" t="str">
        <f>IF(J960="","", IF(K960&lt;=3, "⚠️ 薄弱环节: "&amp;INDEX($E$1:$I$1, MATCH(MIN(E960:I960), E960:I960, 0))&amp;CHAR(10)&amp;"📉 考察能力: "&amp;IFERROR(VLOOKUP(TRIM(D960)&amp;"_"&amp;TRIM(INDEX($E$1:$I$1, MATCH(MIN(E960:I960), E960:I960, 0))), 技能库!$A:$F, 5, 0),"建议查阅考纲")&amp;CHAR(10)&amp;"💡 提升建议: "&amp;IFERROR(VLOOKUP(TRIM(D960)&amp;"_"&amp;TRIM(INDEX($E$1:$I$1, MATCH(MIN(E960:I960), E960:I960, 0))), 技能库!$A:$F, 6, 0),"请针对该题型加强练习"), "🎉 表现优异，无明显弱项！"))</f>
        <v/>
      </c>
      <c r="AA960" s="5" t="str">
        <f>IF(T960="","", IF(U960&lt;=3, "⚠️ 薄弱环节: "&amp;INDEX($M$1:$S$1, MATCH(MIN(M960:S960), M960:S960, 0))&amp;CHAR(10)&amp;"📉 考察能力: "&amp;IFERROR(VLOOKUP(TRIM(D960)&amp;"_"&amp;TRIM(INDEX($M$1:$S$1, MATCH(MIN(M960:S960), M960:S960, 0))), 技能库!$A:$F, 5, 0),"建议查阅考纲")&amp;CHAR(10)&amp;"💡 提升建议: "&amp;IFERROR(VLOOKUP(TRIM(D960)&amp;"_"&amp;TRIM(INDEX($M$1:$S$1, MATCH(MIN(M960:S960), M960:S960, 0))), 技能库!$A:$F, 6, 0),"请针对该题型加强练习"), "🎉 表现优异，无明显弱项！"))</f>
        <v/>
      </c>
    </row>
    <row r="961" spans="10:27" ht="18" hidden="1" customHeight="1" x14ac:dyDescent="0.2">
      <c r="J961" t="str">
        <f t="shared" si="42"/>
        <v/>
      </c>
      <c r="K961" t="str">
        <f>IF(J961="","", IFERROR(VLOOKUP(J961, IF(D961="Movers", 换算标准!$C:$D, 换算标准!$I:$J), 2, TRUE), 0))</f>
        <v/>
      </c>
      <c r="T961" t="str">
        <f t="shared" si="43"/>
        <v/>
      </c>
      <c r="U961" t="str">
        <f>IF(T961="","", IFERROR(VLOOKUP(T961, IF(D961="Movers", 换算标准!$A:$B, 换算标准!$G:$H), 2, TRUE), 0))</f>
        <v/>
      </c>
      <c r="W961" t="str">
        <f t="shared" si="44"/>
        <v/>
      </c>
      <c r="Z961" s="5" t="str">
        <f>IF(J961="","", IF(K961&lt;=3, "⚠️ 薄弱环节: "&amp;INDEX($E$1:$I$1, MATCH(MIN(E961:I961), E961:I961, 0))&amp;CHAR(10)&amp;"📉 考察能力: "&amp;IFERROR(VLOOKUP(TRIM(D961)&amp;"_"&amp;TRIM(INDEX($E$1:$I$1, MATCH(MIN(E961:I961), E961:I961, 0))), 技能库!$A:$F, 5, 0),"建议查阅考纲")&amp;CHAR(10)&amp;"💡 提升建议: "&amp;IFERROR(VLOOKUP(TRIM(D961)&amp;"_"&amp;TRIM(INDEX($E$1:$I$1, MATCH(MIN(E961:I961), E961:I961, 0))), 技能库!$A:$F, 6, 0),"请针对该题型加强练习"), "🎉 表现优异，无明显弱项！"))</f>
        <v/>
      </c>
      <c r="AA961" s="5" t="str">
        <f>IF(T961="","", IF(U961&lt;=3, "⚠️ 薄弱环节: "&amp;INDEX($M$1:$S$1, MATCH(MIN(M961:S961), M961:S961, 0))&amp;CHAR(10)&amp;"📉 考察能力: "&amp;IFERROR(VLOOKUP(TRIM(D961)&amp;"_"&amp;TRIM(INDEX($M$1:$S$1, MATCH(MIN(M961:S961), M961:S961, 0))), 技能库!$A:$F, 5, 0),"建议查阅考纲")&amp;CHAR(10)&amp;"💡 提升建议: "&amp;IFERROR(VLOOKUP(TRIM(D961)&amp;"_"&amp;TRIM(INDEX($M$1:$S$1, MATCH(MIN(M961:S961), M961:S961, 0))), 技能库!$A:$F, 6, 0),"请针对该题型加强练习"), "🎉 表现优异，无明显弱项！"))</f>
        <v/>
      </c>
    </row>
    <row r="962" spans="10:27" ht="18" hidden="1" customHeight="1" x14ac:dyDescent="0.2">
      <c r="J962" t="str">
        <f t="shared" ref="J962:J1026" si="45">IF(COUNT(E962:I962)&gt;0, SUM(E962:I962), "")</f>
        <v/>
      </c>
      <c r="K962" t="str">
        <f>IF(J962="","", IFERROR(VLOOKUP(J962, IF(D962="Movers", 换算标准!$C:$D, 换算标准!$I:$J), 2, TRUE), 0))</f>
        <v/>
      </c>
      <c r="T962" t="str">
        <f t="shared" ref="T962:T1026" si="46">IF(COUNT(M962:S962)&gt;0, SUM(M962:S962), "")</f>
        <v/>
      </c>
      <c r="U962" t="str">
        <f>IF(T962="","", IFERROR(VLOOKUP(T962, IF(D962="Movers", 换算标准!$A:$B, 换算标准!$G:$H), 2, TRUE), 0))</f>
        <v/>
      </c>
      <c r="W962" t="str">
        <f t="shared" ref="W962:W1000" si="47">IF(AND(K962&lt;&gt;"", U962&lt;&gt;""), K962+U962, "")</f>
        <v/>
      </c>
      <c r="Z962" s="5" t="str">
        <f>IF(J962="","", IF(K962&lt;=3, "⚠️ 薄弱环节: "&amp;INDEX($E$1:$I$1, MATCH(MIN(E962:I962), E962:I962, 0))&amp;CHAR(10)&amp;"📉 考察能力: "&amp;IFERROR(VLOOKUP(TRIM(D962)&amp;"_"&amp;TRIM(INDEX($E$1:$I$1, MATCH(MIN(E962:I962), E962:I962, 0))), 技能库!$A:$F, 5, 0),"建议查阅考纲")&amp;CHAR(10)&amp;"💡 提升建议: "&amp;IFERROR(VLOOKUP(TRIM(D962)&amp;"_"&amp;TRIM(INDEX($E$1:$I$1, MATCH(MIN(E962:I962), E962:I962, 0))), 技能库!$A:$F, 6, 0),"请针对该题型加强练习"), "🎉 表现优异，无明显弱项！"))</f>
        <v/>
      </c>
      <c r="AA962" s="5" t="str">
        <f>IF(T962="","", IF(U962&lt;=3, "⚠️ 薄弱环节: "&amp;INDEX($M$1:$S$1, MATCH(MIN(M962:S962), M962:S962, 0))&amp;CHAR(10)&amp;"📉 考察能力: "&amp;IFERROR(VLOOKUP(TRIM(D962)&amp;"_"&amp;TRIM(INDEX($M$1:$S$1, MATCH(MIN(M962:S962), M962:S962, 0))), 技能库!$A:$F, 5, 0),"建议查阅考纲")&amp;CHAR(10)&amp;"💡 提升建议: "&amp;IFERROR(VLOOKUP(TRIM(D962)&amp;"_"&amp;TRIM(INDEX($M$1:$S$1, MATCH(MIN(M962:S962), M962:S962, 0))), 技能库!$A:$F, 6, 0),"请针对该题型加强练习"), "🎉 表现优异，无明显弱项！"))</f>
        <v/>
      </c>
    </row>
    <row r="963" spans="10:27" ht="18" hidden="1" customHeight="1" x14ac:dyDescent="0.2">
      <c r="J963" t="str">
        <f t="shared" si="45"/>
        <v/>
      </c>
      <c r="K963" t="str">
        <f>IF(J963="","", IFERROR(VLOOKUP(J963, IF(D963="Movers", 换算标准!$C:$D, 换算标准!$I:$J), 2, TRUE), 0))</f>
        <v/>
      </c>
      <c r="T963" t="str">
        <f t="shared" si="46"/>
        <v/>
      </c>
      <c r="U963" t="str">
        <f>IF(T963="","", IFERROR(VLOOKUP(T963, IF(D963="Movers", 换算标准!$A:$B, 换算标准!$G:$H), 2, TRUE), 0))</f>
        <v/>
      </c>
      <c r="W963" t="str">
        <f t="shared" si="47"/>
        <v/>
      </c>
      <c r="Z963" s="5" t="str">
        <f>IF(J963="","", IF(K963&lt;=3, "⚠️ 薄弱环节: "&amp;INDEX($E$1:$I$1, MATCH(MIN(E963:I963), E963:I963, 0))&amp;CHAR(10)&amp;"📉 考察能力: "&amp;IFERROR(VLOOKUP(TRIM(D963)&amp;"_"&amp;TRIM(INDEX($E$1:$I$1, MATCH(MIN(E963:I963), E963:I963, 0))), 技能库!$A:$F, 5, 0),"建议查阅考纲")&amp;CHAR(10)&amp;"💡 提升建议: "&amp;IFERROR(VLOOKUP(TRIM(D963)&amp;"_"&amp;TRIM(INDEX($E$1:$I$1, MATCH(MIN(E963:I963), E963:I963, 0))), 技能库!$A:$F, 6, 0),"请针对该题型加强练习"), "🎉 表现优异，无明显弱项！"))</f>
        <v/>
      </c>
      <c r="AA963" s="5" t="str">
        <f>IF(T963="","", IF(U963&lt;=3, "⚠️ 薄弱环节: "&amp;INDEX($M$1:$S$1, MATCH(MIN(M963:S963), M963:S963, 0))&amp;CHAR(10)&amp;"📉 考察能力: "&amp;IFERROR(VLOOKUP(TRIM(D963)&amp;"_"&amp;TRIM(INDEX($M$1:$S$1, MATCH(MIN(M963:S963), M963:S963, 0))), 技能库!$A:$F, 5, 0),"建议查阅考纲")&amp;CHAR(10)&amp;"💡 提升建议: "&amp;IFERROR(VLOOKUP(TRIM(D963)&amp;"_"&amp;TRIM(INDEX($M$1:$S$1, MATCH(MIN(M963:S963), M963:S963, 0))), 技能库!$A:$F, 6, 0),"请针对该题型加强练习"), "🎉 表现优异，无明显弱项！"))</f>
        <v/>
      </c>
    </row>
    <row r="964" spans="10:27" ht="18" hidden="1" customHeight="1" x14ac:dyDescent="0.2">
      <c r="J964" t="str">
        <f t="shared" si="45"/>
        <v/>
      </c>
      <c r="K964" t="str">
        <f>IF(J964="","", IFERROR(VLOOKUP(J964, IF(D964="Movers", 换算标准!$C:$D, 换算标准!$I:$J), 2, TRUE), 0))</f>
        <v/>
      </c>
      <c r="T964" t="str">
        <f t="shared" si="46"/>
        <v/>
      </c>
      <c r="U964" t="str">
        <f>IF(T964="","", IFERROR(VLOOKUP(T964, IF(D964="Movers", 换算标准!$A:$B, 换算标准!$G:$H), 2, TRUE), 0))</f>
        <v/>
      </c>
      <c r="W964" t="str">
        <f t="shared" si="47"/>
        <v/>
      </c>
      <c r="Z964" s="5" t="str">
        <f>IF(J964="","", IF(K964&lt;=3, "⚠️ 薄弱环节: "&amp;INDEX($E$1:$I$1, MATCH(MIN(E964:I964), E964:I964, 0))&amp;CHAR(10)&amp;"📉 考察能力: "&amp;IFERROR(VLOOKUP(TRIM(D964)&amp;"_"&amp;TRIM(INDEX($E$1:$I$1, MATCH(MIN(E964:I964), E964:I964, 0))), 技能库!$A:$F, 5, 0),"建议查阅考纲")&amp;CHAR(10)&amp;"💡 提升建议: "&amp;IFERROR(VLOOKUP(TRIM(D964)&amp;"_"&amp;TRIM(INDEX($E$1:$I$1, MATCH(MIN(E964:I964), E964:I964, 0))), 技能库!$A:$F, 6, 0),"请针对该题型加强练习"), "🎉 表现优异，无明显弱项！"))</f>
        <v/>
      </c>
      <c r="AA964" s="5" t="str">
        <f>IF(T964="","", IF(U964&lt;=3, "⚠️ 薄弱环节: "&amp;INDEX($M$1:$S$1, MATCH(MIN(M964:S964), M964:S964, 0))&amp;CHAR(10)&amp;"📉 考察能力: "&amp;IFERROR(VLOOKUP(TRIM(D964)&amp;"_"&amp;TRIM(INDEX($M$1:$S$1, MATCH(MIN(M964:S964), M964:S964, 0))), 技能库!$A:$F, 5, 0),"建议查阅考纲")&amp;CHAR(10)&amp;"💡 提升建议: "&amp;IFERROR(VLOOKUP(TRIM(D964)&amp;"_"&amp;TRIM(INDEX($M$1:$S$1, MATCH(MIN(M964:S964), M964:S964, 0))), 技能库!$A:$F, 6, 0),"请针对该题型加强练习"), "🎉 表现优异，无明显弱项！"))</f>
        <v/>
      </c>
    </row>
    <row r="965" spans="10:27" ht="18" hidden="1" customHeight="1" x14ac:dyDescent="0.2">
      <c r="J965" t="str">
        <f t="shared" si="45"/>
        <v/>
      </c>
      <c r="K965" t="str">
        <f>IF(J965="","", IFERROR(VLOOKUP(J965, IF(D965="Movers", 换算标准!$C:$D, 换算标准!$I:$J), 2, TRUE), 0))</f>
        <v/>
      </c>
      <c r="T965" t="str">
        <f t="shared" si="46"/>
        <v/>
      </c>
      <c r="U965" t="str">
        <f>IF(T965="","", IFERROR(VLOOKUP(T965, IF(D965="Movers", 换算标准!$A:$B, 换算标准!$G:$H), 2, TRUE), 0))</f>
        <v/>
      </c>
      <c r="W965" t="str">
        <f t="shared" si="47"/>
        <v/>
      </c>
      <c r="Z965" s="5" t="str">
        <f>IF(J965="","", IF(K965&lt;=3, "⚠️ 薄弱环节: "&amp;INDEX($E$1:$I$1, MATCH(MIN(E965:I965), E965:I965, 0))&amp;CHAR(10)&amp;"📉 考察能力: "&amp;IFERROR(VLOOKUP(TRIM(D965)&amp;"_"&amp;TRIM(INDEX($E$1:$I$1, MATCH(MIN(E965:I965), E965:I965, 0))), 技能库!$A:$F, 5, 0),"建议查阅考纲")&amp;CHAR(10)&amp;"💡 提升建议: "&amp;IFERROR(VLOOKUP(TRIM(D965)&amp;"_"&amp;TRIM(INDEX($E$1:$I$1, MATCH(MIN(E965:I965), E965:I965, 0))), 技能库!$A:$F, 6, 0),"请针对该题型加强练习"), "🎉 表现优异，无明显弱项！"))</f>
        <v/>
      </c>
      <c r="AA965" s="5" t="str">
        <f>IF(T965="","", IF(U965&lt;=3, "⚠️ 薄弱环节: "&amp;INDEX($M$1:$S$1, MATCH(MIN(M965:S965), M965:S965, 0))&amp;CHAR(10)&amp;"📉 考察能力: "&amp;IFERROR(VLOOKUP(TRIM(D965)&amp;"_"&amp;TRIM(INDEX($M$1:$S$1, MATCH(MIN(M965:S965), M965:S965, 0))), 技能库!$A:$F, 5, 0),"建议查阅考纲")&amp;CHAR(10)&amp;"💡 提升建议: "&amp;IFERROR(VLOOKUP(TRIM(D965)&amp;"_"&amp;TRIM(INDEX($M$1:$S$1, MATCH(MIN(M965:S965), M965:S965, 0))), 技能库!$A:$F, 6, 0),"请针对该题型加强练习"), "🎉 表现优异，无明显弱项！"))</f>
        <v/>
      </c>
    </row>
    <row r="966" spans="10:27" ht="18" hidden="1" customHeight="1" x14ac:dyDescent="0.2">
      <c r="J966" t="str">
        <f t="shared" si="45"/>
        <v/>
      </c>
      <c r="K966" t="str">
        <f>IF(J966="","", IFERROR(VLOOKUP(J966, IF(D966="Movers", 换算标准!$C:$D, 换算标准!$I:$J), 2, TRUE), 0))</f>
        <v/>
      </c>
      <c r="T966" t="str">
        <f t="shared" si="46"/>
        <v/>
      </c>
      <c r="U966" t="str">
        <f>IF(T966="","", IFERROR(VLOOKUP(T966, IF(D966="Movers", 换算标准!$A:$B, 换算标准!$G:$H), 2, TRUE), 0))</f>
        <v/>
      </c>
      <c r="W966" t="str">
        <f t="shared" si="47"/>
        <v/>
      </c>
      <c r="Z966" s="5" t="str">
        <f>IF(J966="","", IF(K966&lt;=3, "⚠️ 薄弱环节: "&amp;INDEX($E$1:$I$1, MATCH(MIN(E966:I966), E966:I966, 0))&amp;CHAR(10)&amp;"📉 考察能力: "&amp;IFERROR(VLOOKUP(TRIM(D966)&amp;"_"&amp;TRIM(INDEX($E$1:$I$1, MATCH(MIN(E966:I966), E966:I966, 0))), 技能库!$A:$F, 5, 0),"建议查阅考纲")&amp;CHAR(10)&amp;"💡 提升建议: "&amp;IFERROR(VLOOKUP(TRIM(D966)&amp;"_"&amp;TRIM(INDEX($E$1:$I$1, MATCH(MIN(E966:I966), E966:I966, 0))), 技能库!$A:$F, 6, 0),"请针对该题型加强练习"), "🎉 表现优异，无明显弱项！"))</f>
        <v/>
      </c>
      <c r="AA966" s="5" t="str">
        <f>IF(T966="","", IF(U966&lt;=3, "⚠️ 薄弱环节: "&amp;INDEX($M$1:$S$1, MATCH(MIN(M966:S966), M966:S966, 0))&amp;CHAR(10)&amp;"📉 考察能力: "&amp;IFERROR(VLOOKUP(TRIM(D966)&amp;"_"&amp;TRIM(INDEX($M$1:$S$1, MATCH(MIN(M966:S966), M966:S966, 0))), 技能库!$A:$F, 5, 0),"建议查阅考纲")&amp;CHAR(10)&amp;"💡 提升建议: "&amp;IFERROR(VLOOKUP(TRIM(D966)&amp;"_"&amp;TRIM(INDEX($M$1:$S$1, MATCH(MIN(M966:S966), M966:S966, 0))), 技能库!$A:$F, 6, 0),"请针对该题型加强练习"), "🎉 表现优异，无明显弱项！"))</f>
        <v/>
      </c>
    </row>
    <row r="967" spans="10:27" ht="18" hidden="1" customHeight="1" x14ac:dyDescent="0.2">
      <c r="J967" t="str">
        <f t="shared" si="45"/>
        <v/>
      </c>
      <c r="K967" t="str">
        <f>IF(J967="","", IFERROR(VLOOKUP(J967, IF(D967="Movers", 换算标准!$C:$D, 换算标准!$I:$J), 2, TRUE), 0))</f>
        <v/>
      </c>
      <c r="T967" t="str">
        <f t="shared" si="46"/>
        <v/>
      </c>
      <c r="U967" t="str">
        <f>IF(T967="","", IFERROR(VLOOKUP(T967, IF(D967="Movers", 换算标准!$A:$B, 换算标准!$G:$H), 2, TRUE), 0))</f>
        <v/>
      </c>
      <c r="W967" t="str">
        <f t="shared" si="47"/>
        <v/>
      </c>
      <c r="Z967" s="5" t="str">
        <f>IF(J967="","", IF(K967&lt;=3, "⚠️ 薄弱环节: "&amp;INDEX($E$1:$I$1, MATCH(MIN(E967:I967), E967:I967, 0))&amp;CHAR(10)&amp;"📉 考察能力: "&amp;IFERROR(VLOOKUP(TRIM(D967)&amp;"_"&amp;TRIM(INDEX($E$1:$I$1, MATCH(MIN(E967:I967), E967:I967, 0))), 技能库!$A:$F, 5, 0),"建议查阅考纲")&amp;CHAR(10)&amp;"💡 提升建议: "&amp;IFERROR(VLOOKUP(TRIM(D967)&amp;"_"&amp;TRIM(INDEX($E$1:$I$1, MATCH(MIN(E967:I967), E967:I967, 0))), 技能库!$A:$F, 6, 0),"请针对该题型加强练习"), "🎉 表现优异，无明显弱项！"))</f>
        <v/>
      </c>
      <c r="AA967" s="5" t="str">
        <f>IF(T967="","", IF(U967&lt;=3, "⚠️ 薄弱环节: "&amp;INDEX($M$1:$S$1, MATCH(MIN(M967:S967), M967:S967, 0))&amp;CHAR(10)&amp;"📉 考察能力: "&amp;IFERROR(VLOOKUP(TRIM(D967)&amp;"_"&amp;TRIM(INDEX($M$1:$S$1, MATCH(MIN(M967:S967), M967:S967, 0))), 技能库!$A:$F, 5, 0),"建议查阅考纲")&amp;CHAR(10)&amp;"💡 提升建议: "&amp;IFERROR(VLOOKUP(TRIM(D967)&amp;"_"&amp;TRIM(INDEX($M$1:$S$1, MATCH(MIN(M967:S967), M967:S967, 0))), 技能库!$A:$F, 6, 0),"请针对该题型加强练习"), "🎉 表现优异，无明显弱项！"))</f>
        <v/>
      </c>
    </row>
    <row r="968" spans="10:27" ht="18" hidden="1" customHeight="1" x14ac:dyDescent="0.2">
      <c r="J968" t="str">
        <f t="shared" si="45"/>
        <v/>
      </c>
      <c r="K968" t="str">
        <f>IF(J968="","", IFERROR(VLOOKUP(J968, IF(D968="Movers", 换算标准!$C:$D, 换算标准!$I:$J), 2, TRUE), 0))</f>
        <v/>
      </c>
      <c r="T968" t="str">
        <f t="shared" si="46"/>
        <v/>
      </c>
      <c r="U968" t="str">
        <f>IF(T968="","", IFERROR(VLOOKUP(T968, IF(D968="Movers", 换算标准!$A:$B, 换算标准!$G:$H), 2, TRUE), 0))</f>
        <v/>
      </c>
      <c r="W968" t="str">
        <f t="shared" si="47"/>
        <v/>
      </c>
      <c r="Z968" s="5" t="str">
        <f>IF(J968="","", IF(K968&lt;=3, "⚠️ 薄弱环节: "&amp;INDEX($E$1:$I$1, MATCH(MIN(E968:I968), E968:I968, 0))&amp;CHAR(10)&amp;"📉 考察能力: "&amp;IFERROR(VLOOKUP(TRIM(D968)&amp;"_"&amp;TRIM(INDEX($E$1:$I$1, MATCH(MIN(E968:I968), E968:I968, 0))), 技能库!$A:$F, 5, 0),"建议查阅考纲")&amp;CHAR(10)&amp;"💡 提升建议: "&amp;IFERROR(VLOOKUP(TRIM(D968)&amp;"_"&amp;TRIM(INDEX($E$1:$I$1, MATCH(MIN(E968:I968), E968:I968, 0))), 技能库!$A:$F, 6, 0),"请针对该题型加强练习"), "🎉 表现优异，无明显弱项！"))</f>
        <v/>
      </c>
      <c r="AA968" s="5" t="str">
        <f>IF(T968="","", IF(U968&lt;=3, "⚠️ 薄弱环节: "&amp;INDEX($M$1:$S$1, MATCH(MIN(M968:S968), M968:S968, 0))&amp;CHAR(10)&amp;"📉 考察能力: "&amp;IFERROR(VLOOKUP(TRIM(D968)&amp;"_"&amp;TRIM(INDEX($M$1:$S$1, MATCH(MIN(M968:S968), M968:S968, 0))), 技能库!$A:$F, 5, 0),"建议查阅考纲")&amp;CHAR(10)&amp;"💡 提升建议: "&amp;IFERROR(VLOOKUP(TRIM(D968)&amp;"_"&amp;TRIM(INDEX($M$1:$S$1, MATCH(MIN(M968:S968), M968:S968, 0))), 技能库!$A:$F, 6, 0),"请针对该题型加强练习"), "🎉 表现优异，无明显弱项！"))</f>
        <v/>
      </c>
    </row>
    <row r="969" spans="10:27" ht="18" hidden="1" customHeight="1" x14ac:dyDescent="0.2">
      <c r="J969" t="str">
        <f t="shared" si="45"/>
        <v/>
      </c>
      <c r="K969" t="str">
        <f>IF(J969="","", IFERROR(VLOOKUP(J969, IF(D969="Movers", 换算标准!$C:$D, 换算标准!$I:$J), 2, TRUE), 0))</f>
        <v/>
      </c>
      <c r="T969" t="str">
        <f t="shared" si="46"/>
        <v/>
      </c>
      <c r="U969" t="str">
        <f>IF(T969="","", IFERROR(VLOOKUP(T969, IF(D969="Movers", 换算标准!$A:$B, 换算标准!$G:$H), 2, TRUE), 0))</f>
        <v/>
      </c>
      <c r="W969" t="str">
        <f t="shared" si="47"/>
        <v/>
      </c>
      <c r="Z969" s="5" t="str">
        <f>IF(J969="","", IF(K969&lt;=3, "⚠️ 薄弱环节: "&amp;INDEX($E$1:$I$1, MATCH(MIN(E969:I969), E969:I969, 0))&amp;CHAR(10)&amp;"📉 考察能力: "&amp;IFERROR(VLOOKUP(TRIM(D969)&amp;"_"&amp;TRIM(INDEX($E$1:$I$1, MATCH(MIN(E969:I969), E969:I969, 0))), 技能库!$A:$F, 5, 0),"建议查阅考纲")&amp;CHAR(10)&amp;"💡 提升建议: "&amp;IFERROR(VLOOKUP(TRIM(D969)&amp;"_"&amp;TRIM(INDEX($E$1:$I$1, MATCH(MIN(E969:I969), E969:I969, 0))), 技能库!$A:$F, 6, 0),"请针对该题型加强练习"), "🎉 表现优异，无明显弱项！"))</f>
        <v/>
      </c>
      <c r="AA969" s="5" t="str">
        <f>IF(T969="","", IF(U969&lt;=3, "⚠️ 薄弱环节: "&amp;INDEX($M$1:$S$1, MATCH(MIN(M969:S969), M969:S969, 0))&amp;CHAR(10)&amp;"📉 考察能力: "&amp;IFERROR(VLOOKUP(TRIM(D969)&amp;"_"&amp;TRIM(INDEX($M$1:$S$1, MATCH(MIN(M969:S969), M969:S969, 0))), 技能库!$A:$F, 5, 0),"建议查阅考纲")&amp;CHAR(10)&amp;"💡 提升建议: "&amp;IFERROR(VLOOKUP(TRIM(D969)&amp;"_"&amp;TRIM(INDEX($M$1:$S$1, MATCH(MIN(M969:S969), M969:S969, 0))), 技能库!$A:$F, 6, 0),"请针对该题型加强练习"), "🎉 表现优异，无明显弱项！"))</f>
        <v/>
      </c>
    </row>
    <row r="970" spans="10:27" ht="18" hidden="1" customHeight="1" x14ac:dyDescent="0.2">
      <c r="J970" t="str">
        <f t="shared" si="45"/>
        <v/>
      </c>
      <c r="K970" t="str">
        <f>IF(J970="","", IFERROR(VLOOKUP(J970, IF(D970="Movers", 换算标准!$C:$D, 换算标准!$I:$J), 2, TRUE), 0))</f>
        <v/>
      </c>
      <c r="T970" t="str">
        <f t="shared" si="46"/>
        <v/>
      </c>
      <c r="U970" t="str">
        <f>IF(T970="","", IFERROR(VLOOKUP(T970, IF(D970="Movers", 换算标准!$A:$B, 换算标准!$G:$H), 2, TRUE), 0))</f>
        <v/>
      </c>
      <c r="W970" t="str">
        <f t="shared" si="47"/>
        <v/>
      </c>
      <c r="Z970" s="5" t="str">
        <f>IF(J970="","", IF(K970&lt;=3, "⚠️ 薄弱环节: "&amp;INDEX($E$1:$I$1, MATCH(MIN(E970:I970), E970:I970, 0))&amp;CHAR(10)&amp;"📉 考察能力: "&amp;IFERROR(VLOOKUP(TRIM(D970)&amp;"_"&amp;TRIM(INDEX($E$1:$I$1, MATCH(MIN(E970:I970), E970:I970, 0))), 技能库!$A:$F, 5, 0),"建议查阅考纲")&amp;CHAR(10)&amp;"💡 提升建议: "&amp;IFERROR(VLOOKUP(TRIM(D970)&amp;"_"&amp;TRIM(INDEX($E$1:$I$1, MATCH(MIN(E970:I970), E970:I970, 0))), 技能库!$A:$F, 6, 0),"请针对该题型加强练习"), "🎉 表现优异，无明显弱项！"))</f>
        <v/>
      </c>
      <c r="AA970" s="5" t="str">
        <f>IF(T970="","", IF(U970&lt;=3, "⚠️ 薄弱环节: "&amp;INDEX($M$1:$S$1, MATCH(MIN(M970:S970), M970:S970, 0))&amp;CHAR(10)&amp;"📉 考察能力: "&amp;IFERROR(VLOOKUP(TRIM(D970)&amp;"_"&amp;TRIM(INDEX($M$1:$S$1, MATCH(MIN(M970:S970), M970:S970, 0))), 技能库!$A:$F, 5, 0),"建议查阅考纲")&amp;CHAR(10)&amp;"💡 提升建议: "&amp;IFERROR(VLOOKUP(TRIM(D970)&amp;"_"&amp;TRIM(INDEX($M$1:$S$1, MATCH(MIN(M970:S970), M970:S970, 0))), 技能库!$A:$F, 6, 0),"请针对该题型加强练习"), "🎉 表现优异，无明显弱项！"))</f>
        <v/>
      </c>
    </row>
    <row r="971" spans="10:27" ht="18" hidden="1" customHeight="1" x14ac:dyDescent="0.2">
      <c r="J971" t="str">
        <f t="shared" si="45"/>
        <v/>
      </c>
      <c r="K971" t="str">
        <f>IF(J971="","", IFERROR(VLOOKUP(J971, IF(D971="Movers", 换算标准!$C:$D, 换算标准!$I:$J), 2, TRUE), 0))</f>
        <v/>
      </c>
      <c r="T971" t="str">
        <f t="shared" si="46"/>
        <v/>
      </c>
      <c r="U971" t="str">
        <f>IF(T971="","", IFERROR(VLOOKUP(T971, IF(D971="Movers", 换算标准!$A:$B, 换算标准!$G:$H), 2, TRUE), 0))</f>
        <v/>
      </c>
      <c r="W971" t="str">
        <f t="shared" si="47"/>
        <v/>
      </c>
      <c r="Z971" s="5" t="str">
        <f>IF(J971="","", IF(K971&lt;=3, "⚠️ 薄弱环节: "&amp;INDEX($E$1:$I$1, MATCH(MIN(E971:I971), E971:I971, 0))&amp;CHAR(10)&amp;"📉 考察能力: "&amp;IFERROR(VLOOKUP(TRIM(D971)&amp;"_"&amp;TRIM(INDEX($E$1:$I$1, MATCH(MIN(E971:I971), E971:I971, 0))), 技能库!$A:$F, 5, 0),"建议查阅考纲")&amp;CHAR(10)&amp;"💡 提升建议: "&amp;IFERROR(VLOOKUP(TRIM(D971)&amp;"_"&amp;TRIM(INDEX($E$1:$I$1, MATCH(MIN(E971:I971), E971:I971, 0))), 技能库!$A:$F, 6, 0),"请针对该题型加强练习"), "🎉 表现优异，无明显弱项！"))</f>
        <v/>
      </c>
      <c r="AA971" s="5" t="str">
        <f>IF(T971="","", IF(U971&lt;=3, "⚠️ 薄弱环节: "&amp;INDEX($M$1:$S$1, MATCH(MIN(M971:S971), M971:S971, 0))&amp;CHAR(10)&amp;"📉 考察能力: "&amp;IFERROR(VLOOKUP(TRIM(D971)&amp;"_"&amp;TRIM(INDEX($M$1:$S$1, MATCH(MIN(M971:S971), M971:S971, 0))), 技能库!$A:$F, 5, 0),"建议查阅考纲")&amp;CHAR(10)&amp;"💡 提升建议: "&amp;IFERROR(VLOOKUP(TRIM(D971)&amp;"_"&amp;TRIM(INDEX($M$1:$S$1, MATCH(MIN(M971:S971), M971:S971, 0))), 技能库!$A:$F, 6, 0),"请针对该题型加强练习"), "🎉 表现优异，无明显弱项！"))</f>
        <v/>
      </c>
    </row>
    <row r="972" spans="10:27" ht="18" hidden="1" customHeight="1" x14ac:dyDescent="0.2">
      <c r="J972" t="str">
        <f t="shared" si="45"/>
        <v/>
      </c>
      <c r="K972" t="str">
        <f>IF(J972="","", IFERROR(VLOOKUP(J972, IF(D972="Movers", 换算标准!$C:$D, 换算标准!$I:$J), 2, TRUE), 0))</f>
        <v/>
      </c>
      <c r="T972" t="str">
        <f t="shared" si="46"/>
        <v/>
      </c>
      <c r="U972" t="str">
        <f>IF(T972="","", IFERROR(VLOOKUP(T972, IF(D972="Movers", 换算标准!$A:$B, 换算标准!$G:$H), 2, TRUE), 0))</f>
        <v/>
      </c>
      <c r="W972" t="str">
        <f t="shared" si="47"/>
        <v/>
      </c>
      <c r="Z972" s="5" t="str">
        <f>IF(J972="","", IF(K972&lt;=3, "⚠️ 薄弱环节: "&amp;INDEX($E$1:$I$1, MATCH(MIN(E972:I972), E972:I972, 0))&amp;CHAR(10)&amp;"📉 考察能力: "&amp;IFERROR(VLOOKUP(TRIM(D972)&amp;"_"&amp;TRIM(INDEX($E$1:$I$1, MATCH(MIN(E972:I972), E972:I972, 0))), 技能库!$A:$F, 5, 0),"建议查阅考纲")&amp;CHAR(10)&amp;"💡 提升建议: "&amp;IFERROR(VLOOKUP(TRIM(D972)&amp;"_"&amp;TRIM(INDEX($E$1:$I$1, MATCH(MIN(E972:I972), E972:I972, 0))), 技能库!$A:$F, 6, 0),"请针对该题型加强练习"), "🎉 表现优异，无明显弱项！"))</f>
        <v/>
      </c>
      <c r="AA972" s="5" t="str">
        <f>IF(T972="","", IF(U972&lt;=3, "⚠️ 薄弱环节: "&amp;INDEX($M$1:$S$1, MATCH(MIN(M972:S972), M972:S972, 0))&amp;CHAR(10)&amp;"📉 考察能力: "&amp;IFERROR(VLOOKUP(TRIM(D972)&amp;"_"&amp;TRIM(INDEX($M$1:$S$1, MATCH(MIN(M972:S972), M972:S972, 0))), 技能库!$A:$F, 5, 0),"建议查阅考纲")&amp;CHAR(10)&amp;"💡 提升建议: "&amp;IFERROR(VLOOKUP(TRIM(D972)&amp;"_"&amp;TRIM(INDEX($M$1:$S$1, MATCH(MIN(M972:S972), M972:S972, 0))), 技能库!$A:$F, 6, 0),"请针对该题型加强练习"), "🎉 表现优异，无明显弱项！"))</f>
        <v/>
      </c>
    </row>
    <row r="973" spans="10:27" ht="18" hidden="1" customHeight="1" x14ac:dyDescent="0.2">
      <c r="J973" t="str">
        <f t="shared" si="45"/>
        <v/>
      </c>
      <c r="K973" t="str">
        <f>IF(J973="","", IFERROR(VLOOKUP(J973, IF(D973="Movers", 换算标准!$C:$D, 换算标准!$I:$J), 2, TRUE), 0))</f>
        <v/>
      </c>
      <c r="T973" t="str">
        <f t="shared" si="46"/>
        <v/>
      </c>
      <c r="U973" t="str">
        <f>IF(T973="","", IFERROR(VLOOKUP(T973, IF(D973="Movers", 换算标准!$A:$B, 换算标准!$G:$H), 2, TRUE), 0))</f>
        <v/>
      </c>
      <c r="W973" t="str">
        <f t="shared" si="47"/>
        <v/>
      </c>
      <c r="Z973" s="5" t="str">
        <f>IF(J973="","", IF(K973&lt;=3, "⚠️ 薄弱环节: "&amp;INDEX($E$1:$I$1, MATCH(MIN(E973:I973), E973:I973, 0))&amp;CHAR(10)&amp;"📉 考察能力: "&amp;IFERROR(VLOOKUP(TRIM(D973)&amp;"_"&amp;TRIM(INDEX($E$1:$I$1, MATCH(MIN(E973:I973), E973:I973, 0))), 技能库!$A:$F, 5, 0),"建议查阅考纲")&amp;CHAR(10)&amp;"💡 提升建议: "&amp;IFERROR(VLOOKUP(TRIM(D973)&amp;"_"&amp;TRIM(INDEX($E$1:$I$1, MATCH(MIN(E973:I973), E973:I973, 0))), 技能库!$A:$F, 6, 0),"请针对该题型加强练习"), "🎉 表现优异，无明显弱项！"))</f>
        <v/>
      </c>
      <c r="AA973" s="5" t="str">
        <f>IF(T973="","", IF(U973&lt;=3, "⚠️ 薄弱环节: "&amp;INDEX($M$1:$S$1, MATCH(MIN(M973:S973), M973:S973, 0))&amp;CHAR(10)&amp;"📉 考察能力: "&amp;IFERROR(VLOOKUP(TRIM(D973)&amp;"_"&amp;TRIM(INDEX($M$1:$S$1, MATCH(MIN(M973:S973), M973:S973, 0))), 技能库!$A:$F, 5, 0),"建议查阅考纲")&amp;CHAR(10)&amp;"💡 提升建议: "&amp;IFERROR(VLOOKUP(TRIM(D973)&amp;"_"&amp;TRIM(INDEX($M$1:$S$1, MATCH(MIN(M973:S973), M973:S973, 0))), 技能库!$A:$F, 6, 0),"请针对该题型加强练习"), "🎉 表现优异，无明显弱项！"))</f>
        <v/>
      </c>
    </row>
    <row r="974" spans="10:27" ht="18" hidden="1" customHeight="1" x14ac:dyDescent="0.2">
      <c r="J974" t="str">
        <f t="shared" si="45"/>
        <v/>
      </c>
      <c r="K974" t="str">
        <f>IF(J974="","", IFERROR(VLOOKUP(J974, IF(D974="Movers", 换算标准!$C:$D, 换算标准!$I:$J), 2, TRUE), 0))</f>
        <v/>
      </c>
      <c r="T974" t="str">
        <f t="shared" si="46"/>
        <v/>
      </c>
      <c r="U974" t="str">
        <f>IF(T974="","", IFERROR(VLOOKUP(T974, IF(D974="Movers", 换算标准!$A:$B, 换算标准!$G:$H), 2, TRUE), 0))</f>
        <v/>
      </c>
      <c r="W974" t="str">
        <f t="shared" si="47"/>
        <v/>
      </c>
      <c r="Z974" s="5" t="str">
        <f>IF(J974="","", IF(K974&lt;=3, "⚠️ 薄弱环节: "&amp;INDEX($E$1:$I$1, MATCH(MIN(E974:I974), E974:I974, 0))&amp;CHAR(10)&amp;"📉 考察能力: "&amp;IFERROR(VLOOKUP(TRIM(D974)&amp;"_"&amp;TRIM(INDEX($E$1:$I$1, MATCH(MIN(E974:I974), E974:I974, 0))), 技能库!$A:$F, 5, 0),"建议查阅考纲")&amp;CHAR(10)&amp;"💡 提升建议: "&amp;IFERROR(VLOOKUP(TRIM(D974)&amp;"_"&amp;TRIM(INDEX($E$1:$I$1, MATCH(MIN(E974:I974), E974:I974, 0))), 技能库!$A:$F, 6, 0),"请针对该题型加强练习"), "🎉 表现优异，无明显弱项！"))</f>
        <v/>
      </c>
      <c r="AA974" s="5" t="str">
        <f>IF(T974="","", IF(U974&lt;=3, "⚠️ 薄弱环节: "&amp;INDEX($M$1:$S$1, MATCH(MIN(M974:S974), M974:S974, 0))&amp;CHAR(10)&amp;"📉 考察能力: "&amp;IFERROR(VLOOKUP(TRIM(D974)&amp;"_"&amp;TRIM(INDEX($M$1:$S$1, MATCH(MIN(M974:S974), M974:S974, 0))), 技能库!$A:$F, 5, 0),"建议查阅考纲")&amp;CHAR(10)&amp;"💡 提升建议: "&amp;IFERROR(VLOOKUP(TRIM(D974)&amp;"_"&amp;TRIM(INDEX($M$1:$S$1, MATCH(MIN(M974:S974), M974:S974, 0))), 技能库!$A:$F, 6, 0),"请针对该题型加强练习"), "🎉 表现优异，无明显弱项！"))</f>
        <v/>
      </c>
    </row>
    <row r="975" spans="10:27" ht="18" hidden="1" customHeight="1" x14ac:dyDescent="0.2">
      <c r="J975" t="str">
        <f t="shared" si="45"/>
        <v/>
      </c>
      <c r="K975" t="str">
        <f>IF(J975="","", IFERROR(VLOOKUP(J975, IF(D975="Movers", 换算标准!$C:$D, 换算标准!$I:$J), 2, TRUE), 0))</f>
        <v/>
      </c>
      <c r="T975" t="str">
        <f t="shared" si="46"/>
        <v/>
      </c>
      <c r="U975" t="str">
        <f>IF(T975="","", IFERROR(VLOOKUP(T975, IF(D975="Movers", 换算标准!$A:$B, 换算标准!$G:$H), 2, TRUE), 0))</f>
        <v/>
      </c>
      <c r="W975" t="str">
        <f t="shared" si="47"/>
        <v/>
      </c>
      <c r="Z975" s="5" t="str">
        <f>IF(J975="","", IF(K975&lt;=3, "⚠️ 薄弱环节: "&amp;INDEX($E$1:$I$1, MATCH(MIN(E975:I975), E975:I975, 0))&amp;CHAR(10)&amp;"📉 考察能力: "&amp;IFERROR(VLOOKUP(TRIM(D975)&amp;"_"&amp;TRIM(INDEX($E$1:$I$1, MATCH(MIN(E975:I975), E975:I975, 0))), 技能库!$A:$F, 5, 0),"建议查阅考纲")&amp;CHAR(10)&amp;"💡 提升建议: "&amp;IFERROR(VLOOKUP(TRIM(D975)&amp;"_"&amp;TRIM(INDEX($E$1:$I$1, MATCH(MIN(E975:I975), E975:I975, 0))), 技能库!$A:$F, 6, 0),"请针对该题型加强练习"), "🎉 表现优异，无明显弱项！"))</f>
        <v/>
      </c>
      <c r="AA975" s="5" t="str">
        <f>IF(T975="","", IF(U975&lt;=3, "⚠️ 薄弱环节: "&amp;INDEX($M$1:$S$1, MATCH(MIN(M975:S975), M975:S975, 0))&amp;CHAR(10)&amp;"📉 考察能力: "&amp;IFERROR(VLOOKUP(TRIM(D975)&amp;"_"&amp;TRIM(INDEX($M$1:$S$1, MATCH(MIN(M975:S975), M975:S975, 0))), 技能库!$A:$F, 5, 0),"建议查阅考纲")&amp;CHAR(10)&amp;"💡 提升建议: "&amp;IFERROR(VLOOKUP(TRIM(D975)&amp;"_"&amp;TRIM(INDEX($M$1:$S$1, MATCH(MIN(M975:S975), M975:S975, 0))), 技能库!$A:$F, 6, 0),"请针对该题型加强练习"), "🎉 表现优异，无明显弱项！"))</f>
        <v/>
      </c>
    </row>
    <row r="976" spans="10:27" ht="18" hidden="1" customHeight="1" x14ac:dyDescent="0.2">
      <c r="J976" t="str">
        <f t="shared" si="45"/>
        <v/>
      </c>
      <c r="K976" t="str">
        <f>IF(J976="","", IFERROR(VLOOKUP(J976, IF(D976="Movers", 换算标准!$C:$D, 换算标准!$I:$J), 2, TRUE), 0))</f>
        <v/>
      </c>
      <c r="T976" t="str">
        <f t="shared" si="46"/>
        <v/>
      </c>
      <c r="U976" t="str">
        <f>IF(T976="","", IFERROR(VLOOKUP(T976, IF(D976="Movers", 换算标准!$A:$B, 换算标准!$G:$H), 2, TRUE), 0))</f>
        <v/>
      </c>
      <c r="W976" t="str">
        <f t="shared" si="47"/>
        <v/>
      </c>
      <c r="Z976" s="5" t="str">
        <f>IF(J976="","", IF(K976&lt;=3, "⚠️ 薄弱环节: "&amp;INDEX($E$1:$I$1, MATCH(MIN(E976:I976), E976:I976, 0))&amp;CHAR(10)&amp;"📉 考察能力: "&amp;IFERROR(VLOOKUP(TRIM(D976)&amp;"_"&amp;TRIM(INDEX($E$1:$I$1, MATCH(MIN(E976:I976), E976:I976, 0))), 技能库!$A:$F, 5, 0),"建议查阅考纲")&amp;CHAR(10)&amp;"💡 提升建议: "&amp;IFERROR(VLOOKUP(TRIM(D976)&amp;"_"&amp;TRIM(INDEX($E$1:$I$1, MATCH(MIN(E976:I976), E976:I976, 0))), 技能库!$A:$F, 6, 0),"请针对该题型加强练习"), "🎉 表现优异，无明显弱项！"))</f>
        <v/>
      </c>
      <c r="AA976" s="5" t="str">
        <f>IF(T976="","", IF(U976&lt;=3, "⚠️ 薄弱环节: "&amp;INDEX($M$1:$S$1, MATCH(MIN(M976:S976), M976:S976, 0))&amp;CHAR(10)&amp;"📉 考察能力: "&amp;IFERROR(VLOOKUP(TRIM(D976)&amp;"_"&amp;TRIM(INDEX($M$1:$S$1, MATCH(MIN(M976:S976), M976:S976, 0))), 技能库!$A:$F, 5, 0),"建议查阅考纲")&amp;CHAR(10)&amp;"💡 提升建议: "&amp;IFERROR(VLOOKUP(TRIM(D976)&amp;"_"&amp;TRIM(INDEX($M$1:$S$1, MATCH(MIN(M976:S976), M976:S976, 0))), 技能库!$A:$F, 6, 0),"请针对该题型加强练习"), "🎉 表现优异，无明显弱项！"))</f>
        <v/>
      </c>
    </row>
    <row r="977" spans="10:27" ht="18" hidden="1" customHeight="1" x14ac:dyDescent="0.2">
      <c r="J977" t="str">
        <f t="shared" si="45"/>
        <v/>
      </c>
      <c r="K977" t="str">
        <f>IF(J977="","", IFERROR(VLOOKUP(J977, IF(D977="Movers", 换算标准!$C:$D, 换算标准!$I:$J), 2, TRUE), 0))</f>
        <v/>
      </c>
      <c r="T977" t="str">
        <f t="shared" si="46"/>
        <v/>
      </c>
      <c r="U977" t="str">
        <f>IF(T977="","", IFERROR(VLOOKUP(T977, IF(D977="Movers", 换算标准!$A:$B, 换算标准!$G:$H), 2, TRUE), 0))</f>
        <v/>
      </c>
      <c r="W977" t="str">
        <f t="shared" si="47"/>
        <v/>
      </c>
      <c r="Z977" s="5" t="str">
        <f>IF(J977="","", IF(K977&lt;=3, "⚠️ 薄弱环节: "&amp;INDEX($E$1:$I$1, MATCH(MIN(E977:I977), E977:I977, 0))&amp;CHAR(10)&amp;"📉 考察能力: "&amp;IFERROR(VLOOKUP(TRIM(D977)&amp;"_"&amp;TRIM(INDEX($E$1:$I$1, MATCH(MIN(E977:I977), E977:I977, 0))), 技能库!$A:$F, 5, 0),"建议查阅考纲")&amp;CHAR(10)&amp;"💡 提升建议: "&amp;IFERROR(VLOOKUP(TRIM(D977)&amp;"_"&amp;TRIM(INDEX($E$1:$I$1, MATCH(MIN(E977:I977), E977:I977, 0))), 技能库!$A:$F, 6, 0),"请针对该题型加强练习"), "🎉 表现优异，无明显弱项！"))</f>
        <v/>
      </c>
      <c r="AA977" s="5" t="str">
        <f>IF(T977="","", IF(U977&lt;=3, "⚠️ 薄弱环节: "&amp;INDEX($M$1:$S$1, MATCH(MIN(M977:S977), M977:S977, 0))&amp;CHAR(10)&amp;"📉 考察能力: "&amp;IFERROR(VLOOKUP(TRIM(D977)&amp;"_"&amp;TRIM(INDEX($M$1:$S$1, MATCH(MIN(M977:S977), M977:S977, 0))), 技能库!$A:$F, 5, 0),"建议查阅考纲")&amp;CHAR(10)&amp;"💡 提升建议: "&amp;IFERROR(VLOOKUP(TRIM(D977)&amp;"_"&amp;TRIM(INDEX($M$1:$S$1, MATCH(MIN(M977:S977), M977:S977, 0))), 技能库!$A:$F, 6, 0),"请针对该题型加强练习"), "🎉 表现优异，无明显弱项！"))</f>
        <v/>
      </c>
    </row>
    <row r="978" spans="10:27" ht="18" hidden="1" customHeight="1" x14ac:dyDescent="0.2">
      <c r="J978" t="str">
        <f t="shared" si="45"/>
        <v/>
      </c>
      <c r="K978" t="str">
        <f>IF(J978="","", IFERROR(VLOOKUP(J978, IF(D978="Movers", 换算标准!$C:$D, 换算标准!$I:$J), 2, TRUE), 0))</f>
        <v/>
      </c>
      <c r="T978" t="str">
        <f t="shared" si="46"/>
        <v/>
      </c>
      <c r="U978" t="str">
        <f>IF(T978="","", IFERROR(VLOOKUP(T978, IF(D978="Movers", 换算标准!$A:$B, 换算标准!$G:$H), 2, TRUE), 0))</f>
        <v/>
      </c>
      <c r="W978" t="str">
        <f t="shared" si="47"/>
        <v/>
      </c>
      <c r="Z978" s="5" t="str">
        <f>IF(J978="","", IF(K978&lt;=3, "⚠️ 薄弱环节: "&amp;INDEX($E$1:$I$1, MATCH(MIN(E978:I978), E978:I978, 0))&amp;CHAR(10)&amp;"📉 考察能力: "&amp;IFERROR(VLOOKUP(TRIM(D978)&amp;"_"&amp;TRIM(INDEX($E$1:$I$1, MATCH(MIN(E978:I978), E978:I978, 0))), 技能库!$A:$F, 5, 0),"建议查阅考纲")&amp;CHAR(10)&amp;"💡 提升建议: "&amp;IFERROR(VLOOKUP(TRIM(D978)&amp;"_"&amp;TRIM(INDEX($E$1:$I$1, MATCH(MIN(E978:I978), E978:I978, 0))), 技能库!$A:$F, 6, 0),"请针对该题型加强练习"), "🎉 表现优异，无明显弱项！"))</f>
        <v/>
      </c>
      <c r="AA978" s="5" t="str">
        <f>IF(T978="","", IF(U978&lt;=3, "⚠️ 薄弱环节: "&amp;INDEX($M$1:$S$1, MATCH(MIN(M978:S978), M978:S978, 0))&amp;CHAR(10)&amp;"📉 考察能力: "&amp;IFERROR(VLOOKUP(TRIM(D978)&amp;"_"&amp;TRIM(INDEX($M$1:$S$1, MATCH(MIN(M978:S978), M978:S978, 0))), 技能库!$A:$F, 5, 0),"建议查阅考纲")&amp;CHAR(10)&amp;"💡 提升建议: "&amp;IFERROR(VLOOKUP(TRIM(D978)&amp;"_"&amp;TRIM(INDEX($M$1:$S$1, MATCH(MIN(M978:S978), M978:S978, 0))), 技能库!$A:$F, 6, 0),"请针对该题型加强练习"), "🎉 表现优异，无明显弱项！"))</f>
        <v/>
      </c>
    </row>
    <row r="979" spans="10:27" ht="18" hidden="1" customHeight="1" x14ac:dyDescent="0.2">
      <c r="J979" t="str">
        <f t="shared" si="45"/>
        <v/>
      </c>
      <c r="K979" t="str">
        <f>IF(J979="","", IFERROR(VLOOKUP(J979, IF(D979="Movers", 换算标准!$C:$D, 换算标准!$I:$J), 2, TRUE), 0))</f>
        <v/>
      </c>
      <c r="T979" t="str">
        <f t="shared" si="46"/>
        <v/>
      </c>
      <c r="U979" t="str">
        <f>IF(T979="","", IFERROR(VLOOKUP(T979, IF(D979="Movers", 换算标准!$A:$B, 换算标准!$G:$H), 2, TRUE), 0))</f>
        <v/>
      </c>
      <c r="W979" t="str">
        <f t="shared" si="47"/>
        <v/>
      </c>
      <c r="Z979" s="5" t="str">
        <f>IF(J979="","", IF(K979&lt;=3, "⚠️ 薄弱环节: "&amp;INDEX($E$1:$I$1, MATCH(MIN(E979:I979), E979:I979, 0))&amp;CHAR(10)&amp;"📉 考察能力: "&amp;IFERROR(VLOOKUP(TRIM(D979)&amp;"_"&amp;TRIM(INDEX($E$1:$I$1, MATCH(MIN(E979:I979), E979:I979, 0))), 技能库!$A:$F, 5, 0),"建议查阅考纲")&amp;CHAR(10)&amp;"💡 提升建议: "&amp;IFERROR(VLOOKUP(TRIM(D979)&amp;"_"&amp;TRIM(INDEX($E$1:$I$1, MATCH(MIN(E979:I979), E979:I979, 0))), 技能库!$A:$F, 6, 0),"请针对该题型加强练习"), "🎉 表现优异，无明显弱项！"))</f>
        <v/>
      </c>
      <c r="AA979" s="5" t="str">
        <f>IF(T979="","", IF(U979&lt;=3, "⚠️ 薄弱环节: "&amp;INDEX($M$1:$S$1, MATCH(MIN(M979:S979), M979:S979, 0))&amp;CHAR(10)&amp;"📉 考察能力: "&amp;IFERROR(VLOOKUP(TRIM(D979)&amp;"_"&amp;TRIM(INDEX($M$1:$S$1, MATCH(MIN(M979:S979), M979:S979, 0))), 技能库!$A:$F, 5, 0),"建议查阅考纲")&amp;CHAR(10)&amp;"💡 提升建议: "&amp;IFERROR(VLOOKUP(TRIM(D979)&amp;"_"&amp;TRIM(INDEX($M$1:$S$1, MATCH(MIN(M979:S979), M979:S979, 0))), 技能库!$A:$F, 6, 0),"请针对该题型加强练习"), "🎉 表现优异，无明显弱项！"))</f>
        <v/>
      </c>
    </row>
    <row r="980" spans="10:27" ht="18" hidden="1" customHeight="1" x14ac:dyDescent="0.2">
      <c r="J980" t="str">
        <f t="shared" si="45"/>
        <v/>
      </c>
      <c r="K980" t="str">
        <f>IF(J980="","", IFERROR(VLOOKUP(J980, IF(D980="Movers", 换算标准!$C:$D, 换算标准!$I:$J), 2, TRUE), 0))</f>
        <v/>
      </c>
      <c r="T980" t="str">
        <f t="shared" si="46"/>
        <v/>
      </c>
      <c r="U980" t="str">
        <f>IF(T980="","", IFERROR(VLOOKUP(T980, IF(D980="Movers", 换算标准!$A:$B, 换算标准!$G:$H), 2, TRUE), 0))</f>
        <v/>
      </c>
      <c r="W980" t="str">
        <f t="shared" si="47"/>
        <v/>
      </c>
      <c r="Z980" s="5" t="str">
        <f>IF(J980="","", IF(K980&lt;=3, "⚠️ 薄弱环节: "&amp;INDEX($E$1:$I$1, MATCH(MIN(E980:I980), E980:I980, 0))&amp;CHAR(10)&amp;"📉 考察能力: "&amp;IFERROR(VLOOKUP(TRIM(D980)&amp;"_"&amp;TRIM(INDEX($E$1:$I$1, MATCH(MIN(E980:I980), E980:I980, 0))), 技能库!$A:$F, 5, 0),"建议查阅考纲")&amp;CHAR(10)&amp;"💡 提升建议: "&amp;IFERROR(VLOOKUP(TRIM(D980)&amp;"_"&amp;TRIM(INDEX($E$1:$I$1, MATCH(MIN(E980:I980), E980:I980, 0))), 技能库!$A:$F, 6, 0),"请针对该题型加强练习"), "🎉 表现优异，无明显弱项！"))</f>
        <v/>
      </c>
      <c r="AA980" s="5" t="str">
        <f>IF(T980="","", IF(U980&lt;=3, "⚠️ 薄弱环节: "&amp;INDEX($M$1:$S$1, MATCH(MIN(M980:S980), M980:S980, 0))&amp;CHAR(10)&amp;"📉 考察能力: "&amp;IFERROR(VLOOKUP(TRIM(D980)&amp;"_"&amp;TRIM(INDEX($M$1:$S$1, MATCH(MIN(M980:S980), M980:S980, 0))), 技能库!$A:$F, 5, 0),"建议查阅考纲")&amp;CHAR(10)&amp;"💡 提升建议: "&amp;IFERROR(VLOOKUP(TRIM(D980)&amp;"_"&amp;TRIM(INDEX($M$1:$S$1, MATCH(MIN(M980:S980), M980:S980, 0))), 技能库!$A:$F, 6, 0),"请针对该题型加强练习"), "🎉 表现优异，无明显弱项！"))</f>
        <v/>
      </c>
    </row>
    <row r="981" spans="10:27" ht="18" hidden="1" customHeight="1" x14ac:dyDescent="0.2">
      <c r="J981" t="str">
        <f t="shared" si="45"/>
        <v/>
      </c>
      <c r="K981" t="str">
        <f>IF(J981="","", IFERROR(VLOOKUP(J981, IF(D981="Movers", 换算标准!$C:$D, 换算标准!$I:$J), 2, TRUE), 0))</f>
        <v/>
      </c>
      <c r="T981" t="str">
        <f t="shared" si="46"/>
        <v/>
      </c>
      <c r="U981" t="str">
        <f>IF(T981="","", IFERROR(VLOOKUP(T981, IF(D981="Movers", 换算标准!$A:$B, 换算标准!$G:$H), 2, TRUE), 0))</f>
        <v/>
      </c>
      <c r="W981" t="str">
        <f t="shared" si="47"/>
        <v/>
      </c>
      <c r="Z981" s="5" t="str">
        <f>IF(J981="","", IF(K981&lt;=3, "⚠️ 薄弱环节: "&amp;INDEX($E$1:$I$1, MATCH(MIN(E981:I981), E981:I981, 0))&amp;CHAR(10)&amp;"📉 考察能力: "&amp;IFERROR(VLOOKUP(TRIM(D981)&amp;"_"&amp;TRIM(INDEX($E$1:$I$1, MATCH(MIN(E981:I981), E981:I981, 0))), 技能库!$A:$F, 5, 0),"建议查阅考纲")&amp;CHAR(10)&amp;"💡 提升建议: "&amp;IFERROR(VLOOKUP(TRIM(D981)&amp;"_"&amp;TRIM(INDEX($E$1:$I$1, MATCH(MIN(E981:I981), E981:I981, 0))), 技能库!$A:$F, 6, 0),"请针对该题型加强练习"), "🎉 表现优异，无明显弱项！"))</f>
        <v/>
      </c>
      <c r="AA981" s="5" t="str">
        <f>IF(T981="","", IF(U981&lt;=3, "⚠️ 薄弱环节: "&amp;INDEX($M$1:$S$1, MATCH(MIN(M981:S981), M981:S981, 0))&amp;CHAR(10)&amp;"📉 考察能力: "&amp;IFERROR(VLOOKUP(TRIM(D981)&amp;"_"&amp;TRIM(INDEX($M$1:$S$1, MATCH(MIN(M981:S981), M981:S981, 0))), 技能库!$A:$F, 5, 0),"建议查阅考纲")&amp;CHAR(10)&amp;"💡 提升建议: "&amp;IFERROR(VLOOKUP(TRIM(D981)&amp;"_"&amp;TRIM(INDEX($M$1:$S$1, MATCH(MIN(M981:S981), M981:S981, 0))), 技能库!$A:$F, 6, 0),"请针对该题型加强练习"), "🎉 表现优异，无明显弱项！"))</f>
        <v/>
      </c>
    </row>
    <row r="982" spans="10:27" ht="18" hidden="1" customHeight="1" x14ac:dyDescent="0.2">
      <c r="J982" t="str">
        <f t="shared" si="45"/>
        <v/>
      </c>
      <c r="K982" t="str">
        <f>IF(J982="","", IFERROR(VLOOKUP(J982, IF(D982="Movers", 换算标准!$C:$D, 换算标准!$I:$J), 2, TRUE), 0))</f>
        <v/>
      </c>
      <c r="T982" t="str">
        <f t="shared" si="46"/>
        <v/>
      </c>
      <c r="U982" t="str">
        <f>IF(T982="","", IFERROR(VLOOKUP(T982, IF(D982="Movers", 换算标准!$A:$B, 换算标准!$G:$H), 2, TRUE), 0))</f>
        <v/>
      </c>
      <c r="W982" t="str">
        <f t="shared" si="47"/>
        <v/>
      </c>
      <c r="Z982" s="5" t="str">
        <f>IF(J982="","", IF(K982&lt;=3, "⚠️ 薄弱环节: "&amp;INDEX($E$1:$I$1, MATCH(MIN(E982:I982), E982:I982, 0))&amp;CHAR(10)&amp;"📉 考察能力: "&amp;IFERROR(VLOOKUP(TRIM(D982)&amp;"_"&amp;TRIM(INDEX($E$1:$I$1, MATCH(MIN(E982:I982), E982:I982, 0))), 技能库!$A:$F, 5, 0),"建议查阅考纲")&amp;CHAR(10)&amp;"💡 提升建议: "&amp;IFERROR(VLOOKUP(TRIM(D982)&amp;"_"&amp;TRIM(INDEX($E$1:$I$1, MATCH(MIN(E982:I982), E982:I982, 0))), 技能库!$A:$F, 6, 0),"请针对该题型加强练习"), "🎉 表现优异，无明显弱项！"))</f>
        <v/>
      </c>
      <c r="AA982" s="5" t="str">
        <f>IF(T982="","", IF(U982&lt;=3, "⚠️ 薄弱环节: "&amp;INDEX($M$1:$S$1, MATCH(MIN(M982:S982), M982:S982, 0))&amp;CHAR(10)&amp;"📉 考察能力: "&amp;IFERROR(VLOOKUP(TRIM(D982)&amp;"_"&amp;TRIM(INDEX($M$1:$S$1, MATCH(MIN(M982:S982), M982:S982, 0))), 技能库!$A:$F, 5, 0),"建议查阅考纲")&amp;CHAR(10)&amp;"💡 提升建议: "&amp;IFERROR(VLOOKUP(TRIM(D982)&amp;"_"&amp;TRIM(INDEX($M$1:$S$1, MATCH(MIN(M982:S982), M982:S982, 0))), 技能库!$A:$F, 6, 0),"请针对该题型加强练习"), "🎉 表现优异，无明显弱项！"))</f>
        <v/>
      </c>
    </row>
    <row r="983" spans="10:27" ht="18" hidden="1" customHeight="1" x14ac:dyDescent="0.2">
      <c r="J983" t="str">
        <f t="shared" si="45"/>
        <v/>
      </c>
      <c r="K983" t="str">
        <f>IF(J983="","", IFERROR(VLOOKUP(J983, IF(D983="Movers", 换算标准!$C:$D, 换算标准!$I:$J), 2, TRUE), 0))</f>
        <v/>
      </c>
      <c r="T983" t="str">
        <f t="shared" si="46"/>
        <v/>
      </c>
      <c r="U983" t="str">
        <f>IF(T983="","", IFERROR(VLOOKUP(T983, IF(D983="Movers", 换算标准!$A:$B, 换算标准!$G:$H), 2, TRUE), 0))</f>
        <v/>
      </c>
      <c r="W983" t="str">
        <f t="shared" si="47"/>
        <v/>
      </c>
      <c r="Z983" s="5" t="str">
        <f>IF(J983="","", IF(K983&lt;=3, "⚠️ 薄弱环节: "&amp;INDEX($E$1:$I$1, MATCH(MIN(E983:I983), E983:I983, 0))&amp;CHAR(10)&amp;"📉 考察能力: "&amp;IFERROR(VLOOKUP(TRIM(D983)&amp;"_"&amp;TRIM(INDEX($E$1:$I$1, MATCH(MIN(E983:I983), E983:I983, 0))), 技能库!$A:$F, 5, 0),"建议查阅考纲")&amp;CHAR(10)&amp;"💡 提升建议: "&amp;IFERROR(VLOOKUP(TRIM(D983)&amp;"_"&amp;TRIM(INDEX($E$1:$I$1, MATCH(MIN(E983:I983), E983:I983, 0))), 技能库!$A:$F, 6, 0),"请针对该题型加强练习"), "🎉 表现优异，无明显弱项！"))</f>
        <v/>
      </c>
      <c r="AA983" s="5" t="str">
        <f>IF(T983="","", IF(U983&lt;=3, "⚠️ 薄弱环节: "&amp;INDEX($M$1:$S$1, MATCH(MIN(M983:S983), M983:S983, 0))&amp;CHAR(10)&amp;"📉 考察能力: "&amp;IFERROR(VLOOKUP(TRIM(D983)&amp;"_"&amp;TRIM(INDEX($M$1:$S$1, MATCH(MIN(M983:S983), M983:S983, 0))), 技能库!$A:$F, 5, 0),"建议查阅考纲")&amp;CHAR(10)&amp;"💡 提升建议: "&amp;IFERROR(VLOOKUP(TRIM(D983)&amp;"_"&amp;TRIM(INDEX($M$1:$S$1, MATCH(MIN(M983:S983), M983:S983, 0))), 技能库!$A:$F, 6, 0),"请针对该题型加强练习"), "🎉 表现优异，无明显弱项！"))</f>
        <v/>
      </c>
    </row>
    <row r="984" spans="10:27" ht="18" hidden="1" customHeight="1" x14ac:dyDescent="0.2">
      <c r="J984" t="str">
        <f t="shared" si="45"/>
        <v/>
      </c>
      <c r="K984" t="str">
        <f>IF(J984="","", IFERROR(VLOOKUP(J984, IF(D984="Movers", 换算标准!$C:$D, 换算标准!$I:$J), 2, TRUE), 0))</f>
        <v/>
      </c>
      <c r="T984" t="str">
        <f t="shared" si="46"/>
        <v/>
      </c>
      <c r="U984" t="str">
        <f>IF(T984="","", IFERROR(VLOOKUP(T984, IF(D984="Movers", 换算标准!$A:$B, 换算标准!$G:$H), 2, TRUE), 0))</f>
        <v/>
      </c>
      <c r="W984" t="str">
        <f t="shared" si="47"/>
        <v/>
      </c>
      <c r="Z984" s="5" t="str">
        <f>IF(J984="","", IF(K984&lt;=3, "⚠️ 薄弱环节: "&amp;INDEX($E$1:$I$1, MATCH(MIN(E984:I984), E984:I984, 0))&amp;CHAR(10)&amp;"📉 考察能力: "&amp;IFERROR(VLOOKUP(TRIM(D984)&amp;"_"&amp;TRIM(INDEX($E$1:$I$1, MATCH(MIN(E984:I984), E984:I984, 0))), 技能库!$A:$F, 5, 0),"建议查阅考纲")&amp;CHAR(10)&amp;"💡 提升建议: "&amp;IFERROR(VLOOKUP(TRIM(D984)&amp;"_"&amp;TRIM(INDEX($E$1:$I$1, MATCH(MIN(E984:I984), E984:I984, 0))), 技能库!$A:$F, 6, 0),"请针对该题型加强练习"), "🎉 表现优异，无明显弱项！"))</f>
        <v/>
      </c>
      <c r="AA984" s="5" t="str">
        <f>IF(T984="","", IF(U984&lt;=3, "⚠️ 薄弱环节: "&amp;INDEX($M$1:$S$1, MATCH(MIN(M984:S984), M984:S984, 0))&amp;CHAR(10)&amp;"📉 考察能力: "&amp;IFERROR(VLOOKUP(TRIM(D984)&amp;"_"&amp;TRIM(INDEX($M$1:$S$1, MATCH(MIN(M984:S984), M984:S984, 0))), 技能库!$A:$F, 5, 0),"建议查阅考纲")&amp;CHAR(10)&amp;"💡 提升建议: "&amp;IFERROR(VLOOKUP(TRIM(D984)&amp;"_"&amp;TRIM(INDEX($M$1:$S$1, MATCH(MIN(M984:S984), M984:S984, 0))), 技能库!$A:$F, 6, 0),"请针对该题型加强练习"), "🎉 表现优异，无明显弱项！"))</f>
        <v/>
      </c>
    </row>
    <row r="985" spans="10:27" ht="18" hidden="1" customHeight="1" x14ac:dyDescent="0.2">
      <c r="J985" t="str">
        <f t="shared" si="45"/>
        <v/>
      </c>
      <c r="K985" t="str">
        <f>IF(J985="","", IFERROR(VLOOKUP(J985, IF(D985="Movers", 换算标准!$C:$D, 换算标准!$I:$J), 2, TRUE), 0))</f>
        <v/>
      </c>
      <c r="T985" t="str">
        <f t="shared" si="46"/>
        <v/>
      </c>
      <c r="U985" t="str">
        <f>IF(T985="","", IFERROR(VLOOKUP(T985, IF(D985="Movers", 换算标准!$A:$B, 换算标准!$G:$H), 2, TRUE), 0))</f>
        <v/>
      </c>
      <c r="W985" t="str">
        <f t="shared" si="47"/>
        <v/>
      </c>
      <c r="Z985" s="5" t="str">
        <f>IF(J985="","", IF(K985&lt;=3, "⚠️ 薄弱环节: "&amp;INDEX($E$1:$I$1, MATCH(MIN(E985:I985), E985:I985, 0))&amp;CHAR(10)&amp;"📉 考察能力: "&amp;IFERROR(VLOOKUP(TRIM(D985)&amp;"_"&amp;TRIM(INDEX($E$1:$I$1, MATCH(MIN(E985:I985), E985:I985, 0))), 技能库!$A:$F, 5, 0),"建议查阅考纲")&amp;CHAR(10)&amp;"💡 提升建议: "&amp;IFERROR(VLOOKUP(TRIM(D985)&amp;"_"&amp;TRIM(INDEX($E$1:$I$1, MATCH(MIN(E985:I985), E985:I985, 0))), 技能库!$A:$F, 6, 0),"请针对该题型加强练习"), "🎉 表现优异，无明显弱项！"))</f>
        <v/>
      </c>
      <c r="AA985" s="5" t="str">
        <f>IF(T985="","", IF(U985&lt;=3, "⚠️ 薄弱环节: "&amp;INDEX($M$1:$S$1, MATCH(MIN(M985:S985), M985:S985, 0))&amp;CHAR(10)&amp;"📉 考察能力: "&amp;IFERROR(VLOOKUP(TRIM(D985)&amp;"_"&amp;TRIM(INDEX($M$1:$S$1, MATCH(MIN(M985:S985), M985:S985, 0))), 技能库!$A:$F, 5, 0),"建议查阅考纲")&amp;CHAR(10)&amp;"💡 提升建议: "&amp;IFERROR(VLOOKUP(TRIM(D985)&amp;"_"&amp;TRIM(INDEX($M$1:$S$1, MATCH(MIN(M985:S985), M985:S985, 0))), 技能库!$A:$F, 6, 0),"请针对该题型加强练习"), "🎉 表现优异，无明显弱项！"))</f>
        <v/>
      </c>
    </row>
    <row r="986" spans="10:27" ht="18" hidden="1" customHeight="1" x14ac:dyDescent="0.2">
      <c r="J986" t="str">
        <f t="shared" si="45"/>
        <v/>
      </c>
      <c r="K986" t="str">
        <f>IF(J986="","", IFERROR(VLOOKUP(J986, IF(D986="Movers", 换算标准!$C:$D, 换算标准!$I:$J), 2, TRUE), 0))</f>
        <v/>
      </c>
      <c r="T986" t="str">
        <f t="shared" si="46"/>
        <v/>
      </c>
      <c r="U986" t="str">
        <f>IF(T986="","", IFERROR(VLOOKUP(T986, IF(D986="Movers", 换算标准!$A:$B, 换算标准!$G:$H), 2, TRUE), 0))</f>
        <v/>
      </c>
      <c r="W986" t="str">
        <f t="shared" si="47"/>
        <v/>
      </c>
      <c r="Z986" s="5" t="str">
        <f>IF(J986="","", IF(K986&lt;=3, "⚠️ 薄弱环节: "&amp;INDEX($E$1:$I$1, MATCH(MIN(E986:I986), E986:I986, 0))&amp;CHAR(10)&amp;"📉 考察能力: "&amp;IFERROR(VLOOKUP(TRIM(D986)&amp;"_"&amp;TRIM(INDEX($E$1:$I$1, MATCH(MIN(E986:I986), E986:I986, 0))), 技能库!$A:$F, 5, 0),"建议查阅考纲")&amp;CHAR(10)&amp;"💡 提升建议: "&amp;IFERROR(VLOOKUP(TRIM(D986)&amp;"_"&amp;TRIM(INDEX($E$1:$I$1, MATCH(MIN(E986:I986), E986:I986, 0))), 技能库!$A:$F, 6, 0),"请针对该题型加强练习"), "🎉 表现优异，无明显弱项！"))</f>
        <v/>
      </c>
      <c r="AA986" s="5" t="str">
        <f>IF(T986="","", IF(U986&lt;=3, "⚠️ 薄弱环节: "&amp;INDEX($M$1:$S$1, MATCH(MIN(M986:S986), M986:S986, 0))&amp;CHAR(10)&amp;"📉 考察能力: "&amp;IFERROR(VLOOKUP(TRIM(D986)&amp;"_"&amp;TRIM(INDEX($M$1:$S$1, MATCH(MIN(M986:S986), M986:S986, 0))), 技能库!$A:$F, 5, 0),"建议查阅考纲")&amp;CHAR(10)&amp;"💡 提升建议: "&amp;IFERROR(VLOOKUP(TRIM(D986)&amp;"_"&amp;TRIM(INDEX($M$1:$S$1, MATCH(MIN(M986:S986), M986:S986, 0))), 技能库!$A:$F, 6, 0),"请针对该题型加强练习"), "🎉 表现优异，无明显弱项！"))</f>
        <v/>
      </c>
    </row>
    <row r="987" spans="10:27" ht="18" hidden="1" customHeight="1" x14ac:dyDescent="0.2">
      <c r="J987" t="str">
        <f t="shared" si="45"/>
        <v/>
      </c>
      <c r="K987" t="str">
        <f>IF(J987="","", IFERROR(VLOOKUP(J987, IF(D987="Movers", 换算标准!$C:$D, 换算标准!$I:$J), 2, TRUE), 0))</f>
        <v/>
      </c>
      <c r="T987" t="str">
        <f t="shared" si="46"/>
        <v/>
      </c>
      <c r="U987" t="str">
        <f>IF(T987="","", IFERROR(VLOOKUP(T987, IF(D987="Movers", 换算标准!$A:$B, 换算标准!$G:$H), 2, TRUE), 0))</f>
        <v/>
      </c>
      <c r="W987" t="str">
        <f t="shared" si="47"/>
        <v/>
      </c>
      <c r="Z987" s="5" t="str">
        <f>IF(J987="","", IF(K987&lt;=3, "⚠️ 薄弱环节: "&amp;INDEX($E$1:$I$1, MATCH(MIN(E987:I987), E987:I987, 0))&amp;CHAR(10)&amp;"📉 考察能力: "&amp;IFERROR(VLOOKUP(TRIM(D987)&amp;"_"&amp;TRIM(INDEX($E$1:$I$1, MATCH(MIN(E987:I987), E987:I987, 0))), 技能库!$A:$F, 5, 0),"建议查阅考纲")&amp;CHAR(10)&amp;"💡 提升建议: "&amp;IFERROR(VLOOKUP(TRIM(D987)&amp;"_"&amp;TRIM(INDEX($E$1:$I$1, MATCH(MIN(E987:I987), E987:I987, 0))), 技能库!$A:$F, 6, 0),"请针对该题型加强练习"), "🎉 表现优异，无明显弱项！"))</f>
        <v/>
      </c>
      <c r="AA987" s="5" t="str">
        <f>IF(T987="","", IF(U987&lt;=3, "⚠️ 薄弱环节: "&amp;INDEX($M$1:$S$1, MATCH(MIN(M987:S987), M987:S987, 0))&amp;CHAR(10)&amp;"📉 考察能力: "&amp;IFERROR(VLOOKUP(TRIM(D987)&amp;"_"&amp;TRIM(INDEX($M$1:$S$1, MATCH(MIN(M987:S987), M987:S987, 0))), 技能库!$A:$F, 5, 0),"建议查阅考纲")&amp;CHAR(10)&amp;"💡 提升建议: "&amp;IFERROR(VLOOKUP(TRIM(D987)&amp;"_"&amp;TRIM(INDEX($M$1:$S$1, MATCH(MIN(M987:S987), M987:S987, 0))), 技能库!$A:$F, 6, 0),"请针对该题型加强练习"), "🎉 表现优异，无明显弱项！"))</f>
        <v/>
      </c>
    </row>
    <row r="988" spans="10:27" ht="18" hidden="1" customHeight="1" x14ac:dyDescent="0.2">
      <c r="J988" t="str">
        <f t="shared" si="45"/>
        <v/>
      </c>
      <c r="K988" t="str">
        <f>IF(J988="","", IFERROR(VLOOKUP(J988, IF(D988="Movers", 换算标准!$C:$D, 换算标准!$I:$J), 2, TRUE), 0))</f>
        <v/>
      </c>
      <c r="T988" t="str">
        <f t="shared" si="46"/>
        <v/>
      </c>
      <c r="U988" t="str">
        <f>IF(T988="","", IFERROR(VLOOKUP(T988, IF(D988="Movers", 换算标准!$A:$B, 换算标准!$G:$H), 2, TRUE), 0))</f>
        <v/>
      </c>
      <c r="W988" t="str">
        <f t="shared" si="47"/>
        <v/>
      </c>
      <c r="Z988" s="5" t="str">
        <f>IF(J988="","", IF(K988&lt;=3, "⚠️ 薄弱环节: "&amp;INDEX($E$1:$I$1, MATCH(MIN(E988:I988), E988:I988, 0))&amp;CHAR(10)&amp;"📉 考察能力: "&amp;IFERROR(VLOOKUP(TRIM(D988)&amp;"_"&amp;TRIM(INDEX($E$1:$I$1, MATCH(MIN(E988:I988), E988:I988, 0))), 技能库!$A:$F, 5, 0),"建议查阅考纲")&amp;CHAR(10)&amp;"💡 提升建议: "&amp;IFERROR(VLOOKUP(TRIM(D988)&amp;"_"&amp;TRIM(INDEX($E$1:$I$1, MATCH(MIN(E988:I988), E988:I988, 0))), 技能库!$A:$F, 6, 0),"请针对该题型加强练习"), "🎉 表现优异，无明显弱项！"))</f>
        <v/>
      </c>
      <c r="AA988" s="5" t="str">
        <f>IF(T988="","", IF(U988&lt;=3, "⚠️ 薄弱环节: "&amp;INDEX($M$1:$S$1, MATCH(MIN(M988:S988), M988:S988, 0))&amp;CHAR(10)&amp;"📉 考察能力: "&amp;IFERROR(VLOOKUP(TRIM(D988)&amp;"_"&amp;TRIM(INDEX($M$1:$S$1, MATCH(MIN(M988:S988), M988:S988, 0))), 技能库!$A:$F, 5, 0),"建议查阅考纲")&amp;CHAR(10)&amp;"💡 提升建议: "&amp;IFERROR(VLOOKUP(TRIM(D988)&amp;"_"&amp;TRIM(INDEX($M$1:$S$1, MATCH(MIN(M988:S988), M988:S988, 0))), 技能库!$A:$F, 6, 0),"请针对该题型加强练习"), "🎉 表现优异，无明显弱项！"))</f>
        <v/>
      </c>
    </row>
    <row r="989" spans="10:27" ht="18" hidden="1" customHeight="1" x14ac:dyDescent="0.2">
      <c r="J989" t="str">
        <f t="shared" si="45"/>
        <v/>
      </c>
      <c r="K989" t="str">
        <f>IF(J989="","", IFERROR(VLOOKUP(J989, IF(D989="Movers", 换算标准!$C:$D, 换算标准!$I:$J), 2, TRUE), 0))</f>
        <v/>
      </c>
      <c r="T989" t="str">
        <f t="shared" si="46"/>
        <v/>
      </c>
      <c r="U989" t="str">
        <f>IF(T989="","", IFERROR(VLOOKUP(T989, IF(D989="Movers", 换算标准!$A:$B, 换算标准!$G:$H), 2, TRUE), 0))</f>
        <v/>
      </c>
      <c r="W989" t="str">
        <f t="shared" si="47"/>
        <v/>
      </c>
      <c r="Z989" s="5" t="str">
        <f>IF(J989="","", IF(K989&lt;=3, "⚠️ 薄弱环节: "&amp;INDEX($E$1:$I$1, MATCH(MIN(E989:I989), E989:I989, 0))&amp;CHAR(10)&amp;"📉 考察能力: "&amp;IFERROR(VLOOKUP(TRIM(D989)&amp;"_"&amp;TRIM(INDEX($E$1:$I$1, MATCH(MIN(E989:I989), E989:I989, 0))), 技能库!$A:$F, 5, 0),"建议查阅考纲")&amp;CHAR(10)&amp;"💡 提升建议: "&amp;IFERROR(VLOOKUP(TRIM(D989)&amp;"_"&amp;TRIM(INDEX($E$1:$I$1, MATCH(MIN(E989:I989), E989:I989, 0))), 技能库!$A:$F, 6, 0),"请针对该题型加强练习"), "🎉 表现优异，无明显弱项！"))</f>
        <v/>
      </c>
      <c r="AA989" s="5" t="str">
        <f>IF(T989="","", IF(U989&lt;=3, "⚠️ 薄弱环节: "&amp;INDEX($M$1:$S$1, MATCH(MIN(M989:S989), M989:S989, 0))&amp;CHAR(10)&amp;"📉 考察能力: "&amp;IFERROR(VLOOKUP(TRIM(D989)&amp;"_"&amp;TRIM(INDEX($M$1:$S$1, MATCH(MIN(M989:S989), M989:S989, 0))), 技能库!$A:$F, 5, 0),"建议查阅考纲")&amp;CHAR(10)&amp;"💡 提升建议: "&amp;IFERROR(VLOOKUP(TRIM(D989)&amp;"_"&amp;TRIM(INDEX($M$1:$S$1, MATCH(MIN(M989:S989), M989:S989, 0))), 技能库!$A:$F, 6, 0),"请针对该题型加强练习"), "🎉 表现优异，无明显弱项！"))</f>
        <v/>
      </c>
    </row>
    <row r="990" spans="10:27" ht="18" hidden="1" customHeight="1" x14ac:dyDescent="0.2">
      <c r="J990" t="str">
        <f t="shared" si="45"/>
        <v/>
      </c>
      <c r="K990" t="str">
        <f>IF(J990="","", IFERROR(VLOOKUP(J990, IF(D990="Movers", 换算标准!$C:$D, 换算标准!$I:$J), 2, TRUE), 0))</f>
        <v/>
      </c>
      <c r="T990" t="str">
        <f t="shared" si="46"/>
        <v/>
      </c>
      <c r="U990" t="str">
        <f>IF(T990="","", IFERROR(VLOOKUP(T990, IF(D990="Movers", 换算标准!$A:$B, 换算标准!$G:$H), 2, TRUE), 0))</f>
        <v/>
      </c>
      <c r="W990" t="str">
        <f t="shared" si="47"/>
        <v/>
      </c>
      <c r="Z990" s="5" t="str">
        <f>IF(J990="","", IF(K990&lt;=3, "⚠️ 薄弱环节: "&amp;INDEX($E$1:$I$1, MATCH(MIN(E990:I990), E990:I990, 0))&amp;CHAR(10)&amp;"📉 考察能力: "&amp;IFERROR(VLOOKUP(TRIM(D990)&amp;"_"&amp;TRIM(INDEX($E$1:$I$1, MATCH(MIN(E990:I990), E990:I990, 0))), 技能库!$A:$F, 5, 0),"建议查阅考纲")&amp;CHAR(10)&amp;"💡 提升建议: "&amp;IFERROR(VLOOKUP(TRIM(D990)&amp;"_"&amp;TRIM(INDEX($E$1:$I$1, MATCH(MIN(E990:I990), E990:I990, 0))), 技能库!$A:$F, 6, 0),"请针对该题型加强练习"), "🎉 表现优异，无明显弱项！"))</f>
        <v/>
      </c>
      <c r="AA990" s="5" t="str">
        <f>IF(T990="","", IF(U990&lt;=3, "⚠️ 薄弱环节: "&amp;INDEX($M$1:$S$1, MATCH(MIN(M990:S990), M990:S990, 0))&amp;CHAR(10)&amp;"📉 考察能力: "&amp;IFERROR(VLOOKUP(TRIM(D990)&amp;"_"&amp;TRIM(INDEX($M$1:$S$1, MATCH(MIN(M990:S990), M990:S990, 0))), 技能库!$A:$F, 5, 0),"建议查阅考纲")&amp;CHAR(10)&amp;"💡 提升建议: "&amp;IFERROR(VLOOKUP(TRIM(D990)&amp;"_"&amp;TRIM(INDEX($M$1:$S$1, MATCH(MIN(M990:S990), M990:S990, 0))), 技能库!$A:$F, 6, 0),"请针对该题型加强练习"), "🎉 表现优异，无明显弱项！"))</f>
        <v/>
      </c>
    </row>
    <row r="991" spans="10:27" ht="18" hidden="1" customHeight="1" x14ac:dyDescent="0.2">
      <c r="J991" t="str">
        <f t="shared" si="45"/>
        <v/>
      </c>
      <c r="K991" t="str">
        <f>IF(J991="","", IFERROR(VLOOKUP(J991, IF(D991="Movers", 换算标准!$C:$D, 换算标准!$I:$J), 2, TRUE), 0))</f>
        <v/>
      </c>
      <c r="T991" t="str">
        <f t="shared" si="46"/>
        <v/>
      </c>
      <c r="U991" t="str">
        <f>IF(T991="","", IFERROR(VLOOKUP(T991, IF(D991="Movers", 换算标准!$A:$B, 换算标准!$G:$H), 2, TRUE), 0))</f>
        <v/>
      </c>
      <c r="W991" t="str">
        <f t="shared" si="47"/>
        <v/>
      </c>
      <c r="Z991" s="5" t="str">
        <f>IF(J991="","", IF(K991&lt;=3, "⚠️ 薄弱环节: "&amp;INDEX($E$1:$I$1, MATCH(MIN(E991:I991), E991:I991, 0))&amp;CHAR(10)&amp;"📉 考察能力: "&amp;IFERROR(VLOOKUP(TRIM(D991)&amp;"_"&amp;TRIM(INDEX($E$1:$I$1, MATCH(MIN(E991:I991), E991:I991, 0))), 技能库!$A:$F, 5, 0),"建议查阅考纲")&amp;CHAR(10)&amp;"💡 提升建议: "&amp;IFERROR(VLOOKUP(TRIM(D991)&amp;"_"&amp;TRIM(INDEX($E$1:$I$1, MATCH(MIN(E991:I991), E991:I991, 0))), 技能库!$A:$F, 6, 0),"请针对该题型加强练习"), "🎉 表现优异，无明显弱项！"))</f>
        <v/>
      </c>
      <c r="AA991" s="5" t="str">
        <f>IF(T991="","", IF(U991&lt;=3, "⚠️ 薄弱环节: "&amp;INDEX($M$1:$S$1, MATCH(MIN(M991:S991), M991:S991, 0))&amp;CHAR(10)&amp;"📉 考察能力: "&amp;IFERROR(VLOOKUP(TRIM(D991)&amp;"_"&amp;TRIM(INDEX($M$1:$S$1, MATCH(MIN(M991:S991), M991:S991, 0))), 技能库!$A:$F, 5, 0),"建议查阅考纲")&amp;CHAR(10)&amp;"💡 提升建议: "&amp;IFERROR(VLOOKUP(TRIM(D991)&amp;"_"&amp;TRIM(INDEX($M$1:$S$1, MATCH(MIN(M991:S991), M991:S991, 0))), 技能库!$A:$F, 6, 0),"请针对该题型加强练习"), "🎉 表现优异，无明显弱项！"))</f>
        <v/>
      </c>
    </row>
    <row r="992" spans="10:27" ht="18" hidden="1" customHeight="1" x14ac:dyDescent="0.2">
      <c r="J992" t="str">
        <f t="shared" si="45"/>
        <v/>
      </c>
      <c r="K992" t="str">
        <f>IF(J992="","", IFERROR(VLOOKUP(J992, IF(D992="Movers", 换算标准!$C:$D, 换算标准!$I:$J), 2, TRUE), 0))</f>
        <v/>
      </c>
      <c r="T992" t="str">
        <f t="shared" si="46"/>
        <v/>
      </c>
      <c r="U992" t="str">
        <f>IF(T992="","", IFERROR(VLOOKUP(T992, IF(D992="Movers", 换算标准!$A:$B, 换算标准!$G:$H), 2, TRUE), 0))</f>
        <v/>
      </c>
      <c r="W992" t="str">
        <f t="shared" si="47"/>
        <v/>
      </c>
      <c r="Z992" s="5" t="str">
        <f>IF(J992="","", IF(K992&lt;=3, "⚠️ 薄弱环节: "&amp;INDEX($E$1:$I$1, MATCH(MIN(E992:I992), E992:I992, 0))&amp;CHAR(10)&amp;"📉 考察能力: "&amp;IFERROR(VLOOKUP(TRIM(D992)&amp;"_"&amp;TRIM(INDEX($E$1:$I$1, MATCH(MIN(E992:I992), E992:I992, 0))), 技能库!$A:$F, 5, 0),"建议查阅考纲")&amp;CHAR(10)&amp;"💡 提升建议: "&amp;IFERROR(VLOOKUP(TRIM(D992)&amp;"_"&amp;TRIM(INDEX($E$1:$I$1, MATCH(MIN(E992:I992), E992:I992, 0))), 技能库!$A:$F, 6, 0),"请针对该题型加强练习"), "🎉 表现优异，无明显弱项！"))</f>
        <v/>
      </c>
      <c r="AA992" s="5" t="str">
        <f>IF(T992="","", IF(U992&lt;=3, "⚠️ 薄弱环节: "&amp;INDEX($M$1:$S$1, MATCH(MIN(M992:S992), M992:S992, 0))&amp;CHAR(10)&amp;"📉 考察能力: "&amp;IFERROR(VLOOKUP(TRIM(D992)&amp;"_"&amp;TRIM(INDEX($M$1:$S$1, MATCH(MIN(M992:S992), M992:S992, 0))), 技能库!$A:$F, 5, 0),"建议查阅考纲")&amp;CHAR(10)&amp;"💡 提升建议: "&amp;IFERROR(VLOOKUP(TRIM(D992)&amp;"_"&amp;TRIM(INDEX($M$1:$S$1, MATCH(MIN(M992:S992), M992:S992, 0))), 技能库!$A:$F, 6, 0),"请针对该题型加强练习"), "🎉 表现优异，无明显弱项！"))</f>
        <v/>
      </c>
    </row>
    <row r="993" spans="1:28" ht="18" hidden="1" customHeight="1" x14ac:dyDescent="0.2">
      <c r="J993" t="str">
        <f t="shared" si="45"/>
        <v/>
      </c>
      <c r="K993" t="str">
        <f>IF(J993="","", IFERROR(VLOOKUP(J993, IF(D993="Movers", 换算标准!$C:$D, 换算标准!$I:$J), 2, TRUE), 0))</f>
        <v/>
      </c>
      <c r="T993" t="str">
        <f t="shared" si="46"/>
        <v/>
      </c>
      <c r="U993" t="str">
        <f>IF(T993="","", IFERROR(VLOOKUP(T993, IF(D993="Movers", 换算标准!$A:$B, 换算标准!$G:$H), 2, TRUE), 0))</f>
        <v/>
      </c>
      <c r="W993" t="str">
        <f t="shared" si="47"/>
        <v/>
      </c>
      <c r="Z993" s="5" t="str">
        <f>IF(J993="","", IF(K993&lt;=3, "⚠️ 薄弱环节: "&amp;INDEX($E$1:$I$1, MATCH(MIN(E993:I993), E993:I993, 0))&amp;CHAR(10)&amp;"📉 考察能力: "&amp;IFERROR(VLOOKUP(TRIM(D993)&amp;"_"&amp;TRIM(INDEX($E$1:$I$1, MATCH(MIN(E993:I993), E993:I993, 0))), 技能库!$A:$F, 5, 0),"建议查阅考纲")&amp;CHAR(10)&amp;"💡 提升建议: "&amp;IFERROR(VLOOKUP(TRIM(D993)&amp;"_"&amp;TRIM(INDEX($E$1:$I$1, MATCH(MIN(E993:I993), E993:I993, 0))), 技能库!$A:$F, 6, 0),"请针对该题型加强练习"), "🎉 表现优异，无明显弱项！"))</f>
        <v/>
      </c>
      <c r="AA993" s="5" t="str">
        <f>IF(T993="","", IF(U993&lt;=3, "⚠️ 薄弱环节: "&amp;INDEX($M$1:$S$1, MATCH(MIN(M993:S993), M993:S993, 0))&amp;CHAR(10)&amp;"📉 考察能力: "&amp;IFERROR(VLOOKUP(TRIM(D993)&amp;"_"&amp;TRIM(INDEX($M$1:$S$1, MATCH(MIN(M993:S993), M993:S993, 0))), 技能库!$A:$F, 5, 0),"建议查阅考纲")&amp;CHAR(10)&amp;"💡 提升建议: "&amp;IFERROR(VLOOKUP(TRIM(D993)&amp;"_"&amp;TRIM(INDEX($M$1:$S$1, MATCH(MIN(M993:S993), M993:S993, 0))), 技能库!$A:$F, 6, 0),"请针对该题型加强练习"), "🎉 表现优异，无明显弱项！"))</f>
        <v/>
      </c>
    </row>
    <row r="994" spans="1:28" ht="18" hidden="1" customHeight="1" x14ac:dyDescent="0.2">
      <c r="J994" t="str">
        <f t="shared" si="45"/>
        <v/>
      </c>
      <c r="K994" t="str">
        <f>IF(J994="","", IFERROR(VLOOKUP(J994, IF(D994="Movers", 换算标准!$C:$D, 换算标准!$I:$J), 2, TRUE), 0))</f>
        <v/>
      </c>
      <c r="T994" t="str">
        <f t="shared" si="46"/>
        <v/>
      </c>
      <c r="U994" t="str">
        <f>IF(T994="","", IFERROR(VLOOKUP(T994, IF(D994="Movers", 换算标准!$A:$B, 换算标准!$G:$H), 2, TRUE), 0))</f>
        <v/>
      </c>
      <c r="W994" t="str">
        <f t="shared" si="47"/>
        <v/>
      </c>
      <c r="Z994" s="5" t="str">
        <f>IF(J994="","", IF(K994&lt;=3, "⚠️ 薄弱环节: "&amp;INDEX($E$1:$I$1, MATCH(MIN(E994:I994), E994:I994, 0))&amp;CHAR(10)&amp;"📉 考察能力: "&amp;IFERROR(VLOOKUP(TRIM(D994)&amp;"_"&amp;TRIM(INDEX($E$1:$I$1, MATCH(MIN(E994:I994), E994:I994, 0))), 技能库!$A:$F, 5, 0),"建议查阅考纲")&amp;CHAR(10)&amp;"💡 提升建议: "&amp;IFERROR(VLOOKUP(TRIM(D994)&amp;"_"&amp;TRIM(INDEX($E$1:$I$1, MATCH(MIN(E994:I994), E994:I994, 0))), 技能库!$A:$F, 6, 0),"请针对该题型加强练习"), "🎉 表现优异，无明显弱项！"))</f>
        <v/>
      </c>
      <c r="AA994" s="5" t="str">
        <f>IF(T994="","", IF(U994&lt;=3, "⚠️ 薄弱环节: "&amp;INDEX($M$1:$S$1, MATCH(MIN(M994:S994), M994:S994, 0))&amp;CHAR(10)&amp;"📉 考察能力: "&amp;IFERROR(VLOOKUP(TRIM(D994)&amp;"_"&amp;TRIM(INDEX($M$1:$S$1, MATCH(MIN(M994:S994), M994:S994, 0))), 技能库!$A:$F, 5, 0),"建议查阅考纲")&amp;CHAR(10)&amp;"💡 提升建议: "&amp;IFERROR(VLOOKUP(TRIM(D994)&amp;"_"&amp;TRIM(INDEX($M$1:$S$1, MATCH(MIN(M994:S994), M994:S994, 0))), 技能库!$A:$F, 6, 0),"请针对该题型加强练习"), "🎉 表现优异，无明显弱项！"))</f>
        <v/>
      </c>
    </row>
    <row r="995" spans="1:28" ht="18" hidden="1" customHeight="1" x14ac:dyDescent="0.2">
      <c r="J995" t="str">
        <f t="shared" si="45"/>
        <v/>
      </c>
      <c r="K995" t="str">
        <f>IF(J995="","", IFERROR(VLOOKUP(J995, IF(D995="Movers", 换算标准!$C:$D, 换算标准!$I:$J), 2, TRUE), 0))</f>
        <v/>
      </c>
      <c r="T995" t="str">
        <f t="shared" si="46"/>
        <v/>
      </c>
      <c r="U995" t="str">
        <f>IF(T995="","", IFERROR(VLOOKUP(T995, IF(D995="Movers", 换算标准!$A:$B, 换算标准!$G:$H), 2, TRUE), 0))</f>
        <v/>
      </c>
      <c r="W995" t="str">
        <f t="shared" si="47"/>
        <v/>
      </c>
      <c r="Z995" s="5" t="str">
        <f>IF(J995="","", IF(K995&lt;=3, "⚠️ 薄弱环节: "&amp;INDEX($E$1:$I$1, MATCH(MIN(E995:I995), E995:I995, 0))&amp;CHAR(10)&amp;"📉 考察能力: "&amp;IFERROR(VLOOKUP(TRIM(D995)&amp;"_"&amp;TRIM(INDEX($E$1:$I$1, MATCH(MIN(E995:I995), E995:I995, 0))), 技能库!$A:$F, 5, 0),"建议查阅考纲")&amp;CHAR(10)&amp;"💡 提升建议: "&amp;IFERROR(VLOOKUP(TRIM(D995)&amp;"_"&amp;TRIM(INDEX($E$1:$I$1, MATCH(MIN(E995:I995), E995:I995, 0))), 技能库!$A:$F, 6, 0),"请针对该题型加强练习"), "🎉 表现优异，无明显弱项！"))</f>
        <v/>
      </c>
      <c r="AA995" s="5" t="str">
        <f>IF(T995="","", IF(U995&lt;=3, "⚠️ 薄弱环节: "&amp;INDEX($M$1:$S$1, MATCH(MIN(M995:S995), M995:S995, 0))&amp;CHAR(10)&amp;"📉 考察能力: "&amp;IFERROR(VLOOKUP(TRIM(D995)&amp;"_"&amp;TRIM(INDEX($M$1:$S$1, MATCH(MIN(M995:S995), M995:S995, 0))), 技能库!$A:$F, 5, 0),"建议查阅考纲")&amp;CHAR(10)&amp;"💡 提升建议: "&amp;IFERROR(VLOOKUP(TRIM(D995)&amp;"_"&amp;TRIM(INDEX($M$1:$S$1, MATCH(MIN(M995:S995), M995:S995, 0))), 技能库!$A:$F, 6, 0),"请针对该题型加强练习"), "🎉 表现优异，无明显弱项！"))</f>
        <v/>
      </c>
    </row>
    <row r="996" spans="1:28" ht="18" hidden="1" customHeight="1" x14ac:dyDescent="0.2">
      <c r="J996" t="str">
        <f t="shared" si="45"/>
        <v/>
      </c>
      <c r="K996" t="str">
        <f>IF(J996="","", IFERROR(VLOOKUP(J996, IF(D996="Movers", 换算标准!$C:$D, 换算标准!$I:$J), 2, TRUE), 0))</f>
        <v/>
      </c>
      <c r="T996" t="str">
        <f t="shared" si="46"/>
        <v/>
      </c>
      <c r="U996" t="str">
        <f>IF(T996="","", IFERROR(VLOOKUP(T996, IF(D996="Movers", 换算标准!$A:$B, 换算标准!$G:$H), 2, TRUE), 0))</f>
        <v/>
      </c>
      <c r="W996" t="str">
        <f t="shared" si="47"/>
        <v/>
      </c>
      <c r="Z996" s="5" t="str">
        <f>IF(J996="","", IF(K996&lt;=3, "⚠️ 薄弱环节: "&amp;INDEX($E$1:$I$1, MATCH(MIN(E996:I996), E996:I996, 0))&amp;CHAR(10)&amp;"📉 考察能力: "&amp;IFERROR(VLOOKUP(TRIM(D996)&amp;"_"&amp;TRIM(INDEX($E$1:$I$1, MATCH(MIN(E996:I996), E996:I996, 0))), 技能库!$A:$F, 5, 0),"建议查阅考纲")&amp;CHAR(10)&amp;"💡 提升建议: "&amp;IFERROR(VLOOKUP(TRIM(D996)&amp;"_"&amp;TRIM(INDEX($E$1:$I$1, MATCH(MIN(E996:I996), E996:I996, 0))), 技能库!$A:$F, 6, 0),"请针对该题型加强练习"), "🎉 表现优异，无明显弱项！"))</f>
        <v/>
      </c>
      <c r="AA996" s="5" t="str">
        <f>IF(T996="","", IF(U996&lt;=3, "⚠️ 薄弱环节: "&amp;INDEX($M$1:$S$1, MATCH(MIN(M996:S996), M996:S996, 0))&amp;CHAR(10)&amp;"📉 考察能力: "&amp;IFERROR(VLOOKUP(TRIM(D996)&amp;"_"&amp;TRIM(INDEX($M$1:$S$1, MATCH(MIN(M996:S996), M996:S996, 0))), 技能库!$A:$F, 5, 0),"建议查阅考纲")&amp;CHAR(10)&amp;"💡 提升建议: "&amp;IFERROR(VLOOKUP(TRIM(D996)&amp;"_"&amp;TRIM(INDEX($M$1:$S$1, MATCH(MIN(M996:S996), M996:S996, 0))), 技能库!$A:$F, 6, 0),"请针对该题型加强练习"), "🎉 表现优异，无明显弱项！"))</f>
        <v/>
      </c>
    </row>
    <row r="997" spans="1:28" ht="18" hidden="1" customHeight="1" x14ac:dyDescent="0.2">
      <c r="J997" t="str">
        <f t="shared" si="45"/>
        <v/>
      </c>
      <c r="K997" t="str">
        <f>IF(J997="","", IFERROR(VLOOKUP(J997, IF(D997="Movers", 换算标准!$C:$D, 换算标准!$I:$J), 2, TRUE), 0))</f>
        <v/>
      </c>
      <c r="T997" t="str">
        <f t="shared" si="46"/>
        <v/>
      </c>
      <c r="U997" t="str">
        <f>IF(T997="","", IFERROR(VLOOKUP(T997, IF(D997="Movers", 换算标准!$A:$B, 换算标准!$G:$H), 2, TRUE), 0))</f>
        <v/>
      </c>
      <c r="W997" t="str">
        <f t="shared" si="47"/>
        <v/>
      </c>
      <c r="Z997" s="5" t="str">
        <f>IF(J997="","", IF(K997&lt;=3, "⚠️ 薄弱环节: "&amp;INDEX($E$1:$I$1, MATCH(MIN(E997:I997), E997:I997, 0))&amp;CHAR(10)&amp;"📉 考察能力: "&amp;IFERROR(VLOOKUP(TRIM(D997)&amp;"_"&amp;TRIM(INDEX($E$1:$I$1, MATCH(MIN(E997:I997), E997:I997, 0))), 技能库!$A:$F, 5, 0),"建议查阅考纲")&amp;CHAR(10)&amp;"💡 提升建议: "&amp;IFERROR(VLOOKUP(TRIM(D997)&amp;"_"&amp;TRIM(INDEX($E$1:$I$1, MATCH(MIN(E997:I997), E997:I997, 0))), 技能库!$A:$F, 6, 0),"请针对该题型加强练习"), "🎉 表现优异，无明显弱项！"))</f>
        <v/>
      </c>
      <c r="AA997" s="5" t="str">
        <f>IF(T997="","", IF(U997&lt;=3, "⚠️ 薄弱环节: "&amp;INDEX($M$1:$S$1, MATCH(MIN(M997:S997), M997:S997, 0))&amp;CHAR(10)&amp;"📉 考察能力: "&amp;IFERROR(VLOOKUP(TRIM(D997)&amp;"_"&amp;TRIM(INDEX($M$1:$S$1, MATCH(MIN(M997:S997), M997:S997, 0))), 技能库!$A:$F, 5, 0),"建议查阅考纲")&amp;CHAR(10)&amp;"💡 提升建议: "&amp;IFERROR(VLOOKUP(TRIM(D997)&amp;"_"&amp;TRIM(INDEX($M$1:$S$1, MATCH(MIN(M997:S997), M997:S997, 0))), 技能库!$A:$F, 6, 0),"请针对该题型加强练习"), "🎉 表现优异，无明显弱项！"))</f>
        <v/>
      </c>
    </row>
    <row r="998" spans="1:28" ht="18" hidden="1" customHeight="1" x14ac:dyDescent="0.2">
      <c r="J998" t="str">
        <f t="shared" si="45"/>
        <v/>
      </c>
      <c r="K998" t="str">
        <f>IF(J998="","", IFERROR(VLOOKUP(J998, IF(D998="Movers", 换算标准!$C:$D, 换算标准!$I:$J), 2, TRUE), 0))</f>
        <v/>
      </c>
      <c r="T998" t="str">
        <f t="shared" si="46"/>
        <v/>
      </c>
      <c r="U998" t="str">
        <f>IF(T998="","", IFERROR(VLOOKUP(T998, IF(D998="Movers", 换算标准!$A:$B, 换算标准!$G:$H), 2, TRUE), 0))</f>
        <v/>
      </c>
      <c r="W998" t="str">
        <f t="shared" si="47"/>
        <v/>
      </c>
      <c r="Z998" s="5" t="str">
        <f>IF(J998="","", IF(K998&lt;=3, "⚠️ 薄弱环节: "&amp;INDEX($E$1:$I$1, MATCH(MIN(E998:I998), E998:I998, 0))&amp;CHAR(10)&amp;"📉 考察能力: "&amp;IFERROR(VLOOKUP(TRIM(D998)&amp;"_"&amp;TRIM(INDEX($E$1:$I$1, MATCH(MIN(E998:I998), E998:I998, 0))), 技能库!$A:$F, 5, 0),"建议查阅考纲")&amp;CHAR(10)&amp;"💡 提升建议: "&amp;IFERROR(VLOOKUP(TRIM(D998)&amp;"_"&amp;TRIM(INDEX($E$1:$I$1, MATCH(MIN(E998:I998), E998:I998, 0))), 技能库!$A:$F, 6, 0),"请针对该题型加强练习"), "🎉 表现优异，无明显弱项！"))</f>
        <v/>
      </c>
      <c r="AA998" s="5" t="str">
        <f>IF(T998="","", IF(U998&lt;=3, "⚠️ 薄弱环节: "&amp;INDEX($M$1:$S$1, MATCH(MIN(M998:S998), M998:S998, 0))&amp;CHAR(10)&amp;"📉 考察能力: "&amp;IFERROR(VLOOKUP(TRIM(D998)&amp;"_"&amp;TRIM(INDEX($M$1:$S$1, MATCH(MIN(M998:S998), M998:S998, 0))), 技能库!$A:$F, 5, 0),"建议查阅考纲")&amp;CHAR(10)&amp;"💡 提升建议: "&amp;IFERROR(VLOOKUP(TRIM(D998)&amp;"_"&amp;TRIM(INDEX($M$1:$S$1, MATCH(MIN(M998:S998), M998:S998, 0))), 技能库!$A:$F, 6, 0),"请针对该题型加强练习"), "🎉 表现优异，无明显弱项！"))</f>
        <v/>
      </c>
    </row>
    <row r="999" spans="1:28" ht="18" hidden="1" customHeight="1" x14ac:dyDescent="0.2">
      <c r="J999" t="str">
        <f t="shared" si="45"/>
        <v/>
      </c>
      <c r="K999" t="str">
        <f>IF(J999="","", IFERROR(VLOOKUP(J999, IF(D999="Movers", 换算标准!$C:$D, 换算标准!$I:$J), 2, TRUE), 0))</f>
        <v/>
      </c>
      <c r="T999" t="str">
        <f t="shared" si="46"/>
        <v/>
      </c>
      <c r="U999" t="str">
        <f>IF(T999="","", IFERROR(VLOOKUP(T999, IF(D999="Movers", 换算标准!$A:$B, 换算标准!$G:$H), 2, TRUE), 0))</f>
        <v/>
      </c>
      <c r="W999" t="str">
        <f t="shared" si="47"/>
        <v/>
      </c>
      <c r="Z999" s="5" t="str">
        <f>IF(J999="","", IF(K999&lt;=3, "⚠️ 薄弱环节: "&amp;INDEX($E$1:$I$1, MATCH(MIN(E999:I999), E999:I999, 0))&amp;CHAR(10)&amp;"📉 考察能力: "&amp;IFERROR(VLOOKUP(TRIM(D999)&amp;"_"&amp;TRIM(INDEX($E$1:$I$1, MATCH(MIN(E999:I999), E999:I999, 0))), 技能库!$A:$F, 5, 0),"建议查阅考纲")&amp;CHAR(10)&amp;"💡 提升建议: "&amp;IFERROR(VLOOKUP(TRIM(D999)&amp;"_"&amp;TRIM(INDEX($E$1:$I$1, MATCH(MIN(E999:I999), E999:I999, 0))), 技能库!$A:$F, 6, 0),"请针对该题型加强练习"), "🎉 表现优异，无明显弱项！"))</f>
        <v/>
      </c>
      <c r="AA999" s="5" t="str">
        <f>IF(T999="","", IF(U999&lt;=3, "⚠️ 薄弱环节: "&amp;INDEX($M$1:$S$1, MATCH(MIN(M999:S999), M999:S999, 0))&amp;CHAR(10)&amp;"📉 考察能力: "&amp;IFERROR(VLOOKUP(TRIM(D999)&amp;"_"&amp;TRIM(INDEX($M$1:$S$1, MATCH(MIN(M999:S999), M999:S999, 0))), 技能库!$A:$F, 5, 0),"建议查阅考纲")&amp;CHAR(10)&amp;"💡 提升建议: "&amp;IFERROR(VLOOKUP(TRIM(D999)&amp;"_"&amp;TRIM(INDEX($M$1:$S$1, MATCH(MIN(M999:S999), M999:S999, 0))), 技能库!$A:$F, 6, 0),"请针对该题型加强练习"), "🎉 表现优异，无明显弱项！"))</f>
        <v/>
      </c>
    </row>
    <row r="1000" spans="1:28" ht="18" hidden="1" customHeight="1" x14ac:dyDescent="0.2">
      <c r="J1000" t="str">
        <f t="shared" si="45"/>
        <v/>
      </c>
      <c r="K1000" t="str">
        <f>IF(J1000="","", IFERROR(VLOOKUP(J1000, IF(D1000="Movers", 换算标准!$C:$D, 换算标准!$I:$J), 2, TRUE), 0))</f>
        <v/>
      </c>
      <c r="T1000" t="str">
        <f t="shared" si="46"/>
        <v/>
      </c>
      <c r="U1000" t="str">
        <f>IF(T1000="","", IFERROR(VLOOKUP(T1000, IF(D1000="Movers", 换算标准!$A:$B, 换算标准!$G:$H), 2, TRUE), 0))</f>
        <v/>
      </c>
      <c r="W1000" t="str">
        <f t="shared" si="47"/>
        <v/>
      </c>
      <c r="Z1000" s="5" t="str">
        <f>IF(J1000="","", IF(K1000&lt;=3, "⚠️ 薄弱环节: "&amp;INDEX($E$1:$I$1, MATCH(MIN(E1000:I1000), E1000:I1000, 0))&amp;CHAR(10)&amp;"📉 考察能力: "&amp;IFERROR(VLOOKUP(TRIM(D1000)&amp;"_"&amp;TRIM(INDEX($E$1:$I$1, MATCH(MIN(E1000:I1000), E1000:I1000, 0))), 技能库!$A:$F, 5, 0),"建议查阅考纲")&amp;CHAR(10)&amp;"💡 提升建议: "&amp;IFERROR(VLOOKUP(TRIM(D1000)&amp;"_"&amp;TRIM(INDEX($E$1:$I$1, MATCH(MIN(E1000:I1000), E1000:I1000, 0))), 技能库!$A:$F, 6, 0),"请针对该题型加强练习"), "🎉 表现优异，无明显弱项！"))</f>
        <v/>
      </c>
      <c r="AA1000" s="5" t="str">
        <f>IF(T1000="","", IF(U1000&lt;=3, "⚠️ 薄弱环节: "&amp;INDEX($M$1:$S$1, MATCH(MIN(M1000:S1000), M1000:S1000, 0))&amp;CHAR(10)&amp;"📉 考察能力: "&amp;IFERROR(VLOOKUP(TRIM(D1000)&amp;"_"&amp;TRIM(INDEX($M$1:$S$1, MATCH(MIN(M1000:S1000), M1000:S1000, 0))), 技能库!$A:$F, 5, 0),"建议查阅考纲")&amp;CHAR(10)&amp;"💡 提升建议: "&amp;IFERROR(VLOOKUP(TRIM(D1000)&amp;"_"&amp;TRIM(INDEX($M$1:$S$1, MATCH(MIN(M1000:S1000), M1000:S1000, 0))), 技能库!$A:$F, 6, 0),"请针对该题型加强练习"), "🎉 表现优异，无明显弱项！"))</f>
        <v/>
      </c>
    </row>
    <row r="1001" spans="1:28" ht="18" customHeight="1" x14ac:dyDescent="0.2">
      <c r="J1001" t="str">
        <f t="shared" si="45"/>
        <v/>
      </c>
      <c r="K1001" t="str">
        <f>IF(J1001="","", IFERROR(VLOOKUP(J1001, IF(D1001="Movers", 换算标准!$C:$D, 换算标准!$I:$J), 2, TRUE), 0))</f>
        <v/>
      </c>
      <c r="T1001" t="str">
        <f t="shared" si="46"/>
        <v/>
      </c>
      <c r="U1001" t="str">
        <f>IF(T1001="","", IFERROR(VLOOKUP(T1001, IF(D1001="Movers", 换算标准!$A:$B, 换算标准!$G:$H), 2, TRUE), 0))</f>
        <v/>
      </c>
      <c r="Z1001" s="5" t="str">
        <f>IF(J1001="","", IF(K1001&lt;=3, "⚠️ 薄弱环节: "&amp;INDEX($E$1:$I$1, MATCH(MIN(E1001:I1001), E1001:I1001, 0))&amp;CHAR(10)&amp;"📉 考察能力: "&amp;IFERROR(VLOOKUP(TRIM(D1001)&amp;"_"&amp;TRIM(INDEX($E$1:$I$1, MATCH(MIN(E1001:I1001), E1001:I1001, 0))), 技能库!$A:$F, 5, 0),"建议查阅考纲")&amp;CHAR(10)&amp;"💡 提升建议: "&amp;IFERROR(VLOOKUP(TRIM(D1001)&amp;"_"&amp;TRIM(INDEX($E$1:$I$1, MATCH(MIN(E1001:I1001), E1001:I1001, 0))), 技能库!$A:$F, 6, 0),"请针对该题型加强练习"), "🎉 表现优异，无明显弱项！"))</f>
        <v/>
      </c>
      <c r="AA1001" s="5" t="str">
        <f>IF(T1001="","", IF(U1001&lt;=3, "⚠️ 薄弱环节: "&amp;INDEX($M$1:$S$1, MATCH(MIN(M1001:S1001), M1001:S1001, 0))&amp;CHAR(10)&amp;"📉 考察能力: "&amp;IFERROR(VLOOKUP(TRIM(D1001)&amp;"_"&amp;TRIM(INDEX($M$1:$S$1, MATCH(MIN(M1001:S1001), M1001:S1001, 0))), 技能库!$A:$F, 5, 0),"建议查阅考纲")&amp;CHAR(10)&amp;"💡 提升建议: "&amp;IFERROR(VLOOKUP(TRIM(D1001)&amp;"_"&amp;TRIM(INDEX($M$1:$S$1, MATCH(MIN(M1001:S1001), M1001:S1001, 0))), 技能库!$A:$F, 6, 0),"请针对该题型加强练习"), "🎉 表现优异，无明显弱项！"))</f>
        <v/>
      </c>
    </row>
    <row r="1002" spans="1:28" ht="18" customHeight="1" x14ac:dyDescent="0.2">
      <c r="J1002" t="str">
        <f t="shared" si="45"/>
        <v/>
      </c>
      <c r="K1002" t="str">
        <f>IF(J1002="","", IFERROR(VLOOKUP(J1002, IF(D1002="Movers", 换算标准!$C:$D, 换算标准!$I:$J), 2, TRUE), 0))</f>
        <v/>
      </c>
      <c r="T1002" t="str">
        <f t="shared" si="46"/>
        <v/>
      </c>
      <c r="U1002" t="str">
        <f>IF(T1002="","", IFERROR(VLOOKUP(T1002, IF(D1002="Movers", 换算标准!$A:$B, 换算标准!$G:$H), 2, TRUE), 0))</f>
        <v/>
      </c>
      <c r="Z1002" s="5" t="str">
        <f>IF(J1002="","", IF(K1002&lt;=3, "⚠️ 薄弱环节: "&amp;INDEX($E$1:$I$1, MATCH(MIN(E1002:I1002), E1002:I1002, 0))&amp;CHAR(10)&amp;"📉 考察能力: "&amp;IFERROR(VLOOKUP(TRIM(D1002)&amp;"_"&amp;TRIM(INDEX($E$1:$I$1, MATCH(MIN(E1002:I1002), E1002:I1002, 0))), 技能库!$A:$F, 5, 0),"建议查阅考纲")&amp;CHAR(10)&amp;"💡 提升建议: "&amp;IFERROR(VLOOKUP(TRIM(D1002)&amp;"_"&amp;TRIM(INDEX($E$1:$I$1, MATCH(MIN(E1002:I1002), E1002:I1002, 0))), 技能库!$A:$F, 6, 0),"请针对该题型加强练习"), "🎉 表现优异，无明显弱项！"))</f>
        <v/>
      </c>
      <c r="AA1002" s="5" t="str">
        <f>IF(T1002="","", IF(U1002&lt;=3, "⚠️ 薄弱环节: "&amp;INDEX($M$1:$S$1, MATCH(MIN(M1002:S1002), M1002:S1002, 0))&amp;CHAR(10)&amp;"📉 考察能力: "&amp;IFERROR(VLOOKUP(TRIM(D1002)&amp;"_"&amp;TRIM(INDEX($M$1:$S$1, MATCH(MIN(M1002:S1002), M1002:S1002, 0))), 技能库!$A:$F, 5, 0),"建议查阅考纲")&amp;CHAR(10)&amp;"💡 提升建议: "&amp;IFERROR(VLOOKUP(TRIM(D1002)&amp;"_"&amp;TRIM(INDEX($M$1:$S$1, MATCH(MIN(M1002:S1002), M1002:S1002, 0))), 技能库!$A:$F, 6, 0),"请针对该题型加强练习"), "🎉 表现优异，无明显弱项！"))</f>
        <v/>
      </c>
    </row>
    <row r="1003" spans="1:28" ht="18" customHeight="1" x14ac:dyDescent="0.2">
      <c r="A1003">
        <v>307</v>
      </c>
      <c r="B1003" t="s">
        <v>317</v>
      </c>
      <c r="C1003" t="s">
        <v>365</v>
      </c>
      <c r="D1003" t="s">
        <v>135</v>
      </c>
      <c r="E1003">
        <v>5</v>
      </c>
      <c r="F1003">
        <v>0</v>
      </c>
      <c r="G1003">
        <v>4</v>
      </c>
      <c r="H1003">
        <v>5</v>
      </c>
      <c r="I1003">
        <v>3</v>
      </c>
      <c r="J1003">
        <f t="shared" si="45"/>
        <v>17</v>
      </c>
      <c r="K1003">
        <f>IF(J1003="","", IFERROR(VLOOKUP(J1003, IF(D1003="Movers", 换算标准!$C:$D, 换算标准!$I:$J), 2, TRUE), 0))</f>
        <v>3</v>
      </c>
      <c r="M1003">
        <v>8</v>
      </c>
      <c r="N1003">
        <v>2</v>
      </c>
      <c r="O1003">
        <v>5</v>
      </c>
      <c r="P1003">
        <v>5</v>
      </c>
      <c r="Q1003">
        <v>6</v>
      </c>
      <c r="R1003">
        <v>3</v>
      </c>
      <c r="S1003">
        <v>3</v>
      </c>
      <c r="T1003">
        <f t="shared" si="46"/>
        <v>32</v>
      </c>
      <c r="U1003">
        <f>IF(T1003="","", IFERROR(VLOOKUP(T1003, IF(D1003="Movers", 换算标准!$A:$B, 换算标准!$G:$H), 2, TRUE), 0))</f>
        <v>3</v>
      </c>
      <c r="Z1003" s="5" t="str">
        <f>IF(J1003="","", IF(K1003&lt;=3, "⚠️ 薄弱环节: "&amp;INDEX($E$1:$I$1, MATCH(MIN(E1003:I1003), E1003:I1003, 0))&amp;CHAR(10)&amp;"📉 考察能力: "&amp;IFERROR(VLOOKUP(TRIM(D1003)&amp;"_"&amp;TRIM(INDEX($E$1:$I$1, MATCH(MIN(E1003:I1003), E1003:I1003, 0))), 技能库!$A:$F, 5, 0),"建议查阅考纲")&amp;CHAR(10)&amp;"💡 提升建议: "&amp;IFERROR(VLOOKUP(TRIM(D1003)&amp;"_"&amp;TRIM(INDEX($E$1:$I$1, MATCH(MIN(E1003:I1003), E1003:I1003, 0))), 技能库!$A:$F, 6, 0),"请针对该题型加强练习"), "🎉 表现优异，无明显弱项！"))</f>
        <v>⚠️ 薄弱环节: L-Pt2
📉 考察能力: [听力] 听取细节并填空
💡 提升建议: 信息量增加，注意快速书写，拼写必须准确。</v>
      </c>
      <c r="AA1003" s="5" t="str">
        <f>IF(T1003="","", IF(U1003&lt;=3, "⚠️ 薄弱环节: "&amp;INDEX($M$1:$S$1, MATCH(MIN(M1003:S1003), M1003:S1003, 0))&amp;CHAR(10)&amp;"📉 考察能力: "&amp;IFERROR(VLOOKUP(TRIM(D1003)&amp;"_"&amp;TRIM(INDEX($M$1:$S$1, MATCH(MIN(M1003:S1003), M1003:S1003, 0))), 技能库!$A:$F, 5, 0),"建议查阅考纲")&amp;CHAR(10)&amp;"💡 提升建议: "&amp;IFERROR(VLOOKUP(TRIM(D1003)&amp;"_"&amp;TRIM(INDEX($M$1:$S$1, MATCH(MIN(M1003:S1003), M1003:S1003, 0))), 技能库!$A:$F, 6, 0),"请针对该题型加强练习"), "🎉 表现优异，无明显弱项！"))</f>
        <v>⚠️ 薄弱环节: RW-Pt2
📉 考察能力: [读写] 补全对话
💡 提升建议: 逻辑性增强，需根据前言后语推断缺失的句子。</v>
      </c>
      <c r="AB1003" s="6">
        <v>46126</v>
      </c>
    </row>
    <row r="1004" spans="1:28" ht="18" customHeight="1" x14ac:dyDescent="0.2">
      <c r="J1004" t="str">
        <f t="shared" si="45"/>
        <v/>
      </c>
      <c r="K1004" t="str">
        <f>IF(J1004="","", IFERROR(VLOOKUP(J1004, IF(D1004="Movers", 换算标准!$C:$D, 换算标准!$I:$J), 2, TRUE), 0))</f>
        <v/>
      </c>
      <c r="T1004" t="str">
        <f t="shared" si="46"/>
        <v/>
      </c>
      <c r="U1004" t="str">
        <f>IF(T1004="","", IFERROR(VLOOKUP(T1004, IF(D1004="Movers", 换算标准!$A:$B, 换算标准!$G:$H), 2, TRUE), 0))</f>
        <v/>
      </c>
      <c r="Z1004" s="5" t="str">
        <f>IF(J1004="","", IF(K1004&lt;=3, "⚠️ 薄弱环节: "&amp;INDEX($E$1:$I$1, MATCH(MIN(E1004:I1004), E1004:I1004, 0))&amp;CHAR(10)&amp;"📉 考察能力: "&amp;IFERROR(VLOOKUP(TRIM(D1004)&amp;"_"&amp;TRIM(INDEX($E$1:$I$1, MATCH(MIN(E1004:I1004), E1004:I1004, 0))), 技能库!$A:$F, 5, 0),"建议查阅考纲")&amp;CHAR(10)&amp;"💡 提升建议: "&amp;IFERROR(VLOOKUP(TRIM(D1004)&amp;"_"&amp;TRIM(INDEX($E$1:$I$1, MATCH(MIN(E1004:I1004), E1004:I1004, 0))), 技能库!$A:$F, 6, 0),"请针对该题型加强练习"), "🎉 表现优异，无明显弱项！"))</f>
        <v/>
      </c>
      <c r="AA1004" s="5" t="str">
        <f>IF(T1004="","", IF(U1004&lt;=3, "⚠️ 薄弱环节: "&amp;INDEX($M$1:$S$1, MATCH(MIN(M1004:S1004), M1004:S1004, 0))&amp;CHAR(10)&amp;"📉 考察能力: "&amp;IFERROR(VLOOKUP(TRIM(D1004)&amp;"_"&amp;TRIM(INDEX($M$1:$S$1, MATCH(MIN(M1004:S1004), M1004:S1004, 0))), 技能库!$A:$F, 5, 0),"建议查阅考纲")&amp;CHAR(10)&amp;"💡 提升建议: "&amp;IFERROR(VLOOKUP(TRIM(D1004)&amp;"_"&amp;TRIM(INDEX($M$1:$S$1, MATCH(MIN(M1004:S1004), M1004:S1004, 0))), 技能库!$A:$F, 6, 0),"请针对该题型加强练习"), "🎉 表现优异，无明显弱项！"))</f>
        <v/>
      </c>
    </row>
    <row r="1005" spans="1:28" ht="18" customHeight="1" x14ac:dyDescent="0.2">
      <c r="J1005" t="str">
        <f t="shared" si="45"/>
        <v/>
      </c>
      <c r="K1005" t="str">
        <f>IF(J1005="","", IFERROR(VLOOKUP(J1005, IF(D1005="Movers", 换算标准!$C:$D, 换算标准!$I:$J), 2, TRUE), 0))</f>
        <v/>
      </c>
      <c r="T1005" t="str">
        <f t="shared" si="46"/>
        <v/>
      </c>
      <c r="U1005" t="str">
        <f>IF(T1005="","", IFERROR(VLOOKUP(T1005, IF(D1005="Movers", 换算标准!$A:$B, 换算标准!$G:$H), 2, TRUE), 0))</f>
        <v/>
      </c>
      <c r="Z1005" s="5" t="str">
        <f>IF(J1005="","", IF(K1005&lt;=3, "⚠️ 薄弱环节: "&amp;INDEX($E$1:$I$1, MATCH(MIN(E1005:I1005), E1005:I1005, 0))&amp;CHAR(10)&amp;"📉 考察能力: "&amp;IFERROR(VLOOKUP(TRIM(D1005)&amp;"_"&amp;TRIM(INDEX($E$1:$I$1, MATCH(MIN(E1005:I1005), E1005:I1005, 0))), 技能库!$A:$F, 5, 0),"建议查阅考纲")&amp;CHAR(10)&amp;"💡 提升建议: "&amp;IFERROR(VLOOKUP(TRIM(D1005)&amp;"_"&amp;TRIM(INDEX($E$1:$I$1, MATCH(MIN(E1005:I1005), E1005:I1005, 0))), 技能库!$A:$F, 6, 0),"请针对该题型加强练习"), "🎉 表现优异，无明显弱项！"))</f>
        <v/>
      </c>
      <c r="AA1005" s="5" t="str">
        <f>IF(T1005="","", IF(U1005&lt;=3, "⚠️ 薄弱环节: "&amp;INDEX($M$1:$S$1, MATCH(MIN(M1005:S1005), M1005:S1005, 0))&amp;CHAR(10)&amp;"📉 考察能力: "&amp;IFERROR(VLOOKUP(TRIM(D1005)&amp;"_"&amp;TRIM(INDEX($M$1:$S$1, MATCH(MIN(M1005:S1005), M1005:S1005, 0))), 技能库!$A:$F, 5, 0),"建议查阅考纲")&amp;CHAR(10)&amp;"💡 提升建议: "&amp;IFERROR(VLOOKUP(TRIM(D1005)&amp;"_"&amp;TRIM(INDEX($M$1:$S$1, MATCH(MIN(M1005:S1005), M1005:S1005, 0))), 技能库!$A:$F, 6, 0),"请针对该题型加强练习"), "🎉 表现优异，无明显弱项！"))</f>
        <v/>
      </c>
    </row>
    <row r="1006" spans="1:28" ht="18" customHeight="1" x14ac:dyDescent="0.2">
      <c r="A1006">
        <v>301</v>
      </c>
      <c r="B1006" t="s">
        <v>384</v>
      </c>
      <c r="C1006" t="s">
        <v>387</v>
      </c>
      <c r="D1006" t="s">
        <v>86</v>
      </c>
      <c r="E1006">
        <v>4</v>
      </c>
      <c r="F1006">
        <v>4</v>
      </c>
      <c r="G1006">
        <v>4</v>
      </c>
      <c r="H1006">
        <v>2</v>
      </c>
      <c r="I1006">
        <v>2</v>
      </c>
      <c r="J1006">
        <f t="shared" si="45"/>
        <v>16</v>
      </c>
      <c r="K1006">
        <f>IF(J1006="","", IFERROR(VLOOKUP(J1006, IF(D1006="Movers", 换算标准!$C:$D, 换算标准!$I:$J), 2, TRUE), 0))</f>
        <v>3</v>
      </c>
      <c r="M1006">
        <v>2</v>
      </c>
      <c r="N1006">
        <v>2</v>
      </c>
      <c r="O1006">
        <v>5</v>
      </c>
      <c r="P1006">
        <v>2</v>
      </c>
      <c r="Q1006">
        <v>0</v>
      </c>
      <c r="R1006">
        <v>0</v>
      </c>
      <c r="T1006">
        <f t="shared" si="46"/>
        <v>11</v>
      </c>
      <c r="U1006">
        <f>IF(T1006="","", IFERROR(VLOOKUP(T1006, IF(D1006="Movers", 换算标准!$A:$B, 换算标准!$G:$H), 2, TRUE), 0))</f>
        <v>1</v>
      </c>
      <c r="Z1006" s="5" t="str">
        <f>IF(J1006="","", IF(K1006&lt;=3, "⚠️ 薄弱环节: "&amp;INDEX($E$1:$I$1, MATCH(MIN(E1006:I1006), E1006:I1006, 0))&amp;CHAR(10)&amp;"📉 考察能力: "&amp;IFERROR(VLOOKUP(TRIM(D1006)&amp;"_"&amp;TRIM(INDEX($E$1:$I$1, MATCH(MIN(E1006:I1006), E1006:I1006, 0))), 技能库!$A:$F, 5, 0),"建议查阅考纲")&amp;CHAR(10)&amp;"💡 提升建议: "&amp;IFERROR(VLOOKUP(TRIM(D1006)&amp;"_"&amp;TRIM(INDEX($E$1:$I$1, MATCH(MIN(E1006:I1006), E1006:I1006, 0))), 技能库!$A:$F, 6, 0),"请针对该题型加强练习"), "🎉 表现优异，无明显弱项！"))</f>
        <v>⚠️ 薄弱环节: L-Pt4
📉 考察能力: [听力] 听取细节 (选择题)
💡 提升建议: 每个小题都是一个小故事，注意听转折词 (but, no)。</v>
      </c>
      <c r="AA1006" s="5" t="str">
        <f>IF(T1006="","", IF(U1006&lt;=3, "⚠️ 薄弱环节: "&amp;INDEX($M$1:$S$1, MATCH(MIN(M1006:S1006), M1006:S1006, 0))&amp;CHAR(10)&amp;"📉 考察能力: "&amp;IFERROR(VLOOKUP(TRIM(D1006)&amp;"_"&amp;TRIM(INDEX($M$1:$S$1, MATCH(MIN(M1006:S1006), M1006:S1006, 0))), 技能库!$A:$F, 5, 0),"建议查阅考纲")&amp;CHAR(10)&amp;"💡 提升建议: "&amp;IFERROR(VLOOKUP(TRIM(D1006)&amp;"_"&amp;TRIM(INDEX($M$1:$S$1, MATCH(MIN(M1006:S1006), M1006:S1006,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07" spans="1:28" ht="18" customHeight="1" x14ac:dyDescent="0.2">
      <c r="A1007">
        <v>301</v>
      </c>
      <c r="B1007" t="s">
        <v>384</v>
      </c>
      <c r="C1007" t="s">
        <v>388</v>
      </c>
      <c r="D1007" t="s">
        <v>86</v>
      </c>
      <c r="E1007">
        <v>4</v>
      </c>
      <c r="F1007">
        <v>2</v>
      </c>
      <c r="G1007">
        <v>0</v>
      </c>
      <c r="H1007">
        <v>4</v>
      </c>
      <c r="I1007">
        <v>3</v>
      </c>
      <c r="J1007">
        <f t="shared" si="45"/>
        <v>13</v>
      </c>
      <c r="K1007">
        <f>IF(J1007="","", IFERROR(VLOOKUP(J1007, IF(D1007="Movers", 换算标准!$C:$D, 换算标准!$I:$J), 2, TRUE), 0))</f>
        <v>2</v>
      </c>
      <c r="M1007">
        <v>4</v>
      </c>
      <c r="N1007">
        <v>2</v>
      </c>
      <c r="O1007">
        <v>1</v>
      </c>
      <c r="P1007">
        <v>1</v>
      </c>
      <c r="Q1007">
        <v>0</v>
      </c>
      <c r="R1007">
        <v>2</v>
      </c>
      <c r="T1007">
        <f t="shared" si="46"/>
        <v>10</v>
      </c>
      <c r="U1007">
        <f>IF(T1007="","", IFERROR(VLOOKUP(T1007, IF(D1007="Movers", 换算标准!$A:$B, 换算标准!$G:$H), 2, TRUE), 0))</f>
        <v>1</v>
      </c>
      <c r="Z1007" s="5" t="str">
        <f>IF(J1007="","", IF(K1007&lt;=3, "⚠️ 薄弱环节: "&amp;INDEX($E$1:$I$1, MATCH(MIN(E1007:I1007), E1007:I1007, 0))&amp;CHAR(10)&amp;"📉 考察能力: "&amp;IFERROR(VLOOKUP(TRIM(D1007)&amp;"_"&amp;TRIM(INDEX($E$1:$I$1, MATCH(MIN(E1007:I1007), E1007:I1007, 0))), 技能库!$A:$F, 5, 0),"建议查阅考纲")&amp;CHAR(10)&amp;"💡 提升建议: "&amp;IFERROR(VLOOKUP(TRIM(D1007)&amp;"_"&amp;TRIM(INDEX($E$1:$I$1, MATCH(MIN(E1007:I1007), E1007:I1007, 0))), 技能库!$A:$F, 6, 0),"请针对该题型加强练习"), "🎉 表现优异，无明显弱项！"))</f>
        <v>⚠️ 薄弱环节: L-Pt3
📉 考察能力: [听力] 图片匹配 (星期/活动)
💡 提升建议: 听完整的句子，注意区分过去几天做了什么，留意干扰项。</v>
      </c>
      <c r="AA1007" s="5" t="str">
        <f>IF(T1007="","", IF(U1007&lt;=3, "⚠️ 薄弱环节: "&amp;INDEX($M$1:$S$1, MATCH(MIN(M1007:S1007), M1007:S1007, 0))&amp;CHAR(10)&amp;"📉 考察能力: "&amp;IFERROR(VLOOKUP(TRIM(D1007)&amp;"_"&amp;TRIM(INDEX($M$1:$S$1, MATCH(MIN(M1007:S1007), M1007:S1007, 0))), 技能库!$A:$F, 5, 0),"建议查阅考纲")&amp;CHAR(10)&amp;"💡 提升建议: "&amp;IFERROR(VLOOKUP(TRIM(D1007)&amp;"_"&amp;TRIM(INDEX($M$1:$S$1, MATCH(MIN(M1007:S1007), M1007:S1007,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08" spans="1:28" ht="18" customHeight="1" x14ac:dyDescent="0.2">
      <c r="A1008">
        <v>301</v>
      </c>
      <c r="B1008" t="s">
        <v>384</v>
      </c>
      <c r="C1008" t="s">
        <v>389</v>
      </c>
      <c r="D1008" t="s">
        <v>86</v>
      </c>
      <c r="E1008">
        <v>1</v>
      </c>
      <c r="F1008">
        <v>0</v>
      </c>
      <c r="G1008">
        <v>0</v>
      </c>
      <c r="H1008">
        <v>3</v>
      </c>
      <c r="I1008">
        <v>0</v>
      </c>
      <c r="J1008">
        <f t="shared" si="45"/>
        <v>4</v>
      </c>
      <c r="K1008">
        <f>IF(J1008="","", IFERROR(VLOOKUP(J1008, IF(D1008="Movers", 换算标准!$C:$D, 换算标准!$I:$J), 2, TRUE), 0))</f>
        <v>1</v>
      </c>
      <c r="M1008">
        <v>0</v>
      </c>
      <c r="N1008">
        <v>1</v>
      </c>
      <c r="O1008">
        <v>1</v>
      </c>
      <c r="P1008">
        <v>3</v>
      </c>
      <c r="Q1008">
        <v>0</v>
      </c>
      <c r="R1008">
        <v>0</v>
      </c>
      <c r="T1008">
        <f t="shared" si="46"/>
        <v>5</v>
      </c>
      <c r="U1008">
        <f>IF(T1008="","", IFERROR(VLOOKUP(T1008, IF(D1008="Movers", 换算标准!$A:$B, 换算标准!$G:$H), 2, TRUE), 0))</f>
        <v>1</v>
      </c>
      <c r="Z1008" s="5" t="str">
        <f>IF(J1008="","", IF(K1008&lt;=3, "⚠️ 薄弱环节: "&amp;INDEX($E$1:$I$1, MATCH(MIN(E1008:I1008), E1008:I1008, 0))&amp;CHAR(10)&amp;"📉 考察能力: "&amp;IFERROR(VLOOKUP(TRIM(D1008)&amp;"_"&amp;TRIM(INDEX($E$1:$I$1, MATCH(MIN(E1008:I1008), E1008:I1008, 0))), 技能库!$A:$F, 5, 0),"建议查阅考纲")&amp;CHAR(10)&amp;"💡 提升建议: "&amp;IFERROR(VLOOKUP(TRIM(D1008)&amp;"_"&amp;TRIM(INDEX($E$1:$I$1, MATCH(MIN(E1008:I1008), E1008:I1008,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08" s="5" t="str">
        <f>IF(T1008="","", IF(U1008&lt;=3, "⚠️ 薄弱环节: "&amp;INDEX($M$1:$S$1, MATCH(MIN(M1008:S1008), M1008:S1008, 0))&amp;CHAR(10)&amp;"📉 考察能力: "&amp;IFERROR(VLOOKUP(TRIM(D1008)&amp;"_"&amp;TRIM(INDEX($M$1:$S$1, MATCH(MIN(M1008:S1008), M1008:S1008, 0))), 技能库!$A:$F, 5, 0),"建议查阅考纲")&amp;CHAR(10)&amp;"💡 提升建议: "&amp;IFERROR(VLOOKUP(TRIM(D1008)&amp;"_"&amp;TRIM(INDEX($M$1:$S$1, MATCH(MIN(M1008:S1008), M1008:S1008, 0))), 技能库!$A:$F, 6, 0),"请针对该题型加强练习"), "🎉 表现优异，无明显弱项！"))</f>
        <v>⚠️ 薄弱环节: RW-Pt1
📉 考察能力: [读写] 词汇定义匹配
💡 提升建议: 积累名词定义，注意区分功能相似的物品 (如不同种类的动物)。</v>
      </c>
    </row>
    <row r="1009" spans="1:27" ht="18" customHeight="1" x14ac:dyDescent="0.2">
      <c r="A1009">
        <v>301</v>
      </c>
      <c r="B1009" t="s">
        <v>384</v>
      </c>
      <c r="C1009" t="s">
        <v>390</v>
      </c>
      <c r="D1009" t="s">
        <v>86</v>
      </c>
      <c r="E1009">
        <v>2</v>
      </c>
      <c r="F1009">
        <v>2</v>
      </c>
      <c r="G1009">
        <v>2</v>
      </c>
      <c r="H1009">
        <v>1</v>
      </c>
      <c r="I1009">
        <v>1</v>
      </c>
      <c r="J1009">
        <f t="shared" si="45"/>
        <v>8</v>
      </c>
      <c r="K1009">
        <f>IF(J1009="","", IFERROR(VLOOKUP(J1009, IF(D1009="Movers", 换算标准!$C:$D, 换算标准!$I:$J), 2, TRUE), 0))</f>
        <v>1</v>
      </c>
      <c r="M1009">
        <v>1</v>
      </c>
      <c r="N1009">
        <v>2</v>
      </c>
      <c r="O1009">
        <v>1</v>
      </c>
      <c r="P1009">
        <v>0</v>
      </c>
      <c r="Q1009">
        <v>0</v>
      </c>
      <c r="R1009">
        <v>0</v>
      </c>
      <c r="T1009">
        <f t="shared" si="46"/>
        <v>4</v>
      </c>
      <c r="U1009">
        <f>IF(T1009="","", IFERROR(VLOOKUP(T1009, IF(D1009="Movers", 换算标准!$A:$B, 换算标准!$G:$H), 2, TRUE), 0))</f>
        <v>1</v>
      </c>
      <c r="Z1009" s="5" t="str">
        <f>IF(J1009="","", IF(K1009&lt;=3, "⚠️ 薄弱环节: "&amp;INDEX($E$1:$I$1, MATCH(MIN(E1009:I1009), E1009:I1009, 0))&amp;CHAR(10)&amp;"📉 考察能力: "&amp;IFERROR(VLOOKUP(TRIM(D1009)&amp;"_"&amp;TRIM(INDEX($E$1:$I$1, MATCH(MIN(E1009:I1009), E1009:I1009, 0))), 技能库!$A:$F, 5, 0),"建议查阅考纲")&amp;CHAR(10)&amp;"💡 提升建议: "&amp;IFERROR(VLOOKUP(TRIM(D1009)&amp;"_"&amp;TRIM(INDEX($E$1:$I$1, MATCH(MIN(E1009:I1009), E1009:I1009, 0))), 技能库!$A:$F, 6, 0),"请针对该题型加强练习"), "🎉 表现优异，无明显弱项！"))</f>
        <v>⚠️ 薄弱环节: L-Pt4
📉 考察能力: [听力] 听取细节 (选择题)
💡 提升建议: 每个小题都是一个小故事，注意听转折词 (but, no)。</v>
      </c>
      <c r="AA1009" s="5" t="str">
        <f>IF(T1009="","", IF(U1009&lt;=3, "⚠️ 薄弱环节: "&amp;INDEX($M$1:$S$1, MATCH(MIN(M1009:S1009), M1009:S1009, 0))&amp;CHAR(10)&amp;"📉 考察能力: "&amp;IFERROR(VLOOKUP(TRIM(D1009)&amp;"_"&amp;TRIM(INDEX($M$1:$S$1, MATCH(MIN(M1009:S1009), M1009:S1009, 0))), 技能库!$A:$F, 5, 0),"建议查阅考纲")&amp;CHAR(10)&amp;"💡 提升建议: "&amp;IFERROR(VLOOKUP(TRIM(D1009)&amp;"_"&amp;TRIM(INDEX($M$1:$S$1, MATCH(MIN(M1009:S1009), M1009:S1009,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</row>
    <row r="1010" spans="1:27" ht="18" customHeight="1" x14ac:dyDescent="0.2">
      <c r="A1010">
        <v>301</v>
      </c>
      <c r="B1010" t="s">
        <v>384</v>
      </c>
      <c r="C1010" t="s">
        <v>391</v>
      </c>
      <c r="D1010" t="s">
        <v>86</v>
      </c>
      <c r="E1010">
        <v>1</v>
      </c>
      <c r="F1010">
        <v>0</v>
      </c>
      <c r="G1010">
        <v>3</v>
      </c>
      <c r="H1010">
        <v>4</v>
      </c>
      <c r="I1010">
        <v>4</v>
      </c>
      <c r="J1010">
        <f t="shared" si="45"/>
        <v>12</v>
      </c>
      <c r="K1010">
        <f>IF(J1010="","", IFERROR(VLOOKUP(J1010, IF(D1010="Movers", 换算标准!$C:$D, 换算标准!$I:$J), 2, TRUE), 0))</f>
        <v>2</v>
      </c>
      <c r="M1010">
        <v>3</v>
      </c>
      <c r="N1010">
        <v>4</v>
      </c>
      <c r="O1010">
        <v>0</v>
      </c>
      <c r="P1010">
        <v>0</v>
      </c>
      <c r="Q1010">
        <v>0</v>
      </c>
      <c r="R1010">
        <v>0</v>
      </c>
      <c r="T1010">
        <f t="shared" si="46"/>
        <v>7</v>
      </c>
      <c r="U1010">
        <f>IF(T1010="","", IFERROR(VLOOKUP(T1010, IF(D1010="Movers", 换算标准!$A:$B, 换算标准!$G:$H), 2, TRUE), 0))</f>
        <v>1</v>
      </c>
      <c r="Z1010" s="5" t="str">
        <f>IF(J1010="","", IF(K1010&lt;=3, "⚠️ 薄弱环节: "&amp;INDEX($E$1:$I$1, MATCH(MIN(E1010:I1010), E1010:I1010, 0))&amp;CHAR(10)&amp;"📉 考察能力: "&amp;IFERROR(VLOOKUP(TRIM(D1010)&amp;"_"&amp;TRIM(INDEX($E$1:$I$1, MATCH(MIN(E1010:I1010), E1010:I1010, 0))), 技能库!$A:$F, 5, 0),"建议查阅考纲")&amp;CHAR(10)&amp;"💡 提升建议: "&amp;IFERROR(VLOOKUP(TRIM(D1010)&amp;"_"&amp;TRIM(INDEX($E$1:$I$1, MATCH(MIN(E1010:I1010), E1010:I1010,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0" s="5" t="str">
        <f>IF(T1010="","", IF(U1010&lt;=3, "⚠️ 薄弱环节: "&amp;INDEX($M$1:$S$1, MATCH(MIN(M1010:S1010), M1010:S1010, 0))&amp;CHAR(10)&amp;"📉 考察能力: "&amp;IFERROR(VLOOKUP(TRIM(D1010)&amp;"_"&amp;TRIM(INDEX($M$1:$S$1, MATCH(MIN(M1010:S1010), M1010:S1010, 0))), 技能库!$A:$F, 5, 0),"建议查阅考纲")&amp;CHAR(10)&amp;"💡 提升建议: "&amp;IFERROR(VLOOKUP(TRIM(D1010)&amp;"_"&amp;TRIM(INDEX($M$1:$S$1, MATCH(MIN(M1010:S1010), M1010:S1010, 0))), 技能库!$A:$F, 6, 0),"请针对该题型加强练习"), "🎉 表现优异，无明显弱项！"))</f>
        <v>⚠️ 薄弱环节: RW-Pt3
📉 考察能力: [读写] 完形填空 (选词)
💡 提升建议: 通读全文掌握大意，根据词性判断空格处应填名词还是动词。</v>
      </c>
    </row>
    <row r="1011" spans="1:27" ht="18" customHeight="1" x14ac:dyDescent="0.2">
      <c r="A1011">
        <v>301</v>
      </c>
      <c r="B1011" t="s">
        <v>384</v>
      </c>
      <c r="C1011" t="s">
        <v>392</v>
      </c>
      <c r="D1011" t="s">
        <v>86</v>
      </c>
      <c r="E1011">
        <v>5</v>
      </c>
      <c r="F1011">
        <v>1</v>
      </c>
      <c r="G1011">
        <v>4</v>
      </c>
      <c r="H1011">
        <v>5</v>
      </c>
      <c r="I1011">
        <v>5</v>
      </c>
      <c r="J1011">
        <f t="shared" si="45"/>
        <v>20</v>
      </c>
      <c r="K1011">
        <f>IF(J1011="","", IFERROR(VLOOKUP(J1011, IF(D1011="Movers", 换算标准!$C:$D, 换算标准!$I:$J), 2, TRUE), 0))</f>
        <v>4</v>
      </c>
      <c r="M1011">
        <v>5</v>
      </c>
      <c r="N1011">
        <v>4</v>
      </c>
      <c r="O1011">
        <v>5</v>
      </c>
      <c r="P1011">
        <v>3</v>
      </c>
      <c r="Q1011">
        <v>1</v>
      </c>
      <c r="R1011">
        <v>0</v>
      </c>
      <c r="T1011">
        <f t="shared" si="46"/>
        <v>18</v>
      </c>
      <c r="U1011">
        <f>IF(T1011="","", IFERROR(VLOOKUP(T1011, IF(D1011="Movers", 换算标准!$A:$B, 换算标准!$G:$H), 2, TRUE), 0))</f>
        <v>2</v>
      </c>
      <c r="Z1011" s="5" t="str">
        <f>IF(J1011="","", IF(K1011&lt;=3, "⚠️ 薄弱环节: "&amp;INDEX($E$1:$I$1, MATCH(MIN(E1011:I1011), E1011:I1011, 0))&amp;CHAR(10)&amp;"📉 考察能力: "&amp;IFERROR(VLOOKUP(TRIM(D1011)&amp;"_"&amp;TRIM(INDEX($E$1:$I$1, MATCH(MIN(E1011:I1011), E1011:I1011, 0))), 技能库!$A:$F, 5, 0),"建议查阅考纲")&amp;CHAR(10)&amp;"💡 提升建议: "&amp;IFERROR(VLOOKUP(TRIM(D1011)&amp;"_"&amp;TRIM(INDEX($E$1:$I$1, MATCH(MIN(E1011:I1011), E1011:I1011, 0))), 技能库!$A:$F, 6, 0),"请针对该题型加强练习"), "🎉 表现优异，无明显弱项！"))</f>
        <v>🎉 表现优异，无明显弱项！</v>
      </c>
      <c r="AA1011" s="5" t="str">
        <f>IF(T1011="","", IF(U1011&lt;=3, "⚠️ 薄弱环节: "&amp;INDEX($M$1:$S$1, MATCH(MIN(M1011:S1011), M1011:S1011, 0))&amp;CHAR(10)&amp;"📉 考察能力: "&amp;IFERROR(VLOOKUP(TRIM(D1011)&amp;"_"&amp;TRIM(INDEX($M$1:$S$1, MATCH(MIN(M1011:S1011), M1011:S1011, 0))), 技能库!$A:$F, 5, 0),"建议查阅考纲")&amp;CHAR(10)&amp;"💡 提升建议: "&amp;IFERROR(VLOOKUP(TRIM(D1011)&amp;"_"&amp;TRIM(INDEX($M$1:$S$1, MATCH(MIN(M1011:S1011), M1011:S1011, 0))), 技能库!$A:$F, 6, 0),"请针对该题型加强练习"), "🎉 表现优异，无明显弱项！"))</f>
        <v>⚠️ 薄弱环节: RW-Pt6
📉 考察能力: [读写] 看图写句子
💡 提升建议: 仔细观察图片，回答问题并写完整的句子，注意拼写。</v>
      </c>
    </row>
    <row r="1012" spans="1:27" ht="18" customHeight="1" x14ac:dyDescent="0.2">
      <c r="A1012">
        <v>303</v>
      </c>
      <c r="B1012" t="s">
        <v>384</v>
      </c>
      <c r="C1012" t="s">
        <v>393</v>
      </c>
      <c r="D1012" t="s">
        <v>86</v>
      </c>
      <c r="E1012">
        <v>4</v>
      </c>
      <c r="F1012">
        <v>0</v>
      </c>
      <c r="G1012">
        <v>1</v>
      </c>
      <c r="H1012">
        <v>4</v>
      </c>
      <c r="I1012">
        <v>3</v>
      </c>
      <c r="J1012">
        <f t="shared" si="45"/>
        <v>12</v>
      </c>
      <c r="K1012">
        <f>IF(J1012="","", IFERROR(VLOOKUP(J1012, IF(D1012="Movers", 换算标准!$C:$D, 换算标准!$I:$J), 2, TRUE), 0))</f>
        <v>2</v>
      </c>
      <c r="M1012">
        <v>4</v>
      </c>
      <c r="N1012">
        <v>2</v>
      </c>
      <c r="O1012">
        <v>1</v>
      </c>
      <c r="P1012">
        <v>2</v>
      </c>
      <c r="Q1012">
        <v>0</v>
      </c>
      <c r="R1012">
        <v>0</v>
      </c>
      <c r="T1012">
        <f t="shared" si="46"/>
        <v>9</v>
      </c>
      <c r="U1012">
        <f>IF(T1012="","", IFERROR(VLOOKUP(T1012, IF(D1012="Movers", 换算标准!$A:$B, 换算标准!$G:$H), 2, TRUE), 0))</f>
        <v>1</v>
      </c>
      <c r="Z1012" s="5" t="str">
        <f>IF(J1012="","", IF(K1012&lt;=3, "⚠️ 薄弱环节: "&amp;INDEX($E$1:$I$1, MATCH(MIN(E1012:I1012), E1012:I1012, 0))&amp;CHAR(10)&amp;"📉 考察能力: "&amp;IFERROR(VLOOKUP(TRIM(D1012)&amp;"_"&amp;TRIM(INDEX($E$1:$I$1, MATCH(MIN(E1012:I1012), E1012:I1012, 0))), 技能库!$A:$F, 5, 0),"建议查阅考纲")&amp;CHAR(10)&amp;"💡 提升建议: "&amp;IFERROR(VLOOKUP(TRIM(D1012)&amp;"_"&amp;TRIM(INDEX($E$1:$I$1, MATCH(MIN(E1012:I1012), E1012:I1012,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2" s="5" t="str">
        <f>IF(T1012="","", IF(U1012&lt;=3, "⚠️ 薄弱环节: "&amp;INDEX($M$1:$S$1, MATCH(MIN(M1012:S1012), M1012:S1012, 0))&amp;CHAR(10)&amp;"📉 考察能力: "&amp;IFERROR(VLOOKUP(TRIM(D1012)&amp;"_"&amp;TRIM(INDEX($M$1:$S$1, MATCH(MIN(M1012:S1012), M1012:S1012, 0))), 技能库!$A:$F, 5, 0),"建议查阅考纲")&amp;CHAR(10)&amp;"💡 提升建议: "&amp;IFERROR(VLOOKUP(TRIM(D1012)&amp;"_"&amp;TRIM(INDEX($M$1:$S$1, MATCH(MIN(M1012:S1012), M1012:S1012,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13" spans="1:27" ht="18" customHeight="1" x14ac:dyDescent="0.2">
      <c r="A1013">
        <v>303</v>
      </c>
      <c r="B1013" t="s">
        <v>384</v>
      </c>
      <c r="C1013" t="s">
        <v>395</v>
      </c>
      <c r="D1013" t="s">
        <v>86</v>
      </c>
      <c r="E1013">
        <v>3</v>
      </c>
      <c r="F1013">
        <v>0</v>
      </c>
      <c r="G1013">
        <v>4</v>
      </c>
      <c r="H1013">
        <v>2</v>
      </c>
      <c r="I1013">
        <v>3</v>
      </c>
      <c r="J1013">
        <f t="shared" si="45"/>
        <v>12</v>
      </c>
      <c r="K1013">
        <f>IF(J1013="","", IFERROR(VLOOKUP(J1013, IF(D1013="Movers", 换算标准!$C:$D, 换算标准!$I:$J), 2, TRUE), 0))</f>
        <v>2</v>
      </c>
      <c r="M1013">
        <v>5</v>
      </c>
      <c r="N1013">
        <v>4</v>
      </c>
      <c r="O1013">
        <v>4</v>
      </c>
      <c r="P1013">
        <v>4</v>
      </c>
      <c r="Q1013">
        <v>1</v>
      </c>
      <c r="R1013">
        <v>3</v>
      </c>
      <c r="T1013">
        <f t="shared" si="46"/>
        <v>21</v>
      </c>
      <c r="U1013">
        <f>IF(T1013="","", IFERROR(VLOOKUP(T1013, IF(D1013="Movers", 换算标准!$A:$B, 换算标准!$G:$H), 2, TRUE), 0))</f>
        <v>2</v>
      </c>
      <c r="Z1013" s="5" t="str">
        <f>IF(J1013="","", IF(K1013&lt;=3, "⚠️ 薄弱环节: "&amp;INDEX($E$1:$I$1, MATCH(MIN(E1013:I1013), E1013:I1013, 0))&amp;CHAR(10)&amp;"📉 考察能力: "&amp;IFERROR(VLOOKUP(TRIM(D1013)&amp;"_"&amp;TRIM(INDEX($E$1:$I$1, MATCH(MIN(E1013:I1013), E1013:I1013, 0))), 技能库!$A:$F, 5, 0),"建议查阅考纲")&amp;CHAR(10)&amp;"💡 提升建议: "&amp;IFERROR(VLOOKUP(TRIM(D1013)&amp;"_"&amp;TRIM(INDEX($E$1:$I$1, MATCH(MIN(E1013:I1013), E1013:I1013,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3" s="5" t="str">
        <f>IF(T1013="","", IF(U1013&lt;=3, "⚠️ 薄弱环节: "&amp;INDEX($M$1:$S$1, MATCH(MIN(M1013:S1013), M1013:S1013, 0))&amp;CHAR(10)&amp;"📉 考察能力: "&amp;IFERROR(VLOOKUP(TRIM(D1013)&amp;"_"&amp;TRIM(INDEX($M$1:$S$1, MATCH(MIN(M1013:S1013), M1013:S1013, 0))), 技能库!$A:$F, 5, 0),"建议查阅考纲")&amp;CHAR(10)&amp;"💡 提升建议: "&amp;IFERROR(VLOOKUP(TRIM(D1013)&amp;"_"&amp;TRIM(INDEX($M$1:$S$1, MATCH(MIN(M1013:S1013), M1013:S1013,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14" spans="1:27" ht="18" customHeight="1" x14ac:dyDescent="0.2">
      <c r="A1014">
        <v>305</v>
      </c>
      <c r="B1014" t="s">
        <v>384</v>
      </c>
      <c r="C1014" t="s">
        <v>396</v>
      </c>
      <c r="D1014" t="s">
        <v>86</v>
      </c>
      <c r="E1014">
        <v>3</v>
      </c>
      <c r="F1014">
        <v>0</v>
      </c>
      <c r="G1014">
        <v>1</v>
      </c>
      <c r="H1014">
        <v>4</v>
      </c>
      <c r="I1014">
        <v>1</v>
      </c>
      <c r="J1014">
        <f t="shared" si="45"/>
        <v>9</v>
      </c>
      <c r="K1014">
        <f>IF(J1014="","", IFERROR(VLOOKUP(J1014, IF(D1014="Movers", 换算标准!$C:$D, 换算标准!$I:$J), 2, TRUE), 0))</f>
        <v>1</v>
      </c>
      <c r="M1014">
        <v>4</v>
      </c>
      <c r="N1014">
        <v>2</v>
      </c>
      <c r="O1014">
        <v>0</v>
      </c>
      <c r="P1014">
        <v>0</v>
      </c>
      <c r="Q1014">
        <v>1</v>
      </c>
      <c r="R1014">
        <v>1</v>
      </c>
      <c r="T1014">
        <f t="shared" si="46"/>
        <v>8</v>
      </c>
      <c r="U1014">
        <f>IF(T1014="","", IFERROR(VLOOKUP(T1014, IF(D1014="Movers", 换算标准!$A:$B, 换算标准!$G:$H), 2, TRUE), 0))</f>
        <v>1</v>
      </c>
      <c r="Z1014" s="5" t="str">
        <f>IF(J1014="","", IF(K1014&lt;=3, "⚠️ 薄弱环节: "&amp;INDEX($E$1:$I$1, MATCH(MIN(E1014:I1014), E1014:I1014, 0))&amp;CHAR(10)&amp;"📉 考察能力: "&amp;IFERROR(VLOOKUP(TRIM(D1014)&amp;"_"&amp;TRIM(INDEX($E$1:$I$1, MATCH(MIN(E1014:I1014), E1014:I1014, 0))), 技能库!$A:$F, 5, 0),"建议查阅考纲")&amp;CHAR(10)&amp;"💡 提升建议: "&amp;IFERROR(VLOOKUP(TRIM(D1014)&amp;"_"&amp;TRIM(INDEX($E$1:$I$1, MATCH(MIN(E1014:I1014), E1014:I1014,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4" s="5" t="str">
        <f>IF(T1014="","", IF(U1014&lt;=3, "⚠️ 薄弱环节: "&amp;INDEX($M$1:$S$1, MATCH(MIN(M1014:S1014), M1014:S1014, 0))&amp;CHAR(10)&amp;"📉 考察能力: "&amp;IFERROR(VLOOKUP(TRIM(D1014)&amp;"_"&amp;TRIM(INDEX($M$1:$S$1, MATCH(MIN(M1014:S1014), M1014:S1014, 0))), 技能库!$A:$F, 5, 0),"建议查阅考纲")&amp;CHAR(10)&amp;"💡 提升建议: "&amp;IFERROR(VLOOKUP(TRIM(D1014)&amp;"_"&amp;TRIM(INDEX($M$1:$S$1, MATCH(MIN(M1014:S1014), M1014:S1014, 0))), 技能库!$A:$F, 6, 0),"请针对该题型加强练习"), "🎉 表现优异，无明显弱项！"))</f>
        <v>⚠️ 薄弱环节: RW-Pt3
📉 考察能力: [读写] 完形填空 (选词)
💡 提升建议: 通读全文掌握大意，根据词性判断空格处应填名词还是动词。</v>
      </c>
    </row>
    <row r="1015" spans="1:27" ht="18" customHeight="1" x14ac:dyDescent="0.2">
      <c r="A1015">
        <v>305</v>
      </c>
      <c r="B1015" t="s">
        <v>384</v>
      </c>
      <c r="C1015" t="s">
        <v>397</v>
      </c>
      <c r="D1015" t="s">
        <v>86</v>
      </c>
      <c r="E1015">
        <v>4</v>
      </c>
      <c r="F1015">
        <v>3</v>
      </c>
      <c r="G1015">
        <v>5</v>
      </c>
      <c r="H1015">
        <v>3</v>
      </c>
      <c r="I1015">
        <v>3</v>
      </c>
      <c r="J1015">
        <f t="shared" si="45"/>
        <v>18</v>
      </c>
      <c r="K1015">
        <f>IF(J1015="","", IFERROR(VLOOKUP(J1015, IF(D1015="Movers", 换算标准!$C:$D, 换算标准!$I:$J), 2, TRUE), 0))</f>
        <v>4</v>
      </c>
      <c r="M1015">
        <v>4</v>
      </c>
      <c r="N1015">
        <v>5</v>
      </c>
      <c r="O1015">
        <v>6</v>
      </c>
      <c r="P1015">
        <v>3</v>
      </c>
      <c r="Q1015">
        <v>2</v>
      </c>
      <c r="R1015">
        <v>2</v>
      </c>
      <c r="T1015">
        <f t="shared" si="46"/>
        <v>22</v>
      </c>
      <c r="U1015">
        <f>IF(T1015="","", IFERROR(VLOOKUP(T1015, IF(D1015="Movers", 换算标准!$A:$B, 换算标准!$G:$H), 2, TRUE), 0))</f>
        <v>2</v>
      </c>
      <c r="Z1015" s="5" t="str">
        <f>IF(J1015="","", IF(K1015&lt;=3, "⚠️ 薄弱环节: "&amp;INDEX($E$1:$I$1, MATCH(MIN(E1015:I1015), E1015:I1015, 0))&amp;CHAR(10)&amp;"📉 考察能力: "&amp;IFERROR(VLOOKUP(TRIM(D1015)&amp;"_"&amp;TRIM(INDEX($E$1:$I$1, MATCH(MIN(E1015:I1015), E1015:I1015, 0))), 技能库!$A:$F, 5, 0),"建议查阅考纲")&amp;CHAR(10)&amp;"💡 提升建议: "&amp;IFERROR(VLOOKUP(TRIM(D1015)&amp;"_"&amp;TRIM(INDEX($E$1:$I$1, MATCH(MIN(E1015:I1015), E1015:I1015, 0))), 技能库!$A:$F, 6, 0),"请针对该题型加强练习"), "🎉 表现优异，无明显弱项！"))</f>
        <v>🎉 表现优异，无明显弱项！</v>
      </c>
      <c r="AA1015" s="5" t="str">
        <f>IF(T1015="","", IF(U1015&lt;=3, "⚠️ 薄弱环节: "&amp;INDEX($M$1:$S$1, MATCH(MIN(M1015:S1015), M1015:S1015, 0))&amp;CHAR(10)&amp;"📉 考察能力: "&amp;IFERROR(VLOOKUP(TRIM(D1015)&amp;"_"&amp;TRIM(INDEX($M$1:$S$1, MATCH(MIN(M1015:S1015), M1015:S1015, 0))), 技能库!$A:$F, 5, 0),"建议查阅考纲")&amp;CHAR(10)&amp;"💡 提升建议: "&amp;IFERROR(VLOOKUP(TRIM(D1015)&amp;"_"&amp;TRIM(INDEX($M$1:$S$1, MATCH(MIN(M1015:S1015), M1015:S1015,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16" spans="1:27" ht="18" customHeight="1" x14ac:dyDescent="0.2">
      <c r="A1016">
        <v>305</v>
      </c>
      <c r="B1016" t="s">
        <v>384</v>
      </c>
      <c r="C1016" t="s">
        <v>398</v>
      </c>
      <c r="D1016" t="s">
        <v>86</v>
      </c>
      <c r="E1016">
        <v>3</v>
      </c>
      <c r="F1016">
        <v>0</v>
      </c>
      <c r="G1016">
        <v>4</v>
      </c>
      <c r="H1016">
        <v>2</v>
      </c>
      <c r="I1016">
        <v>0</v>
      </c>
      <c r="J1016">
        <f t="shared" si="45"/>
        <v>9</v>
      </c>
      <c r="K1016">
        <f>IF(J1016="","", IFERROR(VLOOKUP(J1016, IF(D1016="Movers", 换算标准!$C:$D, 换算标准!$I:$J), 2, TRUE), 0))</f>
        <v>1</v>
      </c>
      <c r="M1016">
        <v>1</v>
      </c>
      <c r="N1016">
        <v>0</v>
      </c>
      <c r="O1016">
        <v>4</v>
      </c>
      <c r="P1016">
        <v>0</v>
      </c>
      <c r="Q1016">
        <v>0</v>
      </c>
      <c r="R1016">
        <v>0</v>
      </c>
      <c r="T1016">
        <f t="shared" si="46"/>
        <v>5</v>
      </c>
      <c r="U1016">
        <f>IF(T1016="","", IFERROR(VLOOKUP(T1016, IF(D1016="Movers", 换算标准!$A:$B, 换算标准!$G:$H), 2, TRUE), 0))</f>
        <v>1</v>
      </c>
      <c r="Z1016" s="5" t="str">
        <f>IF(J1016="","", IF(K1016&lt;=3, "⚠️ 薄弱环节: "&amp;INDEX($E$1:$I$1, MATCH(MIN(E1016:I1016), E1016:I1016, 0))&amp;CHAR(10)&amp;"📉 考察能力: "&amp;IFERROR(VLOOKUP(TRIM(D1016)&amp;"_"&amp;TRIM(INDEX($E$1:$I$1, MATCH(MIN(E1016:I1016), E1016:I1016, 0))), 技能库!$A:$F, 5, 0),"建议查阅考纲")&amp;CHAR(10)&amp;"💡 提升建议: "&amp;IFERROR(VLOOKUP(TRIM(D1016)&amp;"_"&amp;TRIM(INDEX($E$1:$I$1, MATCH(MIN(E1016:I1016), E1016:I1016,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6" s="5" t="str">
        <f>IF(T1016="","", IF(U1016&lt;=3, "⚠️ 薄弱环节: "&amp;INDEX($M$1:$S$1, MATCH(MIN(M1016:S1016), M1016:S1016, 0))&amp;CHAR(10)&amp;"📉 考察能力: "&amp;IFERROR(VLOOKUP(TRIM(D1016)&amp;"_"&amp;TRIM(INDEX($M$1:$S$1, MATCH(MIN(M1016:S1016), M1016:S1016, 0))), 技能库!$A:$F, 5, 0),"建议查阅考纲")&amp;CHAR(10)&amp;"💡 提升建议: "&amp;IFERROR(VLOOKUP(TRIM(D1016)&amp;"_"&amp;TRIM(INDEX($M$1:$S$1, MATCH(MIN(M1016:S1016), M1016:S1016,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</row>
    <row r="1017" spans="1:27" ht="18" customHeight="1" x14ac:dyDescent="0.2">
      <c r="A1017">
        <v>305</v>
      </c>
      <c r="B1017" t="s">
        <v>384</v>
      </c>
      <c r="C1017" t="s">
        <v>399</v>
      </c>
      <c r="D1017" t="s">
        <v>86</v>
      </c>
      <c r="E1017">
        <v>4</v>
      </c>
      <c r="F1017">
        <v>0</v>
      </c>
      <c r="G1017">
        <v>2</v>
      </c>
      <c r="H1017">
        <v>2</v>
      </c>
      <c r="I1017">
        <v>2</v>
      </c>
      <c r="J1017">
        <f t="shared" si="45"/>
        <v>10</v>
      </c>
      <c r="K1017">
        <f>IF(J1017="","", IFERROR(VLOOKUP(J1017, IF(D1017="Movers", 换算标准!$C:$D, 换算标准!$I:$J), 2, TRUE), 0))</f>
        <v>1</v>
      </c>
      <c r="M1017">
        <v>1</v>
      </c>
      <c r="N1017">
        <v>0</v>
      </c>
      <c r="O1017">
        <v>2</v>
      </c>
      <c r="P1017">
        <v>2</v>
      </c>
      <c r="Q1017">
        <v>0</v>
      </c>
      <c r="R1017">
        <v>1</v>
      </c>
      <c r="T1017">
        <f t="shared" si="46"/>
        <v>6</v>
      </c>
      <c r="U1017">
        <f>IF(T1017="","", IFERROR(VLOOKUP(T1017, IF(D1017="Movers", 换算标准!$A:$B, 换算标准!$G:$H), 2, TRUE), 0))</f>
        <v>1</v>
      </c>
      <c r="Z1017" s="5" t="str">
        <f>IF(J1017="","", IF(K1017&lt;=3, "⚠️ 薄弱环节: "&amp;INDEX($E$1:$I$1, MATCH(MIN(E1017:I1017), E1017:I1017, 0))&amp;CHAR(10)&amp;"📉 考察能力: "&amp;IFERROR(VLOOKUP(TRIM(D1017)&amp;"_"&amp;TRIM(INDEX($E$1:$I$1, MATCH(MIN(E1017:I1017), E1017:I1017, 0))), 技能库!$A:$F, 5, 0),"建议查阅考纲")&amp;CHAR(10)&amp;"💡 提升建议: "&amp;IFERROR(VLOOKUP(TRIM(D1017)&amp;"_"&amp;TRIM(INDEX($E$1:$I$1, MATCH(MIN(E1017:I1017), E1017:I1017,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7" s="5" t="str">
        <f>IF(T1017="","", IF(U1017&lt;=3, "⚠️ 薄弱环节: "&amp;INDEX($M$1:$S$1, MATCH(MIN(M1017:S1017), M1017:S1017, 0))&amp;CHAR(10)&amp;"📉 考察能力: "&amp;IFERROR(VLOOKUP(TRIM(D1017)&amp;"_"&amp;TRIM(INDEX($M$1:$S$1, MATCH(MIN(M1017:S1017), M1017:S1017, 0))), 技能库!$A:$F, 5, 0),"建议查阅考纲")&amp;CHAR(10)&amp;"💡 提升建议: "&amp;IFERROR(VLOOKUP(TRIM(D1017)&amp;"_"&amp;TRIM(INDEX($M$1:$S$1, MATCH(MIN(M1017:S1017), M1017:S1017, 0))), 技能库!$A:$F, 6, 0),"请针对该题型加强练习"), "🎉 表现优异，无明显弱项！"))</f>
        <v>⚠️ 薄弱环节: RW-Pt2
📉 考察能力: [读写] 补全对话
💡 提升建议: 结合上下文语境，注意问句和答句的时态一致性。</v>
      </c>
    </row>
    <row r="1018" spans="1:27" ht="18" customHeight="1" x14ac:dyDescent="0.2">
      <c r="A1018">
        <v>305</v>
      </c>
      <c r="B1018" t="s">
        <v>384</v>
      </c>
      <c r="C1018" t="s">
        <v>400</v>
      </c>
      <c r="D1018" t="s">
        <v>86</v>
      </c>
      <c r="E1018">
        <v>1</v>
      </c>
      <c r="F1018">
        <v>0</v>
      </c>
      <c r="G1018">
        <v>1</v>
      </c>
      <c r="H1018">
        <v>3</v>
      </c>
      <c r="I1018">
        <v>2</v>
      </c>
      <c r="J1018">
        <f t="shared" si="45"/>
        <v>7</v>
      </c>
      <c r="K1018">
        <f>IF(J1018="","", IFERROR(VLOOKUP(J1018, IF(D1018="Movers", 换算标准!$C:$D, 换算标准!$I:$J), 2, TRUE), 0))</f>
        <v>1</v>
      </c>
      <c r="M1018">
        <v>4</v>
      </c>
      <c r="N1018">
        <v>5</v>
      </c>
      <c r="O1018">
        <v>0</v>
      </c>
      <c r="P1018">
        <v>1</v>
      </c>
      <c r="Q1018">
        <v>0</v>
      </c>
      <c r="R1018">
        <v>0</v>
      </c>
      <c r="T1018">
        <f t="shared" si="46"/>
        <v>10</v>
      </c>
      <c r="U1018">
        <f>IF(T1018="","", IFERROR(VLOOKUP(T1018, IF(D1018="Movers", 换算标准!$A:$B, 换算标准!$G:$H), 2, TRUE), 0))</f>
        <v>1</v>
      </c>
      <c r="Z1018" s="5" t="str">
        <f>IF(J1018="","", IF(K1018&lt;=3, "⚠️ 薄弱环节: "&amp;INDEX($E$1:$I$1, MATCH(MIN(E1018:I1018), E1018:I1018, 0))&amp;CHAR(10)&amp;"📉 考察能力: "&amp;IFERROR(VLOOKUP(TRIM(D1018)&amp;"_"&amp;TRIM(INDEX($E$1:$I$1, MATCH(MIN(E1018:I1018), E1018:I1018, 0))), 技能库!$A:$F, 5, 0),"建议查阅考纲")&amp;CHAR(10)&amp;"💡 提升建议: "&amp;IFERROR(VLOOKUP(TRIM(D1018)&amp;"_"&amp;TRIM(INDEX($E$1:$I$1, MATCH(MIN(E1018:I1018), E1018:I1018,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18" s="5" t="str">
        <f>IF(T1018="","", IF(U1018&lt;=3, "⚠️ 薄弱环节: "&amp;INDEX($M$1:$S$1, MATCH(MIN(M1018:S1018), M1018:S1018, 0))&amp;CHAR(10)&amp;"📉 考察能力: "&amp;IFERROR(VLOOKUP(TRIM(D1018)&amp;"_"&amp;TRIM(INDEX($M$1:$S$1, MATCH(MIN(M1018:S1018), M1018:S1018, 0))), 技能库!$A:$F, 5, 0),"建议查阅考纲")&amp;CHAR(10)&amp;"💡 提升建议: "&amp;IFERROR(VLOOKUP(TRIM(D1018)&amp;"_"&amp;TRIM(INDEX($M$1:$S$1, MATCH(MIN(M1018:S1018), M1018:S1018, 0))), 技能库!$A:$F, 6, 0),"请针对该题型加强练习"), "🎉 表现优异，无明显弱项！"))</f>
        <v>⚠️ 薄弱环节: RW-Pt3
📉 考察能力: [读写] 完形填空 (选词)
💡 提升建议: 通读全文掌握大意，根据词性判断空格处应填名词还是动词。</v>
      </c>
    </row>
    <row r="1019" spans="1:27" ht="18" customHeight="1" x14ac:dyDescent="0.2">
      <c r="A1019">
        <v>305</v>
      </c>
      <c r="B1019" t="s">
        <v>384</v>
      </c>
      <c r="C1019" t="s">
        <v>401</v>
      </c>
      <c r="D1019" t="s">
        <v>86</v>
      </c>
      <c r="E1019">
        <v>5</v>
      </c>
      <c r="F1019">
        <v>2</v>
      </c>
      <c r="G1019">
        <v>5</v>
      </c>
      <c r="H1019">
        <v>5</v>
      </c>
      <c r="I1019">
        <v>4</v>
      </c>
      <c r="J1019">
        <f t="shared" si="45"/>
        <v>21</v>
      </c>
      <c r="K1019">
        <f>IF(J1019="","", IFERROR(VLOOKUP(J1019, IF(D1019="Movers", 换算标准!$C:$D, 换算标准!$I:$J), 2, TRUE), 0))</f>
        <v>5</v>
      </c>
      <c r="M1019">
        <v>5</v>
      </c>
      <c r="N1019">
        <v>5</v>
      </c>
      <c r="O1019">
        <v>5</v>
      </c>
      <c r="P1019">
        <v>2</v>
      </c>
      <c r="Q1019">
        <v>0</v>
      </c>
      <c r="R1019">
        <v>0</v>
      </c>
      <c r="T1019">
        <f t="shared" si="46"/>
        <v>17</v>
      </c>
      <c r="U1019">
        <f>IF(T1019="","", IFERROR(VLOOKUP(T1019, IF(D1019="Movers", 换算标准!$A:$B, 换算标准!$G:$H), 2, TRUE), 0))</f>
        <v>1</v>
      </c>
      <c r="Z1019" s="5" t="str">
        <f>IF(J1019="","", IF(K1019&lt;=3, "⚠️ 薄弱环节: "&amp;INDEX($E$1:$I$1, MATCH(MIN(E1019:I1019), E1019:I1019, 0))&amp;CHAR(10)&amp;"📉 考察能力: "&amp;IFERROR(VLOOKUP(TRIM(D1019)&amp;"_"&amp;TRIM(INDEX($E$1:$I$1, MATCH(MIN(E1019:I1019), E1019:I1019, 0))), 技能库!$A:$F, 5, 0),"建议查阅考纲")&amp;CHAR(10)&amp;"💡 提升建议: "&amp;IFERROR(VLOOKUP(TRIM(D1019)&amp;"_"&amp;TRIM(INDEX($E$1:$I$1, MATCH(MIN(E1019:I1019), E1019:I1019, 0))), 技能库!$A:$F, 6, 0),"请针对该题型加强练习"), "🎉 表现优异，无明显弱项！"))</f>
        <v>🎉 表现优异，无明显弱项！</v>
      </c>
      <c r="AA1019" s="5" t="str">
        <f>IF(T1019="","", IF(U1019&lt;=3, "⚠️ 薄弱环节: "&amp;INDEX($M$1:$S$1, MATCH(MIN(M1019:S1019), M1019:S1019, 0))&amp;CHAR(10)&amp;"📉 考察能力: "&amp;IFERROR(VLOOKUP(TRIM(D1019)&amp;"_"&amp;TRIM(INDEX($M$1:$S$1, MATCH(MIN(M1019:S1019), M1019:S1019, 0))), 技能库!$A:$F, 5, 0),"建议查阅考纲")&amp;CHAR(10)&amp;"💡 提升建议: "&amp;IFERROR(VLOOKUP(TRIM(D1019)&amp;"_"&amp;TRIM(INDEX($M$1:$S$1, MATCH(MIN(M1019:S1019), M1019:S1019,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20" spans="1:27" ht="18" customHeight="1" x14ac:dyDescent="0.2">
      <c r="A1020">
        <v>305</v>
      </c>
      <c r="B1020" t="s">
        <v>384</v>
      </c>
      <c r="C1020" t="s">
        <v>402</v>
      </c>
      <c r="D1020" t="s">
        <v>86</v>
      </c>
      <c r="E1020">
        <v>4</v>
      </c>
      <c r="F1020">
        <v>4</v>
      </c>
      <c r="G1020">
        <v>5</v>
      </c>
      <c r="H1020">
        <v>3</v>
      </c>
      <c r="I1020">
        <v>4</v>
      </c>
      <c r="J1020">
        <f t="shared" si="45"/>
        <v>20</v>
      </c>
      <c r="K1020">
        <f>IF(J1020="","", IFERROR(VLOOKUP(J1020, IF(D1020="Movers", 换算标准!$C:$D, 换算标准!$I:$J), 2, TRUE), 0))</f>
        <v>4</v>
      </c>
      <c r="M1020">
        <v>5</v>
      </c>
      <c r="N1020">
        <v>5</v>
      </c>
      <c r="O1020">
        <v>6</v>
      </c>
      <c r="P1020">
        <v>3</v>
      </c>
      <c r="Q1020">
        <v>5</v>
      </c>
      <c r="R1020">
        <v>3</v>
      </c>
      <c r="T1020">
        <f t="shared" si="46"/>
        <v>27</v>
      </c>
      <c r="U1020">
        <f>IF(T1020="","", IFERROR(VLOOKUP(T1020, IF(D1020="Movers", 换算标准!$A:$B, 换算标准!$G:$H), 2, TRUE), 0))</f>
        <v>3</v>
      </c>
      <c r="Z1020" s="5" t="str">
        <f>IF(J1020="","", IF(K1020&lt;=3, "⚠️ 薄弱环节: "&amp;INDEX($E$1:$I$1, MATCH(MIN(E1020:I1020), E1020:I1020, 0))&amp;CHAR(10)&amp;"📉 考察能力: "&amp;IFERROR(VLOOKUP(TRIM(D1020)&amp;"_"&amp;TRIM(INDEX($E$1:$I$1, MATCH(MIN(E1020:I1020), E1020:I1020, 0))), 技能库!$A:$F, 5, 0),"建议查阅考纲")&amp;CHAR(10)&amp;"💡 提升建议: "&amp;IFERROR(VLOOKUP(TRIM(D1020)&amp;"_"&amp;TRIM(INDEX($E$1:$I$1, MATCH(MIN(E1020:I1020), E1020:I1020, 0))), 技能库!$A:$F, 6, 0),"请针对该题型加强练习"), "🎉 表现优异，无明显弱项！"))</f>
        <v>🎉 表现优异，无明显弱项！</v>
      </c>
      <c r="AA1020" s="5" t="str">
        <f>IF(T1020="","", IF(U1020&lt;=3, "⚠️ 薄弱环节: "&amp;INDEX($M$1:$S$1, MATCH(MIN(M1020:S1020), M1020:S1020, 0))&amp;CHAR(10)&amp;"📉 考察能力: "&amp;IFERROR(VLOOKUP(TRIM(D1020)&amp;"_"&amp;TRIM(INDEX($M$1:$S$1, MATCH(MIN(M1020:S1020), M1020:S1020, 0))), 技能库!$A:$F, 5, 0),"建议查阅考纲")&amp;CHAR(10)&amp;"💡 提升建议: "&amp;IFERROR(VLOOKUP(TRIM(D1020)&amp;"_"&amp;TRIM(INDEX($M$1:$S$1, MATCH(MIN(M1020:S1020), M1020:S1020,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</row>
    <row r="1021" spans="1:27" ht="18" customHeight="1" x14ac:dyDescent="0.2">
      <c r="A1021">
        <v>307</v>
      </c>
      <c r="B1021" t="s">
        <v>384</v>
      </c>
      <c r="C1021" t="s">
        <v>403</v>
      </c>
      <c r="D1021" t="s">
        <v>86</v>
      </c>
      <c r="E1021">
        <v>5</v>
      </c>
      <c r="F1021">
        <v>1</v>
      </c>
      <c r="G1021">
        <v>0</v>
      </c>
      <c r="H1021">
        <v>2</v>
      </c>
      <c r="I1021">
        <v>3</v>
      </c>
      <c r="J1021">
        <f t="shared" si="45"/>
        <v>11</v>
      </c>
      <c r="K1021">
        <f>IF(J1021="","", IFERROR(VLOOKUP(J1021, IF(D1021="Movers", 换算标准!$C:$D, 换算标准!$I:$J), 2, TRUE), 0))</f>
        <v>2</v>
      </c>
      <c r="M1021">
        <v>1</v>
      </c>
      <c r="N1021">
        <v>2</v>
      </c>
      <c r="O1021">
        <v>2</v>
      </c>
      <c r="P1021">
        <v>2</v>
      </c>
      <c r="Q1021">
        <v>0</v>
      </c>
      <c r="R1021">
        <v>0</v>
      </c>
      <c r="T1021">
        <f t="shared" si="46"/>
        <v>7</v>
      </c>
      <c r="U1021">
        <f>IF(T1021="","", IFERROR(VLOOKUP(T1021, IF(D1021="Movers", 换算标准!$A:$B, 换算标准!$G:$H), 2, TRUE), 0))</f>
        <v>1</v>
      </c>
      <c r="Z1021" s="5" t="str">
        <f>IF(J1021="","", IF(K1021&lt;=3, "⚠️ 薄弱环节: "&amp;INDEX($E$1:$I$1, MATCH(MIN(E1021:I1021), E1021:I1021, 0))&amp;CHAR(10)&amp;"📉 考察能力: "&amp;IFERROR(VLOOKUP(TRIM(D1021)&amp;"_"&amp;TRIM(INDEX($E$1:$I$1, MATCH(MIN(E1021:I1021), E1021:I1021, 0))), 技能库!$A:$F, 5, 0),"建议查阅考纲")&amp;CHAR(10)&amp;"💡 提升建议: "&amp;IFERROR(VLOOKUP(TRIM(D1021)&amp;"_"&amp;TRIM(INDEX($E$1:$I$1, MATCH(MIN(E1021:I1021), E1021:I1021, 0))), 技能库!$A:$F, 6, 0),"请针对该题型加强练习"), "🎉 表现优异，无明显弱项！"))</f>
        <v>⚠️ 薄弱环节: L-Pt3
📉 考察能力: [听力] 图片匹配 (星期/活动)
💡 提升建议: 听完整的句子，注意区分过去几天做了什么，留意干扰项。</v>
      </c>
      <c r="AA1021" s="5" t="str">
        <f>IF(T1021="","", IF(U1021&lt;=3, "⚠️ 薄弱环节: "&amp;INDEX($M$1:$S$1, MATCH(MIN(M1021:S1021), M1021:S1021, 0))&amp;CHAR(10)&amp;"📉 考察能力: "&amp;IFERROR(VLOOKUP(TRIM(D1021)&amp;"_"&amp;TRIM(INDEX($M$1:$S$1, MATCH(MIN(M1021:S1021), M1021:S1021, 0))), 技能库!$A:$F, 5, 0),"建议查阅考纲")&amp;CHAR(10)&amp;"💡 提升建议: "&amp;IFERROR(VLOOKUP(TRIM(D1021)&amp;"_"&amp;TRIM(INDEX($M$1:$S$1, MATCH(MIN(M1021:S1021), M1021:S1021, 0))), 技能库!$A:$F, 6, 0),"请针对该题型加强练习"), "🎉 表现优异，无明显弱项！"))</f>
        <v>⚠️ 薄弱环节: RW-Pt5
📉 考察能力: [读写] 阅读故事补全句子
💡 提升建议: 练习同义替换，答案通常直接来自文章，不要自己编造。</v>
      </c>
    </row>
    <row r="1022" spans="1:27" ht="18" customHeight="1" x14ac:dyDescent="0.2">
      <c r="A1022">
        <v>307</v>
      </c>
      <c r="B1022" t="s">
        <v>384</v>
      </c>
      <c r="C1022" t="s">
        <v>404</v>
      </c>
      <c r="D1022" t="s">
        <v>86</v>
      </c>
      <c r="E1022">
        <v>3</v>
      </c>
      <c r="F1022">
        <v>1</v>
      </c>
      <c r="G1022">
        <v>1</v>
      </c>
      <c r="H1022">
        <v>3</v>
      </c>
      <c r="I1022">
        <v>1</v>
      </c>
      <c r="J1022">
        <f t="shared" si="45"/>
        <v>9</v>
      </c>
      <c r="K1022">
        <f>IF(J1022="","", IFERROR(VLOOKUP(J1022, IF(D1022="Movers", 换算标准!$C:$D, 换算标准!$I:$J), 2, TRUE), 0))</f>
        <v>1</v>
      </c>
      <c r="M1022">
        <v>3</v>
      </c>
      <c r="N1022">
        <v>3</v>
      </c>
      <c r="O1022">
        <v>3</v>
      </c>
      <c r="P1022">
        <v>0</v>
      </c>
      <c r="Q1022">
        <v>0</v>
      </c>
      <c r="R1022">
        <v>0</v>
      </c>
      <c r="T1022">
        <f t="shared" si="46"/>
        <v>9</v>
      </c>
      <c r="U1022">
        <f>IF(T1022="","", IFERROR(VLOOKUP(T1022, IF(D1022="Movers", 换算标准!$A:$B, 换算标准!$G:$H), 2, TRUE), 0))</f>
        <v>1</v>
      </c>
      <c r="Z1022" s="5" t="str">
        <f>IF(J1022="","", IF(K1022&lt;=3, "⚠️ 薄弱环节: "&amp;INDEX($E$1:$I$1, MATCH(MIN(E1022:I1022), E1022:I1022, 0))&amp;CHAR(10)&amp;"📉 考察能力: "&amp;IFERROR(VLOOKUP(TRIM(D1022)&amp;"_"&amp;TRIM(INDEX($E$1:$I$1, MATCH(MIN(E1022:I1022), E1022:I1022, 0))), 技能库!$A:$F, 5, 0),"建议查阅考纲")&amp;CHAR(10)&amp;"💡 提升建议: "&amp;IFERROR(VLOOKUP(TRIM(D1022)&amp;"_"&amp;TRIM(INDEX($E$1:$I$1, MATCH(MIN(E1022:I1022), E1022:I1022,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22" s="5" t="str">
        <f>IF(T1022="","", IF(U1022&lt;=3, "⚠️ 薄弱环节: "&amp;INDEX($M$1:$S$1, MATCH(MIN(M1022:S1022), M1022:S1022, 0))&amp;CHAR(10)&amp;"📉 考察能力: "&amp;IFERROR(VLOOKUP(TRIM(D1022)&amp;"_"&amp;TRIM(INDEX($M$1:$S$1, MATCH(MIN(M1022:S1022), M1022:S1022, 0))), 技能库!$A:$F, 5, 0),"建议查阅考纲")&amp;CHAR(10)&amp;"💡 提升建议: "&amp;IFERROR(VLOOKUP(TRIM(D1022)&amp;"_"&amp;TRIM(INDEX($M$1:$S$1, MATCH(MIN(M1022:S1022), M1022:S1022, 0))), 技能库!$A:$F, 6, 0),"请针对该题型加强练习"), "🎉 表现优异，无明显弱项！"))</f>
        <v>⚠️ 薄弱环节: RW-Pt4
📉 考察能力: [读写] 多项选择 (语法)
💡 提升建议: 重点考核语法基础，如名词单复数、代词指代、动词形式。</v>
      </c>
    </row>
    <row r="1023" spans="1:27" ht="18" customHeight="1" x14ac:dyDescent="0.2">
      <c r="A1023">
        <v>307</v>
      </c>
      <c r="B1023" t="s">
        <v>384</v>
      </c>
      <c r="C1023" t="s">
        <v>425</v>
      </c>
      <c r="D1023" t="s">
        <v>86</v>
      </c>
      <c r="E1023">
        <v>5</v>
      </c>
      <c r="F1023">
        <v>2</v>
      </c>
      <c r="G1023">
        <v>3</v>
      </c>
      <c r="H1023">
        <v>4</v>
      </c>
      <c r="I1023">
        <v>5</v>
      </c>
      <c r="J1023">
        <f t="shared" si="45"/>
        <v>19</v>
      </c>
      <c r="K1023">
        <f>IF(J1023="","", IFERROR(VLOOKUP(J1023, IF(D1023="Movers", 换算标准!$C:$D, 换算标准!$I:$J), 2, TRUE), 0))</f>
        <v>4</v>
      </c>
      <c r="M1023">
        <v>5</v>
      </c>
      <c r="N1023">
        <v>5</v>
      </c>
      <c r="O1023">
        <v>6</v>
      </c>
      <c r="P1023">
        <v>3</v>
      </c>
      <c r="Q1023">
        <v>5</v>
      </c>
      <c r="R1023">
        <v>0</v>
      </c>
      <c r="T1023">
        <f t="shared" si="46"/>
        <v>24</v>
      </c>
      <c r="U1023">
        <f>IF(T1023="","", IFERROR(VLOOKUP(T1023, IF(D1023="Movers", 换算标准!$A:$B, 换算标准!$G:$H), 2, TRUE), 0))</f>
        <v>3</v>
      </c>
      <c r="Z1023" s="5" t="str">
        <f>IF(J1023="","", IF(K1023&lt;=3, "⚠️ 薄弱环节: "&amp;INDEX($E$1:$I$1, MATCH(MIN(E1023:I1023), E1023:I1023, 0))&amp;CHAR(10)&amp;"📉 考察能力: "&amp;IFERROR(VLOOKUP(TRIM(D1023)&amp;"_"&amp;TRIM(INDEX($E$1:$I$1, MATCH(MIN(E1023:I1023), E1023:I1023, 0))), 技能库!$A:$F, 5, 0),"建议查阅考纲")&amp;CHAR(10)&amp;"💡 提升建议: "&amp;IFERROR(VLOOKUP(TRIM(D1023)&amp;"_"&amp;TRIM(INDEX($E$1:$I$1, MATCH(MIN(E1023:I1023), E1023:I1023, 0))), 技能库!$A:$F, 6, 0),"请针对该题型加强练习"), "🎉 表现优异，无明显弱项！"))</f>
        <v>🎉 表现优异，无明显弱项！</v>
      </c>
      <c r="AA1023" s="5" t="str">
        <f>IF(T1023="","", IF(U1023&lt;=3, "⚠️ 薄弱环节: "&amp;INDEX($M$1:$S$1, MATCH(MIN(M1023:S1023), M1023:S1023, 0))&amp;CHAR(10)&amp;"📉 考察能力: "&amp;IFERROR(VLOOKUP(TRIM(D1023)&amp;"_"&amp;TRIM(INDEX($M$1:$S$1, MATCH(MIN(M1023:S1023), M1023:S1023, 0))), 技能库!$A:$F, 5, 0),"建议查阅考纲")&amp;CHAR(10)&amp;"💡 提升建议: "&amp;IFERROR(VLOOKUP(TRIM(D1023)&amp;"_"&amp;TRIM(INDEX($M$1:$S$1, MATCH(MIN(M1023:S1023), M1023:S1023, 0))), 技能库!$A:$F, 6, 0),"请针对该题型加强练习"), "🎉 表现优异，无明显弱项！"))</f>
        <v>⚠️ 薄弱环节: RW-Pt6
📉 考察能力: [读写] 看图写句子
💡 提升建议: 仔细观察图片，回答问题并写完整的句子，注意拼写。</v>
      </c>
    </row>
    <row r="1024" spans="1:27" ht="18" customHeight="1" x14ac:dyDescent="0.2">
      <c r="A1024">
        <v>307</v>
      </c>
      <c r="B1024" t="s">
        <v>384</v>
      </c>
      <c r="C1024" t="s">
        <v>406</v>
      </c>
      <c r="D1024" t="s">
        <v>86</v>
      </c>
      <c r="E1024">
        <v>1</v>
      </c>
      <c r="F1024">
        <v>0</v>
      </c>
      <c r="G1024">
        <v>2</v>
      </c>
      <c r="H1024">
        <v>2</v>
      </c>
      <c r="I1024">
        <v>0</v>
      </c>
      <c r="J1024">
        <f t="shared" si="45"/>
        <v>5</v>
      </c>
      <c r="K1024">
        <f>IF(J1024="","", IFERROR(VLOOKUP(J1024, IF(D1024="Movers", 换算标准!$C:$D, 换算标准!$I:$J), 2, TRUE), 0))</f>
        <v>1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0</v>
      </c>
      <c r="T1024">
        <f t="shared" si="46"/>
        <v>2</v>
      </c>
      <c r="U1024">
        <f>IF(T1024="","", IFERROR(VLOOKUP(T1024, IF(D1024="Movers", 换算标准!$A:$B, 换算标准!$G:$H), 2, TRUE), 0))</f>
        <v>1</v>
      </c>
      <c r="Z1024" s="5" t="str">
        <f>IF(J1024="","", IF(K1024&lt;=3, "⚠️ 薄弱环节: "&amp;INDEX($E$1:$I$1, MATCH(MIN(E1024:I1024), E1024:I1024, 0))&amp;CHAR(10)&amp;"📉 考察能力: "&amp;IFERROR(VLOOKUP(TRIM(D1024)&amp;"_"&amp;TRIM(INDEX($E$1:$I$1, MATCH(MIN(E1024:I1024), E1024:I1024, 0))), 技能库!$A:$F, 5, 0),"建议查阅考纲")&amp;CHAR(10)&amp;"💡 提升建议: "&amp;IFERROR(VLOOKUP(TRIM(D1024)&amp;"_"&amp;TRIM(INDEX($E$1:$I$1, MATCH(MIN(E1024:I1024), E1024:I1024, 0))), 技能库!$A:$F, 6, 0),"请针对该题型加强练习"), "🎉 表现优异，无明显弱项！"))</f>
        <v>⚠️ 薄弱环节: L-Pt2
📉 考察能力: [听力] 听取细节并填空
💡 提升建议: 重点练习拼写人名、地名以及抓取数字信息。</v>
      </c>
      <c r="AA1024" s="5" t="str">
        <f>IF(T1024="","", IF(U1024&lt;=3, "⚠️ 薄弱环节: "&amp;INDEX($M$1:$S$1, MATCH(MIN(M1024:S1024), M1024:S1024, 0))&amp;CHAR(10)&amp;"📉 考察能力: "&amp;IFERROR(VLOOKUP(TRIM(D1024)&amp;"_"&amp;TRIM(INDEX($M$1:$S$1, MATCH(MIN(M1024:S1024), M1024:S1024, 0))), 技能库!$A:$F, 5, 0),"建议查阅考纲")&amp;CHAR(10)&amp;"💡 提升建议: "&amp;IFERROR(VLOOKUP(TRIM(D1024)&amp;"_"&amp;TRIM(INDEX($M$1:$S$1, MATCH(MIN(M1024:S1024), M1024:S1024, 0))), 技能库!$A:$F, 6, 0),"请针对该题型加强练习"), "🎉 表现优异，无明显弱项！"))</f>
        <v>⚠️ 薄弱环节: RW-Pt1
📉 考察能力: [读写] 词汇定义匹配
💡 提升建议: 积累名词定义，注意区分功能相似的物品 (如不同种类的动物)。</v>
      </c>
    </row>
    <row r="1025" spans="1:27" ht="18" customHeight="1" x14ac:dyDescent="0.2">
      <c r="A1025">
        <v>307</v>
      </c>
      <c r="B1025" t="s">
        <v>384</v>
      </c>
      <c r="C1025" t="s">
        <v>408</v>
      </c>
      <c r="D1025" t="s">
        <v>409</v>
      </c>
      <c r="E1025">
        <v>5</v>
      </c>
      <c r="F1025">
        <v>1</v>
      </c>
      <c r="G1025">
        <v>4</v>
      </c>
      <c r="H1025">
        <v>4</v>
      </c>
      <c r="J1025">
        <f t="shared" si="45"/>
        <v>14</v>
      </c>
      <c r="K1025">
        <f>IF(J1025="","", IFERROR(VLOOKUP(J1025, IF(D1025="Movers", 换算标准!$C:$D, 换算标准!$I:$J), 2, TRUE), 0))</f>
        <v>3</v>
      </c>
      <c r="M1025">
        <v>2</v>
      </c>
      <c r="N1025">
        <v>4</v>
      </c>
      <c r="O1025">
        <v>2</v>
      </c>
      <c r="P1025">
        <v>1</v>
      </c>
      <c r="Q1025">
        <v>0</v>
      </c>
      <c r="T1025">
        <f t="shared" si="46"/>
        <v>9</v>
      </c>
      <c r="U1025">
        <f>IF(T1025="","", IFERROR(VLOOKUP(T1025, IF(D1025="Movers", 换算标准!$A:$B, 换算标准!$G:$H), 2, TRUE), 0))</f>
        <v>1</v>
      </c>
      <c r="Z1025" s="5" t="str">
        <f>IF(J1025="","", IF(K1025&lt;=3, "⚠️ 薄弱环节: "&amp;INDEX($E$1:$I$1, MATCH(MIN(E1025:I1025), E1025:I1025, 0))&amp;CHAR(10)&amp;"📉 考察能力: "&amp;IFERROR(VLOOKUP(TRIM(D1025)&amp;"_"&amp;TRIM(INDEX($E$1:$I$1, MATCH(MIN(E1025:I1025), E1025:I1025, 0))), 技能库!$A:$F, 5, 0),"建议查阅考纲")&amp;CHAR(10)&amp;"💡 提升建议: "&amp;IFERROR(VLOOKUP(TRIM(D1025)&amp;"_"&amp;TRIM(INDEX($E$1:$I$1, MATCH(MIN(E1025:I1025), E1025:I1025, 0))), 技能库!$A:$F, 6, 0),"请针对该题型加强练习"), "🎉 表现优异，无明显弱项！"))</f>
        <v>⚠️ 薄弱环节: L-Pt2
📉 考察能力: 建议查阅考纲
💡 提升建议: 请针对该题型加强练习</v>
      </c>
      <c r="AA1025" s="5" t="str">
        <f>IF(T1025="","", IF(U1025&lt;=3, "⚠️ 薄弱环节: "&amp;INDEX($M$1:$S$1, MATCH(MIN(M1025:S1025), M1025:S1025, 0))&amp;CHAR(10)&amp;"📉 考察能力: "&amp;IFERROR(VLOOKUP(TRIM(D1025)&amp;"_"&amp;TRIM(INDEX($M$1:$S$1, MATCH(MIN(M1025:S1025), M1025:S1025, 0))), 技能库!$A:$F, 5, 0),"建议查阅考纲")&amp;CHAR(10)&amp;"💡 提升建议: "&amp;IFERROR(VLOOKUP(TRIM(D1025)&amp;"_"&amp;TRIM(INDEX($M$1:$S$1, MATCH(MIN(M1025:S1025), M1025:S1025, 0))), 技能库!$A:$F, 6, 0),"请针对该题型加强练习"), "🎉 表现优异，无明显弱项！"))</f>
        <v>⚠️ 薄弱环节: RW-Pt5
📉 考察能力: 建议查阅考纲
💡 提升建议: 请针对该题型加强练习</v>
      </c>
    </row>
    <row r="1026" spans="1:27" ht="18" customHeight="1" x14ac:dyDescent="0.2">
      <c r="A1026">
        <v>307</v>
      </c>
      <c r="B1026" t="s">
        <v>384</v>
      </c>
      <c r="C1026" t="s">
        <v>422</v>
      </c>
      <c r="D1026" t="s">
        <v>409</v>
      </c>
      <c r="E1026">
        <v>5</v>
      </c>
      <c r="F1026">
        <v>5</v>
      </c>
      <c r="G1026">
        <v>4</v>
      </c>
      <c r="H1026">
        <v>5</v>
      </c>
      <c r="J1026">
        <f t="shared" si="45"/>
        <v>19</v>
      </c>
      <c r="K1026">
        <v>5</v>
      </c>
      <c r="M1026">
        <v>2</v>
      </c>
      <c r="N1026">
        <v>5</v>
      </c>
      <c r="O1026">
        <v>4</v>
      </c>
      <c r="P1026">
        <v>5</v>
      </c>
      <c r="Q1026">
        <v>2</v>
      </c>
      <c r="T1026">
        <f t="shared" si="46"/>
        <v>18</v>
      </c>
      <c r="U1026">
        <v>5</v>
      </c>
      <c r="Z1026" s="5" t="str">
        <f>IF(J1026="","", IF(K1026&lt;=3, "⚠️ 薄弱环节: "&amp;INDEX($E$1:$I$1, MATCH(MIN(E1026:I1026), E1026:I1026, 0))&amp;CHAR(10)&amp;"📉 考察能力: "&amp;IFERROR(VLOOKUP(TRIM(D1026)&amp;"_"&amp;TRIM(INDEX($E$1:$I$1, MATCH(MIN(E1026:I1026), E1026:I1026, 0))), 技能库!$A:$F, 5, 0),"建议查阅考纲")&amp;CHAR(10)&amp;"💡 提升建议: "&amp;IFERROR(VLOOKUP(TRIM(D1026)&amp;"_"&amp;TRIM(INDEX($E$1:$I$1, MATCH(MIN(E1026:I1026), E1026:I1026, 0))), 技能库!$A:$F, 6, 0),"请针对该题型加强练习"), "🎉 表现优异，无明显弱项！"))</f>
        <v>🎉 表现优异，无明显弱项！</v>
      </c>
      <c r="AA1026" s="5" t="str">
        <f>IF(T1026="","", IF(U1026&lt;=3, "⚠️ 薄弱环节: "&amp;INDEX($M$1:$S$1, MATCH(MIN(M1026:S1026), M1026:S1026, 0))&amp;CHAR(10)&amp;"📉 考察能力: "&amp;IFERROR(VLOOKUP(TRIM(D1026)&amp;"_"&amp;TRIM(INDEX($M$1:$S$1, MATCH(MIN(M1026:S1026), M1026:S1026, 0))), 技能库!$A:$F, 5, 0),"建议查阅考纲")&amp;CHAR(10)&amp;"💡 提升建议: "&amp;IFERROR(VLOOKUP(TRIM(D1026)&amp;"_"&amp;TRIM(INDEX($M$1:$S$1, MATCH(MIN(M1026:S1026), M1026:S1026, 0))), 技能库!$A:$F, 6, 0),"请针对该题型加强练习"), "🎉 表现优异，无明显弱项！"))</f>
        <v>🎉 表现优异，无明显弱项！</v>
      </c>
    </row>
    <row r="1027" spans="1:27" ht="18" customHeight="1" x14ac:dyDescent="0.2">
      <c r="A1027">
        <v>307</v>
      </c>
      <c r="B1027" t="s">
        <v>384</v>
      </c>
      <c r="C1027" t="s">
        <v>423</v>
      </c>
      <c r="D1027" t="s">
        <v>409</v>
      </c>
      <c r="E1027">
        <v>4</v>
      </c>
      <c r="F1027">
        <v>3</v>
      </c>
      <c r="G1027">
        <v>3</v>
      </c>
      <c r="H1027">
        <v>0</v>
      </c>
      <c r="J1027">
        <f t="shared" ref="J1027:J1047" si="48">IF(COUNT(E1027:I1027)&gt;0, SUM(E1027:I1027), "")</f>
        <v>10</v>
      </c>
      <c r="K1027">
        <f>IF(J1027="","", IFERROR(VLOOKUP(J1027, IF(D1027="Movers", 换算标准!$C:$D, 换算标准!$I:$J), 2, TRUE), 0))</f>
        <v>1</v>
      </c>
      <c r="M1027">
        <v>0</v>
      </c>
      <c r="N1027">
        <v>4</v>
      </c>
      <c r="O1027">
        <v>2</v>
      </c>
      <c r="P1027">
        <v>0</v>
      </c>
      <c r="Q1027">
        <v>1</v>
      </c>
      <c r="T1027">
        <f t="shared" ref="T1027:T1048" si="49">IF(COUNT(M1027:S1027)&gt;0, SUM(M1027:S1027), "")</f>
        <v>7</v>
      </c>
      <c r="U1027">
        <f>IF(T1027="","", IFERROR(VLOOKUP(T1027, IF(D1027="Movers", 换算标准!$A:$B, 换算标准!$G:$H), 2, TRUE), 0))</f>
        <v>1</v>
      </c>
      <c r="Z1027" s="5" t="str">
        <f>IF(J1027="","", IF(K1027&lt;=3, "⚠️ 薄弱环节: "&amp;INDEX($E$1:$I$1, MATCH(MIN(E1027:I1027), E1027:I1027, 0))&amp;CHAR(10)&amp;"📉 考察能力: "&amp;IFERROR(VLOOKUP(TRIM(D1027)&amp;"_"&amp;TRIM(INDEX($E$1:$I$1, MATCH(MIN(E1027:I1027), E1027:I1027, 0))), 技能库!$A:$F, 5, 0),"建议查阅考纲")&amp;CHAR(10)&amp;"💡 提升建议: "&amp;IFERROR(VLOOKUP(TRIM(D1027)&amp;"_"&amp;TRIM(INDEX($E$1:$I$1, MATCH(MIN(E1027:I1027), E1027:I1027, 0))), 技能库!$A:$F, 6, 0),"请针对该题型加强练习"), "🎉 表现优异，无明显弱项！"))</f>
        <v>⚠️ 薄弱环节: L-Pt4
📉 考察能力: 建议查阅考纲
💡 提升建议: 请针对该题型加强练习</v>
      </c>
      <c r="AA1027" s="5" t="str">
        <f>IF(T1027="","", IF(U1027&lt;=3, "⚠️ 薄弱环节: "&amp;INDEX($M$1:$S$1, MATCH(MIN(M1027:S1027), M1027:S1027, 0))&amp;CHAR(10)&amp;"📉 考察能力: "&amp;IFERROR(VLOOKUP(TRIM(D1027)&amp;"_"&amp;TRIM(INDEX($M$1:$S$1, MATCH(MIN(M1027:S1027), M1027:S1027, 0))), 技能库!$A:$F, 5, 0),"建议查阅考纲")&amp;CHAR(10)&amp;"💡 提升建议: "&amp;IFERROR(VLOOKUP(TRIM(D1027)&amp;"_"&amp;TRIM(INDEX($M$1:$S$1, MATCH(MIN(M1027:S1027), M1027:S1027, 0))), 技能库!$A:$F, 6, 0),"请针对该题型加强练习"), "🎉 表现优异，无明显弱项！"))</f>
        <v>⚠️ 薄弱环节: RW-Pt1
📉 考察能力: 建议查阅考纲
💡 提升建议: 请针对该题型加强练习</v>
      </c>
    </row>
    <row r="1028" spans="1:27" ht="18" customHeight="1" x14ac:dyDescent="0.2">
      <c r="A1028">
        <v>305</v>
      </c>
      <c r="B1028" t="s">
        <v>384</v>
      </c>
      <c r="C1028" t="s">
        <v>424</v>
      </c>
      <c r="D1028" t="s">
        <v>409</v>
      </c>
      <c r="E1028">
        <v>5</v>
      </c>
      <c r="F1028">
        <v>5</v>
      </c>
      <c r="G1028">
        <v>4</v>
      </c>
      <c r="H1028">
        <v>5</v>
      </c>
      <c r="J1028">
        <f t="shared" si="48"/>
        <v>19</v>
      </c>
      <c r="K1028">
        <v>5</v>
      </c>
      <c r="M1028">
        <v>3</v>
      </c>
      <c r="N1028">
        <v>5</v>
      </c>
      <c r="O1028">
        <v>1</v>
      </c>
      <c r="P1028">
        <v>5</v>
      </c>
      <c r="Q1028">
        <v>0</v>
      </c>
      <c r="T1028">
        <f t="shared" si="49"/>
        <v>14</v>
      </c>
      <c r="U1028">
        <v>2</v>
      </c>
      <c r="Z1028" s="5" t="str">
        <f>IF(J1028="","", IF(K1028&lt;=3, "⚠️ 薄弱环节: "&amp;INDEX($E$1:$I$1, MATCH(MIN(E1028:I1028), E1028:I1028, 0))&amp;CHAR(10)&amp;"📉 考察能力: "&amp;IFERROR(VLOOKUP(TRIM(D1028)&amp;"_"&amp;TRIM(INDEX($E$1:$I$1, MATCH(MIN(E1028:I1028), E1028:I1028, 0))), 技能库!$A:$F, 5, 0),"建议查阅考纲")&amp;CHAR(10)&amp;"💡 提升建议: "&amp;IFERROR(VLOOKUP(TRIM(D1028)&amp;"_"&amp;TRIM(INDEX($E$1:$I$1, MATCH(MIN(E1028:I1028), E1028:I1028, 0))), 技能库!$A:$F, 6, 0),"请针对该题型加强练习"), "🎉 表现优异，无明显弱项！"))</f>
        <v>🎉 表现优异，无明显弱项！</v>
      </c>
      <c r="AA1028" s="5" t="str">
        <f>IF(T1028="","", IF(U1028&lt;=3, "⚠️ 薄弱环节: "&amp;INDEX($M$1:$S$1, MATCH(MIN(M1028:S1028), M1028:S1028, 0))&amp;CHAR(10)&amp;"📉 考察能力: "&amp;IFERROR(VLOOKUP(TRIM(D1028)&amp;"_"&amp;TRIM(INDEX($M$1:$S$1, MATCH(MIN(M1028:S1028), M1028:S1028, 0))), 技能库!$A:$F, 5, 0),"建议查阅考纲")&amp;CHAR(10)&amp;"💡 提升建议: "&amp;IFERROR(VLOOKUP(TRIM(D1028)&amp;"_"&amp;TRIM(INDEX($M$1:$S$1, MATCH(MIN(M1028:S1028), M1028:S1028, 0))), 技能库!$A:$F, 6, 0),"请针对该题型加强练习"), "🎉 表现优异，无明显弱项！"))</f>
        <v>⚠️ 薄弱环节: RW-Pt5
📉 考察能力: 建议查阅考纲
💡 提升建议: 请针对该题型加强练习</v>
      </c>
    </row>
    <row r="1029" spans="1:27" ht="18" customHeight="1" x14ac:dyDescent="0.2">
      <c r="A1029">
        <v>305</v>
      </c>
      <c r="B1029" t="s">
        <v>384</v>
      </c>
      <c r="C1029" t="s">
        <v>426</v>
      </c>
      <c r="D1029" t="s">
        <v>135</v>
      </c>
      <c r="E1029">
        <v>5</v>
      </c>
      <c r="F1029">
        <v>0</v>
      </c>
      <c r="G1029">
        <v>4</v>
      </c>
      <c r="H1029">
        <v>5</v>
      </c>
      <c r="I1029">
        <v>3</v>
      </c>
      <c r="J1029">
        <f t="shared" si="48"/>
        <v>17</v>
      </c>
      <c r="K1029">
        <f>IF(J1029="","", IFERROR(VLOOKUP(J1029, IF(D1029="Movers", 换算标准!$C:$D, 换算标准!$I:$J), 2, TRUE), 0))</f>
        <v>3</v>
      </c>
      <c r="M1029">
        <v>8</v>
      </c>
      <c r="N1029">
        <v>2</v>
      </c>
      <c r="O1029">
        <v>0</v>
      </c>
      <c r="P1029">
        <v>4</v>
      </c>
      <c r="Q1029">
        <v>0</v>
      </c>
      <c r="R1029">
        <v>0</v>
      </c>
      <c r="S1029">
        <v>0</v>
      </c>
      <c r="T1029">
        <f t="shared" si="49"/>
        <v>14</v>
      </c>
      <c r="U1029">
        <f>IF(T1029="","", IFERROR(VLOOKUP(T1029, IF(D1029="Movers", 换算标准!$A:$B, 换算标准!$G:$H), 2, TRUE), 0))</f>
        <v>1</v>
      </c>
      <c r="Z1029" s="5" t="str">
        <f>IF(J1029="","", IF(K1029&lt;=3, "⚠️ 薄弱环节: "&amp;INDEX($E$1:$I$1, MATCH(MIN(E1029:I1029), E1029:I1029, 0))&amp;CHAR(10)&amp;"📉 考察能力: "&amp;IFERROR(VLOOKUP(TRIM(D1029)&amp;"_"&amp;TRIM(INDEX($E$1:$I$1, MATCH(MIN(E1029:I1029), E1029:I1029, 0))), 技能库!$A:$F, 5, 0),"建议查阅考纲")&amp;CHAR(10)&amp;"💡 提升建议: "&amp;IFERROR(VLOOKUP(TRIM(D1029)&amp;"_"&amp;TRIM(INDEX($E$1:$I$1, MATCH(MIN(E1029:I1029), E1029:I1029, 0))), 技能库!$A:$F, 6, 0),"请针对该题型加强练习"), "🎉 表现优异，无明显弱项！"))</f>
        <v>⚠️ 薄弱环节: L-Pt2
📉 考察能力: [听力] 听取细节并填空
💡 提升建议: 信息量增加，注意快速书写，拼写必须准确。</v>
      </c>
      <c r="AA1029" s="5" t="str">
        <f>IF(T1029="","", IF(U1029&lt;=3, "⚠️ 薄弱环节: "&amp;INDEX($M$1:$S$1, MATCH(MIN(M1029:S1029), M1029:S1029, 0))&amp;CHAR(10)&amp;"📉 考察能力: "&amp;IFERROR(VLOOKUP(TRIM(D1029)&amp;"_"&amp;TRIM(INDEX($M$1:$S$1, MATCH(MIN(M1029:S1029), M1029:S1029, 0))), 技能库!$A:$F, 5, 0),"建议查阅考纲")&amp;CHAR(10)&amp;"💡 提升建议: "&amp;IFERROR(VLOOKUP(TRIM(D1029)&amp;"_"&amp;TRIM(INDEX($M$1:$S$1, MATCH(MIN(M1029:S1029), M1029:S1029, 0))), 技能库!$A:$F, 6, 0),"请针对该题型加强练习"), "🎉 表现优异，无明显弱项！"))</f>
        <v>⚠️ 薄弱环节: RW-Pt3
📉 考察能力: [读写] 完形填空 (选词)
💡 提升建议: 考察词汇辨析和固定搭配，注意上下文连贯性。</v>
      </c>
    </row>
    <row r="1030" spans="1:27" ht="18" customHeight="1" x14ac:dyDescent="0.2">
      <c r="J1030" t="str">
        <f t="shared" si="48"/>
        <v/>
      </c>
      <c r="K1030" t="str">
        <f>IF(J1030="","", IFERROR(VLOOKUP(J1030, IF(D1030="Movers", 换算标准!$C:$D, 换算标准!$I:$J), 2, TRUE), 0))</f>
        <v/>
      </c>
      <c r="T1030" t="str">
        <f t="shared" si="49"/>
        <v/>
      </c>
      <c r="U1030" t="str">
        <f>IF(T1030="","", IFERROR(VLOOKUP(T1030, IF(D1030="Movers", 换算标准!$A:$B, 换算标准!$G:$H), 2, TRUE), 0))</f>
        <v/>
      </c>
      <c r="Z1030" s="5" t="str">
        <f>IF(J1030="","", IF(K1030&lt;=3, "⚠️ 薄弱环节: "&amp;INDEX($E$1:$I$1, MATCH(MIN(E1030:I1030), E1030:I1030, 0))&amp;CHAR(10)&amp;"📉 考察能力: "&amp;IFERROR(VLOOKUP(TRIM(D1030)&amp;"_"&amp;TRIM(INDEX($E$1:$I$1, MATCH(MIN(E1030:I1030), E1030:I1030, 0))), 技能库!$A:$F, 5, 0),"建议查阅考纲")&amp;CHAR(10)&amp;"💡 提升建议: "&amp;IFERROR(VLOOKUP(TRIM(D1030)&amp;"_"&amp;TRIM(INDEX($E$1:$I$1, MATCH(MIN(E1030:I1030), E1030:I1030, 0))), 技能库!$A:$F, 6, 0),"请针对该题型加强练习"), "🎉 表现优异，无明显弱项！"))</f>
        <v/>
      </c>
      <c r="AA1030" s="5" t="str">
        <f>IF(T1030="","", IF(U1030&lt;=3, "⚠️ 薄弱环节: "&amp;INDEX($M$1:$S$1, MATCH(MIN(M1030:S1030), M1030:S1030, 0))&amp;CHAR(10)&amp;"📉 考察能力: "&amp;IFERROR(VLOOKUP(TRIM(D1030)&amp;"_"&amp;TRIM(INDEX($M$1:$S$1, MATCH(MIN(M1030:S1030), M1030:S1030, 0))), 技能库!$A:$F, 5, 0),"建议查阅考纲")&amp;CHAR(10)&amp;"💡 提升建议: "&amp;IFERROR(VLOOKUP(TRIM(D1030)&amp;"_"&amp;TRIM(INDEX($M$1:$S$1, MATCH(MIN(M1030:S1030), M1030:S1030, 0))), 技能库!$A:$F, 6, 0),"请针对该题型加强练习"), "🎉 表现优异，无明显弱项！"))</f>
        <v/>
      </c>
    </row>
    <row r="1031" spans="1:27" ht="18" customHeight="1" x14ac:dyDescent="0.2">
      <c r="J1031" t="str">
        <f t="shared" si="48"/>
        <v/>
      </c>
      <c r="K1031" t="str">
        <f>IF(J1031="","", IFERROR(VLOOKUP(J1031, IF(D1031="Movers", 换算标准!$C:$D, 换算标准!$I:$J), 2, TRUE), 0))</f>
        <v/>
      </c>
      <c r="T1031" t="str">
        <f t="shared" si="49"/>
        <v/>
      </c>
      <c r="U1031" t="str">
        <f>IF(T1031="","", IFERROR(VLOOKUP(T1031, IF(D1031="Movers", 换算标准!$A:$B, 换算标准!$G:$H), 2, TRUE), 0))</f>
        <v/>
      </c>
      <c r="Z1031" s="5" t="str">
        <f>IF(J1031="","", IF(K1031&lt;=3, "⚠️ 薄弱环节: "&amp;INDEX($E$1:$I$1, MATCH(MIN(E1031:I1031), E1031:I1031, 0))&amp;CHAR(10)&amp;"📉 考察能力: "&amp;IFERROR(VLOOKUP(TRIM(D1031)&amp;"_"&amp;TRIM(INDEX($E$1:$I$1, MATCH(MIN(E1031:I1031), E1031:I1031, 0))), 技能库!$A:$F, 5, 0),"建议查阅考纲")&amp;CHAR(10)&amp;"💡 提升建议: "&amp;IFERROR(VLOOKUP(TRIM(D1031)&amp;"_"&amp;TRIM(INDEX($E$1:$I$1, MATCH(MIN(E1031:I1031), E1031:I1031, 0))), 技能库!$A:$F, 6, 0),"请针对该题型加强练习"), "🎉 表现优异，无明显弱项！"))</f>
        <v/>
      </c>
      <c r="AA1031" s="5" t="str">
        <f>IF(T1031="","", IF(U1031&lt;=3, "⚠️ 薄弱环节: "&amp;INDEX($M$1:$S$1, MATCH(MIN(M1031:S1031), M1031:S1031, 0))&amp;CHAR(10)&amp;"📉 考察能力: "&amp;IFERROR(VLOOKUP(TRIM(D1031)&amp;"_"&amp;TRIM(INDEX($M$1:$S$1, MATCH(MIN(M1031:S1031), M1031:S1031, 0))), 技能库!$A:$F, 5, 0),"建议查阅考纲")&amp;CHAR(10)&amp;"💡 提升建议: "&amp;IFERROR(VLOOKUP(TRIM(D1031)&amp;"_"&amp;TRIM(INDEX($M$1:$S$1, MATCH(MIN(M1031:S1031), M1031:S1031, 0))), 技能库!$A:$F, 6, 0),"请针对该题型加强练习"), "🎉 表现优异，无明显弱项！"))</f>
        <v/>
      </c>
    </row>
    <row r="1032" spans="1:27" ht="18" customHeight="1" x14ac:dyDescent="0.2">
      <c r="A1032">
        <v>301</v>
      </c>
      <c r="B1032" t="s">
        <v>338</v>
      </c>
      <c r="C1032" t="s">
        <v>368</v>
      </c>
      <c r="D1032" t="s">
        <v>135</v>
      </c>
      <c r="J1032" t="str">
        <f t="shared" si="48"/>
        <v/>
      </c>
      <c r="K1032" t="str">
        <f>IF(J1032="","", IFERROR(VLOOKUP(J1032, IF(D1032="Movers", 换算标准!$C:$D, 换算标准!$I:$J), 2, TRUE), 0))</f>
        <v/>
      </c>
      <c r="T1032" t="str">
        <f t="shared" si="49"/>
        <v/>
      </c>
      <c r="U1032" t="str">
        <f>IF(T1032="","", IFERROR(VLOOKUP(T1032, IF(D1032="Movers", 换算标准!$A:$B, 换算标准!$G:$H), 2, TRUE), 0))</f>
        <v/>
      </c>
      <c r="AA1032" s="5" t="str">
        <f>IF(T1032="","", IF(U1032&lt;=3, "⚠️ 薄弱环节: "&amp;INDEX($M$1:$S$1, MATCH(MIN(M1032:S1032), M1032:S1032, 0))&amp;CHAR(10)&amp;"📉 考察能力: "&amp;IFERROR(VLOOKUP(TRIM(D1032)&amp;"_"&amp;TRIM(INDEX($M$1:$S$1, MATCH(MIN(M1032:S1032), M1032:S1032, 0))), 技能库!$A:$F, 5, 0),"建议查阅考纲")&amp;CHAR(10)&amp;"💡 提升建议: "&amp;IFERROR(VLOOKUP(TRIM(D1032)&amp;"_"&amp;TRIM(INDEX($M$1:$S$1, MATCH(MIN(M1032:S1032), M1032:S1032, 0))), 技能库!$A:$F, 6, 0),"请针对该题型加强练习"), "🎉 表现优异，无明显弱项！"))</f>
        <v/>
      </c>
    </row>
    <row r="1033" spans="1:27" ht="18" customHeight="1" x14ac:dyDescent="0.2">
      <c r="A1033">
        <v>303</v>
      </c>
      <c r="B1033" t="s">
        <v>338</v>
      </c>
      <c r="C1033" t="s">
        <v>369</v>
      </c>
      <c r="D1033" t="s">
        <v>135</v>
      </c>
      <c r="J1033" t="str">
        <f t="shared" si="48"/>
        <v/>
      </c>
      <c r="K1033" t="str">
        <f>IF(J1033="","", IFERROR(VLOOKUP(J1033, IF(D1033="Movers", 换算标准!$C:$D, 换算标准!$I:$J), 2, TRUE), 0))</f>
        <v/>
      </c>
      <c r="T1033" t="str">
        <f t="shared" si="49"/>
        <v/>
      </c>
      <c r="U1033" t="str">
        <f>IF(T1033="","", IFERROR(VLOOKUP(T1033, IF(D1033="Movers", 换算标准!$A:$B, 换算标准!$G:$H), 2, TRUE), 0))</f>
        <v/>
      </c>
      <c r="AA1033" s="5" t="str">
        <f>IF(T1033="","", IF(U1033&lt;=3, "⚠️ 薄弱环节: "&amp;INDEX($M$1:$S$1, MATCH(MIN(M1033:S1033), M1033:S1033, 0))&amp;CHAR(10)&amp;"📉 考察能力: "&amp;IFERROR(VLOOKUP(TRIM(D1033)&amp;"_"&amp;TRIM(INDEX($M$1:$S$1, MATCH(MIN(M1033:S1033), M1033:S1033, 0))), 技能库!$A:$F, 5, 0),"建议查阅考纲")&amp;CHAR(10)&amp;"💡 提升建议: "&amp;IFERROR(VLOOKUP(TRIM(D1033)&amp;"_"&amp;TRIM(INDEX($M$1:$S$1, MATCH(MIN(M1033:S1033), M1033:S1033, 0))), 技能库!$A:$F, 6, 0),"请针对该题型加强练习"), "🎉 表现优异，无明显弱项！"))</f>
        <v/>
      </c>
    </row>
    <row r="1034" spans="1:27" ht="18" customHeight="1" x14ac:dyDescent="0.2">
      <c r="A1034">
        <v>303</v>
      </c>
      <c r="B1034" t="s">
        <v>338</v>
      </c>
      <c r="C1034" t="s">
        <v>370</v>
      </c>
      <c r="D1034" t="s">
        <v>135</v>
      </c>
      <c r="J1034" t="str">
        <f t="shared" si="48"/>
        <v/>
      </c>
      <c r="K1034" t="str">
        <f>IF(J1034="","", IFERROR(VLOOKUP(J1034, IF(D1034="Movers", 换算标准!$C:$D, 换算标准!$I:$J), 2, TRUE), 0))</f>
        <v/>
      </c>
      <c r="T1034" t="str">
        <f t="shared" si="49"/>
        <v/>
      </c>
      <c r="U1034" t="str">
        <f>IF(T1034="","", IFERROR(VLOOKUP(T1034, IF(D1034="Movers", 换算标准!$A:$B, 换算标准!$G:$H), 2, TRUE), 0))</f>
        <v/>
      </c>
      <c r="AA1034" s="5" t="str">
        <f>IF(T1034="","", IF(U1034&lt;=3, "⚠️ 薄弱环节: "&amp;INDEX($M$1:$S$1, MATCH(MIN(M1034:S1034), M1034:S1034, 0))&amp;CHAR(10)&amp;"📉 考察能力: "&amp;IFERROR(VLOOKUP(TRIM(D1034)&amp;"_"&amp;TRIM(INDEX($M$1:$S$1, MATCH(MIN(M1034:S1034), M1034:S1034, 0))), 技能库!$A:$F, 5, 0),"建议查阅考纲")&amp;CHAR(10)&amp;"💡 提升建议: "&amp;IFERROR(VLOOKUP(TRIM(D1034)&amp;"_"&amp;TRIM(INDEX($M$1:$S$1, MATCH(MIN(M1034:S1034), M1034:S1034, 0))), 技能库!$A:$F, 6, 0),"请针对该题型加强练习"), "🎉 表现优异，无明显弱项！"))</f>
        <v/>
      </c>
    </row>
    <row r="1035" spans="1:27" ht="18" customHeight="1" x14ac:dyDescent="0.2">
      <c r="A1035">
        <v>303</v>
      </c>
      <c r="B1035" t="s">
        <v>338</v>
      </c>
      <c r="C1035" t="s">
        <v>371</v>
      </c>
      <c r="D1035" t="s">
        <v>135</v>
      </c>
      <c r="J1035" t="str">
        <f t="shared" si="48"/>
        <v/>
      </c>
      <c r="K1035" t="str">
        <f>IF(J1035="","", IFERROR(VLOOKUP(J1035, IF(D1035="Movers", 换算标准!$C:$D, 换算标准!$I:$J), 2, TRUE), 0))</f>
        <v/>
      </c>
      <c r="T1035" t="str">
        <f t="shared" si="49"/>
        <v/>
      </c>
      <c r="U1035" t="str">
        <f>IF(T1035="","", IFERROR(VLOOKUP(T1035, IF(D1035="Movers", 换算标准!$A:$B, 换算标准!$G:$H), 2, TRUE), 0))</f>
        <v/>
      </c>
    </row>
    <row r="1036" spans="1:27" ht="18" customHeight="1" x14ac:dyDescent="0.2">
      <c r="A1036">
        <v>303</v>
      </c>
      <c r="B1036" t="s">
        <v>338</v>
      </c>
      <c r="C1036" t="s">
        <v>372</v>
      </c>
      <c r="D1036" t="s">
        <v>135</v>
      </c>
      <c r="J1036" t="str">
        <f t="shared" si="48"/>
        <v/>
      </c>
      <c r="K1036" t="str">
        <f>IF(J1036="","", IFERROR(VLOOKUP(J1036, IF(D1036="Movers", 换算标准!$C:$D, 换算标准!$I:$J), 2, TRUE), 0))</f>
        <v/>
      </c>
      <c r="T1036" t="str">
        <f t="shared" si="49"/>
        <v/>
      </c>
      <c r="U1036" t="str">
        <f>IF(T1036="","", IFERROR(VLOOKUP(T1036, IF(D1036="Movers", 换算标准!$A:$B, 换算标准!$G:$H), 2, TRUE), 0))</f>
        <v/>
      </c>
    </row>
    <row r="1037" spans="1:27" ht="18" customHeight="1" x14ac:dyDescent="0.2">
      <c r="A1037">
        <v>305</v>
      </c>
      <c r="B1037" t="s">
        <v>338</v>
      </c>
      <c r="C1037" t="s">
        <v>373</v>
      </c>
      <c r="D1037" t="s">
        <v>135</v>
      </c>
      <c r="J1037" t="str">
        <f t="shared" si="48"/>
        <v/>
      </c>
      <c r="K1037" t="str">
        <f>IF(J1037="","", IFERROR(VLOOKUP(J1037, IF(D1037="Movers", 换算标准!$C:$D, 换算标准!$I:$J), 2, TRUE), 0))</f>
        <v/>
      </c>
      <c r="T1037" t="str">
        <f t="shared" si="49"/>
        <v/>
      </c>
      <c r="U1037" t="str">
        <f>IF(T1037="","", IFERROR(VLOOKUP(T1037, IF(D1037="Movers", 换算标准!$A:$B, 换算标准!$G:$H), 2, TRUE), 0))</f>
        <v/>
      </c>
    </row>
    <row r="1038" spans="1:27" ht="18" customHeight="1" x14ac:dyDescent="0.2">
      <c r="A1038">
        <v>307</v>
      </c>
      <c r="B1038" t="s">
        <v>338</v>
      </c>
      <c r="C1038" t="s">
        <v>374</v>
      </c>
      <c r="D1038" t="s">
        <v>135</v>
      </c>
      <c r="J1038" t="str">
        <f t="shared" si="48"/>
        <v/>
      </c>
      <c r="K1038" t="str">
        <f>IF(J1038="","", IFERROR(VLOOKUP(J1038, IF(D1038="Movers", 换算标准!$C:$D, 换算标准!$I:$J), 2, TRUE), 0))</f>
        <v/>
      </c>
      <c r="T1038" t="str">
        <f t="shared" si="49"/>
        <v/>
      </c>
      <c r="U1038" t="str">
        <f>IF(T1038="","", IFERROR(VLOOKUP(T1038, IF(D1038="Movers", 换算标准!$A:$B, 换算标准!$G:$H), 2, TRUE), 0))</f>
        <v/>
      </c>
    </row>
    <row r="1039" spans="1:27" ht="18" customHeight="1" x14ac:dyDescent="0.2">
      <c r="A1039">
        <v>301</v>
      </c>
      <c r="B1039" t="s">
        <v>338</v>
      </c>
      <c r="C1039" t="s">
        <v>375</v>
      </c>
      <c r="D1039" t="s">
        <v>135</v>
      </c>
      <c r="J1039" t="str">
        <f t="shared" si="48"/>
        <v/>
      </c>
      <c r="K1039" t="str">
        <f>IF(J1039="","", IFERROR(VLOOKUP(J1039, IF(D1039="Movers", 换算标准!$C:$D, 换算标准!$I:$J), 2, TRUE), 0))</f>
        <v/>
      </c>
      <c r="T1039" t="str">
        <f t="shared" si="49"/>
        <v/>
      </c>
      <c r="U1039" t="str">
        <f>IF(T1039="","", IFERROR(VLOOKUP(T1039, IF(D1039="Movers", 换算标准!$A:$B, 换算标准!$G:$H), 2, TRUE), 0))</f>
        <v/>
      </c>
    </row>
    <row r="1040" spans="1:27" ht="18" customHeight="1" x14ac:dyDescent="0.2">
      <c r="A1040">
        <v>303</v>
      </c>
      <c r="B1040" t="s">
        <v>338</v>
      </c>
      <c r="C1040" t="s">
        <v>376</v>
      </c>
      <c r="D1040" t="s">
        <v>135</v>
      </c>
      <c r="J1040" t="str">
        <f t="shared" si="48"/>
        <v/>
      </c>
      <c r="K1040" t="str">
        <f>IF(J1040="","", IFERROR(VLOOKUP(J1040, IF(D1040="Movers", 换算标准!$C:$D, 换算标准!$I:$J), 2, TRUE), 0))</f>
        <v/>
      </c>
      <c r="T1040" t="str">
        <f t="shared" si="49"/>
        <v/>
      </c>
      <c r="U1040" t="str">
        <f>IF(T1040="","", IFERROR(VLOOKUP(T1040, IF(D1040="Movers", 换算标准!$A:$B, 换算标准!$G:$H), 2, TRUE), 0))</f>
        <v/>
      </c>
    </row>
    <row r="1041" spans="1:21" ht="18" customHeight="1" x14ac:dyDescent="0.2">
      <c r="A1041">
        <v>307</v>
      </c>
      <c r="B1041" t="s">
        <v>338</v>
      </c>
      <c r="C1041" t="s">
        <v>377</v>
      </c>
      <c r="D1041" t="s">
        <v>135</v>
      </c>
      <c r="J1041" t="str">
        <f t="shared" si="48"/>
        <v/>
      </c>
      <c r="K1041" t="str">
        <f>IF(J1041="","", IFERROR(VLOOKUP(J1041, IF(D1041="Movers", 换算标准!$C:$D, 换算标准!$I:$J), 2, TRUE), 0))</f>
        <v/>
      </c>
      <c r="T1041" t="str">
        <f t="shared" si="49"/>
        <v/>
      </c>
      <c r="U1041" t="str">
        <f>IF(T1041="","", IFERROR(VLOOKUP(T1041, IF(D1041="Movers", 换算标准!$A:$B, 换算标准!$G:$H), 2, TRUE), 0))</f>
        <v/>
      </c>
    </row>
    <row r="1042" spans="1:21" ht="18" customHeight="1" x14ac:dyDescent="0.2">
      <c r="A1042">
        <v>303</v>
      </c>
      <c r="B1042" t="s">
        <v>338</v>
      </c>
      <c r="C1042" t="s">
        <v>378</v>
      </c>
      <c r="D1042" t="s">
        <v>135</v>
      </c>
      <c r="J1042" t="str">
        <f t="shared" si="48"/>
        <v/>
      </c>
      <c r="K1042" t="str">
        <f>IF(J1042="","", IFERROR(VLOOKUP(J1042, IF(D1042="Movers", 换算标准!$C:$D, 换算标准!$I:$J), 2, TRUE), 0))</f>
        <v/>
      </c>
      <c r="T1042" t="str">
        <f t="shared" si="49"/>
        <v/>
      </c>
      <c r="U1042" t="str">
        <f>IF(T1042="","", IFERROR(VLOOKUP(T1042, IF(D1042="Movers", 换算标准!$A:$B, 换算标准!$G:$H), 2, TRUE), 0))</f>
        <v/>
      </c>
    </row>
    <row r="1043" spans="1:21" ht="18" customHeight="1" x14ac:dyDescent="0.2">
      <c r="A1043">
        <v>307</v>
      </c>
      <c r="B1043" t="s">
        <v>338</v>
      </c>
      <c r="C1043" t="s">
        <v>379</v>
      </c>
      <c r="D1043" t="s">
        <v>135</v>
      </c>
      <c r="J1043" t="str">
        <f t="shared" si="48"/>
        <v/>
      </c>
      <c r="K1043" t="str">
        <f>IF(J1043="","", IFERROR(VLOOKUP(J1043, IF(D1043="Movers", 换算标准!$C:$D, 换算标准!$I:$J), 2, TRUE), 0))</f>
        <v/>
      </c>
      <c r="T1043" t="str">
        <f t="shared" si="49"/>
        <v/>
      </c>
      <c r="U1043" t="str">
        <f>IF(T1043="","", IFERROR(VLOOKUP(T1043, IF(D1043="Movers", 换算标准!$A:$B, 换算标准!$G:$H), 2, TRUE), 0))</f>
        <v/>
      </c>
    </row>
    <row r="1044" spans="1:21" ht="18" customHeight="1" x14ac:dyDescent="0.2">
      <c r="A1044">
        <v>303</v>
      </c>
      <c r="B1044" t="s">
        <v>338</v>
      </c>
      <c r="C1044" t="s">
        <v>381</v>
      </c>
      <c r="D1044" t="s">
        <v>135</v>
      </c>
    </row>
    <row r="1045" spans="1:21" ht="18" customHeight="1" x14ac:dyDescent="0.2">
      <c r="A1045">
        <v>303</v>
      </c>
      <c r="B1045" t="s">
        <v>338</v>
      </c>
      <c r="C1045" t="s">
        <v>380</v>
      </c>
      <c r="D1045" t="s">
        <v>86</v>
      </c>
      <c r="J1045" t="str">
        <f t="shared" si="48"/>
        <v/>
      </c>
      <c r="K1045" t="str">
        <f>IF(J1045="","", IFERROR(VLOOKUP(J1045, IF(D1045="Movers", 换算标准!$C:$D, 换算标准!$I:$J), 2, TRUE), 0))</f>
        <v/>
      </c>
      <c r="T1045" t="str">
        <f t="shared" si="49"/>
        <v/>
      </c>
      <c r="U1045" t="str">
        <f>IF(T1045="","", IFERROR(VLOOKUP(T1045, IF(D1045="Movers", 换算标准!$A:$B, 换算标准!$G:$H), 2, TRUE), 0))</f>
        <v/>
      </c>
    </row>
    <row r="1046" spans="1:21" ht="18" customHeight="1" x14ac:dyDescent="0.2">
      <c r="A1046">
        <v>301</v>
      </c>
      <c r="B1046" t="s">
        <v>338</v>
      </c>
      <c r="C1046" t="s">
        <v>382</v>
      </c>
      <c r="D1046" t="s">
        <v>86</v>
      </c>
      <c r="J1046" t="str">
        <f t="shared" si="48"/>
        <v/>
      </c>
      <c r="K1046" t="str">
        <f>IF(J1046="","", IFERROR(VLOOKUP(J1046, IF(D1046="Movers", 换算标准!$C:$D, 换算标准!$I:$J), 2, TRUE), 0))</f>
        <v/>
      </c>
      <c r="T1046" t="str">
        <f t="shared" si="49"/>
        <v/>
      </c>
      <c r="U1046" t="str">
        <f>IF(T1046="","", IFERROR(VLOOKUP(T1046, IF(D1046="Movers", 换算标准!$A:$B, 换算标准!$G:$H), 2, TRUE), 0))</f>
        <v/>
      </c>
    </row>
    <row r="1047" spans="1:21" ht="18" customHeight="1" x14ac:dyDescent="0.2">
      <c r="A1047">
        <v>303</v>
      </c>
      <c r="B1047" t="s">
        <v>338</v>
      </c>
      <c r="C1047" t="s">
        <v>383</v>
      </c>
      <c r="D1047" t="s">
        <v>86</v>
      </c>
      <c r="J1047" t="str">
        <f t="shared" si="48"/>
        <v/>
      </c>
      <c r="K1047" t="str">
        <f>IF(J1047="","", IFERROR(VLOOKUP(J1047, IF(D1047="Movers", 换算标准!$C:$D, 换算标准!$I:$J), 2, TRUE), 0))</f>
        <v/>
      </c>
      <c r="T1047" t="str">
        <f t="shared" si="49"/>
        <v/>
      </c>
      <c r="U1047" t="str">
        <f>IF(T1047="","", IFERROR(VLOOKUP(T1047, IF(D1047="Movers", 换算标准!$A:$B, 换算标准!$G:$H), 2, TRUE), 0))</f>
        <v/>
      </c>
    </row>
    <row r="1048" spans="1:21" ht="18" customHeight="1" x14ac:dyDescent="0.2">
      <c r="T1048" t="str">
        <f t="shared" si="49"/>
        <v/>
      </c>
      <c r="U1048" t="str">
        <f>IF(T1048="","", IFERROR(VLOOKUP(T1048, IF(D1048="Movers", 换算标准!$A:$B, 换算标准!$G:$H), 2, TRUE), 0))</f>
        <v/>
      </c>
    </row>
    <row r="1049" spans="1:21" ht="18" customHeight="1" x14ac:dyDescent="0.2">
      <c r="U1049" t="str">
        <f>IF(T1049="","", IFERROR(VLOOKUP(T1049, IF(D1049="Movers", 换算标准!$A:$B, 换算标准!$G:$H), 2, TRUE), 0))</f>
        <v/>
      </c>
    </row>
  </sheetData>
  <autoFilter ref="A1:AB1000" xr:uid="{00000000-0009-0000-0000-000005000000}">
    <filterColumn colId="1">
      <filters>
        <filter val="A2"/>
      </filters>
    </filterColumn>
  </autoFilter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4" t="s">
        <v>291</v>
      </c>
      <c r="B1" s="4" t="s">
        <v>303</v>
      </c>
      <c r="C1" s="4" t="s">
        <v>290</v>
      </c>
      <c r="D1" s="4" t="s">
        <v>80</v>
      </c>
      <c r="E1" s="4" t="s">
        <v>165</v>
      </c>
      <c r="F1" s="4" t="s">
        <v>169</v>
      </c>
      <c r="G1" s="4" t="s">
        <v>173</v>
      </c>
      <c r="H1" s="4" t="s">
        <v>177</v>
      </c>
      <c r="I1" s="4" t="s">
        <v>181</v>
      </c>
      <c r="J1" s="4" t="s">
        <v>185</v>
      </c>
      <c r="K1" s="4" t="s">
        <v>268</v>
      </c>
      <c r="L1" s="4" t="s">
        <v>293</v>
      </c>
      <c r="M1" s="4" t="s">
        <v>188</v>
      </c>
      <c r="N1" s="4" t="s">
        <v>192</v>
      </c>
      <c r="O1" s="4" t="s">
        <v>295</v>
      </c>
      <c r="P1" s="4" t="s">
        <v>87</v>
      </c>
      <c r="Q1" s="4" t="s">
        <v>91</v>
      </c>
      <c r="R1" s="4" t="s">
        <v>95</v>
      </c>
      <c r="S1" s="4" t="s">
        <v>99</v>
      </c>
      <c r="T1" s="4" t="s">
        <v>103</v>
      </c>
      <c r="U1" s="4" t="s">
        <v>297</v>
      </c>
      <c r="V1" s="4" t="s">
        <v>411</v>
      </c>
      <c r="W1" s="4" t="s">
        <v>299</v>
      </c>
      <c r="X1" s="4" t="s">
        <v>412</v>
      </c>
      <c r="Y1" s="4" t="s">
        <v>413</v>
      </c>
      <c r="Z1" s="4" t="s">
        <v>414</v>
      </c>
    </row>
    <row r="2" spans="1:26" x14ac:dyDescent="0.2">
      <c r="A2" t="str">
        <f>IF(MSE成绩库!C2="","", MSE成绩库!C2)</f>
        <v>祝沐妍 Mia Zhu</v>
      </c>
      <c r="B2" t="str">
        <f>IF(MSE成绩库!AD2="","", MSE成绩库!AD2)</f>
        <v>2024-01-15</v>
      </c>
      <c r="C2" t="str">
        <f>IF(MSE成绩库!B2="","", MSE成绩库!B2)</f>
        <v>B1</v>
      </c>
      <c r="D2" t="str">
        <f>IF(MSE成绩库!D2="","", MSE成绩库!D2)</f>
        <v>PET</v>
      </c>
      <c r="E2">
        <f>IF(MSE成绩库!C2="","", MSE成绩库!E2)</f>
        <v>3</v>
      </c>
      <c r="F2">
        <f>IF(MSE成绩库!C2="","", MSE成绩库!F2)</f>
        <v>1</v>
      </c>
      <c r="G2">
        <f>IF(MSE成绩库!C2="","", MSE成绩库!G2)</f>
        <v>3</v>
      </c>
      <c r="H2">
        <f>IF(MSE成绩库!C2="","", MSE成绩库!H2)</f>
        <v>0</v>
      </c>
      <c r="I2">
        <f>IF(MSE成绩库!C2="","", MSE成绩库!I2)</f>
        <v>3</v>
      </c>
      <c r="J2">
        <f>IF(MSE成绩库!C2="","", MSE成绩库!J2)</f>
        <v>4</v>
      </c>
      <c r="K2">
        <f>IF(MSE成绩库!C2="","", MSE成绩库!K2)</f>
        <v>0</v>
      </c>
      <c r="L2">
        <f>IF(MSE成绩库!C2="","", MSE成绩库!M2)</f>
        <v>122</v>
      </c>
      <c r="M2">
        <f>IF(MSE成绩库!C2="","", MSE成绩库!N2)</f>
        <v>0</v>
      </c>
      <c r="N2">
        <f>IF(MSE成绩库!C2="","", MSE成绩库!O2)</f>
        <v>0</v>
      </c>
      <c r="O2" t="str">
        <f>IF(MSE成绩库!C2="","", MSE成绩库!Q2)</f>
        <v/>
      </c>
      <c r="P2">
        <f>IF(MSE成绩库!C2="","", MSE成绩库!R2)</f>
        <v>7</v>
      </c>
      <c r="Q2">
        <f>IF(MSE成绩库!C2="","", MSE成绩库!S2)</f>
        <v>4</v>
      </c>
      <c r="R2">
        <f>IF(MSE成绩库!C2="","", MSE成绩库!T2)</f>
        <v>6</v>
      </c>
      <c r="S2">
        <f>IF(MSE成绩库!C2="","", MSE成绩库!U2)</f>
        <v>4</v>
      </c>
      <c r="T2">
        <f>IF(MSE成绩库!C2="","", MSE成绩库!V2)</f>
        <v>0</v>
      </c>
      <c r="U2">
        <f>IF(MSE成绩库!C2="","", MSE成绩库!X2)</f>
        <v>152</v>
      </c>
      <c r="V2">
        <f>IF(MSE成绩库!C2="","", MSE成绩库!Y2)</f>
        <v>137</v>
      </c>
      <c r="W2" t="str">
        <f>IF(MSE成绩库!C2="","", MSE成绩库!Z2)</f>
        <v/>
      </c>
      <c r="X2" t="str">
        <f>IF(MSE成绩库!C2="","", MSE成绩库!AA2)</f>
        <v>⚠️ 薄弱环节: R-Pt4
📉 考察能力: [阅读] 句子还原 (填空)
💡 提升建议: 逻辑性极强，需关注代词指代和上下文逻辑连接词。</v>
      </c>
      <c r="Y2" t="str">
        <f>IF(MSE成绩库!C2="","", MSE成绩库!AB2)</f>
        <v/>
      </c>
      <c r="Z2" t="str">
        <f>IF(MSE成绩库!C2="","", MSE成绩库!AC2)</f>
        <v>⚠️ 薄弱环节: L-Pt2
📉 考察能力: [听力] 多选 (短对话)
💡 提升建议: 听懂说话人的态度、观点和意图。</v>
      </c>
    </row>
    <row r="3" spans="1:26" x14ac:dyDescent="0.2">
      <c r="A3" t="str">
        <f>IF(MSE成绩库!C3="","", MSE成绩库!C3)</f>
        <v>孙雨萱 Annie Sun</v>
      </c>
      <c r="B3" t="str">
        <f>IF(MSE成绩库!AD3="","", MSE成绩库!AD3)</f>
        <v>2024-01-15</v>
      </c>
      <c r="C3" t="str">
        <f>IF(MSE成绩库!B3="","", MSE成绩库!B3)</f>
        <v>B1</v>
      </c>
      <c r="D3" t="str">
        <f>IF(MSE成绩库!D3="","", MSE成绩库!D3)</f>
        <v>PET</v>
      </c>
      <c r="E3">
        <f>IF(MSE成绩库!C3="","", MSE成绩库!E3)</f>
        <v>4</v>
      </c>
      <c r="F3">
        <f>IF(MSE成绩库!C3="","", MSE成绩库!F3)</f>
        <v>1</v>
      </c>
      <c r="G3">
        <f>IF(MSE成绩库!C3="","", MSE成绩库!G3)</f>
        <v>4</v>
      </c>
      <c r="H3">
        <f>IF(MSE成绩库!C3="","", MSE成绩库!H3)</f>
        <v>2</v>
      </c>
      <c r="I3">
        <f>IF(MSE成绩库!C3="","", MSE成绩库!I3)</f>
        <v>2</v>
      </c>
      <c r="J3">
        <f>IF(MSE成绩库!C3="","", MSE成绩库!J3)</f>
        <v>4</v>
      </c>
      <c r="K3">
        <f>IF(MSE成绩库!C3="","", MSE成绩库!K3)</f>
        <v>0</v>
      </c>
      <c r="L3">
        <f>IF(MSE成绩库!C3="","", MSE成绩库!M3)</f>
        <v>128</v>
      </c>
      <c r="M3">
        <f>IF(MSE成绩库!C3="","", MSE成绩库!N3)</f>
        <v>0</v>
      </c>
      <c r="N3">
        <f>IF(MSE成绩库!C3="","", MSE成绩库!O3)</f>
        <v>0</v>
      </c>
      <c r="O3" t="str">
        <f>IF(MSE成绩库!C3="","", MSE成绩库!Q3)</f>
        <v/>
      </c>
      <c r="P3">
        <f>IF(MSE成绩库!C3="","", MSE成绩库!R3)</f>
        <v>7</v>
      </c>
      <c r="Q3">
        <f>IF(MSE成绩库!C3="","", MSE成绩库!S3)</f>
        <v>5</v>
      </c>
      <c r="R3">
        <f>IF(MSE成绩库!C3="","", MSE成绩库!T3)</f>
        <v>5</v>
      </c>
      <c r="S3">
        <f>IF(MSE成绩库!C3="","", MSE成绩库!U3)</f>
        <v>2</v>
      </c>
      <c r="T3">
        <f>IF(MSE成绩库!C3="","", MSE成绩库!V3)</f>
        <v>0</v>
      </c>
      <c r="U3">
        <f>IF(MSE成绩库!C3="","", MSE成绩库!X3)</f>
        <v>144</v>
      </c>
      <c r="V3">
        <f>IF(MSE成绩库!C3="","", MSE成绩库!Y3)</f>
        <v>136</v>
      </c>
      <c r="W3" t="str">
        <f>IF(MSE成绩库!C3="","", MSE成绩库!Z3)</f>
        <v/>
      </c>
      <c r="X3" t="str">
        <f>IF(MSE成绩库!C3="","", MSE成绩库!AA3)</f>
        <v>⚠️ 薄弱环节: R-Pt2
📉 考察能力: [阅读] 人物与描述匹配
💡 提升建议: 阅读量大，练习划关键词，寻找完全匹配项。</v>
      </c>
      <c r="Y3" t="str">
        <f>IF(MSE成绩库!C3="","", MSE成绩库!AB3)</f>
        <v/>
      </c>
      <c r="Z3" t="str">
        <f>IF(MSE成绩库!C3="","", MSE成绩库!AC3)</f>
        <v>⚠️ 薄弱环节: L-Pt4
📉 考察能力: [听力] 多选 (长采访)
💡 提升建议: 听懂详细的观点阐述，理解对话深层逻辑。</v>
      </c>
    </row>
    <row r="4" spans="1:26" x14ac:dyDescent="0.2">
      <c r="A4" t="str">
        <f>IF(MSE成绩库!C4="","", MSE成绩库!C4)</f>
        <v>戴依唯 Ivy Dai</v>
      </c>
      <c r="B4" t="str">
        <f>IF(MSE成绩库!AD4="","", MSE成绩库!AD4)</f>
        <v>2024-01-15</v>
      </c>
      <c r="C4" t="str">
        <f>IF(MSE成绩库!B4="","", MSE成绩库!B4)</f>
        <v>B1</v>
      </c>
      <c r="D4" t="str">
        <f>IF(MSE成绩库!D4="","", MSE成绩库!D4)</f>
        <v>PET</v>
      </c>
      <c r="E4">
        <f>IF(MSE成绩库!C4="","", MSE成绩库!E4)</f>
        <v>3</v>
      </c>
      <c r="F4">
        <f>IF(MSE成绩库!C4="","", MSE成绩库!F4)</f>
        <v>5</v>
      </c>
      <c r="G4">
        <f>IF(MSE成绩库!C4="","", MSE成绩库!G4)</f>
        <v>2</v>
      </c>
      <c r="H4">
        <f>IF(MSE成绩库!C4="","", MSE成绩库!H4)</f>
        <v>0</v>
      </c>
      <c r="I4">
        <f>IF(MSE成绩库!C4="","", MSE成绩库!I4)</f>
        <v>0</v>
      </c>
      <c r="J4">
        <f>IF(MSE成绩库!C4="","", MSE成绩库!J4)</f>
        <v>0</v>
      </c>
      <c r="K4">
        <f>IF(MSE成绩库!C4="","", MSE成绩库!K4)</f>
        <v>0</v>
      </c>
      <c r="L4">
        <f>IF(MSE成绩库!C4="","", MSE成绩库!M4)</f>
        <v>0</v>
      </c>
      <c r="M4">
        <f>IF(MSE成绩库!C4="","", MSE成绩库!N4)</f>
        <v>0</v>
      </c>
      <c r="N4">
        <f>IF(MSE成绩库!C4="","", MSE成绩库!O4)</f>
        <v>0</v>
      </c>
      <c r="O4" t="str">
        <f>IF(MSE成绩库!C4="","", MSE成绩库!Q4)</f>
        <v/>
      </c>
      <c r="P4">
        <f>IF(MSE成绩库!C4="","", MSE成绩库!R4)</f>
        <v>7</v>
      </c>
      <c r="Q4">
        <f>IF(MSE成绩库!C4="","", MSE成绩库!S4)</f>
        <v>5</v>
      </c>
      <c r="R4">
        <f>IF(MSE成绩库!C4="","", MSE成绩库!T4)</f>
        <v>3</v>
      </c>
      <c r="S4">
        <f>IF(MSE成绩库!C4="","", MSE成绩库!U4)</f>
        <v>3</v>
      </c>
      <c r="T4">
        <f>IF(MSE成绩库!C4="","", MSE成绩库!V4)</f>
        <v>0</v>
      </c>
      <c r="U4">
        <f>IF(MSE成绩库!C4="","", MSE成绩库!X4)</f>
        <v>140</v>
      </c>
      <c r="V4">
        <f>IF(MSE成绩库!C4="","", MSE成绩库!Y4)</f>
        <v>70</v>
      </c>
      <c r="W4" t="str">
        <f>IF(MSE成绩库!C4="","", MSE成绩库!Z4)</f>
        <v/>
      </c>
      <c r="X4" t="str">
        <f>IF(MSE成绩库!C4="","", MSE成绩库!AA4)</f>
        <v>⚠️ 薄弱环节: R-Pt3
📉 考察能力: [阅读] 长文理解 (多选)
💡 提升建议: 深入理解文章结构，区分事实与观点。</v>
      </c>
      <c r="Y4" t="str">
        <f>IF(MSE成绩库!C4="","", MSE成绩库!AB4)</f>
        <v/>
      </c>
      <c r="Z4" t="str">
        <f>IF(MSE成绩库!C4="","", MSE成绩库!AC4)</f>
        <v>⚠️ 薄弱环节: L-Pt3
📉 考察能力: [听力] 填空 (长独白)
💡 提升建议: 听懂说明性文字，捕捉并准确拼写关键名词或数字。</v>
      </c>
    </row>
    <row r="5" spans="1:26" x14ac:dyDescent="0.2">
      <c r="A5" t="str">
        <f>IF(MSE成绩库!C5="","", MSE成绩库!C5)</f>
        <v xml:space="preserve">项思为 Emma Xiang </v>
      </c>
      <c r="B5" t="str">
        <f>IF(MSE成绩库!AD5="","", MSE成绩库!AD5)</f>
        <v>2024-01-15</v>
      </c>
      <c r="C5" t="str">
        <f>IF(MSE成绩库!B5="","", MSE成绩库!B5)</f>
        <v>B1</v>
      </c>
      <c r="D5" t="str">
        <f>IF(MSE成绩库!D5="","", MSE成绩库!D5)</f>
        <v>PET</v>
      </c>
      <c r="E5">
        <f>IF(MSE成绩库!C5="","", MSE成绩库!E5)</f>
        <v>1</v>
      </c>
      <c r="F5">
        <f>IF(MSE成绩库!C5="","", MSE成绩库!F5)</f>
        <v>1</v>
      </c>
      <c r="G5">
        <f>IF(MSE成绩库!C5="","", MSE成绩库!G5)</f>
        <v>1</v>
      </c>
      <c r="H5">
        <f>IF(MSE成绩库!C5="","", MSE成绩库!H5)</f>
        <v>1</v>
      </c>
      <c r="I5">
        <f>IF(MSE成绩库!C5="","", MSE成绩库!I5)</f>
        <v>3</v>
      </c>
      <c r="J5">
        <f>IF(MSE成绩库!C5="","", MSE成绩库!J5)</f>
        <v>3</v>
      </c>
      <c r="K5">
        <f>IF(MSE成绩库!C5="","", MSE成绩库!K5)</f>
        <v>0</v>
      </c>
      <c r="L5">
        <f>IF(MSE成绩库!C5="","", MSE成绩库!M5)</f>
        <v>0</v>
      </c>
      <c r="M5">
        <f>IF(MSE成绩库!C5="","", MSE成绩库!N5)</f>
        <v>0</v>
      </c>
      <c r="N5">
        <f>IF(MSE成绩库!C5="","", MSE成绩库!O5)</f>
        <v>0</v>
      </c>
      <c r="O5" t="str">
        <f>IF(MSE成绩库!C5="","", MSE成绩库!Q5)</f>
        <v/>
      </c>
      <c r="P5">
        <f>IF(MSE成绩库!C5="","", MSE成绩库!R5)</f>
        <v>7</v>
      </c>
      <c r="Q5">
        <f>IF(MSE成绩库!C5="","", MSE成绩库!S5)</f>
        <v>5</v>
      </c>
      <c r="R5">
        <f>IF(MSE成绩库!C5="","", MSE成绩库!T5)</f>
        <v>3</v>
      </c>
      <c r="S5">
        <f>IF(MSE成绩库!C5="","", MSE成绩库!U5)</f>
        <v>2</v>
      </c>
      <c r="T5">
        <f>IF(MSE成绩库!C5="","", MSE成绩库!V5)</f>
        <v>0</v>
      </c>
      <c r="U5">
        <f>IF(MSE成绩库!C5="","", MSE成绩库!X5)</f>
        <v>137</v>
      </c>
      <c r="V5">
        <f>IF(MSE成绩库!C5="","", MSE成绩库!Y5)</f>
        <v>68.5</v>
      </c>
      <c r="W5" t="str">
        <f>IF(MSE成绩库!C5="","", MSE成绩库!Z5)</f>
        <v/>
      </c>
      <c r="X5" t="str">
        <f>IF(MSE成绩库!C5="","", MSE成绩库!AA5)</f>
        <v>⚠️ 薄弱环节: R-Pt1
📉 考察能力: [阅读] 短讯息主旨
💡 提升建议: 注意细微的情感态度差异，理解隐含意义。</v>
      </c>
      <c r="Y5" t="str">
        <f>IF(MSE成绩库!C5="","", MSE成绩库!AB5)</f>
        <v/>
      </c>
      <c r="Z5" t="str">
        <f>IF(MSE成绩库!C5="","", MSE成绩库!AC5)</f>
        <v>⚠️ 薄弱环节: L-Pt4
📉 考察能力: [听力] 多选 (长采访)
💡 提升建议: 听懂详细的观点阐述，理解对话深层逻辑。</v>
      </c>
    </row>
    <row r="6" spans="1:26" x14ac:dyDescent="0.2">
      <c r="A6" t="str">
        <f>IF(MSE成绩库!C6="","", MSE成绩库!C6)</f>
        <v>孙梓木 Jackson Sun</v>
      </c>
      <c r="B6" t="str">
        <f>IF(MSE成绩库!AD6="","", MSE成绩库!AD6)</f>
        <v>2024-01-15</v>
      </c>
      <c r="C6" t="str">
        <f>IF(MSE成绩库!B6="","", MSE成绩库!B6)</f>
        <v>B1</v>
      </c>
      <c r="D6" t="str">
        <f>IF(MSE成绩库!D6="","", MSE成绩库!D6)</f>
        <v>KET</v>
      </c>
      <c r="E6">
        <f>IF(MSE成绩库!C6="","", MSE成绩库!E6)</f>
        <v>0</v>
      </c>
      <c r="F6">
        <f>IF(MSE成绩库!C6="","", MSE成绩库!F6)</f>
        <v>6</v>
      </c>
      <c r="G6">
        <f>IF(MSE成绩库!C6="","", MSE成绩库!G6)</f>
        <v>5</v>
      </c>
      <c r="H6">
        <f>IF(MSE成绩库!C6="","", MSE成绩库!H6)</f>
        <v>5</v>
      </c>
      <c r="I6">
        <f>IF(MSE成绩库!C6="","", MSE成绩库!I6)</f>
        <v>4</v>
      </c>
      <c r="J6">
        <f>IF(MSE成绩库!C6="","", MSE成绩库!J6)</f>
        <v>0</v>
      </c>
      <c r="K6">
        <f>IF(MSE成绩库!C6="","", MSE成绩库!K6)</f>
        <v>0</v>
      </c>
      <c r="L6">
        <f>IF(MSE成绩库!C6="","", MSE成绩库!M6)</f>
        <v>120</v>
      </c>
      <c r="M6">
        <f>IF(MSE成绩库!C6="","", MSE成绩库!N6)</f>
        <v>7</v>
      </c>
      <c r="N6">
        <f>IF(MSE成绩库!C6="","", MSE成绩库!O6)</f>
        <v>9</v>
      </c>
      <c r="O6">
        <f>IF(MSE成绩库!C6="","", MSE成绩库!Q6)</f>
        <v>114</v>
      </c>
      <c r="P6">
        <f>IF(MSE成绩库!C6="","", MSE成绩库!R6)</f>
        <v>4</v>
      </c>
      <c r="Q6">
        <f>IF(MSE成绩库!C6="","", MSE成绩库!S6)</f>
        <v>3</v>
      </c>
      <c r="R6">
        <f>IF(MSE成绩库!C6="","", MSE成绩库!T6)</f>
        <v>4</v>
      </c>
      <c r="S6">
        <f>IF(MSE成绩库!C6="","", MSE成绩库!U6)</f>
        <v>4</v>
      </c>
      <c r="T6">
        <f>IF(MSE成绩库!C6="","", MSE成绩库!V6)</f>
        <v>5</v>
      </c>
      <c r="U6">
        <f>IF(MSE成绩库!C6="","", MSE成绩库!X6)</f>
        <v>130</v>
      </c>
      <c r="V6">
        <f>IF(MSE成绩库!C6="","", MSE成绩库!Y6)</f>
        <v>121.33333333333333</v>
      </c>
      <c r="W6" t="str">
        <f>IF(MSE成绩库!C6="","", MSE成绩库!Z6)</f>
        <v/>
      </c>
      <c r="X6" t="str">
        <f>IF(MSE成绩库!C6="","", MSE成绩库!AA6)</f>
        <v>⚠️ 薄弱环节: R-Pt1
📉 考察能力: [阅读] 短讯息主旨理解
💡 提升建议: 关注生活中的标识、短信，练习找出关键词的同义替换。</v>
      </c>
      <c r="Y6" t="str">
        <f>IF(MSE成绩库!C6="","", MSE成绩库!AB6)</f>
        <v>⚠️ 薄弱环节: W-Pt1
📉 考察能力: [写作] 短邮件/便条
💡 提升建议: 必须覆盖所有3个要点，注意语域恰当，无拼写语法错误。</v>
      </c>
      <c r="Z6" t="str">
        <f>IF(MSE成绩库!C6="","", MSE成绩库!AC6)</f>
        <v>⚠️ 薄弱环节: L-Pt2
📉 考察能力: [听力] 填空 (信息记录)
💡 提升建议: 强化数字、价格、日期、拼写的听写训练。</v>
      </c>
    </row>
    <row r="7" spans="1:26" x14ac:dyDescent="0.2">
      <c r="A7" t="str">
        <f>IF(MSE成绩库!C7="","", MSE成绩库!C7)</f>
        <v>孙策 Lucas Sun</v>
      </c>
      <c r="B7" t="str">
        <f>IF(MSE成绩库!AD7="","", MSE成绩库!AD7)</f>
        <v>2024-01-15</v>
      </c>
      <c r="C7" t="str">
        <f>IF(MSE成绩库!B7="","", MSE成绩库!B7)</f>
        <v>B1</v>
      </c>
      <c r="D7" t="str">
        <f>IF(MSE成绩库!D7="","", MSE成绩库!D7)</f>
        <v>KET</v>
      </c>
      <c r="E7">
        <f>IF(MSE成绩库!C7="","", MSE成绩库!E7)</f>
        <v>3</v>
      </c>
      <c r="F7">
        <f>IF(MSE成绩库!C7="","", MSE成绩库!F7)</f>
        <v>7</v>
      </c>
      <c r="G7">
        <f>IF(MSE成绩库!C7="","", MSE成绩库!G7)</f>
        <v>5</v>
      </c>
      <c r="H7">
        <f>IF(MSE成绩库!C7="","", MSE成绩库!H7)</f>
        <v>5</v>
      </c>
      <c r="I7">
        <f>IF(MSE成绩库!C7="","", MSE成绩库!I7)</f>
        <v>3</v>
      </c>
      <c r="J7">
        <f>IF(MSE成绩库!C7="","", MSE成绩库!J7)</f>
        <v>0</v>
      </c>
      <c r="K7">
        <f>IF(MSE成绩库!C7="","", MSE成绩库!K7)</f>
        <v>0</v>
      </c>
      <c r="L7">
        <f>IF(MSE成绩库!C7="","", MSE成绩库!M7)</f>
        <v>127</v>
      </c>
      <c r="M7">
        <f>IF(MSE成绩库!C7="","", MSE成绩库!N7)</f>
        <v>0</v>
      </c>
      <c r="N7">
        <f>IF(MSE成绩库!C7="","", MSE成绩库!O7)</f>
        <v>0</v>
      </c>
      <c r="O7">
        <f>IF(MSE成绩库!C7="","", MSE成绩库!Q7)</f>
        <v>0</v>
      </c>
      <c r="P7">
        <f>IF(MSE成绩库!C7="","", MSE成绩库!R7)</f>
        <v>4</v>
      </c>
      <c r="Q7">
        <f>IF(MSE成绩库!C7="","", MSE成绩库!S7)</f>
        <v>1</v>
      </c>
      <c r="R7">
        <f>IF(MSE成绩库!C7="","", MSE成绩库!T7)</f>
        <v>4</v>
      </c>
      <c r="S7">
        <f>IF(MSE成绩库!C7="","", MSE成绩库!U7)</f>
        <v>3</v>
      </c>
      <c r="T7">
        <f>IF(MSE成绩库!C7="","", MSE成绩库!V7)</f>
        <v>3</v>
      </c>
      <c r="U7">
        <f>IF(MSE成绩库!C7="","", MSE成绩库!X7)</f>
        <v>113</v>
      </c>
      <c r="V7">
        <f>IF(MSE成绩库!C7="","", MSE成绩库!Y7)</f>
        <v>80</v>
      </c>
      <c r="W7" t="str">
        <f>IF(MSE成绩库!C7="","", MSE成绩库!Z7)</f>
        <v/>
      </c>
      <c r="X7" t="str">
        <f>IF(MSE成绩库!C7="","", MSE成绩库!AA7)</f>
        <v>⚠️ 薄弱环节: R-Pt1
📉 考察能力: [阅读] 短讯息主旨理解
💡 提升建议: 关注生活中的标识、短信，练习找出关键词的同义替换。</v>
      </c>
      <c r="Y7" t="str">
        <f>IF(MSE成绩库!C7="","", MSE成绩库!AB7)</f>
        <v>⚠️ 薄弱环节: W-Pt1
📉 考察能力: [写作] 短邮件/便条
💡 提升建议: 必须覆盖所有3个要点，注意语域恰当，无拼写语法错误。</v>
      </c>
      <c r="Z7" t="str">
        <f>IF(MSE成绩库!C7="","", MSE成绩库!AC7)</f>
        <v>⚠️ 薄弱环节: L-Pt2
📉 考察能力: [听力] 填空 (信息记录)
💡 提升建议: 强化数字、价格、日期、拼写的听写训练。</v>
      </c>
    </row>
    <row r="8" spans="1:26" x14ac:dyDescent="0.2">
      <c r="A8" t="str">
        <f>IF(MSE成绩库!C8="","", MSE成绩库!C8)</f>
        <v>徐一濯 Ejay Xu</v>
      </c>
      <c r="B8" t="str">
        <f>IF(MSE成绩库!AD8="","", MSE成绩库!AD8)</f>
        <v>2024-01-15</v>
      </c>
      <c r="C8" t="str">
        <f>IF(MSE成绩库!B8="","", MSE成绩库!B8)</f>
        <v>B1</v>
      </c>
      <c r="D8" t="str">
        <f>IF(MSE成绩库!D8="","", MSE成绩库!D8)</f>
        <v>KET</v>
      </c>
      <c r="E8">
        <f>IF(MSE成绩库!C8="","", MSE成绩库!E8)</f>
        <v>5</v>
      </c>
      <c r="F8">
        <f>IF(MSE成绩库!C8="","", MSE成绩库!F8)</f>
        <v>5</v>
      </c>
      <c r="G8">
        <f>IF(MSE成绩库!C8="","", MSE成绩库!G8)</f>
        <v>5</v>
      </c>
      <c r="H8">
        <f>IF(MSE成绩库!C8="","", MSE成绩库!H8)</f>
        <v>6</v>
      </c>
      <c r="I8">
        <f>IF(MSE成绩库!C8="","", MSE成绩库!I8)</f>
        <v>5</v>
      </c>
      <c r="J8">
        <f>IF(MSE成绩库!C8="","", MSE成绩库!J8)</f>
        <v>0</v>
      </c>
      <c r="K8">
        <f>IF(MSE成绩库!C8="","", MSE成绩库!K8)</f>
        <v>0</v>
      </c>
      <c r="L8">
        <f>IF(MSE成绩库!C8="","", MSE成绩库!M8)</f>
        <v>135</v>
      </c>
      <c r="M8">
        <f>IF(MSE成绩库!C8="","", MSE成绩库!N8)</f>
        <v>14</v>
      </c>
      <c r="N8">
        <f>IF(MSE成绩库!C8="","", MSE成绩库!O8)</f>
        <v>13</v>
      </c>
      <c r="O8">
        <f>IF(MSE成绩库!C8="","", MSE成绩库!Q8)</f>
        <v>143</v>
      </c>
      <c r="P8">
        <f>IF(MSE成绩库!C8="","", MSE成绩库!R8)</f>
        <v>2</v>
      </c>
      <c r="Q8">
        <f>IF(MSE成绩库!C8="","", MSE成绩库!S8)</f>
        <v>4</v>
      </c>
      <c r="R8">
        <f>IF(MSE成绩库!C8="","", MSE成绩库!T8)</f>
        <v>5</v>
      </c>
      <c r="S8">
        <f>IF(MSE成绩库!C8="","", MSE成绩库!U8)</f>
        <v>5</v>
      </c>
      <c r="T8">
        <f>IF(MSE成绩库!C8="","", MSE成绩库!V8)</f>
        <v>3</v>
      </c>
      <c r="U8">
        <f>IF(MSE成绩库!C8="","", MSE成绩库!X8)</f>
        <v>126</v>
      </c>
      <c r="V8">
        <f>IF(MSE成绩库!C8="","", MSE成绩库!Y8)</f>
        <v>134.66666666666666</v>
      </c>
      <c r="W8" t="str">
        <f>IF(MSE成绩库!C8="","", MSE成绩库!Z8)</f>
        <v/>
      </c>
      <c r="X8" t="str">
        <f>IF(MSE成绩库!C8="","", MSE成绩库!AA8)</f>
        <v>⚠️ 薄弱环节: R-Pt1
📉 考察能力: [阅读] 短讯息主旨理解
💡 提升建议: 关注生活中的标识、短信，练习找出关键词的同义替换。</v>
      </c>
      <c r="Y8" t="str">
        <f>IF(MSE成绩库!C8="","", MSE成绩库!AB8)</f>
        <v>⚠️ 薄弱环节: W-Pt2
📉 考察能力: [写作] 看图写故事
💡 提升建议: 运用 linking words (so, because) 串联图片，注意过去时态。</v>
      </c>
      <c r="Z8" t="str">
        <f>IF(MSE成绩库!C8="","", MSE成绩库!AC8)</f>
        <v>⚠️ 薄弱环节: L-Pt1
📉 考察能力: [听力] 多选 (关键信息)
💡 提升建议: 警惕干扰项，通常听到的第一个选项是错误的，听完整再选。</v>
      </c>
    </row>
    <row r="9" spans="1:26" x14ac:dyDescent="0.2">
      <c r="A9" t="str">
        <f>IF(MSE成绩库!C9="","", MSE成绩库!C9)</f>
        <v>徐昀 Constance Xu</v>
      </c>
      <c r="B9" t="str">
        <f>IF(MSE成绩库!AD9="","", MSE成绩库!AD9)</f>
        <v>2024-01-15</v>
      </c>
      <c r="C9" t="str">
        <f>IF(MSE成绩库!B9="","", MSE成绩库!B9)</f>
        <v>B1</v>
      </c>
      <c r="D9" t="str">
        <f>IF(MSE成绩库!D9="","", MSE成绩库!D9)</f>
        <v>KET</v>
      </c>
      <c r="E9">
        <f>IF(MSE成绩库!C9="","", MSE成绩库!E9)</f>
        <v>4</v>
      </c>
      <c r="F9">
        <f>IF(MSE成绩库!C9="","", MSE成绩库!F9)</f>
        <v>7</v>
      </c>
      <c r="G9">
        <f>IF(MSE成绩库!C9="","", MSE成绩库!G9)</f>
        <v>3</v>
      </c>
      <c r="H9">
        <f>IF(MSE成绩库!C9="","", MSE成绩库!H9)</f>
        <v>3</v>
      </c>
      <c r="I9">
        <f>IF(MSE成绩库!C9="","", MSE成绩库!I9)</f>
        <v>3</v>
      </c>
      <c r="J9">
        <f>IF(MSE成绩库!C9="","", MSE成绩库!J9)</f>
        <v>0</v>
      </c>
      <c r="K9">
        <f>IF(MSE成绩库!C9="","", MSE成绩库!K9)</f>
        <v>0</v>
      </c>
      <c r="L9">
        <f>IF(MSE成绩库!C9="","", MSE成绩库!M9)</f>
        <v>120</v>
      </c>
      <c r="M9">
        <f>IF(MSE成绩库!C9="","", MSE成绩库!N9)</f>
        <v>0</v>
      </c>
      <c r="N9">
        <f>IF(MSE成绩库!C9="","", MSE成绩库!O9)</f>
        <v>0</v>
      </c>
      <c r="O9">
        <f>IF(MSE成绩库!C9="","", MSE成绩库!Q9)</f>
        <v>0</v>
      </c>
      <c r="P9">
        <f>IF(MSE成绩库!C9="","", MSE成绩库!R9)</f>
        <v>3</v>
      </c>
      <c r="Q9">
        <f>IF(MSE成绩库!C9="","", MSE成绩库!S9)</f>
        <v>1</v>
      </c>
      <c r="R9">
        <f>IF(MSE成绩库!C9="","", MSE成绩库!T9)</f>
        <v>5</v>
      </c>
      <c r="S9">
        <f>IF(MSE成绩库!C9="","", MSE成绩库!U9)</f>
        <v>5</v>
      </c>
      <c r="T9">
        <f>IF(MSE成绩库!C9="","", MSE成绩库!V9)</f>
        <v>5</v>
      </c>
      <c r="U9">
        <f>IF(MSE成绩库!C9="","", MSE成绩库!X9)</f>
        <v>126</v>
      </c>
      <c r="V9">
        <f>IF(MSE成绩库!C9="","", MSE成绩库!Y9)</f>
        <v>82</v>
      </c>
      <c r="W9" t="str">
        <f>IF(MSE成绩库!C9="","", MSE成绩库!Z9)</f>
        <v/>
      </c>
      <c r="X9" t="str">
        <f>IF(MSE成绩库!C9="","", MSE成绩库!AA9)</f>
        <v>⚠️ 薄弱环节: R-Pt3
📉 考察能力: [阅读] 长文主旨理解
💡 提升建议: 提升长难句阅读能力，关注段落大意和作者态度。</v>
      </c>
      <c r="Y9" t="str">
        <f>IF(MSE成绩库!C9="","", MSE成绩库!AB9)</f>
        <v>⚠️ 薄弱环节: W-Pt1
📉 考察能力: [写作] 短邮件/便条
💡 提升建议: 必须覆盖所有3个要点，注意语域恰当，无拼写语法错误。</v>
      </c>
      <c r="Z9" t="str">
        <f>IF(MSE成绩库!C9="","", MSE成绩库!AC9)</f>
        <v>⚠️ 薄弱环节: L-Pt2
📉 考察能力: [听力] 填空 (信息记录)
💡 提升建议: 强化数字、价格、日期、拼写的听写训练。</v>
      </c>
    </row>
    <row r="10" spans="1:26" x14ac:dyDescent="0.2">
      <c r="A10" t="str">
        <f>IF(MSE成绩库!C10="","", MSE成绩库!C10)</f>
        <v>朱梓琦 Anker Zhu</v>
      </c>
      <c r="B10" t="str">
        <f>IF(MSE成绩库!AD10="","", MSE成绩库!AD10)</f>
        <v>2024-01-15</v>
      </c>
      <c r="C10" t="str">
        <f>IF(MSE成绩库!B10="","", MSE成绩库!B10)</f>
        <v>B1</v>
      </c>
      <c r="D10" t="str">
        <f>IF(MSE成绩库!D10="","", MSE成绩库!D10)</f>
        <v>KET</v>
      </c>
      <c r="E10">
        <f>IF(MSE成绩库!C10="","", MSE成绩库!E10)</f>
        <v>6</v>
      </c>
      <c r="F10">
        <f>IF(MSE成绩库!C10="","", MSE成绩库!F10)</f>
        <v>7</v>
      </c>
      <c r="G10">
        <f>IF(MSE成绩库!C10="","", MSE成绩库!G10)</f>
        <v>4</v>
      </c>
      <c r="H10">
        <f>IF(MSE成绩库!C10="","", MSE成绩库!H10)</f>
        <v>4</v>
      </c>
      <c r="I10">
        <f>IF(MSE成绩库!C10="","", MSE成绩库!I10)</f>
        <v>5</v>
      </c>
      <c r="J10">
        <f>IF(MSE成绩库!C10="","", MSE成绩库!J10)</f>
        <v>0</v>
      </c>
      <c r="K10">
        <f>IF(MSE成绩库!C10="","", MSE成绩库!K10)</f>
        <v>0</v>
      </c>
      <c r="L10">
        <f>IF(MSE成绩库!C10="","", MSE成绩库!M10)</f>
        <v>135</v>
      </c>
      <c r="M10">
        <f>IF(MSE成绩库!C10="","", MSE成绩库!N10)</f>
        <v>12</v>
      </c>
      <c r="N10">
        <f>IF(MSE成绩库!C10="","", MSE成绩库!O10)</f>
        <v>10</v>
      </c>
      <c r="O10">
        <f>IF(MSE成绩库!C10="","", MSE成绩库!Q10)</f>
        <v>130</v>
      </c>
      <c r="P10">
        <f>IF(MSE成绩库!C10="","", MSE成绩库!R10)</f>
        <v>2</v>
      </c>
      <c r="Q10">
        <f>IF(MSE成绩库!C10="","", MSE成绩库!S10)</f>
        <v>1</v>
      </c>
      <c r="R10">
        <f>IF(MSE成绩库!C10="","", MSE成绩库!T10)</f>
        <v>3</v>
      </c>
      <c r="S10">
        <f>IF(MSE成绩库!C10="","", MSE成绩库!U10)</f>
        <v>2</v>
      </c>
      <c r="T10">
        <f>IF(MSE成绩库!C10="","", MSE成绩库!V10)</f>
        <v>3</v>
      </c>
      <c r="U10">
        <f>IF(MSE成绩库!C10="","", MSE成绩库!X10)</f>
        <v>100</v>
      </c>
      <c r="V10">
        <f>IF(MSE成绩库!C10="","", MSE成绩库!Y10)</f>
        <v>121.66666666666667</v>
      </c>
      <c r="W10" t="str">
        <f>IF(MSE成绩库!C10="","", MSE成绩库!Z10)</f>
        <v/>
      </c>
      <c r="X10" t="str">
        <f>IF(MSE成绩库!C10="","", MSE成绩库!AA10)</f>
        <v>⚠️ 薄弱环节: R-Pt3
📉 考察能力: [阅读] 长文主旨理解
💡 提升建议: 提升长难句阅读能力，关注段落大意和作者态度。</v>
      </c>
      <c r="Y10" t="str">
        <f>IF(MSE成绩库!C10="","", MSE成绩库!AB10)</f>
        <v>⚠️ 薄弱环节: W-Pt2
📉 考察能力: [写作] 看图写故事
💡 提升建议: 运用 linking words (so, because) 串联图片，注意过去时态。</v>
      </c>
      <c r="Z10" t="str">
        <f>IF(MSE成绩库!C10="","", MSE成绩库!AC10)</f>
        <v>⚠️ 薄弱环节: L-Pt2
📉 考察能力: [听力] 填空 (信息记录)
💡 提升建议: 强化数字、价格、日期、拼写的听写训练。</v>
      </c>
    </row>
    <row r="11" spans="1:26" x14ac:dyDescent="0.2">
      <c r="A11" t="str">
        <f>IF(MSE成绩库!C11="","", MSE成绩库!C11)</f>
        <v>梁绍启 Sean Liang</v>
      </c>
      <c r="B11" t="str">
        <f>IF(MSE成绩库!AD11="","", MSE成绩库!AD11)</f>
        <v>2024-01-15</v>
      </c>
      <c r="C11" t="str">
        <f>IF(MSE成绩库!B11="","", MSE成绩库!B11)</f>
        <v>B1</v>
      </c>
      <c r="D11" t="str">
        <f>IF(MSE成绩库!D11="","", MSE成绩库!D11)</f>
        <v>KET</v>
      </c>
      <c r="E11">
        <f>IF(MSE成绩库!C11="","", MSE成绩库!E11)</f>
        <v>5</v>
      </c>
      <c r="F11">
        <f>IF(MSE成绩库!C11="","", MSE成绩库!F11)</f>
        <v>5</v>
      </c>
      <c r="G11">
        <f>IF(MSE成绩库!C11="","", MSE成绩库!G11)</f>
        <v>5</v>
      </c>
      <c r="H11">
        <f>IF(MSE成绩库!C11="","", MSE成绩库!H11)</f>
        <v>0</v>
      </c>
      <c r="I11">
        <f>IF(MSE成绩库!C11="","", MSE成绩库!I11)</f>
        <v>0</v>
      </c>
      <c r="J11">
        <f>IF(MSE成绩库!C11="","", MSE成绩库!J11)</f>
        <v>0</v>
      </c>
      <c r="K11">
        <f>IF(MSE成绩库!C11="","", MSE成绩库!K11)</f>
        <v>0</v>
      </c>
      <c r="L11">
        <f>IF(MSE成绩库!C11="","", MSE成绩库!M11)</f>
        <v>105</v>
      </c>
      <c r="M11">
        <f>IF(MSE成绩库!C11="","", MSE成绩库!N11)</f>
        <v>13</v>
      </c>
      <c r="N11">
        <f>IF(MSE成绩库!C11="","", MSE成绩库!O11)</f>
        <v>13</v>
      </c>
      <c r="O11">
        <f>IF(MSE成绩库!C11="","", MSE成绩库!Q11)</f>
        <v>140</v>
      </c>
      <c r="P11">
        <f>IF(MSE成绩库!C11="","", MSE成绩库!R11)</f>
        <v>4</v>
      </c>
      <c r="Q11">
        <f>IF(MSE成绩库!C11="","", MSE成绩库!S11)</f>
        <v>2</v>
      </c>
      <c r="R11">
        <f>IF(MSE成绩库!C11="","", MSE成绩库!T11)</f>
        <v>4</v>
      </c>
      <c r="S11">
        <f>IF(MSE成绩库!C11="","", MSE成绩库!U11)</f>
        <v>5</v>
      </c>
      <c r="T11">
        <f>IF(MSE成绩库!C11="","", MSE成绩库!V11)</f>
        <v>5</v>
      </c>
      <c r="U11">
        <f>IF(MSE成绩库!C11="","", MSE成绩库!X11)</f>
        <v>130</v>
      </c>
      <c r="V11">
        <f>IF(MSE成绩库!C11="","", MSE成绩库!Y11)</f>
        <v>125</v>
      </c>
      <c r="W11" t="str">
        <f>IF(MSE成绩库!C11="","", MSE成绩库!Z11)</f>
        <v/>
      </c>
      <c r="X11" t="str">
        <f>IF(MSE成绩库!C11="","", MSE成绩库!AA11)</f>
        <v>⚠️ 薄弱环节: R-Pt4
📉 考察能力: [阅读] 完形填空 (词汇)
💡 提升建议: 积累名词、形容词、动词的常见搭配及近义词辨析。</v>
      </c>
      <c r="Y11" t="str">
        <f>IF(MSE成绩库!C11="","", MSE成绩库!AB11)</f>
        <v>⚠️ 薄弱环节: W-Pt1
📉 考察能力: [写作] 短邮件/便条
💡 提升建议: 必须覆盖所有3个要点，注意语域恰当，无拼写语法错误。</v>
      </c>
      <c r="Z11" t="str">
        <f>IF(MSE成绩库!C11="","", MSE成绩库!AC11)</f>
        <v>⚠️ 薄弱环节: L-Pt2
📉 考察能力: [听力] 填空 (信息记录)
💡 提升建议: 强化数字、价格、日期、拼写的听写训练。</v>
      </c>
    </row>
    <row r="12" spans="1:26" x14ac:dyDescent="0.2">
      <c r="A12" t="str">
        <f>IF(MSE成绩库!C12="","", MSE成绩库!C12)</f>
        <v>詹远 James Zhan</v>
      </c>
      <c r="B12" t="str">
        <f>IF(MSE成绩库!AD12="","", MSE成绩库!AD12)</f>
        <v>2024-01-15</v>
      </c>
      <c r="C12" t="str">
        <f>IF(MSE成绩库!B12="","", MSE成绩库!B12)</f>
        <v>B1</v>
      </c>
      <c r="D12" t="str">
        <f>IF(MSE成绩库!D12="","", MSE成绩库!D12)</f>
        <v>KET</v>
      </c>
      <c r="E12">
        <f>IF(MSE成绩库!C12="","", MSE成绩库!E12)</f>
        <v>6</v>
      </c>
      <c r="F12">
        <f>IF(MSE成绩库!C12="","", MSE成绩库!F12)</f>
        <v>6</v>
      </c>
      <c r="G12">
        <f>IF(MSE成绩库!C12="","", MSE成绩库!G12)</f>
        <v>5</v>
      </c>
      <c r="H12">
        <f>IF(MSE成绩库!C12="","", MSE成绩库!H12)</f>
        <v>5</v>
      </c>
      <c r="I12">
        <f>IF(MSE成绩库!C12="","", MSE成绩库!I12)</f>
        <v>4</v>
      </c>
      <c r="J12">
        <f>IF(MSE成绩库!C12="","", MSE成绩库!J12)</f>
        <v>0</v>
      </c>
      <c r="K12">
        <f>IF(MSE成绩库!C12="","", MSE成绩库!K12)</f>
        <v>0</v>
      </c>
      <c r="L12">
        <f>IF(MSE成绩库!C12="","", MSE成绩库!M12)</f>
        <v>135</v>
      </c>
      <c r="M12">
        <f>IF(MSE成绩库!C12="","", MSE成绩库!N12)</f>
        <v>10</v>
      </c>
      <c r="N12">
        <f>IF(MSE成绩库!C12="","", MSE成绩库!O12)</f>
        <v>10</v>
      </c>
      <c r="O12">
        <f>IF(MSE成绩库!C12="","", MSE成绩库!Q12)</f>
        <v>125</v>
      </c>
      <c r="P12">
        <f>IF(MSE成绩库!C12="","", MSE成绩库!R12)</f>
        <v>2</v>
      </c>
      <c r="Q12">
        <f>IF(MSE成绩库!C12="","", MSE成绩库!S12)</f>
        <v>1</v>
      </c>
      <c r="R12">
        <f>IF(MSE成绩库!C12="","", MSE成绩库!T12)</f>
        <v>5</v>
      </c>
      <c r="S12">
        <f>IF(MSE成绩库!C12="","", MSE成绩库!U12)</f>
        <v>5</v>
      </c>
      <c r="T12">
        <f>IF(MSE成绩库!C12="","", MSE成绩库!V12)</f>
        <v>3</v>
      </c>
      <c r="U12">
        <f>IF(MSE成绩库!C12="","", MSE成绩库!X12)</f>
        <v>116</v>
      </c>
      <c r="V12">
        <f>IF(MSE成绩库!C12="","", MSE成绩库!Y12)</f>
        <v>125.33333333333333</v>
      </c>
      <c r="W12" t="str">
        <f>IF(MSE成绩库!C12="","", MSE成绩库!Z12)</f>
        <v/>
      </c>
      <c r="X12" t="str">
        <f>IF(MSE成绩库!C12="","", MSE成绩库!AA12)</f>
        <v>⚠️ 薄弱环节: R-Pt5
📉 考察能力: [阅读] 开放式填空 (语法)
💡 提升建议: 纯语法考核，重点强化介词、代词、连词和时态助动词。</v>
      </c>
      <c r="Y12" t="str">
        <f>IF(MSE成绩库!C12="","", MSE成绩库!AB12)</f>
        <v>⚠️ 薄弱环节: W-Pt1
📉 考察能力: [写作] 短邮件/便条
💡 提升建议: 必须覆盖所有3个要点，注意语域恰当，无拼写语法错误。</v>
      </c>
      <c r="Z12" t="str">
        <f>IF(MSE成绩库!C12="","", MSE成绩库!AC12)</f>
        <v>⚠️ 薄弱环节: L-Pt2
📉 考察能力: [听力] 填空 (信息记录)
💡 提升建议: 强化数字、价格、日期、拼写的听写训练。</v>
      </c>
    </row>
    <row r="13" spans="1:26" x14ac:dyDescent="0.2">
      <c r="A13" t="str">
        <f>IF(MSE成绩库!C13="","", MSE成绩库!C13)</f>
        <v>郑楷 Kyle Zheng</v>
      </c>
      <c r="B13" t="str">
        <f>IF(MSE成绩库!AD13="","", MSE成绩库!AD13)</f>
        <v>2024-01-15</v>
      </c>
      <c r="C13" t="str">
        <f>IF(MSE成绩库!B13="","", MSE成绩库!B13)</f>
        <v>B1</v>
      </c>
      <c r="D13" t="str">
        <f>IF(MSE成绩库!D13="","", MSE成绩库!D13)</f>
        <v>KET</v>
      </c>
      <c r="E13">
        <f>IF(MSE成绩库!C13="","", MSE成绩库!E13)</f>
        <v>4</v>
      </c>
      <c r="F13">
        <f>IF(MSE成绩库!C13="","", MSE成绩库!F13)</f>
        <v>5</v>
      </c>
      <c r="G13">
        <f>IF(MSE成绩库!C13="","", MSE成绩库!G13)</f>
        <v>4</v>
      </c>
      <c r="H13">
        <f>IF(MSE成绩库!C13="","", MSE成绩库!H13)</f>
        <v>6</v>
      </c>
      <c r="I13">
        <f>IF(MSE成绩库!C13="","", MSE成绩库!I13)</f>
        <v>3</v>
      </c>
      <c r="J13">
        <f>IF(MSE成绩库!C13="","", MSE成绩库!J13)</f>
        <v>0</v>
      </c>
      <c r="K13">
        <f>IF(MSE成绩库!C13="","", MSE成绩库!K13)</f>
        <v>0</v>
      </c>
      <c r="L13">
        <f>IF(MSE成绩库!C13="","", MSE成绩库!M13)</f>
        <v>125</v>
      </c>
      <c r="M13">
        <f>IF(MSE成绩库!C13="","", MSE成绩库!N13)</f>
        <v>10</v>
      </c>
      <c r="N13">
        <f>IF(MSE成绩库!C13="","", MSE成绩库!O13)</f>
        <v>0</v>
      </c>
      <c r="O13">
        <f>IF(MSE成绩库!C13="","", MSE成绩库!Q13)</f>
        <v>0</v>
      </c>
      <c r="P13">
        <f>IF(MSE成绩库!C13="","", MSE成绩库!R13)</f>
        <v>4</v>
      </c>
      <c r="Q13">
        <f>IF(MSE成绩库!C13="","", MSE成绩库!S13)</f>
        <v>3</v>
      </c>
      <c r="R13">
        <f>IF(MSE成绩库!C13="","", MSE成绩库!T13)</f>
        <v>5</v>
      </c>
      <c r="S13">
        <f>IF(MSE成绩库!C13="","", MSE成绩库!U13)</f>
        <v>5</v>
      </c>
      <c r="T13">
        <f>IF(MSE成绩库!C13="","", MSE成绩库!V13)</f>
        <v>2</v>
      </c>
      <c r="U13">
        <f>IF(MSE成绩库!C13="","", MSE成绩库!X13)</f>
        <v>126</v>
      </c>
      <c r="V13">
        <f>IF(MSE成绩库!C13="","", MSE成绩库!Y13)</f>
        <v>83.666666666666671</v>
      </c>
      <c r="W13" t="str">
        <f>IF(MSE成绩库!C13="","", MSE成绩库!Z13)</f>
        <v/>
      </c>
      <c r="X13" t="str">
        <f>IF(MSE成绩库!C13="","", MSE成绩库!AA13)</f>
        <v>⚠️ 薄弱环节: R-Pt5
📉 考察能力: [阅读] 开放式填空 (语法)
💡 提升建议: 纯语法考核，重点强化介词、代词、连词和时态助动词。</v>
      </c>
      <c r="Y13" t="str">
        <f>IF(MSE成绩库!C13="","", MSE成绩库!AB13)</f>
        <v>⚠️ 薄弱环节: W-Pt2
📉 考察能力: [写作] 看图写故事
💡 提升建议: 运用 linking words (so, because) 串联图片，注意过去时态。</v>
      </c>
      <c r="Z13" t="str">
        <f>IF(MSE成绩库!C13="","", MSE成绩库!AC13)</f>
        <v>⚠️ 薄弱环节: L-Pt5
📉 考察能力: [听力] 匹配题
💡 提升建议: 边听边记笔记，排除法是个好工具。</v>
      </c>
    </row>
    <row r="14" spans="1:26" x14ac:dyDescent="0.2">
      <c r="A14" t="str">
        <f>IF(MSE成绩库!C14="","", MSE成绩库!C14)</f>
        <v>陈昱昊 Matte Chen</v>
      </c>
      <c r="B14" t="str">
        <f>IF(MSE成绩库!AD14="","", MSE成绩库!AD14)</f>
        <v>2024-01-15</v>
      </c>
      <c r="C14" t="str">
        <f>IF(MSE成绩库!B14="","", MSE成绩库!B14)</f>
        <v>B1</v>
      </c>
      <c r="D14" t="str">
        <f>IF(MSE成绩库!D14="","", MSE成绩库!D14)</f>
        <v>KET</v>
      </c>
      <c r="E14">
        <f>IF(MSE成绩库!C14="","", MSE成绩库!E14)</f>
        <v>5</v>
      </c>
      <c r="F14">
        <f>IF(MSE成绩库!C14="","", MSE成绩库!F14)</f>
        <v>5</v>
      </c>
      <c r="G14">
        <f>IF(MSE成绩库!C14="","", MSE成绩库!G14)</f>
        <v>5</v>
      </c>
      <c r="H14">
        <f>IF(MSE成绩库!C14="","", MSE成绩库!H14)</f>
        <v>3</v>
      </c>
      <c r="I14">
        <f>IF(MSE成绩库!C14="","", MSE成绩库!I14)</f>
        <v>2</v>
      </c>
      <c r="J14">
        <f>IF(MSE成绩库!C14="","", MSE成绩库!J14)</f>
        <v>0</v>
      </c>
      <c r="K14">
        <f>IF(MSE成绩库!C14="","", MSE成绩库!K14)</f>
        <v>0</v>
      </c>
      <c r="L14">
        <f>IF(MSE成绩库!C14="","", MSE成绩库!M14)</f>
        <v>120</v>
      </c>
      <c r="M14">
        <f>IF(MSE成绩库!C14="","", MSE成绩库!N14)</f>
        <v>8</v>
      </c>
      <c r="N14">
        <f>IF(MSE成绩库!C14="","", MSE成绩库!O14)</f>
        <v>0</v>
      </c>
      <c r="O14">
        <f>IF(MSE成绩库!C14="","", MSE成绩库!Q14)</f>
        <v>0</v>
      </c>
      <c r="P14">
        <f>IF(MSE成绩库!C14="","", MSE成绩库!R14)</f>
        <v>3</v>
      </c>
      <c r="Q14">
        <f>IF(MSE成绩库!C14="","", MSE成绩库!S14)</f>
        <v>4</v>
      </c>
      <c r="R14">
        <f>IF(MSE成绩库!C14="","", MSE成绩库!T14)</f>
        <v>3</v>
      </c>
      <c r="S14">
        <f>IF(MSE成绩库!C14="","", MSE成绩库!U14)</f>
        <v>5</v>
      </c>
      <c r="T14">
        <f>IF(MSE成绩库!C14="","", MSE成绩库!V14)</f>
        <v>3</v>
      </c>
      <c r="U14">
        <f>IF(MSE成绩库!C14="","", MSE成绩库!X14)</f>
        <v>123</v>
      </c>
      <c r="V14">
        <f>IF(MSE成绩库!C14="","", MSE成绩库!Y14)</f>
        <v>81</v>
      </c>
      <c r="W14" t="str">
        <f>IF(MSE成绩库!C14="","", MSE成绩库!Z14)</f>
        <v/>
      </c>
      <c r="X14" t="str">
        <f>IF(MSE成绩库!C14="","", MSE成绩库!AA14)</f>
        <v>⚠️ 薄弱环节: R-Pt5
📉 考察能力: [阅读] 开放式填空 (语法)
💡 提升建议: 纯语法考核，重点强化介词、代词、连词和时态助动词。</v>
      </c>
      <c r="Y14" t="str">
        <f>IF(MSE成绩库!C14="","", MSE成绩库!AB14)</f>
        <v>⚠️ 薄弱环节: W-Pt2
📉 考察能力: [写作] 看图写故事
💡 提升建议: 运用 linking words (so, because) 串联图片，注意过去时态。</v>
      </c>
      <c r="Z14" t="str">
        <f>IF(MSE成绩库!C14="","", MSE成绩库!AC14)</f>
        <v>⚠️ 薄弱环节: L-Pt1
📉 考察能力: [听力] 多选 (关键信息)
💡 提升建议: 警惕干扰项，通常听到的第一个选项是错误的，听完整再选。</v>
      </c>
    </row>
    <row r="15" spans="1:26" x14ac:dyDescent="0.2">
      <c r="A15" t="str">
        <f>IF(MSE成绩库!C15="","", MSE成绩库!C15)</f>
        <v>吴皓轩 Jeffrey Wu</v>
      </c>
      <c r="B15">
        <f>IF(MSE成绩库!AD15="","", MSE成绩库!AD15)</f>
        <v>45915</v>
      </c>
      <c r="C15" t="str">
        <f>IF(MSE成绩库!B15="","", MSE成绩库!B15)</f>
        <v>A1</v>
      </c>
      <c r="D15" t="str">
        <f>IF(MSE成绩库!D15="","", MSE成绩库!D15)</f>
        <v>PET</v>
      </c>
      <c r="E15">
        <f>IF(MSE成绩库!C15="","", MSE成绩库!E15)</f>
        <v>2</v>
      </c>
      <c r="F15">
        <f>IF(MSE成绩库!C15="","", MSE成绩库!F15)</f>
        <v>0</v>
      </c>
      <c r="G15">
        <f>IF(MSE成绩库!C15="","", MSE成绩库!G15)</f>
        <v>3</v>
      </c>
      <c r="H15">
        <f>IF(MSE成绩库!C15="","", MSE成绩库!H15)</f>
        <v>0</v>
      </c>
      <c r="I15">
        <f>IF(MSE成绩库!C15="","", MSE成绩库!I15)</f>
        <v>0</v>
      </c>
      <c r="J15">
        <f>IF(MSE成绩库!C15="","", MSE成绩库!J15)</f>
        <v>0</v>
      </c>
      <c r="K15">
        <f>IF(MSE成绩库!C15="","", MSE成绩库!K15)</f>
        <v>0</v>
      </c>
      <c r="L15">
        <f>IF(MSE成绩库!C15="","", MSE成绩库!M15)</f>
        <v>0</v>
      </c>
      <c r="M15">
        <f>IF(MSE成绩库!C15="","", MSE成绩库!N15)</f>
        <v>0</v>
      </c>
      <c r="N15">
        <f>IF(MSE成绩库!C15="","", MSE成绩库!O15)</f>
        <v>0</v>
      </c>
      <c r="O15" t="str">
        <f>IF(MSE成绩库!C15="","", MSE成绩库!Q15)</f>
        <v/>
      </c>
      <c r="P15">
        <f>IF(MSE成绩库!C15="","", MSE成绩库!R15)</f>
        <v>4</v>
      </c>
      <c r="Q15">
        <f>IF(MSE成绩库!C15="","", MSE成绩库!S15)</f>
        <v>4</v>
      </c>
      <c r="R15">
        <f>IF(MSE成绩库!C15="","", MSE成绩库!T15)</f>
        <v>3</v>
      </c>
      <c r="S15">
        <f>IF(MSE成绩库!C15="","", MSE成绩库!U15)</f>
        <v>2</v>
      </c>
      <c r="T15">
        <f>IF(MSE成绩库!C15="","", MSE成绩库!V15)</f>
        <v>0</v>
      </c>
      <c r="U15">
        <f>IF(MSE成绩库!C15="","", MSE成绩库!X15)</f>
        <v>125</v>
      </c>
      <c r="V15">
        <f>IF(MSE成绩库!C15="","", MSE成绩库!Y15)</f>
        <v>62.5</v>
      </c>
      <c r="W15" t="str">
        <f>IF(MSE成绩库!C15="","", MSE成绩库!Z15)</f>
        <v/>
      </c>
      <c r="X15" t="str">
        <f>IF(MSE成绩库!C15="","", MSE成绩库!AA15)</f>
        <v>⚠️ 薄弱环节: R-Pt2
📉 考察能力: [阅读] 人物与描述匹配
💡 提升建议: 阅读量大，练习划关键词，寻找完全匹配项。</v>
      </c>
      <c r="Y15" t="str">
        <f>IF(MSE成绩库!C15="","", MSE成绩库!AB15)</f>
        <v/>
      </c>
      <c r="Z15" t="str">
        <f>IF(MSE成绩库!C15="","", MSE成绩库!AC15)</f>
        <v>⚠️ 薄弱环节: L-Pt4
📉 考察能力: [听力] 多选 (长采访)
💡 提升建议: 听懂详细的观点阐述，理解对话深层逻辑。</v>
      </c>
    </row>
    <row r="16" spans="1:26" x14ac:dyDescent="0.2">
      <c r="A16" t="str">
        <f>IF(MSE成绩库!C16="","", MSE成绩库!C16)</f>
        <v>应颜妍 Queen Ying</v>
      </c>
      <c r="B16">
        <f>IF(MSE成绩库!AD16="","", MSE成绩库!AD16)</f>
        <v>45915</v>
      </c>
      <c r="C16" t="str">
        <f>IF(MSE成绩库!B16="","", MSE成绩库!B16)</f>
        <v>A1</v>
      </c>
      <c r="D16" t="str">
        <f>IF(MSE成绩库!D16="","", MSE成绩库!D16)</f>
        <v>PET</v>
      </c>
      <c r="E16">
        <f>IF(MSE成绩库!C16="","", MSE成绩库!E16)</f>
        <v>1</v>
      </c>
      <c r="F16">
        <f>IF(MSE成绩库!C16="","", MSE成绩库!F16)</f>
        <v>2</v>
      </c>
      <c r="G16">
        <f>IF(MSE成绩库!C16="","", MSE成绩库!G16)</f>
        <v>2</v>
      </c>
      <c r="H16">
        <f>IF(MSE成绩库!C16="","", MSE成绩库!H16)</f>
        <v>1</v>
      </c>
      <c r="I16">
        <f>IF(MSE成绩库!C16="","", MSE成绩库!I16)</f>
        <v>3</v>
      </c>
      <c r="J16">
        <f>IF(MSE成绩库!C16="","", MSE成绩库!J16)</f>
        <v>5</v>
      </c>
      <c r="K16">
        <f>IF(MSE成绩库!C16="","", MSE成绩库!K16)</f>
        <v>0</v>
      </c>
      <c r="L16">
        <f>IF(MSE成绩库!C16="","", MSE成绩库!M16)</f>
        <v>122</v>
      </c>
      <c r="M16">
        <f>IF(MSE成绩库!C16="","", MSE成绩库!N16)</f>
        <v>0</v>
      </c>
      <c r="N16">
        <f>IF(MSE成绩库!C16="","", MSE成绩库!O16)</f>
        <v>0</v>
      </c>
      <c r="O16" t="str">
        <f>IF(MSE成绩库!C16="","", MSE成绩库!Q16)</f>
        <v/>
      </c>
      <c r="P16">
        <f>IF(MSE成绩库!C16="","", MSE成绩库!R16)</f>
        <v>6</v>
      </c>
      <c r="Q16">
        <f>IF(MSE成绩库!C16="","", MSE成绩库!S16)</f>
        <v>5</v>
      </c>
      <c r="R16">
        <f>IF(MSE成绩库!C16="","", MSE成绩库!T16)</f>
        <v>4</v>
      </c>
      <c r="S16">
        <f>IF(MSE成绩库!C16="","", MSE成绩库!U16)</f>
        <v>1</v>
      </c>
      <c r="T16">
        <f>IF(MSE成绩库!C16="","", MSE成绩库!V16)</f>
        <v>0</v>
      </c>
      <c r="U16">
        <f>IF(MSE成绩库!C16="","", MSE成绩库!X16)</f>
        <v>134</v>
      </c>
      <c r="V16">
        <f>IF(MSE成绩库!C16="","", MSE成绩库!Y16)</f>
        <v>128</v>
      </c>
      <c r="W16" t="str">
        <f>IF(MSE成绩库!C16="","", MSE成绩库!Z16)</f>
        <v/>
      </c>
      <c r="X16" t="str">
        <f>IF(MSE成绩库!C16="","", MSE成绩库!AA16)</f>
        <v>⚠️ 薄弱环节: R-Pt1
📉 考察能力: [阅读] 短讯息主旨
💡 提升建议: 注意细微的情感态度差异，理解隐含意义。</v>
      </c>
      <c r="Y16" t="str">
        <f>IF(MSE成绩库!C16="","", MSE成绩库!AB16)</f>
        <v/>
      </c>
      <c r="Z16" t="str">
        <f>IF(MSE成绩库!C16="","", MSE成绩库!AC16)</f>
        <v>⚠️ 薄弱环节: L-Pt4
📉 考察能力: [听力] 多选 (长采访)
💡 提升建议: 听懂详细的观点阐述，理解对话深层逻辑。</v>
      </c>
    </row>
    <row r="17" spans="1:26" x14ac:dyDescent="0.2">
      <c r="A17" t="str">
        <f>IF(MSE成绩库!C17="","", MSE成绩库!C17)</f>
        <v>王翊名 Mia Wang</v>
      </c>
      <c r="B17">
        <f>IF(MSE成绩库!AD17="","", MSE成绩库!AD17)</f>
        <v>45915</v>
      </c>
      <c r="C17" t="str">
        <f>IF(MSE成绩库!B17="","", MSE成绩库!B17)</f>
        <v>A1</v>
      </c>
      <c r="D17" t="str">
        <f>IF(MSE成绩库!D17="","", MSE成绩库!D17)</f>
        <v>PET</v>
      </c>
      <c r="E17">
        <f>IF(MSE成绩库!C17="","", MSE成绩库!E17)</f>
        <v>4</v>
      </c>
      <c r="F17">
        <f>IF(MSE成绩库!C17="","", MSE成绩库!F17)</f>
        <v>2</v>
      </c>
      <c r="G17">
        <f>IF(MSE成绩库!C17="","", MSE成绩库!G17)</f>
        <v>3</v>
      </c>
      <c r="H17">
        <f>IF(MSE成绩库!C17="","", MSE成绩库!H17)</f>
        <v>2</v>
      </c>
      <c r="I17">
        <f>IF(MSE成绩库!C17="","", MSE成绩库!I17)</f>
        <v>4</v>
      </c>
      <c r="J17">
        <f>IF(MSE成绩库!C17="","", MSE成绩库!J17)</f>
        <v>5</v>
      </c>
      <c r="K17">
        <f>IF(MSE成绩库!C17="","", MSE成绩库!K17)</f>
        <v>0</v>
      </c>
      <c r="L17">
        <f>IF(MSE成绩库!C17="","", MSE成绩库!M17)</f>
        <v>134</v>
      </c>
      <c r="M17">
        <f>IF(MSE成绩库!C17="","", MSE成绩库!N17)</f>
        <v>0</v>
      </c>
      <c r="N17">
        <f>IF(MSE成绩库!C17="","", MSE成绩库!O17)</f>
        <v>0</v>
      </c>
      <c r="O17" t="str">
        <f>IF(MSE成绩库!C17="","", MSE成绩库!Q17)</f>
        <v/>
      </c>
      <c r="P17">
        <f>IF(MSE成绩库!C17="","", MSE成绩库!R17)</f>
        <v>7</v>
      </c>
      <c r="Q17">
        <f>IF(MSE成绩库!C17="","", MSE成绩库!S17)</f>
        <v>2</v>
      </c>
      <c r="R17">
        <f>IF(MSE成绩库!C17="","", MSE成绩库!T17)</f>
        <v>4</v>
      </c>
      <c r="S17">
        <f>IF(MSE成绩库!C17="","", MSE成绩库!U17)</f>
        <v>2</v>
      </c>
      <c r="T17">
        <f>IF(MSE成绩库!C17="","", MSE成绩库!V17)</f>
        <v>0</v>
      </c>
      <c r="U17">
        <f>IF(MSE成绩库!C17="","", MSE成绩库!X17)</f>
        <v>131</v>
      </c>
      <c r="V17">
        <f>IF(MSE成绩库!C17="","", MSE成绩库!Y17)</f>
        <v>132.5</v>
      </c>
      <c r="W17" t="str">
        <f>IF(MSE成绩库!C17="","", MSE成绩库!Z17)</f>
        <v/>
      </c>
      <c r="X17" t="str">
        <f>IF(MSE成绩库!C17="","", MSE成绩库!AA17)</f>
        <v>⚠️ 薄弱环节: R-Pt2
📉 考察能力: [阅读] 人物与描述匹配
💡 提升建议: 阅读量大，练习划关键词，寻找完全匹配项。</v>
      </c>
      <c r="Y17" t="str">
        <f>IF(MSE成绩库!C17="","", MSE成绩库!AB17)</f>
        <v/>
      </c>
      <c r="Z17" t="str">
        <f>IF(MSE成绩库!C17="","", MSE成绩库!AC17)</f>
        <v>⚠️ 薄弱环节: L-Pt2
📉 考察能力: [听力] 多选 (短对话)
💡 提升建议: 听懂说话人的态度、观点和意图。</v>
      </c>
    </row>
    <row r="18" spans="1:26" x14ac:dyDescent="0.2">
      <c r="A18" t="str">
        <f>IF(MSE成绩库!C18="","", MSE成绩库!C18)</f>
        <v>石蕴瑶 Yaoyao Shi</v>
      </c>
      <c r="B18">
        <f>IF(MSE成绩库!AD18="","", MSE成绩库!AD18)</f>
        <v>45915</v>
      </c>
      <c r="C18" t="str">
        <f>IF(MSE成绩库!B18="","", MSE成绩库!B18)</f>
        <v>A1</v>
      </c>
      <c r="D18" t="str">
        <f>IF(MSE成绩库!D18="","", MSE成绩库!D18)</f>
        <v>PET</v>
      </c>
      <c r="E18">
        <f>IF(MSE成绩库!C18="","", MSE成绩库!E18)</f>
        <v>4</v>
      </c>
      <c r="F18">
        <f>IF(MSE成绩库!C18="","", MSE成绩库!F18)</f>
        <v>5</v>
      </c>
      <c r="G18">
        <f>IF(MSE成绩库!C18="","", MSE成绩库!G18)</f>
        <v>4</v>
      </c>
      <c r="H18">
        <f>IF(MSE成绩库!C18="","", MSE成绩库!H18)</f>
        <v>1</v>
      </c>
      <c r="I18">
        <f>IF(MSE成绩库!C18="","", MSE成绩库!I18)</f>
        <v>4</v>
      </c>
      <c r="J18">
        <f>IF(MSE成绩库!C18="","", MSE成绩库!J18)</f>
        <v>4</v>
      </c>
      <c r="K18">
        <f>IF(MSE成绩库!C18="","", MSE成绩库!K18)</f>
        <v>0</v>
      </c>
      <c r="L18">
        <f>IF(MSE成绩库!C18="","", MSE成绩库!M18)</f>
        <v>138</v>
      </c>
      <c r="M18">
        <f>IF(MSE成绩库!C18="","", MSE成绩库!N18)</f>
        <v>0</v>
      </c>
      <c r="N18">
        <f>IF(MSE成绩库!C18="","", MSE成绩库!O18)</f>
        <v>0</v>
      </c>
      <c r="O18" t="str">
        <f>IF(MSE成绩库!C18="","", MSE成绩库!Q18)</f>
        <v/>
      </c>
      <c r="P18">
        <f>IF(MSE成绩库!C18="","", MSE成绩库!R18)</f>
        <v>7</v>
      </c>
      <c r="Q18">
        <f>IF(MSE成绩库!C18="","", MSE成绩库!S18)</f>
        <v>5</v>
      </c>
      <c r="R18">
        <f>IF(MSE成绩库!C18="","", MSE成绩库!T18)</f>
        <v>5</v>
      </c>
      <c r="S18">
        <f>IF(MSE成绩库!C18="","", MSE成绩库!U18)</f>
        <v>1</v>
      </c>
      <c r="T18">
        <f>IF(MSE成绩库!C18="","", MSE成绩库!V18)</f>
        <v>0</v>
      </c>
      <c r="U18">
        <f>IF(MSE成绩库!C18="","", MSE成绩库!X18)</f>
        <v>140</v>
      </c>
      <c r="V18">
        <f>IF(MSE成绩库!C18="","", MSE成绩库!Y18)</f>
        <v>139</v>
      </c>
      <c r="W18" t="str">
        <f>IF(MSE成绩库!C18="","", MSE成绩库!Z18)</f>
        <v/>
      </c>
      <c r="X18" t="str">
        <f>IF(MSE成绩库!C18="","", MSE成绩库!AA18)</f>
        <v>⚠️ 薄弱环节: R-Pt4
📉 考察能力: [阅读] 句子还原 (填空)
💡 提升建议: 逻辑性极强，需关注代词指代和上下文逻辑连接词。</v>
      </c>
      <c r="Y18" t="str">
        <f>IF(MSE成绩库!C18="","", MSE成绩库!AB18)</f>
        <v/>
      </c>
      <c r="Z18" t="str">
        <f>IF(MSE成绩库!C18="","", MSE成绩库!AC18)</f>
        <v>⚠️ 薄弱环节: L-Pt4
📉 考察能力: [听力] 多选 (长采访)
💡 提升建议: 听懂详细的观点阐述，理解对话深层逻辑。</v>
      </c>
    </row>
    <row r="19" spans="1:26" x14ac:dyDescent="0.2">
      <c r="A19" t="str">
        <f>IF(MSE成绩库!C19="","", MSE成绩库!C19)</f>
        <v>赵清晔 William Zhao</v>
      </c>
      <c r="B19">
        <f>IF(MSE成绩库!AD19="","", MSE成绩库!AD19)</f>
        <v>45915</v>
      </c>
      <c r="C19" t="str">
        <f>IF(MSE成绩库!B19="","", MSE成绩库!B19)</f>
        <v>A1</v>
      </c>
      <c r="D19" t="str">
        <f>IF(MSE成绩库!D19="","", MSE成绩库!D19)</f>
        <v>PET</v>
      </c>
      <c r="E19">
        <f>IF(MSE成绩库!C19="","", MSE成绩库!E19)</f>
        <v>3</v>
      </c>
      <c r="F19">
        <f>IF(MSE成绩库!C19="","", MSE成绩库!F19)</f>
        <v>4</v>
      </c>
      <c r="G19">
        <f>IF(MSE成绩库!C19="","", MSE成绩库!G19)</f>
        <v>4</v>
      </c>
      <c r="H19">
        <f>IF(MSE成绩库!C19="","", MSE成绩库!H19)</f>
        <v>4</v>
      </c>
      <c r="I19">
        <f>IF(MSE成绩库!C19="","", MSE成绩库!I19)</f>
        <v>4</v>
      </c>
      <c r="J19">
        <f>IF(MSE成绩库!C19="","", MSE成绩库!J19)</f>
        <v>3</v>
      </c>
      <c r="K19">
        <f>IF(MSE成绩库!C19="","", MSE成绩库!K19)</f>
        <v>0</v>
      </c>
      <c r="L19">
        <f>IF(MSE成绩库!C19="","", MSE成绩库!M19)</f>
        <v>138</v>
      </c>
      <c r="M19">
        <f>IF(MSE成绩库!C19="","", MSE成绩库!N19)</f>
        <v>0</v>
      </c>
      <c r="N19">
        <f>IF(MSE成绩库!C19="","", MSE成绩库!O19)</f>
        <v>0</v>
      </c>
      <c r="O19" t="str">
        <f>IF(MSE成绩库!C19="","", MSE成绩库!Q19)</f>
        <v/>
      </c>
      <c r="P19">
        <f>IF(MSE成绩库!C19="","", MSE成绩库!R19)</f>
        <v>6</v>
      </c>
      <c r="Q19">
        <f>IF(MSE成绩库!C19="","", MSE成绩库!S19)</f>
        <v>5</v>
      </c>
      <c r="R19">
        <f>IF(MSE成绩库!C19="","", MSE成绩库!T19)</f>
        <v>6</v>
      </c>
      <c r="S19">
        <f>IF(MSE成绩库!C19="","", MSE成绩库!U19)</f>
        <v>4</v>
      </c>
      <c r="T19">
        <f>IF(MSE成绩库!C19="","", MSE成绩库!V19)</f>
        <v>0</v>
      </c>
      <c r="U19">
        <f>IF(MSE成绩库!C19="","", MSE成绩库!X19)</f>
        <v>152</v>
      </c>
      <c r="V19">
        <f>IF(MSE成绩库!C19="","", MSE成绩库!Y19)</f>
        <v>145</v>
      </c>
      <c r="W19" t="str">
        <f>IF(MSE成绩库!C19="","", MSE成绩库!Z19)</f>
        <v/>
      </c>
      <c r="X19" t="str">
        <f>IF(MSE成绩库!C19="","", MSE成绩库!AA19)</f>
        <v>⚠️ 薄弱环节: R-Pt1
📉 考察能力: [阅读] 短讯息主旨
💡 提升建议: 注意细微的情感态度差异，理解隐含意义。</v>
      </c>
      <c r="Y19" t="str">
        <f>IF(MSE成绩库!C19="","", MSE成绩库!AB19)</f>
        <v/>
      </c>
      <c r="Z19" t="str">
        <f>IF(MSE成绩库!C19="","", MSE成绩库!AC19)</f>
        <v>⚠️ 薄弱环节: L-Pt4
📉 考察能力: [听力] 多选 (长采访)
💡 提升建议: 听懂详细的观点阐述，理解对话深层逻辑。</v>
      </c>
    </row>
    <row r="20" spans="1:26" x14ac:dyDescent="0.2">
      <c r="A20" t="str">
        <f>IF(MSE成绩库!C20="","", MSE成绩库!C20)</f>
        <v xml:space="preserve">黄翊桐 Yaya Huang </v>
      </c>
      <c r="B20">
        <f>IF(MSE成绩库!AD20="","", MSE成绩库!AD20)</f>
        <v>45915</v>
      </c>
      <c r="C20" t="str">
        <f>IF(MSE成绩库!B20="","", MSE成绩库!B20)</f>
        <v>A1</v>
      </c>
      <c r="D20" t="str">
        <f>IF(MSE成绩库!D20="","", MSE成绩库!D20)</f>
        <v>PET</v>
      </c>
      <c r="E20">
        <f>IF(MSE成绩库!C20="","", MSE成绩库!E20)</f>
        <v>5</v>
      </c>
      <c r="F20">
        <f>IF(MSE成绩库!C20="","", MSE成绩库!F20)</f>
        <v>1</v>
      </c>
      <c r="G20">
        <f>IF(MSE成绩库!C20="","", MSE成绩库!G20)</f>
        <v>1</v>
      </c>
      <c r="H20">
        <f>IF(MSE成绩库!C20="","", MSE成绩库!H20)</f>
        <v>1</v>
      </c>
      <c r="I20">
        <f>IF(MSE成绩库!C20="","", MSE成绩库!I20)</f>
        <v>4</v>
      </c>
      <c r="J20">
        <f>IF(MSE成绩库!C20="","", MSE成绩库!J20)</f>
        <v>4</v>
      </c>
      <c r="K20">
        <f>IF(MSE成绩库!C20="","", MSE成绩库!K20)</f>
        <v>0</v>
      </c>
      <c r="L20">
        <f>IF(MSE成绩库!C20="","", MSE成绩库!M20)</f>
        <v>126</v>
      </c>
      <c r="M20">
        <f>IF(MSE成绩库!C20="","", MSE成绩库!N20)</f>
        <v>0</v>
      </c>
      <c r="N20">
        <f>IF(MSE成绩库!C20="","", MSE成绩库!O20)</f>
        <v>0</v>
      </c>
      <c r="O20" t="str">
        <f>IF(MSE成绩库!C20="","", MSE成绩库!Q20)</f>
        <v/>
      </c>
      <c r="P20">
        <f>IF(MSE成绩库!C20="","", MSE成绩库!R20)</f>
        <v>6</v>
      </c>
      <c r="Q20">
        <f>IF(MSE成绩库!C20="","", MSE成绩库!S20)</f>
        <v>4</v>
      </c>
      <c r="R20">
        <f>IF(MSE成绩库!C20="","", MSE成绩库!T20)</f>
        <v>5</v>
      </c>
      <c r="S20">
        <f>IF(MSE成绩库!C20="","", MSE成绩库!U20)</f>
        <v>2</v>
      </c>
      <c r="T20">
        <f>IF(MSE成绩库!C20="","", MSE成绩库!V20)</f>
        <v>0</v>
      </c>
      <c r="U20">
        <f>IF(MSE成绩库!C20="","", MSE成绩库!X20)</f>
        <v>137</v>
      </c>
      <c r="V20">
        <f>IF(MSE成绩库!C20="","", MSE成绩库!Y20)</f>
        <v>131.5</v>
      </c>
      <c r="W20" t="str">
        <f>IF(MSE成绩库!C20="","", MSE成绩库!Z20)</f>
        <v/>
      </c>
      <c r="X20" t="str">
        <f>IF(MSE成绩库!C20="","", MSE成绩库!AA20)</f>
        <v>⚠️ 薄弱环节: R-Pt2
📉 考察能力: [阅读] 人物与描述匹配
💡 提升建议: 阅读量大，练习划关键词，寻找完全匹配项。</v>
      </c>
      <c r="Y20" t="str">
        <f>IF(MSE成绩库!C20="","", MSE成绩库!AB20)</f>
        <v/>
      </c>
      <c r="Z20" t="str">
        <f>IF(MSE成绩库!C20="","", MSE成绩库!AC20)</f>
        <v>⚠️ 薄弱环节: L-Pt4
📉 考察能力: [听力] 多选 (长采访)
💡 提升建议: 听懂详细的观点阐述，理解对话深层逻辑。</v>
      </c>
    </row>
    <row r="21" spans="1:26" x14ac:dyDescent="0.2">
      <c r="A21" t="str">
        <f>IF(MSE成绩库!C21="","", MSE成绩库!C21)</f>
        <v>刘泽楷 Nick Liu</v>
      </c>
      <c r="B21">
        <f>IF(MSE成绩库!AD21="","", MSE成绩库!AD21)</f>
        <v>45915</v>
      </c>
      <c r="C21" t="str">
        <f>IF(MSE成绩库!B21="","", MSE成绩库!B21)</f>
        <v>A1</v>
      </c>
      <c r="D21" t="str">
        <f>IF(MSE成绩库!D21="","", MSE成绩库!D21)</f>
        <v>KET</v>
      </c>
      <c r="E21">
        <f>IF(MSE成绩库!C21="","", MSE成绩库!E21)</f>
        <v>3</v>
      </c>
      <c r="F21">
        <f>IF(MSE成绩库!C21="","", MSE成绩库!F21)</f>
        <v>4</v>
      </c>
      <c r="G21">
        <f>IF(MSE成绩库!C21="","", MSE成绩库!G21)</f>
        <v>2</v>
      </c>
      <c r="H21">
        <f>IF(MSE成绩库!C21="","", MSE成绩库!H21)</f>
        <v>4</v>
      </c>
      <c r="I21">
        <f>IF(MSE成绩库!C21="","", MSE成绩库!I21)</f>
        <v>3</v>
      </c>
      <c r="J21">
        <f>IF(MSE成绩库!C21="","", MSE成绩库!J21)</f>
        <v>0</v>
      </c>
      <c r="K21">
        <f>IF(MSE成绩库!C21="","", MSE成绩库!K21)</f>
        <v>0</v>
      </c>
      <c r="L21">
        <f>IF(MSE成绩库!C21="","", MSE成绩库!M21)</f>
        <v>108</v>
      </c>
      <c r="M21">
        <f>IF(MSE成绩库!C21="","", MSE成绩库!N21)</f>
        <v>9</v>
      </c>
      <c r="N21">
        <f>IF(MSE成绩库!C21="","", MSE成绩库!O21)</f>
        <v>13</v>
      </c>
      <c r="O21">
        <f>IF(MSE成绩库!C21="","", MSE成绩库!Q21)</f>
        <v>130</v>
      </c>
      <c r="P21">
        <f>IF(MSE成绩库!C21="","", MSE成绩库!R21)</f>
        <v>2</v>
      </c>
      <c r="Q21">
        <f>IF(MSE成绩库!C21="","", MSE成绩库!S21)</f>
        <v>4</v>
      </c>
      <c r="R21">
        <f>IF(MSE成绩库!C21="","", MSE成绩库!T21)</f>
        <v>3</v>
      </c>
      <c r="S21">
        <f>IF(MSE成绩库!C21="","", MSE成绩库!U21)</f>
        <v>4</v>
      </c>
      <c r="T21">
        <f>IF(MSE成绩库!C21="","", MSE成绩库!V21)</f>
        <v>5</v>
      </c>
      <c r="U21">
        <f>IF(MSE成绩库!C21="","", MSE成绩库!X21)</f>
        <v>123</v>
      </c>
      <c r="V21">
        <f>IF(MSE成绩库!C21="","", MSE成绩库!Y21)</f>
        <v>120.33333333333333</v>
      </c>
      <c r="W21" t="str">
        <f>IF(MSE成绩库!C21="","", MSE成绩库!Z21)</f>
        <v/>
      </c>
      <c r="X21" t="str">
        <f>IF(MSE成绩库!C21="","", MSE成绩库!AA21)</f>
        <v>⚠️ 薄弱环节: R-Pt3
📉 考察能力: [阅读] 长文主旨理解
💡 提升建议: 提升长难句阅读能力，关注段落大意和作者态度。</v>
      </c>
      <c r="Y21" t="str">
        <f>IF(MSE成绩库!C21="","", MSE成绩库!AB21)</f>
        <v>⚠️ 薄弱环节: W-Pt1
📉 考察能力: [写作] 短邮件/便条
💡 提升建议: 必须覆盖所有3个要点，注意语域恰当，无拼写语法错误。</v>
      </c>
      <c r="Z21" t="str">
        <f>IF(MSE成绩库!C21="","", MSE成绩库!AC21)</f>
        <v>⚠️ 薄弱环节: L-Pt1
📉 考察能力: [听力] 多选 (关键信息)
💡 提升建议: 警惕干扰项，通常听到的第一个选项是错误的，听完整再选。</v>
      </c>
    </row>
    <row r="22" spans="1:26" x14ac:dyDescent="0.2">
      <c r="A22" t="str">
        <f>IF(MSE成绩库!C22="","", MSE成绩库!C22)</f>
        <v>刘野晨 Daniel Liu</v>
      </c>
      <c r="B22">
        <f>IF(MSE成绩库!AD22="","", MSE成绩库!AD22)</f>
        <v>45915</v>
      </c>
      <c r="C22" t="str">
        <f>IF(MSE成绩库!B22="","", MSE成绩库!B22)</f>
        <v>A1</v>
      </c>
      <c r="D22" t="str">
        <f>IF(MSE成绩库!D22="","", MSE成绩库!D22)</f>
        <v>KET</v>
      </c>
      <c r="E22">
        <f>IF(MSE成绩库!C22="","", MSE成绩库!E22)</f>
        <v>5</v>
      </c>
      <c r="F22">
        <f>IF(MSE成绩库!C22="","", MSE成绩库!F22)</f>
        <v>7</v>
      </c>
      <c r="G22">
        <f>IF(MSE成绩库!C22="","", MSE成绩库!G22)</f>
        <v>2</v>
      </c>
      <c r="H22">
        <f>IF(MSE成绩库!C22="","", MSE成绩库!H22)</f>
        <v>4</v>
      </c>
      <c r="I22">
        <f>IF(MSE成绩库!C22="","", MSE成绩库!I22)</f>
        <v>3</v>
      </c>
      <c r="J22">
        <f>IF(MSE成绩库!C22="","", MSE成绩库!J22)</f>
        <v>0</v>
      </c>
      <c r="K22">
        <f>IF(MSE成绩库!C22="","", MSE成绩库!K22)</f>
        <v>0</v>
      </c>
      <c r="L22">
        <f>IF(MSE成绩库!C22="","", MSE成绩库!M22)</f>
        <v>122</v>
      </c>
      <c r="M22">
        <f>IF(MSE成绩库!C22="","", MSE成绩库!N22)</f>
        <v>7</v>
      </c>
      <c r="N22">
        <f>IF(MSE成绩库!C22="","", MSE成绩库!O22)</f>
        <v>0</v>
      </c>
      <c r="O22">
        <f>IF(MSE成绩库!C22="","", MSE成绩库!Q22)</f>
        <v>0</v>
      </c>
      <c r="P22">
        <f>IF(MSE成绩库!C22="","", MSE成绩库!R22)</f>
        <v>4</v>
      </c>
      <c r="Q22">
        <f>IF(MSE成绩库!C22="","", MSE成绩库!S22)</f>
        <v>4</v>
      </c>
      <c r="R22">
        <f>IF(MSE成绩库!C22="","", MSE成绩库!T22)</f>
        <v>5</v>
      </c>
      <c r="S22">
        <f>IF(MSE成绩库!C22="","", MSE成绩库!U22)</f>
        <v>5</v>
      </c>
      <c r="T22">
        <f>IF(MSE成绩库!C22="","", MSE成绩库!V22)</f>
        <v>5</v>
      </c>
      <c r="U22">
        <f>IF(MSE成绩库!C22="","", MSE成绩库!X22)</f>
        <v>140</v>
      </c>
      <c r="V22">
        <f>IF(MSE成绩库!C22="","", MSE成绩库!Y22)</f>
        <v>87.333333333333329</v>
      </c>
      <c r="W22" t="str">
        <f>IF(MSE成绩库!C22="","", MSE成绩库!Z22)</f>
        <v/>
      </c>
      <c r="X22" t="str">
        <f>IF(MSE成绩库!C22="","", MSE成绩库!AA22)</f>
        <v>⚠️ 薄弱环节: R-Pt3
📉 考察能力: [阅读] 长文主旨理解
💡 提升建议: 提升长难句阅读能力，关注段落大意和作者态度。</v>
      </c>
      <c r="Y22" t="str">
        <f>IF(MSE成绩库!C22="","", MSE成绩库!AB22)</f>
        <v>⚠️ 薄弱环节: W-Pt2
📉 考察能力: [写作] 看图写故事
💡 提升建议: 运用 linking words (so, because) 串联图片，注意过去时态。</v>
      </c>
      <c r="Z22" t="str">
        <f>IF(MSE成绩库!C22="","", MSE成绩库!AC22)</f>
        <v>⚠️ 薄弱环节: L-Pt1
📉 考察能力: [听力] 多选 (关键信息)
💡 提升建议: 警惕干扰项，通常听到的第一个选项是错误的，听完整再选。</v>
      </c>
    </row>
    <row r="23" spans="1:26" x14ac:dyDescent="0.2">
      <c r="A23" t="str">
        <f>IF(MSE成绩库!C23="","", MSE成绩库!C23)</f>
        <v>夏添翊 Tommy Xia</v>
      </c>
      <c r="B23">
        <f>IF(MSE成绩库!AD23="","", MSE成绩库!AD23)</f>
        <v>45915</v>
      </c>
      <c r="C23" t="str">
        <f>IF(MSE成绩库!B23="","", MSE成绩库!B23)</f>
        <v>A1</v>
      </c>
      <c r="D23" t="str">
        <f>IF(MSE成绩库!D23="","", MSE成绩库!D23)</f>
        <v>KET</v>
      </c>
      <c r="E23">
        <f>IF(MSE成绩库!C23="","", MSE成绩库!E23)</f>
        <v>5</v>
      </c>
      <c r="F23">
        <f>IF(MSE成绩库!C23="","", MSE成绩库!F23)</f>
        <v>6</v>
      </c>
      <c r="G23">
        <f>IF(MSE成绩库!C23="","", MSE成绩库!G23)</f>
        <v>4</v>
      </c>
      <c r="H23">
        <f>IF(MSE成绩库!C23="","", MSE成绩库!H23)</f>
        <v>5</v>
      </c>
      <c r="I23">
        <f>IF(MSE成绩库!C23="","", MSE成绩库!I23)</f>
        <v>5</v>
      </c>
      <c r="J23">
        <f>IF(MSE成绩库!C23="","", MSE成绩库!J23)</f>
        <v>0</v>
      </c>
      <c r="K23">
        <f>IF(MSE成绩库!C23="","", MSE成绩库!K23)</f>
        <v>0</v>
      </c>
      <c r="L23">
        <f>IF(MSE成绩库!C23="","", MSE成绩库!M23)</f>
        <v>133</v>
      </c>
      <c r="M23">
        <f>IF(MSE成绩库!C23="","", MSE成绩库!N23)</f>
        <v>12</v>
      </c>
      <c r="N23">
        <f>IF(MSE成绩库!C23="","", MSE成绩库!O23)</f>
        <v>12</v>
      </c>
      <c r="O23">
        <f>IF(MSE成绩库!C23="","", MSE成绩库!Q23)</f>
        <v>135</v>
      </c>
      <c r="P23">
        <f>IF(MSE成绩库!C23="","", MSE成绩库!R23)</f>
        <v>4</v>
      </c>
      <c r="Q23">
        <f>IF(MSE成绩库!C23="","", MSE成绩库!S23)</f>
        <v>2</v>
      </c>
      <c r="R23">
        <f>IF(MSE成绩库!C23="","", MSE成绩库!T23)</f>
        <v>5</v>
      </c>
      <c r="S23">
        <f>IF(MSE成绩库!C23="","", MSE成绩库!U23)</f>
        <v>5</v>
      </c>
      <c r="T23">
        <f>IF(MSE成绩库!C23="","", MSE成绩库!V23)</f>
        <v>3</v>
      </c>
      <c r="U23">
        <f>IF(MSE成绩库!C23="","", MSE成绩库!X23)</f>
        <v>126</v>
      </c>
      <c r="V23">
        <f>IF(MSE成绩库!C23="","", MSE成绩库!Y23)</f>
        <v>131.33333333333334</v>
      </c>
      <c r="W23" t="str">
        <f>IF(MSE成绩库!C23="","", MSE成绩库!Z23)</f>
        <v/>
      </c>
      <c r="X23" t="str">
        <f>IF(MSE成绩库!C23="","", MSE成绩库!AA23)</f>
        <v>⚠️ 薄弱环节: R-Pt3
📉 考察能力: [阅读] 长文主旨理解
💡 提升建议: 提升长难句阅读能力，关注段落大意和作者态度。</v>
      </c>
      <c r="Y23" t="str">
        <f>IF(MSE成绩库!C23="","", MSE成绩库!AB23)</f>
        <v>⚠️ 薄弱环节: W-Pt1
📉 考察能力: [写作] 短邮件/便条
💡 提升建议: 必须覆盖所有3个要点，注意语域恰当，无拼写语法错误。</v>
      </c>
      <c r="Z23" t="str">
        <f>IF(MSE成绩库!C23="","", MSE成绩库!AC23)</f>
        <v>⚠️ 薄弱环节: L-Pt2
📉 考察能力: [听力] 填空 (信息记录)
💡 提升建议: 强化数字、价格、日期、拼写的听写训练。</v>
      </c>
    </row>
    <row r="24" spans="1:26" x14ac:dyDescent="0.2">
      <c r="A24" t="str">
        <f>IF(MSE成绩库!C24="","", MSE成绩库!C24)</f>
        <v>张芮语 Ann Zhang</v>
      </c>
      <c r="B24">
        <f>IF(MSE成绩库!AD24="","", MSE成绩库!AD24)</f>
        <v>45915</v>
      </c>
      <c r="C24" t="str">
        <f>IF(MSE成绩库!B24="","", MSE成绩库!B24)</f>
        <v>A1</v>
      </c>
      <c r="D24" t="str">
        <f>IF(MSE成绩库!D24="","", MSE成绩库!D24)</f>
        <v>KET</v>
      </c>
      <c r="E24">
        <f>IF(MSE成绩库!C24="","", MSE成绩库!E24)</f>
        <v>0</v>
      </c>
      <c r="F24">
        <f>IF(MSE成绩库!C24="","", MSE成绩库!F24)</f>
        <v>5</v>
      </c>
      <c r="G24">
        <f>IF(MSE成绩库!C24="","", MSE成绩库!G24)</f>
        <v>2</v>
      </c>
      <c r="H24">
        <f>IF(MSE成绩库!C24="","", MSE成绩库!H24)</f>
        <v>4</v>
      </c>
      <c r="I24">
        <f>IF(MSE成绩库!C24="","", MSE成绩库!I24)</f>
        <v>1</v>
      </c>
      <c r="J24">
        <f>IF(MSE成绩库!C24="","", MSE成绩库!J24)</f>
        <v>0</v>
      </c>
      <c r="K24">
        <f>IF(MSE成绩库!C24="","", MSE成绩库!K24)</f>
        <v>0</v>
      </c>
      <c r="L24">
        <f>IF(MSE成绩库!C24="","", MSE成绩库!M24)</f>
        <v>0</v>
      </c>
      <c r="M24">
        <f>IF(MSE成绩库!C24="","", MSE成绩库!N24)</f>
        <v>10</v>
      </c>
      <c r="N24">
        <f>IF(MSE成绩库!C24="","", MSE成绩库!O24)</f>
        <v>9</v>
      </c>
      <c r="O24">
        <f>IF(MSE成绩库!C24="","", MSE成绩库!Q24)</f>
        <v>123</v>
      </c>
      <c r="P24">
        <f>IF(MSE成绩库!C24="","", MSE成绩库!R24)</f>
        <v>4</v>
      </c>
      <c r="Q24">
        <f>IF(MSE成绩库!C24="","", MSE成绩库!S24)</f>
        <v>3</v>
      </c>
      <c r="R24">
        <f>IF(MSE成绩库!C24="","", MSE成绩库!T24)</f>
        <v>5</v>
      </c>
      <c r="S24">
        <f>IF(MSE成绩库!C24="","", MSE成绩库!U24)</f>
        <v>5</v>
      </c>
      <c r="T24">
        <f>IF(MSE成绩库!C24="","", MSE成绩库!V24)</f>
        <v>4</v>
      </c>
      <c r="U24">
        <f>IF(MSE成绩库!C24="","", MSE成绩库!X24)</f>
        <v>133</v>
      </c>
      <c r="V24">
        <f>IF(MSE成绩库!C24="","", MSE成绩库!Y24)</f>
        <v>85.333333333333329</v>
      </c>
      <c r="W24" t="str">
        <f>IF(MSE成绩库!C24="","", MSE成绩库!Z24)</f>
        <v/>
      </c>
      <c r="X24" t="str">
        <f>IF(MSE成绩库!C24="","", MSE成绩库!AA24)</f>
        <v>⚠️ 薄弱环节: R-Pt1
📉 考察能力: [阅读] 短讯息主旨理解
💡 提升建议: 关注生活中的标识、短信，练习找出关键词的同义替换。</v>
      </c>
      <c r="Y24" t="str">
        <f>IF(MSE成绩库!C24="","", MSE成绩库!AB24)</f>
        <v>⚠️ 薄弱环节: W-Pt2
📉 考察能力: [写作] 看图写故事
💡 提升建议: 运用 linking words (so, because) 串联图片，注意过去时态。</v>
      </c>
      <c r="Z24" t="str">
        <f>IF(MSE成绩库!C24="","", MSE成绩库!AC24)</f>
        <v>⚠️ 薄弱环节: L-Pt2
📉 考察能力: [听力] 填空 (信息记录)
💡 提升建议: 强化数字、价格、日期、拼写的听写训练。</v>
      </c>
    </row>
    <row r="25" spans="1:26" x14ac:dyDescent="0.2">
      <c r="A25" t="str">
        <f>IF(MSE成绩库!C25="","", MSE成绩库!C25)</f>
        <v>张茉凡 Kimberley Zhang</v>
      </c>
      <c r="B25">
        <f>IF(MSE成绩库!AD25="","", MSE成绩库!AD25)</f>
        <v>45915</v>
      </c>
      <c r="C25" t="str">
        <f>IF(MSE成绩库!B25="","", MSE成绩库!B25)</f>
        <v>A1</v>
      </c>
      <c r="D25" t="str">
        <f>IF(MSE成绩库!D25="","", MSE成绩库!D25)</f>
        <v>KET</v>
      </c>
      <c r="E25">
        <f>IF(MSE成绩库!C25="","", MSE成绩库!E25)</f>
        <v>6</v>
      </c>
      <c r="F25">
        <f>IF(MSE成绩库!C25="","", MSE成绩库!F25)</f>
        <v>7</v>
      </c>
      <c r="G25">
        <f>IF(MSE成绩库!C25="","", MSE成绩库!G25)</f>
        <v>4</v>
      </c>
      <c r="H25">
        <f>IF(MSE成绩库!C25="","", MSE成绩库!H25)</f>
        <v>4</v>
      </c>
      <c r="I25">
        <f>IF(MSE成绩库!C25="","", MSE成绩库!I25)</f>
        <v>4</v>
      </c>
      <c r="J25">
        <f>IF(MSE成绩库!C25="","", MSE成绩库!J25)</f>
        <v>0</v>
      </c>
      <c r="K25">
        <f>IF(MSE成绩库!C25="","", MSE成绩库!K25)</f>
        <v>0</v>
      </c>
      <c r="L25">
        <f>IF(MSE成绩库!C25="","", MSE成绩库!M25)</f>
        <v>133</v>
      </c>
      <c r="M25">
        <f>IF(MSE成绩库!C25="","", MSE成绩库!N25)</f>
        <v>13</v>
      </c>
      <c r="N25">
        <f>IF(MSE成绩库!C25="","", MSE成绩库!O25)</f>
        <v>13</v>
      </c>
      <c r="O25">
        <f>IF(MSE成绩库!C25="","", MSE成绩库!Q25)</f>
        <v>140</v>
      </c>
      <c r="P25">
        <f>IF(MSE成绩库!C25="","", MSE成绩库!R25)</f>
        <v>4</v>
      </c>
      <c r="Q25">
        <f>IF(MSE成绩库!C25="","", MSE成绩库!S25)</f>
        <v>5</v>
      </c>
      <c r="R25">
        <f>IF(MSE成绩库!C25="","", MSE成绩库!T25)</f>
        <v>5</v>
      </c>
      <c r="S25">
        <f>IF(MSE成绩库!C25="","", MSE成绩库!U25)</f>
        <v>5</v>
      </c>
      <c r="T25">
        <f>IF(MSE成绩库!C25="","", MSE成绩库!V25)</f>
        <v>3</v>
      </c>
      <c r="U25">
        <f>IF(MSE成绩库!C25="","", MSE成绩库!X25)</f>
        <v>136</v>
      </c>
      <c r="V25">
        <f>IF(MSE成绩库!C25="","", MSE成绩库!Y25)</f>
        <v>136.33333333333334</v>
      </c>
      <c r="W25" t="str">
        <f>IF(MSE成绩库!C25="","", MSE成绩库!Z25)</f>
        <v/>
      </c>
      <c r="X25" t="str">
        <f>IF(MSE成绩库!C25="","", MSE成绩库!AA25)</f>
        <v>⚠️ 薄弱环节: R-Pt3
📉 考察能力: [阅读] 长文主旨理解
💡 提升建议: 提升长难句阅读能力，关注段落大意和作者态度。</v>
      </c>
      <c r="Y25" t="str">
        <f>IF(MSE成绩库!C25="","", MSE成绩库!AB25)</f>
        <v>⚠️ 薄弱环节: W-Pt1
📉 考察能力: [写作] 短邮件/便条
💡 提升建议: 必须覆盖所有3个要点，注意语域恰当，无拼写语法错误。</v>
      </c>
      <c r="Z25" t="str">
        <f>IF(MSE成绩库!C25="","", MSE成绩库!AC25)</f>
        <v>⚠️ 薄弱环节: L-Pt5
📉 考察能力: [听力] 匹配题
💡 提升建议: 边听边记笔记，排除法是个好工具。</v>
      </c>
    </row>
    <row r="26" spans="1:26" x14ac:dyDescent="0.2">
      <c r="A26" t="str">
        <f>IF(MSE成绩库!C26="","", MSE成绩库!C26)</f>
        <v>朱诗淇 Sophia Zhu</v>
      </c>
      <c r="B26">
        <f>IF(MSE成绩库!AD26="","", MSE成绩库!AD26)</f>
        <v>45915</v>
      </c>
      <c r="C26" t="str">
        <f>IF(MSE成绩库!B26="","", MSE成绩库!B26)</f>
        <v>A1</v>
      </c>
      <c r="D26" t="str">
        <f>IF(MSE成绩库!D26="","", MSE成绩库!D26)</f>
        <v>KET</v>
      </c>
      <c r="E26">
        <f>IF(MSE成绩库!C26="","", MSE成绩库!E26)</f>
        <v>2</v>
      </c>
      <c r="F26">
        <f>IF(MSE成绩库!C26="","", MSE成绩库!F26)</f>
        <v>6</v>
      </c>
      <c r="G26">
        <f>IF(MSE成绩库!C26="","", MSE成绩库!G26)</f>
        <v>4</v>
      </c>
      <c r="H26">
        <f>IF(MSE成绩库!C26="","", MSE成绩库!H26)</f>
        <v>3</v>
      </c>
      <c r="I26">
        <f>IF(MSE成绩库!C26="","", MSE成绩库!I26)</f>
        <v>2</v>
      </c>
      <c r="J26">
        <f>IF(MSE成绩库!C26="","", MSE成绩库!J26)</f>
        <v>0</v>
      </c>
      <c r="K26">
        <f>IF(MSE成绩库!C26="","", MSE成绩库!K26)</f>
        <v>0</v>
      </c>
      <c r="L26">
        <f>IF(MSE成绩库!C26="","", MSE成绩库!M26)</f>
        <v>111</v>
      </c>
      <c r="M26">
        <f>IF(MSE成绩库!C26="","", MSE成绩库!N26)</f>
        <v>12</v>
      </c>
      <c r="N26">
        <f>IF(MSE成绩库!C26="","", MSE成绩库!O26)</f>
        <v>11</v>
      </c>
      <c r="O26">
        <f>IF(MSE成绩库!C26="","", MSE成绩库!Q26)</f>
        <v>133</v>
      </c>
      <c r="P26">
        <f>IF(MSE成绩库!C26="","", MSE成绩库!R26)</f>
        <v>3</v>
      </c>
      <c r="Q26">
        <f>IF(MSE成绩库!C26="","", MSE成绩库!S26)</f>
        <v>2</v>
      </c>
      <c r="R26">
        <f>IF(MSE成绩库!C26="","", MSE成绩库!T26)</f>
        <v>5</v>
      </c>
      <c r="S26">
        <f>IF(MSE成绩库!C26="","", MSE成绩库!U26)</f>
        <v>4</v>
      </c>
      <c r="T26">
        <f>IF(MSE成绩库!C26="","", MSE成绩库!V26)</f>
        <v>5</v>
      </c>
      <c r="U26">
        <f>IF(MSE成绩库!C26="","", MSE成绩库!X26)</f>
        <v>126</v>
      </c>
      <c r="V26">
        <f>IF(MSE成绩库!C26="","", MSE成绩库!Y26)</f>
        <v>123.33333333333333</v>
      </c>
      <c r="W26" t="str">
        <f>IF(MSE成绩库!C26="","", MSE成绩库!Z26)</f>
        <v/>
      </c>
      <c r="X26" t="str">
        <f>IF(MSE成绩库!C26="","", MSE成绩库!AA26)</f>
        <v>⚠️ 薄弱环节: R-Pt1
📉 考察能力: [阅读] 短讯息主旨理解
💡 提升建议: 关注生活中的标识、短信，练习找出关键词的同义替换。</v>
      </c>
      <c r="Y26" t="str">
        <f>IF(MSE成绩库!C26="","", MSE成绩库!AB26)</f>
        <v>⚠️ 薄弱环节: W-Pt2
📉 考察能力: [写作] 看图写故事
💡 提升建议: 运用 linking words (so, because) 串联图片，注意过去时态。</v>
      </c>
      <c r="Z26" t="str">
        <f>IF(MSE成绩库!C26="","", MSE成绩库!AC26)</f>
        <v>⚠️ 薄弱环节: L-Pt2
📉 考察能力: [听力] 填空 (信息记录)
💡 提升建议: 强化数字、价格、日期、拼写的听写训练。</v>
      </c>
    </row>
    <row r="27" spans="1:26" x14ac:dyDescent="0.2">
      <c r="A27" t="str">
        <f>IF(MSE成绩库!C27="","", MSE成绩库!C27)</f>
        <v>李翎嫣 Oli Li</v>
      </c>
      <c r="B27">
        <f>IF(MSE成绩库!AD27="","", MSE成绩库!AD27)</f>
        <v>45915</v>
      </c>
      <c r="C27" t="str">
        <f>IF(MSE成绩库!B27="","", MSE成绩库!B27)</f>
        <v>A1</v>
      </c>
      <c r="D27" t="str">
        <f>IF(MSE成绩库!D27="","", MSE成绩库!D27)</f>
        <v>KET</v>
      </c>
      <c r="E27">
        <f>IF(MSE成绩库!C27="","", MSE成绩库!E27)</f>
        <v>5</v>
      </c>
      <c r="F27">
        <f>IF(MSE成绩库!C27="","", MSE成绩库!F27)</f>
        <v>5</v>
      </c>
      <c r="G27">
        <f>IF(MSE成绩库!C27="","", MSE成绩库!G27)</f>
        <v>5</v>
      </c>
      <c r="H27">
        <f>IF(MSE成绩库!C27="","", MSE成绩库!H27)</f>
        <v>3</v>
      </c>
      <c r="I27">
        <f>IF(MSE成绩库!C27="","", MSE成绩库!I27)</f>
        <v>5</v>
      </c>
      <c r="J27">
        <f>IF(MSE成绩库!C27="","", MSE成绩库!J27)</f>
        <v>0</v>
      </c>
      <c r="K27">
        <f>IF(MSE成绩库!C27="","", MSE成绩库!K27)</f>
        <v>0</v>
      </c>
      <c r="L27">
        <f>IF(MSE成绩库!C27="","", MSE成绩库!M27)</f>
        <v>127</v>
      </c>
      <c r="M27">
        <f>IF(MSE成绩库!C27="","", MSE成绩库!N27)</f>
        <v>12</v>
      </c>
      <c r="N27">
        <f>IF(MSE成绩库!C27="","", MSE成绩库!O27)</f>
        <v>0</v>
      </c>
      <c r="O27">
        <f>IF(MSE成绩库!C27="","", MSE成绩库!Q27)</f>
        <v>102</v>
      </c>
      <c r="P27">
        <f>IF(MSE成绩库!C27="","", MSE成绩库!R27)</f>
        <v>5</v>
      </c>
      <c r="Q27">
        <f>IF(MSE成绩库!C27="","", MSE成绩库!S27)</f>
        <v>4</v>
      </c>
      <c r="R27">
        <f>IF(MSE成绩库!C27="","", MSE成绩库!T27)</f>
        <v>4</v>
      </c>
      <c r="S27">
        <f>IF(MSE成绩库!C27="","", MSE成绩库!U27)</f>
        <v>4</v>
      </c>
      <c r="T27">
        <f>IF(MSE成绩库!C27="","", MSE成绩库!V27)</f>
        <v>5</v>
      </c>
      <c r="U27">
        <f>IF(MSE成绩库!C27="","", MSE成绩库!X27)</f>
        <v>136</v>
      </c>
      <c r="V27">
        <f>IF(MSE成绩库!C27="","", MSE成绩库!Y27)</f>
        <v>121.66666666666667</v>
      </c>
      <c r="W27" t="str">
        <f>IF(MSE成绩库!C27="","", MSE成绩库!Z27)</f>
        <v/>
      </c>
      <c r="X27" t="str">
        <f>IF(MSE成绩库!C27="","", MSE成绩库!AA27)</f>
        <v>⚠️ 薄弱环节: R-Pt4
📉 考察能力: [阅读] 完形填空 (词汇)
💡 提升建议: 积累名词、形容词、动词的常见搭配及近义词辨析。</v>
      </c>
      <c r="Y27" t="str">
        <f>IF(MSE成绩库!C27="","", MSE成绩库!AB27)</f>
        <v>⚠️ 薄弱环节: W-Pt2
📉 考察能力: [写作] 看图写故事
💡 提升建议: 运用 linking words (so, because) 串联图片，注意过去时态。</v>
      </c>
      <c r="Z27" t="str">
        <f>IF(MSE成绩库!C27="","", MSE成绩库!AC27)</f>
        <v>⚠️ 薄弱环节: L-Pt2
📉 考察能力: [听力] 填空 (信息记录)
💡 提升建议: 强化数字、价格、日期、拼写的听写训练。</v>
      </c>
    </row>
    <row r="28" spans="1:26" x14ac:dyDescent="0.2">
      <c r="A28" t="str">
        <f>IF(MSE成绩库!C28="","", MSE成绩库!C28)</f>
        <v>林奕辰 Eason Lin</v>
      </c>
      <c r="B28">
        <f>IF(MSE成绩库!AD28="","", MSE成绩库!AD28)</f>
        <v>45915</v>
      </c>
      <c r="C28" t="str">
        <f>IF(MSE成绩库!B28="","", MSE成绩库!B28)</f>
        <v>A1</v>
      </c>
      <c r="D28" t="str">
        <f>IF(MSE成绩库!D28="","", MSE成绩库!D28)</f>
        <v>KET</v>
      </c>
      <c r="E28">
        <f>IF(MSE成绩库!C28="","", MSE成绩库!E28)</f>
        <v>5</v>
      </c>
      <c r="F28">
        <f>IF(MSE成绩库!C28="","", MSE成绩库!F28)</f>
        <v>5</v>
      </c>
      <c r="G28">
        <f>IF(MSE成绩库!C28="","", MSE成绩库!G28)</f>
        <v>5</v>
      </c>
      <c r="H28">
        <f>IF(MSE成绩库!C28="","", MSE成绩库!H28)</f>
        <v>5</v>
      </c>
      <c r="I28">
        <f>IF(MSE成绩库!C28="","", MSE成绩库!I28)</f>
        <v>4</v>
      </c>
      <c r="J28">
        <f>IF(MSE成绩库!C28="","", MSE成绩库!J28)</f>
        <v>0</v>
      </c>
      <c r="K28">
        <f>IF(MSE成绩库!C28="","", MSE成绩库!K28)</f>
        <v>0</v>
      </c>
      <c r="L28">
        <f>IF(MSE成绩库!C28="","", MSE成绩库!M28)</f>
        <v>130</v>
      </c>
      <c r="M28">
        <f>IF(MSE成绩库!C28="","", MSE成绩库!N28)</f>
        <v>11</v>
      </c>
      <c r="N28">
        <f>IF(MSE成绩库!C28="","", MSE成绩库!O28)</f>
        <v>10</v>
      </c>
      <c r="O28">
        <f>IF(MSE成绩库!C28="","", MSE成绩库!Q28)</f>
        <v>128</v>
      </c>
      <c r="P28">
        <f>IF(MSE成绩库!C28="","", MSE成绩库!R28)</f>
        <v>4</v>
      </c>
      <c r="Q28">
        <f>IF(MSE成绩库!C28="","", MSE成绩库!S28)</f>
        <v>1</v>
      </c>
      <c r="R28">
        <f>IF(MSE成绩库!C28="","", MSE成绩库!T28)</f>
        <v>4</v>
      </c>
      <c r="S28">
        <f>IF(MSE成绩库!C28="","", MSE成绩库!U28)</f>
        <v>4</v>
      </c>
      <c r="T28">
        <f>IF(MSE成绩库!C28="","", MSE成绩库!V28)</f>
        <v>5</v>
      </c>
      <c r="U28">
        <f>IF(MSE成绩库!C28="","", MSE成绩库!X28)</f>
        <v>123</v>
      </c>
      <c r="V28">
        <f>IF(MSE成绩库!C28="","", MSE成绩库!Y28)</f>
        <v>127</v>
      </c>
      <c r="W28" t="str">
        <f>IF(MSE成绩库!C28="","", MSE成绩库!Z28)</f>
        <v/>
      </c>
      <c r="X28" t="str">
        <f>IF(MSE成绩库!C28="","", MSE成绩库!AA28)</f>
        <v>⚠️ 薄弱环节: R-Pt5
📉 考察能力: [阅读] 开放式填空 (语法)
💡 提升建议: 纯语法考核，重点强化介词、代词、连词和时态助动词。</v>
      </c>
      <c r="Y28" t="str">
        <f>IF(MSE成绩库!C28="","", MSE成绩库!AB28)</f>
        <v>⚠️ 薄弱环节: W-Pt2
📉 考察能力: [写作] 看图写故事
💡 提升建议: 运用 linking words (so, because) 串联图片，注意过去时态。</v>
      </c>
      <c r="Z28" t="str">
        <f>IF(MSE成绩库!C28="","", MSE成绩库!AC28)</f>
        <v>⚠️ 薄弱环节: L-Pt2
📉 考察能力: [听力] 填空 (信息记录)
💡 提升建议: 强化数字、价格、日期、拼写的听写训练。</v>
      </c>
    </row>
    <row r="29" spans="1:26" x14ac:dyDescent="0.2">
      <c r="A29" t="str">
        <f>IF(MSE成绩库!C29="","", MSE成绩库!C29)</f>
        <v>王薇童 Vera Wang</v>
      </c>
      <c r="B29">
        <f>IF(MSE成绩库!AD29="","", MSE成绩库!AD29)</f>
        <v>45915</v>
      </c>
      <c r="C29" t="str">
        <f>IF(MSE成绩库!B29="","", MSE成绩库!B29)</f>
        <v>A1</v>
      </c>
      <c r="D29" t="str">
        <f>IF(MSE成绩库!D29="","", MSE成绩库!D29)</f>
        <v>KET</v>
      </c>
      <c r="E29">
        <f>IF(MSE成绩库!C29="","", MSE成绩库!E29)</f>
        <v>4</v>
      </c>
      <c r="F29">
        <f>IF(MSE成绩库!C29="","", MSE成绩库!F29)</f>
        <v>0</v>
      </c>
      <c r="G29">
        <f>IF(MSE成绩库!C29="","", MSE成绩库!G29)</f>
        <v>5</v>
      </c>
      <c r="H29">
        <f>IF(MSE成绩库!C29="","", MSE成绩库!H29)</f>
        <v>4</v>
      </c>
      <c r="I29">
        <f>IF(MSE成绩库!C29="","", MSE成绩库!I29)</f>
        <v>6</v>
      </c>
      <c r="J29">
        <f>IF(MSE成绩库!C29="","", MSE成绩库!J29)</f>
        <v>0</v>
      </c>
      <c r="K29">
        <f>IF(MSE成绩库!C29="","", MSE成绩库!K29)</f>
        <v>0</v>
      </c>
      <c r="L29">
        <f>IF(MSE成绩库!C29="","", MSE成绩库!M29)</f>
        <v>117</v>
      </c>
      <c r="M29">
        <f>IF(MSE成绩库!C29="","", MSE成绩库!N29)</f>
        <v>13</v>
      </c>
      <c r="N29">
        <f>IF(MSE成绩库!C29="","", MSE成绩库!O29)</f>
        <v>16</v>
      </c>
      <c r="O29">
        <f>IF(MSE成绩库!C29="","", MSE成绩库!Q29)</f>
        <v>148</v>
      </c>
      <c r="P29">
        <f>IF(MSE成绩库!C29="","", MSE成绩库!R29)</f>
        <v>5</v>
      </c>
      <c r="Q29">
        <f>IF(MSE成绩库!C29="","", MSE成绩库!S29)</f>
        <v>3</v>
      </c>
      <c r="R29">
        <f>IF(MSE成绩库!C29="","", MSE成绩库!T29)</f>
        <v>4</v>
      </c>
      <c r="S29">
        <f>IF(MSE成绩库!C29="","", MSE成绩库!U29)</f>
        <v>5</v>
      </c>
      <c r="T29">
        <f>IF(MSE成绩库!C29="","", MSE成绩库!V29)</f>
        <v>5</v>
      </c>
      <c r="U29">
        <f>IF(MSE成绩库!C29="","", MSE成绩库!X29)</f>
        <v>136</v>
      </c>
      <c r="V29">
        <f>IF(MSE成绩库!C29="","", MSE成绩库!Y29)</f>
        <v>133.66666666666666</v>
      </c>
      <c r="W29" t="str">
        <f>IF(MSE成绩库!C29="","", MSE成绩库!Z29)</f>
        <v/>
      </c>
      <c r="X29" t="str">
        <f>IF(MSE成绩库!C29="","", MSE成绩库!AA29)</f>
        <v>⚠️ 薄弱环节: R-Pt2
📉 考察能力: [阅读] 三选一匹配 (细节)
💡 提升建议: 练习快速定位，注意题目描述与原文细节的对应。</v>
      </c>
      <c r="Y29" t="str">
        <f>IF(MSE成绩库!C29="","", MSE成绩库!AB29)</f>
        <v>⚠️ 薄弱环节: W-Pt1
📉 考察能力: [写作] 短邮件/便条
💡 提升建议: 必须覆盖所有3个要点，注意语域恰当，无拼写语法错误。</v>
      </c>
      <c r="Z29" t="str">
        <f>IF(MSE成绩库!C29="","", MSE成绩库!AC29)</f>
        <v>⚠️ 薄弱环节: L-Pt2
📉 考察能力: [听力] 填空 (信息记录)
💡 提升建议: 强化数字、价格、日期、拼写的听写训练。</v>
      </c>
    </row>
    <row r="30" spans="1:26" x14ac:dyDescent="0.2">
      <c r="A30" t="str">
        <f>IF(MSE成绩库!C30="","", MSE成绩库!C30)</f>
        <v>石帛玄 Mambo Shi</v>
      </c>
      <c r="B30">
        <f>IF(MSE成绩库!AD30="","", MSE成绩库!AD30)</f>
        <v>45915</v>
      </c>
      <c r="C30" t="str">
        <f>IF(MSE成绩库!B30="","", MSE成绩库!B30)</f>
        <v>A1</v>
      </c>
      <c r="D30" t="str">
        <f>IF(MSE成绩库!D30="","", MSE成绩库!D30)</f>
        <v>KET</v>
      </c>
      <c r="E30">
        <f>IF(MSE成绩库!C30="","", MSE成绩库!E30)</f>
        <v>1</v>
      </c>
      <c r="F30">
        <f>IF(MSE成绩库!C30="","", MSE成绩库!F30)</f>
        <v>7</v>
      </c>
      <c r="G30">
        <f>IF(MSE成绩库!C30="","", MSE成绩库!G30)</f>
        <v>3</v>
      </c>
      <c r="H30">
        <f>IF(MSE成绩库!C30="","", MSE成绩库!H30)</f>
        <v>3</v>
      </c>
      <c r="I30">
        <f>IF(MSE成绩库!C30="","", MSE成绩库!I30)</f>
        <v>0</v>
      </c>
      <c r="J30">
        <f>IF(MSE成绩库!C30="","", MSE成绩库!J30)</f>
        <v>0</v>
      </c>
      <c r="K30">
        <f>IF(MSE成绩库!C30="","", MSE成绩库!K30)</f>
        <v>0</v>
      </c>
      <c r="L30">
        <f>IF(MSE成绩库!C30="","", MSE成绩库!M30)</f>
        <v>102</v>
      </c>
      <c r="M30">
        <f>IF(MSE成绩库!C30="","", MSE成绩库!N30)</f>
        <v>6</v>
      </c>
      <c r="N30">
        <f>IF(MSE成绩库!C30="","", MSE成绩库!O30)</f>
        <v>10</v>
      </c>
      <c r="O30">
        <f>IF(MSE成绩库!C30="","", MSE成绩库!Q30)</f>
        <v>114</v>
      </c>
      <c r="P30">
        <f>IF(MSE成绩库!C30="","", MSE成绩库!R30)</f>
        <v>4</v>
      </c>
      <c r="Q30">
        <f>IF(MSE成绩库!C30="","", MSE成绩库!S30)</f>
        <v>1</v>
      </c>
      <c r="R30">
        <f>IF(MSE成绩库!C30="","", MSE成绩库!T30)</f>
        <v>4</v>
      </c>
      <c r="S30">
        <f>IF(MSE成绩库!C30="","", MSE成绩库!U30)</f>
        <v>4</v>
      </c>
      <c r="T30">
        <f>IF(MSE成绩库!C30="","", MSE成绩库!V30)</f>
        <v>5</v>
      </c>
      <c r="U30">
        <f>IF(MSE成绩库!C30="","", MSE成绩库!X30)</f>
        <v>123</v>
      </c>
      <c r="V30">
        <f>IF(MSE成绩库!C30="","", MSE成绩库!Y30)</f>
        <v>113</v>
      </c>
      <c r="W30" t="str">
        <f>IF(MSE成绩库!C30="","", MSE成绩库!Z30)</f>
        <v/>
      </c>
      <c r="X30" t="str">
        <f>IF(MSE成绩库!C30="","", MSE成绩库!AA30)</f>
        <v>⚠️ 薄弱环节: R-Pt5
📉 考察能力: [阅读] 开放式填空 (语法)
💡 提升建议: 纯语法考核，重点强化介词、代词、连词和时态助动词。</v>
      </c>
      <c r="Y30" t="str">
        <f>IF(MSE成绩库!C30="","", MSE成绩库!AB30)</f>
        <v>⚠️ 薄弱环节: W-Pt1
📉 考察能力: [写作] 短邮件/便条
💡 提升建议: 必须覆盖所有3个要点，注意语域恰当，无拼写语法错误。</v>
      </c>
      <c r="Z30" t="str">
        <f>IF(MSE成绩库!C30="","", MSE成绩库!AC30)</f>
        <v>⚠️ 薄弱环节: L-Pt2
📉 考察能力: [听力] 填空 (信息记录)
💡 提升建议: 强化数字、价格、日期、拼写的听写训练。</v>
      </c>
    </row>
    <row r="31" spans="1:26" x14ac:dyDescent="0.2">
      <c r="A31" t="str">
        <f>IF(MSE成绩库!C31="","", MSE成绩库!C31)</f>
        <v>胡鸿轩 Lucas Hu</v>
      </c>
      <c r="B31">
        <f>IF(MSE成绩库!AD31="","", MSE成绩库!AD31)</f>
        <v>45915</v>
      </c>
      <c r="C31" t="str">
        <f>IF(MSE成绩库!B31="","", MSE成绩库!B31)</f>
        <v>A1</v>
      </c>
      <c r="D31" t="str">
        <f>IF(MSE成绩库!D31="","", MSE成绩库!D31)</f>
        <v>KET</v>
      </c>
      <c r="E31">
        <f>IF(MSE成绩库!C31="","", MSE成绩库!E31)</f>
        <v>5</v>
      </c>
      <c r="F31">
        <f>IF(MSE成绩库!C31="","", MSE成绩库!F31)</f>
        <v>6</v>
      </c>
      <c r="G31">
        <f>IF(MSE成绩库!C31="","", MSE成绩库!G31)</f>
        <v>4</v>
      </c>
      <c r="H31">
        <f>IF(MSE成绩库!C31="","", MSE成绩库!H31)</f>
        <v>4</v>
      </c>
      <c r="I31">
        <f>IF(MSE成绩库!C31="","", MSE成绩库!I31)</f>
        <v>3</v>
      </c>
      <c r="J31">
        <f>IF(MSE成绩库!C31="","", MSE成绩库!J31)</f>
        <v>0</v>
      </c>
      <c r="K31">
        <f>IF(MSE成绩库!C31="","", MSE成绩库!K31)</f>
        <v>0</v>
      </c>
      <c r="L31">
        <f>IF(MSE成绩库!C31="","", MSE成绩库!M31)</f>
        <v>125</v>
      </c>
      <c r="M31">
        <f>IF(MSE成绩库!C31="","", MSE成绩库!N31)</f>
        <v>9</v>
      </c>
      <c r="N31">
        <f>IF(MSE成绩库!C31="","", MSE成绩库!O31)</f>
        <v>9</v>
      </c>
      <c r="O31">
        <f>IF(MSE成绩库!C31="","", MSE成绩库!Q31)</f>
        <v>120</v>
      </c>
      <c r="P31">
        <f>IF(MSE成绩库!C31="","", MSE成绩库!R31)</f>
        <v>1</v>
      </c>
      <c r="Q31">
        <f>IF(MSE成绩库!C31="","", MSE成绩库!S31)</f>
        <v>2</v>
      </c>
      <c r="R31">
        <f>IF(MSE成绩库!C31="","", MSE成绩库!T31)</f>
        <v>5</v>
      </c>
      <c r="S31">
        <f>IF(MSE成绩库!C31="","", MSE成绩库!U31)</f>
        <v>4</v>
      </c>
      <c r="T31">
        <f>IF(MSE成绩库!C31="","", MSE成绩库!V31)</f>
        <v>4</v>
      </c>
      <c r="U31">
        <f>IF(MSE成绩库!C31="","", MSE成绩库!X31)</f>
        <v>116</v>
      </c>
      <c r="V31">
        <f>IF(MSE成绩库!C31="","", MSE成绩库!Y31)</f>
        <v>120.33333333333333</v>
      </c>
      <c r="W31" t="str">
        <f>IF(MSE成绩库!C31="","", MSE成绩库!Z31)</f>
        <v/>
      </c>
      <c r="X31" t="str">
        <f>IF(MSE成绩库!C31="","", MSE成绩库!AA31)</f>
        <v>⚠️ 薄弱环节: R-Pt5
📉 考察能力: [阅读] 开放式填空 (语法)
💡 提升建议: 纯语法考核，重点强化介词、代词、连词和时态助动词。</v>
      </c>
      <c r="Y31" t="str">
        <f>IF(MSE成绩库!C31="","", MSE成绩库!AB31)</f>
        <v>⚠️ 薄弱环节: W-Pt1
📉 考察能力: [写作] 短邮件/便条
💡 提升建议: 必须覆盖所有3个要点，注意语域恰当，无拼写语法错误。</v>
      </c>
      <c r="Z31" t="str">
        <f>IF(MSE成绩库!C31="","", MSE成绩库!AC31)</f>
        <v>⚠️ 薄弱环节: L-Pt1
📉 考察能力: [听力] 多选 (关键信息)
💡 提升建议: 警惕干扰项，通常听到的第一个选项是错误的，听完整再选。</v>
      </c>
    </row>
    <row r="32" spans="1:26" x14ac:dyDescent="0.2">
      <c r="A32" t="str">
        <f>IF(MSE成绩库!C32="","", MSE成绩库!C32)</f>
        <v>贺艺婕 Hesper He</v>
      </c>
      <c r="B32">
        <f>IF(MSE成绩库!AD32="","", MSE成绩库!AD32)</f>
        <v>45915</v>
      </c>
      <c r="C32" t="str">
        <f>IF(MSE成绩库!B32="","", MSE成绩库!B32)</f>
        <v>A1</v>
      </c>
      <c r="D32" t="str">
        <f>IF(MSE成绩库!D32="","", MSE成绩库!D32)</f>
        <v>KET</v>
      </c>
      <c r="E32">
        <f>IF(MSE成绩库!C32="","", MSE成绩库!E32)</f>
        <v>3</v>
      </c>
      <c r="F32">
        <f>IF(MSE成绩库!C32="","", MSE成绩库!F32)</f>
        <v>7</v>
      </c>
      <c r="G32">
        <f>IF(MSE成绩库!C32="","", MSE成绩库!G32)</f>
        <v>5</v>
      </c>
      <c r="H32">
        <f>IF(MSE成绩库!C32="","", MSE成绩库!H32)</f>
        <v>5</v>
      </c>
      <c r="I32">
        <f>IF(MSE成绩库!C32="","", MSE成绩库!I32)</f>
        <v>4</v>
      </c>
      <c r="J32">
        <f>IF(MSE成绩库!C32="","", MSE成绩库!J32)</f>
        <v>0</v>
      </c>
      <c r="K32">
        <f>IF(MSE成绩库!C32="","", MSE成绩库!K32)</f>
        <v>0</v>
      </c>
      <c r="L32">
        <f>IF(MSE成绩库!C32="","", MSE成绩库!M32)</f>
        <v>130</v>
      </c>
      <c r="M32">
        <f>IF(MSE成绩库!C32="","", MSE成绩库!N32)</f>
        <v>13</v>
      </c>
      <c r="N32">
        <f>IF(MSE成绩库!C32="","", MSE成绩库!O32)</f>
        <v>13</v>
      </c>
      <c r="O32">
        <f>IF(MSE成绩库!C32="","", MSE成绩库!Q32)</f>
        <v>140</v>
      </c>
      <c r="P32">
        <f>IF(MSE成绩库!C32="","", MSE成绩库!R32)</f>
        <v>4</v>
      </c>
      <c r="Q32">
        <f>IF(MSE成绩库!C32="","", MSE成绩库!S32)</f>
        <v>3</v>
      </c>
      <c r="R32">
        <f>IF(MSE成绩库!C32="","", MSE成绩库!T32)</f>
        <v>5</v>
      </c>
      <c r="S32">
        <f>IF(MSE成绩库!C32="","", MSE成绩库!U32)</f>
        <v>4</v>
      </c>
      <c r="T32">
        <f>IF(MSE成绩库!C32="","", MSE成绩库!V32)</f>
        <v>3</v>
      </c>
      <c r="U32">
        <f>IF(MSE成绩库!C32="","", MSE成绩库!X32)</f>
        <v>126</v>
      </c>
      <c r="V32">
        <f>IF(MSE成绩库!C32="","", MSE成绩库!Y32)</f>
        <v>132</v>
      </c>
      <c r="W32" t="str">
        <f>IF(MSE成绩库!C32="","", MSE成绩库!Z32)</f>
        <v/>
      </c>
      <c r="X32" t="str">
        <f>IF(MSE成绩库!C32="","", MSE成绩库!AA32)</f>
        <v>⚠️ 薄弱环节: R-Pt1
📉 考察能力: [阅读] 短讯息主旨理解
💡 提升建议: 关注生活中的标识、短信，练习找出关键词的同义替换。</v>
      </c>
      <c r="Y32" t="str">
        <f>IF(MSE成绩库!C32="","", MSE成绩库!AB32)</f>
        <v>⚠️ 薄弱环节: W-Pt1
📉 考察能力: [写作] 短邮件/便条
💡 提升建议: 必须覆盖所有3个要点，注意语域恰当，无拼写语法错误。</v>
      </c>
      <c r="Z32" t="str">
        <f>IF(MSE成绩库!C32="","", MSE成绩库!AC32)</f>
        <v>⚠️ 薄弱环节: L-Pt2
📉 考察能力: [听力] 填空 (信息记录)
💡 提升建议: 强化数字、价格、日期、拼写的听写训练。</v>
      </c>
    </row>
    <row r="33" spans="1:26" x14ac:dyDescent="0.2">
      <c r="A33" t="str">
        <f>IF(MSE成绩库!C33="","", MSE成绩库!C33)</f>
        <v>郭哲宁 Kris Guo</v>
      </c>
      <c r="B33">
        <f>IF(MSE成绩库!AD33="","", MSE成绩库!AD33)</f>
        <v>45915</v>
      </c>
      <c r="C33" t="str">
        <f>IF(MSE成绩库!B33="","", MSE成绩库!B33)</f>
        <v>A1</v>
      </c>
      <c r="D33" t="str">
        <f>IF(MSE成绩库!D33="","", MSE成绩库!D33)</f>
        <v>KET</v>
      </c>
      <c r="E33">
        <f>IF(MSE成绩库!C33="","", MSE成绩库!E33)</f>
        <v>4</v>
      </c>
      <c r="F33">
        <f>IF(MSE成绩库!C33="","", MSE成绩库!F33)</f>
        <v>5</v>
      </c>
      <c r="G33">
        <f>IF(MSE成绩库!C33="","", MSE成绩库!G33)</f>
        <v>5</v>
      </c>
      <c r="H33">
        <f>IF(MSE成绩库!C33="","", MSE成绩库!H33)</f>
        <v>4</v>
      </c>
      <c r="I33">
        <f>IF(MSE成绩库!C33="","", MSE成绩库!I33)</f>
        <v>2</v>
      </c>
      <c r="J33">
        <f>IF(MSE成绩库!C33="","", MSE成绩库!J33)</f>
        <v>0</v>
      </c>
      <c r="K33">
        <f>IF(MSE成绩库!C33="","", MSE成绩库!K33)</f>
        <v>0</v>
      </c>
      <c r="L33">
        <f>IF(MSE成绩库!C33="","", MSE成绩库!M33)</f>
        <v>120</v>
      </c>
      <c r="M33">
        <f>IF(MSE成绩库!C33="","", MSE成绩库!N33)</f>
        <v>9</v>
      </c>
      <c r="N33">
        <f>IF(MSE成绩库!C33="","", MSE成绩库!O33)</f>
        <v>13</v>
      </c>
      <c r="O33">
        <f>IF(MSE成绩库!C33="","", MSE成绩库!Q33)</f>
        <v>130</v>
      </c>
      <c r="P33">
        <f>IF(MSE成绩库!C33="","", MSE成绩库!R33)</f>
        <v>2</v>
      </c>
      <c r="Q33">
        <f>IF(MSE成绩库!C33="","", MSE成绩库!S33)</f>
        <v>1</v>
      </c>
      <c r="R33">
        <f>IF(MSE成绩库!C33="","", MSE成绩库!T33)</f>
        <v>1</v>
      </c>
      <c r="S33">
        <f>IF(MSE成绩库!C33="","", MSE成绩库!U33)</f>
        <v>4</v>
      </c>
      <c r="T33">
        <f>IF(MSE成绩库!C33="","", MSE成绩库!V33)</f>
        <v>3</v>
      </c>
      <c r="U33">
        <f>IF(MSE成绩库!C33="","", MSE成绩库!X33)</f>
        <v>100</v>
      </c>
      <c r="V33">
        <f>IF(MSE成绩库!C33="","", MSE成绩库!Y33)</f>
        <v>116.66666666666667</v>
      </c>
      <c r="W33" t="str">
        <f>IF(MSE成绩库!C33="","", MSE成绩库!Z33)</f>
        <v/>
      </c>
      <c r="X33" t="str">
        <f>IF(MSE成绩库!C33="","", MSE成绩库!AA33)</f>
        <v>⚠️ 薄弱环节: R-Pt5
📉 考察能力: [阅读] 开放式填空 (语法)
💡 提升建议: 纯语法考核，重点强化介词、代词、连词和时态助动词。</v>
      </c>
      <c r="Y33" t="str">
        <f>IF(MSE成绩库!C33="","", MSE成绩库!AB33)</f>
        <v>⚠️ 薄弱环节: W-Pt1
📉 考察能力: [写作] 短邮件/便条
💡 提升建议: 必须覆盖所有3个要点，注意语域恰当，无拼写语法错误。</v>
      </c>
      <c r="Z33" t="str">
        <f>IF(MSE成绩库!C33="","", MSE成绩库!AC33)</f>
        <v>⚠️ 薄弱环节: L-Pt2
📉 考察能力: [听力] 填空 (信息记录)
💡 提升建议: 强化数字、价格、日期、拼写的听写训练。</v>
      </c>
    </row>
    <row r="34" spans="1:26" x14ac:dyDescent="0.2">
      <c r="A34" t="str">
        <f>IF(MSE成绩库!C34="","", MSE成绩库!C34)</f>
        <v>陈辰 Chris Chen</v>
      </c>
      <c r="B34">
        <f>IF(MSE成绩库!AD34="","", MSE成绩库!AD34)</f>
        <v>45915</v>
      </c>
      <c r="C34" t="str">
        <f>IF(MSE成绩库!B34="","", MSE成绩库!B34)</f>
        <v>A1</v>
      </c>
      <c r="D34" t="str">
        <f>IF(MSE成绩库!D34="","", MSE成绩库!D34)</f>
        <v>KET</v>
      </c>
      <c r="E34">
        <f>IF(MSE成绩库!C34="","", MSE成绩库!E34)</f>
        <v>6</v>
      </c>
      <c r="F34">
        <f>IF(MSE成绩库!C34="","", MSE成绩库!F34)</f>
        <v>5</v>
      </c>
      <c r="G34">
        <f>IF(MSE成绩库!C34="","", MSE成绩库!G34)</f>
        <v>4</v>
      </c>
      <c r="H34">
        <f>IF(MSE成绩库!C34="","", MSE成绩库!H34)</f>
        <v>5</v>
      </c>
      <c r="I34">
        <f>IF(MSE成绩库!C34="","", MSE成绩库!I34)</f>
        <v>5</v>
      </c>
      <c r="J34">
        <f>IF(MSE成绩库!C34="","", MSE成绩库!J34)</f>
        <v>0</v>
      </c>
      <c r="K34">
        <f>IF(MSE成绩库!C34="","", MSE成绩库!K34)</f>
        <v>0</v>
      </c>
      <c r="L34">
        <f>IF(MSE成绩库!C34="","", MSE成绩库!M34)</f>
        <v>133</v>
      </c>
      <c r="M34">
        <f>IF(MSE成绩库!C34="","", MSE成绩库!N34)</f>
        <v>8</v>
      </c>
      <c r="N34">
        <f>IF(MSE成绩库!C34="","", MSE成绩库!O34)</f>
        <v>0</v>
      </c>
      <c r="O34">
        <f>IF(MSE成绩库!C34="","", MSE成绩库!Q34)</f>
        <v>0</v>
      </c>
      <c r="P34">
        <f>IF(MSE成绩库!C34="","", MSE成绩库!R34)</f>
        <v>4</v>
      </c>
      <c r="Q34">
        <f>IF(MSE成绩库!C34="","", MSE成绩库!S34)</f>
        <v>1</v>
      </c>
      <c r="R34">
        <f>IF(MSE成绩库!C34="","", MSE成绩库!T34)</f>
        <v>5</v>
      </c>
      <c r="S34">
        <f>IF(MSE成绩库!C34="","", MSE成绩库!U34)</f>
        <v>5</v>
      </c>
      <c r="T34">
        <f>IF(MSE成绩库!C34="","", MSE成绩库!V34)</f>
        <v>4</v>
      </c>
      <c r="U34">
        <f>IF(MSE成绩库!C34="","", MSE成绩库!X34)</f>
        <v>126</v>
      </c>
      <c r="V34">
        <f>IF(MSE成绩库!C34="","", MSE成绩库!Y34)</f>
        <v>86.333333333333329</v>
      </c>
      <c r="W34" t="str">
        <f>IF(MSE成绩库!C34="","", MSE成绩库!Z34)</f>
        <v/>
      </c>
      <c r="X34" t="str">
        <f>IF(MSE成绩库!C34="","", MSE成绩库!AA34)</f>
        <v>⚠️ 薄弱环节: R-Pt3
📉 考察能力: [阅读] 长文主旨理解
💡 提升建议: 提升长难句阅读能力，关注段落大意和作者态度。</v>
      </c>
      <c r="Y34" t="str">
        <f>IF(MSE成绩库!C34="","", MSE成绩库!AB34)</f>
        <v>⚠️ 薄弱环节: W-Pt2
📉 考察能力: [写作] 看图写故事
💡 提升建议: 运用 linking words (so, because) 串联图片，注意过去时态。</v>
      </c>
      <c r="Z34" t="str">
        <f>IF(MSE成绩库!C34="","", MSE成绩库!AC34)</f>
        <v>⚠️ 薄弱环节: L-Pt2
📉 考察能力: [听力] 填空 (信息记录)
💡 提升建议: 强化数字、价格、日期、拼写的听写训练。</v>
      </c>
    </row>
    <row r="35" spans="1:26" x14ac:dyDescent="0.2">
      <c r="A35" t="str">
        <f>IF(MSE成绩库!C35="","", MSE成绩库!C35)</f>
        <v>吕一 Bella Lv</v>
      </c>
      <c r="B35">
        <f>IF(MSE成绩库!AD35="","", MSE成绩库!AD35)</f>
        <v>45915</v>
      </c>
      <c r="C35" t="str">
        <f>IF(MSE成绩库!B35="","", MSE成绩库!B35)</f>
        <v>A2</v>
      </c>
      <c r="D35" t="str">
        <f>IF(MSE成绩库!D35="","", MSE成绩库!D35)</f>
        <v>KET</v>
      </c>
      <c r="E35">
        <f>IF(MSE成绩库!C35="","", MSE成绩库!E35)</f>
        <v>2</v>
      </c>
      <c r="F35">
        <f>IF(MSE成绩库!C35="","", MSE成绩库!F35)</f>
        <v>5</v>
      </c>
      <c r="G35">
        <f>IF(MSE成绩库!C35="","", MSE成绩库!G35)</f>
        <v>4</v>
      </c>
      <c r="H35">
        <f>IF(MSE成绩库!C35="","", MSE成绩库!H35)</f>
        <v>4</v>
      </c>
      <c r="I35">
        <f>IF(MSE成绩库!C35="","", MSE成绩库!I35)</f>
        <v>2</v>
      </c>
      <c r="J35">
        <f>IF(MSE成绩库!C35="","", MSE成绩库!J35)</f>
        <v>0</v>
      </c>
      <c r="K35">
        <f>IF(MSE成绩库!C35="","", MSE成绩库!K35)</f>
        <v>0</v>
      </c>
      <c r="L35">
        <f>IF(MSE成绩库!C35="","", MSE成绩库!M35)</f>
        <v>111</v>
      </c>
      <c r="M35">
        <f>IF(MSE成绩库!C35="","", MSE成绩库!N35)</f>
        <v>13</v>
      </c>
      <c r="N35">
        <f>IF(MSE成绩库!C35="","", MSE成绩库!O35)</f>
        <v>9</v>
      </c>
      <c r="O35">
        <f>IF(MSE成绩库!C35="","", MSE成绩库!Q35)</f>
        <v>130</v>
      </c>
      <c r="P35">
        <f>IF(MSE成绩库!C35="","", MSE成绩库!R35)</f>
        <v>2</v>
      </c>
      <c r="Q35">
        <f>IF(MSE成绩库!C35="","", MSE成绩库!S35)</f>
        <v>0</v>
      </c>
      <c r="R35">
        <f>IF(MSE成绩库!C35="","", MSE成绩库!T35)</f>
        <v>5</v>
      </c>
      <c r="S35">
        <f>IF(MSE成绩库!C35="","", MSE成绩库!U35)</f>
        <v>2</v>
      </c>
      <c r="T35">
        <f>IF(MSE成绩库!C35="","", MSE成绩库!V35)</f>
        <v>3</v>
      </c>
      <c r="U35">
        <f>IF(MSE成绩库!C35="","", MSE成绩库!X35)</f>
        <v>103</v>
      </c>
      <c r="V35">
        <f>IF(MSE成绩库!C35="","", MSE成绩库!Y35)</f>
        <v>114.66666666666667</v>
      </c>
      <c r="W35" t="str">
        <f>IF(MSE成绩库!C35="","", MSE成绩库!Z35)</f>
        <v/>
      </c>
      <c r="X35" t="str">
        <f>IF(MSE成绩库!C35="","", MSE成绩库!AA35)</f>
        <v>⚠️ 薄弱环节: R-Pt1
📉 考察能力: [阅读] 短讯息主旨理解
💡 提升建议: 关注生活中的标识、短信，练习找出关键词的同义替换。</v>
      </c>
      <c r="Y35" t="str">
        <f>IF(MSE成绩库!C35="","", MSE成绩库!AB35)</f>
        <v>⚠️ 薄弱环节: W-Pt2
📉 考察能力: [写作] 看图写故事
💡 提升建议: 运用 linking words (so, because) 串联图片，注意过去时态。</v>
      </c>
      <c r="Z35" t="str">
        <f>IF(MSE成绩库!C35="","", MSE成绩库!AC35)</f>
        <v>⚠️ 薄弱环节: L-Pt2
📉 考察能力: [听力] 填空 (信息记录)
💡 提升建议: 强化数字、价格、日期、拼写的听写训练。</v>
      </c>
    </row>
    <row r="36" spans="1:26" x14ac:dyDescent="0.2">
      <c r="A36" t="str">
        <f>IF(MSE成绩库!C36="","", MSE成绩库!C36)</f>
        <v>李浩辰 Henry Lee</v>
      </c>
      <c r="B36">
        <f>IF(MSE成绩库!AD36="","", MSE成绩库!AD36)</f>
        <v>45915</v>
      </c>
      <c r="C36" t="str">
        <f>IF(MSE成绩库!B36="","", MSE成绩库!B36)</f>
        <v>A2</v>
      </c>
      <c r="D36" t="str">
        <f>IF(MSE成绩库!D36="","", MSE成绩库!D36)</f>
        <v>KET</v>
      </c>
      <c r="E36">
        <f>IF(MSE成绩库!C36="","", MSE成绩库!E36)</f>
        <v>4</v>
      </c>
      <c r="F36">
        <f>IF(MSE成绩库!C36="","", MSE成绩库!F36)</f>
        <v>5</v>
      </c>
      <c r="G36">
        <f>IF(MSE成绩库!C36="","", MSE成绩库!G36)</f>
        <v>2</v>
      </c>
      <c r="H36">
        <f>IF(MSE成绩库!C36="","", MSE成绩库!H36)</f>
        <v>4</v>
      </c>
      <c r="I36">
        <f>IF(MSE成绩库!C36="","", MSE成绩库!I36)</f>
        <v>3</v>
      </c>
      <c r="J36">
        <f>IF(MSE成绩库!C36="","", MSE成绩库!J36)</f>
        <v>0</v>
      </c>
      <c r="K36">
        <f>IF(MSE成绩库!C36="","", MSE成绩库!K36)</f>
        <v>0</v>
      </c>
      <c r="L36">
        <f>IF(MSE成绩库!C36="","", MSE成绩库!M36)</f>
        <v>114</v>
      </c>
      <c r="M36">
        <f>IF(MSE成绩库!C36="","", MSE成绩库!N36)</f>
        <v>3</v>
      </c>
      <c r="N36">
        <f>IF(MSE成绩库!C36="","", MSE成绩库!O36)</f>
        <v>9</v>
      </c>
      <c r="O36">
        <f>IF(MSE成绩库!C36="","", MSE成绩库!Q36)</f>
        <v>102</v>
      </c>
      <c r="P36">
        <f>IF(MSE成绩库!C36="","", MSE成绩库!R36)</f>
        <v>3</v>
      </c>
      <c r="Q36">
        <f>IF(MSE成绩库!C36="","", MSE成绩库!S36)</f>
        <v>0</v>
      </c>
      <c r="R36">
        <f>IF(MSE成绩库!C36="","", MSE成绩库!T36)</f>
        <v>5</v>
      </c>
      <c r="S36">
        <f>IF(MSE成绩库!C36="","", MSE成绩库!U36)</f>
        <v>4</v>
      </c>
      <c r="T36">
        <f>IF(MSE成绩库!C36="","", MSE成绩库!V36)</f>
        <v>2</v>
      </c>
      <c r="U36">
        <f>IF(MSE成绩库!C36="","", MSE成绩库!X36)</f>
        <v>110</v>
      </c>
      <c r="V36">
        <f>IF(MSE成绩库!C36="","", MSE成绩库!Y36)</f>
        <v>108.66666666666667</v>
      </c>
      <c r="W36" t="str">
        <f>IF(MSE成绩库!C36="","", MSE成绩库!Z36)</f>
        <v/>
      </c>
      <c r="X36" t="str">
        <f>IF(MSE成绩库!C36="","", MSE成绩库!AA36)</f>
        <v>⚠️ 薄弱环节: R-Pt3
📉 考察能力: [阅读] 长文主旨理解
💡 提升建议: 提升长难句阅读能力，关注段落大意和作者态度。</v>
      </c>
      <c r="Y36" t="str">
        <f>IF(MSE成绩库!C36="","", MSE成绩库!AB36)</f>
        <v>⚠️ 薄弱环节: W-Pt1
📉 考察能力: [写作] 短邮件/便条
💡 提升建议: 必须覆盖所有3个要点，注意语域恰当，无拼写语法错误。</v>
      </c>
      <c r="Z36" t="str">
        <f>IF(MSE成绩库!C36="","", MSE成绩库!AC36)</f>
        <v>⚠️ 薄弱环节: L-Pt2
📉 考察能力: [听力] 填空 (信息记录)
💡 提升建议: 强化数字、价格、日期、拼写的听写训练。</v>
      </c>
    </row>
    <row r="37" spans="1:26" x14ac:dyDescent="0.2">
      <c r="A37" t="str">
        <f>IF(MSE成绩库!C37="","", MSE成绩库!C37)</f>
        <v>胡瀚文 Jayden Hu</v>
      </c>
      <c r="B37">
        <f>IF(MSE成绩库!AD37="","", MSE成绩库!AD37)</f>
        <v>45915</v>
      </c>
      <c r="C37" t="str">
        <f>IF(MSE成绩库!B37="","", MSE成绩库!B37)</f>
        <v>A2</v>
      </c>
      <c r="D37" t="str">
        <f>IF(MSE成绩库!D37="","", MSE成绩库!D37)</f>
        <v>KET</v>
      </c>
      <c r="E37">
        <f>IF(MSE成绩库!C37="","", MSE成绩库!E37)</f>
        <v>3</v>
      </c>
      <c r="F37">
        <f>IF(MSE成绩库!C37="","", MSE成绩库!F37)</f>
        <v>3</v>
      </c>
      <c r="G37">
        <f>IF(MSE成绩库!C37="","", MSE成绩库!G37)</f>
        <v>2</v>
      </c>
      <c r="H37">
        <f>IF(MSE成绩库!C37="","", MSE成绩库!H37)</f>
        <v>4</v>
      </c>
      <c r="I37">
        <f>IF(MSE成绩库!C37="","", MSE成绩库!I37)</f>
        <v>1</v>
      </c>
      <c r="J37">
        <f>IF(MSE成绩库!C37="","", MSE成绩库!J37)</f>
        <v>0</v>
      </c>
      <c r="K37">
        <f>IF(MSE成绩库!C37="","", MSE成绩库!K37)</f>
        <v>0</v>
      </c>
      <c r="L37">
        <f>IF(MSE成绩库!C37="","", MSE成绩库!M37)</f>
        <v>100</v>
      </c>
      <c r="M37">
        <f>IF(MSE成绩库!C37="","", MSE成绩库!N37)</f>
        <v>12</v>
      </c>
      <c r="N37">
        <f>IF(MSE成绩库!C37="","", MSE成绩库!O37)</f>
        <v>11</v>
      </c>
      <c r="O37">
        <f>IF(MSE成绩库!C37="","", MSE成绩库!Q37)</f>
        <v>133</v>
      </c>
      <c r="P37">
        <f>IF(MSE成绩库!C37="","", MSE成绩库!R37)</f>
        <v>3</v>
      </c>
      <c r="Q37">
        <f>IF(MSE成绩库!C37="","", MSE成绩库!S37)</f>
        <v>0</v>
      </c>
      <c r="R37">
        <f>IF(MSE成绩库!C37="","", MSE成绩库!T37)</f>
        <v>4</v>
      </c>
      <c r="S37">
        <f>IF(MSE成绩库!C37="","", MSE成绩库!U37)</f>
        <v>5</v>
      </c>
      <c r="T37">
        <f>IF(MSE成绩库!C37="","", MSE成绩库!V37)</f>
        <v>5</v>
      </c>
      <c r="U37">
        <f>IF(MSE成绩库!C37="","", MSE成绩库!X37)</f>
        <v>120</v>
      </c>
      <c r="V37">
        <f>IF(MSE成绩库!C37="","", MSE成绩库!Y37)</f>
        <v>117.66666666666667</v>
      </c>
      <c r="W37" t="str">
        <f>IF(MSE成绩库!C37="","", MSE成绩库!Z37)</f>
        <v/>
      </c>
      <c r="X37" t="str">
        <f>IF(MSE成绩库!C37="","", MSE成绩库!AA37)</f>
        <v>⚠️ 薄弱环节: R-Pt5
📉 考察能力: [阅读] 开放式填空 (语法)
💡 提升建议: 纯语法考核，重点强化介词、代词、连词和时态助动词。</v>
      </c>
      <c r="Y37" t="str">
        <f>IF(MSE成绩库!C37="","", MSE成绩库!AB37)</f>
        <v>⚠️ 薄弱环节: W-Pt2
📉 考察能力: [写作] 看图写故事
💡 提升建议: 运用 linking words (so, because) 串联图片，注意过去时态。</v>
      </c>
      <c r="Z37" t="str">
        <f>IF(MSE成绩库!C37="","", MSE成绩库!AC37)</f>
        <v>⚠️ 薄弱环节: L-Pt2
📉 考察能力: [听力] 填空 (信息记录)
💡 提升建议: 强化数字、价格、日期、拼写的听写训练。</v>
      </c>
    </row>
    <row r="38" spans="1:26" x14ac:dyDescent="0.2">
      <c r="A38" t="str">
        <f>IF(MSE成绩库!C38="","", MSE成绩库!C38)</f>
        <v>苏同吴 Lawrence Su</v>
      </c>
      <c r="B38">
        <f>IF(MSE成绩库!AD38="","", MSE成绩库!AD38)</f>
        <v>45915</v>
      </c>
      <c r="C38" t="str">
        <f>IF(MSE成绩库!B38="","", MSE成绩库!B38)</f>
        <v>A2</v>
      </c>
      <c r="D38" t="str">
        <f>IF(MSE成绩库!D38="","", MSE成绩库!D38)</f>
        <v>KET</v>
      </c>
      <c r="E38">
        <f>IF(MSE成绩库!C38="","", MSE成绩库!E38)</f>
        <v>2</v>
      </c>
      <c r="F38">
        <f>IF(MSE成绩库!C38="","", MSE成绩库!F38)</f>
        <v>5</v>
      </c>
      <c r="G38">
        <f>IF(MSE成绩库!C38="","", MSE成绩库!G38)</f>
        <v>4</v>
      </c>
      <c r="H38">
        <f>IF(MSE成绩库!C38="","", MSE成绩库!H38)</f>
        <v>4</v>
      </c>
      <c r="I38">
        <f>IF(MSE成绩库!C38="","", MSE成绩库!I38)</f>
        <v>2</v>
      </c>
      <c r="J38">
        <f>IF(MSE成绩库!C38="","", MSE成绩库!J38)</f>
        <v>0</v>
      </c>
      <c r="K38">
        <f>IF(MSE成绩库!C38="","", MSE成绩库!K38)</f>
        <v>0</v>
      </c>
      <c r="L38">
        <f>IF(MSE成绩库!C38="","", MSE成绩库!M38)</f>
        <v>111</v>
      </c>
      <c r="M38">
        <f>IF(MSE成绩库!C38="","", MSE成绩库!N38)</f>
        <v>6</v>
      </c>
      <c r="N38">
        <f>IF(MSE成绩库!C38="","", MSE成绩库!O38)</f>
        <v>6</v>
      </c>
      <c r="O38">
        <f>IF(MSE成绩库!C38="","", MSE成绩库!Q38)</f>
        <v>102</v>
      </c>
      <c r="P38">
        <f>IF(MSE成绩库!C38="","", MSE成绩库!R38)</f>
        <v>3</v>
      </c>
      <c r="Q38">
        <f>IF(MSE成绩库!C38="","", MSE成绩库!S38)</f>
        <v>2</v>
      </c>
      <c r="R38">
        <f>IF(MSE成绩库!C38="","", MSE成绩库!T38)</f>
        <v>4</v>
      </c>
      <c r="S38">
        <f>IF(MSE成绩库!C38="","", MSE成绩库!U38)</f>
        <v>5</v>
      </c>
      <c r="T38">
        <f>IF(MSE成绩库!C38="","", MSE成绩库!V38)</f>
        <v>3</v>
      </c>
      <c r="U38">
        <f>IF(MSE成绩库!C38="","", MSE成绩库!X38)</f>
        <v>120</v>
      </c>
      <c r="V38">
        <f>IF(MSE成绩库!C38="","", MSE成绩库!Y38)</f>
        <v>111</v>
      </c>
      <c r="W38" t="str">
        <f>IF(MSE成绩库!C38="","", MSE成绩库!Z38)</f>
        <v/>
      </c>
      <c r="X38" t="str">
        <f>IF(MSE成绩库!C38="","", MSE成绩库!AA38)</f>
        <v>⚠️ 薄弱环节: R-Pt1
📉 考察能力: [阅读] 短讯息主旨理解
💡 提升建议: 关注生活中的标识、短信，练习找出关键词的同义替换。</v>
      </c>
      <c r="Y38" t="str">
        <f>IF(MSE成绩库!C38="","", MSE成绩库!AB38)</f>
        <v>⚠️ 薄弱环节: W-Pt1
📉 考察能力: [写作] 短邮件/便条
💡 提升建议: 必须覆盖所有3个要点，注意语域恰当，无拼写语法错误。</v>
      </c>
      <c r="Z38" t="str">
        <f>IF(MSE成绩库!C38="","", MSE成绩库!AC38)</f>
        <v>⚠️ 薄弱环节: L-Pt2
📉 考察能力: [听力] 填空 (信息记录)
💡 提升建议: 强化数字、价格、日期、拼写的听写训练。</v>
      </c>
    </row>
    <row r="39" spans="1:26" x14ac:dyDescent="0.2">
      <c r="A39" t="str">
        <f>IF(MSE成绩库!C39="","", MSE成绩库!C39)</f>
        <v>蒋一帆 Tom Jiang</v>
      </c>
      <c r="B39">
        <f>IF(MSE成绩库!AD39="","", MSE成绩库!AD39)</f>
        <v>45915</v>
      </c>
      <c r="C39" t="str">
        <f>IF(MSE成绩库!B39="","", MSE成绩库!B39)</f>
        <v>A1</v>
      </c>
      <c r="D39" t="str">
        <f>IF(MSE成绩库!D39="","", MSE成绩库!D39)</f>
        <v>KET</v>
      </c>
      <c r="E39">
        <f>IF(MSE成绩库!C39="","", MSE成绩库!E39)</f>
        <v>2</v>
      </c>
      <c r="F39">
        <f>IF(MSE成绩库!C39="","", MSE成绩库!F39)</f>
        <v>3</v>
      </c>
      <c r="G39">
        <f>IF(MSE成绩库!C39="","", MSE成绩库!G39)</f>
        <v>4</v>
      </c>
      <c r="H39">
        <f>IF(MSE成绩库!C39="","", MSE成绩库!H39)</f>
        <v>4</v>
      </c>
      <c r="I39">
        <f>IF(MSE成绩库!C39="","", MSE成绩库!I39)</f>
        <v>3</v>
      </c>
      <c r="J39">
        <f>IF(MSE成绩库!C39="","", MSE成绩库!J39)</f>
        <v>0</v>
      </c>
      <c r="K39">
        <f>IF(MSE成绩库!C39="","", MSE成绩库!K39)</f>
        <v>0</v>
      </c>
      <c r="L39">
        <f>IF(MSE成绩库!C39="","", MSE成绩库!M39)</f>
        <v>108</v>
      </c>
      <c r="M39">
        <f>IF(MSE成绩库!C39="","", MSE成绩库!N39)</f>
        <v>0</v>
      </c>
      <c r="N39">
        <f>IF(MSE成绩库!C39="","", MSE成绩库!O39)</f>
        <v>0</v>
      </c>
      <c r="O39">
        <f>IF(MSE成绩库!C39="","", MSE成绩库!Q39)</f>
        <v>0</v>
      </c>
      <c r="P39">
        <f>IF(MSE成绩库!C39="","", MSE成绩库!R39)</f>
        <v>4</v>
      </c>
      <c r="Q39">
        <f>IF(MSE成绩库!C39="","", MSE成绩库!S39)</f>
        <v>0</v>
      </c>
      <c r="R39">
        <f>IF(MSE成绩库!C39="","", MSE成绩库!T39)</f>
        <v>4</v>
      </c>
      <c r="S39">
        <f>IF(MSE成绩库!C39="","", MSE成绩库!U39)</f>
        <v>5</v>
      </c>
      <c r="T39">
        <f>IF(MSE成绩库!C39="","", MSE成绩库!V39)</f>
        <v>5</v>
      </c>
      <c r="U39">
        <f>IF(MSE成绩库!C39="","", MSE成绩库!X39)</f>
        <v>123</v>
      </c>
      <c r="V39">
        <f>IF(MSE成绩库!C39="","", MSE成绩库!Y39)</f>
        <v>77</v>
      </c>
      <c r="W39" t="str">
        <f>IF(MSE成绩库!C39="","", MSE成绩库!Z39)</f>
        <v/>
      </c>
      <c r="X39" t="str">
        <f>IF(MSE成绩库!C39="","", MSE成绩库!AA39)</f>
        <v>⚠️ 薄弱环节: R-Pt1
📉 考察能力: [阅读] 短讯息主旨理解
💡 提升建议: 关注生活中的标识、短信，练习找出关键词的同义替换。</v>
      </c>
      <c r="Y39" t="str">
        <f>IF(MSE成绩库!C39="","", MSE成绩库!AB39)</f>
        <v>⚠️ 薄弱环节: W-Pt1
📉 考察能力: [写作] 短邮件/便条
💡 提升建议: 必须覆盖所有3个要点，注意语域恰当，无拼写语法错误。</v>
      </c>
      <c r="Z39" t="str">
        <f>IF(MSE成绩库!C39="","", MSE成绩库!AC39)</f>
        <v>⚠️ 薄弱环节: L-Pt2
📉 考察能力: [听力] 填空 (信息记录)
💡 提升建议: 强化数字、价格、日期、拼写的听写训练。</v>
      </c>
    </row>
    <row r="40" spans="1:26" x14ac:dyDescent="0.2">
      <c r="A40" t="str">
        <f>IF(MSE成绩库!C40="","", MSE成绩库!C40)</f>
        <v>金铂瑞 Nathan Jin</v>
      </c>
      <c r="B40">
        <f>IF(MSE成绩库!AD40="","", MSE成绩库!AD40)</f>
        <v>45915</v>
      </c>
      <c r="C40" t="str">
        <f>IF(MSE成绩库!B40="","", MSE成绩库!B40)</f>
        <v>A2</v>
      </c>
      <c r="D40" t="str">
        <f>IF(MSE成绩库!D40="","", MSE成绩库!D40)</f>
        <v>KET</v>
      </c>
      <c r="E40">
        <f>IF(MSE成绩库!C40="","", MSE成绩库!E40)</f>
        <v>4</v>
      </c>
      <c r="F40">
        <f>IF(MSE成绩库!C40="","", MSE成绩库!F40)</f>
        <v>5</v>
      </c>
      <c r="G40">
        <f>IF(MSE成绩库!C40="","", MSE成绩库!G40)</f>
        <v>5</v>
      </c>
      <c r="H40">
        <f>IF(MSE成绩库!C40="","", MSE成绩库!H40)</f>
        <v>3</v>
      </c>
      <c r="I40">
        <f>IF(MSE成绩库!C40="","", MSE成绩库!I40)</f>
        <v>2</v>
      </c>
      <c r="J40">
        <f>IF(MSE成绩库!C40="","", MSE成绩库!J40)</f>
        <v>0</v>
      </c>
      <c r="K40">
        <f>IF(MSE成绩库!C40="","", MSE成绩库!K40)</f>
        <v>0</v>
      </c>
      <c r="L40">
        <f>IF(MSE成绩库!C40="","", MSE成绩库!M40)</f>
        <v>117</v>
      </c>
      <c r="M40">
        <f>IF(MSE成绩库!C40="","", MSE成绩库!N40)</f>
        <v>12</v>
      </c>
      <c r="N40">
        <f>IF(MSE成绩库!C40="","", MSE成绩库!O40)</f>
        <v>0</v>
      </c>
      <c r="O40">
        <f>IF(MSE成绩库!C40="","", MSE成绩库!Q40)</f>
        <v>102</v>
      </c>
      <c r="P40">
        <f>IF(MSE成绩库!C40="","", MSE成绩库!R40)</f>
        <v>3</v>
      </c>
      <c r="Q40">
        <f>IF(MSE成绩库!C40="","", MSE成绩库!S40)</f>
        <v>2</v>
      </c>
      <c r="R40">
        <f>IF(MSE成绩库!C40="","", MSE成绩库!T40)</f>
        <v>4</v>
      </c>
      <c r="S40">
        <f>IF(MSE成绩库!C40="","", MSE成绩库!U40)</f>
        <v>5</v>
      </c>
      <c r="T40">
        <f>IF(MSE成绩库!C40="","", MSE成绩库!V40)</f>
        <v>5</v>
      </c>
      <c r="U40">
        <f>IF(MSE成绩库!C40="","", MSE成绩库!X40)</f>
        <v>126</v>
      </c>
      <c r="V40">
        <f>IF(MSE成绩库!C40="","", MSE成绩库!Y40)</f>
        <v>115</v>
      </c>
      <c r="W40" t="str">
        <f>IF(MSE成绩库!C40="","", MSE成绩库!Z40)</f>
        <v/>
      </c>
      <c r="X40" t="str">
        <f>IF(MSE成绩库!C40="","", MSE成绩库!AA40)</f>
        <v>⚠️ 薄弱环节: R-Pt5
📉 考察能力: [阅读] 开放式填空 (语法)
💡 提升建议: 纯语法考核，重点强化介词、代词、连词和时态助动词。</v>
      </c>
      <c r="Y40" t="str">
        <f>IF(MSE成绩库!C40="","", MSE成绩库!AB40)</f>
        <v>⚠️ 薄弱环节: W-Pt2
📉 考察能力: [写作] 看图写故事
💡 提升建议: 运用 linking words (so, because) 串联图片，注意过去时态。</v>
      </c>
      <c r="Z40" t="str">
        <f>IF(MSE成绩库!C40="","", MSE成绩库!AC40)</f>
        <v>⚠️ 薄弱环节: L-Pt2
📉 考察能力: [听力] 填空 (信息记录)
💡 提升建议: 强化数字、价格、日期、拼写的听写训练。</v>
      </c>
    </row>
    <row r="41" spans="1:26" x14ac:dyDescent="0.2">
      <c r="A41" t="str">
        <f>IF(MSE成绩库!C41="","", MSE成绩库!C41)</f>
        <v>陈奕森 Ethan Chen</v>
      </c>
      <c r="B41">
        <f>IF(MSE成绩库!AD41="","", MSE成绩库!AD41)</f>
        <v>45915</v>
      </c>
      <c r="C41" t="str">
        <f>IF(MSE成绩库!B41="","", MSE成绩库!B41)</f>
        <v>A2</v>
      </c>
      <c r="D41" t="str">
        <f>IF(MSE成绩库!D41="","", MSE成绩库!D41)</f>
        <v>KET</v>
      </c>
      <c r="E41">
        <f>IF(MSE成绩库!C41="","", MSE成绩库!E41)</f>
        <v>4</v>
      </c>
      <c r="F41">
        <f>IF(MSE成绩库!C41="","", MSE成绩库!F41)</f>
        <v>5</v>
      </c>
      <c r="G41">
        <f>IF(MSE成绩库!C41="","", MSE成绩库!G41)</f>
        <v>1</v>
      </c>
      <c r="H41">
        <f>IF(MSE成绩库!C41="","", MSE成绩库!H41)</f>
        <v>3</v>
      </c>
      <c r="I41">
        <f>IF(MSE成绩库!C41="","", MSE成绩库!I41)</f>
        <v>3</v>
      </c>
      <c r="J41">
        <f>IF(MSE成绩库!C41="","", MSE成绩库!J41)</f>
        <v>0</v>
      </c>
      <c r="K41">
        <f>IF(MSE成绩库!C41="","", MSE成绩库!K41)</f>
        <v>0</v>
      </c>
      <c r="L41">
        <f>IF(MSE成绩库!C41="","", MSE成绩库!M41)</f>
        <v>108</v>
      </c>
      <c r="M41">
        <f>IF(MSE成绩库!C41="","", MSE成绩库!N41)</f>
        <v>11</v>
      </c>
      <c r="N41">
        <f>IF(MSE成绩库!C41="","", MSE成绩库!O41)</f>
        <v>6</v>
      </c>
      <c r="O41">
        <f>IF(MSE成绩库!C41="","", MSE成绩库!Q41)</f>
        <v>117</v>
      </c>
      <c r="P41">
        <f>IF(MSE成绩库!C41="","", MSE成绩库!R41)</f>
        <v>4</v>
      </c>
      <c r="Q41">
        <f>IF(MSE成绩库!C41="","", MSE成绩库!S41)</f>
        <v>0</v>
      </c>
      <c r="R41">
        <f>IF(MSE成绩库!C41="","", MSE成绩库!T41)</f>
        <v>5</v>
      </c>
      <c r="S41">
        <f>IF(MSE成绩库!C41="","", MSE成绩库!U41)</f>
        <v>4</v>
      </c>
      <c r="T41">
        <f>IF(MSE成绩库!C41="","", MSE成绩库!V41)</f>
        <v>2</v>
      </c>
      <c r="U41">
        <f>IF(MSE成绩库!C41="","", MSE成绩库!X41)</f>
        <v>113</v>
      </c>
      <c r="V41">
        <f>IF(MSE成绩库!C41="","", MSE成绩库!Y41)</f>
        <v>112.66666666666667</v>
      </c>
      <c r="W41" t="str">
        <f>IF(MSE成绩库!C41="","", MSE成绩库!Z41)</f>
        <v/>
      </c>
      <c r="X41" t="str">
        <f>IF(MSE成绩库!C41="","", MSE成绩库!AA41)</f>
        <v>⚠️ 薄弱环节: R-Pt3
📉 考察能力: [阅读] 长文主旨理解
💡 提升建议: 提升长难句阅读能力，关注段落大意和作者态度。</v>
      </c>
      <c r="Y41" t="str">
        <f>IF(MSE成绩库!C41="","", MSE成绩库!AB41)</f>
        <v>⚠️ 薄弱环节: W-Pt2
📉 考察能力: [写作] 看图写故事
💡 提升建议: 运用 linking words (so, because) 串联图片，注意过去时态。</v>
      </c>
      <c r="Z41" t="str">
        <f>IF(MSE成绩库!C41="","", MSE成绩库!AC41)</f>
        <v>⚠️ 薄弱环节: L-Pt2
📉 考察能力: [听力] 填空 (信息记录)
💡 提升建议: 强化数字、价格、日期、拼写的听写训练。</v>
      </c>
    </row>
    <row r="42" spans="1:26" x14ac:dyDescent="0.2">
      <c r="A42" t="str">
        <f>IF(MSE成绩库!C42="","", MSE成绩库!C42)</f>
        <v>陈尔萱 Gemma Chen</v>
      </c>
      <c r="B42">
        <f>IF(MSE成绩库!AD42="","", MSE成绩库!AD42)</f>
        <v>45915</v>
      </c>
      <c r="C42" t="str">
        <f>IF(MSE成绩库!B42="","", MSE成绩库!B42)</f>
        <v>A2</v>
      </c>
      <c r="D42" t="str">
        <f>IF(MSE成绩库!D42="","", MSE成绩库!D42)</f>
        <v>KET</v>
      </c>
      <c r="E42">
        <f>IF(MSE成绩库!C42="","", MSE成绩库!E42)</f>
        <v>4</v>
      </c>
      <c r="F42">
        <f>IF(MSE成绩库!C42="","", MSE成绩库!F42)</f>
        <v>6</v>
      </c>
      <c r="G42">
        <f>IF(MSE成绩库!C42="","", MSE成绩库!G42)</f>
        <v>0</v>
      </c>
      <c r="H42">
        <f>IF(MSE成绩库!C42="","", MSE成绩库!H42)</f>
        <v>1</v>
      </c>
      <c r="I42">
        <f>IF(MSE成绩库!C42="","", MSE成绩库!I42)</f>
        <v>3</v>
      </c>
      <c r="J42">
        <f>IF(MSE成绩库!C42="","", MSE成绩库!J42)</f>
        <v>0</v>
      </c>
      <c r="K42">
        <f>IF(MSE成绩库!C42="","", MSE成绩库!K42)</f>
        <v>0</v>
      </c>
      <c r="L42">
        <f>IF(MSE成绩库!C42="","", MSE成绩库!M42)</f>
        <v>102</v>
      </c>
      <c r="M42">
        <f>IF(MSE成绩库!C42="","", MSE成绩库!N42)</f>
        <v>9</v>
      </c>
      <c r="N42">
        <f>IF(MSE成绩库!C42="","", MSE成绩库!O42)</f>
        <v>8</v>
      </c>
      <c r="O42">
        <f>IF(MSE成绩库!C42="","", MSE成绩库!Q42)</f>
        <v>117</v>
      </c>
      <c r="P42">
        <f>IF(MSE成绩库!C42="","", MSE成绩库!R42)</f>
        <v>2</v>
      </c>
      <c r="Q42">
        <f>IF(MSE成绩库!C42="","", MSE成绩库!S42)</f>
        <v>1</v>
      </c>
      <c r="R42">
        <f>IF(MSE成绩库!C42="","", MSE成绩库!T42)</f>
        <v>2</v>
      </c>
      <c r="S42">
        <f>IF(MSE成绩库!C42="","", MSE成绩库!U42)</f>
        <v>3</v>
      </c>
      <c r="T42">
        <f>IF(MSE成绩库!C42="","", MSE成绩库!V42)</f>
        <v>3</v>
      </c>
      <c r="U42">
        <f>IF(MSE成绩库!C42="","", MSE成绩库!X42)</f>
        <v>100</v>
      </c>
      <c r="V42">
        <f>IF(MSE成绩库!C42="","", MSE成绩库!Y42)</f>
        <v>106.33333333333333</v>
      </c>
      <c r="W42" t="str">
        <f>IF(MSE成绩库!C42="","", MSE成绩库!Z42)</f>
        <v/>
      </c>
      <c r="X42" t="str">
        <f>IF(MSE成绩库!C42="","", MSE成绩库!AA42)</f>
        <v>⚠️ 薄弱环节: R-Pt3
📉 考察能力: [阅读] 长文主旨理解
💡 提升建议: 提升长难句阅读能力，关注段落大意和作者态度。</v>
      </c>
      <c r="Y42" t="str">
        <f>IF(MSE成绩库!C42="","", MSE成绩库!AB42)</f>
        <v>⚠️ 薄弱环节: W-Pt2
📉 考察能力: [写作] 看图写故事
💡 提升建议: 运用 linking words (so, because) 串联图片，注意过去时态。</v>
      </c>
      <c r="Z42" t="str">
        <f>IF(MSE成绩库!C42="","", MSE成绩库!AC42)</f>
        <v>⚠️ 薄弱环节: L-Pt2
📉 考察能力: [听力] 填空 (信息记录)
💡 提升建议: 强化数字、价格、日期、拼写的听写训练。</v>
      </c>
    </row>
    <row r="43" spans="1:26" x14ac:dyDescent="0.2">
      <c r="A43" t="str">
        <f>IF(MSE成绩库!C43="","", MSE成绩库!C43)</f>
        <v/>
      </c>
      <c r="B43" t="str">
        <f>IF(MSE成绩库!AD43="","", MSE成绩库!AD43)</f>
        <v>2024-01-15</v>
      </c>
      <c r="C43" t="str">
        <f>IF(MSE成绩库!B43="","", MSE成绩库!B43)</f>
        <v/>
      </c>
      <c r="D43" t="str">
        <f>IF(MSE成绩库!D43="","", MSE成绩库!D43)</f>
        <v/>
      </c>
      <c r="E43" t="str">
        <f>IF(MSE成绩库!C43="","", MSE成绩库!E43)</f>
        <v/>
      </c>
      <c r="F43" t="str">
        <f>IF(MSE成绩库!C43="","", MSE成绩库!F43)</f>
        <v/>
      </c>
      <c r="G43" t="str">
        <f>IF(MSE成绩库!C43="","", MSE成绩库!G43)</f>
        <v/>
      </c>
      <c r="H43" t="str">
        <f>IF(MSE成绩库!C43="","", MSE成绩库!H43)</f>
        <v/>
      </c>
      <c r="I43" t="str">
        <f>IF(MSE成绩库!C43="","", MSE成绩库!I43)</f>
        <v/>
      </c>
      <c r="J43" t="str">
        <f>IF(MSE成绩库!C43="","", MSE成绩库!J43)</f>
        <v/>
      </c>
      <c r="K43" t="str">
        <f>IF(MSE成绩库!C43="","", MSE成绩库!K43)</f>
        <v/>
      </c>
      <c r="L43" t="str">
        <f>IF(MSE成绩库!C43="","", MSE成绩库!M43)</f>
        <v/>
      </c>
      <c r="M43" t="str">
        <f>IF(MSE成绩库!C43="","", MSE成绩库!N43)</f>
        <v/>
      </c>
      <c r="N43" t="str">
        <f>IF(MSE成绩库!C43="","", MSE成绩库!O43)</f>
        <v/>
      </c>
      <c r="O43" t="str">
        <f>IF(MSE成绩库!C43="","", MSE成绩库!Q43)</f>
        <v/>
      </c>
      <c r="P43" t="str">
        <f>IF(MSE成绩库!C43="","", MSE成绩库!R43)</f>
        <v/>
      </c>
      <c r="Q43" t="str">
        <f>IF(MSE成绩库!C43="","", MSE成绩库!S43)</f>
        <v/>
      </c>
      <c r="R43" t="str">
        <f>IF(MSE成绩库!C43="","", MSE成绩库!T43)</f>
        <v/>
      </c>
      <c r="S43" t="str">
        <f>IF(MSE成绩库!C43="","", MSE成绩库!U43)</f>
        <v/>
      </c>
      <c r="T43" t="str">
        <f>IF(MSE成绩库!C43="","", MSE成绩库!V43)</f>
        <v/>
      </c>
      <c r="U43" t="str">
        <f>IF(MSE成绩库!C43="","", MSE成绩库!X43)</f>
        <v/>
      </c>
      <c r="V43" t="str">
        <f>IF(MSE成绩库!C43="","", MSE成绩库!Y43)</f>
        <v/>
      </c>
      <c r="W43" t="str">
        <f>IF(MSE成绩库!C43="","", MSE成绩库!Z43)</f>
        <v/>
      </c>
      <c r="X43" t="str">
        <f>IF(MSE成绩库!C43="","", MSE成绩库!AA43)</f>
        <v/>
      </c>
      <c r="Y43" t="str">
        <f>IF(MSE成绩库!C43="","", MSE成绩库!AB43)</f>
        <v/>
      </c>
      <c r="Z43" t="str">
        <f>IF(MSE成绩库!C43="","", MSE成绩库!AC43)</f>
        <v/>
      </c>
    </row>
    <row r="44" spans="1:26" x14ac:dyDescent="0.2">
      <c r="A44" t="str">
        <f>IF(MSE成绩库!C44="","", MSE成绩库!C44)</f>
        <v/>
      </c>
      <c r="B44" t="str">
        <f>IF(MSE成绩库!AD44="","", MSE成绩库!AD44)</f>
        <v>2024-01-15</v>
      </c>
      <c r="C44" t="str">
        <f>IF(MSE成绩库!B44="","", MSE成绩库!B44)</f>
        <v/>
      </c>
      <c r="D44" t="str">
        <f>IF(MSE成绩库!D44="","", MSE成绩库!D44)</f>
        <v/>
      </c>
      <c r="E44" t="str">
        <f>IF(MSE成绩库!C44="","", MSE成绩库!E44)</f>
        <v/>
      </c>
      <c r="F44" t="str">
        <f>IF(MSE成绩库!C44="","", MSE成绩库!F44)</f>
        <v/>
      </c>
      <c r="G44" t="str">
        <f>IF(MSE成绩库!C44="","", MSE成绩库!G44)</f>
        <v/>
      </c>
      <c r="H44" t="str">
        <f>IF(MSE成绩库!C44="","", MSE成绩库!H44)</f>
        <v/>
      </c>
      <c r="I44" t="str">
        <f>IF(MSE成绩库!C44="","", MSE成绩库!I44)</f>
        <v/>
      </c>
      <c r="J44" t="str">
        <f>IF(MSE成绩库!C44="","", MSE成绩库!J44)</f>
        <v/>
      </c>
      <c r="K44" t="str">
        <f>IF(MSE成绩库!C44="","", MSE成绩库!K44)</f>
        <v/>
      </c>
      <c r="L44" t="str">
        <f>IF(MSE成绩库!C44="","", MSE成绩库!M44)</f>
        <v/>
      </c>
      <c r="M44" t="str">
        <f>IF(MSE成绩库!C44="","", MSE成绩库!N44)</f>
        <v/>
      </c>
      <c r="N44" t="str">
        <f>IF(MSE成绩库!C44="","", MSE成绩库!O44)</f>
        <v/>
      </c>
      <c r="O44" t="str">
        <f>IF(MSE成绩库!C44="","", MSE成绩库!Q44)</f>
        <v/>
      </c>
      <c r="P44" t="str">
        <f>IF(MSE成绩库!C44="","", MSE成绩库!R44)</f>
        <v/>
      </c>
      <c r="Q44" t="str">
        <f>IF(MSE成绩库!C44="","", MSE成绩库!S44)</f>
        <v/>
      </c>
      <c r="R44" t="str">
        <f>IF(MSE成绩库!C44="","", MSE成绩库!T44)</f>
        <v/>
      </c>
      <c r="S44" t="str">
        <f>IF(MSE成绩库!C44="","", MSE成绩库!U44)</f>
        <v/>
      </c>
      <c r="T44" t="str">
        <f>IF(MSE成绩库!C44="","", MSE成绩库!V44)</f>
        <v/>
      </c>
      <c r="U44" t="str">
        <f>IF(MSE成绩库!C44="","", MSE成绩库!X44)</f>
        <v/>
      </c>
      <c r="V44" t="str">
        <f>IF(MSE成绩库!C44="","", MSE成绩库!Y44)</f>
        <v/>
      </c>
      <c r="W44" t="str">
        <f>IF(MSE成绩库!C44="","", MSE成绩库!Z44)</f>
        <v/>
      </c>
      <c r="X44" t="str">
        <f>IF(MSE成绩库!C44="","", MSE成绩库!AA44)</f>
        <v/>
      </c>
      <c r="Y44" t="str">
        <f>IF(MSE成绩库!C44="","", MSE成绩库!AB44)</f>
        <v/>
      </c>
      <c r="Z44" t="str">
        <f>IF(MSE成绩库!C44="","", MSE成绩库!AC44)</f>
        <v/>
      </c>
    </row>
    <row r="45" spans="1:26" x14ac:dyDescent="0.2">
      <c r="A45" t="str">
        <f>IF(MSE成绩库!C45="","", MSE成绩库!C45)</f>
        <v/>
      </c>
      <c r="B45" t="str">
        <f>IF(MSE成绩库!AD45="","", MSE成绩库!AD45)</f>
        <v>2024-01-15</v>
      </c>
      <c r="C45" t="str">
        <f>IF(MSE成绩库!B45="","", MSE成绩库!B45)</f>
        <v/>
      </c>
      <c r="D45" t="str">
        <f>IF(MSE成绩库!D45="","", MSE成绩库!D45)</f>
        <v/>
      </c>
      <c r="E45" t="str">
        <f>IF(MSE成绩库!C45="","", MSE成绩库!E45)</f>
        <v/>
      </c>
      <c r="F45" t="str">
        <f>IF(MSE成绩库!C45="","", MSE成绩库!F45)</f>
        <v/>
      </c>
      <c r="G45" t="str">
        <f>IF(MSE成绩库!C45="","", MSE成绩库!G45)</f>
        <v/>
      </c>
      <c r="H45" t="str">
        <f>IF(MSE成绩库!C45="","", MSE成绩库!H45)</f>
        <v/>
      </c>
      <c r="I45" t="str">
        <f>IF(MSE成绩库!C45="","", MSE成绩库!I45)</f>
        <v/>
      </c>
      <c r="J45" t="str">
        <f>IF(MSE成绩库!C45="","", MSE成绩库!J45)</f>
        <v/>
      </c>
      <c r="K45" t="str">
        <f>IF(MSE成绩库!C45="","", MSE成绩库!K45)</f>
        <v/>
      </c>
      <c r="L45" t="str">
        <f>IF(MSE成绩库!C45="","", MSE成绩库!M45)</f>
        <v/>
      </c>
      <c r="M45" t="str">
        <f>IF(MSE成绩库!C45="","", MSE成绩库!N45)</f>
        <v/>
      </c>
      <c r="N45" t="str">
        <f>IF(MSE成绩库!C45="","", MSE成绩库!O45)</f>
        <v/>
      </c>
      <c r="O45" t="str">
        <f>IF(MSE成绩库!C45="","", MSE成绩库!Q45)</f>
        <v/>
      </c>
      <c r="P45" t="str">
        <f>IF(MSE成绩库!C45="","", MSE成绩库!R45)</f>
        <v/>
      </c>
      <c r="Q45" t="str">
        <f>IF(MSE成绩库!C45="","", MSE成绩库!S45)</f>
        <v/>
      </c>
      <c r="R45" t="str">
        <f>IF(MSE成绩库!C45="","", MSE成绩库!T45)</f>
        <v/>
      </c>
      <c r="S45" t="str">
        <f>IF(MSE成绩库!C45="","", MSE成绩库!U45)</f>
        <v/>
      </c>
      <c r="T45" t="str">
        <f>IF(MSE成绩库!C45="","", MSE成绩库!V45)</f>
        <v/>
      </c>
      <c r="U45" t="str">
        <f>IF(MSE成绩库!C45="","", MSE成绩库!X45)</f>
        <v/>
      </c>
      <c r="V45" t="str">
        <f>IF(MSE成绩库!C45="","", MSE成绩库!Y45)</f>
        <v/>
      </c>
      <c r="W45" t="str">
        <f>IF(MSE成绩库!C45="","", MSE成绩库!Z45)</f>
        <v/>
      </c>
      <c r="X45" t="str">
        <f>IF(MSE成绩库!C45="","", MSE成绩库!AA45)</f>
        <v/>
      </c>
      <c r="Y45" t="str">
        <f>IF(MSE成绩库!C45="","", MSE成绩库!AB45)</f>
        <v/>
      </c>
      <c r="Z45" t="str">
        <f>IF(MSE成绩库!C45="","", MSE成绩库!AC45)</f>
        <v/>
      </c>
    </row>
    <row r="46" spans="1:26" x14ac:dyDescent="0.2">
      <c r="A46" t="str">
        <f>IF(MSE成绩库!C46="","", MSE成绩库!C46)</f>
        <v/>
      </c>
      <c r="B46" t="str">
        <f>IF(MSE成绩库!AD46="","", MSE成绩库!AD46)</f>
        <v>2024-01-15</v>
      </c>
      <c r="C46" t="str">
        <f>IF(MSE成绩库!B46="","", MSE成绩库!B46)</f>
        <v/>
      </c>
      <c r="D46" t="str">
        <f>IF(MSE成绩库!D46="","", MSE成绩库!D46)</f>
        <v/>
      </c>
      <c r="E46" t="str">
        <f>IF(MSE成绩库!C46="","", MSE成绩库!E46)</f>
        <v/>
      </c>
      <c r="F46" t="str">
        <f>IF(MSE成绩库!C46="","", MSE成绩库!F46)</f>
        <v/>
      </c>
      <c r="G46" t="str">
        <f>IF(MSE成绩库!C46="","", MSE成绩库!G46)</f>
        <v/>
      </c>
      <c r="H46" t="str">
        <f>IF(MSE成绩库!C46="","", MSE成绩库!H46)</f>
        <v/>
      </c>
      <c r="I46" t="str">
        <f>IF(MSE成绩库!C46="","", MSE成绩库!I46)</f>
        <v/>
      </c>
      <c r="J46" t="str">
        <f>IF(MSE成绩库!C46="","", MSE成绩库!J46)</f>
        <v/>
      </c>
      <c r="K46" t="str">
        <f>IF(MSE成绩库!C46="","", MSE成绩库!K46)</f>
        <v/>
      </c>
      <c r="L46" t="str">
        <f>IF(MSE成绩库!C46="","", MSE成绩库!M46)</f>
        <v/>
      </c>
      <c r="M46" t="str">
        <f>IF(MSE成绩库!C46="","", MSE成绩库!N46)</f>
        <v/>
      </c>
      <c r="N46" t="str">
        <f>IF(MSE成绩库!C46="","", MSE成绩库!O46)</f>
        <v/>
      </c>
      <c r="O46" t="str">
        <f>IF(MSE成绩库!C46="","", MSE成绩库!Q46)</f>
        <v/>
      </c>
      <c r="P46" t="str">
        <f>IF(MSE成绩库!C46="","", MSE成绩库!R46)</f>
        <v/>
      </c>
      <c r="Q46" t="str">
        <f>IF(MSE成绩库!C46="","", MSE成绩库!S46)</f>
        <v/>
      </c>
      <c r="R46" t="str">
        <f>IF(MSE成绩库!C46="","", MSE成绩库!T46)</f>
        <v/>
      </c>
      <c r="S46" t="str">
        <f>IF(MSE成绩库!C46="","", MSE成绩库!U46)</f>
        <v/>
      </c>
      <c r="T46" t="str">
        <f>IF(MSE成绩库!C46="","", MSE成绩库!V46)</f>
        <v/>
      </c>
      <c r="U46" t="str">
        <f>IF(MSE成绩库!C46="","", MSE成绩库!X46)</f>
        <v/>
      </c>
      <c r="V46" t="str">
        <f>IF(MSE成绩库!C46="","", MSE成绩库!Y46)</f>
        <v/>
      </c>
      <c r="W46" t="str">
        <f>IF(MSE成绩库!C46="","", MSE成绩库!Z46)</f>
        <v/>
      </c>
      <c r="X46" t="str">
        <f>IF(MSE成绩库!C46="","", MSE成绩库!AA46)</f>
        <v/>
      </c>
      <c r="Y46" t="str">
        <f>IF(MSE成绩库!C46="","", MSE成绩库!AB46)</f>
        <v/>
      </c>
      <c r="Z46" t="str">
        <f>IF(MSE成绩库!C46="","", MSE成绩库!AC46)</f>
        <v/>
      </c>
    </row>
    <row r="47" spans="1:26" x14ac:dyDescent="0.2">
      <c r="A47" t="str">
        <f>IF(MSE成绩库!C47="","", MSE成绩库!C47)</f>
        <v/>
      </c>
      <c r="B47" t="str">
        <f>IF(MSE成绩库!AD47="","", MSE成绩库!AD47)</f>
        <v>2024-01-15</v>
      </c>
      <c r="C47" t="str">
        <f>IF(MSE成绩库!B47="","", MSE成绩库!B47)</f>
        <v/>
      </c>
      <c r="D47" t="str">
        <f>IF(MSE成绩库!D47="","", MSE成绩库!D47)</f>
        <v/>
      </c>
      <c r="E47" t="str">
        <f>IF(MSE成绩库!C47="","", MSE成绩库!E47)</f>
        <v/>
      </c>
      <c r="F47" t="str">
        <f>IF(MSE成绩库!C47="","", MSE成绩库!F47)</f>
        <v/>
      </c>
      <c r="G47" t="str">
        <f>IF(MSE成绩库!C47="","", MSE成绩库!G47)</f>
        <v/>
      </c>
      <c r="H47" t="str">
        <f>IF(MSE成绩库!C47="","", MSE成绩库!H47)</f>
        <v/>
      </c>
      <c r="I47" t="str">
        <f>IF(MSE成绩库!C47="","", MSE成绩库!I47)</f>
        <v/>
      </c>
      <c r="J47" t="str">
        <f>IF(MSE成绩库!C47="","", MSE成绩库!J47)</f>
        <v/>
      </c>
      <c r="K47" t="str">
        <f>IF(MSE成绩库!C47="","", MSE成绩库!K47)</f>
        <v/>
      </c>
      <c r="L47" t="str">
        <f>IF(MSE成绩库!C47="","", MSE成绩库!M47)</f>
        <v/>
      </c>
      <c r="M47" t="str">
        <f>IF(MSE成绩库!C47="","", MSE成绩库!N47)</f>
        <v/>
      </c>
      <c r="N47" t="str">
        <f>IF(MSE成绩库!C47="","", MSE成绩库!O47)</f>
        <v/>
      </c>
      <c r="O47" t="str">
        <f>IF(MSE成绩库!C47="","", MSE成绩库!Q47)</f>
        <v/>
      </c>
      <c r="P47" t="str">
        <f>IF(MSE成绩库!C47="","", MSE成绩库!R47)</f>
        <v/>
      </c>
      <c r="Q47" t="str">
        <f>IF(MSE成绩库!C47="","", MSE成绩库!S47)</f>
        <v/>
      </c>
      <c r="R47" t="str">
        <f>IF(MSE成绩库!C47="","", MSE成绩库!T47)</f>
        <v/>
      </c>
      <c r="S47" t="str">
        <f>IF(MSE成绩库!C47="","", MSE成绩库!U47)</f>
        <v/>
      </c>
      <c r="T47" t="str">
        <f>IF(MSE成绩库!C47="","", MSE成绩库!V47)</f>
        <v/>
      </c>
      <c r="U47" t="str">
        <f>IF(MSE成绩库!C47="","", MSE成绩库!X47)</f>
        <v/>
      </c>
      <c r="V47" t="str">
        <f>IF(MSE成绩库!C47="","", MSE成绩库!Y47)</f>
        <v/>
      </c>
      <c r="W47" t="str">
        <f>IF(MSE成绩库!C47="","", MSE成绩库!Z47)</f>
        <v/>
      </c>
      <c r="X47" t="str">
        <f>IF(MSE成绩库!C47="","", MSE成绩库!AA47)</f>
        <v/>
      </c>
      <c r="Y47" t="str">
        <f>IF(MSE成绩库!C47="","", MSE成绩库!AB47)</f>
        <v/>
      </c>
      <c r="Z47" t="str">
        <f>IF(MSE成绩库!C47="","", MSE成绩库!AC47)</f>
        <v/>
      </c>
    </row>
    <row r="48" spans="1:26" x14ac:dyDescent="0.2">
      <c r="A48" t="str">
        <f>IF(MSE成绩库!C48="","", MSE成绩库!C48)</f>
        <v/>
      </c>
      <c r="B48" t="str">
        <f>IF(MSE成绩库!AD48="","", MSE成绩库!AD48)</f>
        <v>2024-01-15</v>
      </c>
      <c r="C48" t="str">
        <f>IF(MSE成绩库!B48="","", MSE成绩库!B48)</f>
        <v/>
      </c>
      <c r="D48" t="str">
        <f>IF(MSE成绩库!D48="","", MSE成绩库!D48)</f>
        <v/>
      </c>
      <c r="E48" t="str">
        <f>IF(MSE成绩库!C48="","", MSE成绩库!E48)</f>
        <v/>
      </c>
      <c r="F48" t="str">
        <f>IF(MSE成绩库!C48="","", MSE成绩库!F48)</f>
        <v/>
      </c>
      <c r="G48" t="str">
        <f>IF(MSE成绩库!C48="","", MSE成绩库!G48)</f>
        <v/>
      </c>
      <c r="H48" t="str">
        <f>IF(MSE成绩库!C48="","", MSE成绩库!H48)</f>
        <v/>
      </c>
      <c r="I48" t="str">
        <f>IF(MSE成绩库!C48="","", MSE成绩库!I48)</f>
        <v/>
      </c>
      <c r="J48" t="str">
        <f>IF(MSE成绩库!C48="","", MSE成绩库!J48)</f>
        <v/>
      </c>
      <c r="K48" t="str">
        <f>IF(MSE成绩库!C48="","", MSE成绩库!K48)</f>
        <v/>
      </c>
      <c r="L48" t="str">
        <f>IF(MSE成绩库!C48="","", MSE成绩库!M48)</f>
        <v/>
      </c>
      <c r="M48" t="str">
        <f>IF(MSE成绩库!C48="","", MSE成绩库!N48)</f>
        <v/>
      </c>
      <c r="N48" t="str">
        <f>IF(MSE成绩库!C48="","", MSE成绩库!O48)</f>
        <v/>
      </c>
      <c r="O48" t="str">
        <f>IF(MSE成绩库!C48="","", MSE成绩库!Q48)</f>
        <v/>
      </c>
      <c r="P48" t="str">
        <f>IF(MSE成绩库!C48="","", MSE成绩库!R48)</f>
        <v/>
      </c>
      <c r="Q48" t="str">
        <f>IF(MSE成绩库!C48="","", MSE成绩库!S48)</f>
        <v/>
      </c>
      <c r="R48" t="str">
        <f>IF(MSE成绩库!C48="","", MSE成绩库!T48)</f>
        <v/>
      </c>
      <c r="S48" t="str">
        <f>IF(MSE成绩库!C48="","", MSE成绩库!U48)</f>
        <v/>
      </c>
      <c r="T48" t="str">
        <f>IF(MSE成绩库!C48="","", MSE成绩库!V48)</f>
        <v/>
      </c>
      <c r="U48" t="str">
        <f>IF(MSE成绩库!C48="","", MSE成绩库!X48)</f>
        <v/>
      </c>
      <c r="V48" t="str">
        <f>IF(MSE成绩库!C48="","", MSE成绩库!Y48)</f>
        <v/>
      </c>
      <c r="W48" t="str">
        <f>IF(MSE成绩库!C48="","", MSE成绩库!Z48)</f>
        <v/>
      </c>
      <c r="X48" t="str">
        <f>IF(MSE成绩库!C48="","", MSE成绩库!AA48)</f>
        <v/>
      </c>
      <c r="Y48" t="str">
        <f>IF(MSE成绩库!C48="","", MSE成绩库!AB48)</f>
        <v/>
      </c>
      <c r="Z48" t="str">
        <f>IF(MSE成绩库!C48="","", MSE成绩库!AC48)</f>
        <v/>
      </c>
    </row>
    <row r="49" spans="1:26" x14ac:dyDescent="0.2">
      <c r="A49" t="str">
        <f>IF(MSE成绩库!C49="","", MSE成绩库!C49)</f>
        <v/>
      </c>
      <c r="B49" t="str">
        <f>IF(MSE成绩库!AD49="","", MSE成绩库!AD49)</f>
        <v>2024-01-15</v>
      </c>
      <c r="C49" t="str">
        <f>IF(MSE成绩库!B49="","", MSE成绩库!B49)</f>
        <v/>
      </c>
      <c r="D49" t="str">
        <f>IF(MSE成绩库!D49="","", MSE成绩库!D49)</f>
        <v/>
      </c>
      <c r="E49" t="str">
        <f>IF(MSE成绩库!C49="","", MSE成绩库!E49)</f>
        <v/>
      </c>
      <c r="F49" t="str">
        <f>IF(MSE成绩库!C49="","", MSE成绩库!F49)</f>
        <v/>
      </c>
      <c r="G49" t="str">
        <f>IF(MSE成绩库!C49="","", MSE成绩库!G49)</f>
        <v/>
      </c>
      <c r="H49" t="str">
        <f>IF(MSE成绩库!C49="","", MSE成绩库!H49)</f>
        <v/>
      </c>
      <c r="I49" t="str">
        <f>IF(MSE成绩库!C49="","", MSE成绩库!I49)</f>
        <v/>
      </c>
      <c r="J49" t="str">
        <f>IF(MSE成绩库!C49="","", MSE成绩库!J49)</f>
        <v/>
      </c>
      <c r="K49" t="str">
        <f>IF(MSE成绩库!C49="","", MSE成绩库!K49)</f>
        <v/>
      </c>
      <c r="L49" t="str">
        <f>IF(MSE成绩库!C49="","", MSE成绩库!M49)</f>
        <v/>
      </c>
      <c r="M49" t="str">
        <f>IF(MSE成绩库!C49="","", MSE成绩库!N49)</f>
        <v/>
      </c>
      <c r="N49" t="str">
        <f>IF(MSE成绩库!C49="","", MSE成绩库!O49)</f>
        <v/>
      </c>
      <c r="O49" t="str">
        <f>IF(MSE成绩库!C49="","", MSE成绩库!Q49)</f>
        <v/>
      </c>
      <c r="P49" t="str">
        <f>IF(MSE成绩库!C49="","", MSE成绩库!R49)</f>
        <v/>
      </c>
      <c r="Q49" t="str">
        <f>IF(MSE成绩库!C49="","", MSE成绩库!S49)</f>
        <v/>
      </c>
      <c r="R49" t="str">
        <f>IF(MSE成绩库!C49="","", MSE成绩库!T49)</f>
        <v/>
      </c>
      <c r="S49" t="str">
        <f>IF(MSE成绩库!C49="","", MSE成绩库!U49)</f>
        <v/>
      </c>
      <c r="T49" t="str">
        <f>IF(MSE成绩库!C49="","", MSE成绩库!V49)</f>
        <v/>
      </c>
      <c r="U49" t="str">
        <f>IF(MSE成绩库!C49="","", MSE成绩库!X49)</f>
        <v/>
      </c>
      <c r="V49" t="str">
        <f>IF(MSE成绩库!C49="","", MSE成绩库!Y49)</f>
        <v/>
      </c>
      <c r="W49" t="str">
        <f>IF(MSE成绩库!C49="","", MSE成绩库!Z49)</f>
        <v/>
      </c>
      <c r="X49" t="str">
        <f>IF(MSE成绩库!C49="","", MSE成绩库!AA49)</f>
        <v/>
      </c>
      <c r="Y49" t="str">
        <f>IF(MSE成绩库!C49="","", MSE成绩库!AB49)</f>
        <v/>
      </c>
      <c r="Z49" t="str">
        <f>IF(MSE成绩库!C49="","", MSE成绩库!AC49)</f>
        <v/>
      </c>
    </row>
    <row r="50" spans="1:26" x14ac:dyDescent="0.2">
      <c r="A50" t="str">
        <f>IF(MSE成绩库!C50="","", MSE成绩库!C50)</f>
        <v/>
      </c>
      <c r="B50" t="str">
        <f>IF(MSE成绩库!AD50="","", MSE成绩库!AD50)</f>
        <v>2024-01-15</v>
      </c>
      <c r="C50" t="str">
        <f>IF(MSE成绩库!B50="","", MSE成绩库!B50)</f>
        <v/>
      </c>
      <c r="D50" t="str">
        <f>IF(MSE成绩库!D50="","", MSE成绩库!D50)</f>
        <v/>
      </c>
      <c r="E50" t="str">
        <f>IF(MSE成绩库!C50="","", MSE成绩库!E50)</f>
        <v/>
      </c>
      <c r="F50" t="str">
        <f>IF(MSE成绩库!C50="","", MSE成绩库!F50)</f>
        <v/>
      </c>
      <c r="G50" t="str">
        <f>IF(MSE成绩库!C50="","", MSE成绩库!G50)</f>
        <v/>
      </c>
      <c r="H50" t="str">
        <f>IF(MSE成绩库!C50="","", MSE成绩库!H50)</f>
        <v/>
      </c>
      <c r="I50" t="str">
        <f>IF(MSE成绩库!C50="","", MSE成绩库!I50)</f>
        <v/>
      </c>
      <c r="J50" t="str">
        <f>IF(MSE成绩库!C50="","", MSE成绩库!J50)</f>
        <v/>
      </c>
      <c r="K50" t="str">
        <f>IF(MSE成绩库!C50="","", MSE成绩库!K50)</f>
        <v/>
      </c>
      <c r="L50" t="str">
        <f>IF(MSE成绩库!C50="","", MSE成绩库!M50)</f>
        <v/>
      </c>
      <c r="M50" t="str">
        <f>IF(MSE成绩库!C50="","", MSE成绩库!N50)</f>
        <v/>
      </c>
      <c r="N50" t="str">
        <f>IF(MSE成绩库!C50="","", MSE成绩库!O50)</f>
        <v/>
      </c>
      <c r="O50" t="str">
        <f>IF(MSE成绩库!C50="","", MSE成绩库!Q50)</f>
        <v/>
      </c>
      <c r="P50" t="str">
        <f>IF(MSE成绩库!C50="","", MSE成绩库!R50)</f>
        <v/>
      </c>
      <c r="Q50" t="str">
        <f>IF(MSE成绩库!C50="","", MSE成绩库!S50)</f>
        <v/>
      </c>
      <c r="R50" t="str">
        <f>IF(MSE成绩库!C50="","", MSE成绩库!T50)</f>
        <v/>
      </c>
      <c r="S50" t="str">
        <f>IF(MSE成绩库!C50="","", MSE成绩库!U50)</f>
        <v/>
      </c>
      <c r="T50" t="str">
        <f>IF(MSE成绩库!C50="","", MSE成绩库!V50)</f>
        <v/>
      </c>
      <c r="U50" t="str">
        <f>IF(MSE成绩库!C50="","", MSE成绩库!X50)</f>
        <v/>
      </c>
      <c r="V50" t="str">
        <f>IF(MSE成绩库!C50="","", MSE成绩库!Y50)</f>
        <v/>
      </c>
      <c r="W50" t="str">
        <f>IF(MSE成绩库!C50="","", MSE成绩库!Z50)</f>
        <v/>
      </c>
      <c r="X50" t="str">
        <f>IF(MSE成绩库!C50="","", MSE成绩库!AA50)</f>
        <v/>
      </c>
      <c r="Y50" t="str">
        <f>IF(MSE成绩库!C50="","", MSE成绩库!AB50)</f>
        <v/>
      </c>
      <c r="Z50" t="str">
        <f>IF(MSE成绩库!C50="","", MSE成绩库!AC50)</f>
        <v/>
      </c>
    </row>
    <row r="51" spans="1:26" x14ac:dyDescent="0.2">
      <c r="A51" t="str">
        <f>IF(MSE成绩库!C51="","", MSE成绩库!C51)</f>
        <v/>
      </c>
      <c r="B51" t="str">
        <f>IF(MSE成绩库!AD51="","", MSE成绩库!AD51)</f>
        <v>2024-01-15</v>
      </c>
      <c r="C51" t="str">
        <f>IF(MSE成绩库!B51="","", MSE成绩库!B51)</f>
        <v/>
      </c>
      <c r="D51" t="str">
        <f>IF(MSE成绩库!D51="","", MSE成绩库!D51)</f>
        <v/>
      </c>
      <c r="E51" t="str">
        <f>IF(MSE成绩库!C51="","", MSE成绩库!E51)</f>
        <v/>
      </c>
      <c r="F51" t="str">
        <f>IF(MSE成绩库!C51="","", MSE成绩库!F51)</f>
        <v/>
      </c>
      <c r="G51" t="str">
        <f>IF(MSE成绩库!C51="","", MSE成绩库!G51)</f>
        <v/>
      </c>
      <c r="H51" t="str">
        <f>IF(MSE成绩库!C51="","", MSE成绩库!H51)</f>
        <v/>
      </c>
      <c r="I51" t="str">
        <f>IF(MSE成绩库!C51="","", MSE成绩库!I51)</f>
        <v/>
      </c>
      <c r="J51" t="str">
        <f>IF(MSE成绩库!C51="","", MSE成绩库!J51)</f>
        <v/>
      </c>
      <c r="K51" t="str">
        <f>IF(MSE成绩库!C51="","", MSE成绩库!K51)</f>
        <v/>
      </c>
      <c r="L51" t="str">
        <f>IF(MSE成绩库!C51="","", MSE成绩库!M51)</f>
        <v/>
      </c>
      <c r="M51" t="str">
        <f>IF(MSE成绩库!C51="","", MSE成绩库!N51)</f>
        <v/>
      </c>
      <c r="N51" t="str">
        <f>IF(MSE成绩库!C51="","", MSE成绩库!O51)</f>
        <v/>
      </c>
      <c r="O51" t="str">
        <f>IF(MSE成绩库!C51="","", MSE成绩库!Q51)</f>
        <v/>
      </c>
      <c r="P51" t="str">
        <f>IF(MSE成绩库!C51="","", MSE成绩库!R51)</f>
        <v/>
      </c>
      <c r="Q51" t="str">
        <f>IF(MSE成绩库!C51="","", MSE成绩库!S51)</f>
        <v/>
      </c>
      <c r="R51" t="str">
        <f>IF(MSE成绩库!C51="","", MSE成绩库!T51)</f>
        <v/>
      </c>
      <c r="S51" t="str">
        <f>IF(MSE成绩库!C51="","", MSE成绩库!U51)</f>
        <v/>
      </c>
      <c r="T51" t="str">
        <f>IF(MSE成绩库!C51="","", MSE成绩库!V51)</f>
        <v/>
      </c>
      <c r="U51" t="str">
        <f>IF(MSE成绩库!C51="","", MSE成绩库!X51)</f>
        <v/>
      </c>
      <c r="V51" t="str">
        <f>IF(MSE成绩库!C51="","", MSE成绩库!Y51)</f>
        <v/>
      </c>
      <c r="W51" t="str">
        <f>IF(MSE成绩库!C51="","", MSE成绩库!Z51)</f>
        <v/>
      </c>
      <c r="X51" t="str">
        <f>IF(MSE成绩库!C51="","", MSE成绩库!AA51)</f>
        <v/>
      </c>
      <c r="Y51" t="str">
        <f>IF(MSE成绩库!C51="","", MSE成绩库!AB51)</f>
        <v/>
      </c>
      <c r="Z51" t="str">
        <f>IF(MSE成绩库!C51="","", MSE成绩库!AC51)</f>
        <v/>
      </c>
    </row>
    <row r="52" spans="1:26" x14ac:dyDescent="0.2">
      <c r="A52" t="str">
        <f>IF(MSE成绩库!C52="","", MSE成绩库!C52)</f>
        <v/>
      </c>
      <c r="B52" t="str">
        <f>IF(MSE成绩库!AD52="","", MSE成绩库!AD52)</f>
        <v>2024-01-15</v>
      </c>
      <c r="C52" t="str">
        <f>IF(MSE成绩库!B52="","", MSE成绩库!B52)</f>
        <v/>
      </c>
      <c r="D52" t="str">
        <f>IF(MSE成绩库!D52="","", MSE成绩库!D52)</f>
        <v/>
      </c>
      <c r="E52" t="str">
        <f>IF(MSE成绩库!C52="","", MSE成绩库!E52)</f>
        <v/>
      </c>
      <c r="F52" t="str">
        <f>IF(MSE成绩库!C52="","", MSE成绩库!F52)</f>
        <v/>
      </c>
      <c r="G52" t="str">
        <f>IF(MSE成绩库!C52="","", MSE成绩库!G52)</f>
        <v/>
      </c>
      <c r="H52" t="str">
        <f>IF(MSE成绩库!C52="","", MSE成绩库!H52)</f>
        <v/>
      </c>
      <c r="I52" t="str">
        <f>IF(MSE成绩库!C52="","", MSE成绩库!I52)</f>
        <v/>
      </c>
      <c r="J52" t="str">
        <f>IF(MSE成绩库!C52="","", MSE成绩库!J52)</f>
        <v/>
      </c>
      <c r="K52" t="str">
        <f>IF(MSE成绩库!C52="","", MSE成绩库!K52)</f>
        <v/>
      </c>
      <c r="L52" t="str">
        <f>IF(MSE成绩库!C52="","", MSE成绩库!M52)</f>
        <v/>
      </c>
      <c r="M52" t="str">
        <f>IF(MSE成绩库!C52="","", MSE成绩库!N52)</f>
        <v/>
      </c>
      <c r="N52" t="str">
        <f>IF(MSE成绩库!C52="","", MSE成绩库!O52)</f>
        <v/>
      </c>
      <c r="O52" t="str">
        <f>IF(MSE成绩库!C52="","", MSE成绩库!Q52)</f>
        <v/>
      </c>
      <c r="P52" t="str">
        <f>IF(MSE成绩库!C52="","", MSE成绩库!R52)</f>
        <v/>
      </c>
      <c r="Q52" t="str">
        <f>IF(MSE成绩库!C52="","", MSE成绩库!S52)</f>
        <v/>
      </c>
      <c r="R52" t="str">
        <f>IF(MSE成绩库!C52="","", MSE成绩库!T52)</f>
        <v/>
      </c>
      <c r="S52" t="str">
        <f>IF(MSE成绩库!C52="","", MSE成绩库!U52)</f>
        <v/>
      </c>
      <c r="T52" t="str">
        <f>IF(MSE成绩库!C52="","", MSE成绩库!V52)</f>
        <v/>
      </c>
      <c r="U52" t="str">
        <f>IF(MSE成绩库!C52="","", MSE成绩库!X52)</f>
        <v/>
      </c>
      <c r="V52" t="str">
        <f>IF(MSE成绩库!C52="","", MSE成绩库!Y52)</f>
        <v/>
      </c>
      <c r="W52" t="str">
        <f>IF(MSE成绩库!C52="","", MSE成绩库!Z52)</f>
        <v/>
      </c>
      <c r="X52" t="str">
        <f>IF(MSE成绩库!C52="","", MSE成绩库!AA52)</f>
        <v/>
      </c>
      <c r="Y52" t="str">
        <f>IF(MSE成绩库!C52="","", MSE成绩库!AB52)</f>
        <v/>
      </c>
      <c r="Z52" t="str">
        <f>IF(MSE成绩库!C52="","", MSE成绩库!AC52)</f>
        <v/>
      </c>
    </row>
    <row r="53" spans="1:26" x14ac:dyDescent="0.2">
      <c r="A53" t="str">
        <f>IF(MSE成绩库!C53="","", MSE成绩库!C53)</f>
        <v/>
      </c>
      <c r="B53" t="str">
        <f>IF(MSE成绩库!AD53="","", MSE成绩库!AD53)</f>
        <v>2024-01-15</v>
      </c>
      <c r="C53" t="str">
        <f>IF(MSE成绩库!B53="","", MSE成绩库!B53)</f>
        <v/>
      </c>
      <c r="D53" t="str">
        <f>IF(MSE成绩库!D53="","", MSE成绩库!D53)</f>
        <v/>
      </c>
      <c r="E53" t="str">
        <f>IF(MSE成绩库!C53="","", MSE成绩库!E53)</f>
        <v/>
      </c>
      <c r="F53" t="str">
        <f>IF(MSE成绩库!C53="","", MSE成绩库!F53)</f>
        <v/>
      </c>
      <c r="G53" t="str">
        <f>IF(MSE成绩库!C53="","", MSE成绩库!G53)</f>
        <v/>
      </c>
      <c r="H53" t="str">
        <f>IF(MSE成绩库!C53="","", MSE成绩库!H53)</f>
        <v/>
      </c>
      <c r="I53" t="str">
        <f>IF(MSE成绩库!C53="","", MSE成绩库!I53)</f>
        <v/>
      </c>
      <c r="J53" t="str">
        <f>IF(MSE成绩库!C53="","", MSE成绩库!J53)</f>
        <v/>
      </c>
      <c r="K53" t="str">
        <f>IF(MSE成绩库!C53="","", MSE成绩库!K53)</f>
        <v/>
      </c>
      <c r="L53" t="str">
        <f>IF(MSE成绩库!C53="","", MSE成绩库!M53)</f>
        <v/>
      </c>
      <c r="M53" t="str">
        <f>IF(MSE成绩库!C53="","", MSE成绩库!N53)</f>
        <v/>
      </c>
      <c r="N53" t="str">
        <f>IF(MSE成绩库!C53="","", MSE成绩库!O53)</f>
        <v/>
      </c>
      <c r="O53" t="str">
        <f>IF(MSE成绩库!C53="","", MSE成绩库!Q53)</f>
        <v/>
      </c>
      <c r="P53" t="str">
        <f>IF(MSE成绩库!C53="","", MSE成绩库!R53)</f>
        <v/>
      </c>
      <c r="Q53" t="str">
        <f>IF(MSE成绩库!C53="","", MSE成绩库!S53)</f>
        <v/>
      </c>
      <c r="R53" t="str">
        <f>IF(MSE成绩库!C53="","", MSE成绩库!T53)</f>
        <v/>
      </c>
      <c r="S53" t="str">
        <f>IF(MSE成绩库!C53="","", MSE成绩库!U53)</f>
        <v/>
      </c>
      <c r="T53" t="str">
        <f>IF(MSE成绩库!C53="","", MSE成绩库!V53)</f>
        <v/>
      </c>
      <c r="U53" t="str">
        <f>IF(MSE成绩库!C53="","", MSE成绩库!X53)</f>
        <v/>
      </c>
      <c r="V53" t="str">
        <f>IF(MSE成绩库!C53="","", MSE成绩库!Y53)</f>
        <v/>
      </c>
      <c r="W53" t="str">
        <f>IF(MSE成绩库!C53="","", MSE成绩库!Z53)</f>
        <v/>
      </c>
      <c r="X53" t="str">
        <f>IF(MSE成绩库!C53="","", MSE成绩库!AA53)</f>
        <v/>
      </c>
      <c r="Y53" t="str">
        <f>IF(MSE成绩库!C53="","", MSE成绩库!AB53)</f>
        <v/>
      </c>
      <c r="Z53" t="str">
        <f>IF(MSE成绩库!C53="","", MSE成绩库!AC53)</f>
        <v/>
      </c>
    </row>
    <row r="54" spans="1:26" x14ac:dyDescent="0.2">
      <c r="A54" t="str">
        <f>IF(MSE成绩库!C54="","", MSE成绩库!C54)</f>
        <v/>
      </c>
      <c r="B54" t="str">
        <f>IF(MSE成绩库!AD54="","", MSE成绩库!AD54)</f>
        <v>2024-01-15</v>
      </c>
      <c r="C54" t="str">
        <f>IF(MSE成绩库!B54="","", MSE成绩库!B54)</f>
        <v/>
      </c>
      <c r="D54" t="str">
        <f>IF(MSE成绩库!D54="","", MSE成绩库!D54)</f>
        <v/>
      </c>
      <c r="E54" t="str">
        <f>IF(MSE成绩库!C54="","", MSE成绩库!E54)</f>
        <v/>
      </c>
      <c r="F54" t="str">
        <f>IF(MSE成绩库!C54="","", MSE成绩库!F54)</f>
        <v/>
      </c>
      <c r="G54" t="str">
        <f>IF(MSE成绩库!C54="","", MSE成绩库!G54)</f>
        <v/>
      </c>
      <c r="H54" t="str">
        <f>IF(MSE成绩库!C54="","", MSE成绩库!H54)</f>
        <v/>
      </c>
      <c r="I54" t="str">
        <f>IF(MSE成绩库!C54="","", MSE成绩库!I54)</f>
        <v/>
      </c>
      <c r="J54" t="str">
        <f>IF(MSE成绩库!C54="","", MSE成绩库!J54)</f>
        <v/>
      </c>
      <c r="K54" t="str">
        <f>IF(MSE成绩库!C54="","", MSE成绩库!K54)</f>
        <v/>
      </c>
      <c r="L54" t="str">
        <f>IF(MSE成绩库!C54="","", MSE成绩库!M54)</f>
        <v/>
      </c>
      <c r="M54" t="str">
        <f>IF(MSE成绩库!C54="","", MSE成绩库!N54)</f>
        <v/>
      </c>
      <c r="N54" t="str">
        <f>IF(MSE成绩库!C54="","", MSE成绩库!O54)</f>
        <v/>
      </c>
      <c r="O54" t="str">
        <f>IF(MSE成绩库!C54="","", MSE成绩库!Q54)</f>
        <v/>
      </c>
      <c r="P54" t="str">
        <f>IF(MSE成绩库!C54="","", MSE成绩库!R54)</f>
        <v/>
      </c>
      <c r="Q54" t="str">
        <f>IF(MSE成绩库!C54="","", MSE成绩库!S54)</f>
        <v/>
      </c>
      <c r="R54" t="str">
        <f>IF(MSE成绩库!C54="","", MSE成绩库!T54)</f>
        <v/>
      </c>
      <c r="S54" t="str">
        <f>IF(MSE成绩库!C54="","", MSE成绩库!U54)</f>
        <v/>
      </c>
      <c r="T54" t="str">
        <f>IF(MSE成绩库!C54="","", MSE成绩库!V54)</f>
        <v/>
      </c>
      <c r="U54" t="str">
        <f>IF(MSE成绩库!C54="","", MSE成绩库!X54)</f>
        <v/>
      </c>
      <c r="V54" t="str">
        <f>IF(MSE成绩库!C54="","", MSE成绩库!Y54)</f>
        <v/>
      </c>
      <c r="W54" t="str">
        <f>IF(MSE成绩库!C54="","", MSE成绩库!Z54)</f>
        <v/>
      </c>
      <c r="X54" t="str">
        <f>IF(MSE成绩库!C54="","", MSE成绩库!AA54)</f>
        <v/>
      </c>
      <c r="Y54" t="str">
        <f>IF(MSE成绩库!C54="","", MSE成绩库!AB54)</f>
        <v/>
      </c>
      <c r="Z54" t="str">
        <f>IF(MSE成绩库!C54="","", MSE成绩库!AC54)</f>
        <v/>
      </c>
    </row>
    <row r="55" spans="1:26" x14ac:dyDescent="0.2">
      <c r="A55" t="str">
        <f>IF(MSE成绩库!C55="","", MSE成绩库!C55)</f>
        <v/>
      </c>
      <c r="B55" t="str">
        <f>IF(MSE成绩库!AD55="","", MSE成绩库!AD55)</f>
        <v>2024-01-15</v>
      </c>
      <c r="C55" t="str">
        <f>IF(MSE成绩库!B55="","", MSE成绩库!B55)</f>
        <v/>
      </c>
      <c r="D55" t="str">
        <f>IF(MSE成绩库!D55="","", MSE成绩库!D55)</f>
        <v/>
      </c>
      <c r="E55" t="str">
        <f>IF(MSE成绩库!C55="","", MSE成绩库!E55)</f>
        <v/>
      </c>
      <c r="F55" t="str">
        <f>IF(MSE成绩库!C55="","", MSE成绩库!F55)</f>
        <v/>
      </c>
      <c r="G55" t="str">
        <f>IF(MSE成绩库!C55="","", MSE成绩库!G55)</f>
        <v/>
      </c>
      <c r="H55" t="str">
        <f>IF(MSE成绩库!C55="","", MSE成绩库!H55)</f>
        <v/>
      </c>
      <c r="I55" t="str">
        <f>IF(MSE成绩库!C55="","", MSE成绩库!I55)</f>
        <v/>
      </c>
      <c r="J55" t="str">
        <f>IF(MSE成绩库!C55="","", MSE成绩库!J55)</f>
        <v/>
      </c>
      <c r="K55" t="str">
        <f>IF(MSE成绩库!C55="","", MSE成绩库!K55)</f>
        <v/>
      </c>
      <c r="L55" t="str">
        <f>IF(MSE成绩库!C55="","", MSE成绩库!M55)</f>
        <v/>
      </c>
      <c r="M55" t="str">
        <f>IF(MSE成绩库!C55="","", MSE成绩库!N55)</f>
        <v/>
      </c>
      <c r="N55" t="str">
        <f>IF(MSE成绩库!C55="","", MSE成绩库!O55)</f>
        <v/>
      </c>
      <c r="O55" t="str">
        <f>IF(MSE成绩库!C55="","", MSE成绩库!Q55)</f>
        <v/>
      </c>
      <c r="P55" t="str">
        <f>IF(MSE成绩库!C55="","", MSE成绩库!R55)</f>
        <v/>
      </c>
      <c r="Q55" t="str">
        <f>IF(MSE成绩库!C55="","", MSE成绩库!S55)</f>
        <v/>
      </c>
      <c r="R55" t="str">
        <f>IF(MSE成绩库!C55="","", MSE成绩库!T55)</f>
        <v/>
      </c>
      <c r="S55" t="str">
        <f>IF(MSE成绩库!C55="","", MSE成绩库!U55)</f>
        <v/>
      </c>
      <c r="T55" t="str">
        <f>IF(MSE成绩库!C55="","", MSE成绩库!V55)</f>
        <v/>
      </c>
      <c r="U55" t="str">
        <f>IF(MSE成绩库!C55="","", MSE成绩库!X55)</f>
        <v/>
      </c>
      <c r="V55" t="str">
        <f>IF(MSE成绩库!C55="","", MSE成绩库!Y55)</f>
        <v/>
      </c>
      <c r="W55" t="str">
        <f>IF(MSE成绩库!C55="","", MSE成绩库!Z55)</f>
        <v/>
      </c>
      <c r="X55" t="str">
        <f>IF(MSE成绩库!C55="","", MSE成绩库!AA55)</f>
        <v/>
      </c>
      <c r="Y55" t="str">
        <f>IF(MSE成绩库!C55="","", MSE成绩库!AB55)</f>
        <v/>
      </c>
      <c r="Z55" t="str">
        <f>IF(MSE成绩库!C55="","", MSE成绩库!AC55)</f>
        <v/>
      </c>
    </row>
    <row r="56" spans="1:26" x14ac:dyDescent="0.2">
      <c r="A56" t="str">
        <f>IF(MSE成绩库!C56="","", MSE成绩库!C56)</f>
        <v/>
      </c>
      <c r="B56" t="str">
        <f>IF(MSE成绩库!AD56="","", MSE成绩库!AD56)</f>
        <v>2024-01-15</v>
      </c>
      <c r="C56" t="str">
        <f>IF(MSE成绩库!B56="","", MSE成绩库!B56)</f>
        <v/>
      </c>
      <c r="D56" t="str">
        <f>IF(MSE成绩库!D56="","", MSE成绩库!D56)</f>
        <v/>
      </c>
      <c r="E56" t="str">
        <f>IF(MSE成绩库!C56="","", MSE成绩库!E56)</f>
        <v/>
      </c>
      <c r="F56" t="str">
        <f>IF(MSE成绩库!C56="","", MSE成绩库!F56)</f>
        <v/>
      </c>
      <c r="G56" t="str">
        <f>IF(MSE成绩库!C56="","", MSE成绩库!G56)</f>
        <v/>
      </c>
      <c r="H56" t="str">
        <f>IF(MSE成绩库!C56="","", MSE成绩库!H56)</f>
        <v/>
      </c>
      <c r="I56" t="str">
        <f>IF(MSE成绩库!C56="","", MSE成绩库!I56)</f>
        <v/>
      </c>
      <c r="J56" t="str">
        <f>IF(MSE成绩库!C56="","", MSE成绩库!J56)</f>
        <v/>
      </c>
      <c r="K56" t="str">
        <f>IF(MSE成绩库!C56="","", MSE成绩库!K56)</f>
        <v/>
      </c>
      <c r="L56" t="str">
        <f>IF(MSE成绩库!C56="","", MSE成绩库!M56)</f>
        <v/>
      </c>
      <c r="M56" t="str">
        <f>IF(MSE成绩库!C56="","", MSE成绩库!N56)</f>
        <v/>
      </c>
      <c r="N56" t="str">
        <f>IF(MSE成绩库!C56="","", MSE成绩库!O56)</f>
        <v/>
      </c>
      <c r="O56" t="str">
        <f>IF(MSE成绩库!C56="","", MSE成绩库!Q56)</f>
        <v/>
      </c>
      <c r="P56" t="str">
        <f>IF(MSE成绩库!C56="","", MSE成绩库!R56)</f>
        <v/>
      </c>
      <c r="Q56" t="str">
        <f>IF(MSE成绩库!C56="","", MSE成绩库!S56)</f>
        <v/>
      </c>
      <c r="R56" t="str">
        <f>IF(MSE成绩库!C56="","", MSE成绩库!T56)</f>
        <v/>
      </c>
      <c r="S56" t="str">
        <f>IF(MSE成绩库!C56="","", MSE成绩库!U56)</f>
        <v/>
      </c>
      <c r="T56" t="str">
        <f>IF(MSE成绩库!C56="","", MSE成绩库!V56)</f>
        <v/>
      </c>
      <c r="U56" t="str">
        <f>IF(MSE成绩库!C56="","", MSE成绩库!X56)</f>
        <v/>
      </c>
      <c r="V56" t="str">
        <f>IF(MSE成绩库!C56="","", MSE成绩库!Y56)</f>
        <v/>
      </c>
      <c r="W56" t="str">
        <f>IF(MSE成绩库!C56="","", MSE成绩库!Z56)</f>
        <v/>
      </c>
      <c r="X56" t="str">
        <f>IF(MSE成绩库!C56="","", MSE成绩库!AA56)</f>
        <v/>
      </c>
      <c r="Y56" t="str">
        <f>IF(MSE成绩库!C56="","", MSE成绩库!AB56)</f>
        <v/>
      </c>
      <c r="Z56" t="str">
        <f>IF(MSE成绩库!C56="","", MSE成绩库!AC56)</f>
        <v/>
      </c>
    </row>
    <row r="57" spans="1:26" x14ac:dyDescent="0.2">
      <c r="A57" t="str">
        <f>IF(MSE成绩库!C57="","", MSE成绩库!C57)</f>
        <v/>
      </c>
      <c r="B57" t="str">
        <f>IF(MSE成绩库!AD57="","", MSE成绩库!AD57)</f>
        <v>2024-01-15</v>
      </c>
      <c r="C57" t="str">
        <f>IF(MSE成绩库!B57="","", MSE成绩库!B57)</f>
        <v/>
      </c>
      <c r="D57" t="str">
        <f>IF(MSE成绩库!D57="","", MSE成绩库!D57)</f>
        <v/>
      </c>
      <c r="E57" t="str">
        <f>IF(MSE成绩库!C57="","", MSE成绩库!E57)</f>
        <v/>
      </c>
      <c r="F57" t="str">
        <f>IF(MSE成绩库!C57="","", MSE成绩库!F57)</f>
        <v/>
      </c>
      <c r="G57" t="str">
        <f>IF(MSE成绩库!C57="","", MSE成绩库!G57)</f>
        <v/>
      </c>
      <c r="H57" t="str">
        <f>IF(MSE成绩库!C57="","", MSE成绩库!H57)</f>
        <v/>
      </c>
      <c r="I57" t="str">
        <f>IF(MSE成绩库!C57="","", MSE成绩库!I57)</f>
        <v/>
      </c>
      <c r="J57" t="str">
        <f>IF(MSE成绩库!C57="","", MSE成绩库!J57)</f>
        <v/>
      </c>
      <c r="K57" t="str">
        <f>IF(MSE成绩库!C57="","", MSE成绩库!K57)</f>
        <v/>
      </c>
      <c r="L57" t="str">
        <f>IF(MSE成绩库!C57="","", MSE成绩库!M57)</f>
        <v/>
      </c>
      <c r="M57" t="str">
        <f>IF(MSE成绩库!C57="","", MSE成绩库!N57)</f>
        <v/>
      </c>
      <c r="N57" t="str">
        <f>IF(MSE成绩库!C57="","", MSE成绩库!O57)</f>
        <v/>
      </c>
      <c r="O57" t="str">
        <f>IF(MSE成绩库!C57="","", MSE成绩库!Q57)</f>
        <v/>
      </c>
      <c r="P57" t="str">
        <f>IF(MSE成绩库!C57="","", MSE成绩库!R57)</f>
        <v/>
      </c>
      <c r="Q57" t="str">
        <f>IF(MSE成绩库!C57="","", MSE成绩库!S57)</f>
        <v/>
      </c>
      <c r="R57" t="str">
        <f>IF(MSE成绩库!C57="","", MSE成绩库!T57)</f>
        <v/>
      </c>
      <c r="S57" t="str">
        <f>IF(MSE成绩库!C57="","", MSE成绩库!U57)</f>
        <v/>
      </c>
      <c r="T57" t="str">
        <f>IF(MSE成绩库!C57="","", MSE成绩库!V57)</f>
        <v/>
      </c>
      <c r="U57" t="str">
        <f>IF(MSE成绩库!C57="","", MSE成绩库!X57)</f>
        <v/>
      </c>
      <c r="V57" t="str">
        <f>IF(MSE成绩库!C57="","", MSE成绩库!Y57)</f>
        <v/>
      </c>
      <c r="W57" t="str">
        <f>IF(MSE成绩库!C57="","", MSE成绩库!Z57)</f>
        <v/>
      </c>
      <c r="X57" t="str">
        <f>IF(MSE成绩库!C57="","", MSE成绩库!AA57)</f>
        <v/>
      </c>
      <c r="Y57" t="str">
        <f>IF(MSE成绩库!C57="","", MSE成绩库!AB57)</f>
        <v/>
      </c>
      <c r="Z57" t="str">
        <f>IF(MSE成绩库!C57="","", MSE成绩库!AC57)</f>
        <v/>
      </c>
    </row>
    <row r="58" spans="1:26" x14ac:dyDescent="0.2">
      <c r="A58" t="str">
        <f>IF(MSE成绩库!C58="","", MSE成绩库!C58)</f>
        <v/>
      </c>
      <c r="B58" t="str">
        <f>IF(MSE成绩库!AD58="","", MSE成绩库!AD58)</f>
        <v>2024-01-15</v>
      </c>
      <c r="C58" t="str">
        <f>IF(MSE成绩库!B58="","", MSE成绩库!B58)</f>
        <v/>
      </c>
      <c r="D58" t="str">
        <f>IF(MSE成绩库!D58="","", MSE成绩库!D58)</f>
        <v/>
      </c>
      <c r="E58" t="str">
        <f>IF(MSE成绩库!C58="","", MSE成绩库!E58)</f>
        <v/>
      </c>
      <c r="F58" t="str">
        <f>IF(MSE成绩库!C58="","", MSE成绩库!F58)</f>
        <v/>
      </c>
      <c r="G58" t="str">
        <f>IF(MSE成绩库!C58="","", MSE成绩库!G58)</f>
        <v/>
      </c>
      <c r="H58" t="str">
        <f>IF(MSE成绩库!C58="","", MSE成绩库!H58)</f>
        <v/>
      </c>
      <c r="I58" t="str">
        <f>IF(MSE成绩库!C58="","", MSE成绩库!I58)</f>
        <v/>
      </c>
      <c r="J58" t="str">
        <f>IF(MSE成绩库!C58="","", MSE成绩库!J58)</f>
        <v/>
      </c>
      <c r="K58" t="str">
        <f>IF(MSE成绩库!C58="","", MSE成绩库!K58)</f>
        <v/>
      </c>
      <c r="L58" t="str">
        <f>IF(MSE成绩库!C58="","", MSE成绩库!M58)</f>
        <v/>
      </c>
      <c r="M58" t="str">
        <f>IF(MSE成绩库!C58="","", MSE成绩库!N58)</f>
        <v/>
      </c>
      <c r="N58" t="str">
        <f>IF(MSE成绩库!C58="","", MSE成绩库!O58)</f>
        <v/>
      </c>
      <c r="O58" t="str">
        <f>IF(MSE成绩库!C58="","", MSE成绩库!Q58)</f>
        <v/>
      </c>
      <c r="P58" t="str">
        <f>IF(MSE成绩库!C58="","", MSE成绩库!R58)</f>
        <v/>
      </c>
      <c r="Q58" t="str">
        <f>IF(MSE成绩库!C58="","", MSE成绩库!S58)</f>
        <v/>
      </c>
      <c r="R58" t="str">
        <f>IF(MSE成绩库!C58="","", MSE成绩库!T58)</f>
        <v/>
      </c>
      <c r="S58" t="str">
        <f>IF(MSE成绩库!C58="","", MSE成绩库!U58)</f>
        <v/>
      </c>
      <c r="T58" t="str">
        <f>IF(MSE成绩库!C58="","", MSE成绩库!V58)</f>
        <v/>
      </c>
      <c r="U58" t="str">
        <f>IF(MSE成绩库!C58="","", MSE成绩库!X58)</f>
        <v/>
      </c>
      <c r="V58" t="str">
        <f>IF(MSE成绩库!C58="","", MSE成绩库!Y58)</f>
        <v/>
      </c>
      <c r="W58" t="str">
        <f>IF(MSE成绩库!C58="","", MSE成绩库!Z58)</f>
        <v/>
      </c>
      <c r="X58" t="str">
        <f>IF(MSE成绩库!C58="","", MSE成绩库!AA58)</f>
        <v/>
      </c>
      <c r="Y58" t="str">
        <f>IF(MSE成绩库!C58="","", MSE成绩库!AB58)</f>
        <v/>
      </c>
      <c r="Z58" t="str">
        <f>IF(MSE成绩库!C58="","", MSE成绩库!AC58)</f>
        <v/>
      </c>
    </row>
    <row r="59" spans="1:26" x14ac:dyDescent="0.2">
      <c r="A59" t="str">
        <f>IF(MSE成绩库!C59="","", MSE成绩库!C59)</f>
        <v/>
      </c>
      <c r="B59" t="str">
        <f>IF(MSE成绩库!AD59="","", MSE成绩库!AD59)</f>
        <v>2024-01-15</v>
      </c>
      <c r="C59" t="str">
        <f>IF(MSE成绩库!B59="","", MSE成绩库!B59)</f>
        <v/>
      </c>
      <c r="D59" t="str">
        <f>IF(MSE成绩库!D59="","", MSE成绩库!D59)</f>
        <v/>
      </c>
      <c r="E59" t="str">
        <f>IF(MSE成绩库!C59="","", MSE成绩库!E59)</f>
        <v/>
      </c>
      <c r="F59" t="str">
        <f>IF(MSE成绩库!C59="","", MSE成绩库!F59)</f>
        <v/>
      </c>
      <c r="G59" t="str">
        <f>IF(MSE成绩库!C59="","", MSE成绩库!G59)</f>
        <v/>
      </c>
      <c r="H59" t="str">
        <f>IF(MSE成绩库!C59="","", MSE成绩库!H59)</f>
        <v/>
      </c>
      <c r="I59" t="str">
        <f>IF(MSE成绩库!C59="","", MSE成绩库!I59)</f>
        <v/>
      </c>
      <c r="J59" t="str">
        <f>IF(MSE成绩库!C59="","", MSE成绩库!J59)</f>
        <v/>
      </c>
      <c r="K59" t="str">
        <f>IF(MSE成绩库!C59="","", MSE成绩库!K59)</f>
        <v/>
      </c>
      <c r="L59" t="str">
        <f>IF(MSE成绩库!C59="","", MSE成绩库!M59)</f>
        <v/>
      </c>
      <c r="M59" t="str">
        <f>IF(MSE成绩库!C59="","", MSE成绩库!N59)</f>
        <v/>
      </c>
      <c r="N59" t="str">
        <f>IF(MSE成绩库!C59="","", MSE成绩库!O59)</f>
        <v/>
      </c>
      <c r="O59" t="str">
        <f>IF(MSE成绩库!C59="","", MSE成绩库!Q59)</f>
        <v/>
      </c>
      <c r="P59" t="str">
        <f>IF(MSE成绩库!C59="","", MSE成绩库!R59)</f>
        <v/>
      </c>
      <c r="Q59" t="str">
        <f>IF(MSE成绩库!C59="","", MSE成绩库!S59)</f>
        <v/>
      </c>
      <c r="R59" t="str">
        <f>IF(MSE成绩库!C59="","", MSE成绩库!T59)</f>
        <v/>
      </c>
      <c r="S59" t="str">
        <f>IF(MSE成绩库!C59="","", MSE成绩库!U59)</f>
        <v/>
      </c>
      <c r="T59" t="str">
        <f>IF(MSE成绩库!C59="","", MSE成绩库!V59)</f>
        <v/>
      </c>
      <c r="U59" t="str">
        <f>IF(MSE成绩库!C59="","", MSE成绩库!X59)</f>
        <v/>
      </c>
      <c r="V59" t="str">
        <f>IF(MSE成绩库!C59="","", MSE成绩库!Y59)</f>
        <v/>
      </c>
      <c r="W59" t="str">
        <f>IF(MSE成绩库!C59="","", MSE成绩库!Z59)</f>
        <v/>
      </c>
      <c r="X59" t="str">
        <f>IF(MSE成绩库!C59="","", MSE成绩库!AA59)</f>
        <v/>
      </c>
      <c r="Y59" t="str">
        <f>IF(MSE成绩库!C59="","", MSE成绩库!AB59)</f>
        <v/>
      </c>
      <c r="Z59" t="str">
        <f>IF(MSE成绩库!C59="","", MSE成绩库!AC59)</f>
        <v/>
      </c>
    </row>
    <row r="60" spans="1:26" x14ac:dyDescent="0.2">
      <c r="A60" t="str">
        <f>IF(MSE成绩库!C60="","", MSE成绩库!C60)</f>
        <v/>
      </c>
      <c r="B60" t="str">
        <f>IF(MSE成绩库!AD60="","", MSE成绩库!AD60)</f>
        <v>2024-01-15</v>
      </c>
      <c r="C60" t="str">
        <f>IF(MSE成绩库!B60="","", MSE成绩库!B60)</f>
        <v/>
      </c>
      <c r="D60" t="str">
        <f>IF(MSE成绩库!D60="","", MSE成绩库!D60)</f>
        <v/>
      </c>
      <c r="E60" t="str">
        <f>IF(MSE成绩库!C60="","", MSE成绩库!E60)</f>
        <v/>
      </c>
      <c r="F60" t="str">
        <f>IF(MSE成绩库!C60="","", MSE成绩库!F60)</f>
        <v/>
      </c>
      <c r="G60" t="str">
        <f>IF(MSE成绩库!C60="","", MSE成绩库!G60)</f>
        <v/>
      </c>
      <c r="H60" t="str">
        <f>IF(MSE成绩库!C60="","", MSE成绩库!H60)</f>
        <v/>
      </c>
      <c r="I60" t="str">
        <f>IF(MSE成绩库!C60="","", MSE成绩库!I60)</f>
        <v/>
      </c>
      <c r="J60" t="str">
        <f>IF(MSE成绩库!C60="","", MSE成绩库!J60)</f>
        <v/>
      </c>
      <c r="K60" t="str">
        <f>IF(MSE成绩库!C60="","", MSE成绩库!K60)</f>
        <v/>
      </c>
      <c r="L60" t="str">
        <f>IF(MSE成绩库!C60="","", MSE成绩库!M60)</f>
        <v/>
      </c>
      <c r="M60" t="str">
        <f>IF(MSE成绩库!C60="","", MSE成绩库!N60)</f>
        <v/>
      </c>
      <c r="N60" t="str">
        <f>IF(MSE成绩库!C60="","", MSE成绩库!O60)</f>
        <v/>
      </c>
      <c r="O60" t="str">
        <f>IF(MSE成绩库!C60="","", MSE成绩库!Q60)</f>
        <v/>
      </c>
      <c r="P60" t="str">
        <f>IF(MSE成绩库!C60="","", MSE成绩库!R60)</f>
        <v/>
      </c>
      <c r="Q60" t="str">
        <f>IF(MSE成绩库!C60="","", MSE成绩库!S60)</f>
        <v/>
      </c>
      <c r="R60" t="str">
        <f>IF(MSE成绩库!C60="","", MSE成绩库!T60)</f>
        <v/>
      </c>
      <c r="S60" t="str">
        <f>IF(MSE成绩库!C60="","", MSE成绩库!U60)</f>
        <v/>
      </c>
      <c r="T60" t="str">
        <f>IF(MSE成绩库!C60="","", MSE成绩库!V60)</f>
        <v/>
      </c>
      <c r="U60" t="str">
        <f>IF(MSE成绩库!C60="","", MSE成绩库!X60)</f>
        <v/>
      </c>
      <c r="V60" t="str">
        <f>IF(MSE成绩库!C60="","", MSE成绩库!Y60)</f>
        <v/>
      </c>
      <c r="W60" t="str">
        <f>IF(MSE成绩库!C60="","", MSE成绩库!Z60)</f>
        <v/>
      </c>
      <c r="X60" t="str">
        <f>IF(MSE成绩库!C60="","", MSE成绩库!AA60)</f>
        <v/>
      </c>
      <c r="Y60" t="str">
        <f>IF(MSE成绩库!C60="","", MSE成绩库!AB60)</f>
        <v/>
      </c>
      <c r="Z60" t="str">
        <f>IF(MSE成绩库!C60="","", MSE成绩库!AC60)</f>
        <v/>
      </c>
    </row>
    <row r="61" spans="1:26" x14ac:dyDescent="0.2">
      <c r="A61" t="str">
        <f>IF(MSE成绩库!C61="","", MSE成绩库!C61)</f>
        <v/>
      </c>
      <c r="B61" t="str">
        <f>IF(MSE成绩库!AD61="","", MSE成绩库!AD61)</f>
        <v>2024-01-15</v>
      </c>
      <c r="C61" t="str">
        <f>IF(MSE成绩库!B61="","", MSE成绩库!B61)</f>
        <v/>
      </c>
      <c r="D61" t="str">
        <f>IF(MSE成绩库!D61="","", MSE成绩库!D61)</f>
        <v/>
      </c>
      <c r="E61" t="str">
        <f>IF(MSE成绩库!C61="","", MSE成绩库!E61)</f>
        <v/>
      </c>
      <c r="F61" t="str">
        <f>IF(MSE成绩库!C61="","", MSE成绩库!F61)</f>
        <v/>
      </c>
      <c r="G61" t="str">
        <f>IF(MSE成绩库!C61="","", MSE成绩库!G61)</f>
        <v/>
      </c>
      <c r="H61" t="str">
        <f>IF(MSE成绩库!C61="","", MSE成绩库!H61)</f>
        <v/>
      </c>
      <c r="I61" t="str">
        <f>IF(MSE成绩库!C61="","", MSE成绩库!I61)</f>
        <v/>
      </c>
      <c r="J61" t="str">
        <f>IF(MSE成绩库!C61="","", MSE成绩库!J61)</f>
        <v/>
      </c>
      <c r="K61" t="str">
        <f>IF(MSE成绩库!C61="","", MSE成绩库!K61)</f>
        <v/>
      </c>
      <c r="L61" t="str">
        <f>IF(MSE成绩库!C61="","", MSE成绩库!M61)</f>
        <v/>
      </c>
      <c r="M61" t="str">
        <f>IF(MSE成绩库!C61="","", MSE成绩库!N61)</f>
        <v/>
      </c>
      <c r="N61" t="str">
        <f>IF(MSE成绩库!C61="","", MSE成绩库!O61)</f>
        <v/>
      </c>
      <c r="O61" t="str">
        <f>IF(MSE成绩库!C61="","", MSE成绩库!Q61)</f>
        <v/>
      </c>
      <c r="P61" t="str">
        <f>IF(MSE成绩库!C61="","", MSE成绩库!R61)</f>
        <v/>
      </c>
      <c r="Q61" t="str">
        <f>IF(MSE成绩库!C61="","", MSE成绩库!S61)</f>
        <v/>
      </c>
      <c r="R61" t="str">
        <f>IF(MSE成绩库!C61="","", MSE成绩库!T61)</f>
        <v/>
      </c>
      <c r="S61" t="str">
        <f>IF(MSE成绩库!C61="","", MSE成绩库!U61)</f>
        <v/>
      </c>
      <c r="T61" t="str">
        <f>IF(MSE成绩库!C61="","", MSE成绩库!V61)</f>
        <v/>
      </c>
      <c r="U61" t="str">
        <f>IF(MSE成绩库!C61="","", MSE成绩库!X61)</f>
        <v/>
      </c>
      <c r="V61" t="str">
        <f>IF(MSE成绩库!C61="","", MSE成绩库!Y61)</f>
        <v/>
      </c>
      <c r="W61" t="str">
        <f>IF(MSE成绩库!C61="","", MSE成绩库!Z61)</f>
        <v/>
      </c>
      <c r="X61" t="str">
        <f>IF(MSE成绩库!C61="","", MSE成绩库!AA61)</f>
        <v/>
      </c>
      <c r="Y61" t="str">
        <f>IF(MSE成绩库!C61="","", MSE成绩库!AB61)</f>
        <v/>
      </c>
      <c r="Z61" t="str">
        <f>IF(MSE成绩库!C61="","", MSE成绩库!AC61)</f>
        <v/>
      </c>
    </row>
    <row r="62" spans="1:26" x14ac:dyDescent="0.2">
      <c r="A62" t="str">
        <f>IF(MSE成绩库!C62="","", MSE成绩库!C62)</f>
        <v/>
      </c>
      <c r="B62" t="str">
        <f>IF(MSE成绩库!AD62="","", MSE成绩库!AD62)</f>
        <v>2024-01-15</v>
      </c>
      <c r="C62" t="str">
        <f>IF(MSE成绩库!B62="","", MSE成绩库!B62)</f>
        <v/>
      </c>
      <c r="D62" t="str">
        <f>IF(MSE成绩库!D62="","", MSE成绩库!D62)</f>
        <v/>
      </c>
      <c r="E62" t="str">
        <f>IF(MSE成绩库!C62="","", MSE成绩库!E62)</f>
        <v/>
      </c>
      <c r="F62" t="str">
        <f>IF(MSE成绩库!C62="","", MSE成绩库!F62)</f>
        <v/>
      </c>
      <c r="G62" t="str">
        <f>IF(MSE成绩库!C62="","", MSE成绩库!G62)</f>
        <v/>
      </c>
      <c r="H62" t="str">
        <f>IF(MSE成绩库!C62="","", MSE成绩库!H62)</f>
        <v/>
      </c>
      <c r="I62" t="str">
        <f>IF(MSE成绩库!C62="","", MSE成绩库!I62)</f>
        <v/>
      </c>
      <c r="J62" t="str">
        <f>IF(MSE成绩库!C62="","", MSE成绩库!J62)</f>
        <v/>
      </c>
      <c r="K62" t="str">
        <f>IF(MSE成绩库!C62="","", MSE成绩库!K62)</f>
        <v/>
      </c>
      <c r="L62" t="str">
        <f>IF(MSE成绩库!C62="","", MSE成绩库!M62)</f>
        <v/>
      </c>
      <c r="M62" t="str">
        <f>IF(MSE成绩库!C62="","", MSE成绩库!N62)</f>
        <v/>
      </c>
      <c r="N62" t="str">
        <f>IF(MSE成绩库!C62="","", MSE成绩库!O62)</f>
        <v/>
      </c>
      <c r="O62" t="str">
        <f>IF(MSE成绩库!C62="","", MSE成绩库!Q62)</f>
        <v/>
      </c>
      <c r="P62" t="str">
        <f>IF(MSE成绩库!C62="","", MSE成绩库!R62)</f>
        <v/>
      </c>
      <c r="Q62" t="str">
        <f>IF(MSE成绩库!C62="","", MSE成绩库!S62)</f>
        <v/>
      </c>
      <c r="R62" t="str">
        <f>IF(MSE成绩库!C62="","", MSE成绩库!T62)</f>
        <v/>
      </c>
      <c r="S62" t="str">
        <f>IF(MSE成绩库!C62="","", MSE成绩库!U62)</f>
        <v/>
      </c>
      <c r="T62" t="str">
        <f>IF(MSE成绩库!C62="","", MSE成绩库!V62)</f>
        <v/>
      </c>
      <c r="U62" t="str">
        <f>IF(MSE成绩库!C62="","", MSE成绩库!X62)</f>
        <v/>
      </c>
      <c r="V62" t="str">
        <f>IF(MSE成绩库!C62="","", MSE成绩库!Y62)</f>
        <v/>
      </c>
      <c r="W62" t="str">
        <f>IF(MSE成绩库!C62="","", MSE成绩库!Z62)</f>
        <v/>
      </c>
      <c r="X62" t="str">
        <f>IF(MSE成绩库!C62="","", MSE成绩库!AA62)</f>
        <v/>
      </c>
      <c r="Y62" t="str">
        <f>IF(MSE成绩库!C62="","", MSE成绩库!AB62)</f>
        <v/>
      </c>
      <c r="Z62" t="str">
        <f>IF(MSE成绩库!C62="","", MSE成绩库!AC62)</f>
        <v/>
      </c>
    </row>
    <row r="63" spans="1:26" x14ac:dyDescent="0.2">
      <c r="A63" t="str">
        <f>IF(MSE成绩库!C63="","", MSE成绩库!C63)</f>
        <v/>
      </c>
      <c r="B63" t="str">
        <f>IF(MSE成绩库!AD63="","", MSE成绩库!AD63)</f>
        <v>2024-01-15</v>
      </c>
      <c r="C63" t="str">
        <f>IF(MSE成绩库!B63="","", MSE成绩库!B63)</f>
        <v/>
      </c>
      <c r="D63" t="str">
        <f>IF(MSE成绩库!D63="","", MSE成绩库!D63)</f>
        <v/>
      </c>
      <c r="E63" t="str">
        <f>IF(MSE成绩库!C63="","", MSE成绩库!E63)</f>
        <v/>
      </c>
      <c r="F63" t="str">
        <f>IF(MSE成绩库!C63="","", MSE成绩库!F63)</f>
        <v/>
      </c>
      <c r="G63" t="str">
        <f>IF(MSE成绩库!C63="","", MSE成绩库!G63)</f>
        <v/>
      </c>
      <c r="H63" t="str">
        <f>IF(MSE成绩库!C63="","", MSE成绩库!H63)</f>
        <v/>
      </c>
      <c r="I63" t="str">
        <f>IF(MSE成绩库!C63="","", MSE成绩库!I63)</f>
        <v/>
      </c>
      <c r="J63" t="str">
        <f>IF(MSE成绩库!C63="","", MSE成绩库!J63)</f>
        <v/>
      </c>
      <c r="K63" t="str">
        <f>IF(MSE成绩库!C63="","", MSE成绩库!K63)</f>
        <v/>
      </c>
      <c r="L63" t="str">
        <f>IF(MSE成绩库!C63="","", MSE成绩库!M63)</f>
        <v/>
      </c>
      <c r="M63" t="str">
        <f>IF(MSE成绩库!C63="","", MSE成绩库!N63)</f>
        <v/>
      </c>
      <c r="N63" t="str">
        <f>IF(MSE成绩库!C63="","", MSE成绩库!O63)</f>
        <v/>
      </c>
      <c r="O63" t="str">
        <f>IF(MSE成绩库!C63="","", MSE成绩库!Q63)</f>
        <v/>
      </c>
      <c r="P63" t="str">
        <f>IF(MSE成绩库!C63="","", MSE成绩库!R63)</f>
        <v/>
      </c>
      <c r="Q63" t="str">
        <f>IF(MSE成绩库!C63="","", MSE成绩库!S63)</f>
        <v/>
      </c>
      <c r="R63" t="str">
        <f>IF(MSE成绩库!C63="","", MSE成绩库!T63)</f>
        <v/>
      </c>
      <c r="S63" t="str">
        <f>IF(MSE成绩库!C63="","", MSE成绩库!U63)</f>
        <v/>
      </c>
      <c r="T63" t="str">
        <f>IF(MSE成绩库!C63="","", MSE成绩库!V63)</f>
        <v/>
      </c>
      <c r="U63" t="str">
        <f>IF(MSE成绩库!C63="","", MSE成绩库!X63)</f>
        <v/>
      </c>
      <c r="V63" t="str">
        <f>IF(MSE成绩库!C63="","", MSE成绩库!Y63)</f>
        <v/>
      </c>
      <c r="W63" t="str">
        <f>IF(MSE成绩库!C63="","", MSE成绩库!Z63)</f>
        <v/>
      </c>
      <c r="X63" t="str">
        <f>IF(MSE成绩库!C63="","", MSE成绩库!AA63)</f>
        <v/>
      </c>
      <c r="Y63" t="str">
        <f>IF(MSE成绩库!C63="","", MSE成绩库!AB63)</f>
        <v/>
      </c>
      <c r="Z63" t="str">
        <f>IF(MSE成绩库!C63="","", MSE成绩库!AC63)</f>
        <v/>
      </c>
    </row>
    <row r="64" spans="1:26" x14ac:dyDescent="0.2">
      <c r="A64" t="str">
        <f>IF(MSE成绩库!C64="","", MSE成绩库!C64)</f>
        <v/>
      </c>
      <c r="B64" t="str">
        <f>IF(MSE成绩库!AD64="","", MSE成绩库!AD64)</f>
        <v>2024-01-15</v>
      </c>
      <c r="C64" t="str">
        <f>IF(MSE成绩库!B64="","", MSE成绩库!B64)</f>
        <v/>
      </c>
      <c r="D64" t="str">
        <f>IF(MSE成绩库!D64="","", MSE成绩库!D64)</f>
        <v/>
      </c>
      <c r="E64" t="str">
        <f>IF(MSE成绩库!C64="","", MSE成绩库!E64)</f>
        <v/>
      </c>
      <c r="F64" t="str">
        <f>IF(MSE成绩库!C64="","", MSE成绩库!F64)</f>
        <v/>
      </c>
      <c r="G64" t="str">
        <f>IF(MSE成绩库!C64="","", MSE成绩库!G64)</f>
        <v/>
      </c>
      <c r="H64" t="str">
        <f>IF(MSE成绩库!C64="","", MSE成绩库!H64)</f>
        <v/>
      </c>
      <c r="I64" t="str">
        <f>IF(MSE成绩库!C64="","", MSE成绩库!I64)</f>
        <v/>
      </c>
      <c r="J64" t="str">
        <f>IF(MSE成绩库!C64="","", MSE成绩库!J64)</f>
        <v/>
      </c>
      <c r="K64" t="str">
        <f>IF(MSE成绩库!C64="","", MSE成绩库!K64)</f>
        <v/>
      </c>
      <c r="L64" t="str">
        <f>IF(MSE成绩库!C64="","", MSE成绩库!M64)</f>
        <v/>
      </c>
      <c r="M64" t="str">
        <f>IF(MSE成绩库!C64="","", MSE成绩库!N64)</f>
        <v/>
      </c>
      <c r="N64" t="str">
        <f>IF(MSE成绩库!C64="","", MSE成绩库!O64)</f>
        <v/>
      </c>
      <c r="O64" t="str">
        <f>IF(MSE成绩库!C64="","", MSE成绩库!Q64)</f>
        <v/>
      </c>
      <c r="P64" t="str">
        <f>IF(MSE成绩库!C64="","", MSE成绩库!R64)</f>
        <v/>
      </c>
      <c r="Q64" t="str">
        <f>IF(MSE成绩库!C64="","", MSE成绩库!S64)</f>
        <v/>
      </c>
      <c r="R64" t="str">
        <f>IF(MSE成绩库!C64="","", MSE成绩库!T64)</f>
        <v/>
      </c>
      <c r="S64" t="str">
        <f>IF(MSE成绩库!C64="","", MSE成绩库!U64)</f>
        <v/>
      </c>
      <c r="T64" t="str">
        <f>IF(MSE成绩库!C64="","", MSE成绩库!V64)</f>
        <v/>
      </c>
      <c r="U64" t="str">
        <f>IF(MSE成绩库!C64="","", MSE成绩库!X64)</f>
        <v/>
      </c>
      <c r="V64" t="str">
        <f>IF(MSE成绩库!C64="","", MSE成绩库!Y64)</f>
        <v/>
      </c>
      <c r="W64" t="str">
        <f>IF(MSE成绩库!C64="","", MSE成绩库!Z64)</f>
        <v/>
      </c>
      <c r="X64" t="str">
        <f>IF(MSE成绩库!C64="","", MSE成绩库!AA64)</f>
        <v/>
      </c>
      <c r="Y64" t="str">
        <f>IF(MSE成绩库!C64="","", MSE成绩库!AB64)</f>
        <v/>
      </c>
      <c r="Z64" t="str">
        <f>IF(MSE成绩库!C64="","", MSE成绩库!AC64)</f>
        <v/>
      </c>
    </row>
    <row r="65" spans="1:26" x14ac:dyDescent="0.2">
      <c r="A65" t="str">
        <f>IF(MSE成绩库!C65="","", MSE成绩库!C65)</f>
        <v/>
      </c>
      <c r="B65" t="str">
        <f>IF(MSE成绩库!AD65="","", MSE成绩库!AD65)</f>
        <v>2024-01-15</v>
      </c>
      <c r="C65" t="str">
        <f>IF(MSE成绩库!B65="","", MSE成绩库!B65)</f>
        <v/>
      </c>
      <c r="D65" t="str">
        <f>IF(MSE成绩库!D65="","", MSE成绩库!D65)</f>
        <v/>
      </c>
      <c r="E65" t="str">
        <f>IF(MSE成绩库!C65="","", MSE成绩库!E65)</f>
        <v/>
      </c>
      <c r="F65" t="str">
        <f>IF(MSE成绩库!C65="","", MSE成绩库!F65)</f>
        <v/>
      </c>
      <c r="G65" t="str">
        <f>IF(MSE成绩库!C65="","", MSE成绩库!G65)</f>
        <v/>
      </c>
      <c r="H65" t="str">
        <f>IF(MSE成绩库!C65="","", MSE成绩库!H65)</f>
        <v/>
      </c>
      <c r="I65" t="str">
        <f>IF(MSE成绩库!C65="","", MSE成绩库!I65)</f>
        <v/>
      </c>
      <c r="J65" t="str">
        <f>IF(MSE成绩库!C65="","", MSE成绩库!J65)</f>
        <v/>
      </c>
      <c r="K65" t="str">
        <f>IF(MSE成绩库!C65="","", MSE成绩库!K65)</f>
        <v/>
      </c>
      <c r="L65" t="str">
        <f>IF(MSE成绩库!C65="","", MSE成绩库!M65)</f>
        <v/>
      </c>
      <c r="M65" t="str">
        <f>IF(MSE成绩库!C65="","", MSE成绩库!N65)</f>
        <v/>
      </c>
      <c r="N65" t="str">
        <f>IF(MSE成绩库!C65="","", MSE成绩库!O65)</f>
        <v/>
      </c>
      <c r="O65" t="str">
        <f>IF(MSE成绩库!C65="","", MSE成绩库!Q65)</f>
        <v/>
      </c>
      <c r="P65" t="str">
        <f>IF(MSE成绩库!C65="","", MSE成绩库!R65)</f>
        <v/>
      </c>
      <c r="Q65" t="str">
        <f>IF(MSE成绩库!C65="","", MSE成绩库!S65)</f>
        <v/>
      </c>
      <c r="R65" t="str">
        <f>IF(MSE成绩库!C65="","", MSE成绩库!T65)</f>
        <v/>
      </c>
      <c r="S65" t="str">
        <f>IF(MSE成绩库!C65="","", MSE成绩库!U65)</f>
        <v/>
      </c>
      <c r="T65" t="str">
        <f>IF(MSE成绩库!C65="","", MSE成绩库!V65)</f>
        <v/>
      </c>
      <c r="U65" t="str">
        <f>IF(MSE成绩库!C65="","", MSE成绩库!X65)</f>
        <v/>
      </c>
      <c r="V65" t="str">
        <f>IF(MSE成绩库!C65="","", MSE成绩库!Y65)</f>
        <v/>
      </c>
      <c r="W65" t="str">
        <f>IF(MSE成绩库!C65="","", MSE成绩库!Z65)</f>
        <v/>
      </c>
      <c r="X65" t="str">
        <f>IF(MSE成绩库!C65="","", MSE成绩库!AA65)</f>
        <v/>
      </c>
      <c r="Y65" t="str">
        <f>IF(MSE成绩库!C65="","", MSE成绩库!AB65)</f>
        <v/>
      </c>
      <c r="Z65" t="str">
        <f>IF(MSE成绩库!C65="","", MSE成绩库!AC65)</f>
        <v/>
      </c>
    </row>
    <row r="66" spans="1:26" x14ac:dyDescent="0.2">
      <c r="A66" t="str">
        <f>IF(MSE成绩库!C66="","", MSE成绩库!C66)</f>
        <v/>
      </c>
      <c r="B66" t="str">
        <f>IF(MSE成绩库!AD66="","", MSE成绩库!AD66)</f>
        <v>2024-01-15</v>
      </c>
      <c r="C66" t="str">
        <f>IF(MSE成绩库!B66="","", MSE成绩库!B66)</f>
        <v/>
      </c>
      <c r="D66" t="str">
        <f>IF(MSE成绩库!D66="","", MSE成绩库!D66)</f>
        <v/>
      </c>
      <c r="E66" t="str">
        <f>IF(MSE成绩库!C66="","", MSE成绩库!E66)</f>
        <v/>
      </c>
      <c r="F66" t="str">
        <f>IF(MSE成绩库!C66="","", MSE成绩库!F66)</f>
        <v/>
      </c>
      <c r="G66" t="str">
        <f>IF(MSE成绩库!C66="","", MSE成绩库!G66)</f>
        <v/>
      </c>
      <c r="H66" t="str">
        <f>IF(MSE成绩库!C66="","", MSE成绩库!H66)</f>
        <v/>
      </c>
      <c r="I66" t="str">
        <f>IF(MSE成绩库!C66="","", MSE成绩库!I66)</f>
        <v/>
      </c>
      <c r="J66" t="str">
        <f>IF(MSE成绩库!C66="","", MSE成绩库!J66)</f>
        <v/>
      </c>
      <c r="K66" t="str">
        <f>IF(MSE成绩库!C66="","", MSE成绩库!K66)</f>
        <v/>
      </c>
      <c r="L66" t="str">
        <f>IF(MSE成绩库!C66="","", MSE成绩库!M66)</f>
        <v/>
      </c>
      <c r="M66" t="str">
        <f>IF(MSE成绩库!C66="","", MSE成绩库!N66)</f>
        <v/>
      </c>
      <c r="N66" t="str">
        <f>IF(MSE成绩库!C66="","", MSE成绩库!O66)</f>
        <v/>
      </c>
      <c r="O66" t="str">
        <f>IF(MSE成绩库!C66="","", MSE成绩库!Q66)</f>
        <v/>
      </c>
      <c r="P66" t="str">
        <f>IF(MSE成绩库!C66="","", MSE成绩库!R66)</f>
        <v/>
      </c>
      <c r="Q66" t="str">
        <f>IF(MSE成绩库!C66="","", MSE成绩库!S66)</f>
        <v/>
      </c>
      <c r="R66" t="str">
        <f>IF(MSE成绩库!C66="","", MSE成绩库!T66)</f>
        <v/>
      </c>
      <c r="S66" t="str">
        <f>IF(MSE成绩库!C66="","", MSE成绩库!U66)</f>
        <v/>
      </c>
      <c r="T66" t="str">
        <f>IF(MSE成绩库!C66="","", MSE成绩库!V66)</f>
        <v/>
      </c>
      <c r="U66" t="str">
        <f>IF(MSE成绩库!C66="","", MSE成绩库!X66)</f>
        <v/>
      </c>
      <c r="V66" t="str">
        <f>IF(MSE成绩库!C66="","", MSE成绩库!Y66)</f>
        <v/>
      </c>
      <c r="W66" t="str">
        <f>IF(MSE成绩库!C66="","", MSE成绩库!Z66)</f>
        <v/>
      </c>
      <c r="X66" t="str">
        <f>IF(MSE成绩库!C66="","", MSE成绩库!AA66)</f>
        <v/>
      </c>
      <c r="Y66" t="str">
        <f>IF(MSE成绩库!C66="","", MSE成绩库!AB66)</f>
        <v/>
      </c>
      <c r="Z66" t="str">
        <f>IF(MSE成绩库!C66="","", MSE成绩库!AC66)</f>
        <v/>
      </c>
    </row>
    <row r="67" spans="1:26" x14ac:dyDescent="0.2">
      <c r="A67" t="str">
        <f>IF(MSE成绩库!C67="","", MSE成绩库!C67)</f>
        <v/>
      </c>
      <c r="B67" t="str">
        <f>IF(MSE成绩库!AD67="","", MSE成绩库!AD67)</f>
        <v>2024-01-15</v>
      </c>
      <c r="C67" t="str">
        <f>IF(MSE成绩库!B67="","", MSE成绩库!B67)</f>
        <v/>
      </c>
      <c r="D67" t="str">
        <f>IF(MSE成绩库!D67="","", MSE成绩库!D67)</f>
        <v/>
      </c>
      <c r="E67" t="str">
        <f>IF(MSE成绩库!C67="","", MSE成绩库!E67)</f>
        <v/>
      </c>
      <c r="F67" t="str">
        <f>IF(MSE成绩库!C67="","", MSE成绩库!F67)</f>
        <v/>
      </c>
      <c r="G67" t="str">
        <f>IF(MSE成绩库!C67="","", MSE成绩库!G67)</f>
        <v/>
      </c>
      <c r="H67" t="str">
        <f>IF(MSE成绩库!C67="","", MSE成绩库!H67)</f>
        <v/>
      </c>
      <c r="I67" t="str">
        <f>IF(MSE成绩库!C67="","", MSE成绩库!I67)</f>
        <v/>
      </c>
      <c r="J67" t="str">
        <f>IF(MSE成绩库!C67="","", MSE成绩库!J67)</f>
        <v/>
      </c>
      <c r="K67" t="str">
        <f>IF(MSE成绩库!C67="","", MSE成绩库!K67)</f>
        <v/>
      </c>
      <c r="L67" t="str">
        <f>IF(MSE成绩库!C67="","", MSE成绩库!M67)</f>
        <v/>
      </c>
      <c r="M67" t="str">
        <f>IF(MSE成绩库!C67="","", MSE成绩库!N67)</f>
        <v/>
      </c>
      <c r="N67" t="str">
        <f>IF(MSE成绩库!C67="","", MSE成绩库!O67)</f>
        <v/>
      </c>
      <c r="O67" t="str">
        <f>IF(MSE成绩库!C67="","", MSE成绩库!Q67)</f>
        <v/>
      </c>
      <c r="P67" t="str">
        <f>IF(MSE成绩库!C67="","", MSE成绩库!R67)</f>
        <v/>
      </c>
      <c r="Q67" t="str">
        <f>IF(MSE成绩库!C67="","", MSE成绩库!S67)</f>
        <v/>
      </c>
      <c r="R67" t="str">
        <f>IF(MSE成绩库!C67="","", MSE成绩库!T67)</f>
        <v/>
      </c>
      <c r="S67" t="str">
        <f>IF(MSE成绩库!C67="","", MSE成绩库!U67)</f>
        <v/>
      </c>
      <c r="T67" t="str">
        <f>IF(MSE成绩库!C67="","", MSE成绩库!V67)</f>
        <v/>
      </c>
      <c r="U67" t="str">
        <f>IF(MSE成绩库!C67="","", MSE成绩库!X67)</f>
        <v/>
      </c>
      <c r="V67" t="str">
        <f>IF(MSE成绩库!C67="","", MSE成绩库!Y67)</f>
        <v/>
      </c>
      <c r="W67" t="str">
        <f>IF(MSE成绩库!C67="","", MSE成绩库!Z67)</f>
        <v/>
      </c>
      <c r="X67" t="str">
        <f>IF(MSE成绩库!C67="","", MSE成绩库!AA67)</f>
        <v/>
      </c>
      <c r="Y67" t="str">
        <f>IF(MSE成绩库!C67="","", MSE成绩库!AB67)</f>
        <v/>
      </c>
      <c r="Z67" t="str">
        <f>IF(MSE成绩库!C67="","", MSE成绩库!AC67)</f>
        <v/>
      </c>
    </row>
    <row r="68" spans="1:26" x14ac:dyDescent="0.2">
      <c r="A68" t="str">
        <f>IF(MSE成绩库!C68="","", MSE成绩库!C68)</f>
        <v/>
      </c>
      <c r="B68" t="str">
        <f>IF(MSE成绩库!AD68="","", MSE成绩库!AD68)</f>
        <v>2024-01-15</v>
      </c>
      <c r="C68" t="str">
        <f>IF(MSE成绩库!B68="","", MSE成绩库!B68)</f>
        <v/>
      </c>
      <c r="D68" t="str">
        <f>IF(MSE成绩库!D68="","", MSE成绩库!D68)</f>
        <v/>
      </c>
      <c r="E68" t="str">
        <f>IF(MSE成绩库!C68="","", MSE成绩库!E68)</f>
        <v/>
      </c>
      <c r="F68" t="str">
        <f>IF(MSE成绩库!C68="","", MSE成绩库!F68)</f>
        <v/>
      </c>
      <c r="G68" t="str">
        <f>IF(MSE成绩库!C68="","", MSE成绩库!G68)</f>
        <v/>
      </c>
      <c r="H68" t="str">
        <f>IF(MSE成绩库!C68="","", MSE成绩库!H68)</f>
        <v/>
      </c>
      <c r="I68" t="str">
        <f>IF(MSE成绩库!C68="","", MSE成绩库!I68)</f>
        <v/>
      </c>
      <c r="J68" t="str">
        <f>IF(MSE成绩库!C68="","", MSE成绩库!J68)</f>
        <v/>
      </c>
      <c r="K68" t="str">
        <f>IF(MSE成绩库!C68="","", MSE成绩库!K68)</f>
        <v/>
      </c>
      <c r="L68" t="str">
        <f>IF(MSE成绩库!C68="","", MSE成绩库!M68)</f>
        <v/>
      </c>
      <c r="M68" t="str">
        <f>IF(MSE成绩库!C68="","", MSE成绩库!N68)</f>
        <v/>
      </c>
      <c r="N68" t="str">
        <f>IF(MSE成绩库!C68="","", MSE成绩库!O68)</f>
        <v/>
      </c>
      <c r="O68" t="str">
        <f>IF(MSE成绩库!C68="","", MSE成绩库!Q68)</f>
        <v/>
      </c>
      <c r="P68" t="str">
        <f>IF(MSE成绩库!C68="","", MSE成绩库!R68)</f>
        <v/>
      </c>
      <c r="Q68" t="str">
        <f>IF(MSE成绩库!C68="","", MSE成绩库!S68)</f>
        <v/>
      </c>
      <c r="R68" t="str">
        <f>IF(MSE成绩库!C68="","", MSE成绩库!T68)</f>
        <v/>
      </c>
      <c r="S68" t="str">
        <f>IF(MSE成绩库!C68="","", MSE成绩库!U68)</f>
        <v/>
      </c>
      <c r="T68" t="str">
        <f>IF(MSE成绩库!C68="","", MSE成绩库!V68)</f>
        <v/>
      </c>
      <c r="U68" t="str">
        <f>IF(MSE成绩库!C68="","", MSE成绩库!X68)</f>
        <v/>
      </c>
      <c r="V68" t="str">
        <f>IF(MSE成绩库!C68="","", MSE成绩库!Y68)</f>
        <v/>
      </c>
      <c r="W68" t="str">
        <f>IF(MSE成绩库!C68="","", MSE成绩库!Z68)</f>
        <v/>
      </c>
      <c r="X68" t="str">
        <f>IF(MSE成绩库!C68="","", MSE成绩库!AA68)</f>
        <v/>
      </c>
      <c r="Y68" t="str">
        <f>IF(MSE成绩库!C68="","", MSE成绩库!AB68)</f>
        <v/>
      </c>
      <c r="Z68" t="str">
        <f>IF(MSE成绩库!C68="","", MSE成绩库!AC68)</f>
        <v/>
      </c>
    </row>
    <row r="69" spans="1:26" x14ac:dyDescent="0.2">
      <c r="A69" t="str">
        <f>IF(MSE成绩库!C69="","", MSE成绩库!C69)</f>
        <v/>
      </c>
      <c r="B69" t="str">
        <f>IF(MSE成绩库!AD69="","", MSE成绩库!AD69)</f>
        <v>2024-01-15</v>
      </c>
      <c r="C69" t="str">
        <f>IF(MSE成绩库!B69="","", MSE成绩库!B69)</f>
        <v/>
      </c>
      <c r="D69" t="str">
        <f>IF(MSE成绩库!D69="","", MSE成绩库!D69)</f>
        <v/>
      </c>
      <c r="E69" t="str">
        <f>IF(MSE成绩库!C69="","", MSE成绩库!E69)</f>
        <v/>
      </c>
      <c r="F69" t="str">
        <f>IF(MSE成绩库!C69="","", MSE成绩库!F69)</f>
        <v/>
      </c>
      <c r="G69" t="str">
        <f>IF(MSE成绩库!C69="","", MSE成绩库!G69)</f>
        <v/>
      </c>
      <c r="H69" t="str">
        <f>IF(MSE成绩库!C69="","", MSE成绩库!H69)</f>
        <v/>
      </c>
      <c r="I69" t="str">
        <f>IF(MSE成绩库!C69="","", MSE成绩库!I69)</f>
        <v/>
      </c>
      <c r="J69" t="str">
        <f>IF(MSE成绩库!C69="","", MSE成绩库!J69)</f>
        <v/>
      </c>
      <c r="K69" t="str">
        <f>IF(MSE成绩库!C69="","", MSE成绩库!K69)</f>
        <v/>
      </c>
      <c r="L69" t="str">
        <f>IF(MSE成绩库!C69="","", MSE成绩库!M69)</f>
        <v/>
      </c>
      <c r="M69" t="str">
        <f>IF(MSE成绩库!C69="","", MSE成绩库!N69)</f>
        <v/>
      </c>
      <c r="N69" t="str">
        <f>IF(MSE成绩库!C69="","", MSE成绩库!O69)</f>
        <v/>
      </c>
      <c r="O69" t="str">
        <f>IF(MSE成绩库!C69="","", MSE成绩库!Q69)</f>
        <v/>
      </c>
      <c r="P69" t="str">
        <f>IF(MSE成绩库!C69="","", MSE成绩库!R69)</f>
        <v/>
      </c>
      <c r="Q69" t="str">
        <f>IF(MSE成绩库!C69="","", MSE成绩库!S69)</f>
        <v/>
      </c>
      <c r="R69" t="str">
        <f>IF(MSE成绩库!C69="","", MSE成绩库!T69)</f>
        <v/>
      </c>
      <c r="S69" t="str">
        <f>IF(MSE成绩库!C69="","", MSE成绩库!U69)</f>
        <v/>
      </c>
      <c r="T69" t="str">
        <f>IF(MSE成绩库!C69="","", MSE成绩库!V69)</f>
        <v/>
      </c>
      <c r="U69" t="str">
        <f>IF(MSE成绩库!C69="","", MSE成绩库!X69)</f>
        <v/>
      </c>
      <c r="V69" t="str">
        <f>IF(MSE成绩库!C69="","", MSE成绩库!Y69)</f>
        <v/>
      </c>
      <c r="W69" t="str">
        <f>IF(MSE成绩库!C69="","", MSE成绩库!Z69)</f>
        <v/>
      </c>
      <c r="X69" t="str">
        <f>IF(MSE成绩库!C69="","", MSE成绩库!AA69)</f>
        <v/>
      </c>
      <c r="Y69" t="str">
        <f>IF(MSE成绩库!C69="","", MSE成绩库!AB69)</f>
        <v/>
      </c>
      <c r="Z69" t="str">
        <f>IF(MSE成绩库!C69="","", MSE成绩库!AC69)</f>
        <v/>
      </c>
    </row>
    <row r="70" spans="1:26" x14ac:dyDescent="0.2">
      <c r="A70" t="str">
        <f>IF(MSE成绩库!C70="","", MSE成绩库!C70)</f>
        <v/>
      </c>
      <c r="B70" t="str">
        <f>IF(MSE成绩库!AD70="","", MSE成绩库!AD70)</f>
        <v>2024-01-15</v>
      </c>
      <c r="C70" t="str">
        <f>IF(MSE成绩库!B70="","", MSE成绩库!B70)</f>
        <v/>
      </c>
      <c r="D70" t="str">
        <f>IF(MSE成绩库!D70="","", MSE成绩库!D70)</f>
        <v/>
      </c>
      <c r="E70" t="str">
        <f>IF(MSE成绩库!C70="","", MSE成绩库!E70)</f>
        <v/>
      </c>
      <c r="F70" t="str">
        <f>IF(MSE成绩库!C70="","", MSE成绩库!F70)</f>
        <v/>
      </c>
      <c r="G70" t="str">
        <f>IF(MSE成绩库!C70="","", MSE成绩库!G70)</f>
        <v/>
      </c>
      <c r="H70" t="str">
        <f>IF(MSE成绩库!C70="","", MSE成绩库!H70)</f>
        <v/>
      </c>
      <c r="I70" t="str">
        <f>IF(MSE成绩库!C70="","", MSE成绩库!I70)</f>
        <v/>
      </c>
      <c r="J70" t="str">
        <f>IF(MSE成绩库!C70="","", MSE成绩库!J70)</f>
        <v/>
      </c>
      <c r="K70" t="str">
        <f>IF(MSE成绩库!C70="","", MSE成绩库!K70)</f>
        <v/>
      </c>
      <c r="L70" t="str">
        <f>IF(MSE成绩库!C70="","", MSE成绩库!M70)</f>
        <v/>
      </c>
      <c r="M70" t="str">
        <f>IF(MSE成绩库!C70="","", MSE成绩库!N70)</f>
        <v/>
      </c>
      <c r="N70" t="str">
        <f>IF(MSE成绩库!C70="","", MSE成绩库!O70)</f>
        <v/>
      </c>
      <c r="O70" t="str">
        <f>IF(MSE成绩库!C70="","", MSE成绩库!Q70)</f>
        <v/>
      </c>
      <c r="P70" t="str">
        <f>IF(MSE成绩库!C70="","", MSE成绩库!R70)</f>
        <v/>
      </c>
      <c r="Q70" t="str">
        <f>IF(MSE成绩库!C70="","", MSE成绩库!S70)</f>
        <v/>
      </c>
      <c r="R70" t="str">
        <f>IF(MSE成绩库!C70="","", MSE成绩库!T70)</f>
        <v/>
      </c>
      <c r="S70" t="str">
        <f>IF(MSE成绩库!C70="","", MSE成绩库!U70)</f>
        <v/>
      </c>
      <c r="T70" t="str">
        <f>IF(MSE成绩库!C70="","", MSE成绩库!V70)</f>
        <v/>
      </c>
      <c r="U70" t="str">
        <f>IF(MSE成绩库!C70="","", MSE成绩库!X70)</f>
        <v/>
      </c>
      <c r="V70" t="str">
        <f>IF(MSE成绩库!C70="","", MSE成绩库!Y70)</f>
        <v/>
      </c>
      <c r="W70" t="str">
        <f>IF(MSE成绩库!C70="","", MSE成绩库!Z70)</f>
        <v/>
      </c>
      <c r="X70" t="str">
        <f>IF(MSE成绩库!C70="","", MSE成绩库!AA70)</f>
        <v/>
      </c>
      <c r="Y70" t="str">
        <f>IF(MSE成绩库!C70="","", MSE成绩库!AB70)</f>
        <v/>
      </c>
      <c r="Z70" t="str">
        <f>IF(MSE成绩库!C70="","", MSE成绩库!AC70)</f>
        <v/>
      </c>
    </row>
    <row r="71" spans="1:26" x14ac:dyDescent="0.2">
      <c r="A71" t="str">
        <f>IF(MSE成绩库!C71="","", MSE成绩库!C71)</f>
        <v/>
      </c>
      <c r="B71" t="str">
        <f>IF(MSE成绩库!AD71="","", MSE成绩库!AD71)</f>
        <v>2024-01-15</v>
      </c>
      <c r="C71" t="str">
        <f>IF(MSE成绩库!B71="","", MSE成绩库!B71)</f>
        <v/>
      </c>
      <c r="D71" t="str">
        <f>IF(MSE成绩库!D71="","", MSE成绩库!D71)</f>
        <v/>
      </c>
      <c r="E71" t="str">
        <f>IF(MSE成绩库!C71="","", MSE成绩库!E71)</f>
        <v/>
      </c>
      <c r="F71" t="str">
        <f>IF(MSE成绩库!C71="","", MSE成绩库!F71)</f>
        <v/>
      </c>
      <c r="G71" t="str">
        <f>IF(MSE成绩库!C71="","", MSE成绩库!G71)</f>
        <v/>
      </c>
      <c r="H71" t="str">
        <f>IF(MSE成绩库!C71="","", MSE成绩库!H71)</f>
        <v/>
      </c>
      <c r="I71" t="str">
        <f>IF(MSE成绩库!C71="","", MSE成绩库!I71)</f>
        <v/>
      </c>
      <c r="J71" t="str">
        <f>IF(MSE成绩库!C71="","", MSE成绩库!J71)</f>
        <v/>
      </c>
      <c r="K71" t="str">
        <f>IF(MSE成绩库!C71="","", MSE成绩库!K71)</f>
        <v/>
      </c>
      <c r="L71" t="str">
        <f>IF(MSE成绩库!C71="","", MSE成绩库!M71)</f>
        <v/>
      </c>
      <c r="M71" t="str">
        <f>IF(MSE成绩库!C71="","", MSE成绩库!N71)</f>
        <v/>
      </c>
      <c r="N71" t="str">
        <f>IF(MSE成绩库!C71="","", MSE成绩库!O71)</f>
        <v/>
      </c>
      <c r="O71" t="str">
        <f>IF(MSE成绩库!C71="","", MSE成绩库!Q71)</f>
        <v/>
      </c>
      <c r="P71" t="str">
        <f>IF(MSE成绩库!C71="","", MSE成绩库!R71)</f>
        <v/>
      </c>
      <c r="Q71" t="str">
        <f>IF(MSE成绩库!C71="","", MSE成绩库!S71)</f>
        <v/>
      </c>
      <c r="R71" t="str">
        <f>IF(MSE成绩库!C71="","", MSE成绩库!T71)</f>
        <v/>
      </c>
      <c r="S71" t="str">
        <f>IF(MSE成绩库!C71="","", MSE成绩库!U71)</f>
        <v/>
      </c>
      <c r="T71" t="str">
        <f>IF(MSE成绩库!C71="","", MSE成绩库!V71)</f>
        <v/>
      </c>
      <c r="U71" t="str">
        <f>IF(MSE成绩库!C71="","", MSE成绩库!X71)</f>
        <v/>
      </c>
      <c r="V71" t="str">
        <f>IF(MSE成绩库!C71="","", MSE成绩库!Y71)</f>
        <v/>
      </c>
      <c r="W71" t="str">
        <f>IF(MSE成绩库!C71="","", MSE成绩库!Z71)</f>
        <v/>
      </c>
      <c r="X71" t="str">
        <f>IF(MSE成绩库!C71="","", MSE成绩库!AA71)</f>
        <v/>
      </c>
      <c r="Y71" t="str">
        <f>IF(MSE成绩库!C71="","", MSE成绩库!AB71)</f>
        <v/>
      </c>
      <c r="Z71" t="str">
        <f>IF(MSE成绩库!C71="","", MSE成绩库!AC71)</f>
        <v/>
      </c>
    </row>
    <row r="72" spans="1:26" x14ac:dyDescent="0.2">
      <c r="A72" t="str">
        <f>IF(MSE成绩库!C72="","", MSE成绩库!C72)</f>
        <v/>
      </c>
      <c r="B72" t="str">
        <f>IF(MSE成绩库!AD72="","", MSE成绩库!AD72)</f>
        <v>2024-01-15</v>
      </c>
      <c r="C72" t="str">
        <f>IF(MSE成绩库!B72="","", MSE成绩库!B72)</f>
        <v/>
      </c>
      <c r="D72" t="str">
        <f>IF(MSE成绩库!D72="","", MSE成绩库!D72)</f>
        <v/>
      </c>
      <c r="E72" t="str">
        <f>IF(MSE成绩库!C72="","", MSE成绩库!E72)</f>
        <v/>
      </c>
      <c r="F72" t="str">
        <f>IF(MSE成绩库!C72="","", MSE成绩库!F72)</f>
        <v/>
      </c>
      <c r="G72" t="str">
        <f>IF(MSE成绩库!C72="","", MSE成绩库!G72)</f>
        <v/>
      </c>
      <c r="H72" t="str">
        <f>IF(MSE成绩库!C72="","", MSE成绩库!H72)</f>
        <v/>
      </c>
      <c r="I72" t="str">
        <f>IF(MSE成绩库!C72="","", MSE成绩库!I72)</f>
        <v/>
      </c>
      <c r="J72" t="str">
        <f>IF(MSE成绩库!C72="","", MSE成绩库!J72)</f>
        <v/>
      </c>
      <c r="K72" t="str">
        <f>IF(MSE成绩库!C72="","", MSE成绩库!K72)</f>
        <v/>
      </c>
      <c r="L72" t="str">
        <f>IF(MSE成绩库!C72="","", MSE成绩库!M72)</f>
        <v/>
      </c>
      <c r="M72" t="str">
        <f>IF(MSE成绩库!C72="","", MSE成绩库!N72)</f>
        <v/>
      </c>
      <c r="N72" t="str">
        <f>IF(MSE成绩库!C72="","", MSE成绩库!O72)</f>
        <v/>
      </c>
      <c r="O72" t="str">
        <f>IF(MSE成绩库!C72="","", MSE成绩库!Q72)</f>
        <v/>
      </c>
      <c r="P72" t="str">
        <f>IF(MSE成绩库!C72="","", MSE成绩库!R72)</f>
        <v/>
      </c>
      <c r="Q72" t="str">
        <f>IF(MSE成绩库!C72="","", MSE成绩库!S72)</f>
        <v/>
      </c>
      <c r="R72" t="str">
        <f>IF(MSE成绩库!C72="","", MSE成绩库!T72)</f>
        <v/>
      </c>
      <c r="S72" t="str">
        <f>IF(MSE成绩库!C72="","", MSE成绩库!U72)</f>
        <v/>
      </c>
      <c r="T72" t="str">
        <f>IF(MSE成绩库!C72="","", MSE成绩库!V72)</f>
        <v/>
      </c>
      <c r="U72" t="str">
        <f>IF(MSE成绩库!C72="","", MSE成绩库!X72)</f>
        <v/>
      </c>
      <c r="V72" t="str">
        <f>IF(MSE成绩库!C72="","", MSE成绩库!Y72)</f>
        <v/>
      </c>
      <c r="W72" t="str">
        <f>IF(MSE成绩库!C72="","", MSE成绩库!Z72)</f>
        <v/>
      </c>
      <c r="X72" t="str">
        <f>IF(MSE成绩库!C72="","", MSE成绩库!AA72)</f>
        <v/>
      </c>
      <c r="Y72" t="str">
        <f>IF(MSE成绩库!C72="","", MSE成绩库!AB72)</f>
        <v/>
      </c>
      <c r="Z72" t="str">
        <f>IF(MSE成绩库!C72="","", MSE成绩库!AC72)</f>
        <v/>
      </c>
    </row>
    <row r="73" spans="1:26" x14ac:dyDescent="0.2">
      <c r="A73" t="str">
        <f>IF(MSE成绩库!C73="","", MSE成绩库!C73)</f>
        <v/>
      </c>
      <c r="B73" t="str">
        <f>IF(MSE成绩库!AD73="","", MSE成绩库!AD73)</f>
        <v>2024-01-15</v>
      </c>
      <c r="C73" t="str">
        <f>IF(MSE成绩库!B73="","", MSE成绩库!B73)</f>
        <v/>
      </c>
      <c r="D73" t="str">
        <f>IF(MSE成绩库!D73="","", MSE成绩库!D73)</f>
        <v/>
      </c>
      <c r="E73" t="str">
        <f>IF(MSE成绩库!C73="","", MSE成绩库!E73)</f>
        <v/>
      </c>
      <c r="F73" t="str">
        <f>IF(MSE成绩库!C73="","", MSE成绩库!F73)</f>
        <v/>
      </c>
      <c r="G73" t="str">
        <f>IF(MSE成绩库!C73="","", MSE成绩库!G73)</f>
        <v/>
      </c>
      <c r="H73" t="str">
        <f>IF(MSE成绩库!C73="","", MSE成绩库!H73)</f>
        <v/>
      </c>
      <c r="I73" t="str">
        <f>IF(MSE成绩库!C73="","", MSE成绩库!I73)</f>
        <v/>
      </c>
      <c r="J73" t="str">
        <f>IF(MSE成绩库!C73="","", MSE成绩库!J73)</f>
        <v/>
      </c>
      <c r="K73" t="str">
        <f>IF(MSE成绩库!C73="","", MSE成绩库!K73)</f>
        <v/>
      </c>
      <c r="L73" t="str">
        <f>IF(MSE成绩库!C73="","", MSE成绩库!M73)</f>
        <v/>
      </c>
      <c r="M73" t="str">
        <f>IF(MSE成绩库!C73="","", MSE成绩库!N73)</f>
        <v/>
      </c>
      <c r="N73" t="str">
        <f>IF(MSE成绩库!C73="","", MSE成绩库!O73)</f>
        <v/>
      </c>
      <c r="O73" t="str">
        <f>IF(MSE成绩库!C73="","", MSE成绩库!Q73)</f>
        <v/>
      </c>
      <c r="P73" t="str">
        <f>IF(MSE成绩库!C73="","", MSE成绩库!R73)</f>
        <v/>
      </c>
      <c r="Q73" t="str">
        <f>IF(MSE成绩库!C73="","", MSE成绩库!S73)</f>
        <v/>
      </c>
      <c r="R73" t="str">
        <f>IF(MSE成绩库!C73="","", MSE成绩库!T73)</f>
        <v/>
      </c>
      <c r="S73" t="str">
        <f>IF(MSE成绩库!C73="","", MSE成绩库!U73)</f>
        <v/>
      </c>
      <c r="T73" t="str">
        <f>IF(MSE成绩库!C73="","", MSE成绩库!V73)</f>
        <v/>
      </c>
      <c r="U73" t="str">
        <f>IF(MSE成绩库!C73="","", MSE成绩库!X73)</f>
        <v/>
      </c>
      <c r="V73" t="str">
        <f>IF(MSE成绩库!C73="","", MSE成绩库!Y73)</f>
        <v/>
      </c>
      <c r="W73" t="str">
        <f>IF(MSE成绩库!C73="","", MSE成绩库!Z73)</f>
        <v/>
      </c>
      <c r="X73" t="str">
        <f>IF(MSE成绩库!C73="","", MSE成绩库!AA73)</f>
        <v/>
      </c>
      <c r="Y73" t="str">
        <f>IF(MSE成绩库!C73="","", MSE成绩库!AB73)</f>
        <v/>
      </c>
      <c r="Z73" t="str">
        <f>IF(MSE成绩库!C73="","", MSE成绩库!AC73)</f>
        <v/>
      </c>
    </row>
    <row r="74" spans="1:26" x14ac:dyDescent="0.2">
      <c r="A74" t="str">
        <f>IF(MSE成绩库!C74="","", MSE成绩库!C74)</f>
        <v/>
      </c>
      <c r="B74" t="str">
        <f>IF(MSE成绩库!AD74="","", MSE成绩库!AD74)</f>
        <v>2024-01-15</v>
      </c>
      <c r="C74" t="str">
        <f>IF(MSE成绩库!B74="","", MSE成绩库!B74)</f>
        <v/>
      </c>
      <c r="D74" t="str">
        <f>IF(MSE成绩库!D74="","", MSE成绩库!D74)</f>
        <v/>
      </c>
      <c r="E74" t="str">
        <f>IF(MSE成绩库!C74="","", MSE成绩库!E74)</f>
        <v/>
      </c>
      <c r="F74" t="str">
        <f>IF(MSE成绩库!C74="","", MSE成绩库!F74)</f>
        <v/>
      </c>
      <c r="G74" t="str">
        <f>IF(MSE成绩库!C74="","", MSE成绩库!G74)</f>
        <v/>
      </c>
      <c r="H74" t="str">
        <f>IF(MSE成绩库!C74="","", MSE成绩库!H74)</f>
        <v/>
      </c>
      <c r="I74" t="str">
        <f>IF(MSE成绩库!C74="","", MSE成绩库!I74)</f>
        <v/>
      </c>
      <c r="J74" t="str">
        <f>IF(MSE成绩库!C74="","", MSE成绩库!J74)</f>
        <v/>
      </c>
      <c r="K74" t="str">
        <f>IF(MSE成绩库!C74="","", MSE成绩库!K74)</f>
        <v/>
      </c>
      <c r="L74" t="str">
        <f>IF(MSE成绩库!C74="","", MSE成绩库!M74)</f>
        <v/>
      </c>
      <c r="M74" t="str">
        <f>IF(MSE成绩库!C74="","", MSE成绩库!N74)</f>
        <v/>
      </c>
      <c r="N74" t="str">
        <f>IF(MSE成绩库!C74="","", MSE成绩库!O74)</f>
        <v/>
      </c>
      <c r="O74" t="str">
        <f>IF(MSE成绩库!C74="","", MSE成绩库!Q74)</f>
        <v/>
      </c>
      <c r="P74" t="str">
        <f>IF(MSE成绩库!C74="","", MSE成绩库!R74)</f>
        <v/>
      </c>
      <c r="Q74" t="str">
        <f>IF(MSE成绩库!C74="","", MSE成绩库!S74)</f>
        <v/>
      </c>
      <c r="R74" t="str">
        <f>IF(MSE成绩库!C74="","", MSE成绩库!T74)</f>
        <v/>
      </c>
      <c r="S74" t="str">
        <f>IF(MSE成绩库!C74="","", MSE成绩库!U74)</f>
        <v/>
      </c>
      <c r="T74" t="str">
        <f>IF(MSE成绩库!C74="","", MSE成绩库!V74)</f>
        <v/>
      </c>
      <c r="U74" t="str">
        <f>IF(MSE成绩库!C74="","", MSE成绩库!X74)</f>
        <v/>
      </c>
      <c r="V74" t="str">
        <f>IF(MSE成绩库!C74="","", MSE成绩库!Y74)</f>
        <v/>
      </c>
      <c r="W74" t="str">
        <f>IF(MSE成绩库!C74="","", MSE成绩库!Z74)</f>
        <v/>
      </c>
      <c r="X74" t="str">
        <f>IF(MSE成绩库!C74="","", MSE成绩库!AA74)</f>
        <v/>
      </c>
      <c r="Y74" t="str">
        <f>IF(MSE成绩库!C74="","", MSE成绩库!AB74)</f>
        <v/>
      </c>
      <c r="Z74" t="str">
        <f>IF(MSE成绩库!C74="","", MSE成绩库!AC74)</f>
        <v/>
      </c>
    </row>
    <row r="75" spans="1:26" x14ac:dyDescent="0.2">
      <c r="A75" t="str">
        <f>IF(MSE成绩库!C75="","", MSE成绩库!C75)</f>
        <v/>
      </c>
      <c r="B75" t="str">
        <f>IF(MSE成绩库!AD75="","", MSE成绩库!AD75)</f>
        <v/>
      </c>
      <c r="C75" t="str">
        <f>IF(MSE成绩库!B75="","", MSE成绩库!B75)</f>
        <v/>
      </c>
      <c r="D75" t="str">
        <f>IF(MSE成绩库!D75="","", MSE成绩库!D75)</f>
        <v/>
      </c>
      <c r="E75" t="str">
        <f>IF(MSE成绩库!C75="","", MSE成绩库!E75)</f>
        <v/>
      </c>
      <c r="F75" t="str">
        <f>IF(MSE成绩库!C75="","", MSE成绩库!F75)</f>
        <v/>
      </c>
      <c r="G75" t="str">
        <f>IF(MSE成绩库!C75="","", MSE成绩库!G75)</f>
        <v/>
      </c>
      <c r="H75" t="str">
        <f>IF(MSE成绩库!C75="","", MSE成绩库!H75)</f>
        <v/>
      </c>
      <c r="I75" t="str">
        <f>IF(MSE成绩库!C75="","", MSE成绩库!I75)</f>
        <v/>
      </c>
      <c r="J75" t="str">
        <f>IF(MSE成绩库!C75="","", MSE成绩库!J75)</f>
        <v/>
      </c>
      <c r="K75" t="str">
        <f>IF(MSE成绩库!C75="","", MSE成绩库!K75)</f>
        <v/>
      </c>
      <c r="L75" t="str">
        <f>IF(MSE成绩库!C75="","", MSE成绩库!M75)</f>
        <v/>
      </c>
      <c r="M75" t="str">
        <f>IF(MSE成绩库!C75="","", MSE成绩库!N75)</f>
        <v/>
      </c>
      <c r="N75" t="str">
        <f>IF(MSE成绩库!C75="","", MSE成绩库!O75)</f>
        <v/>
      </c>
      <c r="O75" t="str">
        <f>IF(MSE成绩库!C75="","", MSE成绩库!Q75)</f>
        <v/>
      </c>
      <c r="P75" t="str">
        <f>IF(MSE成绩库!C75="","", MSE成绩库!R75)</f>
        <v/>
      </c>
      <c r="Q75" t="str">
        <f>IF(MSE成绩库!C75="","", MSE成绩库!S75)</f>
        <v/>
      </c>
      <c r="R75" t="str">
        <f>IF(MSE成绩库!C75="","", MSE成绩库!T75)</f>
        <v/>
      </c>
      <c r="S75" t="str">
        <f>IF(MSE成绩库!C75="","", MSE成绩库!U75)</f>
        <v/>
      </c>
      <c r="T75" t="str">
        <f>IF(MSE成绩库!C75="","", MSE成绩库!V75)</f>
        <v/>
      </c>
      <c r="U75" t="str">
        <f>IF(MSE成绩库!C75="","", MSE成绩库!X75)</f>
        <v/>
      </c>
      <c r="V75" t="str">
        <f>IF(MSE成绩库!C75="","", MSE成绩库!Y75)</f>
        <v/>
      </c>
      <c r="W75" t="str">
        <f>IF(MSE成绩库!C75="","", MSE成绩库!Z75)</f>
        <v/>
      </c>
      <c r="X75" t="str">
        <f>IF(MSE成绩库!C75="","", MSE成绩库!AA75)</f>
        <v/>
      </c>
      <c r="Y75" t="str">
        <f>IF(MSE成绩库!C75="","", MSE成绩库!AB75)</f>
        <v/>
      </c>
      <c r="Z75" t="str">
        <f>IF(MSE成绩库!C75="","", MSE成绩库!AC75)</f>
        <v/>
      </c>
    </row>
    <row r="76" spans="1:26" x14ac:dyDescent="0.2">
      <c r="A76" t="str">
        <f>IF(MSE成绩库!C76="","", MSE成绩库!C76)</f>
        <v/>
      </c>
      <c r="B76" t="str">
        <f>IF(MSE成绩库!AD76="","", MSE成绩库!AD76)</f>
        <v/>
      </c>
      <c r="C76" t="str">
        <f>IF(MSE成绩库!B76="","", MSE成绩库!B76)</f>
        <v/>
      </c>
      <c r="D76" t="str">
        <f>IF(MSE成绩库!D76="","", MSE成绩库!D76)</f>
        <v/>
      </c>
      <c r="E76" t="str">
        <f>IF(MSE成绩库!C76="","", MSE成绩库!E76)</f>
        <v/>
      </c>
      <c r="F76" t="str">
        <f>IF(MSE成绩库!C76="","", MSE成绩库!F76)</f>
        <v/>
      </c>
      <c r="G76" t="str">
        <f>IF(MSE成绩库!C76="","", MSE成绩库!G76)</f>
        <v/>
      </c>
      <c r="H76" t="str">
        <f>IF(MSE成绩库!C76="","", MSE成绩库!H76)</f>
        <v/>
      </c>
      <c r="I76" t="str">
        <f>IF(MSE成绩库!C76="","", MSE成绩库!I76)</f>
        <v/>
      </c>
      <c r="J76" t="str">
        <f>IF(MSE成绩库!C76="","", MSE成绩库!J76)</f>
        <v/>
      </c>
      <c r="K76" t="str">
        <f>IF(MSE成绩库!C76="","", MSE成绩库!K76)</f>
        <v/>
      </c>
      <c r="L76" t="str">
        <f>IF(MSE成绩库!C76="","", MSE成绩库!M76)</f>
        <v/>
      </c>
      <c r="M76" t="str">
        <f>IF(MSE成绩库!C76="","", MSE成绩库!N76)</f>
        <v/>
      </c>
      <c r="N76" t="str">
        <f>IF(MSE成绩库!C76="","", MSE成绩库!O76)</f>
        <v/>
      </c>
      <c r="O76" t="str">
        <f>IF(MSE成绩库!C76="","", MSE成绩库!Q76)</f>
        <v/>
      </c>
      <c r="P76" t="str">
        <f>IF(MSE成绩库!C76="","", MSE成绩库!R76)</f>
        <v/>
      </c>
      <c r="Q76" t="str">
        <f>IF(MSE成绩库!C76="","", MSE成绩库!S76)</f>
        <v/>
      </c>
      <c r="R76" t="str">
        <f>IF(MSE成绩库!C76="","", MSE成绩库!T76)</f>
        <v/>
      </c>
      <c r="S76" t="str">
        <f>IF(MSE成绩库!C76="","", MSE成绩库!U76)</f>
        <v/>
      </c>
      <c r="T76" t="str">
        <f>IF(MSE成绩库!C76="","", MSE成绩库!V76)</f>
        <v/>
      </c>
      <c r="U76" t="str">
        <f>IF(MSE成绩库!C76="","", MSE成绩库!X76)</f>
        <v/>
      </c>
      <c r="V76" t="str">
        <f>IF(MSE成绩库!C76="","", MSE成绩库!Y76)</f>
        <v/>
      </c>
      <c r="W76" t="str">
        <f>IF(MSE成绩库!C76="","", MSE成绩库!Z76)</f>
        <v/>
      </c>
      <c r="X76" t="str">
        <f>IF(MSE成绩库!C76="","", MSE成绩库!AA76)</f>
        <v/>
      </c>
      <c r="Y76" t="str">
        <f>IF(MSE成绩库!C76="","", MSE成绩库!AB76)</f>
        <v/>
      </c>
      <c r="Z76" t="str">
        <f>IF(MSE成绩库!C76="","", MSE成绩库!AC76)</f>
        <v/>
      </c>
    </row>
    <row r="77" spans="1:26" x14ac:dyDescent="0.2">
      <c r="A77" t="str">
        <f>IF(MSE成绩库!C77="","", MSE成绩库!C77)</f>
        <v/>
      </c>
      <c r="B77" t="str">
        <f>IF(MSE成绩库!AD77="","", MSE成绩库!AD77)</f>
        <v/>
      </c>
      <c r="C77" t="str">
        <f>IF(MSE成绩库!B77="","", MSE成绩库!B77)</f>
        <v/>
      </c>
      <c r="D77" t="str">
        <f>IF(MSE成绩库!D77="","", MSE成绩库!D77)</f>
        <v/>
      </c>
      <c r="E77" t="str">
        <f>IF(MSE成绩库!C77="","", MSE成绩库!E77)</f>
        <v/>
      </c>
      <c r="F77" t="str">
        <f>IF(MSE成绩库!C77="","", MSE成绩库!F77)</f>
        <v/>
      </c>
      <c r="G77" t="str">
        <f>IF(MSE成绩库!C77="","", MSE成绩库!G77)</f>
        <v/>
      </c>
      <c r="H77" t="str">
        <f>IF(MSE成绩库!C77="","", MSE成绩库!H77)</f>
        <v/>
      </c>
      <c r="I77" t="str">
        <f>IF(MSE成绩库!C77="","", MSE成绩库!I77)</f>
        <v/>
      </c>
      <c r="J77" t="str">
        <f>IF(MSE成绩库!C77="","", MSE成绩库!J77)</f>
        <v/>
      </c>
      <c r="K77" t="str">
        <f>IF(MSE成绩库!C77="","", MSE成绩库!K77)</f>
        <v/>
      </c>
      <c r="L77" t="str">
        <f>IF(MSE成绩库!C77="","", MSE成绩库!M77)</f>
        <v/>
      </c>
      <c r="M77" t="str">
        <f>IF(MSE成绩库!C77="","", MSE成绩库!N77)</f>
        <v/>
      </c>
      <c r="N77" t="str">
        <f>IF(MSE成绩库!C77="","", MSE成绩库!O77)</f>
        <v/>
      </c>
      <c r="O77" t="str">
        <f>IF(MSE成绩库!C77="","", MSE成绩库!Q77)</f>
        <v/>
      </c>
      <c r="P77" t="str">
        <f>IF(MSE成绩库!C77="","", MSE成绩库!R77)</f>
        <v/>
      </c>
      <c r="Q77" t="str">
        <f>IF(MSE成绩库!C77="","", MSE成绩库!S77)</f>
        <v/>
      </c>
      <c r="R77" t="str">
        <f>IF(MSE成绩库!C77="","", MSE成绩库!T77)</f>
        <v/>
      </c>
      <c r="S77" t="str">
        <f>IF(MSE成绩库!C77="","", MSE成绩库!U77)</f>
        <v/>
      </c>
      <c r="T77" t="str">
        <f>IF(MSE成绩库!C77="","", MSE成绩库!V77)</f>
        <v/>
      </c>
      <c r="U77" t="str">
        <f>IF(MSE成绩库!C77="","", MSE成绩库!X77)</f>
        <v/>
      </c>
      <c r="V77" t="str">
        <f>IF(MSE成绩库!C77="","", MSE成绩库!Y77)</f>
        <v/>
      </c>
      <c r="W77" t="str">
        <f>IF(MSE成绩库!C77="","", MSE成绩库!Z77)</f>
        <v/>
      </c>
      <c r="X77" t="str">
        <f>IF(MSE成绩库!C77="","", MSE成绩库!AA77)</f>
        <v/>
      </c>
      <c r="Y77" t="str">
        <f>IF(MSE成绩库!C77="","", MSE成绩库!AB77)</f>
        <v/>
      </c>
      <c r="Z77" t="str">
        <f>IF(MSE成绩库!C77="","", MSE成绩库!AC77)</f>
        <v/>
      </c>
    </row>
    <row r="78" spans="1:26" x14ac:dyDescent="0.2">
      <c r="A78" t="str">
        <f>IF(MSE成绩库!C78="","", MSE成绩库!C78)</f>
        <v/>
      </c>
      <c r="B78" t="str">
        <f>IF(MSE成绩库!AD78="","", MSE成绩库!AD78)</f>
        <v/>
      </c>
      <c r="C78" t="str">
        <f>IF(MSE成绩库!B78="","", MSE成绩库!B78)</f>
        <v/>
      </c>
      <c r="D78" t="str">
        <f>IF(MSE成绩库!D78="","", MSE成绩库!D78)</f>
        <v/>
      </c>
      <c r="E78" t="str">
        <f>IF(MSE成绩库!C78="","", MSE成绩库!E78)</f>
        <v/>
      </c>
      <c r="F78" t="str">
        <f>IF(MSE成绩库!C78="","", MSE成绩库!F78)</f>
        <v/>
      </c>
      <c r="G78" t="str">
        <f>IF(MSE成绩库!C78="","", MSE成绩库!G78)</f>
        <v/>
      </c>
      <c r="H78" t="str">
        <f>IF(MSE成绩库!C78="","", MSE成绩库!H78)</f>
        <v/>
      </c>
      <c r="I78" t="str">
        <f>IF(MSE成绩库!C78="","", MSE成绩库!I78)</f>
        <v/>
      </c>
      <c r="J78" t="str">
        <f>IF(MSE成绩库!C78="","", MSE成绩库!J78)</f>
        <v/>
      </c>
      <c r="K78" t="str">
        <f>IF(MSE成绩库!C78="","", MSE成绩库!K78)</f>
        <v/>
      </c>
      <c r="L78" t="str">
        <f>IF(MSE成绩库!C78="","", MSE成绩库!M78)</f>
        <v/>
      </c>
      <c r="M78" t="str">
        <f>IF(MSE成绩库!C78="","", MSE成绩库!N78)</f>
        <v/>
      </c>
      <c r="N78" t="str">
        <f>IF(MSE成绩库!C78="","", MSE成绩库!O78)</f>
        <v/>
      </c>
      <c r="O78" t="str">
        <f>IF(MSE成绩库!C78="","", MSE成绩库!Q78)</f>
        <v/>
      </c>
      <c r="P78" t="str">
        <f>IF(MSE成绩库!C78="","", MSE成绩库!R78)</f>
        <v/>
      </c>
      <c r="Q78" t="str">
        <f>IF(MSE成绩库!C78="","", MSE成绩库!S78)</f>
        <v/>
      </c>
      <c r="R78" t="str">
        <f>IF(MSE成绩库!C78="","", MSE成绩库!T78)</f>
        <v/>
      </c>
      <c r="S78" t="str">
        <f>IF(MSE成绩库!C78="","", MSE成绩库!U78)</f>
        <v/>
      </c>
      <c r="T78" t="str">
        <f>IF(MSE成绩库!C78="","", MSE成绩库!V78)</f>
        <v/>
      </c>
      <c r="U78" t="str">
        <f>IF(MSE成绩库!C78="","", MSE成绩库!X78)</f>
        <v/>
      </c>
      <c r="V78" t="str">
        <f>IF(MSE成绩库!C78="","", MSE成绩库!Y78)</f>
        <v/>
      </c>
      <c r="W78" t="str">
        <f>IF(MSE成绩库!C78="","", MSE成绩库!Z78)</f>
        <v/>
      </c>
      <c r="X78" t="str">
        <f>IF(MSE成绩库!C78="","", MSE成绩库!AA78)</f>
        <v/>
      </c>
      <c r="Y78" t="str">
        <f>IF(MSE成绩库!C78="","", MSE成绩库!AB78)</f>
        <v/>
      </c>
      <c r="Z78" t="str">
        <f>IF(MSE成绩库!C78="","", MSE成绩库!AC78)</f>
        <v/>
      </c>
    </row>
    <row r="79" spans="1:26" x14ac:dyDescent="0.2">
      <c r="A79" t="str">
        <f>IF(MSE成绩库!C79="","", MSE成绩库!C79)</f>
        <v/>
      </c>
      <c r="B79" t="str">
        <f>IF(MSE成绩库!AD79="","", MSE成绩库!AD79)</f>
        <v/>
      </c>
      <c r="C79" t="str">
        <f>IF(MSE成绩库!B79="","", MSE成绩库!B79)</f>
        <v/>
      </c>
      <c r="D79" t="str">
        <f>IF(MSE成绩库!D79="","", MSE成绩库!D79)</f>
        <v/>
      </c>
      <c r="E79" t="str">
        <f>IF(MSE成绩库!C79="","", MSE成绩库!E79)</f>
        <v/>
      </c>
      <c r="F79" t="str">
        <f>IF(MSE成绩库!C79="","", MSE成绩库!F79)</f>
        <v/>
      </c>
      <c r="G79" t="str">
        <f>IF(MSE成绩库!C79="","", MSE成绩库!G79)</f>
        <v/>
      </c>
      <c r="H79" t="str">
        <f>IF(MSE成绩库!C79="","", MSE成绩库!H79)</f>
        <v/>
      </c>
      <c r="I79" t="str">
        <f>IF(MSE成绩库!C79="","", MSE成绩库!I79)</f>
        <v/>
      </c>
      <c r="J79" t="str">
        <f>IF(MSE成绩库!C79="","", MSE成绩库!J79)</f>
        <v/>
      </c>
      <c r="K79" t="str">
        <f>IF(MSE成绩库!C79="","", MSE成绩库!K79)</f>
        <v/>
      </c>
      <c r="L79" t="str">
        <f>IF(MSE成绩库!C79="","", MSE成绩库!M79)</f>
        <v/>
      </c>
      <c r="M79" t="str">
        <f>IF(MSE成绩库!C79="","", MSE成绩库!N79)</f>
        <v/>
      </c>
      <c r="N79" t="str">
        <f>IF(MSE成绩库!C79="","", MSE成绩库!O79)</f>
        <v/>
      </c>
      <c r="O79" t="str">
        <f>IF(MSE成绩库!C79="","", MSE成绩库!Q79)</f>
        <v/>
      </c>
      <c r="P79" t="str">
        <f>IF(MSE成绩库!C79="","", MSE成绩库!R79)</f>
        <v/>
      </c>
      <c r="Q79" t="str">
        <f>IF(MSE成绩库!C79="","", MSE成绩库!S79)</f>
        <v/>
      </c>
      <c r="R79" t="str">
        <f>IF(MSE成绩库!C79="","", MSE成绩库!T79)</f>
        <v/>
      </c>
      <c r="S79" t="str">
        <f>IF(MSE成绩库!C79="","", MSE成绩库!U79)</f>
        <v/>
      </c>
      <c r="T79" t="str">
        <f>IF(MSE成绩库!C79="","", MSE成绩库!V79)</f>
        <v/>
      </c>
      <c r="U79" t="str">
        <f>IF(MSE成绩库!C79="","", MSE成绩库!X79)</f>
        <v/>
      </c>
      <c r="V79" t="str">
        <f>IF(MSE成绩库!C79="","", MSE成绩库!Y79)</f>
        <v/>
      </c>
      <c r="W79" t="str">
        <f>IF(MSE成绩库!C79="","", MSE成绩库!Z79)</f>
        <v/>
      </c>
      <c r="X79" t="str">
        <f>IF(MSE成绩库!C79="","", MSE成绩库!AA79)</f>
        <v/>
      </c>
      <c r="Y79" t="str">
        <f>IF(MSE成绩库!C79="","", MSE成绩库!AB79)</f>
        <v/>
      </c>
      <c r="Z79" t="str">
        <f>IF(MSE成绩库!C79="","", MSE成绩库!AC79)</f>
        <v/>
      </c>
    </row>
    <row r="80" spans="1:26" x14ac:dyDescent="0.2">
      <c r="A80" t="str">
        <f>IF(MSE成绩库!C80="","", MSE成绩库!C80)</f>
        <v/>
      </c>
      <c r="B80" t="str">
        <f>IF(MSE成绩库!AD80="","", MSE成绩库!AD80)</f>
        <v/>
      </c>
      <c r="C80" t="str">
        <f>IF(MSE成绩库!B80="","", MSE成绩库!B80)</f>
        <v/>
      </c>
      <c r="D80" t="str">
        <f>IF(MSE成绩库!D80="","", MSE成绩库!D80)</f>
        <v/>
      </c>
      <c r="E80" t="str">
        <f>IF(MSE成绩库!C80="","", MSE成绩库!E80)</f>
        <v/>
      </c>
      <c r="F80" t="str">
        <f>IF(MSE成绩库!C80="","", MSE成绩库!F80)</f>
        <v/>
      </c>
      <c r="G80" t="str">
        <f>IF(MSE成绩库!C80="","", MSE成绩库!G80)</f>
        <v/>
      </c>
      <c r="H80" t="str">
        <f>IF(MSE成绩库!C80="","", MSE成绩库!H80)</f>
        <v/>
      </c>
      <c r="I80" t="str">
        <f>IF(MSE成绩库!C80="","", MSE成绩库!I80)</f>
        <v/>
      </c>
      <c r="J80" t="str">
        <f>IF(MSE成绩库!C80="","", MSE成绩库!J80)</f>
        <v/>
      </c>
      <c r="K80" t="str">
        <f>IF(MSE成绩库!C80="","", MSE成绩库!K80)</f>
        <v/>
      </c>
      <c r="L80" t="str">
        <f>IF(MSE成绩库!C80="","", MSE成绩库!M80)</f>
        <v/>
      </c>
      <c r="M80" t="str">
        <f>IF(MSE成绩库!C80="","", MSE成绩库!N80)</f>
        <v/>
      </c>
      <c r="N80" t="str">
        <f>IF(MSE成绩库!C80="","", MSE成绩库!O80)</f>
        <v/>
      </c>
      <c r="O80" t="str">
        <f>IF(MSE成绩库!C80="","", MSE成绩库!Q80)</f>
        <v/>
      </c>
      <c r="P80" t="str">
        <f>IF(MSE成绩库!C80="","", MSE成绩库!R80)</f>
        <v/>
      </c>
      <c r="Q80" t="str">
        <f>IF(MSE成绩库!C80="","", MSE成绩库!S80)</f>
        <v/>
      </c>
      <c r="R80" t="str">
        <f>IF(MSE成绩库!C80="","", MSE成绩库!T80)</f>
        <v/>
      </c>
      <c r="S80" t="str">
        <f>IF(MSE成绩库!C80="","", MSE成绩库!U80)</f>
        <v/>
      </c>
      <c r="T80" t="str">
        <f>IF(MSE成绩库!C80="","", MSE成绩库!V80)</f>
        <v/>
      </c>
      <c r="U80" t="str">
        <f>IF(MSE成绩库!C80="","", MSE成绩库!X80)</f>
        <v/>
      </c>
      <c r="V80" t="str">
        <f>IF(MSE成绩库!C80="","", MSE成绩库!Y80)</f>
        <v/>
      </c>
      <c r="W80" t="str">
        <f>IF(MSE成绩库!C80="","", MSE成绩库!Z80)</f>
        <v/>
      </c>
      <c r="X80" t="str">
        <f>IF(MSE成绩库!C80="","", MSE成绩库!AA80)</f>
        <v/>
      </c>
      <c r="Y80" t="str">
        <f>IF(MSE成绩库!C80="","", MSE成绩库!AB80)</f>
        <v/>
      </c>
      <c r="Z80" t="str">
        <f>IF(MSE成绩库!C80="","", MSE成绩库!AC80)</f>
        <v/>
      </c>
    </row>
    <row r="81" spans="1:26" x14ac:dyDescent="0.2">
      <c r="A81" t="str">
        <f>IF(MSE成绩库!C81="","", MSE成绩库!C81)</f>
        <v/>
      </c>
      <c r="B81" t="str">
        <f>IF(MSE成绩库!AD81="","", MSE成绩库!AD81)</f>
        <v/>
      </c>
      <c r="C81" t="str">
        <f>IF(MSE成绩库!B81="","", MSE成绩库!B81)</f>
        <v/>
      </c>
      <c r="D81" t="str">
        <f>IF(MSE成绩库!D81="","", MSE成绩库!D81)</f>
        <v/>
      </c>
      <c r="E81" t="str">
        <f>IF(MSE成绩库!C81="","", MSE成绩库!E81)</f>
        <v/>
      </c>
      <c r="F81" t="str">
        <f>IF(MSE成绩库!C81="","", MSE成绩库!F81)</f>
        <v/>
      </c>
      <c r="G81" t="str">
        <f>IF(MSE成绩库!C81="","", MSE成绩库!G81)</f>
        <v/>
      </c>
      <c r="H81" t="str">
        <f>IF(MSE成绩库!C81="","", MSE成绩库!H81)</f>
        <v/>
      </c>
      <c r="I81" t="str">
        <f>IF(MSE成绩库!C81="","", MSE成绩库!I81)</f>
        <v/>
      </c>
      <c r="J81" t="str">
        <f>IF(MSE成绩库!C81="","", MSE成绩库!J81)</f>
        <v/>
      </c>
      <c r="K81" t="str">
        <f>IF(MSE成绩库!C81="","", MSE成绩库!K81)</f>
        <v/>
      </c>
      <c r="L81" t="str">
        <f>IF(MSE成绩库!C81="","", MSE成绩库!M81)</f>
        <v/>
      </c>
      <c r="M81" t="str">
        <f>IF(MSE成绩库!C81="","", MSE成绩库!N81)</f>
        <v/>
      </c>
      <c r="N81" t="str">
        <f>IF(MSE成绩库!C81="","", MSE成绩库!O81)</f>
        <v/>
      </c>
      <c r="O81" t="str">
        <f>IF(MSE成绩库!C81="","", MSE成绩库!Q81)</f>
        <v/>
      </c>
      <c r="P81" t="str">
        <f>IF(MSE成绩库!C81="","", MSE成绩库!R81)</f>
        <v/>
      </c>
      <c r="Q81" t="str">
        <f>IF(MSE成绩库!C81="","", MSE成绩库!S81)</f>
        <v/>
      </c>
      <c r="R81" t="str">
        <f>IF(MSE成绩库!C81="","", MSE成绩库!T81)</f>
        <v/>
      </c>
      <c r="S81" t="str">
        <f>IF(MSE成绩库!C81="","", MSE成绩库!U81)</f>
        <v/>
      </c>
      <c r="T81" t="str">
        <f>IF(MSE成绩库!C81="","", MSE成绩库!V81)</f>
        <v/>
      </c>
      <c r="U81" t="str">
        <f>IF(MSE成绩库!C81="","", MSE成绩库!X81)</f>
        <v/>
      </c>
      <c r="V81" t="str">
        <f>IF(MSE成绩库!C81="","", MSE成绩库!Y81)</f>
        <v/>
      </c>
      <c r="W81" t="str">
        <f>IF(MSE成绩库!C81="","", MSE成绩库!Z81)</f>
        <v/>
      </c>
      <c r="X81" t="str">
        <f>IF(MSE成绩库!C81="","", MSE成绩库!AA81)</f>
        <v/>
      </c>
      <c r="Y81" t="str">
        <f>IF(MSE成绩库!C81="","", MSE成绩库!AB81)</f>
        <v/>
      </c>
      <c r="Z81" t="str">
        <f>IF(MSE成绩库!C81="","", MSE成绩库!AC81)</f>
        <v/>
      </c>
    </row>
    <row r="82" spans="1:26" x14ac:dyDescent="0.2">
      <c r="A82" t="str">
        <f>IF(MSE成绩库!C82="","", MSE成绩库!C82)</f>
        <v/>
      </c>
      <c r="B82" t="str">
        <f>IF(MSE成绩库!AD82="","", MSE成绩库!AD82)</f>
        <v/>
      </c>
      <c r="C82" t="str">
        <f>IF(MSE成绩库!B82="","", MSE成绩库!B82)</f>
        <v/>
      </c>
      <c r="D82" t="str">
        <f>IF(MSE成绩库!D82="","", MSE成绩库!D82)</f>
        <v/>
      </c>
      <c r="E82" t="str">
        <f>IF(MSE成绩库!C82="","", MSE成绩库!E82)</f>
        <v/>
      </c>
      <c r="F82" t="str">
        <f>IF(MSE成绩库!C82="","", MSE成绩库!F82)</f>
        <v/>
      </c>
      <c r="G82" t="str">
        <f>IF(MSE成绩库!C82="","", MSE成绩库!G82)</f>
        <v/>
      </c>
      <c r="H82" t="str">
        <f>IF(MSE成绩库!C82="","", MSE成绩库!H82)</f>
        <v/>
      </c>
      <c r="I82" t="str">
        <f>IF(MSE成绩库!C82="","", MSE成绩库!I82)</f>
        <v/>
      </c>
      <c r="J82" t="str">
        <f>IF(MSE成绩库!C82="","", MSE成绩库!J82)</f>
        <v/>
      </c>
      <c r="K82" t="str">
        <f>IF(MSE成绩库!C82="","", MSE成绩库!K82)</f>
        <v/>
      </c>
      <c r="L82" t="str">
        <f>IF(MSE成绩库!C82="","", MSE成绩库!M82)</f>
        <v/>
      </c>
      <c r="M82" t="str">
        <f>IF(MSE成绩库!C82="","", MSE成绩库!N82)</f>
        <v/>
      </c>
      <c r="N82" t="str">
        <f>IF(MSE成绩库!C82="","", MSE成绩库!O82)</f>
        <v/>
      </c>
      <c r="O82" t="str">
        <f>IF(MSE成绩库!C82="","", MSE成绩库!Q82)</f>
        <v/>
      </c>
      <c r="P82" t="str">
        <f>IF(MSE成绩库!C82="","", MSE成绩库!R82)</f>
        <v/>
      </c>
      <c r="Q82" t="str">
        <f>IF(MSE成绩库!C82="","", MSE成绩库!S82)</f>
        <v/>
      </c>
      <c r="R82" t="str">
        <f>IF(MSE成绩库!C82="","", MSE成绩库!T82)</f>
        <v/>
      </c>
      <c r="S82" t="str">
        <f>IF(MSE成绩库!C82="","", MSE成绩库!U82)</f>
        <v/>
      </c>
      <c r="T82" t="str">
        <f>IF(MSE成绩库!C82="","", MSE成绩库!V82)</f>
        <v/>
      </c>
      <c r="U82" t="str">
        <f>IF(MSE成绩库!C82="","", MSE成绩库!X82)</f>
        <v/>
      </c>
      <c r="V82" t="str">
        <f>IF(MSE成绩库!C82="","", MSE成绩库!Y82)</f>
        <v/>
      </c>
      <c r="W82" t="str">
        <f>IF(MSE成绩库!C82="","", MSE成绩库!Z82)</f>
        <v/>
      </c>
      <c r="X82" t="str">
        <f>IF(MSE成绩库!C82="","", MSE成绩库!AA82)</f>
        <v/>
      </c>
      <c r="Y82" t="str">
        <f>IF(MSE成绩库!C82="","", MSE成绩库!AB82)</f>
        <v/>
      </c>
      <c r="Z82" t="str">
        <f>IF(MSE成绩库!C82="","", MSE成绩库!AC82)</f>
        <v/>
      </c>
    </row>
    <row r="83" spans="1:26" x14ac:dyDescent="0.2">
      <c r="A83" t="str">
        <f>IF(MSE成绩库!C83="","", MSE成绩库!C83)</f>
        <v/>
      </c>
      <c r="B83" t="str">
        <f>IF(MSE成绩库!AD83="","", MSE成绩库!AD83)</f>
        <v/>
      </c>
      <c r="C83" t="str">
        <f>IF(MSE成绩库!B83="","", MSE成绩库!B83)</f>
        <v/>
      </c>
      <c r="D83" t="str">
        <f>IF(MSE成绩库!D83="","", MSE成绩库!D83)</f>
        <v/>
      </c>
      <c r="E83" t="str">
        <f>IF(MSE成绩库!C83="","", MSE成绩库!E83)</f>
        <v/>
      </c>
      <c r="F83" t="str">
        <f>IF(MSE成绩库!C83="","", MSE成绩库!F83)</f>
        <v/>
      </c>
      <c r="G83" t="str">
        <f>IF(MSE成绩库!C83="","", MSE成绩库!G83)</f>
        <v/>
      </c>
      <c r="H83" t="str">
        <f>IF(MSE成绩库!C83="","", MSE成绩库!H83)</f>
        <v/>
      </c>
      <c r="I83" t="str">
        <f>IF(MSE成绩库!C83="","", MSE成绩库!I83)</f>
        <v/>
      </c>
      <c r="J83" t="str">
        <f>IF(MSE成绩库!C83="","", MSE成绩库!J83)</f>
        <v/>
      </c>
      <c r="K83" t="str">
        <f>IF(MSE成绩库!C83="","", MSE成绩库!K83)</f>
        <v/>
      </c>
      <c r="L83" t="str">
        <f>IF(MSE成绩库!C83="","", MSE成绩库!M83)</f>
        <v/>
      </c>
      <c r="M83" t="str">
        <f>IF(MSE成绩库!C83="","", MSE成绩库!N83)</f>
        <v/>
      </c>
      <c r="N83" t="str">
        <f>IF(MSE成绩库!C83="","", MSE成绩库!O83)</f>
        <v/>
      </c>
      <c r="O83" t="str">
        <f>IF(MSE成绩库!C83="","", MSE成绩库!Q83)</f>
        <v/>
      </c>
      <c r="P83" t="str">
        <f>IF(MSE成绩库!C83="","", MSE成绩库!R83)</f>
        <v/>
      </c>
      <c r="Q83" t="str">
        <f>IF(MSE成绩库!C83="","", MSE成绩库!S83)</f>
        <v/>
      </c>
      <c r="R83" t="str">
        <f>IF(MSE成绩库!C83="","", MSE成绩库!T83)</f>
        <v/>
      </c>
      <c r="S83" t="str">
        <f>IF(MSE成绩库!C83="","", MSE成绩库!U83)</f>
        <v/>
      </c>
      <c r="T83" t="str">
        <f>IF(MSE成绩库!C83="","", MSE成绩库!V83)</f>
        <v/>
      </c>
      <c r="U83" t="str">
        <f>IF(MSE成绩库!C83="","", MSE成绩库!X83)</f>
        <v/>
      </c>
      <c r="V83" t="str">
        <f>IF(MSE成绩库!C83="","", MSE成绩库!Y83)</f>
        <v/>
      </c>
      <c r="W83" t="str">
        <f>IF(MSE成绩库!C83="","", MSE成绩库!Z83)</f>
        <v/>
      </c>
      <c r="X83" t="str">
        <f>IF(MSE成绩库!C83="","", MSE成绩库!AA83)</f>
        <v/>
      </c>
      <c r="Y83" t="str">
        <f>IF(MSE成绩库!C83="","", MSE成绩库!AB83)</f>
        <v/>
      </c>
      <c r="Z83" t="str">
        <f>IF(MSE成绩库!C83="","", MSE成绩库!AC83)</f>
        <v/>
      </c>
    </row>
    <row r="84" spans="1:26" x14ac:dyDescent="0.2">
      <c r="A84" t="str">
        <f>IF(MSE成绩库!C84="","", MSE成绩库!C84)</f>
        <v/>
      </c>
      <c r="B84" t="str">
        <f>IF(MSE成绩库!AD84="","", MSE成绩库!AD84)</f>
        <v/>
      </c>
      <c r="C84" t="str">
        <f>IF(MSE成绩库!B84="","", MSE成绩库!B84)</f>
        <v/>
      </c>
      <c r="D84" t="str">
        <f>IF(MSE成绩库!D84="","", MSE成绩库!D84)</f>
        <v/>
      </c>
      <c r="E84" t="str">
        <f>IF(MSE成绩库!C84="","", MSE成绩库!E84)</f>
        <v/>
      </c>
      <c r="F84" t="str">
        <f>IF(MSE成绩库!C84="","", MSE成绩库!F84)</f>
        <v/>
      </c>
      <c r="G84" t="str">
        <f>IF(MSE成绩库!C84="","", MSE成绩库!G84)</f>
        <v/>
      </c>
      <c r="H84" t="str">
        <f>IF(MSE成绩库!C84="","", MSE成绩库!H84)</f>
        <v/>
      </c>
      <c r="I84" t="str">
        <f>IF(MSE成绩库!C84="","", MSE成绩库!I84)</f>
        <v/>
      </c>
      <c r="J84" t="str">
        <f>IF(MSE成绩库!C84="","", MSE成绩库!J84)</f>
        <v/>
      </c>
      <c r="K84" t="str">
        <f>IF(MSE成绩库!C84="","", MSE成绩库!K84)</f>
        <v/>
      </c>
      <c r="L84" t="str">
        <f>IF(MSE成绩库!C84="","", MSE成绩库!M84)</f>
        <v/>
      </c>
      <c r="M84" t="str">
        <f>IF(MSE成绩库!C84="","", MSE成绩库!N84)</f>
        <v/>
      </c>
      <c r="N84" t="str">
        <f>IF(MSE成绩库!C84="","", MSE成绩库!O84)</f>
        <v/>
      </c>
      <c r="O84" t="str">
        <f>IF(MSE成绩库!C84="","", MSE成绩库!Q84)</f>
        <v/>
      </c>
      <c r="P84" t="str">
        <f>IF(MSE成绩库!C84="","", MSE成绩库!R84)</f>
        <v/>
      </c>
      <c r="Q84" t="str">
        <f>IF(MSE成绩库!C84="","", MSE成绩库!S84)</f>
        <v/>
      </c>
      <c r="R84" t="str">
        <f>IF(MSE成绩库!C84="","", MSE成绩库!T84)</f>
        <v/>
      </c>
      <c r="S84" t="str">
        <f>IF(MSE成绩库!C84="","", MSE成绩库!U84)</f>
        <v/>
      </c>
      <c r="T84" t="str">
        <f>IF(MSE成绩库!C84="","", MSE成绩库!V84)</f>
        <v/>
      </c>
      <c r="U84" t="str">
        <f>IF(MSE成绩库!C84="","", MSE成绩库!X84)</f>
        <v/>
      </c>
      <c r="V84" t="str">
        <f>IF(MSE成绩库!C84="","", MSE成绩库!Y84)</f>
        <v/>
      </c>
      <c r="W84" t="str">
        <f>IF(MSE成绩库!C84="","", MSE成绩库!Z84)</f>
        <v/>
      </c>
      <c r="X84" t="str">
        <f>IF(MSE成绩库!C84="","", MSE成绩库!AA84)</f>
        <v/>
      </c>
      <c r="Y84" t="str">
        <f>IF(MSE成绩库!C84="","", MSE成绩库!AB84)</f>
        <v/>
      </c>
      <c r="Z84" t="str">
        <f>IF(MSE成绩库!C84="","", MSE成绩库!AC84)</f>
        <v/>
      </c>
    </row>
    <row r="85" spans="1:26" x14ac:dyDescent="0.2">
      <c r="A85" t="str">
        <f>IF(MSE成绩库!C85="","", MSE成绩库!C85)</f>
        <v/>
      </c>
      <c r="B85" t="str">
        <f>IF(MSE成绩库!AD85="","", MSE成绩库!AD85)</f>
        <v/>
      </c>
      <c r="C85" t="str">
        <f>IF(MSE成绩库!B85="","", MSE成绩库!B85)</f>
        <v/>
      </c>
      <c r="D85" t="str">
        <f>IF(MSE成绩库!D85="","", MSE成绩库!D85)</f>
        <v/>
      </c>
      <c r="E85" t="str">
        <f>IF(MSE成绩库!C85="","", MSE成绩库!E85)</f>
        <v/>
      </c>
      <c r="F85" t="str">
        <f>IF(MSE成绩库!C85="","", MSE成绩库!F85)</f>
        <v/>
      </c>
      <c r="G85" t="str">
        <f>IF(MSE成绩库!C85="","", MSE成绩库!G85)</f>
        <v/>
      </c>
      <c r="H85" t="str">
        <f>IF(MSE成绩库!C85="","", MSE成绩库!H85)</f>
        <v/>
      </c>
      <c r="I85" t="str">
        <f>IF(MSE成绩库!C85="","", MSE成绩库!I85)</f>
        <v/>
      </c>
      <c r="J85" t="str">
        <f>IF(MSE成绩库!C85="","", MSE成绩库!J85)</f>
        <v/>
      </c>
      <c r="K85" t="str">
        <f>IF(MSE成绩库!C85="","", MSE成绩库!K85)</f>
        <v/>
      </c>
      <c r="L85" t="str">
        <f>IF(MSE成绩库!C85="","", MSE成绩库!M85)</f>
        <v/>
      </c>
      <c r="M85" t="str">
        <f>IF(MSE成绩库!C85="","", MSE成绩库!N85)</f>
        <v/>
      </c>
      <c r="N85" t="str">
        <f>IF(MSE成绩库!C85="","", MSE成绩库!O85)</f>
        <v/>
      </c>
      <c r="O85" t="str">
        <f>IF(MSE成绩库!C85="","", MSE成绩库!Q85)</f>
        <v/>
      </c>
      <c r="P85" t="str">
        <f>IF(MSE成绩库!C85="","", MSE成绩库!R85)</f>
        <v/>
      </c>
      <c r="Q85" t="str">
        <f>IF(MSE成绩库!C85="","", MSE成绩库!S85)</f>
        <v/>
      </c>
      <c r="R85" t="str">
        <f>IF(MSE成绩库!C85="","", MSE成绩库!T85)</f>
        <v/>
      </c>
      <c r="S85" t="str">
        <f>IF(MSE成绩库!C85="","", MSE成绩库!U85)</f>
        <v/>
      </c>
      <c r="T85" t="str">
        <f>IF(MSE成绩库!C85="","", MSE成绩库!V85)</f>
        <v/>
      </c>
      <c r="U85" t="str">
        <f>IF(MSE成绩库!C85="","", MSE成绩库!X85)</f>
        <v/>
      </c>
      <c r="V85" t="str">
        <f>IF(MSE成绩库!C85="","", MSE成绩库!Y85)</f>
        <v/>
      </c>
      <c r="W85" t="str">
        <f>IF(MSE成绩库!C85="","", MSE成绩库!Z85)</f>
        <v/>
      </c>
      <c r="X85" t="str">
        <f>IF(MSE成绩库!C85="","", MSE成绩库!AA85)</f>
        <v/>
      </c>
      <c r="Y85" t="str">
        <f>IF(MSE成绩库!C85="","", MSE成绩库!AB85)</f>
        <v/>
      </c>
      <c r="Z85" t="str">
        <f>IF(MSE成绩库!C85="","", MSE成绩库!AC85)</f>
        <v/>
      </c>
    </row>
    <row r="86" spans="1:26" x14ac:dyDescent="0.2">
      <c r="A86" t="str">
        <f>IF(MSE成绩库!C86="","", MSE成绩库!C86)</f>
        <v/>
      </c>
      <c r="B86" t="str">
        <f>IF(MSE成绩库!AD86="","", MSE成绩库!AD86)</f>
        <v/>
      </c>
      <c r="C86" t="str">
        <f>IF(MSE成绩库!B86="","", MSE成绩库!B86)</f>
        <v/>
      </c>
      <c r="D86" t="str">
        <f>IF(MSE成绩库!D86="","", MSE成绩库!D86)</f>
        <v/>
      </c>
      <c r="E86" t="str">
        <f>IF(MSE成绩库!C86="","", MSE成绩库!E86)</f>
        <v/>
      </c>
      <c r="F86" t="str">
        <f>IF(MSE成绩库!C86="","", MSE成绩库!F86)</f>
        <v/>
      </c>
      <c r="G86" t="str">
        <f>IF(MSE成绩库!C86="","", MSE成绩库!G86)</f>
        <v/>
      </c>
      <c r="H86" t="str">
        <f>IF(MSE成绩库!C86="","", MSE成绩库!H86)</f>
        <v/>
      </c>
      <c r="I86" t="str">
        <f>IF(MSE成绩库!C86="","", MSE成绩库!I86)</f>
        <v/>
      </c>
      <c r="J86" t="str">
        <f>IF(MSE成绩库!C86="","", MSE成绩库!J86)</f>
        <v/>
      </c>
      <c r="K86" t="str">
        <f>IF(MSE成绩库!C86="","", MSE成绩库!K86)</f>
        <v/>
      </c>
      <c r="L86" t="str">
        <f>IF(MSE成绩库!C86="","", MSE成绩库!M86)</f>
        <v/>
      </c>
      <c r="M86" t="str">
        <f>IF(MSE成绩库!C86="","", MSE成绩库!N86)</f>
        <v/>
      </c>
      <c r="N86" t="str">
        <f>IF(MSE成绩库!C86="","", MSE成绩库!O86)</f>
        <v/>
      </c>
      <c r="O86" t="str">
        <f>IF(MSE成绩库!C86="","", MSE成绩库!Q86)</f>
        <v/>
      </c>
      <c r="P86" t="str">
        <f>IF(MSE成绩库!C86="","", MSE成绩库!R86)</f>
        <v/>
      </c>
      <c r="Q86" t="str">
        <f>IF(MSE成绩库!C86="","", MSE成绩库!S86)</f>
        <v/>
      </c>
      <c r="R86" t="str">
        <f>IF(MSE成绩库!C86="","", MSE成绩库!T86)</f>
        <v/>
      </c>
      <c r="S86" t="str">
        <f>IF(MSE成绩库!C86="","", MSE成绩库!U86)</f>
        <v/>
      </c>
      <c r="T86" t="str">
        <f>IF(MSE成绩库!C86="","", MSE成绩库!V86)</f>
        <v/>
      </c>
      <c r="U86" t="str">
        <f>IF(MSE成绩库!C86="","", MSE成绩库!X86)</f>
        <v/>
      </c>
      <c r="V86" t="str">
        <f>IF(MSE成绩库!C86="","", MSE成绩库!Y86)</f>
        <v/>
      </c>
      <c r="W86" t="str">
        <f>IF(MSE成绩库!C86="","", MSE成绩库!Z86)</f>
        <v/>
      </c>
      <c r="X86" t="str">
        <f>IF(MSE成绩库!C86="","", MSE成绩库!AA86)</f>
        <v/>
      </c>
      <c r="Y86" t="str">
        <f>IF(MSE成绩库!C86="","", MSE成绩库!AB86)</f>
        <v/>
      </c>
      <c r="Z86" t="str">
        <f>IF(MSE成绩库!C86="","", MSE成绩库!AC86)</f>
        <v/>
      </c>
    </row>
    <row r="87" spans="1:26" x14ac:dyDescent="0.2">
      <c r="A87" t="str">
        <f>IF(MSE成绩库!C87="","", MSE成绩库!C87)</f>
        <v/>
      </c>
      <c r="B87" t="str">
        <f>IF(MSE成绩库!AD87="","", MSE成绩库!AD87)</f>
        <v/>
      </c>
      <c r="C87" t="str">
        <f>IF(MSE成绩库!B87="","", MSE成绩库!B87)</f>
        <v/>
      </c>
      <c r="D87" t="str">
        <f>IF(MSE成绩库!D87="","", MSE成绩库!D87)</f>
        <v/>
      </c>
      <c r="E87" t="str">
        <f>IF(MSE成绩库!C87="","", MSE成绩库!E87)</f>
        <v/>
      </c>
      <c r="F87" t="str">
        <f>IF(MSE成绩库!C87="","", MSE成绩库!F87)</f>
        <v/>
      </c>
      <c r="G87" t="str">
        <f>IF(MSE成绩库!C87="","", MSE成绩库!G87)</f>
        <v/>
      </c>
      <c r="H87" t="str">
        <f>IF(MSE成绩库!C87="","", MSE成绩库!H87)</f>
        <v/>
      </c>
      <c r="I87" t="str">
        <f>IF(MSE成绩库!C87="","", MSE成绩库!I87)</f>
        <v/>
      </c>
      <c r="J87" t="str">
        <f>IF(MSE成绩库!C87="","", MSE成绩库!J87)</f>
        <v/>
      </c>
      <c r="K87" t="str">
        <f>IF(MSE成绩库!C87="","", MSE成绩库!K87)</f>
        <v/>
      </c>
      <c r="L87" t="str">
        <f>IF(MSE成绩库!C87="","", MSE成绩库!M87)</f>
        <v/>
      </c>
      <c r="M87" t="str">
        <f>IF(MSE成绩库!C87="","", MSE成绩库!N87)</f>
        <v/>
      </c>
      <c r="N87" t="str">
        <f>IF(MSE成绩库!C87="","", MSE成绩库!O87)</f>
        <v/>
      </c>
      <c r="O87" t="str">
        <f>IF(MSE成绩库!C87="","", MSE成绩库!Q87)</f>
        <v/>
      </c>
      <c r="P87" t="str">
        <f>IF(MSE成绩库!C87="","", MSE成绩库!R87)</f>
        <v/>
      </c>
      <c r="Q87" t="str">
        <f>IF(MSE成绩库!C87="","", MSE成绩库!S87)</f>
        <v/>
      </c>
      <c r="R87" t="str">
        <f>IF(MSE成绩库!C87="","", MSE成绩库!T87)</f>
        <v/>
      </c>
      <c r="S87" t="str">
        <f>IF(MSE成绩库!C87="","", MSE成绩库!U87)</f>
        <v/>
      </c>
      <c r="T87" t="str">
        <f>IF(MSE成绩库!C87="","", MSE成绩库!V87)</f>
        <v/>
      </c>
      <c r="U87" t="str">
        <f>IF(MSE成绩库!C87="","", MSE成绩库!X87)</f>
        <v/>
      </c>
      <c r="V87" t="str">
        <f>IF(MSE成绩库!C87="","", MSE成绩库!Y87)</f>
        <v/>
      </c>
      <c r="W87" t="str">
        <f>IF(MSE成绩库!C87="","", MSE成绩库!Z87)</f>
        <v/>
      </c>
      <c r="X87" t="str">
        <f>IF(MSE成绩库!C87="","", MSE成绩库!AA87)</f>
        <v/>
      </c>
      <c r="Y87" t="str">
        <f>IF(MSE成绩库!C87="","", MSE成绩库!AB87)</f>
        <v/>
      </c>
      <c r="Z87" t="str">
        <f>IF(MSE成绩库!C87="","", MSE成绩库!AC87)</f>
        <v/>
      </c>
    </row>
    <row r="88" spans="1:26" x14ac:dyDescent="0.2">
      <c r="A88" t="str">
        <f>IF(MSE成绩库!C88="","", MSE成绩库!C88)</f>
        <v/>
      </c>
      <c r="B88" t="str">
        <f>IF(MSE成绩库!AD88="","", MSE成绩库!AD88)</f>
        <v/>
      </c>
      <c r="C88" t="str">
        <f>IF(MSE成绩库!B88="","", MSE成绩库!B88)</f>
        <v/>
      </c>
      <c r="D88" t="str">
        <f>IF(MSE成绩库!D88="","", MSE成绩库!D88)</f>
        <v/>
      </c>
      <c r="E88" t="str">
        <f>IF(MSE成绩库!C88="","", MSE成绩库!E88)</f>
        <v/>
      </c>
      <c r="F88" t="str">
        <f>IF(MSE成绩库!C88="","", MSE成绩库!F88)</f>
        <v/>
      </c>
      <c r="G88" t="str">
        <f>IF(MSE成绩库!C88="","", MSE成绩库!G88)</f>
        <v/>
      </c>
      <c r="H88" t="str">
        <f>IF(MSE成绩库!C88="","", MSE成绩库!H88)</f>
        <v/>
      </c>
      <c r="I88" t="str">
        <f>IF(MSE成绩库!C88="","", MSE成绩库!I88)</f>
        <v/>
      </c>
      <c r="J88" t="str">
        <f>IF(MSE成绩库!C88="","", MSE成绩库!J88)</f>
        <v/>
      </c>
      <c r="K88" t="str">
        <f>IF(MSE成绩库!C88="","", MSE成绩库!K88)</f>
        <v/>
      </c>
      <c r="L88" t="str">
        <f>IF(MSE成绩库!C88="","", MSE成绩库!M88)</f>
        <v/>
      </c>
      <c r="M88" t="str">
        <f>IF(MSE成绩库!C88="","", MSE成绩库!N88)</f>
        <v/>
      </c>
      <c r="N88" t="str">
        <f>IF(MSE成绩库!C88="","", MSE成绩库!O88)</f>
        <v/>
      </c>
      <c r="O88" t="str">
        <f>IF(MSE成绩库!C88="","", MSE成绩库!Q88)</f>
        <v/>
      </c>
      <c r="P88" t="str">
        <f>IF(MSE成绩库!C88="","", MSE成绩库!R88)</f>
        <v/>
      </c>
      <c r="Q88" t="str">
        <f>IF(MSE成绩库!C88="","", MSE成绩库!S88)</f>
        <v/>
      </c>
      <c r="R88" t="str">
        <f>IF(MSE成绩库!C88="","", MSE成绩库!T88)</f>
        <v/>
      </c>
      <c r="S88" t="str">
        <f>IF(MSE成绩库!C88="","", MSE成绩库!U88)</f>
        <v/>
      </c>
      <c r="T88" t="str">
        <f>IF(MSE成绩库!C88="","", MSE成绩库!V88)</f>
        <v/>
      </c>
      <c r="U88" t="str">
        <f>IF(MSE成绩库!C88="","", MSE成绩库!X88)</f>
        <v/>
      </c>
      <c r="V88" t="str">
        <f>IF(MSE成绩库!C88="","", MSE成绩库!Y88)</f>
        <v/>
      </c>
      <c r="W88" t="str">
        <f>IF(MSE成绩库!C88="","", MSE成绩库!Z88)</f>
        <v/>
      </c>
      <c r="X88" t="str">
        <f>IF(MSE成绩库!C88="","", MSE成绩库!AA88)</f>
        <v/>
      </c>
      <c r="Y88" t="str">
        <f>IF(MSE成绩库!C88="","", MSE成绩库!AB88)</f>
        <v/>
      </c>
      <c r="Z88" t="str">
        <f>IF(MSE成绩库!C88="","", MSE成绩库!AC88)</f>
        <v/>
      </c>
    </row>
    <row r="89" spans="1:26" x14ac:dyDescent="0.2">
      <c r="A89" t="str">
        <f>IF(MSE成绩库!C89="","", MSE成绩库!C89)</f>
        <v/>
      </c>
      <c r="B89" t="str">
        <f>IF(MSE成绩库!AD89="","", MSE成绩库!AD89)</f>
        <v/>
      </c>
      <c r="C89" t="str">
        <f>IF(MSE成绩库!B89="","", MSE成绩库!B89)</f>
        <v/>
      </c>
      <c r="D89" t="str">
        <f>IF(MSE成绩库!D89="","", MSE成绩库!D89)</f>
        <v/>
      </c>
      <c r="E89" t="str">
        <f>IF(MSE成绩库!C89="","", MSE成绩库!E89)</f>
        <v/>
      </c>
      <c r="F89" t="str">
        <f>IF(MSE成绩库!C89="","", MSE成绩库!F89)</f>
        <v/>
      </c>
      <c r="G89" t="str">
        <f>IF(MSE成绩库!C89="","", MSE成绩库!G89)</f>
        <v/>
      </c>
      <c r="H89" t="str">
        <f>IF(MSE成绩库!C89="","", MSE成绩库!H89)</f>
        <v/>
      </c>
      <c r="I89" t="str">
        <f>IF(MSE成绩库!C89="","", MSE成绩库!I89)</f>
        <v/>
      </c>
      <c r="J89" t="str">
        <f>IF(MSE成绩库!C89="","", MSE成绩库!J89)</f>
        <v/>
      </c>
      <c r="K89" t="str">
        <f>IF(MSE成绩库!C89="","", MSE成绩库!K89)</f>
        <v/>
      </c>
      <c r="L89" t="str">
        <f>IF(MSE成绩库!C89="","", MSE成绩库!M89)</f>
        <v/>
      </c>
      <c r="M89" t="str">
        <f>IF(MSE成绩库!C89="","", MSE成绩库!N89)</f>
        <v/>
      </c>
      <c r="N89" t="str">
        <f>IF(MSE成绩库!C89="","", MSE成绩库!O89)</f>
        <v/>
      </c>
      <c r="O89" t="str">
        <f>IF(MSE成绩库!C89="","", MSE成绩库!Q89)</f>
        <v/>
      </c>
      <c r="P89" t="str">
        <f>IF(MSE成绩库!C89="","", MSE成绩库!R89)</f>
        <v/>
      </c>
      <c r="Q89" t="str">
        <f>IF(MSE成绩库!C89="","", MSE成绩库!S89)</f>
        <v/>
      </c>
      <c r="R89" t="str">
        <f>IF(MSE成绩库!C89="","", MSE成绩库!T89)</f>
        <v/>
      </c>
      <c r="S89" t="str">
        <f>IF(MSE成绩库!C89="","", MSE成绩库!U89)</f>
        <v/>
      </c>
      <c r="T89" t="str">
        <f>IF(MSE成绩库!C89="","", MSE成绩库!V89)</f>
        <v/>
      </c>
      <c r="U89" t="str">
        <f>IF(MSE成绩库!C89="","", MSE成绩库!X89)</f>
        <v/>
      </c>
      <c r="V89" t="str">
        <f>IF(MSE成绩库!C89="","", MSE成绩库!Y89)</f>
        <v/>
      </c>
      <c r="W89" t="str">
        <f>IF(MSE成绩库!C89="","", MSE成绩库!Z89)</f>
        <v/>
      </c>
      <c r="X89" t="str">
        <f>IF(MSE成绩库!C89="","", MSE成绩库!AA89)</f>
        <v/>
      </c>
      <c r="Y89" t="str">
        <f>IF(MSE成绩库!C89="","", MSE成绩库!AB89)</f>
        <v/>
      </c>
      <c r="Z89" t="str">
        <f>IF(MSE成绩库!C89="","", MSE成绩库!AC89)</f>
        <v/>
      </c>
    </row>
    <row r="90" spans="1:26" x14ac:dyDescent="0.2">
      <c r="A90" t="str">
        <f>IF(MSE成绩库!C90="","", MSE成绩库!C90)</f>
        <v/>
      </c>
      <c r="B90" t="str">
        <f>IF(MSE成绩库!AD90="","", MSE成绩库!AD90)</f>
        <v/>
      </c>
      <c r="C90" t="str">
        <f>IF(MSE成绩库!B90="","", MSE成绩库!B90)</f>
        <v/>
      </c>
      <c r="D90" t="str">
        <f>IF(MSE成绩库!D90="","", MSE成绩库!D90)</f>
        <v/>
      </c>
      <c r="E90" t="str">
        <f>IF(MSE成绩库!C90="","", MSE成绩库!E90)</f>
        <v/>
      </c>
      <c r="F90" t="str">
        <f>IF(MSE成绩库!C90="","", MSE成绩库!F90)</f>
        <v/>
      </c>
      <c r="G90" t="str">
        <f>IF(MSE成绩库!C90="","", MSE成绩库!G90)</f>
        <v/>
      </c>
      <c r="H90" t="str">
        <f>IF(MSE成绩库!C90="","", MSE成绩库!H90)</f>
        <v/>
      </c>
      <c r="I90" t="str">
        <f>IF(MSE成绩库!C90="","", MSE成绩库!I90)</f>
        <v/>
      </c>
      <c r="J90" t="str">
        <f>IF(MSE成绩库!C90="","", MSE成绩库!J90)</f>
        <v/>
      </c>
      <c r="K90" t="str">
        <f>IF(MSE成绩库!C90="","", MSE成绩库!K90)</f>
        <v/>
      </c>
      <c r="L90" t="str">
        <f>IF(MSE成绩库!C90="","", MSE成绩库!M90)</f>
        <v/>
      </c>
      <c r="M90" t="str">
        <f>IF(MSE成绩库!C90="","", MSE成绩库!N90)</f>
        <v/>
      </c>
      <c r="N90" t="str">
        <f>IF(MSE成绩库!C90="","", MSE成绩库!O90)</f>
        <v/>
      </c>
      <c r="O90" t="str">
        <f>IF(MSE成绩库!C90="","", MSE成绩库!Q90)</f>
        <v/>
      </c>
      <c r="P90" t="str">
        <f>IF(MSE成绩库!C90="","", MSE成绩库!R90)</f>
        <v/>
      </c>
      <c r="Q90" t="str">
        <f>IF(MSE成绩库!C90="","", MSE成绩库!S90)</f>
        <v/>
      </c>
      <c r="R90" t="str">
        <f>IF(MSE成绩库!C90="","", MSE成绩库!T90)</f>
        <v/>
      </c>
      <c r="S90" t="str">
        <f>IF(MSE成绩库!C90="","", MSE成绩库!U90)</f>
        <v/>
      </c>
      <c r="T90" t="str">
        <f>IF(MSE成绩库!C90="","", MSE成绩库!V90)</f>
        <v/>
      </c>
      <c r="U90" t="str">
        <f>IF(MSE成绩库!C90="","", MSE成绩库!X90)</f>
        <v/>
      </c>
      <c r="V90" t="str">
        <f>IF(MSE成绩库!C90="","", MSE成绩库!Y90)</f>
        <v/>
      </c>
      <c r="W90" t="str">
        <f>IF(MSE成绩库!C90="","", MSE成绩库!Z90)</f>
        <v/>
      </c>
      <c r="X90" t="str">
        <f>IF(MSE成绩库!C90="","", MSE成绩库!AA90)</f>
        <v/>
      </c>
      <c r="Y90" t="str">
        <f>IF(MSE成绩库!C90="","", MSE成绩库!AB90)</f>
        <v/>
      </c>
      <c r="Z90" t="str">
        <f>IF(MSE成绩库!C90="","", MSE成绩库!AC90)</f>
        <v/>
      </c>
    </row>
    <row r="91" spans="1:26" x14ac:dyDescent="0.2">
      <c r="A91" t="str">
        <f>IF(MSE成绩库!C91="","", MSE成绩库!C91)</f>
        <v/>
      </c>
      <c r="B91" t="str">
        <f>IF(MSE成绩库!AD91="","", MSE成绩库!AD91)</f>
        <v/>
      </c>
      <c r="C91" t="str">
        <f>IF(MSE成绩库!B91="","", MSE成绩库!B91)</f>
        <v/>
      </c>
      <c r="D91" t="str">
        <f>IF(MSE成绩库!D91="","", MSE成绩库!D91)</f>
        <v/>
      </c>
      <c r="E91" t="str">
        <f>IF(MSE成绩库!C91="","", MSE成绩库!E91)</f>
        <v/>
      </c>
      <c r="F91" t="str">
        <f>IF(MSE成绩库!C91="","", MSE成绩库!F91)</f>
        <v/>
      </c>
      <c r="G91" t="str">
        <f>IF(MSE成绩库!C91="","", MSE成绩库!G91)</f>
        <v/>
      </c>
      <c r="H91" t="str">
        <f>IF(MSE成绩库!C91="","", MSE成绩库!H91)</f>
        <v/>
      </c>
      <c r="I91" t="str">
        <f>IF(MSE成绩库!C91="","", MSE成绩库!I91)</f>
        <v/>
      </c>
      <c r="J91" t="str">
        <f>IF(MSE成绩库!C91="","", MSE成绩库!J91)</f>
        <v/>
      </c>
      <c r="K91" t="str">
        <f>IF(MSE成绩库!C91="","", MSE成绩库!K91)</f>
        <v/>
      </c>
      <c r="L91" t="str">
        <f>IF(MSE成绩库!C91="","", MSE成绩库!M91)</f>
        <v/>
      </c>
      <c r="M91" t="str">
        <f>IF(MSE成绩库!C91="","", MSE成绩库!N91)</f>
        <v/>
      </c>
      <c r="N91" t="str">
        <f>IF(MSE成绩库!C91="","", MSE成绩库!O91)</f>
        <v/>
      </c>
      <c r="O91" t="str">
        <f>IF(MSE成绩库!C91="","", MSE成绩库!Q91)</f>
        <v/>
      </c>
      <c r="P91" t="str">
        <f>IF(MSE成绩库!C91="","", MSE成绩库!R91)</f>
        <v/>
      </c>
      <c r="Q91" t="str">
        <f>IF(MSE成绩库!C91="","", MSE成绩库!S91)</f>
        <v/>
      </c>
      <c r="R91" t="str">
        <f>IF(MSE成绩库!C91="","", MSE成绩库!T91)</f>
        <v/>
      </c>
      <c r="S91" t="str">
        <f>IF(MSE成绩库!C91="","", MSE成绩库!U91)</f>
        <v/>
      </c>
      <c r="T91" t="str">
        <f>IF(MSE成绩库!C91="","", MSE成绩库!V91)</f>
        <v/>
      </c>
      <c r="U91" t="str">
        <f>IF(MSE成绩库!C91="","", MSE成绩库!X91)</f>
        <v/>
      </c>
      <c r="V91" t="str">
        <f>IF(MSE成绩库!C91="","", MSE成绩库!Y91)</f>
        <v/>
      </c>
      <c r="W91" t="str">
        <f>IF(MSE成绩库!C91="","", MSE成绩库!Z91)</f>
        <v/>
      </c>
      <c r="X91" t="str">
        <f>IF(MSE成绩库!C91="","", MSE成绩库!AA91)</f>
        <v/>
      </c>
      <c r="Y91" t="str">
        <f>IF(MSE成绩库!C91="","", MSE成绩库!AB91)</f>
        <v/>
      </c>
      <c r="Z91" t="str">
        <f>IF(MSE成绩库!C91="","", MSE成绩库!AC91)</f>
        <v/>
      </c>
    </row>
    <row r="92" spans="1:26" x14ac:dyDescent="0.2">
      <c r="A92" t="str">
        <f>IF(MSE成绩库!C92="","", MSE成绩库!C92)</f>
        <v/>
      </c>
      <c r="B92" t="str">
        <f>IF(MSE成绩库!AD92="","", MSE成绩库!AD92)</f>
        <v/>
      </c>
      <c r="C92" t="str">
        <f>IF(MSE成绩库!B92="","", MSE成绩库!B92)</f>
        <v/>
      </c>
      <c r="D92" t="str">
        <f>IF(MSE成绩库!D92="","", MSE成绩库!D92)</f>
        <v/>
      </c>
      <c r="E92" t="str">
        <f>IF(MSE成绩库!C92="","", MSE成绩库!E92)</f>
        <v/>
      </c>
      <c r="F92" t="str">
        <f>IF(MSE成绩库!C92="","", MSE成绩库!F92)</f>
        <v/>
      </c>
      <c r="G92" t="str">
        <f>IF(MSE成绩库!C92="","", MSE成绩库!G92)</f>
        <v/>
      </c>
      <c r="H92" t="str">
        <f>IF(MSE成绩库!C92="","", MSE成绩库!H92)</f>
        <v/>
      </c>
      <c r="I92" t="str">
        <f>IF(MSE成绩库!C92="","", MSE成绩库!I92)</f>
        <v/>
      </c>
      <c r="J92" t="str">
        <f>IF(MSE成绩库!C92="","", MSE成绩库!J92)</f>
        <v/>
      </c>
      <c r="K92" t="str">
        <f>IF(MSE成绩库!C92="","", MSE成绩库!K92)</f>
        <v/>
      </c>
      <c r="L92" t="str">
        <f>IF(MSE成绩库!C92="","", MSE成绩库!M92)</f>
        <v/>
      </c>
      <c r="M92" t="str">
        <f>IF(MSE成绩库!C92="","", MSE成绩库!N92)</f>
        <v/>
      </c>
      <c r="N92" t="str">
        <f>IF(MSE成绩库!C92="","", MSE成绩库!O92)</f>
        <v/>
      </c>
      <c r="O92" t="str">
        <f>IF(MSE成绩库!C92="","", MSE成绩库!Q92)</f>
        <v/>
      </c>
      <c r="P92" t="str">
        <f>IF(MSE成绩库!C92="","", MSE成绩库!R92)</f>
        <v/>
      </c>
      <c r="Q92" t="str">
        <f>IF(MSE成绩库!C92="","", MSE成绩库!S92)</f>
        <v/>
      </c>
      <c r="R92" t="str">
        <f>IF(MSE成绩库!C92="","", MSE成绩库!T92)</f>
        <v/>
      </c>
      <c r="S92" t="str">
        <f>IF(MSE成绩库!C92="","", MSE成绩库!U92)</f>
        <v/>
      </c>
      <c r="T92" t="str">
        <f>IF(MSE成绩库!C92="","", MSE成绩库!V92)</f>
        <v/>
      </c>
      <c r="U92" t="str">
        <f>IF(MSE成绩库!C92="","", MSE成绩库!X92)</f>
        <v/>
      </c>
      <c r="V92" t="str">
        <f>IF(MSE成绩库!C92="","", MSE成绩库!Y92)</f>
        <v/>
      </c>
      <c r="W92" t="str">
        <f>IF(MSE成绩库!C92="","", MSE成绩库!Z92)</f>
        <v/>
      </c>
      <c r="X92" t="str">
        <f>IF(MSE成绩库!C92="","", MSE成绩库!AA92)</f>
        <v/>
      </c>
      <c r="Y92" t="str">
        <f>IF(MSE成绩库!C92="","", MSE成绩库!AB92)</f>
        <v/>
      </c>
      <c r="Z92" t="str">
        <f>IF(MSE成绩库!C92="","", MSE成绩库!AC92)</f>
        <v/>
      </c>
    </row>
    <row r="93" spans="1:26" x14ac:dyDescent="0.2">
      <c r="A93" t="str">
        <f>IF(MSE成绩库!C93="","", MSE成绩库!C93)</f>
        <v/>
      </c>
      <c r="B93" t="str">
        <f>IF(MSE成绩库!AD93="","", MSE成绩库!AD93)</f>
        <v/>
      </c>
      <c r="C93" t="str">
        <f>IF(MSE成绩库!B93="","", MSE成绩库!B93)</f>
        <v/>
      </c>
      <c r="D93" t="str">
        <f>IF(MSE成绩库!D93="","", MSE成绩库!D93)</f>
        <v/>
      </c>
      <c r="E93" t="str">
        <f>IF(MSE成绩库!C93="","", MSE成绩库!E93)</f>
        <v/>
      </c>
      <c r="F93" t="str">
        <f>IF(MSE成绩库!C93="","", MSE成绩库!F93)</f>
        <v/>
      </c>
      <c r="G93" t="str">
        <f>IF(MSE成绩库!C93="","", MSE成绩库!G93)</f>
        <v/>
      </c>
      <c r="H93" t="str">
        <f>IF(MSE成绩库!C93="","", MSE成绩库!H93)</f>
        <v/>
      </c>
      <c r="I93" t="str">
        <f>IF(MSE成绩库!C93="","", MSE成绩库!I93)</f>
        <v/>
      </c>
      <c r="J93" t="str">
        <f>IF(MSE成绩库!C93="","", MSE成绩库!J93)</f>
        <v/>
      </c>
      <c r="K93" t="str">
        <f>IF(MSE成绩库!C93="","", MSE成绩库!K93)</f>
        <v/>
      </c>
      <c r="L93" t="str">
        <f>IF(MSE成绩库!C93="","", MSE成绩库!M93)</f>
        <v/>
      </c>
      <c r="M93" t="str">
        <f>IF(MSE成绩库!C93="","", MSE成绩库!N93)</f>
        <v/>
      </c>
      <c r="N93" t="str">
        <f>IF(MSE成绩库!C93="","", MSE成绩库!O93)</f>
        <v/>
      </c>
      <c r="O93" t="str">
        <f>IF(MSE成绩库!C93="","", MSE成绩库!Q93)</f>
        <v/>
      </c>
      <c r="P93" t="str">
        <f>IF(MSE成绩库!C93="","", MSE成绩库!R93)</f>
        <v/>
      </c>
      <c r="Q93" t="str">
        <f>IF(MSE成绩库!C93="","", MSE成绩库!S93)</f>
        <v/>
      </c>
      <c r="R93" t="str">
        <f>IF(MSE成绩库!C93="","", MSE成绩库!T93)</f>
        <v/>
      </c>
      <c r="S93" t="str">
        <f>IF(MSE成绩库!C93="","", MSE成绩库!U93)</f>
        <v/>
      </c>
      <c r="T93" t="str">
        <f>IF(MSE成绩库!C93="","", MSE成绩库!V93)</f>
        <v/>
      </c>
      <c r="U93" t="str">
        <f>IF(MSE成绩库!C93="","", MSE成绩库!X93)</f>
        <v/>
      </c>
      <c r="V93" t="str">
        <f>IF(MSE成绩库!C93="","", MSE成绩库!Y93)</f>
        <v/>
      </c>
      <c r="W93" t="str">
        <f>IF(MSE成绩库!C93="","", MSE成绩库!Z93)</f>
        <v/>
      </c>
      <c r="X93" t="str">
        <f>IF(MSE成绩库!C93="","", MSE成绩库!AA93)</f>
        <v/>
      </c>
      <c r="Y93" t="str">
        <f>IF(MSE成绩库!C93="","", MSE成绩库!AB93)</f>
        <v/>
      </c>
      <c r="Z93" t="str">
        <f>IF(MSE成绩库!C93="","", MSE成绩库!AC93)</f>
        <v/>
      </c>
    </row>
    <row r="94" spans="1:26" x14ac:dyDescent="0.2">
      <c r="A94" t="str">
        <f>IF(MSE成绩库!C94="","", MSE成绩库!C94)</f>
        <v/>
      </c>
      <c r="B94" t="str">
        <f>IF(MSE成绩库!AD94="","", MSE成绩库!AD94)</f>
        <v/>
      </c>
      <c r="C94" t="str">
        <f>IF(MSE成绩库!B94="","", MSE成绩库!B94)</f>
        <v/>
      </c>
      <c r="D94" t="str">
        <f>IF(MSE成绩库!D94="","", MSE成绩库!D94)</f>
        <v/>
      </c>
      <c r="E94" t="str">
        <f>IF(MSE成绩库!C94="","", MSE成绩库!E94)</f>
        <v/>
      </c>
      <c r="F94" t="str">
        <f>IF(MSE成绩库!C94="","", MSE成绩库!F94)</f>
        <v/>
      </c>
      <c r="G94" t="str">
        <f>IF(MSE成绩库!C94="","", MSE成绩库!G94)</f>
        <v/>
      </c>
      <c r="H94" t="str">
        <f>IF(MSE成绩库!C94="","", MSE成绩库!H94)</f>
        <v/>
      </c>
      <c r="I94" t="str">
        <f>IF(MSE成绩库!C94="","", MSE成绩库!I94)</f>
        <v/>
      </c>
      <c r="J94" t="str">
        <f>IF(MSE成绩库!C94="","", MSE成绩库!J94)</f>
        <v/>
      </c>
      <c r="K94" t="str">
        <f>IF(MSE成绩库!C94="","", MSE成绩库!K94)</f>
        <v/>
      </c>
      <c r="L94" t="str">
        <f>IF(MSE成绩库!C94="","", MSE成绩库!M94)</f>
        <v/>
      </c>
      <c r="M94" t="str">
        <f>IF(MSE成绩库!C94="","", MSE成绩库!N94)</f>
        <v/>
      </c>
      <c r="N94" t="str">
        <f>IF(MSE成绩库!C94="","", MSE成绩库!O94)</f>
        <v/>
      </c>
      <c r="O94" t="str">
        <f>IF(MSE成绩库!C94="","", MSE成绩库!Q94)</f>
        <v/>
      </c>
      <c r="P94" t="str">
        <f>IF(MSE成绩库!C94="","", MSE成绩库!R94)</f>
        <v/>
      </c>
      <c r="Q94" t="str">
        <f>IF(MSE成绩库!C94="","", MSE成绩库!S94)</f>
        <v/>
      </c>
      <c r="R94" t="str">
        <f>IF(MSE成绩库!C94="","", MSE成绩库!T94)</f>
        <v/>
      </c>
      <c r="S94" t="str">
        <f>IF(MSE成绩库!C94="","", MSE成绩库!U94)</f>
        <v/>
      </c>
      <c r="T94" t="str">
        <f>IF(MSE成绩库!C94="","", MSE成绩库!V94)</f>
        <v/>
      </c>
      <c r="U94" t="str">
        <f>IF(MSE成绩库!C94="","", MSE成绩库!X94)</f>
        <v/>
      </c>
      <c r="V94" t="str">
        <f>IF(MSE成绩库!C94="","", MSE成绩库!Y94)</f>
        <v/>
      </c>
      <c r="W94" t="str">
        <f>IF(MSE成绩库!C94="","", MSE成绩库!Z94)</f>
        <v/>
      </c>
      <c r="X94" t="str">
        <f>IF(MSE成绩库!C94="","", MSE成绩库!AA94)</f>
        <v/>
      </c>
      <c r="Y94" t="str">
        <f>IF(MSE成绩库!C94="","", MSE成绩库!AB94)</f>
        <v/>
      </c>
      <c r="Z94" t="str">
        <f>IF(MSE成绩库!C94="","", MSE成绩库!AC94)</f>
        <v/>
      </c>
    </row>
    <row r="95" spans="1:26" x14ac:dyDescent="0.2">
      <c r="A95" t="str">
        <f>IF(MSE成绩库!C95="","", MSE成绩库!C95)</f>
        <v/>
      </c>
      <c r="B95" t="str">
        <f>IF(MSE成绩库!AD95="","", MSE成绩库!AD95)</f>
        <v/>
      </c>
      <c r="C95" t="str">
        <f>IF(MSE成绩库!B95="","", MSE成绩库!B95)</f>
        <v/>
      </c>
      <c r="D95" t="str">
        <f>IF(MSE成绩库!D95="","", MSE成绩库!D95)</f>
        <v/>
      </c>
      <c r="E95" t="str">
        <f>IF(MSE成绩库!C95="","", MSE成绩库!E95)</f>
        <v/>
      </c>
      <c r="F95" t="str">
        <f>IF(MSE成绩库!C95="","", MSE成绩库!F95)</f>
        <v/>
      </c>
      <c r="G95" t="str">
        <f>IF(MSE成绩库!C95="","", MSE成绩库!G95)</f>
        <v/>
      </c>
      <c r="H95" t="str">
        <f>IF(MSE成绩库!C95="","", MSE成绩库!H95)</f>
        <v/>
      </c>
      <c r="I95" t="str">
        <f>IF(MSE成绩库!C95="","", MSE成绩库!I95)</f>
        <v/>
      </c>
      <c r="J95" t="str">
        <f>IF(MSE成绩库!C95="","", MSE成绩库!J95)</f>
        <v/>
      </c>
      <c r="K95" t="str">
        <f>IF(MSE成绩库!C95="","", MSE成绩库!K95)</f>
        <v/>
      </c>
      <c r="L95" t="str">
        <f>IF(MSE成绩库!C95="","", MSE成绩库!M95)</f>
        <v/>
      </c>
      <c r="M95" t="str">
        <f>IF(MSE成绩库!C95="","", MSE成绩库!N95)</f>
        <v/>
      </c>
      <c r="N95" t="str">
        <f>IF(MSE成绩库!C95="","", MSE成绩库!O95)</f>
        <v/>
      </c>
      <c r="O95" t="str">
        <f>IF(MSE成绩库!C95="","", MSE成绩库!Q95)</f>
        <v/>
      </c>
      <c r="P95" t="str">
        <f>IF(MSE成绩库!C95="","", MSE成绩库!R95)</f>
        <v/>
      </c>
      <c r="Q95" t="str">
        <f>IF(MSE成绩库!C95="","", MSE成绩库!S95)</f>
        <v/>
      </c>
      <c r="R95" t="str">
        <f>IF(MSE成绩库!C95="","", MSE成绩库!T95)</f>
        <v/>
      </c>
      <c r="S95" t="str">
        <f>IF(MSE成绩库!C95="","", MSE成绩库!U95)</f>
        <v/>
      </c>
      <c r="T95" t="str">
        <f>IF(MSE成绩库!C95="","", MSE成绩库!V95)</f>
        <v/>
      </c>
      <c r="U95" t="str">
        <f>IF(MSE成绩库!C95="","", MSE成绩库!X95)</f>
        <v/>
      </c>
      <c r="V95" t="str">
        <f>IF(MSE成绩库!C95="","", MSE成绩库!Y95)</f>
        <v/>
      </c>
      <c r="W95" t="str">
        <f>IF(MSE成绩库!C95="","", MSE成绩库!Z95)</f>
        <v/>
      </c>
      <c r="X95" t="str">
        <f>IF(MSE成绩库!C95="","", MSE成绩库!AA95)</f>
        <v/>
      </c>
      <c r="Y95" t="str">
        <f>IF(MSE成绩库!C95="","", MSE成绩库!AB95)</f>
        <v/>
      </c>
      <c r="Z95" t="str">
        <f>IF(MSE成绩库!C95="","", MSE成绩库!AC95)</f>
        <v/>
      </c>
    </row>
    <row r="96" spans="1:26" x14ac:dyDescent="0.2">
      <c r="A96" t="str">
        <f>IF(MSE成绩库!C96="","", MSE成绩库!C96)</f>
        <v/>
      </c>
      <c r="B96" t="str">
        <f>IF(MSE成绩库!AD96="","", MSE成绩库!AD96)</f>
        <v/>
      </c>
      <c r="C96" t="str">
        <f>IF(MSE成绩库!B96="","", MSE成绩库!B96)</f>
        <v/>
      </c>
      <c r="D96" t="str">
        <f>IF(MSE成绩库!D96="","", MSE成绩库!D96)</f>
        <v/>
      </c>
      <c r="E96" t="str">
        <f>IF(MSE成绩库!C96="","", MSE成绩库!E96)</f>
        <v/>
      </c>
      <c r="F96" t="str">
        <f>IF(MSE成绩库!C96="","", MSE成绩库!F96)</f>
        <v/>
      </c>
      <c r="G96" t="str">
        <f>IF(MSE成绩库!C96="","", MSE成绩库!G96)</f>
        <v/>
      </c>
      <c r="H96" t="str">
        <f>IF(MSE成绩库!C96="","", MSE成绩库!H96)</f>
        <v/>
      </c>
      <c r="I96" t="str">
        <f>IF(MSE成绩库!C96="","", MSE成绩库!I96)</f>
        <v/>
      </c>
      <c r="J96" t="str">
        <f>IF(MSE成绩库!C96="","", MSE成绩库!J96)</f>
        <v/>
      </c>
      <c r="K96" t="str">
        <f>IF(MSE成绩库!C96="","", MSE成绩库!K96)</f>
        <v/>
      </c>
      <c r="L96" t="str">
        <f>IF(MSE成绩库!C96="","", MSE成绩库!M96)</f>
        <v/>
      </c>
      <c r="M96" t="str">
        <f>IF(MSE成绩库!C96="","", MSE成绩库!N96)</f>
        <v/>
      </c>
      <c r="N96" t="str">
        <f>IF(MSE成绩库!C96="","", MSE成绩库!O96)</f>
        <v/>
      </c>
      <c r="O96" t="str">
        <f>IF(MSE成绩库!C96="","", MSE成绩库!Q96)</f>
        <v/>
      </c>
      <c r="P96" t="str">
        <f>IF(MSE成绩库!C96="","", MSE成绩库!R96)</f>
        <v/>
      </c>
      <c r="Q96" t="str">
        <f>IF(MSE成绩库!C96="","", MSE成绩库!S96)</f>
        <v/>
      </c>
      <c r="R96" t="str">
        <f>IF(MSE成绩库!C96="","", MSE成绩库!T96)</f>
        <v/>
      </c>
      <c r="S96" t="str">
        <f>IF(MSE成绩库!C96="","", MSE成绩库!U96)</f>
        <v/>
      </c>
      <c r="T96" t="str">
        <f>IF(MSE成绩库!C96="","", MSE成绩库!V96)</f>
        <v/>
      </c>
      <c r="U96" t="str">
        <f>IF(MSE成绩库!C96="","", MSE成绩库!X96)</f>
        <v/>
      </c>
      <c r="V96" t="str">
        <f>IF(MSE成绩库!C96="","", MSE成绩库!Y96)</f>
        <v/>
      </c>
      <c r="W96" t="str">
        <f>IF(MSE成绩库!C96="","", MSE成绩库!Z96)</f>
        <v/>
      </c>
      <c r="X96" t="str">
        <f>IF(MSE成绩库!C96="","", MSE成绩库!AA96)</f>
        <v/>
      </c>
      <c r="Y96" t="str">
        <f>IF(MSE成绩库!C96="","", MSE成绩库!AB96)</f>
        <v/>
      </c>
      <c r="Z96" t="str">
        <f>IF(MSE成绩库!C96="","", MSE成绩库!AC96)</f>
        <v/>
      </c>
    </row>
    <row r="97" spans="1:26" x14ac:dyDescent="0.2">
      <c r="A97" t="str">
        <f>IF(MSE成绩库!C97="","", MSE成绩库!C97)</f>
        <v/>
      </c>
      <c r="B97" t="str">
        <f>IF(MSE成绩库!AD97="","", MSE成绩库!AD97)</f>
        <v/>
      </c>
      <c r="C97" t="str">
        <f>IF(MSE成绩库!B97="","", MSE成绩库!B97)</f>
        <v/>
      </c>
      <c r="D97" t="str">
        <f>IF(MSE成绩库!D97="","", MSE成绩库!D97)</f>
        <v/>
      </c>
      <c r="E97" t="str">
        <f>IF(MSE成绩库!C97="","", MSE成绩库!E97)</f>
        <v/>
      </c>
      <c r="F97" t="str">
        <f>IF(MSE成绩库!C97="","", MSE成绩库!F97)</f>
        <v/>
      </c>
      <c r="G97" t="str">
        <f>IF(MSE成绩库!C97="","", MSE成绩库!G97)</f>
        <v/>
      </c>
      <c r="H97" t="str">
        <f>IF(MSE成绩库!C97="","", MSE成绩库!H97)</f>
        <v/>
      </c>
      <c r="I97" t="str">
        <f>IF(MSE成绩库!C97="","", MSE成绩库!I97)</f>
        <v/>
      </c>
      <c r="J97" t="str">
        <f>IF(MSE成绩库!C97="","", MSE成绩库!J97)</f>
        <v/>
      </c>
      <c r="K97" t="str">
        <f>IF(MSE成绩库!C97="","", MSE成绩库!K97)</f>
        <v/>
      </c>
      <c r="L97" t="str">
        <f>IF(MSE成绩库!C97="","", MSE成绩库!M97)</f>
        <v/>
      </c>
      <c r="M97" t="str">
        <f>IF(MSE成绩库!C97="","", MSE成绩库!N97)</f>
        <v/>
      </c>
      <c r="N97" t="str">
        <f>IF(MSE成绩库!C97="","", MSE成绩库!O97)</f>
        <v/>
      </c>
      <c r="O97" t="str">
        <f>IF(MSE成绩库!C97="","", MSE成绩库!Q97)</f>
        <v/>
      </c>
      <c r="P97" t="str">
        <f>IF(MSE成绩库!C97="","", MSE成绩库!R97)</f>
        <v/>
      </c>
      <c r="Q97" t="str">
        <f>IF(MSE成绩库!C97="","", MSE成绩库!S97)</f>
        <v/>
      </c>
      <c r="R97" t="str">
        <f>IF(MSE成绩库!C97="","", MSE成绩库!T97)</f>
        <v/>
      </c>
      <c r="S97" t="str">
        <f>IF(MSE成绩库!C97="","", MSE成绩库!U97)</f>
        <v/>
      </c>
      <c r="T97" t="str">
        <f>IF(MSE成绩库!C97="","", MSE成绩库!V97)</f>
        <v/>
      </c>
      <c r="U97" t="str">
        <f>IF(MSE成绩库!C97="","", MSE成绩库!X97)</f>
        <v/>
      </c>
      <c r="V97" t="str">
        <f>IF(MSE成绩库!C97="","", MSE成绩库!Y97)</f>
        <v/>
      </c>
      <c r="W97" t="str">
        <f>IF(MSE成绩库!C97="","", MSE成绩库!Z97)</f>
        <v/>
      </c>
      <c r="X97" t="str">
        <f>IF(MSE成绩库!C97="","", MSE成绩库!AA97)</f>
        <v/>
      </c>
      <c r="Y97" t="str">
        <f>IF(MSE成绩库!C97="","", MSE成绩库!AB97)</f>
        <v/>
      </c>
      <c r="Z97" t="str">
        <f>IF(MSE成绩库!C97="","", MSE成绩库!AC97)</f>
        <v/>
      </c>
    </row>
    <row r="98" spans="1:26" x14ac:dyDescent="0.2">
      <c r="A98" t="str">
        <f>IF(MSE成绩库!C98="","", MSE成绩库!C98)</f>
        <v/>
      </c>
      <c r="B98" t="str">
        <f>IF(MSE成绩库!AD98="","", MSE成绩库!AD98)</f>
        <v/>
      </c>
      <c r="C98" t="str">
        <f>IF(MSE成绩库!B98="","", MSE成绩库!B98)</f>
        <v/>
      </c>
      <c r="D98" t="str">
        <f>IF(MSE成绩库!D98="","", MSE成绩库!D98)</f>
        <v/>
      </c>
      <c r="E98" t="str">
        <f>IF(MSE成绩库!C98="","", MSE成绩库!E98)</f>
        <v/>
      </c>
      <c r="F98" t="str">
        <f>IF(MSE成绩库!C98="","", MSE成绩库!F98)</f>
        <v/>
      </c>
      <c r="G98" t="str">
        <f>IF(MSE成绩库!C98="","", MSE成绩库!G98)</f>
        <v/>
      </c>
      <c r="H98" t="str">
        <f>IF(MSE成绩库!C98="","", MSE成绩库!H98)</f>
        <v/>
      </c>
      <c r="I98" t="str">
        <f>IF(MSE成绩库!C98="","", MSE成绩库!I98)</f>
        <v/>
      </c>
      <c r="J98" t="str">
        <f>IF(MSE成绩库!C98="","", MSE成绩库!J98)</f>
        <v/>
      </c>
      <c r="K98" t="str">
        <f>IF(MSE成绩库!C98="","", MSE成绩库!K98)</f>
        <v/>
      </c>
      <c r="L98" t="str">
        <f>IF(MSE成绩库!C98="","", MSE成绩库!M98)</f>
        <v/>
      </c>
      <c r="M98" t="str">
        <f>IF(MSE成绩库!C98="","", MSE成绩库!N98)</f>
        <v/>
      </c>
      <c r="N98" t="str">
        <f>IF(MSE成绩库!C98="","", MSE成绩库!O98)</f>
        <v/>
      </c>
      <c r="O98" t="str">
        <f>IF(MSE成绩库!C98="","", MSE成绩库!Q98)</f>
        <v/>
      </c>
      <c r="P98" t="str">
        <f>IF(MSE成绩库!C98="","", MSE成绩库!R98)</f>
        <v/>
      </c>
      <c r="Q98" t="str">
        <f>IF(MSE成绩库!C98="","", MSE成绩库!S98)</f>
        <v/>
      </c>
      <c r="R98" t="str">
        <f>IF(MSE成绩库!C98="","", MSE成绩库!T98)</f>
        <v/>
      </c>
      <c r="S98" t="str">
        <f>IF(MSE成绩库!C98="","", MSE成绩库!U98)</f>
        <v/>
      </c>
      <c r="T98" t="str">
        <f>IF(MSE成绩库!C98="","", MSE成绩库!V98)</f>
        <v/>
      </c>
      <c r="U98" t="str">
        <f>IF(MSE成绩库!C98="","", MSE成绩库!X98)</f>
        <v/>
      </c>
      <c r="V98" t="str">
        <f>IF(MSE成绩库!C98="","", MSE成绩库!Y98)</f>
        <v/>
      </c>
      <c r="W98" t="str">
        <f>IF(MSE成绩库!C98="","", MSE成绩库!Z98)</f>
        <v/>
      </c>
      <c r="X98" t="str">
        <f>IF(MSE成绩库!C98="","", MSE成绩库!AA98)</f>
        <v/>
      </c>
      <c r="Y98" t="str">
        <f>IF(MSE成绩库!C98="","", MSE成绩库!AB98)</f>
        <v/>
      </c>
      <c r="Z98" t="str">
        <f>IF(MSE成绩库!C98="","", MSE成绩库!AC98)</f>
        <v/>
      </c>
    </row>
    <row r="99" spans="1:26" x14ac:dyDescent="0.2">
      <c r="A99" t="str">
        <f>IF(MSE成绩库!C99="","", MSE成绩库!C99)</f>
        <v/>
      </c>
      <c r="B99" t="str">
        <f>IF(MSE成绩库!AD99="","", MSE成绩库!AD99)</f>
        <v/>
      </c>
      <c r="C99" t="str">
        <f>IF(MSE成绩库!B99="","", MSE成绩库!B99)</f>
        <v/>
      </c>
      <c r="D99" t="str">
        <f>IF(MSE成绩库!D99="","", MSE成绩库!D99)</f>
        <v/>
      </c>
      <c r="E99" t="str">
        <f>IF(MSE成绩库!C99="","", MSE成绩库!E99)</f>
        <v/>
      </c>
      <c r="F99" t="str">
        <f>IF(MSE成绩库!C99="","", MSE成绩库!F99)</f>
        <v/>
      </c>
      <c r="G99" t="str">
        <f>IF(MSE成绩库!C99="","", MSE成绩库!G99)</f>
        <v/>
      </c>
      <c r="H99" t="str">
        <f>IF(MSE成绩库!C99="","", MSE成绩库!H99)</f>
        <v/>
      </c>
      <c r="I99" t="str">
        <f>IF(MSE成绩库!C99="","", MSE成绩库!I99)</f>
        <v/>
      </c>
      <c r="J99" t="str">
        <f>IF(MSE成绩库!C99="","", MSE成绩库!J99)</f>
        <v/>
      </c>
      <c r="K99" t="str">
        <f>IF(MSE成绩库!C99="","", MSE成绩库!K99)</f>
        <v/>
      </c>
      <c r="L99" t="str">
        <f>IF(MSE成绩库!C99="","", MSE成绩库!M99)</f>
        <v/>
      </c>
      <c r="M99" t="str">
        <f>IF(MSE成绩库!C99="","", MSE成绩库!N99)</f>
        <v/>
      </c>
      <c r="N99" t="str">
        <f>IF(MSE成绩库!C99="","", MSE成绩库!O99)</f>
        <v/>
      </c>
      <c r="O99" t="str">
        <f>IF(MSE成绩库!C99="","", MSE成绩库!Q99)</f>
        <v/>
      </c>
      <c r="P99" t="str">
        <f>IF(MSE成绩库!C99="","", MSE成绩库!R99)</f>
        <v/>
      </c>
      <c r="Q99" t="str">
        <f>IF(MSE成绩库!C99="","", MSE成绩库!S99)</f>
        <v/>
      </c>
      <c r="R99" t="str">
        <f>IF(MSE成绩库!C99="","", MSE成绩库!T99)</f>
        <v/>
      </c>
      <c r="S99" t="str">
        <f>IF(MSE成绩库!C99="","", MSE成绩库!U99)</f>
        <v/>
      </c>
      <c r="T99" t="str">
        <f>IF(MSE成绩库!C99="","", MSE成绩库!V99)</f>
        <v/>
      </c>
      <c r="U99" t="str">
        <f>IF(MSE成绩库!C99="","", MSE成绩库!X99)</f>
        <v/>
      </c>
      <c r="V99" t="str">
        <f>IF(MSE成绩库!C99="","", MSE成绩库!Y99)</f>
        <v/>
      </c>
      <c r="W99" t="str">
        <f>IF(MSE成绩库!C99="","", MSE成绩库!Z99)</f>
        <v/>
      </c>
      <c r="X99" t="str">
        <f>IF(MSE成绩库!C99="","", MSE成绩库!AA99)</f>
        <v/>
      </c>
      <c r="Y99" t="str">
        <f>IF(MSE成绩库!C99="","", MSE成绩库!AB99)</f>
        <v/>
      </c>
      <c r="Z99" t="str">
        <f>IF(MSE成绩库!C99="","", MSE成绩库!AC99)</f>
        <v/>
      </c>
    </row>
    <row r="100" spans="1:26" x14ac:dyDescent="0.2">
      <c r="A100" t="str">
        <f>IF(MSE成绩库!C100="","", MSE成绩库!C100)</f>
        <v/>
      </c>
      <c r="B100" t="str">
        <f>IF(MSE成绩库!AD100="","", MSE成绩库!AD100)</f>
        <v/>
      </c>
      <c r="C100" t="str">
        <f>IF(MSE成绩库!B100="","", MSE成绩库!B100)</f>
        <v/>
      </c>
      <c r="D100" t="str">
        <f>IF(MSE成绩库!D100="","", MSE成绩库!D100)</f>
        <v/>
      </c>
      <c r="E100" t="str">
        <f>IF(MSE成绩库!C100="","", MSE成绩库!E100)</f>
        <v/>
      </c>
      <c r="F100" t="str">
        <f>IF(MSE成绩库!C100="","", MSE成绩库!F100)</f>
        <v/>
      </c>
      <c r="G100" t="str">
        <f>IF(MSE成绩库!C100="","", MSE成绩库!G100)</f>
        <v/>
      </c>
      <c r="H100" t="str">
        <f>IF(MSE成绩库!C100="","", MSE成绩库!H100)</f>
        <v/>
      </c>
      <c r="I100" t="str">
        <f>IF(MSE成绩库!C100="","", MSE成绩库!I100)</f>
        <v/>
      </c>
      <c r="J100" t="str">
        <f>IF(MSE成绩库!C100="","", MSE成绩库!J100)</f>
        <v/>
      </c>
      <c r="K100" t="str">
        <f>IF(MSE成绩库!C100="","", MSE成绩库!K100)</f>
        <v/>
      </c>
      <c r="L100" t="str">
        <f>IF(MSE成绩库!C100="","", MSE成绩库!M100)</f>
        <v/>
      </c>
      <c r="M100" t="str">
        <f>IF(MSE成绩库!C100="","", MSE成绩库!N100)</f>
        <v/>
      </c>
      <c r="N100" t="str">
        <f>IF(MSE成绩库!C100="","", MSE成绩库!O100)</f>
        <v/>
      </c>
      <c r="O100" t="str">
        <f>IF(MSE成绩库!C100="","", MSE成绩库!Q100)</f>
        <v/>
      </c>
      <c r="P100" t="str">
        <f>IF(MSE成绩库!C100="","", MSE成绩库!R100)</f>
        <v/>
      </c>
      <c r="Q100" t="str">
        <f>IF(MSE成绩库!C100="","", MSE成绩库!S100)</f>
        <v/>
      </c>
      <c r="R100" t="str">
        <f>IF(MSE成绩库!C100="","", MSE成绩库!T100)</f>
        <v/>
      </c>
      <c r="S100" t="str">
        <f>IF(MSE成绩库!C100="","", MSE成绩库!U100)</f>
        <v/>
      </c>
      <c r="T100" t="str">
        <f>IF(MSE成绩库!C100="","", MSE成绩库!V100)</f>
        <v/>
      </c>
      <c r="U100" t="str">
        <f>IF(MSE成绩库!C100="","", MSE成绩库!X100)</f>
        <v/>
      </c>
      <c r="V100" t="str">
        <f>IF(MSE成绩库!C100="","", MSE成绩库!Y100)</f>
        <v/>
      </c>
      <c r="W100" t="str">
        <f>IF(MSE成绩库!C100="","", MSE成绩库!Z100)</f>
        <v/>
      </c>
      <c r="X100" t="str">
        <f>IF(MSE成绩库!C100="","", MSE成绩库!AA100)</f>
        <v/>
      </c>
      <c r="Y100" t="str">
        <f>IF(MSE成绩库!C100="","", MSE成绩库!AB100)</f>
        <v/>
      </c>
      <c r="Z100" t="str">
        <f>IF(MSE成绩库!C100="","", MSE成绩库!AC100)</f>
        <v/>
      </c>
    </row>
    <row r="101" spans="1:26" x14ac:dyDescent="0.2">
      <c r="A101" t="str">
        <f>IF(MSE成绩库!C101="","", MSE成绩库!C101)</f>
        <v/>
      </c>
      <c r="B101" t="str">
        <f>IF(MSE成绩库!AD101="","", MSE成绩库!AD101)</f>
        <v/>
      </c>
      <c r="C101" t="str">
        <f>IF(MSE成绩库!B101="","", MSE成绩库!B101)</f>
        <v/>
      </c>
      <c r="D101" t="str">
        <f>IF(MSE成绩库!D101="","", MSE成绩库!D101)</f>
        <v/>
      </c>
      <c r="E101" t="str">
        <f>IF(MSE成绩库!C101="","", MSE成绩库!E101)</f>
        <v/>
      </c>
      <c r="F101" t="str">
        <f>IF(MSE成绩库!C101="","", MSE成绩库!F101)</f>
        <v/>
      </c>
      <c r="G101" t="str">
        <f>IF(MSE成绩库!C101="","", MSE成绩库!G101)</f>
        <v/>
      </c>
      <c r="H101" t="str">
        <f>IF(MSE成绩库!C101="","", MSE成绩库!H101)</f>
        <v/>
      </c>
      <c r="I101" t="str">
        <f>IF(MSE成绩库!C101="","", MSE成绩库!I101)</f>
        <v/>
      </c>
      <c r="J101" t="str">
        <f>IF(MSE成绩库!C101="","", MSE成绩库!J101)</f>
        <v/>
      </c>
      <c r="K101" t="str">
        <f>IF(MSE成绩库!C101="","", MSE成绩库!K101)</f>
        <v/>
      </c>
      <c r="L101" t="str">
        <f>IF(MSE成绩库!C101="","", MSE成绩库!M101)</f>
        <v/>
      </c>
      <c r="M101" t="str">
        <f>IF(MSE成绩库!C101="","", MSE成绩库!N101)</f>
        <v/>
      </c>
      <c r="N101" t="str">
        <f>IF(MSE成绩库!C101="","", MSE成绩库!O101)</f>
        <v/>
      </c>
      <c r="O101" t="str">
        <f>IF(MSE成绩库!C101="","", MSE成绩库!Q101)</f>
        <v/>
      </c>
      <c r="P101" t="str">
        <f>IF(MSE成绩库!C101="","", MSE成绩库!R101)</f>
        <v/>
      </c>
      <c r="Q101" t="str">
        <f>IF(MSE成绩库!C101="","", MSE成绩库!S101)</f>
        <v/>
      </c>
      <c r="R101" t="str">
        <f>IF(MSE成绩库!C101="","", MSE成绩库!T101)</f>
        <v/>
      </c>
      <c r="S101" t="str">
        <f>IF(MSE成绩库!C101="","", MSE成绩库!U101)</f>
        <v/>
      </c>
      <c r="T101" t="str">
        <f>IF(MSE成绩库!C101="","", MSE成绩库!V101)</f>
        <v/>
      </c>
      <c r="U101" t="str">
        <f>IF(MSE成绩库!C101="","", MSE成绩库!X101)</f>
        <v/>
      </c>
      <c r="V101" t="str">
        <f>IF(MSE成绩库!C101="","", MSE成绩库!Y101)</f>
        <v/>
      </c>
      <c r="W101" t="str">
        <f>IF(MSE成绩库!C101="","", MSE成绩库!Z101)</f>
        <v/>
      </c>
      <c r="X101" t="str">
        <f>IF(MSE成绩库!C101="","", MSE成绩库!AA101)</f>
        <v/>
      </c>
      <c r="Y101" t="str">
        <f>IF(MSE成绩库!C101="","", MSE成绩库!AB101)</f>
        <v/>
      </c>
      <c r="Z101" t="str">
        <f>IF(MSE成绩库!C101="","", MSE成绩库!AC101)</f>
        <v/>
      </c>
    </row>
    <row r="102" spans="1:26" x14ac:dyDescent="0.2">
      <c r="A102" t="str">
        <f>IF(MSE成绩库!C102="","", MSE成绩库!C102)</f>
        <v/>
      </c>
      <c r="B102" t="str">
        <f>IF(MSE成绩库!AD102="","", MSE成绩库!AD102)</f>
        <v/>
      </c>
      <c r="C102" t="str">
        <f>IF(MSE成绩库!B102="","", MSE成绩库!B102)</f>
        <v/>
      </c>
      <c r="D102" t="str">
        <f>IF(MSE成绩库!D102="","", MSE成绩库!D102)</f>
        <v/>
      </c>
      <c r="E102" t="str">
        <f>IF(MSE成绩库!C102="","", MSE成绩库!E102)</f>
        <v/>
      </c>
      <c r="F102" t="str">
        <f>IF(MSE成绩库!C102="","", MSE成绩库!F102)</f>
        <v/>
      </c>
      <c r="G102" t="str">
        <f>IF(MSE成绩库!C102="","", MSE成绩库!G102)</f>
        <v/>
      </c>
      <c r="H102" t="str">
        <f>IF(MSE成绩库!C102="","", MSE成绩库!H102)</f>
        <v/>
      </c>
      <c r="I102" t="str">
        <f>IF(MSE成绩库!C102="","", MSE成绩库!I102)</f>
        <v/>
      </c>
      <c r="J102" t="str">
        <f>IF(MSE成绩库!C102="","", MSE成绩库!J102)</f>
        <v/>
      </c>
      <c r="K102" t="str">
        <f>IF(MSE成绩库!C102="","", MSE成绩库!K102)</f>
        <v/>
      </c>
      <c r="L102" t="str">
        <f>IF(MSE成绩库!C102="","", MSE成绩库!M102)</f>
        <v/>
      </c>
      <c r="M102" t="str">
        <f>IF(MSE成绩库!C102="","", MSE成绩库!N102)</f>
        <v/>
      </c>
      <c r="N102" t="str">
        <f>IF(MSE成绩库!C102="","", MSE成绩库!O102)</f>
        <v/>
      </c>
      <c r="O102" t="str">
        <f>IF(MSE成绩库!C102="","", MSE成绩库!Q102)</f>
        <v/>
      </c>
      <c r="P102" t="str">
        <f>IF(MSE成绩库!C102="","", MSE成绩库!R102)</f>
        <v/>
      </c>
      <c r="Q102" t="str">
        <f>IF(MSE成绩库!C102="","", MSE成绩库!S102)</f>
        <v/>
      </c>
      <c r="R102" t="str">
        <f>IF(MSE成绩库!C102="","", MSE成绩库!T102)</f>
        <v/>
      </c>
      <c r="S102" t="str">
        <f>IF(MSE成绩库!C102="","", MSE成绩库!U102)</f>
        <v/>
      </c>
      <c r="T102" t="str">
        <f>IF(MSE成绩库!C102="","", MSE成绩库!V102)</f>
        <v/>
      </c>
      <c r="U102" t="str">
        <f>IF(MSE成绩库!C102="","", MSE成绩库!X102)</f>
        <v/>
      </c>
      <c r="V102" t="str">
        <f>IF(MSE成绩库!C102="","", MSE成绩库!Y102)</f>
        <v/>
      </c>
      <c r="W102" t="str">
        <f>IF(MSE成绩库!C102="","", MSE成绩库!Z102)</f>
        <v/>
      </c>
      <c r="X102" t="str">
        <f>IF(MSE成绩库!C102="","", MSE成绩库!AA102)</f>
        <v/>
      </c>
      <c r="Y102" t="str">
        <f>IF(MSE成绩库!C102="","", MSE成绩库!AB102)</f>
        <v/>
      </c>
      <c r="Z102" t="str">
        <f>IF(MSE成绩库!C102="","", MSE成绩库!AC102)</f>
        <v/>
      </c>
    </row>
    <row r="103" spans="1:26" x14ac:dyDescent="0.2">
      <c r="A103" t="str">
        <f>IF(MSE成绩库!C103="","", MSE成绩库!C103)</f>
        <v/>
      </c>
      <c r="B103" t="str">
        <f>IF(MSE成绩库!AD103="","", MSE成绩库!AD103)</f>
        <v/>
      </c>
      <c r="C103" t="str">
        <f>IF(MSE成绩库!B103="","", MSE成绩库!B103)</f>
        <v/>
      </c>
      <c r="D103" t="str">
        <f>IF(MSE成绩库!D103="","", MSE成绩库!D103)</f>
        <v/>
      </c>
      <c r="E103" t="str">
        <f>IF(MSE成绩库!C103="","", MSE成绩库!E103)</f>
        <v/>
      </c>
      <c r="F103" t="str">
        <f>IF(MSE成绩库!C103="","", MSE成绩库!F103)</f>
        <v/>
      </c>
      <c r="G103" t="str">
        <f>IF(MSE成绩库!C103="","", MSE成绩库!G103)</f>
        <v/>
      </c>
      <c r="H103" t="str">
        <f>IF(MSE成绩库!C103="","", MSE成绩库!H103)</f>
        <v/>
      </c>
      <c r="I103" t="str">
        <f>IF(MSE成绩库!C103="","", MSE成绩库!I103)</f>
        <v/>
      </c>
      <c r="J103" t="str">
        <f>IF(MSE成绩库!C103="","", MSE成绩库!J103)</f>
        <v/>
      </c>
      <c r="K103" t="str">
        <f>IF(MSE成绩库!C103="","", MSE成绩库!K103)</f>
        <v/>
      </c>
      <c r="L103" t="str">
        <f>IF(MSE成绩库!C103="","", MSE成绩库!M103)</f>
        <v/>
      </c>
      <c r="M103" t="str">
        <f>IF(MSE成绩库!C103="","", MSE成绩库!N103)</f>
        <v/>
      </c>
      <c r="N103" t="str">
        <f>IF(MSE成绩库!C103="","", MSE成绩库!O103)</f>
        <v/>
      </c>
      <c r="O103" t="str">
        <f>IF(MSE成绩库!C103="","", MSE成绩库!Q103)</f>
        <v/>
      </c>
      <c r="P103" t="str">
        <f>IF(MSE成绩库!C103="","", MSE成绩库!R103)</f>
        <v/>
      </c>
      <c r="Q103" t="str">
        <f>IF(MSE成绩库!C103="","", MSE成绩库!S103)</f>
        <v/>
      </c>
      <c r="R103" t="str">
        <f>IF(MSE成绩库!C103="","", MSE成绩库!T103)</f>
        <v/>
      </c>
      <c r="S103" t="str">
        <f>IF(MSE成绩库!C103="","", MSE成绩库!U103)</f>
        <v/>
      </c>
      <c r="T103" t="str">
        <f>IF(MSE成绩库!C103="","", MSE成绩库!V103)</f>
        <v/>
      </c>
      <c r="U103" t="str">
        <f>IF(MSE成绩库!C103="","", MSE成绩库!X103)</f>
        <v/>
      </c>
      <c r="V103" t="str">
        <f>IF(MSE成绩库!C103="","", MSE成绩库!Y103)</f>
        <v/>
      </c>
      <c r="W103" t="str">
        <f>IF(MSE成绩库!C103="","", MSE成绩库!Z103)</f>
        <v/>
      </c>
      <c r="X103" t="str">
        <f>IF(MSE成绩库!C103="","", MSE成绩库!AA103)</f>
        <v/>
      </c>
      <c r="Y103" t="str">
        <f>IF(MSE成绩库!C103="","", MSE成绩库!AB103)</f>
        <v/>
      </c>
      <c r="Z103" t="str">
        <f>IF(MSE成绩库!C103="","", MSE成绩库!AC103)</f>
        <v/>
      </c>
    </row>
    <row r="104" spans="1:26" x14ac:dyDescent="0.2">
      <c r="A104" t="str">
        <f>IF(MSE成绩库!C104="","", MSE成绩库!C104)</f>
        <v/>
      </c>
      <c r="B104" t="str">
        <f>IF(MSE成绩库!AD104="","", MSE成绩库!AD104)</f>
        <v/>
      </c>
      <c r="C104" t="str">
        <f>IF(MSE成绩库!B104="","", MSE成绩库!B104)</f>
        <v/>
      </c>
      <c r="D104" t="str">
        <f>IF(MSE成绩库!D104="","", MSE成绩库!D104)</f>
        <v/>
      </c>
      <c r="E104" t="str">
        <f>IF(MSE成绩库!C104="","", MSE成绩库!E104)</f>
        <v/>
      </c>
      <c r="F104" t="str">
        <f>IF(MSE成绩库!C104="","", MSE成绩库!F104)</f>
        <v/>
      </c>
      <c r="G104" t="str">
        <f>IF(MSE成绩库!C104="","", MSE成绩库!G104)</f>
        <v/>
      </c>
      <c r="H104" t="str">
        <f>IF(MSE成绩库!C104="","", MSE成绩库!H104)</f>
        <v/>
      </c>
      <c r="I104" t="str">
        <f>IF(MSE成绩库!C104="","", MSE成绩库!I104)</f>
        <v/>
      </c>
      <c r="J104" t="str">
        <f>IF(MSE成绩库!C104="","", MSE成绩库!J104)</f>
        <v/>
      </c>
      <c r="K104" t="str">
        <f>IF(MSE成绩库!C104="","", MSE成绩库!K104)</f>
        <v/>
      </c>
      <c r="L104" t="str">
        <f>IF(MSE成绩库!C104="","", MSE成绩库!M104)</f>
        <v/>
      </c>
      <c r="M104" t="str">
        <f>IF(MSE成绩库!C104="","", MSE成绩库!N104)</f>
        <v/>
      </c>
      <c r="N104" t="str">
        <f>IF(MSE成绩库!C104="","", MSE成绩库!O104)</f>
        <v/>
      </c>
      <c r="O104" t="str">
        <f>IF(MSE成绩库!C104="","", MSE成绩库!Q104)</f>
        <v/>
      </c>
      <c r="P104" t="str">
        <f>IF(MSE成绩库!C104="","", MSE成绩库!R104)</f>
        <v/>
      </c>
      <c r="Q104" t="str">
        <f>IF(MSE成绩库!C104="","", MSE成绩库!S104)</f>
        <v/>
      </c>
      <c r="R104" t="str">
        <f>IF(MSE成绩库!C104="","", MSE成绩库!T104)</f>
        <v/>
      </c>
      <c r="S104" t="str">
        <f>IF(MSE成绩库!C104="","", MSE成绩库!U104)</f>
        <v/>
      </c>
      <c r="T104" t="str">
        <f>IF(MSE成绩库!C104="","", MSE成绩库!V104)</f>
        <v/>
      </c>
      <c r="U104" t="str">
        <f>IF(MSE成绩库!C104="","", MSE成绩库!X104)</f>
        <v/>
      </c>
      <c r="V104" t="str">
        <f>IF(MSE成绩库!C104="","", MSE成绩库!Y104)</f>
        <v/>
      </c>
      <c r="W104" t="str">
        <f>IF(MSE成绩库!C104="","", MSE成绩库!Z104)</f>
        <v/>
      </c>
      <c r="X104" t="str">
        <f>IF(MSE成绩库!C104="","", MSE成绩库!AA104)</f>
        <v/>
      </c>
      <c r="Y104" t="str">
        <f>IF(MSE成绩库!C104="","", MSE成绩库!AB104)</f>
        <v/>
      </c>
      <c r="Z104" t="str">
        <f>IF(MSE成绩库!C104="","", MSE成绩库!AC104)</f>
        <v/>
      </c>
    </row>
    <row r="105" spans="1:26" x14ac:dyDescent="0.2">
      <c r="A105" t="str">
        <f>IF(MSE成绩库!C105="","", MSE成绩库!C105)</f>
        <v/>
      </c>
      <c r="B105" t="str">
        <f>IF(MSE成绩库!AD105="","", MSE成绩库!AD105)</f>
        <v/>
      </c>
      <c r="C105" t="str">
        <f>IF(MSE成绩库!B105="","", MSE成绩库!B105)</f>
        <v/>
      </c>
      <c r="D105" t="str">
        <f>IF(MSE成绩库!D105="","", MSE成绩库!D105)</f>
        <v/>
      </c>
      <c r="E105" t="str">
        <f>IF(MSE成绩库!C105="","", MSE成绩库!E105)</f>
        <v/>
      </c>
      <c r="F105" t="str">
        <f>IF(MSE成绩库!C105="","", MSE成绩库!F105)</f>
        <v/>
      </c>
      <c r="G105" t="str">
        <f>IF(MSE成绩库!C105="","", MSE成绩库!G105)</f>
        <v/>
      </c>
      <c r="H105" t="str">
        <f>IF(MSE成绩库!C105="","", MSE成绩库!H105)</f>
        <v/>
      </c>
      <c r="I105" t="str">
        <f>IF(MSE成绩库!C105="","", MSE成绩库!I105)</f>
        <v/>
      </c>
      <c r="J105" t="str">
        <f>IF(MSE成绩库!C105="","", MSE成绩库!J105)</f>
        <v/>
      </c>
      <c r="K105" t="str">
        <f>IF(MSE成绩库!C105="","", MSE成绩库!K105)</f>
        <v/>
      </c>
      <c r="L105" t="str">
        <f>IF(MSE成绩库!C105="","", MSE成绩库!M105)</f>
        <v/>
      </c>
      <c r="M105" t="str">
        <f>IF(MSE成绩库!C105="","", MSE成绩库!N105)</f>
        <v/>
      </c>
      <c r="N105" t="str">
        <f>IF(MSE成绩库!C105="","", MSE成绩库!O105)</f>
        <v/>
      </c>
      <c r="O105" t="str">
        <f>IF(MSE成绩库!C105="","", MSE成绩库!Q105)</f>
        <v/>
      </c>
      <c r="P105" t="str">
        <f>IF(MSE成绩库!C105="","", MSE成绩库!R105)</f>
        <v/>
      </c>
      <c r="Q105" t="str">
        <f>IF(MSE成绩库!C105="","", MSE成绩库!S105)</f>
        <v/>
      </c>
      <c r="R105" t="str">
        <f>IF(MSE成绩库!C105="","", MSE成绩库!T105)</f>
        <v/>
      </c>
      <c r="S105" t="str">
        <f>IF(MSE成绩库!C105="","", MSE成绩库!U105)</f>
        <v/>
      </c>
      <c r="T105" t="str">
        <f>IF(MSE成绩库!C105="","", MSE成绩库!V105)</f>
        <v/>
      </c>
      <c r="U105" t="str">
        <f>IF(MSE成绩库!C105="","", MSE成绩库!X105)</f>
        <v/>
      </c>
      <c r="V105" t="str">
        <f>IF(MSE成绩库!C105="","", MSE成绩库!Y105)</f>
        <v/>
      </c>
      <c r="W105" t="str">
        <f>IF(MSE成绩库!C105="","", MSE成绩库!Z105)</f>
        <v/>
      </c>
      <c r="X105" t="str">
        <f>IF(MSE成绩库!C105="","", MSE成绩库!AA105)</f>
        <v/>
      </c>
      <c r="Y105" t="str">
        <f>IF(MSE成绩库!C105="","", MSE成绩库!AB105)</f>
        <v/>
      </c>
      <c r="Z105" t="str">
        <f>IF(MSE成绩库!C105="","", MSE成绩库!AC105)</f>
        <v/>
      </c>
    </row>
    <row r="106" spans="1:26" x14ac:dyDescent="0.2">
      <c r="A106" t="str">
        <f>IF(MSE成绩库!C106="","", MSE成绩库!C106)</f>
        <v/>
      </c>
      <c r="B106" t="str">
        <f>IF(MSE成绩库!AD106="","", MSE成绩库!AD106)</f>
        <v/>
      </c>
      <c r="C106" t="str">
        <f>IF(MSE成绩库!B106="","", MSE成绩库!B106)</f>
        <v/>
      </c>
      <c r="D106" t="str">
        <f>IF(MSE成绩库!D106="","", MSE成绩库!D106)</f>
        <v/>
      </c>
      <c r="E106" t="str">
        <f>IF(MSE成绩库!C106="","", MSE成绩库!E106)</f>
        <v/>
      </c>
      <c r="F106" t="str">
        <f>IF(MSE成绩库!C106="","", MSE成绩库!F106)</f>
        <v/>
      </c>
      <c r="G106" t="str">
        <f>IF(MSE成绩库!C106="","", MSE成绩库!G106)</f>
        <v/>
      </c>
      <c r="H106" t="str">
        <f>IF(MSE成绩库!C106="","", MSE成绩库!H106)</f>
        <v/>
      </c>
      <c r="I106" t="str">
        <f>IF(MSE成绩库!C106="","", MSE成绩库!I106)</f>
        <v/>
      </c>
      <c r="J106" t="str">
        <f>IF(MSE成绩库!C106="","", MSE成绩库!J106)</f>
        <v/>
      </c>
      <c r="K106" t="str">
        <f>IF(MSE成绩库!C106="","", MSE成绩库!K106)</f>
        <v/>
      </c>
      <c r="L106" t="str">
        <f>IF(MSE成绩库!C106="","", MSE成绩库!M106)</f>
        <v/>
      </c>
      <c r="M106" t="str">
        <f>IF(MSE成绩库!C106="","", MSE成绩库!N106)</f>
        <v/>
      </c>
      <c r="N106" t="str">
        <f>IF(MSE成绩库!C106="","", MSE成绩库!O106)</f>
        <v/>
      </c>
      <c r="O106" t="str">
        <f>IF(MSE成绩库!C106="","", MSE成绩库!Q106)</f>
        <v/>
      </c>
      <c r="P106" t="str">
        <f>IF(MSE成绩库!C106="","", MSE成绩库!R106)</f>
        <v/>
      </c>
      <c r="Q106" t="str">
        <f>IF(MSE成绩库!C106="","", MSE成绩库!S106)</f>
        <v/>
      </c>
      <c r="R106" t="str">
        <f>IF(MSE成绩库!C106="","", MSE成绩库!T106)</f>
        <v/>
      </c>
      <c r="S106" t="str">
        <f>IF(MSE成绩库!C106="","", MSE成绩库!U106)</f>
        <v/>
      </c>
      <c r="T106" t="str">
        <f>IF(MSE成绩库!C106="","", MSE成绩库!V106)</f>
        <v/>
      </c>
      <c r="U106" t="str">
        <f>IF(MSE成绩库!C106="","", MSE成绩库!X106)</f>
        <v/>
      </c>
      <c r="V106" t="str">
        <f>IF(MSE成绩库!C106="","", MSE成绩库!Y106)</f>
        <v/>
      </c>
      <c r="W106" t="str">
        <f>IF(MSE成绩库!C106="","", MSE成绩库!Z106)</f>
        <v/>
      </c>
      <c r="X106" t="str">
        <f>IF(MSE成绩库!C106="","", MSE成绩库!AA106)</f>
        <v/>
      </c>
      <c r="Y106" t="str">
        <f>IF(MSE成绩库!C106="","", MSE成绩库!AB106)</f>
        <v/>
      </c>
      <c r="Z106" t="str">
        <f>IF(MSE成绩库!C106="","", MSE成绩库!AC106)</f>
        <v/>
      </c>
    </row>
    <row r="107" spans="1:26" x14ac:dyDescent="0.2">
      <c r="A107" t="str">
        <f>IF(MSE成绩库!C107="","", MSE成绩库!C107)</f>
        <v/>
      </c>
      <c r="B107" t="str">
        <f>IF(MSE成绩库!AD107="","", MSE成绩库!AD107)</f>
        <v/>
      </c>
      <c r="C107" t="str">
        <f>IF(MSE成绩库!B107="","", MSE成绩库!B107)</f>
        <v/>
      </c>
      <c r="D107" t="str">
        <f>IF(MSE成绩库!D107="","", MSE成绩库!D107)</f>
        <v/>
      </c>
      <c r="E107" t="str">
        <f>IF(MSE成绩库!C107="","", MSE成绩库!E107)</f>
        <v/>
      </c>
      <c r="F107" t="str">
        <f>IF(MSE成绩库!C107="","", MSE成绩库!F107)</f>
        <v/>
      </c>
      <c r="G107" t="str">
        <f>IF(MSE成绩库!C107="","", MSE成绩库!G107)</f>
        <v/>
      </c>
      <c r="H107" t="str">
        <f>IF(MSE成绩库!C107="","", MSE成绩库!H107)</f>
        <v/>
      </c>
      <c r="I107" t="str">
        <f>IF(MSE成绩库!C107="","", MSE成绩库!I107)</f>
        <v/>
      </c>
      <c r="J107" t="str">
        <f>IF(MSE成绩库!C107="","", MSE成绩库!J107)</f>
        <v/>
      </c>
      <c r="K107" t="str">
        <f>IF(MSE成绩库!C107="","", MSE成绩库!K107)</f>
        <v/>
      </c>
      <c r="L107" t="str">
        <f>IF(MSE成绩库!C107="","", MSE成绩库!M107)</f>
        <v/>
      </c>
      <c r="M107" t="str">
        <f>IF(MSE成绩库!C107="","", MSE成绩库!N107)</f>
        <v/>
      </c>
      <c r="N107" t="str">
        <f>IF(MSE成绩库!C107="","", MSE成绩库!O107)</f>
        <v/>
      </c>
      <c r="O107" t="str">
        <f>IF(MSE成绩库!C107="","", MSE成绩库!Q107)</f>
        <v/>
      </c>
      <c r="P107" t="str">
        <f>IF(MSE成绩库!C107="","", MSE成绩库!R107)</f>
        <v/>
      </c>
      <c r="Q107" t="str">
        <f>IF(MSE成绩库!C107="","", MSE成绩库!S107)</f>
        <v/>
      </c>
      <c r="R107" t="str">
        <f>IF(MSE成绩库!C107="","", MSE成绩库!T107)</f>
        <v/>
      </c>
      <c r="S107" t="str">
        <f>IF(MSE成绩库!C107="","", MSE成绩库!U107)</f>
        <v/>
      </c>
      <c r="T107" t="str">
        <f>IF(MSE成绩库!C107="","", MSE成绩库!V107)</f>
        <v/>
      </c>
      <c r="U107" t="str">
        <f>IF(MSE成绩库!C107="","", MSE成绩库!X107)</f>
        <v/>
      </c>
      <c r="V107" t="str">
        <f>IF(MSE成绩库!C107="","", MSE成绩库!Y107)</f>
        <v/>
      </c>
      <c r="W107" t="str">
        <f>IF(MSE成绩库!C107="","", MSE成绩库!Z107)</f>
        <v/>
      </c>
      <c r="X107" t="str">
        <f>IF(MSE成绩库!C107="","", MSE成绩库!AA107)</f>
        <v/>
      </c>
      <c r="Y107" t="str">
        <f>IF(MSE成绩库!C107="","", MSE成绩库!AB107)</f>
        <v/>
      </c>
      <c r="Z107" t="str">
        <f>IF(MSE成绩库!C107="","", MSE成绩库!AC107)</f>
        <v/>
      </c>
    </row>
    <row r="108" spans="1:26" x14ac:dyDescent="0.2">
      <c r="A108" t="str">
        <f>IF(MSE成绩库!C108="","", MSE成绩库!C108)</f>
        <v/>
      </c>
      <c r="B108" t="str">
        <f>IF(MSE成绩库!AD108="","", MSE成绩库!AD108)</f>
        <v/>
      </c>
      <c r="C108" t="str">
        <f>IF(MSE成绩库!B108="","", MSE成绩库!B108)</f>
        <v/>
      </c>
      <c r="D108" t="str">
        <f>IF(MSE成绩库!D108="","", MSE成绩库!D108)</f>
        <v/>
      </c>
      <c r="E108" t="str">
        <f>IF(MSE成绩库!C108="","", MSE成绩库!E108)</f>
        <v/>
      </c>
      <c r="F108" t="str">
        <f>IF(MSE成绩库!C108="","", MSE成绩库!F108)</f>
        <v/>
      </c>
      <c r="G108" t="str">
        <f>IF(MSE成绩库!C108="","", MSE成绩库!G108)</f>
        <v/>
      </c>
      <c r="H108" t="str">
        <f>IF(MSE成绩库!C108="","", MSE成绩库!H108)</f>
        <v/>
      </c>
      <c r="I108" t="str">
        <f>IF(MSE成绩库!C108="","", MSE成绩库!I108)</f>
        <v/>
      </c>
      <c r="J108" t="str">
        <f>IF(MSE成绩库!C108="","", MSE成绩库!J108)</f>
        <v/>
      </c>
      <c r="K108" t="str">
        <f>IF(MSE成绩库!C108="","", MSE成绩库!K108)</f>
        <v/>
      </c>
      <c r="L108" t="str">
        <f>IF(MSE成绩库!C108="","", MSE成绩库!M108)</f>
        <v/>
      </c>
      <c r="M108" t="str">
        <f>IF(MSE成绩库!C108="","", MSE成绩库!N108)</f>
        <v/>
      </c>
      <c r="N108" t="str">
        <f>IF(MSE成绩库!C108="","", MSE成绩库!O108)</f>
        <v/>
      </c>
      <c r="O108" t="str">
        <f>IF(MSE成绩库!C108="","", MSE成绩库!Q108)</f>
        <v/>
      </c>
      <c r="P108" t="str">
        <f>IF(MSE成绩库!C108="","", MSE成绩库!R108)</f>
        <v/>
      </c>
      <c r="Q108" t="str">
        <f>IF(MSE成绩库!C108="","", MSE成绩库!S108)</f>
        <v/>
      </c>
      <c r="R108" t="str">
        <f>IF(MSE成绩库!C108="","", MSE成绩库!T108)</f>
        <v/>
      </c>
      <c r="S108" t="str">
        <f>IF(MSE成绩库!C108="","", MSE成绩库!U108)</f>
        <v/>
      </c>
      <c r="T108" t="str">
        <f>IF(MSE成绩库!C108="","", MSE成绩库!V108)</f>
        <v/>
      </c>
      <c r="U108" t="str">
        <f>IF(MSE成绩库!C108="","", MSE成绩库!X108)</f>
        <v/>
      </c>
      <c r="V108" t="str">
        <f>IF(MSE成绩库!C108="","", MSE成绩库!Y108)</f>
        <v/>
      </c>
      <c r="W108" t="str">
        <f>IF(MSE成绩库!C108="","", MSE成绩库!Z108)</f>
        <v/>
      </c>
      <c r="X108" t="str">
        <f>IF(MSE成绩库!C108="","", MSE成绩库!AA108)</f>
        <v/>
      </c>
      <c r="Y108" t="str">
        <f>IF(MSE成绩库!C108="","", MSE成绩库!AB108)</f>
        <v/>
      </c>
      <c r="Z108" t="str">
        <f>IF(MSE成绩库!C108="","", MSE成绩库!AC108)</f>
        <v/>
      </c>
    </row>
    <row r="109" spans="1:26" x14ac:dyDescent="0.2">
      <c r="A109" t="str">
        <f>IF(MSE成绩库!C109="","", MSE成绩库!C109)</f>
        <v/>
      </c>
      <c r="B109" t="str">
        <f>IF(MSE成绩库!AD109="","", MSE成绩库!AD109)</f>
        <v/>
      </c>
      <c r="C109" t="str">
        <f>IF(MSE成绩库!B109="","", MSE成绩库!B109)</f>
        <v/>
      </c>
      <c r="D109" t="str">
        <f>IF(MSE成绩库!D109="","", MSE成绩库!D109)</f>
        <v/>
      </c>
      <c r="E109" t="str">
        <f>IF(MSE成绩库!C109="","", MSE成绩库!E109)</f>
        <v/>
      </c>
      <c r="F109" t="str">
        <f>IF(MSE成绩库!C109="","", MSE成绩库!F109)</f>
        <v/>
      </c>
      <c r="G109" t="str">
        <f>IF(MSE成绩库!C109="","", MSE成绩库!G109)</f>
        <v/>
      </c>
      <c r="H109" t="str">
        <f>IF(MSE成绩库!C109="","", MSE成绩库!H109)</f>
        <v/>
      </c>
      <c r="I109" t="str">
        <f>IF(MSE成绩库!C109="","", MSE成绩库!I109)</f>
        <v/>
      </c>
      <c r="J109" t="str">
        <f>IF(MSE成绩库!C109="","", MSE成绩库!J109)</f>
        <v/>
      </c>
      <c r="K109" t="str">
        <f>IF(MSE成绩库!C109="","", MSE成绩库!K109)</f>
        <v/>
      </c>
      <c r="L109" t="str">
        <f>IF(MSE成绩库!C109="","", MSE成绩库!M109)</f>
        <v/>
      </c>
      <c r="M109" t="str">
        <f>IF(MSE成绩库!C109="","", MSE成绩库!N109)</f>
        <v/>
      </c>
      <c r="N109" t="str">
        <f>IF(MSE成绩库!C109="","", MSE成绩库!O109)</f>
        <v/>
      </c>
      <c r="O109" t="str">
        <f>IF(MSE成绩库!C109="","", MSE成绩库!Q109)</f>
        <v/>
      </c>
      <c r="P109" t="str">
        <f>IF(MSE成绩库!C109="","", MSE成绩库!R109)</f>
        <v/>
      </c>
      <c r="Q109" t="str">
        <f>IF(MSE成绩库!C109="","", MSE成绩库!S109)</f>
        <v/>
      </c>
      <c r="R109" t="str">
        <f>IF(MSE成绩库!C109="","", MSE成绩库!T109)</f>
        <v/>
      </c>
      <c r="S109" t="str">
        <f>IF(MSE成绩库!C109="","", MSE成绩库!U109)</f>
        <v/>
      </c>
      <c r="T109" t="str">
        <f>IF(MSE成绩库!C109="","", MSE成绩库!V109)</f>
        <v/>
      </c>
      <c r="U109" t="str">
        <f>IF(MSE成绩库!C109="","", MSE成绩库!X109)</f>
        <v/>
      </c>
      <c r="V109" t="str">
        <f>IF(MSE成绩库!C109="","", MSE成绩库!Y109)</f>
        <v/>
      </c>
      <c r="W109" t="str">
        <f>IF(MSE成绩库!C109="","", MSE成绩库!Z109)</f>
        <v/>
      </c>
      <c r="X109" t="str">
        <f>IF(MSE成绩库!C109="","", MSE成绩库!AA109)</f>
        <v/>
      </c>
      <c r="Y109" t="str">
        <f>IF(MSE成绩库!C109="","", MSE成绩库!AB109)</f>
        <v/>
      </c>
      <c r="Z109" t="str">
        <f>IF(MSE成绩库!C109="","", MSE成绩库!AC109)</f>
        <v/>
      </c>
    </row>
    <row r="110" spans="1:26" x14ac:dyDescent="0.2">
      <c r="A110" t="str">
        <f>IF(MSE成绩库!C110="","", MSE成绩库!C110)</f>
        <v/>
      </c>
      <c r="B110" t="str">
        <f>IF(MSE成绩库!AD110="","", MSE成绩库!AD110)</f>
        <v/>
      </c>
      <c r="C110" t="str">
        <f>IF(MSE成绩库!B110="","", MSE成绩库!B110)</f>
        <v/>
      </c>
      <c r="D110" t="str">
        <f>IF(MSE成绩库!D110="","", MSE成绩库!D110)</f>
        <v/>
      </c>
      <c r="E110" t="str">
        <f>IF(MSE成绩库!C110="","", MSE成绩库!E110)</f>
        <v/>
      </c>
      <c r="F110" t="str">
        <f>IF(MSE成绩库!C110="","", MSE成绩库!F110)</f>
        <v/>
      </c>
      <c r="G110" t="str">
        <f>IF(MSE成绩库!C110="","", MSE成绩库!G110)</f>
        <v/>
      </c>
      <c r="H110" t="str">
        <f>IF(MSE成绩库!C110="","", MSE成绩库!H110)</f>
        <v/>
      </c>
      <c r="I110" t="str">
        <f>IF(MSE成绩库!C110="","", MSE成绩库!I110)</f>
        <v/>
      </c>
      <c r="J110" t="str">
        <f>IF(MSE成绩库!C110="","", MSE成绩库!J110)</f>
        <v/>
      </c>
      <c r="K110" t="str">
        <f>IF(MSE成绩库!C110="","", MSE成绩库!K110)</f>
        <v/>
      </c>
      <c r="L110" t="str">
        <f>IF(MSE成绩库!C110="","", MSE成绩库!M110)</f>
        <v/>
      </c>
      <c r="M110" t="str">
        <f>IF(MSE成绩库!C110="","", MSE成绩库!N110)</f>
        <v/>
      </c>
      <c r="N110" t="str">
        <f>IF(MSE成绩库!C110="","", MSE成绩库!O110)</f>
        <v/>
      </c>
      <c r="O110" t="str">
        <f>IF(MSE成绩库!C110="","", MSE成绩库!Q110)</f>
        <v/>
      </c>
      <c r="P110" t="str">
        <f>IF(MSE成绩库!C110="","", MSE成绩库!R110)</f>
        <v/>
      </c>
      <c r="Q110" t="str">
        <f>IF(MSE成绩库!C110="","", MSE成绩库!S110)</f>
        <v/>
      </c>
      <c r="R110" t="str">
        <f>IF(MSE成绩库!C110="","", MSE成绩库!T110)</f>
        <v/>
      </c>
      <c r="S110" t="str">
        <f>IF(MSE成绩库!C110="","", MSE成绩库!U110)</f>
        <v/>
      </c>
      <c r="T110" t="str">
        <f>IF(MSE成绩库!C110="","", MSE成绩库!V110)</f>
        <v/>
      </c>
      <c r="U110" t="str">
        <f>IF(MSE成绩库!C110="","", MSE成绩库!X110)</f>
        <v/>
      </c>
      <c r="V110" t="str">
        <f>IF(MSE成绩库!C110="","", MSE成绩库!Y110)</f>
        <v/>
      </c>
      <c r="W110" t="str">
        <f>IF(MSE成绩库!C110="","", MSE成绩库!Z110)</f>
        <v/>
      </c>
      <c r="X110" t="str">
        <f>IF(MSE成绩库!C110="","", MSE成绩库!AA110)</f>
        <v/>
      </c>
      <c r="Y110" t="str">
        <f>IF(MSE成绩库!C110="","", MSE成绩库!AB110)</f>
        <v/>
      </c>
      <c r="Z110" t="str">
        <f>IF(MSE成绩库!C110="","", MSE成绩库!AC110)</f>
        <v/>
      </c>
    </row>
    <row r="111" spans="1:26" x14ac:dyDescent="0.2">
      <c r="A111" t="str">
        <f>IF(MSE成绩库!C111="","", MSE成绩库!C111)</f>
        <v/>
      </c>
      <c r="B111" t="str">
        <f>IF(MSE成绩库!AD111="","", MSE成绩库!AD111)</f>
        <v/>
      </c>
      <c r="C111" t="str">
        <f>IF(MSE成绩库!B111="","", MSE成绩库!B111)</f>
        <v/>
      </c>
      <c r="D111" t="str">
        <f>IF(MSE成绩库!D111="","", MSE成绩库!D111)</f>
        <v/>
      </c>
      <c r="E111" t="str">
        <f>IF(MSE成绩库!C111="","", MSE成绩库!E111)</f>
        <v/>
      </c>
      <c r="F111" t="str">
        <f>IF(MSE成绩库!C111="","", MSE成绩库!F111)</f>
        <v/>
      </c>
      <c r="G111" t="str">
        <f>IF(MSE成绩库!C111="","", MSE成绩库!G111)</f>
        <v/>
      </c>
      <c r="H111" t="str">
        <f>IF(MSE成绩库!C111="","", MSE成绩库!H111)</f>
        <v/>
      </c>
      <c r="I111" t="str">
        <f>IF(MSE成绩库!C111="","", MSE成绩库!I111)</f>
        <v/>
      </c>
      <c r="J111" t="str">
        <f>IF(MSE成绩库!C111="","", MSE成绩库!J111)</f>
        <v/>
      </c>
      <c r="K111" t="str">
        <f>IF(MSE成绩库!C111="","", MSE成绩库!K111)</f>
        <v/>
      </c>
      <c r="L111" t="str">
        <f>IF(MSE成绩库!C111="","", MSE成绩库!M111)</f>
        <v/>
      </c>
      <c r="M111" t="str">
        <f>IF(MSE成绩库!C111="","", MSE成绩库!N111)</f>
        <v/>
      </c>
      <c r="N111" t="str">
        <f>IF(MSE成绩库!C111="","", MSE成绩库!O111)</f>
        <v/>
      </c>
      <c r="O111" t="str">
        <f>IF(MSE成绩库!C111="","", MSE成绩库!Q111)</f>
        <v/>
      </c>
      <c r="P111" t="str">
        <f>IF(MSE成绩库!C111="","", MSE成绩库!R111)</f>
        <v/>
      </c>
      <c r="Q111" t="str">
        <f>IF(MSE成绩库!C111="","", MSE成绩库!S111)</f>
        <v/>
      </c>
      <c r="R111" t="str">
        <f>IF(MSE成绩库!C111="","", MSE成绩库!T111)</f>
        <v/>
      </c>
      <c r="S111" t="str">
        <f>IF(MSE成绩库!C111="","", MSE成绩库!U111)</f>
        <v/>
      </c>
      <c r="T111" t="str">
        <f>IF(MSE成绩库!C111="","", MSE成绩库!V111)</f>
        <v/>
      </c>
      <c r="U111" t="str">
        <f>IF(MSE成绩库!C111="","", MSE成绩库!X111)</f>
        <v/>
      </c>
      <c r="V111" t="str">
        <f>IF(MSE成绩库!C111="","", MSE成绩库!Y111)</f>
        <v/>
      </c>
      <c r="W111" t="str">
        <f>IF(MSE成绩库!C111="","", MSE成绩库!Z111)</f>
        <v/>
      </c>
      <c r="X111" t="str">
        <f>IF(MSE成绩库!C111="","", MSE成绩库!AA111)</f>
        <v/>
      </c>
      <c r="Y111" t="str">
        <f>IF(MSE成绩库!C111="","", MSE成绩库!AB111)</f>
        <v/>
      </c>
      <c r="Z111" t="str">
        <f>IF(MSE成绩库!C111="","", MSE成绩库!AC111)</f>
        <v/>
      </c>
    </row>
    <row r="112" spans="1:26" x14ac:dyDescent="0.2">
      <c r="A112" t="str">
        <f>IF(MSE成绩库!C112="","", MSE成绩库!C112)</f>
        <v/>
      </c>
      <c r="B112" t="str">
        <f>IF(MSE成绩库!AD112="","", MSE成绩库!AD112)</f>
        <v/>
      </c>
      <c r="C112" t="str">
        <f>IF(MSE成绩库!B112="","", MSE成绩库!B112)</f>
        <v/>
      </c>
      <c r="D112" t="str">
        <f>IF(MSE成绩库!D112="","", MSE成绩库!D112)</f>
        <v/>
      </c>
      <c r="E112" t="str">
        <f>IF(MSE成绩库!C112="","", MSE成绩库!E112)</f>
        <v/>
      </c>
      <c r="F112" t="str">
        <f>IF(MSE成绩库!C112="","", MSE成绩库!F112)</f>
        <v/>
      </c>
      <c r="G112" t="str">
        <f>IF(MSE成绩库!C112="","", MSE成绩库!G112)</f>
        <v/>
      </c>
      <c r="H112" t="str">
        <f>IF(MSE成绩库!C112="","", MSE成绩库!H112)</f>
        <v/>
      </c>
      <c r="I112" t="str">
        <f>IF(MSE成绩库!C112="","", MSE成绩库!I112)</f>
        <v/>
      </c>
      <c r="J112" t="str">
        <f>IF(MSE成绩库!C112="","", MSE成绩库!J112)</f>
        <v/>
      </c>
      <c r="K112" t="str">
        <f>IF(MSE成绩库!C112="","", MSE成绩库!K112)</f>
        <v/>
      </c>
      <c r="L112" t="str">
        <f>IF(MSE成绩库!C112="","", MSE成绩库!M112)</f>
        <v/>
      </c>
      <c r="M112" t="str">
        <f>IF(MSE成绩库!C112="","", MSE成绩库!N112)</f>
        <v/>
      </c>
      <c r="N112" t="str">
        <f>IF(MSE成绩库!C112="","", MSE成绩库!O112)</f>
        <v/>
      </c>
      <c r="O112" t="str">
        <f>IF(MSE成绩库!C112="","", MSE成绩库!Q112)</f>
        <v/>
      </c>
      <c r="P112" t="str">
        <f>IF(MSE成绩库!C112="","", MSE成绩库!R112)</f>
        <v/>
      </c>
      <c r="Q112" t="str">
        <f>IF(MSE成绩库!C112="","", MSE成绩库!S112)</f>
        <v/>
      </c>
      <c r="R112" t="str">
        <f>IF(MSE成绩库!C112="","", MSE成绩库!T112)</f>
        <v/>
      </c>
      <c r="S112" t="str">
        <f>IF(MSE成绩库!C112="","", MSE成绩库!U112)</f>
        <v/>
      </c>
      <c r="T112" t="str">
        <f>IF(MSE成绩库!C112="","", MSE成绩库!V112)</f>
        <v/>
      </c>
      <c r="U112" t="str">
        <f>IF(MSE成绩库!C112="","", MSE成绩库!X112)</f>
        <v/>
      </c>
      <c r="V112" t="str">
        <f>IF(MSE成绩库!C112="","", MSE成绩库!Y112)</f>
        <v/>
      </c>
      <c r="W112" t="str">
        <f>IF(MSE成绩库!C112="","", MSE成绩库!Z112)</f>
        <v/>
      </c>
      <c r="X112" t="str">
        <f>IF(MSE成绩库!C112="","", MSE成绩库!AA112)</f>
        <v/>
      </c>
      <c r="Y112" t="str">
        <f>IF(MSE成绩库!C112="","", MSE成绩库!AB112)</f>
        <v/>
      </c>
      <c r="Z112" t="str">
        <f>IF(MSE成绩库!C112="","", MSE成绩库!AC112)</f>
        <v/>
      </c>
    </row>
    <row r="113" spans="1:26" x14ac:dyDescent="0.2">
      <c r="A113" t="str">
        <f>IF(MSE成绩库!C113="","", MSE成绩库!C113)</f>
        <v/>
      </c>
      <c r="B113" t="str">
        <f>IF(MSE成绩库!AD113="","", MSE成绩库!AD113)</f>
        <v/>
      </c>
      <c r="C113" t="str">
        <f>IF(MSE成绩库!B113="","", MSE成绩库!B113)</f>
        <v/>
      </c>
      <c r="D113" t="str">
        <f>IF(MSE成绩库!D113="","", MSE成绩库!D113)</f>
        <v/>
      </c>
      <c r="E113" t="str">
        <f>IF(MSE成绩库!C113="","", MSE成绩库!E113)</f>
        <v/>
      </c>
      <c r="F113" t="str">
        <f>IF(MSE成绩库!C113="","", MSE成绩库!F113)</f>
        <v/>
      </c>
      <c r="G113" t="str">
        <f>IF(MSE成绩库!C113="","", MSE成绩库!G113)</f>
        <v/>
      </c>
      <c r="H113" t="str">
        <f>IF(MSE成绩库!C113="","", MSE成绩库!H113)</f>
        <v/>
      </c>
      <c r="I113" t="str">
        <f>IF(MSE成绩库!C113="","", MSE成绩库!I113)</f>
        <v/>
      </c>
      <c r="J113" t="str">
        <f>IF(MSE成绩库!C113="","", MSE成绩库!J113)</f>
        <v/>
      </c>
      <c r="K113" t="str">
        <f>IF(MSE成绩库!C113="","", MSE成绩库!K113)</f>
        <v/>
      </c>
      <c r="L113" t="str">
        <f>IF(MSE成绩库!C113="","", MSE成绩库!M113)</f>
        <v/>
      </c>
      <c r="M113" t="str">
        <f>IF(MSE成绩库!C113="","", MSE成绩库!N113)</f>
        <v/>
      </c>
      <c r="N113" t="str">
        <f>IF(MSE成绩库!C113="","", MSE成绩库!O113)</f>
        <v/>
      </c>
      <c r="O113" t="str">
        <f>IF(MSE成绩库!C113="","", MSE成绩库!Q113)</f>
        <v/>
      </c>
      <c r="P113" t="str">
        <f>IF(MSE成绩库!C113="","", MSE成绩库!R113)</f>
        <v/>
      </c>
      <c r="Q113" t="str">
        <f>IF(MSE成绩库!C113="","", MSE成绩库!S113)</f>
        <v/>
      </c>
      <c r="R113" t="str">
        <f>IF(MSE成绩库!C113="","", MSE成绩库!T113)</f>
        <v/>
      </c>
      <c r="S113" t="str">
        <f>IF(MSE成绩库!C113="","", MSE成绩库!U113)</f>
        <v/>
      </c>
      <c r="T113" t="str">
        <f>IF(MSE成绩库!C113="","", MSE成绩库!V113)</f>
        <v/>
      </c>
      <c r="U113" t="str">
        <f>IF(MSE成绩库!C113="","", MSE成绩库!X113)</f>
        <v/>
      </c>
      <c r="V113" t="str">
        <f>IF(MSE成绩库!C113="","", MSE成绩库!Y113)</f>
        <v/>
      </c>
      <c r="W113" t="str">
        <f>IF(MSE成绩库!C113="","", MSE成绩库!Z113)</f>
        <v/>
      </c>
      <c r="X113" t="str">
        <f>IF(MSE成绩库!C113="","", MSE成绩库!AA113)</f>
        <v/>
      </c>
      <c r="Y113" t="str">
        <f>IF(MSE成绩库!C113="","", MSE成绩库!AB113)</f>
        <v/>
      </c>
      <c r="Z113" t="str">
        <f>IF(MSE成绩库!C113="","", MSE成绩库!AC113)</f>
        <v/>
      </c>
    </row>
    <row r="114" spans="1:26" x14ac:dyDescent="0.2">
      <c r="A114" t="str">
        <f>IF(MSE成绩库!C114="","", MSE成绩库!C114)</f>
        <v/>
      </c>
      <c r="B114" t="str">
        <f>IF(MSE成绩库!AD114="","", MSE成绩库!AD114)</f>
        <v/>
      </c>
      <c r="C114" t="str">
        <f>IF(MSE成绩库!B114="","", MSE成绩库!B114)</f>
        <v/>
      </c>
      <c r="D114" t="str">
        <f>IF(MSE成绩库!D114="","", MSE成绩库!D114)</f>
        <v/>
      </c>
      <c r="E114" t="str">
        <f>IF(MSE成绩库!C114="","", MSE成绩库!E114)</f>
        <v/>
      </c>
      <c r="F114" t="str">
        <f>IF(MSE成绩库!C114="","", MSE成绩库!F114)</f>
        <v/>
      </c>
      <c r="G114" t="str">
        <f>IF(MSE成绩库!C114="","", MSE成绩库!G114)</f>
        <v/>
      </c>
      <c r="H114" t="str">
        <f>IF(MSE成绩库!C114="","", MSE成绩库!H114)</f>
        <v/>
      </c>
      <c r="I114" t="str">
        <f>IF(MSE成绩库!C114="","", MSE成绩库!I114)</f>
        <v/>
      </c>
      <c r="J114" t="str">
        <f>IF(MSE成绩库!C114="","", MSE成绩库!J114)</f>
        <v/>
      </c>
      <c r="K114" t="str">
        <f>IF(MSE成绩库!C114="","", MSE成绩库!K114)</f>
        <v/>
      </c>
      <c r="L114" t="str">
        <f>IF(MSE成绩库!C114="","", MSE成绩库!M114)</f>
        <v/>
      </c>
      <c r="M114" t="str">
        <f>IF(MSE成绩库!C114="","", MSE成绩库!N114)</f>
        <v/>
      </c>
      <c r="N114" t="str">
        <f>IF(MSE成绩库!C114="","", MSE成绩库!O114)</f>
        <v/>
      </c>
      <c r="O114" t="str">
        <f>IF(MSE成绩库!C114="","", MSE成绩库!Q114)</f>
        <v/>
      </c>
      <c r="P114" t="str">
        <f>IF(MSE成绩库!C114="","", MSE成绩库!R114)</f>
        <v/>
      </c>
      <c r="Q114" t="str">
        <f>IF(MSE成绩库!C114="","", MSE成绩库!S114)</f>
        <v/>
      </c>
      <c r="R114" t="str">
        <f>IF(MSE成绩库!C114="","", MSE成绩库!T114)</f>
        <v/>
      </c>
      <c r="S114" t="str">
        <f>IF(MSE成绩库!C114="","", MSE成绩库!U114)</f>
        <v/>
      </c>
      <c r="T114" t="str">
        <f>IF(MSE成绩库!C114="","", MSE成绩库!V114)</f>
        <v/>
      </c>
      <c r="U114" t="str">
        <f>IF(MSE成绩库!C114="","", MSE成绩库!X114)</f>
        <v/>
      </c>
      <c r="V114" t="str">
        <f>IF(MSE成绩库!C114="","", MSE成绩库!Y114)</f>
        <v/>
      </c>
      <c r="W114" t="str">
        <f>IF(MSE成绩库!C114="","", MSE成绩库!Z114)</f>
        <v/>
      </c>
      <c r="X114" t="str">
        <f>IF(MSE成绩库!C114="","", MSE成绩库!AA114)</f>
        <v/>
      </c>
      <c r="Y114" t="str">
        <f>IF(MSE成绩库!C114="","", MSE成绩库!AB114)</f>
        <v/>
      </c>
      <c r="Z114" t="str">
        <f>IF(MSE成绩库!C114="","", MSE成绩库!AC114)</f>
        <v/>
      </c>
    </row>
    <row r="115" spans="1:26" x14ac:dyDescent="0.2">
      <c r="A115" t="str">
        <f>IF(MSE成绩库!C115="","", MSE成绩库!C115)</f>
        <v/>
      </c>
      <c r="B115" t="str">
        <f>IF(MSE成绩库!AD115="","", MSE成绩库!AD115)</f>
        <v/>
      </c>
      <c r="C115" t="str">
        <f>IF(MSE成绩库!B115="","", MSE成绩库!B115)</f>
        <v/>
      </c>
      <c r="D115" t="str">
        <f>IF(MSE成绩库!D115="","", MSE成绩库!D115)</f>
        <v/>
      </c>
      <c r="E115" t="str">
        <f>IF(MSE成绩库!C115="","", MSE成绩库!E115)</f>
        <v/>
      </c>
      <c r="F115" t="str">
        <f>IF(MSE成绩库!C115="","", MSE成绩库!F115)</f>
        <v/>
      </c>
      <c r="G115" t="str">
        <f>IF(MSE成绩库!C115="","", MSE成绩库!G115)</f>
        <v/>
      </c>
      <c r="H115" t="str">
        <f>IF(MSE成绩库!C115="","", MSE成绩库!H115)</f>
        <v/>
      </c>
      <c r="I115" t="str">
        <f>IF(MSE成绩库!C115="","", MSE成绩库!I115)</f>
        <v/>
      </c>
      <c r="J115" t="str">
        <f>IF(MSE成绩库!C115="","", MSE成绩库!J115)</f>
        <v/>
      </c>
      <c r="K115" t="str">
        <f>IF(MSE成绩库!C115="","", MSE成绩库!K115)</f>
        <v/>
      </c>
      <c r="L115" t="str">
        <f>IF(MSE成绩库!C115="","", MSE成绩库!M115)</f>
        <v/>
      </c>
      <c r="M115" t="str">
        <f>IF(MSE成绩库!C115="","", MSE成绩库!N115)</f>
        <v/>
      </c>
      <c r="N115" t="str">
        <f>IF(MSE成绩库!C115="","", MSE成绩库!O115)</f>
        <v/>
      </c>
      <c r="O115" t="str">
        <f>IF(MSE成绩库!C115="","", MSE成绩库!Q115)</f>
        <v/>
      </c>
      <c r="P115" t="str">
        <f>IF(MSE成绩库!C115="","", MSE成绩库!R115)</f>
        <v/>
      </c>
      <c r="Q115" t="str">
        <f>IF(MSE成绩库!C115="","", MSE成绩库!S115)</f>
        <v/>
      </c>
      <c r="R115" t="str">
        <f>IF(MSE成绩库!C115="","", MSE成绩库!T115)</f>
        <v/>
      </c>
      <c r="S115" t="str">
        <f>IF(MSE成绩库!C115="","", MSE成绩库!U115)</f>
        <v/>
      </c>
      <c r="T115" t="str">
        <f>IF(MSE成绩库!C115="","", MSE成绩库!V115)</f>
        <v/>
      </c>
      <c r="U115" t="str">
        <f>IF(MSE成绩库!C115="","", MSE成绩库!X115)</f>
        <v/>
      </c>
      <c r="V115" t="str">
        <f>IF(MSE成绩库!C115="","", MSE成绩库!Y115)</f>
        <v/>
      </c>
      <c r="W115" t="str">
        <f>IF(MSE成绩库!C115="","", MSE成绩库!Z115)</f>
        <v/>
      </c>
      <c r="X115" t="str">
        <f>IF(MSE成绩库!C115="","", MSE成绩库!AA115)</f>
        <v/>
      </c>
      <c r="Y115" t="str">
        <f>IF(MSE成绩库!C115="","", MSE成绩库!AB115)</f>
        <v/>
      </c>
      <c r="Z115" t="str">
        <f>IF(MSE成绩库!C115="","", MSE成绩库!AC115)</f>
        <v/>
      </c>
    </row>
    <row r="116" spans="1:26" x14ac:dyDescent="0.2">
      <c r="A116" t="str">
        <f>IF(MSE成绩库!C116="","", MSE成绩库!C116)</f>
        <v/>
      </c>
      <c r="B116" t="str">
        <f>IF(MSE成绩库!AD116="","", MSE成绩库!AD116)</f>
        <v/>
      </c>
      <c r="C116" t="str">
        <f>IF(MSE成绩库!B116="","", MSE成绩库!B116)</f>
        <v/>
      </c>
      <c r="D116" t="str">
        <f>IF(MSE成绩库!D116="","", MSE成绩库!D116)</f>
        <v/>
      </c>
      <c r="E116" t="str">
        <f>IF(MSE成绩库!C116="","", MSE成绩库!E116)</f>
        <v/>
      </c>
      <c r="F116" t="str">
        <f>IF(MSE成绩库!C116="","", MSE成绩库!F116)</f>
        <v/>
      </c>
      <c r="G116" t="str">
        <f>IF(MSE成绩库!C116="","", MSE成绩库!G116)</f>
        <v/>
      </c>
      <c r="H116" t="str">
        <f>IF(MSE成绩库!C116="","", MSE成绩库!H116)</f>
        <v/>
      </c>
      <c r="I116" t="str">
        <f>IF(MSE成绩库!C116="","", MSE成绩库!I116)</f>
        <v/>
      </c>
      <c r="J116" t="str">
        <f>IF(MSE成绩库!C116="","", MSE成绩库!J116)</f>
        <v/>
      </c>
      <c r="K116" t="str">
        <f>IF(MSE成绩库!C116="","", MSE成绩库!K116)</f>
        <v/>
      </c>
      <c r="L116" t="str">
        <f>IF(MSE成绩库!C116="","", MSE成绩库!M116)</f>
        <v/>
      </c>
      <c r="M116" t="str">
        <f>IF(MSE成绩库!C116="","", MSE成绩库!N116)</f>
        <v/>
      </c>
      <c r="N116" t="str">
        <f>IF(MSE成绩库!C116="","", MSE成绩库!O116)</f>
        <v/>
      </c>
      <c r="O116" t="str">
        <f>IF(MSE成绩库!C116="","", MSE成绩库!Q116)</f>
        <v/>
      </c>
      <c r="P116" t="str">
        <f>IF(MSE成绩库!C116="","", MSE成绩库!R116)</f>
        <v/>
      </c>
      <c r="Q116" t="str">
        <f>IF(MSE成绩库!C116="","", MSE成绩库!S116)</f>
        <v/>
      </c>
      <c r="R116" t="str">
        <f>IF(MSE成绩库!C116="","", MSE成绩库!T116)</f>
        <v/>
      </c>
      <c r="S116" t="str">
        <f>IF(MSE成绩库!C116="","", MSE成绩库!U116)</f>
        <v/>
      </c>
      <c r="T116" t="str">
        <f>IF(MSE成绩库!C116="","", MSE成绩库!V116)</f>
        <v/>
      </c>
      <c r="U116" t="str">
        <f>IF(MSE成绩库!C116="","", MSE成绩库!X116)</f>
        <v/>
      </c>
      <c r="V116" t="str">
        <f>IF(MSE成绩库!C116="","", MSE成绩库!Y116)</f>
        <v/>
      </c>
      <c r="W116" t="str">
        <f>IF(MSE成绩库!C116="","", MSE成绩库!Z116)</f>
        <v/>
      </c>
      <c r="X116" t="str">
        <f>IF(MSE成绩库!C116="","", MSE成绩库!AA116)</f>
        <v/>
      </c>
      <c r="Y116" t="str">
        <f>IF(MSE成绩库!C116="","", MSE成绩库!AB116)</f>
        <v/>
      </c>
      <c r="Z116" t="str">
        <f>IF(MSE成绩库!C116="","", MSE成绩库!AC116)</f>
        <v/>
      </c>
    </row>
    <row r="117" spans="1:26" x14ac:dyDescent="0.2">
      <c r="A117" t="str">
        <f>IF(MSE成绩库!C117="","", MSE成绩库!C117)</f>
        <v/>
      </c>
      <c r="B117" t="str">
        <f>IF(MSE成绩库!AD117="","", MSE成绩库!AD117)</f>
        <v/>
      </c>
      <c r="C117" t="str">
        <f>IF(MSE成绩库!B117="","", MSE成绩库!B117)</f>
        <v/>
      </c>
      <c r="D117" t="str">
        <f>IF(MSE成绩库!D117="","", MSE成绩库!D117)</f>
        <v/>
      </c>
      <c r="E117" t="str">
        <f>IF(MSE成绩库!C117="","", MSE成绩库!E117)</f>
        <v/>
      </c>
      <c r="F117" t="str">
        <f>IF(MSE成绩库!C117="","", MSE成绩库!F117)</f>
        <v/>
      </c>
      <c r="G117" t="str">
        <f>IF(MSE成绩库!C117="","", MSE成绩库!G117)</f>
        <v/>
      </c>
      <c r="H117" t="str">
        <f>IF(MSE成绩库!C117="","", MSE成绩库!H117)</f>
        <v/>
      </c>
      <c r="I117" t="str">
        <f>IF(MSE成绩库!C117="","", MSE成绩库!I117)</f>
        <v/>
      </c>
      <c r="J117" t="str">
        <f>IF(MSE成绩库!C117="","", MSE成绩库!J117)</f>
        <v/>
      </c>
      <c r="K117" t="str">
        <f>IF(MSE成绩库!C117="","", MSE成绩库!K117)</f>
        <v/>
      </c>
      <c r="L117" t="str">
        <f>IF(MSE成绩库!C117="","", MSE成绩库!M117)</f>
        <v/>
      </c>
      <c r="M117" t="str">
        <f>IF(MSE成绩库!C117="","", MSE成绩库!N117)</f>
        <v/>
      </c>
      <c r="N117" t="str">
        <f>IF(MSE成绩库!C117="","", MSE成绩库!O117)</f>
        <v/>
      </c>
      <c r="O117" t="str">
        <f>IF(MSE成绩库!C117="","", MSE成绩库!Q117)</f>
        <v/>
      </c>
      <c r="P117" t="str">
        <f>IF(MSE成绩库!C117="","", MSE成绩库!R117)</f>
        <v/>
      </c>
      <c r="Q117" t="str">
        <f>IF(MSE成绩库!C117="","", MSE成绩库!S117)</f>
        <v/>
      </c>
      <c r="R117" t="str">
        <f>IF(MSE成绩库!C117="","", MSE成绩库!T117)</f>
        <v/>
      </c>
      <c r="S117" t="str">
        <f>IF(MSE成绩库!C117="","", MSE成绩库!U117)</f>
        <v/>
      </c>
      <c r="T117" t="str">
        <f>IF(MSE成绩库!C117="","", MSE成绩库!V117)</f>
        <v/>
      </c>
      <c r="U117" t="str">
        <f>IF(MSE成绩库!C117="","", MSE成绩库!X117)</f>
        <v/>
      </c>
      <c r="V117" t="str">
        <f>IF(MSE成绩库!C117="","", MSE成绩库!Y117)</f>
        <v/>
      </c>
      <c r="W117" t="str">
        <f>IF(MSE成绩库!C117="","", MSE成绩库!Z117)</f>
        <v/>
      </c>
      <c r="X117" t="str">
        <f>IF(MSE成绩库!C117="","", MSE成绩库!AA117)</f>
        <v/>
      </c>
      <c r="Y117" t="str">
        <f>IF(MSE成绩库!C117="","", MSE成绩库!AB117)</f>
        <v/>
      </c>
      <c r="Z117" t="str">
        <f>IF(MSE成绩库!C117="","", MSE成绩库!AC117)</f>
        <v/>
      </c>
    </row>
    <row r="118" spans="1:26" x14ac:dyDescent="0.2">
      <c r="A118" t="str">
        <f>IF(MSE成绩库!C118="","", MSE成绩库!C118)</f>
        <v/>
      </c>
      <c r="B118" t="str">
        <f>IF(MSE成绩库!AD118="","", MSE成绩库!AD118)</f>
        <v/>
      </c>
      <c r="C118" t="str">
        <f>IF(MSE成绩库!B118="","", MSE成绩库!B118)</f>
        <v/>
      </c>
      <c r="D118" t="str">
        <f>IF(MSE成绩库!D118="","", MSE成绩库!D118)</f>
        <v/>
      </c>
      <c r="E118" t="str">
        <f>IF(MSE成绩库!C118="","", MSE成绩库!E118)</f>
        <v/>
      </c>
      <c r="F118" t="str">
        <f>IF(MSE成绩库!C118="","", MSE成绩库!F118)</f>
        <v/>
      </c>
      <c r="G118" t="str">
        <f>IF(MSE成绩库!C118="","", MSE成绩库!G118)</f>
        <v/>
      </c>
      <c r="H118" t="str">
        <f>IF(MSE成绩库!C118="","", MSE成绩库!H118)</f>
        <v/>
      </c>
      <c r="I118" t="str">
        <f>IF(MSE成绩库!C118="","", MSE成绩库!I118)</f>
        <v/>
      </c>
      <c r="J118" t="str">
        <f>IF(MSE成绩库!C118="","", MSE成绩库!J118)</f>
        <v/>
      </c>
      <c r="K118" t="str">
        <f>IF(MSE成绩库!C118="","", MSE成绩库!K118)</f>
        <v/>
      </c>
      <c r="L118" t="str">
        <f>IF(MSE成绩库!C118="","", MSE成绩库!M118)</f>
        <v/>
      </c>
      <c r="M118" t="str">
        <f>IF(MSE成绩库!C118="","", MSE成绩库!N118)</f>
        <v/>
      </c>
      <c r="N118" t="str">
        <f>IF(MSE成绩库!C118="","", MSE成绩库!O118)</f>
        <v/>
      </c>
      <c r="O118" t="str">
        <f>IF(MSE成绩库!C118="","", MSE成绩库!Q118)</f>
        <v/>
      </c>
      <c r="P118" t="str">
        <f>IF(MSE成绩库!C118="","", MSE成绩库!R118)</f>
        <v/>
      </c>
      <c r="Q118" t="str">
        <f>IF(MSE成绩库!C118="","", MSE成绩库!S118)</f>
        <v/>
      </c>
      <c r="R118" t="str">
        <f>IF(MSE成绩库!C118="","", MSE成绩库!T118)</f>
        <v/>
      </c>
      <c r="S118" t="str">
        <f>IF(MSE成绩库!C118="","", MSE成绩库!U118)</f>
        <v/>
      </c>
      <c r="T118" t="str">
        <f>IF(MSE成绩库!C118="","", MSE成绩库!V118)</f>
        <v/>
      </c>
      <c r="U118" t="str">
        <f>IF(MSE成绩库!C118="","", MSE成绩库!X118)</f>
        <v/>
      </c>
      <c r="V118" t="str">
        <f>IF(MSE成绩库!C118="","", MSE成绩库!Y118)</f>
        <v/>
      </c>
      <c r="W118" t="str">
        <f>IF(MSE成绩库!C118="","", MSE成绩库!Z118)</f>
        <v/>
      </c>
      <c r="X118" t="str">
        <f>IF(MSE成绩库!C118="","", MSE成绩库!AA118)</f>
        <v/>
      </c>
      <c r="Y118" t="str">
        <f>IF(MSE成绩库!C118="","", MSE成绩库!AB118)</f>
        <v/>
      </c>
      <c r="Z118" t="str">
        <f>IF(MSE成绩库!C118="","", MSE成绩库!AC118)</f>
        <v/>
      </c>
    </row>
    <row r="119" spans="1:26" x14ac:dyDescent="0.2">
      <c r="A119" t="str">
        <f>IF(MSE成绩库!C119="","", MSE成绩库!C119)</f>
        <v/>
      </c>
      <c r="B119" t="str">
        <f>IF(MSE成绩库!AD119="","", MSE成绩库!AD119)</f>
        <v/>
      </c>
      <c r="C119" t="str">
        <f>IF(MSE成绩库!B119="","", MSE成绩库!B119)</f>
        <v/>
      </c>
      <c r="D119" t="str">
        <f>IF(MSE成绩库!D119="","", MSE成绩库!D119)</f>
        <v/>
      </c>
      <c r="E119" t="str">
        <f>IF(MSE成绩库!C119="","", MSE成绩库!E119)</f>
        <v/>
      </c>
      <c r="F119" t="str">
        <f>IF(MSE成绩库!C119="","", MSE成绩库!F119)</f>
        <v/>
      </c>
      <c r="G119" t="str">
        <f>IF(MSE成绩库!C119="","", MSE成绩库!G119)</f>
        <v/>
      </c>
      <c r="H119" t="str">
        <f>IF(MSE成绩库!C119="","", MSE成绩库!H119)</f>
        <v/>
      </c>
      <c r="I119" t="str">
        <f>IF(MSE成绩库!C119="","", MSE成绩库!I119)</f>
        <v/>
      </c>
      <c r="J119" t="str">
        <f>IF(MSE成绩库!C119="","", MSE成绩库!J119)</f>
        <v/>
      </c>
      <c r="K119" t="str">
        <f>IF(MSE成绩库!C119="","", MSE成绩库!K119)</f>
        <v/>
      </c>
      <c r="L119" t="str">
        <f>IF(MSE成绩库!C119="","", MSE成绩库!M119)</f>
        <v/>
      </c>
      <c r="M119" t="str">
        <f>IF(MSE成绩库!C119="","", MSE成绩库!N119)</f>
        <v/>
      </c>
      <c r="N119" t="str">
        <f>IF(MSE成绩库!C119="","", MSE成绩库!O119)</f>
        <v/>
      </c>
      <c r="O119" t="str">
        <f>IF(MSE成绩库!C119="","", MSE成绩库!Q119)</f>
        <v/>
      </c>
      <c r="P119" t="str">
        <f>IF(MSE成绩库!C119="","", MSE成绩库!R119)</f>
        <v/>
      </c>
      <c r="Q119" t="str">
        <f>IF(MSE成绩库!C119="","", MSE成绩库!S119)</f>
        <v/>
      </c>
      <c r="R119" t="str">
        <f>IF(MSE成绩库!C119="","", MSE成绩库!T119)</f>
        <v/>
      </c>
      <c r="S119" t="str">
        <f>IF(MSE成绩库!C119="","", MSE成绩库!U119)</f>
        <v/>
      </c>
      <c r="T119" t="str">
        <f>IF(MSE成绩库!C119="","", MSE成绩库!V119)</f>
        <v/>
      </c>
      <c r="U119" t="str">
        <f>IF(MSE成绩库!C119="","", MSE成绩库!X119)</f>
        <v/>
      </c>
      <c r="V119" t="str">
        <f>IF(MSE成绩库!C119="","", MSE成绩库!Y119)</f>
        <v/>
      </c>
      <c r="W119" t="str">
        <f>IF(MSE成绩库!C119="","", MSE成绩库!Z119)</f>
        <v/>
      </c>
      <c r="X119" t="str">
        <f>IF(MSE成绩库!C119="","", MSE成绩库!AA119)</f>
        <v/>
      </c>
      <c r="Y119" t="str">
        <f>IF(MSE成绩库!C119="","", MSE成绩库!AB119)</f>
        <v/>
      </c>
      <c r="Z119" t="str">
        <f>IF(MSE成绩库!C119="","", MSE成绩库!AC119)</f>
        <v/>
      </c>
    </row>
    <row r="120" spans="1:26" x14ac:dyDescent="0.2">
      <c r="A120" t="str">
        <f>IF(MSE成绩库!C120="","", MSE成绩库!C120)</f>
        <v/>
      </c>
      <c r="B120" t="str">
        <f>IF(MSE成绩库!AD120="","", MSE成绩库!AD120)</f>
        <v/>
      </c>
      <c r="C120" t="str">
        <f>IF(MSE成绩库!B120="","", MSE成绩库!B120)</f>
        <v/>
      </c>
      <c r="D120" t="str">
        <f>IF(MSE成绩库!D120="","", MSE成绩库!D120)</f>
        <v/>
      </c>
      <c r="E120" t="str">
        <f>IF(MSE成绩库!C120="","", MSE成绩库!E120)</f>
        <v/>
      </c>
      <c r="F120" t="str">
        <f>IF(MSE成绩库!C120="","", MSE成绩库!F120)</f>
        <v/>
      </c>
      <c r="G120" t="str">
        <f>IF(MSE成绩库!C120="","", MSE成绩库!G120)</f>
        <v/>
      </c>
      <c r="H120" t="str">
        <f>IF(MSE成绩库!C120="","", MSE成绩库!H120)</f>
        <v/>
      </c>
      <c r="I120" t="str">
        <f>IF(MSE成绩库!C120="","", MSE成绩库!I120)</f>
        <v/>
      </c>
      <c r="J120" t="str">
        <f>IF(MSE成绩库!C120="","", MSE成绩库!J120)</f>
        <v/>
      </c>
      <c r="K120" t="str">
        <f>IF(MSE成绩库!C120="","", MSE成绩库!K120)</f>
        <v/>
      </c>
      <c r="L120" t="str">
        <f>IF(MSE成绩库!C120="","", MSE成绩库!M120)</f>
        <v/>
      </c>
      <c r="M120" t="str">
        <f>IF(MSE成绩库!C120="","", MSE成绩库!N120)</f>
        <v/>
      </c>
      <c r="N120" t="str">
        <f>IF(MSE成绩库!C120="","", MSE成绩库!O120)</f>
        <v/>
      </c>
      <c r="O120" t="str">
        <f>IF(MSE成绩库!C120="","", MSE成绩库!Q120)</f>
        <v/>
      </c>
      <c r="P120" t="str">
        <f>IF(MSE成绩库!C120="","", MSE成绩库!R120)</f>
        <v/>
      </c>
      <c r="Q120" t="str">
        <f>IF(MSE成绩库!C120="","", MSE成绩库!S120)</f>
        <v/>
      </c>
      <c r="R120" t="str">
        <f>IF(MSE成绩库!C120="","", MSE成绩库!T120)</f>
        <v/>
      </c>
      <c r="S120" t="str">
        <f>IF(MSE成绩库!C120="","", MSE成绩库!U120)</f>
        <v/>
      </c>
      <c r="T120" t="str">
        <f>IF(MSE成绩库!C120="","", MSE成绩库!V120)</f>
        <v/>
      </c>
      <c r="U120" t="str">
        <f>IF(MSE成绩库!C120="","", MSE成绩库!X120)</f>
        <v/>
      </c>
      <c r="V120" t="str">
        <f>IF(MSE成绩库!C120="","", MSE成绩库!Y120)</f>
        <v/>
      </c>
      <c r="W120" t="str">
        <f>IF(MSE成绩库!C120="","", MSE成绩库!Z120)</f>
        <v/>
      </c>
      <c r="X120" t="str">
        <f>IF(MSE成绩库!C120="","", MSE成绩库!AA120)</f>
        <v/>
      </c>
      <c r="Y120" t="str">
        <f>IF(MSE成绩库!C120="","", MSE成绩库!AB120)</f>
        <v/>
      </c>
      <c r="Z120" t="str">
        <f>IF(MSE成绩库!C120="","", MSE成绩库!AC120)</f>
        <v/>
      </c>
    </row>
    <row r="121" spans="1:26" x14ac:dyDescent="0.2">
      <c r="A121" t="str">
        <f>IF(MSE成绩库!C121="","", MSE成绩库!C121)</f>
        <v/>
      </c>
      <c r="B121" t="str">
        <f>IF(MSE成绩库!AD121="","", MSE成绩库!AD121)</f>
        <v/>
      </c>
      <c r="C121" t="str">
        <f>IF(MSE成绩库!B121="","", MSE成绩库!B121)</f>
        <v/>
      </c>
      <c r="D121" t="str">
        <f>IF(MSE成绩库!D121="","", MSE成绩库!D121)</f>
        <v/>
      </c>
      <c r="E121" t="str">
        <f>IF(MSE成绩库!C121="","", MSE成绩库!E121)</f>
        <v/>
      </c>
      <c r="F121" t="str">
        <f>IF(MSE成绩库!C121="","", MSE成绩库!F121)</f>
        <v/>
      </c>
      <c r="G121" t="str">
        <f>IF(MSE成绩库!C121="","", MSE成绩库!G121)</f>
        <v/>
      </c>
      <c r="H121" t="str">
        <f>IF(MSE成绩库!C121="","", MSE成绩库!H121)</f>
        <v/>
      </c>
      <c r="I121" t="str">
        <f>IF(MSE成绩库!C121="","", MSE成绩库!I121)</f>
        <v/>
      </c>
      <c r="J121" t="str">
        <f>IF(MSE成绩库!C121="","", MSE成绩库!J121)</f>
        <v/>
      </c>
      <c r="K121" t="str">
        <f>IF(MSE成绩库!C121="","", MSE成绩库!K121)</f>
        <v/>
      </c>
      <c r="L121" t="str">
        <f>IF(MSE成绩库!C121="","", MSE成绩库!M121)</f>
        <v/>
      </c>
      <c r="M121" t="str">
        <f>IF(MSE成绩库!C121="","", MSE成绩库!N121)</f>
        <v/>
      </c>
      <c r="N121" t="str">
        <f>IF(MSE成绩库!C121="","", MSE成绩库!O121)</f>
        <v/>
      </c>
      <c r="O121" t="str">
        <f>IF(MSE成绩库!C121="","", MSE成绩库!Q121)</f>
        <v/>
      </c>
      <c r="P121" t="str">
        <f>IF(MSE成绩库!C121="","", MSE成绩库!R121)</f>
        <v/>
      </c>
      <c r="Q121" t="str">
        <f>IF(MSE成绩库!C121="","", MSE成绩库!S121)</f>
        <v/>
      </c>
      <c r="R121" t="str">
        <f>IF(MSE成绩库!C121="","", MSE成绩库!T121)</f>
        <v/>
      </c>
      <c r="S121" t="str">
        <f>IF(MSE成绩库!C121="","", MSE成绩库!U121)</f>
        <v/>
      </c>
      <c r="T121" t="str">
        <f>IF(MSE成绩库!C121="","", MSE成绩库!V121)</f>
        <v/>
      </c>
      <c r="U121" t="str">
        <f>IF(MSE成绩库!C121="","", MSE成绩库!X121)</f>
        <v/>
      </c>
      <c r="V121" t="str">
        <f>IF(MSE成绩库!C121="","", MSE成绩库!Y121)</f>
        <v/>
      </c>
      <c r="W121" t="str">
        <f>IF(MSE成绩库!C121="","", MSE成绩库!Z121)</f>
        <v/>
      </c>
      <c r="X121" t="str">
        <f>IF(MSE成绩库!C121="","", MSE成绩库!AA121)</f>
        <v/>
      </c>
      <c r="Y121" t="str">
        <f>IF(MSE成绩库!C121="","", MSE成绩库!AB121)</f>
        <v/>
      </c>
      <c r="Z121" t="str">
        <f>IF(MSE成绩库!C121="","", MSE成绩库!AC121)</f>
        <v/>
      </c>
    </row>
    <row r="122" spans="1:26" x14ac:dyDescent="0.2">
      <c r="A122" t="str">
        <f>IF(MSE成绩库!C122="","", MSE成绩库!C122)</f>
        <v/>
      </c>
      <c r="B122" t="str">
        <f>IF(MSE成绩库!AD122="","", MSE成绩库!AD122)</f>
        <v/>
      </c>
      <c r="C122" t="str">
        <f>IF(MSE成绩库!B122="","", MSE成绩库!B122)</f>
        <v/>
      </c>
      <c r="D122" t="str">
        <f>IF(MSE成绩库!D122="","", MSE成绩库!D122)</f>
        <v/>
      </c>
      <c r="E122" t="str">
        <f>IF(MSE成绩库!C122="","", MSE成绩库!E122)</f>
        <v/>
      </c>
      <c r="F122" t="str">
        <f>IF(MSE成绩库!C122="","", MSE成绩库!F122)</f>
        <v/>
      </c>
      <c r="G122" t="str">
        <f>IF(MSE成绩库!C122="","", MSE成绩库!G122)</f>
        <v/>
      </c>
      <c r="H122" t="str">
        <f>IF(MSE成绩库!C122="","", MSE成绩库!H122)</f>
        <v/>
      </c>
      <c r="I122" t="str">
        <f>IF(MSE成绩库!C122="","", MSE成绩库!I122)</f>
        <v/>
      </c>
      <c r="J122" t="str">
        <f>IF(MSE成绩库!C122="","", MSE成绩库!J122)</f>
        <v/>
      </c>
      <c r="K122" t="str">
        <f>IF(MSE成绩库!C122="","", MSE成绩库!K122)</f>
        <v/>
      </c>
      <c r="L122" t="str">
        <f>IF(MSE成绩库!C122="","", MSE成绩库!M122)</f>
        <v/>
      </c>
      <c r="M122" t="str">
        <f>IF(MSE成绩库!C122="","", MSE成绩库!N122)</f>
        <v/>
      </c>
      <c r="N122" t="str">
        <f>IF(MSE成绩库!C122="","", MSE成绩库!O122)</f>
        <v/>
      </c>
      <c r="O122" t="str">
        <f>IF(MSE成绩库!C122="","", MSE成绩库!Q122)</f>
        <v/>
      </c>
      <c r="P122" t="str">
        <f>IF(MSE成绩库!C122="","", MSE成绩库!R122)</f>
        <v/>
      </c>
      <c r="Q122" t="str">
        <f>IF(MSE成绩库!C122="","", MSE成绩库!S122)</f>
        <v/>
      </c>
      <c r="R122" t="str">
        <f>IF(MSE成绩库!C122="","", MSE成绩库!T122)</f>
        <v/>
      </c>
      <c r="S122" t="str">
        <f>IF(MSE成绩库!C122="","", MSE成绩库!U122)</f>
        <v/>
      </c>
      <c r="T122" t="str">
        <f>IF(MSE成绩库!C122="","", MSE成绩库!V122)</f>
        <v/>
      </c>
      <c r="U122" t="str">
        <f>IF(MSE成绩库!C122="","", MSE成绩库!X122)</f>
        <v/>
      </c>
      <c r="V122" t="str">
        <f>IF(MSE成绩库!C122="","", MSE成绩库!Y122)</f>
        <v/>
      </c>
      <c r="W122" t="str">
        <f>IF(MSE成绩库!C122="","", MSE成绩库!Z122)</f>
        <v/>
      </c>
      <c r="X122" t="str">
        <f>IF(MSE成绩库!C122="","", MSE成绩库!AA122)</f>
        <v/>
      </c>
      <c r="Y122" t="str">
        <f>IF(MSE成绩库!C122="","", MSE成绩库!AB122)</f>
        <v/>
      </c>
      <c r="Z122" t="str">
        <f>IF(MSE成绩库!C122="","", MSE成绩库!AC122)</f>
        <v/>
      </c>
    </row>
    <row r="123" spans="1:26" x14ac:dyDescent="0.2">
      <c r="A123" t="str">
        <f>IF(MSE成绩库!C123="","", MSE成绩库!C123)</f>
        <v/>
      </c>
      <c r="B123" t="str">
        <f>IF(MSE成绩库!AD123="","", MSE成绩库!AD123)</f>
        <v/>
      </c>
      <c r="C123" t="str">
        <f>IF(MSE成绩库!B123="","", MSE成绩库!B123)</f>
        <v/>
      </c>
      <c r="D123" t="str">
        <f>IF(MSE成绩库!D123="","", MSE成绩库!D123)</f>
        <v/>
      </c>
      <c r="E123" t="str">
        <f>IF(MSE成绩库!C123="","", MSE成绩库!E123)</f>
        <v/>
      </c>
      <c r="F123" t="str">
        <f>IF(MSE成绩库!C123="","", MSE成绩库!F123)</f>
        <v/>
      </c>
      <c r="G123" t="str">
        <f>IF(MSE成绩库!C123="","", MSE成绩库!G123)</f>
        <v/>
      </c>
      <c r="H123" t="str">
        <f>IF(MSE成绩库!C123="","", MSE成绩库!H123)</f>
        <v/>
      </c>
      <c r="I123" t="str">
        <f>IF(MSE成绩库!C123="","", MSE成绩库!I123)</f>
        <v/>
      </c>
      <c r="J123" t="str">
        <f>IF(MSE成绩库!C123="","", MSE成绩库!J123)</f>
        <v/>
      </c>
      <c r="K123" t="str">
        <f>IF(MSE成绩库!C123="","", MSE成绩库!K123)</f>
        <v/>
      </c>
      <c r="L123" t="str">
        <f>IF(MSE成绩库!C123="","", MSE成绩库!M123)</f>
        <v/>
      </c>
      <c r="M123" t="str">
        <f>IF(MSE成绩库!C123="","", MSE成绩库!N123)</f>
        <v/>
      </c>
      <c r="N123" t="str">
        <f>IF(MSE成绩库!C123="","", MSE成绩库!O123)</f>
        <v/>
      </c>
      <c r="O123" t="str">
        <f>IF(MSE成绩库!C123="","", MSE成绩库!Q123)</f>
        <v/>
      </c>
      <c r="P123" t="str">
        <f>IF(MSE成绩库!C123="","", MSE成绩库!R123)</f>
        <v/>
      </c>
      <c r="Q123" t="str">
        <f>IF(MSE成绩库!C123="","", MSE成绩库!S123)</f>
        <v/>
      </c>
      <c r="R123" t="str">
        <f>IF(MSE成绩库!C123="","", MSE成绩库!T123)</f>
        <v/>
      </c>
      <c r="S123" t="str">
        <f>IF(MSE成绩库!C123="","", MSE成绩库!U123)</f>
        <v/>
      </c>
      <c r="T123" t="str">
        <f>IF(MSE成绩库!C123="","", MSE成绩库!V123)</f>
        <v/>
      </c>
      <c r="U123" t="str">
        <f>IF(MSE成绩库!C123="","", MSE成绩库!X123)</f>
        <v/>
      </c>
      <c r="V123" t="str">
        <f>IF(MSE成绩库!C123="","", MSE成绩库!Y123)</f>
        <v/>
      </c>
      <c r="W123" t="str">
        <f>IF(MSE成绩库!C123="","", MSE成绩库!Z123)</f>
        <v/>
      </c>
      <c r="X123" t="str">
        <f>IF(MSE成绩库!C123="","", MSE成绩库!AA123)</f>
        <v/>
      </c>
      <c r="Y123" t="str">
        <f>IF(MSE成绩库!C123="","", MSE成绩库!AB123)</f>
        <v/>
      </c>
      <c r="Z123" t="str">
        <f>IF(MSE成绩库!C123="","", MSE成绩库!AC123)</f>
        <v/>
      </c>
    </row>
    <row r="124" spans="1:26" x14ac:dyDescent="0.2">
      <c r="A124" t="str">
        <f>IF(MSE成绩库!C124="","", MSE成绩库!C124)</f>
        <v/>
      </c>
      <c r="B124" t="str">
        <f>IF(MSE成绩库!AD124="","", MSE成绩库!AD124)</f>
        <v/>
      </c>
      <c r="C124" t="str">
        <f>IF(MSE成绩库!B124="","", MSE成绩库!B124)</f>
        <v/>
      </c>
      <c r="D124" t="str">
        <f>IF(MSE成绩库!D124="","", MSE成绩库!D124)</f>
        <v/>
      </c>
      <c r="E124" t="str">
        <f>IF(MSE成绩库!C124="","", MSE成绩库!E124)</f>
        <v/>
      </c>
      <c r="F124" t="str">
        <f>IF(MSE成绩库!C124="","", MSE成绩库!F124)</f>
        <v/>
      </c>
      <c r="G124" t="str">
        <f>IF(MSE成绩库!C124="","", MSE成绩库!G124)</f>
        <v/>
      </c>
      <c r="H124" t="str">
        <f>IF(MSE成绩库!C124="","", MSE成绩库!H124)</f>
        <v/>
      </c>
      <c r="I124" t="str">
        <f>IF(MSE成绩库!C124="","", MSE成绩库!I124)</f>
        <v/>
      </c>
      <c r="J124" t="str">
        <f>IF(MSE成绩库!C124="","", MSE成绩库!J124)</f>
        <v/>
      </c>
      <c r="K124" t="str">
        <f>IF(MSE成绩库!C124="","", MSE成绩库!K124)</f>
        <v/>
      </c>
      <c r="L124" t="str">
        <f>IF(MSE成绩库!C124="","", MSE成绩库!M124)</f>
        <v/>
      </c>
      <c r="M124" t="str">
        <f>IF(MSE成绩库!C124="","", MSE成绩库!N124)</f>
        <v/>
      </c>
      <c r="N124" t="str">
        <f>IF(MSE成绩库!C124="","", MSE成绩库!O124)</f>
        <v/>
      </c>
      <c r="O124" t="str">
        <f>IF(MSE成绩库!C124="","", MSE成绩库!Q124)</f>
        <v/>
      </c>
      <c r="P124" t="str">
        <f>IF(MSE成绩库!C124="","", MSE成绩库!R124)</f>
        <v/>
      </c>
      <c r="Q124" t="str">
        <f>IF(MSE成绩库!C124="","", MSE成绩库!S124)</f>
        <v/>
      </c>
      <c r="R124" t="str">
        <f>IF(MSE成绩库!C124="","", MSE成绩库!T124)</f>
        <v/>
      </c>
      <c r="S124" t="str">
        <f>IF(MSE成绩库!C124="","", MSE成绩库!U124)</f>
        <v/>
      </c>
      <c r="T124" t="str">
        <f>IF(MSE成绩库!C124="","", MSE成绩库!V124)</f>
        <v/>
      </c>
      <c r="U124" t="str">
        <f>IF(MSE成绩库!C124="","", MSE成绩库!X124)</f>
        <v/>
      </c>
      <c r="V124" t="str">
        <f>IF(MSE成绩库!C124="","", MSE成绩库!Y124)</f>
        <v/>
      </c>
      <c r="W124" t="str">
        <f>IF(MSE成绩库!C124="","", MSE成绩库!Z124)</f>
        <v/>
      </c>
      <c r="X124" t="str">
        <f>IF(MSE成绩库!C124="","", MSE成绩库!AA124)</f>
        <v/>
      </c>
      <c r="Y124" t="str">
        <f>IF(MSE成绩库!C124="","", MSE成绩库!AB124)</f>
        <v/>
      </c>
      <c r="Z124" t="str">
        <f>IF(MSE成绩库!C124="","", MSE成绩库!AC124)</f>
        <v/>
      </c>
    </row>
    <row r="125" spans="1:26" x14ac:dyDescent="0.2">
      <c r="A125" t="str">
        <f>IF(MSE成绩库!C125="","", MSE成绩库!C125)</f>
        <v/>
      </c>
      <c r="B125" t="str">
        <f>IF(MSE成绩库!AD125="","", MSE成绩库!AD125)</f>
        <v/>
      </c>
      <c r="C125" t="str">
        <f>IF(MSE成绩库!B125="","", MSE成绩库!B125)</f>
        <v/>
      </c>
      <c r="D125" t="str">
        <f>IF(MSE成绩库!D125="","", MSE成绩库!D125)</f>
        <v/>
      </c>
      <c r="E125" t="str">
        <f>IF(MSE成绩库!C125="","", MSE成绩库!E125)</f>
        <v/>
      </c>
      <c r="F125" t="str">
        <f>IF(MSE成绩库!C125="","", MSE成绩库!F125)</f>
        <v/>
      </c>
      <c r="G125" t="str">
        <f>IF(MSE成绩库!C125="","", MSE成绩库!G125)</f>
        <v/>
      </c>
      <c r="H125" t="str">
        <f>IF(MSE成绩库!C125="","", MSE成绩库!H125)</f>
        <v/>
      </c>
      <c r="I125" t="str">
        <f>IF(MSE成绩库!C125="","", MSE成绩库!I125)</f>
        <v/>
      </c>
      <c r="J125" t="str">
        <f>IF(MSE成绩库!C125="","", MSE成绩库!J125)</f>
        <v/>
      </c>
      <c r="K125" t="str">
        <f>IF(MSE成绩库!C125="","", MSE成绩库!K125)</f>
        <v/>
      </c>
      <c r="L125" t="str">
        <f>IF(MSE成绩库!C125="","", MSE成绩库!M125)</f>
        <v/>
      </c>
      <c r="M125" t="str">
        <f>IF(MSE成绩库!C125="","", MSE成绩库!N125)</f>
        <v/>
      </c>
      <c r="N125" t="str">
        <f>IF(MSE成绩库!C125="","", MSE成绩库!O125)</f>
        <v/>
      </c>
      <c r="O125" t="str">
        <f>IF(MSE成绩库!C125="","", MSE成绩库!Q125)</f>
        <v/>
      </c>
      <c r="P125" t="str">
        <f>IF(MSE成绩库!C125="","", MSE成绩库!R125)</f>
        <v/>
      </c>
      <c r="Q125" t="str">
        <f>IF(MSE成绩库!C125="","", MSE成绩库!S125)</f>
        <v/>
      </c>
      <c r="R125" t="str">
        <f>IF(MSE成绩库!C125="","", MSE成绩库!T125)</f>
        <v/>
      </c>
      <c r="S125" t="str">
        <f>IF(MSE成绩库!C125="","", MSE成绩库!U125)</f>
        <v/>
      </c>
      <c r="T125" t="str">
        <f>IF(MSE成绩库!C125="","", MSE成绩库!V125)</f>
        <v/>
      </c>
      <c r="U125" t="str">
        <f>IF(MSE成绩库!C125="","", MSE成绩库!X125)</f>
        <v/>
      </c>
      <c r="V125" t="str">
        <f>IF(MSE成绩库!C125="","", MSE成绩库!Y125)</f>
        <v/>
      </c>
      <c r="W125" t="str">
        <f>IF(MSE成绩库!C125="","", MSE成绩库!Z125)</f>
        <v/>
      </c>
      <c r="X125" t="str">
        <f>IF(MSE成绩库!C125="","", MSE成绩库!AA125)</f>
        <v/>
      </c>
      <c r="Y125" t="str">
        <f>IF(MSE成绩库!C125="","", MSE成绩库!AB125)</f>
        <v/>
      </c>
      <c r="Z125" t="str">
        <f>IF(MSE成绩库!C125="","", MSE成绩库!AC125)</f>
        <v/>
      </c>
    </row>
    <row r="126" spans="1:26" x14ac:dyDescent="0.2">
      <c r="A126" t="str">
        <f>IF(MSE成绩库!C126="","", MSE成绩库!C126)</f>
        <v/>
      </c>
      <c r="B126" t="str">
        <f>IF(MSE成绩库!AD126="","", MSE成绩库!AD126)</f>
        <v/>
      </c>
      <c r="C126" t="str">
        <f>IF(MSE成绩库!B126="","", MSE成绩库!B126)</f>
        <v/>
      </c>
      <c r="D126" t="str">
        <f>IF(MSE成绩库!D126="","", MSE成绩库!D126)</f>
        <v/>
      </c>
      <c r="E126" t="str">
        <f>IF(MSE成绩库!C126="","", MSE成绩库!E126)</f>
        <v/>
      </c>
      <c r="F126" t="str">
        <f>IF(MSE成绩库!C126="","", MSE成绩库!F126)</f>
        <v/>
      </c>
      <c r="G126" t="str">
        <f>IF(MSE成绩库!C126="","", MSE成绩库!G126)</f>
        <v/>
      </c>
      <c r="H126" t="str">
        <f>IF(MSE成绩库!C126="","", MSE成绩库!H126)</f>
        <v/>
      </c>
      <c r="I126" t="str">
        <f>IF(MSE成绩库!C126="","", MSE成绩库!I126)</f>
        <v/>
      </c>
      <c r="J126" t="str">
        <f>IF(MSE成绩库!C126="","", MSE成绩库!J126)</f>
        <v/>
      </c>
      <c r="K126" t="str">
        <f>IF(MSE成绩库!C126="","", MSE成绩库!K126)</f>
        <v/>
      </c>
      <c r="L126" t="str">
        <f>IF(MSE成绩库!C126="","", MSE成绩库!M126)</f>
        <v/>
      </c>
      <c r="M126" t="str">
        <f>IF(MSE成绩库!C126="","", MSE成绩库!N126)</f>
        <v/>
      </c>
      <c r="N126" t="str">
        <f>IF(MSE成绩库!C126="","", MSE成绩库!O126)</f>
        <v/>
      </c>
      <c r="O126" t="str">
        <f>IF(MSE成绩库!C126="","", MSE成绩库!Q126)</f>
        <v/>
      </c>
      <c r="P126" t="str">
        <f>IF(MSE成绩库!C126="","", MSE成绩库!R126)</f>
        <v/>
      </c>
      <c r="Q126" t="str">
        <f>IF(MSE成绩库!C126="","", MSE成绩库!S126)</f>
        <v/>
      </c>
      <c r="R126" t="str">
        <f>IF(MSE成绩库!C126="","", MSE成绩库!T126)</f>
        <v/>
      </c>
      <c r="S126" t="str">
        <f>IF(MSE成绩库!C126="","", MSE成绩库!U126)</f>
        <v/>
      </c>
      <c r="T126" t="str">
        <f>IF(MSE成绩库!C126="","", MSE成绩库!V126)</f>
        <v/>
      </c>
      <c r="U126" t="str">
        <f>IF(MSE成绩库!C126="","", MSE成绩库!X126)</f>
        <v/>
      </c>
      <c r="V126" t="str">
        <f>IF(MSE成绩库!C126="","", MSE成绩库!Y126)</f>
        <v/>
      </c>
      <c r="W126" t="str">
        <f>IF(MSE成绩库!C126="","", MSE成绩库!Z126)</f>
        <v/>
      </c>
      <c r="X126" t="str">
        <f>IF(MSE成绩库!C126="","", MSE成绩库!AA126)</f>
        <v/>
      </c>
      <c r="Y126" t="str">
        <f>IF(MSE成绩库!C126="","", MSE成绩库!AB126)</f>
        <v/>
      </c>
      <c r="Z126" t="str">
        <f>IF(MSE成绩库!C126="","", MSE成绩库!AC126)</f>
        <v/>
      </c>
    </row>
    <row r="127" spans="1:26" x14ac:dyDescent="0.2">
      <c r="A127" t="str">
        <f>IF(MSE成绩库!C127="","", MSE成绩库!C127)</f>
        <v/>
      </c>
      <c r="B127" t="str">
        <f>IF(MSE成绩库!AD127="","", MSE成绩库!AD127)</f>
        <v/>
      </c>
      <c r="C127" t="str">
        <f>IF(MSE成绩库!B127="","", MSE成绩库!B127)</f>
        <v/>
      </c>
      <c r="D127" t="str">
        <f>IF(MSE成绩库!D127="","", MSE成绩库!D127)</f>
        <v/>
      </c>
      <c r="E127" t="str">
        <f>IF(MSE成绩库!C127="","", MSE成绩库!E127)</f>
        <v/>
      </c>
      <c r="F127" t="str">
        <f>IF(MSE成绩库!C127="","", MSE成绩库!F127)</f>
        <v/>
      </c>
      <c r="G127" t="str">
        <f>IF(MSE成绩库!C127="","", MSE成绩库!G127)</f>
        <v/>
      </c>
      <c r="H127" t="str">
        <f>IF(MSE成绩库!C127="","", MSE成绩库!H127)</f>
        <v/>
      </c>
      <c r="I127" t="str">
        <f>IF(MSE成绩库!C127="","", MSE成绩库!I127)</f>
        <v/>
      </c>
      <c r="J127" t="str">
        <f>IF(MSE成绩库!C127="","", MSE成绩库!J127)</f>
        <v/>
      </c>
      <c r="K127" t="str">
        <f>IF(MSE成绩库!C127="","", MSE成绩库!K127)</f>
        <v/>
      </c>
      <c r="L127" t="str">
        <f>IF(MSE成绩库!C127="","", MSE成绩库!M127)</f>
        <v/>
      </c>
      <c r="M127" t="str">
        <f>IF(MSE成绩库!C127="","", MSE成绩库!N127)</f>
        <v/>
      </c>
      <c r="N127" t="str">
        <f>IF(MSE成绩库!C127="","", MSE成绩库!O127)</f>
        <v/>
      </c>
      <c r="O127" t="str">
        <f>IF(MSE成绩库!C127="","", MSE成绩库!Q127)</f>
        <v/>
      </c>
      <c r="P127" t="str">
        <f>IF(MSE成绩库!C127="","", MSE成绩库!R127)</f>
        <v/>
      </c>
      <c r="Q127" t="str">
        <f>IF(MSE成绩库!C127="","", MSE成绩库!S127)</f>
        <v/>
      </c>
      <c r="R127" t="str">
        <f>IF(MSE成绩库!C127="","", MSE成绩库!T127)</f>
        <v/>
      </c>
      <c r="S127" t="str">
        <f>IF(MSE成绩库!C127="","", MSE成绩库!U127)</f>
        <v/>
      </c>
      <c r="T127" t="str">
        <f>IF(MSE成绩库!C127="","", MSE成绩库!V127)</f>
        <v/>
      </c>
      <c r="U127" t="str">
        <f>IF(MSE成绩库!C127="","", MSE成绩库!X127)</f>
        <v/>
      </c>
      <c r="V127" t="str">
        <f>IF(MSE成绩库!C127="","", MSE成绩库!Y127)</f>
        <v/>
      </c>
      <c r="W127" t="str">
        <f>IF(MSE成绩库!C127="","", MSE成绩库!Z127)</f>
        <v/>
      </c>
      <c r="X127" t="str">
        <f>IF(MSE成绩库!C127="","", MSE成绩库!AA127)</f>
        <v/>
      </c>
      <c r="Y127" t="str">
        <f>IF(MSE成绩库!C127="","", MSE成绩库!AB127)</f>
        <v/>
      </c>
      <c r="Z127" t="str">
        <f>IF(MSE成绩库!C127="","", MSE成绩库!AC127)</f>
        <v/>
      </c>
    </row>
    <row r="128" spans="1:26" x14ac:dyDescent="0.2">
      <c r="A128" t="str">
        <f>IF(MSE成绩库!C128="","", MSE成绩库!C128)</f>
        <v/>
      </c>
      <c r="B128" t="str">
        <f>IF(MSE成绩库!AD128="","", MSE成绩库!AD128)</f>
        <v/>
      </c>
      <c r="C128" t="str">
        <f>IF(MSE成绩库!B128="","", MSE成绩库!B128)</f>
        <v/>
      </c>
      <c r="D128" t="str">
        <f>IF(MSE成绩库!D128="","", MSE成绩库!D128)</f>
        <v/>
      </c>
      <c r="E128" t="str">
        <f>IF(MSE成绩库!C128="","", MSE成绩库!E128)</f>
        <v/>
      </c>
      <c r="F128" t="str">
        <f>IF(MSE成绩库!C128="","", MSE成绩库!F128)</f>
        <v/>
      </c>
      <c r="G128" t="str">
        <f>IF(MSE成绩库!C128="","", MSE成绩库!G128)</f>
        <v/>
      </c>
      <c r="H128" t="str">
        <f>IF(MSE成绩库!C128="","", MSE成绩库!H128)</f>
        <v/>
      </c>
      <c r="I128" t="str">
        <f>IF(MSE成绩库!C128="","", MSE成绩库!I128)</f>
        <v/>
      </c>
      <c r="J128" t="str">
        <f>IF(MSE成绩库!C128="","", MSE成绩库!J128)</f>
        <v/>
      </c>
      <c r="K128" t="str">
        <f>IF(MSE成绩库!C128="","", MSE成绩库!K128)</f>
        <v/>
      </c>
      <c r="L128" t="str">
        <f>IF(MSE成绩库!C128="","", MSE成绩库!M128)</f>
        <v/>
      </c>
      <c r="M128" t="str">
        <f>IF(MSE成绩库!C128="","", MSE成绩库!N128)</f>
        <v/>
      </c>
      <c r="N128" t="str">
        <f>IF(MSE成绩库!C128="","", MSE成绩库!O128)</f>
        <v/>
      </c>
      <c r="O128" t="str">
        <f>IF(MSE成绩库!C128="","", MSE成绩库!Q128)</f>
        <v/>
      </c>
      <c r="P128" t="str">
        <f>IF(MSE成绩库!C128="","", MSE成绩库!R128)</f>
        <v/>
      </c>
      <c r="Q128" t="str">
        <f>IF(MSE成绩库!C128="","", MSE成绩库!S128)</f>
        <v/>
      </c>
      <c r="R128" t="str">
        <f>IF(MSE成绩库!C128="","", MSE成绩库!T128)</f>
        <v/>
      </c>
      <c r="S128" t="str">
        <f>IF(MSE成绩库!C128="","", MSE成绩库!U128)</f>
        <v/>
      </c>
      <c r="T128" t="str">
        <f>IF(MSE成绩库!C128="","", MSE成绩库!V128)</f>
        <v/>
      </c>
      <c r="U128" t="str">
        <f>IF(MSE成绩库!C128="","", MSE成绩库!X128)</f>
        <v/>
      </c>
      <c r="V128" t="str">
        <f>IF(MSE成绩库!C128="","", MSE成绩库!Y128)</f>
        <v/>
      </c>
      <c r="W128" t="str">
        <f>IF(MSE成绩库!C128="","", MSE成绩库!Z128)</f>
        <v/>
      </c>
      <c r="X128" t="str">
        <f>IF(MSE成绩库!C128="","", MSE成绩库!AA128)</f>
        <v/>
      </c>
      <c r="Y128" t="str">
        <f>IF(MSE成绩库!C128="","", MSE成绩库!AB128)</f>
        <v/>
      </c>
      <c r="Z128" t="str">
        <f>IF(MSE成绩库!C128="","", MSE成绩库!AC128)</f>
        <v/>
      </c>
    </row>
    <row r="129" spans="1:26" x14ac:dyDescent="0.2">
      <c r="A129" t="str">
        <f>IF(MSE成绩库!C129="","", MSE成绩库!C129)</f>
        <v/>
      </c>
      <c r="B129" t="str">
        <f>IF(MSE成绩库!AD129="","", MSE成绩库!AD129)</f>
        <v/>
      </c>
      <c r="C129" t="str">
        <f>IF(MSE成绩库!B129="","", MSE成绩库!B129)</f>
        <v/>
      </c>
      <c r="D129" t="str">
        <f>IF(MSE成绩库!D129="","", MSE成绩库!D129)</f>
        <v/>
      </c>
      <c r="E129" t="str">
        <f>IF(MSE成绩库!C129="","", MSE成绩库!E129)</f>
        <v/>
      </c>
      <c r="F129" t="str">
        <f>IF(MSE成绩库!C129="","", MSE成绩库!F129)</f>
        <v/>
      </c>
      <c r="G129" t="str">
        <f>IF(MSE成绩库!C129="","", MSE成绩库!G129)</f>
        <v/>
      </c>
      <c r="H129" t="str">
        <f>IF(MSE成绩库!C129="","", MSE成绩库!H129)</f>
        <v/>
      </c>
      <c r="I129" t="str">
        <f>IF(MSE成绩库!C129="","", MSE成绩库!I129)</f>
        <v/>
      </c>
      <c r="J129" t="str">
        <f>IF(MSE成绩库!C129="","", MSE成绩库!J129)</f>
        <v/>
      </c>
      <c r="K129" t="str">
        <f>IF(MSE成绩库!C129="","", MSE成绩库!K129)</f>
        <v/>
      </c>
      <c r="L129" t="str">
        <f>IF(MSE成绩库!C129="","", MSE成绩库!M129)</f>
        <v/>
      </c>
      <c r="M129" t="str">
        <f>IF(MSE成绩库!C129="","", MSE成绩库!N129)</f>
        <v/>
      </c>
      <c r="N129" t="str">
        <f>IF(MSE成绩库!C129="","", MSE成绩库!O129)</f>
        <v/>
      </c>
      <c r="O129" t="str">
        <f>IF(MSE成绩库!C129="","", MSE成绩库!Q129)</f>
        <v/>
      </c>
      <c r="P129" t="str">
        <f>IF(MSE成绩库!C129="","", MSE成绩库!R129)</f>
        <v/>
      </c>
      <c r="Q129" t="str">
        <f>IF(MSE成绩库!C129="","", MSE成绩库!S129)</f>
        <v/>
      </c>
      <c r="R129" t="str">
        <f>IF(MSE成绩库!C129="","", MSE成绩库!T129)</f>
        <v/>
      </c>
      <c r="S129" t="str">
        <f>IF(MSE成绩库!C129="","", MSE成绩库!U129)</f>
        <v/>
      </c>
      <c r="T129" t="str">
        <f>IF(MSE成绩库!C129="","", MSE成绩库!V129)</f>
        <v/>
      </c>
      <c r="U129" t="str">
        <f>IF(MSE成绩库!C129="","", MSE成绩库!X129)</f>
        <v/>
      </c>
      <c r="V129" t="str">
        <f>IF(MSE成绩库!C129="","", MSE成绩库!Y129)</f>
        <v/>
      </c>
      <c r="W129" t="str">
        <f>IF(MSE成绩库!C129="","", MSE成绩库!Z129)</f>
        <v/>
      </c>
      <c r="X129" t="str">
        <f>IF(MSE成绩库!C129="","", MSE成绩库!AA129)</f>
        <v/>
      </c>
      <c r="Y129" t="str">
        <f>IF(MSE成绩库!C129="","", MSE成绩库!AB129)</f>
        <v/>
      </c>
      <c r="Z129" t="str">
        <f>IF(MSE成绩库!C129="","", MSE成绩库!AC129)</f>
        <v/>
      </c>
    </row>
    <row r="130" spans="1:26" x14ac:dyDescent="0.2">
      <c r="A130" t="str">
        <f>IF(MSE成绩库!C130="","", MSE成绩库!C130)</f>
        <v/>
      </c>
      <c r="B130" t="str">
        <f>IF(MSE成绩库!AD130="","", MSE成绩库!AD130)</f>
        <v/>
      </c>
      <c r="C130" t="str">
        <f>IF(MSE成绩库!B130="","", MSE成绩库!B130)</f>
        <v/>
      </c>
      <c r="D130" t="str">
        <f>IF(MSE成绩库!D130="","", MSE成绩库!D130)</f>
        <v/>
      </c>
      <c r="E130" t="str">
        <f>IF(MSE成绩库!C130="","", MSE成绩库!E130)</f>
        <v/>
      </c>
      <c r="F130" t="str">
        <f>IF(MSE成绩库!C130="","", MSE成绩库!F130)</f>
        <v/>
      </c>
      <c r="G130" t="str">
        <f>IF(MSE成绩库!C130="","", MSE成绩库!G130)</f>
        <v/>
      </c>
      <c r="H130" t="str">
        <f>IF(MSE成绩库!C130="","", MSE成绩库!H130)</f>
        <v/>
      </c>
      <c r="I130" t="str">
        <f>IF(MSE成绩库!C130="","", MSE成绩库!I130)</f>
        <v/>
      </c>
      <c r="J130" t="str">
        <f>IF(MSE成绩库!C130="","", MSE成绩库!J130)</f>
        <v/>
      </c>
      <c r="K130" t="str">
        <f>IF(MSE成绩库!C130="","", MSE成绩库!K130)</f>
        <v/>
      </c>
      <c r="L130" t="str">
        <f>IF(MSE成绩库!C130="","", MSE成绩库!M130)</f>
        <v/>
      </c>
      <c r="M130" t="str">
        <f>IF(MSE成绩库!C130="","", MSE成绩库!N130)</f>
        <v/>
      </c>
      <c r="N130" t="str">
        <f>IF(MSE成绩库!C130="","", MSE成绩库!O130)</f>
        <v/>
      </c>
      <c r="O130" t="str">
        <f>IF(MSE成绩库!C130="","", MSE成绩库!Q130)</f>
        <v/>
      </c>
      <c r="P130" t="str">
        <f>IF(MSE成绩库!C130="","", MSE成绩库!R130)</f>
        <v/>
      </c>
      <c r="Q130" t="str">
        <f>IF(MSE成绩库!C130="","", MSE成绩库!S130)</f>
        <v/>
      </c>
      <c r="R130" t="str">
        <f>IF(MSE成绩库!C130="","", MSE成绩库!T130)</f>
        <v/>
      </c>
      <c r="S130" t="str">
        <f>IF(MSE成绩库!C130="","", MSE成绩库!U130)</f>
        <v/>
      </c>
      <c r="T130" t="str">
        <f>IF(MSE成绩库!C130="","", MSE成绩库!V130)</f>
        <v/>
      </c>
      <c r="U130" t="str">
        <f>IF(MSE成绩库!C130="","", MSE成绩库!X130)</f>
        <v/>
      </c>
      <c r="V130" t="str">
        <f>IF(MSE成绩库!C130="","", MSE成绩库!Y130)</f>
        <v/>
      </c>
      <c r="W130" t="str">
        <f>IF(MSE成绩库!C130="","", MSE成绩库!Z130)</f>
        <v/>
      </c>
      <c r="X130" t="str">
        <f>IF(MSE成绩库!C130="","", MSE成绩库!AA130)</f>
        <v/>
      </c>
      <c r="Y130" t="str">
        <f>IF(MSE成绩库!C130="","", MSE成绩库!AB130)</f>
        <v/>
      </c>
      <c r="Z130" t="str">
        <f>IF(MSE成绩库!C130="","", MSE成绩库!AC130)</f>
        <v/>
      </c>
    </row>
    <row r="131" spans="1:26" x14ac:dyDescent="0.2">
      <c r="A131" t="str">
        <f>IF(MSE成绩库!C131="","", MSE成绩库!C131)</f>
        <v/>
      </c>
      <c r="B131" t="str">
        <f>IF(MSE成绩库!AD131="","", MSE成绩库!AD131)</f>
        <v/>
      </c>
      <c r="C131" t="str">
        <f>IF(MSE成绩库!B131="","", MSE成绩库!B131)</f>
        <v/>
      </c>
      <c r="D131" t="str">
        <f>IF(MSE成绩库!D131="","", MSE成绩库!D131)</f>
        <v/>
      </c>
      <c r="E131" t="str">
        <f>IF(MSE成绩库!C131="","", MSE成绩库!E131)</f>
        <v/>
      </c>
      <c r="F131" t="str">
        <f>IF(MSE成绩库!C131="","", MSE成绩库!F131)</f>
        <v/>
      </c>
      <c r="G131" t="str">
        <f>IF(MSE成绩库!C131="","", MSE成绩库!G131)</f>
        <v/>
      </c>
      <c r="H131" t="str">
        <f>IF(MSE成绩库!C131="","", MSE成绩库!H131)</f>
        <v/>
      </c>
      <c r="I131" t="str">
        <f>IF(MSE成绩库!C131="","", MSE成绩库!I131)</f>
        <v/>
      </c>
      <c r="J131" t="str">
        <f>IF(MSE成绩库!C131="","", MSE成绩库!J131)</f>
        <v/>
      </c>
      <c r="K131" t="str">
        <f>IF(MSE成绩库!C131="","", MSE成绩库!K131)</f>
        <v/>
      </c>
      <c r="L131" t="str">
        <f>IF(MSE成绩库!C131="","", MSE成绩库!M131)</f>
        <v/>
      </c>
      <c r="M131" t="str">
        <f>IF(MSE成绩库!C131="","", MSE成绩库!N131)</f>
        <v/>
      </c>
      <c r="N131" t="str">
        <f>IF(MSE成绩库!C131="","", MSE成绩库!O131)</f>
        <v/>
      </c>
      <c r="O131" t="str">
        <f>IF(MSE成绩库!C131="","", MSE成绩库!Q131)</f>
        <v/>
      </c>
      <c r="P131" t="str">
        <f>IF(MSE成绩库!C131="","", MSE成绩库!R131)</f>
        <v/>
      </c>
      <c r="Q131" t="str">
        <f>IF(MSE成绩库!C131="","", MSE成绩库!S131)</f>
        <v/>
      </c>
      <c r="R131" t="str">
        <f>IF(MSE成绩库!C131="","", MSE成绩库!T131)</f>
        <v/>
      </c>
      <c r="S131" t="str">
        <f>IF(MSE成绩库!C131="","", MSE成绩库!U131)</f>
        <v/>
      </c>
      <c r="T131" t="str">
        <f>IF(MSE成绩库!C131="","", MSE成绩库!V131)</f>
        <v/>
      </c>
      <c r="U131" t="str">
        <f>IF(MSE成绩库!C131="","", MSE成绩库!X131)</f>
        <v/>
      </c>
      <c r="V131" t="str">
        <f>IF(MSE成绩库!C131="","", MSE成绩库!Y131)</f>
        <v/>
      </c>
      <c r="W131" t="str">
        <f>IF(MSE成绩库!C131="","", MSE成绩库!Z131)</f>
        <v/>
      </c>
      <c r="X131" t="str">
        <f>IF(MSE成绩库!C131="","", MSE成绩库!AA131)</f>
        <v/>
      </c>
      <c r="Y131" t="str">
        <f>IF(MSE成绩库!C131="","", MSE成绩库!AB131)</f>
        <v/>
      </c>
      <c r="Z131" t="str">
        <f>IF(MSE成绩库!C131="","", MSE成绩库!AC131)</f>
        <v/>
      </c>
    </row>
    <row r="132" spans="1:26" x14ac:dyDescent="0.2">
      <c r="A132" t="str">
        <f>IF(MSE成绩库!C132="","", MSE成绩库!C132)</f>
        <v/>
      </c>
      <c r="B132" t="str">
        <f>IF(MSE成绩库!AD132="","", MSE成绩库!AD132)</f>
        <v/>
      </c>
      <c r="C132" t="str">
        <f>IF(MSE成绩库!B132="","", MSE成绩库!B132)</f>
        <v/>
      </c>
      <c r="D132" t="str">
        <f>IF(MSE成绩库!D132="","", MSE成绩库!D132)</f>
        <v/>
      </c>
      <c r="E132" t="str">
        <f>IF(MSE成绩库!C132="","", MSE成绩库!E132)</f>
        <v/>
      </c>
      <c r="F132" t="str">
        <f>IF(MSE成绩库!C132="","", MSE成绩库!F132)</f>
        <v/>
      </c>
      <c r="G132" t="str">
        <f>IF(MSE成绩库!C132="","", MSE成绩库!G132)</f>
        <v/>
      </c>
      <c r="H132" t="str">
        <f>IF(MSE成绩库!C132="","", MSE成绩库!H132)</f>
        <v/>
      </c>
      <c r="I132" t="str">
        <f>IF(MSE成绩库!C132="","", MSE成绩库!I132)</f>
        <v/>
      </c>
      <c r="J132" t="str">
        <f>IF(MSE成绩库!C132="","", MSE成绩库!J132)</f>
        <v/>
      </c>
      <c r="K132" t="str">
        <f>IF(MSE成绩库!C132="","", MSE成绩库!K132)</f>
        <v/>
      </c>
      <c r="L132" t="str">
        <f>IF(MSE成绩库!C132="","", MSE成绩库!M132)</f>
        <v/>
      </c>
      <c r="M132" t="str">
        <f>IF(MSE成绩库!C132="","", MSE成绩库!N132)</f>
        <v/>
      </c>
      <c r="N132" t="str">
        <f>IF(MSE成绩库!C132="","", MSE成绩库!O132)</f>
        <v/>
      </c>
      <c r="O132" t="str">
        <f>IF(MSE成绩库!C132="","", MSE成绩库!Q132)</f>
        <v/>
      </c>
      <c r="P132" t="str">
        <f>IF(MSE成绩库!C132="","", MSE成绩库!R132)</f>
        <v/>
      </c>
      <c r="Q132" t="str">
        <f>IF(MSE成绩库!C132="","", MSE成绩库!S132)</f>
        <v/>
      </c>
      <c r="R132" t="str">
        <f>IF(MSE成绩库!C132="","", MSE成绩库!T132)</f>
        <v/>
      </c>
      <c r="S132" t="str">
        <f>IF(MSE成绩库!C132="","", MSE成绩库!U132)</f>
        <v/>
      </c>
      <c r="T132" t="str">
        <f>IF(MSE成绩库!C132="","", MSE成绩库!V132)</f>
        <v/>
      </c>
      <c r="U132" t="str">
        <f>IF(MSE成绩库!C132="","", MSE成绩库!X132)</f>
        <v/>
      </c>
      <c r="V132" t="str">
        <f>IF(MSE成绩库!C132="","", MSE成绩库!Y132)</f>
        <v/>
      </c>
      <c r="W132" t="str">
        <f>IF(MSE成绩库!C132="","", MSE成绩库!Z132)</f>
        <v/>
      </c>
      <c r="X132" t="str">
        <f>IF(MSE成绩库!C132="","", MSE成绩库!AA132)</f>
        <v/>
      </c>
      <c r="Y132" t="str">
        <f>IF(MSE成绩库!C132="","", MSE成绩库!AB132)</f>
        <v/>
      </c>
      <c r="Z132" t="str">
        <f>IF(MSE成绩库!C132="","", MSE成绩库!AC132)</f>
        <v/>
      </c>
    </row>
    <row r="133" spans="1:26" x14ac:dyDescent="0.2">
      <c r="A133" t="str">
        <f>IF(MSE成绩库!C133="","", MSE成绩库!C133)</f>
        <v/>
      </c>
      <c r="B133" t="str">
        <f>IF(MSE成绩库!AD133="","", MSE成绩库!AD133)</f>
        <v/>
      </c>
      <c r="C133" t="str">
        <f>IF(MSE成绩库!B133="","", MSE成绩库!B133)</f>
        <v/>
      </c>
      <c r="D133" t="str">
        <f>IF(MSE成绩库!D133="","", MSE成绩库!D133)</f>
        <v/>
      </c>
      <c r="E133" t="str">
        <f>IF(MSE成绩库!C133="","", MSE成绩库!E133)</f>
        <v/>
      </c>
      <c r="F133" t="str">
        <f>IF(MSE成绩库!C133="","", MSE成绩库!F133)</f>
        <v/>
      </c>
      <c r="G133" t="str">
        <f>IF(MSE成绩库!C133="","", MSE成绩库!G133)</f>
        <v/>
      </c>
      <c r="H133" t="str">
        <f>IF(MSE成绩库!C133="","", MSE成绩库!H133)</f>
        <v/>
      </c>
      <c r="I133" t="str">
        <f>IF(MSE成绩库!C133="","", MSE成绩库!I133)</f>
        <v/>
      </c>
      <c r="J133" t="str">
        <f>IF(MSE成绩库!C133="","", MSE成绩库!J133)</f>
        <v/>
      </c>
      <c r="K133" t="str">
        <f>IF(MSE成绩库!C133="","", MSE成绩库!K133)</f>
        <v/>
      </c>
      <c r="L133" t="str">
        <f>IF(MSE成绩库!C133="","", MSE成绩库!M133)</f>
        <v/>
      </c>
      <c r="M133" t="str">
        <f>IF(MSE成绩库!C133="","", MSE成绩库!N133)</f>
        <v/>
      </c>
      <c r="N133" t="str">
        <f>IF(MSE成绩库!C133="","", MSE成绩库!O133)</f>
        <v/>
      </c>
      <c r="O133" t="str">
        <f>IF(MSE成绩库!C133="","", MSE成绩库!Q133)</f>
        <v/>
      </c>
      <c r="P133" t="str">
        <f>IF(MSE成绩库!C133="","", MSE成绩库!R133)</f>
        <v/>
      </c>
      <c r="Q133" t="str">
        <f>IF(MSE成绩库!C133="","", MSE成绩库!S133)</f>
        <v/>
      </c>
      <c r="R133" t="str">
        <f>IF(MSE成绩库!C133="","", MSE成绩库!T133)</f>
        <v/>
      </c>
      <c r="S133" t="str">
        <f>IF(MSE成绩库!C133="","", MSE成绩库!U133)</f>
        <v/>
      </c>
      <c r="T133" t="str">
        <f>IF(MSE成绩库!C133="","", MSE成绩库!V133)</f>
        <v/>
      </c>
      <c r="U133" t="str">
        <f>IF(MSE成绩库!C133="","", MSE成绩库!X133)</f>
        <v/>
      </c>
      <c r="V133" t="str">
        <f>IF(MSE成绩库!C133="","", MSE成绩库!Y133)</f>
        <v/>
      </c>
      <c r="W133" t="str">
        <f>IF(MSE成绩库!C133="","", MSE成绩库!Z133)</f>
        <v/>
      </c>
      <c r="X133" t="str">
        <f>IF(MSE成绩库!C133="","", MSE成绩库!AA133)</f>
        <v/>
      </c>
      <c r="Y133" t="str">
        <f>IF(MSE成绩库!C133="","", MSE成绩库!AB133)</f>
        <v/>
      </c>
      <c r="Z133" t="str">
        <f>IF(MSE成绩库!C133="","", MSE成绩库!AC133)</f>
        <v/>
      </c>
    </row>
    <row r="134" spans="1:26" x14ac:dyDescent="0.2">
      <c r="A134" t="str">
        <f>IF(MSE成绩库!C134="","", MSE成绩库!C134)</f>
        <v/>
      </c>
      <c r="B134" t="str">
        <f>IF(MSE成绩库!AD134="","", MSE成绩库!AD134)</f>
        <v/>
      </c>
      <c r="C134" t="str">
        <f>IF(MSE成绩库!B134="","", MSE成绩库!B134)</f>
        <v/>
      </c>
      <c r="D134" t="str">
        <f>IF(MSE成绩库!D134="","", MSE成绩库!D134)</f>
        <v/>
      </c>
      <c r="E134" t="str">
        <f>IF(MSE成绩库!C134="","", MSE成绩库!E134)</f>
        <v/>
      </c>
      <c r="F134" t="str">
        <f>IF(MSE成绩库!C134="","", MSE成绩库!F134)</f>
        <v/>
      </c>
      <c r="G134" t="str">
        <f>IF(MSE成绩库!C134="","", MSE成绩库!G134)</f>
        <v/>
      </c>
      <c r="H134" t="str">
        <f>IF(MSE成绩库!C134="","", MSE成绩库!H134)</f>
        <v/>
      </c>
      <c r="I134" t="str">
        <f>IF(MSE成绩库!C134="","", MSE成绩库!I134)</f>
        <v/>
      </c>
      <c r="J134" t="str">
        <f>IF(MSE成绩库!C134="","", MSE成绩库!J134)</f>
        <v/>
      </c>
      <c r="K134" t="str">
        <f>IF(MSE成绩库!C134="","", MSE成绩库!K134)</f>
        <v/>
      </c>
      <c r="L134" t="str">
        <f>IF(MSE成绩库!C134="","", MSE成绩库!M134)</f>
        <v/>
      </c>
      <c r="M134" t="str">
        <f>IF(MSE成绩库!C134="","", MSE成绩库!N134)</f>
        <v/>
      </c>
      <c r="N134" t="str">
        <f>IF(MSE成绩库!C134="","", MSE成绩库!O134)</f>
        <v/>
      </c>
      <c r="O134" t="str">
        <f>IF(MSE成绩库!C134="","", MSE成绩库!Q134)</f>
        <v/>
      </c>
      <c r="P134" t="str">
        <f>IF(MSE成绩库!C134="","", MSE成绩库!R134)</f>
        <v/>
      </c>
      <c r="Q134" t="str">
        <f>IF(MSE成绩库!C134="","", MSE成绩库!S134)</f>
        <v/>
      </c>
      <c r="R134" t="str">
        <f>IF(MSE成绩库!C134="","", MSE成绩库!T134)</f>
        <v/>
      </c>
      <c r="S134" t="str">
        <f>IF(MSE成绩库!C134="","", MSE成绩库!U134)</f>
        <v/>
      </c>
      <c r="T134" t="str">
        <f>IF(MSE成绩库!C134="","", MSE成绩库!V134)</f>
        <v/>
      </c>
      <c r="U134" t="str">
        <f>IF(MSE成绩库!C134="","", MSE成绩库!X134)</f>
        <v/>
      </c>
      <c r="V134" t="str">
        <f>IF(MSE成绩库!C134="","", MSE成绩库!Y134)</f>
        <v/>
      </c>
      <c r="W134" t="str">
        <f>IF(MSE成绩库!C134="","", MSE成绩库!Z134)</f>
        <v/>
      </c>
      <c r="X134" t="str">
        <f>IF(MSE成绩库!C134="","", MSE成绩库!AA134)</f>
        <v/>
      </c>
      <c r="Y134" t="str">
        <f>IF(MSE成绩库!C134="","", MSE成绩库!AB134)</f>
        <v/>
      </c>
      <c r="Z134" t="str">
        <f>IF(MSE成绩库!C134="","", MSE成绩库!AC134)</f>
        <v/>
      </c>
    </row>
    <row r="135" spans="1:26" x14ac:dyDescent="0.2">
      <c r="A135" t="str">
        <f>IF(MSE成绩库!C135="","", MSE成绩库!C135)</f>
        <v/>
      </c>
      <c r="B135" t="str">
        <f>IF(MSE成绩库!AD135="","", MSE成绩库!AD135)</f>
        <v/>
      </c>
      <c r="C135" t="str">
        <f>IF(MSE成绩库!B135="","", MSE成绩库!B135)</f>
        <v/>
      </c>
      <c r="D135" t="str">
        <f>IF(MSE成绩库!D135="","", MSE成绩库!D135)</f>
        <v/>
      </c>
      <c r="E135" t="str">
        <f>IF(MSE成绩库!C135="","", MSE成绩库!E135)</f>
        <v/>
      </c>
      <c r="F135" t="str">
        <f>IF(MSE成绩库!C135="","", MSE成绩库!F135)</f>
        <v/>
      </c>
      <c r="G135" t="str">
        <f>IF(MSE成绩库!C135="","", MSE成绩库!G135)</f>
        <v/>
      </c>
      <c r="H135" t="str">
        <f>IF(MSE成绩库!C135="","", MSE成绩库!H135)</f>
        <v/>
      </c>
      <c r="I135" t="str">
        <f>IF(MSE成绩库!C135="","", MSE成绩库!I135)</f>
        <v/>
      </c>
      <c r="J135" t="str">
        <f>IF(MSE成绩库!C135="","", MSE成绩库!J135)</f>
        <v/>
      </c>
      <c r="K135" t="str">
        <f>IF(MSE成绩库!C135="","", MSE成绩库!K135)</f>
        <v/>
      </c>
      <c r="L135" t="str">
        <f>IF(MSE成绩库!C135="","", MSE成绩库!M135)</f>
        <v/>
      </c>
      <c r="M135" t="str">
        <f>IF(MSE成绩库!C135="","", MSE成绩库!N135)</f>
        <v/>
      </c>
      <c r="N135" t="str">
        <f>IF(MSE成绩库!C135="","", MSE成绩库!O135)</f>
        <v/>
      </c>
      <c r="O135" t="str">
        <f>IF(MSE成绩库!C135="","", MSE成绩库!Q135)</f>
        <v/>
      </c>
      <c r="P135" t="str">
        <f>IF(MSE成绩库!C135="","", MSE成绩库!R135)</f>
        <v/>
      </c>
      <c r="Q135" t="str">
        <f>IF(MSE成绩库!C135="","", MSE成绩库!S135)</f>
        <v/>
      </c>
      <c r="R135" t="str">
        <f>IF(MSE成绩库!C135="","", MSE成绩库!T135)</f>
        <v/>
      </c>
      <c r="S135" t="str">
        <f>IF(MSE成绩库!C135="","", MSE成绩库!U135)</f>
        <v/>
      </c>
      <c r="T135" t="str">
        <f>IF(MSE成绩库!C135="","", MSE成绩库!V135)</f>
        <v/>
      </c>
      <c r="U135" t="str">
        <f>IF(MSE成绩库!C135="","", MSE成绩库!X135)</f>
        <v/>
      </c>
      <c r="V135" t="str">
        <f>IF(MSE成绩库!C135="","", MSE成绩库!Y135)</f>
        <v/>
      </c>
      <c r="W135" t="str">
        <f>IF(MSE成绩库!C135="","", MSE成绩库!Z135)</f>
        <v/>
      </c>
      <c r="X135" t="str">
        <f>IF(MSE成绩库!C135="","", MSE成绩库!AA135)</f>
        <v/>
      </c>
      <c r="Y135" t="str">
        <f>IF(MSE成绩库!C135="","", MSE成绩库!AB135)</f>
        <v/>
      </c>
      <c r="Z135" t="str">
        <f>IF(MSE成绩库!C135="","", MSE成绩库!AC135)</f>
        <v/>
      </c>
    </row>
    <row r="136" spans="1:26" x14ac:dyDescent="0.2">
      <c r="A136" t="str">
        <f>IF(MSE成绩库!C136="","", MSE成绩库!C136)</f>
        <v/>
      </c>
      <c r="B136" t="str">
        <f>IF(MSE成绩库!AD136="","", MSE成绩库!AD136)</f>
        <v/>
      </c>
      <c r="C136" t="str">
        <f>IF(MSE成绩库!B136="","", MSE成绩库!B136)</f>
        <v/>
      </c>
      <c r="D136" t="str">
        <f>IF(MSE成绩库!D136="","", MSE成绩库!D136)</f>
        <v/>
      </c>
      <c r="E136" t="str">
        <f>IF(MSE成绩库!C136="","", MSE成绩库!E136)</f>
        <v/>
      </c>
      <c r="F136" t="str">
        <f>IF(MSE成绩库!C136="","", MSE成绩库!F136)</f>
        <v/>
      </c>
      <c r="G136" t="str">
        <f>IF(MSE成绩库!C136="","", MSE成绩库!G136)</f>
        <v/>
      </c>
      <c r="H136" t="str">
        <f>IF(MSE成绩库!C136="","", MSE成绩库!H136)</f>
        <v/>
      </c>
      <c r="I136" t="str">
        <f>IF(MSE成绩库!C136="","", MSE成绩库!I136)</f>
        <v/>
      </c>
      <c r="J136" t="str">
        <f>IF(MSE成绩库!C136="","", MSE成绩库!J136)</f>
        <v/>
      </c>
      <c r="K136" t="str">
        <f>IF(MSE成绩库!C136="","", MSE成绩库!K136)</f>
        <v/>
      </c>
      <c r="L136" t="str">
        <f>IF(MSE成绩库!C136="","", MSE成绩库!M136)</f>
        <v/>
      </c>
      <c r="M136" t="str">
        <f>IF(MSE成绩库!C136="","", MSE成绩库!N136)</f>
        <v/>
      </c>
      <c r="N136" t="str">
        <f>IF(MSE成绩库!C136="","", MSE成绩库!O136)</f>
        <v/>
      </c>
      <c r="O136" t="str">
        <f>IF(MSE成绩库!C136="","", MSE成绩库!Q136)</f>
        <v/>
      </c>
      <c r="P136" t="str">
        <f>IF(MSE成绩库!C136="","", MSE成绩库!R136)</f>
        <v/>
      </c>
      <c r="Q136" t="str">
        <f>IF(MSE成绩库!C136="","", MSE成绩库!S136)</f>
        <v/>
      </c>
      <c r="R136" t="str">
        <f>IF(MSE成绩库!C136="","", MSE成绩库!T136)</f>
        <v/>
      </c>
      <c r="S136" t="str">
        <f>IF(MSE成绩库!C136="","", MSE成绩库!U136)</f>
        <v/>
      </c>
      <c r="T136" t="str">
        <f>IF(MSE成绩库!C136="","", MSE成绩库!V136)</f>
        <v/>
      </c>
      <c r="U136" t="str">
        <f>IF(MSE成绩库!C136="","", MSE成绩库!X136)</f>
        <v/>
      </c>
      <c r="V136" t="str">
        <f>IF(MSE成绩库!C136="","", MSE成绩库!Y136)</f>
        <v/>
      </c>
      <c r="W136" t="str">
        <f>IF(MSE成绩库!C136="","", MSE成绩库!Z136)</f>
        <v/>
      </c>
      <c r="X136" t="str">
        <f>IF(MSE成绩库!C136="","", MSE成绩库!AA136)</f>
        <v/>
      </c>
      <c r="Y136" t="str">
        <f>IF(MSE成绩库!C136="","", MSE成绩库!AB136)</f>
        <v/>
      </c>
      <c r="Z136" t="str">
        <f>IF(MSE成绩库!C136="","", MSE成绩库!AC136)</f>
        <v/>
      </c>
    </row>
    <row r="137" spans="1:26" x14ac:dyDescent="0.2">
      <c r="A137" t="str">
        <f>IF(MSE成绩库!C137="","", MSE成绩库!C137)</f>
        <v/>
      </c>
      <c r="B137" t="str">
        <f>IF(MSE成绩库!AD137="","", MSE成绩库!AD137)</f>
        <v/>
      </c>
      <c r="C137" t="str">
        <f>IF(MSE成绩库!B137="","", MSE成绩库!B137)</f>
        <v/>
      </c>
      <c r="D137" t="str">
        <f>IF(MSE成绩库!D137="","", MSE成绩库!D137)</f>
        <v/>
      </c>
      <c r="E137" t="str">
        <f>IF(MSE成绩库!C137="","", MSE成绩库!E137)</f>
        <v/>
      </c>
      <c r="F137" t="str">
        <f>IF(MSE成绩库!C137="","", MSE成绩库!F137)</f>
        <v/>
      </c>
      <c r="G137" t="str">
        <f>IF(MSE成绩库!C137="","", MSE成绩库!G137)</f>
        <v/>
      </c>
      <c r="H137" t="str">
        <f>IF(MSE成绩库!C137="","", MSE成绩库!H137)</f>
        <v/>
      </c>
      <c r="I137" t="str">
        <f>IF(MSE成绩库!C137="","", MSE成绩库!I137)</f>
        <v/>
      </c>
      <c r="J137" t="str">
        <f>IF(MSE成绩库!C137="","", MSE成绩库!J137)</f>
        <v/>
      </c>
      <c r="K137" t="str">
        <f>IF(MSE成绩库!C137="","", MSE成绩库!K137)</f>
        <v/>
      </c>
      <c r="L137" t="str">
        <f>IF(MSE成绩库!C137="","", MSE成绩库!M137)</f>
        <v/>
      </c>
      <c r="M137" t="str">
        <f>IF(MSE成绩库!C137="","", MSE成绩库!N137)</f>
        <v/>
      </c>
      <c r="N137" t="str">
        <f>IF(MSE成绩库!C137="","", MSE成绩库!O137)</f>
        <v/>
      </c>
      <c r="O137" t="str">
        <f>IF(MSE成绩库!C137="","", MSE成绩库!Q137)</f>
        <v/>
      </c>
      <c r="P137" t="str">
        <f>IF(MSE成绩库!C137="","", MSE成绩库!R137)</f>
        <v/>
      </c>
      <c r="Q137" t="str">
        <f>IF(MSE成绩库!C137="","", MSE成绩库!S137)</f>
        <v/>
      </c>
      <c r="R137" t="str">
        <f>IF(MSE成绩库!C137="","", MSE成绩库!T137)</f>
        <v/>
      </c>
      <c r="S137" t="str">
        <f>IF(MSE成绩库!C137="","", MSE成绩库!U137)</f>
        <v/>
      </c>
      <c r="T137" t="str">
        <f>IF(MSE成绩库!C137="","", MSE成绩库!V137)</f>
        <v/>
      </c>
      <c r="U137" t="str">
        <f>IF(MSE成绩库!C137="","", MSE成绩库!X137)</f>
        <v/>
      </c>
      <c r="V137" t="str">
        <f>IF(MSE成绩库!C137="","", MSE成绩库!Y137)</f>
        <v/>
      </c>
      <c r="W137" t="str">
        <f>IF(MSE成绩库!C137="","", MSE成绩库!Z137)</f>
        <v/>
      </c>
      <c r="X137" t="str">
        <f>IF(MSE成绩库!C137="","", MSE成绩库!AA137)</f>
        <v/>
      </c>
      <c r="Y137" t="str">
        <f>IF(MSE成绩库!C137="","", MSE成绩库!AB137)</f>
        <v/>
      </c>
      <c r="Z137" t="str">
        <f>IF(MSE成绩库!C137="","", MSE成绩库!AC137)</f>
        <v/>
      </c>
    </row>
    <row r="138" spans="1:26" x14ac:dyDescent="0.2">
      <c r="A138" t="str">
        <f>IF(MSE成绩库!C138="","", MSE成绩库!C138)</f>
        <v/>
      </c>
      <c r="B138" t="str">
        <f>IF(MSE成绩库!AD138="","", MSE成绩库!AD138)</f>
        <v/>
      </c>
      <c r="C138" t="str">
        <f>IF(MSE成绩库!B138="","", MSE成绩库!B138)</f>
        <v/>
      </c>
      <c r="D138" t="str">
        <f>IF(MSE成绩库!D138="","", MSE成绩库!D138)</f>
        <v/>
      </c>
      <c r="E138" t="str">
        <f>IF(MSE成绩库!C138="","", MSE成绩库!E138)</f>
        <v/>
      </c>
      <c r="F138" t="str">
        <f>IF(MSE成绩库!C138="","", MSE成绩库!F138)</f>
        <v/>
      </c>
      <c r="G138" t="str">
        <f>IF(MSE成绩库!C138="","", MSE成绩库!G138)</f>
        <v/>
      </c>
      <c r="H138" t="str">
        <f>IF(MSE成绩库!C138="","", MSE成绩库!H138)</f>
        <v/>
      </c>
      <c r="I138" t="str">
        <f>IF(MSE成绩库!C138="","", MSE成绩库!I138)</f>
        <v/>
      </c>
      <c r="J138" t="str">
        <f>IF(MSE成绩库!C138="","", MSE成绩库!J138)</f>
        <v/>
      </c>
      <c r="K138" t="str">
        <f>IF(MSE成绩库!C138="","", MSE成绩库!K138)</f>
        <v/>
      </c>
      <c r="L138" t="str">
        <f>IF(MSE成绩库!C138="","", MSE成绩库!M138)</f>
        <v/>
      </c>
      <c r="M138" t="str">
        <f>IF(MSE成绩库!C138="","", MSE成绩库!N138)</f>
        <v/>
      </c>
      <c r="N138" t="str">
        <f>IF(MSE成绩库!C138="","", MSE成绩库!O138)</f>
        <v/>
      </c>
      <c r="O138" t="str">
        <f>IF(MSE成绩库!C138="","", MSE成绩库!Q138)</f>
        <v/>
      </c>
      <c r="P138" t="str">
        <f>IF(MSE成绩库!C138="","", MSE成绩库!R138)</f>
        <v/>
      </c>
      <c r="Q138" t="str">
        <f>IF(MSE成绩库!C138="","", MSE成绩库!S138)</f>
        <v/>
      </c>
      <c r="R138" t="str">
        <f>IF(MSE成绩库!C138="","", MSE成绩库!T138)</f>
        <v/>
      </c>
      <c r="S138" t="str">
        <f>IF(MSE成绩库!C138="","", MSE成绩库!U138)</f>
        <v/>
      </c>
      <c r="T138" t="str">
        <f>IF(MSE成绩库!C138="","", MSE成绩库!V138)</f>
        <v/>
      </c>
      <c r="U138" t="str">
        <f>IF(MSE成绩库!C138="","", MSE成绩库!X138)</f>
        <v/>
      </c>
      <c r="V138" t="str">
        <f>IF(MSE成绩库!C138="","", MSE成绩库!Y138)</f>
        <v/>
      </c>
      <c r="W138" t="str">
        <f>IF(MSE成绩库!C138="","", MSE成绩库!Z138)</f>
        <v/>
      </c>
      <c r="X138" t="str">
        <f>IF(MSE成绩库!C138="","", MSE成绩库!AA138)</f>
        <v/>
      </c>
      <c r="Y138" t="str">
        <f>IF(MSE成绩库!C138="","", MSE成绩库!AB138)</f>
        <v/>
      </c>
      <c r="Z138" t="str">
        <f>IF(MSE成绩库!C138="","", MSE成绩库!AC138)</f>
        <v/>
      </c>
    </row>
    <row r="139" spans="1:26" x14ac:dyDescent="0.2">
      <c r="A139" t="str">
        <f>IF(MSE成绩库!C139="","", MSE成绩库!C139)</f>
        <v/>
      </c>
      <c r="B139" t="str">
        <f>IF(MSE成绩库!AD139="","", MSE成绩库!AD139)</f>
        <v/>
      </c>
      <c r="C139" t="str">
        <f>IF(MSE成绩库!B139="","", MSE成绩库!B139)</f>
        <v/>
      </c>
      <c r="D139" t="str">
        <f>IF(MSE成绩库!D139="","", MSE成绩库!D139)</f>
        <v/>
      </c>
      <c r="E139" t="str">
        <f>IF(MSE成绩库!C139="","", MSE成绩库!E139)</f>
        <v/>
      </c>
      <c r="F139" t="str">
        <f>IF(MSE成绩库!C139="","", MSE成绩库!F139)</f>
        <v/>
      </c>
      <c r="G139" t="str">
        <f>IF(MSE成绩库!C139="","", MSE成绩库!G139)</f>
        <v/>
      </c>
      <c r="H139" t="str">
        <f>IF(MSE成绩库!C139="","", MSE成绩库!H139)</f>
        <v/>
      </c>
      <c r="I139" t="str">
        <f>IF(MSE成绩库!C139="","", MSE成绩库!I139)</f>
        <v/>
      </c>
      <c r="J139" t="str">
        <f>IF(MSE成绩库!C139="","", MSE成绩库!J139)</f>
        <v/>
      </c>
      <c r="K139" t="str">
        <f>IF(MSE成绩库!C139="","", MSE成绩库!K139)</f>
        <v/>
      </c>
      <c r="L139" t="str">
        <f>IF(MSE成绩库!C139="","", MSE成绩库!M139)</f>
        <v/>
      </c>
      <c r="M139" t="str">
        <f>IF(MSE成绩库!C139="","", MSE成绩库!N139)</f>
        <v/>
      </c>
      <c r="N139" t="str">
        <f>IF(MSE成绩库!C139="","", MSE成绩库!O139)</f>
        <v/>
      </c>
      <c r="O139" t="str">
        <f>IF(MSE成绩库!C139="","", MSE成绩库!Q139)</f>
        <v/>
      </c>
      <c r="P139" t="str">
        <f>IF(MSE成绩库!C139="","", MSE成绩库!R139)</f>
        <v/>
      </c>
      <c r="Q139" t="str">
        <f>IF(MSE成绩库!C139="","", MSE成绩库!S139)</f>
        <v/>
      </c>
      <c r="R139" t="str">
        <f>IF(MSE成绩库!C139="","", MSE成绩库!T139)</f>
        <v/>
      </c>
      <c r="S139" t="str">
        <f>IF(MSE成绩库!C139="","", MSE成绩库!U139)</f>
        <v/>
      </c>
      <c r="T139" t="str">
        <f>IF(MSE成绩库!C139="","", MSE成绩库!V139)</f>
        <v/>
      </c>
      <c r="U139" t="str">
        <f>IF(MSE成绩库!C139="","", MSE成绩库!X139)</f>
        <v/>
      </c>
      <c r="V139" t="str">
        <f>IF(MSE成绩库!C139="","", MSE成绩库!Y139)</f>
        <v/>
      </c>
      <c r="W139" t="str">
        <f>IF(MSE成绩库!C139="","", MSE成绩库!Z139)</f>
        <v/>
      </c>
      <c r="X139" t="str">
        <f>IF(MSE成绩库!C139="","", MSE成绩库!AA139)</f>
        <v/>
      </c>
      <c r="Y139" t="str">
        <f>IF(MSE成绩库!C139="","", MSE成绩库!AB139)</f>
        <v/>
      </c>
      <c r="Z139" t="str">
        <f>IF(MSE成绩库!C139="","", MSE成绩库!AC139)</f>
        <v/>
      </c>
    </row>
    <row r="140" spans="1:26" x14ac:dyDescent="0.2">
      <c r="A140" t="str">
        <f>IF(MSE成绩库!C140="","", MSE成绩库!C140)</f>
        <v/>
      </c>
      <c r="B140" t="str">
        <f>IF(MSE成绩库!AD140="","", MSE成绩库!AD140)</f>
        <v/>
      </c>
      <c r="C140" t="str">
        <f>IF(MSE成绩库!B140="","", MSE成绩库!B140)</f>
        <v/>
      </c>
      <c r="D140" t="str">
        <f>IF(MSE成绩库!D140="","", MSE成绩库!D140)</f>
        <v/>
      </c>
      <c r="E140" t="str">
        <f>IF(MSE成绩库!C140="","", MSE成绩库!E140)</f>
        <v/>
      </c>
      <c r="F140" t="str">
        <f>IF(MSE成绩库!C140="","", MSE成绩库!F140)</f>
        <v/>
      </c>
      <c r="G140" t="str">
        <f>IF(MSE成绩库!C140="","", MSE成绩库!G140)</f>
        <v/>
      </c>
      <c r="H140" t="str">
        <f>IF(MSE成绩库!C140="","", MSE成绩库!H140)</f>
        <v/>
      </c>
      <c r="I140" t="str">
        <f>IF(MSE成绩库!C140="","", MSE成绩库!I140)</f>
        <v/>
      </c>
      <c r="J140" t="str">
        <f>IF(MSE成绩库!C140="","", MSE成绩库!J140)</f>
        <v/>
      </c>
      <c r="K140" t="str">
        <f>IF(MSE成绩库!C140="","", MSE成绩库!K140)</f>
        <v/>
      </c>
      <c r="L140" t="str">
        <f>IF(MSE成绩库!C140="","", MSE成绩库!M140)</f>
        <v/>
      </c>
      <c r="M140" t="str">
        <f>IF(MSE成绩库!C140="","", MSE成绩库!N140)</f>
        <v/>
      </c>
      <c r="N140" t="str">
        <f>IF(MSE成绩库!C140="","", MSE成绩库!O140)</f>
        <v/>
      </c>
      <c r="O140" t="str">
        <f>IF(MSE成绩库!C140="","", MSE成绩库!Q140)</f>
        <v/>
      </c>
      <c r="P140" t="str">
        <f>IF(MSE成绩库!C140="","", MSE成绩库!R140)</f>
        <v/>
      </c>
      <c r="Q140" t="str">
        <f>IF(MSE成绩库!C140="","", MSE成绩库!S140)</f>
        <v/>
      </c>
      <c r="R140" t="str">
        <f>IF(MSE成绩库!C140="","", MSE成绩库!T140)</f>
        <v/>
      </c>
      <c r="S140" t="str">
        <f>IF(MSE成绩库!C140="","", MSE成绩库!U140)</f>
        <v/>
      </c>
      <c r="T140" t="str">
        <f>IF(MSE成绩库!C140="","", MSE成绩库!V140)</f>
        <v/>
      </c>
      <c r="U140" t="str">
        <f>IF(MSE成绩库!C140="","", MSE成绩库!X140)</f>
        <v/>
      </c>
      <c r="V140" t="str">
        <f>IF(MSE成绩库!C140="","", MSE成绩库!Y140)</f>
        <v/>
      </c>
      <c r="W140" t="str">
        <f>IF(MSE成绩库!C140="","", MSE成绩库!Z140)</f>
        <v/>
      </c>
      <c r="X140" t="str">
        <f>IF(MSE成绩库!C140="","", MSE成绩库!AA140)</f>
        <v/>
      </c>
      <c r="Y140" t="str">
        <f>IF(MSE成绩库!C140="","", MSE成绩库!AB140)</f>
        <v/>
      </c>
      <c r="Z140" t="str">
        <f>IF(MSE成绩库!C140="","", MSE成绩库!AC140)</f>
        <v/>
      </c>
    </row>
    <row r="141" spans="1:26" x14ac:dyDescent="0.2">
      <c r="A141" t="str">
        <f>IF(MSE成绩库!C141="","", MSE成绩库!C141)</f>
        <v/>
      </c>
      <c r="B141" t="str">
        <f>IF(MSE成绩库!AD141="","", MSE成绩库!AD141)</f>
        <v/>
      </c>
      <c r="C141" t="str">
        <f>IF(MSE成绩库!B141="","", MSE成绩库!B141)</f>
        <v/>
      </c>
      <c r="D141" t="str">
        <f>IF(MSE成绩库!D141="","", MSE成绩库!D141)</f>
        <v/>
      </c>
      <c r="E141" t="str">
        <f>IF(MSE成绩库!C141="","", MSE成绩库!E141)</f>
        <v/>
      </c>
      <c r="F141" t="str">
        <f>IF(MSE成绩库!C141="","", MSE成绩库!F141)</f>
        <v/>
      </c>
      <c r="G141" t="str">
        <f>IF(MSE成绩库!C141="","", MSE成绩库!G141)</f>
        <v/>
      </c>
      <c r="H141" t="str">
        <f>IF(MSE成绩库!C141="","", MSE成绩库!H141)</f>
        <v/>
      </c>
      <c r="I141" t="str">
        <f>IF(MSE成绩库!C141="","", MSE成绩库!I141)</f>
        <v/>
      </c>
      <c r="J141" t="str">
        <f>IF(MSE成绩库!C141="","", MSE成绩库!J141)</f>
        <v/>
      </c>
      <c r="K141" t="str">
        <f>IF(MSE成绩库!C141="","", MSE成绩库!K141)</f>
        <v/>
      </c>
      <c r="L141" t="str">
        <f>IF(MSE成绩库!C141="","", MSE成绩库!M141)</f>
        <v/>
      </c>
      <c r="M141" t="str">
        <f>IF(MSE成绩库!C141="","", MSE成绩库!N141)</f>
        <v/>
      </c>
      <c r="N141" t="str">
        <f>IF(MSE成绩库!C141="","", MSE成绩库!O141)</f>
        <v/>
      </c>
      <c r="O141" t="str">
        <f>IF(MSE成绩库!C141="","", MSE成绩库!Q141)</f>
        <v/>
      </c>
      <c r="P141" t="str">
        <f>IF(MSE成绩库!C141="","", MSE成绩库!R141)</f>
        <v/>
      </c>
      <c r="Q141" t="str">
        <f>IF(MSE成绩库!C141="","", MSE成绩库!S141)</f>
        <v/>
      </c>
      <c r="R141" t="str">
        <f>IF(MSE成绩库!C141="","", MSE成绩库!T141)</f>
        <v/>
      </c>
      <c r="S141" t="str">
        <f>IF(MSE成绩库!C141="","", MSE成绩库!U141)</f>
        <v/>
      </c>
      <c r="T141" t="str">
        <f>IF(MSE成绩库!C141="","", MSE成绩库!V141)</f>
        <v/>
      </c>
      <c r="U141" t="str">
        <f>IF(MSE成绩库!C141="","", MSE成绩库!X141)</f>
        <v/>
      </c>
      <c r="V141" t="str">
        <f>IF(MSE成绩库!C141="","", MSE成绩库!Y141)</f>
        <v/>
      </c>
      <c r="W141" t="str">
        <f>IF(MSE成绩库!C141="","", MSE成绩库!Z141)</f>
        <v/>
      </c>
      <c r="X141" t="str">
        <f>IF(MSE成绩库!C141="","", MSE成绩库!AA141)</f>
        <v/>
      </c>
      <c r="Y141" t="str">
        <f>IF(MSE成绩库!C141="","", MSE成绩库!AB141)</f>
        <v/>
      </c>
      <c r="Z141" t="str">
        <f>IF(MSE成绩库!C141="","", MSE成绩库!AC141)</f>
        <v/>
      </c>
    </row>
    <row r="142" spans="1:26" x14ac:dyDescent="0.2">
      <c r="A142" t="str">
        <f>IF(MSE成绩库!C142="","", MSE成绩库!C142)</f>
        <v/>
      </c>
      <c r="B142" t="str">
        <f>IF(MSE成绩库!AD142="","", MSE成绩库!AD142)</f>
        <v/>
      </c>
      <c r="C142" t="str">
        <f>IF(MSE成绩库!B142="","", MSE成绩库!B142)</f>
        <v/>
      </c>
      <c r="D142" t="str">
        <f>IF(MSE成绩库!D142="","", MSE成绩库!D142)</f>
        <v/>
      </c>
      <c r="E142" t="str">
        <f>IF(MSE成绩库!C142="","", MSE成绩库!E142)</f>
        <v/>
      </c>
      <c r="F142" t="str">
        <f>IF(MSE成绩库!C142="","", MSE成绩库!F142)</f>
        <v/>
      </c>
      <c r="G142" t="str">
        <f>IF(MSE成绩库!C142="","", MSE成绩库!G142)</f>
        <v/>
      </c>
      <c r="H142" t="str">
        <f>IF(MSE成绩库!C142="","", MSE成绩库!H142)</f>
        <v/>
      </c>
      <c r="I142" t="str">
        <f>IF(MSE成绩库!C142="","", MSE成绩库!I142)</f>
        <v/>
      </c>
      <c r="J142" t="str">
        <f>IF(MSE成绩库!C142="","", MSE成绩库!J142)</f>
        <v/>
      </c>
      <c r="K142" t="str">
        <f>IF(MSE成绩库!C142="","", MSE成绩库!K142)</f>
        <v/>
      </c>
      <c r="L142" t="str">
        <f>IF(MSE成绩库!C142="","", MSE成绩库!M142)</f>
        <v/>
      </c>
      <c r="M142" t="str">
        <f>IF(MSE成绩库!C142="","", MSE成绩库!N142)</f>
        <v/>
      </c>
      <c r="N142" t="str">
        <f>IF(MSE成绩库!C142="","", MSE成绩库!O142)</f>
        <v/>
      </c>
      <c r="O142" t="str">
        <f>IF(MSE成绩库!C142="","", MSE成绩库!Q142)</f>
        <v/>
      </c>
      <c r="P142" t="str">
        <f>IF(MSE成绩库!C142="","", MSE成绩库!R142)</f>
        <v/>
      </c>
      <c r="Q142" t="str">
        <f>IF(MSE成绩库!C142="","", MSE成绩库!S142)</f>
        <v/>
      </c>
      <c r="R142" t="str">
        <f>IF(MSE成绩库!C142="","", MSE成绩库!T142)</f>
        <v/>
      </c>
      <c r="S142" t="str">
        <f>IF(MSE成绩库!C142="","", MSE成绩库!U142)</f>
        <v/>
      </c>
      <c r="T142" t="str">
        <f>IF(MSE成绩库!C142="","", MSE成绩库!V142)</f>
        <v/>
      </c>
      <c r="U142" t="str">
        <f>IF(MSE成绩库!C142="","", MSE成绩库!X142)</f>
        <v/>
      </c>
      <c r="V142" t="str">
        <f>IF(MSE成绩库!C142="","", MSE成绩库!Y142)</f>
        <v/>
      </c>
      <c r="W142" t="str">
        <f>IF(MSE成绩库!C142="","", MSE成绩库!Z142)</f>
        <v/>
      </c>
      <c r="X142" t="str">
        <f>IF(MSE成绩库!C142="","", MSE成绩库!AA142)</f>
        <v/>
      </c>
      <c r="Y142" t="str">
        <f>IF(MSE成绩库!C142="","", MSE成绩库!AB142)</f>
        <v/>
      </c>
      <c r="Z142" t="str">
        <f>IF(MSE成绩库!C142="","", MSE成绩库!AC142)</f>
        <v/>
      </c>
    </row>
    <row r="143" spans="1:26" x14ac:dyDescent="0.2">
      <c r="A143" t="str">
        <f>IF(MSE成绩库!C143="","", MSE成绩库!C143)</f>
        <v/>
      </c>
      <c r="B143" t="str">
        <f>IF(MSE成绩库!AD143="","", MSE成绩库!AD143)</f>
        <v/>
      </c>
      <c r="C143" t="str">
        <f>IF(MSE成绩库!B143="","", MSE成绩库!B143)</f>
        <v/>
      </c>
      <c r="D143" t="str">
        <f>IF(MSE成绩库!D143="","", MSE成绩库!D143)</f>
        <v/>
      </c>
      <c r="E143" t="str">
        <f>IF(MSE成绩库!C143="","", MSE成绩库!E143)</f>
        <v/>
      </c>
      <c r="F143" t="str">
        <f>IF(MSE成绩库!C143="","", MSE成绩库!F143)</f>
        <v/>
      </c>
      <c r="G143" t="str">
        <f>IF(MSE成绩库!C143="","", MSE成绩库!G143)</f>
        <v/>
      </c>
      <c r="H143" t="str">
        <f>IF(MSE成绩库!C143="","", MSE成绩库!H143)</f>
        <v/>
      </c>
      <c r="I143" t="str">
        <f>IF(MSE成绩库!C143="","", MSE成绩库!I143)</f>
        <v/>
      </c>
      <c r="J143" t="str">
        <f>IF(MSE成绩库!C143="","", MSE成绩库!J143)</f>
        <v/>
      </c>
      <c r="K143" t="str">
        <f>IF(MSE成绩库!C143="","", MSE成绩库!K143)</f>
        <v/>
      </c>
      <c r="L143" t="str">
        <f>IF(MSE成绩库!C143="","", MSE成绩库!M143)</f>
        <v/>
      </c>
      <c r="M143" t="str">
        <f>IF(MSE成绩库!C143="","", MSE成绩库!N143)</f>
        <v/>
      </c>
      <c r="N143" t="str">
        <f>IF(MSE成绩库!C143="","", MSE成绩库!O143)</f>
        <v/>
      </c>
      <c r="O143" t="str">
        <f>IF(MSE成绩库!C143="","", MSE成绩库!Q143)</f>
        <v/>
      </c>
      <c r="P143" t="str">
        <f>IF(MSE成绩库!C143="","", MSE成绩库!R143)</f>
        <v/>
      </c>
      <c r="Q143" t="str">
        <f>IF(MSE成绩库!C143="","", MSE成绩库!S143)</f>
        <v/>
      </c>
      <c r="R143" t="str">
        <f>IF(MSE成绩库!C143="","", MSE成绩库!T143)</f>
        <v/>
      </c>
      <c r="S143" t="str">
        <f>IF(MSE成绩库!C143="","", MSE成绩库!U143)</f>
        <v/>
      </c>
      <c r="T143" t="str">
        <f>IF(MSE成绩库!C143="","", MSE成绩库!V143)</f>
        <v/>
      </c>
      <c r="U143" t="str">
        <f>IF(MSE成绩库!C143="","", MSE成绩库!X143)</f>
        <v/>
      </c>
      <c r="V143" t="str">
        <f>IF(MSE成绩库!C143="","", MSE成绩库!Y143)</f>
        <v/>
      </c>
      <c r="W143" t="str">
        <f>IF(MSE成绩库!C143="","", MSE成绩库!Z143)</f>
        <v/>
      </c>
      <c r="X143" t="str">
        <f>IF(MSE成绩库!C143="","", MSE成绩库!AA143)</f>
        <v/>
      </c>
      <c r="Y143" t="str">
        <f>IF(MSE成绩库!C143="","", MSE成绩库!AB143)</f>
        <v/>
      </c>
      <c r="Z143" t="str">
        <f>IF(MSE成绩库!C143="","", MSE成绩库!AC143)</f>
        <v/>
      </c>
    </row>
    <row r="144" spans="1:26" x14ac:dyDescent="0.2">
      <c r="A144" t="str">
        <f>IF(MSE成绩库!C144="","", MSE成绩库!C144)</f>
        <v/>
      </c>
      <c r="B144" t="str">
        <f>IF(MSE成绩库!AD144="","", MSE成绩库!AD144)</f>
        <v/>
      </c>
      <c r="C144" t="str">
        <f>IF(MSE成绩库!B144="","", MSE成绩库!B144)</f>
        <v/>
      </c>
      <c r="D144" t="str">
        <f>IF(MSE成绩库!D144="","", MSE成绩库!D144)</f>
        <v/>
      </c>
      <c r="E144" t="str">
        <f>IF(MSE成绩库!C144="","", MSE成绩库!E144)</f>
        <v/>
      </c>
      <c r="F144" t="str">
        <f>IF(MSE成绩库!C144="","", MSE成绩库!F144)</f>
        <v/>
      </c>
      <c r="G144" t="str">
        <f>IF(MSE成绩库!C144="","", MSE成绩库!G144)</f>
        <v/>
      </c>
      <c r="H144" t="str">
        <f>IF(MSE成绩库!C144="","", MSE成绩库!H144)</f>
        <v/>
      </c>
      <c r="I144" t="str">
        <f>IF(MSE成绩库!C144="","", MSE成绩库!I144)</f>
        <v/>
      </c>
      <c r="J144" t="str">
        <f>IF(MSE成绩库!C144="","", MSE成绩库!J144)</f>
        <v/>
      </c>
      <c r="K144" t="str">
        <f>IF(MSE成绩库!C144="","", MSE成绩库!K144)</f>
        <v/>
      </c>
      <c r="L144" t="str">
        <f>IF(MSE成绩库!C144="","", MSE成绩库!M144)</f>
        <v/>
      </c>
      <c r="M144" t="str">
        <f>IF(MSE成绩库!C144="","", MSE成绩库!N144)</f>
        <v/>
      </c>
      <c r="N144" t="str">
        <f>IF(MSE成绩库!C144="","", MSE成绩库!O144)</f>
        <v/>
      </c>
      <c r="O144" t="str">
        <f>IF(MSE成绩库!C144="","", MSE成绩库!Q144)</f>
        <v/>
      </c>
      <c r="P144" t="str">
        <f>IF(MSE成绩库!C144="","", MSE成绩库!R144)</f>
        <v/>
      </c>
      <c r="Q144" t="str">
        <f>IF(MSE成绩库!C144="","", MSE成绩库!S144)</f>
        <v/>
      </c>
      <c r="R144" t="str">
        <f>IF(MSE成绩库!C144="","", MSE成绩库!T144)</f>
        <v/>
      </c>
      <c r="S144" t="str">
        <f>IF(MSE成绩库!C144="","", MSE成绩库!U144)</f>
        <v/>
      </c>
      <c r="T144" t="str">
        <f>IF(MSE成绩库!C144="","", MSE成绩库!V144)</f>
        <v/>
      </c>
      <c r="U144" t="str">
        <f>IF(MSE成绩库!C144="","", MSE成绩库!X144)</f>
        <v/>
      </c>
      <c r="V144" t="str">
        <f>IF(MSE成绩库!C144="","", MSE成绩库!Y144)</f>
        <v/>
      </c>
      <c r="W144" t="str">
        <f>IF(MSE成绩库!C144="","", MSE成绩库!Z144)</f>
        <v/>
      </c>
      <c r="X144" t="str">
        <f>IF(MSE成绩库!C144="","", MSE成绩库!AA144)</f>
        <v/>
      </c>
      <c r="Y144" t="str">
        <f>IF(MSE成绩库!C144="","", MSE成绩库!AB144)</f>
        <v/>
      </c>
      <c r="Z144" t="str">
        <f>IF(MSE成绩库!C144="","", MSE成绩库!AC144)</f>
        <v/>
      </c>
    </row>
    <row r="145" spans="1:26" x14ac:dyDescent="0.2">
      <c r="A145" t="str">
        <f>IF(MSE成绩库!C145="","", MSE成绩库!C145)</f>
        <v/>
      </c>
      <c r="B145" t="str">
        <f>IF(MSE成绩库!AD145="","", MSE成绩库!AD145)</f>
        <v/>
      </c>
      <c r="C145" t="str">
        <f>IF(MSE成绩库!B145="","", MSE成绩库!B145)</f>
        <v/>
      </c>
      <c r="D145" t="str">
        <f>IF(MSE成绩库!D145="","", MSE成绩库!D145)</f>
        <v/>
      </c>
      <c r="E145" t="str">
        <f>IF(MSE成绩库!C145="","", MSE成绩库!E145)</f>
        <v/>
      </c>
      <c r="F145" t="str">
        <f>IF(MSE成绩库!C145="","", MSE成绩库!F145)</f>
        <v/>
      </c>
      <c r="G145" t="str">
        <f>IF(MSE成绩库!C145="","", MSE成绩库!G145)</f>
        <v/>
      </c>
      <c r="H145" t="str">
        <f>IF(MSE成绩库!C145="","", MSE成绩库!H145)</f>
        <v/>
      </c>
      <c r="I145" t="str">
        <f>IF(MSE成绩库!C145="","", MSE成绩库!I145)</f>
        <v/>
      </c>
      <c r="J145" t="str">
        <f>IF(MSE成绩库!C145="","", MSE成绩库!J145)</f>
        <v/>
      </c>
      <c r="K145" t="str">
        <f>IF(MSE成绩库!C145="","", MSE成绩库!K145)</f>
        <v/>
      </c>
      <c r="L145" t="str">
        <f>IF(MSE成绩库!C145="","", MSE成绩库!M145)</f>
        <v/>
      </c>
      <c r="M145" t="str">
        <f>IF(MSE成绩库!C145="","", MSE成绩库!N145)</f>
        <v/>
      </c>
      <c r="N145" t="str">
        <f>IF(MSE成绩库!C145="","", MSE成绩库!O145)</f>
        <v/>
      </c>
      <c r="O145" t="str">
        <f>IF(MSE成绩库!C145="","", MSE成绩库!Q145)</f>
        <v/>
      </c>
      <c r="P145" t="str">
        <f>IF(MSE成绩库!C145="","", MSE成绩库!R145)</f>
        <v/>
      </c>
      <c r="Q145" t="str">
        <f>IF(MSE成绩库!C145="","", MSE成绩库!S145)</f>
        <v/>
      </c>
      <c r="R145" t="str">
        <f>IF(MSE成绩库!C145="","", MSE成绩库!T145)</f>
        <v/>
      </c>
      <c r="S145" t="str">
        <f>IF(MSE成绩库!C145="","", MSE成绩库!U145)</f>
        <v/>
      </c>
      <c r="T145" t="str">
        <f>IF(MSE成绩库!C145="","", MSE成绩库!V145)</f>
        <v/>
      </c>
      <c r="U145" t="str">
        <f>IF(MSE成绩库!C145="","", MSE成绩库!X145)</f>
        <v/>
      </c>
      <c r="V145" t="str">
        <f>IF(MSE成绩库!C145="","", MSE成绩库!Y145)</f>
        <v/>
      </c>
      <c r="W145" t="str">
        <f>IF(MSE成绩库!C145="","", MSE成绩库!Z145)</f>
        <v/>
      </c>
      <c r="X145" t="str">
        <f>IF(MSE成绩库!C145="","", MSE成绩库!AA145)</f>
        <v/>
      </c>
      <c r="Y145" t="str">
        <f>IF(MSE成绩库!C145="","", MSE成绩库!AB145)</f>
        <v/>
      </c>
      <c r="Z145" t="str">
        <f>IF(MSE成绩库!C145="","", MSE成绩库!AC145)</f>
        <v/>
      </c>
    </row>
    <row r="146" spans="1:26" x14ac:dyDescent="0.2">
      <c r="A146" t="str">
        <f>IF(MSE成绩库!C146="","", MSE成绩库!C146)</f>
        <v/>
      </c>
      <c r="B146" t="str">
        <f>IF(MSE成绩库!AD146="","", MSE成绩库!AD146)</f>
        <v/>
      </c>
      <c r="C146" t="str">
        <f>IF(MSE成绩库!B146="","", MSE成绩库!B146)</f>
        <v/>
      </c>
      <c r="D146" t="str">
        <f>IF(MSE成绩库!D146="","", MSE成绩库!D146)</f>
        <v/>
      </c>
      <c r="E146" t="str">
        <f>IF(MSE成绩库!C146="","", MSE成绩库!E146)</f>
        <v/>
      </c>
      <c r="F146" t="str">
        <f>IF(MSE成绩库!C146="","", MSE成绩库!F146)</f>
        <v/>
      </c>
      <c r="G146" t="str">
        <f>IF(MSE成绩库!C146="","", MSE成绩库!G146)</f>
        <v/>
      </c>
      <c r="H146" t="str">
        <f>IF(MSE成绩库!C146="","", MSE成绩库!H146)</f>
        <v/>
      </c>
      <c r="I146" t="str">
        <f>IF(MSE成绩库!C146="","", MSE成绩库!I146)</f>
        <v/>
      </c>
      <c r="J146" t="str">
        <f>IF(MSE成绩库!C146="","", MSE成绩库!J146)</f>
        <v/>
      </c>
      <c r="K146" t="str">
        <f>IF(MSE成绩库!C146="","", MSE成绩库!K146)</f>
        <v/>
      </c>
      <c r="L146" t="str">
        <f>IF(MSE成绩库!C146="","", MSE成绩库!M146)</f>
        <v/>
      </c>
      <c r="M146" t="str">
        <f>IF(MSE成绩库!C146="","", MSE成绩库!N146)</f>
        <v/>
      </c>
      <c r="N146" t="str">
        <f>IF(MSE成绩库!C146="","", MSE成绩库!O146)</f>
        <v/>
      </c>
      <c r="O146" t="str">
        <f>IF(MSE成绩库!C146="","", MSE成绩库!Q146)</f>
        <v/>
      </c>
      <c r="P146" t="str">
        <f>IF(MSE成绩库!C146="","", MSE成绩库!R146)</f>
        <v/>
      </c>
      <c r="Q146" t="str">
        <f>IF(MSE成绩库!C146="","", MSE成绩库!S146)</f>
        <v/>
      </c>
      <c r="R146" t="str">
        <f>IF(MSE成绩库!C146="","", MSE成绩库!T146)</f>
        <v/>
      </c>
      <c r="S146" t="str">
        <f>IF(MSE成绩库!C146="","", MSE成绩库!U146)</f>
        <v/>
      </c>
      <c r="T146" t="str">
        <f>IF(MSE成绩库!C146="","", MSE成绩库!V146)</f>
        <v/>
      </c>
      <c r="U146" t="str">
        <f>IF(MSE成绩库!C146="","", MSE成绩库!X146)</f>
        <v/>
      </c>
      <c r="V146" t="str">
        <f>IF(MSE成绩库!C146="","", MSE成绩库!Y146)</f>
        <v/>
      </c>
      <c r="W146" t="str">
        <f>IF(MSE成绩库!C146="","", MSE成绩库!Z146)</f>
        <v/>
      </c>
      <c r="X146" t="str">
        <f>IF(MSE成绩库!C146="","", MSE成绩库!AA146)</f>
        <v/>
      </c>
      <c r="Y146" t="str">
        <f>IF(MSE成绩库!C146="","", MSE成绩库!AB146)</f>
        <v/>
      </c>
      <c r="Z146" t="str">
        <f>IF(MSE成绩库!C146="","", MSE成绩库!AC146)</f>
        <v/>
      </c>
    </row>
    <row r="147" spans="1:26" x14ac:dyDescent="0.2">
      <c r="A147" t="str">
        <f>IF(MSE成绩库!C147="","", MSE成绩库!C147)</f>
        <v/>
      </c>
      <c r="B147" t="str">
        <f>IF(MSE成绩库!AD147="","", MSE成绩库!AD147)</f>
        <v/>
      </c>
      <c r="C147" t="str">
        <f>IF(MSE成绩库!B147="","", MSE成绩库!B147)</f>
        <v/>
      </c>
      <c r="D147" t="str">
        <f>IF(MSE成绩库!D147="","", MSE成绩库!D147)</f>
        <v/>
      </c>
      <c r="E147" t="str">
        <f>IF(MSE成绩库!C147="","", MSE成绩库!E147)</f>
        <v/>
      </c>
      <c r="F147" t="str">
        <f>IF(MSE成绩库!C147="","", MSE成绩库!F147)</f>
        <v/>
      </c>
      <c r="G147" t="str">
        <f>IF(MSE成绩库!C147="","", MSE成绩库!G147)</f>
        <v/>
      </c>
      <c r="H147" t="str">
        <f>IF(MSE成绩库!C147="","", MSE成绩库!H147)</f>
        <v/>
      </c>
      <c r="I147" t="str">
        <f>IF(MSE成绩库!C147="","", MSE成绩库!I147)</f>
        <v/>
      </c>
      <c r="J147" t="str">
        <f>IF(MSE成绩库!C147="","", MSE成绩库!J147)</f>
        <v/>
      </c>
      <c r="K147" t="str">
        <f>IF(MSE成绩库!C147="","", MSE成绩库!K147)</f>
        <v/>
      </c>
      <c r="L147" t="str">
        <f>IF(MSE成绩库!C147="","", MSE成绩库!M147)</f>
        <v/>
      </c>
      <c r="M147" t="str">
        <f>IF(MSE成绩库!C147="","", MSE成绩库!N147)</f>
        <v/>
      </c>
      <c r="N147" t="str">
        <f>IF(MSE成绩库!C147="","", MSE成绩库!O147)</f>
        <v/>
      </c>
      <c r="O147" t="str">
        <f>IF(MSE成绩库!C147="","", MSE成绩库!Q147)</f>
        <v/>
      </c>
      <c r="P147" t="str">
        <f>IF(MSE成绩库!C147="","", MSE成绩库!R147)</f>
        <v/>
      </c>
      <c r="Q147" t="str">
        <f>IF(MSE成绩库!C147="","", MSE成绩库!S147)</f>
        <v/>
      </c>
      <c r="R147" t="str">
        <f>IF(MSE成绩库!C147="","", MSE成绩库!T147)</f>
        <v/>
      </c>
      <c r="S147" t="str">
        <f>IF(MSE成绩库!C147="","", MSE成绩库!U147)</f>
        <v/>
      </c>
      <c r="T147" t="str">
        <f>IF(MSE成绩库!C147="","", MSE成绩库!V147)</f>
        <v/>
      </c>
      <c r="U147" t="str">
        <f>IF(MSE成绩库!C147="","", MSE成绩库!X147)</f>
        <v/>
      </c>
      <c r="V147" t="str">
        <f>IF(MSE成绩库!C147="","", MSE成绩库!Y147)</f>
        <v/>
      </c>
      <c r="W147" t="str">
        <f>IF(MSE成绩库!C147="","", MSE成绩库!Z147)</f>
        <v/>
      </c>
      <c r="X147" t="str">
        <f>IF(MSE成绩库!C147="","", MSE成绩库!AA147)</f>
        <v/>
      </c>
      <c r="Y147" t="str">
        <f>IF(MSE成绩库!C147="","", MSE成绩库!AB147)</f>
        <v/>
      </c>
      <c r="Z147" t="str">
        <f>IF(MSE成绩库!C147="","", MSE成绩库!AC147)</f>
        <v/>
      </c>
    </row>
    <row r="148" spans="1:26" x14ac:dyDescent="0.2">
      <c r="A148" t="str">
        <f>IF(MSE成绩库!C148="","", MSE成绩库!C148)</f>
        <v/>
      </c>
      <c r="B148" t="str">
        <f>IF(MSE成绩库!AD148="","", MSE成绩库!AD148)</f>
        <v/>
      </c>
      <c r="C148" t="str">
        <f>IF(MSE成绩库!B148="","", MSE成绩库!B148)</f>
        <v/>
      </c>
      <c r="D148" t="str">
        <f>IF(MSE成绩库!D148="","", MSE成绩库!D148)</f>
        <v/>
      </c>
      <c r="E148" t="str">
        <f>IF(MSE成绩库!C148="","", MSE成绩库!E148)</f>
        <v/>
      </c>
      <c r="F148" t="str">
        <f>IF(MSE成绩库!C148="","", MSE成绩库!F148)</f>
        <v/>
      </c>
      <c r="G148" t="str">
        <f>IF(MSE成绩库!C148="","", MSE成绩库!G148)</f>
        <v/>
      </c>
      <c r="H148" t="str">
        <f>IF(MSE成绩库!C148="","", MSE成绩库!H148)</f>
        <v/>
      </c>
      <c r="I148" t="str">
        <f>IF(MSE成绩库!C148="","", MSE成绩库!I148)</f>
        <v/>
      </c>
      <c r="J148" t="str">
        <f>IF(MSE成绩库!C148="","", MSE成绩库!J148)</f>
        <v/>
      </c>
      <c r="K148" t="str">
        <f>IF(MSE成绩库!C148="","", MSE成绩库!K148)</f>
        <v/>
      </c>
      <c r="L148" t="str">
        <f>IF(MSE成绩库!C148="","", MSE成绩库!M148)</f>
        <v/>
      </c>
      <c r="M148" t="str">
        <f>IF(MSE成绩库!C148="","", MSE成绩库!N148)</f>
        <v/>
      </c>
      <c r="N148" t="str">
        <f>IF(MSE成绩库!C148="","", MSE成绩库!O148)</f>
        <v/>
      </c>
      <c r="O148" t="str">
        <f>IF(MSE成绩库!C148="","", MSE成绩库!Q148)</f>
        <v/>
      </c>
      <c r="P148" t="str">
        <f>IF(MSE成绩库!C148="","", MSE成绩库!R148)</f>
        <v/>
      </c>
      <c r="Q148" t="str">
        <f>IF(MSE成绩库!C148="","", MSE成绩库!S148)</f>
        <v/>
      </c>
      <c r="R148" t="str">
        <f>IF(MSE成绩库!C148="","", MSE成绩库!T148)</f>
        <v/>
      </c>
      <c r="S148" t="str">
        <f>IF(MSE成绩库!C148="","", MSE成绩库!U148)</f>
        <v/>
      </c>
      <c r="T148" t="str">
        <f>IF(MSE成绩库!C148="","", MSE成绩库!V148)</f>
        <v/>
      </c>
      <c r="U148" t="str">
        <f>IF(MSE成绩库!C148="","", MSE成绩库!X148)</f>
        <v/>
      </c>
      <c r="V148" t="str">
        <f>IF(MSE成绩库!C148="","", MSE成绩库!Y148)</f>
        <v/>
      </c>
      <c r="W148" t="str">
        <f>IF(MSE成绩库!C148="","", MSE成绩库!Z148)</f>
        <v/>
      </c>
      <c r="X148" t="str">
        <f>IF(MSE成绩库!C148="","", MSE成绩库!AA148)</f>
        <v/>
      </c>
      <c r="Y148" t="str">
        <f>IF(MSE成绩库!C148="","", MSE成绩库!AB148)</f>
        <v/>
      </c>
      <c r="Z148" t="str">
        <f>IF(MSE成绩库!C148="","", MSE成绩库!AC148)</f>
        <v/>
      </c>
    </row>
    <row r="149" spans="1:26" x14ac:dyDescent="0.2">
      <c r="A149" t="str">
        <f>IF(MSE成绩库!C149="","", MSE成绩库!C149)</f>
        <v/>
      </c>
      <c r="B149" t="str">
        <f>IF(MSE成绩库!AD149="","", MSE成绩库!AD149)</f>
        <v/>
      </c>
      <c r="C149" t="str">
        <f>IF(MSE成绩库!B149="","", MSE成绩库!B149)</f>
        <v/>
      </c>
      <c r="D149" t="str">
        <f>IF(MSE成绩库!D149="","", MSE成绩库!D149)</f>
        <v/>
      </c>
      <c r="E149" t="str">
        <f>IF(MSE成绩库!C149="","", MSE成绩库!E149)</f>
        <v/>
      </c>
      <c r="F149" t="str">
        <f>IF(MSE成绩库!C149="","", MSE成绩库!F149)</f>
        <v/>
      </c>
      <c r="G149" t="str">
        <f>IF(MSE成绩库!C149="","", MSE成绩库!G149)</f>
        <v/>
      </c>
      <c r="H149" t="str">
        <f>IF(MSE成绩库!C149="","", MSE成绩库!H149)</f>
        <v/>
      </c>
      <c r="I149" t="str">
        <f>IF(MSE成绩库!C149="","", MSE成绩库!I149)</f>
        <v/>
      </c>
      <c r="J149" t="str">
        <f>IF(MSE成绩库!C149="","", MSE成绩库!J149)</f>
        <v/>
      </c>
      <c r="K149" t="str">
        <f>IF(MSE成绩库!C149="","", MSE成绩库!K149)</f>
        <v/>
      </c>
      <c r="L149" t="str">
        <f>IF(MSE成绩库!C149="","", MSE成绩库!M149)</f>
        <v/>
      </c>
      <c r="M149" t="str">
        <f>IF(MSE成绩库!C149="","", MSE成绩库!N149)</f>
        <v/>
      </c>
      <c r="N149" t="str">
        <f>IF(MSE成绩库!C149="","", MSE成绩库!O149)</f>
        <v/>
      </c>
      <c r="O149" t="str">
        <f>IF(MSE成绩库!C149="","", MSE成绩库!Q149)</f>
        <v/>
      </c>
      <c r="P149" t="str">
        <f>IF(MSE成绩库!C149="","", MSE成绩库!R149)</f>
        <v/>
      </c>
      <c r="Q149" t="str">
        <f>IF(MSE成绩库!C149="","", MSE成绩库!S149)</f>
        <v/>
      </c>
      <c r="R149" t="str">
        <f>IF(MSE成绩库!C149="","", MSE成绩库!T149)</f>
        <v/>
      </c>
      <c r="S149" t="str">
        <f>IF(MSE成绩库!C149="","", MSE成绩库!U149)</f>
        <v/>
      </c>
      <c r="T149" t="str">
        <f>IF(MSE成绩库!C149="","", MSE成绩库!V149)</f>
        <v/>
      </c>
      <c r="U149" t="str">
        <f>IF(MSE成绩库!C149="","", MSE成绩库!X149)</f>
        <v/>
      </c>
      <c r="V149" t="str">
        <f>IF(MSE成绩库!C149="","", MSE成绩库!Y149)</f>
        <v/>
      </c>
      <c r="W149" t="str">
        <f>IF(MSE成绩库!C149="","", MSE成绩库!Z149)</f>
        <v/>
      </c>
      <c r="X149" t="str">
        <f>IF(MSE成绩库!C149="","", MSE成绩库!AA149)</f>
        <v/>
      </c>
      <c r="Y149" t="str">
        <f>IF(MSE成绩库!C149="","", MSE成绩库!AB149)</f>
        <v/>
      </c>
      <c r="Z149" t="str">
        <f>IF(MSE成绩库!C149="","", MSE成绩库!AC149)</f>
        <v/>
      </c>
    </row>
    <row r="150" spans="1:26" x14ac:dyDescent="0.2">
      <c r="A150" t="str">
        <f>IF(MSE成绩库!C150="","", MSE成绩库!C150)</f>
        <v/>
      </c>
      <c r="B150" t="str">
        <f>IF(MSE成绩库!AD150="","", MSE成绩库!AD150)</f>
        <v/>
      </c>
      <c r="C150" t="str">
        <f>IF(MSE成绩库!B150="","", MSE成绩库!B150)</f>
        <v/>
      </c>
      <c r="D150" t="str">
        <f>IF(MSE成绩库!D150="","", MSE成绩库!D150)</f>
        <v/>
      </c>
      <c r="E150" t="str">
        <f>IF(MSE成绩库!C150="","", MSE成绩库!E150)</f>
        <v/>
      </c>
      <c r="F150" t="str">
        <f>IF(MSE成绩库!C150="","", MSE成绩库!F150)</f>
        <v/>
      </c>
      <c r="G150" t="str">
        <f>IF(MSE成绩库!C150="","", MSE成绩库!G150)</f>
        <v/>
      </c>
      <c r="H150" t="str">
        <f>IF(MSE成绩库!C150="","", MSE成绩库!H150)</f>
        <v/>
      </c>
      <c r="I150" t="str">
        <f>IF(MSE成绩库!C150="","", MSE成绩库!I150)</f>
        <v/>
      </c>
      <c r="J150" t="str">
        <f>IF(MSE成绩库!C150="","", MSE成绩库!J150)</f>
        <v/>
      </c>
      <c r="K150" t="str">
        <f>IF(MSE成绩库!C150="","", MSE成绩库!K150)</f>
        <v/>
      </c>
      <c r="L150" t="str">
        <f>IF(MSE成绩库!C150="","", MSE成绩库!M150)</f>
        <v/>
      </c>
      <c r="M150" t="str">
        <f>IF(MSE成绩库!C150="","", MSE成绩库!N150)</f>
        <v/>
      </c>
      <c r="N150" t="str">
        <f>IF(MSE成绩库!C150="","", MSE成绩库!O150)</f>
        <v/>
      </c>
      <c r="O150" t="str">
        <f>IF(MSE成绩库!C150="","", MSE成绩库!Q150)</f>
        <v/>
      </c>
      <c r="P150" t="str">
        <f>IF(MSE成绩库!C150="","", MSE成绩库!R150)</f>
        <v/>
      </c>
      <c r="Q150" t="str">
        <f>IF(MSE成绩库!C150="","", MSE成绩库!S150)</f>
        <v/>
      </c>
      <c r="R150" t="str">
        <f>IF(MSE成绩库!C150="","", MSE成绩库!T150)</f>
        <v/>
      </c>
      <c r="S150" t="str">
        <f>IF(MSE成绩库!C150="","", MSE成绩库!U150)</f>
        <v/>
      </c>
      <c r="T150" t="str">
        <f>IF(MSE成绩库!C150="","", MSE成绩库!V150)</f>
        <v/>
      </c>
      <c r="U150" t="str">
        <f>IF(MSE成绩库!C150="","", MSE成绩库!X150)</f>
        <v/>
      </c>
      <c r="V150" t="str">
        <f>IF(MSE成绩库!C150="","", MSE成绩库!Y150)</f>
        <v/>
      </c>
      <c r="W150" t="str">
        <f>IF(MSE成绩库!C150="","", MSE成绩库!Z150)</f>
        <v/>
      </c>
      <c r="X150" t="str">
        <f>IF(MSE成绩库!C150="","", MSE成绩库!AA150)</f>
        <v/>
      </c>
      <c r="Y150" t="str">
        <f>IF(MSE成绩库!C150="","", MSE成绩库!AB150)</f>
        <v/>
      </c>
      <c r="Z150" t="str">
        <f>IF(MSE成绩库!C150="","", MSE成绩库!AC150)</f>
        <v/>
      </c>
    </row>
    <row r="151" spans="1:26" x14ac:dyDescent="0.2">
      <c r="A151" t="str">
        <f>IF(MSE成绩库!C151="","", MSE成绩库!C151)</f>
        <v/>
      </c>
      <c r="B151" t="str">
        <f>IF(MSE成绩库!AD151="","", MSE成绩库!AD151)</f>
        <v/>
      </c>
      <c r="C151" t="str">
        <f>IF(MSE成绩库!B151="","", MSE成绩库!B151)</f>
        <v/>
      </c>
      <c r="D151" t="str">
        <f>IF(MSE成绩库!D151="","", MSE成绩库!D151)</f>
        <v/>
      </c>
      <c r="E151" t="str">
        <f>IF(MSE成绩库!C151="","", MSE成绩库!E151)</f>
        <v/>
      </c>
      <c r="F151" t="str">
        <f>IF(MSE成绩库!C151="","", MSE成绩库!F151)</f>
        <v/>
      </c>
      <c r="G151" t="str">
        <f>IF(MSE成绩库!C151="","", MSE成绩库!G151)</f>
        <v/>
      </c>
      <c r="H151" t="str">
        <f>IF(MSE成绩库!C151="","", MSE成绩库!H151)</f>
        <v/>
      </c>
      <c r="I151" t="str">
        <f>IF(MSE成绩库!C151="","", MSE成绩库!I151)</f>
        <v/>
      </c>
      <c r="J151" t="str">
        <f>IF(MSE成绩库!C151="","", MSE成绩库!J151)</f>
        <v/>
      </c>
      <c r="K151" t="str">
        <f>IF(MSE成绩库!C151="","", MSE成绩库!K151)</f>
        <v/>
      </c>
      <c r="L151" t="str">
        <f>IF(MSE成绩库!C151="","", MSE成绩库!M151)</f>
        <v/>
      </c>
      <c r="M151" t="str">
        <f>IF(MSE成绩库!C151="","", MSE成绩库!N151)</f>
        <v/>
      </c>
      <c r="N151" t="str">
        <f>IF(MSE成绩库!C151="","", MSE成绩库!O151)</f>
        <v/>
      </c>
      <c r="O151" t="str">
        <f>IF(MSE成绩库!C151="","", MSE成绩库!Q151)</f>
        <v/>
      </c>
      <c r="P151" t="str">
        <f>IF(MSE成绩库!C151="","", MSE成绩库!R151)</f>
        <v/>
      </c>
      <c r="Q151" t="str">
        <f>IF(MSE成绩库!C151="","", MSE成绩库!S151)</f>
        <v/>
      </c>
      <c r="R151" t="str">
        <f>IF(MSE成绩库!C151="","", MSE成绩库!T151)</f>
        <v/>
      </c>
      <c r="S151" t="str">
        <f>IF(MSE成绩库!C151="","", MSE成绩库!U151)</f>
        <v/>
      </c>
      <c r="T151" t="str">
        <f>IF(MSE成绩库!C151="","", MSE成绩库!V151)</f>
        <v/>
      </c>
      <c r="U151" t="str">
        <f>IF(MSE成绩库!C151="","", MSE成绩库!X151)</f>
        <v/>
      </c>
      <c r="V151" t="str">
        <f>IF(MSE成绩库!C151="","", MSE成绩库!Y151)</f>
        <v/>
      </c>
      <c r="W151" t="str">
        <f>IF(MSE成绩库!C151="","", MSE成绩库!Z151)</f>
        <v/>
      </c>
      <c r="X151" t="str">
        <f>IF(MSE成绩库!C151="","", MSE成绩库!AA151)</f>
        <v/>
      </c>
      <c r="Y151" t="str">
        <f>IF(MSE成绩库!C151="","", MSE成绩库!AB151)</f>
        <v/>
      </c>
      <c r="Z151" t="str">
        <f>IF(MSE成绩库!C151="","", MSE成绩库!AC151)</f>
        <v/>
      </c>
    </row>
    <row r="152" spans="1:26" x14ac:dyDescent="0.2">
      <c r="A152" t="str">
        <f>IF(MSE成绩库!C152="","", MSE成绩库!C152)</f>
        <v/>
      </c>
      <c r="B152" t="str">
        <f>IF(MSE成绩库!AD152="","", MSE成绩库!AD152)</f>
        <v/>
      </c>
      <c r="C152" t="str">
        <f>IF(MSE成绩库!B152="","", MSE成绩库!B152)</f>
        <v/>
      </c>
      <c r="D152" t="str">
        <f>IF(MSE成绩库!D152="","", MSE成绩库!D152)</f>
        <v/>
      </c>
      <c r="E152" t="str">
        <f>IF(MSE成绩库!C152="","", MSE成绩库!E152)</f>
        <v/>
      </c>
      <c r="F152" t="str">
        <f>IF(MSE成绩库!C152="","", MSE成绩库!F152)</f>
        <v/>
      </c>
      <c r="G152" t="str">
        <f>IF(MSE成绩库!C152="","", MSE成绩库!G152)</f>
        <v/>
      </c>
      <c r="H152" t="str">
        <f>IF(MSE成绩库!C152="","", MSE成绩库!H152)</f>
        <v/>
      </c>
      <c r="I152" t="str">
        <f>IF(MSE成绩库!C152="","", MSE成绩库!I152)</f>
        <v/>
      </c>
      <c r="J152" t="str">
        <f>IF(MSE成绩库!C152="","", MSE成绩库!J152)</f>
        <v/>
      </c>
      <c r="K152" t="str">
        <f>IF(MSE成绩库!C152="","", MSE成绩库!K152)</f>
        <v/>
      </c>
      <c r="L152" t="str">
        <f>IF(MSE成绩库!C152="","", MSE成绩库!M152)</f>
        <v/>
      </c>
      <c r="M152" t="str">
        <f>IF(MSE成绩库!C152="","", MSE成绩库!N152)</f>
        <v/>
      </c>
      <c r="N152" t="str">
        <f>IF(MSE成绩库!C152="","", MSE成绩库!O152)</f>
        <v/>
      </c>
      <c r="O152" t="str">
        <f>IF(MSE成绩库!C152="","", MSE成绩库!Q152)</f>
        <v/>
      </c>
      <c r="P152" t="str">
        <f>IF(MSE成绩库!C152="","", MSE成绩库!R152)</f>
        <v/>
      </c>
      <c r="Q152" t="str">
        <f>IF(MSE成绩库!C152="","", MSE成绩库!S152)</f>
        <v/>
      </c>
      <c r="R152" t="str">
        <f>IF(MSE成绩库!C152="","", MSE成绩库!T152)</f>
        <v/>
      </c>
      <c r="S152" t="str">
        <f>IF(MSE成绩库!C152="","", MSE成绩库!U152)</f>
        <v/>
      </c>
      <c r="T152" t="str">
        <f>IF(MSE成绩库!C152="","", MSE成绩库!V152)</f>
        <v/>
      </c>
      <c r="U152" t="str">
        <f>IF(MSE成绩库!C152="","", MSE成绩库!X152)</f>
        <v/>
      </c>
      <c r="V152" t="str">
        <f>IF(MSE成绩库!C152="","", MSE成绩库!Y152)</f>
        <v/>
      </c>
      <c r="W152" t="str">
        <f>IF(MSE成绩库!C152="","", MSE成绩库!Z152)</f>
        <v/>
      </c>
      <c r="X152" t="str">
        <f>IF(MSE成绩库!C152="","", MSE成绩库!AA152)</f>
        <v/>
      </c>
      <c r="Y152" t="str">
        <f>IF(MSE成绩库!C152="","", MSE成绩库!AB152)</f>
        <v/>
      </c>
      <c r="Z152" t="str">
        <f>IF(MSE成绩库!C152="","", MSE成绩库!AC152)</f>
        <v/>
      </c>
    </row>
    <row r="153" spans="1:26" x14ac:dyDescent="0.2">
      <c r="A153" t="str">
        <f>IF(MSE成绩库!C153="","", MSE成绩库!C153)</f>
        <v/>
      </c>
      <c r="B153" t="str">
        <f>IF(MSE成绩库!AD153="","", MSE成绩库!AD153)</f>
        <v/>
      </c>
      <c r="C153" t="str">
        <f>IF(MSE成绩库!B153="","", MSE成绩库!B153)</f>
        <v/>
      </c>
      <c r="D153" t="str">
        <f>IF(MSE成绩库!D153="","", MSE成绩库!D153)</f>
        <v/>
      </c>
      <c r="E153" t="str">
        <f>IF(MSE成绩库!C153="","", MSE成绩库!E153)</f>
        <v/>
      </c>
      <c r="F153" t="str">
        <f>IF(MSE成绩库!C153="","", MSE成绩库!F153)</f>
        <v/>
      </c>
      <c r="G153" t="str">
        <f>IF(MSE成绩库!C153="","", MSE成绩库!G153)</f>
        <v/>
      </c>
      <c r="H153" t="str">
        <f>IF(MSE成绩库!C153="","", MSE成绩库!H153)</f>
        <v/>
      </c>
      <c r="I153" t="str">
        <f>IF(MSE成绩库!C153="","", MSE成绩库!I153)</f>
        <v/>
      </c>
      <c r="J153" t="str">
        <f>IF(MSE成绩库!C153="","", MSE成绩库!J153)</f>
        <v/>
      </c>
      <c r="K153" t="str">
        <f>IF(MSE成绩库!C153="","", MSE成绩库!K153)</f>
        <v/>
      </c>
      <c r="L153" t="str">
        <f>IF(MSE成绩库!C153="","", MSE成绩库!M153)</f>
        <v/>
      </c>
      <c r="M153" t="str">
        <f>IF(MSE成绩库!C153="","", MSE成绩库!N153)</f>
        <v/>
      </c>
      <c r="N153" t="str">
        <f>IF(MSE成绩库!C153="","", MSE成绩库!O153)</f>
        <v/>
      </c>
      <c r="O153" t="str">
        <f>IF(MSE成绩库!C153="","", MSE成绩库!Q153)</f>
        <v/>
      </c>
      <c r="P153" t="str">
        <f>IF(MSE成绩库!C153="","", MSE成绩库!R153)</f>
        <v/>
      </c>
      <c r="Q153" t="str">
        <f>IF(MSE成绩库!C153="","", MSE成绩库!S153)</f>
        <v/>
      </c>
      <c r="R153" t="str">
        <f>IF(MSE成绩库!C153="","", MSE成绩库!T153)</f>
        <v/>
      </c>
      <c r="S153" t="str">
        <f>IF(MSE成绩库!C153="","", MSE成绩库!U153)</f>
        <v/>
      </c>
      <c r="T153" t="str">
        <f>IF(MSE成绩库!C153="","", MSE成绩库!V153)</f>
        <v/>
      </c>
      <c r="U153" t="str">
        <f>IF(MSE成绩库!C153="","", MSE成绩库!X153)</f>
        <v/>
      </c>
      <c r="V153" t="str">
        <f>IF(MSE成绩库!C153="","", MSE成绩库!Y153)</f>
        <v/>
      </c>
      <c r="W153" t="str">
        <f>IF(MSE成绩库!C153="","", MSE成绩库!Z153)</f>
        <v/>
      </c>
      <c r="X153" t="str">
        <f>IF(MSE成绩库!C153="","", MSE成绩库!AA153)</f>
        <v/>
      </c>
      <c r="Y153" t="str">
        <f>IF(MSE成绩库!C153="","", MSE成绩库!AB153)</f>
        <v/>
      </c>
      <c r="Z153" t="str">
        <f>IF(MSE成绩库!C153="","", MSE成绩库!AC153)</f>
        <v/>
      </c>
    </row>
    <row r="154" spans="1:26" x14ac:dyDescent="0.2">
      <c r="A154" t="str">
        <f>IF(MSE成绩库!C154="","", MSE成绩库!C154)</f>
        <v/>
      </c>
      <c r="B154" t="str">
        <f>IF(MSE成绩库!AD154="","", MSE成绩库!AD154)</f>
        <v/>
      </c>
      <c r="C154" t="str">
        <f>IF(MSE成绩库!B154="","", MSE成绩库!B154)</f>
        <v/>
      </c>
      <c r="D154" t="str">
        <f>IF(MSE成绩库!D154="","", MSE成绩库!D154)</f>
        <v/>
      </c>
      <c r="E154" t="str">
        <f>IF(MSE成绩库!C154="","", MSE成绩库!E154)</f>
        <v/>
      </c>
      <c r="F154" t="str">
        <f>IF(MSE成绩库!C154="","", MSE成绩库!F154)</f>
        <v/>
      </c>
      <c r="G154" t="str">
        <f>IF(MSE成绩库!C154="","", MSE成绩库!G154)</f>
        <v/>
      </c>
      <c r="H154" t="str">
        <f>IF(MSE成绩库!C154="","", MSE成绩库!H154)</f>
        <v/>
      </c>
      <c r="I154" t="str">
        <f>IF(MSE成绩库!C154="","", MSE成绩库!I154)</f>
        <v/>
      </c>
      <c r="J154" t="str">
        <f>IF(MSE成绩库!C154="","", MSE成绩库!J154)</f>
        <v/>
      </c>
      <c r="K154" t="str">
        <f>IF(MSE成绩库!C154="","", MSE成绩库!K154)</f>
        <v/>
      </c>
      <c r="L154" t="str">
        <f>IF(MSE成绩库!C154="","", MSE成绩库!M154)</f>
        <v/>
      </c>
      <c r="M154" t="str">
        <f>IF(MSE成绩库!C154="","", MSE成绩库!N154)</f>
        <v/>
      </c>
      <c r="N154" t="str">
        <f>IF(MSE成绩库!C154="","", MSE成绩库!O154)</f>
        <v/>
      </c>
      <c r="O154" t="str">
        <f>IF(MSE成绩库!C154="","", MSE成绩库!Q154)</f>
        <v/>
      </c>
      <c r="P154" t="str">
        <f>IF(MSE成绩库!C154="","", MSE成绩库!R154)</f>
        <v/>
      </c>
      <c r="Q154" t="str">
        <f>IF(MSE成绩库!C154="","", MSE成绩库!S154)</f>
        <v/>
      </c>
      <c r="R154" t="str">
        <f>IF(MSE成绩库!C154="","", MSE成绩库!T154)</f>
        <v/>
      </c>
      <c r="S154" t="str">
        <f>IF(MSE成绩库!C154="","", MSE成绩库!U154)</f>
        <v/>
      </c>
      <c r="T154" t="str">
        <f>IF(MSE成绩库!C154="","", MSE成绩库!V154)</f>
        <v/>
      </c>
      <c r="U154" t="str">
        <f>IF(MSE成绩库!C154="","", MSE成绩库!X154)</f>
        <v/>
      </c>
      <c r="V154" t="str">
        <f>IF(MSE成绩库!C154="","", MSE成绩库!Y154)</f>
        <v/>
      </c>
      <c r="W154" t="str">
        <f>IF(MSE成绩库!C154="","", MSE成绩库!Z154)</f>
        <v/>
      </c>
      <c r="X154" t="str">
        <f>IF(MSE成绩库!C154="","", MSE成绩库!AA154)</f>
        <v/>
      </c>
      <c r="Y154" t="str">
        <f>IF(MSE成绩库!C154="","", MSE成绩库!AB154)</f>
        <v/>
      </c>
      <c r="Z154" t="str">
        <f>IF(MSE成绩库!C154="","", MSE成绩库!AC154)</f>
        <v/>
      </c>
    </row>
    <row r="155" spans="1:26" x14ac:dyDescent="0.2">
      <c r="A155" t="str">
        <f>IF(MSE成绩库!C155="","", MSE成绩库!C155)</f>
        <v/>
      </c>
      <c r="B155" t="str">
        <f>IF(MSE成绩库!AD155="","", MSE成绩库!AD155)</f>
        <v/>
      </c>
      <c r="C155" t="str">
        <f>IF(MSE成绩库!B155="","", MSE成绩库!B155)</f>
        <v/>
      </c>
      <c r="D155" t="str">
        <f>IF(MSE成绩库!D155="","", MSE成绩库!D155)</f>
        <v/>
      </c>
      <c r="E155" t="str">
        <f>IF(MSE成绩库!C155="","", MSE成绩库!E155)</f>
        <v/>
      </c>
      <c r="F155" t="str">
        <f>IF(MSE成绩库!C155="","", MSE成绩库!F155)</f>
        <v/>
      </c>
      <c r="G155" t="str">
        <f>IF(MSE成绩库!C155="","", MSE成绩库!G155)</f>
        <v/>
      </c>
      <c r="H155" t="str">
        <f>IF(MSE成绩库!C155="","", MSE成绩库!H155)</f>
        <v/>
      </c>
      <c r="I155" t="str">
        <f>IF(MSE成绩库!C155="","", MSE成绩库!I155)</f>
        <v/>
      </c>
      <c r="J155" t="str">
        <f>IF(MSE成绩库!C155="","", MSE成绩库!J155)</f>
        <v/>
      </c>
      <c r="K155" t="str">
        <f>IF(MSE成绩库!C155="","", MSE成绩库!K155)</f>
        <v/>
      </c>
      <c r="L155" t="str">
        <f>IF(MSE成绩库!C155="","", MSE成绩库!M155)</f>
        <v/>
      </c>
      <c r="M155" t="str">
        <f>IF(MSE成绩库!C155="","", MSE成绩库!N155)</f>
        <v/>
      </c>
      <c r="N155" t="str">
        <f>IF(MSE成绩库!C155="","", MSE成绩库!O155)</f>
        <v/>
      </c>
      <c r="O155" t="str">
        <f>IF(MSE成绩库!C155="","", MSE成绩库!Q155)</f>
        <v/>
      </c>
      <c r="P155" t="str">
        <f>IF(MSE成绩库!C155="","", MSE成绩库!R155)</f>
        <v/>
      </c>
      <c r="Q155" t="str">
        <f>IF(MSE成绩库!C155="","", MSE成绩库!S155)</f>
        <v/>
      </c>
      <c r="R155" t="str">
        <f>IF(MSE成绩库!C155="","", MSE成绩库!T155)</f>
        <v/>
      </c>
      <c r="S155" t="str">
        <f>IF(MSE成绩库!C155="","", MSE成绩库!U155)</f>
        <v/>
      </c>
      <c r="T155" t="str">
        <f>IF(MSE成绩库!C155="","", MSE成绩库!V155)</f>
        <v/>
      </c>
      <c r="U155" t="str">
        <f>IF(MSE成绩库!C155="","", MSE成绩库!X155)</f>
        <v/>
      </c>
      <c r="V155" t="str">
        <f>IF(MSE成绩库!C155="","", MSE成绩库!Y155)</f>
        <v/>
      </c>
      <c r="W155" t="str">
        <f>IF(MSE成绩库!C155="","", MSE成绩库!Z155)</f>
        <v/>
      </c>
      <c r="X155" t="str">
        <f>IF(MSE成绩库!C155="","", MSE成绩库!AA155)</f>
        <v/>
      </c>
      <c r="Y155" t="str">
        <f>IF(MSE成绩库!C155="","", MSE成绩库!AB155)</f>
        <v/>
      </c>
      <c r="Z155" t="str">
        <f>IF(MSE成绩库!C155="","", MSE成绩库!AC155)</f>
        <v/>
      </c>
    </row>
    <row r="156" spans="1:26" x14ac:dyDescent="0.2">
      <c r="A156" t="str">
        <f>IF(MSE成绩库!C156="","", MSE成绩库!C156)</f>
        <v/>
      </c>
      <c r="B156" t="str">
        <f>IF(MSE成绩库!AD156="","", MSE成绩库!AD156)</f>
        <v/>
      </c>
      <c r="C156" t="str">
        <f>IF(MSE成绩库!B156="","", MSE成绩库!B156)</f>
        <v/>
      </c>
      <c r="D156" t="str">
        <f>IF(MSE成绩库!D156="","", MSE成绩库!D156)</f>
        <v/>
      </c>
      <c r="E156" t="str">
        <f>IF(MSE成绩库!C156="","", MSE成绩库!E156)</f>
        <v/>
      </c>
      <c r="F156" t="str">
        <f>IF(MSE成绩库!C156="","", MSE成绩库!F156)</f>
        <v/>
      </c>
      <c r="G156" t="str">
        <f>IF(MSE成绩库!C156="","", MSE成绩库!G156)</f>
        <v/>
      </c>
      <c r="H156" t="str">
        <f>IF(MSE成绩库!C156="","", MSE成绩库!H156)</f>
        <v/>
      </c>
      <c r="I156" t="str">
        <f>IF(MSE成绩库!C156="","", MSE成绩库!I156)</f>
        <v/>
      </c>
      <c r="J156" t="str">
        <f>IF(MSE成绩库!C156="","", MSE成绩库!J156)</f>
        <v/>
      </c>
      <c r="K156" t="str">
        <f>IF(MSE成绩库!C156="","", MSE成绩库!K156)</f>
        <v/>
      </c>
      <c r="L156" t="str">
        <f>IF(MSE成绩库!C156="","", MSE成绩库!M156)</f>
        <v/>
      </c>
      <c r="M156" t="str">
        <f>IF(MSE成绩库!C156="","", MSE成绩库!N156)</f>
        <v/>
      </c>
      <c r="N156" t="str">
        <f>IF(MSE成绩库!C156="","", MSE成绩库!O156)</f>
        <v/>
      </c>
      <c r="O156" t="str">
        <f>IF(MSE成绩库!C156="","", MSE成绩库!Q156)</f>
        <v/>
      </c>
      <c r="P156" t="str">
        <f>IF(MSE成绩库!C156="","", MSE成绩库!R156)</f>
        <v/>
      </c>
      <c r="Q156" t="str">
        <f>IF(MSE成绩库!C156="","", MSE成绩库!S156)</f>
        <v/>
      </c>
      <c r="R156" t="str">
        <f>IF(MSE成绩库!C156="","", MSE成绩库!T156)</f>
        <v/>
      </c>
      <c r="S156" t="str">
        <f>IF(MSE成绩库!C156="","", MSE成绩库!U156)</f>
        <v/>
      </c>
      <c r="T156" t="str">
        <f>IF(MSE成绩库!C156="","", MSE成绩库!V156)</f>
        <v/>
      </c>
      <c r="U156" t="str">
        <f>IF(MSE成绩库!C156="","", MSE成绩库!X156)</f>
        <v/>
      </c>
      <c r="V156" t="str">
        <f>IF(MSE成绩库!C156="","", MSE成绩库!Y156)</f>
        <v/>
      </c>
      <c r="W156" t="str">
        <f>IF(MSE成绩库!C156="","", MSE成绩库!Z156)</f>
        <v/>
      </c>
      <c r="X156" t="str">
        <f>IF(MSE成绩库!C156="","", MSE成绩库!AA156)</f>
        <v/>
      </c>
      <c r="Y156" t="str">
        <f>IF(MSE成绩库!C156="","", MSE成绩库!AB156)</f>
        <v/>
      </c>
      <c r="Z156" t="str">
        <f>IF(MSE成绩库!C156="","", MSE成绩库!AC156)</f>
        <v/>
      </c>
    </row>
    <row r="157" spans="1:26" x14ac:dyDescent="0.2">
      <c r="A157" t="str">
        <f>IF(MSE成绩库!C157="","", MSE成绩库!C157)</f>
        <v/>
      </c>
      <c r="B157" t="str">
        <f>IF(MSE成绩库!AD157="","", MSE成绩库!AD157)</f>
        <v/>
      </c>
      <c r="C157" t="str">
        <f>IF(MSE成绩库!B157="","", MSE成绩库!B157)</f>
        <v/>
      </c>
      <c r="D157" t="str">
        <f>IF(MSE成绩库!D157="","", MSE成绩库!D157)</f>
        <v/>
      </c>
      <c r="E157" t="str">
        <f>IF(MSE成绩库!C157="","", MSE成绩库!E157)</f>
        <v/>
      </c>
      <c r="F157" t="str">
        <f>IF(MSE成绩库!C157="","", MSE成绩库!F157)</f>
        <v/>
      </c>
      <c r="G157" t="str">
        <f>IF(MSE成绩库!C157="","", MSE成绩库!G157)</f>
        <v/>
      </c>
      <c r="H157" t="str">
        <f>IF(MSE成绩库!C157="","", MSE成绩库!H157)</f>
        <v/>
      </c>
      <c r="I157" t="str">
        <f>IF(MSE成绩库!C157="","", MSE成绩库!I157)</f>
        <v/>
      </c>
      <c r="J157" t="str">
        <f>IF(MSE成绩库!C157="","", MSE成绩库!J157)</f>
        <v/>
      </c>
      <c r="K157" t="str">
        <f>IF(MSE成绩库!C157="","", MSE成绩库!K157)</f>
        <v/>
      </c>
      <c r="L157" t="str">
        <f>IF(MSE成绩库!C157="","", MSE成绩库!M157)</f>
        <v/>
      </c>
      <c r="M157" t="str">
        <f>IF(MSE成绩库!C157="","", MSE成绩库!N157)</f>
        <v/>
      </c>
      <c r="N157" t="str">
        <f>IF(MSE成绩库!C157="","", MSE成绩库!O157)</f>
        <v/>
      </c>
      <c r="O157" t="str">
        <f>IF(MSE成绩库!C157="","", MSE成绩库!Q157)</f>
        <v/>
      </c>
      <c r="P157" t="str">
        <f>IF(MSE成绩库!C157="","", MSE成绩库!R157)</f>
        <v/>
      </c>
      <c r="Q157" t="str">
        <f>IF(MSE成绩库!C157="","", MSE成绩库!S157)</f>
        <v/>
      </c>
      <c r="R157" t="str">
        <f>IF(MSE成绩库!C157="","", MSE成绩库!T157)</f>
        <v/>
      </c>
      <c r="S157" t="str">
        <f>IF(MSE成绩库!C157="","", MSE成绩库!U157)</f>
        <v/>
      </c>
      <c r="T157" t="str">
        <f>IF(MSE成绩库!C157="","", MSE成绩库!V157)</f>
        <v/>
      </c>
      <c r="U157" t="str">
        <f>IF(MSE成绩库!C157="","", MSE成绩库!X157)</f>
        <v/>
      </c>
      <c r="V157" t="str">
        <f>IF(MSE成绩库!C157="","", MSE成绩库!Y157)</f>
        <v/>
      </c>
      <c r="W157" t="str">
        <f>IF(MSE成绩库!C157="","", MSE成绩库!Z157)</f>
        <v/>
      </c>
      <c r="X157" t="str">
        <f>IF(MSE成绩库!C157="","", MSE成绩库!AA157)</f>
        <v/>
      </c>
      <c r="Y157" t="str">
        <f>IF(MSE成绩库!C157="","", MSE成绩库!AB157)</f>
        <v/>
      </c>
      <c r="Z157" t="str">
        <f>IF(MSE成绩库!C157="","", MSE成绩库!AC157)</f>
        <v/>
      </c>
    </row>
    <row r="158" spans="1:26" x14ac:dyDescent="0.2">
      <c r="A158" t="str">
        <f>IF(MSE成绩库!C158="","", MSE成绩库!C158)</f>
        <v/>
      </c>
      <c r="B158" t="str">
        <f>IF(MSE成绩库!AD158="","", MSE成绩库!AD158)</f>
        <v/>
      </c>
      <c r="C158" t="str">
        <f>IF(MSE成绩库!B158="","", MSE成绩库!B158)</f>
        <v/>
      </c>
      <c r="D158" t="str">
        <f>IF(MSE成绩库!D158="","", MSE成绩库!D158)</f>
        <v/>
      </c>
      <c r="E158" t="str">
        <f>IF(MSE成绩库!C158="","", MSE成绩库!E158)</f>
        <v/>
      </c>
      <c r="F158" t="str">
        <f>IF(MSE成绩库!C158="","", MSE成绩库!F158)</f>
        <v/>
      </c>
      <c r="G158" t="str">
        <f>IF(MSE成绩库!C158="","", MSE成绩库!G158)</f>
        <v/>
      </c>
      <c r="H158" t="str">
        <f>IF(MSE成绩库!C158="","", MSE成绩库!H158)</f>
        <v/>
      </c>
      <c r="I158" t="str">
        <f>IF(MSE成绩库!C158="","", MSE成绩库!I158)</f>
        <v/>
      </c>
      <c r="J158" t="str">
        <f>IF(MSE成绩库!C158="","", MSE成绩库!J158)</f>
        <v/>
      </c>
      <c r="K158" t="str">
        <f>IF(MSE成绩库!C158="","", MSE成绩库!K158)</f>
        <v/>
      </c>
      <c r="L158" t="str">
        <f>IF(MSE成绩库!C158="","", MSE成绩库!M158)</f>
        <v/>
      </c>
      <c r="M158" t="str">
        <f>IF(MSE成绩库!C158="","", MSE成绩库!N158)</f>
        <v/>
      </c>
      <c r="N158" t="str">
        <f>IF(MSE成绩库!C158="","", MSE成绩库!O158)</f>
        <v/>
      </c>
      <c r="O158" t="str">
        <f>IF(MSE成绩库!C158="","", MSE成绩库!Q158)</f>
        <v/>
      </c>
      <c r="P158" t="str">
        <f>IF(MSE成绩库!C158="","", MSE成绩库!R158)</f>
        <v/>
      </c>
      <c r="Q158" t="str">
        <f>IF(MSE成绩库!C158="","", MSE成绩库!S158)</f>
        <v/>
      </c>
      <c r="R158" t="str">
        <f>IF(MSE成绩库!C158="","", MSE成绩库!T158)</f>
        <v/>
      </c>
      <c r="S158" t="str">
        <f>IF(MSE成绩库!C158="","", MSE成绩库!U158)</f>
        <v/>
      </c>
      <c r="T158" t="str">
        <f>IF(MSE成绩库!C158="","", MSE成绩库!V158)</f>
        <v/>
      </c>
      <c r="U158" t="str">
        <f>IF(MSE成绩库!C158="","", MSE成绩库!X158)</f>
        <v/>
      </c>
      <c r="V158" t="str">
        <f>IF(MSE成绩库!C158="","", MSE成绩库!Y158)</f>
        <v/>
      </c>
      <c r="W158" t="str">
        <f>IF(MSE成绩库!C158="","", MSE成绩库!Z158)</f>
        <v/>
      </c>
      <c r="X158" t="str">
        <f>IF(MSE成绩库!C158="","", MSE成绩库!AA158)</f>
        <v/>
      </c>
      <c r="Y158" t="str">
        <f>IF(MSE成绩库!C158="","", MSE成绩库!AB158)</f>
        <v/>
      </c>
      <c r="Z158" t="str">
        <f>IF(MSE成绩库!C158="","", MSE成绩库!AC158)</f>
        <v/>
      </c>
    </row>
    <row r="159" spans="1:26" x14ac:dyDescent="0.2">
      <c r="A159" t="str">
        <f>IF(MSE成绩库!C159="","", MSE成绩库!C159)</f>
        <v/>
      </c>
      <c r="B159" t="str">
        <f>IF(MSE成绩库!AD159="","", MSE成绩库!AD159)</f>
        <v/>
      </c>
      <c r="C159" t="str">
        <f>IF(MSE成绩库!B159="","", MSE成绩库!B159)</f>
        <v/>
      </c>
      <c r="D159" t="str">
        <f>IF(MSE成绩库!D159="","", MSE成绩库!D159)</f>
        <v/>
      </c>
      <c r="E159" t="str">
        <f>IF(MSE成绩库!C159="","", MSE成绩库!E159)</f>
        <v/>
      </c>
      <c r="F159" t="str">
        <f>IF(MSE成绩库!C159="","", MSE成绩库!F159)</f>
        <v/>
      </c>
      <c r="G159" t="str">
        <f>IF(MSE成绩库!C159="","", MSE成绩库!G159)</f>
        <v/>
      </c>
      <c r="H159" t="str">
        <f>IF(MSE成绩库!C159="","", MSE成绩库!H159)</f>
        <v/>
      </c>
      <c r="I159" t="str">
        <f>IF(MSE成绩库!C159="","", MSE成绩库!I159)</f>
        <v/>
      </c>
      <c r="J159" t="str">
        <f>IF(MSE成绩库!C159="","", MSE成绩库!J159)</f>
        <v/>
      </c>
      <c r="K159" t="str">
        <f>IF(MSE成绩库!C159="","", MSE成绩库!K159)</f>
        <v/>
      </c>
      <c r="L159" t="str">
        <f>IF(MSE成绩库!C159="","", MSE成绩库!M159)</f>
        <v/>
      </c>
      <c r="M159" t="str">
        <f>IF(MSE成绩库!C159="","", MSE成绩库!N159)</f>
        <v/>
      </c>
      <c r="N159" t="str">
        <f>IF(MSE成绩库!C159="","", MSE成绩库!O159)</f>
        <v/>
      </c>
      <c r="O159" t="str">
        <f>IF(MSE成绩库!C159="","", MSE成绩库!Q159)</f>
        <v/>
      </c>
      <c r="P159" t="str">
        <f>IF(MSE成绩库!C159="","", MSE成绩库!R159)</f>
        <v/>
      </c>
      <c r="Q159" t="str">
        <f>IF(MSE成绩库!C159="","", MSE成绩库!S159)</f>
        <v/>
      </c>
      <c r="R159" t="str">
        <f>IF(MSE成绩库!C159="","", MSE成绩库!T159)</f>
        <v/>
      </c>
      <c r="S159" t="str">
        <f>IF(MSE成绩库!C159="","", MSE成绩库!U159)</f>
        <v/>
      </c>
      <c r="T159" t="str">
        <f>IF(MSE成绩库!C159="","", MSE成绩库!V159)</f>
        <v/>
      </c>
      <c r="U159" t="str">
        <f>IF(MSE成绩库!C159="","", MSE成绩库!X159)</f>
        <v/>
      </c>
      <c r="V159" t="str">
        <f>IF(MSE成绩库!C159="","", MSE成绩库!Y159)</f>
        <v/>
      </c>
      <c r="W159" t="str">
        <f>IF(MSE成绩库!C159="","", MSE成绩库!Z159)</f>
        <v/>
      </c>
      <c r="X159" t="str">
        <f>IF(MSE成绩库!C159="","", MSE成绩库!AA159)</f>
        <v/>
      </c>
      <c r="Y159" t="str">
        <f>IF(MSE成绩库!C159="","", MSE成绩库!AB159)</f>
        <v/>
      </c>
      <c r="Z159" t="str">
        <f>IF(MSE成绩库!C159="","", MSE成绩库!AC159)</f>
        <v/>
      </c>
    </row>
    <row r="160" spans="1:26" x14ac:dyDescent="0.2">
      <c r="A160" t="str">
        <f>IF(MSE成绩库!C160="","", MSE成绩库!C160)</f>
        <v/>
      </c>
      <c r="B160" t="str">
        <f>IF(MSE成绩库!AD160="","", MSE成绩库!AD160)</f>
        <v/>
      </c>
      <c r="C160" t="str">
        <f>IF(MSE成绩库!B160="","", MSE成绩库!B160)</f>
        <v/>
      </c>
      <c r="D160" t="str">
        <f>IF(MSE成绩库!D160="","", MSE成绩库!D160)</f>
        <v/>
      </c>
      <c r="E160" t="str">
        <f>IF(MSE成绩库!C160="","", MSE成绩库!E160)</f>
        <v/>
      </c>
      <c r="F160" t="str">
        <f>IF(MSE成绩库!C160="","", MSE成绩库!F160)</f>
        <v/>
      </c>
      <c r="G160" t="str">
        <f>IF(MSE成绩库!C160="","", MSE成绩库!G160)</f>
        <v/>
      </c>
      <c r="H160" t="str">
        <f>IF(MSE成绩库!C160="","", MSE成绩库!H160)</f>
        <v/>
      </c>
      <c r="I160" t="str">
        <f>IF(MSE成绩库!C160="","", MSE成绩库!I160)</f>
        <v/>
      </c>
      <c r="J160" t="str">
        <f>IF(MSE成绩库!C160="","", MSE成绩库!J160)</f>
        <v/>
      </c>
      <c r="K160" t="str">
        <f>IF(MSE成绩库!C160="","", MSE成绩库!K160)</f>
        <v/>
      </c>
      <c r="L160" t="str">
        <f>IF(MSE成绩库!C160="","", MSE成绩库!M160)</f>
        <v/>
      </c>
      <c r="M160" t="str">
        <f>IF(MSE成绩库!C160="","", MSE成绩库!N160)</f>
        <v/>
      </c>
      <c r="N160" t="str">
        <f>IF(MSE成绩库!C160="","", MSE成绩库!O160)</f>
        <v/>
      </c>
      <c r="O160" t="str">
        <f>IF(MSE成绩库!C160="","", MSE成绩库!Q160)</f>
        <v/>
      </c>
      <c r="P160" t="str">
        <f>IF(MSE成绩库!C160="","", MSE成绩库!R160)</f>
        <v/>
      </c>
      <c r="Q160" t="str">
        <f>IF(MSE成绩库!C160="","", MSE成绩库!S160)</f>
        <v/>
      </c>
      <c r="R160" t="str">
        <f>IF(MSE成绩库!C160="","", MSE成绩库!T160)</f>
        <v/>
      </c>
      <c r="S160" t="str">
        <f>IF(MSE成绩库!C160="","", MSE成绩库!U160)</f>
        <v/>
      </c>
      <c r="T160" t="str">
        <f>IF(MSE成绩库!C160="","", MSE成绩库!V160)</f>
        <v/>
      </c>
      <c r="U160" t="str">
        <f>IF(MSE成绩库!C160="","", MSE成绩库!X160)</f>
        <v/>
      </c>
      <c r="V160" t="str">
        <f>IF(MSE成绩库!C160="","", MSE成绩库!Y160)</f>
        <v/>
      </c>
      <c r="W160" t="str">
        <f>IF(MSE成绩库!C160="","", MSE成绩库!Z160)</f>
        <v/>
      </c>
      <c r="X160" t="str">
        <f>IF(MSE成绩库!C160="","", MSE成绩库!AA160)</f>
        <v/>
      </c>
      <c r="Y160" t="str">
        <f>IF(MSE成绩库!C160="","", MSE成绩库!AB160)</f>
        <v/>
      </c>
      <c r="Z160" t="str">
        <f>IF(MSE成绩库!C160="","", MSE成绩库!AC160)</f>
        <v/>
      </c>
    </row>
    <row r="161" spans="1:26" x14ac:dyDescent="0.2">
      <c r="A161" t="str">
        <f>IF(MSE成绩库!C161="","", MSE成绩库!C161)</f>
        <v/>
      </c>
      <c r="B161" t="str">
        <f>IF(MSE成绩库!AD161="","", MSE成绩库!AD161)</f>
        <v/>
      </c>
      <c r="C161" t="str">
        <f>IF(MSE成绩库!B161="","", MSE成绩库!B161)</f>
        <v/>
      </c>
      <c r="D161" t="str">
        <f>IF(MSE成绩库!D161="","", MSE成绩库!D161)</f>
        <v/>
      </c>
      <c r="E161" t="str">
        <f>IF(MSE成绩库!C161="","", MSE成绩库!E161)</f>
        <v/>
      </c>
      <c r="F161" t="str">
        <f>IF(MSE成绩库!C161="","", MSE成绩库!F161)</f>
        <v/>
      </c>
      <c r="G161" t="str">
        <f>IF(MSE成绩库!C161="","", MSE成绩库!G161)</f>
        <v/>
      </c>
      <c r="H161" t="str">
        <f>IF(MSE成绩库!C161="","", MSE成绩库!H161)</f>
        <v/>
      </c>
      <c r="I161" t="str">
        <f>IF(MSE成绩库!C161="","", MSE成绩库!I161)</f>
        <v/>
      </c>
      <c r="J161" t="str">
        <f>IF(MSE成绩库!C161="","", MSE成绩库!J161)</f>
        <v/>
      </c>
      <c r="K161" t="str">
        <f>IF(MSE成绩库!C161="","", MSE成绩库!K161)</f>
        <v/>
      </c>
      <c r="L161" t="str">
        <f>IF(MSE成绩库!C161="","", MSE成绩库!M161)</f>
        <v/>
      </c>
      <c r="M161" t="str">
        <f>IF(MSE成绩库!C161="","", MSE成绩库!N161)</f>
        <v/>
      </c>
      <c r="N161" t="str">
        <f>IF(MSE成绩库!C161="","", MSE成绩库!O161)</f>
        <v/>
      </c>
      <c r="O161" t="str">
        <f>IF(MSE成绩库!C161="","", MSE成绩库!Q161)</f>
        <v/>
      </c>
      <c r="P161" t="str">
        <f>IF(MSE成绩库!C161="","", MSE成绩库!R161)</f>
        <v/>
      </c>
      <c r="Q161" t="str">
        <f>IF(MSE成绩库!C161="","", MSE成绩库!S161)</f>
        <v/>
      </c>
      <c r="R161" t="str">
        <f>IF(MSE成绩库!C161="","", MSE成绩库!T161)</f>
        <v/>
      </c>
      <c r="S161" t="str">
        <f>IF(MSE成绩库!C161="","", MSE成绩库!U161)</f>
        <v/>
      </c>
      <c r="T161" t="str">
        <f>IF(MSE成绩库!C161="","", MSE成绩库!V161)</f>
        <v/>
      </c>
      <c r="U161" t="str">
        <f>IF(MSE成绩库!C161="","", MSE成绩库!X161)</f>
        <v/>
      </c>
      <c r="V161" t="str">
        <f>IF(MSE成绩库!C161="","", MSE成绩库!Y161)</f>
        <v/>
      </c>
      <c r="W161" t="str">
        <f>IF(MSE成绩库!C161="","", MSE成绩库!Z161)</f>
        <v/>
      </c>
      <c r="X161" t="str">
        <f>IF(MSE成绩库!C161="","", MSE成绩库!AA161)</f>
        <v/>
      </c>
      <c r="Y161" t="str">
        <f>IF(MSE成绩库!C161="","", MSE成绩库!AB161)</f>
        <v/>
      </c>
      <c r="Z161" t="str">
        <f>IF(MSE成绩库!C161="","", MSE成绩库!AC161)</f>
        <v/>
      </c>
    </row>
    <row r="162" spans="1:26" x14ac:dyDescent="0.2">
      <c r="A162" t="str">
        <f>IF(MSE成绩库!C162="","", MSE成绩库!C162)</f>
        <v/>
      </c>
      <c r="B162" t="str">
        <f>IF(MSE成绩库!AD162="","", MSE成绩库!AD162)</f>
        <v/>
      </c>
      <c r="C162" t="str">
        <f>IF(MSE成绩库!B162="","", MSE成绩库!B162)</f>
        <v/>
      </c>
      <c r="D162" t="str">
        <f>IF(MSE成绩库!D162="","", MSE成绩库!D162)</f>
        <v/>
      </c>
      <c r="E162" t="str">
        <f>IF(MSE成绩库!C162="","", MSE成绩库!E162)</f>
        <v/>
      </c>
      <c r="F162" t="str">
        <f>IF(MSE成绩库!C162="","", MSE成绩库!F162)</f>
        <v/>
      </c>
      <c r="G162" t="str">
        <f>IF(MSE成绩库!C162="","", MSE成绩库!G162)</f>
        <v/>
      </c>
      <c r="H162" t="str">
        <f>IF(MSE成绩库!C162="","", MSE成绩库!H162)</f>
        <v/>
      </c>
      <c r="I162" t="str">
        <f>IF(MSE成绩库!C162="","", MSE成绩库!I162)</f>
        <v/>
      </c>
      <c r="J162" t="str">
        <f>IF(MSE成绩库!C162="","", MSE成绩库!J162)</f>
        <v/>
      </c>
      <c r="K162" t="str">
        <f>IF(MSE成绩库!C162="","", MSE成绩库!K162)</f>
        <v/>
      </c>
      <c r="L162" t="str">
        <f>IF(MSE成绩库!C162="","", MSE成绩库!M162)</f>
        <v/>
      </c>
      <c r="M162" t="str">
        <f>IF(MSE成绩库!C162="","", MSE成绩库!N162)</f>
        <v/>
      </c>
      <c r="N162" t="str">
        <f>IF(MSE成绩库!C162="","", MSE成绩库!O162)</f>
        <v/>
      </c>
      <c r="O162" t="str">
        <f>IF(MSE成绩库!C162="","", MSE成绩库!Q162)</f>
        <v/>
      </c>
      <c r="P162" t="str">
        <f>IF(MSE成绩库!C162="","", MSE成绩库!R162)</f>
        <v/>
      </c>
      <c r="Q162" t="str">
        <f>IF(MSE成绩库!C162="","", MSE成绩库!S162)</f>
        <v/>
      </c>
      <c r="R162" t="str">
        <f>IF(MSE成绩库!C162="","", MSE成绩库!T162)</f>
        <v/>
      </c>
      <c r="S162" t="str">
        <f>IF(MSE成绩库!C162="","", MSE成绩库!U162)</f>
        <v/>
      </c>
      <c r="T162" t="str">
        <f>IF(MSE成绩库!C162="","", MSE成绩库!V162)</f>
        <v/>
      </c>
      <c r="U162" t="str">
        <f>IF(MSE成绩库!C162="","", MSE成绩库!X162)</f>
        <v/>
      </c>
      <c r="V162" t="str">
        <f>IF(MSE成绩库!C162="","", MSE成绩库!Y162)</f>
        <v/>
      </c>
      <c r="W162" t="str">
        <f>IF(MSE成绩库!C162="","", MSE成绩库!Z162)</f>
        <v/>
      </c>
      <c r="X162" t="str">
        <f>IF(MSE成绩库!C162="","", MSE成绩库!AA162)</f>
        <v/>
      </c>
      <c r="Y162" t="str">
        <f>IF(MSE成绩库!C162="","", MSE成绩库!AB162)</f>
        <v/>
      </c>
      <c r="Z162" t="str">
        <f>IF(MSE成绩库!C162="","", MSE成绩库!AC162)</f>
        <v/>
      </c>
    </row>
    <row r="163" spans="1:26" x14ac:dyDescent="0.2">
      <c r="A163" t="str">
        <f>IF(MSE成绩库!C163="","", MSE成绩库!C163)</f>
        <v/>
      </c>
      <c r="B163" t="str">
        <f>IF(MSE成绩库!AD163="","", MSE成绩库!AD163)</f>
        <v/>
      </c>
      <c r="C163" t="str">
        <f>IF(MSE成绩库!B163="","", MSE成绩库!B163)</f>
        <v/>
      </c>
      <c r="D163" t="str">
        <f>IF(MSE成绩库!D163="","", MSE成绩库!D163)</f>
        <v/>
      </c>
      <c r="E163" t="str">
        <f>IF(MSE成绩库!C163="","", MSE成绩库!E163)</f>
        <v/>
      </c>
      <c r="F163" t="str">
        <f>IF(MSE成绩库!C163="","", MSE成绩库!F163)</f>
        <v/>
      </c>
      <c r="G163" t="str">
        <f>IF(MSE成绩库!C163="","", MSE成绩库!G163)</f>
        <v/>
      </c>
      <c r="H163" t="str">
        <f>IF(MSE成绩库!C163="","", MSE成绩库!H163)</f>
        <v/>
      </c>
      <c r="I163" t="str">
        <f>IF(MSE成绩库!C163="","", MSE成绩库!I163)</f>
        <v/>
      </c>
      <c r="J163" t="str">
        <f>IF(MSE成绩库!C163="","", MSE成绩库!J163)</f>
        <v/>
      </c>
      <c r="K163" t="str">
        <f>IF(MSE成绩库!C163="","", MSE成绩库!K163)</f>
        <v/>
      </c>
      <c r="L163" t="str">
        <f>IF(MSE成绩库!C163="","", MSE成绩库!M163)</f>
        <v/>
      </c>
      <c r="M163" t="str">
        <f>IF(MSE成绩库!C163="","", MSE成绩库!N163)</f>
        <v/>
      </c>
      <c r="N163" t="str">
        <f>IF(MSE成绩库!C163="","", MSE成绩库!O163)</f>
        <v/>
      </c>
      <c r="O163" t="str">
        <f>IF(MSE成绩库!C163="","", MSE成绩库!Q163)</f>
        <v/>
      </c>
      <c r="P163" t="str">
        <f>IF(MSE成绩库!C163="","", MSE成绩库!R163)</f>
        <v/>
      </c>
      <c r="Q163" t="str">
        <f>IF(MSE成绩库!C163="","", MSE成绩库!S163)</f>
        <v/>
      </c>
      <c r="R163" t="str">
        <f>IF(MSE成绩库!C163="","", MSE成绩库!T163)</f>
        <v/>
      </c>
      <c r="S163" t="str">
        <f>IF(MSE成绩库!C163="","", MSE成绩库!U163)</f>
        <v/>
      </c>
      <c r="T163" t="str">
        <f>IF(MSE成绩库!C163="","", MSE成绩库!V163)</f>
        <v/>
      </c>
      <c r="U163" t="str">
        <f>IF(MSE成绩库!C163="","", MSE成绩库!X163)</f>
        <v/>
      </c>
      <c r="V163" t="str">
        <f>IF(MSE成绩库!C163="","", MSE成绩库!Y163)</f>
        <v/>
      </c>
      <c r="W163" t="str">
        <f>IF(MSE成绩库!C163="","", MSE成绩库!Z163)</f>
        <v/>
      </c>
      <c r="X163" t="str">
        <f>IF(MSE成绩库!C163="","", MSE成绩库!AA163)</f>
        <v/>
      </c>
      <c r="Y163" t="str">
        <f>IF(MSE成绩库!C163="","", MSE成绩库!AB163)</f>
        <v/>
      </c>
      <c r="Z163" t="str">
        <f>IF(MSE成绩库!C163="","", MSE成绩库!AC163)</f>
        <v/>
      </c>
    </row>
    <row r="164" spans="1:26" x14ac:dyDescent="0.2">
      <c r="A164" t="str">
        <f>IF(MSE成绩库!C164="","", MSE成绩库!C164)</f>
        <v/>
      </c>
      <c r="B164" t="str">
        <f>IF(MSE成绩库!AD164="","", MSE成绩库!AD164)</f>
        <v/>
      </c>
      <c r="C164" t="str">
        <f>IF(MSE成绩库!B164="","", MSE成绩库!B164)</f>
        <v/>
      </c>
      <c r="D164" t="str">
        <f>IF(MSE成绩库!D164="","", MSE成绩库!D164)</f>
        <v/>
      </c>
      <c r="E164" t="str">
        <f>IF(MSE成绩库!C164="","", MSE成绩库!E164)</f>
        <v/>
      </c>
      <c r="F164" t="str">
        <f>IF(MSE成绩库!C164="","", MSE成绩库!F164)</f>
        <v/>
      </c>
      <c r="G164" t="str">
        <f>IF(MSE成绩库!C164="","", MSE成绩库!G164)</f>
        <v/>
      </c>
      <c r="H164" t="str">
        <f>IF(MSE成绩库!C164="","", MSE成绩库!H164)</f>
        <v/>
      </c>
      <c r="I164" t="str">
        <f>IF(MSE成绩库!C164="","", MSE成绩库!I164)</f>
        <v/>
      </c>
      <c r="J164" t="str">
        <f>IF(MSE成绩库!C164="","", MSE成绩库!J164)</f>
        <v/>
      </c>
      <c r="K164" t="str">
        <f>IF(MSE成绩库!C164="","", MSE成绩库!K164)</f>
        <v/>
      </c>
      <c r="L164" t="str">
        <f>IF(MSE成绩库!C164="","", MSE成绩库!M164)</f>
        <v/>
      </c>
      <c r="M164" t="str">
        <f>IF(MSE成绩库!C164="","", MSE成绩库!N164)</f>
        <v/>
      </c>
      <c r="N164" t="str">
        <f>IF(MSE成绩库!C164="","", MSE成绩库!O164)</f>
        <v/>
      </c>
      <c r="O164" t="str">
        <f>IF(MSE成绩库!C164="","", MSE成绩库!Q164)</f>
        <v/>
      </c>
      <c r="P164" t="str">
        <f>IF(MSE成绩库!C164="","", MSE成绩库!R164)</f>
        <v/>
      </c>
      <c r="Q164" t="str">
        <f>IF(MSE成绩库!C164="","", MSE成绩库!S164)</f>
        <v/>
      </c>
      <c r="R164" t="str">
        <f>IF(MSE成绩库!C164="","", MSE成绩库!T164)</f>
        <v/>
      </c>
      <c r="S164" t="str">
        <f>IF(MSE成绩库!C164="","", MSE成绩库!U164)</f>
        <v/>
      </c>
      <c r="T164" t="str">
        <f>IF(MSE成绩库!C164="","", MSE成绩库!V164)</f>
        <v/>
      </c>
      <c r="U164" t="str">
        <f>IF(MSE成绩库!C164="","", MSE成绩库!X164)</f>
        <v/>
      </c>
      <c r="V164" t="str">
        <f>IF(MSE成绩库!C164="","", MSE成绩库!Y164)</f>
        <v/>
      </c>
      <c r="W164" t="str">
        <f>IF(MSE成绩库!C164="","", MSE成绩库!Z164)</f>
        <v/>
      </c>
      <c r="X164" t="str">
        <f>IF(MSE成绩库!C164="","", MSE成绩库!AA164)</f>
        <v/>
      </c>
      <c r="Y164" t="str">
        <f>IF(MSE成绩库!C164="","", MSE成绩库!AB164)</f>
        <v/>
      </c>
      <c r="Z164" t="str">
        <f>IF(MSE成绩库!C164="","", MSE成绩库!AC164)</f>
        <v/>
      </c>
    </row>
    <row r="165" spans="1:26" x14ac:dyDescent="0.2">
      <c r="A165" t="str">
        <f>IF(MSE成绩库!C165="","", MSE成绩库!C165)</f>
        <v/>
      </c>
      <c r="B165" t="str">
        <f>IF(MSE成绩库!AD165="","", MSE成绩库!AD165)</f>
        <v/>
      </c>
      <c r="C165" t="str">
        <f>IF(MSE成绩库!B165="","", MSE成绩库!B165)</f>
        <v/>
      </c>
      <c r="D165" t="str">
        <f>IF(MSE成绩库!D165="","", MSE成绩库!D165)</f>
        <v/>
      </c>
      <c r="E165" t="str">
        <f>IF(MSE成绩库!C165="","", MSE成绩库!E165)</f>
        <v/>
      </c>
      <c r="F165" t="str">
        <f>IF(MSE成绩库!C165="","", MSE成绩库!F165)</f>
        <v/>
      </c>
      <c r="G165" t="str">
        <f>IF(MSE成绩库!C165="","", MSE成绩库!G165)</f>
        <v/>
      </c>
      <c r="H165" t="str">
        <f>IF(MSE成绩库!C165="","", MSE成绩库!H165)</f>
        <v/>
      </c>
      <c r="I165" t="str">
        <f>IF(MSE成绩库!C165="","", MSE成绩库!I165)</f>
        <v/>
      </c>
      <c r="J165" t="str">
        <f>IF(MSE成绩库!C165="","", MSE成绩库!J165)</f>
        <v/>
      </c>
      <c r="K165" t="str">
        <f>IF(MSE成绩库!C165="","", MSE成绩库!K165)</f>
        <v/>
      </c>
      <c r="L165" t="str">
        <f>IF(MSE成绩库!C165="","", MSE成绩库!M165)</f>
        <v/>
      </c>
      <c r="M165" t="str">
        <f>IF(MSE成绩库!C165="","", MSE成绩库!N165)</f>
        <v/>
      </c>
      <c r="N165" t="str">
        <f>IF(MSE成绩库!C165="","", MSE成绩库!O165)</f>
        <v/>
      </c>
      <c r="O165" t="str">
        <f>IF(MSE成绩库!C165="","", MSE成绩库!Q165)</f>
        <v/>
      </c>
      <c r="P165" t="str">
        <f>IF(MSE成绩库!C165="","", MSE成绩库!R165)</f>
        <v/>
      </c>
      <c r="Q165" t="str">
        <f>IF(MSE成绩库!C165="","", MSE成绩库!S165)</f>
        <v/>
      </c>
      <c r="R165" t="str">
        <f>IF(MSE成绩库!C165="","", MSE成绩库!T165)</f>
        <v/>
      </c>
      <c r="S165" t="str">
        <f>IF(MSE成绩库!C165="","", MSE成绩库!U165)</f>
        <v/>
      </c>
      <c r="T165" t="str">
        <f>IF(MSE成绩库!C165="","", MSE成绩库!V165)</f>
        <v/>
      </c>
      <c r="U165" t="str">
        <f>IF(MSE成绩库!C165="","", MSE成绩库!X165)</f>
        <v/>
      </c>
      <c r="V165" t="str">
        <f>IF(MSE成绩库!C165="","", MSE成绩库!Y165)</f>
        <v/>
      </c>
      <c r="W165" t="str">
        <f>IF(MSE成绩库!C165="","", MSE成绩库!Z165)</f>
        <v/>
      </c>
      <c r="X165" t="str">
        <f>IF(MSE成绩库!C165="","", MSE成绩库!AA165)</f>
        <v/>
      </c>
      <c r="Y165" t="str">
        <f>IF(MSE成绩库!C165="","", MSE成绩库!AB165)</f>
        <v/>
      </c>
      <c r="Z165" t="str">
        <f>IF(MSE成绩库!C165="","", MSE成绩库!AC165)</f>
        <v/>
      </c>
    </row>
    <row r="166" spans="1:26" x14ac:dyDescent="0.2">
      <c r="A166" t="str">
        <f>IF(MSE成绩库!C166="","", MSE成绩库!C166)</f>
        <v/>
      </c>
      <c r="B166" t="str">
        <f>IF(MSE成绩库!AD166="","", MSE成绩库!AD166)</f>
        <v/>
      </c>
      <c r="C166" t="str">
        <f>IF(MSE成绩库!B166="","", MSE成绩库!B166)</f>
        <v/>
      </c>
      <c r="D166" t="str">
        <f>IF(MSE成绩库!D166="","", MSE成绩库!D166)</f>
        <v/>
      </c>
      <c r="E166" t="str">
        <f>IF(MSE成绩库!C166="","", MSE成绩库!E166)</f>
        <v/>
      </c>
      <c r="F166" t="str">
        <f>IF(MSE成绩库!C166="","", MSE成绩库!F166)</f>
        <v/>
      </c>
      <c r="G166" t="str">
        <f>IF(MSE成绩库!C166="","", MSE成绩库!G166)</f>
        <v/>
      </c>
      <c r="H166" t="str">
        <f>IF(MSE成绩库!C166="","", MSE成绩库!H166)</f>
        <v/>
      </c>
      <c r="I166" t="str">
        <f>IF(MSE成绩库!C166="","", MSE成绩库!I166)</f>
        <v/>
      </c>
      <c r="J166" t="str">
        <f>IF(MSE成绩库!C166="","", MSE成绩库!J166)</f>
        <v/>
      </c>
      <c r="K166" t="str">
        <f>IF(MSE成绩库!C166="","", MSE成绩库!K166)</f>
        <v/>
      </c>
      <c r="L166" t="str">
        <f>IF(MSE成绩库!C166="","", MSE成绩库!M166)</f>
        <v/>
      </c>
      <c r="M166" t="str">
        <f>IF(MSE成绩库!C166="","", MSE成绩库!N166)</f>
        <v/>
      </c>
      <c r="N166" t="str">
        <f>IF(MSE成绩库!C166="","", MSE成绩库!O166)</f>
        <v/>
      </c>
      <c r="O166" t="str">
        <f>IF(MSE成绩库!C166="","", MSE成绩库!Q166)</f>
        <v/>
      </c>
      <c r="P166" t="str">
        <f>IF(MSE成绩库!C166="","", MSE成绩库!R166)</f>
        <v/>
      </c>
      <c r="Q166" t="str">
        <f>IF(MSE成绩库!C166="","", MSE成绩库!S166)</f>
        <v/>
      </c>
      <c r="R166" t="str">
        <f>IF(MSE成绩库!C166="","", MSE成绩库!T166)</f>
        <v/>
      </c>
      <c r="S166" t="str">
        <f>IF(MSE成绩库!C166="","", MSE成绩库!U166)</f>
        <v/>
      </c>
      <c r="T166" t="str">
        <f>IF(MSE成绩库!C166="","", MSE成绩库!V166)</f>
        <v/>
      </c>
      <c r="U166" t="str">
        <f>IF(MSE成绩库!C166="","", MSE成绩库!X166)</f>
        <v/>
      </c>
      <c r="V166" t="str">
        <f>IF(MSE成绩库!C166="","", MSE成绩库!Y166)</f>
        <v/>
      </c>
      <c r="W166" t="str">
        <f>IF(MSE成绩库!C166="","", MSE成绩库!Z166)</f>
        <v/>
      </c>
      <c r="X166" t="str">
        <f>IF(MSE成绩库!C166="","", MSE成绩库!AA166)</f>
        <v/>
      </c>
      <c r="Y166" t="str">
        <f>IF(MSE成绩库!C166="","", MSE成绩库!AB166)</f>
        <v/>
      </c>
      <c r="Z166" t="str">
        <f>IF(MSE成绩库!C166="","", MSE成绩库!AC166)</f>
        <v/>
      </c>
    </row>
    <row r="167" spans="1:26" x14ac:dyDescent="0.2">
      <c r="A167" t="str">
        <f>IF(MSE成绩库!C167="","", MSE成绩库!C167)</f>
        <v/>
      </c>
      <c r="B167" t="str">
        <f>IF(MSE成绩库!AD167="","", MSE成绩库!AD167)</f>
        <v/>
      </c>
      <c r="C167" t="str">
        <f>IF(MSE成绩库!B167="","", MSE成绩库!B167)</f>
        <v/>
      </c>
      <c r="D167" t="str">
        <f>IF(MSE成绩库!D167="","", MSE成绩库!D167)</f>
        <v/>
      </c>
      <c r="E167" t="str">
        <f>IF(MSE成绩库!C167="","", MSE成绩库!E167)</f>
        <v/>
      </c>
      <c r="F167" t="str">
        <f>IF(MSE成绩库!C167="","", MSE成绩库!F167)</f>
        <v/>
      </c>
      <c r="G167" t="str">
        <f>IF(MSE成绩库!C167="","", MSE成绩库!G167)</f>
        <v/>
      </c>
      <c r="H167" t="str">
        <f>IF(MSE成绩库!C167="","", MSE成绩库!H167)</f>
        <v/>
      </c>
      <c r="I167" t="str">
        <f>IF(MSE成绩库!C167="","", MSE成绩库!I167)</f>
        <v/>
      </c>
      <c r="J167" t="str">
        <f>IF(MSE成绩库!C167="","", MSE成绩库!J167)</f>
        <v/>
      </c>
      <c r="K167" t="str">
        <f>IF(MSE成绩库!C167="","", MSE成绩库!K167)</f>
        <v/>
      </c>
      <c r="L167" t="str">
        <f>IF(MSE成绩库!C167="","", MSE成绩库!M167)</f>
        <v/>
      </c>
      <c r="M167" t="str">
        <f>IF(MSE成绩库!C167="","", MSE成绩库!N167)</f>
        <v/>
      </c>
      <c r="N167" t="str">
        <f>IF(MSE成绩库!C167="","", MSE成绩库!O167)</f>
        <v/>
      </c>
      <c r="O167" t="str">
        <f>IF(MSE成绩库!C167="","", MSE成绩库!Q167)</f>
        <v/>
      </c>
      <c r="P167" t="str">
        <f>IF(MSE成绩库!C167="","", MSE成绩库!R167)</f>
        <v/>
      </c>
      <c r="Q167" t="str">
        <f>IF(MSE成绩库!C167="","", MSE成绩库!S167)</f>
        <v/>
      </c>
      <c r="R167" t="str">
        <f>IF(MSE成绩库!C167="","", MSE成绩库!T167)</f>
        <v/>
      </c>
      <c r="S167" t="str">
        <f>IF(MSE成绩库!C167="","", MSE成绩库!U167)</f>
        <v/>
      </c>
      <c r="T167" t="str">
        <f>IF(MSE成绩库!C167="","", MSE成绩库!V167)</f>
        <v/>
      </c>
      <c r="U167" t="str">
        <f>IF(MSE成绩库!C167="","", MSE成绩库!X167)</f>
        <v/>
      </c>
      <c r="V167" t="str">
        <f>IF(MSE成绩库!C167="","", MSE成绩库!Y167)</f>
        <v/>
      </c>
      <c r="W167" t="str">
        <f>IF(MSE成绩库!C167="","", MSE成绩库!Z167)</f>
        <v/>
      </c>
      <c r="X167" t="str">
        <f>IF(MSE成绩库!C167="","", MSE成绩库!AA167)</f>
        <v/>
      </c>
      <c r="Y167" t="str">
        <f>IF(MSE成绩库!C167="","", MSE成绩库!AB167)</f>
        <v/>
      </c>
      <c r="Z167" t="str">
        <f>IF(MSE成绩库!C167="","", MSE成绩库!AC167)</f>
        <v/>
      </c>
    </row>
    <row r="168" spans="1:26" x14ac:dyDescent="0.2">
      <c r="A168" t="str">
        <f>IF(MSE成绩库!C168="","", MSE成绩库!C168)</f>
        <v/>
      </c>
      <c r="B168" t="str">
        <f>IF(MSE成绩库!AD168="","", MSE成绩库!AD168)</f>
        <v/>
      </c>
      <c r="C168" t="str">
        <f>IF(MSE成绩库!B168="","", MSE成绩库!B168)</f>
        <v/>
      </c>
      <c r="D168" t="str">
        <f>IF(MSE成绩库!D168="","", MSE成绩库!D168)</f>
        <v/>
      </c>
      <c r="E168" t="str">
        <f>IF(MSE成绩库!C168="","", MSE成绩库!E168)</f>
        <v/>
      </c>
      <c r="F168" t="str">
        <f>IF(MSE成绩库!C168="","", MSE成绩库!F168)</f>
        <v/>
      </c>
      <c r="G168" t="str">
        <f>IF(MSE成绩库!C168="","", MSE成绩库!G168)</f>
        <v/>
      </c>
      <c r="H168" t="str">
        <f>IF(MSE成绩库!C168="","", MSE成绩库!H168)</f>
        <v/>
      </c>
      <c r="I168" t="str">
        <f>IF(MSE成绩库!C168="","", MSE成绩库!I168)</f>
        <v/>
      </c>
      <c r="J168" t="str">
        <f>IF(MSE成绩库!C168="","", MSE成绩库!J168)</f>
        <v/>
      </c>
      <c r="K168" t="str">
        <f>IF(MSE成绩库!C168="","", MSE成绩库!K168)</f>
        <v/>
      </c>
      <c r="L168" t="str">
        <f>IF(MSE成绩库!C168="","", MSE成绩库!M168)</f>
        <v/>
      </c>
      <c r="M168" t="str">
        <f>IF(MSE成绩库!C168="","", MSE成绩库!N168)</f>
        <v/>
      </c>
      <c r="N168" t="str">
        <f>IF(MSE成绩库!C168="","", MSE成绩库!O168)</f>
        <v/>
      </c>
      <c r="O168" t="str">
        <f>IF(MSE成绩库!C168="","", MSE成绩库!Q168)</f>
        <v/>
      </c>
      <c r="P168" t="str">
        <f>IF(MSE成绩库!C168="","", MSE成绩库!R168)</f>
        <v/>
      </c>
      <c r="Q168" t="str">
        <f>IF(MSE成绩库!C168="","", MSE成绩库!S168)</f>
        <v/>
      </c>
      <c r="R168" t="str">
        <f>IF(MSE成绩库!C168="","", MSE成绩库!T168)</f>
        <v/>
      </c>
      <c r="S168" t="str">
        <f>IF(MSE成绩库!C168="","", MSE成绩库!U168)</f>
        <v/>
      </c>
      <c r="T168" t="str">
        <f>IF(MSE成绩库!C168="","", MSE成绩库!V168)</f>
        <v/>
      </c>
      <c r="U168" t="str">
        <f>IF(MSE成绩库!C168="","", MSE成绩库!X168)</f>
        <v/>
      </c>
      <c r="V168" t="str">
        <f>IF(MSE成绩库!C168="","", MSE成绩库!Y168)</f>
        <v/>
      </c>
      <c r="W168" t="str">
        <f>IF(MSE成绩库!C168="","", MSE成绩库!Z168)</f>
        <v/>
      </c>
      <c r="X168" t="str">
        <f>IF(MSE成绩库!C168="","", MSE成绩库!AA168)</f>
        <v/>
      </c>
      <c r="Y168" t="str">
        <f>IF(MSE成绩库!C168="","", MSE成绩库!AB168)</f>
        <v/>
      </c>
      <c r="Z168" t="str">
        <f>IF(MSE成绩库!C168="","", MSE成绩库!AC168)</f>
        <v/>
      </c>
    </row>
    <row r="169" spans="1:26" x14ac:dyDescent="0.2">
      <c r="A169" t="str">
        <f>IF(MSE成绩库!C169="","", MSE成绩库!C169)</f>
        <v/>
      </c>
      <c r="B169" t="str">
        <f>IF(MSE成绩库!AD169="","", MSE成绩库!AD169)</f>
        <v/>
      </c>
      <c r="C169" t="str">
        <f>IF(MSE成绩库!B169="","", MSE成绩库!B169)</f>
        <v/>
      </c>
      <c r="D169" t="str">
        <f>IF(MSE成绩库!D169="","", MSE成绩库!D169)</f>
        <v/>
      </c>
      <c r="E169" t="str">
        <f>IF(MSE成绩库!C169="","", MSE成绩库!E169)</f>
        <v/>
      </c>
      <c r="F169" t="str">
        <f>IF(MSE成绩库!C169="","", MSE成绩库!F169)</f>
        <v/>
      </c>
      <c r="G169" t="str">
        <f>IF(MSE成绩库!C169="","", MSE成绩库!G169)</f>
        <v/>
      </c>
      <c r="H169" t="str">
        <f>IF(MSE成绩库!C169="","", MSE成绩库!H169)</f>
        <v/>
      </c>
      <c r="I169" t="str">
        <f>IF(MSE成绩库!C169="","", MSE成绩库!I169)</f>
        <v/>
      </c>
      <c r="J169" t="str">
        <f>IF(MSE成绩库!C169="","", MSE成绩库!J169)</f>
        <v/>
      </c>
      <c r="K169" t="str">
        <f>IF(MSE成绩库!C169="","", MSE成绩库!K169)</f>
        <v/>
      </c>
      <c r="L169" t="str">
        <f>IF(MSE成绩库!C169="","", MSE成绩库!M169)</f>
        <v/>
      </c>
      <c r="M169" t="str">
        <f>IF(MSE成绩库!C169="","", MSE成绩库!N169)</f>
        <v/>
      </c>
      <c r="N169" t="str">
        <f>IF(MSE成绩库!C169="","", MSE成绩库!O169)</f>
        <v/>
      </c>
      <c r="O169" t="str">
        <f>IF(MSE成绩库!C169="","", MSE成绩库!Q169)</f>
        <v/>
      </c>
      <c r="P169" t="str">
        <f>IF(MSE成绩库!C169="","", MSE成绩库!R169)</f>
        <v/>
      </c>
      <c r="Q169" t="str">
        <f>IF(MSE成绩库!C169="","", MSE成绩库!S169)</f>
        <v/>
      </c>
      <c r="R169" t="str">
        <f>IF(MSE成绩库!C169="","", MSE成绩库!T169)</f>
        <v/>
      </c>
      <c r="S169" t="str">
        <f>IF(MSE成绩库!C169="","", MSE成绩库!U169)</f>
        <v/>
      </c>
      <c r="T169" t="str">
        <f>IF(MSE成绩库!C169="","", MSE成绩库!V169)</f>
        <v/>
      </c>
      <c r="U169" t="str">
        <f>IF(MSE成绩库!C169="","", MSE成绩库!X169)</f>
        <v/>
      </c>
      <c r="V169" t="str">
        <f>IF(MSE成绩库!C169="","", MSE成绩库!Y169)</f>
        <v/>
      </c>
      <c r="W169" t="str">
        <f>IF(MSE成绩库!C169="","", MSE成绩库!Z169)</f>
        <v/>
      </c>
      <c r="X169" t="str">
        <f>IF(MSE成绩库!C169="","", MSE成绩库!AA169)</f>
        <v/>
      </c>
      <c r="Y169" t="str">
        <f>IF(MSE成绩库!C169="","", MSE成绩库!AB169)</f>
        <v/>
      </c>
      <c r="Z169" t="str">
        <f>IF(MSE成绩库!C169="","", MSE成绩库!AC169)</f>
        <v/>
      </c>
    </row>
    <row r="170" spans="1:26" x14ac:dyDescent="0.2">
      <c r="A170" t="str">
        <f>IF(MSE成绩库!C170="","", MSE成绩库!C170)</f>
        <v/>
      </c>
      <c r="B170" t="str">
        <f>IF(MSE成绩库!AD170="","", MSE成绩库!AD170)</f>
        <v/>
      </c>
      <c r="C170" t="str">
        <f>IF(MSE成绩库!B170="","", MSE成绩库!B170)</f>
        <v/>
      </c>
      <c r="D170" t="str">
        <f>IF(MSE成绩库!D170="","", MSE成绩库!D170)</f>
        <v/>
      </c>
      <c r="E170" t="str">
        <f>IF(MSE成绩库!C170="","", MSE成绩库!E170)</f>
        <v/>
      </c>
      <c r="F170" t="str">
        <f>IF(MSE成绩库!C170="","", MSE成绩库!F170)</f>
        <v/>
      </c>
      <c r="G170" t="str">
        <f>IF(MSE成绩库!C170="","", MSE成绩库!G170)</f>
        <v/>
      </c>
      <c r="H170" t="str">
        <f>IF(MSE成绩库!C170="","", MSE成绩库!H170)</f>
        <v/>
      </c>
      <c r="I170" t="str">
        <f>IF(MSE成绩库!C170="","", MSE成绩库!I170)</f>
        <v/>
      </c>
      <c r="J170" t="str">
        <f>IF(MSE成绩库!C170="","", MSE成绩库!J170)</f>
        <v/>
      </c>
      <c r="K170" t="str">
        <f>IF(MSE成绩库!C170="","", MSE成绩库!K170)</f>
        <v/>
      </c>
      <c r="L170" t="str">
        <f>IF(MSE成绩库!C170="","", MSE成绩库!M170)</f>
        <v/>
      </c>
      <c r="M170" t="str">
        <f>IF(MSE成绩库!C170="","", MSE成绩库!N170)</f>
        <v/>
      </c>
      <c r="N170" t="str">
        <f>IF(MSE成绩库!C170="","", MSE成绩库!O170)</f>
        <v/>
      </c>
      <c r="O170" t="str">
        <f>IF(MSE成绩库!C170="","", MSE成绩库!Q170)</f>
        <v/>
      </c>
      <c r="P170" t="str">
        <f>IF(MSE成绩库!C170="","", MSE成绩库!R170)</f>
        <v/>
      </c>
      <c r="Q170" t="str">
        <f>IF(MSE成绩库!C170="","", MSE成绩库!S170)</f>
        <v/>
      </c>
      <c r="R170" t="str">
        <f>IF(MSE成绩库!C170="","", MSE成绩库!T170)</f>
        <v/>
      </c>
      <c r="S170" t="str">
        <f>IF(MSE成绩库!C170="","", MSE成绩库!U170)</f>
        <v/>
      </c>
      <c r="T170" t="str">
        <f>IF(MSE成绩库!C170="","", MSE成绩库!V170)</f>
        <v/>
      </c>
      <c r="U170" t="str">
        <f>IF(MSE成绩库!C170="","", MSE成绩库!X170)</f>
        <v/>
      </c>
      <c r="V170" t="str">
        <f>IF(MSE成绩库!C170="","", MSE成绩库!Y170)</f>
        <v/>
      </c>
      <c r="W170" t="str">
        <f>IF(MSE成绩库!C170="","", MSE成绩库!Z170)</f>
        <v/>
      </c>
      <c r="X170" t="str">
        <f>IF(MSE成绩库!C170="","", MSE成绩库!AA170)</f>
        <v/>
      </c>
      <c r="Y170" t="str">
        <f>IF(MSE成绩库!C170="","", MSE成绩库!AB170)</f>
        <v/>
      </c>
      <c r="Z170" t="str">
        <f>IF(MSE成绩库!C170="","", MSE成绩库!AC170)</f>
        <v/>
      </c>
    </row>
    <row r="171" spans="1:26" x14ac:dyDescent="0.2">
      <c r="A171" t="str">
        <f>IF(MSE成绩库!C171="","", MSE成绩库!C171)</f>
        <v/>
      </c>
      <c r="B171" t="str">
        <f>IF(MSE成绩库!AD171="","", MSE成绩库!AD171)</f>
        <v/>
      </c>
      <c r="C171" t="str">
        <f>IF(MSE成绩库!B171="","", MSE成绩库!B171)</f>
        <v/>
      </c>
      <c r="D171" t="str">
        <f>IF(MSE成绩库!D171="","", MSE成绩库!D171)</f>
        <v/>
      </c>
      <c r="E171" t="str">
        <f>IF(MSE成绩库!C171="","", MSE成绩库!E171)</f>
        <v/>
      </c>
      <c r="F171" t="str">
        <f>IF(MSE成绩库!C171="","", MSE成绩库!F171)</f>
        <v/>
      </c>
      <c r="G171" t="str">
        <f>IF(MSE成绩库!C171="","", MSE成绩库!G171)</f>
        <v/>
      </c>
      <c r="H171" t="str">
        <f>IF(MSE成绩库!C171="","", MSE成绩库!H171)</f>
        <v/>
      </c>
      <c r="I171" t="str">
        <f>IF(MSE成绩库!C171="","", MSE成绩库!I171)</f>
        <v/>
      </c>
      <c r="J171" t="str">
        <f>IF(MSE成绩库!C171="","", MSE成绩库!J171)</f>
        <v/>
      </c>
      <c r="K171" t="str">
        <f>IF(MSE成绩库!C171="","", MSE成绩库!K171)</f>
        <v/>
      </c>
      <c r="L171" t="str">
        <f>IF(MSE成绩库!C171="","", MSE成绩库!M171)</f>
        <v/>
      </c>
      <c r="M171" t="str">
        <f>IF(MSE成绩库!C171="","", MSE成绩库!N171)</f>
        <v/>
      </c>
      <c r="N171" t="str">
        <f>IF(MSE成绩库!C171="","", MSE成绩库!O171)</f>
        <v/>
      </c>
      <c r="O171" t="str">
        <f>IF(MSE成绩库!C171="","", MSE成绩库!Q171)</f>
        <v/>
      </c>
      <c r="P171" t="str">
        <f>IF(MSE成绩库!C171="","", MSE成绩库!R171)</f>
        <v/>
      </c>
      <c r="Q171" t="str">
        <f>IF(MSE成绩库!C171="","", MSE成绩库!S171)</f>
        <v/>
      </c>
      <c r="R171" t="str">
        <f>IF(MSE成绩库!C171="","", MSE成绩库!T171)</f>
        <v/>
      </c>
      <c r="S171" t="str">
        <f>IF(MSE成绩库!C171="","", MSE成绩库!U171)</f>
        <v/>
      </c>
      <c r="T171" t="str">
        <f>IF(MSE成绩库!C171="","", MSE成绩库!V171)</f>
        <v/>
      </c>
      <c r="U171" t="str">
        <f>IF(MSE成绩库!C171="","", MSE成绩库!X171)</f>
        <v/>
      </c>
      <c r="V171" t="str">
        <f>IF(MSE成绩库!C171="","", MSE成绩库!Y171)</f>
        <v/>
      </c>
      <c r="W171" t="str">
        <f>IF(MSE成绩库!C171="","", MSE成绩库!Z171)</f>
        <v/>
      </c>
      <c r="X171" t="str">
        <f>IF(MSE成绩库!C171="","", MSE成绩库!AA171)</f>
        <v/>
      </c>
      <c r="Y171" t="str">
        <f>IF(MSE成绩库!C171="","", MSE成绩库!AB171)</f>
        <v/>
      </c>
      <c r="Z171" t="str">
        <f>IF(MSE成绩库!C171="","", MSE成绩库!AC171)</f>
        <v/>
      </c>
    </row>
    <row r="172" spans="1:26" x14ac:dyDescent="0.2">
      <c r="A172" t="str">
        <f>IF(MSE成绩库!C172="","", MSE成绩库!C172)</f>
        <v/>
      </c>
      <c r="B172" t="str">
        <f>IF(MSE成绩库!AD172="","", MSE成绩库!AD172)</f>
        <v/>
      </c>
      <c r="C172" t="str">
        <f>IF(MSE成绩库!B172="","", MSE成绩库!B172)</f>
        <v/>
      </c>
      <c r="D172" t="str">
        <f>IF(MSE成绩库!D172="","", MSE成绩库!D172)</f>
        <v/>
      </c>
      <c r="E172" t="str">
        <f>IF(MSE成绩库!C172="","", MSE成绩库!E172)</f>
        <v/>
      </c>
      <c r="F172" t="str">
        <f>IF(MSE成绩库!C172="","", MSE成绩库!F172)</f>
        <v/>
      </c>
      <c r="G172" t="str">
        <f>IF(MSE成绩库!C172="","", MSE成绩库!G172)</f>
        <v/>
      </c>
      <c r="H172" t="str">
        <f>IF(MSE成绩库!C172="","", MSE成绩库!H172)</f>
        <v/>
      </c>
      <c r="I172" t="str">
        <f>IF(MSE成绩库!C172="","", MSE成绩库!I172)</f>
        <v/>
      </c>
      <c r="J172" t="str">
        <f>IF(MSE成绩库!C172="","", MSE成绩库!J172)</f>
        <v/>
      </c>
      <c r="K172" t="str">
        <f>IF(MSE成绩库!C172="","", MSE成绩库!K172)</f>
        <v/>
      </c>
      <c r="L172" t="str">
        <f>IF(MSE成绩库!C172="","", MSE成绩库!M172)</f>
        <v/>
      </c>
      <c r="M172" t="str">
        <f>IF(MSE成绩库!C172="","", MSE成绩库!N172)</f>
        <v/>
      </c>
      <c r="N172" t="str">
        <f>IF(MSE成绩库!C172="","", MSE成绩库!O172)</f>
        <v/>
      </c>
      <c r="O172" t="str">
        <f>IF(MSE成绩库!C172="","", MSE成绩库!Q172)</f>
        <v/>
      </c>
      <c r="P172" t="str">
        <f>IF(MSE成绩库!C172="","", MSE成绩库!R172)</f>
        <v/>
      </c>
      <c r="Q172" t="str">
        <f>IF(MSE成绩库!C172="","", MSE成绩库!S172)</f>
        <v/>
      </c>
      <c r="R172" t="str">
        <f>IF(MSE成绩库!C172="","", MSE成绩库!T172)</f>
        <v/>
      </c>
      <c r="S172" t="str">
        <f>IF(MSE成绩库!C172="","", MSE成绩库!U172)</f>
        <v/>
      </c>
      <c r="T172" t="str">
        <f>IF(MSE成绩库!C172="","", MSE成绩库!V172)</f>
        <v/>
      </c>
      <c r="U172" t="str">
        <f>IF(MSE成绩库!C172="","", MSE成绩库!X172)</f>
        <v/>
      </c>
      <c r="V172" t="str">
        <f>IF(MSE成绩库!C172="","", MSE成绩库!Y172)</f>
        <v/>
      </c>
      <c r="W172" t="str">
        <f>IF(MSE成绩库!C172="","", MSE成绩库!Z172)</f>
        <v/>
      </c>
      <c r="X172" t="str">
        <f>IF(MSE成绩库!C172="","", MSE成绩库!AA172)</f>
        <v/>
      </c>
      <c r="Y172" t="str">
        <f>IF(MSE成绩库!C172="","", MSE成绩库!AB172)</f>
        <v/>
      </c>
      <c r="Z172" t="str">
        <f>IF(MSE成绩库!C172="","", MSE成绩库!AC172)</f>
        <v/>
      </c>
    </row>
    <row r="173" spans="1:26" x14ac:dyDescent="0.2">
      <c r="A173" t="str">
        <f>IF(MSE成绩库!C173="","", MSE成绩库!C173)</f>
        <v/>
      </c>
      <c r="B173" t="str">
        <f>IF(MSE成绩库!AD173="","", MSE成绩库!AD173)</f>
        <v/>
      </c>
      <c r="C173" t="str">
        <f>IF(MSE成绩库!B173="","", MSE成绩库!B173)</f>
        <v/>
      </c>
      <c r="D173" t="str">
        <f>IF(MSE成绩库!D173="","", MSE成绩库!D173)</f>
        <v/>
      </c>
      <c r="E173" t="str">
        <f>IF(MSE成绩库!C173="","", MSE成绩库!E173)</f>
        <v/>
      </c>
      <c r="F173" t="str">
        <f>IF(MSE成绩库!C173="","", MSE成绩库!F173)</f>
        <v/>
      </c>
      <c r="G173" t="str">
        <f>IF(MSE成绩库!C173="","", MSE成绩库!G173)</f>
        <v/>
      </c>
      <c r="H173" t="str">
        <f>IF(MSE成绩库!C173="","", MSE成绩库!H173)</f>
        <v/>
      </c>
      <c r="I173" t="str">
        <f>IF(MSE成绩库!C173="","", MSE成绩库!I173)</f>
        <v/>
      </c>
      <c r="J173" t="str">
        <f>IF(MSE成绩库!C173="","", MSE成绩库!J173)</f>
        <v/>
      </c>
      <c r="K173" t="str">
        <f>IF(MSE成绩库!C173="","", MSE成绩库!K173)</f>
        <v/>
      </c>
      <c r="L173" t="str">
        <f>IF(MSE成绩库!C173="","", MSE成绩库!M173)</f>
        <v/>
      </c>
      <c r="M173" t="str">
        <f>IF(MSE成绩库!C173="","", MSE成绩库!N173)</f>
        <v/>
      </c>
      <c r="N173" t="str">
        <f>IF(MSE成绩库!C173="","", MSE成绩库!O173)</f>
        <v/>
      </c>
      <c r="O173" t="str">
        <f>IF(MSE成绩库!C173="","", MSE成绩库!Q173)</f>
        <v/>
      </c>
      <c r="P173" t="str">
        <f>IF(MSE成绩库!C173="","", MSE成绩库!R173)</f>
        <v/>
      </c>
      <c r="Q173" t="str">
        <f>IF(MSE成绩库!C173="","", MSE成绩库!S173)</f>
        <v/>
      </c>
      <c r="R173" t="str">
        <f>IF(MSE成绩库!C173="","", MSE成绩库!T173)</f>
        <v/>
      </c>
      <c r="S173" t="str">
        <f>IF(MSE成绩库!C173="","", MSE成绩库!U173)</f>
        <v/>
      </c>
      <c r="T173" t="str">
        <f>IF(MSE成绩库!C173="","", MSE成绩库!V173)</f>
        <v/>
      </c>
      <c r="U173" t="str">
        <f>IF(MSE成绩库!C173="","", MSE成绩库!X173)</f>
        <v/>
      </c>
      <c r="V173" t="str">
        <f>IF(MSE成绩库!C173="","", MSE成绩库!Y173)</f>
        <v/>
      </c>
      <c r="W173" t="str">
        <f>IF(MSE成绩库!C173="","", MSE成绩库!Z173)</f>
        <v/>
      </c>
      <c r="X173" t="str">
        <f>IF(MSE成绩库!C173="","", MSE成绩库!AA173)</f>
        <v/>
      </c>
      <c r="Y173" t="str">
        <f>IF(MSE成绩库!C173="","", MSE成绩库!AB173)</f>
        <v/>
      </c>
      <c r="Z173" t="str">
        <f>IF(MSE成绩库!C173="","", MSE成绩库!AC173)</f>
        <v/>
      </c>
    </row>
    <row r="174" spans="1:26" x14ac:dyDescent="0.2">
      <c r="A174" t="str">
        <f>IF(MSE成绩库!C174="","", MSE成绩库!C174)</f>
        <v/>
      </c>
      <c r="B174" t="str">
        <f>IF(MSE成绩库!AD174="","", MSE成绩库!AD174)</f>
        <v/>
      </c>
      <c r="C174" t="str">
        <f>IF(MSE成绩库!B174="","", MSE成绩库!B174)</f>
        <v/>
      </c>
      <c r="D174" t="str">
        <f>IF(MSE成绩库!D174="","", MSE成绩库!D174)</f>
        <v/>
      </c>
      <c r="E174" t="str">
        <f>IF(MSE成绩库!C174="","", MSE成绩库!E174)</f>
        <v/>
      </c>
      <c r="F174" t="str">
        <f>IF(MSE成绩库!C174="","", MSE成绩库!F174)</f>
        <v/>
      </c>
      <c r="G174" t="str">
        <f>IF(MSE成绩库!C174="","", MSE成绩库!G174)</f>
        <v/>
      </c>
      <c r="H174" t="str">
        <f>IF(MSE成绩库!C174="","", MSE成绩库!H174)</f>
        <v/>
      </c>
      <c r="I174" t="str">
        <f>IF(MSE成绩库!C174="","", MSE成绩库!I174)</f>
        <v/>
      </c>
      <c r="J174" t="str">
        <f>IF(MSE成绩库!C174="","", MSE成绩库!J174)</f>
        <v/>
      </c>
      <c r="K174" t="str">
        <f>IF(MSE成绩库!C174="","", MSE成绩库!K174)</f>
        <v/>
      </c>
      <c r="L174" t="str">
        <f>IF(MSE成绩库!C174="","", MSE成绩库!M174)</f>
        <v/>
      </c>
      <c r="M174" t="str">
        <f>IF(MSE成绩库!C174="","", MSE成绩库!N174)</f>
        <v/>
      </c>
      <c r="N174" t="str">
        <f>IF(MSE成绩库!C174="","", MSE成绩库!O174)</f>
        <v/>
      </c>
      <c r="O174" t="str">
        <f>IF(MSE成绩库!C174="","", MSE成绩库!Q174)</f>
        <v/>
      </c>
      <c r="P174" t="str">
        <f>IF(MSE成绩库!C174="","", MSE成绩库!R174)</f>
        <v/>
      </c>
      <c r="Q174" t="str">
        <f>IF(MSE成绩库!C174="","", MSE成绩库!S174)</f>
        <v/>
      </c>
      <c r="R174" t="str">
        <f>IF(MSE成绩库!C174="","", MSE成绩库!T174)</f>
        <v/>
      </c>
      <c r="S174" t="str">
        <f>IF(MSE成绩库!C174="","", MSE成绩库!U174)</f>
        <v/>
      </c>
      <c r="T174" t="str">
        <f>IF(MSE成绩库!C174="","", MSE成绩库!V174)</f>
        <v/>
      </c>
      <c r="U174" t="str">
        <f>IF(MSE成绩库!C174="","", MSE成绩库!X174)</f>
        <v/>
      </c>
      <c r="V174" t="str">
        <f>IF(MSE成绩库!C174="","", MSE成绩库!Y174)</f>
        <v/>
      </c>
      <c r="W174" t="str">
        <f>IF(MSE成绩库!C174="","", MSE成绩库!Z174)</f>
        <v/>
      </c>
      <c r="X174" t="str">
        <f>IF(MSE成绩库!C174="","", MSE成绩库!AA174)</f>
        <v/>
      </c>
      <c r="Y174" t="str">
        <f>IF(MSE成绩库!C174="","", MSE成绩库!AB174)</f>
        <v/>
      </c>
      <c r="Z174" t="str">
        <f>IF(MSE成绩库!C174="","", MSE成绩库!AC174)</f>
        <v/>
      </c>
    </row>
    <row r="175" spans="1:26" x14ac:dyDescent="0.2">
      <c r="A175" t="str">
        <f>IF(MSE成绩库!C175="","", MSE成绩库!C175)</f>
        <v/>
      </c>
      <c r="B175" t="str">
        <f>IF(MSE成绩库!AD175="","", MSE成绩库!AD175)</f>
        <v/>
      </c>
      <c r="C175" t="str">
        <f>IF(MSE成绩库!B175="","", MSE成绩库!B175)</f>
        <v/>
      </c>
      <c r="D175" t="str">
        <f>IF(MSE成绩库!D175="","", MSE成绩库!D175)</f>
        <v/>
      </c>
      <c r="E175" t="str">
        <f>IF(MSE成绩库!C175="","", MSE成绩库!E175)</f>
        <v/>
      </c>
      <c r="F175" t="str">
        <f>IF(MSE成绩库!C175="","", MSE成绩库!F175)</f>
        <v/>
      </c>
      <c r="G175" t="str">
        <f>IF(MSE成绩库!C175="","", MSE成绩库!G175)</f>
        <v/>
      </c>
      <c r="H175" t="str">
        <f>IF(MSE成绩库!C175="","", MSE成绩库!H175)</f>
        <v/>
      </c>
      <c r="I175" t="str">
        <f>IF(MSE成绩库!C175="","", MSE成绩库!I175)</f>
        <v/>
      </c>
      <c r="J175" t="str">
        <f>IF(MSE成绩库!C175="","", MSE成绩库!J175)</f>
        <v/>
      </c>
      <c r="K175" t="str">
        <f>IF(MSE成绩库!C175="","", MSE成绩库!K175)</f>
        <v/>
      </c>
      <c r="L175" t="str">
        <f>IF(MSE成绩库!C175="","", MSE成绩库!M175)</f>
        <v/>
      </c>
      <c r="M175" t="str">
        <f>IF(MSE成绩库!C175="","", MSE成绩库!N175)</f>
        <v/>
      </c>
      <c r="N175" t="str">
        <f>IF(MSE成绩库!C175="","", MSE成绩库!O175)</f>
        <v/>
      </c>
      <c r="O175" t="str">
        <f>IF(MSE成绩库!C175="","", MSE成绩库!Q175)</f>
        <v/>
      </c>
      <c r="P175" t="str">
        <f>IF(MSE成绩库!C175="","", MSE成绩库!R175)</f>
        <v/>
      </c>
      <c r="Q175" t="str">
        <f>IF(MSE成绩库!C175="","", MSE成绩库!S175)</f>
        <v/>
      </c>
      <c r="R175" t="str">
        <f>IF(MSE成绩库!C175="","", MSE成绩库!T175)</f>
        <v/>
      </c>
      <c r="S175" t="str">
        <f>IF(MSE成绩库!C175="","", MSE成绩库!U175)</f>
        <v/>
      </c>
      <c r="T175" t="str">
        <f>IF(MSE成绩库!C175="","", MSE成绩库!V175)</f>
        <v/>
      </c>
      <c r="U175" t="str">
        <f>IF(MSE成绩库!C175="","", MSE成绩库!X175)</f>
        <v/>
      </c>
      <c r="V175" t="str">
        <f>IF(MSE成绩库!C175="","", MSE成绩库!Y175)</f>
        <v/>
      </c>
      <c r="W175" t="str">
        <f>IF(MSE成绩库!C175="","", MSE成绩库!Z175)</f>
        <v/>
      </c>
      <c r="X175" t="str">
        <f>IF(MSE成绩库!C175="","", MSE成绩库!AA175)</f>
        <v/>
      </c>
      <c r="Y175" t="str">
        <f>IF(MSE成绩库!C175="","", MSE成绩库!AB175)</f>
        <v/>
      </c>
      <c r="Z175" t="str">
        <f>IF(MSE成绩库!C175="","", MSE成绩库!AC175)</f>
        <v/>
      </c>
    </row>
    <row r="176" spans="1:26" x14ac:dyDescent="0.2">
      <c r="A176" t="str">
        <f>IF(MSE成绩库!C176="","", MSE成绩库!C176)</f>
        <v/>
      </c>
      <c r="B176" t="str">
        <f>IF(MSE成绩库!AD176="","", MSE成绩库!AD176)</f>
        <v/>
      </c>
      <c r="C176" t="str">
        <f>IF(MSE成绩库!B176="","", MSE成绩库!B176)</f>
        <v/>
      </c>
      <c r="D176" t="str">
        <f>IF(MSE成绩库!D176="","", MSE成绩库!D176)</f>
        <v/>
      </c>
      <c r="E176" t="str">
        <f>IF(MSE成绩库!C176="","", MSE成绩库!E176)</f>
        <v/>
      </c>
      <c r="F176" t="str">
        <f>IF(MSE成绩库!C176="","", MSE成绩库!F176)</f>
        <v/>
      </c>
      <c r="G176" t="str">
        <f>IF(MSE成绩库!C176="","", MSE成绩库!G176)</f>
        <v/>
      </c>
      <c r="H176" t="str">
        <f>IF(MSE成绩库!C176="","", MSE成绩库!H176)</f>
        <v/>
      </c>
      <c r="I176" t="str">
        <f>IF(MSE成绩库!C176="","", MSE成绩库!I176)</f>
        <v/>
      </c>
      <c r="J176" t="str">
        <f>IF(MSE成绩库!C176="","", MSE成绩库!J176)</f>
        <v/>
      </c>
      <c r="K176" t="str">
        <f>IF(MSE成绩库!C176="","", MSE成绩库!K176)</f>
        <v/>
      </c>
      <c r="L176" t="str">
        <f>IF(MSE成绩库!C176="","", MSE成绩库!M176)</f>
        <v/>
      </c>
      <c r="M176" t="str">
        <f>IF(MSE成绩库!C176="","", MSE成绩库!N176)</f>
        <v/>
      </c>
      <c r="N176" t="str">
        <f>IF(MSE成绩库!C176="","", MSE成绩库!O176)</f>
        <v/>
      </c>
      <c r="O176" t="str">
        <f>IF(MSE成绩库!C176="","", MSE成绩库!Q176)</f>
        <v/>
      </c>
      <c r="P176" t="str">
        <f>IF(MSE成绩库!C176="","", MSE成绩库!R176)</f>
        <v/>
      </c>
      <c r="Q176" t="str">
        <f>IF(MSE成绩库!C176="","", MSE成绩库!S176)</f>
        <v/>
      </c>
      <c r="R176" t="str">
        <f>IF(MSE成绩库!C176="","", MSE成绩库!T176)</f>
        <v/>
      </c>
      <c r="S176" t="str">
        <f>IF(MSE成绩库!C176="","", MSE成绩库!U176)</f>
        <v/>
      </c>
      <c r="T176" t="str">
        <f>IF(MSE成绩库!C176="","", MSE成绩库!V176)</f>
        <v/>
      </c>
      <c r="U176" t="str">
        <f>IF(MSE成绩库!C176="","", MSE成绩库!X176)</f>
        <v/>
      </c>
      <c r="V176" t="str">
        <f>IF(MSE成绩库!C176="","", MSE成绩库!Y176)</f>
        <v/>
      </c>
      <c r="W176" t="str">
        <f>IF(MSE成绩库!C176="","", MSE成绩库!Z176)</f>
        <v/>
      </c>
      <c r="X176" t="str">
        <f>IF(MSE成绩库!C176="","", MSE成绩库!AA176)</f>
        <v/>
      </c>
      <c r="Y176" t="str">
        <f>IF(MSE成绩库!C176="","", MSE成绩库!AB176)</f>
        <v/>
      </c>
      <c r="Z176" t="str">
        <f>IF(MSE成绩库!C176="","", MSE成绩库!AC176)</f>
        <v/>
      </c>
    </row>
    <row r="177" spans="1:26" x14ac:dyDescent="0.2">
      <c r="A177" t="str">
        <f>IF(MSE成绩库!C177="","", MSE成绩库!C177)</f>
        <v/>
      </c>
      <c r="B177" t="str">
        <f>IF(MSE成绩库!AD177="","", MSE成绩库!AD177)</f>
        <v/>
      </c>
      <c r="C177" t="str">
        <f>IF(MSE成绩库!B177="","", MSE成绩库!B177)</f>
        <v/>
      </c>
      <c r="D177" t="str">
        <f>IF(MSE成绩库!D177="","", MSE成绩库!D177)</f>
        <v/>
      </c>
      <c r="E177" t="str">
        <f>IF(MSE成绩库!C177="","", MSE成绩库!E177)</f>
        <v/>
      </c>
      <c r="F177" t="str">
        <f>IF(MSE成绩库!C177="","", MSE成绩库!F177)</f>
        <v/>
      </c>
      <c r="G177" t="str">
        <f>IF(MSE成绩库!C177="","", MSE成绩库!G177)</f>
        <v/>
      </c>
      <c r="H177" t="str">
        <f>IF(MSE成绩库!C177="","", MSE成绩库!H177)</f>
        <v/>
      </c>
      <c r="I177" t="str">
        <f>IF(MSE成绩库!C177="","", MSE成绩库!I177)</f>
        <v/>
      </c>
      <c r="J177" t="str">
        <f>IF(MSE成绩库!C177="","", MSE成绩库!J177)</f>
        <v/>
      </c>
      <c r="K177" t="str">
        <f>IF(MSE成绩库!C177="","", MSE成绩库!K177)</f>
        <v/>
      </c>
      <c r="L177" t="str">
        <f>IF(MSE成绩库!C177="","", MSE成绩库!M177)</f>
        <v/>
      </c>
      <c r="M177" t="str">
        <f>IF(MSE成绩库!C177="","", MSE成绩库!N177)</f>
        <v/>
      </c>
      <c r="N177" t="str">
        <f>IF(MSE成绩库!C177="","", MSE成绩库!O177)</f>
        <v/>
      </c>
      <c r="O177" t="str">
        <f>IF(MSE成绩库!C177="","", MSE成绩库!Q177)</f>
        <v/>
      </c>
      <c r="P177" t="str">
        <f>IF(MSE成绩库!C177="","", MSE成绩库!R177)</f>
        <v/>
      </c>
      <c r="Q177" t="str">
        <f>IF(MSE成绩库!C177="","", MSE成绩库!S177)</f>
        <v/>
      </c>
      <c r="R177" t="str">
        <f>IF(MSE成绩库!C177="","", MSE成绩库!T177)</f>
        <v/>
      </c>
      <c r="S177" t="str">
        <f>IF(MSE成绩库!C177="","", MSE成绩库!U177)</f>
        <v/>
      </c>
      <c r="T177" t="str">
        <f>IF(MSE成绩库!C177="","", MSE成绩库!V177)</f>
        <v/>
      </c>
      <c r="U177" t="str">
        <f>IF(MSE成绩库!C177="","", MSE成绩库!X177)</f>
        <v/>
      </c>
      <c r="V177" t="str">
        <f>IF(MSE成绩库!C177="","", MSE成绩库!Y177)</f>
        <v/>
      </c>
      <c r="W177" t="str">
        <f>IF(MSE成绩库!C177="","", MSE成绩库!Z177)</f>
        <v/>
      </c>
      <c r="X177" t="str">
        <f>IF(MSE成绩库!C177="","", MSE成绩库!AA177)</f>
        <v/>
      </c>
      <c r="Y177" t="str">
        <f>IF(MSE成绩库!C177="","", MSE成绩库!AB177)</f>
        <v/>
      </c>
      <c r="Z177" t="str">
        <f>IF(MSE成绩库!C177="","", MSE成绩库!AC177)</f>
        <v/>
      </c>
    </row>
    <row r="178" spans="1:26" x14ac:dyDescent="0.2">
      <c r="A178" t="str">
        <f>IF(MSE成绩库!C178="","", MSE成绩库!C178)</f>
        <v/>
      </c>
      <c r="B178" t="str">
        <f>IF(MSE成绩库!AD178="","", MSE成绩库!AD178)</f>
        <v/>
      </c>
      <c r="C178" t="str">
        <f>IF(MSE成绩库!B178="","", MSE成绩库!B178)</f>
        <v/>
      </c>
      <c r="D178" t="str">
        <f>IF(MSE成绩库!D178="","", MSE成绩库!D178)</f>
        <v/>
      </c>
      <c r="E178" t="str">
        <f>IF(MSE成绩库!C178="","", MSE成绩库!E178)</f>
        <v/>
      </c>
      <c r="F178" t="str">
        <f>IF(MSE成绩库!C178="","", MSE成绩库!F178)</f>
        <v/>
      </c>
      <c r="G178" t="str">
        <f>IF(MSE成绩库!C178="","", MSE成绩库!G178)</f>
        <v/>
      </c>
      <c r="H178" t="str">
        <f>IF(MSE成绩库!C178="","", MSE成绩库!H178)</f>
        <v/>
      </c>
      <c r="I178" t="str">
        <f>IF(MSE成绩库!C178="","", MSE成绩库!I178)</f>
        <v/>
      </c>
      <c r="J178" t="str">
        <f>IF(MSE成绩库!C178="","", MSE成绩库!J178)</f>
        <v/>
      </c>
      <c r="K178" t="str">
        <f>IF(MSE成绩库!C178="","", MSE成绩库!K178)</f>
        <v/>
      </c>
      <c r="L178" t="str">
        <f>IF(MSE成绩库!C178="","", MSE成绩库!M178)</f>
        <v/>
      </c>
      <c r="M178" t="str">
        <f>IF(MSE成绩库!C178="","", MSE成绩库!N178)</f>
        <v/>
      </c>
      <c r="N178" t="str">
        <f>IF(MSE成绩库!C178="","", MSE成绩库!O178)</f>
        <v/>
      </c>
      <c r="O178" t="str">
        <f>IF(MSE成绩库!C178="","", MSE成绩库!Q178)</f>
        <v/>
      </c>
      <c r="P178" t="str">
        <f>IF(MSE成绩库!C178="","", MSE成绩库!R178)</f>
        <v/>
      </c>
      <c r="Q178" t="str">
        <f>IF(MSE成绩库!C178="","", MSE成绩库!S178)</f>
        <v/>
      </c>
      <c r="R178" t="str">
        <f>IF(MSE成绩库!C178="","", MSE成绩库!T178)</f>
        <v/>
      </c>
      <c r="S178" t="str">
        <f>IF(MSE成绩库!C178="","", MSE成绩库!U178)</f>
        <v/>
      </c>
      <c r="T178" t="str">
        <f>IF(MSE成绩库!C178="","", MSE成绩库!V178)</f>
        <v/>
      </c>
      <c r="U178" t="str">
        <f>IF(MSE成绩库!C178="","", MSE成绩库!X178)</f>
        <v/>
      </c>
      <c r="V178" t="str">
        <f>IF(MSE成绩库!C178="","", MSE成绩库!Y178)</f>
        <v/>
      </c>
      <c r="W178" t="str">
        <f>IF(MSE成绩库!C178="","", MSE成绩库!Z178)</f>
        <v/>
      </c>
      <c r="X178" t="str">
        <f>IF(MSE成绩库!C178="","", MSE成绩库!AA178)</f>
        <v/>
      </c>
      <c r="Y178" t="str">
        <f>IF(MSE成绩库!C178="","", MSE成绩库!AB178)</f>
        <v/>
      </c>
      <c r="Z178" t="str">
        <f>IF(MSE成绩库!C178="","", MSE成绩库!AC178)</f>
        <v/>
      </c>
    </row>
    <row r="179" spans="1:26" x14ac:dyDescent="0.2">
      <c r="A179" t="str">
        <f>IF(MSE成绩库!C179="","", MSE成绩库!C179)</f>
        <v/>
      </c>
      <c r="B179" t="str">
        <f>IF(MSE成绩库!AD179="","", MSE成绩库!AD179)</f>
        <v/>
      </c>
      <c r="C179" t="str">
        <f>IF(MSE成绩库!B179="","", MSE成绩库!B179)</f>
        <v/>
      </c>
      <c r="D179" t="str">
        <f>IF(MSE成绩库!D179="","", MSE成绩库!D179)</f>
        <v/>
      </c>
      <c r="E179" t="str">
        <f>IF(MSE成绩库!C179="","", MSE成绩库!E179)</f>
        <v/>
      </c>
      <c r="F179" t="str">
        <f>IF(MSE成绩库!C179="","", MSE成绩库!F179)</f>
        <v/>
      </c>
      <c r="G179" t="str">
        <f>IF(MSE成绩库!C179="","", MSE成绩库!G179)</f>
        <v/>
      </c>
      <c r="H179" t="str">
        <f>IF(MSE成绩库!C179="","", MSE成绩库!H179)</f>
        <v/>
      </c>
      <c r="I179" t="str">
        <f>IF(MSE成绩库!C179="","", MSE成绩库!I179)</f>
        <v/>
      </c>
      <c r="J179" t="str">
        <f>IF(MSE成绩库!C179="","", MSE成绩库!J179)</f>
        <v/>
      </c>
      <c r="K179" t="str">
        <f>IF(MSE成绩库!C179="","", MSE成绩库!K179)</f>
        <v/>
      </c>
      <c r="L179" t="str">
        <f>IF(MSE成绩库!C179="","", MSE成绩库!M179)</f>
        <v/>
      </c>
      <c r="M179" t="str">
        <f>IF(MSE成绩库!C179="","", MSE成绩库!N179)</f>
        <v/>
      </c>
      <c r="N179" t="str">
        <f>IF(MSE成绩库!C179="","", MSE成绩库!O179)</f>
        <v/>
      </c>
      <c r="O179" t="str">
        <f>IF(MSE成绩库!C179="","", MSE成绩库!Q179)</f>
        <v/>
      </c>
      <c r="P179" t="str">
        <f>IF(MSE成绩库!C179="","", MSE成绩库!R179)</f>
        <v/>
      </c>
      <c r="Q179" t="str">
        <f>IF(MSE成绩库!C179="","", MSE成绩库!S179)</f>
        <v/>
      </c>
      <c r="R179" t="str">
        <f>IF(MSE成绩库!C179="","", MSE成绩库!T179)</f>
        <v/>
      </c>
      <c r="S179" t="str">
        <f>IF(MSE成绩库!C179="","", MSE成绩库!U179)</f>
        <v/>
      </c>
      <c r="T179" t="str">
        <f>IF(MSE成绩库!C179="","", MSE成绩库!V179)</f>
        <v/>
      </c>
      <c r="U179" t="str">
        <f>IF(MSE成绩库!C179="","", MSE成绩库!X179)</f>
        <v/>
      </c>
      <c r="V179" t="str">
        <f>IF(MSE成绩库!C179="","", MSE成绩库!Y179)</f>
        <v/>
      </c>
      <c r="W179" t="str">
        <f>IF(MSE成绩库!C179="","", MSE成绩库!Z179)</f>
        <v/>
      </c>
      <c r="X179" t="str">
        <f>IF(MSE成绩库!C179="","", MSE成绩库!AA179)</f>
        <v/>
      </c>
      <c r="Y179" t="str">
        <f>IF(MSE成绩库!C179="","", MSE成绩库!AB179)</f>
        <v/>
      </c>
      <c r="Z179" t="str">
        <f>IF(MSE成绩库!C179="","", MSE成绩库!AC179)</f>
        <v/>
      </c>
    </row>
    <row r="180" spans="1:26" x14ac:dyDescent="0.2">
      <c r="A180" t="str">
        <f>IF(MSE成绩库!C180="","", MSE成绩库!C180)</f>
        <v/>
      </c>
      <c r="B180" t="str">
        <f>IF(MSE成绩库!AD180="","", MSE成绩库!AD180)</f>
        <v/>
      </c>
      <c r="C180" t="str">
        <f>IF(MSE成绩库!B180="","", MSE成绩库!B180)</f>
        <v/>
      </c>
      <c r="D180" t="str">
        <f>IF(MSE成绩库!D180="","", MSE成绩库!D180)</f>
        <v/>
      </c>
      <c r="E180" t="str">
        <f>IF(MSE成绩库!C180="","", MSE成绩库!E180)</f>
        <v/>
      </c>
      <c r="F180" t="str">
        <f>IF(MSE成绩库!C180="","", MSE成绩库!F180)</f>
        <v/>
      </c>
      <c r="G180" t="str">
        <f>IF(MSE成绩库!C180="","", MSE成绩库!G180)</f>
        <v/>
      </c>
      <c r="H180" t="str">
        <f>IF(MSE成绩库!C180="","", MSE成绩库!H180)</f>
        <v/>
      </c>
      <c r="I180" t="str">
        <f>IF(MSE成绩库!C180="","", MSE成绩库!I180)</f>
        <v/>
      </c>
      <c r="J180" t="str">
        <f>IF(MSE成绩库!C180="","", MSE成绩库!J180)</f>
        <v/>
      </c>
      <c r="K180" t="str">
        <f>IF(MSE成绩库!C180="","", MSE成绩库!K180)</f>
        <v/>
      </c>
      <c r="L180" t="str">
        <f>IF(MSE成绩库!C180="","", MSE成绩库!M180)</f>
        <v/>
      </c>
      <c r="M180" t="str">
        <f>IF(MSE成绩库!C180="","", MSE成绩库!N180)</f>
        <v/>
      </c>
      <c r="N180" t="str">
        <f>IF(MSE成绩库!C180="","", MSE成绩库!O180)</f>
        <v/>
      </c>
      <c r="O180" t="str">
        <f>IF(MSE成绩库!C180="","", MSE成绩库!Q180)</f>
        <v/>
      </c>
      <c r="P180" t="str">
        <f>IF(MSE成绩库!C180="","", MSE成绩库!R180)</f>
        <v/>
      </c>
      <c r="Q180" t="str">
        <f>IF(MSE成绩库!C180="","", MSE成绩库!S180)</f>
        <v/>
      </c>
      <c r="R180" t="str">
        <f>IF(MSE成绩库!C180="","", MSE成绩库!T180)</f>
        <v/>
      </c>
      <c r="S180" t="str">
        <f>IF(MSE成绩库!C180="","", MSE成绩库!U180)</f>
        <v/>
      </c>
      <c r="T180" t="str">
        <f>IF(MSE成绩库!C180="","", MSE成绩库!V180)</f>
        <v/>
      </c>
      <c r="U180" t="str">
        <f>IF(MSE成绩库!C180="","", MSE成绩库!X180)</f>
        <v/>
      </c>
      <c r="V180" t="str">
        <f>IF(MSE成绩库!C180="","", MSE成绩库!Y180)</f>
        <v/>
      </c>
      <c r="W180" t="str">
        <f>IF(MSE成绩库!C180="","", MSE成绩库!Z180)</f>
        <v/>
      </c>
      <c r="X180" t="str">
        <f>IF(MSE成绩库!C180="","", MSE成绩库!AA180)</f>
        <v/>
      </c>
      <c r="Y180" t="str">
        <f>IF(MSE成绩库!C180="","", MSE成绩库!AB180)</f>
        <v/>
      </c>
      <c r="Z180" t="str">
        <f>IF(MSE成绩库!C180="","", MSE成绩库!AC180)</f>
        <v/>
      </c>
    </row>
    <row r="181" spans="1:26" x14ac:dyDescent="0.2">
      <c r="A181" t="str">
        <f>IF(MSE成绩库!C181="","", MSE成绩库!C181)</f>
        <v/>
      </c>
      <c r="B181" t="str">
        <f>IF(MSE成绩库!AD181="","", MSE成绩库!AD181)</f>
        <v/>
      </c>
      <c r="C181" t="str">
        <f>IF(MSE成绩库!B181="","", MSE成绩库!B181)</f>
        <v/>
      </c>
      <c r="D181" t="str">
        <f>IF(MSE成绩库!D181="","", MSE成绩库!D181)</f>
        <v/>
      </c>
      <c r="E181" t="str">
        <f>IF(MSE成绩库!C181="","", MSE成绩库!E181)</f>
        <v/>
      </c>
      <c r="F181" t="str">
        <f>IF(MSE成绩库!C181="","", MSE成绩库!F181)</f>
        <v/>
      </c>
      <c r="G181" t="str">
        <f>IF(MSE成绩库!C181="","", MSE成绩库!G181)</f>
        <v/>
      </c>
      <c r="H181" t="str">
        <f>IF(MSE成绩库!C181="","", MSE成绩库!H181)</f>
        <v/>
      </c>
      <c r="I181" t="str">
        <f>IF(MSE成绩库!C181="","", MSE成绩库!I181)</f>
        <v/>
      </c>
      <c r="J181" t="str">
        <f>IF(MSE成绩库!C181="","", MSE成绩库!J181)</f>
        <v/>
      </c>
      <c r="K181" t="str">
        <f>IF(MSE成绩库!C181="","", MSE成绩库!K181)</f>
        <v/>
      </c>
      <c r="L181" t="str">
        <f>IF(MSE成绩库!C181="","", MSE成绩库!M181)</f>
        <v/>
      </c>
      <c r="M181" t="str">
        <f>IF(MSE成绩库!C181="","", MSE成绩库!N181)</f>
        <v/>
      </c>
      <c r="N181" t="str">
        <f>IF(MSE成绩库!C181="","", MSE成绩库!O181)</f>
        <v/>
      </c>
      <c r="O181" t="str">
        <f>IF(MSE成绩库!C181="","", MSE成绩库!Q181)</f>
        <v/>
      </c>
      <c r="P181" t="str">
        <f>IF(MSE成绩库!C181="","", MSE成绩库!R181)</f>
        <v/>
      </c>
      <c r="Q181" t="str">
        <f>IF(MSE成绩库!C181="","", MSE成绩库!S181)</f>
        <v/>
      </c>
      <c r="R181" t="str">
        <f>IF(MSE成绩库!C181="","", MSE成绩库!T181)</f>
        <v/>
      </c>
      <c r="S181" t="str">
        <f>IF(MSE成绩库!C181="","", MSE成绩库!U181)</f>
        <v/>
      </c>
      <c r="T181" t="str">
        <f>IF(MSE成绩库!C181="","", MSE成绩库!V181)</f>
        <v/>
      </c>
      <c r="U181" t="str">
        <f>IF(MSE成绩库!C181="","", MSE成绩库!X181)</f>
        <v/>
      </c>
      <c r="V181" t="str">
        <f>IF(MSE成绩库!C181="","", MSE成绩库!Y181)</f>
        <v/>
      </c>
      <c r="W181" t="str">
        <f>IF(MSE成绩库!C181="","", MSE成绩库!Z181)</f>
        <v/>
      </c>
      <c r="X181" t="str">
        <f>IF(MSE成绩库!C181="","", MSE成绩库!AA181)</f>
        <v/>
      </c>
      <c r="Y181" t="str">
        <f>IF(MSE成绩库!C181="","", MSE成绩库!AB181)</f>
        <v/>
      </c>
      <c r="Z181" t="str">
        <f>IF(MSE成绩库!C181="","", MSE成绩库!AC181)</f>
        <v/>
      </c>
    </row>
    <row r="182" spans="1:26" x14ac:dyDescent="0.2">
      <c r="A182" t="str">
        <f>IF(MSE成绩库!C182="","", MSE成绩库!C182)</f>
        <v/>
      </c>
      <c r="B182" t="str">
        <f>IF(MSE成绩库!AD182="","", MSE成绩库!AD182)</f>
        <v/>
      </c>
      <c r="C182" t="str">
        <f>IF(MSE成绩库!B182="","", MSE成绩库!B182)</f>
        <v/>
      </c>
      <c r="D182" t="str">
        <f>IF(MSE成绩库!D182="","", MSE成绩库!D182)</f>
        <v/>
      </c>
      <c r="E182" t="str">
        <f>IF(MSE成绩库!C182="","", MSE成绩库!E182)</f>
        <v/>
      </c>
      <c r="F182" t="str">
        <f>IF(MSE成绩库!C182="","", MSE成绩库!F182)</f>
        <v/>
      </c>
      <c r="G182" t="str">
        <f>IF(MSE成绩库!C182="","", MSE成绩库!G182)</f>
        <v/>
      </c>
      <c r="H182" t="str">
        <f>IF(MSE成绩库!C182="","", MSE成绩库!H182)</f>
        <v/>
      </c>
      <c r="I182" t="str">
        <f>IF(MSE成绩库!C182="","", MSE成绩库!I182)</f>
        <v/>
      </c>
      <c r="J182" t="str">
        <f>IF(MSE成绩库!C182="","", MSE成绩库!J182)</f>
        <v/>
      </c>
      <c r="K182" t="str">
        <f>IF(MSE成绩库!C182="","", MSE成绩库!K182)</f>
        <v/>
      </c>
      <c r="L182" t="str">
        <f>IF(MSE成绩库!C182="","", MSE成绩库!M182)</f>
        <v/>
      </c>
      <c r="M182" t="str">
        <f>IF(MSE成绩库!C182="","", MSE成绩库!N182)</f>
        <v/>
      </c>
      <c r="N182" t="str">
        <f>IF(MSE成绩库!C182="","", MSE成绩库!O182)</f>
        <v/>
      </c>
      <c r="O182" t="str">
        <f>IF(MSE成绩库!C182="","", MSE成绩库!Q182)</f>
        <v/>
      </c>
      <c r="P182" t="str">
        <f>IF(MSE成绩库!C182="","", MSE成绩库!R182)</f>
        <v/>
      </c>
      <c r="Q182" t="str">
        <f>IF(MSE成绩库!C182="","", MSE成绩库!S182)</f>
        <v/>
      </c>
      <c r="R182" t="str">
        <f>IF(MSE成绩库!C182="","", MSE成绩库!T182)</f>
        <v/>
      </c>
      <c r="S182" t="str">
        <f>IF(MSE成绩库!C182="","", MSE成绩库!U182)</f>
        <v/>
      </c>
      <c r="T182" t="str">
        <f>IF(MSE成绩库!C182="","", MSE成绩库!V182)</f>
        <v/>
      </c>
      <c r="U182" t="str">
        <f>IF(MSE成绩库!C182="","", MSE成绩库!X182)</f>
        <v/>
      </c>
      <c r="V182" t="str">
        <f>IF(MSE成绩库!C182="","", MSE成绩库!Y182)</f>
        <v/>
      </c>
      <c r="W182" t="str">
        <f>IF(MSE成绩库!C182="","", MSE成绩库!Z182)</f>
        <v/>
      </c>
      <c r="X182" t="str">
        <f>IF(MSE成绩库!C182="","", MSE成绩库!AA182)</f>
        <v/>
      </c>
      <c r="Y182" t="str">
        <f>IF(MSE成绩库!C182="","", MSE成绩库!AB182)</f>
        <v/>
      </c>
      <c r="Z182" t="str">
        <f>IF(MSE成绩库!C182="","", MSE成绩库!AC182)</f>
        <v/>
      </c>
    </row>
    <row r="183" spans="1:26" x14ac:dyDescent="0.2">
      <c r="A183" t="str">
        <f>IF(MSE成绩库!C183="","", MSE成绩库!C183)</f>
        <v/>
      </c>
      <c r="B183" t="str">
        <f>IF(MSE成绩库!AD183="","", MSE成绩库!AD183)</f>
        <v/>
      </c>
      <c r="C183" t="str">
        <f>IF(MSE成绩库!B183="","", MSE成绩库!B183)</f>
        <v/>
      </c>
      <c r="D183" t="str">
        <f>IF(MSE成绩库!D183="","", MSE成绩库!D183)</f>
        <v/>
      </c>
      <c r="E183" t="str">
        <f>IF(MSE成绩库!C183="","", MSE成绩库!E183)</f>
        <v/>
      </c>
      <c r="F183" t="str">
        <f>IF(MSE成绩库!C183="","", MSE成绩库!F183)</f>
        <v/>
      </c>
      <c r="G183" t="str">
        <f>IF(MSE成绩库!C183="","", MSE成绩库!G183)</f>
        <v/>
      </c>
      <c r="H183" t="str">
        <f>IF(MSE成绩库!C183="","", MSE成绩库!H183)</f>
        <v/>
      </c>
      <c r="I183" t="str">
        <f>IF(MSE成绩库!C183="","", MSE成绩库!I183)</f>
        <v/>
      </c>
      <c r="J183" t="str">
        <f>IF(MSE成绩库!C183="","", MSE成绩库!J183)</f>
        <v/>
      </c>
      <c r="K183" t="str">
        <f>IF(MSE成绩库!C183="","", MSE成绩库!K183)</f>
        <v/>
      </c>
      <c r="L183" t="str">
        <f>IF(MSE成绩库!C183="","", MSE成绩库!M183)</f>
        <v/>
      </c>
      <c r="M183" t="str">
        <f>IF(MSE成绩库!C183="","", MSE成绩库!N183)</f>
        <v/>
      </c>
      <c r="N183" t="str">
        <f>IF(MSE成绩库!C183="","", MSE成绩库!O183)</f>
        <v/>
      </c>
      <c r="O183" t="str">
        <f>IF(MSE成绩库!C183="","", MSE成绩库!Q183)</f>
        <v/>
      </c>
      <c r="P183" t="str">
        <f>IF(MSE成绩库!C183="","", MSE成绩库!R183)</f>
        <v/>
      </c>
      <c r="Q183" t="str">
        <f>IF(MSE成绩库!C183="","", MSE成绩库!S183)</f>
        <v/>
      </c>
      <c r="R183" t="str">
        <f>IF(MSE成绩库!C183="","", MSE成绩库!T183)</f>
        <v/>
      </c>
      <c r="S183" t="str">
        <f>IF(MSE成绩库!C183="","", MSE成绩库!U183)</f>
        <v/>
      </c>
      <c r="T183" t="str">
        <f>IF(MSE成绩库!C183="","", MSE成绩库!V183)</f>
        <v/>
      </c>
      <c r="U183" t="str">
        <f>IF(MSE成绩库!C183="","", MSE成绩库!X183)</f>
        <v/>
      </c>
      <c r="V183" t="str">
        <f>IF(MSE成绩库!C183="","", MSE成绩库!Y183)</f>
        <v/>
      </c>
      <c r="W183" t="str">
        <f>IF(MSE成绩库!C183="","", MSE成绩库!Z183)</f>
        <v/>
      </c>
      <c r="X183" t="str">
        <f>IF(MSE成绩库!C183="","", MSE成绩库!AA183)</f>
        <v/>
      </c>
      <c r="Y183" t="str">
        <f>IF(MSE成绩库!C183="","", MSE成绩库!AB183)</f>
        <v/>
      </c>
      <c r="Z183" t="str">
        <f>IF(MSE成绩库!C183="","", MSE成绩库!AC183)</f>
        <v/>
      </c>
    </row>
    <row r="184" spans="1:26" x14ac:dyDescent="0.2">
      <c r="A184" t="str">
        <f>IF(MSE成绩库!C184="","", MSE成绩库!C184)</f>
        <v/>
      </c>
      <c r="B184" t="str">
        <f>IF(MSE成绩库!AD184="","", MSE成绩库!AD184)</f>
        <v/>
      </c>
      <c r="C184" t="str">
        <f>IF(MSE成绩库!B184="","", MSE成绩库!B184)</f>
        <v/>
      </c>
      <c r="D184" t="str">
        <f>IF(MSE成绩库!D184="","", MSE成绩库!D184)</f>
        <v/>
      </c>
      <c r="E184" t="str">
        <f>IF(MSE成绩库!C184="","", MSE成绩库!E184)</f>
        <v/>
      </c>
      <c r="F184" t="str">
        <f>IF(MSE成绩库!C184="","", MSE成绩库!F184)</f>
        <v/>
      </c>
      <c r="G184" t="str">
        <f>IF(MSE成绩库!C184="","", MSE成绩库!G184)</f>
        <v/>
      </c>
      <c r="H184" t="str">
        <f>IF(MSE成绩库!C184="","", MSE成绩库!H184)</f>
        <v/>
      </c>
      <c r="I184" t="str">
        <f>IF(MSE成绩库!C184="","", MSE成绩库!I184)</f>
        <v/>
      </c>
      <c r="J184" t="str">
        <f>IF(MSE成绩库!C184="","", MSE成绩库!J184)</f>
        <v/>
      </c>
      <c r="K184" t="str">
        <f>IF(MSE成绩库!C184="","", MSE成绩库!K184)</f>
        <v/>
      </c>
      <c r="L184" t="str">
        <f>IF(MSE成绩库!C184="","", MSE成绩库!M184)</f>
        <v/>
      </c>
      <c r="M184" t="str">
        <f>IF(MSE成绩库!C184="","", MSE成绩库!N184)</f>
        <v/>
      </c>
      <c r="N184" t="str">
        <f>IF(MSE成绩库!C184="","", MSE成绩库!O184)</f>
        <v/>
      </c>
      <c r="O184" t="str">
        <f>IF(MSE成绩库!C184="","", MSE成绩库!Q184)</f>
        <v/>
      </c>
      <c r="P184" t="str">
        <f>IF(MSE成绩库!C184="","", MSE成绩库!R184)</f>
        <v/>
      </c>
      <c r="Q184" t="str">
        <f>IF(MSE成绩库!C184="","", MSE成绩库!S184)</f>
        <v/>
      </c>
      <c r="R184" t="str">
        <f>IF(MSE成绩库!C184="","", MSE成绩库!T184)</f>
        <v/>
      </c>
      <c r="S184" t="str">
        <f>IF(MSE成绩库!C184="","", MSE成绩库!U184)</f>
        <v/>
      </c>
      <c r="T184" t="str">
        <f>IF(MSE成绩库!C184="","", MSE成绩库!V184)</f>
        <v/>
      </c>
      <c r="U184" t="str">
        <f>IF(MSE成绩库!C184="","", MSE成绩库!X184)</f>
        <v/>
      </c>
      <c r="V184" t="str">
        <f>IF(MSE成绩库!C184="","", MSE成绩库!Y184)</f>
        <v/>
      </c>
      <c r="W184" t="str">
        <f>IF(MSE成绩库!C184="","", MSE成绩库!Z184)</f>
        <v/>
      </c>
      <c r="X184" t="str">
        <f>IF(MSE成绩库!C184="","", MSE成绩库!AA184)</f>
        <v/>
      </c>
      <c r="Y184" t="str">
        <f>IF(MSE成绩库!C184="","", MSE成绩库!AB184)</f>
        <v/>
      </c>
      <c r="Z184" t="str">
        <f>IF(MSE成绩库!C184="","", MSE成绩库!AC184)</f>
        <v/>
      </c>
    </row>
    <row r="185" spans="1:26" x14ac:dyDescent="0.2">
      <c r="A185" t="str">
        <f>IF(MSE成绩库!C185="","", MSE成绩库!C185)</f>
        <v/>
      </c>
      <c r="B185" t="str">
        <f>IF(MSE成绩库!AD185="","", MSE成绩库!AD185)</f>
        <v/>
      </c>
      <c r="C185" t="str">
        <f>IF(MSE成绩库!B185="","", MSE成绩库!B185)</f>
        <v/>
      </c>
      <c r="D185" t="str">
        <f>IF(MSE成绩库!D185="","", MSE成绩库!D185)</f>
        <v/>
      </c>
      <c r="E185" t="str">
        <f>IF(MSE成绩库!C185="","", MSE成绩库!E185)</f>
        <v/>
      </c>
      <c r="F185" t="str">
        <f>IF(MSE成绩库!C185="","", MSE成绩库!F185)</f>
        <v/>
      </c>
      <c r="G185" t="str">
        <f>IF(MSE成绩库!C185="","", MSE成绩库!G185)</f>
        <v/>
      </c>
      <c r="H185" t="str">
        <f>IF(MSE成绩库!C185="","", MSE成绩库!H185)</f>
        <v/>
      </c>
      <c r="I185" t="str">
        <f>IF(MSE成绩库!C185="","", MSE成绩库!I185)</f>
        <v/>
      </c>
      <c r="J185" t="str">
        <f>IF(MSE成绩库!C185="","", MSE成绩库!J185)</f>
        <v/>
      </c>
      <c r="K185" t="str">
        <f>IF(MSE成绩库!C185="","", MSE成绩库!K185)</f>
        <v/>
      </c>
      <c r="L185" t="str">
        <f>IF(MSE成绩库!C185="","", MSE成绩库!M185)</f>
        <v/>
      </c>
      <c r="M185" t="str">
        <f>IF(MSE成绩库!C185="","", MSE成绩库!N185)</f>
        <v/>
      </c>
      <c r="N185" t="str">
        <f>IF(MSE成绩库!C185="","", MSE成绩库!O185)</f>
        <v/>
      </c>
      <c r="O185" t="str">
        <f>IF(MSE成绩库!C185="","", MSE成绩库!Q185)</f>
        <v/>
      </c>
      <c r="P185" t="str">
        <f>IF(MSE成绩库!C185="","", MSE成绩库!R185)</f>
        <v/>
      </c>
      <c r="Q185" t="str">
        <f>IF(MSE成绩库!C185="","", MSE成绩库!S185)</f>
        <v/>
      </c>
      <c r="R185" t="str">
        <f>IF(MSE成绩库!C185="","", MSE成绩库!T185)</f>
        <v/>
      </c>
      <c r="S185" t="str">
        <f>IF(MSE成绩库!C185="","", MSE成绩库!U185)</f>
        <v/>
      </c>
      <c r="T185" t="str">
        <f>IF(MSE成绩库!C185="","", MSE成绩库!V185)</f>
        <v/>
      </c>
      <c r="U185" t="str">
        <f>IF(MSE成绩库!C185="","", MSE成绩库!X185)</f>
        <v/>
      </c>
      <c r="V185" t="str">
        <f>IF(MSE成绩库!C185="","", MSE成绩库!Y185)</f>
        <v/>
      </c>
      <c r="W185" t="str">
        <f>IF(MSE成绩库!C185="","", MSE成绩库!Z185)</f>
        <v/>
      </c>
      <c r="X185" t="str">
        <f>IF(MSE成绩库!C185="","", MSE成绩库!AA185)</f>
        <v/>
      </c>
      <c r="Y185" t="str">
        <f>IF(MSE成绩库!C185="","", MSE成绩库!AB185)</f>
        <v/>
      </c>
      <c r="Z185" t="str">
        <f>IF(MSE成绩库!C185="","", MSE成绩库!AC185)</f>
        <v/>
      </c>
    </row>
    <row r="186" spans="1:26" x14ac:dyDescent="0.2">
      <c r="A186" t="str">
        <f>IF(MSE成绩库!C186="","", MSE成绩库!C186)</f>
        <v/>
      </c>
      <c r="B186" t="str">
        <f>IF(MSE成绩库!AD186="","", MSE成绩库!AD186)</f>
        <v/>
      </c>
      <c r="C186" t="str">
        <f>IF(MSE成绩库!B186="","", MSE成绩库!B186)</f>
        <v/>
      </c>
      <c r="D186" t="str">
        <f>IF(MSE成绩库!D186="","", MSE成绩库!D186)</f>
        <v/>
      </c>
      <c r="E186" t="str">
        <f>IF(MSE成绩库!C186="","", MSE成绩库!E186)</f>
        <v/>
      </c>
      <c r="F186" t="str">
        <f>IF(MSE成绩库!C186="","", MSE成绩库!F186)</f>
        <v/>
      </c>
      <c r="G186" t="str">
        <f>IF(MSE成绩库!C186="","", MSE成绩库!G186)</f>
        <v/>
      </c>
      <c r="H186" t="str">
        <f>IF(MSE成绩库!C186="","", MSE成绩库!H186)</f>
        <v/>
      </c>
      <c r="I186" t="str">
        <f>IF(MSE成绩库!C186="","", MSE成绩库!I186)</f>
        <v/>
      </c>
      <c r="J186" t="str">
        <f>IF(MSE成绩库!C186="","", MSE成绩库!J186)</f>
        <v/>
      </c>
      <c r="K186" t="str">
        <f>IF(MSE成绩库!C186="","", MSE成绩库!K186)</f>
        <v/>
      </c>
      <c r="L186" t="str">
        <f>IF(MSE成绩库!C186="","", MSE成绩库!M186)</f>
        <v/>
      </c>
      <c r="M186" t="str">
        <f>IF(MSE成绩库!C186="","", MSE成绩库!N186)</f>
        <v/>
      </c>
      <c r="N186" t="str">
        <f>IF(MSE成绩库!C186="","", MSE成绩库!O186)</f>
        <v/>
      </c>
      <c r="O186" t="str">
        <f>IF(MSE成绩库!C186="","", MSE成绩库!Q186)</f>
        <v/>
      </c>
      <c r="P186" t="str">
        <f>IF(MSE成绩库!C186="","", MSE成绩库!R186)</f>
        <v/>
      </c>
      <c r="Q186" t="str">
        <f>IF(MSE成绩库!C186="","", MSE成绩库!S186)</f>
        <v/>
      </c>
      <c r="R186" t="str">
        <f>IF(MSE成绩库!C186="","", MSE成绩库!T186)</f>
        <v/>
      </c>
      <c r="S186" t="str">
        <f>IF(MSE成绩库!C186="","", MSE成绩库!U186)</f>
        <v/>
      </c>
      <c r="T186" t="str">
        <f>IF(MSE成绩库!C186="","", MSE成绩库!V186)</f>
        <v/>
      </c>
      <c r="U186" t="str">
        <f>IF(MSE成绩库!C186="","", MSE成绩库!X186)</f>
        <v/>
      </c>
      <c r="V186" t="str">
        <f>IF(MSE成绩库!C186="","", MSE成绩库!Y186)</f>
        <v/>
      </c>
      <c r="W186" t="str">
        <f>IF(MSE成绩库!C186="","", MSE成绩库!Z186)</f>
        <v/>
      </c>
      <c r="X186" t="str">
        <f>IF(MSE成绩库!C186="","", MSE成绩库!AA186)</f>
        <v/>
      </c>
      <c r="Y186" t="str">
        <f>IF(MSE成绩库!C186="","", MSE成绩库!AB186)</f>
        <v/>
      </c>
      <c r="Z186" t="str">
        <f>IF(MSE成绩库!C186="","", MSE成绩库!AC186)</f>
        <v/>
      </c>
    </row>
    <row r="187" spans="1:26" x14ac:dyDescent="0.2">
      <c r="A187" t="str">
        <f>IF(MSE成绩库!C187="","", MSE成绩库!C187)</f>
        <v/>
      </c>
      <c r="B187" t="str">
        <f>IF(MSE成绩库!AD187="","", MSE成绩库!AD187)</f>
        <v/>
      </c>
      <c r="C187" t="str">
        <f>IF(MSE成绩库!B187="","", MSE成绩库!B187)</f>
        <v/>
      </c>
      <c r="D187" t="str">
        <f>IF(MSE成绩库!D187="","", MSE成绩库!D187)</f>
        <v/>
      </c>
      <c r="E187" t="str">
        <f>IF(MSE成绩库!C187="","", MSE成绩库!E187)</f>
        <v/>
      </c>
      <c r="F187" t="str">
        <f>IF(MSE成绩库!C187="","", MSE成绩库!F187)</f>
        <v/>
      </c>
      <c r="G187" t="str">
        <f>IF(MSE成绩库!C187="","", MSE成绩库!G187)</f>
        <v/>
      </c>
      <c r="H187" t="str">
        <f>IF(MSE成绩库!C187="","", MSE成绩库!H187)</f>
        <v/>
      </c>
      <c r="I187" t="str">
        <f>IF(MSE成绩库!C187="","", MSE成绩库!I187)</f>
        <v/>
      </c>
      <c r="J187" t="str">
        <f>IF(MSE成绩库!C187="","", MSE成绩库!J187)</f>
        <v/>
      </c>
      <c r="K187" t="str">
        <f>IF(MSE成绩库!C187="","", MSE成绩库!K187)</f>
        <v/>
      </c>
      <c r="L187" t="str">
        <f>IF(MSE成绩库!C187="","", MSE成绩库!M187)</f>
        <v/>
      </c>
      <c r="M187" t="str">
        <f>IF(MSE成绩库!C187="","", MSE成绩库!N187)</f>
        <v/>
      </c>
      <c r="N187" t="str">
        <f>IF(MSE成绩库!C187="","", MSE成绩库!O187)</f>
        <v/>
      </c>
      <c r="O187" t="str">
        <f>IF(MSE成绩库!C187="","", MSE成绩库!Q187)</f>
        <v/>
      </c>
      <c r="P187" t="str">
        <f>IF(MSE成绩库!C187="","", MSE成绩库!R187)</f>
        <v/>
      </c>
      <c r="Q187" t="str">
        <f>IF(MSE成绩库!C187="","", MSE成绩库!S187)</f>
        <v/>
      </c>
      <c r="R187" t="str">
        <f>IF(MSE成绩库!C187="","", MSE成绩库!T187)</f>
        <v/>
      </c>
      <c r="S187" t="str">
        <f>IF(MSE成绩库!C187="","", MSE成绩库!U187)</f>
        <v/>
      </c>
      <c r="T187" t="str">
        <f>IF(MSE成绩库!C187="","", MSE成绩库!V187)</f>
        <v/>
      </c>
      <c r="U187" t="str">
        <f>IF(MSE成绩库!C187="","", MSE成绩库!X187)</f>
        <v/>
      </c>
      <c r="V187" t="str">
        <f>IF(MSE成绩库!C187="","", MSE成绩库!Y187)</f>
        <v/>
      </c>
      <c r="W187" t="str">
        <f>IF(MSE成绩库!C187="","", MSE成绩库!Z187)</f>
        <v/>
      </c>
      <c r="X187" t="str">
        <f>IF(MSE成绩库!C187="","", MSE成绩库!AA187)</f>
        <v/>
      </c>
      <c r="Y187" t="str">
        <f>IF(MSE成绩库!C187="","", MSE成绩库!AB187)</f>
        <v/>
      </c>
      <c r="Z187" t="str">
        <f>IF(MSE成绩库!C187="","", MSE成绩库!AC187)</f>
        <v/>
      </c>
    </row>
    <row r="188" spans="1:26" x14ac:dyDescent="0.2">
      <c r="A188" t="str">
        <f>IF(MSE成绩库!C188="","", MSE成绩库!C188)</f>
        <v/>
      </c>
      <c r="B188" t="str">
        <f>IF(MSE成绩库!AD188="","", MSE成绩库!AD188)</f>
        <v/>
      </c>
      <c r="C188" t="str">
        <f>IF(MSE成绩库!B188="","", MSE成绩库!B188)</f>
        <v/>
      </c>
      <c r="D188" t="str">
        <f>IF(MSE成绩库!D188="","", MSE成绩库!D188)</f>
        <v/>
      </c>
      <c r="E188" t="str">
        <f>IF(MSE成绩库!C188="","", MSE成绩库!E188)</f>
        <v/>
      </c>
      <c r="F188" t="str">
        <f>IF(MSE成绩库!C188="","", MSE成绩库!F188)</f>
        <v/>
      </c>
      <c r="G188" t="str">
        <f>IF(MSE成绩库!C188="","", MSE成绩库!G188)</f>
        <v/>
      </c>
      <c r="H188" t="str">
        <f>IF(MSE成绩库!C188="","", MSE成绩库!H188)</f>
        <v/>
      </c>
      <c r="I188" t="str">
        <f>IF(MSE成绩库!C188="","", MSE成绩库!I188)</f>
        <v/>
      </c>
      <c r="J188" t="str">
        <f>IF(MSE成绩库!C188="","", MSE成绩库!J188)</f>
        <v/>
      </c>
      <c r="K188" t="str">
        <f>IF(MSE成绩库!C188="","", MSE成绩库!K188)</f>
        <v/>
      </c>
      <c r="L188" t="str">
        <f>IF(MSE成绩库!C188="","", MSE成绩库!M188)</f>
        <v/>
      </c>
      <c r="M188" t="str">
        <f>IF(MSE成绩库!C188="","", MSE成绩库!N188)</f>
        <v/>
      </c>
      <c r="N188" t="str">
        <f>IF(MSE成绩库!C188="","", MSE成绩库!O188)</f>
        <v/>
      </c>
      <c r="O188" t="str">
        <f>IF(MSE成绩库!C188="","", MSE成绩库!Q188)</f>
        <v/>
      </c>
      <c r="P188" t="str">
        <f>IF(MSE成绩库!C188="","", MSE成绩库!R188)</f>
        <v/>
      </c>
      <c r="Q188" t="str">
        <f>IF(MSE成绩库!C188="","", MSE成绩库!S188)</f>
        <v/>
      </c>
      <c r="R188" t="str">
        <f>IF(MSE成绩库!C188="","", MSE成绩库!T188)</f>
        <v/>
      </c>
      <c r="S188" t="str">
        <f>IF(MSE成绩库!C188="","", MSE成绩库!U188)</f>
        <v/>
      </c>
      <c r="T188" t="str">
        <f>IF(MSE成绩库!C188="","", MSE成绩库!V188)</f>
        <v/>
      </c>
      <c r="U188" t="str">
        <f>IF(MSE成绩库!C188="","", MSE成绩库!X188)</f>
        <v/>
      </c>
      <c r="V188" t="str">
        <f>IF(MSE成绩库!C188="","", MSE成绩库!Y188)</f>
        <v/>
      </c>
      <c r="W188" t="str">
        <f>IF(MSE成绩库!C188="","", MSE成绩库!Z188)</f>
        <v/>
      </c>
      <c r="X188" t="str">
        <f>IF(MSE成绩库!C188="","", MSE成绩库!AA188)</f>
        <v/>
      </c>
      <c r="Y188" t="str">
        <f>IF(MSE成绩库!C188="","", MSE成绩库!AB188)</f>
        <v/>
      </c>
      <c r="Z188" t="str">
        <f>IF(MSE成绩库!C188="","", MSE成绩库!AC188)</f>
        <v/>
      </c>
    </row>
    <row r="189" spans="1:26" x14ac:dyDescent="0.2">
      <c r="A189" t="str">
        <f>IF(MSE成绩库!C189="","", MSE成绩库!C189)</f>
        <v/>
      </c>
      <c r="B189" t="str">
        <f>IF(MSE成绩库!AD189="","", MSE成绩库!AD189)</f>
        <v/>
      </c>
      <c r="C189" t="str">
        <f>IF(MSE成绩库!B189="","", MSE成绩库!B189)</f>
        <v/>
      </c>
      <c r="D189" t="str">
        <f>IF(MSE成绩库!D189="","", MSE成绩库!D189)</f>
        <v/>
      </c>
      <c r="E189" t="str">
        <f>IF(MSE成绩库!C189="","", MSE成绩库!E189)</f>
        <v/>
      </c>
      <c r="F189" t="str">
        <f>IF(MSE成绩库!C189="","", MSE成绩库!F189)</f>
        <v/>
      </c>
      <c r="G189" t="str">
        <f>IF(MSE成绩库!C189="","", MSE成绩库!G189)</f>
        <v/>
      </c>
      <c r="H189" t="str">
        <f>IF(MSE成绩库!C189="","", MSE成绩库!H189)</f>
        <v/>
      </c>
      <c r="I189" t="str">
        <f>IF(MSE成绩库!C189="","", MSE成绩库!I189)</f>
        <v/>
      </c>
      <c r="J189" t="str">
        <f>IF(MSE成绩库!C189="","", MSE成绩库!J189)</f>
        <v/>
      </c>
      <c r="K189" t="str">
        <f>IF(MSE成绩库!C189="","", MSE成绩库!K189)</f>
        <v/>
      </c>
      <c r="L189" t="str">
        <f>IF(MSE成绩库!C189="","", MSE成绩库!M189)</f>
        <v/>
      </c>
      <c r="M189" t="str">
        <f>IF(MSE成绩库!C189="","", MSE成绩库!N189)</f>
        <v/>
      </c>
      <c r="N189" t="str">
        <f>IF(MSE成绩库!C189="","", MSE成绩库!O189)</f>
        <v/>
      </c>
      <c r="O189" t="str">
        <f>IF(MSE成绩库!C189="","", MSE成绩库!Q189)</f>
        <v/>
      </c>
      <c r="P189" t="str">
        <f>IF(MSE成绩库!C189="","", MSE成绩库!R189)</f>
        <v/>
      </c>
      <c r="Q189" t="str">
        <f>IF(MSE成绩库!C189="","", MSE成绩库!S189)</f>
        <v/>
      </c>
      <c r="R189" t="str">
        <f>IF(MSE成绩库!C189="","", MSE成绩库!T189)</f>
        <v/>
      </c>
      <c r="S189" t="str">
        <f>IF(MSE成绩库!C189="","", MSE成绩库!U189)</f>
        <v/>
      </c>
      <c r="T189" t="str">
        <f>IF(MSE成绩库!C189="","", MSE成绩库!V189)</f>
        <v/>
      </c>
      <c r="U189" t="str">
        <f>IF(MSE成绩库!C189="","", MSE成绩库!X189)</f>
        <v/>
      </c>
      <c r="V189" t="str">
        <f>IF(MSE成绩库!C189="","", MSE成绩库!Y189)</f>
        <v/>
      </c>
      <c r="W189" t="str">
        <f>IF(MSE成绩库!C189="","", MSE成绩库!Z189)</f>
        <v/>
      </c>
      <c r="X189" t="str">
        <f>IF(MSE成绩库!C189="","", MSE成绩库!AA189)</f>
        <v/>
      </c>
      <c r="Y189" t="str">
        <f>IF(MSE成绩库!C189="","", MSE成绩库!AB189)</f>
        <v/>
      </c>
      <c r="Z189" t="str">
        <f>IF(MSE成绩库!C189="","", MSE成绩库!AC189)</f>
        <v/>
      </c>
    </row>
    <row r="190" spans="1:26" x14ac:dyDescent="0.2">
      <c r="A190" t="str">
        <f>IF(MSE成绩库!C190="","", MSE成绩库!C190)</f>
        <v/>
      </c>
      <c r="B190" t="str">
        <f>IF(MSE成绩库!AD190="","", MSE成绩库!AD190)</f>
        <v/>
      </c>
      <c r="C190" t="str">
        <f>IF(MSE成绩库!B190="","", MSE成绩库!B190)</f>
        <v/>
      </c>
      <c r="D190" t="str">
        <f>IF(MSE成绩库!D190="","", MSE成绩库!D190)</f>
        <v/>
      </c>
      <c r="E190" t="str">
        <f>IF(MSE成绩库!C190="","", MSE成绩库!E190)</f>
        <v/>
      </c>
      <c r="F190" t="str">
        <f>IF(MSE成绩库!C190="","", MSE成绩库!F190)</f>
        <v/>
      </c>
      <c r="G190" t="str">
        <f>IF(MSE成绩库!C190="","", MSE成绩库!G190)</f>
        <v/>
      </c>
      <c r="H190" t="str">
        <f>IF(MSE成绩库!C190="","", MSE成绩库!H190)</f>
        <v/>
      </c>
      <c r="I190" t="str">
        <f>IF(MSE成绩库!C190="","", MSE成绩库!I190)</f>
        <v/>
      </c>
      <c r="J190" t="str">
        <f>IF(MSE成绩库!C190="","", MSE成绩库!J190)</f>
        <v/>
      </c>
      <c r="K190" t="str">
        <f>IF(MSE成绩库!C190="","", MSE成绩库!K190)</f>
        <v/>
      </c>
      <c r="L190" t="str">
        <f>IF(MSE成绩库!C190="","", MSE成绩库!M190)</f>
        <v/>
      </c>
      <c r="M190" t="str">
        <f>IF(MSE成绩库!C190="","", MSE成绩库!N190)</f>
        <v/>
      </c>
      <c r="N190" t="str">
        <f>IF(MSE成绩库!C190="","", MSE成绩库!O190)</f>
        <v/>
      </c>
      <c r="O190" t="str">
        <f>IF(MSE成绩库!C190="","", MSE成绩库!Q190)</f>
        <v/>
      </c>
      <c r="P190" t="str">
        <f>IF(MSE成绩库!C190="","", MSE成绩库!R190)</f>
        <v/>
      </c>
      <c r="Q190" t="str">
        <f>IF(MSE成绩库!C190="","", MSE成绩库!S190)</f>
        <v/>
      </c>
      <c r="R190" t="str">
        <f>IF(MSE成绩库!C190="","", MSE成绩库!T190)</f>
        <v/>
      </c>
      <c r="S190" t="str">
        <f>IF(MSE成绩库!C190="","", MSE成绩库!U190)</f>
        <v/>
      </c>
      <c r="T190" t="str">
        <f>IF(MSE成绩库!C190="","", MSE成绩库!V190)</f>
        <v/>
      </c>
      <c r="U190" t="str">
        <f>IF(MSE成绩库!C190="","", MSE成绩库!X190)</f>
        <v/>
      </c>
      <c r="V190" t="str">
        <f>IF(MSE成绩库!C190="","", MSE成绩库!Y190)</f>
        <v/>
      </c>
      <c r="W190" t="str">
        <f>IF(MSE成绩库!C190="","", MSE成绩库!Z190)</f>
        <v/>
      </c>
      <c r="X190" t="str">
        <f>IF(MSE成绩库!C190="","", MSE成绩库!AA190)</f>
        <v/>
      </c>
      <c r="Y190" t="str">
        <f>IF(MSE成绩库!C190="","", MSE成绩库!AB190)</f>
        <v/>
      </c>
      <c r="Z190" t="str">
        <f>IF(MSE成绩库!C190="","", MSE成绩库!AC190)</f>
        <v/>
      </c>
    </row>
    <row r="191" spans="1:26" x14ac:dyDescent="0.2">
      <c r="A191" t="str">
        <f>IF(MSE成绩库!C191="","", MSE成绩库!C191)</f>
        <v/>
      </c>
      <c r="B191" t="str">
        <f>IF(MSE成绩库!AD191="","", MSE成绩库!AD191)</f>
        <v/>
      </c>
      <c r="C191" t="str">
        <f>IF(MSE成绩库!B191="","", MSE成绩库!B191)</f>
        <v/>
      </c>
      <c r="D191" t="str">
        <f>IF(MSE成绩库!D191="","", MSE成绩库!D191)</f>
        <v/>
      </c>
      <c r="E191" t="str">
        <f>IF(MSE成绩库!C191="","", MSE成绩库!E191)</f>
        <v/>
      </c>
      <c r="F191" t="str">
        <f>IF(MSE成绩库!C191="","", MSE成绩库!F191)</f>
        <v/>
      </c>
      <c r="G191" t="str">
        <f>IF(MSE成绩库!C191="","", MSE成绩库!G191)</f>
        <v/>
      </c>
      <c r="H191" t="str">
        <f>IF(MSE成绩库!C191="","", MSE成绩库!H191)</f>
        <v/>
      </c>
      <c r="I191" t="str">
        <f>IF(MSE成绩库!C191="","", MSE成绩库!I191)</f>
        <v/>
      </c>
      <c r="J191" t="str">
        <f>IF(MSE成绩库!C191="","", MSE成绩库!J191)</f>
        <v/>
      </c>
      <c r="K191" t="str">
        <f>IF(MSE成绩库!C191="","", MSE成绩库!K191)</f>
        <v/>
      </c>
      <c r="L191" t="str">
        <f>IF(MSE成绩库!C191="","", MSE成绩库!M191)</f>
        <v/>
      </c>
      <c r="M191" t="str">
        <f>IF(MSE成绩库!C191="","", MSE成绩库!N191)</f>
        <v/>
      </c>
      <c r="N191" t="str">
        <f>IF(MSE成绩库!C191="","", MSE成绩库!O191)</f>
        <v/>
      </c>
      <c r="O191" t="str">
        <f>IF(MSE成绩库!C191="","", MSE成绩库!Q191)</f>
        <v/>
      </c>
      <c r="P191" t="str">
        <f>IF(MSE成绩库!C191="","", MSE成绩库!R191)</f>
        <v/>
      </c>
      <c r="Q191" t="str">
        <f>IF(MSE成绩库!C191="","", MSE成绩库!S191)</f>
        <v/>
      </c>
      <c r="R191" t="str">
        <f>IF(MSE成绩库!C191="","", MSE成绩库!T191)</f>
        <v/>
      </c>
      <c r="S191" t="str">
        <f>IF(MSE成绩库!C191="","", MSE成绩库!U191)</f>
        <v/>
      </c>
      <c r="T191" t="str">
        <f>IF(MSE成绩库!C191="","", MSE成绩库!V191)</f>
        <v/>
      </c>
      <c r="U191" t="str">
        <f>IF(MSE成绩库!C191="","", MSE成绩库!X191)</f>
        <v/>
      </c>
      <c r="V191" t="str">
        <f>IF(MSE成绩库!C191="","", MSE成绩库!Y191)</f>
        <v/>
      </c>
      <c r="W191" t="str">
        <f>IF(MSE成绩库!C191="","", MSE成绩库!Z191)</f>
        <v/>
      </c>
      <c r="X191" t="str">
        <f>IF(MSE成绩库!C191="","", MSE成绩库!AA191)</f>
        <v/>
      </c>
      <c r="Y191" t="str">
        <f>IF(MSE成绩库!C191="","", MSE成绩库!AB191)</f>
        <v/>
      </c>
      <c r="Z191" t="str">
        <f>IF(MSE成绩库!C191="","", MSE成绩库!AC191)</f>
        <v/>
      </c>
    </row>
    <row r="192" spans="1:26" x14ac:dyDescent="0.2">
      <c r="A192" t="str">
        <f>IF(MSE成绩库!C192="","", MSE成绩库!C192)</f>
        <v/>
      </c>
      <c r="B192" t="str">
        <f>IF(MSE成绩库!AD192="","", MSE成绩库!AD192)</f>
        <v/>
      </c>
      <c r="C192" t="str">
        <f>IF(MSE成绩库!B192="","", MSE成绩库!B192)</f>
        <v/>
      </c>
      <c r="D192" t="str">
        <f>IF(MSE成绩库!D192="","", MSE成绩库!D192)</f>
        <v/>
      </c>
      <c r="E192" t="str">
        <f>IF(MSE成绩库!C192="","", MSE成绩库!E192)</f>
        <v/>
      </c>
      <c r="F192" t="str">
        <f>IF(MSE成绩库!C192="","", MSE成绩库!F192)</f>
        <v/>
      </c>
      <c r="G192" t="str">
        <f>IF(MSE成绩库!C192="","", MSE成绩库!G192)</f>
        <v/>
      </c>
      <c r="H192" t="str">
        <f>IF(MSE成绩库!C192="","", MSE成绩库!H192)</f>
        <v/>
      </c>
      <c r="I192" t="str">
        <f>IF(MSE成绩库!C192="","", MSE成绩库!I192)</f>
        <v/>
      </c>
      <c r="J192" t="str">
        <f>IF(MSE成绩库!C192="","", MSE成绩库!J192)</f>
        <v/>
      </c>
      <c r="K192" t="str">
        <f>IF(MSE成绩库!C192="","", MSE成绩库!K192)</f>
        <v/>
      </c>
      <c r="L192" t="str">
        <f>IF(MSE成绩库!C192="","", MSE成绩库!M192)</f>
        <v/>
      </c>
      <c r="M192" t="str">
        <f>IF(MSE成绩库!C192="","", MSE成绩库!N192)</f>
        <v/>
      </c>
      <c r="N192" t="str">
        <f>IF(MSE成绩库!C192="","", MSE成绩库!O192)</f>
        <v/>
      </c>
      <c r="O192" t="str">
        <f>IF(MSE成绩库!C192="","", MSE成绩库!Q192)</f>
        <v/>
      </c>
      <c r="P192" t="str">
        <f>IF(MSE成绩库!C192="","", MSE成绩库!R192)</f>
        <v/>
      </c>
      <c r="Q192" t="str">
        <f>IF(MSE成绩库!C192="","", MSE成绩库!S192)</f>
        <v/>
      </c>
      <c r="R192" t="str">
        <f>IF(MSE成绩库!C192="","", MSE成绩库!T192)</f>
        <v/>
      </c>
      <c r="S192" t="str">
        <f>IF(MSE成绩库!C192="","", MSE成绩库!U192)</f>
        <v/>
      </c>
      <c r="T192" t="str">
        <f>IF(MSE成绩库!C192="","", MSE成绩库!V192)</f>
        <v/>
      </c>
      <c r="U192" t="str">
        <f>IF(MSE成绩库!C192="","", MSE成绩库!X192)</f>
        <v/>
      </c>
      <c r="V192" t="str">
        <f>IF(MSE成绩库!C192="","", MSE成绩库!Y192)</f>
        <v/>
      </c>
      <c r="W192" t="str">
        <f>IF(MSE成绩库!C192="","", MSE成绩库!Z192)</f>
        <v/>
      </c>
      <c r="X192" t="str">
        <f>IF(MSE成绩库!C192="","", MSE成绩库!AA192)</f>
        <v/>
      </c>
      <c r="Y192" t="str">
        <f>IF(MSE成绩库!C192="","", MSE成绩库!AB192)</f>
        <v/>
      </c>
      <c r="Z192" t="str">
        <f>IF(MSE成绩库!C192="","", MSE成绩库!AC192)</f>
        <v/>
      </c>
    </row>
    <row r="193" spans="1:26" x14ac:dyDescent="0.2">
      <c r="A193" t="str">
        <f>IF(MSE成绩库!C193="","", MSE成绩库!C193)</f>
        <v/>
      </c>
      <c r="B193" t="str">
        <f>IF(MSE成绩库!AD193="","", MSE成绩库!AD193)</f>
        <v/>
      </c>
      <c r="C193" t="str">
        <f>IF(MSE成绩库!B193="","", MSE成绩库!B193)</f>
        <v/>
      </c>
      <c r="D193" t="str">
        <f>IF(MSE成绩库!D193="","", MSE成绩库!D193)</f>
        <v/>
      </c>
      <c r="E193" t="str">
        <f>IF(MSE成绩库!C193="","", MSE成绩库!E193)</f>
        <v/>
      </c>
      <c r="F193" t="str">
        <f>IF(MSE成绩库!C193="","", MSE成绩库!F193)</f>
        <v/>
      </c>
      <c r="G193" t="str">
        <f>IF(MSE成绩库!C193="","", MSE成绩库!G193)</f>
        <v/>
      </c>
      <c r="H193" t="str">
        <f>IF(MSE成绩库!C193="","", MSE成绩库!H193)</f>
        <v/>
      </c>
      <c r="I193" t="str">
        <f>IF(MSE成绩库!C193="","", MSE成绩库!I193)</f>
        <v/>
      </c>
      <c r="J193" t="str">
        <f>IF(MSE成绩库!C193="","", MSE成绩库!J193)</f>
        <v/>
      </c>
      <c r="K193" t="str">
        <f>IF(MSE成绩库!C193="","", MSE成绩库!K193)</f>
        <v/>
      </c>
      <c r="L193" t="str">
        <f>IF(MSE成绩库!C193="","", MSE成绩库!M193)</f>
        <v/>
      </c>
      <c r="M193" t="str">
        <f>IF(MSE成绩库!C193="","", MSE成绩库!N193)</f>
        <v/>
      </c>
      <c r="N193" t="str">
        <f>IF(MSE成绩库!C193="","", MSE成绩库!O193)</f>
        <v/>
      </c>
      <c r="O193" t="str">
        <f>IF(MSE成绩库!C193="","", MSE成绩库!Q193)</f>
        <v/>
      </c>
      <c r="P193" t="str">
        <f>IF(MSE成绩库!C193="","", MSE成绩库!R193)</f>
        <v/>
      </c>
      <c r="Q193" t="str">
        <f>IF(MSE成绩库!C193="","", MSE成绩库!S193)</f>
        <v/>
      </c>
      <c r="R193" t="str">
        <f>IF(MSE成绩库!C193="","", MSE成绩库!T193)</f>
        <v/>
      </c>
      <c r="S193" t="str">
        <f>IF(MSE成绩库!C193="","", MSE成绩库!U193)</f>
        <v/>
      </c>
      <c r="T193" t="str">
        <f>IF(MSE成绩库!C193="","", MSE成绩库!V193)</f>
        <v/>
      </c>
      <c r="U193" t="str">
        <f>IF(MSE成绩库!C193="","", MSE成绩库!X193)</f>
        <v/>
      </c>
      <c r="V193" t="str">
        <f>IF(MSE成绩库!C193="","", MSE成绩库!Y193)</f>
        <v/>
      </c>
      <c r="W193" t="str">
        <f>IF(MSE成绩库!C193="","", MSE成绩库!Z193)</f>
        <v/>
      </c>
      <c r="X193" t="str">
        <f>IF(MSE成绩库!C193="","", MSE成绩库!AA193)</f>
        <v/>
      </c>
      <c r="Y193" t="str">
        <f>IF(MSE成绩库!C193="","", MSE成绩库!AB193)</f>
        <v/>
      </c>
      <c r="Z193" t="str">
        <f>IF(MSE成绩库!C193="","", MSE成绩库!AC193)</f>
        <v/>
      </c>
    </row>
    <row r="194" spans="1:26" x14ac:dyDescent="0.2">
      <c r="A194" t="str">
        <f>IF(MSE成绩库!C194="","", MSE成绩库!C194)</f>
        <v/>
      </c>
      <c r="B194" t="str">
        <f>IF(MSE成绩库!AD194="","", MSE成绩库!AD194)</f>
        <v/>
      </c>
      <c r="C194" t="str">
        <f>IF(MSE成绩库!B194="","", MSE成绩库!B194)</f>
        <v/>
      </c>
      <c r="D194" t="str">
        <f>IF(MSE成绩库!D194="","", MSE成绩库!D194)</f>
        <v/>
      </c>
      <c r="E194" t="str">
        <f>IF(MSE成绩库!C194="","", MSE成绩库!E194)</f>
        <v/>
      </c>
      <c r="F194" t="str">
        <f>IF(MSE成绩库!C194="","", MSE成绩库!F194)</f>
        <v/>
      </c>
      <c r="G194" t="str">
        <f>IF(MSE成绩库!C194="","", MSE成绩库!G194)</f>
        <v/>
      </c>
      <c r="H194" t="str">
        <f>IF(MSE成绩库!C194="","", MSE成绩库!H194)</f>
        <v/>
      </c>
      <c r="I194" t="str">
        <f>IF(MSE成绩库!C194="","", MSE成绩库!I194)</f>
        <v/>
      </c>
      <c r="J194" t="str">
        <f>IF(MSE成绩库!C194="","", MSE成绩库!J194)</f>
        <v/>
      </c>
      <c r="K194" t="str">
        <f>IF(MSE成绩库!C194="","", MSE成绩库!K194)</f>
        <v/>
      </c>
      <c r="L194" t="str">
        <f>IF(MSE成绩库!C194="","", MSE成绩库!M194)</f>
        <v/>
      </c>
      <c r="M194" t="str">
        <f>IF(MSE成绩库!C194="","", MSE成绩库!N194)</f>
        <v/>
      </c>
      <c r="N194" t="str">
        <f>IF(MSE成绩库!C194="","", MSE成绩库!O194)</f>
        <v/>
      </c>
      <c r="O194" t="str">
        <f>IF(MSE成绩库!C194="","", MSE成绩库!Q194)</f>
        <v/>
      </c>
      <c r="P194" t="str">
        <f>IF(MSE成绩库!C194="","", MSE成绩库!R194)</f>
        <v/>
      </c>
      <c r="Q194" t="str">
        <f>IF(MSE成绩库!C194="","", MSE成绩库!S194)</f>
        <v/>
      </c>
      <c r="R194" t="str">
        <f>IF(MSE成绩库!C194="","", MSE成绩库!T194)</f>
        <v/>
      </c>
      <c r="S194" t="str">
        <f>IF(MSE成绩库!C194="","", MSE成绩库!U194)</f>
        <v/>
      </c>
      <c r="T194" t="str">
        <f>IF(MSE成绩库!C194="","", MSE成绩库!V194)</f>
        <v/>
      </c>
      <c r="U194" t="str">
        <f>IF(MSE成绩库!C194="","", MSE成绩库!X194)</f>
        <v/>
      </c>
      <c r="V194" t="str">
        <f>IF(MSE成绩库!C194="","", MSE成绩库!Y194)</f>
        <v/>
      </c>
      <c r="W194" t="str">
        <f>IF(MSE成绩库!C194="","", MSE成绩库!Z194)</f>
        <v/>
      </c>
      <c r="X194" t="str">
        <f>IF(MSE成绩库!C194="","", MSE成绩库!AA194)</f>
        <v/>
      </c>
      <c r="Y194" t="str">
        <f>IF(MSE成绩库!C194="","", MSE成绩库!AB194)</f>
        <v/>
      </c>
      <c r="Z194" t="str">
        <f>IF(MSE成绩库!C194="","", MSE成绩库!AC194)</f>
        <v/>
      </c>
    </row>
    <row r="195" spans="1:26" x14ac:dyDescent="0.2">
      <c r="A195" t="str">
        <f>IF(MSE成绩库!C195="","", MSE成绩库!C195)</f>
        <v/>
      </c>
      <c r="B195" t="str">
        <f>IF(MSE成绩库!AD195="","", MSE成绩库!AD195)</f>
        <v/>
      </c>
      <c r="C195" t="str">
        <f>IF(MSE成绩库!B195="","", MSE成绩库!B195)</f>
        <v/>
      </c>
      <c r="D195" t="str">
        <f>IF(MSE成绩库!D195="","", MSE成绩库!D195)</f>
        <v/>
      </c>
      <c r="E195" t="str">
        <f>IF(MSE成绩库!C195="","", MSE成绩库!E195)</f>
        <v/>
      </c>
      <c r="F195" t="str">
        <f>IF(MSE成绩库!C195="","", MSE成绩库!F195)</f>
        <v/>
      </c>
      <c r="G195" t="str">
        <f>IF(MSE成绩库!C195="","", MSE成绩库!G195)</f>
        <v/>
      </c>
      <c r="H195" t="str">
        <f>IF(MSE成绩库!C195="","", MSE成绩库!H195)</f>
        <v/>
      </c>
      <c r="I195" t="str">
        <f>IF(MSE成绩库!C195="","", MSE成绩库!I195)</f>
        <v/>
      </c>
      <c r="J195" t="str">
        <f>IF(MSE成绩库!C195="","", MSE成绩库!J195)</f>
        <v/>
      </c>
      <c r="K195" t="str">
        <f>IF(MSE成绩库!C195="","", MSE成绩库!K195)</f>
        <v/>
      </c>
      <c r="L195" t="str">
        <f>IF(MSE成绩库!C195="","", MSE成绩库!M195)</f>
        <v/>
      </c>
      <c r="M195" t="str">
        <f>IF(MSE成绩库!C195="","", MSE成绩库!N195)</f>
        <v/>
      </c>
      <c r="N195" t="str">
        <f>IF(MSE成绩库!C195="","", MSE成绩库!O195)</f>
        <v/>
      </c>
      <c r="O195" t="str">
        <f>IF(MSE成绩库!C195="","", MSE成绩库!Q195)</f>
        <v/>
      </c>
      <c r="P195" t="str">
        <f>IF(MSE成绩库!C195="","", MSE成绩库!R195)</f>
        <v/>
      </c>
      <c r="Q195" t="str">
        <f>IF(MSE成绩库!C195="","", MSE成绩库!S195)</f>
        <v/>
      </c>
      <c r="R195" t="str">
        <f>IF(MSE成绩库!C195="","", MSE成绩库!T195)</f>
        <v/>
      </c>
      <c r="S195" t="str">
        <f>IF(MSE成绩库!C195="","", MSE成绩库!U195)</f>
        <v/>
      </c>
      <c r="T195" t="str">
        <f>IF(MSE成绩库!C195="","", MSE成绩库!V195)</f>
        <v/>
      </c>
      <c r="U195" t="str">
        <f>IF(MSE成绩库!C195="","", MSE成绩库!X195)</f>
        <v/>
      </c>
      <c r="V195" t="str">
        <f>IF(MSE成绩库!C195="","", MSE成绩库!Y195)</f>
        <v/>
      </c>
      <c r="W195" t="str">
        <f>IF(MSE成绩库!C195="","", MSE成绩库!Z195)</f>
        <v/>
      </c>
      <c r="X195" t="str">
        <f>IF(MSE成绩库!C195="","", MSE成绩库!AA195)</f>
        <v/>
      </c>
      <c r="Y195" t="str">
        <f>IF(MSE成绩库!C195="","", MSE成绩库!AB195)</f>
        <v/>
      </c>
      <c r="Z195" t="str">
        <f>IF(MSE成绩库!C195="","", MSE成绩库!AC195)</f>
        <v/>
      </c>
    </row>
    <row r="196" spans="1:26" x14ac:dyDescent="0.2">
      <c r="A196" t="str">
        <f>IF(MSE成绩库!C196="","", MSE成绩库!C196)</f>
        <v/>
      </c>
      <c r="B196" t="str">
        <f>IF(MSE成绩库!AD196="","", MSE成绩库!AD196)</f>
        <v/>
      </c>
      <c r="C196" t="str">
        <f>IF(MSE成绩库!B196="","", MSE成绩库!B196)</f>
        <v/>
      </c>
      <c r="D196" t="str">
        <f>IF(MSE成绩库!D196="","", MSE成绩库!D196)</f>
        <v/>
      </c>
      <c r="E196" t="str">
        <f>IF(MSE成绩库!C196="","", MSE成绩库!E196)</f>
        <v/>
      </c>
      <c r="F196" t="str">
        <f>IF(MSE成绩库!C196="","", MSE成绩库!F196)</f>
        <v/>
      </c>
      <c r="G196" t="str">
        <f>IF(MSE成绩库!C196="","", MSE成绩库!G196)</f>
        <v/>
      </c>
      <c r="H196" t="str">
        <f>IF(MSE成绩库!C196="","", MSE成绩库!H196)</f>
        <v/>
      </c>
      <c r="I196" t="str">
        <f>IF(MSE成绩库!C196="","", MSE成绩库!I196)</f>
        <v/>
      </c>
      <c r="J196" t="str">
        <f>IF(MSE成绩库!C196="","", MSE成绩库!J196)</f>
        <v/>
      </c>
      <c r="K196" t="str">
        <f>IF(MSE成绩库!C196="","", MSE成绩库!K196)</f>
        <v/>
      </c>
      <c r="L196" t="str">
        <f>IF(MSE成绩库!C196="","", MSE成绩库!M196)</f>
        <v/>
      </c>
      <c r="M196" t="str">
        <f>IF(MSE成绩库!C196="","", MSE成绩库!N196)</f>
        <v/>
      </c>
      <c r="N196" t="str">
        <f>IF(MSE成绩库!C196="","", MSE成绩库!O196)</f>
        <v/>
      </c>
      <c r="O196" t="str">
        <f>IF(MSE成绩库!C196="","", MSE成绩库!Q196)</f>
        <v/>
      </c>
      <c r="P196" t="str">
        <f>IF(MSE成绩库!C196="","", MSE成绩库!R196)</f>
        <v/>
      </c>
      <c r="Q196" t="str">
        <f>IF(MSE成绩库!C196="","", MSE成绩库!S196)</f>
        <v/>
      </c>
      <c r="R196" t="str">
        <f>IF(MSE成绩库!C196="","", MSE成绩库!T196)</f>
        <v/>
      </c>
      <c r="S196" t="str">
        <f>IF(MSE成绩库!C196="","", MSE成绩库!U196)</f>
        <v/>
      </c>
      <c r="T196" t="str">
        <f>IF(MSE成绩库!C196="","", MSE成绩库!V196)</f>
        <v/>
      </c>
      <c r="U196" t="str">
        <f>IF(MSE成绩库!C196="","", MSE成绩库!X196)</f>
        <v/>
      </c>
      <c r="V196" t="str">
        <f>IF(MSE成绩库!C196="","", MSE成绩库!Y196)</f>
        <v/>
      </c>
      <c r="W196" t="str">
        <f>IF(MSE成绩库!C196="","", MSE成绩库!Z196)</f>
        <v/>
      </c>
      <c r="X196" t="str">
        <f>IF(MSE成绩库!C196="","", MSE成绩库!AA196)</f>
        <v/>
      </c>
      <c r="Y196" t="str">
        <f>IF(MSE成绩库!C196="","", MSE成绩库!AB196)</f>
        <v/>
      </c>
      <c r="Z196" t="str">
        <f>IF(MSE成绩库!C196="","", MSE成绩库!AC196)</f>
        <v/>
      </c>
    </row>
    <row r="197" spans="1:26" x14ac:dyDescent="0.2">
      <c r="A197" t="str">
        <f>IF(MSE成绩库!C197="","", MSE成绩库!C197)</f>
        <v/>
      </c>
      <c r="B197" t="str">
        <f>IF(MSE成绩库!AD197="","", MSE成绩库!AD197)</f>
        <v/>
      </c>
      <c r="C197" t="str">
        <f>IF(MSE成绩库!B197="","", MSE成绩库!B197)</f>
        <v/>
      </c>
      <c r="D197" t="str">
        <f>IF(MSE成绩库!D197="","", MSE成绩库!D197)</f>
        <v/>
      </c>
      <c r="E197" t="str">
        <f>IF(MSE成绩库!C197="","", MSE成绩库!E197)</f>
        <v/>
      </c>
      <c r="F197" t="str">
        <f>IF(MSE成绩库!C197="","", MSE成绩库!F197)</f>
        <v/>
      </c>
      <c r="G197" t="str">
        <f>IF(MSE成绩库!C197="","", MSE成绩库!G197)</f>
        <v/>
      </c>
      <c r="H197" t="str">
        <f>IF(MSE成绩库!C197="","", MSE成绩库!H197)</f>
        <v/>
      </c>
      <c r="I197" t="str">
        <f>IF(MSE成绩库!C197="","", MSE成绩库!I197)</f>
        <v/>
      </c>
      <c r="J197" t="str">
        <f>IF(MSE成绩库!C197="","", MSE成绩库!J197)</f>
        <v/>
      </c>
      <c r="K197" t="str">
        <f>IF(MSE成绩库!C197="","", MSE成绩库!K197)</f>
        <v/>
      </c>
      <c r="L197" t="str">
        <f>IF(MSE成绩库!C197="","", MSE成绩库!M197)</f>
        <v/>
      </c>
      <c r="M197" t="str">
        <f>IF(MSE成绩库!C197="","", MSE成绩库!N197)</f>
        <v/>
      </c>
      <c r="N197" t="str">
        <f>IF(MSE成绩库!C197="","", MSE成绩库!O197)</f>
        <v/>
      </c>
      <c r="O197" t="str">
        <f>IF(MSE成绩库!C197="","", MSE成绩库!Q197)</f>
        <v/>
      </c>
      <c r="P197" t="str">
        <f>IF(MSE成绩库!C197="","", MSE成绩库!R197)</f>
        <v/>
      </c>
      <c r="Q197" t="str">
        <f>IF(MSE成绩库!C197="","", MSE成绩库!S197)</f>
        <v/>
      </c>
      <c r="R197" t="str">
        <f>IF(MSE成绩库!C197="","", MSE成绩库!T197)</f>
        <v/>
      </c>
      <c r="S197" t="str">
        <f>IF(MSE成绩库!C197="","", MSE成绩库!U197)</f>
        <v/>
      </c>
      <c r="T197" t="str">
        <f>IF(MSE成绩库!C197="","", MSE成绩库!V197)</f>
        <v/>
      </c>
      <c r="U197" t="str">
        <f>IF(MSE成绩库!C197="","", MSE成绩库!X197)</f>
        <v/>
      </c>
      <c r="V197" t="str">
        <f>IF(MSE成绩库!C197="","", MSE成绩库!Y197)</f>
        <v/>
      </c>
      <c r="W197" t="str">
        <f>IF(MSE成绩库!C197="","", MSE成绩库!Z197)</f>
        <v/>
      </c>
      <c r="X197" t="str">
        <f>IF(MSE成绩库!C197="","", MSE成绩库!AA197)</f>
        <v/>
      </c>
      <c r="Y197" t="str">
        <f>IF(MSE成绩库!C197="","", MSE成绩库!AB197)</f>
        <v/>
      </c>
      <c r="Z197" t="str">
        <f>IF(MSE成绩库!C197="","", MSE成绩库!AC197)</f>
        <v/>
      </c>
    </row>
    <row r="198" spans="1:26" x14ac:dyDescent="0.2">
      <c r="A198" t="str">
        <f>IF(MSE成绩库!C198="","", MSE成绩库!C198)</f>
        <v/>
      </c>
      <c r="B198" t="str">
        <f>IF(MSE成绩库!AD198="","", MSE成绩库!AD198)</f>
        <v/>
      </c>
      <c r="C198" t="str">
        <f>IF(MSE成绩库!B198="","", MSE成绩库!B198)</f>
        <v/>
      </c>
      <c r="D198" t="str">
        <f>IF(MSE成绩库!D198="","", MSE成绩库!D198)</f>
        <v/>
      </c>
      <c r="E198" t="str">
        <f>IF(MSE成绩库!C198="","", MSE成绩库!E198)</f>
        <v/>
      </c>
      <c r="F198" t="str">
        <f>IF(MSE成绩库!C198="","", MSE成绩库!F198)</f>
        <v/>
      </c>
      <c r="G198" t="str">
        <f>IF(MSE成绩库!C198="","", MSE成绩库!G198)</f>
        <v/>
      </c>
      <c r="H198" t="str">
        <f>IF(MSE成绩库!C198="","", MSE成绩库!H198)</f>
        <v/>
      </c>
      <c r="I198" t="str">
        <f>IF(MSE成绩库!C198="","", MSE成绩库!I198)</f>
        <v/>
      </c>
      <c r="J198" t="str">
        <f>IF(MSE成绩库!C198="","", MSE成绩库!J198)</f>
        <v/>
      </c>
      <c r="K198" t="str">
        <f>IF(MSE成绩库!C198="","", MSE成绩库!K198)</f>
        <v/>
      </c>
      <c r="L198" t="str">
        <f>IF(MSE成绩库!C198="","", MSE成绩库!M198)</f>
        <v/>
      </c>
      <c r="M198" t="str">
        <f>IF(MSE成绩库!C198="","", MSE成绩库!N198)</f>
        <v/>
      </c>
      <c r="N198" t="str">
        <f>IF(MSE成绩库!C198="","", MSE成绩库!O198)</f>
        <v/>
      </c>
      <c r="O198" t="str">
        <f>IF(MSE成绩库!C198="","", MSE成绩库!Q198)</f>
        <v/>
      </c>
      <c r="P198" t="str">
        <f>IF(MSE成绩库!C198="","", MSE成绩库!R198)</f>
        <v/>
      </c>
      <c r="Q198" t="str">
        <f>IF(MSE成绩库!C198="","", MSE成绩库!S198)</f>
        <v/>
      </c>
      <c r="R198" t="str">
        <f>IF(MSE成绩库!C198="","", MSE成绩库!T198)</f>
        <v/>
      </c>
      <c r="S198" t="str">
        <f>IF(MSE成绩库!C198="","", MSE成绩库!U198)</f>
        <v/>
      </c>
      <c r="T198" t="str">
        <f>IF(MSE成绩库!C198="","", MSE成绩库!V198)</f>
        <v/>
      </c>
      <c r="U198" t="str">
        <f>IF(MSE成绩库!C198="","", MSE成绩库!X198)</f>
        <v/>
      </c>
      <c r="V198" t="str">
        <f>IF(MSE成绩库!C198="","", MSE成绩库!Y198)</f>
        <v/>
      </c>
      <c r="W198" t="str">
        <f>IF(MSE成绩库!C198="","", MSE成绩库!Z198)</f>
        <v/>
      </c>
      <c r="X198" t="str">
        <f>IF(MSE成绩库!C198="","", MSE成绩库!AA198)</f>
        <v/>
      </c>
      <c r="Y198" t="str">
        <f>IF(MSE成绩库!C198="","", MSE成绩库!AB198)</f>
        <v/>
      </c>
      <c r="Z198" t="str">
        <f>IF(MSE成绩库!C198="","", MSE成绩库!AC198)</f>
        <v/>
      </c>
    </row>
    <row r="199" spans="1:26" x14ac:dyDescent="0.2">
      <c r="A199" t="str">
        <f>IF(MSE成绩库!C199="","", MSE成绩库!C199)</f>
        <v/>
      </c>
      <c r="B199" t="str">
        <f>IF(MSE成绩库!AD199="","", MSE成绩库!AD199)</f>
        <v/>
      </c>
      <c r="C199" t="str">
        <f>IF(MSE成绩库!B199="","", MSE成绩库!B199)</f>
        <v/>
      </c>
      <c r="D199" t="str">
        <f>IF(MSE成绩库!D199="","", MSE成绩库!D199)</f>
        <v/>
      </c>
      <c r="E199" t="str">
        <f>IF(MSE成绩库!C199="","", MSE成绩库!E199)</f>
        <v/>
      </c>
      <c r="F199" t="str">
        <f>IF(MSE成绩库!C199="","", MSE成绩库!F199)</f>
        <v/>
      </c>
      <c r="G199" t="str">
        <f>IF(MSE成绩库!C199="","", MSE成绩库!G199)</f>
        <v/>
      </c>
      <c r="H199" t="str">
        <f>IF(MSE成绩库!C199="","", MSE成绩库!H199)</f>
        <v/>
      </c>
      <c r="I199" t="str">
        <f>IF(MSE成绩库!C199="","", MSE成绩库!I199)</f>
        <v/>
      </c>
      <c r="J199" t="str">
        <f>IF(MSE成绩库!C199="","", MSE成绩库!J199)</f>
        <v/>
      </c>
      <c r="K199" t="str">
        <f>IF(MSE成绩库!C199="","", MSE成绩库!K199)</f>
        <v/>
      </c>
      <c r="L199" t="str">
        <f>IF(MSE成绩库!C199="","", MSE成绩库!M199)</f>
        <v/>
      </c>
      <c r="M199" t="str">
        <f>IF(MSE成绩库!C199="","", MSE成绩库!N199)</f>
        <v/>
      </c>
      <c r="N199" t="str">
        <f>IF(MSE成绩库!C199="","", MSE成绩库!O199)</f>
        <v/>
      </c>
      <c r="O199" t="str">
        <f>IF(MSE成绩库!C199="","", MSE成绩库!Q199)</f>
        <v/>
      </c>
      <c r="P199" t="str">
        <f>IF(MSE成绩库!C199="","", MSE成绩库!R199)</f>
        <v/>
      </c>
      <c r="Q199" t="str">
        <f>IF(MSE成绩库!C199="","", MSE成绩库!S199)</f>
        <v/>
      </c>
      <c r="R199" t="str">
        <f>IF(MSE成绩库!C199="","", MSE成绩库!T199)</f>
        <v/>
      </c>
      <c r="S199" t="str">
        <f>IF(MSE成绩库!C199="","", MSE成绩库!U199)</f>
        <v/>
      </c>
      <c r="T199" t="str">
        <f>IF(MSE成绩库!C199="","", MSE成绩库!V199)</f>
        <v/>
      </c>
      <c r="U199" t="str">
        <f>IF(MSE成绩库!C199="","", MSE成绩库!X199)</f>
        <v/>
      </c>
      <c r="V199" t="str">
        <f>IF(MSE成绩库!C199="","", MSE成绩库!Y199)</f>
        <v/>
      </c>
      <c r="W199" t="str">
        <f>IF(MSE成绩库!C199="","", MSE成绩库!Z199)</f>
        <v/>
      </c>
      <c r="X199" t="str">
        <f>IF(MSE成绩库!C199="","", MSE成绩库!AA199)</f>
        <v/>
      </c>
      <c r="Y199" t="str">
        <f>IF(MSE成绩库!C199="","", MSE成绩库!AB199)</f>
        <v/>
      </c>
      <c r="Z199" t="str">
        <f>IF(MSE成绩库!C199="","", MSE成绩库!AC199)</f>
        <v/>
      </c>
    </row>
    <row r="200" spans="1:26" x14ac:dyDescent="0.2">
      <c r="A200" t="str">
        <f>IF(MSE成绩库!C200="","", MSE成绩库!C200)</f>
        <v/>
      </c>
      <c r="B200" t="str">
        <f>IF(MSE成绩库!AD200="","", MSE成绩库!AD200)</f>
        <v/>
      </c>
      <c r="C200" t="str">
        <f>IF(MSE成绩库!B200="","", MSE成绩库!B200)</f>
        <v/>
      </c>
      <c r="D200" t="str">
        <f>IF(MSE成绩库!D200="","", MSE成绩库!D200)</f>
        <v/>
      </c>
      <c r="E200" t="str">
        <f>IF(MSE成绩库!C200="","", MSE成绩库!E200)</f>
        <v/>
      </c>
      <c r="F200" t="str">
        <f>IF(MSE成绩库!C200="","", MSE成绩库!F200)</f>
        <v/>
      </c>
      <c r="G200" t="str">
        <f>IF(MSE成绩库!C200="","", MSE成绩库!G200)</f>
        <v/>
      </c>
      <c r="H200" t="str">
        <f>IF(MSE成绩库!C200="","", MSE成绩库!H200)</f>
        <v/>
      </c>
      <c r="I200" t="str">
        <f>IF(MSE成绩库!C200="","", MSE成绩库!I200)</f>
        <v/>
      </c>
      <c r="J200" t="str">
        <f>IF(MSE成绩库!C200="","", MSE成绩库!J200)</f>
        <v/>
      </c>
      <c r="K200" t="str">
        <f>IF(MSE成绩库!C200="","", MSE成绩库!K200)</f>
        <v/>
      </c>
      <c r="L200" t="str">
        <f>IF(MSE成绩库!C200="","", MSE成绩库!M200)</f>
        <v/>
      </c>
      <c r="M200" t="str">
        <f>IF(MSE成绩库!C200="","", MSE成绩库!N200)</f>
        <v/>
      </c>
      <c r="N200" t="str">
        <f>IF(MSE成绩库!C200="","", MSE成绩库!O200)</f>
        <v/>
      </c>
      <c r="O200" t="str">
        <f>IF(MSE成绩库!C200="","", MSE成绩库!Q200)</f>
        <v/>
      </c>
      <c r="P200" t="str">
        <f>IF(MSE成绩库!C200="","", MSE成绩库!R200)</f>
        <v/>
      </c>
      <c r="Q200" t="str">
        <f>IF(MSE成绩库!C200="","", MSE成绩库!S200)</f>
        <v/>
      </c>
      <c r="R200" t="str">
        <f>IF(MSE成绩库!C200="","", MSE成绩库!T200)</f>
        <v/>
      </c>
      <c r="S200" t="str">
        <f>IF(MSE成绩库!C200="","", MSE成绩库!U200)</f>
        <v/>
      </c>
      <c r="T200" t="str">
        <f>IF(MSE成绩库!C200="","", MSE成绩库!V200)</f>
        <v/>
      </c>
      <c r="U200" t="str">
        <f>IF(MSE成绩库!C200="","", MSE成绩库!X200)</f>
        <v/>
      </c>
      <c r="V200" t="str">
        <f>IF(MSE成绩库!C200="","", MSE成绩库!Y200)</f>
        <v/>
      </c>
      <c r="W200" t="str">
        <f>IF(MSE成绩库!C200="","", MSE成绩库!Z200)</f>
        <v/>
      </c>
      <c r="X200" t="str">
        <f>IF(MSE成绩库!C200="","", MSE成绩库!AA200)</f>
        <v/>
      </c>
      <c r="Y200" t="str">
        <f>IF(MSE成绩库!C200="","", MSE成绩库!AB200)</f>
        <v/>
      </c>
      <c r="Z200" t="str">
        <f>IF(MSE成绩库!C200="","", MSE成绩库!AC200)</f>
        <v/>
      </c>
    </row>
    <row r="201" spans="1:26" x14ac:dyDescent="0.2">
      <c r="A201" t="str">
        <f>IF(MSE成绩库!C201="","", MSE成绩库!C201)</f>
        <v/>
      </c>
      <c r="B201" t="str">
        <f>IF(MSE成绩库!AD201="","", MSE成绩库!AD201)</f>
        <v/>
      </c>
      <c r="C201" t="str">
        <f>IF(MSE成绩库!B201="","", MSE成绩库!B201)</f>
        <v/>
      </c>
      <c r="D201" t="str">
        <f>IF(MSE成绩库!D201="","", MSE成绩库!D201)</f>
        <v/>
      </c>
      <c r="E201" t="str">
        <f>IF(MSE成绩库!C201="","", MSE成绩库!E201)</f>
        <v/>
      </c>
      <c r="F201" t="str">
        <f>IF(MSE成绩库!C201="","", MSE成绩库!F201)</f>
        <v/>
      </c>
      <c r="G201" t="str">
        <f>IF(MSE成绩库!C201="","", MSE成绩库!G201)</f>
        <v/>
      </c>
      <c r="H201" t="str">
        <f>IF(MSE成绩库!C201="","", MSE成绩库!H201)</f>
        <v/>
      </c>
      <c r="I201" t="str">
        <f>IF(MSE成绩库!C201="","", MSE成绩库!I201)</f>
        <v/>
      </c>
      <c r="J201" t="str">
        <f>IF(MSE成绩库!C201="","", MSE成绩库!J201)</f>
        <v/>
      </c>
      <c r="K201" t="str">
        <f>IF(MSE成绩库!C201="","", MSE成绩库!K201)</f>
        <v/>
      </c>
      <c r="L201" t="str">
        <f>IF(MSE成绩库!C201="","", MSE成绩库!M201)</f>
        <v/>
      </c>
      <c r="M201" t="str">
        <f>IF(MSE成绩库!C201="","", MSE成绩库!N201)</f>
        <v/>
      </c>
      <c r="N201" t="str">
        <f>IF(MSE成绩库!C201="","", MSE成绩库!O201)</f>
        <v/>
      </c>
      <c r="O201" t="str">
        <f>IF(MSE成绩库!C201="","", MSE成绩库!Q201)</f>
        <v/>
      </c>
      <c r="P201" t="str">
        <f>IF(MSE成绩库!C201="","", MSE成绩库!R201)</f>
        <v/>
      </c>
      <c r="Q201" t="str">
        <f>IF(MSE成绩库!C201="","", MSE成绩库!S201)</f>
        <v/>
      </c>
      <c r="R201" t="str">
        <f>IF(MSE成绩库!C201="","", MSE成绩库!T201)</f>
        <v/>
      </c>
      <c r="S201" t="str">
        <f>IF(MSE成绩库!C201="","", MSE成绩库!U201)</f>
        <v/>
      </c>
      <c r="T201" t="str">
        <f>IF(MSE成绩库!C201="","", MSE成绩库!V201)</f>
        <v/>
      </c>
      <c r="U201" t="str">
        <f>IF(MSE成绩库!C201="","", MSE成绩库!X201)</f>
        <v/>
      </c>
      <c r="V201" t="str">
        <f>IF(MSE成绩库!C201="","", MSE成绩库!Y201)</f>
        <v/>
      </c>
      <c r="W201" t="str">
        <f>IF(MSE成绩库!C201="","", MSE成绩库!Z201)</f>
        <v/>
      </c>
      <c r="X201" t="str">
        <f>IF(MSE成绩库!C201="","", MSE成绩库!AA201)</f>
        <v/>
      </c>
      <c r="Y201" t="str">
        <f>IF(MSE成绩库!C201="","", MSE成绩库!AB201)</f>
        <v/>
      </c>
      <c r="Z201" t="str">
        <f>IF(MSE成绩库!C201="","", MSE成绩库!AC201)</f>
        <v/>
      </c>
    </row>
    <row r="202" spans="1:26" x14ac:dyDescent="0.2">
      <c r="A202" t="str">
        <f>IF(MSE成绩库!C202="","", MSE成绩库!C202)</f>
        <v/>
      </c>
      <c r="B202" t="str">
        <f>IF(MSE成绩库!AD202="","", MSE成绩库!AD202)</f>
        <v/>
      </c>
      <c r="C202" t="str">
        <f>IF(MSE成绩库!B202="","", MSE成绩库!B202)</f>
        <v/>
      </c>
      <c r="D202" t="str">
        <f>IF(MSE成绩库!D202="","", MSE成绩库!D202)</f>
        <v/>
      </c>
      <c r="E202" t="str">
        <f>IF(MSE成绩库!C202="","", MSE成绩库!E202)</f>
        <v/>
      </c>
      <c r="F202" t="str">
        <f>IF(MSE成绩库!C202="","", MSE成绩库!F202)</f>
        <v/>
      </c>
      <c r="G202" t="str">
        <f>IF(MSE成绩库!C202="","", MSE成绩库!G202)</f>
        <v/>
      </c>
      <c r="H202" t="str">
        <f>IF(MSE成绩库!C202="","", MSE成绩库!H202)</f>
        <v/>
      </c>
      <c r="I202" t="str">
        <f>IF(MSE成绩库!C202="","", MSE成绩库!I202)</f>
        <v/>
      </c>
      <c r="J202" t="str">
        <f>IF(MSE成绩库!C202="","", MSE成绩库!J202)</f>
        <v/>
      </c>
      <c r="K202" t="str">
        <f>IF(MSE成绩库!C202="","", MSE成绩库!K202)</f>
        <v/>
      </c>
      <c r="L202" t="str">
        <f>IF(MSE成绩库!C202="","", MSE成绩库!M202)</f>
        <v/>
      </c>
      <c r="M202" t="str">
        <f>IF(MSE成绩库!C202="","", MSE成绩库!N202)</f>
        <v/>
      </c>
      <c r="N202" t="str">
        <f>IF(MSE成绩库!C202="","", MSE成绩库!O202)</f>
        <v/>
      </c>
      <c r="O202" t="str">
        <f>IF(MSE成绩库!C202="","", MSE成绩库!Q202)</f>
        <v/>
      </c>
      <c r="P202" t="str">
        <f>IF(MSE成绩库!C202="","", MSE成绩库!R202)</f>
        <v/>
      </c>
      <c r="Q202" t="str">
        <f>IF(MSE成绩库!C202="","", MSE成绩库!S202)</f>
        <v/>
      </c>
      <c r="R202" t="str">
        <f>IF(MSE成绩库!C202="","", MSE成绩库!T202)</f>
        <v/>
      </c>
      <c r="S202" t="str">
        <f>IF(MSE成绩库!C202="","", MSE成绩库!U202)</f>
        <v/>
      </c>
      <c r="T202" t="str">
        <f>IF(MSE成绩库!C202="","", MSE成绩库!V202)</f>
        <v/>
      </c>
      <c r="U202" t="str">
        <f>IF(MSE成绩库!C202="","", MSE成绩库!X202)</f>
        <v/>
      </c>
      <c r="V202" t="str">
        <f>IF(MSE成绩库!C202="","", MSE成绩库!Y202)</f>
        <v/>
      </c>
      <c r="W202" t="str">
        <f>IF(MSE成绩库!C202="","", MSE成绩库!Z202)</f>
        <v/>
      </c>
      <c r="X202" t="str">
        <f>IF(MSE成绩库!C202="","", MSE成绩库!AA202)</f>
        <v/>
      </c>
      <c r="Y202" t="str">
        <f>IF(MSE成绩库!C202="","", MSE成绩库!AB202)</f>
        <v/>
      </c>
      <c r="Z202" t="str">
        <f>IF(MSE成绩库!C202="","", MSE成绩库!AC202)</f>
        <v/>
      </c>
    </row>
    <row r="203" spans="1:26" x14ac:dyDescent="0.2">
      <c r="A203" t="str">
        <f>IF(MSE成绩库!C203="","", MSE成绩库!C203)</f>
        <v/>
      </c>
      <c r="B203" t="str">
        <f>IF(MSE成绩库!AD203="","", MSE成绩库!AD203)</f>
        <v/>
      </c>
      <c r="C203" t="str">
        <f>IF(MSE成绩库!B203="","", MSE成绩库!B203)</f>
        <v/>
      </c>
      <c r="D203" t="str">
        <f>IF(MSE成绩库!D203="","", MSE成绩库!D203)</f>
        <v/>
      </c>
      <c r="E203" t="str">
        <f>IF(MSE成绩库!C203="","", MSE成绩库!E203)</f>
        <v/>
      </c>
      <c r="F203" t="str">
        <f>IF(MSE成绩库!C203="","", MSE成绩库!F203)</f>
        <v/>
      </c>
      <c r="G203" t="str">
        <f>IF(MSE成绩库!C203="","", MSE成绩库!G203)</f>
        <v/>
      </c>
      <c r="H203" t="str">
        <f>IF(MSE成绩库!C203="","", MSE成绩库!H203)</f>
        <v/>
      </c>
      <c r="I203" t="str">
        <f>IF(MSE成绩库!C203="","", MSE成绩库!I203)</f>
        <v/>
      </c>
      <c r="J203" t="str">
        <f>IF(MSE成绩库!C203="","", MSE成绩库!J203)</f>
        <v/>
      </c>
      <c r="K203" t="str">
        <f>IF(MSE成绩库!C203="","", MSE成绩库!K203)</f>
        <v/>
      </c>
      <c r="L203" t="str">
        <f>IF(MSE成绩库!C203="","", MSE成绩库!M203)</f>
        <v/>
      </c>
      <c r="M203" t="str">
        <f>IF(MSE成绩库!C203="","", MSE成绩库!N203)</f>
        <v/>
      </c>
      <c r="N203" t="str">
        <f>IF(MSE成绩库!C203="","", MSE成绩库!O203)</f>
        <v/>
      </c>
      <c r="O203" t="str">
        <f>IF(MSE成绩库!C203="","", MSE成绩库!Q203)</f>
        <v/>
      </c>
      <c r="P203" t="str">
        <f>IF(MSE成绩库!C203="","", MSE成绩库!R203)</f>
        <v/>
      </c>
      <c r="Q203" t="str">
        <f>IF(MSE成绩库!C203="","", MSE成绩库!S203)</f>
        <v/>
      </c>
      <c r="R203" t="str">
        <f>IF(MSE成绩库!C203="","", MSE成绩库!T203)</f>
        <v/>
      </c>
      <c r="S203" t="str">
        <f>IF(MSE成绩库!C203="","", MSE成绩库!U203)</f>
        <v/>
      </c>
      <c r="T203" t="str">
        <f>IF(MSE成绩库!C203="","", MSE成绩库!V203)</f>
        <v/>
      </c>
      <c r="U203" t="str">
        <f>IF(MSE成绩库!C203="","", MSE成绩库!X203)</f>
        <v/>
      </c>
      <c r="V203" t="str">
        <f>IF(MSE成绩库!C203="","", MSE成绩库!Y203)</f>
        <v/>
      </c>
      <c r="W203" t="str">
        <f>IF(MSE成绩库!C203="","", MSE成绩库!Z203)</f>
        <v/>
      </c>
      <c r="X203" t="str">
        <f>IF(MSE成绩库!C203="","", MSE成绩库!AA203)</f>
        <v/>
      </c>
      <c r="Y203" t="str">
        <f>IF(MSE成绩库!C203="","", MSE成绩库!AB203)</f>
        <v/>
      </c>
      <c r="Z203" t="str">
        <f>IF(MSE成绩库!C203="","", MSE成绩库!AC203)</f>
        <v/>
      </c>
    </row>
    <row r="204" spans="1:26" x14ac:dyDescent="0.2">
      <c r="A204" t="str">
        <f>IF(MSE成绩库!C204="","", MSE成绩库!C204)</f>
        <v/>
      </c>
      <c r="B204" t="str">
        <f>IF(MSE成绩库!AD204="","", MSE成绩库!AD204)</f>
        <v/>
      </c>
      <c r="C204" t="str">
        <f>IF(MSE成绩库!B204="","", MSE成绩库!B204)</f>
        <v/>
      </c>
      <c r="D204" t="str">
        <f>IF(MSE成绩库!D204="","", MSE成绩库!D204)</f>
        <v/>
      </c>
      <c r="E204" t="str">
        <f>IF(MSE成绩库!C204="","", MSE成绩库!E204)</f>
        <v/>
      </c>
      <c r="F204" t="str">
        <f>IF(MSE成绩库!C204="","", MSE成绩库!F204)</f>
        <v/>
      </c>
      <c r="G204" t="str">
        <f>IF(MSE成绩库!C204="","", MSE成绩库!G204)</f>
        <v/>
      </c>
      <c r="H204" t="str">
        <f>IF(MSE成绩库!C204="","", MSE成绩库!H204)</f>
        <v/>
      </c>
      <c r="I204" t="str">
        <f>IF(MSE成绩库!C204="","", MSE成绩库!I204)</f>
        <v/>
      </c>
      <c r="J204" t="str">
        <f>IF(MSE成绩库!C204="","", MSE成绩库!J204)</f>
        <v/>
      </c>
      <c r="K204" t="str">
        <f>IF(MSE成绩库!C204="","", MSE成绩库!K204)</f>
        <v/>
      </c>
      <c r="L204" t="str">
        <f>IF(MSE成绩库!C204="","", MSE成绩库!M204)</f>
        <v/>
      </c>
      <c r="M204" t="str">
        <f>IF(MSE成绩库!C204="","", MSE成绩库!N204)</f>
        <v/>
      </c>
      <c r="N204" t="str">
        <f>IF(MSE成绩库!C204="","", MSE成绩库!O204)</f>
        <v/>
      </c>
      <c r="O204" t="str">
        <f>IF(MSE成绩库!C204="","", MSE成绩库!Q204)</f>
        <v/>
      </c>
      <c r="P204" t="str">
        <f>IF(MSE成绩库!C204="","", MSE成绩库!R204)</f>
        <v/>
      </c>
      <c r="Q204" t="str">
        <f>IF(MSE成绩库!C204="","", MSE成绩库!S204)</f>
        <v/>
      </c>
      <c r="R204" t="str">
        <f>IF(MSE成绩库!C204="","", MSE成绩库!T204)</f>
        <v/>
      </c>
      <c r="S204" t="str">
        <f>IF(MSE成绩库!C204="","", MSE成绩库!U204)</f>
        <v/>
      </c>
      <c r="T204" t="str">
        <f>IF(MSE成绩库!C204="","", MSE成绩库!V204)</f>
        <v/>
      </c>
      <c r="U204" t="str">
        <f>IF(MSE成绩库!C204="","", MSE成绩库!X204)</f>
        <v/>
      </c>
      <c r="V204" t="str">
        <f>IF(MSE成绩库!C204="","", MSE成绩库!Y204)</f>
        <v/>
      </c>
      <c r="W204" t="str">
        <f>IF(MSE成绩库!C204="","", MSE成绩库!Z204)</f>
        <v/>
      </c>
      <c r="X204" t="str">
        <f>IF(MSE成绩库!C204="","", MSE成绩库!AA204)</f>
        <v/>
      </c>
      <c r="Y204" t="str">
        <f>IF(MSE成绩库!C204="","", MSE成绩库!AB204)</f>
        <v/>
      </c>
      <c r="Z204" t="str">
        <f>IF(MSE成绩库!C204="","", MSE成绩库!AC204)</f>
        <v/>
      </c>
    </row>
    <row r="205" spans="1:26" x14ac:dyDescent="0.2">
      <c r="A205" t="str">
        <f>IF(MSE成绩库!C205="","", MSE成绩库!C205)</f>
        <v/>
      </c>
      <c r="B205" t="str">
        <f>IF(MSE成绩库!AD205="","", MSE成绩库!AD205)</f>
        <v/>
      </c>
      <c r="C205" t="str">
        <f>IF(MSE成绩库!B205="","", MSE成绩库!B205)</f>
        <v/>
      </c>
      <c r="D205" t="str">
        <f>IF(MSE成绩库!D205="","", MSE成绩库!D205)</f>
        <v/>
      </c>
      <c r="E205" t="str">
        <f>IF(MSE成绩库!C205="","", MSE成绩库!E205)</f>
        <v/>
      </c>
      <c r="F205" t="str">
        <f>IF(MSE成绩库!C205="","", MSE成绩库!F205)</f>
        <v/>
      </c>
      <c r="G205" t="str">
        <f>IF(MSE成绩库!C205="","", MSE成绩库!G205)</f>
        <v/>
      </c>
      <c r="H205" t="str">
        <f>IF(MSE成绩库!C205="","", MSE成绩库!H205)</f>
        <v/>
      </c>
      <c r="I205" t="str">
        <f>IF(MSE成绩库!C205="","", MSE成绩库!I205)</f>
        <v/>
      </c>
      <c r="J205" t="str">
        <f>IF(MSE成绩库!C205="","", MSE成绩库!J205)</f>
        <v/>
      </c>
      <c r="K205" t="str">
        <f>IF(MSE成绩库!C205="","", MSE成绩库!K205)</f>
        <v/>
      </c>
      <c r="L205" t="str">
        <f>IF(MSE成绩库!C205="","", MSE成绩库!M205)</f>
        <v/>
      </c>
      <c r="M205" t="str">
        <f>IF(MSE成绩库!C205="","", MSE成绩库!N205)</f>
        <v/>
      </c>
      <c r="N205" t="str">
        <f>IF(MSE成绩库!C205="","", MSE成绩库!O205)</f>
        <v/>
      </c>
      <c r="O205" t="str">
        <f>IF(MSE成绩库!C205="","", MSE成绩库!Q205)</f>
        <v/>
      </c>
      <c r="P205" t="str">
        <f>IF(MSE成绩库!C205="","", MSE成绩库!R205)</f>
        <v/>
      </c>
      <c r="Q205" t="str">
        <f>IF(MSE成绩库!C205="","", MSE成绩库!S205)</f>
        <v/>
      </c>
      <c r="R205" t="str">
        <f>IF(MSE成绩库!C205="","", MSE成绩库!T205)</f>
        <v/>
      </c>
      <c r="S205" t="str">
        <f>IF(MSE成绩库!C205="","", MSE成绩库!U205)</f>
        <v/>
      </c>
      <c r="T205" t="str">
        <f>IF(MSE成绩库!C205="","", MSE成绩库!V205)</f>
        <v/>
      </c>
      <c r="U205" t="str">
        <f>IF(MSE成绩库!C205="","", MSE成绩库!X205)</f>
        <v/>
      </c>
      <c r="V205" t="str">
        <f>IF(MSE成绩库!C205="","", MSE成绩库!Y205)</f>
        <v/>
      </c>
      <c r="W205" t="str">
        <f>IF(MSE成绩库!C205="","", MSE成绩库!Z205)</f>
        <v/>
      </c>
      <c r="X205" t="str">
        <f>IF(MSE成绩库!C205="","", MSE成绩库!AA205)</f>
        <v/>
      </c>
      <c r="Y205" t="str">
        <f>IF(MSE成绩库!C205="","", MSE成绩库!AB205)</f>
        <v/>
      </c>
      <c r="Z205" t="str">
        <f>IF(MSE成绩库!C205="","", MSE成绩库!AC205)</f>
        <v/>
      </c>
    </row>
    <row r="206" spans="1:26" x14ac:dyDescent="0.2">
      <c r="A206" t="str">
        <f>IF(MSE成绩库!C206="","", MSE成绩库!C206)</f>
        <v/>
      </c>
      <c r="B206" t="str">
        <f>IF(MSE成绩库!AD206="","", MSE成绩库!AD206)</f>
        <v/>
      </c>
      <c r="C206" t="str">
        <f>IF(MSE成绩库!B206="","", MSE成绩库!B206)</f>
        <v/>
      </c>
      <c r="D206" t="str">
        <f>IF(MSE成绩库!D206="","", MSE成绩库!D206)</f>
        <v/>
      </c>
      <c r="E206" t="str">
        <f>IF(MSE成绩库!C206="","", MSE成绩库!E206)</f>
        <v/>
      </c>
      <c r="F206" t="str">
        <f>IF(MSE成绩库!C206="","", MSE成绩库!F206)</f>
        <v/>
      </c>
      <c r="G206" t="str">
        <f>IF(MSE成绩库!C206="","", MSE成绩库!G206)</f>
        <v/>
      </c>
      <c r="H206" t="str">
        <f>IF(MSE成绩库!C206="","", MSE成绩库!H206)</f>
        <v/>
      </c>
      <c r="I206" t="str">
        <f>IF(MSE成绩库!C206="","", MSE成绩库!I206)</f>
        <v/>
      </c>
      <c r="J206" t="str">
        <f>IF(MSE成绩库!C206="","", MSE成绩库!J206)</f>
        <v/>
      </c>
      <c r="K206" t="str">
        <f>IF(MSE成绩库!C206="","", MSE成绩库!K206)</f>
        <v/>
      </c>
      <c r="L206" t="str">
        <f>IF(MSE成绩库!C206="","", MSE成绩库!M206)</f>
        <v/>
      </c>
      <c r="M206" t="str">
        <f>IF(MSE成绩库!C206="","", MSE成绩库!N206)</f>
        <v/>
      </c>
      <c r="N206" t="str">
        <f>IF(MSE成绩库!C206="","", MSE成绩库!O206)</f>
        <v/>
      </c>
      <c r="O206" t="str">
        <f>IF(MSE成绩库!C206="","", MSE成绩库!Q206)</f>
        <v/>
      </c>
      <c r="P206" t="str">
        <f>IF(MSE成绩库!C206="","", MSE成绩库!R206)</f>
        <v/>
      </c>
      <c r="Q206" t="str">
        <f>IF(MSE成绩库!C206="","", MSE成绩库!S206)</f>
        <v/>
      </c>
      <c r="R206" t="str">
        <f>IF(MSE成绩库!C206="","", MSE成绩库!T206)</f>
        <v/>
      </c>
      <c r="S206" t="str">
        <f>IF(MSE成绩库!C206="","", MSE成绩库!U206)</f>
        <v/>
      </c>
      <c r="T206" t="str">
        <f>IF(MSE成绩库!C206="","", MSE成绩库!V206)</f>
        <v/>
      </c>
      <c r="U206" t="str">
        <f>IF(MSE成绩库!C206="","", MSE成绩库!X206)</f>
        <v/>
      </c>
      <c r="V206" t="str">
        <f>IF(MSE成绩库!C206="","", MSE成绩库!Y206)</f>
        <v/>
      </c>
      <c r="W206" t="str">
        <f>IF(MSE成绩库!C206="","", MSE成绩库!Z206)</f>
        <v/>
      </c>
      <c r="X206" t="str">
        <f>IF(MSE成绩库!C206="","", MSE成绩库!AA206)</f>
        <v/>
      </c>
      <c r="Y206" t="str">
        <f>IF(MSE成绩库!C206="","", MSE成绩库!AB206)</f>
        <v/>
      </c>
      <c r="Z206" t="str">
        <f>IF(MSE成绩库!C206="","", MSE成绩库!AC206)</f>
        <v/>
      </c>
    </row>
    <row r="207" spans="1:26" x14ac:dyDescent="0.2">
      <c r="A207" t="str">
        <f>IF(MSE成绩库!C207="","", MSE成绩库!C207)</f>
        <v/>
      </c>
      <c r="B207" t="str">
        <f>IF(MSE成绩库!AD207="","", MSE成绩库!AD207)</f>
        <v/>
      </c>
      <c r="C207" t="str">
        <f>IF(MSE成绩库!B207="","", MSE成绩库!B207)</f>
        <v/>
      </c>
      <c r="D207" t="str">
        <f>IF(MSE成绩库!D207="","", MSE成绩库!D207)</f>
        <v/>
      </c>
      <c r="E207" t="str">
        <f>IF(MSE成绩库!C207="","", MSE成绩库!E207)</f>
        <v/>
      </c>
      <c r="F207" t="str">
        <f>IF(MSE成绩库!C207="","", MSE成绩库!F207)</f>
        <v/>
      </c>
      <c r="G207" t="str">
        <f>IF(MSE成绩库!C207="","", MSE成绩库!G207)</f>
        <v/>
      </c>
      <c r="H207" t="str">
        <f>IF(MSE成绩库!C207="","", MSE成绩库!H207)</f>
        <v/>
      </c>
      <c r="I207" t="str">
        <f>IF(MSE成绩库!C207="","", MSE成绩库!I207)</f>
        <v/>
      </c>
      <c r="J207" t="str">
        <f>IF(MSE成绩库!C207="","", MSE成绩库!J207)</f>
        <v/>
      </c>
      <c r="K207" t="str">
        <f>IF(MSE成绩库!C207="","", MSE成绩库!K207)</f>
        <v/>
      </c>
      <c r="L207" t="str">
        <f>IF(MSE成绩库!C207="","", MSE成绩库!M207)</f>
        <v/>
      </c>
      <c r="M207" t="str">
        <f>IF(MSE成绩库!C207="","", MSE成绩库!N207)</f>
        <v/>
      </c>
      <c r="N207" t="str">
        <f>IF(MSE成绩库!C207="","", MSE成绩库!O207)</f>
        <v/>
      </c>
      <c r="O207" t="str">
        <f>IF(MSE成绩库!C207="","", MSE成绩库!Q207)</f>
        <v/>
      </c>
      <c r="P207" t="str">
        <f>IF(MSE成绩库!C207="","", MSE成绩库!R207)</f>
        <v/>
      </c>
      <c r="Q207" t="str">
        <f>IF(MSE成绩库!C207="","", MSE成绩库!S207)</f>
        <v/>
      </c>
      <c r="R207" t="str">
        <f>IF(MSE成绩库!C207="","", MSE成绩库!T207)</f>
        <v/>
      </c>
      <c r="S207" t="str">
        <f>IF(MSE成绩库!C207="","", MSE成绩库!U207)</f>
        <v/>
      </c>
      <c r="T207" t="str">
        <f>IF(MSE成绩库!C207="","", MSE成绩库!V207)</f>
        <v/>
      </c>
      <c r="U207" t="str">
        <f>IF(MSE成绩库!C207="","", MSE成绩库!X207)</f>
        <v/>
      </c>
      <c r="V207" t="str">
        <f>IF(MSE成绩库!C207="","", MSE成绩库!Y207)</f>
        <v/>
      </c>
      <c r="W207" t="str">
        <f>IF(MSE成绩库!C207="","", MSE成绩库!Z207)</f>
        <v/>
      </c>
      <c r="X207" t="str">
        <f>IF(MSE成绩库!C207="","", MSE成绩库!AA207)</f>
        <v/>
      </c>
      <c r="Y207" t="str">
        <f>IF(MSE成绩库!C207="","", MSE成绩库!AB207)</f>
        <v/>
      </c>
      <c r="Z207" t="str">
        <f>IF(MSE成绩库!C207="","", MSE成绩库!AC207)</f>
        <v/>
      </c>
    </row>
    <row r="208" spans="1:26" x14ac:dyDescent="0.2">
      <c r="A208" t="str">
        <f>IF(MSE成绩库!C208="","", MSE成绩库!C208)</f>
        <v/>
      </c>
      <c r="B208" t="str">
        <f>IF(MSE成绩库!AD208="","", MSE成绩库!AD208)</f>
        <v/>
      </c>
      <c r="C208" t="str">
        <f>IF(MSE成绩库!B208="","", MSE成绩库!B208)</f>
        <v/>
      </c>
      <c r="D208" t="str">
        <f>IF(MSE成绩库!D208="","", MSE成绩库!D208)</f>
        <v/>
      </c>
      <c r="E208" t="str">
        <f>IF(MSE成绩库!C208="","", MSE成绩库!E208)</f>
        <v/>
      </c>
      <c r="F208" t="str">
        <f>IF(MSE成绩库!C208="","", MSE成绩库!F208)</f>
        <v/>
      </c>
      <c r="G208" t="str">
        <f>IF(MSE成绩库!C208="","", MSE成绩库!G208)</f>
        <v/>
      </c>
      <c r="H208" t="str">
        <f>IF(MSE成绩库!C208="","", MSE成绩库!H208)</f>
        <v/>
      </c>
      <c r="I208" t="str">
        <f>IF(MSE成绩库!C208="","", MSE成绩库!I208)</f>
        <v/>
      </c>
      <c r="J208" t="str">
        <f>IF(MSE成绩库!C208="","", MSE成绩库!J208)</f>
        <v/>
      </c>
      <c r="K208" t="str">
        <f>IF(MSE成绩库!C208="","", MSE成绩库!K208)</f>
        <v/>
      </c>
      <c r="L208" t="str">
        <f>IF(MSE成绩库!C208="","", MSE成绩库!M208)</f>
        <v/>
      </c>
      <c r="M208" t="str">
        <f>IF(MSE成绩库!C208="","", MSE成绩库!N208)</f>
        <v/>
      </c>
      <c r="N208" t="str">
        <f>IF(MSE成绩库!C208="","", MSE成绩库!O208)</f>
        <v/>
      </c>
      <c r="O208" t="str">
        <f>IF(MSE成绩库!C208="","", MSE成绩库!Q208)</f>
        <v/>
      </c>
      <c r="P208" t="str">
        <f>IF(MSE成绩库!C208="","", MSE成绩库!R208)</f>
        <v/>
      </c>
      <c r="Q208" t="str">
        <f>IF(MSE成绩库!C208="","", MSE成绩库!S208)</f>
        <v/>
      </c>
      <c r="R208" t="str">
        <f>IF(MSE成绩库!C208="","", MSE成绩库!T208)</f>
        <v/>
      </c>
      <c r="S208" t="str">
        <f>IF(MSE成绩库!C208="","", MSE成绩库!U208)</f>
        <v/>
      </c>
      <c r="T208" t="str">
        <f>IF(MSE成绩库!C208="","", MSE成绩库!V208)</f>
        <v/>
      </c>
      <c r="U208" t="str">
        <f>IF(MSE成绩库!C208="","", MSE成绩库!X208)</f>
        <v/>
      </c>
      <c r="V208" t="str">
        <f>IF(MSE成绩库!C208="","", MSE成绩库!Y208)</f>
        <v/>
      </c>
      <c r="W208" t="str">
        <f>IF(MSE成绩库!C208="","", MSE成绩库!Z208)</f>
        <v/>
      </c>
      <c r="X208" t="str">
        <f>IF(MSE成绩库!C208="","", MSE成绩库!AA208)</f>
        <v/>
      </c>
      <c r="Y208" t="str">
        <f>IF(MSE成绩库!C208="","", MSE成绩库!AB208)</f>
        <v/>
      </c>
      <c r="Z208" t="str">
        <f>IF(MSE成绩库!C208="","", MSE成绩库!AC208)</f>
        <v/>
      </c>
    </row>
    <row r="209" spans="1:26" x14ac:dyDescent="0.2">
      <c r="A209" t="str">
        <f>IF(MSE成绩库!C209="","", MSE成绩库!C209)</f>
        <v/>
      </c>
      <c r="B209" t="str">
        <f>IF(MSE成绩库!AD209="","", MSE成绩库!AD209)</f>
        <v/>
      </c>
      <c r="C209" t="str">
        <f>IF(MSE成绩库!B209="","", MSE成绩库!B209)</f>
        <v/>
      </c>
      <c r="D209" t="str">
        <f>IF(MSE成绩库!D209="","", MSE成绩库!D209)</f>
        <v/>
      </c>
      <c r="E209" t="str">
        <f>IF(MSE成绩库!C209="","", MSE成绩库!E209)</f>
        <v/>
      </c>
      <c r="F209" t="str">
        <f>IF(MSE成绩库!C209="","", MSE成绩库!F209)</f>
        <v/>
      </c>
      <c r="G209" t="str">
        <f>IF(MSE成绩库!C209="","", MSE成绩库!G209)</f>
        <v/>
      </c>
      <c r="H209" t="str">
        <f>IF(MSE成绩库!C209="","", MSE成绩库!H209)</f>
        <v/>
      </c>
      <c r="I209" t="str">
        <f>IF(MSE成绩库!C209="","", MSE成绩库!I209)</f>
        <v/>
      </c>
      <c r="J209" t="str">
        <f>IF(MSE成绩库!C209="","", MSE成绩库!J209)</f>
        <v/>
      </c>
      <c r="K209" t="str">
        <f>IF(MSE成绩库!C209="","", MSE成绩库!K209)</f>
        <v/>
      </c>
      <c r="L209" t="str">
        <f>IF(MSE成绩库!C209="","", MSE成绩库!M209)</f>
        <v/>
      </c>
      <c r="M209" t="str">
        <f>IF(MSE成绩库!C209="","", MSE成绩库!N209)</f>
        <v/>
      </c>
      <c r="N209" t="str">
        <f>IF(MSE成绩库!C209="","", MSE成绩库!O209)</f>
        <v/>
      </c>
      <c r="O209" t="str">
        <f>IF(MSE成绩库!C209="","", MSE成绩库!Q209)</f>
        <v/>
      </c>
      <c r="P209" t="str">
        <f>IF(MSE成绩库!C209="","", MSE成绩库!R209)</f>
        <v/>
      </c>
      <c r="Q209" t="str">
        <f>IF(MSE成绩库!C209="","", MSE成绩库!S209)</f>
        <v/>
      </c>
      <c r="R209" t="str">
        <f>IF(MSE成绩库!C209="","", MSE成绩库!T209)</f>
        <v/>
      </c>
      <c r="S209" t="str">
        <f>IF(MSE成绩库!C209="","", MSE成绩库!U209)</f>
        <v/>
      </c>
      <c r="T209" t="str">
        <f>IF(MSE成绩库!C209="","", MSE成绩库!V209)</f>
        <v/>
      </c>
      <c r="U209" t="str">
        <f>IF(MSE成绩库!C209="","", MSE成绩库!X209)</f>
        <v/>
      </c>
      <c r="V209" t="str">
        <f>IF(MSE成绩库!C209="","", MSE成绩库!Y209)</f>
        <v/>
      </c>
      <c r="W209" t="str">
        <f>IF(MSE成绩库!C209="","", MSE成绩库!Z209)</f>
        <v/>
      </c>
      <c r="X209" t="str">
        <f>IF(MSE成绩库!C209="","", MSE成绩库!AA209)</f>
        <v/>
      </c>
      <c r="Y209" t="str">
        <f>IF(MSE成绩库!C209="","", MSE成绩库!AB209)</f>
        <v/>
      </c>
      <c r="Z209" t="str">
        <f>IF(MSE成绩库!C209="","", MSE成绩库!AC209)</f>
        <v/>
      </c>
    </row>
    <row r="210" spans="1:26" x14ac:dyDescent="0.2">
      <c r="A210" t="str">
        <f>IF(MSE成绩库!C210="","", MSE成绩库!C210)</f>
        <v/>
      </c>
      <c r="B210" t="str">
        <f>IF(MSE成绩库!AD210="","", MSE成绩库!AD210)</f>
        <v/>
      </c>
      <c r="C210" t="str">
        <f>IF(MSE成绩库!B210="","", MSE成绩库!B210)</f>
        <v/>
      </c>
      <c r="D210" t="str">
        <f>IF(MSE成绩库!D210="","", MSE成绩库!D210)</f>
        <v/>
      </c>
      <c r="E210" t="str">
        <f>IF(MSE成绩库!C210="","", MSE成绩库!E210)</f>
        <v/>
      </c>
      <c r="F210" t="str">
        <f>IF(MSE成绩库!C210="","", MSE成绩库!F210)</f>
        <v/>
      </c>
      <c r="G210" t="str">
        <f>IF(MSE成绩库!C210="","", MSE成绩库!G210)</f>
        <v/>
      </c>
      <c r="H210" t="str">
        <f>IF(MSE成绩库!C210="","", MSE成绩库!H210)</f>
        <v/>
      </c>
      <c r="I210" t="str">
        <f>IF(MSE成绩库!C210="","", MSE成绩库!I210)</f>
        <v/>
      </c>
      <c r="J210" t="str">
        <f>IF(MSE成绩库!C210="","", MSE成绩库!J210)</f>
        <v/>
      </c>
      <c r="K210" t="str">
        <f>IF(MSE成绩库!C210="","", MSE成绩库!K210)</f>
        <v/>
      </c>
      <c r="L210" t="str">
        <f>IF(MSE成绩库!C210="","", MSE成绩库!M210)</f>
        <v/>
      </c>
      <c r="M210" t="str">
        <f>IF(MSE成绩库!C210="","", MSE成绩库!N210)</f>
        <v/>
      </c>
      <c r="N210" t="str">
        <f>IF(MSE成绩库!C210="","", MSE成绩库!O210)</f>
        <v/>
      </c>
      <c r="O210" t="str">
        <f>IF(MSE成绩库!C210="","", MSE成绩库!Q210)</f>
        <v/>
      </c>
      <c r="P210" t="str">
        <f>IF(MSE成绩库!C210="","", MSE成绩库!R210)</f>
        <v/>
      </c>
      <c r="Q210" t="str">
        <f>IF(MSE成绩库!C210="","", MSE成绩库!S210)</f>
        <v/>
      </c>
      <c r="R210" t="str">
        <f>IF(MSE成绩库!C210="","", MSE成绩库!T210)</f>
        <v/>
      </c>
      <c r="S210" t="str">
        <f>IF(MSE成绩库!C210="","", MSE成绩库!U210)</f>
        <v/>
      </c>
      <c r="T210" t="str">
        <f>IF(MSE成绩库!C210="","", MSE成绩库!V210)</f>
        <v/>
      </c>
      <c r="U210" t="str">
        <f>IF(MSE成绩库!C210="","", MSE成绩库!X210)</f>
        <v/>
      </c>
      <c r="V210" t="str">
        <f>IF(MSE成绩库!C210="","", MSE成绩库!Y210)</f>
        <v/>
      </c>
      <c r="W210" t="str">
        <f>IF(MSE成绩库!C210="","", MSE成绩库!Z210)</f>
        <v/>
      </c>
      <c r="X210" t="str">
        <f>IF(MSE成绩库!C210="","", MSE成绩库!AA210)</f>
        <v/>
      </c>
      <c r="Y210" t="str">
        <f>IF(MSE成绩库!C210="","", MSE成绩库!AB210)</f>
        <v/>
      </c>
      <c r="Z210" t="str">
        <f>IF(MSE成绩库!C210="","", MSE成绩库!AC210)</f>
        <v/>
      </c>
    </row>
    <row r="211" spans="1:26" x14ac:dyDescent="0.2">
      <c r="A211" t="str">
        <f>IF(MSE成绩库!C211="","", MSE成绩库!C211)</f>
        <v/>
      </c>
      <c r="B211" t="str">
        <f>IF(MSE成绩库!AD211="","", MSE成绩库!AD211)</f>
        <v/>
      </c>
      <c r="C211" t="str">
        <f>IF(MSE成绩库!B211="","", MSE成绩库!B211)</f>
        <v/>
      </c>
      <c r="D211" t="str">
        <f>IF(MSE成绩库!D211="","", MSE成绩库!D211)</f>
        <v/>
      </c>
      <c r="E211" t="str">
        <f>IF(MSE成绩库!C211="","", MSE成绩库!E211)</f>
        <v/>
      </c>
      <c r="F211" t="str">
        <f>IF(MSE成绩库!C211="","", MSE成绩库!F211)</f>
        <v/>
      </c>
      <c r="G211" t="str">
        <f>IF(MSE成绩库!C211="","", MSE成绩库!G211)</f>
        <v/>
      </c>
      <c r="H211" t="str">
        <f>IF(MSE成绩库!C211="","", MSE成绩库!H211)</f>
        <v/>
      </c>
      <c r="I211" t="str">
        <f>IF(MSE成绩库!C211="","", MSE成绩库!I211)</f>
        <v/>
      </c>
      <c r="J211" t="str">
        <f>IF(MSE成绩库!C211="","", MSE成绩库!J211)</f>
        <v/>
      </c>
      <c r="K211" t="str">
        <f>IF(MSE成绩库!C211="","", MSE成绩库!K211)</f>
        <v/>
      </c>
      <c r="L211" t="str">
        <f>IF(MSE成绩库!C211="","", MSE成绩库!M211)</f>
        <v/>
      </c>
      <c r="M211" t="str">
        <f>IF(MSE成绩库!C211="","", MSE成绩库!N211)</f>
        <v/>
      </c>
      <c r="N211" t="str">
        <f>IF(MSE成绩库!C211="","", MSE成绩库!O211)</f>
        <v/>
      </c>
      <c r="O211" t="str">
        <f>IF(MSE成绩库!C211="","", MSE成绩库!Q211)</f>
        <v/>
      </c>
      <c r="P211" t="str">
        <f>IF(MSE成绩库!C211="","", MSE成绩库!R211)</f>
        <v/>
      </c>
      <c r="Q211" t="str">
        <f>IF(MSE成绩库!C211="","", MSE成绩库!S211)</f>
        <v/>
      </c>
      <c r="R211" t="str">
        <f>IF(MSE成绩库!C211="","", MSE成绩库!T211)</f>
        <v/>
      </c>
      <c r="S211" t="str">
        <f>IF(MSE成绩库!C211="","", MSE成绩库!U211)</f>
        <v/>
      </c>
      <c r="T211" t="str">
        <f>IF(MSE成绩库!C211="","", MSE成绩库!V211)</f>
        <v/>
      </c>
      <c r="U211" t="str">
        <f>IF(MSE成绩库!C211="","", MSE成绩库!X211)</f>
        <v/>
      </c>
      <c r="V211" t="str">
        <f>IF(MSE成绩库!C211="","", MSE成绩库!Y211)</f>
        <v/>
      </c>
      <c r="W211" t="str">
        <f>IF(MSE成绩库!C211="","", MSE成绩库!Z211)</f>
        <v/>
      </c>
      <c r="X211" t="str">
        <f>IF(MSE成绩库!C211="","", MSE成绩库!AA211)</f>
        <v/>
      </c>
      <c r="Y211" t="str">
        <f>IF(MSE成绩库!C211="","", MSE成绩库!AB211)</f>
        <v/>
      </c>
      <c r="Z211" t="str">
        <f>IF(MSE成绩库!C211="","", MSE成绩库!AC211)</f>
        <v/>
      </c>
    </row>
    <row r="212" spans="1:26" x14ac:dyDescent="0.2">
      <c r="A212" t="str">
        <f>IF(MSE成绩库!C212="","", MSE成绩库!C212)</f>
        <v/>
      </c>
      <c r="B212" t="str">
        <f>IF(MSE成绩库!AD212="","", MSE成绩库!AD212)</f>
        <v/>
      </c>
      <c r="C212" t="str">
        <f>IF(MSE成绩库!B212="","", MSE成绩库!B212)</f>
        <v/>
      </c>
      <c r="D212" t="str">
        <f>IF(MSE成绩库!D212="","", MSE成绩库!D212)</f>
        <v/>
      </c>
      <c r="E212" t="str">
        <f>IF(MSE成绩库!C212="","", MSE成绩库!E212)</f>
        <v/>
      </c>
      <c r="F212" t="str">
        <f>IF(MSE成绩库!C212="","", MSE成绩库!F212)</f>
        <v/>
      </c>
      <c r="G212" t="str">
        <f>IF(MSE成绩库!C212="","", MSE成绩库!G212)</f>
        <v/>
      </c>
      <c r="H212" t="str">
        <f>IF(MSE成绩库!C212="","", MSE成绩库!H212)</f>
        <v/>
      </c>
      <c r="I212" t="str">
        <f>IF(MSE成绩库!C212="","", MSE成绩库!I212)</f>
        <v/>
      </c>
      <c r="J212" t="str">
        <f>IF(MSE成绩库!C212="","", MSE成绩库!J212)</f>
        <v/>
      </c>
      <c r="K212" t="str">
        <f>IF(MSE成绩库!C212="","", MSE成绩库!K212)</f>
        <v/>
      </c>
      <c r="L212" t="str">
        <f>IF(MSE成绩库!C212="","", MSE成绩库!M212)</f>
        <v/>
      </c>
      <c r="M212" t="str">
        <f>IF(MSE成绩库!C212="","", MSE成绩库!N212)</f>
        <v/>
      </c>
      <c r="N212" t="str">
        <f>IF(MSE成绩库!C212="","", MSE成绩库!O212)</f>
        <v/>
      </c>
      <c r="O212" t="str">
        <f>IF(MSE成绩库!C212="","", MSE成绩库!Q212)</f>
        <v/>
      </c>
      <c r="P212" t="str">
        <f>IF(MSE成绩库!C212="","", MSE成绩库!R212)</f>
        <v/>
      </c>
      <c r="Q212" t="str">
        <f>IF(MSE成绩库!C212="","", MSE成绩库!S212)</f>
        <v/>
      </c>
      <c r="R212" t="str">
        <f>IF(MSE成绩库!C212="","", MSE成绩库!T212)</f>
        <v/>
      </c>
      <c r="S212" t="str">
        <f>IF(MSE成绩库!C212="","", MSE成绩库!U212)</f>
        <v/>
      </c>
      <c r="T212" t="str">
        <f>IF(MSE成绩库!C212="","", MSE成绩库!V212)</f>
        <v/>
      </c>
      <c r="U212" t="str">
        <f>IF(MSE成绩库!C212="","", MSE成绩库!X212)</f>
        <v/>
      </c>
      <c r="V212" t="str">
        <f>IF(MSE成绩库!C212="","", MSE成绩库!Y212)</f>
        <v/>
      </c>
      <c r="W212" t="str">
        <f>IF(MSE成绩库!C212="","", MSE成绩库!Z212)</f>
        <v/>
      </c>
      <c r="X212" t="str">
        <f>IF(MSE成绩库!C212="","", MSE成绩库!AA212)</f>
        <v/>
      </c>
      <c r="Y212" t="str">
        <f>IF(MSE成绩库!C212="","", MSE成绩库!AB212)</f>
        <v/>
      </c>
      <c r="Z212" t="str">
        <f>IF(MSE成绩库!C212="","", MSE成绩库!AC212)</f>
        <v/>
      </c>
    </row>
    <row r="213" spans="1:26" x14ac:dyDescent="0.2">
      <c r="A213" t="str">
        <f>IF(MSE成绩库!C213="","", MSE成绩库!C213)</f>
        <v/>
      </c>
      <c r="B213" t="str">
        <f>IF(MSE成绩库!AD213="","", MSE成绩库!AD213)</f>
        <v/>
      </c>
      <c r="C213" t="str">
        <f>IF(MSE成绩库!B213="","", MSE成绩库!B213)</f>
        <v/>
      </c>
      <c r="D213" t="str">
        <f>IF(MSE成绩库!D213="","", MSE成绩库!D213)</f>
        <v/>
      </c>
      <c r="E213" t="str">
        <f>IF(MSE成绩库!C213="","", MSE成绩库!E213)</f>
        <v/>
      </c>
      <c r="F213" t="str">
        <f>IF(MSE成绩库!C213="","", MSE成绩库!F213)</f>
        <v/>
      </c>
      <c r="G213" t="str">
        <f>IF(MSE成绩库!C213="","", MSE成绩库!G213)</f>
        <v/>
      </c>
      <c r="H213" t="str">
        <f>IF(MSE成绩库!C213="","", MSE成绩库!H213)</f>
        <v/>
      </c>
      <c r="I213" t="str">
        <f>IF(MSE成绩库!C213="","", MSE成绩库!I213)</f>
        <v/>
      </c>
      <c r="J213" t="str">
        <f>IF(MSE成绩库!C213="","", MSE成绩库!J213)</f>
        <v/>
      </c>
      <c r="K213" t="str">
        <f>IF(MSE成绩库!C213="","", MSE成绩库!K213)</f>
        <v/>
      </c>
      <c r="L213" t="str">
        <f>IF(MSE成绩库!C213="","", MSE成绩库!M213)</f>
        <v/>
      </c>
      <c r="M213" t="str">
        <f>IF(MSE成绩库!C213="","", MSE成绩库!N213)</f>
        <v/>
      </c>
      <c r="N213" t="str">
        <f>IF(MSE成绩库!C213="","", MSE成绩库!O213)</f>
        <v/>
      </c>
      <c r="O213" t="str">
        <f>IF(MSE成绩库!C213="","", MSE成绩库!Q213)</f>
        <v/>
      </c>
      <c r="P213" t="str">
        <f>IF(MSE成绩库!C213="","", MSE成绩库!R213)</f>
        <v/>
      </c>
      <c r="Q213" t="str">
        <f>IF(MSE成绩库!C213="","", MSE成绩库!S213)</f>
        <v/>
      </c>
      <c r="R213" t="str">
        <f>IF(MSE成绩库!C213="","", MSE成绩库!T213)</f>
        <v/>
      </c>
      <c r="S213" t="str">
        <f>IF(MSE成绩库!C213="","", MSE成绩库!U213)</f>
        <v/>
      </c>
      <c r="T213" t="str">
        <f>IF(MSE成绩库!C213="","", MSE成绩库!V213)</f>
        <v/>
      </c>
      <c r="U213" t="str">
        <f>IF(MSE成绩库!C213="","", MSE成绩库!X213)</f>
        <v/>
      </c>
      <c r="V213" t="str">
        <f>IF(MSE成绩库!C213="","", MSE成绩库!Y213)</f>
        <v/>
      </c>
      <c r="W213" t="str">
        <f>IF(MSE成绩库!C213="","", MSE成绩库!Z213)</f>
        <v/>
      </c>
      <c r="X213" t="str">
        <f>IF(MSE成绩库!C213="","", MSE成绩库!AA213)</f>
        <v/>
      </c>
      <c r="Y213" t="str">
        <f>IF(MSE成绩库!C213="","", MSE成绩库!AB213)</f>
        <v/>
      </c>
      <c r="Z213" t="str">
        <f>IF(MSE成绩库!C213="","", MSE成绩库!AC213)</f>
        <v/>
      </c>
    </row>
    <row r="214" spans="1:26" x14ac:dyDescent="0.2">
      <c r="A214" t="str">
        <f>IF(MSE成绩库!C214="","", MSE成绩库!C214)</f>
        <v/>
      </c>
      <c r="B214" t="str">
        <f>IF(MSE成绩库!AD214="","", MSE成绩库!AD214)</f>
        <v/>
      </c>
      <c r="C214" t="str">
        <f>IF(MSE成绩库!B214="","", MSE成绩库!B214)</f>
        <v/>
      </c>
      <c r="D214" t="str">
        <f>IF(MSE成绩库!D214="","", MSE成绩库!D214)</f>
        <v/>
      </c>
      <c r="E214" t="str">
        <f>IF(MSE成绩库!C214="","", MSE成绩库!E214)</f>
        <v/>
      </c>
      <c r="F214" t="str">
        <f>IF(MSE成绩库!C214="","", MSE成绩库!F214)</f>
        <v/>
      </c>
      <c r="G214" t="str">
        <f>IF(MSE成绩库!C214="","", MSE成绩库!G214)</f>
        <v/>
      </c>
      <c r="H214" t="str">
        <f>IF(MSE成绩库!C214="","", MSE成绩库!H214)</f>
        <v/>
      </c>
      <c r="I214" t="str">
        <f>IF(MSE成绩库!C214="","", MSE成绩库!I214)</f>
        <v/>
      </c>
      <c r="J214" t="str">
        <f>IF(MSE成绩库!C214="","", MSE成绩库!J214)</f>
        <v/>
      </c>
      <c r="K214" t="str">
        <f>IF(MSE成绩库!C214="","", MSE成绩库!K214)</f>
        <v/>
      </c>
      <c r="L214" t="str">
        <f>IF(MSE成绩库!C214="","", MSE成绩库!M214)</f>
        <v/>
      </c>
      <c r="M214" t="str">
        <f>IF(MSE成绩库!C214="","", MSE成绩库!N214)</f>
        <v/>
      </c>
      <c r="N214" t="str">
        <f>IF(MSE成绩库!C214="","", MSE成绩库!O214)</f>
        <v/>
      </c>
      <c r="O214" t="str">
        <f>IF(MSE成绩库!C214="","", MSE成绩库!Q214)</f>
        <v/>
      </c>
      <c r="P214" t="str">
        <f>IF(MSE成绩库!C214="","", MSE成绩库!R214)</f>
        <v/>
      </c>
      <c r="Q214" t="str">
        <f>IF(MSE成绩库!C214="","", MSE成绩库!S214)</f>
        <v/>
      </c>
      <c r="R214" t="str">
        <f>IF(MSE成绩库!C214="","", MSE成绩库!T214)</f>
        <v/>
      </c>
      <c r="S214" t="str">
        <f>IF(MSE成绩库!C214="","", MSE成绩库!U214)</f>
        <v/>
      </c>
      <c r="T214" t="str">
        <f>IF(MSE成绩库!C214="","", MSE成绩库!V214)</f>
        <v/>
      </c>
      <c r="U214" t="str">
        <f>IF(MSE成绩库!C214="","", MSE成绩库!X214)</f>
        <v/>
      </c>
      <c r="V214" t="str">
        <f>IF(MSE成绩库!C214="","", MSE成绩库!Y214)</f>
        <v/>
      </c>
      <c r="W214" t="str">
        <f>IF(MSE成绩库!C214="","", MSE成绩库!Z214)</f>
        <v/>
      </c>
      <c r="X214" t="str">
        <f>IF(MSE成绩库!C214="","", MSE成绩库!AA214)</f>
        <v/>
      </c>
      <c r="Y214" t="str">
        <f>IF(MSE成绩库!C214="","", MSE成绩库!AB214)</f>
        <v/>
      </c>
      <c r="Z214" t="str">
        <f>IF(MSE成绩库!C214="","", MSE成绩库!AC214)</f>
        <v/>
      </c>
    </row>
    <row r="215" spans="1:26" x14ac:dyDescent="0.2">
      <c r="A215" t="str">
        <f>IF(MSE成绩库!C215="","", MSE成绩库!C215)</f>
        <v/>
      </c>
      <c r="B215" t="str">
        <f>IF(MSE成绩库!AD215="","", MSE成绩库!AD215)</f>
        <v/>
      </c>
      <c r="C215" t="str">
        <f>IF(MSE成绩库!B215="","", MSE成绩库!B215)</f>
        <v/>
      </c>
      <c r="D215" t="str">
        <f>IF(MSE成绩库!D215="","", MSE成绩库!D215)</f>
        <v/>
      </c>
      <c r="E215" t="str">
        <f>IF(MSE成绩库!C215="","", MSE成绩库!E215)</f>
        <v/>
      </c>
      <c r="F215" t="str">
        <f>IF(MSE成绩库!C215="","", MSE成绩库!F215)</f>
        <v/>
      </c>
      <c r="G215" t="str">
        <f>IF(MSE成绩库!C215="","", MSE成绩库!G215)</f>
        <v/>
      </c>
      <c r="H215" t="str">
        <f>IF(MSE成绩库!C215="","", MSE成绩库!H215)</f>
        <v/>
      </c>
      <c r="I215" t="str">
        <f>IF(MSE成绩库!C215="","", MSE成绩库!I215)</f>
        <v/>
      </c>
      <c r="J215" t="str">
        <f>IF(MSE成绩库!C215="","", MSE成绩库!J215)</f>
        <v/>
      </c>
      <c r="K215" t="str">
        <f>IF(MSE成绩库!C215="","", MSE成绩库!K215)</f>
        <v/>
      </c>
      <c r="L215" t="str">
        <f>IF(MSE成绩库!C215="","", MSE成绩库!M215)</f>
        <v/>
      </c>
      <c r="M215" t="str">
        <f>IF(MSE成绩库!C215="","", MSE成绩库!N215)</f>
        <v/>
      </c>
      <c r="N215" t="str">
        <f>IF(MSE成绩库!C215="","", MSE成绩库!O215)</f>
        <v/>
      </c>
      <c r="O215" t="str">
        <f>IF(MSE成绩库!C215="","", MSE成绩库!Q215)</f>
        <v/>
      </c>
      <c r="P215" t="str">
        <f>IF(MSE成绩库!C215="","", MSE成绩库!R215)</f>
        <v/>
      </c>
      <c r="Q215" t="str">
        <f>IF(MSE成绩库!C215="","", MSE成绩库!S215)</f>
        <v/>
      </c>
      <c r="R215" t="str">
        <f>IF(MSE成绩库!C215="","", MSE成绩库!T215)</f>
        <v/>
      </c>
      <c r="S215" t="str">
        <f>IF(MSE成绩库!C215="","", MSE成绩库!U215)</f>
        <v/>
      </c>
      <c r="T215" t="str">
        <f>IF(MSE成绩库!C215="","", MSE成绩库!V215)</f>
        <v/>
      </c>
      <c r="U215" t="str">
        <f>IF(MSE成绩库!C215="","", MSE成绩库!X215)</f>
        <v/>
      </c>
      <c r="V215" t="str">
        <f>IF(MSE成绩库!C215="","", MSE成绩库!Y215)</f>
        <v/>
      </c>
      <c r="W215" t="str">
        <f>IF(MSE成绩库!C215="","", MSE成绩库!Z215)</f>
        <v/>
      </c>
      <c r="X215" t="str">
        <f>IF(MSE成绩库!C215="","", MSE成绩库!AA215)</f>
        <v/>
      </c>
      <c r="Y215" t="str">
        <f>IF(MSE成绩库!C215="","", MSE成绩库!AB215)</f>
        <v/>
      </c>
      <c r="Z215" t="str">
        <f>IF(MSE成绩库!C215="","", MSE成绩库!AC215)</f>
        <v/>
      </c>
    </row>
    <row r="216" spans="1:26" x14ac:dyDescent="0.2">
      <c r="A216" t="str">
        <f>IF(MSE成绩库!C216="","", MSE成绩库!C216)</f>
        <v/>
      </c>
      <c r="B216" t="str">
        <f>IF(MSE成绩库!AD216="","", MSE成绩库!AD216)</f>
        <v/>
      </c>
      <c r="C216" t="str">
        <f>IF(MSE成绩库!B216="","", MSE成绩库!B216)</f>
        <v/>
      </c>
      <c r="D216" t="str">
        <f>IF(MSE成绩库!D216="","", MSE成绩库!D216)</f>
        <v/>
      </c>
      <c r="E216" t="str">
        <f>IF(MSE成绩库!C216="","", MSE成绩库!E216)</f>
        <v/>
      </c>
      <c r="F216" t="str">
        <f>IF(MSE成绩库!C216="","", MSE成绩库!F216)</f>
        <v/>
      </c>
      <c r="G216" t="str">
        <f>IF(MSE成绩库!C216="","", MSE成绩库!G216)</f>
        <v/>
      </c>
      <c r="H216" t="str">
        <f>IF(MSE成绩库!C216="","", MSE成绩库!H216)</f>
        <v/>
      </c>
      <c r="I216" t="str">
        <f>IF(MSE成绩库!C216="","", MSE成绩库!I216)</f>
        <v/>
      </c>
      <c r="J216" t="str">
        <f>IF(MSE成绩库!C216="","", MSE成绩库!J216)</f>
        <v/>
      </c>
      <c r="K216" t="str">
        <f>IF(MSE成绩库!C216="","", MSE成绩库!K216)</f>
        <v/>
      </c>
      <c r="L216" t="str">
        <f>IF(MSE成绩库!C216="","", MSE成绩库!M216)</f>
        <v/>
      </c>
      <c r="M216" t="str">
        <f>IF(MSE成绩库!C216="","", MSE成绩库!N216)</f>
        <v/>
      </c>
      <c r="N216" t="str">
        <f>IF(MSE成绩库!C216="","", MSE成绩库!O216)</f>
        <v/>
      </c>
      <c r="O216" t="str">
        <f>IF(MSE成绩库!C216="","", MSE成绩库!Q216)</f>
        <v/>
      </c>
      <c r="P216" t="str">
        <f>IF(MSE成绩库!C216="","", MSE成绩库!R216)</f>
        <v/>
      </c>
      <c r="Q216" t="str">
        <f>IF(MSE成绩库!C216="","", MSE成绩库!S216)</f>
        <v/>
      </c>
      <c r="R216" t="str">
        <f>IF(MSE成绩库!C216="","", MSE成绩库!T216)</f>
        <v/>
      </c>
      <c r="S216" t="str">
        <f>IF(MSE成绩库!C216="","", MSE成绩库!U216)</f>
        <v/>
      </c>
      <c r="T216" t="str">
        <f>IF(MSE成绩库!C216="","", MSE成绩库!V216)</f>
        <v/>
      </c>
      <c r="U216" t="str">
        <f>IF(MSE成绩库!C216="","", MSE成绩库!X216)</f>
        <v/>
      </c>
      <c r="V216" t="str">
        <f>IF(MSE成绩库!C216="","", MSE成绩库!Y216)</f>
        <v/>
      </c>
      <c r="W216" t="str">
        <f>IF(MSE成绩库!C216="","", MSE成绩库!Z216)</f>
        <v/>
      </c>
      <c r="X216" t="str">
        <f>IF(MSE成绩库!C216="","", MSE成绩库!AA216)</f>
        <v/>
      </c>
      <c r="Y216" t="str">
        <f>IF(MSE成绩库!C216="","", MSE成绩库!AB216)</f>
        <v/>
      </c>
      <c r="Z216" t="str">
        <f>IF(MSE成绩库!C216="","", MSE成绩库!AC216)</f>
        <v/>
      </c>
    </row>
    <row r="217" spans="1:26" x14ac:dyDescent="0.2">
      <c r="A217" t="str">
        <f>IF(MSE成绩库!C217="","", MSE成绩库!C217)</f>
        <v/>
      </c>
      <c r="B217" t="str">
        <f>IF(MSE成绩库!AD217="","", MSE成绩库!AD217)</f>
        <v/>
      </c>
      <c r="C217" t="str">
        <f>IF(MSE成绩库!B217="","", MSE成绩库!B217)</f>
        <v/>
      </c>
      <c r="D217" t="str">
        <f>IF(MSE成绩库!D217="","", MSE成绩库!D217)</f>
        <v/>
      </c>
      <c r="E217" t="str">
        <f>IF(MSE成绩库!C217="","", MSE成绩库!E217)</f>
        <v/>
      </c>
      <c r="F217" t="str">
        <f>IF(MSE成绩库!C217="","", MSE成绩库!F217)</f>
        <v/>
      </c>
      <c r="G217" t="str">
        <f>IF(MSE成绩库!C217="","", MSE成绩库!G217)</f>
        <v/>
      </c>
      <c r="H217" t="str">
        <f>IF(MSE成绩库!C217="","", MSE成绩库!H217)</f>
        <v/>
      </c>
      <c r="I217" t="str">
        <f>IF(MSE成绩库!C217="","", MSE成绩库!I217)</f>
        <v/>
      </c>
      <c r="J217" t="str">
        <f>IF(MSE成绩库!C217="","", MSE成绩库!J217)</f>
        <v/>
      </c>
      <c r="K217" t="str">
        <f>IF(MSE成绩库!C217="","", MSE成绩库!K217)</f>
        <v/>
      </c>
      <c r="L217" t="str">
        <f>IF(MSE成绩库!C217="","", MSE成绩库!M217)</f>
        <v/>
      </c>
      <c r="M217" t="str">
        <f>IF(MSE成绩库!C217="","", MSE成绩库!N217)</f>
        <v/>
      </c>
      <c r="N217" t="str">
        <f>IF(MSE成绩库!C217="","", MSE成绩库!O217)</f>
        <v/>
      </c>
      <c r="O217" t="str">
        <f>IF(MSE成绩库!C217="","", MSE成绩库!Q217)</f>
        <v/>
      </c>
      <c r="P217" t="str">
        <f>IF(MSE成绩库!C217="","", MSE成绩库!R217)</f>
        <v/>
      </c>
      <c r="Q217" t="str">
        <f>IF(MSE成绩库!C217="","", MSE成绩库!S217)</f>
        <v/>
      </c>
      <c r="R217" t="str">
        <f>IF(MSE成绩库!C217="","", MSE成绩库!T217)</f>
        <v/>
      </c>
      <c r="S217" t="str">
        <f>IF(MSE成绩库!C217="","", MSE成绩库!U217)</f>
        <v/>
      </c>
      <c r="T217" t="str">
        <f>IF(MSE成绩库!C217="","", MSE成绩库!V217)</f>
        <v/>
      </c>
      <c r="U217" t="str">
        <f>IF(MSE成绩库!C217="","", MSE成绩库!X217)</f>
        <v/>
      </c>
      <c r="V217" t="str">
        <f>IF(MSE成绩库!C217="","", MSE成绩库!Y217)</f>
        <v/>
      </c>
      <c r="W217" t="str">
        <f>IF(MSE成绩库!C217="","", MSE成绩库!Z217)</f>
        <v/>
      </c>
      <c r="X217" t="str">
        <f>IF(MSE成绩库!C217="","", MSE成绩库!AA217)</f>
        <v/>
      </c>
      <c r="Y217" t="str">
        <f>IF(MSE成绩库!C217="","", MSE成绩库!AB217)</f>
        <v/>
      </c>
      <c r="Z217" t="str">
        <f>IF(MSE成绩库!C217="","", MSE成绩库!AC217)</f>
        <v/>
      </c>
    </row>
    <row r="218" spans="1:26" x14ac:dyDescent="0.2">
      <c r="A218" t="str">
        <f>IF(MSE成绩库!C218="","", MSE成绩库!C218)</f>
        <v/>
      </c>
      <c r="B218" t="str">
        <f>IF(MSE成绩库!AD218="","", MSE成绩库!AD218)</f>
        <v/>
      </c>
      <c r="C218" t="str">
        <f>IF(MSE成绩库!B218="","", MSE成绩库!B218)</f>
        <v/>
      </c>
      <c r="D218" t="str">
        <f>IF(MSE成绩库!D218="","", MSE成绩库!D218)</f>
        <v/>
      </c>
      <c r="E218" t="str">
        <f>IF(MSE成绩库!C218="","", MSE成绩库!E218)</f>
        <v/>
      </c>
      <c r="F218" t="str">
        <f>IF(MSE成绩库!C218="","", MSE成绩库!F218)</f>
        <v/>
      </c>
      <c r="G218" t="str">
        <f>IF(MSE成绩库!C218="","", MSE成绩库!G218)</f>
        <v/>
      </c>
      <c r="H218" t="str">
        <f>IF(MSE成绩库!C218="","", MSE成绩库!H218)</f>
        <v/>
      </c>
      <c r="I218" t="str">
        <f>IF(MSE成绩库!C218="","", MSE成绩库!I218)</f>
        <v/>
      </c>
      <c r="J218" t="str">
        <f>IF(MSE成绩库!C218="","", MSE成绩库!J218)</f>
        <v/>
      </c>
      <c r="K218" t="str">
        <f>IF(MSE成绩库!C218="","", MSE成绩库!K218)</f>
        <v/>
      </c>
      <c r="L218" t="str">
        <f>IF(MSE成绩库!C218="","", MSE成绩库!M218)</f>
        <v/>
      </c>
      <c r="M218" t="str">
        <f>IF(MSE成绩库!C218="","", MSE成绩库!N218)</f>
        <v/>
      </c>
      <c r="N218" t="str">
        <f>IF(MSE成绩库!C218="","", MSE成绩库!O218)</f>
        <v/>
      </c>
      <c r="O218" t="str">
        <f>IF(MSE成绩库!C218="","", MSE成绩库!Q218)</f>
        <v/>
      </c>
      <c r="P218" t="str">
        <f>IF(MSE成绩库!C218="","", MSE成绩库!R218)</f>
        <v/>
      </c>
      <c r="Q218" t="str">
        <f>IF(MSE成绩库!C218="","", MSE成绩库!S218)</f>
        <v/>
      </c>
      <c r="R218" t="str">
        <f>IF(MSE成绩库!C218="","", MSE成绩库!T218)</f>
        <v/>
      </c>
      <c r="S218" t="str">
        <f>IF(MSE成绩库!C218="","", MSE成绩库!U218)</f>
        <v/>
      </c>
      <c r="T218" t="str">
        <f>IF(MSE成绩库!C218="","", MSE成绩库!V218)</f>
        <v/>
      </c>
      <c r="U218" t="str">
        <f>IF(MSE成绩库!C218="","", MSE成绩库!X218)</f>
        <v/>
      </c>
      <c r="V218" t="str">
        <f>IF(MSE成绩库!C218="","", MSE成绩库!Y218)</f>
        <v/>
      </c>
      <c r="W218" t="str">
        <f>IF(MSE成绩库!C218="","", MSE成绩库!Z218)</f>
        <v/>
      </c>
      <c r="X218" t="str">
        <f>IF(MSE成绩库!C218="","", MSE成绩库!AA218)</f>
        <v/>
      </c>
      <c r="Y218" t="str">
        <f>IF(MSE成绩库!C218="","", MSE成绩库!AB218)</f>
        <v/>
      </c>
      <c r="Z218" t="str">
        <f>IF(MSE成绩库!C218="","", MSE成绩库!AC218)</f>
        <v/>
      </c>
    </row>
    <row r="219" spans="1:26" x14ac:dyDescent="0.2">
      <c r="A219" t="str">
        <f>IF(MSE成绩库!C219="","", MSE成绩库!C219)</f>
        <v/>
      </c>
      <c r="B219" t="str">
        <f>IF(MSE成绩库!AD219="","", MSE成绩库!AD219)</f>
        <v/>
      </c>
      <c r="C219" t="str">
        <f>IF(MSE成绩库!B219="","", MSE成绩库!B219)</f>
        <v/>
      </c>
      <c r="D219" t="str">
        <f>IF(MSE成绩库!D219="","", MSE成绩库!D219)</f>
        <v/>
      </c>
      <c r="E219" t="str">
        <f>IF(MSE成绩库!C219="","", MSE成绩库!E219)</f>
        <v/>
      </c>
      <c r="F219" t="str">
        <f>IF(MSE成绩库!C219="","", MSE成绩库!F219)</f>
        <v/>
      </c>
      <c r="G219" t="str">
        <f>IF(MSE成绩库!C219="","", MSE成绩库!G219)</f>
        <v/>
      </c>
      <c r="H219" t="str">
        <f>IF(MSE成绩库!C219="","", MSE成绩库!H219)</f>
        <v/>
      </c>
      <c r="I219" t="str">
        <f>IF(MSE成绩库!C219="","", MSE成绩库!I219)</f>
        <v/>
      </c>
      <c r="J219" t="str">
        <f>IF(MSE成绩库!C219="","", MSE成绩库!J219)</f>
        <v/>
      </c>
      <c r="K219" t="str">
        <f>IF(MSE成绩库!C219="","", MSE成绩库!K219)</f>
        <v/>
      </c>
      <c r="L219" t="str">
        <f>IF(MSE成绩库!C219="","", MSE成绩库!M219)</f>
        <v/>
      </c>
      <c r="M219" t="str">
        <f>IF(MSE成绩库!C219="","", MSE成绩库!N219)</f>
        <v/>
      </c>
      <c r="N219" t="str">
        <f>IF(MSE成绩库!C219="","", MSE成绩库!O219)</f>
        <v/>
      </c>
      <c r="O219" t="str">
        <f>IF(MSE成绩库!C219="","", MSE成绩库!Q219)</f>
        <v/>
      </c>
      <c r="P219" t="str">
        <f>IF(MSE成绩库!C219="","", MSE成绩库!R219)</f>
        <v/>
      </c>
      <c r="Q219" t="str">
        <f>IF(MSE成绩库!C219="","", MSE成绩库!S219)</f>
        <v/>
      </c>
      <c r="R219" t="str">
        <f>IF(MSE成绩库!C219="","", MSE成绩库!T219)</f>
        <v/>
      </c>
      <c r="S219" t="str">
        <f>IF(MSE成绩库!C219="","", MSE成绩库!U219)</f>
        <v/>
      </c>
      <c r="T219" t="str">
        <f>IF(MSE成绩库!C219="","", MSE成绩库!V219)</f>
        <v/>
      </c>
      <c r="U219" t="str">
        <f>IF(MSE成绩库!C219="","", MSE成绩库!X219)</f>
        <v/>
      </c>
      <c r="V219" t="str">
        <f>IF(MSE成绩库!C219="","", MSE成绩库!Y219)</f>
        <v/>
      </c>
      <c r="W219" t="str">
        <f>IF(MSE成绩库!C219="","", MSE成绩库!Z219)</f>
        <v/>
      </c>
      <c r="X219" t="str">
        <f>IF(MSE成绩库!C219="","", MSE成绩库!AA219)</f>
        <v/>
      </c>
      <c r="Y219" t="str">
        <f>IF(MSE成绩库!C219="","", MSE成绩库!AB219)</f>
        <v/>
      </c>
      <c r="Z219" t="str">
        <f>IF(MSE成绩库!C219="","", MSE成绩库!AC219)</f>
        <v/>
      </c>
    </row>
    <row r="220" spans="1:26" x14ac:dyDescent="0.2">
      <c r="A220" t="str">
        <f>IF(MSE成绩库!C220="","", MSE成绩库!C220)</f>
        <v/>
      </c>
      <c r="B220" t="str">
        <f>IF(MSE成绩库!AD220="","", MSE成绩库!AD220)</f>
        <v/>
      </c>
      <c r="C220" t="str">
        <f>IF(MSE成绩库!B220="","", MSE成绩库!B220)</f>
        <v/>
      </c>
      <c r="D220" t="str">
        <f>IF(MSE成绩库!D220="","", MSE成绩库!D220)</f>
        <v/>
      </c>
      <c r="E220" t="str">
        <f>IF(MSE成绩库!C220="","", MSE成绩库!E220)</f>
        <v/>
      </c>
      <c r="F220" t="str">
        <f>IF(MSE成绩库!C220="","", MSE成绩库!F220)</f>
        <v/>
      </c>
      <c r="G220" t="str">
        <f>IF(MSE成绩库!C220="","", MSE成绩库!G220)</f>
        <v/>
      </c>
      <c r="H220" t="str">
        <f>IF(MSE成绩库!C220="","", MSE成绩库!H220)</f>
        <v/>
      </c>
      <c r="I220" t="str">
        <f>IF(MSE成绩库!C220="","", MSE成绩库!I220)</f>
        <v/>
      </c>
      <c r="J220" t="str">
        <f>IF(MSE成绩库!C220="","", MSE成绩库!J220)</f>
        <v/>
      </c>
      <c r="K220" t="str">
        <f>IF(MSE成绩库!C220="","", MSE成绩库!K220)</f>
        <v/>
      </c>
      <c r="L220" t="str">
        <f>IF(MSE成绩库!C220="","", MSE成绩库!M220)</f>
        <v/>
      </c>
      <c r="M220" t="str">
        <f>IF(MSE成绩库!C220="","", MSE成绩库!N220)</f>
        <v/>
      </c>
      <c r="N220" t="str">
        <f>IF(MSE成绩库!C220="","", MSE成绩库!O220)</f>
        <v/>
      </c>
      <c r="O220" t="str">
        <f>IF(MSE成绩库!C220="","", MSE成绩库!Q220)</f>
        <v/>
      </c>
      <c r="P220" t="str">
        <f>IF(MSE成绩库!C220="","", MSE成绩库!R220)</f>
        <v/>
      </c>
      <c r="Q220" t="str">
        <f>IF(MSE成绩库!C220="","", MSE成绩库!S220)</f>
        <v/>
      </c>
      <c r="R220" t="str">
        <f>IF(MSE成绩库!C220="","", MSE成绩库!T220)</f>
        <v/>
      </c>
      <c r="S220" t="str">
        <f>IF(MSE成绩库!C220="","", MSE成绩库!U220)</f>
        <v/>
      </c>
      <c r="T220" t="str">
        <f>IF(MSE成绩库!C220="","", MSE成绩库!V220)</f>
        <v/>
      </c>
      <c r="U220" t="str">
        <f>IF(MSE成绩库!C220="","", MSE成绩库!X220)</f>
        <v/>
      </c>
      <c r="V220" t="str">
        <f>IF(MSE成绩库!C220="","", MSE成绩库!Y220)</f>
        <v/>
      </c>
      <c r="W220" t="str">
        <f>IF(MSE成绩库!C220="","", MSE成绩库!Z220)</f>
        <v/>
      </c>
      <c r="X220" t="str">
        <f>IF(MSE成绩库!C220="","", MSE成绩库!AA220)</f>
        <v/>
      </c>
      <c r="Y220" t="str">
        <f>IF(MSE成绩库!C220="","", MSE成绩库!AB220)</f>
        <v/>
      </c>
      <c r="Z220" t="str">
        <f>IF(MSE成绩库!C220="","", MSE成绩库!AC220)</f>
        <v/>
      </c>
    </row>
    <row r="221" spans="1:26" x14ac:dyDescent="0.2">
      <c r="A221" t="str">
        <f>IF(MSE成绩库!C221="","", MSE成绩库!C221)</f>
        <v/>
      </c>
      <c r="B221" t="str">
        <f>IF(MSE成绩库!AD221="","", MSE成绩库!AD221)</f>
        <v/>
      </c>
      <c r="C221" t="str">
        <f>IF(MSE成绩库!B221="","", MSE成绩库!B221)</f>
        <v/>
      </c>
      <c r="D221" t="str">
        <f>IF(MSE成绩库!D221="","", MSE成绩库!D221)</f>
        <v/>
      </c>
      <c r="E221" t="str">
        <f>IF(MSE成绩库!C221="","", MSE成绩库!E221)</f>
        <v/>
      </c>
      <c r="F221" t="str">
        <f>IF(MSE成绩库!C221="","", MSE成绩库!F221)</f>
        <v/>
      </c>
      <c r="G221" t="str">
        <f>IF(MSE成绩库!C221="","", MSE成绩库!G221)</f>
        <v/>
      </c>
      <c r="H221" t="str">
        <f>IF(MSE成绩库!C221="","", MSE成绩库!H221)</f>
        <v/>
      </c>
      <c r="I221" t="str">
        <f>IF(MSE成绩库!C221="","", MSE成绩库!I221)</f>
        <v/>
      </c>
      <c r="J221" t="str">
        <f>IF(MSE成绩库!C221="","", MSE成绩库!J221)</f>
        <v/>
      </c>
      <c r="K221" t="str">
        <f>IF(MSE成绩库!C221="","", MSE成绩库!K221)</f>
        <v/>
      </c>
      <c r="L221" t="str">
        <f>IF(MSE成绩库!C221="","", MSE成绩库!M221)</f>
        <v/>
      </c>
      <c r="M221" t="str">
        <f>IF(MSE成绩库!C221="","", MSE成绩库!N221)</f>
        <v/>
      </c>
      <c r="N221" t="str">
        <f>IF(MSE成绩库!C221="","", MSE成绩库!O221)</f>
        <v/>
      </c>
      <c r="O221" t="str">
        <f>IF(MSE成绩库!C221="","", MSE成绩库!Q221)</f>
        <v/>
      </c>
      <c r="P221" t="str">
        <f>IF(MSE成绩库!C221="","", MSE成绩库!R221)</f>
        <v/>
      </c>
      <c r="Q221" t="str">
        <f>IF(MSE成绩库!C221="","", MSE成绩库!S221)</f>
        <v/>
      </c>
      <c r="R221" t="str">
        <f>IF(MSE成绩库!C221="","", MSE成绩库!T221)</f>
        <v/>
      </c>
      <c r="S221" t="str">
        <f>IF(MSE成绩库!C221="","", MSE成绩库!U221)</f>
        <v/>
      </c>
      <c r="T221" t="str">
        <f>IF(MSE成绩库!C221="","", MSE成绩库!V221)</f>
        <v/>
      </c>
      <c r="U221" t="str">
        <f>IF(MSE成绩库!C221="","", MSE成绩库!X221)</f>
        <v/>
      </c>
      <c r="V221" t="str">
        <f>IF(MSE成绩库!C221="","", MSE成绩库!Y221)</f>
        <v/>
      </c>
      <c r="W221" t="str">
        <f>IF(MSE成绩库!C221="","", MSE成绩库!Z221)</f>
        <v/>
      </c>
      <c r="X221" t="str">
        <f>IF(MSE成绩库!C221="","", MSE成绩库!AA221)</f>
        <v/>
      </c>
      <c r="Y221" t="str">
        <f>IF(MSE成绩库!C221="","", MSE成绩库!AB221)</f>
        <v/>
      </c>
      <c r="Z221" t="str">
        <f>IF(MSE成绩库!C221="","", MSE成绩库!AC221)</f>
        <v/>
      </c>
    </row>
    <row r="222" spans="1:26" x14ac:dyDescent="0.2">
      <c r="A222" t="str">
        <f>IF(MSE成绩库!C222="","", MSE成绩库!C222)</f>
        <v/>
      </c>
      <c r="B222" t="str">
        <f>IF(MSE成绩库!AD222="","", MSE成绩库!AD222)</f>
        <v/>
      </c>
      <c r="C222" t="str">
        <f>IF(MSE成绩库!B222="","", MSE成绩库!B222)</f>
        <v/>
      </c>
      <c r="D222" t="str">
        <f>IF(MSE成绩库!D222="","", MSE成绩库!D222)</f>
        <v/>
      </c>
      <c r="E222" t="str">
        <f>IF(MSE成绩库!C222="","", MSE成绩库!E222)</f>
        <v/>
      </c>
      <c r="F222" t="str">
        <f>IF(MSE成绩库!C222="","", MSE成绩库!F222)</f>
        <v/>
      </c>
      <c r="G222" t="str">
        <f>IF(MSE成绩库!C222="","", MSE成绩库!G222)</f>
        <v/>
      </c>
      <c r="H222" t="str">
        <f>IF(MSE成绩库!C222="","", MSE成绩库!H222)</f>
        <v/>
      </c>
      <c r="I222" t="str">
        <f>IF(MSE成绩库!C222="","", MSE成绩库!I222)</f>
        <v/>
      </c>
      <c r="J222" t="str">
        <f>IF(MSE成绩库!C222="","", MSE成绩库!J222)</f>
        <v/>
      </c>
      <c r="K222" t="str">
        <f>IF(MSE成绩库!C222="","", MSE成绩库!K222)</f>
        <v/>
      </c>
      <c r="L222" t="str">
        <f>IF(MSE成绩库!C222="","", MSE成绩库!M222)</f>
        <v/>
      </c>
      <c r="M222" t="str">
        <f>IF(MSE成绩库!C222="","", MSE成绩库!N222)</f>
        <v/>
      </c>
      <c r="N222" t="str">
        <f>IF(MSE成绩库!C222="","", MSE成绩库!O222)</f>
        <v/>
      </c>
      <c r="O222" t="str">
        <f>IF(MSE成绩库!C222="","", MSE成绩库!Q222)</f>
        <v/>
      </c>
      <c r="P222" t="str">
        <f>IF(MSE成绩库!C222="","", MSE成绩库!R222)</f>
        <v/>
      </c>
      <c r="Q222" t="str">
        <f>IF(MSE成绩库!C222="","", MSE成绩库!S222)</f>
        <v/>
      </c>
      <c r="R222" t="str">
        <f>IF(MSE成绩库!C222="","", MSE成绩库!T222)</f>
        <v/>
      </c>
      <c r="S222" t="str">
        <f>IF(MSE成绩库!C222="","", MSE成绩库!U222)</f>
        <v/>
      </c>
      <c r="T222" t="str">
        <f>IF(MSE成绩库!C222="","", MSE成绩库!V222)</f>
        <v/>
      </c>
      <c r="U222" t="str">
        <f>IF(MSE成绩库!C222="","", MSE成绩库!X222)</f>
        <v/>
      </c>
      <c r="V222" t="str">
        <f>IF(MSE成绩库!C222="","", MSE成绩库!Y222)</f>
        <v/>
      </c>
      <c r="W222" t="str">
        <f>IF(MSE成绩库!C222="","", MSE成绩库!Z222)</f>
        <v/>
      </c>
      <c r="X222" t="str">
        <f>IF(MSE成绩库!C222="","", MSE成绩库!AA222)</f>
        <v/>
      </c>
      <c r="Y222" t="str">
        <f>IF(MSE成绩库!C222="","", MSE成绩库!AB222)</f>
        <v/>
      </c>
      <c r="Z222" t="str">
        <f>IF(MSE成绩库!C222="","", MSE成绩库!AC222)</f>
        <v/>
      </c>
    </row>
    <row r="223" spans="1:26" x14ac:dyDescent="0.2">
      <c r="A223" t="str">
        <f>IF(MSE成绩库!C223="","", MSE成绩库!C223)</f>
        <v/>
      </c>
      <c r="B223" t="str">
        <f>IF(MSE成绩库!AD223="","", MSE成绩库!AD223)</f>
        <v/>
      </c>
      <c r="C223" t="str">
        <f>IF(MSE成绩库!B223="","", MSE成绩库!B223)</f>
        <v/>
      </c>
      <c r="D223" t="str">
        <f>IF(MSE成绩库!D223="","", MSE成绩库!D223)</f>
        <v/>
      </c>
      <c r="E223" t="str">
        <f>IF(MSE成绩库!C223="","", MSE成绩库!E223)</f>
        <v/>
      </c>
      <c r="F223" t="str">
        <f>IF(MSE成绩库!C223="","", MSE成绩库!F223)</f>
        <v/>
      </c>
      <c r="G223" t="str">
        <f>IF(MSE成绩库!C223="","", MSE成绩库!G223)</f>
        <v/>
      </c>
      <c r="H223" t="str">
        <f>IF(MSE成绩库!C223="","", MSE成绩库!H223)</f>
        <v/>
      </c>
      <c r="I223" t="str">
        <f>IF(MSE成绩库!C223="","", MSE成绩库!I223)</f>
        <v/>
      </c>
      <c r="J223" t="str">
        <f>IF(MSE成绩库!C223="","", MSE成绩库!J223)</f>
        <v/>
      </c>
      <c r="K223" t="str">
        <f>IF(MSE成绩库!C223="","", MSE成绩库!K223)</f>
        <v/>
      </c>
      <c r="L223" t="str">
        <f>IF(MSE成绩库!C223="","", MSE成绩库!M223)</f>
        <v/>
      </c>
      <c r="M223" t="str">
        <f>IF(MSE成绩库!C223="","", MSE成绩库!N223)</f>
        <v/>
      </c>
      <c r="N223" t="str">
        <f>IF(MSE成绩库!C223="","", MSE成绩库!O223)</f>
        <v/>
      </c>
      <c r="O223" t="str">
        <f>IF(MSE成绩库!C223="","", MSE成绩库!Q223)</f>
        <v/>
      </c>
      <c r="P223" t="str">
        <f>IF(MSE成绩库!C223="","", MSE成绩库!R223)</f>
        <v/>
      </c>
      <c r="Q223" t="str">
        <f>IF(MSE成绩库!C223="","", MSE成绩库!S223)</f>
        <v/>
      </c>
      <c r="R223" t="str">
        <f>IF(MSE成绩库!C223="","", MSE成绩库!T223)</f>
        <v/>
      </c>
      <c r="S223" t="str">
        <f>IF(MSE成绩库!C223="","", MSE成绩库!U223)</f>
        <v/>
      </c>
      <c r="T223" t="str">
        <f>IF(MSE成绩库!C223="","", MSE成绩库!V223)</f>
        <v/>
      </c>
      <c r="U223" t="str">
        <f>IF(MSE成绩库!C223="","", MSE成绩库!X223)</f>
        <v/>
      </c>
      <c r="V223" t="str">
        <f>IF(MSE成绩库!C223="","", MSE成绩库!Y223)</f>
        <v/>
      </c>
      <c r="W223" t="str">
        <f>IF(MSE成绩库!C223="","", MSE成绩库!Z223)</f>
        <v/>
      </c>
      <c r="X223" t="str">
        <f>IF(MSE成绩库!C223="","", MSE成绩库!AA223)</f>
        <v/>
      </c>
      <c r="Y223" t="str">
        <f>IF(MSE成绩库!C223="","", MSE成绩库!AB223)</f>
        <v/>
      </c>
      <c r="Z223" t="str">
        <f>IF(MSE成绩库!C223="","", MSE成绩库!AC223)</f>
        <v/>
      </c>
    </row>
    <row r="224" spans="1:26" x14ac:dyDescent="0.2">
      <c r="A224" t="str">
        <f>IF(MSE成绩库!C224="","", MSE成绩库!C224)</f>
        <v/>
      </c>
      <c r="B224" t="str">
        <f>IF(MSE成绩库!AD224="","", MSE成绩库!AD224)</f>
        <v/>
      </c>
      <c r="C224" t="str">
        <f>IF(MSE成绩库!B224="","", MSE成绩库!B224)</f>
        <v/>
      </c>
      <c r="D224" t="str">
        <f>IF(MSE成绩库!D224="","", MSE成绩库!D224)</f>
        <v/>
      </c>
      <c r="E224" t="str">
        <f>IF(MSE成绩库!C224="","", MSE成绩库!E224)</f>
        <v/>
      </c>
      <c r="F224" t="str">
        <f>IF(MSE成绩库!C224="","", MSE成绩库!F224)</f>
        <v/>
      </c>
      <c r="G224" t="str">
        <f>IF(MSE成绩库!C224="","", MSE成绩库!G224)</f>
        <v/>
      </c>
      <c r="H224" t="str">
        <f>IF(MSE成绩库!C224="","", MSE成绩库!H224)</f>
        <v/>
      </c>
      <c r="I224" t="str">
        <f>IF(MSE成绩库!C224="","", MSE成绩库!I224)</f>
        <v/>
      </c>
      <c r="J224" t="str">
        <f>IF(MSE成绩库!C224="","", MSE成绩库!J224)</f>
        <v/>
      </c>
      <c r="K224" t="str">
        <f>IF(MSE成绩库!C224="","", MSE成绩库!K224)</f>
        <v/>
      </c>
      <c r="L224" t="str">
        <f>IF(MSE成绩库!C224="","", MSE成绩库!M224)</f>
        <v/>
      </c>
      <c r="M224" t="str">
        <f>IF(MSE成绩库!C224="","", MSE成绩库!N224)</f>
        <v/>
      </c>
      <c r="N224" t="str">
        <f>IF(MSE成绩库!C224="","", MSE成绩库!O224)</f>
        <v/>
      </c>
      <c r="O224" t="str">
        <f>IF(MSE成绩库!C224="","", MSE成绩库!Q224)</f>
        <v/>
      </c>
      <c r="P224" t="str">
        <f>IF(MSE成绩库!C224="","", MSE成绩库!R224)</f>
        <v/>
      </c>
      <c r="Q224" t="str">
        <f>IF(MSE成绩库!C224="","", MSE成绩库!S224)</f>
        <v/>
      </c>
      <c r="R224" t="str">
        <f>IF(MSE成绩库!C224="","", MSE成绩库!T224)</f>
        <v/>
      </c>
      <c r="S224" t="str">
        <f>IF(MSE成绩库!C224="","", MSE成绩库!U224)</f>
        <v/>
      </c>
      <c r="T224" t="str">
        <f>IF(MSE成绩库!C224="","", MSE成绩库!V224)</f>
        <v/>
      </c>
      <c r="U224" t="str">
        <f>IF(MSE成绩库!C224="","", MSE成绩库!X224)</f>
        <v/>
      </c>
      <c r="V224" t="str">
        <f>IF(MSE成绩库!C224="","", MSE成绩库!Y224)</f>
        <v/>
      </c>
      <c r="W224" t="str">
        <f>IF(MSE成绩库!C224="","", MSE成绩库!Z224)</f>
        <v/>
      </c>
      <c r="X224" t="str">
        <f>IF(MSE成绩库!C224="","", MSE成绩库!AA224)</f>
        <v/>
      </c>
      <c r="Y224" t="str">
        <f>IF(MSE成绩库!C224="","", MSE成绩库!AB224)</f>
        <v/>
      </c>
      <c r="Z224" t="str">
        <f>IF(MSE成绩库!C224="","", MSE成绩库!AC224)</f>
        <v/>
      </c>
    </row>
    <row r="225" spans="1:26" x14ac:dyDescent="0.2">
      <c r="A225" t="str">
        <f>IF(MSE成绩库!C225="","", MSE成绩库!C225)</f>
        <v/>
      </c>
      <c r="B225" t="str">
        <f>IF(MSE成绩库!AD225="","", MSE成绩库!AD225)</f>
        <v/>
      </c>
      <c r="C225" t="str">
        <f>IF(MSE成绩库!B225="","", MSE成绩库!B225)</f>
        <v/>
      </c>
      <c r="D225" t="str">
        <f>IF(MSE成绩库!D225="","", MSE成绩库!D225)</f>
        <v/>
      </c>
      <c r="E225" t="str">
        <f>IF(MSE成绩库!C225="","", MSE成绩库!E225)</f>
        <v/>
      </c>
      <c r="F225" t="str">
        <f>IF(MSE成绩库!C225="","", MSE成绩库!F225)</f>
        <v/>
      </c>
      <c r="G225" t="str">
        <f>IF(MSE成绩库!C225="","", MSE成绩库!G225)</f>
        <v/>
      </c>
      <c r="H225" t="str">
        <f>IF(MSE成绩库!C225="","", MSE成绩库!H225)</f>
        <v/>
      </c>
      <c r="I225" t="str">
        <f>IF(MSE成绩库!C225="","", MSE成绩库!I225)</f>
        <v/>
      </c>
      <c r="J225" t="str">
        <f>IF(MSE成绩库!C225="","", MSE成绩库!J225)</f>
        <v/>
      </c>
      <c r="K225" t="str">
        <f>IF(MSE成绩库!C225="","", MSE成绩库!K225)</f>
        <v/>
      </c>
      <c r="L225" t="str">
        <f>IF(MSE成绩库!C225="","", MSE成绩库!M225)</f>
        <v/>
      </c>
      <c r="M225" t="str">
        <f>IF(MSE成绩库!C225="","", MSE成绩库!N225)</f>
        <v/>
      </c>
      <c r="N225" t="str">
        <f>IF(MSE成绩库!C225="","", MSE成绩库!O225)</f>
        <v/>
      </c>
      <c r="O225" t="str">
        <f>IF(MSE成绩库!C225="","", MSE成绩库!Q225)</f>
        <v/>
      </c>
      <c r="P225" t="str">
        <f>IF(MSE成绩库!C225="","", MSE成绩库!R225)</f>
        <v/>
      </c>
      <c r="Q225" t="str">
        <f>IF(MSE成绩库!C225="","", MSE成绩库!S225)</f>
        <v/>
      </c>
      <c r="R225" t="str">
        <f>IF(MSE成绩库!C225="","", MSE成绩库!T225)</f>
        <v/>
      </c>
      <c r="S225" t="str">
        <f>IF(MSE成绩库!C225="","", MSE成绩库!U225)</f>
        <v/>
      </c>
      <c r="T225" t="str">
        <f>IF(MSE成绩库!C225="","", MSE成绩库!V225)</f>
        <v/>
      </c>
      <c r="U225" t="str">
        <f>IF(MSE成绩库!C225="","", MSE成绩库!X225)</f>
        <v/>
      </c>
      <c r="V225" t="str">
        <f>IF(MSE成绩库!C225="","", MSE成绩库!Y225)</f>
        <v/>
      </c>
      <c r="W225" t="str">
        <f>IF(MSE成绩库!C225="","", MSE成绩库!Z225)</f>
        <v/>
      </c>
      <c r="X225" t="str">
        <f>IF(MSE成绩库!C225="","", MSE成绩库!AA225)</f>
        <v/>
      </c>
      <c r="Y225" t="str">
        <f>IF(MSE成绩库!C225="","", MSE成绩库!AB225)</f>
        <v/>
      </c>
      <c r="Z225" t="str">
        <f>IF(MSE成绩库!C225="","", MSE成绩库!AC225)</f>
        <v/>
      </c>
    </row>
    <row r="226" spans="1:26" x14ac:dyDescent="0.2">
      <c r="A226" t="str">
        <f>IF(MSE成绩库!C226="","", MSE成绩库!C226)</f>
        <v/>
      </c>
      <c r="B226" t="str">
        <f>IF(MSE成绩库!AD226="","", MSE成绩库!AD226)</f>
        <v/>
      </c>
      <c r="C226" t="str">
        <f>IF(MSE成绩库!B226="","", MSE成绩库!B226)</f>
        <v/>
      </c>
      <c r="D226" t="str">
        <f>IF(MSE成绩库!D226="","", MSE成绩库!D226)</f>
        <v/>
      </c>
      <c r="E226" t="str">
        <f>IF(MSE成绩库!C226="","", MSE成绩库!E226)</f>
        <v/>
      </c>
      <c r="F226" t="str">
        <f>IF(MSE成绩库!C226="","", MSE成绩库!F226)</f>
        <v/>
      </c>
      <c r="G226" t="str">
        <f>IF(MSE成绩库!C226="","", MSE成绩库!G226)</f>
        <v/>
      </c>
      <c r="H226" t="str">
        <f>IF(MSE成绩库!C226="","", MSE成绩库!H226)</f>
        <v/>
      </c>
      <c r="I226" t="str">
        <f>IF(MSE成绩库!C226="","", MSE成绩库!I226)</f>
        <v/>
      </c>
      <c r="J226" t="str">
        <f>IF(MSE成绩库!C226="","", MSE成绩库!J226)</f>
        <v/>
      </c>
      <c r="K226" t="str">
        <f>IF(MSE成绩库!C226="","", MSE成绩库!K226)</f>
        <v/>
      </c>
      <c r="L226" t="str">
        <f>IF(MSE成绩库!C226="","", MSE成绩库!M226)</f>
        <v/>
      </c>
      <c r="M226" t="str">
        <f>IF(MSE成绩库!C226="","", MSE成绩库!N226)</f>
        <v/>
      </c>
      <c r="N226" t="str">
        <f>IF(MSE成绩库!C226="","", MSE成绩库!O226)</f>
        <v/>
      </c>
      <c r="O226" t="str">
        <f>IF(MSE成绩库!C226="","", MSE成绩库!Q226)</f>
        <v/>
      </c>
      <c r="P226" t="str">
        <f>IF(MSE成绩库!C226="","", MSE成绩库!R226)</f>
        <v/>
      </c>
      <c r="Q226" t="str">
        <f>IF(MSE成绩库!C226="","", MSE成绩库!S226)</f>
        <v/>
      </c>
      <c r="R226" t="str">
        <f>IF(MSE成绩库!C226="","", MSE成绩库!T226)</f>
        <v/>
      </c>
      <c r="S226" t="str">
        <f>IF(MSE成绩库!C226="","", MSE成绩库!U226)</f>
        <v/>
      </c>
      <c r="T226" t="str">
        <f>IF(MSE成绩库!C226="","", MSE成绩库!V226)</f>
        <v/>
      </c>
      <c r="U226" t="str">
        <f>IF(MSE成绩库!C226="","", MSE成绩库!X226)</f>
        <v/>
      </c>
      <c r="V226" t="str">
        <f>IF(MSE成绩库!C226="","", MSE成绩库!Y226)</f>
        <v/>
      </c>
      <c r="W226" t="str">
        <f>IF(MSE成绩库!C226="","", MSE成绩库!Z226)</f>
        <v/>
      </c>
      <c r="X226" t="str">
        <f>IF(MSE成绩库!C226="","", MSE成绩库!AA226)</f>
        <v/>
      </c>
      <c r="Y226" t="str">
        <f>IF(MSE成绩库!C226="","", MSE成绩库!AB226)</f>
        <v/>
      </c>
      <c r="Z226" t="str">
        <f>IF(MSE成绩库!C226="","", MSE成绩库!AC226)</f>
        <v/>
      </c>
    </row>
    <row r="227" spans="1:26" x14ac:dyDescent="0.2">
      <c r="A227" t="str">
        <f>IF(MSE成绩库!C227="","", MSE成绩库!C227)</f>
        <v/>
      </c>
      <c r="B227" t="str">
        <f>IF(MSE成绩库!AD227="","", MSE成绩库!AD227)</f>
        <v/>
      </c>
      <c r="C227" t="str">
        <f>IF(MSE成绩库!B227="","", MSE成绩库!B227)</f>
        <v/>
      </c>
      <c r="D227" t="str">
        <f>IF(MSE成绩库!D227="","", MSE成绩库!D227)</f>
        <v/>
      </c>
      <c r="E227" t="str">
        <f>IF(MSE成绩库!C227="","", MSE成绩库!E227)</f>
        <v/>
      </c>
      <c r="F227" t="str">
        <f>IF(MSE成绩库!C227="","", MSE成绩库!F227)</f>
        <v/>
      </c>
      <c r="G227" t="str">
        <f>IF(MSE成绩库!C227="","", MSE成绩库!G227)</f>
        <v/>
      </c>
      <c r="H227" t="str">
        <f>IF(MSE成绩库!C227="","", MSE成绩库!H227)</f>
        <v/>
      </c>
      <c r="I227" t="str">
        <f>IF(MSE成绩库!C227="","", MSE成绩库!I227)</f>
        <v/>
      </c>
      <c r="J227" t="str">
        <f>IF(MSE成绩库!C227="","", MSE成绩库!J227)</f>
        <v/>
      </c>
      <c r="K227" t="str">
        <f>IF(MSE成绩库!C227="","", MSE成绩库!K227)</f>
        <v/>
      </c>
      <c r="L227" t="str">
        <f>IF(MSE成绩库!C227="","", MSE成绩库!M227)</f>
        <v/>
      </c>
      <c r="M227" t="str">
        <f>IF(MSE成绩库!C227="","", MSE成绩库!N227)</f>
        <v/>
      </c>
      <c r="N227" t="str">
        <f>IF(MSE成绩库!C227="","", MSE成绩库!O227)</f>
        <v/>
      </c>
      <c r="O227" t="str">
        <f>IF(MSE成绩库!C227="","", MSE成绩库!Q227)</f>
        <v/>
      </c>
      <c r="P227" t="str">
        <f>IF(MSE成绩库!C227="","", MSE成绩库!R227)</f>
        <v/>
      </c>
      <c r="Q227" t="str">
        <f>IF(MSE成绩库!C227="","", MSE成绩库!S227)</f>
        <v/>
      </c>
      <c r="R227" t="str">
        <f>IF(MSE成绩库!C227="","", MSE成绩库!T227)</f>
        <v/>
      </c>
      <c r="S227" t="str">
        <f>IF(MSE成绩库!C227="","", MSE成绩库!U227)</f>
        <v/>
      </c>
      <c r="T227" t="str">
        <f>IF(MSE成绩库!C227="","", MSE成绩库!V227)</f>
        <v/>
      </c>
      <c r="U227" t="str">
        <f>IF(MSE成绩库!C227="","", MSE成绩库!X227)</f>
        <v/>
      </c>
      <c r="V227" t="str">
        <f>IF(MSE成绩库!C227="","", MSE成绩库!Y227)</f>
        <v/>
      </c>
      <c r="W227" t="str">
        <f>IF(MSE成绩库!C227="","", MSE成绩库!Z227)</f>
        <v/>
      </c>
      <c r="X227" t="str">
        <f>IF(MSE成绩库!C227="","", MSE成绩库!AA227)</f>
        <v/>
      </c>
      <c r="Y227" t="str">
        <f>IF(MSE成绩库!C227="","", MSE成绩库!AB227)</f>
        <v/>
      </c>
      <c r="Z227" t="str">
        <f>IF(MSE成绩库!C227="","", MSE成绩库!AC227)</f>
        <v/>
      </c>
    </row>
    <row r="228" spans="1:26" x14ac:dyDescent="0.2">
      <c r="A228" t="str">
        <f>IF(MSE成绩库!C228="","", MSE成绩库!C228)</f>
        <v/>
      </c>
      <c r="B228" t="str">
        <f>IF(MSE成绩库!AD228="","", MSE成绩库!AD228)</f>
        <v/>
      </c>
      <c r="C228" t="str">
        <f>IF(MSE成绩库!B228="","", MSE成绩库!B228)</f>
        <v/>
      </c>
      <c r="D228" t="str">
        <f>IF(MSE成绩库!D228="","", MSE成绩库!D228)</f>
        <v/>
      </c>
      <c r="E228" t="str">
        <f>IF(MSE成绩库!C228="","", MSE成绩库!E228)</f>
        <v/>
      </c>
      <c r="F228" t="str">
        <f>IF(MSE成绩库!C228="","", MSE成绩库!F228)</f>
        <v/>
      </c>
      <c r="G228" t="str">
        <f>IF(MSE成绩库!C228="","", MSE成绩库!G228)</f>
        <v/>
      </c>
      <c r="H228" t="str">
        <f>IF(MSE成绩库!C228="","", MSE成绩库!H228)</f>
        <v/>
      </c>
      <c r="I228" t="str">
        <f>IF(MSE成绩库!C228="","", MSE成绩库!I228)</f>
        <v/>
      </c>
      <c r="J228" t="str">
        <f>IF(MSE成绩库!C228="","", MSE成绩库!J228)</f>
        <v/>
      </c>
      <c r="K228" t="str">
        <f>IF(MSE成绩库!C228="","", MSE成绩库!K228)</f>
        <v/>
      </c>
      <c r="L228" t="str">
        <f>IF(MSE成绩库!C228="","", MSE成绩库!M228)</f>
        <v/>
      </c>
      <c r="M228" t="str">
        <f>IF(MSE成绩库!C228="","", MSE成绩库!N228)</f>
        <v/>
      </c>
      <c r="N228" t="str">
        <f>IF(MSE成绩库!C228="","", MSE成绩库!O228)</f>
        <v/>
      </c>
      <c r="O228" t="str">
        <f>IF(MSE成绩库!C228="","", MSE成绩库!Q228)</f>
        <v/>
      </c>
      <c r="P228" t="str">
        <f>IF(MSE成绩库!C228="","", MSE成绩库!R228)</f>
        <v/>
      </c>
      <c r="Q228" t="str">
        <f>IF(MSE成绩库!C228="","", MSE成绩库!S228)</f>
        <v/>
      </c>
      <c r="R228" t="str">
        <f>IF(MSE成绩库!C228="","", MSE成绩库!T228)</f>
        <v/>
      </c>
      <c r="S228" t="str">
        <f>IF(MSE成绩库!C228="","", MSE成绩库!U228)</f>
        <v/>
      </c>
      <c r="T228" t="str">
        <f>IF(MSE成绩库!C228="","", MSE成绩库!V228)</f>
        <v/>
      </c>
      <c r="U228" t="str">
        <f>IF(MSE成绩库!C228="","", MSE成绩库!X228)</f>
        <v/>
      </c>
      <c r="V228" t="str">
        <f>IF(MSE成绩库!C228="","", MSE成绩库!Y228)</f>
        <v/>
      </c>
      <c r="W228" t="str">
        <f>IF(MSE成绩库!C228="","", MSE成绩库!Z228)</f>
        <v/>
      </c>
      <c r="X228" t="str">
        <f>IF(MSE成绩库!C228="","", MSE成绩库!AA228)</f>
        <v/>
      </c>
      <c r="Y228" t="str">
        <f>IF(MSE成绩库!C228="","", MSE成绩库!AB228)</f>
        <v/>
      </c>
      <c r="Z228" t="str">
        <f>IF(MSE成绩库!C228="","", MSE成绩库!AC228)</f>
        <v/>
      </c>
    </row>
    <row r="229" spans="1:26" x14ac:dyDescent="0.2">
      <c r="A229" t="str">
        <f>IF(MSE成绩库!C229="","", MSE成绩库!C229)</f>
        <v/>
      </c>
      <c r="B229" t="str">
        <f>IF(MSE成绩库!AD229="","", MSE成绩库!AD229)</f>
        <v/>
      </c>
      <c r="C229" t="str">
        <f>IF(MSE成绩库!B229="","", MSE成绩库!B229)</f>
        <v/>
      </c>
      <c r="D229" t="str">
        <f>IF(MSE成绩库!D229="","", MSE成绩库!D229)</f>
        <v/>
      </c>
      <c r="E229" t="str">
        <f>IF(MSE成绩库!C229="","", MSE成绩库!E229)</f>
        <v/>
      </c>
      <c r="F229" t="str">
        <f>IF(MSE成绩库!C229="","", MSE成绩库!F229)</f>
        <v/>
      </c>
      <c r="G229" t="str">
        <f>IF(MSE成绩库!C229="","", MSE成绩库!G229)</f>
        <v/>
      </c>
      <c r="H229" t="str">
        <f>IF(MSE成绩库!C229="","", MSE成绩库!H229)</f>
        <v/>
      </c>
      <c r="I229" t="str">
        <f>IF(MSE成绩库!C229="","", MSE成绩库!I229)</f>
        <v/>
      </c>
      <c r="J229" t="str">
        <f>IF(MSE成绩库!C229="","", MSE成绩库!J229)</f>
        <v/>
      </c>
      <c r="K229" t="str">
        <f>IF(MSE成绩库!C229="","", MSE成绩库!K229)</f>
        <v/>
      </c>
      <c r="L229" t="str">
        <f>IF(MSE成绩库!C229="","", MSE成绩库!M229)</f>
        <v/>
      </c>
      <c r="M229" t="str">
        <f>IF(MSE成绩库!C229="","", MSE成绩库!N229)</f>
        <v/>
      </c>
      <c r="N229" t="str">
        <f>IF(MSE成绩库!C229="","", MSE成绩库!O229)</f>
        <v/>
      </c>
      <c r="O229" t="str">
        <f>IF(MSE成绩库!C229="","", MSE成绩库!Q229)</f>
        <v/>
      </c>
      <c r="P229" t="str">
        <f>IF(MSE成绩库!C229="","", MSE成绩库!R229)</f>
        <v/>
      </c>
      <c r="Q229" t="str">
        <f>IF(MSE成绩库!C229="","", MSE成绩库!S229)</f>
        <v/>
      </c>
      <c r="R229" t="str">
        <f>IF(MSE成绩库!C229="","", MSE成绩库!T229)</f>
        <v/>
      </c>
      <c r="S229" t="str">
        <f>IF(MSE成绩库!C229="","", MSE成绩库!U229)</f>
        <v/>
      </c>
      <c r="T229" t="str">
        <f>IF(MSE成绩库!C229="","", MSE成绩库!V229)</f>
        <v/>
      </c>
      <c r="U229" t="str">
        <f>IF(MSE成绩库!C229="","", MSE成绩库!X229)</f>
        <v/>
      </c>
      <c r="V229" t="str">
        <f>IF(MSE成绩库!C229="","", MSE成绩库!Y229)</f>
        <v/>
      </c>
      <c r="W229" t="str">
        <f>IF(MSE成绩库!C229="","", MSE成绩库!Z229)</f>
        <v/>
      </c>
      <c r="X229" t="str">
        <f>IF(MSE成绩库!C229="","", MSE成绩库!AA229)</f>
        <v/>
      </c>
      <c r="Y229" t="str">
        <f>IF(MSE成绩库!C229="","", MSE成绩库!AB229)</f>
        <v/>
      </c>
      <c r="Z229" t="str">
        <f>IF(MSE成绩库!C229="","", MSE成绩库!AC229)</f>
        <v/>
      </c>
    </row>
    <row r="230" spans="1:26" x14ac:dyDescent="0.2">
      <c r="A230" t="str">
        <f>IF(MSE成绩库!C230="","", MSE成绩库!C230)</f>
        <v/>
      </c>
      <c r="B230" t="str">
        <f>IF(MSE成绩库!AD230="","", MSE成绩库!AD230)</f>
        <v/>
      </c>
      <c r="C230" t="str">
        <f>IF(MSE成绩库!B230="","", MSE成绩库!B230)</f>
        <v/>
      </c>
      <c r="D230" t="str">
        <f>IF(MSE成绩库!D230="","", MSE成绩库!D230)</f>
        <v/>
      </c>
      <c r="E230" t="str">
        <f>IF(MSE成绩库!C230="","", MSE成绩库!E230)</f>
        <v/>
      </c>
      <c r="F230" t="str">
        <f>IF(MSE成绩库!C230="","", MSE成绩库!F230)</f>
        <v/>
      </c>
      <c r="G230" t="str">
        <f>IF(MSE成绩库!C230="","", MSE成绩库!G230)</f>
        <v/>
      </c>
      <c r="H230" t="str">
        <f>IF(MSE成绩库!C230="","", MSE成绩库!H230)</f>
        <v/>
      </c>
      <c r="I230" t="str">
        <f>IF(MSE成绩库!C230="","", MSE成绩库!I230)</f>
        <v/>
      </c>
      <c r="J230" t="str">
        <f>IF(MSE成绩库!C230="","", MSE成绩库!J230)</f>
        <v/>
      </c>
      <c r="K230" t="str">
        <f>IF(MSE成绩库!C230="","", MSE成绩库!K230)</f>
        <v/>
      </c>
      <c r="L230" t="str">
        <f>IF(MSE成绩库!C230="","", MSE成绩库!M230)</f>
        <v/>
      </c>
      <c r="M230" t="str">
        <f>IF(MSE成绩库!C230="","", MSE成绩库!N230)</f>
        <v/>
      </c>
      <c r="N230" t="str">
        <f>IF(MSE成绩库!C230="","", MSE成绩库!O230)</f>
        <v/>
      </c>
      <c r="O230" t="str">
        <f>IF(MSE成绩库!C230="","", MSE成绩库!Q230)</f>
        <v/>
      </c>
      <c r="P230" t="str">
        <f>IF(MSE成绩库!C230="","", MSE成绩库!R230)</f>
        <v/>
      </c>
      <c r="Q230" t="str">
        <f>IF(MSE成绩库!C230="","", MSE成绩库!S230)</f>
        <v/>
      </c>
      <c r="R230" t="str">
        <f>IF(MSE成绩库!C230="","", MSE成绩库!T230)</f>
        <v/>
      </c>
      <c r="S230" t="str">
        <f>IF(MSE成绩库!C230="","", MSE成绩库!U230)</f>
        <v/>
      </c>
      <c r="T230" t="str">
        <f>IF(MSE成绩库!C230="","", MSE成绩库!V230)</f>
        <v/>
      </c>
      <c r="U230" t="str">
        <f>IF(MSE成绩库!C230="","", MSE成绩库!X230)</f>
        <v/>
      </c>
      <c r="V230" t="str">
        <f>IF(MSE成绩库!C230="","", MSE成绩库!Y230)</f>
        <v/>
      </c>
      <c r="W230" t="str">
        <f>IF(MSE成绩库!C230="","", MSE成绩库!Z230)</f>
        <v/>
      </c>
      <c r="X230" t="str">
        <f>IF(MSE成绩库!C230="","", MSE成绩库!AA230)</f>
        <v/>
      </c>
      <c r="Y230" t="str">
        <f>IF(MSE成绩库!C230="","", MSE成绩库!AB230)</f>
        <v/>
      </c>
      <c r="Z230" t="str">
        <f>IF(MSE成绩库!C230="","", MSE成绩库!AC230)</f>
        <v/>
      </c>
    </row>
    <row r="231" spans="1:26" x14ac:dyDescent="0.2">
      <c r="A231" t="str">
        <f>IF(MSE成绩库!C231="","", MSE成绩库!C231)</f>
        <v/>
      </c>
      <c r="B231" t="str">
        <f>IF(MSE成绩库!AD231="","", MSE成绩库!AD231)</f>
        <v/>
      </c>
      <c r="C231" t="str">
        <f>IF(MSE成绩库!B231="","", MSE成绩库!B231)</f>
        <v/>
      </c>
      <c r="D231" t="str">
        <f>IF(MSE成绩库!D231="","", MSE成绩库!D231)</f>
        <v/>
      </c>
      <c r="E231" t="str">
        <f>IF(MSE成绩库!C231="","", MSE成绩库!E231)</f>
        <v/>
      </c>
      <c r="F231" t="str">
        <f>IF(MSE成绩库!C231="","", MSE成绩库!F231)</f>
        <v/>
      </c>
      <c r="G231" t="str">
        <f>IF(MSE成绩库!C231="","", MSE成绩库!G231)</f>
        <v/>
      </c>
      <c r="H231" t="str">
        <f>IF(MSE成绩库!C231="","", MSE成绩库!H231)</f>
        <v/>
      </c>
      <c r="I231" t="str">
        <f>IF(MSE成绩库!C231="","", MSE成绩库!I231)</f>
        <v/>
      </c>
      <c r="J231" t="str">
        <f>IF(MSE成绩库!C231="","", MSE成绩库!J231)</f>
        <v/>
      </c>
      <c r="K231" t="str">
        <f>IF(MSE成绩库!C231="","", MSE成绩库!K231)</f>
        <v/>
      </c>
      <c r="L231" t="str">
        <f>IF(MSE成绩库!C231="","", MSE成绩库!M231)</f>
        <v/>
      </c>
      <c r="M231" t="str">
        <f>IF(MSE成绩库!C231="","", MSE成绩库!N231)</f>
        <v/>
      </c>
      <c r="N231" t="str">
        <f>IF(MSE成绩库!C231="","", MSE成绩库!O231)</f>
        <v/>
      </c>
      <c r="O231" t="str">
        <f>IF(MSE成绩库!C231="","", MSE成绩库!Q231)</f>
        <v/>
      </c>
      <c r="P231" t="str">
        <f>IF(MSE成绩库!C231="","", MSE成绩库!R231)</f>
        <v/>
      </c>
      <c r="Q231" t="str">
        <f>IF(MSE成绩库!C231="","", MSE成绩库!S231)</f>
        <v/>
      </c>
      <c r="R231" t="str">
        <f>IF(MSE成绩库!C231="","", MSE成绩库!T231)</f>
        <v/>
      </c>
      <c r="S231" t="str">
        <f>IF(MSE成绩库!C231="","", MSE成绩库!U231)</f>
        <v/>
      </c>
      <c r="T231" t="str">
        <f>IF(MSE成绩库!C231="","", MSE成绩库!V231)</f>
        <v/>
      </c>
      <c r="U231" t="str">
        <f>IF(MSE成绩库!C231="","", MSE成绩库!X231)</f>
        <v/>
      </c>
      <c r="V231" t="str">
        <f>IF(MSE成绩库!C231="","", MSE成绩库!Y231)</f>
        <v/>
      </c>
      <c r="W231" t="str">
        <f>IF(MSE成绩库!C231="","", MSE成绩库!Z231)</f>
        <v/>
      </c>
      <c r="X231" t="str">
        <f>IF(MSE成绩库!C231="","", MSE成绩库!AA231)</f>
        <v/>
      </c>
      <c r="Y231" t="str">
        <f>IF(MSE成绩库!C231="","", MSE成绩库!AB231)</f>
        <v/>
      </c>
      <c r="Z231" t="str">
        <f>IF(MSE成绩库!C231="","", MSE成绩库!AC231)</f>
        <v/>
      </c>
    </row>
    <row r="232" spans="1:26" x14ac:dyDescent="0.2">
      <c r="A232" t="str">
        <f>IF(MSE成绩库!C232="","", MSE成绩库!C232)</f>
        <v/>
      </c>
      <c r="B232" t="str">
        <f>IF(MSE成绩库!AD232="","", MSE成绩库!AD232)</f>
        <v/>
      </c>
      <c r="C232" t="str">
        <f>IF(MSE成绩库!B232="","", MSE成绩库!B232)</f>
        <v/>
      </c>
      <c r="D232" t="str">
        <f>IF(MSE成绩库!D232="","", MSE成绩库!D232)</f>
        <v/>
      </c>
      <c r="E232" t="str">
        <f>IF(MSE成绩库!C232="","", MSE成绩库!E232)</f>
        <v/>
      </c>
      <c r="F232" t="str">
        <f>IF(MSE成绩库!C232="","", MSE成绩库!F232)</f>
        <v/>
      </c>
      <c r="G232" t="str">
        <f>IF(MSE成绩库!C232="","", MSE成绩库!G232)</f>
        <v/>
      </c>
      <c r="H232" t="str">
        <f>IF(MSE成绩库!C232="","", MSE成绩库!H232)</f>
        <v/>
      </c>
      <c r="I232" t="str">
        <f>IF(MSE成绩库!C232="","", MSE成绩库!I232)</f>
        <v/>
      </c>
      <c r="J232" t="str">
        <f>IF(MSE成绩库!C232="","", MSE成绩库!J232)</f>
        <v/>
      </c>
      <c r="K232" t="str">
        <f>IF(MSE成绩库!C232="","", MSE成绩库!K232)</f>
        <v/>
      </c>
      <c r="L232" t="str">
        <f>IF(MSE成绩库!C232="","", MSE成绩库!M232)</f>
        <v/>
      </c>
      <c r="M232" t="str">
        <f>IF(MSE成绩库!C232="","", MSE成绩库!N232)</f>
        <v/>
      </c>
      <c r="N232" t="str">
        <f>IF(MSE成绩库!C232="","", MSE成绩库!O232)</f>
        <v/>
      </c>
      <c r="O232" t="str">
        <f>IF(MSE成绩库!C232="","", MSE成绩库!Q232)</f>
        <v/>
      </c>
      <c r="P232" t="str">
        <f>IF(MSE成绩库!C232="","", MSE成绩库!R232)</f>
        <v/>
      </c>
      <c r="Q232" t="str">
        <f>IF(MSE成绩库!C232="","", MSE成绩库!S232)</f>
        <v/>
      </c>
      <c r="R232" t="str">
        <f>IF(MSE成绩库!C232="","", MSE成绩库!T232)</f>
        <v/>
      </c>
      <c r="S232" t="str">
        <f>IF(MSE成绩库!C232="","", MSE成绩库!U232)</f>
        <v/>
      </c>
      <c r="T232" t="str">
        <f>IF(MSE成绩库!C232="","", MSE成绩库!V232)</f>
        <v/>
      </c>
      <c r="U232" t="str">
        <f>IF(MSE成绩库!C232="","", MSE成绩库!X232)</f>
        <v/>
      </c>
      <c r="V232" t="str">
        <f>IF(MSE成绩库!C232="","", MSE成绩库!Y232)</f>
        <v/>
      </c>
      <c r="W232" t="str">
        <f>IF(MSE成绩库!C232="","", MSE成绩库!Z232)</f>
        <v/>
      </c>
      <c r="X232" t="str">
        <f>IF(MSE成绩库!C232="","", MSE成绩库!AA232)</f>
        <v/>
      </c>
      <c r="Y232" t="str">
        <f>IF(MSE成绩库!C232="","", MSE成绩库!AB232)</f>
        <v/>
      </c>
      <c r="Z232" t="str">
        <f>IF(MSE成绩库!C232="","", MSE成绩库!AC232)</f>
        <v/>
      </c>
    </row>
    <row r="233" spans="1:26" x14ac:dyDescent="0.2">
      <c r="A233" t="str">
        <f>IF(MSE成绩库!C233="","", MSE成绩库!C233)</f>
        <v/>
      </c>
      <c r="B233" t="str">
        <f>IF(MSE成绩库!AD233="","", MSE成绩库!AD233)</f>
        <v/>
      </c>
      <c r="C233" t="str">
        <f>IF(MSE成绩库!B233="","", MSE成绩库!B233)</f>
        <v/>
      </c>
      <c r="D233" t="str">
        <f>IF(MSE成绩库!D233="","", MSE成绩库!D233)</f>
        <v/>
      </c>
      <c r="E233" t="str">
        <f>IF(MSE成绩库!C233="","", MSE成绩库!E233)</f>
        <v/>
      </c>
      <c r="F233" t="str">
        <f>IF(MSE成绩库!C233="","", MSE成绩库!F233)</f>
        <v/>
      </c>
      <c r="G233" t="str">
        <f>IF(MSE成绩库!C233="","", MSE成绩库!G233)</f>
        <v/>
      </c>
      <c r="H233" t="str">
        <f>IF(MSE成绩库!C233="","", MSE成绩库!H233)</f>
        <v/>
      </c>
      <c r="I233" t="str">
        <f>IF(MSE成绩库!C233="","", MSE成绩库!I233)</f>
        <v/>
      </c>
      <c r="J233" t="str">
        <f>IF(MSE成绩库!C233="","", MSE成绩库!J233)</f>
        <v/>
      </c>
      <c r="K233" t="str">
        <f>IF(MSE成绩库!C233="","", MSE成绩库!K233)</f>
        <v/>
      </c>
      <c r="L233" t="str">
        <f>IF(MSE成绩库!C233="","", MSE成绩库!M233)</f>
        <v/>
      </c>
      <c r="M233" t="str">
        <f>IF(MSE成绩库!C233="","", MSE成绩库!N233)</f>
        <v/>
      </c>
      <c r="N233" t="str">
        <f>IF(MSE成绩库!C233="","", MSE成绩库!O233)</f>
        <v/>
      </c>
      <c r="O233" t="str">
        <f>IF(MSE成绩库!C233="","", MSE成绩库!Q233)</f>
        <v/>
      </c>
      <c r="P233" t="str">
        <f>IF(MSE成绩库!C233="","", MSE成绩库!R233)</f>
        <v/>
      </c>
      <c r="Q233" t="str">
        <f>IF(MSE成绩库!C233="","", MSE成绩库!S233)</f>
        <v/>
      </c>
      <c r="R233" t="str">
        <f>IF(MSE成绩库!C233="","", MSE成绩库!T233)</f>
        <v/>
      </c>
      <c r="S233" t="str">
        <f>IF(MSE成绩库!C233="","", MSE成绩库!U233)</f>
        <v/>
      </c>
      <c r="T233" t="str">
        <f>IF(MSE成绩库!C233="","", MSE成绩库!V233)</f>
        <v/>
      </c>
      <c r="U233" t="str">
        <f>IF(MSE成绩库!C233="","", MSE成绩库!X233)</f>
        <v/>
      </c>
      <c r="V233" t="str">
        <f>IF(MSE成绩库!C233="","", MSE成绩库!Y233)</f>
        <v/>
      </c>
      <c r="W233" t="str">
        <f>IF(MSE成绩库!C233="","", MSE成绩库!Z233)</f>
        <v/>
      </c>
      <c r="X233" t="str">
        <f>IF(MSE成绩库!C233="","", MSE成绩库!AA233)</f>
        <v/>
      </c>
      <c r="Y233" t="str">
        <f>IF(MSE成绩库!C233="","", MSE成绩库!AB233)</f>
        <v/>
      </c>
      <c r="Z233" t="str">
        <f>IF(MSE成绩库!C233="","", MSE成绩库!AC233)</f>
        <v/>
      </c>
    </row>
    <row r="234" spans="1:26" x14ac:dyDescent="0.2">
      <c r="A234" t="str">
        <f>IF(MSE成绩库!C234="","", MSE成绩库!C234)</f>
        <v/>
      </c>
      <c r="B234" t="str">
        <f>IF(MSE成绩库!AD234="","", MSE成绩库!AD234)</f>
        <v/>
      </c>
      <c r="C234" t="str">
        <f>IF(MSE成绩库!B234="","", MSE成绩库!B234)</f>
        <v/>
      </c>
      <c r="D234" t="str">
        <f>IF(MSE成绩库!D234="","", MSE成绩库!D234)</f>
        <v/>
      </c>
      <c r="E234" t="str">
        <f>IF(MSE成绩库!C234="","", MSE成绩库!E234)</f>
        <v/>
      </c>
      <c r="F234" t="str">
        <f>IF(MSE成绩库!C234="","", MSE成绩库!F234)</f>
        <v/>
      </c>
      <c r="G234" t="str">
        <f>IF(MSE成绩库!C234="","", MSE成绩库!G234)</f>
        <v/>
      </c>
      <c r="H234" t="str">
        <f>IF(MSE成绩库!C234="","", MSE成绩库!H234)</f>
        <v/>
      </c>
      <c r="I234" t="str">
        <f>IF(MSE成绩库!C234="","", MSE成绩库!I234)</f>
        <v/>
      </c>
      <c r="J234" t="str">
        <f>IF(MSE成绩库!C234="","", MSE成绩库!J234)</f>
        <v/>
      </c>
      <c r="K234" t="str">
        <f>IF(MSE成绩库!C234="","", MSE成绩库!K234)</f>
        <v/>
      </c>
      <c r="L234" t="str">
        <f>IF(MSE成绩库!C234="","", MSE成绩库!M234)</f>
        <v/>
      </c>
      <c r="M234" t="str">
        <f>IF(MSE成绩库!C234="","", MSE成绩库!N234)</f>
        <v/>
      </c>
      <c r="N234" t="str">
        <f>IF(MSE成绩库!C234="","", MSE成绩库!O234)</f>
        <v/>
      </c>
      <c r="O234" t="str">
        <f>IF(MSE成绩库!C234="","", MSE成绩库!Q234)</f>
        <v/>
      </c>
      <c r="P234" t="str">
        <f>IF(MSE成绩库!C234="","", MSE成绩库!R234)</f>
        <v/>
      </c>
      <c r="Q234" t="str">
        <f>IF(MSE成绩库!C234="","", MSE成绩库!S234)</f>
        <v/>
      </c>
      <c r="R234" t="str">
        <f>IF(MSE成绩库!C234="","", MSE成绩库!T234)</f>
        <v/>
      </c>
      <c r="S234" t="str">
        <f>IF(MSE成绩库!C234="","", MSE成绩库!U234)</f>
        <v/>
      </c>
      <c r="T234" t="str">
        <f>IF(MSE成绩库!C234="","", MSE成绩库!V234)</f>
        <v/>
      </c>
      <c r="U234" t="str">
        <f>IF(MSE成绩库!C234="","", MSE成绩库!X234)</f>
        <v/>
      </c>
      <c r="V234" t="str">
        <f>IF(MSE成绩库!C234="","", MSE成绩库!Y234)</f>
        <v/>
      </c>
      <c r="W234" t="str">
        <f>IF(MSE成绩库!C234="","", MSE成绩库!Z234)</f>
        <v/>
      </c>
      <c r="X234" t="str">
        <f>IF(MSE成绩库!C234="","", MSE成绩库!AA234)</f>
        <v/>
      </c>
      <c r="Y234" t="str">
        <f>IF(MSE成绩库!C234="","", MSE成绩库!AB234)</f>
        <v/>
      </c>
      <c r="Z234" t="str">
        <f>IF(MSE成绩库!C234="","", MSE成绩库!AC234)</f>
        <v/>
      </c>
    </row>
    <row r="235" spans="1:26" x14ac:dyDescent="0.2">
      <c r="A235" t="str">
        <f>IF(MSE成绩库!C235="","", MSE成绩库!C235)</f>
        <v/>
      </c>
      <c r="B235" t="str">
        <f>IF(MSE成绩库!AD235="","", MSE成绩库!AD235)</f>
        <v/>
      </c>
      <c r="C235" t="str">
        <f>IF(MSE成绩库!B235="","", MSE成绩库!B235)</f>
        <v/>
      </c>
      <c r="D235" t="str">
        <f>IF(MSE成绩库!D235="","", MSE成绩库!D235)</f>
        <v/>
      </c>
      <c r="E235" t="str">
        <f>IF(MSE成绩库!C235="","", MSE成绩库!E235)</f>
        <v/>
      </c>
      <c r="F235" t="str">
        <f>IF(MSE成绩库!C235="","", MSE成绩库!F235)</f>
        <v/>
      </c>
      <c r="G235" t="str">
        <f>IF(MSE成绩库!C235="","", MSE成绩库!G235)</f>
        <v/>
      </c>
      <c r="H235" t="str">
        <f>IF(MSE成绩库!C235="","", MSE成绩库!H235)</f>
        <v/>
      </c>
      <c r="I235" t="str">
        <f>IF(MSE成绩库!C235="","", MSE成绩库!I235)</f>
        <v/>
      </c>
      <c r="J235" t="str">
        <f>IF(MSE成绩库!C235="","", MSE成绩库!J235)</f>
        <v/>
      </c>
      <c r="K235" t="str">
        <f>IF(MSE成绩库!C235="","", MSE成绩库!K235)</f>
        <v/>
      </c>
      <c r="L235" t="str">
        <f>IF(MSE成绩库!C235="","", MSE成绩库!M235)</f>
        <v/>
      </c>
      <c r="M235" t="str">
        <f>IF(MSE成绩库!C235="","", MSE成绩库!N235)</f>
        <v/>
      </c>
      <c r="N235" t="str">
        <f>IF(MSE成绩库!C235="","", MSE成绩库!O235)</f>
        <v/>
      </c>
      <c r="O235" t="str">
        <f>IF(MSE成绩库!C235="","", MSE成绩库!Q235)</f>
        <v/>
      </c>
      <c r="P235" t="str">
        <f>IF(MSE成绩库!C235="","", MSE成绩库!R235)</f>
        <v/>
      </c>
      <c r="Q235" t="str">
        <f>IF(MSE成绩库!C235="","", MSE成绩库!S235)</f>
        <v/>
      </c>
      <c r="R235" t="str">
        <f>IF(MSE成绩库!C235="","", MSE成绩库!T235)</f>
        <v/>
      </c>
      <c r="S235" t="str">
        <f>IF(MSE成绩库!C235="","", MSE成绩库!U235)</f>
        <v/>
      </c>
      <c r="T235" t="str">
        <f>IF(MSE成绩库!C235="","", MSE成绩库!V235)</f>
        <v/>
      </c>
      <c r="U235" t="str">
        <f>IF(MSE成绩库!C235="","", MSE成绩库!X235)</f>
        <v/>
      </c>
      <c r="V235" t="str">
        <f>IF(MSE成绩库!C235="","", MSE成绩库!Y235)</f>
        <v/>
      </c>
      <c r="W235" t="str">
        <f>IF(MSE成绩库!C235="","", MSE成绩库!Z235)</f>
        <v/>
      </c>
      <c r="X235" t="str">
        <f>IF(MSE成绩库!C235="","", MSE成绩库!AA235)</f>
        <v/>
      </c>
      <c r="Y235" t="str">
        <f>IF(MSE成绩库!C235="","", MSE成绩库!AB235)</f>
        <v/>
      </c>
      <c r="Z235" t="str">
        <f>IF(MSE成绩库!C235="","", MSE成绩库!AC235)</f>
        <v/>
      </c>
    </row>
    <row r="236" spans="1:26" x14ac:dyDescent="0.2">
      <c r="A236" t="str">
        <f>IF(MSE成绩库!C236="","", MSE成绩库!C236)</f>
        <v/>
      </c>
      <c r="B236" t="str">
        <f>IF(MSE成绩库!AD236="","", MSE成绩库!AD236)</f>
        <v/>
      </c>
      <c r="C236" t="str">
        <f>IF(MSE成绩库!B236="","", MSE成绩库!B236)</f>
        <v/>
      </c>
      <c r="D236" t="str">
        <f>IF(MSE成绩库!D236="","", MSE成绩库!D236)</f>
        <v/>
      </c>
      <c r="E236" t="str">
        <f>IF(MSE成绩库!C236="","", MSE成绩库!E236)</f>
        <v/>
      </c>
      <c r="F236" t="str">
        <f>IF(MSE成绩库!C236="","", MSE成绩库!F236)</f>
        <v/>
      </c>
      <c r="G236" t="str">
        <f>IF(MSE成绩库!C236="","", MSE成绩库!G236)</f>
        <v/>
      </c>
      <c r="H236" t="str">
        <f>IF(MSE成绩库!C236="","", MSE成绩库!H236)</f>
        <v/>
      </c>
      <c r="I236" t="str">
        <f>IF(MSE成绩库!C236="","", MSE成绩库!I236)</f>
        <v/>
      </c>
      <c r="J236" t="str">
        <f>IF(MSE成绩库!C236="","", MSE成绩库!J236)</f>
        <v/>
      </c>
      <c r="K236" t="str">
        <f>IF(MSE成绩库!C236="","", MSE成绩库!K236)</f>
        <v/>
      </c>
      <c r="L236" t="str">
        <f>IF(MSE成绩库!C236="","", MSE成绩库!M236)</f>
        <v/>
      </c>
      <c r="M236" t="str">
        <f>IF(MSE成绩库!C236="","", MSE成绩库!N236)</f>
        <v/>
      </c>
      <c r="N236" t="str">
        <f>IF(MSE成绩库!C236="","", MSE成绩库!O236)</f>
        <v/>
      </c>
      <c r="O236" t="str">
        <f>IF(MSE成绩库!C236="","", MSE成绩库!Q236)</f>
        <v/>
      </c>
      <c r="P236" t="str">
        <f>IF(MSE成绩库!C236="","", MSE成绩库!R236)</f>
        <v/>
      </c>
      <c r="Q236" t="str">
        <f>IF(MSE成绩库!C236="","", MSE成绩库!S236)</f>
        <v/>
      </c>
      <c r="R236" t="str">
        <f>IF(MSE成绩库!C236="","", MSE成绩库!T236)</f>
        <v/>
      </c>
      <c r="S236" t="str">
        <f>IF(MSE成绩库!C236="","", MSE成绩库!U236)</f>
        <v/>
      </c>
      <c r="T236" t="str">
        <f>IF(MSE成绩库!C236="","", MSE成绩库!V236)</f>
        <v/>
      </c>
      <c r="U236" t="str">
        <f>IF(MSE成绩库!C236="","", MSE成绩库!X236)</f>
        <v/>
      </c>
      <c r="V236" t="str">
        <f>IF(MSE成绩库!C236="","", MSE成绩库!Y236)</f>
        <v/>
      </c>
      <c r="W236" t="str">
        <f>IF(MSE成绩库!C236="","", MSE成绩库!Z236)</f>
        <v/>
      </c>
      <c r="X236" t="str">
        <f>IF(MSE成绩库!C236="","", MSE成绩库!AA236)</f>
        <v/>
      </c>
      <c r="Y236" t="str">
        <f>IF(MSE成绩库!C236="","", MSE成绩库!AB236)</f>
        <v/>
      </c>
      <c r="Z236" t="str">
        <f>IF(MSE成绩库!C236="","", MSE成绩库!AC236)</f>
        <v/>
      </c>
    </row>
    <row r="237" spans="1:26" x14ac:dyDescent="0.2">
      <c r="A237" t="str">
        <f>IF(MSE成绩库!C237="","", MSE成绩库!C237)</f>
        <v/>
      </c>
      <c r="B237" t="str">
        <f>IF(MSE成绩库!AD237="","", MSE成绩库!AD237)</f>
        <v/>
      </c>
      <c r="C237" t="str">
        <f>IF(MSE成绩库!B237="","", MSE成绩库!B237)</f>
        <v/>
      </c>
      <c r="D237" t="str">
        <f>IF(MSE成绩库!D237="","", MSE成绩库!D237)</f>
        <v/>
      </c>
      <c r="E237" t="str">
        <f>IF(MSE成绩库!C237="","", MSE成绩库!E237)</f>
        <v/>
      </c>
      <c r="F237" t="str">
        <f>IF(MSE成绩库!C237="","", MSE成绩库!F237)</f>
        <v/>
      </c>
      <c r="G237" t="str">
        <f>IF(MSE成绩库!C237="","", MSE成绩库!G237)</f>
        <v/>
      </c>
      <c r="H237" t="str">
        <f>IF(MSE成绩库!C237="","", MSE成绩库!H237)</f>
        <v/>
      </c>
      <c r="I237" t="str">
        <f>IF(MSE成绩库!C237="","", MSE成绩库!I237)</f>
        <v/>
      </c>
      <c r="J237" t="str">
        <f>IF(MSE成绩库!C237="","", MSE成绩库!J237)</f>
        <v/>
      </c>
      <c r="K237" t="str">
        <f>IF(MSE成绩库!C237="","", MSE成绩库!K237)</f>
        <v/>
      </c>
      <c r="L237" t="str">
        <f>IF(MSE成绩库!C237="","", MSE成绩库!M237)</f>
        <v/>
      </c>
      <c r="M237" t="str">
        <f>IF(MSE成绩库!C237="","", MSE成绩库!N237)</f>
        <v/>
      </c>
      <c r="N237" t="str">
        <f>IF(MSE成绩库!C237="","", MSE成绩库!O237)</f>
        <v/>
      </c>
      <c r="O237" t="str">
        <f>IF(MSE成绩库!C237="","", MSE成绩库!Q237)</f>
        <v/>
      </c>
      <c r="P237" t="str">
        <f>IF(MSE成绩库!C237="","", MSE成绩库!R237)</f>
        <v/>
      </c>
      <c r="Q237" t="str">
        <f>IF(MSE成绩库!C237="","", MSE成绩库!S237)</f>
        <v/>
      </c>
      <c r="R237" t="str">
        <f>IF(MSE成绩库!C237="","", MSE成绩库!T237)</f>
        <v/>
      </c>
      <c r="S237" t="str">
        <f>IF(MSE成绩库!C237="","", MSE成绩库!U237)</f>
        <v/>
      </c>
      <c r="T237" t="str">
        <f>IF(MSE成绩库!C237="","", MSE成绩库!V237)</f>
        <v/>
      </c>
      <c r="U237" t="str">
        <f>IF(MSE成绩库!C237="","", MSE成绩库!X237)</f>
        <v/>
      </c>
      <c r="V237" t="str">
        <f>IF(MSE成绩库!C237="","", MSE成绩库!Y237)</f>
        <v/>
      </c>
      <c r="W237" t="str">
        <f>IF(MSE成绩库!C237="","", MSE成绩库!Z237)</f>
        <v/>
      </c>
      <c r="X237" t="str">
        <f>IF(MSE成绩库!C237="","", MSE成绩库!AA237)</f>
        <v/>
      </c>
      <c r="Y237" t="str">
        <f>IF(MSE成绩库!C237="","", MSE成绩库!AB237)</f>
        <v/>
      </c>
      <c r="Z237" t="str">
        <f>IF(MSE成绩库!C237="","", MSE成绩库!AC237)</f>
        <v/>
      </c>
    </row>
    <row r="238" spans="1:26" x14ac:dyDescent="0.2">
      <c r="A238" t="str">
        <f>IF(MSE成绩库!C238="","", MSE成绩库!C238)</f>
        <v/>
      </c>
      <c r="B238" t="str">
        <f>IF(MSE成绩库!AD238="","", MSE成绩库!AD238)</f>
        <v/>
      </c>
      <c r="C238" t="str">
        <f>IF(MSE成绩库!B238="","", MSE成绩库!B238)</f>
        <v/>
      </c>
      <c r="D238" t="str">
        <f>IF(MSE成绩库!D238="","", MSE成绩库!D238)</f>
        <v/>
      </c>
      <c r="E238" t="str">
        <f>IF(MSE成绩库!C238="","", MSE成绩库!E238)</f>
        <v/>
      </c>
      <c r="F238" t="str">
        <f>IF(MSE成绩库!C238="","", MSE成绩库!F238)</f>
        <v/>
      </c>
      <c r="G238" t="str">
        <f>IF(MSE成绩库!C238="","", MSE成绩库!G238)</f>
        <v/>
      </c>
      <c r="H238" t="str">
        <f>IF(MSE成绩库!C238="","", MSE成绩库!H238)</f>
        <v/>
      </c>
      <c r="I238" t="str">
        <f>IF(MSE成绩库!C238="","", MSE成绩库!I238)</f>
        <v/>
      </c>
      <c r="J238" t="str">
        <f>IF(MSE成绩库!C238="","", MSE成绩库!J238)</f>
        <v/>
      </c>
      <c r="K238" t="str">
        <f>IF(MSE成绩库!C238="","", MSE成绩库!K238)</f>
        <v/>
      </c>
      <c r="L238" t="str">
        <f>IF(MSE成绩库!C238="","", MSE成绩库!M238)</f>
        <v/>
      </c>
      <c r="M238" t="str">
        <f>IF(MSE成绩库!C238="","", MSE成绩库!N238)</f>
        <v/>
      </c>
      <c r="N238" t="str">
        <f>IF(MSE成绩库!C238="","", MSE成绩库!O238)</f>
        <v/>
      </c>
      <c r="O238" t="str">
        <f>IF(MSE成绩库!C238="","", MSE成绩库!Q238)</f>
        <v/>
      </c>
      <c r="P238" t="str">
        <f>IF(MSE成绩库!C238="","", MSE成绩库!R238)</f>
        <v/>
      </c>
      <c r="Q238" t="str">
        <f>IF(MSE成绩库!C238="","", MSE成绩库!S238)</f>
        <v/>
      </c>
      <c r="R238" t="str">
        <f>IF(MSE成绩库!C238="","", MSE成绩库!T238)</f>
        <v/>
      </c>
      <c r="S238" t="str">
        <f>IF(MSE成绩库!C238="","", MSE成绩库!U238)</f>
        <v/>
      </c>
      <c r="T238" t="str">
        <f>IF(MSE成绩库!C238="","", MSE成绩库!V238)</f>
        <v/>
      </c>
      <c r="U238" t="str">
        <f>IF(MSE成绩库!C238="","", MSE成绩库!X238)</f>
        <v/>
      </c>
      <c r="V238" t="str">
        <f>IF(MSE成绩库!C238="","", MSE成绩库!Y238)</f>
        <v/>
      </c>
      <c r="W238" t="str">
        <f>IF(MSE成绩库!C238="","", MSE成绩库!Z238)</f>
        <v/>
      </c>
      <c r="X238" t="str">
        <f>IF(MSE成绩库!C238="","", MSE成绩库!AA238)</f>
        <v/>
      </c>
      <c r="Y238" t="str">
        <f>IF(MSE成绩库!C238="","", MSE成绩库!AB238)</f>
        <v/>
      </c>
      <c r="Z238" t="str">
        <f>IF(MSE成绩库!C238="","", MSE成绩库!AC238)</f>
        <v/>
      </c>
    </row>
    <row r="239" spans="1:26" x14ac:dyDescent="0.2">
      <c r="A239" t="str">
        <f>IF(MSE成绩库!C239="","", MSE成绩库!C239)</f>
        <v/>
      </c>
      <c r="B239" t="str">
        <f>IF(MSE成绩库!AD239="","", MSE成绩库!AD239)</f>
        <v/>
      </c>
      <c r="C239" t="str">
        <f>IF(MSE成绩库!B239="","", MSE成绩库!B239)</f>
        <v/>
      </c>
      <c r="D239" t="str">
        <f>IF(MSE成绩库!D239="","", MSE成绩库!D239)</f>
        <v/>
      </c>
      <c r="E239" t="str">
        <f>IF(MSE成绩库!C239="","", MSE成绩库!E239)</f>
        <v/>
      </c>
      <c r="F239" t="str">
        <f>IF(MSE成绩库!C239="","", MSE成绩库!F239)</f>
        <v/>
      </c>
      <c r="G239" t="str">
        <f>IF(MSE成绩库!C239="","", MSE成绩库!G239)</f>
        <v/>
      </c>
      <c r="H239" t="str">
        <f>IF(MSE成绩库!C239="","", MSE成绩库!H239)</f>
        <v/>
      </c>
      <c r="I239" t="str">
        <f>IF(MSE成绩库!C239="","", MSE成绩库!I239)</f>
        <v/>
      </c>
      <c r="J239" t="str">
        <f>IF(MSE成绩库!C239="","", MSE成绩库!J239)</f>
        <v/>
      </c>
      <c r="K239" t="str">
        <f>IF(MSE成绩库!C239="","", MSE成绩库!K239)</f>
        <v/>
      </c>
      <c r="L239" t="str">
        <f>IF(MSE成绩库!C239="","", MSE成绩库!M239)</f>
        <v/>
      </c>
      <c r="M239" t="str">
        <f>IF(MSE成绩库!C239="","", MSE成绩库!N239)</f>
        <v/>
      </c>
      <c r="N239" t="str">
        <f>IF(MSE成绩库!C239="","", MSE成绩库!O239)</f>
        <v/>
      </c>
      <c r="O239" t="str">
        <f>IF(MSE成绩库!C239="","", MSE成绩库!Q239)</f>
        <v/>
      </c>
      <c r="P239" t="str">
        <f>IF(MSE成绩库!C239="","", MSE成绩库!R239)</f>
        <v/>
      </c>
      <c r="Q239" t="str">
        <f>IF(MSE成绩库!C239="","", MSE成绩库!S239)</f>
        <v/>
      </c>
      <c r="R239" t="str">
        <f>IF(MSE成绩库!C239="","", MSE成绩库!T239)</f>
        <v/>
      </c>
      <c r="S239" t="str">
        <f>IF(MSE成绩库!C239="","", MSE成绩库!U239)</f>
        <v/>
      </c>
      <c r="T239" t="str">
        <f>IF(MSE成绩库!C239="","", MSE成绩库!V239)</f>
        <v/>
      </c>
      <c r="U239" t="str">
        <f>IF(MSE成绩库!C239="","", MSE成绩库!X239)</f>
        <v/>
      </c>
      <c r="V239" t="str">
        <f>IF(MSE成绩库!C239="","", MSE成绩库!Y239)</f>
        <v/>
      </c>
      <c r="W239" t="str">
        <f>IF(MSE成绩库!C239="","", MSE成绩库!Z239)</f>
        <v/>
      </c>
      <c r="X239" t="str">
        <f>IF(MSE成绩库!C239="","", MSE成绩库!AA239)</f>
        <v/>
      </c>
      <c r="Y239" t="str">
        <f>IF(MSE成绩库!C239="","", MSE成绩库!AB239)</f>
        <v/>
      </c>
      <c r="Z239" t="str">
        <f>IF(MSE成绩库!C239="","", MSE成绩库!AC239)</f>
        <v/>
      </c>
    </row>
    <row r="240" spans="1:26" x14ac:dyDescent="0.2">
      <c r="A240" t="str">
        <f>IF(MSE成绩库!C240="","", MSE成绩库!C240)</f>
        <v/>
      </c>
      <c r="B240" t="str">
        <f>IF(MSE成绩库!AD240="","", MSE成绩库!AD240)</f>
        <v/>
      </c>
      <c r="C240" t="str">
        <f>IF(MSE成绩库!B240="","", MSE成绩库!B240)</f>
        <v/>
      </c>
      <c r="D240" t="str">
        <f>IF(MSE成绩库!D240="","", MSE成绩库!D240)</f>
        <v/>
      </c>
      <c r="E240" t="str">
        <f>IF(MSE成绩库!C240="","", MSE成绩库!E240)</f>
        <v/>
      </c>
      <c r="F240" t="str">
        <f>IF(MSE成绩库!C240="","", MSE成绩库!F240)</f>
        <v/>
      </c>
      <c r="G240" t="str">
        <f>IF(MSE成绩库!C240="","", MSE成绩库!G240)</f>
        <v/>
      </c>
      <c r="H240" t="str">
        <f>IF(MSE成绩库!C240="","", MSE成绩库!H240)</f>
        <v/>
      </c>
      <c r="I240" t="str">
        <f>IF(MSE成绩库!C240="","", MSE成绩库!I240)</f>
        <v/>
      </c>
      <c r="J240" t="str">
        <f>IF(MSE成绩库!C240="","", MSE成绩库!J240)</f>
        <v/>
      </c>
      <c r="K240" t="str">
        <f>IF(MSE成绩库!C240="","", MSE成绩库!K240)</f>
        <v/>
      </c>
      <c r="L240" t="str">
        <f>IF(MSE成绩库!C240="","", MSE成绩库!M240)</f>
        <v/>
      </c>
      <c r="M240" t="str">
        <f>IF(MSE成绩库!C240="","", MSE成绩库!N240)</f>
        <v/>
      </c>
      <c r="N240" t="str">
        <f>IF(MSE成绩库!C240="","", MSE成绩库!O240)</f>
        <v/>
      </c>
      <c r="O240" t="str">
        <f>IF(MSE成绩库!C240="","", MSE成绩库!Q240)</f>
        <v/>
      </c>
      <c r="P240" t="str">
        <f>IF(MSE成绩库!C240="","", MSE成绩库!R240)</f>
        <v/>
      </c>
      <c r="Q240" t="str">
        <f>IF(MSE成绩库!C240="","", MSE成绩库!S240)</f>
        <v/>
      </c>
      <c r="R240" t="str">
        <f>IF(MSE成绩库!C240="","", MSE成绩库!T240)</f>
        <v/>
      </c>
      <c r="S240" t="str">
        <f>IF(MSE成绩库!C240="","", MSE成绩库!U240)</f>
        <v/>
      </c>
      <c r="T240" t="str">
        <f>IF(MSE成绩库!C240="","", MSE成绩库!V240)</f>
        <v/>
      </c>
      <c r="U240" t="str">
        <f>IF(MSE成绩库!C240="","", MSE成绩库!X240)</f>
        <v/>
      </c>
      <c r="V240" t="str">
        <f>IF(MSE成绩库!C240="","", MSE成绩库!Y240)</f>
        <v/>
      </c>
      <c r="W240" t="str">
        <f>IF(MSE成绩库!C240="","", MSE成绩库!Z240)</f>
        <v/>
      </c>
      <c r="X240" t="str">
        <f>IF(MSE成绩库!C240="","", MSE成绩库!AA240)</f>
        <v/>
      </c>
      <c r="Y240" t="str">
        <f>IF(MSE成绩库!C240="","", MSE成绩库!AB240)</f>
        <v/>
      </c>
      <c r="Z240" t="str">
        <f>IF(MSE成绩库!C240="","", MSE成绩库!AC240)</f>
        <v/>
      </c>
    </row>
    <row r="241" spans="1:26" x14ac:dyDescent="0.2">
      <c r="A241" t="str">
        <f>IF(MSE成绩库!C241="","", MSE成绩库!C241)</f>
        <v/>
      </c>
      <c r="B241" t="str">
        <f>IF(MSE成绩库!AD241="","", MSE成绩库!AD241)</f>
        <v/>
      </c>
      <c r="C241" t="str">
        <f>IF(MSE成绩库!B241="","", MSE成绩库!B241)</f>
        <v/>
      </c>
      <c r="D241" t="str">
        <f>IF(MSE成绩库!D241="","", MSE成绩库!D241)</f>
        <v/>
      </c>
      <c r="E241" t="str">
        <f>IF(MSE成绩库!C241="","", MSE成绩库!E241)</f>
        <v/>
      </c>
      <c r="F241" t="str">
        <f>IF(MSE成绩库!C241="","", MSE成绩库!F241)</f>
        <v/>
      </c>
      <c r="G241" t="str">
        <f>IF(MSE成绩库!C241="","", MSE成绩库!G241)</f>
        <v/>
      </c>
      <c r="H241" t="str">
        <f>IF(MSE成绩库!C241="","", MSE成绩库!H241)</f>
        <v/>
      </c>
      <c r="I241" t="str">
        <f>IF(MSE成绩库!C241="","", MSE成绩库!I241)</f>
        <v/>
      </c>
      <c r="J241" t="str">
        <f>IF(MSE成绩库!C241="","", MSE成绩库!J241)</f>
        <v/>
      </c>
      <c r="K241" t="str">
        <f>IF(MSE成绩库!C241="","", MSE成绩库!K241)</f>
        <v/>
      </c>
      <c r="L241" t="str">
        <f>IF(MSE成绩库!C241="","", MSE成绩库!M241)</f>
        <v/>
      </c>
      <c r="M241" t="str">
        <f>IF(MSE成绩库!C241="","", MSE成绩库!N241)</f>
        <v/>
      </c>
      <c r="N241" t="str">
        <f>IF(MSE成绩库!C241="","", MSE成绩库!O241)</f>
        <v/>
      </c>
      <c r="O241" t="str">
        <f>IF(MSE成绩库!C241="","", MSE成绩库!Q241)</f>
        <v/>
      </c>
      <c r="P241" t="str">
        <f>IF(MSE成绩库!C241="","", MSE成绩库!R241)</f>
        <v/>
      </c>
      <c r="Q241" t="str">
        <f>IF(MSE成绩库!C241="","", MSE成绩库!S241)</f>
        <v/>
      </c>
      <c r="R241" t="str">
        <f>IF(MSE成绩库!C241="","", MSE成绩库!T241)</f>
        <v/>
      </c>
      <c r="S241" t="str">
        <f>IF(MSE成绩库!C241="","", MSE成绩库!U241)</f>
        <v/>
      </c>
      <c r="T241" t="str">
        <f>IF(MSE成绩库!C241="","", MSE成绩库!V241)</f>
        <v/>
      </c>
      <c r="U241" t="str">
        <f>IF(MSE成绩库!C241="","", MSE成绩库!X241)</f>
        <v/>
      </c>
      <c r="V241" t="str">
        <f>IF(MSE成绩库!C241="","", MSE成绩库!Y241)</f>
        <v/>
      </c>
      <c r="W241" t="str">
        <f>IF(MSE成绩库!C241="","", MSE成绩库!Z241)</f>
        <v/>
      </c>
      <c r="X241" t="str">
        <f>IF(MSE成绩库!C241="","", MSE成绩库!AA241)</f>
        <v/>
      </c>
      <c r="Y241" t="str">
        <f>IF(MSE成绩库!C241="","", MSE成绩库!AB241)</f>
        <v/>
      </c>
      <c r="Z241" t="str">
        <f>IF(MSE成绩库!C241="","", MSE成绩库!AC241)</f>
        <v/>
      </c>
    </row>
    <row r="242" spans="1:26" x14ac:dyDescent="0.2">
      <c r="A242" t="str">
        <f>IF(MSE成绩库!C242="","", MSE成绩库!C242)</f>
        <v/>
      </c>
      <c r="B242" t="str">
        <f>IF(MSE成绩库!AD242="","", MSE成绩库!AD242)</f>
        <v/>
      </c>
      <c r="C242" t="str">
        <f>IF(MSE成绩库!B242="","", MSE成绩库!B242)</f>
        <v/>
      </c>
      <c r="D242" t="str">
        <f>IF(MSE成绩库!D242="","", MSE成绩库!D242)</f>
        <v/>
      </c>
      <c r="E242" t="str">
        <f>IF(MSE成绩库!C242="","", MSE成绩库!E242)</f>
        <v/>
      </c>
      <c r="F242" t="str">
        <f>IF(MSE成绩库!C242="","", MSE成绩库!F242)</f>
        <v/>
      </c>
      <c r="G242" t="str">
        <f>IF(MSE成绩库!C242="","", MSE成绩库!G242)</f>
        <v/>
      </c>
      <c r="H242" t="str">
        <f>IF(MSE成绩库!C242="","", MSE成绩库!H242)</f>
        <v/>
      </c>
      <c r="I242" t="str">
        <f>IF(MSE成绩库!C242="","", MSE成绩库!I242)</f>
        <v/>
      </c>
      <c r="J242" t="str">
        <f>IF(MSE成绩库!C242="","", MSE成绩库!J242)</f>
        <v/>
      </c>
      <c r="K242" t="str">
        <f>IF(MSE成绩库!C242="","", MSE成绩库!K242)</f>
        <v/>
      </c>
      <c r="L242" t="str">
        <f>IF(MSE成绩库!C242="","", MSE成绩库!M242)</f>
        <v/>
      </c>
      <c r="M242" t="str">
        <f>IF(MSE成绩库!C242="","", MSE成绩库!N242)</f>
        <v/>
      </c>
      <c r="N242" t="str">
        <f>IF(MSE成绩库!C242="","", MSE成绩库!O242)</f>
        <v/>
      </c>
      <c r="O242" t="str">
        <f>IF(MSE成绩库!C242="","", MSE成绩库!Q242)</f>
        <v/>
      </c>
      <c r="P242" t="str">
        <f>IF(MSE成绩库!C242="","", MSE成绩库!R242)</f>
        <v/>
      </c>
      <c r="Q242" t="str">
        <f>IF(MSE成绩库!C242="","", MSE成绩库!S242)</f>
        <v/>
      </c>
      <c r="R242" t="str">
        <f>IF(MSE成绩库!C242="","", MSE成绩库!T242)</f>
        <v/>
      </c>
      <c r="S242" t="str">
        <f>IF(MSE成绩库!C242="","", MSE成绩库!U242)</f>
        <v/>
      </c>
      <c r="T242" t="str">
        <f>IF(MSE成绩库!C242="","", MSE成绩库!V242)</f>
        <v/>
      </c>
      <c r="U242" t="str">
        <f>IF(MSE成绩库!C242="","", MSE成绩库!X242)</f>
        <v/>
      </c>
      <c r="V242" t="str">
        <f>IF(MSE成绩库!C242="","", MSE成绩库!Y242)</f>
        <v/>
      </c>
      <c r="W242" t="str">
        <f>IF(MSE成绩库!C242="","", MSE成绩库!Z242)</f>
        <v/>
      </c>
      <c r="X242" t="str">
        <f>IF(MSE成绩库!C242="","", MSE成绩库!AA242)</f>
        <v/>
      </c>
      <c r="Y242" t="str">
        <f>IF(MSE成绩库!C242="","", MSE成绩库!AB242)</f>
        <v/>
      </c>
      <c r="Z242" t="str">
        <f>IF(MSE成绩库!C242="","", MSE成绩库!AC242)</f>
        <v/>
      </c>
    </row>
    <row r="243" spans="1:26" x14ac:dyDescent="0.2">
      <c r="A243" t="str">
        <f>IF(MSE成绩库!C243="","", MSE成绩库!C243)</f>
        <v/>
      </c>
      <c r="B243" t="str">
        <f>IF(MSE成绩库!AD243="","", MSE成绩库!AD243)</f>
        <v/>
      </c>
      <c r="C243" t="str">
        <f>IF(MSE成绩库!B243="","", MSE成绩库!B243)</f>
        <v/>
      </c>
      <c r="D243" t="str">
        <f>IF(MSE成绩库!D243="","", MSE成绩库!D243)</f>
        <v/>
      </c>
      <c r="E243" t="str">
        <f>IF(MSE成绩库!C243="","", MSE成绩库!E243)</f>
        <v/>
      </c>
      <c r="F243" t="str">
        <f>IF(MSE成绩库!C243="","", MSE成绩库!F243)</f>
        <v/>
      </c>
      <c r="G243" t="str">
        <f>IF(MSE成绩库!C243="","", MSE成绩库!G243)</f>
        <v/>
      </c>
      <c r="H243" t="str">
        <f>IF(MSE成绩库!C243="","", MSE成绩库!H243)</f>
        <v/>
      </c>
      <c r="I243" t="str">
        <f>IF(MSE成绩库!C243="","", MSE成绩库!I243)</f>
        <v/>
      </c>
      <c r="J243" t="str">
        <f>IF(MSE成绩库!C243="","", MSE成绩库!J243)</f>
        <v/>
      </c>
      <c r="K243" t="str">
        <f>IF(MSE成绩库!C243="","", MSE成绩库!K243)</f>
        <v/>
      </c>
      <c r="L243" t="str">
        <f>IF(MSE成绩库!C243="","", MSE成绩库!M243)</f>
        <v/>
      </c>
      <c r="M243" t="str">
        <f>IF(MSE成绩库!C243="","", MSE成绩库!N243)</f>
        <v/>
      </c>
      <c r="N243" t="str">
        <f>IF(MSE成绩库!C243="","", MSE成绩库!O243)</f>
        <v/>
      </c>
      <c r="O243" t="str">
        <f>IF(MSE成绩库!C243="","", MSE成绩库!Q243)</f>
        <v/>
      </c>
      <c r="P243" t="str">
        <f>IF(MSE成绩库!C243="","", MSE成绩库!R243)</f>
        <v/>
      </c>
      <c r="Q243" t="str">
        <f>IF(MSE成绩库!C243="","", MSE成绩库!S243)</f>
        <v/>
      </c>
      <c r="R243" t="str">
        <f>IF(MSE成绩库!C243="","", MSE成绩库!T243)</f>
        <v/>
      </c>
      <c r="S243" t="str">
        <f>IF(MSE成绩库!C243="","", MSE成绩库!U243)</f>
        <v/>
      </c>
      <c r="T243" t="str">
        <f>IF(MSE成绩库!C243="","", MSE成绩库!V243)</f>
        <v/>
      </c>
      <c r="U243" t="str">
        <f>IF(MSE成绩库!C243="","", MSE成绩库!X243)</f>
        <v/>
      </c>
      <c r="V243" t="str">
        <f>IF(MSE成绩库!C243="","", MSE成绩库!Y243)</f>
        <v/>
      </c>
      <c r="W243" t="str">
        <f>IF(MSE成绩库!C243="","", MSE成绩库!Z243)</f>
        <v/>
      </c>
      <c r="X243" t="str">
        <f>IF(MSE成绩库!C243="","", MSE成绩库!AA243)</f>
        <v/>
      </c>
      <c r="Y243" t="str">
        <f>IF(MSE成绩库!C243="","", MSE成绩库!AB243)</f>
        <v/>
      </c>
      <c r="Z243" t="str">
        <f>IF(MSE成绩库!C243="","", MSE成绩库!AC243)</f>
        <v/>
      </c>
    </row>
    <row r="244" spans="1:26" x14ac:dyDescent="0.2">
      <c r="A244" t="str">
        <f>IF(MSE成绩库!C244="","", MSE成绩库!C244)</f>
        <v/>
      </c>
      <c r="B244" t="str">
        <f>IF(MSE成绩库!AD244="","", MSE成绩库!AD244)</f>
        <v/>
      </c>
      <c r="C244" t="str">
        <f>IF(MSE成绩库!B244="","", MSE成绩库!B244)</f>
        <v/>
      </c>
      <c r="D244" t="str">
        <f>IF(MSE成绩库!D244="","", MSE成绩库!D244)</f>
        <v/>
      </c>
      <c r="E244" t="str">
        <f>IF(MSE成绩库!C244="","", MSE成绩库!E244)</f>
        <v/>
      </c>
      <c r="F244" t="str">
        <f>IF(MSE成绩库!C244="","", MSE成绩库!F244)</f>
        <v/>
      </c>
      <c r="G244" t="str">
        <f>IF(MSE成绩库!C244="","", MSE成绩库!G244)</f>
        <v/>
      </c>
      <c r="H244" t="str">
        <f>IF(MSE成绩库!C244="","", MSE成绩库!H244)</f>
        <v/>
      </c>
      <c r="I244" t="str">
        <f>IF(MSE成绩库!C244="","", MSE成绩库!I244)</f>
        <v/>
      </c>
      <c r="J244" t="str">
        <f>IF(MSE成绩库!C244="","", MSE成绩库!J244)</f>
        <v/>
      </c>
      <c r="K244" t="str">
        <f>IF(MSE成绩库!C244="","", MSE成绩库!K244)</f>
        <v/>
      </c>
      <c r="L244" t="str">
        <f>IF(MSE成绩库!C244="","", MSE成绩库!M244)</f>
        <v/>
      </c>
      <c r="M244" t="str">
        <f>IF(MSE成绩库!C244="","", MSE成绩库!N244)</f>
        <v/>
      </c>
      <c r="N244" t="str">
        <f>IF(MSE成绩库!C244="","", MSE成绩库!O244)</f>
        <v/>
      </c>
      <c r="O244" t="str">
        <f>IF(MSE成绩库!C244="","", MSE成绩库!Q244)</f>
        <v/>
      </c>
      <c r="P244" t="str">
        <f>IF(MSE成绩库!C244="","", MSE成绩库!R244)</f>
        <v/>
      </c>
      <c r="Q244" t="str">
        <f>IF(MSE成绩库!C244="","", MSE成绩库!S244)</f>
        <v/>
      </c>
      <c r="R244" t="str">
        <f>IF(MSE成绩库!C244="","", MSE成绩库!T244)</f>
        <v/>
      </c>
      <c r="S244" t="str">
        <f>IF(MSE成绩库!C244="","", MSE成绩库!U244)</f>
        <v/>
      </c>
      <c r="T244" t="str">
        <f>IF(MSE成绩库!C244="","", MSE成绩库!V244)</f>
        <v/>
      </c>
      <c r="U244" t="str">
        <f>IF(MSE成绩库!C244="","", MSE成绩库!X244)</f>
        <v/>
      </c>
      <c r="V244" t="str">
        <f>IF(MSE成绩库!C244="","", MSE成绩库!Y244)</f>
        <v/>
      </c>
      <c r="W244" t="str">
        <f>IF(MSE成绩库!C244="","", MSE成绩库!Z244)</f>
        <v/>
      </c>
      <c r="X244" t="str">
        <f>IF(MSE成绩库!C244="","", MSE成绩库!AA244)</f>
        <v/>
      </c>
      <c r="Y244" t="str">
        <f>IF(MSE成绩库!C244="","", MSE成绩库!AB244)</f>
        <v/>
      </c>
      <c r="Z244" t="str">
        <f>IF(MSE成绩库!C244="","", MSE成绩库!AC244)</f>
        <v/>
      </c>
    </row>
    <row r="245" spans="1:26" x14ac:dyDescent="0.2">
      <c r="A245" t="str">
        <f>IF(MSE成绩库!C245="","", MSE成绩库!C245)</f>
        <v/>
      </c>
      <c r="B245" t="str">
        <f>IF(MSE成绩库!AD245="","", MSE成绩库!AD245)</f>
        <v/>
      </c>
      <c r="C245" t="str">
        <f>IF(MSE成绩库!B245="","", MSE成绩库!B245)</f>
        <v/>
      </c>
      <c r="D245" t="str">
        <f>IF(MSE成绩库!D245="","", MSE成绩库!D245)</f>
        <v/>
      </c>
      <c r="E245" t="str">
        <f>IF(MSE成绩库!C245="","", MSE成绩库!E245)</f>
        <v/>
      </c>
      <c r="F245" t="str">
        <f>IF(MSE成绩库!C245="","", MSE成绩库!F245)</f>
        <v/>
      </c>
      <c r="G245" t="str">
        <f>IF(MSE成绩库!C245="","", MSE成绩库!G245)</f>
        <v/>
      </c>
      <c r="H245" t="str">
        <f>IF(MSE成绩库!C245="","", MSE成绩库!H245)</f>
        <v/>
      </c>
      <c r="I245" t="str">
        <f>IF(MSE成绩库!C245="","", MSE成绩库!I245)</f>
        <v/>
      </c>
      <c r="J245" t="str">
        <f>IF(MSE成绩库!C245="","", MSE成绩库!J245)</f>
        <v/>
      </c>
      <c r="K245" t="str">
        <f>IF(MSE成绩库!C245="","", MSE成绩库!K245)</f>
        <v/>
      </c>
      <c r="L245" t="str">
        <f>IF(MSE成绩库!C245="","", MSE成绩库!M245)</f>
        <v/>
      </c>
      <c r="M245" t="str">
        <f>IF(MSE成绩库!C245="","", MSE成绩库!N245)</f>
        <v/>
      </c>
      <c r="N245" t="str">
        <f>IF(MSE成绩库!C245="","", MSE成绩库!O245)</f>
        <v/>
      </c>
      <c r="O245" t="str">
        <f>IF(MSE成绩库!C245="","", MSE成绩库!Q245)</f>
        <v/>
      </c>
      <c r="P245" t="str">
        <f>IF(MSE成绩库!C245="","", MSE成绩库!R245)</f>
        <v/>
      </c>
      <c r="Q245" t="str">
        <f>IF(MSE成绩库!C245="","", MSE成绩库!S245)</f>
        <v/>
      </c>
      <c r="R245" t="str">
        <f>IF(MSE成绩库!C245="","", MSE成绩库!T245)</f>
        <v/>
      </c>
      <c r="S245" t="str">
        <f>IF(MSE成绩库!C245="","", MSE成绩库!U245)</f>
        <v/>
      </c>
      <c r="T245" t="str">
        <f>IF(MSE成绩库!C245="","", MSE成绩库!V245)</f>
        <v/>
      </c>
      <c r="U245" t="str">
        <f>IF(MSE成绩库!C245="","", MSE成绩库!X245)</f>
        <v/>
      </c>
      <c r="V245" t="str">
        <f>IF(MSE成绩库!C245="","", MSE成绩库!Y245)</f>
        <v/>
      </c>
      <c r="W245" t="str">
        <f>IF(MSE成绩库!C245="","", MSE成绩库!Z245)</f>
        <v/>
      </c>
      <c r="X245" t="str">
        <f>IF(MSE成绩库!C245="","", MSE成绩库!AA245)</f>
        <v/>
      </c>
      <c r="Y245" t="str">
        <f>IF(MSE成绩库!C245="","", MSE成绩库!AB245)</f>
        <v/>
      </c>
      <c r="Z245" t="str">
        <f>IF(MSE成绩库!C245="","", MSE成绩库!AC245)</f>
        <v/>
      </c>
    </row>
    <row r="246" spans="1:26" x14ac:dyDescent="0.2">
      <c r="A246" t="str">
        <f>IF(MSE成绩库!C246="","", MSE成绩库!C246)</f>
        <v/>
      </c>
      <c r="B246" t="str">
        <f>IF(MSE成绩库!AD246="","", MSE成绩库!AD246)</f>
        <v/>
      </c>
      <c r="C246" t="str">
        <f>IF(MSE成绩库!B246="","", MSE成绩库!B246)</f>
        <v/>
      </c>
      <c r="D246" t="str">
        <f>IF(MSE成绩库!D246="","", MSE成绩库!D246)</f>
        <v/>
      </c>
      <c r="E246" t="str">
        <f>IF(MSE成绩库!C246="","", MSE成绩库!E246)</f>
        <v/>
      </c>
      <c r="F246" t="str">
        <f>IF(MSE成绩库!C246="","", MSE成绩库!F246)</f>
        <v/>
      </c>
      <c r="G246" t="str">
        <f>IF(MSE成绩库!C246="","", MSE成绩库!G246)</f>
        <v/>
      </c>
      <c r="H246" t="str">
        <f>IF(MSE成绩库!C246="","", MSE成绩库!H246)</f>
        <v/>
      </c>
      <c r="I246" t="str">
        <f>IF(MSE成绩库!C246="","", MSE成绩库!I246)</f>
        <v/>
      </c>
      <c r="J246" t="str">
        <f>IF(MSE成绩库!C246="","", MSE成绩库!J246)</f>
        <v/>
      </c>
      <c r="K246" t="str">
        <f>IF(MSE成绩库!C246="","", MSE成绩库!K246)</f>
        <v/>
      </c>
      <c r="L246" t="str">
        <f>IF(MSE成绩库!C246="","", MSE成绩库!M246)</f>
        <v/>
      </c>
      <c r="M246" t="str">
        <f>IF(MSE成绩库!C246="","", MSE成绩库!N246)</f>
        <v/>
      </c>
      <c r="N246" t="str">
        <f>IF(MSE成绩库!C246="","", MSE成绩库!O246)</f>
        <v/>
      </c>
      <c r="O246" t="str">
        <f>IF(MSE成绩库!C246="","", MSE成绩库!Q246)</f>
        <v/>
      </c>
      <c r="P246" t="str">
        <f>IF(MSE成绩库!C246="","", MSE成绩库!R246)</f>
        <v/>
      </c>
      <c r="Q246" t="str">
        <f>IF(MSE成绩库!C246="","", MSE成绩库!S246)</f>
        <v/>
      </c>
      <c r="R246" t="str">
        <f>IF(MSE成绩库!C246="","", MSE成绩库!T246)</f>
        <v/>
      </c>
      <c r="S246" t="str">
        <f>IF(MSE成绩库!C246="","", MSE成绩库!U246)</f>
        <v/>
      </c>
      <c r="T246" t="str">
        <f>IF(MSE成绩库!C246="","", MSE成绩库!V246)</f>
        <v/>
      </c>
      <c r="U246" t="str">
        <f>IF(MSE成绩库!C246="","", MSE成绩库!X246)</f>
        <v/>
      </c>
      <c r="V246" t="str">
        <f>IF(MSE成绩库!C246="","", MSE成绩库!Y246)</f>
        <v/>
      </c>
      <c r="W246" t="str">
        <f>IF(MSE成绩库!C246="","", MSE成绩库!Z246)</f>
        <v/>
      </c>
      <c r="X246" t="str">
        <f>IF(MSE成绩库!C246="","", MSE成绩库!AA246)</f>
        <v/>
      </c>
      <c r="Y246" t="str">
        <f>IF(MSE成绩库!C246="","", MSE成绩库!AB246)</f>
        <v/>
      </c>
      <c r="Z246" t="str">
        <f>IF(MSE成绩库!C246="","", MSE成绩库!AC246)</f>
        <v/>
      </c>
    </row>
    <row r="247" spans="1:26" x14ac:dyDescent="0.2">
      <c r="A247" t="str">
        <f>IF(MSE成绩库!C247="","", MSE成绩库!C247)</f>
        <v/>
      </c>
      <c r="B247" t="str">
        <f>IF(MSE成绩库!AD247="","", MSE成绩库!AD247)</f>
        <v/>
      </c>
      <c r="C247" t="str">
        <f>IF(MSE成绩库!B247="","", MSE成绩库!B247)</f>
        <v/>
      </c>
      <c r="D247" t="str">
        <f>IF(MSE成绩库!D247="","", MSE成绩库!D247)</f>
        <v/>
      </c>
      <c r="E247" t="str">
        <f>IF(MSE成绩库!C247="","", MSE成绩库!E247)</f>
        <v/>
      </c>
      <c r="F247" t="str">
        <f>IF(MSE成绩库!C247="","", MSE成绩库!F247)</f>
        <v/>
      </c>
      <c r="G247" t="str">
        <f>IF(MSE成绩库!C247="","", MSE成绩库!G247)</f>
        <v/>
      </c>
      <c r="H247" t="str">
        <f>IF(MSE成绩库!C247="","", MSE成绩库!H247)</f>
        <v/>
      </c>
      <c r="I247" t="str">
        <f>IF(MSE成绩库!C247="","", MSE成绩库!I247)</f>
        <v/>
      </c>
      <c r="J247" t="str">
        <f>IF(MSE成绩库!C247="","", MSE成绩库!J247)</f>
        <v/>
      </c>
      <c r="K247" t="str">
        <f>IF(MSE成绩库!C247="","", MSE成绩库!K247)</f>
        <v/>
      </c>
      <c r="L247" t="str">
        <f>IF(MSE成绩库!C247="","", MSE成绩库!M247)</f>
        <v/>
      </c>
      <c r="M247" t="str">
        <f>IF(MSE成绩库!C247="","", MSE成绩库!N247)</f>
        <v/>
      </c>
      <c r="N247" t="str">
        <f>IF(MSE成绩库!C247="","", MSE成绩库!O247)</f>
        <v/>
      </c>
      <c r="O247" t="str">
        <f>IF(MSE成绩库!C247="","", MSE成绩库!Q247)</f>
        <v/>
      </c>
      <c r="P247" t="str">
        <f>IF(MSE成绩库!C247="","", MSE成绩库!R247)</f>
        <v/>
      </c>
      <c r="Q247" t="str">
        <f>IF(MSE成绩库!C247="","", MSE成绩库!S247)</f>
        <v/>
      </c>
      <c r="R247" t="str">
        <f>IF(MSE成绩库!C247="","", MSE成绩库!T247)</f>
        <v/>
      </c>
      <c r="S247" t="str">
        <f>IF(MSE成绩库!C247="","", MSE成绩库!U247)</f>
        <v/>
      </c>
      <c r="T247" t="str">
        <f>IF(MSE成绩库!C247="","", MSE成绩库!V247)</f>
        <v/>
      </c>
      <c r="U247" t="str">
        <f>IF(MSE成绩库!C247="","", MSE成绩库!X247)</f>
        <v/>
      </c>
      <c r="V247" t="str">
        <f>IF(MSE成绩库!C247="","", MSE成绩库!Y247)</f>
        <v/>
      </c>
      <c r="W247" t="str">
        <f>IF(MSE成绩库!C247="","", MSE成绩库!Z247)</f>
        <v/>
      </c>
      <c r="X247" t="str">
        <f>IF(MSE成绩库!C247="","", MSE成绩库!AA247)</f>
        <v/>
      </c>
      <c r="Y247" t="str">
        <f>IF(MSE成绩库!C247="","", MSE成绩库!AB247)</f>
        <v/>
      </c>
      <c r="Z247" t="str">
        <f>IF(MSE成绩库!C247="","", MSE成绩库!AC247)</f>
        <v/>
      </c>
    </row>
    <row r="248" spans="1:26" x14ac:dyDescent="0.2">
      <c r="A248" t="str">
        <f>IF(MSE成绩库!C248="","", MSE成绩库!C248)</f>
        <v/>
      </c>
      <c r="B248" t="str">
        <f>IF(MSE成绩库!AD248="","", MSE成绩库!AD248)</f>
        <v/>
      </c>
      <c r="C248" t="str">
        <f>IF(MSE成绩库!B248="","", MSE成绩库!B248)</f>
        <v/>
      </c>
      <c r="D248" t="str">
        <f>IF(MSE成绩库!D248="","", MSE成绩库!D248)</f>
        <v/>
      </c>
      <c r="E248" t="str">
        <f>IF(MSE成绩库!C248="","", MSE成绩库!E248)</f>
        <v/>
      </c>
      <c r="F248" t="str">
        <f>IF(MSE成绩库!C248="","", MSE成绩库!F248)</f>
        <v/>
      </c>
      <c r="G248" t="str">
        <f>IF(MSE成绩库!C248="","", MSE成绩库!G248)</f>
        <v/>
      </c>
      <c r="H248" t="str">
        <f>IF(MSE成绩库!C248="","", MSE成绩库!H248)</f>
        <v/>
      </c>
      <c r="I248" t="str">
        <f>IF(MSE成绩库!C248="","", MSE成绩库!I248)</f>
        <v/>
      </c>
      <c r="J248" t="str">
        <f>IF(MSE成绩库!C248="","", MSE成绩库!J248)</f>
        <v/>
      </c>
      <c r="K248" t="str">
        <f>IF(MSE成绩库!C248="","", MSE成绩库!K248)</f>
        <v/>
      </c>
      <c r="L248" t="str">
        <f>IF(MSE成绩库!C248="","", MSE成绩库!M248)</f>
        <v/>
      </c>
      <c r="M248" t="str">
        <f>IF(MSE成绩库!C248="","", MSE成绩库!N248)</f>
        <v/>
      </c>
      <c r="N248" t="str">
        <f>IF(MSE成绩库!C248="","", MSE成绩库!O248)</f>
        <v/>
      </c>
      <c r="O248" t="str">
        <f>IF(MSE成绩库!C248="","", MSE成绩库!Q248)</f>
        <v/>
      </c>
      <c r="P248" t="str">
        <f>IF(MSE成绩库!C248="","", MSE成绩库!R248)</f>
        <v/>
      </c>
      <c r="Q248" t="str">
        <f>IF(MSE成绩库!C248="","", MSE成绩库!S248)</f>
        <v/>
      </c>
      <c r="R248" t="str">
        <f>IF(MSE成绩库!C248="","", MSE成绩库!T248)</f>
        <v/>
      </c>
      <c r="S248" t="str">
        <f>IF(MSE成绩库!C248="","", MSE成绩库!U248)</f>
        <v/>
      </c>
      <c r="T248" t="str">
        <f>IF(MSE成绩库!C248="","", MSE成绩库!V248)</f>
        <v/>
      </c>
      <c r="U248" t="str">
        <f>IF(MSE成绩库!C248="","", MSE成绩库!X248)</f>
        <v/>
      </c>
      <c r="V248" t="str">
        <f>IF(MSE成绩库!C248="","", MSE成绩库!Y248)</f>
        <v/>
      </c>
      <c r="W248" t="str">
        <f>IF(MSE成绩库!C248="","", MSE成绩库!Z248)</f>
        <v/>
      </c>
      <c r="X248" t="str">
        <f>IF(MSE成绩库!C248="","", MSE成绩库!AA248)</f>
        <v/>
      </c>
      <c r="Y248" t="str">
        <f>IF(MSE成绩库!C248="","", MSE成绩库!AB248)</f>
        <v/>
      </c>
      <c r="Z248" t="str">
        <f>IF(MSE成绩库!C248="","", MSE成绩库!AC248)</f>
        <v/>
      </c>
    </row>
    <row r="249" spans="1:26" x14ac:dyDescent="0.2">
      <c r="A249" t="str">
        <f>IF(MSE成绩库!C249="","", MSE成绩库!C249)</f>
        <v/>
      </c>
      <c r="B249" t="str">
        <f>IF(MSE成绩库!AD249="","", MSE成绩库!AD249)</f>
        <v/>
      </c>
      <c r="C249" t="str">
        <f>IF(MSE成绩库!B249="","", MSE成绩库!B249)</f>
        <v/>
      </c>
      <c r="D249" t="str">
        <f>IF(MSE成绩库!D249="","", MSE成绩库!D249)</f>
        <v/>
      </c>
      <c r="E249" t="str">
        <f>IF(MSE成绩库!C249="","", MSE成绩库!E249)</f>
        <v/>
      </c>
      <c r="F249" t="str">
        <f>IF(MSE成绩库!C249="","", MSE成绩库!F249)</f>
        <v/>
      </c>
      <c r="G249" t="str">
        <f>IF(MSE成绩库!C249="","", MSE成绩库!G249)</f>
        <v/>
      </c>
      <c r="H249" t="str">
        <f>IF(MSE成绩库!C249="","", MSE成绩库!H249)</f>
        <v/>
      </c>
      <c r="I249" t="str">
        <f>IF(MSE成绩库!C249="","", MSE成绩库!I249)</f>
        <v/>
      </c>
      <c r="J249" t="str">
        <f>IF(MSE成绩库!C249="","", MSE成绩库!J249)</f>
        <v/>
      </c>
      <c r="K249" t="str">
        <f>IF(MSE成绩库!C249="","", MSE成绩库!K249)</f>
        <v/>
      </c>
      <c r="L249" t="str">
        <f>IF(MSE成绩库!C249="","", MSE成绩库!M249)</f>
        <v/>
      </c>
      <c r="M249" t="str">
        <f>IF(MSE成绩库!C249="","", MSE成绩库!N249)</f>
        <v/>
      </c>
      <c r="N249" t="str">
        <f>IF(MSE成绩库!C249="","", MSE成绩库!O249)</f>
        <v/>
      </c>
      <c r="O249" t="str">
        <f>IF(MSE成绩库!C249="","", MSE成绩库!Q249)</f>
        <v/>
      </c>
      <c r="P249" t="str">
        <f>IF(MSE成绩库!C249="","", MSE成绩库!R249)</f>
        <v/>
      </c>
      <c r="Q249" t="str">
        <f>IF(MSE成绩库!C249="","", MSE成绩库!S249)</f>
        <v/>
      </c>
      <c r="R249" t="str">
        <f>IF(MSE成绩库!C249="","", MSE成绩库!T249)</f>
        <v/>
      </c>
      <c r="S249" t="str">
        <f>IF(MSE成绩库!C249="","", MSE成绩库!U249)</f>
        <v/>
      </c>
      <c r="T249" t="str">
        <f>IF(MSE成绩库!C249="","", MSE成绩库!V249)</f>
        <v/>
      </c>
      <c r="U249" t="str">
        <f>IF(MSE成绩库!C249="","", MSE成绩库!X249)</f>
        <v/>
      </c>
      <c r="V249" t="str">
        <f>IF(MSE成绩库!C249="","", MSE成绩库!Y249)</f>
        <v/>
      </c>
      <c r="W249" t="str">
        <f>IF(MSE成绩库!C249="","", MSE成绩库!Z249)</f>
        <v/>
      </c>
      <c r="X249" t="str">
        <f>IF(MSE成绩库!C249="","", MSE成绩库!AA249)</f>
        <v/>
      </c>
      <c r="Y249" t="str">
        <f>IF(MSE成绩库!C249="","", MSE成绩库!AB249)</f>
        <v/>
      </c>
      <c r="Z249" t="str">
        <f>IF(MSE成绩库!C249="","", MSE成绩库!AC249)</f>
        <v/>
      </c>
    </row>
    <row r="250" spans="1:26" x14ac:dyDescent="0.2">
      <c r="A250" t="str">
        <f>IF(MSE成绩库!C250="","", MSE成绩库!C250)</f>
        <v/>
      </c>
      <c r="B250" t="str">
        <f>IF(MSE成绩库!AD250="","", MSE成绩库!AD250)</f>
        <v/>
      </c>
      <c r="C250" t="str">
        <f>IF(MSE成绩库!B250="","", MSE成绩库!B250)</f>
        <v/>
      </c>
      <c r="D250" t="str">
        <f>IF(MSE成绩库!D250="","", MSE成绩库!D250)</f>
        <v/>
      </c>
      <c r="E250" t="str">
        <f>IF(MSE成绩库!C250="","", MSE成绩库!E250)</f>
        <v/>
      </c>
      <c r="F250" t="str">
        <f>IF(MSE成绩库!C250="","", MSE成绩库!F250)</f>
        <v/>
      </c>
      <c r="G250" t="str">
        <f>IF(MSE成绩库!C250="","", MSE成绩库!G250)</f>
        <v/>
      </c>
      <c r="H250" t="str">
        <f>IF(MSE成绩库!C250="","", MSE成绩库!H250)</f>
        <v/>
      </c>
      <c r="I250" t="str">
        <f>IF(MSE成绩库!C250="","", MSE成绩库!I250)</f>
        <v/>
      </c>
      <c r="J250" t="str">
        <f>IF(MSE成绩库!C250="","", MSE成绩库!J250)</f>
        <v/>
      </c>
      <c r="K250" t="str">
        <f>IF(MSE成绩库!C250="","", MSE成绩库!K250)</f>
        <v/>
      </c>
      <c r="L250" t="str">
        <f>IF(MSE成绩库!C250="","", MSE成绩库!M250)</f>
        <v/>
      </c>
      <c r="M250" t="str">
        <f>IF(MSE成绩库!C250="","", MSE成绩库!N250)</f>
        <v/>
      </c>
      <c r="N250" t="str">
        <f>IF(MSE成绩库!C250="","", MSE成绩库!O250)</f>
        <v/>
      </c>
      <c r="O250" t="str">
        <f>IF(MSE成绩库!C250="","", MSE成绩库!Q250)</f>
        <v/>
      </c>
      <c r="P250" t="str">
        <f>IF(MSE成绩库!C250="","", MSE成绩库!R250)</f>
        <v/>
      </c>
      <c r="Q250" t="str">
        <f>IF(MSE成绩库!C250="","", MSE成绩库!S250)</f>
        <v/>
      </c>
      <c r="R250" t="str">
        <f>IF(MSE成绩库!C250="","", MSE成绩库!T250)</f>
        <v/>
      </c>
      <c r="S250" t="str">
        <f>IF(MSE成绩库!C250="","", MSE成绩库!U250)</f>
        <v/>
      </c>
      <c r="T250" t="str">
        <f>IF(MSE成绩库!C250="","", MSE成绩库!V250)</f>
        <v/>
      </c>
      <c r="U250" t="str">
        <f>IF(MSE成绩库!C250="","", MSE成绩库!X250)</f>
        <v/>
      </c>
      <c r="V250" t="str">
        <f>IF(MSE成绩库!C250="","", MSE成绩库!Y250)</f>
        <v/>
      </c>
      <c r="W250" t="str">
        <f>IF(MSE成绩库!C250="","", MSE成绩库!Z250)</f>
        <v/>
      </c>
      <c r="X250" t="str">
        <f>IF(MSE成绩库!C250="","", MSE成绩库!AA250)</f>
        <v/>
      </c>
      <c r="Y250" t="str">
        <f>IF(MSE成绩库!C250="","", MSE成绩库!AB250)</f>
        <v/>
      </c>
      <c r="Z250" t="str">
        <f>IF(MSE成绩库!C250="","", MSE成绩库!AC250)</f>
        <v/>
      </c>
    </row>
    <row r="251" spans="1:26" x14ac:dyDescent="0.2">
      <c r="A251" t="str">
        <f>IF(MSE成绩库!C251="","", MSE成绩库!C251)</f>
        <v/>
      </c>
      <c r="B251" t="str">
        <f>IF(MSE成绩库!AD251="","", MSE成绩库!AD251)</f>
        <v/>
      </c>
      <c r="C251" t="str">
        <f>IF(MSE成绩库!B251="","", MSE成绩库!B251)</f>
        <v/>
      </c>
      <c r="D251" t="str">
        <f>IF(MSE成绩库!D251="","", MSE成绩库!D251)</f>
        <v/>
      </c>
      <c r="E251" t="str">
        <f>IF(MSE成绩库!C251="","", MSE成绩库!E251)</f>
        <v/>
      </c>
      <c r="F251" t="str">
        <f>IF(MSE成绩库!C251="","", MSE成绩库!F251)</f>
        <v/>
      </c>
      <c r="G251" t="str">
        <f>IF(MSE成绩库!C251="","", MSE成绩库!G251)</f>
        <v/>
      </c>
      <c r="H251" t="str">
        <f>IF(MSE成绩库!C251="","", MSE成绩库!H251)</f>
        <v/>
      </c>
      <c r="I251" t="str">
        <f>IF(MSE成绩库!C251="","", MSE成绩库!I251)</f>
        <v/>
      </c>
      <c r="J251" t="str">
        <f>IF(MSE成绩库!C251="","", MSE成绩库!J251)</f>
        <v/>
      </c>
      <c r="K251" t="str">
        <f>IF(MSE成绩库!C251="","", MSE成绩库!K251)</f>
        <v/>
      </c>
      <c r="L251" t="str">
        <f>IF(MSE成绩库!C251="","", MSE成绩库!M251)</f>
        <v/>
      </c>
      <c r="M251" t="str">
        <f>IF(MSE成绩库!C251="","", MSE成绩库!N251)</f>
        <v/>
      </c>
      <c r="N251" t="str">
        <f>IF(MSE成绩库!C251="","", MSE成绩库!O251)</f>
        <v/>
      </c>
      <c r="O251" t="str">
        <f>IF(MSE成绩库!C251="","", MSE成绩库!Q251)</f>
        <v/>
      </c>
      <c r="P251" t="str">
        <f>IF(MSE成绩库!C251="","", MSE成绩库!R251)</f>
        <v/>
      </c>
      <c r="Q251" t="str">
        <f>IF(MSE成绩库!C251="","", MSE成绩库!S251)</f>
        <v/>
      </c>
      <c r="R251" t="str">
        <f>IF(MSE成绩库!C251="","", MSE成绩库!T251)</f>
        <v/>
      </c>
      <c r="S251" t="str">
        <f>IF(MSE成绩库!C251="","", MSE成绩库!U251)</f>
        <v/>
      </c>
      <c r="T251" t="str">
        <f>IF(MSE成绩库!C251="","", MSE成绩库!V251)</f>
        <v/>
      </c>
      <c r="U251" t="str">
        <f>IF(MSE成绩库!C251="","", MSE成绩库!X251)</f>
        <v/>
      </c>
      <c r="V251" t="str">
        <f>IF(MSE成绩库!C251="","", MSE成绩库!Y251)</f>
        <v/>
      </c>
      <c r="W251" t="str">
        <f>IF(MSE成绩库!C251="","", MSE成绩库!Z251)</f>
        <v/>
      </c>
      <c r="X251" t="str">
        <f>IF(MSE成绩库!C251="","", MSE成绩库!AA251)</f>
        <v/>
      </c>
      <c r="Y251" t="str">
        <f>IF(MSE成绩库!C251="","", MSE成绩库!AB251)</f>
        <v/>
      </c>
      <c r="Z251" t="str">
        <f>IF(MSE成绩库!C251="","", MSE成绩库!AC251)</f>
        <v/>
      </c>
    </row>
    <row r="252" spans="1:26" x14ac:dyDescent="0.2">
      <c r="A252" t="str">
        <f>IF(MSE成绩库!C252="","", MSE成绩库!C252)</f>
        <v/>
      </c>
      <c r="B252" t="str">
        <f>IF(MSE成绩库!AD252="","", MSE成绩库!AD252)</f>
        <v/>
      </c>
      <c r="C252" t="str">
        <f>IF(MSE成绩库!B252="","", MSE成绩库!B252)</f>
        <v/>
      </c>
      <c r="D252" t="str">
        <f>IF(MSE成绩库!D252="","", MSE成绩库!D252)</f>
        <v/>
      </c>
      <c r="E252" t="str">
        <f>IF(MSE成绩库!C252="","", MSE成绩库!E252)</f>
        <v/>
      </c>
      <c r="F252" t="str">
        <f>IF(MSE成绩库!C252="","", MSE成绩库!F252)</f>
        <v/>
      </c>
      <c r="G252" t="str">
        <f>IF(MSE成绩库!C252="","", MSE成绩库!G252)</f>
        <v/>
      </c>
      <c r="H252" t="str">
        <f>IF(MSE成绩库!C252="","", MSE成绩库!H252)</f>
        <v/>
      </c>
      <c r="I252" t="str">
        <f>IF(MSE成绩库!C252="","", MSE成绩库!I252)</f>
        <v/>
      </c>
      <c r="J252" t="str">
        <f>IF(MSE成绩库!C252="","", MSE成绩库!J252)</f>
        <v/>
      </c>
      <c r="K252" t="str">
        <f>IF(MSE成绩库!C252="","", MSE成绩库!K252)</f>
        <v/>
      </c>
      <c r="L252" t="str">
        <f>IF(MSE成绩库!C252="","", MSE成绩库!M252)</f>
        <v/>
      </c>
      <c r="M252" t="str">
        <f>IF(MSE成绩库!C252="","", MSE成绩库!N252)</f>
        <v/>
      </c>
      <c r="N252" t="str">
        <f>IF(MSE成绩库!C252="","", MSE成绩库!O252)</f>
        <v/>
      </c>
      <c r="O252" t="str">
        <f>IF(MSE成绩库!C252="","", MSE成绩库!Q252)</f>
        <v/>
      </c>
      <c r="P252" t="str">
        <f>IF(MSE成绩库!C252="","", MSE成绩库!R252)</f>
        <v/>
      </c>
      <c r="Q252" t="str">
        <f>IF(MSE成绩库!C252="","", MSE成绩库!S252)</f>
        <v/>
      </c>
      <c r="R252" t="str">
        <f>IF(MSE成绩库!C252="","", MSE成绩库!T252)</f>
        <v/>
      </c>
      <c r="S252" t="str">
        <f>IF(MSE成绩库!C252="","", MSE成绩库!U252)</f>
        <v/>
      </c>
      <c r="T252" t="str">
        <f>IF(MSE成绩库!C252="","", MSE成绩库!V252)</f>
        <v/>
      </c>
      <c r="U252" t="str">
        <f>IF(MSE成绩库!C252="","", MSE成绩库!X252)</f>
        <v/>
      </c>
      <c r="V252" t="str">
        <f>IF(MSE成绩库!C252="","", MSE成绩库!Y252)</f>
        <v/>
      </c>
      <c r="W252" t="str">
        <f>IF(MSE成绩库!C252="","", MSE成绩库!Z252)</f>
        <v/>
      </c>
      <c r="X252" t="str">
        <f>IF(MSE成绩库!C252="","", MSE成绩库!AA252)</f>
        <v/>
      </c>
      <c r="Y252" t="str">
        <f>IF(MSE成绩库!C252="","", MSE成绩库!AB252)</f>
        <v/>
      </c>
      <c r="Z252" t="str">
        <f>IF(MSE成绩库!C252="","", MSE成绩库!AC252)</f>
        <v/>
      </c>
    </row>
    <row r="253" spans="1:26" x14ac:dyDescent="0.2">
      <c r="A253" t="str">
        <f>IF(MSE成绩库!C253="","", MSE成绩库!C253)</f>
        <v/>
      </c>
      <c r="B253" t="str">
        <f>IF(MSE成绩库!AD253="","", MSE成绩库!AD253)</f>
        <v/>
      </c>
      <c r="C253" t="str">
        <f>IF(MSE成绩库!B253="","", MSE成绩库!B253)</f>
        <v/>
      </c>
      <c r="D253" t="str">
        <f>IF(MSE成绩库!D253="","", MSE成绩库!D253)</f>
        <v/>
      </c>
      <c r="E253" t="str">
        <f>IF(MSE成绩库!C253="","", MSE成绩库!E253)</f>
        <v/>
      </c>
      <c r="F253" t="str">
        <f>IF(MSE成绩库!C253="","", MSE成绩库!F253)</f>
        <v/>
      </c>
      <c r="G253" t="str">
        <f>IF(MSE成绩库!C253="","", MSE成绩库!G253)</f>
        <v/>
      </c>
      <c r="H253" t="str">
        <f>IF(MSE成绩库!C253="","", MSE成绩库!H253)</f>
        <v/>
      </c>
      <c r="I253" t="str">
        <f>IF(MSE成绩库!C253="","", MSE成绩库!I253)</f>
        <v/>
      </c>
      <c r="J253" t="str">
        <f>IF(MSE成绩库!C253="","", MSE成绩库!J253)</f>
        <v/>
      </c>
      <c r="K253" t="str">
        <f>IF(MSE成绩库!C253="","", MSE成绩库!K253)</f>
        <v/>
      </c>
      <c r="L253" t="str">
        <f>IF(MSE成绩库!C253="","", MSE成绩库!M253)</f>
        <v/>
      </c>
      <c r="M253" t="str">
        <f>IF(MSE成绩库!C253="","", MSE成绩库!N253)</f>
        <v/>
      </c>
      <c r="N253" t="str">
        <f>IF(MSE成绩库!C253="","", MSE成绩库!O253)</f>
        <v/>
      </c>
      <c r="O253" t="str">
        <f>IF(MSE成绩库!C253="","", MSE成绩库!Q253)</f>
        <v/>
      </c>
      <c r="P253" t="str">
        <f>IF(MSE成绩库!C253="","", MSE成绩库!R253)</f>
        <v/>
      </c>
      <c r="Q253" t="str">
        <f>IF(MSE成绩库!C253="","", MSE成绩库!S253)</f>
        <v/>
      </c>
      <c r="R253" t="str">
        <f>IF(MSE成绩库!C253="","", MSE成绩库!T253)</f>
        <v/>
      </c>
      <c r="S253" t="str">
        <f>IF(MSE成绩库!C253="","", MSE成绩库!U253)</f>
        <v/>
      </c>
      <c r="T253" t="str">
        <f>IF(MSE成绩库!C253="","", MSE成绩库!V253)</f>
        <v/>
      </c>
      <c r="U253" t="str">
        <f>IF(MSE成绩库!C253="","", MSE成绩库!X253)</f>
        <v/>
      </c>
      <c r="V253" t="str">
        <f>IF(MSE成绩库!C253="","", MSE成绩库!Y253)</f>
        <v/>
      </c>
      <c r="W253" t="str">
        <f>IF(MSE成绩库!C253="","", MSE成绩库!Z253)</f>
        <v/>
      </c>
      <c r="X253" t="str">
        <f>IF(MSE成绩库!C253="","", MSE成绩库!AA253)</f>
        <v/>
      </c>
      <c r="Y253" t="str">
        <f>IF(MSE成绩库!C253="","", MSE成绩库!AB253)</f>
        <v/>
      </c>
      <c r="Z253" t="str">
        <f>IF(MSE成绩库!C253="","", MSE成绩库!AC253)</f>
        <v/>
      </c>
    </row>
    <row r="254" spans="1:26" x14ac:dyDescent="0.2">
      <c r="A254" t="str">
        <f>IF(MSE成绩库!C254="","", MSE成绩库!C254)</f>
        <v/>
      </c>
      <c r="B254" t="str">
        <f>IF(MSE成绩库!AD254="","", MSE成绩库!AD254)</f>
        <v/>
      </c>
      <c r="C254" t="str">
        <f>IF(MSE成绩库!B254="","", MSE成绩库!B254)</f>
        <v/>
      </c>
      <c r="D254" t="str">
        <f>IF(MSE成绩库!D254="","", MSE成绩库!D254)</f>
        <v/>
      </c>
      <c r="E254" t="str">
        <f>IF(MSE成绩库!C254="","", MSE成绩库!E254)</f>
        <v/>
      </c>
      <c r="F254" t="str">
        <f>IF(MSE成绩库!C254="","", MSE成绩库!F254)</f>
        <v/>
      </c>
      <c r="G254" t="str">
        <f>IF(MSE成绩库!C254="","", MSE成绩库!G254)</f>
        <v/>
      </c>
      <c r="H254" t="str">
        <f>IF(MSE成绩库!C254="","", MSE成绩库!H254)</f>
        <v/>
      </c>
      <c r="I254" t="str">
        <f>IF(MSE成绩库!C254="","", MSE成绩库!I254)</f>
        <v/>
      </c>
      <c r="J254" t="str">
        <f>IF(MSE成绩库!C254="","", MSE成绩库!J254)</f>
        <v/>
      </c>
      <c r="K254" t="str">
        <f>IF(MSE成绩库!C254="","", MSE成绩库!K254)</f>
        <v/>
      </c>
      <c r="L254" t="str">
        <f>IF(MSE成绩库!C254="","", MSE成绩库!M254)</f>
        <v/>
      </c>
      <c r="M254" t="str">
        <f>IF(MSE成绩库!C254="","", MSE成绩库!N254)</f>
        <v/>
      </c>
      <c r="N254" t="str">
        <f>IF(MSE成绩库!C254="","", MSE成绩库!O254)</f>
        <v/>
      </c>
      <c r="O254" t="str">
        <f>IF(MSE成绩库!C254="","", MSE成绩库!Q254)</f>
        <v/>
      </c>
      <c r="P254" t="str">
        <f>IF(MSE成绩库!C254="","", MSE成绩库!R254)</f>
        <v/>
      </c>
      <c r="Q254" t="str">
        <f>IF(MSE成绩库!C254="","", MSE成绩库!S254)</f>
        <v/>
      </c>
      <c r="R254" t="str">
        <f>IF(MSE成绩库!C254="","", MSE成绩库!T254)</f>
        <v/>
      </c>
      <c r="S254" t="str">
        <f>IF(MSE成绩库!C254="","", MSE成绩库!U254)</f>
        <v/>
      </c>
      <c r="T254" t="str">
        <f>IF(MSE成绩库!C254="","", MSE成绩库!V254)</f>
        <v/>
      </c>
      <c r="U254" t="str">
        <f>IF(MSE成绩库!C254="","", MSE成绩库!X254)</f>
        <v/>
      </c>
      <c r="V254" t="str">
        <f>IF(MSE成绩库!C254="","", MSE成绩库!Y254)</f>
        <v/>
      </c>
      <c r="W254" t="str">
        <f>IF(MSE成绩库!C254="","", MSE成绩库!Z254)</f>
        <v/>
      </c>
      <c r="X254" t="str">
        <f>IF(MSE成绩库!C254="","", MSE成绩库!AA254)</f>
        <v/>
      </c>
      <c r="Y254" t="str">
        <f>IF(MSE成绩库!C254="","", MSE成绩库!AB254)</f>
        <v/>
      </c>
      <c r="Z254" t="str">
        <f>IF(MSE成绩库!C254="","", MSE成绩库!AC254)</f>
        <v/>
      </c>
    </row>
    <row r="255" spans="1:26" x14ac:dyDescent="0.2">
      <c r="A255" t="str">
        <f>IF(MSE成绩库!C255="","", MSE成绩库!C255)</f>
        <v/>
      </c>
      <c r="B255" t="str">
        <f>IF(MSE成绩库!AD255="","", MSE成绩库!AD255)</f>
        <v/>
      </c>
      <c r="C255" t="str">
        <f>IF(MSE成绩库!B255="","", MSE成绩库!B255)</f>
        <v/>
      </c>
      <c r="D255" t="str">
        <f>IF(MSE成绩库!D255="","", MSE成绩库!D255)</f>
        <v/>
      </c>
      <c r="E255" t="str">
        <f>IF(MSE成绩库!C255="","", MSE成绩库!E255)</f>
        <v/>
      </c>
      <c r="F255" t="str">
        <f>IF(MSE成绩库!C255="","", MSE成绩库!F255)</f>
        <v/>
      </c>
      <c r="G255" t="str">
        <f>IF(MSE成绩库!C255="","", MSE成绩库!G255)</f>
        <v/>
      </c>
      <c r="H255" t="str">
        <f>IF(MSE成绩库!C255="","", MSE成绩库!H255)</f>
        <v/>
      </c>
      <c r="I255" t="str">
        <f>IF(MSE成绩库!C255="","", MSE成绩库!I255)</f>
        <v/>
      </c>
      <c r="J255" t="str">
        <f>IF(MSE成绩库!C255="","", MSE成绩库!J255)</f>
        <v/>
      </c>
      <c r="K255" t="str">
        <f>IF(MSE成绩库!C255="","", MSE成绩库!K255)</f>
        <v/>
      </c>
      <c r="L255" t="str">
        <f>IF(MSE成绩库!C255="","", MSE成绩库!M255)</f>
        <v/>
      </c>
      <c r="M255" t="str">
        <f>IF(MSE成绩库!C255="","", MSE成绩库!N255)</f>
        <v/>
      </c>
      <c r="N255" t="str">
        <f>IF(MSE成绩库!C255="","", MSE成绩库!O255)</f>
        <v/>
      </c>
      <c r="O255" t="str">
        <f>IF(MSE成绩库!C255="","", MSE成绩库!Q255)</f>
        <v/>
      </c>
      <c r="P255" t="str">
        <f>IF(MSE成绩库!C255="","", MSE成绩库!R255)</f>
        <v/>
      </c>
      <c r="Q255" t="str">
        <f>IF(MSE成绩库!C255="","", MSE成绩库!S255)</f>
        <v/>
      </c>
      <c r="R255" t="str">
        <f>IF(MSE成绩库!C255="","", MSE成绩库!T255)</f>
        <v/>
      </c>
      <c r="S255" t="str">
        <f>IF(MSE成绩库!C255="","", MSE成绩库!U255)</f>
        <v/>
      </c>
      <c r="T255" t="str">
        <f>IF(MSE成绩库!C255="","", MSE成绩库!V255)</f>
        <v/>
      </c>
      <c r="U255" t="str">
        <f>IF(MSE成绩库!C255="","", MSE成绩库!X255)</f>
        <v/>
      </c>
      <c r="V255" t="str">
        <f>IF(MSE成绩库!C255="","", MSE成绩库!Y255)</f>
        <v/>
      </c>
      <c r="W255" t="str">
        <f>IF(MSE成绩库!C255="","", MSE成绩库!Z255)</f>
        <v/>
      </c>
      <c r="X255" t="str">
        <f>IF(MSE成绩库!C255="","", MSE成绩库!AA255)</f>
        <v/>
      </c>
      <c r="Y255" t="str">
        <f>IF(MSE成绩库!C255="","", MSE成绩库!AB255)</f>
        <v/>
      </c>
      <c r="Z255" t="str">
        <f>IF(MSE成绩库!C255="","", MSE成绩库!AC255)</f>
        <v/>
      </c>
    </row>
    <row r="256" spans="1:26" x14ac:dyDescent="0.2">
      <c r="A256" t="str">
        <f>IF(MSE成绩库!C256="","", MSE成绩库!C256)</f>
        <v/>
      </c>
      <c r="B256" t="str">
        <f>IF(MSE成绩库!AD256="","", MSE成绩库!AD256)</f>
        <v/>
      </c>
      <c r="C256" t="str">
        <f>IF(MSE成绩库!B256="","", MSE成绩库!B256)</f>
        <v/>
      </c>
      <c r="D256" t="str">
        <f>IF(MSE成绩库!D256="","", MSE成绩库!D256)</f>
        <v/>
      </c>
      <c r="E256" t="str">
        <f>IF(MSE成绩库!C256="","", MSE成绩库!E256)</f>
        <v/>
      </c>
      <c r="F256" t="str">
        <f>IF(MSE成绩库!C256="","", MSE成绩库!F256)</f>
        <v/>
      </c>
      <c r="G256" t="str">
        <f>IF(MSE成绩库!C256="","", MSE成绩库!G256)</f>
        <v/>
      </c>
      <c r="H256" t="str">
        <f>IF(MSE成绩库!C256="","", MSE成绩库!H256)</f>
        <v/>
      </c>
      <c r="I256" t="str">
        <f>IF(MSE成绩库!C256="","", MSE成绩库!I256)</f>
        <v/>
      </c>
      <c r="J256" t="str">
        <f>IF(MSE成绩库!C256="","", MSE成绩库!J256)</f>
        <v/>
      </c>
      <c r="K256" t="str">
        <f>IF(MSE成绩库!C256="","", MSE成绩库!K256)</f>
        <v/>
      </c>
      <c r="L256" t="str">
        <f>IF(MSE成绩库!C256="","", MSE成绩库!M256)</f>
        <v/>
      </c>
      <c r="M256" t="str">
        <f>IF(MSE成绩库!C256="","", MSE成绩库!N256)</f>
        <v/>
      </c>
      <c r="N256" t="str">
        <f>IF(MSE成绩库!C256="","", MSE成绩库!O256)</f>
        <v/>
      </c>
      <c r="O256" t="str">
        <f>IF(MSE成绩库!C256="","", MSE成绩库!Q256)</f>
        <v/>
      </c>
      <c r="P256" t="str">
        <f>IF(MSE成绩库!C256="","", MSE成绩库!R256)</f>
        <v/>
      </c>
      <c r="Q256" t="str">
        <f>IF(MSE成绩库!C256="","", MSE成绩库!S256)</f>
        <v/>
      </c>
      <c r="R256" t="str">
        <f>IF(MSE成绩库!C256="","", MSE成绩库!T256)</f>
        <v/>
      </c>
      <c r="S256" t="str">
        <f>IF(MSE成绩库!C256="","", MSE成绩库!U256)</f>
        <v/>
      </c>
      <c r="T256" t="str">
        <f>IF(MSE成绩库!C256="","", MSE成绩库!V256)</f>
        <v/>
      </c>
      <c r="U256" t="str">
        <f>IF(MSE成绩库!C256="","", MSE成绩库!X256)</f>
        <v/>
      </c>
      <c r="V256" t="str">
        <f>IF(MSE成绩库!C256="","", MSE成绩库!Y256)</f>
        <v/>
      </c>
      <c r="W256" t="str">
        <f>IF(MSE成绩库!C256="","", MSE成绩库!Z256)</f>
        <v/>
      </c>
      <c r="X256" t="str">
        <f>IF(MSE成绩库!C256="","", MSE成绩库!AA256)</f>
        <v/>
      </c>
      <c r="Y256" t="str">
        <f>IF(MSE成绩库!C256="","", MSE成绩库!AB256)</f>
        <v/>
      </c>
      <c r="Z256" t="str">
        <f>IF(MSE成绩库!C256="","", MSE成绩库!AC256)</f>
        <v/>
      </c>
    </row>
    <row r="257" spans="1:26" x14ac:dyDescent="0.2">
      <c r="A257" t="str">
        <f>IF(MSE成绩库!C257="","", MSE成绩库!C257)</f>
        <v/>
      </c>
      <c r="B257" t="str">
        <f>IF(MSE成绩库!AD257="","", MSE成绩库!AD257)</f>
        <v/>
      </c>
      <c r="C257" t="str">
        <f>IF(MSE成绩库!B257="","", MSE成绩库!B257)</f>
        <v/>
      </c>
      <c r="D257" t="str">
        <f>IF(MSE成绩库!D257="","", MSE成绩库!D257)</f>
        <v/>
      </c>
      <c r="E257" t="str">
        <f>IF(MSE成绩库!C257="","", MSE成绩库!E257)</f>
        <v/>
      </c>
      <c r="F257" t="str">
        <f>IF(MSE成绩库!C257="","", MSE成绩库!F257)</f>
        <v/>
      </c>
      <c r="G257" t="str">
        <f>IF(MSE成绩库!C257="","", MSE成绩库!G257)</f>
        <v/>
      </c>
      <c r="H257" t="str">
        <f>IF(MSE成绩库!C257="","", MSE成绩库!H257)</f>
        <v/>
      </c>
      <c r="I257" t="str">
        <f>IF(MSE成绩库!C257="","", MSE成绩库!I257)</f>
        <v/>
      </c>
      <c r="J257" t="str">
        <f>IF(MSE成绩库!C257="","", MSE成绩库!J257)</f>
        <v/>
      </c>
      <c r="K257" t="str">
        <f>IF(MSE成绩库!C257="","", MSE成绩库!K257)</f>
        <v/>
      </c>
      <c r="L257" t="str">
        <f>IF(MSE成绩库!C257="","", MSE成绩库!M257)</f>
        <v/>
      </c>
      <c r="M257" t="str">
        <f>IF(MSE成绩库!C257="","", MSE成绩库!N257)</f>
        <v/>
      </c>
      <c r="N257" t="str">
        <f>IF(MSE成绩库!C257="","", MSE成绩库!O257)</f>
        <v/>
      </c>
      <c r="O257" t="str">
        <f>IF(MSE成绩库!C257="","", MSE成绩库!Q257)</f>
        <v/>
      </c>
      <c r="P257" t="str">
        <f>IF(MSE成绩库!C257="","", MSE成绩库!R257)</f>
        <v/>
      </c>
      <c r="Q257" t="str">
        <f>IF(MSE成绩库!C257="","", MSE成绩库!S257)</f>
        <v/>
      </c>
      <c r="R257" t="str">
        <f>IF(MSE成绩库!C257="","", MSE成绩库!T257)</f>
        <v/>
      </c>
      <c r="S257" t="str">
        <f>IF(MSE成绩库!C257="","", MSE成绩库!U257)</f>
        <v/>
      </c>
      <c r="T257" t="str">
        <f>IF(MSE成绩库!C257="","", MSE成绩库!V257)</f>
        <v/>
      </c>
      <c r="U257" t="str">
        <f>IF(MSE成绩库!C257="","", MSE成绩库!X257)</f>
        <v/>
      </c>
      <c r="V257" t="str">
        <f>IF(MSE成绩库!C257="","", MSE成绩库!Y257)</f>
        <v/>
      </c>
      <c r="W257" t="str">
        <f>IF(MSE成绩库!C257="","", MSE成绩库!Z257)</f>
        <v/>
      </c>
      <c r="X257" t="str">
        <f>IF(MSE成绩库!C257="","", MSE成绩库!AA257)</f>
        <v/>
      </c>
      <c r="Y257" t="str">
        <f>IF(MSE成绩库!C257="","", MSE成绩库!AB257)</f>
        <v/>
      </c>
      <c r="Z257" t="str">
        <f>IF(MSE成绩库!C257="","", MSE成绩库!AC257)</f>
        <v/>
      </c>
    </row>
    <row r="258" spans="1:26" x14ac:dyDescent="0.2">
      <c r="A258" t="str">
        <f>IF(MSE成绩库!C258="","", MSE成绩库!C258)</f>
        <v/>
      </c>
      <c r="B258" t="str">
        <f>IF(MSE成绩库!AD258="","", MSE成绩库!AD258)</f>
        <v/>
      </c>
      <c r="C258" t="str">
        <f>IF(MSE成绩库!B258="","", MSE成绩库!B258)</f>
        <v/>
      </c>
      <c r="D258" t="str">
        <f>IF(MSE成绩库!D258="","", MSE成绩库!D258)</f>
        <v/>
      </c>
      <c r="E258" t="str">
        <f>IF(MSE成绩库!C258="","", MSE成绩库!E258)</f>
        <v/>
      </c>
      <c r="F258" t="str">
        <f>IF(MSE成绩库!C258="","", MSE成绩库!F258)</f>
        <v/>
      </c>
      <c r="G258" t="str">
        <f>IF(MSE成绩库!C258="","", MSE成绩库!G258)</f>
        <v/>
      </c>
      <c r="H258" t="str">
        <f>IF(MSE成绩库!C258="","", MSE成绩库!H258)</f>
        <v/>
      </c>
      <c r="I258" t="str">
        <f>IF(MSE成绩库!C258="","", MSE成绩库!I258)</f>
        <v/>
      </c>
      <c r="J258" t="str">
        <f>IF(MSE成绩库!C258="","", MSE成绩库!J258)</f>
        <v/>
      </c>
      <c r="K258" t="str">
        <f>IF(MSE成绩库!C258="","", MSE成绩库!K258)</f>
        <v/>
      </c>
      <c r="L258" t="str">
        <f>IF(MSE成绩库!C258="","", MSE成绩库!M258)</f>
        <v/>
      </c>
      <c r="M258" t="str">
        <f>IF(MSE成绩库!C258="","", MSE成绩库!N258)</f>
        <v/>
      </c>
      <c r="N258" t="str">
        <f>IF(MSE成绩库!C258="","", MSE成绩库!O258)</f>
        <v/>
      </c>
      <c r="O258" t="str">
        <f>IF(MSE成绩库!C258="","", MSE成绩库!Q258)</f>
        <v/>
      </c>
      <c r="P258" t="str">
        <f>IF(MSE成绩库!C258="","", MSE成绩库!R258)</f>
        <v/>
      </c>
      <c r="Q258" t="str">
        <f>IF(MSE成绩库!C258="","", MSE成绩库!S258)</f>
        <v/>
      </c>
      <c r="R258" t="str">
        <f>IF(MSE成绩库!C258="","", MSE成绩库!T258)</f>
        <v/>
      </c>
      <c r="S258" t="str">
        <f>IF(MSE成绩库!C258="","", MSE成绩库!U258)</f>
        <v/>
      </c>
      <c r="T258" t="str">
        <f>IF(MSE成绩库!C258="","", MSE成绩库!V258)</f>
        <v/>
      </c>
      <c r="U258" t="str">
        <f>IF(MSE成绩库!C258="","", MSE成绩库!X258)</f>
        <v/>
      </c>
      <c r="V258" t="str">
        <f>IF(MSE成绩库!C258="","", MSE成绩库!Y258)</f>
        <v/>
      </c>
      <c r="W258" t="str">
        <f>IF(MSE成绩库!C258="","", MSE成绩库!Z258)</f>
        <v/>
      </c>
      <c r="X258" t="str">
        <f>IF(MSE成绩库!C258="","", MSE成绩库!AA258)</f>
        <v/>
      </c>
      <c r="Y258" t="str">
        <f>IF(MSE成绩库!C258="","", MSE成绩库!AB258)</f>
        <v/>
      </c>
      <c r="Z258" t="str">
        <f>IF(MSE成绩库!C258="","", MSE成绩库!AC258)</f>
        <v/>
      </c>
    </row>
    <row r="259" spans="1:26" x14ac:dyDescent="0.2">
      <c r="A259" t="str">
        <f>IF(MSE成绩库!C259="","", MSE成绩库!C259)</f>
        <v/>
      </c>
      <c r="B259" t="str">
        <f>IF(MSE成绩库!AD259="","", MSE成绩库!AD259)</f>
        <v/>
      </c>
      <c r="C259" t="str">
        <f>IF(MSE成绩库!B259="","", MSE成绩库!B259)</f>
        <v/>
      </c>
      <c r="D259" t="str">
        <f>IF(MSE成绩库!D259="","", MSE成绩库!D259)</f>
        <v/>
      </c>
      <c r="E259" t="str">
        <f>IF(MSE成绩库!C259="","", MSE成绩库!E259)</f>
        <v/>
      </c>
      <c r="F259" t="str">
        <f>IF(MSE成绩库!C259="","", MSE成绩库!F259)</f>
        <v/>
      </c>
      <c r="G259" t="str">
        <f>IF(MSE成绩库!C259="","", MSE成绩库!G259)</f>
        <v/>
      </c>
      <c r="H259" t="str">
        <f>IF(MSE成绩库!C259="","", MSE成绩库!H259)</f>
        <v/>
      </c>
      <c r="I259" t="str">
        <f>IF(MSE成绩库!C259="","", MSE成绩库!I259)</f>
        <v/>
      </c>
      <c r="J259" t="str">
        <f>IF(MSE成绩库!C259="","", MSE成绩库!J259)</f>
        <v/>
      </c>
      <c r="K259" t="str">
        <f>IF(MSE成绩库!C259="","", MSE成绩库!K259)</f>
        <v/>
      </c>
      <c r="L259" t="str">
        <f>IF(MSE成绩库!C259="","", MSE成绩库!M259)</f>
        <v/>
      </c>
      <c r="M259" t="str">
        <f>IF(MSE成绩库!C259="","", MSE成绩库!N259)</f>
        <v/>
      </c>
      <c r="N259" t="str">
        <f>IF(MSE成绩库!C259="","", MSE成绩库!O259)</f>
        <v/>
      </c>
      <c r="O259" t="str">
        <f>IF(MSE成绩库!C259="","", MSE成绩库!Q259)</f>
        <v/>
      </c>
      <c r="P259" t="str">
        <f>IF(MSE成绩库!C259="","", MSE成绩库!R259)</f>
        <v/>
      </c>
      <c r="Q259" t="str">
        <f>IF(MSE成绩库!C259="","", MSE成绩库!S259)</f>
        <v/>
      </c>
      <c r="R259" t="str">
        <f>IF(MSE成绩库!C259="","", MSE成绩库!T259)</f>
        <v/>
      </c>
      <c r="S259" t="str">
        <f>IF(MSE成绩库!C259="","", MSE成绩库!U259)</f>
        <v/>
      </c>
      <c r="T259" t="str">
        <f>IF(MSE成绩库!C259="","", MSE成绩库!V259)</f>
        <v/>
      </c>
      <c r="U259" t="str">
        <f>IF(MSE成绩库!C259="","", MSE成绩库!X259)</f>
        <v/>
      </c>
      <c r="V259" t="str">
        <f>IF(MSE成绩库!C259="","", MSE成绩库!Y259)</f>
        <v/>
      </c>
      <c r="W259" t="str">
        <f>IF(MSE成绩库!C259="","", MSE成绩库!Z259)</f>
        <v/>
      </c>
      <c r="X259" t="str">
        <f>IF(MSE成绩库!C259="","", MSE成绩库!AA259)</f>
        <v/>
      </c>
      <c r="Y259" t="str">
        <f>IF(MSE成绩库!C259="","", MSE成绩库!AB259)</f>
        <v/>
      </c>
      <c r="Z259" t="str">
        <f>IF(MSE成绩库!C259="","", MSE成绩库!AC259)</f>
        <v/>
      </c>
    </row>
    <row r="260" spans="1:26" x14ac:dyDescent="0.2">
      <c r="A260" t="str">
        <f>IF(MSE成绩库!C260="","", MSE成绩库!C260)</f>
        <v/>
      </c>
      <c r="B260" t="str">
        <f>IF(MSE成绩库!AD260="","", MSE成绩库!AD260)</f>
        <v/>
      </c>
      <c r="C260" t="str">
        <f>IF(MSE成绩库!B260="","", MSE成绩库!B260)</f>
        <v/>
      </c>
      <c r="D260" t="str">
        <f>IF(MSE成绩库!D260="","", MSE成绩库!D260)</f>
        <v/>
      </c>
      <c r="E260" t="str">
        <f>IF(MSE成绩库!C260="","", MSE成绩库!E260)</f>
        <v/>
      </c>
      <c r="F260" t="str">
        <f>IF(MSE成绩库!C260="","", MSE成绩库!F260)</f>
        <v/>
      </c>
      <c r="G260" t="str">
        <f>IF(MSE成绩库!C260="","", MSE成绩库!G260)</f>
        <v/>
      </c>
      <c r="H260" t="str">
        <f>IF(MSE成绩库!C260="","", MSE成绩库!H260)</f>
        <v/>
      </c>
      <c r="I260" t="str">
        <f>IF(MSE成绩库!C260="","", MSE成绩库!I260)</f>
        <v/>
      </c>
      <c r="J260" t="str">
        <f>IF(MSE成绩库!C260="","", MSE成绩库!J260)</f>
        <v/>
      </c>
      <c r="K260" t="str">
        <f>IF(MSE成绩库!C260="","", MSE成绩库!K260)</f>
        <v/>
      </c>
      <c r="L260" t="str">
        <f>IF(MSE成绩库!C260="","", MSE成绩库!M260)</f>
        <v/>
      </c>
      <c r="M260" t="str">
        <f>IF(MSE成绩库!C260="","", MSE成绩库!N260)</f>
        <v/>
      </c>
      <c r="N260" t="str">
        <f>IF(MSE成绩库!C260="","", MSE成绩库!O260)</f>
        <v/>
      </c>
      <c r="O260" t="str">
        <f>IF(MSE成绩库!C260="","", MSE成绩库!Q260)</f>
        <v/>
      </c>
      <c r="P260" t="str">
        <f>IF(MSE成绩库!C260="","", MSE成绩库!R260)</f>
        <v/>
      </c>
      <c r="Q260" t="str">
        <f>IF(MSE成绩库!C260="","", MSE成绩库!S260)</f>
        <v/>
      </c>
      <c r="R260" t="str">
        <f>IF(MSE成绩库!C260="","", MSE成绩库!T260)</f>
        <v/>
      </c>
      <c r="S260" t="str">
        <f>IF(MSE成绩库!C260="","", MSE成绩库!U260)</f>
        <v/>
      </c>
      <c r="T260" t="str">
        <f>IF(MSE成绩库!C260="","", MSE成绩库!V260)</f>
        <v/>
      </c>
      <c r="U260" t="str">
        <f>IF(MSE成绩库!C260="","", MSE成绩库!X260)</f>
        <v/>
      </c>
      <c r="V260" t="str">
        <f>IF(MSE成绩库!C260="","", MSE成绩库!Y260)</f>
        <v/>
      </c>
      <c r="W260" t="str">
        <f>IF(MSE成绩库!C260="","", MSE成绩库!Z260)</f>
        <v/>
      </c>
      <c r="X260" t="str">
        <f>IF(MSE成绩库!C260="","", MSE成绩库!AA260)</f>
        <v/>
      </c>
      <c r="Y260" t="str">
        <f>IF(MSE成绩库!C260="","", MSE成绩库!AB260)</f>
        <v/>
      </c>
      <c r="Z260" t="str">
        <f>IF(MSE成绩库!C260="","", MSE成绩库!AC260)</f>
        <v/>
      </c>
    </row>
    <row r="261" spans="1:26" x14ac:dyDescent="0.2">
      <c r="A261" t="str">
        <f>IF(MSE成绩库!C261="","", MSE成绩库!C261)</f>
        <v/>
      </c>
      <c r="B261" t="str">
        <f>IF(MSE成绩库!AD261="","", MSE成绩库!AD261)</f>
        <v/>
      </c>
      <c r="C261" t="str">
        <f>IF(MSE成绩库!B261="","", MSE成绩库!B261)</f>
        <v/>
      </c>
      <c r="D261" t="str">
        <f>IF(MSE成绩库!D261="","", MSE成绩库!D261)</f>
        <v/>
      </c>
      <c r="E261" t="str">
        <f>IF(MSE成绩库!C261="","", MSE成绩库!E261)</f>
        <v/>
      </c>
      <c r="F261" t="str">
        <f>IF(MSE成绩库!C261="","", MSE成绩库!F261)</f>
        <v/>
      </c>
      <c r="G261" t="str">
        <f>IF(MSE成绩库!C261="","", MSE成绩库!G261)</f>
        <v/>
      </c>
      <c r="H261" t="str">
        <f>IF(MSE成绩库!C261="","", MSE成绩库!H261)</f>
        <v/>
      </c>
      <c r="I261" t="str">
        <f>IF(MSE成绩库!C261="","", MSE成绩库!I261)</f>
        <v/>
      </c>
      <c r="J261" t="str">
        <f>IF(MSE成绩库!C261="","", MSE成绩库!J261)</f>
        <v/>
      </c>
      <c r="K261" t="str">
        <f>IF(MSE成绩库!C261="","", MSE成绩库!K261)</f>
        <v/>
      </c>
      <c r="L261" t="str">
        <f>IF(MSE成绩库!C261="","", MSE成绩库!M261)</f>
        <v/>
      </c>
      <c r="M261" t="str">
        <f>IF(MSE成绩库!C261="","", MSE成绩库!N261)</f>
        <v/>
      </c>
      <c r="N261" t="str">
        <f>IF(MSE成绩库!C261="","", MSE成绩库!O261)</f>
        <v/>
      </c>
      <c r="O261" t="str">
        <f>IF(MSE成绩库!C261="","", MSE成绩库!Q261)</f>
        <v/>
      </c>
      <c r="P261" t="str">
        <f>IF(MSE成绩库!C261="","", MSE成绩库!R261)</f>
        <v/>
      </c>
      <c r="Q261" t="str">
        <f>IF(MSE成绩库!C261="","", MSE成绩库!S261)</f>
        <v/>
      </c>
      <c r="R261" t="str">
        <f>IF(MSE成绩库!C261="","", MSE成绩库!T261)</f>
        <v/>
      </c>
      <c r="S261" t="str">
        <f>IF(MSE成绩库!C261="","", MSE成绩库!U261)</f>
        <v/>
      </c>
      <c r="T261" t="str">
        <f>IF(MSE成绩库!C261="","", MSE成绩库!V261)</f>
        <v/>
      </c>
      <c r="U261" t="str">
        <f>IF(MSE成绩库!C261="","", MSE成绩库!X261)</f>
        <v/>
      </c>
      <c r="V261" t="str">
        <f>IF(MSE成绩库!C261="","", MSE成绩库!Y261)</f>
        <v/>
      </c>
      <c r="W261" t="str">
        <f>IF(MSE成绩库!C261="","", MSE成绩库!Z261)</f>
        <v/>
      </c>
      <c r="X261" t="str">
        <f>IF(MSE成绩库!C261="","", MSE成绩库!AA261)</f>
        <v/>
      </c>
      <c r="Y261" t="str">
        <f>IF(MSE成绩库!C261="","", MSE成绩库!AB261)</f>
        <v/>
      </c>
      <c r="Z261" t="str">
        <f>IF(MSE成绩库!C261="","", MSE成绩库!AC261)</f>
        <v/>
      </c>
    </row>
    <row r="262" spans="1:26" x14ac:dyDescent="0.2">
      <c r="A262" t="str">
        <f>IF(MSE成绩库!C262="","", MSE成绩库!C262)</f>
        <v/>
      </c>
      <c r="B262" t="str">
        <f>IF(MSE成绩库!AD262="","", MSE成绩库!AD262)</f>
        <v/>
      </c>
      <c r="C262" t="str">
        <f>IF(MSE成绩库!B262="","", MSE成绩库!B262)</f>
        <v/>
      </c>
      <c r="D262" t="str">
        <f>IF(MSE成绩库!D262="","", MSE成绩库!D262)</f>
        <v/>
      </c>
      <c r="E262" t="str">
        <f>IF(MSE成绩库!C262="","", MSE成绩库!E262)</f>
        <v/>
      </c>
      <c r="F262" t="str">
        <f>IF(MSE成绩库!C262="","", MSE成绩库!F262)</f>
        <v/>
      </c>
      <c r="G262" t="str">
        <f>IF(MSE成绩库!C262="","", MSE成绩库!G262)</f>
        <v/>
      </c>
      <c r="H262" t="str">
        <f>IF(MSE成绩库!C262="","", MSE成绩库!H262)</f>
        <v/>
      </c>
      <c r="I262" t="str">
        <f>IF(MSE成绩库!C262="","", MSE成绩库!I262)</f>
        <v/>
      </c>
      <c r="J262" t="str">
        <f>IF(MSE成绩库!C262="","", MSE成绩库!J262)</f>
        <v/>
      </c>
      <c r="K262" t="str">
        <f>IF(MSE成绩库!C262="","", MSE成绩库!K262)</f>
        <v/>
      </c>
      <c r="L262" t="str">
        <f>IF(MSE成绩库!C262="","", MSE成绩库!M262)</f>
        <v/>
      </c>
      <c r="M262" t="str">
        <f>IF(MSE成绩库!C262="","", MSE成绩库!N262)</f>
        <v/>
      </c>
      <c r="N262" t="str">
        <f>IF(MSE成绩库!C262="","", MSE成绩库!O262)</f>
        <v/>
      </c>
      <c r="O262" t="str">
        <f>IF(MSE成绩库!C262="","", MSE成绩库!Q262)</f>
        <v/>
      </c>
      <c r="P262" t="str">
        <f>IF(MSE成绩库!C262="","", MSE成绩库!R262)</f>
        <v/>
      </c>
      <c r="Q262" t="str">
        <f>IF(MSE成绩库!C262="","", MSE成绩库!S262)</f>
        <v/>
      </c>
      <c r="R262" t="str">
        <f>IF(MSE成绩库!C262="","", MSE成绩库!T262)</f>
        <v/>
      </c>
      <c r="S262" t="str">
        <f>IF(MSE成绩库!C262="","", MSE成绩库!U262)</f>
        <v/>
      </c>
      <c r="T262" t="str">
        <f>IF(MSE成绩库!C262="","", MSE成绩库!V262)</f>
        <v/>
      </c>
      <c r="U262" t="str">
        <f>IF(MSE成绩库!C262="","", MSE成绩库!X262)</f>
        <v/>
      </c>
      <c r="V262" t="str">
        <f>IF(MSE成绩库!C262="","", MSE成绩库!Y262)</f>
        <v/>
      </c>
      <c r="W262" t="str">
        <f>IF(MSE成绩库!C262="","", MSE成绩库!Z262)</f>
        <v/>
      </c>
      <c r="X262" t="str">
        <f>IF(MSE成绩库!C262="","", MSE成绩库!AA262)</f>
        <v/>
      </c>
      <c r="Y262" t="str">
        <f>IF(MSE成绩库!C262="","", MSE成绩库!AB262)</f>
        <v/>
      </c>
      <c r="Z262" t="str">
        <f>IF(MSE成绩库!C262="","", MSE成绩库!AC262)</f>
        <v/>
      </c>
    </row>
    <row r="263" spans="1:26" x14ac:dyDescent="0.2">
      <c r="A263" t="str">
        <f>IF(MSE成绩库!C263="","", MSE成绩库!C263)</f>
        <v/>
      </c>
      <c r="B263" t="str">
        <f>IF(MSE成绩库!AD263="","", MSE成绩库!AD263)</f>
        <v/>
      </c>
      <c r="C263" t="str">
        <f>IF(MSE成绩库!B263="","", MSE成绩库!B263)</f>
        <v/>
      </c>
      <c r="D263" t="str">
        <f>IF(MSE成绩库!D263="","", MSE成绩库!D263)</f>
        <v/>
      </c>
      <c r="E263" t="str">
        <f>IF(MSE成绩库!C263="","", MSE成绩库!E263)</f>
        <v/>
      </c>
      <c r="F263" t="str">
        <f>IF(MSE成绩库!C263="","", MSE成绩库!F263)</f>
        <v/>
      </c>
      <c r="G263" t="str">
        <f>IF(MSE成绩库!C263="","", MSE成绩库!G263)</f>
        <v/>
      </c>
      <c r="H263" t="str">
        <f>IF(MSE成绩库!C263="","", MSE成绩库!H263)</f>
        <v/>
      </c>
      <c r="I263" t="str">
        <f>IF(MSE成绩库!C263="","", MSE成绩库!I263)</f>
        <v/>
      </c>
      <c r="J263" t="str">
        <f>IF(MSE成绩库!C263="","", MSE成绩库!J263)</f>
        <v/>
      </c>
      <c r="K263" t="str">
        <f>IF(MSE成绩库!C263="","", MSE成绩库!K263)</f>
        <v/>
      </c>
      <c r="L263" t="str">
        <f>IF(MSE成绩库!C263="","", MSE成绩库!M263)</f>
        <v/>
      </c>
      <c r="M263" t="str">
        <f>IF(MSE成绩库!C263="","", MSE成绩库!N263)</f>
        <v/>
      </c>
      <c r="N263" t="str">
        <f>IF(MSE成绩库!C263="","", MSE成绩库!O263)</f>
        <v/>
      </c>
      <c r="O263" t="str">
        <f>IF(MSE成绩库!C263="","", MSE成绩库!Q263)</f>
        <v/>
      </c>
      <c r="P263" t="str">
        <f>IF(MSE成绩库!C263="","", MSE成绩库!R263)</f>
        <v/>
      </c>
      <c r="Q263" t="str">
        <f>IF(MSE成绩库!C263="","", MSE成绩库!S263)</f>
        <v/>
      </c>
      <c r="R263" t="str">
        <f>IF(MSE成绩库!C263="","", MSE成绩库!T263)</f>
        <v/>
      </c>
      <c r="S263" t="str">
        <f>IF(MSE成绩库!C263="","", MSE成绩库!U263)</f>
        <v/>
      </c>
      <c r="T263" t="str">
        <f>IF(MSE成绩库!C263="","", MSE成绩库!V263)</f>
        <v/>
      </c>
      <c r="U263" t="str">
        <f>IF(MSE成绩库!C263="","", MSE成绩库!X263)</f>
        <v/>
      </c>
      <c r="V263" t="str">
        <f>IF(MSE成绩库!C263="","", MSE成绩库!Y263)</f>
        <v/>
      </c>
      <c r="W263" t="str">
        <f>IF(MSE成绩库!C263="","", MSE成绩库!Z263)</f>
        <v/>
      </c>
      <c r="X263" t="str">
        <f>IF(MSE成绩库!C263="","", MSE成绩库!AA263)</f>
        <v/>
      </c>
      <c r="Y263" t="str">
        <f>IF(MSE成绩库!C263="","", MSE成绩库!AB263)</f>
        <v/>
      </c>
      <c r="Z263" t="str">
        <f>IF(MSE成绩库!C263="","", MSE成绩库!AC263)</f>
        <v/>
      </c>
    </row>
    <row r="264" spans="1:26" x14ac:dyDescent="0.2">
      <c r="A264" t="str">
        <f>IF(MSE成绩库!C264="","", MSE成绩库!C264)</f>
        <v/>
      </c>
      <c r="B264" t="str">
        <f>IF(MSE成绩库!AD264="","", MSE成绩库!AD264)</f>
        <v/>
      </c>
      <c r="C264" t="str">
        <f>IF(MSE成绩库!B264="","", MSE成绩库!B264)</f>
        <v/>
      </c>
      <c r="D264" t="str">
        <f>IF(MSE成绩库!D264="","", MSE成绩库!D264)</f>
        <v/>
      </c>
      <c r="E264" t="str">
        <f>IF(MSE成绩库!C264="","", MSE成绩库!E264)</f>
        <v/>
      </c>
      <c r="F264" t="str">
        <f>IF(MSE成绩库!C264="","", MSE成绩库!F264)</f>
        <v/>
      </c>
      <c r="G264" t="str">
        <f>IF(MSE成绩库!C264="","", MSE成绩库!G264)</f>
        <v/>
      </c>
      <c r="H264" t="str">
        <f>IF(MSE成绩库!C264="","", MSE成绩库!H264)</f>
        <v/>
      </c>
      <c r="I264" t="str">
        <f>IF(MSE成绩库!C264="","", MSE成绩库!I264)</f>
        <v/>
      </c>
      <c r="J264" t="str">
        <f>IF(MSE成绩库!C264="","", MSE成绩库!J264)</f>
        <v/>
      </c>
      <c r="K264" t="str">
        <f>IF(MSE成绩库!C264="","", MSE成绩库!K264)</f>
        <v/>
      </c>
      <c r="L264" t="str">
        <f>IF(MSE成绩库!C264="","", MSE成绩库!M264)</f>
        <v/>
      </c>
      <c r="M264" t="str">
        <f>IF(MSE成绩库!C264="","", MSE成绩库!N264)</f>
        <v/>
      </c>
      <c r="N264" t="str">
        <f>IF(MSE成绩库!C264="","", MSE成绩库!O264)</f>
        <v/>
      </c>
      <c r="O264" t="str">
        <f>IF(MSE成绩库!C264="","", MSE成绩库!Q264)</f>
        <v/>
      </c>
      <c r="P264" t="str">
        <f>IF(MSE成绩库!C264="","", MSE成绩库!R264)</f>
        <v/>
      </c>
      <c r="Q264" t="str">
        <f>IF(MSE成绩库!C264="","", MSE成绩库!S264)</f>
        <v/>
      </c>
      <c r="R264" t="str">
        <f>IF(MSE成绩库!C264="","", MSE成绩库!T264)</f>
        <v/>
      </c>
      <c r="S264" t="str">
        <f>IF(MSE成绩库!C264="","", MSE成绩库!U264)</f>
        <v/>
      </c>
      <c r="T264" t="str">
        <f>IF(MSE成绩库!C264="","", MSE成绩库!V264)</f>
        <v/>
      </c>
      <c r="U264" t="str">
        <f>IF(MSE成绩库!C264="","", MSE成绩库!X264)</f>
        <v/>
      </c>
      <c r="V264" t="str">
        <f>IF(MSE成绩库!C264="","", MSE成绩库!Y264)</f>
        <v/>
      </c>
      <c r="W264" t="str">
        <f>IF(MSE成绩库!C264="","", MSE成绩库!Z264)</f>
        <v/>
      </c>
      <c r="X264" t="str">
        <f>IF(MSE成绩库!C264="","", MSE成绩库!AA264)</f>
        <v/>
      </c>
      <c r="Y264" t="str">
        <f>IF(MSE成绩库!C264="","", MSE成绩库!AB264)</f>
        <v/>
      </c>
      <c r="Z264" t="str">
        <f>IF(MSE成绩库!C264="","", MSE成绩库!AC264)</f>
        <v/>
      </c>
    </row>
    <row r="265" spans="1:26" x14ac:dyDescent="0.2">
      <c r="A265" t="str">
        <f>IF(MSE成绩库!C265="","", MSE成绩库!C265)</f>
        <v/>
      </c>
      <c r="B265" t="str">
        <f>IF(MSE成绩库!AD265="","", MSE成绩库!AD265)</f>
        <v/>
      </c>
      <c r="C265" t="str">
        <f>IF(MSE成绩库!B265="","", MSE成绩库!B265)</f>
        <v/>
      </c>
      <c r="D265" t="str">
        <f>IF(MSE成绩库!D265="","", MSE成绩库!D265)</f>
        <v/>
      </c>
      <c r="E265" t="str">
        <f>IF(MSE成绩库!C265="","", MSE成绩库!E265)</f>
        <v/>
      </c>
      <c r="F265" t="str">
        <f>IF(MSE成绩库!C265="","", MSE成绩库!F265)</f>
        <v/>
      </c>
      <c r="G265" t="str">
        <f>IF(MSE成绩库!C265="","", MSE成绩库!G265)</f>
        <v/>
      </c>
      <c r="H265" t="str">
        <f>IF(MSE成绩库!C265="","", MSE成绩库!H265)</f>
        <v/>
      </c>
      <c r="I265" t="str">
        <f>IF(MSE成绩库!C265="","", MSE成绩库!I265)</f>
        <v/>
      </c>
      <c r="J265" t="str">
        <f>IF(MSE成绩库!C265="","", MSE成绩库!J265)</f>
        <v/>
      </c>
      <c r="K265" t="str">
        <f>IF(MSE成绩库!C265="","", MSE成绩库!K265)</f>
        <v/>
      </c>
      <c r="L265" t="str">
        <f>IF(MSE成绩库!C265="","", MSE成绩库!M265)</f>
        <v/>
      </c>
      <c r="M265" t="str">
        <f>IF(MSE成绩库!C265="","", MSE成绩库!N265)</f>
        <v/>
      </c>
      <c r="N265" t="str">
        <f>IF(MSE成绩库!C265="","", MSE成绩库!O265)</f>
        <v/>
      </c>
      <c r="O265" t="str">
        <f>IF(MSE成绩库!C265="","", MSE成绩库!Q265)</f>
        <v/>
      </c>
      <c r="P265" t="str">
        <f>IF(MSE成绩库!C265="","", MSE成绩库!R265)</f>
        <v/>
      </c>
      <c r="Q265" t="str">
        <f>IF(MSE成绩库!C265="","", MSE成绩库!S265)</f>
        <v/>
      </c>
      <c r="R265" t="str">
        <f>IF(MSE成绩库!C265="","", MSE成绩库!T265)</f>
        <v/>
      </c>
      <c r="S265" t="str">
        <f>IF(MSE成绩库!C265="","", MSE成绩库!U265)</f>
        <v/>
      </c>
      <c r="T265" t="str">
        <f>IF(MSE成绩库!C265="","", MSE成绩库!V265)</f>
        <v/>
      </c>
      <c r="U265" t="str">
        <f>IF(MSE成绩库!C265="","", MSE成绩库!X265)</f>
        <v/>
      </c>
      <c r="V265" t="str">
        <f>IF(MSE成绩库!C265="","", MSE成绩库!Y265)</f>
        <v/>
      </c>
      <c r="W265" t="str">
        <f>IF(MSE成绩库!C265="","", MSE成绩库!Z265)</f>
        <v/>
      </c>
      <c r="X265" t="str">
        <f>IF(MSE成绩库!C265="","", MSE成绩库!AA265)</f>
        <v/>
      </c>
      <c r="Y265" t="str">
        <f>IF(MSE成绩库!C265="","", MSE成绩库!AB265)</f>
        <v/>
      </c>
      <c r="Z265" t="str">
        <f>IF(MSE成绩库!C265="","", MSE成绩库!AC265)</f>
        <v/>
      </c>
    </row>
    <row r="266" spans="1:26" x14ac:dyDescent="0.2">
      <c r="A266" t="str">
        <f>IF(MSE成绩库!C266="","", MSE成绩库!C266)</f>
        <v/>
      </c>
      <c r="B266" t="str">
        <f>IF(MSE成绩库!AD266="","", MSE成绩库!AD266)</f>
        <v/>
      </c>
      <c r="C266" t="str">
        <f>IF(MSE成绩库!B266="","", MSE成绩库!B266)</f>
        <v/>
      </c>
      <c r="D266" t="str">
        <f>IF(MSE成绩库!D266="","", MSE成绩库!D266)</f>
        <v/>
      </c>
      <c r="E266" t="str">
        <f>IF(MSE成绩库!C266="","", MSE成绩库!E266)</f>
        <v/>
      </c>
      <c r="F266" t="str">
        <f>IF(MSE成绩库!C266="","", MSE成绩库!F266)</f>
        <v/>
      </c>
      <c r="G266" t="str">
        <f>IF(MSE成绩库!C266="","", MSE成绩库!G266)</f>
        <v/>
      </c>
      <c r="H266" t="str">
        <f>IF(MSE成绩库!C266="","", MSE成绩库!H266)</f>
        <v/>
      </c>
      <c r="I266" t="str">
        <f>IF(MSE成绩库!C266="","", MSE成绩库!I266)</f>
        <v/>
      </c>
      <c r="J266" t="str">
        <f>IF(MSE成绩库!C266="","", MSE成绩库!J266)</f>
        <v/>
      </c>
      <c r="K266" t="str">
        <f>IF(MSE成绩库!C266="","", MSE成绩库!K266)</f>
        <v/>
      </c>
      <c r="L266" t="str">
        <f>IF(MSE成绩库!C266="","", MSE成绩库!M266)</f>
        <v/>
      </c>
      <c r="M266" t="str">
        <f>IF(MSE成绩库!C266="","", MSE成绩库!N266)</f>
        <v/>
      </c>
      <c r="N266" t="str">
        <f>IF(MSE成绩库!C266="","", MSE成绩库!O266)</f>
        <v/>
      </c>
      <c r="O266" t="str">
        <f>IF(MSE成绩库!C266="","", MSE成绩库!Q266)</f>
        <v/>
      </c>
      <c r="P266" t="str">
        <f>IF(MSE成绩库!C266="","", MSE成绩库!R266)</f>
        <v/>
      </c>
      <c r="Q266" t="str">
        <f>IF(MSE成绩库!C266="","", MSE成绩库!S266)</f>
        <v/>
      </c>
      <c r="R266" t="str">
        <f>IF(MSE成绩库!C266="","", MSE成绩库!T266)</f>
        <v/>
      </c>
      <c r="S266" t="str">
        <f>IF(MSE成绩库!C266="","", MSE成绩库!U266)</f>
        <v/>
      </c>
      <c r="T266" t="str">
        <f>IF(MSE成绩库!C266="","", MSE成绩库!V266)</f>
        <v/>
      </c>
      <c r="U266" t="str">
        <f>IF(MSE成绩库!C266="","", MSE成绩库!X266)</f>
        <v/>
      </c>
      <c r="V266" t="str">
        <f>IF(MSE成绩库!C266="","", MSE成绩库!Y266)</f>
        <v/>
      </c>
      <c r="W266" t="str">
        <f>IF(MSE成绩库!C266="","", MSE成绩库!Z266)</f>
        <v/>
      </c>
      <c r="X266" t="str">
        <f>IF(MSE成绩库!C266="","", MSE成绩库!AA266)</f>
        <v/>
      </c>
      <c r="Y266" t="str">
        <f>IF(MSE成绩库!C266="","", MSE成绩库!AB266)</f>
        <v/>
      </c>
      <c r="Z266" t="str">
        <f>IF(MSE成绩库!C266="","", MSE成绩库!AC266)</f>
        <v/>
      </c>
    </row>
    <row r="267" spans="1:26" x14ac:dyDescent="0.2">
      <c r="A267" t="str">
        <f>IF(MSE成绩库!C267="","", MSE成绩库!C267)</f>
        <v/>
      </c>
      <c r="B267" t="str">
        <f>IF(MSE成绩库!AD267="","", MSE成绩库!AD267)</f>
        <v/>
      </c>
      <c r="C267" t="str">
        <f>IF(MSE成绩库!B267="","", MSE成绩库!B267)</f>
        <v/>
      </c>
      <c r="D267" t="str">
        <f>IF(MSE成绩库!D267="","", MSE成绩库!D267)</f>
        <v/>
      </c>
      <c r="E267" t="str">
        <f>IF(MSE成绩库!C267="","", MSE成绩库!E267)</f>
        <v/>
      </c>
      <c r="F267" t="str">
        <f>IF(MSE成绩库!C267="","", MSE成绩库!F267)</f>
        <v/>
      </c>
      <c r="G267" t="str">
        <f>IF(MSE成绩库!C267="","", MSE成绩库!G267)</f>
        <v/>
      </c>
      <c r="H267" t="str">
        <f>IF(MSE成绩库!C267="","", MSE成绩库!H267)</f>
        <v/>
      </c>
      <c r="I267" t="str">
        <f>IF(MSE成绩库!C267="","", MSE成绩库!I267)</f>
        <v/>
      </c>
      <c r="J267" t="str">
        <f>IF(MSE成绩库!C267="","", MSE成绩库!J267)</f>
        <v/>
      </c>
      <c r="K267" t="str">
        <f>IF(MSE成绩库!C267="","", MSE成绩库!K267)</f>
        <v/>
      </c>
      <c r="L267" t="str">
        <f>IF(MSE成绩库!C267="","", MSE成绩库!M267)</f>
        <v/>
      </c>
      <c r="M267" t="str">
        <f>IF(MSE成绩库!C267="","", MSE成绩库!N267)</f>
        <v/>
      </c>
      <c r="N267" t="str">
        <f>IF(MSE成绩库!C267="","", MSE成绩库!O267)</f>
        <v/>
      </c>
      <c r="O267" t="str">
        <f>IF(MSE成绩库!C267="","", MSE成绩库!Q267)</f>
        <v/>
      </c>
      <c r="P267" t="str">
        <f>IF(MSE成绩库!C267="","", MSE成绩库!R267)</f>
        <v/>
      </c>
      <c r="Q267" t="str">
        <f>IF(MSE成绩库!C267="","", MSE成绩库!S267)</f>
        <v/>
      </c>
      <c r="R267" t="str">
        <f>IF(MSE成绩库!C267="","", MSE成绩库!T267)</f>
        <v/>
      </c>
      <c r="S267" t="str">
        <f>IF(MSE成绩库!C267="","", MSE成绩库!U267)</f>
        <v/>
      </c>
      <c r="T267" t="str">
        <f>IF(MSE成绩库!C267="","", MSE成绩库!V267)</f>
        <v/>
      </c>
      <c r="U267" t="str">
        <f>IF(MSE成绩库!C267="","", MSE成绩库!X267)</f>
        <v/>
      </c>
      <c r="V267" t="str">
        <f>IF(MSE成绩库!C267="","", MSE成绩库!Y267)</f>
        <v/>
      </c>
      <c r="W267" t="str">
        <f>IF(MSE成绩库!C267="","", MSE成绩库!Z267)</f>
        <v/>
      </c>
      <c r="X267" t="str">
        <f>IF(MSE成绩库!C267="","", MSE成绩库!AA267)</f>
        <v/>
      </c>
      <c r="Y267" t="str">
        <f>IF(MSE成绩库!C267="","", MSE成绩库!AB267)</f>
        <v/>
      </c>
      <c r="Z267" t="str">
        <f>IF(MSE成绩库!C267="","", MSE成绩库!AC267)</f>
        <v/>
      </c>
    </row>
    <row r="268" spans="1:26" x14ac:dyDescent="0.2">
      <c r="A268" t="str">
        <f>IF(MSE成绩库!C268="","", MSE成绩库!C268)</f>
        <v/>
      </c>
      <c r="B268" t="str">
        <f>IF(MSE成绩库!AD268="","", MSE成绩库!AD268)</f>
        <v/>
      </c>
      <c r="C268" t="str">
        <f>IF(MSE成绩库!B268="","", MSE成绩库!B268)</f>
        <v/>
      </c>
      <c r="D268" t="str">
        <f>IF(MSE成绩库!D268="","", MSE成绩库!D268)</f>
        <v/>
      </c>
      <c r="E268" t="str">
        <f>IF(MSE成绩库!C268="","", MSE成绩库!E268)</f>
        <v/>
      </c>
      <c r="F268" t="str">
        <f>IF(MSE成绩库!C268="","", MSE成绩库!F268)</f>
        <v/>
      </c>
      <c r="G268" t="str">
        <f>IF(MSE成绩库!C268="","", MSE成绩库!G268)</f>
        <v/>
      </c>
      <c r="H268" t="str">
        <f>IF(MSE成绩库!C268="","", MSE成绩库!H268)</f>
        <v/>
      </c>
      <c r="I268" t="str">
        <f>IF(MSE成绩库!C268="","", MSE成绩库!I268)</f>
        <v/>
      </c>
      <c r="J268" t="str">
        <f>IF(MSE成绩库!C268="","", MSE成绩库!J268)</f>
        <v/>
      </c>
      <c r="K268" t="str">
        <f>IF(MSE成绩库!C268="","", MSE成绩库!K268)</f>
        <v/>
      </c>
      <c r="L268" t="str">
        <f>IF(MSE成绩库!C268="","", MSE成绩库!M268)</f>
        <v/>
      </c>
      <c r="M268" t="str">
        <f>IF(MSE成绩库!C268="","", MSE成绩库!N268)</f>
        <v/>
      </c>
      <c r="N268" t="str">
        <f>IF(MSE成绩库!C268="","", MSE成绩库!O268)</f>
        <v/>
      </c>
      <c r="O268" t="str">
        <f>IF(MSE成绩库!C268="","", MSE成绩库!Q268)</f>
        <v/>
      </c>
      <c r="P268" t="str">
        <f>IF(MSE成绩库!C268="","", MSE成绩库!R268)</f>
        <v/>
      </c>
      <c r="Q268" t="str">
        <f>IF(MSE成绩库!C268="","", MSE成绩库!S268)</f>
        <v/>
      </c>
      <c r="R268" t="str">
        <f>IF(MSE成绩库!C268="","", MSE成绩库!T268)</f>
        <v/>
      </c>
      <c r="S268" t="str">
        <f>IF(MSE成绩库!C268="","", MSE成绩库!U268)</f>
        <v/>
      </c>
      <c r="T268" t="str">
        <f>IF(MSE成绩库!C268="","", MSE成绩库!V268)</f>
        <v/>
      </c>
      <c r="U268" t="str">
        <f>IF(MSE成绩库!C268="","", MSE成绩库!X268)</f>
        <v/>
      </c>
      <c r="V268" t="str">
        <f>IF(MSE成绩库!C268="","", MSE成绩库!Y268)</f>
        <v/>
      </c>
      <c r="W268" t="str">
        <f>IF(MSE成绩库!C268="","", MSE成绩库!Z268)</f>
        <v/>
      </c>
      <c r="X268" t="str">
        <f>IF(MSE成绩库!C268="","", MSE成绩库!AA268)</f>
        <v/>
      </c>
      <c r="Y268" t="str">
        <f>IF(MSE成绩库!C268="","", MSE成绩库!AB268)</f>
        <v/>
      </c>
      <c r="Z268" t="str">
        <f>IF(MSE成绩库!C268="","", MSE成绩库!AC268)</f>
        <v/>
      </c>
    </row>
    <row r="269" spans="1:26" x14ac:dyDescent="0.2">
      <c r="A269" t="str">
        <f>IF(MSE成绩库!C269="","", MSE成绩库!C269)</f>
        <v/>
      </c>
      <c r="B269" t="str">
        <f>IF(MSE成绩库!AD269="","", MSE成绩库!AD269)</f>
        <v/>
      </c>
      <c r="C269" t="str">
        <f>IF(MSE成绩库!B269="","", MSE成绩库!B269)</f>
        <v/>
      </c>
      <c r="D269" t="str">
        <f>IF(MSE成绩库!D269="","", MSE成绩库!D269)</f>
        <v/>
      </c>
      <c r="E269" t="str">
        <f>IF(MSE成绩库!C269="","", MSE成绩库!E269)</f>
        <v/>
      </c>
      <c r="F269" t="str">
        <f>IF(MSE成绩库!C269="","", MSE成绩库!F269)</f>
        <v/>
      </c>
      <c r="G269" t="str">
        <f>IF(MSE成绩库!C269="","", MSE成绩库!G269)</f>
        <v/>
      </c>
      <c r="H269" t="str">
        <f>IF(MSE成绩库!C269="","", MSE成绩库!H269)</f>
        <v/>
      </c>
      <c r="I269" t="str">
        <f>IF(MSE成绩库!C269="","", MSE成绩库!I269)</f>
        <v/>
      </c>
      <c r="J269" t="str">
        <f>IF(MSE成绩库!C269="","", MSE成绩库!J269)</f>
        <v/>
      </c>
      <c r="K269" t="str">
        <f>IF(MSE成绩库!C269="","", MSE成绩库!K269)</f>
        <v/>
      </c>
      <c r="L269" t="str">
        <f>IF(MSE成绩库!C269="","", MSE成绩库!M269)</f>
        <v/>
      </c>
      <c r="M269" t="str">
        <f>IF(MSE成绩库!C269="","", MSE成绩库!N269)</f>
        <v/>
      </c>
      <c r="N269" t="str">
        <f>IF(MSE成绩库!C269="","", MSE成绩库!O269)</f>
        <v/>
      </c>
      <c r="O269" t="str">
        <f>IF(MSE成绩库!C269="","", MSE成绩库!Q269)</f>
        <v/>
      </c>
      <c r="P269" t="str">
        <f>IF(MSE成绩库!C269="","", MSE成绩库!R269)</f>
        <v/>
      </c>
      <c r="Q269" t="str">
        <f>IF(MSE成绩库!C269="","", MSE成绩库!S269)</f>
        <v/>
      </c>
      <c r="R269" t="str">
        <f>IF(MSE成绩库!C269="","", MSE成绩库!T269)</f>
        <v/>
      </c>
      <c r="S269" t="str">
        <f>IF(MSE成绩库!C269="","", MSE成绩库!U269)</f>
        <v/>
      </c>
      <c r="T269" t="str">
        <f>IF(MSE成绩库!C269="","", MSE成绩库!V269)</f>
        <v/>
      </c>
      <c r="U269" t="str">
        <f>IF(MSE成绩库!C269="","", MSE成绩库!X269)</f>
        <v/>
      </c>
      <c r="V269" t="str">
        <f>IF(MSE成绩库!C269="","", MSE成绩库!Y269)</f>
        <v/>
      </c>
      <c r="W269" t="str">
        <f>IF(MSE成绩库!C269="","", MSE成绩库!Z269)</f>
        <v/>
      </c>
      <c r="X269" t="str">
        <f>IF(MSE成绩库!C269="","", MSE成绩库!AA269)</f>
        <v/>
      </c>
      <c r="Y269" t="str">
        <f>IF(MSE成绩库!C269="","", MSE成绩库!AB269)</f>
        <v/>
      </c>
      <c r="Z269" t="str">
        <f>IF(MSE成绩库!C269="","", MSE成绩库!AC269)</f>
        <v/>
      </c>
    </row>
    <row r="270" spans="1:26" x14ac:dyDescent="0.2">
      <c r="A270" t="str">
        <f>IF(MSE成绩库!C270="","", MSE成绩库!C270)</f>
        <v/>
      </c>
      <c r="B270" t="str">
        <f>IF(MSE成绩库!AD270="","", MSE成绩库!AD270)</f>
        <v/>
      </c>
      <c r="C270" t="str">
        <f>IF(MSE成绩库!B270="","", MSE成绩库!B270)</f>
        <v/>
      </c>
      <c r="D270" t="str">
        <f>IF(MSE成绩库!D270="","", MSE成绩库!D270)</f>
        <v/>
      </c>
      <c r="E270" t="str">
        <f>IF(MSE成绩库!C270="","", MSE成绩库!E270)</f>
        <v/>
      </c>
      <c r="F270" t="str">
        <f>IF(MSE成绩库!C270="","", MSE成绩库!F270)</f>
        <v/>
      </c>
      <c r="G270" t="str">
        <f>IF(MSE成绩库!C270="","", MSE成绩库!G270)</f>
        <v/>
      </c>
      <c r="H270" t="str">
        <f>IF(MSE成绩库!C270="","", MSE成绩库!H270)</f>
        <v/>
      </c>
      <c r="I270" t="str">
        <f>IF(MSE成绩库!C270="","", MSE成绩库!I270)</f>
        <v/>
      </c>
      <c r="J270" t="str">
        <f>IF(MSE成绩库!C270="","", MSE成绩库!J270)</f>
        <v/>
      </c>
      <c r="K270" t="str">
        <f>IF(MSE成绩库!C270="","", MSE成绩库!K270)</f>
        <v/>
      </c>
      <c r="L270" t="str">
        <f>IF(MSE成绩库!C270="","", MSE成绩库!M270)</f>
        <v/>
      </c>
      <c r="M270" t="str">
        <f>IF(MSE成绩库!C270="","", MSE成绩库!N270)</f>
        <v/>
      </c>
      <c r="N270" t="str">
        <f>IF(MSE成绩库!C270="","", MSE成绩库!O270)</f>
        <v/>
      </c>
      <c r="O270" t="str">
        <f>IF(MSE成绩库!C270="","", MSE成绩库!Q270)</f>
        <v/>
      </c>
      <c r="P270" t="str">
        <f>IF(MSE成绩库!C270="","", MSE成绩库!R270)</f>
        <v/>
      </c>
      <c r="Q270" t="str">
        <f>IF(MSE成绩库!C270="","", MSE成绩库!S270)</f>
        <v/>
      </c>
      <c r="R270" t="str">
        <f>IF(MSE成绩库!C270="","", MSE成绩库!T270)</f>
        <v/>
      </c>
      <c r="S270" t="str">
        <f>IF(MSE成绩库!C270="","", MSE成绩库!U270)</f>
        <v/>
      </c>
      <c r="T270" t="str">
        <f>IF(MSE成绩库!C270="","", MSE成绩库!V270)</f>
        <v/>
      </c>
      <c r="U270" t="str">
        <f>IF(MSE成绩库!C270="","", MSE成绩库!X270)</f>
        <v/>
      </c>
      <c r="V270" t="str">
        <f>IF(MSE成绩库!C270="","", MSE成绩库!Y270)</f>
        <v/>
      </c>
      <c r="W270" t="str">
        <f>IF(MSE成绩库!C270="","", MSE成绩库!Z270)</f>
        <v/>
      </c>
      <c r="X270" t="str">
        <f>IF(MSE成绩库!C270="","", MSE成绩库!AA270)</f>
        <v/>
      </c>
      <c r="Y270" t="str">
        <f>IF(MSE成绩库!C270="","", MSE成绩库!AB270)</f>
        <v/>
      </c>
      <c r="Z270" t="str">
        <f>IF(MSE成绩库!C270="","", MSE成绩库!AC270)</f>
        <v/>
      </c>
    </row>
    <row r="271" spans="1:26" x14ac:dyDescent="0.2">
      <c r="A271" t="str">
        <f>IF(MSE成绩库!C271="","", MSE成绩库!C271)</f>
        <v/>
      </c>
      <c r="B271" t="str">
        <f>IF(MSE成绩库!AD271="","", MSE成绩库!AD271)</f>
        <v/>
      </c>
      <c r="C271" t="str">
        <f>IF(MSE成绩库!B271="","", MSE成绩库!B271)</f>
        <v/>
      </c>
      <c r="D271" t="str">
        <f>IF(MSE成绩库!D271="","", MSE成绩库!D271)</f>
        <v/>
      </c>
      <c r="E271" t="str">
        <f>IF(MSE成绩库!C271="","", MSE成绩库!E271)</f>
        <v/>
      </c>
      <c r="F271" t="str">
        <f>IF(MSE成绩库!C271="","", MSE成绩库!F271)</f>
        <v/>
      </c>
      <c r="G271" t="str">
        <f>IF(MSE成绩库!C271="","", MSE成绩库!G271)</f>
        <v/>
      </c>
      <c r="H271" t="str">
        <f>IF(MSE成绩库!C271="","", MSE成绩库!H271)</f>
        <v/>
      </c>
      <c r="I271" t="str">
        <f>IF(MSE成绩库!C271="","", MSE成绩库!I271)</f>
        <v/>
      </c>
      <c r="J271" t="str">
        <f>IF(MSE成绩库!C271="","", MSE成绩库!J271)</f>
        <v/>
      </c>
      <c r="K271" t="str">
        <f>IF(MSE成绩库!C271="","", MSE成绩库!K271)</f>
        <v/>
      </c>
      <c r="L271" t="str">
        <f>IF(MSE成绩库!C271="","", MSE成绩库!M271)</f>
        <v/>
      </c>
      <c r="M271" t="str">
        <f>IF(MSE成绩库!C271="","", MSE成绩库!N271)</f>
        <v/>
      </c>
      <c r="N271" t="str">
        <f>IF(MSE成绩库!C271="","", MSE成绩库!O271)</f>
        <v/>
      </c>
      <c r="O271" t="str">
        <f>IF(MSE成绩库!C271="","", MSE成绩库!Q271)</f>
        <v/>
      </c>
      <c r="P271" t="str">
        <f>IF(MSE成绩库!C271="","", MSE成绩库!R271)</f>
        <v/>
      </c>
      <c r="Q271" t="str">
        <f>IF(MSE成绩库!C271="","", MSE成绩库!S271)</f>
        <v/>
      </c>
      <c r="R271" t="str">
        <f>IF(MSE成绩库!C271="","", MSE成绩库!T271)</f>
        <v/>
      </c>
      <c r="S271" t="str">
        <f>IF(MSE成绩库!C271="","", MSE成绩库!U271)</f>
        <v/>
      </c>
      <c r="T271" t="str">
        <f>IF(MSE成绩库!C271="","", MSE成绩库!V271)</f>
        <v/>
      </c>
      <c r="U271" t="str">
        <f>IF(MSE成绩库!C271="","", MSE成绩库!X271)</f>
        <v/>
      </c>
      <c r="V271" t="str">
        <f>IF(MSE成绩库!C271="","", MSE成绩库!Y271)</f>
        <v/>
      </c>
      <c r="W271" t="str">
        <f>IF(MSE成绩库!C271="","", MSE成绩库!Z271)</f>
        <v/>
      </c>
      <c r="X271" t="str">
        <f>IF(MSE成绩库!C271="","", MSE成绩库!AA271)</f>
        <v/>
      </c>
      <c r="Y271" t="str">
        <f>IF(MSE成绩库!C271="","", MSE成绩库!AB271)</f>
        <v/>
      </c>
      <c r="Z271" t="str">
        <f>IF(MSE成绩库!C271="","", MSE成绩库!AC271)</f>
        <v/>
      </c>
    </row>
    <row r="272" spans="1:26" x14ac:dyDescent="0.2">
      <c r="A272" t="str">
        <f>IF(MSE成绩库!C272="","", MSE成绩库!C272)</f>
        <v/>
      </c>
      <c r="B272" t="str">
        <f>IF(MSE成绩库!AD272="","", MSE成绩库!AD272)</f>
        <v/>
      </c>
      <c r="C272" t="str">
        <f>IF(MSE成绩库!B272="","", MSE成绩库!B272)</f>
        <v/>
      </c>
      <c r="D272" t="str">
        <f>IF(MSE成绩库!D272="","", MSE成绩库!D272)</f>
        <v/>
      </c>
      <c r="E272" t="str">
        <f>IF(MSE成绩库!C272="","", MSE成绩库!E272)</f>
        <v/>
      </c>
      <c r="F272" t="str">
        <f>IF(MSE成绩库!C272="","", MSE成绩库!F272)</f>
        <v/>
      </c>
      <c r="G272" t="str">
        <f>IF(MSE成绩库!C272="","", MSE成绩库!G272)</f>
        <v/>
      </c>
      <c r="H272" t="str">
        <f>IF(MSE成绩库!C272="","", MSE成绩库!H272)</f>
        <v/>
      </c>
      <c r="I272" t="str">
        <f>IF(MSE成绩库!C272="","", MSE成绩库!I272)</f>
        <v/>
      </c>
      <c r="J272" t="str">
        <f>IF(MSE成绩库!C272="","", MSE成绩库!J272)</f>
        <v/>
      </c>
      <c r="K272" t="str">
        <f>IF(MSE成绩库!C272="","", MSE成绩库!K272)</f>
        <v/>
      </c>
      <c r="L272" t="str">
        <f>IF(MSE成绩库!C272="","", MSE成绩库!M272)</f>
        <v/>
      </c>
      <c r="M272" t="str">
        <f>IF(MSE成绩库!C272="","", MSE成绩库!N272)</f>
        <v/>
      </c>
      <c r="N272" t="str">
        <f>IF(MSE成绩库!C272="","", MSE成绩库!O272)</f>
        <v/>
      </c>
      <c r="O272" t="str">
        <f>IF(MSE成绩库!C272="","", MSE成绩库!Q272)</f>
        <v/>
      </c>
      <c r="P272" t="str">
        <f>IF(MSE成绩库!C272="","", MSE成绩库!R272)</f>
        <v/>
      </c>
      <c r="Q272" t="str">
        <f>IF(MSE成绩库!C272="","", MSE成绩库!S272)</f>
        <v/>
      </c>
      <c r="R272" t="str">
        <f>IF(MSE成绩库!C272="","", MSE成绩库!T272)</f>
        <v/>
      </c>
      <c r="S272" t="str">
        <f>IF(MSE成绩库!C272="","", MSE成绩库!U272)</f>
        <v/>
      </c>
      <c r="T272" t="str">
        <f>IF(MSE成绩库!C272="","", MSE成绩库!V272)</f>
        <v/>
      </c>
      <c r="U272" t="str">
        <f>IF(MSE成绩库!C272="","", MSE成绩库!X272)</f>
        <v/>
      </c>
      <c r="V272" t="str">
        <f>IF(MSE成绩库!C272="","", MSE成绩库!Y272)</f>
        <v/>
      </c>
      <c r="W272" t="str">
        <f>IF(MSE成绩库!C272="","", MSE成绩库!Z272)</f>
        <v/>
      </c>
      <c r="X272" t="str">
        <f>IF(MSE成绩库!C272="","", MSE成绩库!AA272)</f>
        <v/>
      </c>
      <c r="Y272" t="str">
        <f>IF(MSE成绩库!C272="","", MSE成绩库!AB272)</f>
        <v/>
      </c>
      <c r="Z272" t="str">
        <f>IF(MSE成绩库!C272="","", MSE成绩库!AC272)</f>
        <v/>
      </c>
    </row>
    <row r="273" spans="1:26" x14ac:dyDescent="0.2">
      <c r="A273" t="str">
        <f>IF(MSE成绩库!C273="","", MSE成绩库!C273)</f>
        <v/>
      </c>
      <c r="B273" t="str">
        <f>IF(MSE成绩库!AD273="","", MSE成绩库!AD273)</f>
        <v/>
      </c>
      <c r="C273" t="str">
        <f>IF(MSE成绩库!B273="","", MSE成绩库!B273)</f>
        <v/>
      </c>
      <c r="D273" t="str">
        <f>IF(MSE成绩库!D273="","", MSE成绩库!D273)</f>
        <v/>
      </c>
      <c r="E273" t="str">
        <f>IF(MSE成绩库!C273="","", MSE成绩库!E273)</f>
        <v/>
      </c>
      <c r="F273" t="str">
        <f>IF(MSE成绩库!C273="","", MSE成绩库!F273)</f>
        <v/>
      </c>
      <c r="G273" t="str">
        <f>IF(MSE成绩库!C273="","", MSE成绩库!G273)</f>
        <v/>
      </c>
      <c r="H273" t="str">
        <f>IF(MSE成绩库!C273="","", MSE成绩库!H273)</f>
        <v/>
      </c>
      <c r="I273" t="str">
        <f>IF(MSE成绩库!C273="","", MSE成绩库!I273)</f>
        <v/>
      </c>
      <c r="J273" t="str">
        <f>IF(MSE成绩库!C273="","", MSE成绩库!J273)</f>
        <v/>
      </c>
      <c r="K273" t="str">
        <f>IF(MSE成绩库!C273="","", MSE成绩库!K273)</f>
        <v/>
      </c>
      <c r="L273" t="str">
        <f>IF(MSE成绩库!C273="","", MSE成绩库!M273)</f>
        <v/>
      </c>
      <c r="M273" t="str">
        <f>IF(MSE成绩库!C273="","", MSE成绩库!N273)</f>
        <v/>
      </c>
      <c r="N273" t="str">
        <f>IF(MSE成绩库!C273="","", MSE成绩库!O273)</f>
        <v/>
      </c>
      <c r="O273" t="str">
        <f>IF(MSE成绩库!C273="","", MSE成绩库!Q273)</f>
        <v/>
      </c>
      <c r="P273" t="str">
        <f>IF(MSE成绩库!C273="","", MSE成绩库!R273)</f>
        <v/>
      </c>
      <c r="Q273" t="str">
        <f>IF(MSE成绩库!C273="","", MSE成绩库!S273)</f>
        <v/>
      </c>
      <c r="R273" t="str">
        <f>IF(MSE成绩库!C273="","", MSE成绩库!T273)</f>
        <v/>
      </c>
      <c r="S273" t="str">
        <f>IF(MSE成绩库!C273="","", MSE成绩库!U273)</f>
        <v/>
      </c>
      <c r="T273" t="str">
        <f>IF(MSE成绩库!C273="","", MSE成绩库!V273)</f>
        <v/>
      </c>
      <c r="U273" t="str">
        <f>IF(MSE成绩库!C273="","", MSE成绩库!X273)</f>
        <v/>
      </c>
      <c r="V273" t="str">
        <f>IF(MSE成绩库!C273="","", MSE成绩库!Y273)</f>
        <v/>
      </c>
      <c r="W273" t="str">
        <f>IF(MSE成绩库!C273="","", MSE成绩库!Z273)</f>
        <v/>
      </c>
      <c r="X273" t="str">
        <f>IF(MSE成绩库!C273="","", MSE成绩库!AA273)</f>
        <v/>
      </c>
      <c r="Y273" t="str">
        <f>IF(MSE成绩库!C273="","", MSE成绩库!AB273)</f>
        <v/>
      </c>
      <c r="Z273" t="str">
        <f>IF(MSE成绩库!C273="","", MSE成绩库!AC273)</f>
        <v/>
      </c>
    </row>
    <row r="274" spans="1:26" x14ac:dyDescent="0.2">
      <c r="A274" t="str">
        <f>IF(MSE成绩库!C274="","", MSE成绩库!C274)</f>
        <v/>
      </c>
      <c r="B274" t="str">
        <f>IF(MSE成绩库!AD274="","", MSE成绩库!AD274)</f>
        <v/>
      </c>
      <c r="C274" t="str">
        <f>IF(MSE成绩库!B274="","", MSE成绩库!B274)</f>
        <v/>
      </c>
      <c r="D274" t="str">
        <f>IF(MSE成绩库!D274="","", MSE成绩库!D274)</f>
        <v/>
      </c>
      <c r="E274" t="str">
        <f>IF(MSE成绩库!C274="","", MSE成绩库!E274)</f>
        <v/>
      </c>
      <c r="F274" t="str">
        <f>IF(MSE成绩库!C274="","", MSE成绩库!F274)</f>
        <v/>
      </c>
      <c r="G274" t="str">
        <f>IF(MSE成绩库!C274="","", MSE成绩库!G274)</f>
        <v/>
      </c>
      <c r="H274" t="str">
        <f>IF(MSE成绩库!C274="","", MSE成绩库!H274)</f>
        <v/>
      </c>
      <c r="I274" t="str">
        <f>IF(MSE成绩库!C274="","", MSE成绩库!I274)</f>
        <v/>
      </c>
      <c r="J274" t="str">
        <f>IF(MSE成绩库!C274="","", MSE成绩库!J274)</f>
        <v/>
      </c>
      <c r="K274" t="str">
        <f>IF(MSE成绩库!C274="","", MSE成绩库!K274)</f>
        <v/>
      </c>
      <c r="L274" t="str">
        <f>IF(MSE成绩库!C274="","", MSE成绩库!M274)</f>
        <v/>
      </c>
      <c r="M274" t="str">
        <f>IF(MSE成绩库!C274="","", MSE成绩库!N274)</f>
        <v/>
      </c>
      <c r="N274" t="str">
        <f>IF(MSE成绩库!C274="","", MSE成绩库!O274)</f>
        <v/>
      </c>
      <c r="O274" t="str">
        <f>IF(MSE成绩库!C274="","", MSE成绩库!Q274)</f>
        <v/>
      </c>
      <c r="P274" t="str">
        <f>IF(MSE成绩库!C274="","", MSE成绩库!R274)</f>
        <v/>
      </c>
      <c r="Q274" t="str">
        <f>IF(MSE成绩库!C274="","", MSE成绩库!S274)</f>
        <v/>
      </c>
      <c r="R274" t="str">
        <f>IF(MSE成绩库!C274="","", MSE成绩库!T274)</f>
        <v/>
      </c>
      <c r="S274" t="str">
        <f>IF(MSE成绩库!C274="","", MSE成绩库!U274)</f>
        <v/>
      </c>
      <c r="T274" t="str">
        <f>IF(MSE成绩库!C274="","", MSE成绩库!V274)</f>
        <v/>
      </c>
      <c r="U274" t="str">
        <f>IF(MSE成绩库!C274="","", MSE成绩库!X274)</f>
        <v/>
      </c>
      <c r="V274" t="str">
        <f>IF(MSE成绩库!C274="","", MSE成绩库!Y274)</f>
        <v/>
      </c>
      <c r="W274" t="str">
        <f>IF(MSE成绩库!C274="","", MSE成绩库!Z274)</f>
        <v/>
      </c>
      <c r="X274" t="str">
        <f>IF(MSE成绩库!C274="","", MSE成绩库!AA274)</f>
        <v/>
      </c>
      <c r="Y274" t="str">
        <f>IF(MSE成绩库!C274="","", MSE成绩库!AB274)</f>
        <v/>
      </c>
      <c r="Z274" t="str">
        <f>IF(MSE成绩库!C274="","", MSE成绩库!AC274)</f>
        <v/>
      </c>
    </row>
    <row r="275" spans="1:26" x14ac:dyDescent="0.2">
      <c r="A275" t="str">
        <f>IF(MSE成绩库!C275="","", MSE成绩库!C275)</f>
        <v/>
      </c>
      <c r="B275" t="str">
        <f>IF(MSE成绩库!AD275="","", MSE成绩库!AD275)</f>
        <v/>
      </c>
      <c r="C275" t="str">
        <f>IF(MSE成绩库!B275="","", MSE成绩库!B275)</f>
        <v/>
      </c>
      <c r="D275" t="str">
        <f>IF(MSE成绩库!D275="","", MSE成绩库!D275)</f>
        <v/>
      </c>
      <c r="E275" t="str">
        <f>IF(MSE成绩库!C275="","", MSE成绩库!E275)</f>
        <v/>
      </c>
      <c r="F275" t="str">
        <f>IF(MSE成绩库!C275="","", MSE成绩库!F275)</f>
        <v/>
      </c>
      <c r="G275" t="str">
        <f>IF(MSE成绩库!C275="","", MSE成绩库!G275)</f>
        <v/>
      </c>
      <c r="H275" t="str">
        <f>IF(MSE成绩库!C275="","", MSE成绩库!H275)</f>
        <v/>
      </c>
      <c r="I275" t="str">
        <f>IF(MSE成绩库!C275="","", MSE成绩库!I275)</f>
        <v/>
      </c>
      <c r="J275" t="str">
        <f>IF(MSE成绩库!C275="","", MSE成绩库!J275)</f>
        <v/>
      </c>
      <c r="K275" t="str">
        <f>IF(MSE成绩库!C275="","", MSE成绩库!K275)</f>
        <v/>
      </c>
      <c r="L275" t="str">
        <f>IF(MSE成绩库!C275="","", MSE成绩库!M275)</f>
        <v/>
      </c>
      <c r="M275" t="str">
        <f>IF(MSE成绩库!C275="","", MSE成绩库!N275)</f>
        <v/>
      </c>
      <c r="N275" t="str">
        <f>IF(MSE成绩库!C275="","", MSE成绩库!O275)</f>
        <v/>
      </c>
      <c r="O275" t="str">
        <f>IF(MSE成绩库!C275="","", MSE成绩库!Q275)</f>
        <v/>
      </c>
      <c r="P275" t="str">
        <f>IF(MSE成绩库!C275="","", MSE成绩库!R275)</f>
        <v/>
      </c>
      <c r="Q275" t="str">
        <f>IF(MSE成绩库!C275="","", MSE成绩库!S275)</f>
        <v/>
      </c>
      <c r="R275" t="str">
        <f>IF(MSE成绩库!C275="","", MSE成绩库!T275)</f>
        <v/>
      </c>
      <c r="S275" t="str">
        <f>IF(MSE成绩库!C275="","", MSE成绩库!U275)</f>
        <v/>
      </c>
      <c r="T275" t="str">
        <f>IF(MSE成绩库!C275="","", MSE成绩库!V275)</f>
        <v/>
      </c>
      <c r="U275" t="str">
        <f>IF(MSE成绩库!C275="","", MSE成绩库!X275)</f>
        <v/>
      </c>
      <c r="V275" t="str">
        <f>IF(MSE成绩库!C275="","", MSE成绩库!Y275)</f>
        <v/>
      </c>
      <c r="W275" t="str">
        <f>IF(MSE成绩库!C275="","", MSE成绩库!Z275)</f>
        <v/>
      </c>
      <c r="X275" t="str">
        <f>IF(MSE成绩库!C275="","", MSE成绩库!AA275)</f>
        <v/>
      </c>
      <c r="Y275" t="str">
        <f>IF(MSE成绩库!C275="","", MSE成绩库!AB275)</f>
        <v/>
      </c>
      <c r="Z275" t="str">
        <f>IF(MSE成绩库!C275="","", MSE成绩库!AC275)</f>
        <v/>
      </c>
    </row>
    <row r="276" spans="1:26" x14ac:dyDescent="0.2">
      <c r="A276" t="str">
        <f>IF(MSE成绩库!C276="","", MSE成绩库!C276)</f>
        <v/>
      </c>
      <c r="B276" t="str">
        <f>IF(MSE成绩库!AD276="","", MSE成绩库!AD276)</f>
        <v/>
      </c>
      <c r="C276" t="str">
        <f>IF(MSE成绩库!B276="","", MSE成绩库!B276)</f>
        <v/>
      </c>
      <c r="D276" t="str">
        <f>IF(MSE成绩库!D276="","", MSE成绩库!D276)</f>
        <v/>
      </c>
      <c r="E276" t="str">
        <f>IF(MSE成绩库!C276="","", MSE成绩库!E276)</f>
        <v/>
      </c>
      <c r="F276" t="str">
        <f>IF(MSE成绩库!C276="","", MSE成绩库!F276)</f>
        <v/>
      </c>
      <c r="G276" t="str">
        <f>IF(MSE成绩库!C276="","", MSE成绩库!G276)</f>
        <v/>
      </c>
      <c r="H276" t="str">
        <f>IF(MSE成绩库!C276="","", MSE成绩库!H276)</f>
        <v/>
      </c>
      <c r="I276" t="str">
        <f>IF(MSE成绩库!C276="","", MSE成绩库!I276)</f>
        <v/>
      </c>
      <c r="J276" t="str">
        <f>IF(MSE成绩库!C276="","", MSE成绩库!J276)</f>
        <v/>
      </c>
      <c r="K276" t="str">
        <f>IF(MSE成绩库!C276="","", MSE成绩库!K276)</f>
        <v/>
      </c>
      <c r="L276" t="str">
        <f>IF(MSE成绩库!C276="","", MSE成绩库!M276)</f>
        <v/>
      </c>
      <c r="M276" t="str">
        <f>IF(MSE成绩库!C276="","", MSE成绩库!N276)</f>
        <v/>
      </c>
      <c r="N276" t="str">
        <f>IF(MSE成绩库!C276="","", MSE成绩库!O276)</f>
        <v/>
      </c>
      <c r="O276" t="str">
        <f>IF(MSE成绩库!C276="","", MSE成绩库!Q276)</f>
        <v/>
      </c>
      <c r="P276" t="str">
        <f>IF(MSE成绩库!C276="","", MSE成绩库!R276)</f>
        <v/>
      </c>
      <c r="Q276" t="str">
        <f>IF(MSE成绩库!C276="","", MSE成绩库!S276)</f>
        <v/>
      </c>
      <c r="R276" t="str">
        <f>IF(MSE成绩库!C276="","", MSE成绩库!T276)</f>
        <v/>
      </c>
      <c r="S276" t="str">
        <f>IF(MSE成绩库!C276="","", MSE成绩库!U276)</f>
        <v/>
      </c>
      <c r="T276" t="str">
        <f>IF(MSE成绩库!C276="","", MSE成绩库!V276)</f>
        <v/>
      </c>
      <c r="U276" t="str">
        <f>IF(MSE成绩库!C276="","", MSE成绩库!X276)</f>
        <v/>
      </c>
      <c r="V276" t="str">
        <f>IF(MSE成绩库!C276="","", MSE成绩库!Y276)</f>
        <v/>
      </c>
      <c r="W276" t="str">
        <f>IF(MSE成绩库!C276="","", MSE成绩库!Z276)</f>
        <v/>
      </c>
      <c r="X276" t="str">
        <f>IF(MSE成绩库!C276="","", MSE成绩库!AA276)</f>
        <v/>
      </c>
      <c r="Y276" t="str">
        <f>IF(MSE成绩库!C276="","", MSE成绩库!AB276)</f>
        <v/>
      </c>
      <c r="Z276" t="str">
        <f>IF(MSE成绩库!C276="","", MSE成绩库!AC276)</f>
        <v/>
      </c>
    </row>
    <row r="277" spans="1:26" x14ac:dyDescent="0.2">
      <c r="A277" t="str">
        <f>IF(MSE成绩库!C277="","", MSE成绩库!C277)</f>
        <v/>
      </c>
      <c r="B277" t="str">
        <f>IF(MSE成绩库!AD277="","", MSE成绩库!AD277)</f>
        <v/>
      </c>
      <c r="C277" t="str">
        <f>IF(MSE成绩库!B277="","", MSE成绩库!B277)</f>
        <v/>
      </c>
      <c r="D277" t="str">
        <f>IF(MSE成绩库!D277="","", MSE成绩库!D277)</f>
        <v/>
      </c>
      <c r="E277" t="str">
        <f>IF(MSE成绩库!C277="","", MSE成绩库!E277)</f>
        <v/>
      </c>
      <c r="F277" t="str">
        <f>IF(MSE成绩库!C277="","", MSE成绩库!F277)</f>
        <v/>
      </c>
      <c r="G277" t="str">
        <f>IF(MSE成绩库!C277="","", MSE成绩库!G277)</f>
        <v/>
      </c>
      <c r="H277" t="str">
        <f>IF(MSE成绩库!C277="","", MSE成绩库!H277)</f>
        <v/>
      </c>
      <c r="I277" t="str">
        <f>IF(MSE成绩库!C277="","", MSE成绩库!I277)</f>
        <v/>
      </c>
      <c r="J277" t="str">
        <f>IF(MSE成绩库!C277="","", MSE成绩库!J277)</f>
        <v/>
      </c>
      <c r="K277" t="str">
        <f>IF(MSE成绩库!C277="","", MSE成绩库!K277)</f>
        <v/>
      </c>
      <c r="L277" t="str">
        <f>IF(MSE成绩库!C277="","", MSE成绩库!M277)</f>
        <v/>
      </c>
      <c r="M277" t="str">
        <f>IF(MSE成绩库!C277="","", MSE成绩库!N277)</f>
        <v/>
      </c>
      <c r="N277" t="str">
        <f>IF(MSE成绩库!C277="","", MSE成绩库!O277)</f>
        <v/>
      </c>
      <c r="O277" t="str">
        <f>IF(MSE成绩库!C277="","", MSE成绩库!Q277)</f>
        <v/>
      </c>
      <c r="P277" t="str">
        <f>IF(MSE成绩库!C277="","", MSE成绩库!R277)</f>
        <v/>
      </c>
      <c r="Q277" t="str">
        <f>IF(MSE成绩库!C277="","", MSE成绩库!S277)</f>
        <v/>
      </c>
      <c r="R277" t="str">
        <f>IF(MSE成绩库!C277="","", MSE成绩库!T277)</f>
        <v/>
      </c>
      <c r="S277" t="str">
        <f>IF(MSE成绩库!C277="","", MSE成绩库!U277)</f>
        <v/>
      </c>
      <c r="T277" t="str">
        <f>IF(MSE成绩库!C277="","", MSE成绩库!V277)</f>
        <v/>
      </c>
      <c r="U277" t="str">
        <f>IF(MSE成绩库!C277="","", MSE成绩库!X277)</f>
        <v/>
      </c>
      <c r="V277" t="str">
        <f>IF(MSE成绩库!C277="","", MSE成绩库!Y277)</f>
        <v/>
      </c>
      <c r="W277" t="str">
        <f>IF(MSE成绩库!C277="","", MSE成绩库!Z277)</f>
        <v/>
      </c>
      <c r="X277" t="str">
        <f>IF(MSE成绩库!C277="","", MSE成绩库!AA277)</f>
        <v/>
      </c>
      <c r="Y277" t="str">
        <f>IF(MSE成绩库!C277="","", MSE成绩库!AB277)</f>
        <v/>
      </c>
      <c r="Z277" t="str">
        <f>IF(MSE成绩库!C277="","", MSE成绩库!AC277)</f>
        <v/>
      </c>
    </row>
    <row r="278" spans="1:26" x14ac:dyDescent="0.2">
      <c r="A278" t="str">
        <f>IF(MSE成绩库!C278="","", MSE成绩库!C278)</f>
        <v/>
      </c>
      <c r="B278" t="str">
        <f>IF(MSE成绩库!AD278="","", MSE成绩库!AD278)</f>
        <v/>
      </c>
      <c r="C278" t="str">
        <f>IF(MSE成绩库!B278="","", MSE成绩库!B278)</f>
        <v/>
      </c>
      <c r="D278" t="str">
        <f>IF(MSE成绩库!D278="","", MSE成绩库!D278)</f>
        <v/>
      </c>
      <c r="E278" t="str">
        <f>IF(MSE成绩库!C278="","", MSE成绩库!E278)</f>
        <v/>
      </c>
      <c r="F278" t="str">
        <f>IF(MSE成绩库!C278="","", MSE成绩库!F278)</f>
        <v/>
      </c>
      <c r="G278" t="str">
        <f>IF(MSE成绩库!C278="","", MSE成绩库!G278)</f>
        <v/>
      </c>
      <c r="H278" t="str">
        <f>IF(MSE成绩库!C278="","", MSE成绩库!H278)</f>
        <v/>
      </c>
      <c r="I278" t="str">
        <f>IF(MSE成绩库!C278="","", MSE成绩库!I278)</f>
        <v/>
      </c>
      <c r="J278" t="str">
        <f>IF(MSE成绩库!C278="","", MSE成绩库!J278)</f>
        <v/>
      </c>
      <c r="K278" t="str">
        <f>IF(MSE成绩库!C278="","", MSE成绩库!K278)</f>
        <v/>
      </c>
      <c r="L278" t="str">
        <f>IF(MSE成绩库!C278="","", MSE成绩库!M278)</f>
        <v/>
      </c>
      <c r="M278" t="str">
        <f>IF(MSE成绩库!C278="","", MSE成绩库!N278)</f>
        <v/>
      </c>
      <c r="N278" t="str">
        <f>IF(MSE成绩库!C278="","", MSE成绩库!O278)</f>
        <v/>
      </c>
      <c r="O278" t="str">
        <f>IF(MSE成绩库!C278="","", MSE成绩库!Q278)</f>
        <v/>
      </c>
      <c r="P278" t="str">
        <f>IF(MSE成绩库!C278="","", MSE成绩库!R278)</f>
        <v/>
      </c>
      <c r="Q278" t="str">
        <f>IF(MSE成绩库!C278="","", MSE成绩库!S278)</f>
        <v/>
      </c>
      <c r="R278" t="str">
        <f>IF(MSE成绩库!C278="","", MSE成绩库!T278)</f>
        <v/>
      </c>
      <c r="S278" t="str">
        <f>IF(MSE成绩库!C278="","", MSE成绩库!U278)</f>
        <v/>
      </c>
      <c r="T278" t="str">
        <f>IF(MSE成绩库!C278="","", MSE成绩库!V278)</f>
        <v/>
      </c>
      <c r="U278" t="str">
        <f>IF(MSE成绩库!C278="","", MSE成绩库!X278)</f>
        <v/>
      </c>
      <c r="V278" t="str">
        <f>IF(MSE成绩库!C278="","", MSE成绩库!Y278)</f>
        <v/>
      </c>
      <c r="W278" t="str">
        <f>IF(MSE成绩库!C278="","", MSE成绩库!Z278)</f>
        <v/>
      </c>
      <c r="X278" t="str">
        <f>IF(MSE成绩库!C278="","", MSE成绩库!AA278)</f>
        <v/>
      </c>
      <c r="Y278" t="str">
        <f>IF(MSE成绩库!C278="","", MSE成绩库!AB278)</f>
        <v/>
      </c>
      <c r="Z278" t="str">
        <f>IF(MSE成绩库!C278="","", MSE成绩库!AC278)</f>
        <v/>
      </c>
    </row>
    <row r="279" spans="1:26" x14ac:dyDescent="0.2">
      <c r="A279" t="str">
        <f>IF(MSE成绩库!C279="","", MSE成绩库!C279)</f>
        <v/>
      </c>
      <c r="B279" t="str">
        <f>IF(MSE成绩库!AD279="","", MSE成绩库!AD279)</f>
        <v/>
      </c>
      <c r="C279" t="str">
        <f>IF(MSE成绩库!B279="","", MSE成绩库!B279)</f>
        <v/>
      </c>
      <c r="D279" t="str">
        <f>IF(MSE成绩库!D279="","", MSE成绩库!D279)</f>
        <v/>
      </c>
      <c r="E279" t="str">
        <f>IF(MSE成绩库!C279="","", MSE成绩库!E279)</f>
        <v/>
      </c>
      <c r="F279" t="str">
        <f>IF(MSE成绩库!C279="","", MSE成绩库!F279)</f>
        <v/>
      </c>
      <c r="G279" t="str">
        <f>IF(MSE成绩库!C279="","", MSE成绩库!G279)</f>
        <v/>
      </c>
      <c r="H279" t="str">
        <f>IF(MSE成绩库!C279="","", MSE成绩库!H279)</f>
        <v/>
      </c>
      <c r="I279" t="str">
        <f>IF(MSE成绩库!C279="","", MSE成绩库!I279)</f>
        <v/>
      </c>
      <c r="J279" t="str">
        <f>IF(MSE成绩库!C279="","", MSE成绩库!J279)</f>
        <v/>
      </c>
      <c r="K279" t="str">
        <f>IF(MSE成绩库!C279="","", MSE成绩库!K279)</f>
        <v/>
      </c>
      <c r="L279" t="str">
        <f>IF(MSE成绩库!C279="","", MSE成绩库!M279)</f>
        <v/>
      </c>
      <c r="M279" t="str">
        <f>IF(MSE成绩库!C279="","", MSE成绩库!N279)</f>
        <v/>
      </c>
      <c r="N279" t="str">
        <f>IF(MSE成绩库!C279="","", MSE成绩库!O279)</f>
        <v/>
      </c>
      <c r="O279" t="str">
        <f>IF(MSE成绩库!C279="","", MSE成绩库!Q279)</f>
        <v/>
      </c>
      <c r="P279" t="str">
        <f>IF(MSE成绩库!C279="","", MSE成绩库!R279)</f>
        <v/>
      </c>
      <c r="Q279" t="str">
        <f>IF(MSE成绩库!C279="","", MSE成绩库!S279)</f>
        <v/>
      </c>
      <c r="R279" t="str">
        <f>IF(MSE成绩库!C279="","", MSE成绩库!T279)</f>
        <v/>
      </c>
      <c r="S279" t="str">
        <f>IF(MSE成绩库!C279="","", MSE成绩库!U279)</f>
        <v/>
      </c>
      <c r="T279" t="str">
        <f>IF(MSE成绩库!C279="","", MSE成绩库!V279)</f>
        <v/>
      </c>
      <c r="U279" t="str">
        <f>IF(MSE成绩库!C279="","", MSE成绩库!X279)</f>
        <v/>
      </c>
      <c r="V279" t="str">
        <f>IF(MSE成绩库!C279="","", MSE成绩库!Y279)</f>
        <v/>
      </c>
      <c r="W279" t="str">
        <f>IF(MSE成绩库!C279="","", MSE成绩库!Z279)</f>
        <v/>
      </c>
      <c r="X279" t="str">
        <f>IF(MSE成绩库!C279="","", MSE成绩库!AA279)</f>
        <v/>
      </c>
      <c r="Y279" t="str">
        <f>IF(MSE成绩库!C279="","", MSE成绩库!AB279)</f>
        <v/>
      </c>
      <c r="Z279" t="str">
        <f>IF(MSE成绩库!C279="","", MSE成绩库!AC279)</f>
        <v/>
      </c>
    </row>
    <row r="280" spans="1:26" x14ac:dyDescent="0.2">
      <c r="A280" t="str">
        <f>IF(MSE成绩库!C280="","", MSE成绩库!C280)</f>
        <v/>
      </c>
      <c r="B280" t="str">
        <f>IF(MSE成绩库!AD280="","", MSE成绩库!AD280)</f>
        <v/>
      </c>
      <c r="C280" t="str">
        <f>IF(MSE成绩库!B280="","", MSE成绩库!B280)</f>
        <v/>
      </c>
      <c r="D280" t="str">
        <f>IF(MSE成绩库!D280="","", MSE成绩库!D280)</f>
        <v/>
      </c>
      <c r="E280" t="str">
        <f>IF(MSE成绩库!C280="","", MSE成绩库!E280)</f>
        <v/>
      </c>
      <c r="F280" t="str">
        <f>IF(MSE成绩库!C280="","", MSE成绩库!F280)</f>
        <v/>
      </c>
      <c r="G280" t="str">
        <f>IF(MSE成绩库!C280="","", MSE成绩库!G280)</f>
        <v/>
      </c>
      <c r="H280" t="str">
        <f>IF(MSE成绩库!C280="","", MSE成绩库!H280)</f>
        <v/>
      </c>
      <c r="I280" t="str">
        <f>IF(MSE成绩库!C280="","", MSE成绩库!I280)</f>
        <v/>
      </c>
      <c r="J280" t="str">
        <f>IF(MSE成绩库!C280="","", MSE成绩库!J280)</f>
        <v/>
      </c>
      <c r="K280" t="str">
        <f>IF(MSE成绩库!C280="","", MSE成绩库!K280)</f>
        <v/>
      </c>
      <c r="L280" t="str">
        <f>IF(MSE成绩库!C280="","", MSE成绩库!M280)</f>
        <v/>
      </c>
      <c r="M280" t="str">
        <f>IF(MSE成绩库!C280="","", MSE成绩库!N280)</f>
        <v/>
      </c>
      <c r="N280" t="str">
        <f>IF(MSE成绩库!C280="","", MSE成绩库!O280)</f>
        <v/>
      </c>
      <c r="O280" t="str">
        <f>IF(MSE成绩库!C280="","", MSE成绩库!Q280)</f>
        <v/>
      </c>
      <c r="P280" t="str">
        <f>IF(MSE成绩库!C280="","", MSE成绩库!R280)</f>
        <v/>
      </c>
      <c r="Q280" t="str">
        <f>IF(MSE成绩库!C280="","", MSE成绩库!S280)</f>
        <v/>
      </c>
      <c r="R280" t="str">
        <f>IF(MSE成绩库!C280="","", MSE成绩库!T280)</f>
        <v/>
      </c>
      <c r="S280" t="str">
        <f>IF(MSE成绩库!C280="","", MSE成绩库!U280)</f>
        <v/>
      </c>
      <c r="T280" t="str">
        <f>IF(MSE成绩库!C280="","", MSE成绩库!V280)</f>
        <v/>
      </c>
      <c r="U280" t="str">
        <f>IF(MSE成绩库!C280="","", MSE成绩库!X280)</f>
        <v/>
      </c>
      <c r="V280" t="str">
        <f>IF(MSE成绩库!C280="","", MSE成绩库!Y280)</f>
        <v/>
      </c>
      <c r="W280" t="str">
        <f>IF(MSE成绩库!C280="","", MSE成绩库!Z280)</f>
        <v/>
      </c>
      <c r="X280" t="str">
        <f>IF(MSE成绩库!C280="","", MSE成绩库!AA280)</f>
        <v/>
      </c>
      <c r="Y280" t="str">
        <f>IF(MSE成绩库!C280="","", MSE成绩库!AB280)</f>
        <v/>
      </c>
      <c r="Z280" t="str">
        <f>IF(MSE成绩库!C280="","", MSE成绩库!AC280)</f>
        <v/>
      </c>
    </row>
    <row r="281" spans="1:26" x14ac:dyDescent="0.2">
      <c r="A281" t="str">
        <f>IF(MSE成绩库!C281="","", MSE成绩库!C281)</f>
        <v/>
      </c>
      <c r="B281" t="str">
        <f>IF(MSE成绩库!AD281="","", MSE成绩库!AD281)</f>
        <v/>
      </c>
      <c r="C281" t="str">
        <f>IF(MSE成绩库!B281="","", MSE成绩库!B281)</f>
        <v/>
      </c>
      <c r="D281" t="str">
        <f>IF(MSE成绩库!D281="","", MSE成绩库!D281)</f>
        <v/>
      </c>
      <c r="E281" t="str">
        <f>IF(MSE成绩库!C281="","", MSE成绩库!E281)</f>
        <v/>
      </c>
      <c r="F281" t="str">
        <f>IF(MSE成绩库!C281="","", MSE成绩库!F281)</f>
        <v/>
      </c>
      <c r="G281" t="str">
        <f>IF(MSE成绩库!C281="","", MSE成绩库!G281)</f>
        <v/>
      </c>
      <c r="H281" t="str">
        <f>IF(MSE成绩库!C281="","", MSE成绩库!H281)</f>
        <v/>
      </c>
      <c r="I281" t="str">
        <f>IF(MSE成绩库!C281="","", MSE成绩库!I281)</f>
        <v/>
      </c>
      <c r="J281" t="str">
        <f>IF(MSE成绩库!C281="","", MSE成绩库!J281)</f>
        <v/>
      </c>
      <c r="K281" t="str">
        <f>IF(MSE成绩库!C281="","", MSE成绩库!K281)</f>
        <v/>
      </c>
      <c r="L281" t="str">
        <f>IF(MSE成绩库!C281="","", MSE成绩库!M281)</f>
        <v/>
      </c>
      <c r="M281" t="str">
        <f>IF(MSE成绩库!C281="","", MSE成绩库!N281)</f>
        <v/>
      </c>
      <c r="N281" t="str">
        <f>IF(MSE成绩库!C281="","", MSE成绩库!O281)</f>
        <v/>
      </c>
      <c r="O281" t="str">
        <f>IF(MSE成绩库!C281="","", MSE成绩库!Q281)</f>
        <v/>
      </c>
      <c r="P281" t="str">
        <f>IF(MSE成绩库!C281="","", MSE成绩库!R281)</f>
        <v/>
      </c>
      <c r="Q281" t="str">
        <f>IF(MSE成绩库!C281="","", MSE成绩库!S281)</f>
        <v/>
      </c>
      <c r="R281" t="str">
        <f>IF(MSE成绩库!C281="","", MSE成绩库!T281)</f>
        <v/>
      </c>
      <c r="S281" t="str">
        <f>IF(MSE成绩库!C281="","", MSE成绩库!U281)</f>
        <v/>
      </c>
      <c r="T281" t="str">
        <f>IF(MSE成绩库!C281="","", MSE成绩库!V281)</f>
        <v/>
      </c>
      <c r="U281" t="str">
        <f>IF(MSE成绩库!C281="","", MSE成绩库!X281)</f>
        <v/>
      </c>
      <c r="V281" t="str">
        <f>IF(MSE成绩库!C281="","", MSE成绩库!Y281)</f>
        <v/>
      </c>
      <c r="W281" t="str">
        <f>IF(MSE成绩库!C281="","", MSE成绩库!Z281)</f>
        <v/>
      </c>
      <c r="X281" t="str">
        <f>IF(MSE成绩库!C281="","", MSE成绩库!AA281)</f>
        <v/>
      </c>
      <c r="Y281" t="str">
        <f>IF(MSE成绩库!C281="","", MSE成绩库!AB281)</f>
        <v/>
      </c>
      <c r="Z281" t="str">
        <f>IF(MSE成绩库!C281="","", MSE成绩库!AC281)</f>
        <v/>
      </c>
    </row>
    <row r="282" spans="1:26" x14ac:dyDescent="0.2">
      <c r="A282" t="str">
        <f>IF(MSE成绩库!C282="","", MSE成绩库!C282)</f>
        <v/>
      </c>
      <c r="B282" t="str">
        <f>IF(MSE成绩库!AD282="","", MSE成绩库!AD282)</f>
        <v/>
      </c>
      <c r="C282" t="str">
        <f>IF(MSE成绩库!B282="","", MSE成绩库!B282)</f>
        <v/>
      </c>
      <c r="D282" t="str">
        <f>IF(MSE成绩库!D282="","", MSE成绩库!D282)</f>
        <v/>
      </c>
      <c r="E282" t="str">
        <f>IF(MSE成绩库!C282="","", MSE成绩库!E282)</f>
        <v/>
      </c>
      <c r="F282" t="str">
        <f>IF(MSE成绩库!C282="","", MSE成绩库!F282)</f>
        <v/>
      </c>
      <c r="G282" t="str">
        <f>IF(MSE成绩库!C282="","", MSE成绩库!G282)</f>
        <v/>
      </c>
      <c r="H282" t="str">
        <f>IF(MSE成绩库!C282="","", MSE成绩库!H282)</f>
        <v/>
      </c>
      <c r="I282" t="str">
        <f>IF(MSE成绩库!C282="","", MSE成绩库!I282)</f>
        <v/>
      </c>
      <c r="J282" t="str">
        <f>IF(MSE成绩库!C282="","", MSE成绩库!J282)</f>
        <v/>
      </c>
      <c r="K282" t="str">
        <f>IF(MSE成绩库!C282="","", MSE成绩库!K282)</f>
        <v/>
      </c>
      <c r="L282" t="str">
        <f>IF(MSE成绩库!C282="","", MSE成绩库!M282)</f>
        <v/>
      </c>
      <c r="M282" t="str">
        <f>IF(MSE成绩库!C282="","", MSE成绩库!N282)</f>
        <v/>
      </c>
      <c r="N282" t="str">
        <f>IF(MSE成绩库!C282="","", MSE成绩库!O282)</f>
        <v/>
      </c>
      <c r="O282" t="str">
        <f>IF(MSE成绩库!C282="","", MSE成绩库!Q282)</f>
        <v/>
      </c>
      <c r="P282" t="str">
        <f>IF(MSE成绩库!C282="","", MSE成绩库!R282)</f>
        <v/>
      </c>
      <c r="Q282" t="str">
        <f>IF(MSE成绩库!C282="","", MSE成绩库!S282)</f>
        <v/>
      </c>
      <c r="R282" t="str">
        <f>IF(MSE成绩库!C282="","", MSE成绩库!T282)</f>
        <v/>
      </c>
      <c r="S282" t="str">
        <f>IF(MSE成绩库!C282="","", MSE成绩库!U282)</f>
        <v/>
      </c>
      <c r="T282" t="str">
        <f>IF(MSE成绩库!C282="","", MSE成绩库!V282)</f>
        <v/>
      </c>
      <c r="U282" t="str">
        <f>IF(MSE成绩库!C282="","", MSE成绩库!X282)</f>
        <v/>
      </c>
      <c r="V282" t="str">
        <f>IF(MSE成绩库!C282="","", MSE成绩库!Y282)</f>
        <v/>
      </c>
      <c r="W282" t="str">
        <f>IF(MSE成绩库!C282="","", MSE成绩库!Z282)</f>
        <v/>
      </c>
      <c r="X282" t="str">
        <f>IF(MSE成绩库!C282="","", MSE成绩库!AA282)</f>
        <v/>
      </c>
      <c r="Y282" t="str">
        <f>IF(MSE成绩库!C282="","", MSE成绩库!AB282)</f>
        <v/>
      </c>
      <c r="Z282" t="str">
        <f>IF(MSE成绩库!C282="","", MSE成绩库!AC282)</f>
        <v/>
      </c>
    </row>
    <row r="283" spans="1:26" x14ac:dyDescent="0.2">
      <c r="A283" t="str">
        <f>IF(MSE成绩库!C283="","", MSE成绩库!C283)</f>
        <v/>
      </c>
      <c r="B283" t="str">
        <f>IF(MSE成绩库!AD283="","", MSE成绩库!AD283)</f>
        <v/>
      </c>
      <c r="C283" t="str">
        <f>IF(MSE成绩库!B283="","", MSE成绩库!B283)</f>
        <v/>
      </c>
      <c r="D283" t="str">
        <f>IF(MSE成绩库!D283="","", MSE成绩库!D283)</f>
        <v/>
      </c>
      <c r="E283" t="str">
        <f>IF(MSE成绩库!C283="","", MSE成绩库!E283)</f>
        <v/>
      </c>
      <c r="F283" t="str">
        <f>IF(MSE成绩库!C283="","", MSE成绩库!F283)</f>
        <v/>
      </c>
      <c r="G283" t="str">
        <f>IF(MSE成绩库!C283="","", MSE成绩库!G283)</f>
        <v/>
      </c>
      <c r="H283" t="str">
        <f>IF(MSE成绩库!C283="","", MSE成绩库!H283)</f>
        <v/>
      </c>
      <c r="I283" t="str">
        <f>IF(MSE成绩库!C283="","", MSE成绩库!I283)</f>
        <v/>
      </c>
      <c r="J283" t="str">
        <f>IF(MSE成绩库!C283="","", MSE成绩库!J283)</f>
        <v/>
      </c>
      <c r="K283" t="str">
        <f>IF(MSE成绩库!C283="","", MSE成绩库!K283)</f>
        <v/>
      </c>
      <c r="L283" t="str">
        <f>IF(MSE成绩库!C283="","", MSE成绩库!M283)</f>
        <v/>
      </c>
      <c r="M283" t="str">
        <f>IF(MSE成绩库!C283="","", MSE成绩库!N283)</f>
        <v/>
      </c>
      <c r="N283" t="str">
        <f>IF(MSE成绩库!C283="","", MSE成绩库!O283)</f>
        <v/>
      </c>
      <c r="O283" t="str">
        <f>IF(MSE成绩库!C283="","", MSE成绩库!Q283)</f>
        <v/>
      </c>
      <c r="P283" t="str">
        <f>IF(MSE成绩库!C283="","", MSE成绩库!R283)</f>
        <v/>
      </c>
      <c r="Q283" t="str">
        <f>IF(MSE成绩库!C283="","", MSE成绩库!S283)</f>
        <v/>
      </c>
      <c r="R283" t="str">
        <f>IF(MSE成绩库!C283="","", MSE成绩库!T283)</f>
        <v/>
      </c>
      <c r="S283" t="str">
        <f>IF(MSE成绩库!C283="","", MSE成绩库!U283)</f>
        <v/>
      </c>
      <c r="T283" t="str">
        <f>IF(MSE成绩库!C283="","", MSE成绩库!V283)</f>
        <v/>
      </c>
      <c r="U283" t="str">
        <f>IF(MSE成绩库!C283="","", MSE成绩库!X283)</f>
        <v/>
      </c>
      <c r="V283" t="str">
        <f>IF(MSE成绩库!C283="","", MSE成绩库!Y283)</f>
        <v/>
      </c>
      <c r="W283" t="str">
        <f>IF(MSE成绩库!C283="","", MSE成绩库!Z283)</f>
        <v/>
      </c>
      <c r="X283" t="str">
        <f>IF(MSE成绩库!C283="","", MSE成绩库!AA283)</f>
        <v/>
      </c>
      <c r="Y283" t="str">
        <f>IF(MSE成绩库!C283="","", MSE成绩库!AB283)</f>
        <v/>
      </c>
      <c r="Z283" t="str">
        <f>IF(MSE成绩库!C283="","", MSE成绩库!AC283)</f>
        <v/>
      </c>
    </row>
    <row r="284" spans="1:26" x14ac:dyDescent="0.2">
      <c r="A284" t="str">
        <f>IF(MSE成绩库!C284="","", MSE成绩库!C284)</f>
        <v/>
      </c>
      <c r="B284" t="str">
        <f>IF(MSE成绩库!AD284="","", MSE成绩库!AD284)</f>
        <v/>
      </c>
      <c r="C284" t="str">
        <f>IF(MSE成绩库!B284="","", MSE成绩库!B284)</f>
        <v/>
      </c>
      <c r="D284" t="str">
        <f>IF(MSE成绩库!D284="","", MSE成绩库!D284)</f>
        <v/>
      </c>
      <c r="E284" t="str">
        <f>IF(MSE成绩库!C284="","", MSE成绩库!E284)</f>
        <v/>
      </c>
      <c r="F284" t="str">
        <f>IF(MSE成绩库!C284="","", MSE成绩库!F284)</f>
        <v/>
      </c>
      <c r="G284" t="str">
        <f>IF(MSE成绩库!C284="","", MSE成绩库!G284)</f>
        <v/>
      </c>
      <c r="H284" t="str">
        <f>IF(MSE成绩库!C284="","", MSE成绩库!H284)</f>
        <v/>
      </c>
      <c r="I284" t="str">
        <f>IF(MSE成绩库!C284="","", MSE成绩库!I284)</f>
        <v/>
      </c>
      <c r="J284" t="str">
        <f>IF(MSE成绩库!C284="","", MSE成绩库!J284)</f>
        <v/>
      </c>
      <c r="K284" t="str">
        <f>IF(MSE成绩库!C284="","", MSE成绩库!K284)</f>
        <v/>
      </c>
      <c r="L284" t="str">
        <f>IF(MSE成绩库!C284="","", MSE成绩库!M284)</f>
        <v/>
      </c>
      <c r="M284" t="str">
        <f>IF(MSE成绩库!C284="","", MSE成绩库!N284)</f>
        <v/>
      </c>
      <c r="N284" t="str">
        <f>IF(MSE成绩库!C284="","", MSE成绩库!O284)</f>
        <v/>
      </c>
      <c r="O284" t="str">
        <f>IF(MSE成绩库!C284="","", MSE成绩库!Q284)</f>
        <v/>
      </c>
      <c r="P284" t="str">
        <f>IF(MSE成绩库!C284="","", MSE成绩库!R284)</f>
        <v/>
      </c>
      <c r="Q284" t="str">
        <f>IF(MSE成绩库!C284="","", MSE成绩库!S284)</f>
        <v/>
      </c>
      <c r="R284" t="str">
        <f>IF(MSE成绩库!C284="","", MSE成绩库!T284)</f>
        <v/>
      </c>
      <c r="S284" t="str">
        <f>IF(MSE成绩库!C284="","", MSE成绩库!U284)</f>
        <v/>
      </c>
      <c r="T284" t="str">
        <f>IF(MSE成绩库!C284="","", MSE成绩库!V284)</f>
        <v/>
      </c>
      <c r="U284" t="str">
        <f>IF(MSE成绩库!C284="","", MSE成绩库!X284)</f>
        <v/>
      </c>
      <c r="V284" t="str">
        <f>IF(MSE成绩库!C284="","", MSE成绩库!Y284)</f>
        <v/>
      </c>
      <c r="W284" t="str">
        <f>IF(MSE成绩库!C284="","", MSE成绩库!Z284)</f>
        <v/>
      </c>
      <c r="X284" t="str">
        <f>IF(MSE成绩库!C284="","", MSE成绩库!AA284)</f>
        <v/>
      </c>
      <c r="Y284" t="str">
        <f>IF(MSE成绩库!C284="","", MSE成绩库!AB284)</f>
        <v/>
      </c>
      <c r="Z284" t="str">
        <f>IF(MSE成绩库!C284="","", MSE成绩库!AC284)</f>
        <v/>
      </c>
    </row>
    <row r="285" spans="1:26" x14ac:dyDescent="0.2">
      <c r="A285" t="str">
        <f>IF(MSE成绩库!C285="","", MSE成绩库!C285)</f>
        <v/>
      </c>
      <c r="B285" t="str">
        <f>IF(MSE成绩库!AD285="","", MSE成绩库!AD285)</f>
        <v/>
      </c>
      <c r="C285" t="str">
        <f>IF(MSE成绩库!B285="","", MSE成绩库!B285)</f>
        <v/>
      </c>
      <c r="D285" t="str">
        <f>IF(MSE成绩库!D285="","", MSE成绩库!D285)</f>
        <v/>
      </c>
      <c r="E285" t="str">
        <f>IF(MSE成绩库!C285="","", MSE成绩库!E285)</f>
        <v/>
      </c>
      <c r="F285" t="str">
        <f>IF(MSE成绩库!C285="","", MSE成绩库!F285)</f>
        <v/>
      </c>
      <c r="G285" t="str">
        <f>IF(MSE成绩库!C285="","", MSE成绩库!G285)</f>
        <v/>
      </c>
      <c r="H285" t="str">
        <f>IF(MSE成绩库!C285="","", MSE成绩库!H285)</f>
        <v/>
      </c>
      <c r="I285" t="str">
        <f>IF(MSE成绩库!C285="","", MSE成绩库!I285)</f>
        <v/>
      </c>
      <c r="J285" t="str">
        <f>IF(MSE成绩库!C285="","", MSE成绩库!J285)</f>
        <v/>
      </c>
      <c r="K285" t="str">
        <f>IF(MSE成绩库!C285="","", MSE成绩库!K285)</f>
        <v/>
      </c>
      <c r="L285" t="str">
        <f>IF(MSE成绩库!C285="","", MSE成绩库!M285)</f>
        <v/>
      </c>
      <c r="M285" t="str">
        <f>IF(MSE成绩库!C285="","", MSE成绩库!N285)</f>
        <v/>
      </c>
      <c r="N285" t="str">
        <f>IF(MSE成绩库!C285="","", MSE成绩库!O285)</f>
        <v/>
      </c>
      <c r="O285" t="str">
        <f>IF(MSE成绩库!C285="","", MSE成绩库!Q285)</f>
        <v/>
      </c>
      <c r="P285" t="str">
        <f>IF(MSE成绩库!C285="","", MSE成绩库!R285)</f>
        <v/>
      </c>
      <c r="Q285" t="str">
        <f>IF(MSE成绩库!C285="","", MSE成绩库!S285)</f>
        <v/>
      </c>
      <c r="R285" t="str">
        <f>IF(MSE成绩库!C285="","", MSE成绩库!T285)</f>
        <v/>
      </c>
      <c r="S285" t="str">
        <f>IF(MSE成绩库!C285="","", MSE成绩库!U285)</f>
        <v/>
      </c>
      <c r="T285" t="str">
        <f>IF(MSE成绩库!C285="","", MSE成绩库!V285)</f>
        <v/>
      </c>
      <c r="U285" t="str">
        <f>IF(MSE成绩库!C285="","", MSE成绩库!X285)</f>
        <v/>
      </c>
      <c r="V285" t="str">
        <f>IF(MSE成绩库!C285="","", MSE成绩库!Y285)</f>
        <v/>
      </c>
      <c r="W285" t="str">
        <f>IF(MSE成绩库!C285="","", MSE成绩库!Z285)</f>
        <v/>
      </c>
      <c r="X285" t="str">
        <f>IF(MSE成绩库!C285="","", MSE成绩库!AA285)</f>
        <v/>
      </c>
      <c r="Y285" t="str">
        <f>IF(MSE成绩库!C285="","", MSE成绩库!AB285)</f>
        <v/>
      </c>
      <c r="Z285" t="str">
        <f>IF(MSE成绩库!C285="","", MSE成绩库!AC285)</f>
        <v/>
      </c>
    </row>
    <row r="286" spans="1:26" x14ac:dyDescent="0.2">
      <c r="A286" t="str">
        <f>IF(MSE成绩库!C286="","", MSE成绩库!C286)</f>
        <v/>
      </c>
      <c r="B286" t="str">
        <f>IF(MSE成绩库!AD286="","", MSE成绩库!AD286)</f>
        <v/>
      </c>
      <c r="C286" t="str">
        <f>IF(MSE成绩库!B286="","", MSE成绩库!B286)</f>
        <v/>
      </c>
      <c r="D286" t="str">
        <f>IF(MSE成绩库!D286="","", MSE成绩库!D286)</f>
        <v/>
      </c>
      <c r="E286" t="str">
        <f>IF(MSE成绩库!C286="","", MSE成绩库!E286)</f>
        <v/>
      </c>
      <c r="F286" t="str">
        <f>IF(MSE成绩库!C286="","", MSE成绩库!F286)</f>
        <v/>
      </c>
      <c r="G286" t="str">
        <f>IF(MSE成绩库!C286="","", MSE成绩库!G286)</f>
        <v/>
      </c>
      <c r="H286" t="str">
        <f>IF(MSE成绩库!C286="","", MSE成绩库!H286)</f>
        <v/>
      </c>
      <c r="I286" t="str">
        <f>IF(MSE成绩库!C286="","", MSE成绩库!I286)</f>
        <v/>
      </c>
      <c r="J286" t="str">
        <f>IF(MSE成绩库!C286="","", MSE成绩库!J286)</f>
        <v/>
      </c>
      <c r="K286" t="str">
        <f>IF(MSE成绩库!C286="","", MSE成绩库!K286)</f>
        <v/>
      </c>
      <c r="L286" t="str">
        <f>IF(MSE成绩库!C286="","", MSE成绩库!M286)</f>
        <v/>
      </c>
      <c r="M286" t="str">
        <f>IF(MSE成绩库!C286="","", MSE成绩库!N286)</f>
        <v/>
      </c>
      <c r="N286" t="str">
        <f>IF(MSE成绩库!C286="","", MSE成绩库!O286)</f>
        <v/>
      </c>
      <c r="O286" t="str">
        <f>IF(MSE成绩库!C286="","", MSE成绩库!Q286)</f>
        <v/>
      </c>
      <c r="P286" t="str">
        <f>IF(MSE成绩库!C286="","", MSE成绩库!R286)</f>
        <v/>
      </c>
      <c r="Q286" t="str">
        <f>IF(MSE成绩库!C286="","", MSE成绩库!S286)</f>
        <v/>
      </c>
      <c r="R286" t="str">
        <f>IF(MSE成绩库!C286="","", MSE成绩库!T286)</f>
        <v/>
      </c>
      <c r="S286" t="str">
        <f>IF(MSE成绩库!C286="","", MSE成绩库!U286)</f>
        <v/>
      </c>
      <c r="T286" t="str">
        <f>IF(MSE成绩库!C286="","", MSE成绩库!V286)</f>
        <v/>
      </c>
      <c r="U286" t="str">
        <f>IF(MSE成绩库!C286="","", MSE成绩库!X286)</f>
        <v/>
      </c>
      <c r="V286" t="str">
        <f>IF(MSE成绩库!C286="","", MSE成绩库!Y286)</f>
        <v/>
      </c>
      <c r="W286" t="str">
        <f>IF(MSE成绩库!C286="","", MSE成绩库!Z286)</f>
        <v/>
      </c>
      <c r="X286" t="str">
        <f>IF(MSE成绩库!C286="","", MSE成绩库!AA286)</f>
        <v/>
      </c>
      <c r="Y286" t="str">
        <f>IF(MSE成绩库!C286="","", MSE成绩库!AB286)</f>
        <v/>
      </c>
      <c r="Z286" t="str">
        <f>IF(MSE成绩库!C286="","", MSE成绩库!AC286)</f>
        <v/>
      </c>
    </row>
    <row r="287" spans="1:26" x14ac:dyDescent="0.2">
      <c r="A287" t="str">
        <f>IF(MSE成绩库!C287="","", MSE成绩库!C287)</f>
        <v/>
      </c>
      <c r="B287" t="str">
        <f>IF(MSE成绩库!AD287="","", MSE成绩库!AD287)</f>
        <v/>
      </c>
      <c r="C287" t="str">
        <f>IF(MSE成绩库!B287="","", MSE成绩库!B287)</f>
        <v/>
      </c>
      <c r="D287" t="str">
        <f>IF(MSE成绩库!D287="","", MSE成绩库!D287)</f>
        <v/>
      </c>
      <c r="E287" t="str">
        <f>IF(MSE成绩库!C287="","", MSE成绩库!E287)</f>
        <v/>
      </c>
      <c r="F287" t="str">
        <f>IF(MSE成绩库!C287="","", MSE成绩库!F287)</f>
        <v/>
      </c>
      <c r="G287" t="str">
        <f>IF(MSE成绩库!C287="","", MSE成绩库!G287)</f>
        <v/>
      </c>
      <c r="H287" t="str">
        <f>IF(MSE成绩库!C287="","", MSE成绩库!H287)</f>
        <v/>
      </c>
      <c r="I287" t="str">
        <f>IF(MSE成绩库!C287="","", MSE成绩库!I287)</f>
        <v/>
      </c>
      <c r="J287" t="str">
        <f>IF(MSE成绩库!C287="","", MSE成绩库!J287)</f>
        <v/>
      </c>
      <c r="K287" t="str">
        <f>IF(MSE成绩库!C287="","", MSE成绩库!K287)</f>
        <v/>
      </c>
      <c r="L287" t="str">
        <f>IF(MSE成绩库!C287="","", MSE成绩库!M287)</f>
        <v/>
      </c>
      <c r="M287" t="str">
        <f>IF(MSE成绩库!C287="","", MSE成绩库!N287)</f>
        <v/>
      </c>
      <c r="N287" t="str">
        <f>IF(MSE成绩库!C287="","", MSE成绩库!O287)</f>
        <v/>
      </c>
      <c r="O287" t="str">
        <f>IF(MSE成绩库!C287="","", MSE成绩库!Q287)</f>
        <v/>
      </c>
      <c r="P287" t="str">
        <f>IF(MSE成绩库!C287="","", MSE成绩库!R287)</f>
        <v/>
      </c>
      <c r="Q287" t="str">
        <f>IF(MSE成绩库!C287="","", MSE成绩库!S287)</f>
        <v/>
      </c>
      <c r="R287" t="str">
        <f>IF(MSE成绩库!C287="","", MSE成绩库!T287)</f>
        <v/>
      </c>
      <c r="S287" t="str">
        <f>IF(MSE成绩库!C287="","", MSE成绩库!U287)</f>
        <v/>
      </c>
      <c r="T287" t="str">
        <f>IF(MSE成绩库!C287="","", MSE成绩库!V287)</f>
        <v/>
      </c>
      <c r="U287" t="str">
        <f>IF(MSE成绩库!C287="","", MSE成绩库!X287)</f>
        <v/>
      </c>
      <c r="V287" t="str">
        <f>IF(MSE成绩库!C287="","", MSE成绩库!Y287)</f>
        <v/>
      </c>
      <c r="W287" t="str">
        <f>IF(MSE成绩库!C287="","", MSE成绩库!Z287)</f>
        <v/>
      </c>
      <c r="X287" t="str">
        <f>IF(MSE成绩库!C287="","", MSE成绩库!AA287)</f>
        <v/>
      </c>
      <c r="Y287" t="str">
        <f>IF(MSE成绩库!C287="","", MSE成绩库!AB287)</f>
        <v/>
      </c>
      <c r="Z287" t="str">
        <f>IF(MSE成绩库!C287="","", MSE成绩库!AC287)</f>
        <v/>
      </c>
    </row>
    <row r="288" spans="1:26" x14ac:dyDescent="0.2">
      <c r="A288" t="str">
        <f>IF(MSE成绩库!C288="","", MSE成绩库!C288)</f>
        <v/>
      </c>
      <c r="B288" t="str">
        <f>IF(MSE成绩库!AD288="","", MSE成绩库!AD288)</f>
        <v/>
      </c>
      <c r="C288" t="str">
        <f>IF(MSE成绩库!B288="","", MSE成绩库!B288)</f>
        <v/>
      </c>
      <c r="D288" t="str">
        <f>IF(MSE成绩库!D288="","", MSE成绩库!D288)</f>
        <v/>
      </c>
      <c r="E288" t="str">
        <f>IF(MSE成绩库!C288="","", MSE成绩库!E288)</f>
        <v/>
      </c>
      <c r="F288" t="str">
        <f>IF(MSE成绩库!C288="","", MSE成绩库!F288)</f>
        <v/>
      </c>
      <c r="G288" t="str">
        <f>IF(MSE成绩库!C288="","", MSE成绩库!G288)</f>
        <v/>
      </c>
      <c r="H288" t="str">
        <f>IF(MSE成绩库!C288="","", MSE成绩库!H288)</f>
        <v/>
      </c>
      <c r="I288" t="str">
        <f>IF(MSE成绩库!C288="","", MSE成绩库!I288)</f>
        <v/>
      </c>
      <c r="J288" t="str">
        <f>IF(MSE成绩库!C288="","", MSE成绩库!J288)</f>
        <v/>
      </c>
      <c r="K288" t="str">
        <f>IF(MSE成绩库!C288="","", MSE成绩库!K288)</f>
        <v/>
      </c>
      <c r="L288" t="str">
        <f>IF(MSE成绩库!C288="","", MSE成绩库!M288)</f>
        <v/>
      </c>
      <c r="M288" t="str">
        <f>IF(MSE成绩库!C288="","", MSE成绩库!N288)</f>
        <v/>
      </c>
      <c r="N288" t="str">
        <f>IF(MSE成绩库!C288="","", MSE成绩库!O288)</f>
        <v/>
      </c>
      <c r="O288" t="str">
        <f>IF(MSE成绩库!C288="","", MSE成绩库!Q288)</f>
        <v/>
      </c>
      <c r="P288" t="str">
        <f>IF(MSE成绩库!C288="","", MSE成绩库!R288)</f>
        <v/>
      </c>
      <c r="Q288" t="str">
        <f>IF(MSE成绩库!C288="","", MSE成绩库!S288)</f>
        <v/>
      </c>
      <c r="R288" t="str">
        <f>IF(MSE成绩库!C288="","", MSE成绩库!T288)</f>
        <v/>
      </c>
      <c r="S288" t="str">
        <f>IF(MSE成绩库!C288="","", MSE成绩库!U288)</f>
        <v/>
      </c>
      <c r="T288" t="str">
        <f>IF(MSE成绩库!C288="","", MSE成绩库!V288)</f>
        <v/>
      </c>
      <c r="U288" t="str">
        <f>IF(MSE成绩库!C288="","", MSE成绩库!X288)</f>
        <v/>
      </c>
      <c r="V288" t="str">
        <f>IF(MSE成绩库!C288="","", MSE成绩库!Y288)</f>
        <v/>
      </c>
      <c r="W288" t="str">
        <f>IF(MSE成绩库!C288="","", MSE成绩库!Z288)</f>
        <v/>
      </c>
      <c r="X288" t="str">
        <f>IF(MSE成绩库!C288="","", MSE成绩库!AA288)</f>
        <v/>
      </c>
      <c r="Y288" t="str">
        <f>IF(MSE成绩库!C288="","", MSE成绩库!AB288)</f>
        <v/>
      </c>
      <c r="Z288" t="str">
        <f>IF(MSE成绩库!C288="","", MSE成绩库!AC288)</f>
        <v/>
      </c>
    </row>
    <row r="289" spans="1:26" x14ac:dyDescent="0.2">
      <c r="A289" t="str">
        <f>IF(MSE成绩库!C289="","", MSE成绩库!C289)</f>
        <v/>
      </c>
      <c r="B289" t="str">
        <f>IF(MSE成绩库!AD289="","", MSE成绩库!AD289)</f>
        <v/>
      </c>
      <c r="C289" t="str">
        <f>IF(MSE成绩库!B289="","", MSE成绩库!B289)</f>
        <v/>
      </c>
      <c r="D289" t="str">
        <f>IF(MSE成绩库!D289="","", MSE成绩库!D289)</f>
        <v/>
      </c>
      <c r="E289" t="str">
        <f>IF(MSE成绩库!C289="","", MSE成绩库!E289)</f>
        <v/>
      </c>
      <c r="F289" t="str">
        <f>IF(MSE成绩库!C289="","", MSE成绩库!F289)</f>
        <v/>
      </c>
      <c r="G289" t="str">
        <f>IF(MSE成绩库!C289="","", MSE成绩库!G289)</f>
        <v/>
      </c>
      <c r="H289" t="str">
        <f>IF(MSE成绩库!C289="","", MSE成绩库!H289)</f>
        <v/>
      </c>
      <c r="I289" t="str">
        <f>IF(MSE成绩库!C289="","", MSE成绩库!I289)</f>
        <v/>
      </c>
      <c r="J289" t="str">
        <f>IF(MSE成绩库!C289="","", MSE成绩库!J289)</f>
        <v/>
      </c>
      <c r="K289" t="str">
        <f>IF(MSE成绩库!C289="","", MSE成绩库!K289)</f>
        <v/>
      </c>
      <c r="L289" t="str">
        <f>IF(MSE成绩库!C289="","", MSE成绩库!M289)</f>
        <v/>
      </c>
      <c r="M289" t="str">
        <f>IF(MSE成绩库!C289="","", MSE成绩库!N289)</f>
        <v/>
      </c>
      <c r="N289" t="str">
        <f>IF(MSE成绩库!C289="","", MSE成绩库!O289)</f>
        <v/>
      </c>
      <c r="O289" t="str">
        <f>IF(MSE成绩库!C289="","", MSE成绩库!Q289)</f>
        <v/>
      </c>
      <c r="P289" t="str">
        <f>IF(MSE成绩库!C289="","", MSE成绩库!R289)</f>
        <v/>
      </c>
      <c r="Q289" t="str">
        <f>IF(MSE成绩库!C289="","", MSE成绩库!S289)</f>
        <v/>
      </c>
      <c r="R289" t="str">
        <f>IF(MSE成绩库!C289="","", MSE成绩库!T289)</f>
        <v/>
      </c>
      <c r="S289" t="str">
        <f>IF(MSE成绩库!C289="","", MSE成绩库!U289)</f>
        <v/>
      </c>
      <c r="T289" t="str">
        <f>IF(MSE成绩库!C289="","", MSE成绩库!V289)</f>
        <v/>
      </c>
      <c r="U289" t="str">
        <f>IF(MSE成绩库!C289="","", MSE成绩库!X289)</f>
        <v/>
      </c>
      <c r="V289" t="str">
        <f>IF(MSE成绩库!C289="","", MSE成绩库!Y289)</f>
        <v/>
      </c>
      <c r="W289" t="str">
        <f>IF(MSE成绩库!C289="","", MSE成绩库!Z289)</f>
        <v/>
      </c>
      <c r="X289" t="str">
        <f>IF(MSE成绩库!C289="","", MSE成绩库!AA289)</f>
        <v/>
      </c>
      <c r="Y289" t="str">
        <f>IF(MSE成绩库!C289="","", MSE成绩库!AB289)</f>
        <v/>
      </c>
      <c r="Z289" t="str">
        <f>IF(MSE成绩库!C289="","", MSE成绩库!AC289)</f>
        <v/>
      </c>
    </row>
    <row r="290" spans="1:26" x14ac:dyDescent="0.2">
      <c r="A290" t="str">
        <f>IF(MSE成绩库!C290="","", MSE成绩库!C290)</f>
        <v/>
      </c>
      <c r="B290" t="str">
        <f>IF(MSE成绩库!AD290="","", MSE成绩库!AD290)</f>
        <v/>
      </c>
      <c r="C290" t="str">
        <f>IF(MSE成绩库!B290="","", MSE成绩库!B290)</f>
        <v/>
      </c>
      <c r="D290" t="str">
        <f>IF(MSE成绩库!D290="","", MSE成绩库!D290)</f>
        <v/>
      </c>
      <c r="E290" t="str">
        <f>IF(MSE成绩库!C290="","", MSE成绩库!E290)</f>
        <v/>
      </c>
      <c r="F290" t="str">
        <f>IF(MSE成绩库!C290="","", MSE成绩库!F290)</f>
        <v/>
      </c>
      <c r="G290" t="str">
        <f>IF(MSE成绩库!C290="","", MSE成绩库!G290)</f>
        <v/>
      </c>
      <c r="H290" t="str">
        <f>IF(MSE成绩库!C290="","", MSE成绩库!H290)</f>
        <v/>
      </c>
      <c r="I290" t="str">
        <f>IF(MSE成绩库!C290="","", MSE成绩库!I290)</f>
        <v/>
      </c>
      <c r="J290" t="str">
        <f>IF(MSE成绩库!C290="","", MSE成绩库!J290)</f>
        <v/>
      </c>
      <c r="K290" t="str">
        <f>IF(MSE成绩库!C290="","", MSE成绩库!K290)</f>
        <v/>
      </c>
      <c r="L290" t="str">
        <f>IF(MSE成绩库!C290="","", MSE成绩库!M290)</f>
        <v/>
      </c>
      <c r="M290" t="str">
        <f>IF(MSE成绩库!C290="","", MSE成绩库!N290)</f>
        <v/>
      </c>
      <c r="N290" t="str">
        <f>IF(MSE成绩库!C290="","", MSE成绩库!O290)</f>
        <v/>
      </c>
      <c r="O290" t="str">
        <f>IF(MSE成绩库!C290="","", MSE成绩库!Q290)</f>
        <v/>
      </c>
      <c r="P290" t="str">
        <f>IF(MSE成绩库!C290="","", MSE成绩库!R290)</f>
        <v/>
      </c>
      <c r="Q290" t="str">
        <f>IF(MSE成绩库!C290="","", MSE成绩库!S290)</f>
        <v/>
      </c>
      <c r="R290" t="str">
        <f>IF(MSE成绩库!C290="","", MSE成绩库!T290)</f>
        <v/>
      </c>
      <c r="S290" t="str">
        <f>IF(MSE成绩库!C290="","", MSE成绩库!U290)</f>
        <v/>
      </c>
      <c r="T290" t="str">
        <f>IF(MSE成绩库!C290="","", MSE成绩库!V290)</f>
        <v/>
      </c>
      <c r="U290" t="str">
        <f>IF(MSE成绩库!C290="","", MSE成绩库!X290)</f>
        <v/>
      </c>
      <c r="V290" t="str">
        <f>IF(MSE成绩库!C290="","", MSE成绩库!Y290)</f>
        <v/>
      </c>
      <c r="W290" t="str">
        <f>IF(MSE成绩库!C290="","", MSE成绩库!Z290)</f>
        <v/>
      </c>
      <c r="X290" t="str">
        <f>IF(MSE成绩库!C290="","", MSE成绩库!AA290)</f>
        <v/>
      </c>
      <c r="Y290" t="str">
        <f>IF(MSE成绩库!C290="","", MSE成绩库!AB290)</f>
        <v/>
      </c>
      <c r="Z290" t="str">
        <f>IF(MSE成绩库!C290="","", MSE成绩库!AC290)</f>
        <v/>
      </c>
    </row>
    <row r="291" spans="1:26" x14ac:dyDescent="0.2">
      <c r="A291" t="str">
        <f>IF(MSE成绩库!C291="","", MSE成绩库!C291)</f>
        <v/>
      </c>
      <c r="B291" t="str">
        <f>IF(MSE成绩库!AD291="","", MSE成绩库!AD291)</f>
        <v/>
      </c>
      <c r="C291" t="str">
        <f>IF(MSE成绩库!B291="","", MSE成绩库!B291)</f>
        <v/>
      </c>
      <c r="D291" t="str">
        <f>IF(MSE成绩库!D291="","", MSE成绩库!D291)</f>
        <v/>
      </c>
      <c r="E291" t="str">
        <f>IF(MSE成绩库!C291="","", MSE成绩库!E291)</f>
        <v/>
      </c>
      <c r="F291" t="str">
        <f>IF(MSE成绩库!C291="","", MSE成绩库!F291)</f>
        <v/>
      </c>
      <c r="G291" t="str">
        <f>IF(MSE成绩库!C291="","", MSE成绩库!G291)</f>
        <v/>
      </c>
      <c r="H291" t="str">
        <f>IF(MSE成绩库!C291="","", MSE成绩库!H291)</f>
        <v/>
      </c>
      <c r="I291" t="str">
        <f>IF(MSE成绩库!C291="","", MSE成绩库!I291)</f>
        <v/>
      </c>
      <c r="J291" t="str">
        <f>IF(MSE成绩库!C291="","", MSE成绩库!J291)</f>
        <v/>
      </c>
      <c r="K291" t="str">
        <f>IF(MSE成绩库!C291="","", MSE成绩库!K291)</f>
        <v/>
      </c>
      <c r="L291" t="str">
        <f>IF(MSE成绩库!C291="","", MSE成绩库!M291)</f>
        <v/>
      </c>
      <c r="M291" t="str">
        <f>IF(MSE成绩库!C291="","", MSE成绩库!N291)</f>
        <v/>
      </c>
      <c r="N291" t="str">
        <f>IF(MSE成绩库!C291="","", MSE成绩库!O291)</f>
        <v/>
      </c>
      <c r="O291" t="str">
        <f>IF(MSE成绩库!C291="","", MSE成绩库!Q291)</f>
        <v/>
      </c>
      <c r="P291" t="str">
        <f>IF(MSE成绩库!C291="","", MSE成绩库!R291)</f>
        <v/>
      </c>
      <c r="Q291" t="str">
        <f>IF(MSE成绩库!C291="","", MSE成绩库!S291)</f>
        <v/>
      </c>
      <c r="R291" t="str">
        <f>IF(MSE成绩库!C291="","", MSE成绩库!T291)</f>
        <v/>
      </c>
      <c r="S291" t="str">
        <f>IF(MSE成绩库!C291="","", MSE成绩库!U291)</f>
        <v/>
      </c>
      <c r="T291" t="str">
        <f>IF(MSE成绩库!C291="","", MSE成绩库!V291)</f>
        <v/>
      </c>
      <c r="U291" t="str">
        <f>IF(MSE成绩库!C291="","", MSE成绩库!X291)</f>
        <v/>
      </c>
      <c r="V291" t="str">
        <f>IF(MSE成绩库!C291="","", MSE成绩库!Y291)</f>
        <v/>
      </c>
      <c r="W291" t="str">
        <f>IF(MSE成绩库!C291="","", MSE成绩库!Z291)</f>
        <v/>
      </c>
      <c r="X291" t="str">
        <f>IF(MSE成绩库!C291="","", MSE成绩库!AA291)</f>
        <v/>
      </c>
      <c r="Y291" t="str">
        <f>IF(MSE成绩库!C291="","", MSE成绩库!AB291)</f>
        <v/>
      </c>
      <c r="Z291" t="str">
        <f>IF(MSE成绩库!C291="","", MSE成绩库!AC291)</f>
        <v/>
      </c>
    </row>
    <row r="292" spans="1:26" x14ac:dyDescent="0.2">
      <c r="A292" t="str">
        <f>IF(MSE成绩库!C292="","", MSE成绩库!C292)</f>
        <v/>
      </c>
      <c r="B292" t="str">
        <f>IF(MSE成绩库!AD292="","", MSE成绩库!AD292)</f>
        <v/>
      </c>
      <c r="C292" t="str">
        <f>IF(MSE成绩库!B292="","", MSE成绩库!B292)</f>
        <v/>
      </c>
      <c r="D292" t="str">
        <f>IF(MSE成绩库!D292="","", MSE成绩库!D292)</f>
        <v/>
      </c>
      <c r="E292" t="str">
        <f>IF(MSE成绩库!C292="","", MSE成绩库!E292)</f>
        <v/>
      </c>
      <c r="F292" t="str">
        <f>IF(MSE成绩库!C292="","", MSE成绩库!F292)</f>
        <v/>
      </c>
      <c r="G292" t="str">
        <f>IF(MSE成绩库!C292="","", MSE成绩库!G292)</f>
        <v/>
      </c>
      <c r="H292" t="str">
        <f>IF(MSE成绩库!C292="","", MSE成绩库!H292)</f>
        <v/>
      </c>
      <c r="I292" t="str">
        <f>IF(MSE成绩库!C292="","", MSE成绩库!I292)</f>
        <v/>
      </c>
      <c r="J292" t="str">
        <f>IF(MSE成绩库!C292="","", MSE成绩库!J292)</f>
        <v/>
      </c>
      <c r="K292" t="str">
        <f>IF(MSE成绩库!C292="","", MSE成绩库!K292)</f>
        <v/>
      </c>
      <c r="L292" t="str">
        <f>IF(MSE成绩库!C292="","", MSE成绩库!M292)</f>
        <v/>
      </c>
      <c r="M292" t="str">
        <f>IF(MSE成绩库!C292="","", MSE成绩库!N292)</f>
        <v/>
      </c>
      <c r="N292" t="str">
        <f>IF(MSE成绩库!C292="","", MSE成绩库!O292)</f>
        <v/>
      </c>
      <c r="O292" t="str">
        <f>IF(MSE成绩库!C292="","", MSE成绩库!Q292)</f>
        <v/>
      </c>
      <c r="P292" t="str">
        <f>IF(MSE成绩库!C292="","", MSE成绩库!R292)</f>
        <v/>
      </c>
      <c r="Q292" t="str">
        <f>IF(MSE成绩库!C292="","", MSE成绩库!S292)</f>
        <v/>
      </c>
      <c r="R292" t="str">
        <f>IF(MSE成绩库!C292="","", MSE成绩库!T292)</f>
        <v/>
      </c>
      <c r="S292" t="str">
        <f>IF(MSE成绩库!C292="","", MSE成绩库!U292)</f>
        <v/>
      </c>
      <c r="T292" t="str">
        <f>IF(MSE成绩库!C292="","", MSE成绩库!V292)</f>
        <v/>
      </c>
      <c r="U292" t="str">
        <f>IF(MSE成绩库!C292="","", MSE成绩库!X292)</f>
        <v/>
      </c>
      <c r="V292" t="str">
        <f>IF(MSE成绩库!C292="","", MSE成绩库!Y292)</f>
        <v/>
      </c>
      <c r="W292" t="str">
        <f>IF(MSE成绩库!C292="","", MSE成绩库!Z292)</f>
        <v/>
      </c>
      <c r="X292" t="str">
        <f>IF(MSE成绩库!C292="","", MSE成绩库!AA292)</f>
        <v/>
      </c>
      <c r="Y292" t="str">
        <f>IF(MSE成绩库!C292="","", MSE成绩库!AB292)</f>
        <v/>
      </c>
      <c r="Z292" t="str">
        <f>IF(MSE成绩库!C292="","", MSE成绩库!AC292)</f>
        <v/>
      </c>
    </row>
    <row r="293" spans="1:26" x14ac:dyDescent="0.2">
      <c r="A293" t="str">
        <f>IF(MSE成绩库!C293="","", MSE成绩库!C293)</f>
        <v/>
      </c>
      <c r="B293" t="str">
        <f>IF(MSE成绩库!AD293="","", MSE成绩库!AD293)</f>
        <v/>
      </c>
      <c r="C293" t="str">
        <f>IF(MSE成绩库!B293="","", MSE成绩库!B293)</f>
        <v/>
      </c>
      <c r="D293" t="str">
        <f>IF(MSE成绩库!D293="","", MSE成绩库!D293)</f>
        <v/>
      </c>
      <c r="E293" t="str">
        <f>IF(MSE成绩库!C293="","", MSE成绩库!E293)</f>
        <v/>
      </c>
      <c r="F293" t="str">
        <f>IF(MSE成绩库!C293="","", MSE成绩库!F293)</f>
        <v/>
      </c>
      <c r="G293" t="str">
        <f>IF(MSE成绩库!C293="","", MSE成绩库!G293)</f>
        <v/>
      </c>
      <c r="H293" t="str">
        <f>IF(MSE成绩库!C293="","", MSE成绩库!H293)</f>
        <v/>
      </c>
      <c r="I293" t="str">
        <f>IF(MSE成绩库!C293="","", MSE成绩库!I293)</f>
        <v/>
      </c>
      <c r="J293" t="str">
        <f>IF(MSE成绩库!C293="","", MSE成绩库!J293)</f>
        <v/>
      </c>
      <c r="K293" t="str">
        <f>IF(MSE成绩库!C293="","", MSE成绩库!K293)</f>
        <v/>
      </c>
      <c r="L293" t="str">
        <f>IF(MSE成绩库!C293="","", MSE成绩库!M293)</f>
        <v/>
      </c>
      <c r="M293" t="str">
        <f>IF(MSE成绩库!C293="","", MSE成绩库!N293)</f>
        <v/>
      </c>
      <c r="N293" t="str">
        <f>IF(MSE成绩库!C293="","", MSE成绩库!O293)</f>
        <v/>
      </c>
      <c r="O293" t="str">
        <f>IF(MSE成绩库!C293="","", MSE成绩库!Q293)</f>
        <v/>
      </c>
      <c r="P293" t="str">
        <f>IF(MSE成绩库!C293="","", MSE成绩库!R293)</f>
        <v/>
      </c>
      <c r="Q293" t="str">
        <f>IF(MSE成绩库!C293="","", MSE成绩库!S293)</f>
        <v/>
      </c>
      <c r="R293" t="str">
        <f>IF(MSE成绩库!C293="","", MSE成绩库!T293)</f>
        <v/>
      </c>
      <c r="S293" t="str">
        <f>IF(MSE成绩库!C293="","", MSE成绩库!U293)</f>
        <v/>
      </c>
      <c r="T293" t="str">
        <f>IF(MSE成绩库!C293="","", MSE成绩库!V293)</f>
        <v/>
      </c>
      <c r="U293" t="str">
        <f>IF(MSE成绩库!C293="","", MSE成绩库!X293)</f>
        <v/>
      </c>
      <c r="V293" t="str">
        <f>IF(MSE成绩库!C293="","", MSE成绩库!Y293)</f>
        <v/>
      </c>
      <c r="W293" t="str">
        <f>IF(MSE成绩库!C293="","", MSE成绩库!Z293)</f>
        <v/>
      </c>
      <c r="X293" t="str">
        <f>IF(MSE成绩库!C293="","", MSE成绩库!AA293)</f>
        <v/>
      </c>
      <c r="Y293" t="str">
        <f>IF(MSE成绩库!C293="","", MSE成绩库!AB293)</f>
        <v/>
      </c>
      <c r="Z293" t="str">
        <f>IF(MSE成绩库!C293="","", MSE成绩库!AC293)</f>
        <v/>
      </c>
    </row>
    <row r="294" spans="1:26" x14ac:dyDescent="0.2">
      <c r="A294" t="str">
        <f>IF(MSE成绩库!C294="","", MSE成绩库!C294)</f>
        <v/>
      </c>
      <c r="B294" t="str">
        <f>IF(MSE成绩库!AD294="","", MSE成绩库!AD294)</f>
        <v/>
      </c>
      <c r="C294" t="str">
        <f>IF(MSE成绩库!B294="","", MSE成绩库!B294)</f>
        <v/>
      </c>
      <c r="D294" t="str">
        <f>IF(MSE成绩库!D294="","", MSE成绩库!D294)</f>
        <v/>
      </c>
      <c r="E294" t="str">
        <f>IF(MSE成绩库!C294="","", MSE成绩库!E294)</f>
        <v/>
      </c>
      <c r="F294" t="str">
        <f>IF(MSE成绩库!C294="","", MSE成绩库!F294)</f>
        <v/>
      </c>
      <c r="G294" t="str">
        <f>IF(MSE成绩库!C294="","", MSE成绩库!G294)</f>
        <v/>
      </c>
      <c r="H294" t="str">
        <f>IF(MSE成绩库!C294="","", MSE成绩库!H294)</f>
        <v/>
      </c>
      <c r="I294" t="str">
        <f>IF(MSE成绩库!C294="","", MSE成绩库!I294)</f>
        <v/>
      </c>
      <c r="J294" t="str">
        <f>IF(MSE成绩库!C294="","", MSE成绩库!J294)</f>
        <v/>
      </c>
      <c r="K294" t="str">
        <f>IF(MSE成绩库!C294="","", MSE成绩库!K294)</f>
        <v/>
      </c>
      <c r="L294" t="str">
        <f>IF(MSE成绩库!C294="","", MSE成绩库!M294)</f>
        <v/>
      </c>
      <c r="M294" t="str">
        <f>IF(MSE成绩库!C294="","", MSE成绩库!N294)</f>
        <v/>
      </c>
      <c r="N294" t="str">
        <f>IF(MSE成绩库!C294="","", MSE成绩库!O294)</f>
        <v/>
      </c>
      <c r="O294" t="str">
        <f>IF(MSE成绩库!C294="","", MSE成绩库!Q294)</f>
        <v/>
      </c>
      <c r="P294" t="str">
        <f>IF(MSE成绩库!C294="","", MSE成绩库!R294)</f>
        <v/>
      </c>
      <c r="Q294" t="str">
        <f>IF(MSE成绩库!C294="","", MSE成绩库!S294)</f>
        <v/>
      </c>
      <c r="R294" t="str">
        <f>IF(MSE成绩库!C294="","", MSE成绩库!T294)</f>
        <v/>
      </c>
      <c r="S294" t="str">
        <f>IF(MSE成绩库!C294="","", MSE成绩库!U294)</f>
        <v/>
      </c>
      <c r="T294" t="str">
        <f>IF(MSE成绩库!C294="","", MSE成绩库!V294)</f>
        <v/>
      </c>
      <c r="U294" t="str">
        <f>IF(MSE成绩库!C294="","", MSE成绩库!X294)</f>
        <v/>
      </c>
      <c r="V294" t="str">
        <f>IF(MSE成绩库!C294="","", MSE成绩库!Y294)</f>
        <v/>
      </c>
      <c r="W294" t="str">
        <f>IF(MSE成绩库!C294="","", MSE成绩库!Z294)</f>
        <v/>
      </c>
      <c r="X294" t="str">
        <f>IF(MSE成绩库!C294="","", MSE成绩库!AA294)</f>
        <v/>
      </c>
      <c r="Y294" t="str">
        <f>IF(MSE成绩库!C294="","", MSE成绩库!AB294)</f>
        <v/>
      </c>
      <c r="Z294" t="str">
        <f>IF(MSE成绩库!C294="","", MSE成绩库!AC294)</f>
        <v/>
      </c>
    </row>
    <row r="295" spans="1:26" x14ac:dyDescent="0.2">
      <c r="A295" t="str">
        <f>IF(MSE成绩库!C295="","", MSE成绩库!C295)</f>
        <v/>
      </c>
      <c r="B295" t="str">
        <f>IF(MSE成绩库!AD295="","", MSE成绩库!AD295)</f>
        <v/>
      </c>
      <c r="C295" t="str">
        <f>IF(MSE成绩库!B295="","", MSE成绩库!B295)</f>
        <v/>
      </c>
      <c r="D295" t="str">
        <f>IF(MSE成绩库!D295="","", MSE成绩库!D295)</f>
        <v/>
      </c>
      <c r="E295" t="str">
        <f>IF(MSE成绩库!C295="","", MSE成绩库!E295)</f>
        <v/>
      </c>
      <c r="F295" t="str">
        <f>IF(MSE成绩库!C295="","", MSE成绩库!F295)</f>
        <v/>
      </c>
      <c r="G295" t="str">
        <f>IF(MSE成绩库!C295="","", MSE成绩库!G295)</f>
        <v/>
      </c>
      <c r="H295" t="str">
        <f>IF(MSE成绩库!C295="","", MSE成绩库!H295)</f>
        <v/>
      </c>
      <c r="I295" t="str">
        <f>IF(MSE成绩库!C295="","", MSE成绩库!I295)</f>
        <v/>
      </c>
      <c r="J295" t="str">
        <f>IF(MSE成绩库!C295="","", MSE成绩库!J295)</f>
        <v/>
      </c>
      <c r="K295" t="str">
        <f>IF(MSE成绩库!C295="","", MSE成绩库!K295)</f>
        <v/>
      </c>
      <c r="L295" t="str">
        <f>IF(MSE成绩库!C295="","", MSE成绩库!M295)</f>
        <v/>
      </c>
      <c r="M295" t="str">
        <f>IF(MSE成绩库!C295="","", MSE成绩库!N295)</f>
        <v/>
      </c>
      <c r="N295" t="str">
        <f>IF(MSE成绩库!C295="","", MSE成绩库!O295)</f>
        <v/>
      </c>
      <c r="O295" t="str">
        <f>IF(MSE成绩库!C295="","", MSE成绩库!Q295)</f>
        <v/>
      </c>
      <c r="P295" t="str">
        <f>IF(MSE成绩库!C295="","", MSE成绩库!R295)</f>
        <v/>
      </c>
      <c r="Q295" t="str">
        <f>IF(MSE成绩库!C295="","", MSE成绩库!S295)</f>
        <v/>
      </c>
      <c r="R295" t="str">
        <f>IF(MSE成绩库!C295="","", MSE成绩库!T295)</f>
        <v/>
      </c>
      <c r="S295" t="str">
        <f>IF(MSE成绩库!C295="","", MSE成绩库!U295)</f>
        <v/>
      </c>
      <c r="T295" t="str">
        <f>IF(MSE成绩库!C295="","", MSE成绩库!V295)</f>
        <v/>
      </c>
      <c r="U295" t="str">
        <f>IF(MSE成绩库!C295="","", MSE成绩库!X295)</f>
        <v/>
      </c>
      <c r="V295" t="str">
        <f>IF(MSE成绩库!C295="","", MSE成绩库!Y295)</f>
        <v/>
      </c>
      <c r="W295" t="str">
        <f>IF(MSE成绩库!C295="","", MSE成绩库!Z295)</f>
        <v/>
      </c>
      <c r="X295" t="str">
        <f>IF(MSE成绩库!C295="","", MSE成绩库!AA295)</f>
        <v/>
      </c>
      <c r="Y295" t="str">
        <f>IF(MSE成绩库!C295="","", MSE成绩库!AB295)</f>
        <v/>
      </c>
      <c r="Z295" t="str">
        <f>IF(MSE成绩库!C295="","", MSE成绩库!AC295)</f>
        <v/>
      </c>
    </row>
    <row r="296" spans="1:26" x14ac:dyDescent="0.2">
      <c r="A296" t="str">
        <f>IF(MSE成绩库!C296="","", MSE成绩库!C296)</f>
        <v/>
      </c>
      <c r="B296" t="str">
        <f>IF(MSE成绩库!AD296="","", MSE成绩库!AD296)</f>
        <v/>
      </c>
      <c r="C296" t="str">
        <f>IF(MSE成绩库!B296="","", MSE成绩库!B296)</f>
        <v/>
      </c>
      <c r="D296" t="str">
        <f>IF(MSE成绩库!D296="","", MSE成绩库!D296)</f>
        <v/>
      </c>
      <c r="E296" t="str">
        <f>IF(MSE成绩库!C296="","", MSE成绩库!E296)</f>
        <v/>
      </c>
      <c r="F296" t="str">
        <f>IF(MSE成绩库!C296="","", MSE成绩库!F296)</f>
        <v/>
      </c>
      <c r="G296" t="str">
        <f>IF(MSE成绩库!C296="","", MSE成绩库!G296)</f>
        <v/>
      </c>
      <c r="H296" t="str">
        <f>IF(MSE成绩库!C296="","", MSE成绩库!H296)</f>
        <v/>
      </c>
      <c r="I296" t="str">
        <f>IF(MSE成绩库!C296="","", MSE成绩库!I296)</f>
        <v/>
      </c>
      <c r="J296" t="str">
        <f>IF(MSE成绩库!C296="","", MSE成绩库!J296)</f>
        <v/>
      </c>
      <c r="K296" t="str">
        <f>IF(MSE成绩库!C296="","", MSE成绩库!K296)</f>
        <v/>
      </c>
      <c r="L296" t="str">
        <f>IF(MSE成绩库!C296="","", MSE成绩库!M296)</f>
        <v/>
      </c>
      <c r="M296" t="str">
        <f>IF(MSE成绩库!C296="","", MSE成绩库!N296)</f>
        <v/>
      </c>
      <c r="N296" t="str">
        <f>IF(MSE成绩库!C296="","", MSE成绩库!O296)</f>
        <v/>
      </c>
      <c r="O296" t="str">
        <f>IF(MSE成绩库!C296="","", MSE成绩库!Q296)</f>
        <v/>
      </c>
      <c r="P296" t="str">
        <f>IF(MSE成绩库!C296="","", MSE成绩库!R296)</f>
        <v/>
      </c>
      <c r="Q296" t="str">
        <f>IF(MSE成绩库!C296="","", MSE成绩库!S296)</f>
        <v/>
      </c>
      <c r="R296" t="str">
        <f>IF(MSE成绩库!C296="","", MSE成绩库!T296)</f>
        <v/>
      </c>
      <c r="S296" t="str">
        <f>IF(MSE成绩库!C296="","", MSE成绩库!U296)</f>
        <v/>
      </c>
      <c r="T296" t="str">
        <f>IF(MSE成绩库!C296="","", MSE成绩库!V296)</f>
        <v/>
      </c>
      <c r="U296" t="str">
        <f>IF(MSE成绩库!C296="","", MSE成绩库!X296)</f>
        <v/>
      </c>
      <c r="V296" t="str">
        <f>IF(MSE成绩库!C296="","", MSE成绩库!Y296)</f>
        <v/>
      </c>
      <c r="W296" t="str">
        <f>IF(MSE成绩库!C296="","", MSE成绩库!Z296)</f>
        <v/>
      </c>
      <c r="X296" t="str">
        <f>IF(MSE成绩库!C296="","", MSE成绩库!AA296)</f>
        <v/>
      </c>
      <c r="Y296" t="str">
        <f>IF(MSE成绩库!C296="","", MSE成绩库!AB296)</f>
        <v/>
      </c>
      <c r="Z296" t="str">
        <f>IF(MSE成绩库!C296="","", MSE成绩库!AC296)</f>
        <v/>
      </c>
    </row>
    <row r="297" spans="1:26" x14ac:dyDescent="0.2">
      <c r="A297" t="str">
        <f>IF(MSE成绩库!C297="","", MSE成绩库!C297)</f>
        <v/>
      </c>
      <c r="B297" t="str">
        <f>IF(MSE成绩库!AD297="","", MSE成绩库!AD297)</f>
        <v/>
      </c>
      <c r="C297" t="str">
        <f>IF(MSE成绩库!B297="","", MSE成绩库!B297)</f>
        <v/>
      </c>
      <c r="D297" t="str">
        <f>IF(MSE成绩库!D297="","", MSE成绩库!D297)</f>
        <v/>
      </c>
      <c r="E297" t="str">
        <f>IF(MSE成绩库!C297="","", MSE成绩库!E297)</f>
        <v/>
      </c>
      <c r="F297" t="str">
        <f>IF(MSE成绩库!C297="","", MSE成绩库!F297)</f>
        <v/>
      </c>
      <c r="G297" t="str">
        <f>IF(MSE成绩库!C297="","", MSE成绩库!G297)</f>
        <v/>
      </c>
      <c r="H297" t="str">
        <f>IF(MSE成绩库!C297="","", MSE成绩库!H297)</f>
        <v/>
      </c>
      <c r="I297" t="str">
        <f>IF(MSE成绩库!C297="","", MSE成绩库!I297)</f>
        <v/>
      </c>
      <c r="J297" t="str">
        <f>IF(MSE成绩库!C297="","", MSE成绩库!J297)</f>
        <v/>
      </c>
      <c r="K297" t="str">
        <f>IF(MSE成绩库!C297="","", MSE成绩库!K297)</f>
        <v/>
      </c>
      <c r="L297" t="str">
        <f>IF(MSE成绩库!C297="","", MSE成绩库!M297)</f>
        <v/>
      </c>
      <c r="M297" t="str">
        <f>IF(MSE成绩库!C297="","", MSE成绩库!N297)</f>
        <v/>
      </c>
      <c r="N297" t="str">
        <f>IF(MSE成绩库!C297="","", MSE成绩库!O297)</f>
        <v/>
      </c>
      <c r="O297" t="str">
        <f>IF(MSE成绩库!C297="","", MSE成绩库!Q297)</f>
        <v/>
      </c>
      <c r="P297" t="str">
        <f>IF(MSE成绩库!C297="","", MSE成绩库!R297)</f>
        <v/>
      </c>
      <c r="Q297" t="str">
        <f>IF(MSE成绩库!C297="","", MSE成绩库!S297)</f>
        <v/>
      </c>
      <c r="R297" t="str">
        <f>IF(MSE成绩库!C297="","", MSE成绩库!T297)</f>
        <v/>
      </c>
      <c r="S297" t="str">
        <f>IF(MSE成绩库!C297="","", MSE成绩库!U297)</f>
        <v/>
      </c>
      <c r="T297" t="str">
        <f>IF(MSE成绩库!C297="","", MSE成绩库!V297)</f>
        <v/>
      </c>
      <c r="U297" t="str">
        <f>IF(MSE成绩库!C297="","", MSE成绩库!X297)</f>
        <v/>
      </c>
      <c r="V297" t="str">
        <f>IF(MSE成绩库!C297="","", MSE成绩库!Y297)</f>
        <v/>
      </c>
      <c r="W297" t="str">
        <f>IF(MSE成绩库!C297="","", MSE成绩库!Z297)</f>
        <v/>
      </c>
      <c r="X297" t="str">
        <f>IF(MSE成绩库!C297="","", MSE成绩库!AA297)</f>
        <v/>
      </c>
      <c r="Y297" t="str">
        <f>IF(MSE成绩库!C297="","", MSE成绩库!AB297)</f>
        <v/>
      </c>
      <c r="Z297" t="str">
        <f>IF(MSE成绩库!C297="","", MSE成绩库!AC297)</f>
        <v/>
      </c>
    </row>
    <row r="298" spans="1:26" x14ac:dyDescent="0.2">
      <c r="A298" t="str">
        <f>IF(MSE成绩库!C298="","", MSE成绩库!C298)</f>
        <v/>
      </c>
      <c r="B298" t="str">
        <f>IF(MSE成绩库!AD298="","", MSE成绩库!AD298)</f>
        <v/>
      </c>
      <c r="C298" t="str">
        <f>IF(MSE成绩库!B298="","", MSE成绩库!B298)</f>
        <v/>
      </c>
      <c r="D298" t="str">
        <f>IF(MSE成绩库!D298="","", MSE成绩库!D298)</f>
        <v/>
      </c>
      <c r="E298" t="str">
        <f>IF(MSE成绩库!C298="","", MSE成绩库!E298)</f>
        <v/>
      </c>
      <c r="F298" t="str">
        <f>IF(MSE成绩库!C298="","", MSE成绩库!F298)</f>
        <v/>
      </c>
      <c r="G298" t="str">
        <f>IF(MSE成绩库!C298="","", MSE成绩库!G298)</f>
        <v/>
      </c>
      <c r="H298" t="str">
        <f>IF(MSE成绩库!C298="","", MSE成绩库!H298)</f>
        <v/>
      </c>
      <c r="I298" t="str">
        <f>IF(MSE成绩库!C298="","", MSE成绩库!I298)</f>
        <v/>
      </c>
      <c r="J298" t="str">
        <f>IF(MSE成绩库!C298="","", MSE成绩库!J298)</f>
        <v/>
      </c>
      <c r="K298" t="str">
        <f>IF(MSE成绩库!C298="","", MSE成绩库!K298)</f>
        <v/>
      </c>
      <c r="L298" t="str">
        <f>IF(MSE成绩库!C298="","", MSE成绩库!M298)</f>
        <v/>
      </c>
      <c r="M298" t="str">
        <f>IF(MSE成绩库!C298="","", MSE成绩库!N298)</f>
        <v/>
      </c>
      <c r="N298" t="str">
        <f>IF(MSE成绩库!C298="","", MSE成绩库!O298)</f>
        <v/>
      </c>
      <c r="O298" t="str">
        <f>IF(MSE成绩库!C298="","", MSE成绩库!Q298)</f>
        <v/>
      </c>
      <c r="P298" t="str">
        <f>IF(MSE成绩库!C298="","", MSE成绩库!R298)</f>
        <v/>
      </c>
      <c r="Q298" t="str">
        <f>IF(MSE成绩库!C298="","", MSE成绩库!S298)</f>
        <v/>
      </c>
      <c r="R298" t="str">
        <f>IF(MSE成绩库!C298="","", MSE成绩库!T298)</f>
        <v/>
      </c>
      <c r="S298" t="str">
        <f>IF(MSE成绩库!C298="","", MSE成绩库!U298)</f>
        <v/>
      </c>
      <c r="T298" t="str">
        <f>IF(MSE成绩库!C298="","", MSE成绩库!V298)</f>
        <v/>
      </c>
      <c r="U298" t="str">
        <f>IF(MSE成绩库!C298="","", MSE成绩库!X298)</f>
        <v/>
      </c>
      <c r="V298" t="str">
        <f>IF(MSE成绩库!C298="","", MSE成绩库!Y298)</f>
        <v/>
      </c>
      <c r="W298" t="str">
        <f>IF(MSE成绩库!C298="","", MSE成绩库!Z298)</f>
        <v/>
      </c>
      <c r="X298" t="str">
        <f>IF(MSE成绩库!C298="","", MSE成绩库!AA298)</f>
        <v/>
      </c>
      <c r="Y298" t="str">
        <f>IF(MSE成绩库!C298="","", MSE成绩库!AB298)</f>
        <v/>
      </c>
      <c r="Z298" t="str">
        <f>IF(MSE成绩库!C298="","", MSE成绩库!AC298)</f>
        <v/>
      </c>
    </row>
    <row r="299" spans="1:26" x14ac:dyDescent="0.2">
      <c r="A299" t="str">
        <f>IF(MSE成绩库!C299="","", MSE成绩库!C299)</f>
        <v/>
      </c>
      <c r="B299" t="str">
        <f>IF(MSE成绩库!AD299="","", MSE成绩库!AD299)</f>
        <v/>
      </c>
      <c r="C299" t="str">
        <f>IF(MSE成绩库!B299="","", MSE成绩库!B299)</f>
        <v/>
      </c>
      <c r="D299" t="str">
        <f>IF(MSE成绩库!D299="","", MSE成绩库!D299)</f>
        <v/>
      </c>
      <c r="E299" t="str">
        <f>IF(MSE成绩库!C299="","", MSE成绩库!E299)</f>
        <v/>
      </c>
      <c r="F299" t="str">
        <f>IF(MSE成绩库!C299="","", MSE成绩库!F299)</f>
        <v/>
      </c>
      <c r="G299" t="str">
        <f>IF(MSE成绩库!C299="","", MSE成绩库!G299)</f>
        <v/>
      </c>
      <c r="H299" t="str">
        <f>IF(MSE成绩库!C299="","", MSE成绩库!H299)</f>
        <v/>
      </c>
      <c r="I299" t="str">
        <f>IF(MSE成绩库!C299="","", MSE成绩库!I299)</f>
        <v/>
      </c>
      <c r="J299" t="str">
        <f>IF(MSE成绩库!C299="","", MSE成绩库!J299)</f>
        <v/>
      </c>
      <c r="K299" t="str">
        <f>IF(MSE成绩库!C299="","", MSE成绩库!K299)</f>
        <v/>
      </c>
      <c r="L299" t="str">
        <f>IF(MSE成绩库!C299="","", MSE成绩库!M299)</f>
        <v/>
      </c>
      <c r="M299" t="str">
        <f>IF(MSE成绩库!C299="","", MSE成绩库!N299)</f>
        <v/>
      </c>
      <c r="N299" t="str">
        <f>IF(MSE成绩库!C299="","", MSE成绩库!O299)</f>
        <v/>
      </c>
      <c r="O299" t="str">
        <f>IF(MSE成绩库!C299="","", MSE成绩库!Q299)</f>
        <v/>
      </c>
      <c r="P299" t="str">
        <f>IF(MSE成绩库!C299="","", MSE成绩库!R299)</f>
        <v/>
      </c>
      <c r="Q299" t="str">
        <f>IF(MSE成绩库!C299="","", MSE成绩库!S299)</f>
        <v/>
      </c>
      <c r="R299" t="str">
        <f>IF(MSE成绩库!C299="","", MSE成绩库!T299)</f>
        <v/>
      </c>
      <c r="S299" t="str">
        <f>IF(MSE成绩库!C299="","", MSE成绩库!U299)</f>
        <v/>
      </c>
      <c r="T299" t="str">
        <f>IF(MSE成绩库!C299="","", MSE成绩库!V299)</f>
        <v/>
      </c>
      <c r="U299" t="str">
        <f>IF(MSE成绩库!C299="","", MSE成绩库!X299)</f>
        <v/>
      </c>
      <c r="V299" t="str">
        <f>IF(MSE成绩库!C299="","", MSE成绩库!Y299)</f>
        <v/>
      </c>
      <c r="W299" t="str">
        <f>IF(MSE成绩库!C299="","", MSE成绩库!Z299)</f>
        <v/>
      </c>
      <c r="X299" t="str">
        <f>IF(MSE成绩库!C299="","", MSE成绩库!AA299)</f>
        <v/>
      </c>
      <c r="Y299" t="str">
        <f>IF(MSE成绩库!C299="","", MSE成绩库!AB299)</f>
        <v/>
      </c>
      <c r="Z299" t="str">
        <f>IF(MSE成绩库!C299="","", MSE成绩库!AC299)</f>
        <v/>
      </c>
    </row>
    <row r="300" spans="1:26" x14ac:dyDescent="0.2">
      <c r="A300" t="str">
        <f>IF(MSE成绩库!C300="","", MSE成绩库!C300)</f>
        <v/>
      </c>
      <c r="B300" t="str">
        <f>IF(MSE成绩库!AD300="","", MSE成绩库!AD300)</f>
        <v/>
      </c>
      <c r="C300" t="str">
        <f>IF(MSE成绩库!B300="","", MSE成绩库!B300)</f>
        <v/>
      </c>
      <c r="D300" t="str">
        <f>IF(MSE成绩库!D300="","", MSE成绩库!D300)</f>
        <v/>
      </c>
      <c r="E300" t="str">
        <f>IF(MSE成绩库!C300="","", MSE成绩库!E300)</f>
        <v/>
      </c>
      <c r="F300" t="str">
        <f>IF(MSE成绩库!C300="","", MSE成绩库!F300)</f>
        <v/>
      </c>
      <c r="G300" t="str">
        <f>IF(MSE成绩库!C300="","", MSE成绩库!G300)</f>
        <v/>
      </c>
      <c r="H300" t="str">
        <f>IF(MSE成绩库!C300="","", MSE成绩库!H300)</f>
        <v/>
      </c>
      <c r="I300" t="str">
        <f>IF(MSE成绩库!C300="","", MSE成绩库!I300)</f>
        <v/>
      </c>
      <c r="J300" t="str">
        <f>IF(MSE成绩库!C300="","", MSE成绩库!J300)</f>
        <v/>
      </c>
      <c r="K300" t="str">
        <f>IF(MSE成绩库!C300="","", MSE成绩库!K300)</f>
        <v/>
      </c>
      <c r="L300" t="str">
        <f>IF(MSE成绩库!C300="","", MSE成绩库!M300)</f>
        <v/>
      </c>
      <c r="M300" t="str">
        <f>IF(MSE成绩库!C300="","", MSE成绩库!N300)</f>
        <v/>
      </c>
      <c r="N300" t="str">
        <f>IF(MSE成绩库!C300="","", MSE成绩库!O300)</f>
        <v/>
      </c>
      <c r="O300" t="str">
        <f>IF(MSE成绩库!C300="","", MSE成绩库!Q300)</f>
        <v/>
      </c>
      <c r="P300" t="str">
        <f>IF(MSE成绩库!C300="","", MSE成绩库!R300)</f>
        <v/>
      </c>
      <c r="Q300" t="str">
        <f>IF(MSE成绩库!C300="","", MSE成绩库!S300)</f>
        <v/>
      </c>
      <c r="R300" t="str">
        <f>IF(MSE成绩库!C300="","", MSE成绩库!T300)</f>
        <v/>
      </c>
      <c r="S300" t="str">
        <f>IF(MSE成绩库!C300="","", MSE成绩库!U300)</f>
        <v/>
      </c>
      <c r="T300" t="str">
        <f>IF(MSE成绩库!C300="","", MSE成绩库!V300)</f>
        <v/>
      </c>
      <c r="U300" t="str">
        <f>IF(MSE成绩库!C300="","", MSE成绩库!X300)</f>
        <v/>
      </c>
      <c r="V300" t="str">
        <f>IF(MSE成绩库!C300="","", MSE成绩库!Y300)</f>
        <v/>
      </c>
      <c r="W300" t="str">
        <f>IF(MSE成绩库!C300="","", MSE成绩库!Z300)</f>
        <v/>
      </c>
      <c r="X300" t="str">
        <f>IF(MSE成绩库!C300="","", MSE成绩库!AA300)</f>
        <v/>
      </c>
      <c r="Y300" t="str">
        <f>IF(MSE成绩库!C300="","", MSE成绩库!AB300)</f>
        <v/>
      </c>
      <c r="Z300" t="str">
        <f>IF(MSE成绩库!C300="","", MSE成绩库!AC300)</f>
        <v/>
      </c>
    </row>
    <row r="301" spans="1:26" x14ac:dyDescent="0.2">
      <c r="A301" t="str">
        <f>IF(MSE成绩库!C301="","", MSE成绩库!C301)</f>
        <v/>
      </c>
      <c r="B301" t="str">
        <f>IF(MSE成绩库!AD301="","", MSE成绩库!AD301)</f>
        <v/>
      </c>
      <c r="C301" t="str">
        <f>IF(MSE成绩库!B301="","", MSE成绩库!B301)</f>
        <v/>
      </c>
      <c r="D301" t="str">
        <f>IF(MSE成绩库!D301="","", MSE成绩库!D301)</f>
        <v/>
      </c>
      <c r="E301" t="str">
        <f>IF(MSE成绩库!C301="","", MSE成绩库!E301)</f>
        <v/>
      </c>
      <c r="F301" t="str">
        <f>IF(MSE成绩库!C301="","", MSE成绩库!F301)</f>
        <v/>
      </c>
      <c r="G301" t="str">
        <f>IF(MSE成绩库!C301="","", MSE成绩库!G301)</f>
        <v/>
      </c>
      <c r="H301" t="str">
        <f>IF(MSE成绩库!C301="","", MSE成绩库!H301)</f>
        <v/>
      </c>
      <c r="I301" t="str">
        <f>IF(MSE成绩库!C301="","", MSE成绩库!I301)</f>
        <v/>
      </c>
      <c r="J301" t="str">
        <f>IF(MSE成绩库!C301="","", MSE成绩库!J301)</f>
        <v/>
      </c>
      <c r="K301" t="str">
        <f>IF(MSE成绩库!C301="","", MSE成绩库!K301)</f>
        <v/>
      </c>
      <c r="L301" t="str">
        <f>IF(MSE成绩库!C301="","", MSE成绩库!M301)</f>
        <v/>
      </c>
      <c r="M301" t="str">
        <f>IF(MSE成绩库!C301="","", MSE成绩库!N301)</f>
        <v/>
      </c>
      <c r="N301" t="str">
        <f>IF(MSE成绩库!C301="","", MSE成绩库!O301)</f>
        <v/>
      </c>
      <c r="O301" t="str">
        <f>IF(MSE成绩库!C301="","", MSE成绩库!Q301)</f>
        <v/>
      </c>
      <c r="P301" t="str">
        <f>IF(MSE成绩库!C301="","", MSE成绩库!R301)</f>
        <v/>
      </c>
      <c r="Q301" t="str">
        <f>IF(MSE成绩库!C301="","", MSE成绩库!S301)</f>
        <v/>
      </c>
      <c r="R301" t="str">
        <f>IF(MSE成绩库!C301="","", MSE成绩库!T301)</f>
        <v/>
      </c>
      <c r="S301" t="str">
        <f>IF(MSE成绩库!C301="","", MSE成绩库!U301)</f>
        <v/>
      </c>
      <c r="T301" t="str">
        <f>IF(MSE成绩库!C301="","", MSE成绩库!V301)</f>
        <v/>
      </c>
      <c r="U301" t="str">
        <f>IF(MSE成绩库!C301="","", MSE成绩库!X301)</f>
        <v/>
      </c>
      <c r="V301" t="str">
        <f>IF(MSE成绩库!C301="","", MSE成绩库!Y301)</f>
        <v/>
      </c>
      <c r="W301" t="str">
        <f>IF(MSE成绩库!C301="","", MSE成绩库!Z301)</f>
        <v/>
      </c>
      <c r="X301" t="str">
        <f>IF(MSE成绩库!C301="","", MSE成绩库!AA301)</f>
        <v/>
      </c>
      <c r="Y301" t="str">
        <f>IF(MSE成绩库!C301="","", MSE成绩库!AB301)</f>
        <v/>
      </c>
      <c r="Z301" t="str">
        <f>IF(MSE成绩库!C301="","", MSE成绩库!AC301)</f>
        <v/>
      </c>
    </row>
    <row r="302" spans="1:26" x14ac:dyDescent="0.2">
      <c r="A302" t="str">
        <f>IF(MSE成绩库!C302="","", MSE成绩库!C302)</f>
        <v/>
      </c>
      <c r="B302" t="str">
        <f>IF(MSE成绩库!AD302="","", MSE成绩库!AD302)</f>
        <v/>
      </c>
      <c r="C302" t="str">
        <f>IF(MSE成绩库!B302="","", MSE成绩库!B302)</f>
        <v/>
      </c>
      <c r="D302" t="str">
        <f>IF(MSE成绩库!D302="","", MSE成绩库!D302)</f>
        <v/>
      </c>
      <c r="E302" t="str">
        <f>IF(MSE成绩库!C302="","", MSE成绩库!E302)</f>
        <v/>
      </c>
      <c r="F302" t="str">
        <f>IF(MSE成绩库!C302="","", MSE成绩库!F302)</f>
        <v/>
      </c>
      <c r="G302" t="str">
        <f>IF(MSE成绩库!C302="","", MSE成绩库!G302)</f>
        <v/>
      </c>
      <c r="H302" t="str">
        <f>IF(MSE成绩库!C302="","", MSE成绩库!H302)</f>
        <v/>
      </c>
      <c r="I302" t="str">
        <f>IF(MSE成绩库!C302="","", MSE成绩库!I302)</f>
        <v/>
      </c>
      <c r="J302" t="str">
        <f>IF(MSE成绩库!C302="","", MSE成绩库!J302)</f>
        <v/>
      </c>
      <c r="K302" t="str">
        <f>IF(MSE成绩库!C302="","", MSE成绩库!K302)</f>
        <v/>
      </c>
      <c r="L302" t="str">
        <f>IF(MSE成绩库!C302="","", MSE成绩库!M302)</f>
        <v/>
      </c>
      <c r="M302" t="str">
        <f>IF(MSE成绩库!C302="","", MSE成绩库!N302)</f>
        <v/>
      </c>
      <c r="N302" t="str">
        <f>IF(MSE成绩库!C302="","", MSE成绩库!O302)</f>
        <v/>
      </c>
      <c r="O302" t="str">
        <f>IF(MSE成绩库!C302="","", MSE成绩库!Q302)</f>
        <v/>
      </c>
      <c r="P302" t="str">
        <f>IF(MSE成绩库!C302="","", MSE成绩库!R302)</f>
        <v/>
      </c>
      <c r="Q302" t="str">
        <f>IF(MSE成绩库!C302="","", MSE成绩库!S302)</f>
        <v/>
      </c>
      <c r="R302" t="str">
        <f>IF(MSE成绩库!C302="","", MSE成绩库!T302)</f>
        <v/>
      </c>
      <c r="S302" t="str">
        <f>IF(MSE成绩库!C302="","", MSE成绩库!U302)</f>
        <v/>
      </c>
      <c r="T302" t="str">
        <f>IF(MSE成绩库!C302="","", MSE成绩库!V302)</f>
        <v/>
      </c>
      <c r="U302" t="str">
        <f>IF(MSE成绩库!C302="","", MSE成绩库!X302)</f>
        <v/>
      </c>
      <c r="V302" t="str">
        <f>IF(MSE成绩库!C302="","", MSE成绩库!Y302)</f>
        <v/>
      </c>
      <c r="W302" t="str">
        <f>IF(MSE成绩库!C302="","", MSE成绩库!Z302)</f>
        <v/>
      </c>
      <c r="X302" t="str">
        <f>IF(MSE成绩库!C302="","", MSE成绩库!AA302)</f>
        <v/>
      </c>
      <c r="Y302" t="str">
        <f>IF(MSE成绩库!C302="","", MSE成绩库!AB302)</f>
        <v/>
      </c>
      <c r="Z302" t="str">
        <f>IF(MSE成绩库!C302="","", MSE成绩库!AC302)</f>
        <v/>
      </c>
    </row>
    <row r="303" spans="1:26" x14ac:dyDescent="0.2">
      <c r="A303" t="str">
        <f>IF(MSE成绩库!C303="","", MSE成绩库!C303)</f>
        <v/>
      </c>
      <c r="B303" t="str">
        <f>IF(MSE成绩库!AD303="","", MSE成绩库!AD303)</f>
        <v/>
      </c>
      <c r="C303" t="str">
        <f>IF(MSE成绩库!B303="","", MSE成绩库!B303)</f>
        <v/>
      </c>
      <c r="D303" t="str">
        <f>IF(MSE成绩库!D303="","", MSE成绩库!D303)</f>
        <v/>
      </c>
      <c r="E303" t="str">
        <f>IF(MSE成绩库!C303="","", MSE成绩库!E303)</f>
        <v/>
      </c>
      <c r="F303" t="str">
        <f>IF(MSE成绩库!C303="","", MSE成绩库!F303)</f>
        <v/>
      </c>
      <c r="G303" t="str">
        <f>IF(MSE成绩库!C303="","", MSE成绩库!G303)</f>
        <v/>
      </c>
      <c r="H303" t="str">
        <f>IF(MSE成绩库!C303="","", MSE成绩库!H303)</f>
        <v/>
      </c>
      <c r="I303" t="str">
        <f>IF(MSE成绩库!C303="","", MSE成绩库!I303)</f>
        <v/>
      </c>
      <c r="J303" t="str">
        <f>IF(MSE成绩库!C303="","", MSE成绩库!J303)</f>
        <v/>
      </c>
      <c r="K303" t="str">
        <f>IF(MSE成绩库!C303="","", MSE成绩库!K303)</f>
        <v/>
      </c>
      <c r="L303" t="str">
        <f>IF(MSE成绩库!C303="","", MSE成绩库!M303)</f>
        <v/>
      </c>
      <c r="M303" t="str">
        <f>IF(MSE成绩库!C303="","", MSE成绩库!N303)</f>
        <v/>
      </c>
      <c r="N303" t="str">
        <f>IF(MSE成绩库!C303="","", MSE成绩库!O303)</f>
        <v/>
      </c>
      <c r="O303" t="str">
        <f>IF(MSE成绩库!C303="","", MSE成绩库!Q303)</f>
        <v/>
      </c>
      <c r="P303" t="str">
        <f>IF(MSE成绩库!C303="","", MSE成绩库!R303)</f>
        <v/>
      </c>
      <c r="Q303" t="str">
        <f>IF(MSE成绩库!C303="","", MSE成绩库!S303)</f>
        <v/>
      </c>
      <c r="R303" t="str">
        <f>IF(MSE成绩库!C303="","", MSE成绩库!T303)</f>
        <v/>
      </c>
      <c r="S303" t="str">
        <f>IF(MSE成绩库!C303="","", MSE成绩库!U303)</f>
        <v/>
      </c>
      <c r="T303" t="str">
        <f>IF(MSE成绩库!C303="","", MSE成绩库!V303)</f>
        <v/>
      </c>
      <c r="U303" t="str">
        <f>IF(MSE成绩库!C303="","", MSE成绩库!X303)</f>
        <v/>
      </c>
      <c r="V303" t="str">
        <f>IF(MSE成绩库!C303="","", MSE成绩库!Y303)</f>
        <v/>
      </c>
      <c r="W303" t="str">
        <f>IF(MSE成绩库!C303="","", MSE成绩库!Z303)</f>
        <v/>
      </c>
      <c r="X303" t="str">
        <f>IF(MSE成绩库!C303="","", MSE成绩库!AA303)</f>
        <v/>
      </c>
      <c r="Y303" t="str">
        <f>IF(MSE成绩库!C303="","", MSE成绩库!AB303)</f>
        <v/>
      </c>
      <c r="Z303" t="str">
        <f>IF(MSE成绩库!C303="","", MSE成绩库!AC303)</f>
        <v/>
      </c>
    </row>
    <row r="304" spans="1:26" x14ac:dyDescent="0.2">
      <c r="A304" t="str">
        <f>IF(MSE成绩库!C304="","", MSE成绩库!C304)</f>
        <v/>
      </c>
      <c r="B304" t="str">
        <f>IF(MSE成绩库!AD304="","", MSE成绩库!AD304)</f>
        <v/>
      </c>
      <c r="C304" t="str">
        <f>IF(MSE成绩库!B304="","", MSE成绩库!B304)</f>
        <v/>
      </c>
      <c r="D304" t="str">
        <f>IF(MSE成绩库!D304="","", MSE成绩库!D304)</f>
        <v/>
      </c>
      <c r="E304" t="str">
        <f>IF(MSE成绩库!C304="","", MSE成绩库!E304)</f>
        <v/>
      </c>
      <c r="F304" t="str">
        <f>IF(MSE成绩库!C304="","", MSE成绩库!F304)</f>
        <v/>
      </c>
      <c r="G304" t="str">
        <f>IF(MSE成绩库!C304="","", MSE成绩库!G304)</f>
        <v/>
      </c>
      <c r="H304" t="str">
        <f>IF(MSE成绩库!C304="","", MSE成绩库!H304)</f>
        <v/>
      </c>
      <c r="I304" t="str">
        <f>IF(MSE成绩库!C304="","", MSE成绩库!I304)</f>
        <v/>
      </c>
      <c r="J304" t="str">
        <f>IF(MSE成绩库!C304="","", MSE成绩库!J304)</f>
        <v/>
      </c>
      <c r="K304" t="str">
        <f>IF(MSE成绩库!C304="","", MSE成绩库!K304)</f>
        <v/>
      </c>
      <c r="L304" t="str">
        <f>IF(MSE成绩库!C304="","", MSE成绩库!M304)</f>
        <v/>
      </c>
      <c r="M304" t="str">
        <f>IF(MSE成绩库!C304="","", MSE成绩库!N304)</f>
        <v/>
      </c>
      <c r="N304" t="str">
        <f>IF(MSE成绩库!C304="","", MSE成绩库!O304)</f>
        <v/>
      </c>
      <c r="O304" t="str">
        <f>IF(MSE成绩库!C304="","", MSE成绩库!Q304)</f>
        <v/>
      </c>
      <c r="P304" t="str">
        <f>IF(MSE成绩库!C304="","", MSE成绩库!R304)</f>
        <v/>
      </c>
      <c r="Q304" t="str">
        <f>IF(MSE成绩库!C304="","", MSE成绩库!S304)</f>
        <v/>
      </c>
      <c r="R304" t="str">
        <f>IF(MSE成绩库!C304="","", MSE成绩库!T304)</f>
        <v/>
      </c>
      <c r="S304" t="str">
        <f>IF(MSE成绩库!C304="","", MSE成绩库!U304)</f>
        <v/>
      </c>
      <c r="T304" t="str">
        <f>IF(MSE成绩库!C304="","", MSE成绩库!V304)</f>
        <v/>
      </c>
      <c r="U304" t="str">
        <f>IF(MSE成绩库!C304="","", MSE成绩库!X304)</f>
        <v/>
      </c>
      <c r="V304" t="str">
        <f>IF(MSE成绩库!C304="","", MSE成绩库!Y304)</f>
        <v/>
      </c>
      <c r="W304" t="str">
        <f>IF(MSE成绩库!C304="","", MSE成绩库!Z304)</f>
        <v/>
      </c>
      <c r="X304" t="str">
        <f>IF(MSE成绩库!C304="","", MSE成绩库!AA304)</f>
        <v/>
      </c>
      <c r="Y304" t="str">
        <f>IF(MSE成绩库!C304="","", MSE成绩库!AB304)</f>
        <v/>
      </c>
      <c r="Z304" t="str">
        <f>IF(MSE成绩库!C304="","", MSE成绩库!AC304)</f>
        <v/>
      </c>
    </row>
    <row r="305" spans="1:26" x14ac:dyDescent="0.2">
      <c r="A305" t="str">
        <f>IF(MSE成绩库!C305="","", MSE成绩库!C305)</f>
        <v/>
      </c>
      <c r="B305" t="str">
        <f>IF(MSE成绩库!AD305="","", MSE成绩库!AD305)</f>
        <v/>
      </c>
      <c r="C305" t="str">
        <f>IF(MSE成绩库!B305="","", MSE成绩库!B305)</f>
        <v/>
      </c>
      <c r="D305" t="str">
        <f>IF(MSE成绩库!D305="","", MSE成绩库!D305)</f>
        <v/>
      </c>
      <c r="E305" t="str">
        <f>IF(MSE成绩库!C305="","", MSE成绩库!E305)</f>
        <v/>
      </c>
      <c r="F305" t="str">
        <f>IF(MSE成绩库!C305="","", MSE成绩库!F305)</f>
        <v/>
      </c>
      <c r="G305" t="str">
        <f>IF(MSE成绩库!C305="","", MSE成绩库!G305)</f>
        <v/>
      </c>
      <c r="H305" t="str">
        <f>IF(MSE成绩库!C305="","", MSE成绩库!H305)</f>
        <v/>
      </c>
      <c r="I305" t="str">
        <f>IF(MSE成绩库!C305="","", MSE成绩库!I305)</f>
        <v/>
      </c>
      <c r="J305" t="str">
        <f>IF(MSE成绩库!C305="","", MSE成绩库!J305)</f>
        <v/>
      </c>
      <c r="K305" t="str">
        <f>IF(MSE成绩库!C305="","", MSE成绩库!K305)</f>
        <v/>
      </c>
      <c r="L305" t="str">
        <f>IF(MSE成绩库!C305="","", MSE成绩库!M305)</f>
        <v/>
      </c>
      <c r="M305" t="str">
        <f>IF(MSE成绩库!C305="","", MSE成绩库!N305)</f>
        <v/>
      </c>
      <c r="N305" t="str">
        <f>IF(MSE成绩库!C305="","", MSE成绩库!O305)</f>
        <v/>
      </c>
      <c r="O305" t="str">
        <f>IF(MSE成绩库!C305="","", MSE成绩库!Q305)</f>
        <v/>
      </c>
      <c r="P305" t="str">
        <f>IF(MSE成绩库!C305="","", MSE成绩库!R305)</f>
        <v/>
      </c>
      <c r="Q305" t="str">
        <f>IF(MSE成绩库!C305="","", MSE成绩库!S305)</f>
        <v/>
      </c>
      <c r="R305" t="str">
        <f>IF(MSE成绩库!C305="","", MSE成绩库!T305)</f>
        <v/>
      </c>
      <c r="S305" t="str">
        <f>IF(MSE成绩库!C305="","", MSE成绩库!U305)</f>
        <v/>
      </c>
      <c r="T305" t="str">
        <f>IF(MSE成绩库!C305="","", MSE成绩库!V305)</f>
        <v/>
      </c>
      <c r="U305" t="str">
        <f>IF(MSE成绩库!C305="","", MSE成绩库!X305)</f>
        <v/>
      </c>
      <c r="V305" t="str">
        <f>IF(MSE成绩库!C305="","", MSE成绩库!Y305)</f>
        <v/>
      </c>
      <c r="W305" t="str">
        <f>IF(MSE成绩库!C305="","", MSE成绩库!Z305)</f>
        <v/>
      </c>
      <c r="X305" t="str">
        <f>IF(MSE成绩库!C305="","", MSE成绩库!AA305)</f>
        <v/>
      </c>
      <c r="Y305" t="str">
        <f>IF(MSE成绩库!C305="","", MSE成绩库!AB305)</f>
        <v/>
      </c>
      <c r="Z305" t="str">
        <f>IF(MSE成绩库!C305="","", MSE成绩库!AC305)</f>
        <v/>
      </c>
    </row>
    <row r="306" spans="1:26" x14ac:dyDescent="0.2">
      <c r="A306" t="str">
        <f>IF(MSE成绩库!C306="","", MSE成绩库!C306)</f>
        <v/>
      </c>
      <c r="B306" t="str">
        <f>IF(MSE成绩库!AD306="","", MSE成绩库!AD306)</f>
        <v/>
      </c>
      <c r="C306" t="str">
        <f>IF(MSE成绩库!B306="","", MSE成绩库!B306)</f>
        <v/>
      </c>
      <c r="D306" t="str">
        <f>IF(MSE成绩库!D306="","", MSE成绩库!D306)</f>
        <v/>
      </c>
      <c r="E306" t="str">
        <f>IF(MSE成绩库!C306="","", MSE成绩库!E306)</f>
        <v/>
      </c>
      <c r="F306" t="str">
        <f>IF(MSE成绩库!C306="","", MSE成绩库!F306)</f>
        <v/>
      </c>
      <c r="G306" t="str">
        <f>IF(MSE成绩库!C306="","", MSE成绩库!G306)</f>
        <v/>
      </c>
      <c r="H306" t="str">
        <f>IF(MSE成绩库!C306="","", MSE成绩库!H306)</f>
        <v/>
      </c>
      <c r="I306" t="str">
        <f>IF(MSE成绩库!C306="","", MSE成绩库!I306)</f>
        <v/>
      </c>
      <c r="J306" t="str">
        <f>IF(MSE成绩库!C306="","", MSE成绩库!J306)</f>
        <v/>
      </c>
      <c r="K306" t="str">
        <f>IF(MSE成绩库!C306="","", MSE成绩库!K306)</f>
        <v/>
      </c>
      <c r="L306" t="str">
        <f>IF(MSE成绩库!C306="","", MSE成绩库!M306)</f>
        <v/>
      </c>
      <c r="M306" t="str">
        <f>IF(MSE成绩库!C306="","", MSE成绩库!N306)</f>
        <v/>
      </c>
      <c r="N306" t="str">
        <f>IF(MSE成绩库!C306="","", MSE成绩库!O306)</f>
        <v/>
      </c>
      <c r="O306" t="str">
        <f>IF(MSE成绩库!C306="","", MSE成绩库!Q306)</f>
        <v/>
      </c>
      <c r="P306" t="str">
        <f>IF(MSE成绩库!C306="","", MSE成绩库!R306)</f>
        <v/>
      </c>
      <c r="Q306" t="str">
        <f>IF(MSE成绩库!C306="","", MSE成绩库!S306)</f>
        <v/>
      </c>
      <c r="R306" t="str">
        <f>IF(MSE成绩库!C306="","", MSE成绩库!T306)</f>
        <v/>
      </c>
      <c r="S306" t="str">
        <f>IF(MSE成绩库!C306="","", MSE成绩库!U306)</f>
        <v/>
      </c>
      <c r="T306" t="str">
        <f>IF(MSE成绩库!C306="","", MSE成绩库!V306)</f>
        <v/>
      </c>
      <c r="U306" t="str">
        <f>IF(MSE成绩库!C306="","", MSE成绩库!X306)</f>
        <v/>
      </c>
      <c r="V306" t="str">
        <f>IF(MSE成绩库!C306="","", MSE成绩库!Y306)</f>
        <v/>
      </c>
      <c r="W306" t="str">
        <f>IF(MSE成绩库!C306="","", MSE成绩库!Z306)</f>
        <v/>
      </c>
      <c r="X306" t="str">
        <f>IF(MSE成绩库!C306="","", MSE成绩库!AA306)</f>
        <v/>
      </c>
      <c r="Y306" t="str">
        <f>IF(MSE成绩库!C306="","", MSE成绩库!AB306)</f>
        <v/>
      </c>
      <c r="Z306" t="str">
        <f>IF(MSE成绩库!C306="","", MSE成绩库!AC306)</f>
        <v/>
      </c>
    </row>
    <row r="307" spans="1:26" x14ac:dyDescent="0.2">
      <c r="A307" t="str">
        <f>IF(MSE成绩库!C307="","", MSE成绩库!C307)</f>
        <v/>
      </c>
      <c r="B307" t="str">
        <f>IF(MSE成绩库!AD307="","", MSE成绩库!AD307)</f>
        <v/>
      </c>
      <c r="C307" t="str">
        <f>IF(MSE成绩库!B307="","", MSE成绩库!B307)</f>
        <v/>
      </c>
      <c r="D307" t="str">
        <f>IF(MSE成绩库!D307="","", MSE成绩库!D307)</f>
        <v/>
      </c>
      <c r="E307" t="str">
        <f>IF(MSE成绩库!C307="","", MSE成绩库!E307)</f>
        <v/>
      </c>
      <c r="F307" t="str">
        <f>IF(MSE成绩库!C307="","", MSE成绩库!F307)</f>
        <v/>
      </c>
      <c r="G307" t="str">
        <f>IF(MSE成绩库!C307="","", MSE成绩库!G307)</f>
        <v/>
      </c>
      <c r="H307" t="str">
        <f>IF(MSE成绩库!C307="","", MSE成绩库!H307)</f>
        <v/>
      </c>
      <c r="I307" t="str">
        <f>IF(MSE成绩库!C307="","", MSE成绩库!I307)</f>
        <v/>
      </c>
      <c r="J307" t="str">
        <f>IF(MSE成绩库!C307="","", MSE成绩库!J307)</f>
        <v/>
      </c>
      <c r="K307" t="str">
        <f>IF(MSE成绩库!C307="","", MSE成绩库!K307)</f>
        <v/>
      </c>
      <c r="L307" t="str">
        <f>IF(MSE成绩库!C307="","", MSE成绩库!M307)</f>
        <v/>
      </c>
      <c r="M307" t="str">
        <f>IF(MSE成绩库!C307="","", MSE成绩库!N307)</f>
        <v/>
      </c>
      <c r="N307" t="str">
        <f>IF(MSE成绩库!C307="","", MSE成绩库!O307)</f>
        <v/>
      </c>
      <c r="O307" t="str">
        <f>IF(MSE成绩库!C307="","", MSE成绩库!Q307)</f>
        <v/>
      </c>
      <c r="P307" t="str">
        <f>IF(MSE成绩库!C307="","", MSE成绩库!R307)</f>
        <v/>
      </c>
      <c r="Q307" t="str">
        <f>IF(MSE成绩库!C307="","", MSE成绩库!S307)</f>
        <v/>
      </c>
      <c r="R307" t="str">
        <f>IF(MSE成绩库!C307="","", MSE成绩库!T307)</f>
        <v/>
      </c>
      <c r="S307" t="str">
        <f>IF(MSE成绩库!C307="","", MSE成绩库!U307)</f>
        <v/>
      </c>
      <c r="T307" t="str">
        <f>IF(MSE成绩库!C307="","", MSE成绩库!V307)</f>
        <v/>
      </c>
      <c r="U307" t="str">
        <f>IF(MSE成绩库!C307="","", MSE成绩库!X307)</f>
        <v/>
      </c>
      <c r="V307" t="str">
        <f>IF(MSE成绩库!C307="","", MSE成绩库!Y307)</f>
        <v/>
      </c>
      <c r="W307" t="str">
        <f>IF(MSE成绩库!C307="","", MSE成绩库!Z307)</f>
        <v/>
      </c>
      <c r="X307" t="str">
        <f>IF(MSE成绩库!C307="","", MSE成绩库!AA307)</f>
        <v/>
      </c>
      <c r="Y307" t="str">
        <f>IF(MSE成绩库!C307="","", MSE成绩库!AB307)</f>
        <v/>
      </c>
      <c r="Z307" t="str">
        <f>IF(MSE成绩库!C307="","", MSE成绩库!AC307)</f>
        <v/>
      </c>
    </row>
    <row r="308" spans="1:26" x14ac:dyDescent="0.2">
      <c r="A308" t="str">
        <f>IF(MSE成绩库!C308="","", MSE成绩库!C308)</f>
        <v/>
      </c>
      <c r="B308" t="str">
        <f>IF(MSE成绩库!AD308="","", MSE成绩库!AD308)</f>
        <v/>
      </c>
      <c r="C308" t="str">
        <f>IF(MSE成绩库!B308="","", MSE成绩库!B308)</f>
        <v/>
      </c>
      <c r="D308" t="str">
        <f>IF(MSE成绩库!D308="","", MSE成绩库!D308)</f>
        <v/>
      </c>
      <c r="E308" t="str">
        <f>IF(MSE成绩库!C308="","", MSE成绩库!E308)</f>
        <v/>
      </c>
      <c r="F308" t="str">
        <f>IF(MSE成绩库!C308="","", MSE成绩库!F308)</f>
        <v/>
      </c>
      <c r="G308" t="str">
        <f>IF(MSE成绩库!C308="","", MSE成绩库!G308)</f>
        <v/>
      </c>
      <c r="H308" t="str">
        <f>IF(MSE成绩库!C308="","", MSE成绩库!H308)</f>
        <v/>
      </c>
      <c r="I308" t="str">
        <f>IF(MSE成绩库!C308="","", MSE成绩库!I308)</f>
        <v/>
      </c>
      <c r="J308" t="str">
        <f>IF(MSE成绩库!C308="","", MSE成绩库!J308)</f>
        <v/>
      </c>
      <c r="K308" t="str">
        <f>IF(MSE成绩库!C308="","", MSE成绩库!K308)</f>
        <v/>
      </c>
      <c r="L308" t="str">
        <f>IF(MSE成绩库!C308="","", MSE成绩库!M308)</f>
        <v/>
      </c>
      <c r="M308" t="str">
        <f>IF(MSE成绩库!C308="","", MSE成绩库!N308)</f>
        <v/>
      </c>
      <c r="N308" t="str">
        <f>IF(MSE成绩库!C308="","", MSE成绩库!O308)</f>
        <v/>
      </c>
      <c r="O308" t="str">
        <f>IF(MSE成绩库!C308="","", MSE成绩库!Q308)</f>
        <v/>
      </c>
      <c r="P308" t="str">
        <f>IF(MSE成绩库!C308="","", MSE成绩库!R308)</f>
        <v/>
      </c>
      <c r="Q308" t="str">
        <f>IF(MSE成绩库!C308="","", MSE成绩库!S308)</f>
        <v/>
      </c>
      <c r="R308" t="str">
        <f>IF(MSE成绩库!C308="","", MSE成绩库!T308)</f>
        <v/>
      </c>
      <c r="S308" t="str">
        <f>IF(MSE成绩库!C308="","", MSE成绩库!U308)</f>
        <v/>
      </c>
      <c r="T308" t="str">
        <f>IF(MSE成绩库!C308="","", MSE成绩库!V308)</f>
        <v/>
      </c>
      <c r="U308" t="str">
        <f>IF(MSE成绩库!C308="","", MSE成绩库!X308)</f>
        <v/>
      </c>
      <c r="V308" t="str">
        <f>IF(MSE成绩库!C308="","", MSE成绩库!Y308)</f>
        <v/>
      </c>
      <c r="W308" t="str">
        <f>IF(MSE成绩库!C308="","", MSE成绩库!Z308)</f>
        <v/>
      </c>
      <c r="X308" t="str">
        <f>IF(MSE成绩库!C308="","", MSE成绩库!AA308)</f>
        <v/>
      </c>
      <c r="Y308" t="str">
        <f>IF(MSE成绩库!C308="","", MSE成绩库!AB308)</f>
        <v/>
      </c>
      <c r="Z308" t="str">
        <f>IF(MSE成绩库!C308="","", MSE成绩库!AC308)</f>
        <v/>
      </c>
    </row>
    <row r="309" spans="1:26" x14ac:dyDescent="0.2">
      <c r="A309" t="str">
        <f>IF(MSE成绩库!C309="","", MSE成绩库!C309)</f>
        <v/>
      </c>
      <c r="B309" t="str">
        <f>IF(MSE成绩库!AD309="","", MSE成绩库!AD309)</f>
        <v/>
      </c>
      <c r="C309" t="str">
        <f>IF(MSE成绩库!B309="","", MSE成绩库!B309)</f>
        <v/>
      </c>
      <c r="D309" t="str">
        <f>IF(MSE成绩库!D309="","", MSE成绩库!D309)</f>
        <v/>
      </c>
      <c r="E309" t="str">
        <f>IF(MSE成绩库!C309="","", MSE成绩库!E309)</f>
        <v/>
      </c>
      <c r="F309" t="str">
        <f>IF(MSE成绩库!C309="","", MSE成绩库!F309)</f>
        <v/>
      </c>
      <c r="G309" t="str">
        <f>IF(MSE成绩库!C309="","", MSE成绩库!G309)</f>
        <v/>
      </c>
      <c r="H309" t="str">
        <f>IF(MSE成绩库!C309="","", MSE成绩库!H309)</f>
        <v/>
      </c>
      <c r="I309" t="str">
        <f>IF(MSE成绩库!C309="","", MSE成绩库!I309)</f>
        <v/>
      </c>
      <c r="J309" t="str">
        <f>IF(MSE成绩库!C309="","", MSE成绩库!J309)</f>
        <v/>
      </c>
      <c r="K309" t="str">
        <f>IF(MSE成绩库!C309="","", MSE成绩库!K309)</f>
        <v/>
      </c>
      <c r="L309" t="str">
        <f>IF(MSE成绩库!C309="","", MSE成绩库!M309)</f>
        <v/>
      </c>
      <c r="M309" t="str">
        <f>IF(MSE成绩库!C309="","", MSE成绩库!N309)</f>
        <v/>
      </c>
      <c r="N309" t="str">
        <f>IF(MSE成绩库!C309="","", MSE成绩库!O309)</f>
        <v/>
      </c>
      <c r="O309" t="str">
        <f>IF(MSE成绩库!C309="","", MSE成绩库!Q309)</f>
        <v/>
      </c>
      <c r="P309" t="str">
        <f>IF(MSE成绩库!C309="","", MSE成绩库!R309)</f>
        <v/>
      </c>
      <c r="Q309" t="str">
        <f>IF(MSE成绩库!C309="","", MSE成绩库!S309)</f>
        <v/>
      </c>
      <c r="R309" t="str">
        <f>IF(MSE成绩库!C309="","", MSE成绩库!T309)</f>
        <v/>
      </c>
      <c r="S309" t="str">
        <f>IF(MSE成绩库!C309="","", MSE成绩库!U309)</f>
        <v/>
      </c>
      <c r="T309" t="str">
        <f>IF(MSE成绩库!C309="","", MSE成绩库!V309)</f>
        <v/>
      </c>
      <c r="U309" t="str">
        <f>IF(MSE成绩库!C309="","", MSE成绩库!X309)</f>
        <v/>
      </c>
      <c r="V309" t="str">
        <f>IF(MSE成绩库!C309="","", MSE成绩库!Y309)</f>
        <v/>
      </c>
      <c r="W309" t="str">
        <f>IF(MSE成绩库!C309="","", MSE成绩库!Z309)</f>
        <v/>
      </c>
      <c r="X309" t="str">
        <f>IF(MSE成绩库!C309="","", MSE成绩库!AA309)</f>
        <v/>
      </c>
      <c r="Y309" t="str">
        <f>IF(MSE成绩库!C309="","", MSE成绩库!AB309)</f>
        <v/>
      </c>
      <c r="Z309" t="str">
        <f>IF(MSE成绩库!C309="","", MSE成绩库!AC309)</f>
        <v/>
      </c>
    </row>
    <row r="310" spans="1:26" x14ac:dyDescent="0.2">
      <c r="A310" t="str">
        <f>IF(MSE成绩库!C310="","", MSE成绩库!C310)</f>
        <v/>
      </c>
      <c r="B310" t="str">
        <f>IF(MSE成绩库!AD310="","", MSE成绩库!AD310)</f>
        <v/>
      </c>
      <c r="C310" t="str">
        <f>IF(MSE成绩库!B310="","", MSE成绩库!B310)</f>
        <v/>
      </c>
      <c r="D310" t="str">
        <f>IF(MSE成绩库!D310="","", MSE成绩库!D310)</f>
        <v/>
      </c>
      <c r="E310" t="str">
        <f>IF(MSE成绩库!C310="","", MSE成绩库!E310)</f>
        <v/>
      </c>
      <c r="F310" t="str">
        <f>IF(MSE成绩库!C310="","", MSE成绩库!F310)</f>
        <v/>
      </c>
      <c r="G310" t="str">
        <f>IF(MSE成绩库!C310="","", MSE成绩库!G310)</f>
        <v/>
      </c>
      <c r="H310" t="str">
        <f>IF(MSE成绩库!C310="","", MSE成绩库!H310)</f>
        <v/>
      </c>
      <c r="I310" t="str">
        <f>IF(MSE成绩库!C310="","", MSE成绩库!I310)</f>
        <v/>
      </c>
      <c r="J310" t="str">
        <f>IF(MSE成绩库!C310="","", MSE成绩库!J310)</f>
        <v/>
      </c>
      <c r="K310" t="str">
        <f>IF(MSE成绩库!C310="","", MSE成绩库!K310)</f>
        <v/>
      </c>
      <c r="L310" t="str">
        <f>IF(MSE成绩库!C310="","", MSE成绩库!M310)</f>
        <v/>
      </c>
      <c r="M310" t="str">
        <f>IF(MSE成绩库!C310="","", MSE成绩库!N310)</f>
        <v/>
      </c>
      <c r="N310" t="str">
        <f>IF(MSE成绩库!C310="","", MSE成绩库!O310)</f>
        <v/>
      </c>
      <c r="O310" t="str">
        <f>IF(MSE成绩库!C310="","", MSE成绩库!Q310)</f>
        <v/>
      </c>
      <c r="P310" t="str">
        <f>IF(MSE成绩库!C310="","", MSE成绩库!R310)</f>
        <v/>
      </c>
      <c r="Q310" t="str">
        <f>IF(MSE成绩库!C310="","", MSE成绩库!S310)</f>
        <v/>
      </c>
      <c r="R310" t="str">
        <f>IF(MSE成绩库!C310="","", MSE成绩库!T310)</f>
        <v/>
      </c>
      <c r="S310" t="str">
        <f>IF(MSE成绩库!C310="","", MSE成绩库!U310)</f>
        <v/>
      </c>
      <c r="T310" t="str">
        <f>IF(MSE成绩库!C310="","", MSE成绩库!V310)</f>
        <v/>
      </c>
      <c r="U310" t="str">
        <f>IF(MSE成绩库!C310="","", MSE成绩库!X310)</f>
        <v/>
      </c>
      <c r="V310" t="str">
        <f>IF(MSE成绩库!C310="","", MSE成绩库!Y310)</f>
        <v/>
      </c>
      <c r="W310" t="str">
        <f>IF(MSE成绩库!C310="","", MSE成绩库!Z310)</f>
        <v/>
      </c>
      <c r="X310" t="str">
        <f>IF(MSE成绩库!C310="","", MSE成绩库!AA310)</f>
        <v/>
      </c>
      <c r="Y310" t="str">
        <f>IF(MSE成绩库!C310="","", MSE成绩库!AB310)</f>
        <v/>
      </c>
      <c r="Z310" t="str">
        <f>IF(MSE成绩库!C310="","", MSE成绩库!AC310)</f>
        <v/>
      </c>
    </row>
    <row r="311" spans="1:26" x14ac:dyDescent="0.2">
      <c r="A311" t="str">
        <f>IF(MSE成绩库!C311="","", MSE成绩库!C311)</f>
        <v/>
      </c>
      <c r="B311" t="str">
        <f>IF(MSE成绩库!AD311="","", MSE成绩库!AD311)</f>
        <v/>
      </c>
      <c r="C311" t="str">
        <f>IF(MSE成绩库!B311="","", MSE成绩库!B311)</f>
        <v/>
      </c>
      <c r="D311" t="str">
        <f>IF(MSE成绩库!D311="","", MSE成绩库!D311)</f>
        <v/>
      </c>
      <c r="E311" t="str">
        <f>IF(MSE成绩库!C311="","", MSE成绩库!E311)</f>
        <v/>
      </c>
      <c r="F311" t="str">
        <f>IF(MSE成绩库!C311="","", MSE成绩库!F311)</f>
        <v/>
      </c>
      <c r="G311" t="str">
        <f>IF(MSE成绩库!C311="","", MSE成绩库!G311)</f>
        <v/>
      </c>
      <c r="H311" t="str">
        <f>IF(MSE成绩库!C311="","", MSE成绩库!H311)</f>
        <v/>
      </c>
      <c r="I311" t="str">
        <f>IF(MSE成绩库!C311="","", MSE成绩库!I311)</f>
        <v/>
      </c>
      <c r="J311" t="str">
        <f>IF(MSE成绩库!C311="","", MSE成绩库!J311)</f>
        <v/>
      </c>
      <c r="K311" t="str">
        <f>IF(MSE成绩库!C311="","", MSE成绩库!K311)</f>
        <v/>
      </c>
      <c r="L311" t="str">
        <f>IF(MSE成绩库!C311="","", MSE成绩库!M311)</f>
        <v/>
      </c>
      <c r="M311" t="str">
        <f>IF(MSE成绩库!C311="","", MSE成绩库!N311)</f>
        <v/>
      </c>
      <c r="N311" t="str">
        <f>IF(MSE成绩库!C311="","", MSE成绩库!O311)</f>
        <v/>
      </c>
      <c r="O311" t="str">
        <f>IF(MSE成绩库!C311="","", MSE成绩库!Q311)</f>
        <v/>
      </c>
      <c r="P311" t="str">
        <f>IF(MSE成绩库!C311="","", MSE成绩库!R311)</f>
        <v/>
      </c>
      <c r="Q311" t="str">
        <f>IF(MSE成绩库!C311="","", MSE成绩库!S311)</f>
        <v/>
      </c>
      <c r="R311" t="str">
        <f>IF(MSE成绩库!C311="","", MSE成绩库!T311)</f>
        <v/>
      </c>
      <c r="S311" t="str">
        <f>IF(MSE成绩库!C311="","", MSE成绩库!U311)</f>
        <v/>
      </c>
      <c r="T311" t="str">
        <f>IF(MSE成绩库!C311="","", MSE成绩库!V311)</f>
        <v/>
      </c>
      <c r="U311" t="str">
        <f>IF(MSE成绩库!C311="","", MSE成绩库!X311)</f>
        <v/>
      </c>
      <c r="V311" t="str">
        <f>IF(MSE成绩库!C311="","", MSE成绩库!Y311)</f>
        <v/>
      </c>
      <c r="W311" t="str">
        <f>IF(MSE成绩库!C311="","", MSE成绩库!Z311)</f>
        <v/>
      </c>
      <c r="X311" t="str">
        <f>IF(MSE成绩库!C311="","", MSE成绩库!AA311)</f>
        <v/>
      </c>
      <c r="Y311" t="str">
        <f>IF(MSE成绩库!C311="","", MSE成绩库!AB311)</f>
        <v/>
      </c>
      <c r="Z311" t="str">
        <f>IF(MSE成绩库!C311="","", MSE成绩库!AC311)</f>
        <v/>
      </c>
    </row>
    <row r="312" spans="1:26" x14ac:dyDescent="0.2">
      <c r="A312" t="str">
        <f>IF(MSE成绩库!C312="","", MSE成绩库!C312)</f>
        <v/>
      </c>
      <c r="B312" t="str">
        <f>IF(MSE成绩库!AD312="","", MSE成绩库!AD312)</f>
        <v/>
      </c>
      <c r="C312" t="str">
        <f>IF(MSE成绩库!B312="","", MSE成绩库!B312)</f>
        <v/>
      </c>
      <c r="D312" t="str">
        <f>IF(MSE成绩库!D312="","", MSE成绩库!D312)</f>
        <v/>
      </c>
      <c r="E312" t="str">
        <f>IF(MSE成绩库!C312="","", MSE成绩库!E312)</f>
        <v/>
      </c>
      <c r="F312" t="str">
        <f>IF(MSE成绩库!C312="","", MSE成绩库!F312)</f>
        <v/>
      </c>
      <c r="G312" t="str">
        <f>IF(MSE成绩库!C312="","", MSE成绩库!G312)</f>
        <v/>
      </c>
      <c r="H312" t="str">
        <f>IF(MSE成绩库!C312="","", MSE成绩库!H312)</f>
        <v/>
      </c>
      <c r="I312" t="str">
        <f>IF(MSE成绩库!C312="","", MSE成绩库!I312)</f>
        <v/>
      </c>
      <c r="J312" t="str">
        <f>IF(MSE成绩库!C312="","", MSE成绩库!J312)</f>
        <v/>
      </c>
      <c r="K312" t="str">
        <f>IF(MSE成绩库!C312="","", MSE成绩库!K312)</f>
        <v/>
      </c>
      <c r="L312" t="str">
        <f>IF(MSE成绩库!C312="","", MSE成绩库!M312)</f>
        <v/>
      </c>
      <c r="M312" t="str">
        <f>IF(MSE成绩库!C312="","", MSE成绩库!N312)</f>
        <v/>
      </c>
      <c r="N312" t="str">
        <f>IF(MSE成绩库!C312="","", MSE成绩库!O312)</f>
        <v/>
      </c>
      <c r="O312" t="str">
        <f>IF(MSE成绩库!C312="","", MSE成绩库!Q312)</f>
        <v/>
      </c>
      <c r="P312" t="str">
        <f>IF(MSE成绩库!C312="","", MSE成绩库!R312)</f>
        <v/>
      </c>
      <c r="Q312" t="str">
        <f>IF(MSE成绩库!C312="","", MSE成绩库!S312)</f>
        <v/>
      </c>
      <c r="R312" t="str">
        <f>IF(MSE成绩库!C312="","", MSE成绩库!T312)</f>
        <v/>
      </c>
      <c r="S312" t="str">
        <f>IF(MSE成绩库!C312="","", MSE成绩库!U312)</f>
        <v/>
      </c>
      <c r="T312" t="str">
        <f>IF(MSE成绩库!C312="","", MSE成绩库!V312)</f>
        <v/>
      </c>
      <c r="U312" t="str">
        <f>IF(MSE成绩库!C312="","", MSE成绩库!X312)</f>
        <v/>
      </c>
      <c r="V312" t="str">
        <f>IF(MSE成绩库!C312="","", MSE成绩库!Y312)</f>
        <v/>
      </c>
      <c r="W312" t="str">
        <f>IF(MSE成绩库!C312="","", MSE成绩库!Z312)</f>
        <v/>
      </c>
      <c r="X312" t="str">
        <f>IF(MSE成绩库!C312="","", MSE成绩库!AA312)</f>
        <v/>
      </c>
      <c r="Y312" t="str">
        <f>IF(MSE成绩库!C312="","", MSE成绩库!AB312)</f>
        <v/>
      </c>
      <c r="Z312" t="str">
        <f>IF(MSE成绩库!C312="","", MSE成绩库!AC312)</f>
        <v/>
      </c>
    </row>
    <row r="313" spans="1:26" x14ac:dyDescent="0.2">
      <c r="A313" t="str">
        <f>IF(MSE成绩库!C313="","", MSE成绩库!C313)</f>
        <v/>
      </c>
      <c r="B313" t="str">
        <f>IF(MSE成绩库!AD313="","", MSE成绩库!AD313)</f>
        <v/>
      </c>
      <c r="C313" t="str">
        <f>IF(MSE成绩库!B313="","", MSE成绩库!B313)</f>
        <v/>
      </c>
      <c r="D313" t="str">
        <f>IF(MSE成绩库!D313="","", MSE成绩库!D313)</f>
        <v/>
      </c>
      <c r="E313" t="str">
        <f>IF(MSE成绩库!C313="","", MSE成绩库!E313)</f>
        <v/>
      </c>
      <c r="F313" t="str">
        <f>IF(MSE成绩库!C313="","", MSE成绩库!F313)</f>
        <v/>
      </c>
      <c r="G313" t="str">
        <f>IF(MSE成绩库!C313="","", MSE成绩库!G313)</f>
        <v/>
      </c>
      <c r="H313" t="str">
        <f>IF(MSE成绩库!C313="","", MSE成绩库!H313)</f>
        <v/>
      </c>
      <c r="I313" t="str">
        <f>IF(MSE成绩库!C313="","", MSE成绩库!I313)</f>
        <v/>
      </c>
      <c r="J313" t="str">
        <f>IF(MSE成绩库!C313="","", MSE成绩库!J313)</f>
        <v/>
      </c>
      <c r="K313" t="str">
        <f>IF(MSE成绩库!C313="","", MSE成绩库!K313)</f>
        <v/>
      </c>
      <c r="L313" t="str">
        <f>IF(MSE成绩库!C313="","", MSE成绩库!M313)</f>
        <v/>
      </c>
      <c r="M313" t="str">
        <f>IF(MSE成绩库!C313="","", MSE成绩库!N313)</f>
        <v/>
      </c>
      <c r="N313" t="str">
        <f>IF(MSE成绩库!C313="","", MSE成绩库!O313)</f>
        <v/>
      </c>
      <c r="O313" t="str">
        <f>IF(MSE成绩库!C313="","", MSE成绩库!Q313)</f>
        <v/>
      </c>
      <c r="P313" t="str">
        <f>IF(MSE成绩库!C313="","", MSE成绩库!R313)</f>
        <v/>
      </c>
      <c r="Q313" t="str">
        <f>IF(MSE成绩库!C313="","", MSE成绩库!S313)</f>
        <v/>
      </c>
      <c r="R313" t="str">
        <f>IF(MSE成绩库!C313="","", MSE成绩库!T313)</f>
        <v/>
      </c>
      <c r="S313" t="str">
        <f>IF(MSE成绩库!C313="","", MSE成绩库!U313)</f>
        <v/>
      </c>
      <c r="T313" t="str">
        <f>IF(MSE成绩库!C313="","", MSE成绩库!V313)</f>
        <v/>
      </c>
      <c r="U313" t="str">
        <f>IF(MSE成绩库!C313="","", MSE成绩库!X313)</f>
        <v/>
      </c>
      <c r="V313" t="str">
        <f>IF(MSE成绩库!C313="","", MSE成绩库!Y313)</f>
        <v/>
      </c>
      <c r="W313" t="str">
        <f>IF(MSE成绩库!C313="","", MSE成绩库!Z313)</f>
        <v/>
      </c>
      <c r="X313" t="str">
        <f>IF(MSE成绩库!C313="","", MSE成绩库!AA313)</f>
        <v/>
      </c>
      <c r="Y313" t="str">
        <f>IF(MSE成绩库!C313="","", MSE成绩库!AB313)</f>
        <v/>
      </c>
      <c r="Z313" t="str">
        <f>IF(MSE成绩库!C313="","", MSE成绩库!AC313)</f>
        <v/>
      </c>
    </row>
    <row r="314" spans="1:26" x14ac:dyDescent="0.2">
      <c r="A314" t="str">
        <f>IF(MSE成绩库!C314="","", MSE成绩库!C314)</f>
        <v/>
      </c>
      <c r="B314" t="str">
        <f>IF(MSE成绩库!AD314="","", MSE成绩库!AD314)</f>
        <v/>
      </c>
      <c r="C314" t="str">
        <f>IF(MSE成绩库!B314="","", MSE成绩库!B314)</f>
        <v/>
      </c>
      <c r="D314" t="str">
        <f>IF(MSE成绩库!D314="","", MSE成绩库!D314)</f>
        <v/>
      </c>
      <c r="E314" t="str">
        <f>IF(MSE成绩库!C314="","", MSE成绩库!E314)</f>
        <v/>
      </c>
      <c r="F314" t="str">
        <f>IF(MSE成绩库!C314="","", MSE成绩库!F314)</f>
        <v/>
      </c>
      <c r="G314" t="str">
        <f>IF(MSE成绩库!C314="","", MSE成绩库!G314)</f>
        <v/>
      </c>
      <c r="H314" t="str">
        <f>IF(MSE成绩库!C314="","", MSE成绩库!H314)</f>
        <v/>
      </c>
      <c r="I314" t="str">
        <f>IF(MSE成绩库!C314="","", MSE成绩库!I314)</f>
        <v/>
      </c>
      <c r="J314" t="str">
        <f>IF(MSE成绩库!C314="","", MSE成绩库!J314)</f>
        <v/>
      </c>
      <c r="K314" t="str">
        <f>IF(MSE成绩库!C314="","", MSE成绩库!K314)</f>
        <v/>
      </c>
      <c r="L314" t="str">
        <f>IF(MSE成绩库!C314="","", MSE成绩库!M314)</f>
        <v/>
      </c>
      <c r="M314" t="str">
        <f>IF(MSE成绩库!C314="","", MSE成绩库!N314)</f>
        <v/>
      </c>
      <c r="N314" t="str">
        <f>IF(MSE成绩库!C314="","", MSE成绩库!O314)</f>
        <v/>
      </c>
      <c r="O314" t="str">
        <f>IF(MSE成绩库!C314="","", MSE成绩库!Q314)</f>
        <v/>
      </c>
      <c r="P314" t="str">
        <f>IF(MSE成绩库!C314="","", MSE成绩库!R314)</f>
        <v/>
      </c>
      <c r="Q314" t="str">
        <f>IF(MSE成绩库!C314="","", MSE成绩库!S314)</f>
        <v/>
      </c>
      <c r="R314" t="str">
        <f>IF(MSE成绩库!C314="","", MSE成绩库!T314)</f>
        <v/>
      </c>
      <c r="S314" t="str">
        <f>IF(MSE成绩库!C314="","", MSE成绩库!U314)</f>
        <v/>
      </c>
      <c r="T314" t="str">
        <f>IF(MSE成绩库!C314="","", MSE成绩库!V314)</f>
        <v/>
      </c>
      <c r="U314" t="str">
        <f>IF(MSE成绩库!C314="","", MSE成绩库!X314)</f>
        <v/>
      </c>
      <c r="V314" t="str">
        <f>IF(MSE成绩库!C314="","", MSE成绩库!Y314)</f>
        <v/>
      </c>
      <c r="W314" t="str">
        <f>IF(MSE成绩库!C314="","", MSE成绩库!Z314)</f>
        <v/>
      </c>
      <c r="X314" t="str">
        <f>IF(MSE成绩库!C314="","", MSE成绩库!AA314)</f>
        <v/>
      </c>
      <c r="Y314" t="str">
        <f>IF(MSE成绩库!C314="","", MSE成绩库!AB314)</f>
        <v/>
      </c>
      <c r="Z314" t="str">
        <f>IF(MSE成绩库!C314="","", MSE成绩库!AC314)</f>
        <v/>
      </c>
    </row>
    <row r="315" spans="1:26" x14ac:dyDescent="0.2">
      <c r="A315" t="str">
        <f>IF(MSE成绩库!C315="","", MSE成绩库!C315)</f>
        <v/>
      </c>
      <c r="B315" t="str">
        <f>IF(MSE成绩库!AD315="","", MSE成绩库!AD315)</f>
        <v/>
      </c>
      <c r="C315" t="str">
        <f>IF(MSE成绩库!B315="","", MSE成绩库!B315)</f>
        <v/>
      </c>
      <c r="D315" t="str">
        <f>IF(MSE成绩库!D315="","", MSE成绩库!D315)</f>
        <v/>
      </c>
      <c r="E315" t="str">
        <f>IF(MSE成绩库!C315="","", MSE成绩库!E315)</f>
        <v/>
      </c>
      <c r="F315" t="str">
        <f>IF(MSE成绩库!C315="","", MSE成绩库!F315)</f>
        <v/>
      </c>
      <c r="G315" t="str">
        <f>IF(MSE成绩库!C315="","", MSE成绩库!G315)</f>
        <v/>
      </c>
      <c r="H315" t="str">
        <f>IF(MSE成绩库!C315="","", MSE成绩库!H315)</f>
        <v/>
      </c>
      <c r="I315" t="str">
        <f>IF(MSE成绩库!C315="","", MSE成绩库!I315)</f>
        <v/>
      </c>
      <c r="J315" t="str">
        <f>IF(MSE成绩库!C315="","", MSE成绩库!J315)</f>
        <v/>
      </c>
      <c r="K315" t="str">
        <f>IF(MSE成绩库!C315="","", MSE成绩库!K315)</f>
        <v/>
      </c>
      <c r="L315" t="str">
        <f>IF(MSE成绩库!C315="","", MSE成绩库!M315)</f>
        <v/>
      </c>
      <c r="M315" t="str">
        <f>IF(MSE成绩库!C315="","", MSE成绩库!N315)</f>
        <v/>
      </c>
      <c r="N315" t="str">
        <f>IF(MSE成绩库!C315="","", MSE成绩库!O315)</f>
        <v/>
      </c>
      <c r="O315" t="str">
        <f>IF(MSE成绩库!C315="","", MSE成绩库!Q315)</f>
        <v/>
      </c>
      <c r="P315" t="str">
        <f>IF(MSE成绩库!C315="","", MSE成绩库!R315)</f>
        <v/>
      </c>
      <c r="Q315" t="str">
        <f>IF(MSE成绩库!C315="","", MSE成绩库!S315)</f>
        <v/>
      </c>
      <c r="R315" t="str">
        <f>IF(MSE成绩库!C315="","", MSE成绩库!T315)</f>
        <v/>
      </c>
      <c r="S315" t="str">
        <f>IF(MSE成绩库!C315="","", MSE成绩库!U315)</f>
        <v/>
      </c>
      <c r="T315" t="str">
        <f>IF(MSE成绩库!C315="","", MSE成绩库!V315)</f>
        <v/>
      </c>
      <c r="U315" t="str">
        <f>IF(MSE成绩库!C315="","", MSE成绩库!X315)</f>
        <v/>
      </c>
      <c r="V315" t="str">
        <f>IF(MSE成绩库!C315="","", MSE成绩库!Y315)</f>
        <v/>
      </c>
      <c r="W315" t="str">
        <f>IF(MSE成绩库!C315="","", MSE成绩库!Z315)</f>
        <v/>
      </c>
      <c r="X315" t="str">
        <f>IF(MSE成绩库!C315="","", MSE成绩库!AA315)</f>
        <v/>
      </c>
      <c r="Y315" t="str">
        <f>IF(MSE成绩库!C315="","", MSE成绩库!AB315)</f>
        <v/>
      </c>
      <c r="Z315" t="str">
        <f>IF(MSE成绩库!C315="","", MSE成绩库!AC315)</f>
        <v/>
      </c>
    </row>
    <row r="316" spans="1:26" x14ac:dyDescent="0.2">
      <c r="A316" t="str">
        <f>IF(MSE成绩库!C316="","", MSE成绩库!C316)</f>
        <v/>
      </c>
      <c r="B316" t="str">
        <f>IF(MSE成绩库!AD316="","", MSE成绩库!AD316)</f>
        <v/>
      </c>
      <c r="C316" t="str">
        <f>IF(MSE成绩库!B316="","", MSE成绩库!B316)</f>
        <v/>
      </c>
      <c r="D316" t="str">
        <f>IF(MSE成绩库!D316="","", MSE成绩库!D316)</f>
        <v/>
      </c>
      <c r="E316" t="str">
        <f>IF(MSE成绩库!C316="","", MSE成绩库!E316)</f>
        <v/>
      </c>
      <c r="F316" t="str">
        <f>IF(MSE成绩库!C316="","", MSE成绩库!F316)</f>
        <v/>
      </c>
      <c r="G316" t="str">
        <f>IF(MSE成绩库!C316="","", MSE成绩库!G316)</f>
        <v/>
      </c>
      <c r="H316" t="str">
        <f>IF(MSE成绩库!C316="","", MSE成绩库!H316)</f>
        <v/>
      </c>
      <c r="I316" t="str">
        <f>IF(MSE成绩库!C316="","", MSE成绩库!I316)</f>
        <v/>
      </c>
      <c r="J316" t="str">
        <f>IF(MSE成绩库!C316="","", MSE成绩库!J316)</f>
        <v/>
      </c>
      <c r="K316" t="str">
        <f>IF(MSE成绩库!C316="","", MSE成绩库!K316)</f>
        <v/>
      </c>
      <c r="L316" t="str">
        <f>IF(MSE成绩库!C316="","", MSE成绩库!M316)</f>
        <v/>
      </c>
      <c r="M316" t="str">
        <f>IF(MSE成绩库!C316="","", MSE成绩库!N316)</f>
        <v/>
      </c>
      <c r="N316" t="str">
        <f>IF(MSE成绩库!C316="","", MSE成绩库!O316)</f>
        <v/>
      </c>
      <c r="O316" t="str">
        <f>IF(MSE成绩库!C316="","", MSE成绩库!Q316)</f>
        <v/>
      </c>
      <c r="P316" t="str">
        <f>IF(MSE成绩库!C316="","", MSE成绩库!R316)</f>
        <v/>
      </c>
      <c r="Q316" t="str">
        <f>IF(MSE成绩库!C316="","", MSE成绩库!S316)</f>
        <v/>
      </c>
      <c r="R316" t="str">
        <f>IF(MSE成绩库!C316="","", MSE成绩库!T316)</f>
        <v/>
      </c>
      <c r="S316" t="str">
        <f>IF(MSE成绩库!C316="","", MSE成绩库!U316)</f>
        <v/>
      </c>
      <c r="T316" t="str">
        <f>IF(MSE成绩库!C316="","", MSE成绩库!V316)</f>
        <v/>
      </c>
      <c r="U316" t="str">
        <f>IF(MSE成绩库!C316="","", MSE成绩库!X316)</f>
        <v/>
      </c>
      <c r="V316" t="str">
        <f>IF(MSE成绩库!C316="","", MSE成绩库!Y316)</f>
        <v/>
      </c>
      <c r="W316" t="str">
        <f>IF(MSE成绩库!C316="","", MSE成绩库!Z316)</f>
        <v/>
      </c>
      <c r="X316" t="str">
        <f>IF(MSE成绩库!C316="","", MSE成绩库!AA316)</f>
        <v/>
      </c>
      <c r="Y316" t="str">
        <f>IF(MSE成绩库!C316="","", MSE成绩库!AB316)</f>
        <v/>
      </c>
      <c r="Z316" t="str">
        <f>IF(MSE成绩库!C316="","", MSE成绩库!AC316)</f>
        <v/>
      </c>
    </row>
    <row r="317" spans="1:26" x14ac:dyDescent="0.2">
      <c r="A317" t="str">
        <f>IF(MSE成绩库!C317="","", MSE成绩库!C317)</f>
        <v/>
      </c>
      <c r="B317" t="str">
        <f>IF(MSE成绩库!AD317="","", MSE成绩库!AD317)</f>
        <v/>
      </c>
      <c r="C317" t="str">
        <f>IF(MSE成绩库!B317="","", MSE成绩库!B317)</f>
        <v/>
      </c>
      <c r="D317" t="str">
        <f>IF(MSE成绩库!D317="","", MSE成绩库!D317)</f>
        <v/>
      </c>
      <c r="E317" t="str">
        <f>IF(MSE成绩库!C317="","", MSE成绩库!E317)</f>
        <v/>
      </c>
      <c r="F317" t="str">
        <f>IF(MSE成绩库!C317="","", MSE成绩库!F317)</f>
        <v/>
      </c>
      <c r="G317" t="str">
        <f>IF(MSE成绩库!C317="","", MSE成绩库!G317)</f>
        <v/>
      </c>
      <c r="H317" t="str">
        <f>IF(MSE成绩库!C317="","", MSE成绩库!H317)</f>
        <v/>
      </c>
      <c r="I317" t="str">
        <f>IF(MSE成绩库!C317="","", MSE成绩库!I317)</f>
        <v/>
      </c>
      <c r="J317" t="str">
        <f>IF(MSE成绩库!C317="","", MSE成绩库!J317)</f>
        <v/>
      </c>
      <c r="K317" t="str">
        <f>IF(MSE成绩库!C317="","", MSE成绩库!K317)</f>
        <v/>
      </c>
      <c r="L317" t="str">
        <f>IF(MSE成绩库!C317="","", MSE成绩库!M317)</f>
        <v/>
      </c>
      <c r="M317" t="str">
        <f>IF(MSE成绩库!C317="","", MSE成绩库!N317)</f>
        <v/>
      </c>
      <c r="N317" t="str">
        <f>IF(MSE成绩库!C317="","", MSE成绩库!O317)</f>
        <v/>
      </c>
      <c r="O317" t="str">
        <f>IF(MSE成绩库!C317="","", MSE成绩库!Q317)</f>
        <v/>
      </c>
      <c r="P317" t="str">
        <f>IF(MSE成绩库!C317="","", MSE成绩库!R317)</f>
        <v/>
      </c>
      <c r="Q317" t="str">
        <f>IF(MSE成绩库!C317="","", MSE成绩库!S317)</f>
        <v/>
      </c>
      <c r="R317" t="str">
        <f>IF(MSE成绩库!C317="","", MSE成绩库!T317)</f>
        <v/>
      </c>
      <c r="S317" t="str">
        <f>IF(MSE成绩库!C317="","", MSE成绩库!U317)</f>
        <v/>
      </c>
      <c r="T317" t="str">
        <f>IF(MSE成绩库!C317="","", MSE成绩库!V317)</f>
        <v/>
      </c>
      <c r="U317" t="str">
        <f>IF(MSE成绩库!C317="","", MSE成绩库!X317)</f>
        <v/>
      </c>
      <c r="V317" t="str">
        <f>IF(MSE成绩库!C317="","", MSE成绩库!Y317)</f>
        <v/>
      </c>
      <c r="W317" t="str">
        <f>IF(MSE成绩库!C317="","", MSE成绩库!Z317)</f>
        <v/>
      </c>
      <c r="X317" t="str">
        <f>IF(MSE成绩库!C317="","", MSE成绩库!AA317)</f>
        <v/>
      </c>
      <c r="Y317" t="str">
        <f>IF(MSE成绩库!C317="","", MSE成绩库!AB317)</f>
        <v/>
      </c>
      <c r="Z317" t="str">
        <f>IF(MSE成绩库!C317="","", MSE成绩库!AC317)</f>
        <v/>
      </c>
    </row>
    <row r="318" spans="1:26" x14ac:dyDescent="0.2">
      <c r="A318" t="str">
        <f>IF(MSE成绩库!C318="","", MSE成绩库!C318)</f>
        <v/>
      </c>
      <c r="B318" t="str">
        <f>IF(MSE成绩库!AD318="","", MSE成绩库!AD318)</f>
        <v/>
      </c>
      <c r="C318" t="str">
        <f>IF(MSE成绩库!B318="","", MSE成绩库!B318)</f>
        <v/>
      </c>
      <c r="D318" t="str">
        <f>IF(MSE成绩库!D318="","", MSE成绩库!D318)</f>
        <v/>
      </c>
      <c r="E318" t="str">
        <f>IF(MSE成绩库!C318="","", MSE成绩库!E318)</f>
        <v/>
      </c>
      <c r="F318" t="str">
        <f>IF(MSE成绩库!C318="","", MSE成绩库!F318)</f>
        <v/>
      </c>
      <c r="G318" t="str">
        <f>IF(MSE成绩库!C318="","", MSE成绩库!G318)</f>
        <v/>
      </c>
      <c r="H318" t="str">
        <f>IF(MSE成绩库!C318="","", MSE成绩库!H318)</f>
        <v/>
      </c>
      <c r="I318" t="str">
        <f>IF(MSE成绩库!C318="","", MSE成绩库!I318)</f>
        <v/>
      </c>
      <c r="J318" t="str">
        <f>IF(MSE成绩库!C318="","", MSE成绩库!J318)</f>
        <v/>
      </c>
      <c r="K318" t="str">
        <f>IF(MSE成绩库!C318="","", MSE成绩库!K318)</f>
        <v/>
      </c>
      <c r="L318" t="str">
        <f>IF(MSE成绩库!C318="","", MSE成绩库!M318)</f>
        <v/>
      </c>
      <c r="M318" t="str">
        <f>IF(MSE成绩库!C318="","", MSE成绩库!N318)</f>
        <v/>
      </c>
      <c r="N318" t="str">
        <f>IF(MSE成绩库!C318="","", MSE成绩库!O318)</f>
        <v/>
      </c>
      <c r="O318" t="str">
        <f>IF(MSE成绩库!C318="","", MSE成绩库!Q318)</f>
        <v/>
      </c>
      <c r="P318" t="str">
        <f>IF(MSE成绩库!C318="","", MSE成绩库!R318)</f>
        <v/>
      </c>
      <c r="Q318" t="str">
        <f>IF(MSE成绩库!C318="","", MSE成绩库!S318)</f>
        <v/>
      </c>
      <c r="R318" t="str">
        <f>IF(MSE成绩库!C318="","", MSE成绩库!T318)</f>
        <v/>
      </c>
      <c r="S318" t="str">
        <f>IF(MSE成绩库!C318="","", MSE成绩库!U318)</f>
        <v/>
      </c>
      <c r="T318" t="str">
        <f>IF(MSE成绩库!C318="","", MSE成绩库!V318)</f>
        <v/>
      </c>
      <c r="U318" t="str">
        <f>IF(MSE成绩库!C318="","", MSE成绩库!X318)</f>
        <v/>
      </c>
      <c r="V318" t="str">
        <f>IF(MSE成绩库!C318="","", MSE成绩库!Y318)</f>
        <v/>
      </c>
      <c r="W318" t="str">
        <f>IF(MSE成绩库!C318="","", MSE成绩库!Z318)</f>
        <v/>
      </c>
      <c r="X318" t="str">
        <f>IF(MSE成绩库!C318="","", MSE成绩库!AA318)</f>
        <v/>
      </c>
      <c r="Y318" t="str">
        <f>IF(MSE成绩库!C318="","", MSE成绩库!AB318)</f>
        <v/>
      </c>
      <c r="Z318" t="str">
        <f>IF(MSE成绩库!C318="","", MSE成绩库!AC318)</f>
        <v/>
      </c>
    </row>
    <row r="319" spans="1:26" x14ac:dyDescent="0.2">
      <c r="A319" t="str">
        <f>IF(MSE成绩库!C319="","", MSE成绩库!C319)</f>
        <v/>
      </c>
      <c r="B319" t="str">
        <f>IF(MSE成绩库!AD319="","", MSE成绩库!AD319)</f>
        <v/>
      </c>
      <c r="C319" t="str">
        <f>IF(MSE成绩库!B319="","", MSE成绩库!B319)</f>
        <v/>
      </c>
      <c r="D319" t="str">
        <f>IF(MSE成绩库!D319="","", MSE成绩库!D319)</f>
        <v/>
      </c>
      <c r="E319" t="str">
        <f>IF(MSE成绩库!C319="","", MSE成绩库!E319)</f>
        <v/>
      </c>
      <c r="F319" t="str">
        <f>IF(MSE成绩库!C319="","", MSE成绩库!F319)</f>
        <v/>
      </c>
      <c r="G319" t="str">
        <f>IF(MSE成绩库!C319="","", MSE成绩库!G319)</f>
        <v/>
      </c>
      <c r="H319" t="str">
        <f>IF(MSE成绩库!C319="","", MSE成绩库!H319)</f>
        <v/>
      </c>
      <c r="I319" t="str">
        <f>IF(MSE成绩库!C319="","", MSE成绩库!I319)</f>
        <v/>
      </c>
      <c r="J319" t="str">
        <f>IF(MSE成绩库!C319="","", MSE成绩库!J319)</f>
        <v/>
      </c>
      <c r="K319" t="str">
        <f>IF(MSE成绩库!C319="","", MSE成绩库!K319)</f>
        <v/>
      </c>
      <c r="L319" t="str">
        <f>IF(MSE成绩库!C319="","", MSE成绩库!M319)</f>
        <v/>
      </c>
      <c r="M319" t="str">
        <f>IF(MSE成绩库!C319="","", MSE成绩库!N319)</f>
        <v/>
      </c>
      <c r="N319" t="str">
        <f>IF(MSE成绩库!C319="","", MSE成绩库!O319)</f>
        <v/>
      </c>
      <c r="O319" t="str">
        <f>IF(MSE成绩库!C319="","", MSE成绩库!Q319)</f>
        <v/>
      </c>
      <c r="P319" t="str">
        <f>IF(MSE成绩库!C319="","", MSE成绩库!R319)</f>
        <v/>
      </c>
      <c r="Q319" t="str">
        <f>IF(MSE成绩库!C319="","", MSE成绩库!S319)</f>
        <v/>
      </c>
      <c r="R319" t="str">
        <f>IF(MSE成绩库!C319="","", MSE成绩库!T319)</f>
        <v/>
      </c>
      <c r="S319" t="str">
        <f>IF(MSE成绩库!C319="","", MSE成绩库!U319)</f>
        <v/>
      </c>
      <c r="T319" t="str">
        <f>IF(MSE成绩库!C319="","", MSE成绩库!V319)</f>
        <v/>
      </c>
      <c r="U319" t="str">
        <f>IF(MSE成绩库!C319="","", MSE成绩库!X319)</f>
        <v/>
      </c>
      <c r="V319" t="str">
        <f>IF(MSE成绩库!C319="","", MSE成绩库!Y319)</f>
        <v/>
      </c>
      <c r="W319" t="str">
        <f>IF(MSE成绩库!C319="","", MSE成绩库!Z319)</f>
        <v/>
      </c>
      <c r="X319" t="str">
        <f>IF(MSE成绩库!C319="","", MSE成绩库!AA319)</f>
        <v/>
      </c>
      <c r="Y319" t="str">
        <f>IF(MSE成绩库!C319="","", MSE成绩库!AB319)</f>
        <v/>
      </c>
      <c r="Z319" t="str">
        <f>IF(MSE成绩库!C319="","", MSE成绩库!AC319)</f>
        <v/>
      </c>
    </row>
    <row r="320" spans="1:26" x14ac:dyDescent="0.2">
      <c r="A320" t="str">
        <f>IF(MSE成绩库!C320="","", MSE成绩库!C320)</f>
        <v/>
      </c>
      <c r="B320" t="str">
        <f>IF(MSE成绩库!AD320="","", MSE成绩库!AD320)</f>
        <v/>
      </c>
      <c r="C320" t="str">
        <f>IF(MSE成绩库!B320="","", MSE成绩库!B320)</f>
        <v/>
      </c>
      <c r="D320" t="str">
        <f>IF(MSE成绩库!D320="","", MSE成绩库!D320)</f>
        <v/>
      </c>
      <c r="E320" t="str">
        <f>IF(MSE成绩库!C320="","", MSE成绩库!E320)</f>
        <v/>
      </c>
      <c r="F320" t="str">
        <f>IF(MSE成绩库!C320="","", MSE成绩库!F320)</f>
        <v/>
      </c>
      <c r="G320" t="str">
        <f>IF(MSE成绩库!C320="","", MSE成绩库!G320)</f>
        <v/>
      </c>
      <c r="H320" t="str">
        <f>IF(MSE成绩库!C320="","", MSE成绩库!H320)</f>
        <v/>
      </c>
      <c r="I320" t="str">
        <f>IF(MSE成绩库!C320="","", MSE成绩库!I320)</f>
        <v/>
      </c>
      <c r="J320" t="str">
        <f>IF(MSE成绩库!C320="","", MSE成绩库!J320)</f>
        <v/>
      </c>
      <c r="K320" t="str">
        <f>IF(MSE成绩库!C320="","", MSE成绩库!K320)</f>
        <v/>
      </c>
      <c r="L320" t="str">
        <f>IF(MSE成绩库!C320="","", MSE成绩库!M320)</f>
        <v/>
      </c>
      <c r="M320" t="str">
        <f>IF(MSE成绩库!C320="","", MSE成绩库!N320)</f>
        <v/>
      </c>
      <c r="N320" t="str">
        <f>IF(MSE成绩库!C320="","", MSE成绩库!O320)</f>
        <v/>
      </c>
      <c r="O320" t="str">
        <f>IF(MSE成绩库!C320="","", MSE成绩库!Q320)</f>
        <v/>
      </c>
      <c r="P320" t="str">
        <f>IF(MSE成绩库!C320="","", MSE成绩库!R320)</f>
        <v/>
      </c>
      <c r="Q320" t="str">
        <f>IF(MSE成绩库!C320="","", MSE成绩库!S320)</f>
        <v/>
      </c>
      <c r="R320" t="str">
        <f>IF(MSE成绩库!C320="","", MSE成绩库!T320)</f>
        <v/>
      </c>
      <c r="S320" t="str">
        <f>IF(MSE成绩库!C320="","", MSE成绩库!U320)</f>
        <v/>
      </c>
      <c r="T320" t="str">
        <f>IF(MSE成绩库!C320="","", MSE成绩库!V320)</f>
        <v/>
      </c>
      <c r="U320" t="str">
        <f>IF(MSE成绩库!C320="","", MSE成绩库!X320)</f>
        <v/>
      </c>
      <c r="V320" t="str">
        <f>IF(MSE成绩库!C320="","", MSE成绩库!Y320)</f>
        <v/>
      </c>
      <c r="W320" t="str">
        <f>IF(MSE成绩库!C320="","", MSE成绩库!Z320)</f>
        <v/>
      </c>
      <c r="X320" t="str">
        <f>IF(MSE成绩库!C320="","", MSE成绩库!AA320)</f>
        <v/>
      </c>
      <c r="Y320" t="str">
        <f>IF(MSE成绩库!C320="","", MSE成绩库!AB320)</f>
        <v/>
      </c>
      <c r="Z320" t="str">
        <f>IF(MSE成绩库!C320="","", MSE成绩库!AC320)</f>
        <v/>
      </c>
    </row>
    <row r="321" spans="1:26" x14ac:dyDescent="0.2">
      <c r="A321" t="str">
        <f>IF(MSE成绩库!C321="","", MSE成绩库!C321)</f>
        <v/>
      </c>
      <c r="B321" t="str">
        <f>IF(MSE成绩库!AD321="","", MSE成绩库!AD321)</f>
        <v/>
      </c>
      <c r="C321" t="str">
        <f>IF(MSE成绩库!B321="","", MSE成绩库!B321)</f>
        <v/>
      </c>
      <c r="D321" t="str">
        <f>IF(MSE成绩库!D321="","", MSE成绩库!D321)</f>
        <v/>
      </c>
      <c r="E321" t="str">
        <f>IF(MSE成绩库!C321="","", MSE成绩库!E321)</f>
        <v/>
      </c>
      <c r="F321" t="str">
        <f>IF(MSE成绩库!C321="","", MSE成绩库!F321)</f>
        <v/>
      </c>
      <c r="G321" t="str">
        <f>IF(MSE成绩库!C321="","", MSE成绩库!G321)</f>
        <v/>
      </c>
      <c r="H321" t="str">
        <f>IF(MSE成绩库!C321="","", MSE成绩库!H321)</f>
        <v/>
      </c>
      <c r="I321" t="str">
        <f>IF(MSE成绩库!C321="","", MSE成绩库!I321)</f>
        <v/>
      </c>
      <c r="J321" t="str">
        <f>IF(MSE成绩库!C321="","", MSE成绩库!J321)</f>
        <v/>
      </c>
      <c r="K321" t="str">
        <f>IF(MSE成绩库!C321="","", MSE成绩库!K321)</f>
        <v/>
      </c>
      <c r="L321" t="str">
        <f>IF(MSE成绩库!C321="","", MSE成绩库!M321)</f>
        <v/>
      </c>
      <c r="M321" t="str">
        <f>IF(MSE成绩库!C321="","", MSE成绩库!N321)</f>
        <v/>
      </c>
      <c r="N321" t="str">
        <f>IF(MSE成绩库!C321="","", MSE成绩库!O321)</f>
        <v/>
      </c>
      <c r="O321" t="str">
        <f>IF(MSE成绩库!C321="","", MSE成绩库!Q321)</f>
        <v/>
      </c>
      <c r="P321" t="str">
        <f>IF(MSE成绩库!C321="","", MSE成绩库!R321)</f>
        <v/>
      </c>
      <c r="Q321" t="str">
        <f>IF(MSE成绩库!C321="","", MSE成绩库!S321)</f>
        <v/>
      </c>
      <c r="R321" t="str">
        <f>IF(MSE成绩库!C321="","", MSE成绩库!T321)</f>
        <v/>
      </c>
      <c r="S321" t="str">
        <f>IF(MSE成绩库!C321="","", MSE成绩库!U321)</f>
        <v/>
      </c>
      <c r="T321" t="str">
        <f>IF(MSE成绩库!C321="","", MSE成绩库!V321)</f>
        <v/>
      </c>
      <c r="U321" t="str">
        <f>IF(MSE成绩库!C321="","", MSE成绩库!X321)</f>
        <v/>
      </c>
      <c r="V321" t="str">
        <f>IF(MSE成绩库!C321="","", MSE成绩库!Y321)</f>
        <v/>
      </c>
      <c r="W321" t="str">
        <f>IF(MSE成绩库!C321="","", MSE成绩库!Z321)</f>
        <v/>
      </c>
      <c r="X321" t="str">
        <f>IF(MSE成绩库!C321="","", MSE成绩库!AA321)</f>
        <v/>
      </c>
      <c r="Y321" t="str">
        <f>IF(MSE成绩库!C321="","", MSE成绩库!AB321)</f>
        <v/>
      </c>
      <c r="Z321" t="str">
        <f>IF(MSE成绩库!C321="","", MSE成绩库!AC321)</f>
        <v/>
      </c>
    </row>
    <row r="322" spans="1:26" x14ac:dyDescent="0.2">
      <c r="A322" t="str">
        <f>IF(MSE成绩库!C322="","", MSE成绩库!C322)</f>
        <v/>
      </c>
      <c r="B322" t="str">
        <f>IF(MSE成绩库!AD322="","", MSE成绩库!AD322)</f>
        <v/>
      </c>
      <c r="C322" t="str">
        <f>IF(MSE成绩库!B322="","", MSE成绩库!B322)</f>
        <v/>
      </c>
      <c r="D322" t="str">
        <f>IF(MSE成绩库!D322="","", MSE成绩库!D322)</f>
        <v/>
      </c>
      <c r="E322" t="str">
        <f>IF(MSE成绩库!C322="","", MSE成绩库!E322)</f>
        <v/>
      </c>
      <c r="F322" t="str">
        <f>IF(MSE成绩库!C322="","", MSE成绩库!F322)</f>
        <v/>
      </c>
      <c r="G322" t="str">
        <f>IF(MSE成绩库!C322="","", MSE成绩库!G322)</f>
        <v/>
      </c>
      <c r="H322" t="str">
        <f>IF(MSE成绩库!C322="","", MSE成绩库!H322)</f>
        <v/>
      </c>
      <c r="I322" t="str">
        <f>IF(MSE成绩库!C322="","", MSE成绩库!I322)</f>
        <v/>
      </c>
      <c r="J322" t="str">
        <f>IF(MSE成绩库!C322="","", MSE成绩库!J322)</f>
        <v/>
      </c>
      <c r="K322" t="str">
        <f>IF(MSE成绩库!C322="","", MSE成绩库!K322)</f>
        <v/>
      </c>
      <c r="L322" t="str">
        <f>IF(MSE成绩库!C322="","", MSE成绩库!M322)</f>
        <v/>
      </c>
      <c r="M322" t="str">
        <f>IF(MSE成绩库!C322="","", MSE成绩库!N322)</f>
        <v/>
      </c>
      <c r="N322" t="str">
        <f>IF(MSE成绩库!C322="","", MSE成绩库!O322)</f>
        <v/>
      </c>
      <c r="O322" t="str">
        <f>IF(MSE成绩库!C322="","", MSE成绩库!Q322)</f>
        <v/>
      </c>
      <c r="P322" t="str">
        <f>IF(MSE成绩库!C322="","", MSE成绩库!R322)</f>
        <v/>
      </c>
      <c r="Q322" t="str">
        <f>IF(MSE成绩库!C322="","", MSE成绩库!S322)</f>
        <v/>
      </c>
      <c r="R322" t="str">
        <f>IF(MSE成绩库!C322="","", MSE成绩库!T322)</f>
        <v/>
      </c>
      <c r="S322" t="str">
        <f>IF(MSE成绩库!C322="","", MSE成绩库!U322)</f>
        <v/>
      </c>
      <c r="T322" t="str">
        <f>IF(MSE成绩库!C322="","", MSE成绩库!V322)</f>
        <v/>
      </c>
      <c r="U322" t="str">
        <f>IF(MSE成绩库!C322="","", MSE成绩库!X322)</f>
        <v/>
      </c>
      <c r="V322" t="str">
        <f>IF(MSE成绩库!C322="","", MSE成绩库!Y322)</f>
        <v/>
      </c>
      <c r="W322" t="str">
        <f>IF(MSE成绩库!C322="","", MSE成绩库!Z322)</f>
        <v/>
      </c>
      <c r="X322" t="str">
        <f>IF(MSE成绩库!C322="","", MSE成绩库!AA322)</f>
        <v/>
      </c>
      <c r="Y322" t="str">
        <f>IF(MSE成绩库!C322="","", MSE成绩库!AB322)</f>
        <v/>
      </c>
      <c r="Z322" t="str">
        <f>IF(MSE成绩库!C322="","", MSE成绩库!AC322)</f>
        <v/>
      </c>
    </row>
    <row r="323" spans="1:26" x14ac:dyDescent="0.2">
      <c r="A323" t="str">
        <f>IF(MSE成绩库!C323="","", MSE成绩库!C323)</f>
        <v/>
      </c>
      <c r="B323" t="str">
        <f>IF(MSE成绩库!AD323="","", MSE成绩库!AD323)</f>
        <v/>
      </c>
      <c r="C323" t="str">
        <f>IF(MSE成绩库!B323="","", MSE成绩库!B323)</f>
        <v/>
      </c>
      <c r="D323" t="str">
        <f>IF(MSE成绩库!D323="","", MSE成绩库!D323)</f>
        <v/>
      </c>
      <c r="E323" t="str">
        <f>IF(MSE成绩库!C323="","", MSE成绩库!E323)</f>
        <v/>
      </c>
      <c r="F323" t="str">
        <f>IF(MSE成绩库!C323="","", MSE成绩库!F323)</f>
        <v/>
      </c>
      <c r="G323" t="str">
        <f>IF(MSE成绩库!C323="","", MSE成绩库!G323)</f>
        <v/>
      </c>
      <c r="H323" t="str">
        <f>IF(MSE成绩库!C323="","", MSE成绩库!H323)</f>
        <v/>
      </c>
      <c r="I323" t="str">
        <f>IF(MSE成绩库!C323="","", MSE成绩库!I323)</f>
        <v/>
      </c>
      <c r="J323" t="str">
        <f>IF(MSE成绩库!C323="","", MSE成绩库!J323)</f>
        <v/>
      </c>
      <c r="K323" t="str">
        <f>IF(MSE成绩库!C323="","", MSE成绩库!K323)</f>
        <v/>
      </c>
      <c r="L323" t="str">
        <f>IF(MSE成绩库!C323="","", MSE成绩库!M323)</f>
        <v/>
      </c>
      <c r="M323" t="str">
        <f>IF(MSE成绩库!C323="","", MSE成绩库!N323)</f>
        <v/>
      </c>
      <c r="N323" t="str">
        <f>IF(MSE成绩库!C323="","", MSE成绩库!O323)</f>
        <v/>
      </c>
      <c r="O323" t="str">
        <f>IF(MSE成绩库!C323="","", MSE成绩库!Q323)</f>
        <v/>
      </c>
      <c r="P323" t="str">
        <f>IF(MSE成绩库!C323="","", MSE成绩库!R323)</f>
        <v/>
      </c>
      <c r="Q323" t="str">
        <f>IF(MSE成绩库!C323="","", MSE成绩库!S323)</f>
        <v/>
      </c>
      <c r="R323" t="str">
        <f>IF(MSE成绩库!C323="","", MSE成绩库!T323)</f>
        <v/>
      </c>
      <c r="S323" t="str">
        <f>IF(MSE成绩库!C323="","", MSE成绩库!U323)</f>
        <v/>
      </c>
      <c r="T323" t="str">
        <f>IF(MSE成绩库!C323="","", MSE成绩库!V323)</f>
        <v/>
      </c>
      <c r="U323" t="str">
        <f>IF(MSE成绩库!C323="","", MSE成绩库!X323)</f>
        <v/>
      </c>
      <c r="V323" t="str">
        <f>IF(MSE成绩库!C323="","", MSE成绩库!Y323)</f>
        <v/>
      </c>
      <c r="W323" t="str">
        <f>IF(MSE成绩库!C323="","", MSE成绩库!Z323)</f>
        <v/>
      </c>
      <c r="X323" t="str">
        <f>IF(MSE成绩库!C323="","", MSE成绩库!AA323)</f>
        <v/>
      </c>
      <c r="Y323" t="str">
        <f>IF(MSE成绩库!C323="","", MSE成绩库!AB323)</f>
        <v/>
      </c>
      <c r="Z323" t="str">
        <f>IF(MSE成绩库!C323="","", MSE成绩库!AC323)</f>
        <v/>
      </c>
    </row>
    <row r="324" spans="1:26" x14ac:dyDescent="0.2">
      <c r="A324" t="str">
        <f>IF(MSE成绩库!C324="","", MSE成绩库!C324)</f>
        <v/>
      </c>
      <c r="B324" t="str">
        <f>IF(MSE成绩库!AD324="","", MSE成绩库!AD324)</f>
        <v/>
      </c>
      <c r="C324" t="str">
        <f>IF(MSE成绩库!B324="","", MSE成绩库!B324)</f>
        <v/>
      </c>
      <c r="D324" t="str">
        <f>IF(MSE成绩库!D324="","", MSE成绩库!D324)</f>
        <v/>
      </c>
      <c r="E324" t="str">
        <f>IF(MSE成绩库!C324="","", MSE成绩库!E324)</f>
        <v/>
      </c>
      <c r="F324" t="str">
        <f>IF(MSE成绩库!C324="","", MSE成绩库!F324)</f>
        <v/>
      </c>
      <c r="G324" t="str">
        <f>IF(MSE成绩库!C324="","", MSE成绩库!G324)</f>
        <v/>
      </c>
      <c r="H324" t="str">
        <f>IF(MSE成绩库!C324="","", MSE成绩库!H324)</f>
        <v/>
      </c>
      <c r="I324" t="str">
        <f>IF(MSE成绩库!C324="","", MSE成绩库!I324)</f>
        <v/>
      </c>
      <c r="J324" t="str">
        <f>IF(MSE成绩库!C324="","", MSE成绩库!J324)</f>
        <v/>
      </c>
      <c r="K324" t="str">
        <f>IF(MSE成绩库!C324="","", MSE成绩库!K324)</f>
        <v/>
      </c>
      <c r="L324" t="str">
        <f>IF(MSE成绩库!C324="","", MSE成绩库!M324)</f>
        <v/>
      </c>
      <c r="M324" t="str">
        <f>IF(MSE成绩库!C324="","", MSE成绩库!N324)</f>
        <v/>
      </c>
      <c r="N324" t="str">
        <f>IF(MSE成绩库!C324="","", MSE成绩库!O324)</f>
        <v/>
      </c>
      <c r="O324" t="str">
        <f>IF(MSE成绩库!C324="","", MSE成绩库!Q324)</f>
        <v/>
      </c>
      <c r="P324" t="str">
        <f>IF(MSE成绩库!C324="","", MSE成绩库!R324)</f>
        <v/>
      </c>
      <c r="Q324" t="str">
        <f>IF(MSE成绩库!C324="","", MSE成绩库!S324)</f>
        <v/>
      </c>
      <c r="R324" t="str">
        <f>IF(MSE成绩库!C324="","", MSE成绩库!T324)</f>
        <v/>
      </c>
      <c r="S324" t="str">
        <f>IF(MSE成绩库!C324="","", MSE成绩库!U324)</f>
        <v/>
      </c>
      <c r="T324" t="str">
        <f>IF(MSE成绩库!C324="","", MSE成绩库!V324)</f>
        <v/>
      </c>
      <c r="U324" t="str">
        <f>IF(MSE成绩库!C324="","", MSE成绩库!X324)</f>
        <v/>
      </c>
      <c r="V324" t="str">
        <f>IF(MSE成绩库!C324="","", MSE成绩库!Y324)</f>
        <v/>
      </c>
      <c r="W324" t="str">
        <f>IF(MSE成绩库!C324="","", MSE成绩库!Z324)</f>
        <v/>
      </c>
      <c r="X324" t="str">
        <f>IF(MSE成绩库!C324="","", MSE成绩库!AA324)</f>
        <v/>
      </c>
      <c r="Y324" t="str">
        <f>IF(MSE成绩库!C324="","", MSE成绩库!AB324)</f>
        <v/>
      </c>
      <c r="Z324" t="str">
        <f>IF(MSE成绩库!C324="","", MSE成绩库!AC324)</f>
        <v/>
      </c>
    </row>
    <row r="325" spans="1:26" x14ac:dyDescent="0.2">
      <c r="A325" t="str">
        <f>IF(MSE成绩库!C325="","", MSE成绩库!C325)</f>
        <v/>
      </c>
      <c r="B325" t="str">
        <f>IF(MSE成绩库!AD325="","", MSE成绩库!AD325)</f>
        <v/>
      </c>
      <c r="C325" t="str">
        <f>IF(MSE成绩库!B325="","", MSE成绩库!B325)</f>
        <v/>
      </c>
      <c r="D325" t="str">
        <f>IF(MSE成绩库!D325="","", MSE成绩库!D325)</f>
        <v/>
      </c>
      <c r="E325" t="str">
        <f>IF(MSE成绩库!C325="","", MSE成绩库!E325)</f>
        <v/>
      </c>
      <c r="F325" t="str">
        <f>IF(MSE成绩库!C325="","", MSE成绩库!F325)</f>
        <v/>
      </c>
      <c r="G325" t="str">
        <f>IF(MSE成绩库!C325="","", MSE成绩库!G325)</f>
        <v/>
      </c>
      <c r="H325" t="str">
        <f>IF(MSE成绩库!C325="","", MSE成绩库!H325)</f>
        <v/>
      </c>
      <c r="I325" t="str">
        <f>IF(MSE成绩库!C325="","", MSE成绩库!I325)</f>
        <v/>
      </c>
      <c r="J325" t="str">
        <f>IF(MSE成绩库!C325="","", MSE成绩库!J325)</f>
        <v/>
      </c>
      <c r="K325" t="str">
        <f>IF(MSE成绩库!C325="","", MSE成绩库!K325)</f>
        <v/>
      </c>
      <c r="L325" t="str">
        <f>IF(MSE成绩库!C325="","", MSE成绩库!M325)</f>
        <v/>
      </c>
      <c r="M325" t="str">
        <f>IF(MSE成绩库!C325="","", MSE成绩库!N325)</f>
        <v/>
      </c>
      <c r="N325" t="str">
        <f>IF(MSE成绩库!C325="","", MSE成绩库!O325)</f>
        <v/>
      </c>
      <c r="O325" t="str">
        <f>IF(MSE成绩库!C325="","", MSE成绩库!Q325)</f>
        <v/>
      </c>
      <c r="P325" t="str">
        <f>IF(MSE成绩库!C325="","", MSE成绩库!R325)</f>
        <v/>
      </c>
      <c r="Q325" t="str">
        <f>IF(MSE成绩库!C325="","", MSE成绩库!S325)</f>
        <v/>
      </c>
      <c r="R325" t="str">
        <f>IF(MSE成绩库!C325="","", MSE成绩库!T325)</f>
        <v/>
      </c>
      <c r="S325" t="str">
        <f>IF(MSE成绩库!C325="","", MSE成绩库!U325)</f>
        <v/>
      </c>
      <c r="T325" t="str">
        <f>IF(MSE成绩库!C325="","", MSE成绩库!V325)</f>
        <v/>
      </c>
      <c r="U325" t="str">
        <f>IF(MSE成绩库!C325="","", MSE成绩库!X325)</f>
        <v/>
      </c>
      <c r="V325" t="str">
        <f>IF(MSE成绩库!C325="","", MSE成绩库!Y325)</f>
        <v/>
      </c>
      <c r="W325" t="str">
        <f>IF(MSE成绩库!C325="","", MSE成绩库!Z325)</f>
        <v/>
      </c>
      <c r="X325" t="str">
        <f>IF(MSE成绩库!C325="","", MSE成绩库!AA325)</f>
        <v/>
      </c>
      <c r="Y325" t="str">
        <f>IF(MSE成绩库!C325="","", MSE成绩库!AB325)</f>
        <v/>
      </c>
      <c r="Z325" t="str">
        <f>IF(MSE成绩库!C325="","", MSE成绩库!AC325)</f>
        <v/>
      </c>
    </row>
    <row r="326" spans="1:26" x14ac:dyDescent="0.2">
      <c r="A326" t="str">
        <f>IF(MSE成绩库!C326="","", MSE成绩库!C326)</f>
        <v/>
      </c>
      <c r="B326" t="str">
        <f>IF(MSE成绩库!AD326="","", MSE成绩库!AD326)</f>
        <v/>
      </c>
      <c r="C326" t="str">
        <f>IF(MSE成绩库!B326="","", MSE成绩库!B326)</f>
        <v/>
      </c>
      <c r="D326" t="str">
        <f>IF(MSE成绩库!D326="","", MSE成绩库!D326)</f>
        <v/>
      </c>
      <c r="E326" t="str">
        <f>IF(MSE成绩库!C326="","", MSE成绩库!E326)</f>
        <v/>
      </c>
      <c r="F326" t="str">
        <f>IF(MSE成绩库!C326="","", MSE成绩库!F326)</f>
        <v/>
      </c>
      <c r="G326" t="str">
        <f>IF(MSE成绩库!C326="","", MSE成绩库!G326)</f>
        <v/>
      </c>
      <c r="H326" t="str">
        <f>IF(MSE成绩库!C326="","", MSE成绩库!H326)</f>
        <v/>
      </c>
      <c r="I326" t="str">
        <f>IF(MSE成绩库!C326="","", MSE成绩库!I326)</f>
        <v/>
      </c>
      <c r="J326" t="str">
        <f>IF(MSE成绩库!C326="","", MSE成绩库!J326)</f>
        <v/>
      </c>
      <c r="K326" t="str">
        <f>IF(MSE成绩库!C326="","", MSE成绩库!K326)</f>
        <v/>
      </c>
      <c r="L326" t="str">
        <f>IF(MSE成绩库!C326="","", MSE成绩库!M326)</f>
        <v/>
      </c>
      <c r="M326" t="str">
        <f>IF(MSE成绩库!C326="","", MSE成绩库!N326)</f>
        <v/>
      </c>
      <c r="N326" t="str">
        <f>IF(MSE成绩库!C326="","", MSE成绩库!O326)</f>
        <v/>
      </c>
      <c r="O326" t="str">
        <f>IF(MSE成绩库!C326="","", MSE成绩库!Q326)</f>
        <v/>
      </c>
      <c r="P326" t="str">
        <f>IF(MSE成绩库!C326="","", MSE成绩库!R326)</f>
        <v/>
      </c>
      <c r="Q326" t="str">
        <f>IF(MSE成绩库!C326="","", MSE成绩库!S326)</f>
        <v/>
      </c>
      <c r="R326" t="str">
        <f>IF(MSE成绩库!C326="","", MSE成绩库!T326)</f>
        <v/>
      </c>
      <c r="S326" t="str">
        <f>IF(MSE成绩库!C326="","", MSE成绩库!U326)</f>
        <v/>
      </c>
      <c r="T326" t="str">
        <f>IF(MSE成绩库!C326="","", MSE成绩库!V326)</f>
        <v/>
      </c>
      <c r="U326" t="str">
        <f>IF(MSE成绩库!C326="","", MSE成绩库!X326)</f>
        <v/>
      </c>
      <c r="V326" t="str">
        <f>IF(MSE成绩库!C326="","", MSE成绩库!Y326)</f>
        <v/>
      </c>
      <c r="W326" t="str">
        <f>IF(MSE成绩库!C326="","", MSE成绩库!Z326)</f>
        <v/>
      </c>
      <c r="X326" t="str">
        <f>IF(MSE成绩库!C326="","", MSE成绩库!AA326)</f>
        <v/>
      </c>
      <c r="Y326" t="str">
        <f>IF(MSE成绩库!C326="","", MSE成绩库!AB326)</f>
        <v/>
      </c>
      <c r="Z326" t="str">
        <f>IF(MSE成绩库!C326="","", MSE成绩库!AC326)</f>
        <v/>
      </c>
    </row>
    <row r="327" spans="1:26" x14ac:dyDescent="0.2">
      <c r="A327" t="str">
        <f>IF(MSE成绩库!C327="","", MSE成绩库!C327)</f>
        <v/>
      </c>
      <c r="B327" t="str">
        <f>IF(MSE成绩库!AD327="","", MSE成绩库!AD327)</f>
        <v/>
      </c>
      <c r="C327" t="str">
        <f>IF(MSE成绩库!B327="","", MSE成绩库!B327)</f>
        <v/>
      </c>
      <c r="D327" t="str">
        <f>IF(MSE成绩库!D327="","", MSE成绩库!D327)</f>
        <v/>
      </c>
      <c r="E327" t="str">
        <f>IF(MSE成绩库!C327="","", MSE成绩库!E327)</f>
        <v/>
      </c>
      <c r="F327" t="str">
        <f>IF(MSE成绩库!C327="","", MSE成绩库!F327)</f>
        <v/>
      </c>
      <c r="G327" t="str">
        <f>IF(MSE成绩库!C327="","", MSE成绩库!G327)</f>
        <v/>
      </c>
      <c r="H327" t="str">
        <f>IF(MSE成绩库!C327="","", MSE成绩库!H327)</f>
        <v/>
      </c>
      <c r="I327" t="str">
        <f>IF(MSE成绩库!C327="","", MSE成绩库!I327)</f>
        <v/>
      </c>
      <c r="J327" t="str">
        <f>IF(MSE成绩库!C327="","", MSE成绩库!J327)</f>
        <v/>
      </c>
      <c r="K327" t="str">
        <f>IF(MSE成绩库!C327="","", MSE成绩库!K327)</f>
        <v/>
      </c>
      <c r="L327" t="str">
        <f>IF(MSE成绩库!C327="","", MSE成绩库!M327)</f>
        <v/>
      </c>
      <c r="M327" t="str">
        <f>IF(MSE成绩库!C327="","", MSE成绩库!N327)</f>
        <v/>
      </c>
      <c r="N327" t="str">
        <f>IF(MSE成绩库!C327="","", MSE成绩库!O327)</f>
        <v/>
      </c>
      <c r="O327" t="str">
        <f>IF(MSE成绩库!C327="","", MSE成绩库!Q327)</f>
        <v/>
      </c>
      <c r="P327" t="str">
        <f>IF(MSE成绩库!C327="","", MSE成绩库!R327)</f>
        <v/>
      </c>
      <c r="Q327" t="str">
        <f>IF(MSE成绩库!C327="","", MSE成绩库!S327)</f>
        <v/>
      </c>
      <c r="R327" t="str">
        <f>IF(MSE成绩库!C327="","", MSE成绩库!T327)</f>
        <v/>
      </c>
      <c r="S327" t="str">
        <f>IF(MSE成绩库!C327="","", MSE成绩库!U327)</f>
        <v/>
      </c>
      <c r="T327" t="str">
        <f>IF(MSE成绩库!C327="","", MSE成绩库!V327)</f>
        <v/>
      </c>
      <c r="U327" t="str">
        <f>IF(MSE成绩库!C327="","", MSE成绩库!X327)</f>
        <v/>
      </c>
      <c r="V327" t="str">
        <f>IF(MSE成绩库!C327="","", MSE成绩库!Y327)</f>
        <v/>
      </c>
      <c r="W327" t="str">
        <f>IF(MSE成绩库!C327="","", MSE成绩库!Z327)</f>
        <v/>
      </c>
      <c r="X327" t="str">
        <f>IF(MSE成绩库!C327="","", MSE成绩库!AA327)</f>
        <v/>
      </c>
      <c r="Y327" t="str">
        <f>IF(MSE成绩库!C327="","", MSE成绩库!AB327)</f>
        <v/>
      </c>
      <c r="Z327" t="str">
        <f>IF(MSE成绩库!C327="","", MSE成绩库!AC327)</f>
        <v/>
      </c>
    </row>
    <row r="328" spans="1:26" x14ac:dyDescent="0.2">
      <c r="A328" t="str">
        <f>IF(MSE成绩库!C328="","", MSE成绩库!C328)</f>
        <v/>
      </c>
      <c r="B328" t="str">
        <f>IF(MSE成绩库!AD328="","", MSE成绩库!AD328)</f>
        <v/>
      </c>
      <c r="C328" t="str">
        <f>IF(MSE成绩库!B328="","", MSE成绩库!B328)</f>
        <v/>
      </c>
      <c r="D328" t="str">
        <f>IF(MSE成绩库!D328="","", MSE成绩库!D328)</f>
        <v/>
      </c>
      <c r="E328" t="str">
        <f>IF(MSE成绩库!C328="","", MSE成绩库!E328)</f>
        <v/>
      </c>
      <c r="F328" t="str">
        <f>IF(MSE成绩库!C328="","", MSE成绩库!F328)</f>
        <v/>
      </c>
      <c r="G328" t="str">
        <f>IF(MSE成绩库!C328="","", MSE成绩库!G328)</f>
        <v/>
      </c>
      <c r="H328" t="str">
        <f>IF(MSE成绩库!C328="","", MSE成绩库!H328)</f>
        <v/>
      </c>
      <c r="I328" t="str">
        <f>IF(MSE成绩库!C328="","", MSE成绩库!I328)</f>
        <v/>
      </c>
      <c r="J328" t="str">
        <f>IF(MSE成绩库!C328="","", MSE成绩库!J328)</f>
        <v/>
      </c>
      <c r="K328" t="str">
        <f>IF(MSE成绩库!C328="","", MSE成绩库!K328)</f>
        <v/>
      </c>
      <c r="L328" t="str">
        <f>IF(MSE成绩库!C328="","", MSE成绩库!M328)</f>
        <v/>
      </c>
      <c r="M328" t="str">
        <f>IF(MSE成绩库!C328="","", MSE成绩库!N328)</f>
        <v/>
      </c>
      <c r="N328" t="str">
        <f>IF(MSE成绩库!C328="","", MSE成绩库!O328)</f>
        <v/>
      </c>
      <c r="O328" t="str">
        <f>IF(MSE成绩库!C328="","", MSE成绩库!Q328)</f>
        <v/>
      </c>
      <c r="P328" t="str">
        <f>IF(MSE成绩库!C328="","", MSE成绩库!R328)</f>
        <v/>
      </c>
      <c r="Q328" t="str">
        <f>IF(MSE成绩库!C328="","", MSE成绩库!S328)</f>
        <v/>
      </c>
      <c r="R328" t="str">
        <f>IF(MSE成绩库!C328="","", MSE成绩库!T328)</f>
        <v/>
      </c>
      <c r="S328" t="str">
        <f>IF(MSE成绩库!C328="","", MSE成绩库!U328)</f>
        <v/>
      </c>
      <c r="T328" t="str">
        <f>IF(MSE成绩库!C328="","", MSE成绩库!V328)</f>
        <v/>
      </c>
      <c r="U328" t="str">
        <f>IF(MSE成绩库!C328="","", MSE成绩库!X328)</f>
        <v/>
      </c>
      <c r="V328" t="str">
        <f>IF(MSE成绩库!C328="","", MSE成绩库!Y328)</f>
        <v/>
      </c>
      <c r="W328" t="str">
        <f>IF(MSE成绩库!C328="","", MSE成绩库!Z328)</f>
        <v/>
      </c>
      <c r="X328" t="str">
        <f>IF(MSE成绩库!C328="","", MSE成绩库!AA328)</f>
        <v/>
      </c>
      <c r="Y328" t="str">
        <f>IF(MSE成绩库!C328="","", MSE成绩库!AB328)</f>
        <v/>
      </c>
      <c r="Z328" t="str">
        <f>IF(MSE成绩库!C328="","", MSE成绩库!AC328)</f>
        <v/>
      </c>
    </row>
    <row r="329" spans="1:26" x14ac:dyDescent="0.2">
      <c r="A329" t="str">
        <f>IF(MSE成绩库!C329="","", MSE成绩库!C329)</f>
        <v/>
      </c>
      <c r="B329" t="str">
        <f>IF(MSE成绩库!AD329="","", MSE成绩库!AD329)</f>
        <v/>
      </c>
      <c r="C329" t="str">
        <f>IF(MSE成绩库!B329="","", MSE成绩库!B329)</f>
        <v/>
      </c>
      <c r="D329" t="str">
        <f>IF(MSE成绩库!D329="","", MSE成绩库!D329)</f>
        <v/>
      </c>
      <c r="E329" t="str">
        <f>IF(MSE成绩库!C329="","", MSE成绩库!E329)</f>
        <v/>
      </c>
      <c r="F329" t="str">
        <f>IF(MSE成绩库!C329="","", MSE成绩库!F329)</f>
        <v/>
      </c>
      <c r="G329" t="str">
        <f>IF(MSE成绩库!C329="","", MSE成绩库!G329)</f>
        <v/>
      </c>
      <c r="H329" t="str">
        <f>IF(MSE成绩库!C329="","", MSE成绩库!H329)</f>
        <v/>
      </c>
      <c r="I329" t="str">
        <f>IF(MSE成绩库!C329="","", MSE成绩库!I329)</f>
        <v/>
      </c>
      <c r="J329" t="str">
        <f>IF(MSE成绩库!C329="","", MSE成绩库!J329)</f>
        <v/>
      </c>
      <c r="K329" t="str">
        <f>IF(MSE成绩库!C329="","", MSE成绩库!K329)</f>
        <v/>
      </c>
      <c r="L329" t="str">
        <f>IF(MSE成绩库!C329="","", MSE成绩库!M329)</f>
        <v/>
      </c>
      <c r="M329" t="str">
        <f>IF(MSE成绩库!C329="","", MSE成绩库!N329)</f>
        <v/>
      </c>
      <c r="N329" t="str">
        <f>IF(MSE成绩库!C329="","", MSE成绩库!O329)</f>
        <v/>
      </c>
      <c r="O329" t="str">
        <f>IF(MSE成绩库!C329="","", MSE成绩库!Q329)</f>
        <v/>
      </c>
      <c r="P329" t="str">
        <f>IF(MSE成绩库!C329="","", MSE成绩库!R329)</f>
        <v/>
      </c>
      <c r="Q329" t="str">
        <f>IF(MSE成绩库!C329="","", MSE成绩库!S329)</f>
        <v/>
      </c>
      <c r="R329" t="str">
        <f>IF(MSE成绩库!C329="","", MSE成绩库!T329)</f>
        <v/>
      </c>
      <c r="S329" t="str">
        <f>IF(MSE成绩库!C329="","", MSE成绩库!U329)</f>
        <v/>
      </c>
      <c r="T329" t="str">
        <f>IF(MSE成绩库!C329="","", MSE成绩库!V329)</f>
        <v/>
      </c>
      <c r="U329" t="str">
        <f>IF(MSE成绩库!C329="","", MSE成绩库!X329)</f>
        <v/>
      </c>
      <c r="V329" t="str">
        <f>IF(MSE成绩库!C329="","", MSE成绩库!Y329)</f>
        <v/>
      </c>
      <c r="W329" t="str">
        <f>IF(MSE成绩库!C329="","", MSE成绩库!Z329)</f>
        <v/>
      </c>
      <c r="X329" t="str">
        <f>IF(MSE成绩库!C329="","", MSE成绩库!AA329)</f>
        <v/>
      </c>
      <c r="Y329" t="str">
        <f>IF(MSE成绩库!C329="","", MSE成绩库!AB329)</f>
        <v/>
      </c>
      <c r="Z329" t="str">
        <f>IF(MSE成绩库!C329="","", MSE成绩库!AC329)</f>
        <v/>
      </c>
    </row>
    <row r="330" spans="1:26" x14ac:dyDescent="0.2">
      <c r="A330" t="str">
        <f>IF(MSE成绩库!C330="","", MSE成绩库!C330)</f>
        <v/>
      </c>
      <c r="B330" t="str">
        <f>IF(MSE成绩库!AD330="","", MSE成绩库!AD330)</f>
        <v/>
      </c>
      <c r="C330" t="str">
        <f>IF(MSE成绩库!B330="","", MSE成绩库!B330)</f>
        <v/>
      </c>
      <c r="D330" t="str">
        <f>IF(MSE成绩库!D330="","", MSE成绩库!D330)</f>
        <v/>
      </c>
      <c r="E330" t="str">
        <f>IF(MSE成绩库!C330="","", MSE成绩库!E330)</f>
        <v/>
      </c>
      <c r="F330" t="str">
        <f>IF(MSE成绩库!C330="","", MSE成绩库!F330)</f>
        <v/>
      </c>
      <c r="G330" t="str">
        <f>IF(MSE成绩库!C330="","", MSE成绩库!G330)</f>
        <v/>
      </c>
      <c r="H330" t="str">
        <f>IF(MSE成绩库!C330="","", MSE成绩库!H330)</f>
        <v/>
      </c>
      <c r="I330" t="str">
        <f>IF(MSE成绩库!C330="","", MSE成绩库!I330)</f>
        <v/>
      </c>
      <c r="J330" t="str">
        <f>IF(MSE成绩库!C330="","", MSE成绩库!J330)</f>
        <v/>
      </c>
      <c r="K330" t="str">
        <f>IF(MSE成绩库!C330="","", MSE成绩库!K330)</f>
        <v/>
      </c>
      <c r="L330" t="str">
        <f>IF(MSE成绩库!C330="","", MSE成绩库!M330)</f>
        <v/>
      </c>
      <c r="M330" t="str">
        <f>IF(MSE成绩库!C330="","", MSE成绩库!N330)</f>
        <v/>
      </c>
      <c r="N330" t="str">
        <f>IF(MSE成绩库!C330="","", MSE成绩库!O330)</f>
        <v/>
      </c>
      <c r="O330" t="str">
        <f>IF(MSE成绩库!C330="","", MSE成绩库!Q330)</f>
        <v/>
      </c>
      <c r="P330" t="str">
        <f>IF(MSE成绩库!C330="","", MSE成绩库!R330)</f>
        <v/>
      </c>
      <c r="Q330" t="str">
        <f>IF(MSE成绩库!C330="","", MSE成绩库!S330)</f>
        <v/>
      </c>
      <c r="R330" t="str">
        <f>IF(MSE成绩库!C330="","", MSE成绩库!T330)</f>
        <v/>
      </c>
      <c r="S330" t="str">
        <f>IF(MSE成绩库!C330="","", MSE成绩库!U330)</f>
        <v/>
      </c>
      <c r="T330" t="str">
        <f>IF(MSE成绩库!C330="","", MSE成绩库!V330)</f>
        <v/>
      </c>
      <c r="U330" t="str">
        <f>IF(MSE成绩库!C330="","", MSE成绩库!X330)</f>
        <v/>
      </c>
      <c r="V330" t="str">
        <f>IF(MSE成绩库!C330="","", MSE成绩库!Y330)</f>
        <v/>
      </c>
      <c r="W330" t="str">
        <f>IF(MSE成绩库!C330="","", MSE成绩库!Z330)</f>
        <v/>
      </c>
      <c r="X330" t="str">
        <f>IF(MSE成绩库!C330="","", MSE成绩库!AA330)</f>
        <v/>
      </c>
      <c r="Y330" t="str">
        <f>IF(MSE成绩库!C330="","", MSE成绩库!AB330)</f>
        <v/>
      </c>
      <c r="Z330" t="str">
        <f>IF(MSE成绩库!C330="","", MSE成绩库!AC330)</f>
        <v/>
      </c>
    </row>
    <row r="331" spans="1:26" x14ac:dyDescent="0.2">
      <c r="A331" t="str">
        <f>IF(MSE成绩库!C331="","", MSE成绩库!C331)</f>
        <v/>
      </c>
      <c r="B331" t="str">
        <f>IF(MSE成绩库!AD331="","", MSE成绩库!AD331)</f>
        <v/>
      </c>
      <c r="C331" t="str">
        <f>IF(MSE成绩库!B331="","", MSE成绩库!B331)</f>
        <v/>
      </c>
      <c r="D331" t="str">
        <f>IF(MSE成绩库!D331="","", MSE成绩库!D331)</f>
        <v/>
      </c>
      <c r="E331" t="str">
        <f>IF(MSE成绩库!C331="","", MSE成绩库!E331)</f>
        <v/>
      </c>
      <c r="F331" t="str">
        <f>IF(MSE成绩库!C331="","", MSE成绩库!F331)</f>
        <v/>
      </c>
      <c r="G331" t="str">
        <f>IF(MSE成绩库!C331="","", MSE成绩库!G331)</f>
        <v/>
      </c>
      <c r="H331" t="str">
        <f>IF(MSE成绩库!C331="","", MSE成绩库!H331)</f>
        <v/>
      </c>
      <c r="I331" t="str">
        <f>IF(MSE成绩库!C331="","", MSE成绩库!I331)</f>
        <v/>
      </c>
      <c r="J331" t="str">
        <f>IF(MSE成绩库!C331="","", MSE成绩库!J331)</f>
        <v/>
      </c>
      <c r="K331" t="str">
        <f>IF(MSE成绩库!C331="","", MSE成绩库!K331)</f>
        <v/>
      </c>
      <c r="L331" t="str">
        <f>IF(MSE成绩库!C331="","", MSE成绩库!M331)</f>
        <v/>
      </c>
      <c r="M331" t="str">
        <f>IF(MSE成绩库!C331="","", MSE成绩库!N331)</f>
        <v/>
      </c>
      <c r="N331" t="str">
        <f>IF(MSE成绩库!C331="","", MSE成绩库!O331)</f>
        <v/>
      </c>
      <c r="O331" t="str">
        <f>IF(MSE成绩库!C331="","", MSE成绩库!Q331)</f>
        <v/>
      </c>
      <c r="P331" t="str">
        <f>IF(MSE成绩库!C331="","", MSE成绩库!R331)</f>
        <v/>
      </c>
      <c r="Q331" t="str">
        <f>IF(MSE成绩库!C331="","", MSE成绩库!S331)</f>
        <v/>
      </c>
      <c r="R331" t="str">
        <f>IF(MSE成绩库!C331="","", MSE成绩库!T331)</f>
        <v/>
      </c>
      <c r="S331" t="str">
        <f>IF(MSE成绩库!C331="","", MSE成绩库!U331)</f>
        <v/>
      </c>
      <c r="T331" t="str">
        <f>IF(MSE成绩库!C331="","", MSE成绩库!V331)</f>
        <v/>
      </c>
      <c r="U331" t="str">
        <f>IF(MSE成绩库!C331="","", MSE成绩库!X331)</f>
        <v/>
      </c>
      <c r="V331" t="str">
        <f>IF(MSE成绩库!C331="","", MSE成绩库!Y331)</f>
        <v/>
      </c>
      <c r="W331" t="str">
        <f>IF(MSE成绩库!C331="","", MSE成绩库!Z331)</f>
        <v/>
      </c>
      <c r="X331" t="str">
        <f>IF(MSE成绩库!C331="","", MSE成绩库!AA331)</f>
        <v/>
      </c>
      <c r="Y331" t="str">
        <f>IF(MSE成绩库!C331="","", MSE成绩库!AB331)</f>
        <v/>
      </c>
      <c r="Z331" t="str">
        <f>IF(MSE成绩库!C331="","", MSE成绩库!AC331)</f>
        <v/>
      </c>
    </row>
    <row r="332" spans="1:26" x14ac:dyDescent="0.2">
      <c r="A332" t="str">
        <f>IF(MSE成绩库!C332="","", MSE成绩库!C332)</f>
        <v/>
      </c>
      <c r="B332" t="str">
        <f>IF(MSE成绩库!AD332="","", MSE成绩库!AD332)</f>
        <v/>
      </c>
      <c r="C332" t="str">
        <f>IF(MSE成绩库!B332="","", MSE成绩库!B332)</f>
        <v/>
      </c>
      <c r="D332" t="str">
        <f>IF(MSE成绩库!D332="","", MSE成绩库!D332)</f>
        <v/>
      </c>
      <c r="E332" t="str">
        <f>IF(MSE成绩库!C332="","", MSE成绩库!E332)</f>
        <v/>
      </c>
      <c r="F332" t="str">
        <f>IF(MSE成绩库!C332="","", MSE成绩库!F332)</f>
        <v/>
      </c>
      <c r="G332" t="str">
        <f>IF(MSE成绩库!C332="","", MSE成绩库!G332)</f>
        <v/>
      </c>
      <c r="H332" t="str">
        <f>IF(MSE成绩库!C332="","", MSE成绩库!H332)</f>
        <v/>
      </c>
      <c r="I332" t="str">
        <f>IF(MSE成绩库!C332="","", MSE成绩库!I332)</f>
        <v/>
      </c>
      <c r="J332" t="str">
        <f>IF(MSE成绩库!C332="","", MSE成绩库!J332)</f>
        <v/>
      </c>
      <c r="K332" t="str">
        <f>IF(MSE成绩库!C332="","", MSE成绩库!K332)</f>
        <v/>
      </c>
      <c r="L332" t="str">
        <f>IF(MSE成绩库!C332="","", MSE成绩库!M332)</f>
        <v/>
      </c>
      <c r="M332" t="str">
        <f>IF(MSE成绩库!C332="","", MSE成绩库!N332)</f>
        <v/>
      </c>
      <c r="N332" t="str">
        <f>IF(MSE成绩库!C332="","", MSE成绩库!O332)</f>
        <v/>
      </c>
      <c r="O332" t="str">
        <f>IF(MSE成绩库!C332="","", MSE成绩库!Q332)</f>
        <v/>
      </c>
      <c r="P332" t="str">
        <f>IF(MSE成绩库!C332="","", MSE成绩库!R332)</f>
        <v/>
      </c>
      <c r="Q332" t="str">
        <f>IF(MSE成绩库!C332="","", MSE成绩库!S332)</f>
        <v/>
      </c>
      <c r="R332" t="str">
        <f>IF(MSE成绩库!C332="","", MSE成绩库!T332)</f>
        <v/>
      </c>
      <c r="S332" t="str">
        <f>IF(MSE成绩库!C332="","", MSE成绩库!U332)</f>
        <v/>
      </c>
      <c r="T332" t="str">
        <f>IF(MSE成绩库!C332="","", MSE成绩库!V332)</f>
        <v/>
      </c>
      <c r="U332" t="str">
        <f>IF(MSE成绩库!C332="","", MSE成绩库!X332)</f>
        <v/>
      </c>
      <c r="V332" t="str">
        <f>IF(MSE成绩库!C332="","", MSE成绩库!Y332)</f>
        <v/>
      </c>
      <c r="W332" t="str">
        <f>IF(MSE成绩库!C332="","", MSE成绩库!Z332)</f>
        <v/>
      </c>
      <c r="X332" t="str">
        <f>IF(MSE成绩库!C332="","", MSE成绩库!AA332)</f>
        <v/>
      </c>
      <c r="Y332" t="str">
        <f>IF(MSE成绩库!C332="","", MSE成绩库!AB332)</f>
        <v/>
      </c>
      <c r="Z332" t="str">
        <f>IF(MSE成绩库!C332="","", MSE成绩库!AC332)</f>
        <v/>
      </c>
    </row>
    <row r="333" spans="1:26" x14ac:dyDescent="0.2">
      <c r="A333" t="str">
        <f>IF(MSE成绩库!C333="","", MSE成绩库!C333)</f>
        <v/>
      </c>
      <c r="B333" t="str">
        <f>IF(MSE成绩库!AD333="","", MSE成绩库!AD333)</f>
        <v/>
      </c>
      <c r="C333" t="str">
        <f>IF(MSE成绩库!B333="","", MSE成绩库!B333)</f>
        <v/>
      </c>
      <c r="D333" t="str">
        <f>IF(MSE成绩库!D333="","", MSE成绩库!D333)</f>
        <v/>
      </c>
      <c r="E333" t="str">
        <f>IF(MSE成绩库!C333="","", MSE成绩库!E333)</f>
        <v/>
      </c>
      <c r="F333" t="str">
        <f>IF(MSE成绩库!C333="","", MSE成绩库!F333)</f>
        <v/>
      </c>
      <c r="G333" t="str">
        <f>IF(MSE成绩库!C333="","", MSE成绩库!G333)</f>
        <v/>
      </c>
      <c r="H333" t="str">
        <f>IF(MSE成绩库!C333="","", MSE成绩库!H333)</f>
        <v/>
      </c>
      <c r="I333" t="str">
        <f>IF(MSE成绩库!C333="","", MSE成绩库!I333)</f>
        <v/>
      </c>
      <c r="J333" t="str">
        <f>IF(MSE成绩库!C333="","", MSE成绩库!J333)</f>
        <v/>
      </c>
      <c r="K333" t="str">
        <f>IF(MSE成绩库!C333="","", MSE成绩库!K333)</f>
        <v/>
      </c>
      <c r="L333" t="str">
        <f>IF(MSE成绩库!C333="","", MSE成绩库!M333)</f>
        <v/>
      </c>
      <c r="M333" t="str">
        <f>IF(MSE成绩库!C333="","", MSE成绩库!N333)</f>
        <v/>
      </c>
      <c r="N333" t="str">
        <f>IF(MSE成绩库!C333="","", MSE成绩库!O333)</f>
        <v/>
      </c>
      <c r="O333" t="str">
        <f>IF(MSE成绩库!C333="","", MSE成绩库!Q333)</f>
        <v/>
      </c>
      <c r="P333" t="str">
        <f>IF(MSE成绩库!C333="","", MSE成绩库!R333)</f>
        <v/>
      </c>
      <c r="Q333" t="str">
        <f>IF(MSE成绩库!C333="","", MSE成绩库!S333)</f>
        <v/>
      </c>
      <c r="R333" t="str">
        <f>IF(MSE成绩库!C333="","", MSE成绩库!T333)</f>
        <v/>
      </c>
      <c r="S333" t="str">
        <f>IF(MSE成绩库!C333="","", MSE成绩库!U333)</f>
        <v/>
      </c>
      <c r="T333" t="str">
        <f>IF(MSE成绩库!C333="","", MSE成绩库!V333)</f>
        <v/>
      </c>
      <c r="U333" t="str">
        <f>IF(MSE成绩库!C333="","", MSE成绩库!X333)</f>
        <v/>
      </c>
      <c r="V333" t="str">
        <f>IF(MSE成绩库!C333="","", MSE成绩库!Y333)</f>
        <v/>
      </c>
      <c r="W333" t="str">
        <f>IF(MSE成绩库!C333="","", MSE成绩库!Z333)</f>
        <v/>
      </c>
      <c r="X333" t="str">
        <f>IF(MSE成绩库!C333="","", MSE成绩库!AA333)</f>
        <v/>
      </c>
      <c r="Y333" t="str">
        <f>IF(MSE成绩库!C333="","", MSE成绩库!AB333)</f>
        <v/>
      </c>
      <c r="Z333" t="str">
        <f>IF(MSE成绩库!C333="","", MSE成绩库!AC333)</f>
        <v/>
      </c>
    </row>
    <row r="334" spans="1:26" x14ac:dyDescent="0.2">
      <c r="A334" t="str">
        <f>IF(MSE成绩库!C334="","", MSE成绩库!C334)</f>
        <v/>
      </c>
      <c r="B334" t="str">
        <f>IF(MSE成绩库!AD334="","", MSE成绩库!AD334)</f>
        <v/>
      </c>
      <c r="C334" t="str">
        <f>IF(MSE成绩库!B334="","", MSE成绩库!B334)</f>
        <v/>
      </c>
      <c r="D334" t="str">
        <f>IF(MSE成绩库!D334="","", MSE成绩库!D334)</f>
        <v/>
      </c>
      <c r="E334" t="str">
        <f>IF(MSE成绩库!C334="","", MSE成绩库!E334)</f>
        <v/>
      </c>
      <c r="F334" t="str">
        <f>IF(MSE成绩库!C334="","", MSE成绩库!F334)</f>
        <v/>
      </c>
      <c r="G334" t="str">
        <f>IF(MSE成绩库!C334="","", MSE成绩库!G334)</f>
        <v/>
      </c>
      <c r="H334" t="str">
        <f>IF(MSE成绩库!C334="","", MSE成绩库!H334)</f>
        <v/>
      </c>
      <c r="I334" t="str">
        <f>IF(MSE成绩库!C334="","", MSE成绩库!I334)</f>
        <v/>
      </c>
      <c r="J334" t="str">
        <f>IF(MSE成绩库!C334="","", MSE成绩库!J334)</f>
        <v/>
      </c>
      <c r="K334" t="str">
        <f>IF(MSE成绩库!C334="","", MSE成绩库!K334)</f>
        <v/>
      </c>
      <c r="L334" t="str">
        <f>IF(MSE成绩库!C334="","", MSE成绩库!M334)</f>
        <v/>
      </c>
      <c r="M334" t="str">
        <f>IF(MSE成绩库!C334="","", MSE成绩库!N334)</f>
        <v/>
      </c>
      <c r="N334" t="str">
        <f>IF(MSE成绩库!C334="","", MSE成绩库!O334)</f>
        <v/>
      </c>
      <c r="O334" t="str">
        <f>IF(MSE成绩库!C334="","", MSE成绩库!Q334)</f>
        <v/>
      </c>
      <c r="P334" t="str">
        <f>IF(MSE成绩库!C334="","", MSE成绩库!R334)</f>
        <v/>
      </c>
      <c r="Q334" t="str">
        <f>IF(MSE成绩库!C334="","", MSE成绩库!S334)</f>
        <v/>
      </c>
      <c r="R334" t="str">
        <f>IF(MSE成绩库!C334="","", MSE成绩库!T334)</f>
        <v/>
      </c>
      <c r="S334" t="str">
        <f>IF(MSE成绩库!C334="","", MSE成绩库!U334)</f>
        <v/>
      </c>
      <c r="T334" t="str">
        <f>IF(MSE成绩库!C334="","", MSE成绩库!V334)</f>
        <v/>
      </c>
      <c r="U334" t="str">
        <f>IF(MSE成绩库!C334="","", MSE成绩库!X334)</f>
        <v/>
      </c>
      <c r="V334" t="str">
        <f>IF(MSE成绩库!C334="","", MSE成绩库!Y334)</f>
        <v/>
      </c>
      <c r="W334" t="str">
        <f>IF(MSE成绩库!C334="","", MSE成绩库!Z334)</f>
        <v/>
      </c>
      <c r="X334" t="str">
        <f>IF(MSE成绩库!C334="","", MSE成绩库!AA334)</f>
        <v/>
      </c>
      <c r="Y334" t="str">
        <f>IF(MSE成绩库!C334="","", MSE成绩库!AB334)</f>
        <v/>
      </c>
      <c r="Z334" t="str">
        <f>IF(MSE成绩库!C334="","", MSE成绩库!AC334)</f>
        <v/>
      </c>
    </row>
    <row r="335" spans="1:26" x14ac:dyDescent="0.2">
      <c r="A335" t="str">
        <f>IF(MSE成绩库!C335="","", MSE成绩库!C335)</f>
        <v/>
      </c>
      <c r="B335" t="str">
        <f>IF(MSE成绩库!AD335="","", MSE成绩库!AD335)</f>
        <v/>
      </c>
      <c r="C335" t="str">
        <f>IF(MSE成绩库!B335="","", MSE成绩库!B335)</f>
        <v/>
      </c>
      <c r="D335" t="str">
        <f>IF(MSE成绩库!D335="","", MSE成绩库!D335)</f>
        <v/>
      </c>
      <c r="E335" t="str">
        <f>IF(MSE成绩库!C335="","", MSE成绩库!E335)</f>
        <v/>
      </c>
      <c r="F335" t="str">
        <f>IF(MSE成绩库!C335="","", MSE成绩库!F335)</f>
        <v/>
      </c>
      <c r="G335" t="str">
        <f>IF(MSE成绩库!C335="","", MSE成绩库!G335)</f>
        <v/>
      </c>
      <c r="H335" t="str">
        <f>IF(MSE成绩库!C335="","", MSE成绩库!H335)</f>
        <v/>
      </c>
      <c r="I335" t="str">
        <f>IF(MSE成绩库!C335="","", MSE成绩库!I335)</f>
        <v/>
      </c>
      <c r="J335" t="str">
        <f>IF(MSE成绩库!C335="","", MSE成绩库!J335)</f>
        <v/>
      </c>
      <c r="K335" t="str">
        <f>IF(MSE成绩库!C335="","", MSE成绩库!K335)</f>
        <v/>
      </c>
      <c r="L335" t="str">
        <f>IF(MSE成绩库!C335="","", MSE成绩库!M335)</f>
        <v/>
      </c>
      <c r="M335" t="str">
        <f>IF(MSE成绩库!C335="","", MSE成绩库!N335)</f>
        <v/>
      </c>
      <c r="N335" t="str">
        <f>IF(MSE成绩库!C335="","", MSE成绩库!O335)</f>
        <v/>
      </c>
      <c r="O335" t="str">
        <f>IF(MSE成绩库!C335="","", MSE成绩库!Q335)</f>
        <v/>
      </c>
      <c r="P335" t="str">
        <f>IF(MSE成绩库!C335="","", MSE成绩库!R335)</f>
        <v/>
      </c>
      <c r="Q335" t="str">
        <f>IF(MSE成绩库!C335="","", MSE成绩库!S335)</f>
        <v/>
      </c>
      <c r="R335" t="str">
        <f>IF(MSE成绩库!C335="","", MSE成绩库!T335)</f>
        <v/>
      </c>
      <c r="S335" t="str">
        <f>IF(MSE成绩库!C335="","", MSE成绩库!U335)</f>
        <v/>
      </c>
      <c r="T335" t="str">
        <f>IF(MSE成绩库!C335="","", MSE成绩库!V335)</f>
        <v/>
      </c>
      <c r="U335" t="str">
        <f>IF(MSE成绩库!C335="","", MSE成绩库!X335)</f>
        <v/>
      </c>
      <c r="V335" t="str">
        <f>IF(MSE成绩库!C335="","", MSE成绩库!Y335)</f>
        <v/>
      </c>
      <c r="W335" t="str">
        <f>IF(MSE成绩库!C335="","", MSE成绩库!Z335)</f>
        <v/>
      </c>
      <c r="X335" t="str">
        <f>IF(MSE成绩库!C335="","", MSE成绩库!AA335)</f>
        <v/>
      </c>
      <c r="Y335" t="str">
        <f>IF(MSE成绩库!C335="","", MSE成绩库!AB335)</f>
        <v/>
      </c>
      <c r="Z335" t="str">
        <f>IF(MSE成绩库!C335="","", MSE成绩库!AC335)</f>
        <v/>
      </c>
    </row>
    <row r="336" spans="1:26" x14ac:dyDescent="0.2">
      <c r="A336" t="str">
        <f>IF(MSE成绩库!C336="","", MSE成绩库!C336)</f>
        <v/>
      </c>
      <c r="B336" t="str">
        <f>IF(MSE成绩库!AD336="","", MSE成绩库!AD336)</f>
        <v/>
      </c>
      <c r="C336" t="str">
        <f>IF(MSE成绩库!B336="","", MSE成绩库!B336)</f>
        <v/>
      </c>
      <c r="D336" t="str">
        <f>IF(MSE成绩库!D336="","", MSE成绩库!D336)</f>
        <v/>
      </c>
      <c r="E336" t="str">
        <f>IF(MSE成绩库!C336="","", MSE成绩库!E336)</f>
        <v/>
      </c>
      <c r="F336" t="str">
        <f>IF(MSE成绩库!C336="","", MSE成绩库!F336)</f>
        <v/>
      </c>
      <c r="G336" t="str">
        <f>IF(MSE成绩库!C336="","", MSE成绩库!G336)</f>
        <v/>
      </c>
      <c r="H336" t="str">
        <f>IF(MSE成绩库!C336="","", MSE成绩库!H336)</f>
        <v/>
      </c>
      <c r="I336" t="str">
        <f>IF(MSE成绩库!C336="","", MSE成绩库!I336)</f>
        <v/>
      </c>
      <c r="J336" t="str">
        <f>IF(MSE成绩库!C336="","", MSE成绩库!J336)</f>
        <v/>
      </c>
      <c r="K336" t="str">
        <f>IF(MSE成绩库!C336="","", MSE成绩库!K336)</f>
        <v/>
      </c>
      <c r="L336" t="str">
        <f>IF(MSE成绩库!C336="","", MSE成绩库!M336)</f>
        <v/>
      </c>
      <c r="M336" t="str">
        <f>IF(MSE成绩库!C336="","", MSE成绩库!N336)</f>
        <v/>
      </c>
      <c r="N336" t="str">
        <f>IF(MSE成绩库!C336="","", MSE成绩库!O336)</f>
        <v/>
      </c>
      <c r="O336" t="str">
        <f>IF(MSE成绩库!C336="","", MSE成绩库!Q336)</f>
        <v/>
      </c>
      <c r="P336" t="str">
        <f>IF(MSE成绩库!C336="","", MSE成绩库!R336)</f>
        <v/>
      </c>
      <c r="Q336" t="str">
        <f>IF(MSE成绩库!C336="","", MSE成绩库!S336)</f>
        <v/>
      </c>
      <c r="R336" t="str">
        <f>IF(MSE成绩库!C336="","", MSE成绩库!T336)</f>
        <v/>
      </c>
      <c r="S336" t="str">
        <f>IF(MSE成绩库!C336="","", MSE成绩库!U336)</f>
        <v/>
      </c>
      <c r="T336" t="str">
        <f>IF(MSE成绩库!C336="","", MSE成绩库!V336)</f>
        <v/>
      </c>
      <c r="U336" t="str">
        <f>IF(MSE成绩库!C336="","", MSE成绩库!X336)</f>
        <v/>
      </c>
      <c r="V336" t="str">
        <f>IF(MSE成绩库!C336="","", MSE成绩库!Y336)</f>
        <v/>
      </c>
      <c r="W336" t="str">
        <f>IF(MSE成绩库!C336="","", MSE成绩库!Z336)</f>
        <v/>
      </c>
      <c r="X336" t="str">
        <f>IF(MSE成绩库!C336="","", MSE成绩库!AA336)</f>
        <v/>
      </c>
      <c r="Y336" t="str">
        <f>IF(MSE成绩库!C336="","", MSE成绩库!AB336)</f>
        <v/>
      </c>
      <c r="Z336" t="str">
        <f>IF(MSE成绩库!C336="","", MSE成绩库!AC336)</f>
        <v/>
      </c>
    </row>
    <row r="337" spans="1:26" x14ac:dyDescent="0.2">
      <c r="A337" t="str">
        <f>IF(MSE成绩库!C337="","", MSE成绩库!C337)</f>
        <v/>
      </c>
      <c r="B337" t="str">
        <f>IF(MSE成绩库!AD337="","", MSE成绩库!AD337)</f>
        <v/>
      </c>
      <c r="C337" t="str">
        <f>IF(MSE成绩库!B337="","", MSE成绩库!B337)</f>
        <v/>
      </c>
      <c r="D337" t="str">
        <f>IF(MSE成绩库!D337="","", MSE成绩库!D337)</f>
        <v/>
      </c>
      <c r="E337" t="str">
        <f>IF(MSE成绩库!C337="","", MSE成绩库!E337)</f>
        <v/>
      </c>
      <c r="F337" t="str">
        <f>IF(MSE成绩库!C337="","", MSE成绩库!F337)</f>
        <v/>
      </c>
      <c r="G337" t="str">
        <f>IF(MSE成绩库!C337="","", MSE成绩库!G337)</f>
        <v/>
      </c>
      <c r="H337" t="str">
        <f>IF(MSE成绩库!C337="","", MSE成绩库!H337)</f>
        <v/>
      </c>
      <c r="I337" t="str">
        <f>IF(MSE成绩库!C337="","", MSE成绩库!I337)</f>
        <v/>
      </c>
      <c r="J337" t="str">
        <f>IF(MSE成绩库!C337="","", MSE成绩库!J337)</f>
        <v/>
      </c>
      <c r="K337" t="str">
        <f>IF(MSE成绩库!C337="","", MSE成绩库!K337)</f>
        <v/>
      </c>
      <c r="L337" t="str">
        <f>IF(MSE成绩库!C337="","", MSE成绩库!M337)</f>
        <v/>
      </c>
      <c r="M337" t="str">
        <f>IF(MSE成绩库!C337="","", MSE成绩库!N337)</f>
        <v/>
      </c>
      <c r="N337" t="str">
        <f>IF(MSE成绩库!C337="","", MSE成绩库!O337)</f>
        <v/>
      </c>
      <c r="O337" t="str">
        <f>IF(MSE成绩库!C337="","", MSE成绩库!Q337)</f>
        <v/>
      </c>
      <c r="P337" t="str">
        <f>IF(MSE成绩库!C337="","", MSE成绩库!R337)</f>
        <v/>
      </c>
      <c r="Q337" t="str">
        <f>IF(MSE成绩库!C337="","", MSE成绩库!S337)</f>
        <v/>
      </c>
      <c r="R337" t="str">
        <f>IF(MSE成绩库!C337="","", MSE成绩库!T337)</f>
        <v/>
      </c>
      <c r="S337" t="str">
        <f>IF(MSE成绩库!C337="","", MSE成绩库!U337)</f>
        <v/>
      </c>
      <c r="T337" t="str">
        <f>IF(MSE成绩库!C337="","", MSE成绩库!V337)</f>
        <v/>
      </c>
      <c r="U337" t="str">
        <f>IF(MSE成绩库!C337="","", MSE成绩库!X337)</f>
        <v/>
      </c>
      <c r="V337" t="str">
        <f>IF(MSE成绩库!C337="","", MSE成绩库!Y337)</f>
        <v/>
      </c>
      <c r="W337" t="str">
        <f>IF(MSE成绩库!C337="","", MSE成绩库!Z337)</f>
        <v/>
      </c>
      <c r="X337" t="str">
        <f>IF(MSE成绩库!C337="","", MSE成绩库!AA337)</f>
        <v/>
      </c>
      <c r="Y337" t="str">
        <f>IF(MSE成绩库!C337="","", MSE成绩库!AB337)</f>
        <v/>
      </c>
      <c r="Z337" t="str">
        <f>IF(MSE成绩库!C337="","", MSE成绩库!AC337)</f>
        <v/>
      </c>
    </row>
    <row r="338" spans="1:26" x14ac:dyDescent="0.2">
      <c r="A338" t="str">
        <f>IF(MSE成绩库!C338="","", MSE成绩库!C338)</f>
        <v/>
      </c>
      <c r="B338" t="str">
        <f>IF(MSE成绩库!AD338="","", MSE成绩库!AD338)</f>
        <v/>
      </c>
      <c r="C338" t="str">
        <f>IF(MSE成绩库!B338="","", MSE成绩库!B338)</f>
        <v/>
      </c>
      <c r="D338" t="str">
        <f>IF(MSE成绩库!D338="","", MSE成绩库!D338)</f>
        <v/>
      </c>
      <c r="E338" t="str">
        <f>IF(MSE成绩库!C338="","", MSE成绩库!E338)</f>
        <v/>
      </c>
      <c r="F338" t="str">
        <f>IF(MSE成绩库!C338="","", MSE成绩库!F338)</f>
        <v/>
      </c>
      <c r="G338" t="str">
        <f>IF(MSE成绩库!C338="","", MSE成绩库!G338)</f>
        <v/>
      </c>
      <c r="H338" t="str">
        <f>IF(MSE成绩库!C338="","", MSE成绩库!H338)</f>
        <v/>
      </c>
      <c r="I338" t="str">
        <f>IF(MSE成绩库!C338="","", MSE成绩库!I338)</f>
        <v/>
      </c>
      <c r="J338" t="str">
        <f>IF(MSE成绩库!C338="","", MSE成绩库!J338)</f>
        <v/>
      </c>
      <c r="K338" t="str">
        <f>IF(MSE成绩库!C338="","", MSE成绩库!K338)</f>
        <v/>
      </c>
      <c r="L338" t="str">
        <f>IF(MSE成绩库!C338="","", MSE成绩库!M338)</f>
        <v/>
      </c>
      <c r="M338" t="str">
        <f>IF(MSE成绩库!C338="","", MSE成绩库!N338)</f>
        <v/>
      </c>
      <c r="N338" t="str">
        <f>IF(MSE成绩库!C338="","", MSE成绩库!O338)</f>
        <v/>
      </c>
      <c r="O338" t="str">
        <f>IF(MSE成绩库!C338="","", MSE成绩库!Q338)</f>
        <v/>
      </c>
      <c r="P338" t="str">
        <f>IF(MSE成绩库!C338="","", MSE成绩库!R338)</f>
        <v/>
      </c>
      <c r="Q338" t="str">
        <f>IF(MSE成绩库!C338="","", MSE成绩库!S338)</f>
        <v/>
      </c>
      <c r="R338" t="str">
        <f>IF(MSE成绩库!C338="","", MSE成绩库!T338)</f>
        <v/>
      </c>
      <c r="S338" t="str">
        <f>IF(MSE成绩库!C338="","", MSE成绩库!U338)</f>
        <v/>
      </c>
      <c r="T338" t="str">
        <f>IF(MSE成绩库!C338="","", MSE成绩库!V338)</f>
        <v/>
      </c>
      <c r="U338" t="str">
        <f>IF(MSE成绩库!C338="","", MSE成绩库!X338)</f>
        <v/>
      </c>
      <c r="V338" t="str">
        <f>IF(MSE成绩库!C338="","", MSE成绩库!Y338)</f>
        <v/>
      </c>
      <c r="W338" t="str">
        <f>IF(MSE成绩库!C338="","", MSE成绩库!Z338)</f>
        <v/>
      </c>
      <c r="X338" t="str">
        <f>IF(MSE成绩库!C338="","", MSE成绩库!AA338)</f>
        <v/>
      </c>
      <c r="Y338" t="str">
        <f>IF(MSE成绩库!C338="","", MSE成绩库!AB338)</f>
        <v/>
      </c>
      <c r="Z338" t="str">
        <f>IF(MSE成绩库!C338="","", MSE成绩库!AC338)</f>
        <v/>
      </c>
    </row>
    <row r="339" spans="1:26" x14ac:dyDescent="0.2">
      <c r="A339" t="str">
        <f>IF(MSE成绩库!C339="","", MSE成绩库!C339)</f>
        <v/>
      </c>
      <c r="B339" t="str">
        <f>IF(MSE成绩库!AD339="","", MSE成绩库!AD339)</f>
        <v/>
      </c>
      <c r="C339" t="str">
        <f>IF(MSE成绩库!B339="","", MSE成绩库!B339)</f>
        <v/>
      </c>
      <c r="D339" t="str">
        <f>IF(MSE成绩库!D339="","", MSE成绩库!D339)</f>
        <v/>
      </c>
      <c r="E339" t="str">
        <f>IF(MSE成绩库!C339="","", MSE成绩库!E339)</f>
        <v/>
      </c>
      <c r="F339" t="str">
        <f>IF(MSE成绩库!C339="","", MSE成绩库!F339)</f>
        <v/>
      </c>
      <c r="G339" t="str">
        <f>IF(MSE成绩库!C339="","", MSE成绩库!G339)</f>
        <v/>
      </c>
      <c r="H339" t="str">
        <f>IF(MSE成绩库!C339="","", MSE成绩库!H339)</f>
        <v/>
      </c>
      <c r="I339" t="str">
        <f>IF(MSE成绩库!C339="","", MSE成绩库!I339)</f>
        <v/>
      </c>
      <c r="J339" t="str">
        <f>IF(MSE成绩库!C339="","", MSE成绩库!J339)</f>
        <v/>
      </c>
      <c r="K339" t="str">
        <f>IF(MSE成绩库!C339="","", MSE成绩库!K339)</f>
        <v/>
      </c>
      <c r="L339" t="str">
        <f>IF(MSE成绩库!C339="","", MSE成绩库!M339)</f>
        <v/>
      </c>
      <c r="M339" t="str">
        <f>IF(MSE成绩库!C339="","", MSE成绩库!N339)</f>
        <v/>
      </c>
      <c r="N339" t="str">
        <f>IF(MSE成绩库!C339="","", MSE成绩库!O339)</f>
        <v/>
      </c>
      <c r="O339" t="str">
        <f>IF(MSE成绩库!C339="","", MSE成绩库!Q339)</f>
        <v/>
      </c>
      <c r="P339" t="str">
        <f>IF(MSE成绩库!C339="","", MSE成绩库!R339)</f>
        <v/>
      </c>
      <c r="Q339" t="str">
        <f>IF(MSE成绩库!C339="","", MSE成绩库!S339)</f>
        <v/>
      </c>
      <c r="R339" t="str">
        <f>IF(MSE成绩库!C339="","", MSE成绩库!T339)</f>
        <v/>
      </c>
      <c r="S339" t="str">
        <f>IF(MSE成绩库!C339="","", MSE成绩库!U339)</f>
        <v/>
      </c>
      <c r="T339" t="str">
        <f>IF(MSE成绩库!C339="","", MSE成绩库!V339)</f>
        <v/>
      </c>
      <c r="U339" t="str">
        <f>IF(MSE成绩库!C339="","", MSE成绩库!X339)</f>
        <v/>
      </c>
      <c r="V339" t="str">
        <f>IF(MSE成绩库!C339="","", MSE成绩库!Y339)</f>
        <v/>
      </c>
      <c r="W339" t="str">
        <f>IF(MSE成绩库!C339="","", MSE成绩库!Z339)</f>
        <v/>
      </c>
      <c r="X339" t="str">
        <f>IF(MSE成绩库!C339="","", MSE成绩库!AA339)</f>
        <v/>
      </c>
      <c r="Y339" t="str">
        <f>IF(MSE成绩库!C339="","", MSE成绩库!AB339)</f>
        <v/>
      </c>
      <c r="Z339" t="str">
        <f>IF(MSE成绩库!C339="","", MSE成绩库!AC339)</f>
        <v/>
      </c>
    </row>
    <row r="340" spans="1:26" x14ac:dyDescent="0.2">
      <c r="A340" t="str">
        <f>IF(MSE成绩库!C340="","", MSE成绩库!C340)</f>
        <v/>
      </c>
      <c r="B340" t="str">
        <f>IF(MSE成绩库!AD340="","", MSE成绩库!AD340)</f>
        <v/>
      </c>
      <c r="C340" t="str">
        <f>IF(MSE成绩库!B340="","", MSE成绩库!B340)</f>
        <v/>
      </c>
      <c r="D340" t="str">
        <f>IF(MSE成绩库!D340="","", MSE成绩库!D340)</f>
        <v/>
      </c>
      <c r="E340" t="str">
        <f>IF(MSE成绩库!C340="","", MSE成绩库!E340)</f>
        <v/>
      </c>
      <c r="F340" t="str">
        <f>IF(MSE成绩库!C340="","", MSE成绩库!F340)</f>
        <v/>
      </c>
      <c r="G340" t="str">
        <f>IF(MSE成绩库!C340="","", MSE成绩库!G340)</f>
        <v/>
      </c>
      <c r="H340" t="str">
        <f>IF(MSE成绩库!C340="","", MSE成绩库!H340)</f>
        <v/>
      </c>
      <c r="I340" t="str">
        <f>IF(MSE成绩库!C340="","", MSE成绩库!I340)</f>
        <v/>
      </c>
      <c r="J340" t="str">
        <f>IF(MSE成绩库!C340="","", MSE成绩库!J340)</f>
        <v/>
      </c>
      <c r="K340" t="str">
        <f>IF(MSE成绩库!C340="","", MSE成绩库!K340)</f>
        <v/>
      </c>
      <c r="L340" t="str">
        <f>IF(MSE成绩库!C340="","", MSE成绩库!M340)</f>
        <v/>
      </c>
      <c r="M340" t="str">
        <f>IF(MSE成绩库!C340="","", MSE成绩库!N340)</f>
        <v/>
      </c>
      <c r="N340" t="str">
        <f>IF(MSE成绩库!C340="","", MSE成绩库!O340)</f>
        <v/>
      </c>
      <c r="O340" t="str">
        <f>IF(MSE成绩库!C340="","", MSE成绩库!Q340)</f>
        <v/>
      </c>
      <c r="P340" t="str">
        <f>IF(MSE成绩库!C340="","", MSE成绩库!R340)</f>
        <v/>
      </c>
      <c r="Q340" t="str">
        <f>IF(MSE成绩库!C340="","", MSE成绩库!S340)</f>
        <v/>
      </c>
      <c r="R340" t="str">
        <f>IF(MSE成绩库!C340="","", MSE成绩库!T340)</f>
        <v/>
      </c>
      <c r="S340" t="str">
        <f>IF(MSE成绩库!C340="","", MSE成绩库!U340)</f>
        <v/>
      </c>
      <c r="T340" t="str">
        <f>IF(MSE成绩库!C340="","", MSE成绩库!V340)</f>
        <v/>
      </c>
      <c r="U340" t="str">
        <f>IF(MSE成绩库!C340="","", MSE成绩库!X340)</f>
        <v/>
      </c>
      <c r="V340" t="str">
        <f>IF(MSE成绩库!C340="","", MSE成绩库!Y340)</f>
        <v/>
      </c>
      <c r="W340" t="str">
        <f>IF(MSE成绩库!C340="","", MSE成绩库!Z340)</f>
        <v/>
      </c>
      <c r="X340" t="str">
        <f>IF(MSE成绩库!C340="","", MSE成绩库!AA340)</f>
        <v/>
      </c>
      <c r="Y340" t="str">
        <f>IF(MSE成绩库!C340="","", MSE成绩库!AB340)</f>
        <v/>
      </c>
      <c r="Z340" t="str">
        <f>IF(MSE成绩库!C340="","", MSE成绩库!AC340)</f>
        <v/>
      </c>
    </row>
    <row r="341" spans="1:26" x14ac:dyDescent="0.2">
      <c r="A341" t="str">
        <f>IF(MSE成绩库!C341="","", MSE成绩库!C341)</f>
        <v/>
      </c>
      <c r="B341" t="str">
        <f>IF(MSE成绩库!AD341="","", MSE成绩库!AD341)</f>
        <v/>
      </c>
      <c r="C341" t="str">
        <f>IF(MSE成绩库!B341="","", MSE成绩库!B341)</f>
        <v/>
      </c>
      <c r="D341" t="str">
        <f>IF(MSE成绩库!D341="","", MSE成绩库!D341)</f>
        <v/>
      </c>
      <c r="E341" t="str">
        <f>IF(MSE成绩库!C341="","", MSE成绩库!E341)</f>
        <v/>
      </c>
      <c r="F341" t="str">
        <f>IF(MSE成绩库!C341="","", MSE成绩库!F341)</f>
        <v/>
      </c>
      <c r="G341" t="str">
        <f>IF(MSE成绩库!C341="","", MSE成绩库!G341)</f>
        <v/>
      </c>
      <c r="H341" t="str">
        <f>IF(MSE成绩库!C341="","", MSE成绩库!H341)</f>
        <v/>
      </c>
      <c r="I341" t="str">
        <f>IF(MSE成绩库!C341="","", MSE成绩库!I341)</f>
        <v/>
      </c>
      <c r="J341" t="str">
        <f>IF(MSE成绩库!C341="","", MSE成绩库!J341)</f>
        <v/>
      </c>
      <c r="K341" t="str">
        <f>IF(MSE成绩库!C341="","", MSE成绩库!K341)</f>
        <v/>
      </c>
      <c r="L341" t="str">
        <f>IF(MSE成绩库!C341="","", MSE成绩库!M341)</f>
        <v/>
      </c>
      <c r="M341" t="str">
        <f>IF(MSE成绩库!C341="","", MSE成绩库!N341)</f>
        <v/>
      </c>
      <c r="N341" t="str">
        <f>IF(MSE成绩库!C341="","", MSE成绩库!O341)</f>
        <v/>
      </c>
      <c r="O341" t="str">
        <f>IF(MSE成绩库!C341="","", MSE成绩库!Q341)</f>
        <v/>
      </c>
      <c r="P341" t="str">
        <f>IF(MSE成绩库!C341="","", MSE成绩库!R341)</f>
        <v/>
      </c>
      <c r="Q341" t="str">
        <f>IF(MSE成绩库!C341="","", MSE成绩库!S341)</f>
        <v/>
      </c>
      <c r="R341" t="str">
        <f>IF(MSE成绩库!C341="","", MSE成绩库!T341)</f>
        <v/>
      </c>
      <c r="S341" t="str">
        <f>IF(MSE成绩库!C341="","", MSE成绩库!U341)</f>
        <v/>
      </c>
      <c r="T341" t="str">
        <f>IF(MSE成绩库!C341="","", MSE成绩库!V341)</f>
        <v/>
      </c>
      <c r="U341" t="str">
        <f>IF(MSE成绩库!C341="","", MSE成绩库!X341)</f>
        <v/>
      </c>
      <c r="V341" t="str">
        <f>IF(MSE成绩库!C341="","", MSE成绩库!Y341)</f>
        <v/>
      </c>
      <c r="W341" t="str">
        <f>IF(MSE成绩库!C341="","", MSE成绩库!Z341)</f>
        <v/>
      </c>
      <c r="X341" t="str">
        <f>IF(MSE成绩库!C341="","", MSE成绩库!AA341)</f>
        <v/>
      </c>
      <c r="Y341" t="str">
        <f>IF(MSE成绩库!C341="","", MSE成绩库!AB341)</f>
        <v/>
      </c>
      <c r="Z341" t="str">
        <f>IF(MSE成绩库!C341="","", MSE成绩库!AC341)</f>
        <v/>
      </c>
    </row>
    <row r="342" spans="1:26" x14ac:dyDescent="0.2">
      <c r="A342" t="str">
        <f>IF(MSE成绩库!C342="","", MSE成绩库!C342)</f>
        <v/>
      </c>
      <c r="B342" t="str">
        <f>IF(MSE成绩库!AD342="","", MSE成绩库!AD342)</f>
        <v/>
      </c>
      <c r="C342" t="str">
        <f>IF(MSE成绩库!B342="","", MSE成绩库!B342)</f>
        <v/>
      </c>
      <c r="D342" t="str">
        <f>IF(MSE成绩库!D342="","", MSE成绩库!D342)</f>
        <v/>
      </c>
      <c r="E342" t="str">
        <f>IF(MSE成绩库!C342="","", MSE成绩库!E342)</f>
        <v/>
      </c>
      <c r="F342" t="str">
        <f>IF(MSE成绩库!C342="","", MSE成绩库!F342)</f>
        <v/>
      </c>
      <c r="G342" t="str">
        <f>IF(MSE成绩库!C342="","", MSE成绩库!G342)</f>
        <v/>
      </c>
      <c r="H342" t="str">
        <f>IF(MSE成绩库!C342="","", MSE成绩库!H342)</f>
        <v/>
      </c>
      <c r="I342" t="str">
        <f>IF(MSE成绩库!C342="","", MSE成绩库!I342)</f>
        <v/>
      </c>
      <c r="J342" t="str">
        <f>IF(MSE成绩库!C342="","", MSE成绩库!J342)</f>
        <v/>
      </c>
      <c r="K342" t="str">
        <f>IF(MSE成绩库!C342="","", MSE成绩库!K342)</f>
        <v/>
      </c>
      <c r="L342" t="str">
        <f>IF(MSE成绩库!C342="","", MSE成绩库!M342)</f>
        <v/>
      </c>
      <c r="M342" t="str">
        <f>IF(MSE成绩库!C342="","", MSE成绩库!N342)</f>
        <v/>
      </c>
      <c r="N342" t="str">
        <f>IF(MSE成绩库!C342="","", MSE成绩库!O342)</f>
        <v/>
      </c>
      <c r="O342" t="str">
        <f>IF(MSE成绩库!C342="","", MSE成绩库!Q342)</f>
        <v/>
      </c>
      <c r="P342" t="str">
        <f>IF(MSE成绩库!C342="","", MSE成绩库!R342)</f>
        <v/>
      </c>
      <c r="Q342" t="str">
        <f>IF(MSE成绩库!C342="","", MSE成绩库!S342)</f>
        <v/>
      </c>
      <c r="R342" t="str">
        <f>IF(MSE成绩库!C342="","", MSE成绩库!T342)</f>
        <v/>
      </c>
      <c r="S342" t="str">
        <f>IF(MSE成绩库!C342="","", MSE成绩库!U342)</f>
        <v/>
      </c>
      <c r="T342" t="str">
        <f>IF(MSE成绩库!C342="","", MSE成绩库!V342)</f>
        <v/>
      </c>
      <c r="U342" t="str">
        <f>IF(MSE成绩库!C342="","", MSE成绩库!X342)</f>
        <v/>
      </c>
      <c r="V342" t="str">
        <f>IF(MSE成绩库!C342="","", MSE成绩库!Y342)</f>
        <v/>
      </c>
      <c r="W342" t="str">
        <f>IF(MSE成绩库!C342="","", MSE成绩库!Z342)</f>
        <v/>
      </c>
      <c r="X342" t="str">
        <f>IF(MSE成绩库!C342="","", MSE成绩库!AA342)</f>
        <v/>
      </c>
      <c r="Y342" t="str">
        <f>IF(MSE成绩库!C342="","", MSE成绩库!AB342)</f>
        <v/>
      </c>
      <c r="Z342" t="str">
        <f>IF(MSE成绩库!C342="","", MSE成绩库!AC342)</f>
        <v/>
      </c>
    </row>
    <row r="343" spans="1:26" x14ac:dyDescent="0.2">
      <c r="A343" t="str">
        <f>IF(MSE成绩库!C343="","", MSE成绩库!C343)</f>
        <v/>
      </c>
      <c r="B343" t="str">
        <f>IF(MSE成绩库!AD343="","", MSE成绩库!AD343)</f>
        <v/>
      </c>
      <c r="C343" t="str">
        <f>IF(MSE成绩库!B343="","", MSE成绩库!B343)</f>
        <v/>
      </c>
      <c r="D343" t="str">
        <f>IF(MSE成绩库!D343="","", MSE成绩库!D343)</f>
        <v/>
      </c>
      <c r="E343" t="str">
        <f>IF(MSE成绩库!C343="","", MSE成绩库!E343)</f>
        <v/>
      </c>
      <c r="F343" t="str">
        <f>IF(MSE成绩库!C343="","", MSE成绩库!F343)</f>
        <v/>
      </c>
      <c r="G343" t="str">
        <f>IF(MSE成绩库!C343="","", MSE成绩库!G343)</f>
        <v/>
      </c>
      <c r="H343" t="str">
        <f>IF(MSE成绩库!C343="","", MSE成绩库!H343)</f>
        <v/>
      </c>
      <c r="I343" t="str">
        <f>IF(MSE成绩库!C343="","", MSE成绩库!I343)</f>
        <v/>
      </c>
      <c r="J343" t="str">
        <f>IF(MSE成绩库!C343="","", MSE成绩库!J343)</f>
        <v/>
      </c>
      <c r="K343" t="str">
        <f>IF(MSE成绩库!C343="","", MSE成绩库!K343)</f>
        <v/>
      </c>
      <c r="L343" t="str">
        <f>IF(MSE成绩库!C343="","", MSE成绩库!M343)</f>
        <v/>
      </c>
      <c r="M343" t="str">
        <f>IF(MSE成绩库!C343="","", MSE成绩库!N343)</f>
        <v/>
      </c>
      <c r="N343" t="str">
        <f>IF(MSE成绩库!C343="","", MSE成绩库!O343)</f>
        <v/>
      </c>
      <c r="O343" t="str">
        <f>IF(MSE成绩库!C343="","", MSE成绩库!Q343)</f>
        <v/>
      </c>
      <c r="P343" t="str">
        <f>IF(MSE成绩库!C343="","", MSE成绩库!R343)</f>
        <v/>
      </c>
      <c r="Q343" t="str">
        <f>IF(MSE成绩库!C343="","", MSE成绩库!S343)</f>
        <v/>
      </c>
      <c r="R343" t="str">
        <f>IF(MSE成绩库!C343="","", MSE成绩库!T343)</f>
        <v/>
      </c>
      <c r="S343" t="str">
        <f>IF(MSE成绩库!C343="","", MSE成绩库!U343)</f>
        <v/>
      </c>
      <c r="T343" t="str">
        <f>IF(MSE成绩库!C343="","", MSE成绩库!V343)</f>
        <v/>
      </c>
      <c r="U343" t="str">
        <f>IF(MSE成绩库!C343="","", MSE成绩库!X343)</f>
        <v/>
      </c>
      <c r="V343" t="str">
        <f>IF(MSE成绩库!C343="","", MSE成绩库!Y343)</f>
        <v/>
      </c>
      <c r="W343" t="str">
        <f>IF(MSE成绩库!C343="","", MSE成绩库!Z343)</f>
        <v/>
      </c>
      <c r="X343" t="str">
        <f>IF(MSE成绩库!C343="","", MSE成绩库!AA343)</f>
        <v/>
      </c>
      <c r="Y343" t="str">
        <f>IF(MSE成绩库!C343="","", MSE成绩库!AB343)</f>
        <v/>
      </c>
      <c r="Z343" t="str">
        <f>IF(MSE成绩库!C343="","", MSE成绩库!AC343)</f>
        <v/>
      </c>
    </row>
    <row r="344" spans="1:26" x14ac:dyDescent="0.2">
      <c r="A344" t="str">
        <f>IF(MSE成绩库!C344="","", MSE成绩库!C344)</f>
        <v/>
      </c>
      <c r="B344" t="str">
        <f>IF(MSE成绩库!AD344="","", MSE成绩库!AD344)</f>
        <v/>
      </c>
      <c r="C344" t="str">
        <f>IF(MSE成绩库!B344="","", MSE成绩库!B344)</f>
        <v/>
      </c>
      <c r="D344" t="str">
        <f>IF(MSE成绩库!D344="","", MSE成绩库!D344)</f>
        <v/>
      </c>
      <c r="E344" t="str">
        <f>IF(MSE成绩库!C344="","", MSE成绩库!E344)</f>
        <v/>
      </c>
      <c r="F344" t="str">
        <f>IF(MSE成绩库!C344="","", MSE成绩库!F344)</f>
        <v/>
      </c>
      <c r="G344" t="str">
        <f>IF(MSE成绩库!C344="","", MSE成绩库!G344)</f>
        <v/>
      </c>
      <c r="H344" t="str">
        <f>IF(MSE成绩库!C344="","", MSE成绩库!H344)</f>
        <v/>
      </c>
      <c r="I344" t="str">
        <f>IF(MSE成绩库!C344="","", MSE成绩库!I344)</f>
        <v/>
      </c>
      <c r="J344" t="str">
        <f>IF(MSE成绩库!C344="","", MSE成绩库!J344)</f>
        <v/>
      </c>
      <c r="K344" t="str">
        <f>IF(MSE成绩库!C344="","", MSE成绩库!K344)</f>
        <v/>
      </c>
      <c r="L344" t="str">
        <f>IF(MSE成绩库!C344="","", MSE成绩库!M344)</f>
        <v/>
      </c>
      <c r="M344" t="str">
        <f>IF(MSE成绩库!C344="","", MSE成绩库!N344)</f>
        <v/>
      </c>
      <c r="N344" t="str">
        <f>IF(MSE成绩库!C344="","", MSE成绩库!O344)</f>
        <v/>
      </c>
      <c r="O344" t="str">
        <f>IF(MSE成绩库!C344="","", MSE成绩库!Q344)</f>
        <v/>
      </c>
      <c r="P344" t="str">
        <f>IF(MSE成绩库!C344="","", MSE成绩库!R344)</f>
        <v/>
      </c>
      <c r="Q344" t="str">
        <f>IF(MSE成绩库!C344="","", MSE成绩库!S344)</f>
        <v/>
      </c>
      <c r="R344" t="str">
        <f>IF(MSE成绩库!C344="","", MSE成绩库!T344)</f>
        <v/>
      </c>
      <c r="S344" t="str">
        <f>IF(MSE成绩库!C344="","", MSE成绩库!U344)</f>
        <v/>
      </c>
      <c r="T344" t="str">
        <f>IF(MSE成绩库!C344="","", MSE成绩库!V344)</f>
        <v/>
      </c>
      <c r="U344" t="str">
        <f>IF(MSE成绩库!C344="","", MSE成绩库!X344)</f>
        <v/>
      </c>
      <c r="V344" t="str">
        <f>IF(MSE成绩库!C344="","", MSE成绩库!Y344)</f>
        <v/>
      </c>
      <c r="W344" t="str">
        <f>IF(MSE成绩库!C344="","", MSE成绩库!Z344)</f>
        <v/>
      </c>
      <c r="X344" t="str">
        <f>IF(MSE成绩库!C344="","", MSE成绩库!AA344)</f>
        <v/>
      </c>
      <c r="Y344" t="str">
        <f>IF(MSE成绩库!C344="","", MSE成绩库!AB344)</f>
        <v/>
      </c>
      <c r="Z344" t="str">
        <f>IF(MSE成绩库!C344="","", MSE成绩库!AC344)</f>
        <v/>
      </c>
    </row>
    <row r="345" spans="1:26" x14ac:dyDescent="0.2">
      <c r="A345" t="str">
        <f>IF(MSE成绩库!C345="","", MSE成绩库!C345)</f>
        <v/>
      </c>
      <c r="B345" t="str">
        <f>IF(MSE成绩库!AD345="","", MSE成绩库!AD345)</f>
        <v/>
      </c>
      <c r="C345" t="str">
        <f>IF(MSE成绩库!B345="","", MSE成绩库!B345)</f>
        <v/>
      </c>
      <c r="D345" t="str">
        <f>IF(MSE成绩库!D345="","", MSE成绩库!D345)</f>
        <v/>
      </c>
      <c r="E345" t="str">
        <f>IF(MSE成绩库!C345="","", MSE成绩库!E345)</f>
        <v/>
      </c>
      <c r="F345" t="str">
        <f>IF(MSE成绩库!C345="","", MSE成绩库!F345)</f>
        <v/>
      </c>
      <c r="G345" t="str">
        <f>IF(MSE成绩库!C345="","", MSE成绩库!G345)</f>
        <v/>
      </c>
      <c r="H345" t="str">
        <f>IF(MSE成绩库!C345="","", MSE成绩库!H345)</f>
        <v/>
      </c>
      <c r="I345" t="str">
        <f>IF(MSE成绩库!C345="","", MSE成绩库!I345)</f>
        <v/>
      </c>
      <c r="J345" t="str">
        <f>IF(MSE成绩库!C345="","", MSE成绩库!J345)</f>
        <v/>
      </c>
      <c r="K345" t="str">
        <f>IF(MSE成绩库!C345="","", MSE成绩库!K345)</f>
        <v/>
      </c>
      <c r="L345" t="str">
        <f>IF(MSE成绩库!C345="","", MSE成绩库!M345)</f>
        <v/>
      </c>
      <c r="M345" t="str">
        <f>IF(MSE成绩库!C345="","", MSE成绩库!N345)</f>
        <v/>
      </c>
      <c r="N345" t="str">
        <f>IF(MSE成绩库!C345="","", MSE成绩库!O345)</f>
        <v/>
      </c>
      <c r="O345" t="str">
        <f>IF(MSE成绩库!C345="","", MSE成绩库!Q345)</f>
        <v/>
      </c>
      <c r="P345" t="str">
        <f>IF(MSE成绩库!C345="","", MSE成绩库!R345)</f>
        <v/>
      </c>
      <c r="Q345" t="str">
        <f>IF(MSE成绩库!C345="","", MSE成绩库!S345)</f>
        <v/>
      </c>
      <c r="R345" t="str">
        <f>IF(MSE成绩库!C345="","", MSE成绩库!T345)</f>
        <v/>
      </c>
      <c r="S345" t="str">
        <f>IF(MSE成绩库!C345="","", MSE成绩库!U345)</f>
        <v/>
      </c>
      <c r="T345" t="str">
        <f>IF(MSE成绩库!C345="","", MSE成绩库!V345)</f>
        <v/>
      </c>
      <c r="U345" t="str">
        <f>IF(MSE成绩库!C345="","", MSE成绩库!X345)</f>
        <v/>
      </c>
      <c r="V345" t="str">
        <f>IF(MSE成绩库!C345="","", MSE成绩库!Y345)</f>
        <v/>
      </c>
      <c r="W345" t="str">
        <f>IF(MSE成绩库!C345="","", MSE成绩库!Z345)</f>
        <v/>
      </c>
      <c r="X345" t="str">
        <f>IF(MSE成绩库!C345="","", MSE成绩库!AA345)</f>
        <v/>
      </c>
      <c r="Y345" t="str">
        <f>IF(MSE成绩库!C345="","", MSE成绩库!AB345)</f>
        <v/>
      </c>
      <c r="Z345" t="str">
        <f>IF(MSE成绩库!C345="","", MSE成绩库!AC345)</f>
        <v/>
      </c>
    </row>
    <row r="346" spans="1:26" x14ac:dyDescent="0.2">
      <c r="A346" t="str">
        <f>IF(MSE成绩库!C346="","", MSE成绩库!C346)</f>
        <v/>
      </c>
      <c r="B346" t="str">
        <f>IF(MSE成绩库!AD346="","", MSE成绩库!AD346)</f>
        <v/>
      </c>
      <c r="C346" t="str">
        <f>IF(MSE成绩库!B346="","", MSE成绩库!B346)</f>
        <v/>
      </c>
      <c r="D346" t="str">
        <f>IF(MSE成绩库!D346="","", MSE成绩库!D346)</f>
        <v/>
      </c>
      <c r="E346" t="str">
        <f>IF(MSE成绩库!C346="","", MSE成绩库!E346)</f>
        <v/>
      </c>
      <c r="F346" t="str">
        <f>IF(MSE成绩库!C346="","", MSE成绩库!F346)</f>
        <v/>
      </c>
      <c r="G346" t="str">
        <f>IF(MSE成绩库!C346="","", MSE成绩库!G346)</f>
        <v/>
      </c>
      <c r="H346" t="str">
        <f>IF(MSE成绩库!C346="","", MSE成绩库!H346)</f>
        <v/>
      </c>
      <c r="I346" t="str">
        <f>IF(MSE成绩库!C346="","", MSE成绩库!I346)</f>
        <v/>
      </c>
      <c r="J346" t="str">
        <f>IF(MSE成绩库!C346="","", MSE成绩库!J346)</f>
        <v/>
      </c>
      <c r="K346" t="str">
        <f>IF(MSE成绩库!C346="","", MSE成绩库!K346)</f>
        <v/>
      </c>
      <c r="L346" t="str">
        <f>IF(MSE成绩库!C346="","", MSE成绩库!M346)</f>
        <v/>
      </c>
      <c r="M346" t="str">
        <f>IF(MSE成绩库!C346="","", MSE成绩库!N346)</f>
        <v/>
      </c>
      <c r="N346" t="str">
        <f>IF(MSE成绩库!C346="","", MSE成绩库!O346)</f>
        <v/>
      </c>
      <c r="O346" t="str">
        <f>IF(MSE成绩库!C346="","", MSE成绩库!Q346)</f>
        <v/>
      </c>
      <c r="P346" t="str">
        <f>IF(MSE成绩库!C346="","", MSE成绩库!R346)</f>
        <v/>
      </c>
      <c r="Q346" t="str">
        <f>IF(MSE成绩库!C346="","", MSE成绩库!S346)</f>
        <v/>
      </c>
      <c r="R346" t="str">
        <f>IF(MSE成绩库!C346="","", MSE成绩库!T346)</f>
        <v/>
      </c>
      <c r="S346" t="str">
        <f>IF(MSE成绩库!C346="","", MSE成绩库!U346)</f>
        <v/>
      </c>
      <c r="T346" t="str">
        <f>IF(MSE成绩库!C346="","", MSE成绩库!V346)</f>
        <v/>
      </c>
      <c r="U346" t="str">
        <f>IF(MSE成绩库!C346="","", MSE成绩库!X346)</f>
        <v/>
      </c>
      <c r="V346" t="str">
        <f>IF(MSE成绩库!C346="","", MSE成绩库!Y346)</f>
        <v/>
      </c>
      <c r="W346" t="str">
        <f>IF(MSE成绩库!C346="","", MSE成绩库!Z346)</f>
        <v/>
      </c>
      <c r="X346" t="str">
        <f>IF(MSE成绩库!C346="","", MSE成绩库!AA346)</f>
        <v/>
      </c>
      <c r="Y346" t="str">
        <f>IF(MSE成绩库!C346="","", MSE成绩库!AB346)</f>
        <v/>
      </c>
      <c r="Z346" t="str">
        <f>IF(MSE成绩库!C346="","", MSE成绩库!AC346)</f>
        <v/>
      </c>
    </row>
    <row r="347" spans="1:26" x14ac:dyDescent="0.2">
      <c r="A347" t="str">
        <f>IF(MSE成绩库!C347="","", MSE成绩库!C347)</f>
        <v/>
      </c>
      <c r="B347" t="str">
        <f>IF(MSE成绩库!AD347="","", MSE成绩库!AD347)</f>
        <v/>
      </c>
      <c r="C347" t="str">
        <f>IF(MSE成绩库!B347="","", MSE成绩库!B347)</f>
        <v/>
      </c>
      <c r="D347" t="str">
        <f>IF(MSE成绩库!D347="","", MSE成绩库!D347)</f>
        <v/>
      </c>
      <c r="E347" t="str">
        <f>IF(MSE成绩库!C347="","", MSE成绩库!E347)</f>
        <v/>
      </c>
      <c r="F347" t="str">
        <f>IF(MSE成绩库!C347="","", MSE成绩库!F347)</f>
        <v/>
      </c>
      <c r="G347" t="str">
        <f>IF(MSE成绩库!C347="","", MSE成绩库!G347)</f>
        <v/>
      </c>
      <c r="H347" t="str">
        <f>IF(MSE成绩库!C347="","", MSE成绩库!H347)</f>
        <v/>
      </c>
      <c r="I347" t="str">
        <f>IF(MSE成绩库!C347="","", MSE成绩库!I347)</f>
        <v/>
      </c>
      <c r="J347" t="str">
        <f>IF(MSE成绩库!C347="","", MSE成绩库!J347)</f>
        <v/>
      </c>
      <c r="K347" t="str">
        <f>IF(MSE成绩库!C347="","", MSE成绩库!K347)</f>
        <v/>
      </c>
      <c r="L347" t="str">
        <f>IF(MSE成绩库!C347="","", MSE成绩库!M347)</f>
        <v/>
      </c>
      <c r="M347" t="str">
        <f>IF(MSE成绩库!C347="","", MSE成绩库!N347)</f>
        <v/>
      </c>
      <c r="N347" t="str">
        <f>IF(MSE成绩库!C347="","", MSE成绩库!O347)</f>
        <v/>
      </c>
      <c r="O347" t="str">
        <f>IF(MSE成绩库!C347="","", MSE成绩库!Q347)</f>
        <v/>
      </c>
      <c r="P347" t="str">
        <f>IF(MSE成绩库!C347="","", MSE成绩库!R347)</f>
        <v/>
      </c>
      <c r="Q347" t="str">
        <f>IF(MSE成绩库!C347="","", MSE成绩库!S347)</f>
        <v/>
      </c>
      <c r="R347" t="str">
        <f>IF(MSE成绩库!C347="","", MSE成绩库!T347)</f>
        <v/>
      </c>
      <c r="S347" t="str">
        <f>IF(MSE成绩库!C347="","", MSE成绩库!U347)</f>
        <v/>
      </c>
      <c r="T347" t="str">
        <f>IF(MSE成绩库!C347="","", MSE成绩库!V347)</f>
        <v/>
      </c>
      <c r="U347" t="str">
        <f>IF(MSE成绩库!C347="","", MSE成绩库!X347)</f>
        <v/>
      </c>
      <c r="V347" t="str">
        <f>IF(MSE成绩库!C347="","", MSE成绩库!Y347)</f>
        <v/>
      </c>
      <c r="W347" t="str">
        <f>IF(MSE成绩库!C347="","", MSE成绩库!Z347)</f>
        <v/>
      </c>
      <c r="X347" t="str">
        <f>IF(MSE成绩库!C347="","", MSE成绩库!AA347)</f>
        <v/>
      </c>
      <c r="Y347" t="str">
        <f>IF(MSE成绩库!C347="","", MSE成绩库!AB347)</f>
        <v/>
      </c>
      <c r="Z347" t="str">
        <f>IF(MSE成绩库!C347="","", MSE成绩库!AC347)</f>
        <v/>
      </c>
    </row>
    <row r="348" spans="1:26" x14ac:dyDescent="0.2">
      <c r="A348" t="str">
        <f>IF(MSE成绩库!C348="","", MSE成绩库!C348)</f>
        <v/>
      </c>
      <c r="B348" t="str">
        <f>IF(MSE成绩库!AD348="","", MSE成绩库!AD348)</f>
        <v/>
      </c>
      <c r="C348" t="str">
        <f>IF(MSE成绩库!B348="","", MSE成绩库!B348)</f>
        <v/>
      </c>
      <c r="D348" t="str">
        <f>IF(MSE成绩库!D348="","", MSE成绩库!D348)</f>
        <v/>
      </c>
      <c r="E348" t="str">
        <f>IF(MSE成绩库!C348="","", MSE成绩库!E348)</f>
        <v/>
      </c>
      <c r="F348" t="str">
        <f>IF(MSE成绩库!C348="","", MSE成绩库!F348)</f>
        <v/>
      </c>
      <c r="G348" t="str">
        <f>IF(MSE成绩库!C348="","", MSE成绩库!G348)</f>
        <v/>
      </c>
      <c r="H348" t="str">
        <f>IF(MSE成绩库!C348="","", MSE成绩库!H348)</f>
        <v/>
      </c>
      <c r="I348" t="str">
        <f>IF(MSE成绩库!C348="","", MSE成绩库!I348)</f>
        <v/>
      </c>
      <c r="J348" t="str">
        <f>IF(MSE成绩库!C348="","", MSE成绩库!J348)</f>
        <v/>
      </c>
      <c r="K348" t="str">
        <f>IF(MSE成绩库!C348="","", MSE成绩库!K348)</f>
        <v/>
      </c>
      <c r="L348" t="str">
        <f>IF(MSE成绩库!C348="","", MSE成绩库!M348)</f>
        <v/>
      </c>
      <c r="M348" t="str">
        <f>IF(MSE成绩库!C348="","", MSE成绩库!N348)</f>
        <v/>
      </c>
      <c r="N348" t="str">
        <f>IF(MSE成绩库!C348="","", MSE成绩库!O348)</f>
        <v/>
      </c>
      <c r="O348" t="str">
        <f>IF(MSE成绩库!C348="","", MSE成绩库!Q348)</f>
        <v/>
      </c>
      <c r="P348" t="str">
        <f>IF(MSE成绩库!C348="","", MSE成绩库!R348)</f>
        <v/>
      </c>
      <c r="Q348" t="str">
        <f>IF(MSE成绩库!C348="","", MSE成绩库!S348)</f>
        <v/>
      </c>
      <c r="R348" t="str">
        <f>IF(MSE成绩库!C348="","", MSE成绩库!T348)</f>
        <v/>
      </c>
      <c r="S348" t="str">
        <f>IF(MSE成绩库!C348="","", MSE成绩库!U348)</f>
        <v/>
      </c>
      <c r="T348" t="str">
        <f>IF(MSE成绩库!C348="","", MSE成绩库!V348)</f>
        <v/>
      </c>
      <c r="U348" t="str">
        <f>IF(MSE成绩库!C348="","", MSE成绩库!X348)</f>
        <v/>
      </c>
      <c r="V348" t="str">
        <f>IF(MSE成绩库!C348="","", MSE成绩库!Y348)</f>
        <v/>
      </c>
      <c r="W348" t="str">
        <f>IF(MSE成绩库!C348="","", MSE成绩库!Z348)</f>
        <v/>
      </c>
      <c r="X348" t="str">
        <f>IF(MSE成绩库!C348="","", MSE成绩库!AA348)</f>
        <v/>
      </c>
      <c r="Y348" t="str">
        <f>IF(MSE成绩库!C348="","", MSE成绩库!AB348)</f>
        <v/>
      </c>
      <c r="Z348" t="str">
        <f>IF(MSE成绩库!C348="","", MSE成绩库!AC348)</f>
        <v/>
      </c>
    </row>
    <row r="349" spans="1:26" x14ac:dyDescent="0.2">
      <c r="A349" t="str">
        <f>IF(MSE成绩库!C349="","", MSE成绩库!C349)</f>
        <v/>
      </c>
      <c r="B349" t="str">
        <f>IF(MSE成绩库!AD349="","", MSE成绩库!AD349)</f>
        <v/>
      </c>
      <c r="C349" t="str">
        <f>IF(MSE成绩库!B349="","", MSE成绩库!B349)</f>
        <v/>
      </c>
      <c r="D349" t="str">
        <f>IF(MSE成绩库!D349="","", MSE成绩库!D349)</f>
        <v/>
      </c>
      <c r="E349" t="str">
        <f>IF(MSE成绩库!C349="","", MSE成绩库!E349)</f>
        <v/>
      </c>
      <c r="F349" t="str">
        <f>IF(MSE成绩库!C349="","", MSE成绩库!F349)</f>
        <v/>
      </c>
      <c r="G349" t="str">
        <f>IF(MSE成绩库!C349="","", MSE成绩库!G349)</f>
        <v/>
      </c>
      <c r="H349" t="str">
        <f>IF(MSE成绩库!C349="","", MSE成绩库!H349)</f>
        <v/>
      </c>
      <c r="I349" t="str">
        <f>IF(MSE成绩库!C349="","", MSE成绩库!I349)</f>
        <v/>
      </c>
      <c r="J349" t="str">
        <f>IF(MSE成绩库!C349="","", MSE成绩库!J349)</f>
        <v/>
      </c>
      <c r="K349" t="str">
        <f>IF(MSE成绩库!C349="","", MSE成绩库!K349)</f>
        <v/>
      </c>
      <c r="L349" t="str">
        <f>IF(MSE成绩库!C349="","", MSE成绩库!M349)</f>
        <v/>
      </c>
      <c r="M349" t="str">
        <f>IF(MSE成绩库!C349="","", MSE成绩库!N349)</f>
        <v/>
      </c>
      <c r="N349" t="str">
        <f>IF(MSE成绩库!C349="","", MSE成绩库!O349)</f>
        <v/>
      </c>
      <c r="O349" t="str">
        <f>IF(MSE成绩库!C349="","", MSE成绩库!Q349)</f>
        <v/>
      </c>
      <c r="P349" t="str">
        <f>IF(MSE成绩库!C349="","", MSE成绩库!R349)</f>
        <v/>
      </c>
      <c r="Q349" t="str">
        <f>IF(MSE成绩库!C349="","", MSE成绩库!S349)</f>
        <v/>
      </c>
      <c r="R349" t="str">
        <f>IF(MSE成绩库!C349="","", MSE成绩库!T349)</f>
        <v/>
      </c>
      <c r="S349" t="str">
        <f>IF(MSE成绩库!C349="","", MSE成绩库!U349)</f>
        <v/>
      </c>
      <c r="T349" t="str">
        <f>IF(MSE成绩库!C349="","", MSE成绩库!V349)</f>
        <v/>
      </c>
      <c r="U349" t="str">
        <f>IF(MSE成绩库!C349="","", MSE成绩库!X349)</f>
        <v/>
      </c>
      <c r="V349" t="str">
        <f>IF(MSE成绩库!C349="","", MSE成绩库!Y349)</f>
        <v/>
      </c>
      <c r="W349" t="str">
        <f>IF(MSE成绩库!C349="","", MSE成绩库!Z349)</f>
        <v/>
      </c>
      <c r="X349" t="str">
        <f>IF(MSE成绩库!C349="","", MSE成绩库!AA349)</f>
        <v/>
      </c>
      <c r="Y349" t="str">
        <f>IF(MSE成绩库!C349="","", MSE成绩库!AB349)</f>
        <v/>
      </c>
      <c r="Z349" t="str">
        <f>IF(MSE成绩库!C349="","", MSE成绩库!AC349)</f>
        <v/>
      </c>
    </row>
    <row r="350" spans="1:26" x14ac:dyDescent="0.2">
      <c r="A350" t="str">
        <f>IF(MSE成绩库!C350="","", MSE成绩库!C350)</f>
        <v/>
      </c>
      <c r="B350" t="str">
        <f>IF(MSE成绩库!AD350="","", MSE成绩库!AD350)</f>
        <v/>
      </c>
      <c r="C350" t="str">
        <f>IF(MSE成绩库!B350="","", MSE成绩库!B350)</f>
        <v/>
      </c>
      <c r="D350" t="str">
        <f>IF(MSE成绩库!D350="","", MSE成绩库!D350)</f>
        <v/>
      </c>
      <c r="E350" t="str">
        <f>IF(MSE成绩库!C350="","", MSE成绩库!E350)</f>
        <v/>
      </c>
      <c r="F350" t="str">
        <f>IF(MSE成绩库!C350="","", MSE成绩库!F350)</f>
        <v/>
      </c>
      <c r="G350" t="str">
        <f>IF(MSE成绩库!C350="","", MSE成绩库!G350)</f>
        <v/>
      </c>
      <c r="H350" t="str">
        <f>IF(MSE成绩库!C350="","", MSE成绩库!H350)</f>
        <v/>
      </c>
      <c r="I350" t="str">
        <f>IF(MSE成绩库!C350="","", MSE成绩库!I350)</f>
        <v/>
      </c>
      <c r="J350" t="str">
        <f>IF(MSE成绩库!C350="","", MSE成绩库!J350)</f>
        <v/>
      </c>
      <c r="K350" t="str">
        <f>IF(MSE成绩库!C350="","", MSE成绩库!K350)</f>
        <v/>
      </c>
      <c r="L350" t="str">
        <f>IF(MSE成绩库!C350="","", MSE成绩库!M350)</f>
        <v/>
      </c>
      <c r="M350" t="str">
        <f>IF(MSE成绩库!C350="","", MSE成绩库!N350)</f>
        <v/>
      </c>
      <c r="N350" t="str">
        <f>IF(MSE成绩库!C350="","", MSE成绩库!O350)</f>
        <v/>
      </c>
      <c r="O350" t="str">
        <f>IF(MSE成绩库!C350="","", MSE成绩库!Q350)</f>
        <v/>
      </c>
      <c r="P350" t="str">
        <f>IF(MSE成绩库!C350="","", MSE成绩库!R350)</f>
        <v/>
      </c>
      <c r="Q350" t="str">
        <f>IF(MSE成绩库!C350="","", MSE成绩库!S350)</f>
        <v/>
      </c>
      <c r="R350" t="str">
        <f>IF(MSE成绩库!C350="","", MSE成绩库!T350)</f>
        <v/>
      </c>
      <c r="S350" t="str">
        <f>IF(MSE成绩库!C350="","", MSE成绩库!U350)</f>
        <v/>
      </c>
      <c r="T350" t="str">
        <f>IF(MSE成绩库!C350="","", MSE成绩库!V350)</f>
        <v/>
      </c>
      <c r="U350" t="str">
        <f>IF(MSE成绩库!C350="","", MSE成绩库!X350)</f>
        <v/>
      </c>
      <c r="V350" t="str">
        <f>IF(MSE成绩库!C350="","", MSE成绩库!Y350)</f>
        <v/>
      </c>
      <c r="W350" t="str">
        <f>IF(MSE成绩库!C350="","", MSE成绩库!Z350)</f>
        <v/>
      </c>
      <c r="X350" t="str">
        <f>IF(MSE成绩库!C350="","", MSE成绩库!AA350)</f>
        <v/>
      </c>
      <c r="Y350" t="str">
        <f>IF(MSE成绩库!C350="","", MSE成绩库!AB350)</f>
        <v/>
      </c>
      <c r="Z350" t="str">
        <f>IF(MSE成绩库!C350="","", MSE成绩库!AC350)</f>
        <v/>
      </c>
    </row>
    <row r="351" spans="1:26" x14ac:dyDescent="0.2">
      <c r="A351" t="str">
        <f>IF(MSE成绩库!C351="","", MSE成绩库!C351)</f>
        <v/>
      </c>
      <c r="B351" t="str">
        <f>IF(MSE成绩库!AD351="","", MSE成绩库!AD351)</f>
        <v/>
      </c>
      <c r="C351" t="str">
        <f>IF(MSE成绩库!B351="","", MSE成绩库!B351)</f>
        <v/>
      </c>
      <c r="D351" t="str">
        <f>IF(MSE成绩库!D351="","", MSE成绩库!D351)</f>
        <v/>
      </c>
      <c r="E351" t="str">
        <f>IF(MSE成绩库!C351="","", MSE成绩库!E351)</f>
        <v/>
      </c>
      <c r="F351" t="str">
        <f>IF(MSE成绩库!C351="","", MSE成绩库!F351)</f>
        <v/>
      </c>
      <c r="G351" t="str">
        <f>IF(MSE成绩库!C351="","", MSE成绩库!G351)</f>
        <v/>
      </c>
      <c r="H351" t="str">
        <f>IF(MSE成绩库!C351="","", MSE成绩库!H351)</f>
        <v/>
      </c>
      <c r="I351" t="str">
        <f>IF(MSE成绩库!C351="","", MSE成绩库!I351)</f>
        <v/>
      </c>
      <c r="J351" t="str">
        <f>IF(MSE成绩库!C351="","", MSE成绩库!J351)</f>
        <v/>
      </c>
      <c r="K351" t="str">
        <f>IF(MSE成绩库!C351="","", MSE成绩库!K351)</f>
        <v/>
      </c>
      <c r="L351" t="str">
        <f>IF(MSE成绩库!C351="","", MSE成绩库!M351)</f>
        <v/>
      </c>
      <c r="M351" t="str">
        <f>IF(MSE成绩库!C351="","", MSE成绩库!N351)</f>
        <v/>
      </c>
      <c r="N351" t="str">
        <f>IF(MSE成绩库!C351="","", MSE成绩库!O351)</f>
        <v/>
      </c>
      <c r="O351" t="str">
        <f>IF(MSE成绩库!C351="","", MSE成绩库!Q351)</f>
        <v/>
      </c>
      <c r="P351" t="str">
        <f>IF(MSE成绩库!C351="","", MSE成绩库!R351)</f>
        <v/>
      </c>
      <c r="Q351" t="str">
        <f>IF(MSE成绩库!C351="","", MSE成绩库!S351)</f>
        <v/>
      </c>
      <c r="R351" t="str">
        <f>IF(MSE成绩库!C351="","", MSE成绩库!T351)</f>
        <v/>
      </c>
      <c r="S351" t="str">
        <f>IF(MSE成绩库!C351="","", MSE成绩库!U351)</f>
        <v/>
      </c>
      <c r="T351" t="str">
        <f>IF(MSE成绩库!C351="","", MSE成绩库!V351)</f>
        <v/>
      </c>
      <c r="U351" t="str">
        <f>IF(MSE成绩库!C351="","", MSE成绩库!X351)</f>
        <v/>
      </c>
      <c r="V351" t="str">
        <f>IF(MSE成绩库!C351="","", MSE成绩库!Y351)</f>
        <v/>
      </c>
      <c r="W351" t="str">
        <f>IF(MSE成绩库!C351="","", MSE成绩库!Z351)</f>
        <v/>
      </c>
      <c r="X351" t="str">
        <f>IF(MSE成绩库!C351="","", MSE成绩库!AA351)</f>
        <v/>
      </c>
      <c r="Y351" t="str">
        <f>IF(MSE成绩库!C351="","", MSE成绩库!AB351)</f>
        <v/>
      </c>
      <c r="Z351" t="str">
        <f>IF(MSE成绩库!C351="","", MSE成绩库!AC351)</f>
        <v/>
      </c>
    </row>
    <row r="352" spans="1:26" x14ac:dyDescent="0.2">
      <c r="A352" t="str">
        <f>IF(MSE成绩库!C352="","", MSE成绩库!C352)</f>
        <v/>
      </c>
      <c r="B352" t="str">
        <f>IF(MSE成绩库!AD352="","", MSE成绩库!AD352)</f>
        <v/>
      </c>
      <c r="C352" t="str">
        <f>IF(MSE成绩库!B352="","", MSE成绩库!B352)</f>
        <v/>
      </c>
      <c r="D352" t="str">
        <f>IF(MSE成绩库!D352="","", MSE成绩库!D352)</f>
        <v/>
      </c>
      <c r="E352" t="str">
        <f>IF(MSE成绩库!C352="","", MSE成绩库!E352)</f>
        <v/>
      </c>
      <c r="F352" t="str">
        <f>IF(MSE成绩库!C352="","", MSE成绩库!F352)</f>
        <v/>
      </c>
      <c r="G352" t="str">
        <f>IF(MSE成绩库!C352="","", MSE成绩库!G352)</f>
        <v/>
      </c>
      <c r="H352" t="str">
        <f>IF(MSE成绩库!C352="","", MSE成绩库!H352)</f>
        <v/>
      </c>
      <c r="I352" t="str">
        <f>IF(MSE成绩库!C352="","", MSE成绩库!I352)</f>
        <v/>
      </c>
      <c r="J352" t="str">
        <f>IF(MSE成绩库!C352="","", MSE成绩库!J352)</f>
        <v/>
      </c>
      <c r="K352" t="str">
        <f>IF(MSE成绩库!C352="","", MSE成绩库!K352)</f>
        <v/>
      </c>
      <c r="L352" t="str">
        <f>IF(MSE成绩库!C352="","", MSE成绩库!M352)</f>
        <v/>
      </c>
      <c r="M352" t="str">
        <f>IF(MSE成绩库!C352="","", MSE成绩库!N352)</f>
        <v/>
      </c>
      <c r="N352" t="str">
        <f>IF(MSE成绩库!C352="","", MSE成绩库!O352)</f>
        <v/>
      </c>
      <c r="O352" t="str">
        <f>IF(MSE成绩库!C352="","", MSE成绩库!Q352)</f>
        <v/>
      </c>
      <c r="P352" t="str">
        <f>IF(MSE成绩库!C352="","", MSE成绩库!R352)</f>
        <v/>
      </c>
      <c r="Q352" t="str">
        <f>IF(MSE成绩库!C352="","", MSE成绩库!S352)</f>
        <v/>
      </c>
      <c r="R352" t="str">
        <f>IF(MSE成绩库!C352="","", MSE成绩库!T352)</f>
        <v/>
      </c>
      <c r="S352" t="str">
        <f>IF(MSE成绩库!C352="","", MSE成绩库!U352)</f>
        <v/>
      </c>
      <c r="T352" t="str">
        <f>IF(MSE成绩库!C352="","", MSE成绩库!V352)</f>
        <v/>
      </c>
      <c r="U352" t="str">
        <f>IF(MSE成绩库!C352="","", MSE成绩库!X352)</f>
        <v/>
      </c>
      <c r="V352" t="str">
        <f>IF(MSE成绩库!C352="","", MSE成绩库!Y352)</f>
        <v/>
      </c>
      <c r="W352" t="str">
        <f>IF(MSE成绩库!C352="","", MSE成绩库!Z352)</f>
        <v/>
      </c>
      <c r="X352" t="str">
        <f>IF(MSE成绩库!C352="","", MSE成绩库!AA352)</f>
        <v/>
      </c>
      <c r="Y352" t="str">
        <f>IF(MSE成绩库!C352="","", MSE成绩库!AB352)</f>
        <v/>
      </c>
      <c r="Z352" t="str">
        <f>IF(MSE成绩库!C352="","", MSE成绩库!AC352)</f>
        <v/>
      </c>
    </row>
    <row r="353" spans="1:26" x14ac:dyDescent="0.2">
      <c r="A353" t="str">
        <f>IF(MSE成绩库!C353="","", MSE成绩库!C353)</f>
        <v/>
      </c>
      <c r="B353" t="str">
        <f>IF(MSE成绩库!AD353="","", MSE成绩库!AD353)</f>
        <v/>
      </c>
      <c r="C353" t="str">
        <f>IF(MSE成绩库!B353="","", MSE成绩库!B353)</f>
        <v/>
      </c>
      <c r="D353" t="str">
        <f>IF(MSE成绩库!D353="","", MSE成绩库!D353)</f>
        <v/>
      </c>
      <c r="E353" t="str">
        <f>IF(MSE成绩库!C353="","", MSE成绩库!E353)</f>
        <v/>
      </c>
      <c r="F353" t="str">
        <f>IF(MSE成绩库!C353="","", MSE成绩库!F353)</f>
        <v/>
      </c>
      <c r="G353" t="str">
        <f>IF(MSE成绩库!C353="","", MSE成绩库!G353)</f>
        <v/>
      </c>
      <c r="H353" t="str">
        <f>IF(MSE成绩库!C353="","", MSE成绩库!H353)</f>
        <v/>
      </c>
      <c r="I353" t="str">
        <f>IF(MSE成绩库!C353="","", MSE成绩库!I353)</f>
        <v/>
      </c>
      <c r="J353" t="str">
        <f>IF(MSE成绩库!C353="","", MSE成绩库!J353)</f>
        <v/>
      </c>
      <c r="K353" t="str">
        <f>IF(MSE成绩库!C353="","", MSE成绩库!K353)</f>
        <v/>
      </c>
      <c r="L353" t="str">
        <f>IF(MSE成绩库!C353="","", MSE成绩库!M353)</f>
        <v/>
      </c>
      <c r="M353" t="str">
        <f>IF(MSE成绩库!C353="","", MSE成绩库!N353)</f>
        <v/>
      </c>
      <c r="N353" t="str">
        <f>IF(MSE成绩库!C353="","", MSE成绩库!O353)</f>
        <v/>
      </c>
      <c r="O353" t="str">
        <f>IF(MSE成绩库!C353="","", MSE成绩库!Q353)</f>
        <v/>
      </c>
      <c r="P353" t="str">
        <f>IF(MSE成绩库!C353="","", MSE成绩库!R353)</f>
        <v/>
      </c>
      <c r="Q353" t="str">
        <f>IF(MSE成绩库!C353="","", MSE成绩库!S353)</f>
        <v/>
      </c>
      <c r="R353" t="str">
        <f>IF(MSE成绩库!C353="","", MSE成绩库!T353)</f>
        <v/>
      </c>
      <c r="S353" t="str">
        <f>IF(MSE成绩库!C353="","", MSE成绩库!U353)</f>
        <v/>
      </c>
      <c r="T353" t="str">
        <f>IF(MSE成绩库!C353="","", MSE成绩库!V353)</f>
        <v/>
      </c>
      <c r="U353" t="str">
        <f>IF(MSE成绩库!C353="","", MSE成绩库!X353)</f>
        <v/>
      </c>
      <c r="V353" t="str">
        <f>IF(MSE成绩库!C353="","", MSE成绩库!Y353)</f>
        <v/>
      </c>
      <c r="W353" t="str">
        <f>IF(MSE成绩库!C353="","", MSE成绩库!Z353)</f>
        <v/>
      </c>
      <c r="X353" t="str">
        <f>IF(MSE成绩库!C353="","", MSE成绩库!AA353)</f>
        <v/>
      </c>
      <c r="Y353" t="str">
        <f>IF(MSE成绩库!C353="","", MSE成绩库!AB353)</f>
        <v/>
      </c>
      <c r="Z353" t="str">
        <f>IF(MSE成绩库!C353="","", MSE成绩库!AC353)</f>
        <v/>
      </c>
    </row>
    <row r="354" spans="1:26" x14ac:dyDescent="0.2">
      <c r="A354" t="str">
        <f>IF(MSE成绩库!C354="","", MSE成绩库!C354)</f>
        <v/>
      </c>
      <c r="B354" t="str">
        <f>IF(MSE成绩库!AD354="","", MSE成绩库!AD354)</f>
        <v/>
      </c>
      <c r="C354" t="str">
        <f>IF(MSE成绩库!B354="","", MSE成绩库!B354)</f>
        <v/>
      </c>
      <c r="D354" t="str">
        <f>IF(MSE成绩库!D354="","", MSE成绩库!D354)</f>
        <v/>
      </c>
      <c r="E354" t="str">
        <f>IF(MSE成绩库!C354="","", MSE成绩库!E354)</f>
        <v/>
      </c>
      <c r="F354" t="str">
        <f>IF(MSE成绩库!C354="","", MSE成绩库!F354)</f>
        <v/>
      </c>
      <c r="G354" t="str">
        <f>IF(MSE成绩库!C354="","", MSE成绩库!G354)</f>
        <v/>
      </c>
      <c r="H354" t="str">
        <f>IF(MSE成绩库!C354="","", MSE成绩库!H354)</f>
        <v/>
      </c>
      <c r="I354" t="str">
        <f>IF(MSE成绩库!C354="","", MSE成绩库!I354)</f>
        <v/>
      </c>
      <c r="J354" t="str">
        <f>IF(MSE成绩库!C354="","", MSE成绩库!J354)</f>
        <v/>
      </c>
      <c r="K354" t="str">
        <f>IF(MSE成绩库!C354="","", MSE成绩库!K354)</f>
        <v/>
      </c>
      <c r="L354" t="str">
        <f>IF(MSE成绩库!C354="","", MSE成绩库!M354)</f>
        <v/>
      </c>
      <c r="M354" t="str">
        <f>IF(MSE成绩库!C354="","", MSE成绩库!N354)</f>
        <v/>
      </c>
      <c r="N354" t="str">
        <f>IF(MSE成绩库!C354="","", MSE成绩库!O354)</f>
        <v/>
      </c>
      <c r="O354" t="str">
        <f>IF(MSE成绩库!C354="","", MSE成绩库!Q354)</f>
        <v/>
      </c>
      <c r="P354" t="str">
        <f>IF(MSE成绩库!C354="","", MSE成绩库!R354)</f>
        <v/>
      </c>
      <c r="Q354" t="str">
        <f>IF(MSE成绩库!C354="","", MSE成绩库!S354)</f>
        <v/>
      </c>
      <c r="R354" t="str">
        <f>IF(MSE成绩库!C354="","", MSE成绩库!T354)</f>
        <v/>
      </c>
      <c r="S354" t="str">
        <f>IF(MSE成绩库!C354="","", MSE成绩库!U354)</f>
        <v/>
      </c>
      <c r="T354" t="str">
        <f>IF(MSE成绩库!C354="","", MSE成绩库!V354)</f>
        <v/>
      </c>
      <c r="U354" t="str">
        <f>IF(MSE成绩库!C354="","", MSE成绩库!X354)</f>
        <v/>
      </c>
      <c r="V354" t="str">
        <f>IF(MSE成绩库!C354="","", MSE成绩库!Y354)</f>
        <v/>
      </c>
      <c r="W354" t="str">
        <f>IF(MSE成绩库!C354="","", MSE成绩库!Z354)</f>
        <v/>
      </c>
      <c r="X354" t="str">
        <f>IF(MSE成绩库!C354="","", MSE成绩库!AA354)</f>
        <v/>
      </c>
      <c r="Y354" t="str">
        <f>IF(MSE成绩库!C354="","", MSE成绩库!AB354)</f>
        <v/>
      </c>
      <c r="Z354" t="str">
        <f>IF(MSE成绩库!C354="","", MSE成绩库!AC354)</f>
        <v/>
      </c>
    </row>
    <row r="355" spans="1:26" x14ac:dyDescent="0.2">
      <c r="A355" t="str">
        <f>IF(MSE成绩库!C355="","", MSE成绩库!C355)</f>
        <v/>
      </c>
      <c r="B355" t="str">
        <f>IF(MSE成绩库!AD355="","", MSE成绩库!AD355)</f>
        <v/>
      </c>
      <c r="C355" t="str">
        <f>IF(MSE成绩库!B355="","", MSE成绩库!B355)</f>
        <v/>
      </c>
      <c r="D355" t="str">
        <f>IF(MSE成绩库!D355="","", MSE成绩库!D355)</f>
        <v/>
      </c>
      <c r="E355" t="str">
        <f>IF(MSE成绩库!C355="","", MSE成绩库!E355)</f>
        <v/>
      </c>
      <c r="F355" t="str">
        <f>IF(MSE成绩库!C355="","", MSE成绩库!F355)</f>
        <v/>
      </c>
      <c r="G355" t="str">
        <f>IF(MSE成绩库!C355="","", MSE成绩库!G355)</f>
        <v/>
      </c>
      <c r="H355" t="str">
        <f>IF(MSE成绩库!C355="","", MSE成绩库!H355)</f>
        <v/>
      </c>
      <c r="I355" t="str">
        <f>IF(MSE成绩库!C355="","", MSE成绩库!I355)</f>
        <v/>
      </c>
      <c r="J355" t="str">
        <f>IF(MSE成绩库!C355="","", MSE成绩库!J355)</f>
        <v/>
      </c>
      <c r="K355" t="str">
        <f>IF(MSE成绩库!C355="","", MSE成绩库!K355)</f>
        <v/>
      </c>
      <c r="L355" t="str">
        <f>IF(MSE成绩库!C355="","", MSE成绩库!M355)</f>
        <v/>
      </c>
      <c r="M355" t="str">
        <f>IF(MSE成绩库!C355="","", MSE成绩库!N355)</f>
        <v/>
      </c>
      <c r="N355" t="str">
        <f>IF(MSE成绩库!C355="","", MSE成绩库!O355)</f>
        <v/>
      </c>
      <c r="O355" t="str">
        <f>IF(MSE成绩库!C355="","", MSE成绩库!Q355)</f>
        <v/>
      </c>
      <c r="P355" t="str">
        <f>IF(MSE成绩库!C355="","", MSE成绩库!R355)</f>
        <v/>
      </c>
      <c r="Q355" t="str">
        <f>IF(MSE成绩库!C355="","", MSE成绩库!S355)</f>
        <v/>
      </c>
      <c r="R355" t="str">
        <f>IF(MSE成绩库!C355="","", MSE成绩库!T355)</f>
        <v/>
      </c>
      <c r="S355" t="str">
        <f>IF(MSE成绩库!C355="","", MSE成绩库!U355)</f>
        <v/>
      </c>
      <c r="T355" t="str">
        <f>IF(MSE成绩库!C355="","", MSE成绩库!V355)</f>
        <v/>
      </c>
      <c r="U355" t="str">
        <f>IF(MSE成绩库!C355="","", MSE成绩库!X355)</f>
        <v/>
      </c>
      <c r="V355" t="str">
        <f>IF(MSE成绩库!C355="","", MSE成绩库!Y355)</f>
        <v/>
      </c>
      <c r="W355" t="str">
        <f>IF(MSE成绩库!C355="","", MSE成绩库!Z355)</f>
        <v/>
      </c>
      <c r="X355" t="str">
        <f>IF(MSE成绩库!C355="","", MSE成绩库!AA355)</f>
        <v/>
      </c>
      <c r="Y355" t="str">
        <f>IF(MSE成绩库!C355="","", MSE成绩库!AB355)</f>
        <v/>
      </c>
      <c r="Z355" t="str">
        <f>IF(MSE成绩库!C355="","", MSE成绩库!AC355)</f>
        <v/>
      </c>
    </row>
    <row r="356" spans="1:26" x14ac:dyDescent="0.2">
      <c r="A356" t="str">
        <f>IF(MSE成绩库!C356="","", MSE成绩库!C356)</f>
        <v/>
      </c>
      <c r="B356" t="str">
        <f>IF(MSE成绩库!AD356="","", MSE成绩库!AD356)</f>
        <v/>
      </c>
      <c r="C356" t="str">
        <f>IF(MSE成绩库!B356="","", MSE成绩库!B356)</f>
        <v/>
      </c>
      <c r="D356" t="str">
        <f>IF(MSE成绩库!D356="","", MSE成绩库!D356)</f>
        <v/>
      </c>
      <c r="E356" t="str">
        <f>IF(MSE成绩库!C356="","", MSE成绩库!E356)</f>
        <v/>
      </c>
      <c r="F356" t="str">
        <f>IF(MSE成绩库!C356="","", MSE成绩库!F356)</f>
        <v/>
      </c>
      <c r="G356" t="str">
        <f>IF(MSE成绩库!C356="","", MSE成绩库!G356)</f>
        <v/>
      </c>
      <c r="H356" t="str">
        <f>IF(MSE成绩库!C356="","", MSE成绩库!H356)</f>
        <v/>
      </c>
      <c r="I356" t="str">
        <f>IF(MSE成绩库!C356="","", MSE成绩库!I356)</f>
        <v/>
      </c>
      <c r="J356" t="str">
        <f>IF(MSE成绩库!C356="","", MSE成绩库!J356)</f>
        <v/>
      </c>
      <c r="K356" t="str">
        <f>IF(MSE成绩库!C356="","", MSE成绩库!K356)</f>
        <v/>
      </c>
      <c r="L356" t="str">
        <f>IF(MSE成绩库!C356="","", MSE成绩库!M356)</f>
        <v/>
      </c>
      <c r="M356" t="str">
        <f>IF(MSE成绩库!C356="","", MSE成绩库!N356)</f>
        <v/>
      </c>
      <c r="N356" t="str">
        <f>IF(MSE成绩库!C356="","", MSE成绩库!O356)</f>
        <v/>
      </c>
      <c r="O356" t="str">
        <f>IF(MSE成绩库!C356="","", MSE成绩库!Q356)</f>
        <v/>
      </c>
      <c r="P356" t="str">
        <f>IF(MSE成绩库!C356="","", MSE成绩库!R356)</f>
        <v/>
      </c>
      <c r="Q356" t="str">
        <f>IF(MSE成绩库!C356="","", MSE成绩库!S356)</f>
        <v/>
      </c>
      <c r="R356" t="str">
        <f>IF(MSE成绩库!C356="","", MSE成绩库!T356)</f>
        <v/>
      </c>
      <c r="S356" t="str">
        <f>IF(MSE成绩库!C356="","", MSE成绩库!U356)</f>
        <v/>
      </c>
      <c r="T356" t="str">
        <f>IF(MSE成绩库!C356="","", MSE成绩库!V356)</f>
        <v/>
      </c>
      <c r="U356" t="str">
        <f>IF(MSE成绩库!C356="","", MSE成绩库!X356)</f>
        <v/>
      </c>
      <c r="V356" t="str">
        <f>IF(MSE成绩库!C356="","", MSE成绩库!Y356)</f>
        <v/>
      </c>
      <c r="W356" t="str">
        <f>IF(MSE成绩库!C356="","", MSE成绩库!Z356)</f>
        <v/>
      </c>
      <c r="X356" t="str">
        <f>IF(MSE成绩库!C356="","", MSE成绩库!AA356)</f>
        <v/>
      </c>
      <c r="Y356" t="str">
        <f>IF(MSE成绩库!C356="","", MSE成绩库!AB356)</f>
        <v/>
      </c>
      <c r="Z356" t="str">
        <f>IF(MSE成绩库!C356="","", MSE成绩库!AC356)</f>
        <v/>
      </c>
    </row>
    <row r="357" spans="1:26" x14ac:dyDescent="0.2">
      <c r="A357" t="str">
        <f>IF(MSE成绩库!C357="","", MSE成绩库!C357)</f>
        <v/>
      </c>
      <c r="B357" t="str">
        <f>IF(MSE成绩库!AD357="","", MSE成绩库!AD357)</f>
        <v/>
      </c>
      <c r="C357" t="str">
        <f>IF(MSE成绩库!B357="","", MSE成绩库!B357)</f>
        <v/>
      </c>
      <c r="D357" t="str">
        <f>IF(MSE成绩库!D357="","", MSE成绩库!D357)</f>
        <v/>
      </c>
      <c r="E357" t="str">
        <f>IF(MSE成绩库!C357="","", MSE成绩库!E357)</f>
        <v/>
      </c>
      <c r="F357" t="str">
        <f>IF(MSE成绩库!C357="","", MSE成绩库!F357)</f>
        <v/>
      </c>
      <c r="G357" t="str">
        <f>IF(MSE成绩库!C357="","", MSE成绩库!G357)</f>
        <v/>
      </c>
      <c r="H357" t="str">
        <f>IF(MSE成绩库!C357="","", MSE成绩库!H357)</f>
        <v/>
      </c>
      <c r="I357" t="str">
        <f>IF(MSE成绩库!C357="","", MSE成绩库!I357)</f>
        <v/>
      </c>
      <c r="J357" t="str">
        <f>IF(MSE成绩库!C357="","", MSE成绩库!J357)</f>
        <v/>
      </c>
      <c r="K357" t="str">
        <f>IF(MSE成绩库!C357="","", MSE成绩库!K357)</f>
        <v/>
      </c>
      <c r="L357" t="str">
        <f>IF(MSE成绩库!C357="","", MSE成绩库!M357)</f>
        <v/>
      </c>
      <c r="M357" t="str">
        <f>IF(MSE成绩库!C357="","", MSE成绩库!N357)</f>
        <v/>
      </c>
      <c r="N357" t="str">
        <f>IF(MSE成绩库!C357="","", MSE成绩库!O357)</f>
        <v/>
      </c>
      <c r="O357" t="str">
        <f>IF(MSE成绩库!C357="","", MSE成绩库!Q357)</f>
        <v/>
      </c>
      <c r="P357" t="str">
        <f>IF(MSE成绩库!C357="","", MSE成绩库!R357)</f>
        <v/>
      </c>
      <c r="Q357" t="str">
        <f>IF(MSE成绩库!C357="","", MSE成绩库!S357)</f>
        <v/>
      </c>
      <c r="R357" t="str">
        <f>IF(MSE成绩库!C357="","", MSE成绩库!T357)</f>
        <v/>
      </c>
      <c r="S357" t="str">
        <f>IF(MSE成绩库!C357="","", MSE成绩库!U357)</f>
        <v/>
      </c>
      <c r="T357" t="str">
        <f>IF(MSE成绩库!C357="","", MSE成绩库!V357)</f>
        <v/>
      </c>
      <c r="U357" t="str">
        <f>IF(MSE成绩库!C357="","", MSE成绩库!X357)</f>
        <v/>
      </c>
      <c r="V357" t="str">
        <f>IF(MSE成绩库!C357="","", MSE成绩库!Y357)</f>
        <v/>
      </c>
      <c r="W357" t="str">
        <f>IF(MSE成绩库!C357="","", MSE成绩库!Z357)</f>
        <v/>
      </c>
      <c r="X357" t="str">
        <f>IF(MSE成绩库!C357="","", MSE成绩库!AA357)</f>
        <v/>
      </c>
      <c r="Y357" t="str">
        <f>IF(MSE成绩库!C357="","", MSE成绩库!AB357)</f>
        <v/>
      </c>
      <c r="Z357" t="str">
        <f>IF(MSE成绩库!C357="","", MSE成绩库!AC357)</f>
        <v/>
      </c>
    </row>
    <row r="358" spans="1:26" x14ac:dyDescent="0.2">
      <c r="A358" t="str">
        <f>IF(MSE成绩库!C358="","", MSE成绩库!C358)</f>
        <v/>
      </c>
      <c r="B358" t="str">
        <f>IF(MSE成绩库!AD358="","", MSE成绩库!AD358)</f>
        <v/>
      </c>
      <c r="C358" t="str">
        <f>IF(MSE成绩库!B358="","", MSE成绩库!B358)</f>
        <v/>
      </c>
      <c r="D358" t="str">
        <f>IF(MSE成绩库!D358="","", MSE成绩库!D358)</f>
        <v/>
      </c>
      <c r="E358" t="str">
        <f>IF(MSE成绩库!C358="","", MSE成绩库!E358)</f>
        <v/>
      </c>
      <c r="F358" t="str">
        <f>IF(MSE成绩库!C358="","", MSE成绩库!F358)</f>
        <v/>
      </c>
      <c r="G358" t="str">
        <f>IF(MSE成绩库!C358="","", MSE成绩库!G358)</f>
        <v/>
      </c>
      <c r="H358" t="str">
        <f>IF(MSE成绩库!C358="","", MSE成绩库!H358)</f>
        <v/>
      </c>
      <c r="I358" t="str">
        <f>IF(MSE成绩库!C358="","", MSE成绩库!I358)</f>
        <v/>
      </c>
      <c r="J358" t="str">
        <f>IF(MSE成绩库!C358="","", MSE成绩库!J358)</f>
        <v/>
      </c>
      <c r="K358" t="str">
        <f>IF(MSE成绩库!C358="","", MSE成绩库!K358)</f>
        <v/>
      </c>
      <c r="L358" t="str">
        <f>IF(MSE成绩库!C358="","", MSE成绩库!M358)</f>
        <v/>
      </c>
      <c r="M358" t="str">
        <f>IF(MSE成绩库!C358="","", MSE成绩库!N358)</f>
        <v/>
      </c>
      <c r="N358" t="str">
        <f>IF(MSE成绩库!C358="","", MSE成绩库!O358)</f>
        <v/>
      </c>
      <c r="O358" t="str">
        <f>IF(MSE成绩库!C358="","", MSE成绩库!Q358)</f>
        <v/>
      </c>
      <c r="P358" t="str">
        <f>IF(MSE成绩库!C358="","", MSE成绩库!R358)</f>
        <v/>
      </c>
      <c r="Q358" t="str">
        <f>IF(MSE成绩库!C358="","", MSE成绩库!S358)</f>
        <v/>
      </c>
      <c r="R358" t="str">
        <f>IF(MSE成绩库!C358="","", MSE成绩库!T358)</f>
        <v/>
      </c>
      <c r="S358" t="str">
        <f>IF(MSE成绩库!C358="","", MSE成绩库!U358)</f>
        <v/>
      </c>
      <c r="T358" t="str">
        <f>IF(MSE成绩库!C358="","", MSE成绩库!V358)</f>
        <v/>
      </c>
      <c r="U358" t="str">
        <f>IF(MSE成绩库!C358="","", MSE成绩库!X358)</f>
        <v/>
      </c>
      <c r="V358" t="str">
        <f>IF(MSE成绩库!C358="","", MSE成绩库!Y358)</f>
        <v/>
      </c>
      <c r="W358" t="str">
        <f>IF(MSE成绩库!C358="","", MSE成绩库!Z358)</f>
        <v/>
      </c>
      <c r="X358" t="str">
        <f>IF(MSE成绩库!C358="","", MSE成绩库!AA358)</f>
        <v/>
      </c>
      <c r="Y358" t="str">
        <f>IF(MSE成绩库!C358="","", MSE成绩库!AB358)</f>
        <v/>
      </c>
      <c r="Z358" t="str">
        <f>IF(MSE成绩库!C358="","", MSE成绩库!AC358)</f>
        <v/>
      </c>
    </row>
    <row r="359" spans="1:26" x14ac:dyDescent="0.2">
      <c r="A359" t="str">
        <f>IF(MSE成绩库!C359="","", MSE成绩库!C359)</f>
        <v/>
      </c>
      <c r="B359" t="str">
        <f>IF(MSE成绩库!AD359="","", MSE成绩库!AD359)</f>
        <v/>
      </c>
      <c r="C359" t="str">
        <f>IF(MSE成绩库!B359="","", MSE成绩库!B359)</f>
        <v/>
      </c>
      <c r="D359" t="str">
        <f>IF(MSE成绩库!D359="","", MSE成绩库!D359)</f>
        <v/>
      </c>
      <c r="E359" t="str">
        <f>IF(MSE成绩库!C359="","", MSE成绩库!E359)</f>
        <v/>
      </c>
      <c r="F359" t="str">
        <f>IF(MSE成绩库!C359="","", MSE成绩库!F359)</f>
        <v/>
      </c>
      <c r="G359" t="str">
        <f>IF(MSE成绩库!C359="","", MSE成绩库!G359)</f>
        <v/>
      </c>
      <c r="H359" t="str">
        <f>IF(MSE成绩库!C359="","", MSE成绩库!H359)</f>
        <v/>
      </c>
      <c r="I359" t="str">
        <f>IF(MSE成绩库!C359="","", MSE成绩库!I359)</f>
        <v/>
      </c>
      <c r="J359" t="str">
        <f>IF(MSE成绩库!C359="","", MSE成绩库!J359)</f>
        <v/>
      </c>
      <c r="K359" t="str">
        <f>IF(MSE成绩库!C359="","", MSE成绩库!K359)</f>
        <v/>
      </c>
      <c r="L359" t="str">
        <f>IF(MSE成绩库!C359="","", MSE成绩库!M359)</f>
        <v/>
      </c>
      <c r="M359" t="str">
        <f>IF(MSE成绩库!C359="","", MSE成绩库!N359)</f>
        <v/>
      </c>
      <c r="N359" t="str">
        <f>IF(MSE成绩库!C359="","", MSE成绩库!O359)</f>
        <v/>
      </c>
      <c r="O359" t="str">
        <f>IF(MSE成绩库!C359="","", MSE成绩库!Q359)</f>
        <v/>
      </c>
      <c r="P359" t="str">
        <f>IF(MSE成绩库!C359="","", MSE成绩库!R359)</f>
        <v/>
      </c>
      <c r="Q359" t="str">
        <f>IF(MSE成绩库!C359="","", MSE成绩库!S359)</f>
        <v/>
      </c>
      <c r="R359" t="str">
        <f>IF(MSE成绩库!C359="","", MSE成绩库!T359)</f>
        <v/>
      </c>
      <c r="S359" t="str">
        <f>IF(MSE成绩库!C359="","", MSE成绩库!U359)</f>
        <v/>
      </c>
      <c r="T359" t="str">
        <f>IF(MSE成绩库!C359="","", MSE成绩库!V359)</f>
        <v/>
      </c>
      <c r="U359" t="str">
        <f>IF(MSE成绩库!C359="","", MSE成绩库!X359)</f>
        <v/>
      </c>
      <c r="V359" t="str">
        <f>IF(MSE成绩库!C359="","", MSE成绩库!Y359)</f>
        <v/>
      </c>
      <c r="W359" t="str">
        <f>IF(MSE成绩库!C359="","", MSE成绩库!Z359)</f>
        <v/>
      </c>
      <c r="X359" t="str">
        <f>IF(MSE成绩库!C359="","", MSE成绩库!AA359)</f>
        <v/>
      </c>
      <c r="Y359" t="str">
        <f>IF(MSE成绩库!C359="","", MSE成绩库!AB359)</f>
        <v/>
      </c>
      <c r="Z359" t="str">
        <f>IF(MSE成绩库!C359="","", MSE成绩库!AC359)</f>
        <v/>
      </c>
    </row>
    <row r="360" spans="1:26" x14ac:dyDescent="0.2">
      <c r="A360" t="str">
        <f>IF(MSE成绩库!C360="","", MSE成绩库!C360)</f>
        <v/>
      </c>
      <c r="B360" t="str">
        <f>IF(MSE成绩库!AD360="","", MSE成绩库!AD360)</f>
        <v/>
      </c>
      <c r="C360" t="str">
        <f>IF(MSE成绩库!B360="","", MSE成绩库!B360)</f>
        <v/>
      </c>
      <c r="D360" t="str">
        <f>IF(MSE成绩库!D360="","", MSE成绩库!D360)</f>
        <v/>
      </c>
      <c r="E360" t="str">
        <f>IF(MSE成绩库!C360="","", MSE成绩库!E360)</f>
        <v/>
      </c>
      <c r="F360" t="str">
        <f>IF(MSE成绩库!C360="","", MSE成绩库!F360)</f>
        <v/>
      </c>
      <c r="G360" t="str">
        <f>IF(MSE成绩库!C360="","", MSE成绩库!G360)</f>
        <v/>
      </c>
      <c r="H360" t="str">
        <f>IF(MSE成绩库!C360="","", MSE成绩库!H360)</f>
        <v/>
      </c>
      <c r="I360" t="str">
        <f>IF(MSE成绩库!C360="","", MSE成绩库!I360)</f>
        <v/>
      </c>
      <c r="J360" t="str">
        <f>IF(MSE成绩库!C360="","", MSE成绩库!J360)</f>
        <v/>
      </c>
      <c r="K360" t="str">
        <f>IF(MSE成绩库!C360="","", MSE成绩库!K360)</f>
        <v/>
      </c>
      <c r="L360" t="str">
        <f>IF(MSE成绩库!C360="","", MSE成绩库!M360)</f>
        <v/>
      </c>
      <c r="M360" t="str">
        <f>IF(MSE成绩库!C360="","", MSE成绩库!N360)</f>
        <v/>
      </c>
      <c r="N360" t="str">
        <f>IF(MSE成绩库!C360="","", MSE成绩库!O360)</f>
        <v/>
      </c>
      <c r="O360" t="str">
        <f>IF(MSE成绩库!C360="","", MSE成绩库!Q360)</f>
        <v/>
      </c>
      <c r="P360" t="str">
        <f>IF(MSE成绩库!C360="","", MSE成绩库!R360)</f>
        <v/>
      </c>
      <c r="Q360" t="str">
        <f>IF(MSE成绩库!C360="","", MSE成绩库!S360)</f>
        <v/>
      </c>
      <c r="R360" t="str">
        <f>IF(MSE成绩库!C360="","", MSE成绩库!T360)</f>
        <v/>
      </c>
      <c r="S360" t="str">
        <f>IF(MSE成绩库!C360="","", MSE成绩库!U360)</f>
        <v/>
      </c>
      <c r="T360" t="str">
        <f>IF(MSE成绩库!C360="","", MSE成绩库!V360)</f>
        <v/>
      </c>
      <c r="U360" t="str">
        <f>IF(MSE成绩库!C360="","", MSE成绩库!X360)</f>
        <v/>
      </c>
      <c r="V360" t="str">
        <f>IF(MSE成绩库!C360="","", MSE成绩库!Y360)</f>
        <v/>
      </c>
      <c r="W360" t="str">
        <f>IF(MSE成绩库!C360="","", MSE成绩库!Z360)</f>
        <v/>
      </c>
      <c r="X360" t="str">
        <f>IF(MSE成绩库!C360="","", MSE成绩库!AA360)</f>
        <v/>
      </c>
      <c r="Y360" t="str">
        <f>IF(MSE成绩库!C360="","", MSE成绩库!AB360)</f>
        <v/>
      </c>
      <c r="Z360" t="str">
        <f>IF(MSE成绩库!C360="","", MSE成绩库!AC360)</f>
        <v/>
      </c>
    </row>
    <row r="361" spans="1:26" x14ac:dyDescent="0.2">
      <c r="A361" t="str">
        <f>IF(MSE成绩库!C361="","", MSE成绩库!C361)</f>
        <v/>
      </c>
      <c r="B361" t="str">
        <f>IF(MSE成绩库!AD361="","", MSE成绩库!AD361)</f>
        <v/>
      </c>
      <c r="C361" t="str">
        <f>IF(MSE成绩库!B361="","", MSE成绩库!B361)</f>
        <v/>
      </c>
      <c r="D361" t="str">
        <f>IF(MSE成绩库!D361="","", MSE成绩库!D361)</f>
        <v/>
      </c>
      <c r="E361" t="str">
        <f>IF(MSE成绩库!C361="","", MSE成绩库!E361)</f>
        <v/>
      </c>
      <c r="F361" t="str">
        <f>IF(MSE成绩库!C361="","", MSE成绩库!F361)</f>
        <v/>
      </c>
      <c r="G361" t="str">
        <f>IF(MSE成绩库!C361="","", MSE成绩库!G361)</f>
        <v/>
      </c>
      <c r="H361" t="str">
        <f>IF(MSE成绩库!C361="","", MSE成绩库!H361)</f>
        <v/>
      </c>
      <c r="I361" t="str">
        <f>IF(MSE成绩库!C361="","", MSE成绩库!I361)</f>
        <v/>
      </c>
      <c r="J361" t="str">
        <f>IF(MSE成绩库!C361="","", MSE成绩库!J361)</f>
        <v/>
      </c>
      <c r="K361" t="str">
        <f>IF(MSE成绩库!C361="","", MSE成绩库!K361)</f>
        <v/>
      </c>
      <c r="L361" t="str">
        <f>IF(MSE成绩库!C361="","", MSE成绩库!M361)</f>
        <v/>
      </c>
      <c r="M361" t="str">
        <f>IF(MSE成绩库!C361="","", MSE成绩库!N361)</f>
        <v/>
      </c>
      <c r="N361" t="str">
        <f>IF(MSE成绩库!C361="","", MSE成绩库!O361)</f>
        <v/>
      </c>
      <c r="O361" t="str">
        <f>IF(MSE成绩库!C361="","", MSE成绩库!Q361)</f>
        <v/>
      </c>
      <c r="P361" t="str">
        <f>IF(MSE成绩库!C361="","", MSE成绩库!R361)</f>
        <v/>
      </c>
      <c r="Q361" t="str">
        <f>IF(MSE成绩库!C361="","", MSE成绩库!S361)</f>
        <v/>
      </c>
      <c r="R361" t="str">
        <f>IF(MSE成绩库!C361="","", MSE成绩库!T361)</f>
        <v/>
      </c>
      <c r="S361" t="str">
        <f>IF(MSE成绩库!C361="","", MSE成绩库!U361)</f>
        <v/>
      </c>
      <c r="T361" t="str">
        <f>IF(MSE成绩库!C361="","", MSE成绩库!V361)</f>
        <v/>
      </c>
      <c r="U361" t="str">
        <f>IF(MSE成绩库!C361="","", MSE成绩库!X361)</f>
        <v/>
      </c>
      <c r="V361" t="str">
        <f>IF(MSE成绩库!C361="","", MSE成绩库!Y361)</f>
        <v/>
      </c>
      <c r="W361" t="str">
        <f>IF(MSE成绩库!C361="","", MSE成绩库!Z361)</f>
        <v/>
      </c>
      <c r="X361" t="str">
        <f>IF(MSE成绩库!C361="","", MSE成绩库!AA361)</f>
        <v/>
      </c>
      <c r="Y361" t="str">
        <f>IF(MSE成绩库!C361="","", MSE成绩库!AB361)</f>
        <v/>
      </c>
      <c r="Z361" t="str">
        <f>IF(MSE成绩库!C361="","", MSE成绩库!AC361)</f>
        <v/>
      </c>
    </row>
    <row r="362" spans="1:26" x14ac:dyDescent="0.2">
      <c r="A362" t="str">
        <f>IF(MSE成绩库!C362="","", MSE成绩库!C362)</f>
        <v/>
      </c>
      <c r="B362" t="str">
        <f>IF(MSE成绩库!AD362="","", MSE成绩库!AD362)</f>
        <v/>
      </c>
      <c r="C362" t="str">
        <f>IF(MSE成绩库!B362="","", MSE成绩库!B362)</f>
        <v/>
      </c>
      <c r="D362" t="str">
        <f>IF(MSE成绩库!D362="","", MSE成绩库!D362)</f>
        <v/>
      </c>
      <c r="E362" t="str">
        <f>IF(MSE成绩库!C362="","", MSE成绩库!E362)</f>
        <v/>
      </c>
      <c r="F362" t="str">
        <f>IF(MSE成绩库!C362="","", MSE成绩库!F362)</f>
        <v/>
      </c>
      <c r="G362" t="str">
        <f>IF(MSE成绩库!C362="","", MSE成绩库!G362)</f>
        <v/>
      </c>
      <c r="H362" t="str">
        <f>IF(MSE成绩库!C362="","", MSE成绩库!H362)</f>
        <v/>
      </c>
      <c r="I362" t="str">
        <f>IF(MSE成绩库!C362="","", MSE成绩库!I362)</f>
        <v/>
      </c>
      <c r="J362" t="str">
        <f>IF(MSE成绩库!C362="","", MSE成绩库!J362)</f>
        <v/>
      </c>
      <c r="K362" t="str">
        <f>IF(MSE成绩库!C362="","", MSE成绩库!K362)</f>
        <v/>
      </c>
      <c r="L362" t="str">
        <f>IF(MSE成绩库!C362="","", MSE成绩库!M362)</f>
        <v/>
      </c>
      <c r="M362" t="str">
        <f>IF(MSE成绩库!C362="","", MSE成绩库!N362)</f>
        <v/>
      </c>
      <c r="N362" t="str">
        <f>IF(MSE成绩库!C362="","", MSE成绩库!O362)</f>
        <v/>
      </c>
      <c r="O362" t="str">
        <f>IF(MSE成绩库!C362="","", MSE成绩库!Q362)</f>
        <v/>
      </c>
      <c r="P362" t="str">
        <f>IF(MSE成绩库!C362="","", MSE成绩库!R362)</f>
        <v/>
      </c>
      <c r="Q362" t="str">
        <f>IF(MSE成绩库!C362="","", MSE成绩库!S362)</f>
        <v/>
      </c>
      <c r="R362" t="str">
        <f>IF(MSE成绩库!C362="","", MSE成绩库!T362)</f>
        <v/>
      </c>
      <c r="S362" t="str">
        <f>IF(MSE成绩库!C362="","", MSE成绩库!U362)</f>
        <v/>
      </c>
      <c r="T362" t="str">
        <f>IF(MSE成绩库!C362="","", MSE成绩库!V362)</f>
        <v/>
      </c>
      <c r="U362" t="str">
        <f>IF(MSE成绩库!C362="","", MSE成绩库!X362)</f>
        <v/>
      </c>
      <c r="V362" t="str">
        <f>IF(MSE成绩库!C362="","", MSE成绩库!Y362)</f>
        <v/>
      </c>
      <c r="W362" t="str">
        <f>IF(MSE成绩库!C362="","", MSE成绩库!Z362)</f>
        <v/>
      </c>
      <c r="X362" t="str">
        <f>IF(MSE成绩库!C362="","", MSE成绩库!AA362)</f>
        <v/>
      </c>
      <c r="Y362" t="str">
        <f>IF(MSE成绩库!C362="","", MSE成绩库!AB362)</f>
        <v/>
      </c>
      <c r="Z362" t="str">
        <f>IF(MSE成绩库!C362="","", MSE成绩库!AC362)</f>
        <v/>
      </c>
    </row>
    <row r="363" spans="1:26" x14ac:dyDescent="0.2">
      <c r="A363" t="str">
        <f>IF(MSE成绩库!C363="","", MSE成绩库!C363)</f>
        <v/>
      </c>
      <c r="B363" t="str">
        <f>IF(MSE成绩库!AD363="","", MSE成绩库!AD363)</f>
        <v/>
      </c>
      <c r="C363" t="str">
        <f>IF(MSE成绩库!B363="","", MSE成绩库!B363)</f>
        <v/>
      </c>
      <c r="D363" t="str">
        <f>IF(MSE成绩库!D363="","", MSE成绩库!D363)</f>
        <v/>
      </c>
      <c r="E363" t="str">
        <f>IF(MSE成绩库!C363="","", MSE成绩库!E363)</f>
        <v/>
      </c>
      <c r="F363" t="str">
        <f>IF(MSE成绩库!C363="","", MSE成绩库!F363)</f>
        <v/>
      </c>
      <c r="G363" t="str">
        <f>IF(MSE成绩库!C363="","", MSE成绩库!G363)</f>
        <v/>
      </c>
      <c r="H363" t="str">
        <f>IF(MSE成绩库!C363="","", MSE成绩库!H363)</f>
        <v/>
      </c>
      <c r="I363" t="str">
        <f>IF(MSE成绩库!C363="","", MSE成绩库!I363)</f>
        <v/>
      </c>
      <c r="J363" t="str">
        <f>IF(MSE成绩库!C363="","", MSE成绩库!J363)</f>
        <v/>
      </c>
      <c r="K363" t="str">
        <f>IF(MSE成绩库!C363="","", MSE成绩库!K363)</f>
        <v/>
      </c>
      <c r="L363" t="str">
        <f>IF(MSE成绩库!C363="","", MSE成绩库!M363)</f>
        <v/>
      </c>
      <c r="M363" t="str">
        <f>IF(MSE成绩库!C363="","", MSE成绩库!N363)</f>
        <v/>
      </c>
      <c r="N363" t="str">
        <f>IF(MSE成绩库!C363="","", MSE成绩库!O363)</f>
        <v/>
      </c>
      <c r="O363" t="str">
        <f>IF(MSE成绩库!C363="","", MSE成绩库!Q363)</f>
        <v/>
      </c>
      <c r="P363" t="str">
        <f>IF(MSE成绩库!C363="","", MSE成绩库!R363)</f>
        <v/>
      </c>
      <c r="Q363" t="str">
        <f>IF(MSE成绩库!C363="","", MSE成绩库!S363)</f>
        <v/>
      </c>
      <c r="R363" t="str">
        <f>IF(MSE成绩库!C363="","", MSE成绩库!T363)</f>
        <v/>
      </c>
      <c r="S363" t="str">
        <f>IF(MSE成绩库!C363="","", MSE成绩库!U363)</f>
        <v/>
      </c>
      <c r="T363" t="str">
        <f>IF(MSE成绩库!C363="","", MSE成绩库!V363)</f>
        <v/>
      </c>
      <c r="U363" t="str">
        <f>IF(MSE成绩库!C363="","", MSE成绩库!X363)</f>
        <v/>
      </c>
      <c r="V363" t="str">
        <f>IF(MSE成绩库!C363="","", MSE成绩库!Y363)</f>
        <v/>
      </c>
      <c r="W363" t="str">
        <f>IF(MSE成绩库!C363="","", MSE成绩库!Z363)</f>
        <v/>
      </c>
      <c r="X363" t="str">
        <f>IF(MSE成绩库!C363="","", MSE成绩库!AA363)</f>
        <v/>
      </c>
      <c r="Y363" t="str">
        <f>IF(MSE成绩库!C363="","", MSE成绩库!AB363)</f>
        <v/>
      </c>
      <c r="Z363" t="str">
        <f>IF(MSE成绩库!C363="","", MSE成绩库!AC363)</f>
        <v/>
      </c>
    </row>
    <row r="364" spans="1:26" x14ac:dyDescent="0.2">
      <c r="A364" t="str">
        <f>IF(MSE成绩库!C364="","", MSE成绩库!C364)</f>
        <v/>
      </c>
      <c r="B364" t="str">
        <f>IF(MSE成绩库!AD364="","", MSE成绩库!AD364)</f>
        <v/>
      </c>
      <c r="C364" t="str">
        <f>IF(MSE成绩库!B364="","", MSE成绩库!B364)</f>
        <v/>
      </c>
      <c r="D364" t="str">
        <f>IF(MSE成绩库!D364="","", MSE成绩库!D364)</f>
        <v/>
      </c>
      <c r="E364" t="str">
        <f>IF(MSE成绩库!C364="","", MSE成绩库!E364)</f>
        <v/>
      </c>
      <c r="F364" t="str">
        <f>IF(MSE成绩库!C364="","", MSE成绩库!F364)</f>
        <v/>
      </c>
      <c r="G364" t="str">
        <f>IF(MSE成绩库!C364="","", MSE成绩库!G364)</f>
        <v/>
      </c>
      <c r="H364" t="str">
        <f>IF(MSE成绩库!C364="","", MSE成绩库!H364)</f>
        <v/>
      </c>
      <c r="I364" t="str">
        <f>IF(MSE成绩库!C364="","", MSE成绩库!I364)</f>
        <v/>
      </c>
      <c r="J364" t="str">
        <f>IF(MSE成绩库!C364="","", MSE成绩库!J364)</f>
        <v/>
      </c>
      <c r="K364" t="str">
        <f>IF(MSE成绩库!C364="","", MSE成绩库!K364)</f>
        <v/>
      </c>
      <c r="L364" t="str">
        <f>IF(MSE成绩库!C364="","", MSE成绩库!M364)</f>
        <v/>
      </c>
      <c r="M364" t="str">
        <f>IF(MSE成绩库!C364="","", MSE成绩库!N364)</f>
        <v/>
      </c>
      <c r="N364" t="str">
        <f>IF(MSE成绩库!C364="","", MSE成绩库!O364)</f>
        <v/>
      </c>
      <c r="O364" t="str">
        <f>IF(MSE成绩库!C364="","", MSE成绩库!Q364)</f>
        <v/>
      </c>
      <c r="P364" t="str">
        <f>IF(MSE成绩库!C364="","", MSE成绩库!R364)</f>
        <v/>
      </c>
      <c r="Q364" t="str">
        <f>IF(MSE成绩库!C364="","", MSE成绩库!S364)</f>
        <v/>
      </c>
      <c r="R364" t="str">
        <f>IF(MSE成绩库!C364="","", MSE成绩库!T364)</f>
        <v/>
      </c>
      <c r="S364" t="str">
        <f>IF(MSE成绩库!C364="","", MSE成绩库!U364)</f>
        <v/>
      </c>
      <c r="T364" t="str">
        <f>IF(MSE成绩库!C364="","", MSE成绩库!V364)</f>
        <v/>
      </c>
      <c r="U364" t="str">
        <f>IF(MSE成绩库!C364="","", MSE成绩库!X364)</f>
        <v/>
      </c>
      <c r="V364" t="str">
        <f>IF(MSE成绩库!C364="","", MSE成绩库!Y364)</f>
        <v/>
      </c>
      <c r="W364" t="str">
        <f>IF(MSE成绩库!C364="","", MSE成绩库!Z364)</f>
        <v/>
      </c>
      <c r="X364" t="str">
        <f>IF(MSE成绩库!C364="","", MSE成绩库!AA364)</f>
        <v/>
      </c>
      <c r="Y364" t="str">
        <f>IF(MSE成绩库!C364="","", MSE成绩库!AB364)</f>
        <v/>
      </c>
      <c r="Z364" t="str">
        <f>IF(MSE成绩库!C364="","", MSE成绩库!AC364)</f>
        <v/>
      </c>
    </row>
    <row r="365" spans="1:26" x14ac:dyDescent="0.2">
      <c r="A365" t="str">
        <f>IF(MSE成绩库!C365="","", MSE成绩库!C365)</f>
        <v/>
      </c>
      <c r="B365" t="str">
        <f>IF(MSE成绩库!AD365="","", MSE成绩库!AD365)</f>
        <v/>
      </c>
      <c r="C365" t="str">
        <f>IF(MSE成绩库!B365="","", MSE成绩库!B365)</f>
        <v/>
      </c>
      <c r="D365" t="str">
        <f>IF(MSE成绩库!D365="","", MSE成绩库!D365)</f>
        <v/>
      </c>
      <c r="E365" t="str">
        <f>IF(MSE成绩库!C365="","", MSE成绩库!E365)</f>
        <v/>
      </c>
      <c r="F365" t="str">
        <f>IF(MSE成绩库!C365="","", MSE成绩库!F365)</f>
        <v/>
      </c>
      <c r="G365" t="str">
        <f>IF(MSE成绩库!C365="","", MSE成绩库!G365)</f>
        <v/>
      </c>
      <c r="H365" t="str">
        <f>IF(MSE成绩库!C365="","", MSE成绩库!H365)</f>
        <v/>
      </c>
      <c r="I365" t="str">
        <f>IF(MSE成绩库!C365="","", MSE成绩库!I365)</f>
        <v/>
      </c>
      <c r="J365" t="str">
        <f>IF(MSE成绩库!C365="","", MSE成绩库!J365)</f>
        <v/>
      </c>
      <c r="K365" t="str">
        <f>IF(MSE成绩库!C365="","", MSE成绩库!K365)</f>
        <v/>
      </c>
      <c r="L365" t="str">
        <f>IF(MSE成绩库!C365="","", MSE成绩库!M365)</f>
        <v/>
      </c>
      <c r="M365" t="str">
        <f>IF(MSE成绩库!C365="","", MSE成绩库!N365)</f>
        <v/>
      </c>
      <c r="N365" t="str">
        <f>IF(MSE成绩库!C365="","", MSE成绩库!O365)</f>
        <v/>
      </c>
      <c r="O365" t="str">
        <f>IF(MSE成绩库!C365="","", MSE成绩库!Q365)</f>
        <v/>
      </c>
      <c r="P365" t="str">
        <f>IF(MSE成绩库!C365="","", MSE成绩库!R365)</f>
        <v/>
      </c>
      <c r="Q365" t="str">
        <f>IF(MSE成绩库!C365="","", MSE成绩库!S365)</f>
        <v/>
      </c>
      <c r="R365" t="str">
        <f>IF(MSE成绩库!C365="","", MSE成绩库!T365)</f>
        <v/>
      </c>
      <c r="S365" t="str">
        <f>IF(MSE成绩库!C365="","", MSE成绩库!U365)</f>
        <v/>
      </c>
      <c r="T365" t="str">
        <f>IF(MSE成绩库!C365="","", MSE成绩库!V365)</f>
        <v/>
      </c>
      <c r="U365" t="str">
        <f>IF(MSE成绩库!C365="","", MSE成绩库!X365)</f>
        <v/>
      </c>
      <c r="V365" t="str">
        <f>IF(MSE成绩库!C365="","", MSE成绩库!Y365)</f>
        <v/>
      </c>
      <c r="W365" t="str">
        <f>IF(MSE成绩库!C365="","", MSE成绩库!Z365)</f>
        <v/>
      </c>
      <c r="X365" t="str">
        <f>IF(MSE成绩库!C365="","", MSE成绩库!AA365)</f>
        <v/>
      </c>
      <c r="Y365" t="str">
        <f>IF(MSE成绩库!C365="","", MSE成绩库!AB365)</f>
        <v/>
      </c>
      <c r="Z365" t="str">
        <f>IF(MSE成绩库!C365="","", MSE成绩库!AC365)</f>
        <v/>
      </c>
    </row>
    <row r="366" spans="1:26" x14ac:dyDescent="0.2">
      <c r="A366" t="str">
        <f>IF(MSE成绩库!C366="","", MSE成绩库!C366)</f>
        <v/>
      </c>
      <c r="B366" t="str">
        <f>IF(MSE成绩库!AD366="","", MSE成绩库!AD366)</f>
        <v/>
      </c>
      <c r="C366" t="str">
        <f>IF(MSE成绩库!B366="","", MSE成绩库!B366)</f>
        <v/>
      </c>
      <c r="D366" t="str">
        <f>IF(MSE成绩库!D366="","", MSE成绩库!D366)</f>
        <v/>
      </c>
      <c r="E366" t="str">
        <f>IF(MSE成绩库!C366="","", MSE成绩库!E366)</f>
        <v/>
      </c>
      <c r="F366" t="str">
        <f>IF(MSE成绩库!C366="","", MSE成绩库!F366)</f>
        <v/>
      </c>
      <c r="G366" t="str">
        <f>IF(MSE成绩库!C366="","", MSE成绩库!G366)</f>
        <v/>
      </c>
      <c r="H366" t="str">
        <f>IF(MSE成绩库!C366="","", MSE成绩库!H366)</f>
        <v/>
      </c>
      <c r="I366" t="str">
        <f>IF(MSE成绩库!C366="","", MSE成绩库!I366)</f>
        <v/>
      </c>
      <c r="J366" t="str">
        <f>IF(MSE成绩库!C366="","", MSE成绩库!J366)</f>
        <v/>
      </c>
      <c r="K366" t="str">
        <f>IF(MSE成绩库!C366="","", MSE成绩库!K366)</f>
        <v/>
      </c>
      <c r="L366" t="str">
        <f>IF(MSE成绩库!C366="","", MSE成绩库!M366)</f>
        <v/>
      </c>
      <c r="M366" t="str">
        <f>IF(MSE成绩库!C366="","", MSE成绩库!N366)</f>
        <v/>
      </c>
      <c r="N366" t="str">
        <f>IF(MSE成绩库!C366="","", MSE成绩库!O366)</f>
        <v/>
      </c>
      <c r="O366" t="str">
        <f>IF(MSE成绩库!C366="","", MSE成绩库!Q366)</f>
        <v/>
      </c>
      <c r="P366" t="str">
        <f>IF(MSE成绩库!C366="","", MSE成绩库!R366)</f>
        <v/>
      </c>
      <c r="Q366" t="str">
        <f>IF(MSE成绩库!C366="","", MSE成绩库!S366)</f>
        <v/>
      </c>
      <c r="R366" t="str">
        <f>IF(MSE成绩库!C366="","", MSE成绩库!T366)</f>
        <v/>
      </c>
      <c r="S366" t="str">
        <f>IF(MSE成绩库!C366="","", MSE成绩库!U366)</f>
        <v/>
      </c>
      <c r="T366" t="str">
        <f>IF(MSE成绩库!C366="","", MSE成绩库!V366)</f>
        <v/>
      </c>
      <c r="U366" t="str">
        <f>IF(MSE成绩库!C366="","", MSE成绩库!X366)</f>
        <v/>
      </c>
      <c r="V366" t="str">
        <f>IF(MSE成绩库!C366="","", MSE成绩库!Y366)</f>
        <v/>
      </c>
      <c r="W366" t="str">
        <f>IF(MSE成绩库!C366="","", MSE成绩库!Z366)</f>
        <v/>
      </c>
      <c r="X366" t="str">
        <f>IF(MSE成绩库!C366="","", MSE成绩库!AA366)</f>
        <v/>
      </c>
      <c r="Y366" t="str">
        <f>IF(MSE成绩库!C366="","", MSE成绩库!AB366)</f>
        <v/>
      </c>
      <c r="Z366" t="str">
        <f>IF(MSE成绩库!C366="","", MSE成绩库!AC366)</f>
        <v/>
      </c>
    </row>
    <row r="367" spans="1:26" x14ac:dyDescent="0.2">
      <c r="A367" t="str">
        <f>IF(MSE成绩库!C367="","", MSE成绩库!C367)</f>
        <v/>
      </c>
      <c r="B367" t="str">
        <f>IF(MSE成绩库!AD367="","", MSE成绩库!AD367)</f>
        <v/>
      </c>
      <c r="C367" t="str">
        <f>IF(MSE成绩库!B367="","", MSE成绩库!B367)</f>
        <v/>
      </c>
      <c r="D367" t="str">
        <f>IF(MSE成绩库!D367="","", MSE成绩库!D367)</f>
        <v/>
      </c>
      <c r="E367" t="str">
        <f>IF(MSE成绩库!C367="","", MSE成绩库!E367)</f>
        <v/>
      </c>
      <c r="F367" t="str">
        <f>IF(MSE成绩库!C367="","", MSE成绩库!F367)</f>
        <v/>
      </c>
      <c r="G367" t="str">
        <f>IF(MSE成绩库!C367="","", MSE成绩库!G367)</f>
        <v/>
      </c>
      <c r="H367" t="str">
        <f>IF(MSE成绩库!C367="","", MSE成绩库!H367)</f>
        <v/>
      </c>
      <c r="I367" t="str">
        <f>IF(MSE成绩库!C367="","", MSE成绩库!I367)</f>
        <v/>
      </c>
      <c r="J367" t="str">
        <f>IF(MSE成绩库!C367="","", MSE成绩库!J367)</f>
        <v/>
      </c>
      <c r="K367" t="str">
        <f>IF(MSE成绩库!C367="","", MSE成绩库!K367)</f>
        <v/>
      </c>
      <c r="L367" t="str">
        <f>IF(MSE成绩库!C367="","", MSE成绩库!M367)</f>
        <v/>
      </c>
      <c r="M367" t="str">
        <f>IF(MSE成绩库!C367="","", MSE成绩库!N367)</f>
        <v/>
      </c>
      <c r="N367" t="str">
        <f>IF(MSE成绩库!C367="","", MSE成绩库!O367)</f>
        <v/>
      </c>
      <c r="O367" t="str">
        <f>IF(MSE成绩库!C367="","", MSE成绩库!Q367)</f>
        <v/>
      </c>
      <c r="P367" t="str">
        <f>IF(MSE成绩库!C367="","", MSE成绩库!R367)</f>
        <v/>
      </c>
      <c r="Q367" t="str">
        <f>IF(MSE成绩库!C367="","", MSE成绩库!S367)</f>
        <v/>
      </c>
      <c r="R367" t="str">
        <f>IF(MSE成绩库!C367="","", MSE成绩库!T367)</f>
        <v/>
      </c>
      <c r="S367" t="str">
        <f>IF(MSE成绩库!C367="","", MSE成绩库!U367)</f>
        <v/>
      </c>
      <c r="T367" t="str">
        <f>IF(MSE成绩库!C367="","", MSE成绩库!V367)</f>
        <v/>
      </c>
      <c r="U367" t="str">
        <f>IF(MSE成绩库!C367="","", MSE成绩库!X367)</f>
        <v/>
      </c>
      <c r="V367" t="str">
        <f>IF(MSE成绩库!C367="","", MSE成绩库!Y367)</f>
        <v/>
      </c>
      <c r="W367" t="str">
        <f>IF(MSE成绩库!C367="","", MSE成绩库!Z367)</f>
        <v/>
      </c>
      <c r="X367" t="str">
        <f>IF(MSE成绩库!C367="","", MSE成绩库!AA367)</f>
        <v/>
      </c>
      <c r="Y367" t="str">
        <f>IF(MSE成绩库!C367="","", MSE成绩库!AB367)</f>
        <v/>
      </c>
      <c r="Z367" t="str">
        <f>IF(MSE成绩库!C367="","", MSE成绩库!AC367)</f>
        <v/>
      </c>
    </row>
    <row r="368" spans="1:26" x14ac:dyDescent="0.2">
      <c r="A368" t="str">
        <f>IF(MSE成绩库!C368="","", MSE成绩库!C368)</f>
        <v/>
      </c>
      <c r="B368" t="str">
        <f>IF(MSE成绩库!AD368="","", MSE成绩库!AD368)</f>
        <v/>
      </c>
      <c r="C368" t="str">
        <f>IF(MSE成绩库!B368="","", MSE成绩库!B368)</f>
        <v/>
      </c>
      <c r="D368" t="str">
        <f>IF(MSE成绩库!D368="","", MSE成绩库!D368)</f>
        <v/>
      </c>
      <c r="E368" t="str">
        <f>IF(MSE成绩库!C368="","", MSE成绩库!E368)</f>
        <v/>
      </c>
      <c r="F368" t="str">
        <f>IF(MSE成绩库!C368="","", MSE成绩库!F368)</f>
        <v/>
      </c>
      <c r="G368" t="str">
        <f>IF(MSE成绩库!C368="","", MSE成绩库!G368)</f>
        <v/>
      </c>
      <c r="H368" t="str">
        <f>IF(MSE成绩库!C368="","", MSE成绩库!H368)</f>
        <v/>
      </c>
      <c r="I368" t="str">
        <f>IF(MSE成绩库!C368="","", MSE成绩库!I368)</f>
        <v/>
      </c>
      <c r="J368" t="str">
        <f>IF(MSE成绩库!C368="","", MSE成绩库!J368)</f>
        <v/>
      </c>
      <c r="K368" t="str">
        <f>IF(MSE成绩库!C368="","", MSE成绩库!K368)</f>
        <v/>
      </c>
      <c r="L368" t="str">
        <f>IF(MSE成绩库!C368="","", MSE成绩库!M368)</f>
        <v/>
      </c>
      <c r="M368" t="str">
        <f>IF(MSE成绩库!C368="","", MSE成绩库!N368)</f>
        <v/>
      </c>
      <c r="N368" t="str">
        <f>IF(MSE成绩库!C368="","", MSE成绩库!O368)</f>
        <v/>
      </c>
      <c r="O368" t="str">
        <f>IF(MSE成绩库!C368="","", MSE成绩库!Q368)</f>
        <v/>
      </c>
      <c r="P368" t="str">
        <f>IF(MSE成绩库!C368="","", MSE成绩库!R368)</f>
        <v/>
      </c>
      <c r="Q368" t="str">
        <f>IF(MSE成绩库!C368="","", MSE成绩库!S368)</f>
        <v/>
      </c>
      <c r="R368" t="str">
        <f>IF(MSE成绩库!C368="","", MSE成绩库!T368)</f>
        <v/>
      </c>
      <c r="S368" t="str">
        <f>IF(MSE成绩库!C368="","", MSE成绩库!U368)</f>
        <v/>
      </c>
      <c r="T368" t="str">
        <f>IF(MSE成绩库!C368="","", MSE成绩库!V368)</f>
        <v/>
      </c>
      <c r="U368" t="str">
        <f>IF(MSE成绩库!C368="","", MSE成绩库!X368)</f>
        <v/>
      </c>
      <c r="V368" t="str">
        <f>IF(MSE成绩库!C368="","", MSE成绩库!Y368)</f>
        <v/>
      </c>
      <c r="W368" t="str">
        <f>IF(MSE成绩库!C368="","", MSE成绩库!Z368)</f>
        <v/>
      </c>
      <c r="X368" t="str">
        <f>IF(MSE成绩库!C368="","", MSE成绩库!AA368)</f>
        <v/>
      </c>
      <c r="Y368" t="str">
        <f>IF(MSE成绩库!C368="","", MSE成绩库!AB368)</f>
        <v/>
      </c>
      <c r="Z368" t="str">
        <f>IF(MSE成绩库!C368="","", MSE成绩库!AC368)</f>
        <v/>
      </c>
    </row>
    <row r="369" spans="1:26" x14ac:dyDescent="0.2">
      <c r="A369" t="str">
        <f>IF(MSE成绩库!C369="","", MSE成绩库!C369)</f>
        <v/>
      </c>
      <c r="B369" t="str">
        <f>IF(MSE成绩库!AD369="","", MSE成绩库!AD369)</f>
        <v/>
      </c>
      <c r="C369" t="str">
        <f>IF(MSE成绩库!B369="","", MSE成绩库!B369)</f>
        <v/>
      </c>
      <c r="D369" t="str">
        <f>IF(MSE成绩库!D369="","", MSE成绩库!D369)</f>
        <v/>
      </c>
      <c r="E369" t="str">
        <f>IF(MSE成绩库!C369="","", MSE成绩库!E369)</f>
        <v/>
      </c>
      <c r="F369" t="str">
        <f>IF(MSE成绩库!C369="","", MSE成绩库!F369)</f>
        <v/>
      </c>
      <c r="G369" t="str">
        <f>IF(MSE成绩库!C369="","", MSE成绩库!G369)</f>
        <v/>
      </c>
      <c r="H369" t="str">
        <f>IF(MSE成绩库!C369="","", MSE成绩库!H369)</f>
        <v/>
      </c>
      <c r="I369" t="str">
        <f>IF(MSE成绩库!C369="","", MSE成绩库!I369)</f>
        <v/>
      </c>
      <c r="J369" t="str">
        <f>IF(MSE成绩库!C369="","", MSE成绩库!J369)</f>
        <v/>
      </c>
      <c r="K369" t="str">
        <f>IF(MSE成绩库!C369="","", MSE成绩库!K369)</f>
        <v/>
      </c>
      <c r="L369" t="str">
        <f>IF(MSE成绩库!C369="","", MSE成绩库!M369)</f>
        <v/>
      </c>
      <c r="M369" t="str">
        <f>IF(MSE成绩库!C369="","", MSE成绩库!N369)</f>
        <v/>
      </c>
      <c r="N369" t="str">
        <f>IF(MSE成绩库!C369="","", MSE成绩库!O369)</f>
        <v/>
      </c>
      <c r="O369" t="str">
        <f>IF(MSE成绩库!C369="","", MSE成绩库!Q369)</f>
        <v/>
      </c>
      <c r="P369" t="str">
        <f>IF(MSE成绩库!C369="","", MSE成绩库!R369)</f>
        <v/>
      </c>
      <c r="Q369" t="str">
        <f>IF(MSE成绩库!C369="","", MSE成绩库!S369)</f>
        <v/>
      </c>
      <c r="R369" t="str">
        <f>IF(MSE成绩库!C369="","", MSE成绩库!T369)</f>
        <v/>
      </c>
      <c r="S369" t="str">
        <f>IF(MSE成绩库!C369="","", MSE成绩库!U369)</f>
        <v/>
      </c>
      <c r="T369" t="str">
        <f>IF(MSE成绩库!C369="","", MSE成绩库!V369)</f>
        <v/>
      </c>
      <c r="U369" t="str">
        <f>IF(MSE成绩库!C369="","", MSE成绩库!X369)</f>
        <v/>
      </c>
      <c r="V369" t="str">
        <f>IF(MSE成绩库!C369="","", MSE成绩库!Y369)</f>
        <v/>
      </c>
      <c r="W369" t="str">
        <f>IF(MSE成绩库!C369="","", MSE成绩库!Z369)</f>
        <v/>
      </c>
      <c r="X369" t="str">
        <f>IF(MSE成绩库!C369="","", MSE成绩库!AA369)</f>
        <v/>
      </c>
      <c r="Y369" t="str">
        <f>IF(MSE成绩库!C369="","", MSE成绩库!AB369)</f>
        <v/>
      </c>
      <c r="Z369" t="str">
        <f>IF(MSE成绩库!C369="","", MSE成绩库!AC369)</f>
        <v/>
      </c>
    </row>
    <row r="370" spans="1:26" x14ac:dyDescent="0.2">
      <c r="A370" t="str">
        <f>IF(MSE成绩库!C370="","", MSE成绩库!C370)</f>
        <v/>
      </c>
      <c r="B370" t="str">
        <f>IF(MSE成绩库!AD370="","", MSE成绩库!AD370)</f>
        <v/>
      </c>
      <c r="C370" t="str">
        <f>IF(MSE成绩库!B370="","", MSE成绩库!B370)</f>
        <v/>
      </c>
      <c r="D370" t="str">
        <f>IF(MSE成绩库!D370="","", MSE成绩库!D370)</f>
        <v/>
      </c>
      <c r="E370" t="str">
        <f>IF(MSE成绩库!C370="","", MSE成绩库!E370)</f>
        <v/>
      </c>
      <c r="F370" t="str">
        <f>IF(MSE成绩库!C370="","", MSE成绩库!F370)</f>
        <v/>
      </c>
      <c r="G370" t="str">
        <f>IF(MSE成绩库!C370="","", MSE成绩库!G370)</f>
        <v/>
      </c>
      <c r="H370" t="str">
        <f>IF(MSE成绩库!C370="","", MSE成绩库!H370)</f>
        <v/>
      </c>
      <c r="I370" t="str">
        <f>IF(MSE成绩库!C370="","", MSE成绩库!I370)</f>
        <v/>
      </c>
      <c r="J370" t="str">
        <f>IF(MSE成绩库!C370="","", MSE成绩库!J370)</f>
        <v/>
      </c>
      <c r="K370" t="str">
        <f>IF(MSE成绩库!C370="","", MSE成绩库!K370)</f>
        <v/>
      </c>
      <c r="L370" t="str">
        <f>IF(MSE成绩库!C370="","", MSE成绩库!M370)</f>
        <v/>
      </c>
      <c r="M370" t="str">
        <f>IF(MSE成绩库!C370="","", MSE成绩库!N370)</f>
        <v/>
      </c>
      <c r="N370" t="str">
        <f>IF(MSE成绩库!C370="","", MSE成绩库!O370)</f>
        <v/>
      </c>
      <c r="O370" t="str">
        <f>IF(MSE成绩库!C370="","", MSE成绩库!Q370)</f>
        <v/>
      </c>
      <c r="P370" t="str">
        <f>IF(MSE成绩库!C370="","", MSE成绩库!R370)</f>
        <v/>
      </c>
      <c r="Q370" t="str">
        <f>IF(MSE成绩库!C370="","", MSE成绩库!S370)</f>
        <v/>
      </c>
      <c r="R370" t="str">
        <f>IF(MSE成绩库!C370="","", MSE成绩库!T370)</f>
        <v/>
      </c>
      <c r="S370" t="str">
        <f>IF(MSE成绩库!C370="","", MSE成绩库!U370)</f>
        <v/>
      </c>
      <c r="T370" t="str">
        <f>IF(MSE成绩库!C370="","", MSE成绩库!V370)</f>
        <v/>
      </c>
      <c r="U370" t="str">
        <f>IF(MSE成绩库!C370="","", MSE成绩库!X370)</f>
        <v/>
      </c>
      <c r="V370" t="str">
        <f>IF(MSE成绩库!C370="","", MSE成绩库!Y370)</f>
        <v/>
      </c>
      <c r="W370" t="str">
        <f>IF(MSE成绩库!C370="","", MSE成绩库!Z370)</f>
        <v/>
      </c>
      <c r="X370" t="str">
        <f>IF(MSE成绩库!C370="","", MSE成绩库!AA370)</f>
        <v/>
      </c>
      <c r="Y370" t="str">
        <f>IF(MSE成绩库!C370="","", MSE成绩库!AB370)</f>
        <v/>
      </c>
      <c r="Z370" t="str">
        <f>IF(MSE成绩库!C370="","", MSE成绩库!AC370)</f>
        <v/>
      </c>
    </row>
    <row r="371" spans="1:26" x14ac:dyDescent="0.2">
      <c r="A371" t="str">
        <f>IF(MSE成绩库!C371="","", MSE成绩库!C371)</f>
        <v/>
      </c>
      <c r="B371" t="str">
        <f>IF(MSE成绩库!AD371="","", MSE成绩库!AD371)</f>
        <v/>
      </c>
      <c r="C371" t="str">
        <f>IF(MSE成绩库!B371="","", MSE成绩库!B371)</f>
        <v/>
      </c>
      <c r="D371" t="str">
        <f>IF(MSE成绩库!D371="","", MSE成绩库!D371)</f>
        <v/>
      </c>
      <c r="E371" t="str">
        <f>IF(MSE成绩库!C371="","", MSE成绩库!E371)</f>
        <v/>
      </c>
      <c r="F371" t="str">
        <f>IF(MSE成绩库!C371="","", MSE成绩库!F371)</f>
        <v/>
      </c>
      <c r="G371" t="str">
        <f>IF(MSE成绩库!C371="","", MSE成绩库!G371)</f>
        <v/>
      </c>
      <c r="H371" t="str">
        <f>IF(MSE成绩库!C371="","", MSE成绩库!H371)</f>
        <v/>
      </c>
      <c r="I371" t="str">
        <f>IF(MSE成绩库!C371="","", MSE成绩库!I371)</f>
        <v/>
      </c>
      <c r="J371" t="str">
        <f>IF(MSE成绩库!C371="","", MSE成绩库!J371)</f>
        <v/>
      </c>
      <c r="K371" t="str">
        <f>IF(MSE成绩库!C371="","", MSE成绩库!K371)</f>
        <v/>
      </c>
      <c r="L371" t="str">
        <f>IF(MSE成绩库!C371="","", MSE成绩库!M371)</f>
        <v/>
      </c>
      <c r="M371" t="str">
        <f>IF(MSE成绩库!C371="","", MSE成绩库!N371)</f>
        <v/>
      </c>
      <c r="N371" t="str">
        <f>IF(MSE成绩库!C371="","", MSE成绩库!O371)</f>
        <v/>
      </c>
      <c r="O371" t="str">
        <f>IF(MSE成绩库!C371="","", MSE成绩库!Q371)</f>
        <v/>
      </c>
      <c r="P371" t="str">
        <f>IF(MSE成绩库!C371="","", MSE成绩库!R371)</f>
        <v/>
      </c>
      <c r="Q371" t="str">
        <f>IF(MSE成绩库!C371="","", MSE成绩库!S371)</f>
        <v/>
      </c>
      <c r="R371" t="str">
        <f>IF(MSE成绩库!C371="","", MSE成绩库!T371)</f>
        <v/>
      </c>
      <c r="S371" t="str">
        <f>IF(MSE成绩库!C371="","", MSE成绩库!U371)</f>
        <v/>
      </c>
      <c r="T371" t="str">
        <f>IF(MSE成绩库!C371="","", MSE成绩库!V371)</f>
        <v/>
      </c>
      <c r="U371" t="str">
        <f>IF(MSE成绩库!C371="","", MSE成绩库!X371)</f>
        <v/>
      </c>
      <c r="V371" t="str">
        <f>IF(MSE成绩库!C371="","", MSE成绩库!Y371)</f>
        <v/>
      </c>
      <c r="W371" t="str">
        <f>IF(MSE成绩库!C371="","", MSE成绩库!Z371)</f>
        <v/>
      </c>
      <c r="X371" t="str">
        <f>IF(MSE成绩库!C371="","", MSE成绩库!AA371)</f>
        <v/>
      </c>
      <c r="Y371" t="str">
        <f>IF(MSE成绩库!C371="","", MSE成绩库!AB371)</f>
        <v/>
      </c>
      <c r="Z371" t="str">
        <f>IF(MSE成绩库!C371="","", MSE成绩库!AC371)</f>
        <v/>
      </c>
    </row>
    <row r="372" spans="1:26" x14ac:dyDescent="0.2">
      <c r="A372" t="str">
        <f>IF(MSE成绩库!C372="","", MSE成绩库!C372)</f>
        <v/>
      </c>
      <c r="B372" t="str">
        <f>IF(MSE成绩库!AD372="","", MSE成绩库!AD372)</f>
        <v/>
      </c>
      <c r="C372" t="str">
        <f>IF(MSE成绩库!B372="","", MSE成绩库!B372)</f>
        <v/>
      </c>
      <c r="D372" t="str">
        <f>IF(MSE成绩库!D372="","", MSE成绩库!D372)</f>
        <v/>
      </c>
      <c r="E372" t="str">
        <f>IF(MSE成绩库!C372="","", MSE成绩库!E372)</f>
        <v/>
      </c>
      <c r="F372" t="str">
        <f>IF(MSE成绩库!C372="","", MSE成绩库!F372)</f>
        <v/>
      </c>
      <c r="G372" t="str">
        <f>IF(MSE成绩库!C372="","", MSE成绩库!G372)</f>
        <v/>
      </c>
      <c r="H372" t="str">
        <f>IF(MSE成绩库!C372="","", MSE成绩库!H372)</f>
        <v/>
      </c>
      <c r="I372" t="str">
        <f>IF(MSE成绩库!C372="","", MSE成绩库!I372)</f>
        <v/>
      </c>
      <c r="J372" t="str">
        <f>IF(MSE成绩库!C372="","", MSE成绩库!J372)</f>
        <v/>
      </c>
      <c r="K372" t="str">
        <f>IF(MSE成绩库!C372="","", MSE成绩库!K372)</f>
        <v/>
      </c>
      <c r="L372" t="str">
        <f>IF(MSE成绩库!C372="","", MSE成绩库!M372)</f>
        <v/>
      </c>
      <c r="M372" t="str">
        <f>IF(MSE成绩库!C372="","", MSE成绩库!N372)</f>
        <v/>
      </c>
      <c r="N372" t="str">
        <f>IF(MSE成绩库!C372="","", MSE成绩库!O372)</f>
        <v/>
      </c>
      <c r="O372" t="str">
        <f>IF(MSE成绩库!C372="","", MSE成绩库!Q372)</f>
        <v/>
      </c>
      <c r="P372" t="str">
        <f>IF(MSE成绩库!C372="","", MSE成绩库!R372)</f>
        <v/>
      </c>
      <c r="Q372" t="str">
        <f>IF(MSE成绩库!C372="","", MSE成绩库!S372)</f>
        <v/>
      </c>
      <c r="R372" t="str">
        <f>IF(MSE成绩库!C372="","", MSE成绩库!T372)</f>
        <v/>
      </c>
      <c r="S372" t="str">
        <f>IF(MSE成绩库!C372="","", MSE成绩库!U372)</f>
        <v/>
      </c>
      <c r="T372" t="str">
        <f>IF(MSE成绩库!C372="","", MSE成绩库!V372)</f>
        <v/>
      </c>
      <c r="U372" t="str">
        <f>IF(MSE成绩库!C372="","", MSE成绩库!X372)</f>
        <v/>
      </c>
      <c r="V372" t="str">
        <f>IF(MSE成绩库!C372="","", MSE成绩库!Y372)</f>
        <v/>
      </c>
      <c r="W372" t="str">
        <f>IF(MSE成绩库!C372="","", MSE成绩库!Z372)</f>
        <v/>
      </c>
      <c r="X372" t="str">
        <f>IF(MSE成绩库!C372="","", MSE成绩库!AA372)</f>
        <v/>
      </c>
      <c r="Y372" t="str">
        <f>IF(MSE成绩库!C372="","", MSE成绩库!AB372)</f>
        <v/>
      </c>
      <c r="Z372" t="str">
        <f>IF(MSE成绩库!C372="","", MSE成绩库!AC372)</f>
        <v/>
      </c>
    </row>
    <row r="373" spans="1:26" x14ac:dyDescent="0.2">
      <c r="A373" t="str">
        <f>IF(MSE成绩库!C373="","", MSE成绩库!C373)</f>
        <v/>
      </c>
      <c r="B373" t="str">
        <f>IF(MSE成绩库!AD373="","", MSE成绩库!AD373)</f>
        <v/>
      </c>
      <c r="C373" t="str">
        <f>IF(MSE成绩库!B373="","", MSE成绩库!B373)</f>
        <v/>
      </c>
      <c r="D373" t="str">
        <f>IF(MSE成绩库!D373="","", MSE成绩库!D373)</f>
        <v/>
      </c>
      <c r="E373" t="str">
        <f>IF(MSE成绩库!C373="","", MSE成绩库!E373)</f>
        <v/>
      </c>
      <c r="F373" t="str">
        <f>IF(MSE成绩库!C373="","", MSE成绩库!F373)</f>
        <v/>
      </c>
      <c r="G373" t="str">
        <f>IF(MSE成绩库!C373="","", MSE成绩库!G373)</f>
        <v/>
      </c>
      <c r="H373" t="str">
        <f>IF(MSE成绩库!C373="","", MSE成绩库!H373)</f>
        <v/>
      </c>
      <c r="I373" t="str">
        <f>IF(MSE成绩库!C373="","", MSE成绩库!I373)</f>
        <v/>
      </c>
      <c r="J373" t="str">
        <f>IF(MSE成绩库!C373="","", MSE成绩库!J373)</f>
        <v/>
      </c>
      <c r="K373" t="str">
        <f>IF(MSE成绩库!C373="","", MSE成绩库!K373)</f>
        <v/>
      </c>
      <c r="L373" t="str">
        <f>IF(MSE成绩库!C373="","", MSE成绩库!M373)</f>
        <v/>
      </c>
      <c r="M373" t="str">
        <f>IF(MSE成绩库!C373="","", MSE成绩库!N373)</f>
        <v/>
      </c>
      <c r="N373" t="str">
        <f>IF(MSE成绩库!C373="","", MSE成绩库!O373)</f>
        <v/>
      </c>
      <c r="O373" t="str">
        <f>IF(MSE成绩库!C373="","", MSE成绩库!Q373)</f>
        <v/>
      </c>
      <c r="P373" t="str">
        <f>IF(MSE成绩库!C373="","", MSE成绩库!R373)</f>
        <v/>
      </c>
      <c r="Q373" t="str">
        <f>IF(MSE成绩库!C373="","", MSE成绩库!S373)</f>
        <v/>
      </c>
      <c r="R373" t="str">
        <f>IF(MSE成绩库!C373="","", MSE成绩库!T373)</f>
        <v/>
      </c>
      <c r="S373" t="str">
        <f>IF(MSE成绩库!C373="","", MSE成绩库!U373)</f>
        <v/>
      </c>
      <c r="T373" t="str">
        <f>IF(MSE成绩库!C373="","", MSE成绩库!V373)</f>
        <v/>
      </c>
      <c r="U373" t="str">
        <f>IF(MSE成绩库!C373="","", MSE成绩库!X373)</f>
        <v/>
      </c>
      <c r="V373" t="str">
        <f>IF(MSE成绩库!C373="","", MSE成绩库!Y373)</f>
        <v/>
      </c>
      <c r="W373" t="str">
        <f>IF(MSE成绩库!C373="","", MSE成绩库!Z373)</f>
        <v/>
      </c>
      <c r="X373" t="str">
        <f>IF(MSE成绩库!C373="","", MSE成绩库!AA373)</f>
        <v/>
      </c>
      <c r="Y373" t="str">
        <f>IF(MSE成绩库!C373="","", MSE成绩库!AB373)</f>
        <v/>
      </c>
      <c r="Z373" t="str">
        <f>IF(MSE成绩库!C373="","", MSE成绩库!AC373)</f>
        <v/>
      </c>
    </row>
    <row r="374" spans="1:26" x14ac:dyDescent="0.2">
      <c r="A374" t="str">
        <f>IF(MSE成绩库!C374="","", MSE成绩库!C374)</f>
        <v/>
      </c>
      <c r="B374" t="str">
        <f>IF(MSE成绩库!AD374="","", MSE成绩库!AD374)</f>
        <v/>
      </c>
      <c r="C374" t="str">
        <f>IF(MSE成绩库!B374="","", MSE成绩库!B374)</f>
        <v/>
      </c>
      <c r="D374" t="str">
        <f>IF(MSE成绩库!D374="","", MSE成绩库!D374)</f>
        <v/>
      </c>
      <c r="E374" t="str">
        <f>IF(MSE成绩库!C374="","", MSE成绩库!E374)</f>
        <v/>
      </c>
      <c r="F374" t="str">
        <f>IF(MSE成绩库!C374="","", MSE成绩库!F374)</f>
        <v/>
      </c>
      <c r="G374" t="str">
        <f>IF(MSE成绩库!C374="","", MSE成绩库!G374)</f>
        <v/>
      </c>
      <c r="H374" t="str">
        <f>IF(MSE成绩库!C374="","", MSE成绩库!H374)</f>
        <v/>
      </c>
      <c r="I374" t="str">
        <f>IF(MSE成绩库!C374="","", MSE成绩库!I374)</f>
        <v/>
      </c>
      <c r="J374" t="str">
        <f>IF(MSE成绩库!C374="","", MSE成绩库!J374)</f>
        <v/>
      </c>
      <c r="K374" t="str">
        <f>IF(MSE成绩库!C374="","", MSE成绩库!K374)</f>
        <v/>
      </c>
      <c r="L374" t="str">
        <f>IF(MSE成绩库!C374="","", MSE成绩库!M374)</f>
        <v/>
      </c>
      <c r="M374" t="str">
        <f>IF(MSE成绩库!C374="","", MSE成绩库!N374)</f>
        <v/>
      </c>
      <c r="N374" t="str">
        <f>IF(MSE成绩库!C374="","", MSE成绩库!O374)</f>
        <v/>
      </c>
      <c r="O374" t="str">
        <f>IF(MSE成绩库!C374="","", MSE成绩库!Q374)</f>
        <v/>
      </c>
      <c r="P374" t="str">
        <f>IF(MSE成绩库!C374="","", MSE成绩库!R374)</f>
        <v/>
      </c>
      <c r="Q374" t="str">
        <f>IF(MSE成绩库!C374="","", MSE成绩库!S374)</f>
        <v/>
      </c>
      <c r="R374" t="str">
        <f>IF(MSE成绩库!C374="","", MSE成绩库!T374)</f>
        <v/>
      </c>
      <c r="S374" t="str">
        <f>IF(MSE成绩库!C374="","", MSE成绩库!U374)</f>
        <v/>
      </c>
      <c r="T374" t="str">
        <f>IF(MSE成绩库!C374="","", MSE成绩库!V374)</f>
        <v/>
      </c>
      <c r="U374" t="str">
        <f>IF(MSE成绩库!C374="","", MSE成绩库!X374)</f>
        <v/>
      </c>
      <c r="V374" t="str">
        <f>IF(MSE成绩库!C374="","", MSE成绩库!Y374)</f>
        <v/>
      </c>
      <c r="W374" t="str">
        <f>IF(MSE成绩库!C374="","", MSE成绩库!Z374)</f>
        <v/>
      </c>
      <c r="X374" t="str">
        <f>IF(MSE成绩库!C374="","", MSE成绩库!AA374)</f>
        <v/>
      </c>
      <c r="Y374" t="str">
        <f>IF(MSE成绩库!C374="","", MSE成绩库!AB374)</f>
        <v/>
      </c>
      <c r="Z374" t="str">
        <f>IF(MSE成绩库!C374="","", MSE成绩库!AC374)</f>
        <v/>
      </c>
    </row>
    <row r="375" spans="1:26" x14ac:dyDescent="0.2">
      <c r="A375" t="str">
        <f>IF(MSE成绩库!C375="","", MSE成绩库!C375)</f>
        <v/>
      </c>
      <c r="B375" t="str">
        <f>IF(MSE成绩库!AD375="","", MSE成绩库!AD375)</f>
        <v/>
      </c>
      <c r="C375" t="str">
        <f>IF(MSE成绩库!B375="","", MSE成绩库!B375)</f>
        <v/>
      </c>
      <c r="D375" t="str">
        <f>IF(MSE成绩库!D375="","", MSE成绩库!D375)</f>
        <v/>
      </c>
      <c r="E375" t="str">
        <f>IF(MSE成绩库!C375="","", MSE成绩库!E375)</f>
        <v/>
      </c>
      <c r="F375" t="str">
        <f>IF(MSE成绩库!C375="","", MSE成绩库!F375)</f>
        <v/>
      </c>
      <c r="G375" t="str">
        <f>IF(MSE成绩库!C375="","", MSE成绩库!G375)</f>
        <v/>
      </c>
      <c r="H375" t="str">
        <f>IF(MSE成绩库!C375="","", MSE成绩库!H375)</f>
        <v/>
      </c>
      <c r="I375" t="str">
        <f>IF(MSE成绩库!C375="","", MSE成绩库!I375)</f>
        <v/>
      </c>
      <c r="J375" t="str">
        <f>IF(MSE成绩库!C375="","", MSE成绩库!J375)</f>
        <v/>
      </c>
      <c r="K375" t="str">
        <f>IF(MSE成绩库!C375="","", MSE成绩库!K375)</f>
        <v/>
      </c>
      <c r="L375" t="str">
        <f>IF(MSE成绩库!C375="","", MSE成绩库!M375)</f>
        <v/>
      </c>
      <c r="M375" t="str">
        <f>IF(MSE成绩库!C375="","", MSE成绩库!N375)</f>
        <v/>
      </c>
      <c r="N375" t="str">
        <f>IF(MSE成绩库!C375="","", MSE成绩库!O375)</f>
        <v/>
      </c>
      <c r="O375" t="str">
        <f>IF(MSE成绩库!C375="","", MSE成绩库!Q375)</f>
        <v/>
      </c>
      <c r="P375" t="str">
        <f>IF(MSE成绩库!C375="","", MSE成绩库!R375)</f>
        <v/>
      </c>
      <c r="Q375" t="str">
        <f>IF(MSE成绩库!C375="","", MSE成绩库!S375)</f>
        <v/>
      </c>
      <c r="R375" t="str">
        <f>IF(MSE成绩库!C375="","", MSE成绩库!T375)</f>
        <v/>
      </c>
      <c r="S375" t="str">
        <f>IF(MSE成绩库!C375="","", MSE成绩库!U375)</f>
        <v/>
      </c>
      <c r="T375" t="str">
        <f>IF(MSE成绩库!C375="","", MSE成绩库!V375)</f>
        <v/>
      </c>
      <c r="U375" t="str">
        <f>IF(MSE成绩库!C375="","", MSE成绩库!X375)</f>
        <v/>
      </c>
      <c r="V375" t="str">
        <f>IF(MSE成绩库!C375="","", MSE成绩库!Y375)</f>
        <v/>
      </c>
      <c r="W375" t="str">
        <f>IF(MSE成绩库!C375="","", MSE成绩库!Z375)</f>
        <v/>
      </c>
      <c r="X375" t="str">
        <f>IF(MSE成绩库!C375="","", MSE成绩库!AA375)</f>
        <v/>
      </c>
      <c r="Y375" t="str">
        <f>IF(MSE成绩库!C375="","", MSE成绩库!AB375)</f>
        <v/>
      </c>
      <c r="Z375" t="str">
        <f>IF(MSE成绩库!C375="","", MSE成绩库!AC375)</f>
        <v/>
      </c>
    </row>
    <row r="376" spans="1:26" x14ac:dyDescent="0.2">
      <c r="A376" t="str">
        <f>IF(MSE成绩库!C376="","", MSE成绩库!C376)</f>
        <v/>
      </c>
      <c r="B376" t="str">
        <f>IF(MSE成绩库!AD376="","", MSE成绩库!AD376)</f>
        <v/>
      </c>
      <c r="C376" t="str">
        <f>IF(MSE成绩库!B376="","", MSE成绩库!B376)</f>
        <v/>
      </c>
      <c r="D376" t="str">
        <f>IF(MSE成绩库!D376="","", MSE成绩库!D376)</f>
        <v/>
      </c>
      <c r="E376" t="str">
        <f>IF(MSE成绩库!C376="","", MSE成绩库!E376)</f>
        <v/>
      </c>
      <c r="F376" t="str">
        <f>IF(MSE成绩库!C376="","", MSE成绩库!F376)</f>
        <v/>
      </c>
      <c r="G376" t="str">
        <f>IF(MSE成绩库!C376="","", MSE成绩库!G376)</f>
        <v/>
      </c>
      <c r="H376" t="str">
        <f>IF(MSE成绩库!C376="","", MSE成绩库!H376)</f>
        <v/>
      </c>
      <c r="I376" t="str">
        <f>IF(MSE成绩库!C376="","", MSE成绩库!I376)</f>
        <v/>
      </c>
      <c r="J376" t="str">
        <f>IF(MSE成绩库!C376="","", MSE成绩库!J376)</f>
        <v/>
      </c>
      <c r="K376" t="str">
        <f>IF(MSE成绩库!C376="","", MSE成绩库!K376)</f>
        <v/>
      </c>
      <c r="L376" t="str">
        <f>IF(MSE成绩库!C376="","", MSE成绩库!M376)</f>
        <v/>
      </c>
      <c r="M376" t="str">
        <f>IF(MSE成绩库!C376="","", MSE成绩库!N376)</f>
        <v/>
      </c>
      <c r="N376" t="str">
        <f>IF(MSE成绩库!C376="","", MSE成绩库!O376)</f>
        <v/>
      </c>
      <c r="O376" t="str">
        <f>IF(MSE成绩库!C376="","", MSE成绩库!Q376)</f>
        <v/>
      </c>
      <c r="P376" t="str">
        <f>IF(MSE成绩库!C376="","", MSE成绩库!R376)</f>
        <v/>
      </c>
      <c r="Q376" t="str">
        <f>IF(MSE成绩库!C376="","", MSE成绩库!S376)</f>
        <v/>
      </c>
      <c r="R376" t="str">
        <f>IF(MSE成绩库!C376="","", MSE成绩库!T376)</f>
        <v/>
      </c>
      <c r="S376" t="str">
        <f>IF(MSE成绩库!C376="","", MSE成绩库!U376)</f>
        <v/>
      </c>
      <c r="T376" t="str">
        <f>IF(MSE成绩库!C376="","", MSE成绩库!V376)</f>
        <v/>
      </c>
      <c r="U376" t="str">
        <f>IF(MSE成绩库!C376="","", MSE成绩库!X376)</f>
        <v/>
      </c>
      <c r="V376" t="str">
        <f>IF(MSE成绩库!C376="","", MSE成绩库!Y376)</f>
        <v/>
      </c>
      <c r="W376" t="str">
        <f>IF(MSE成绩库!C376="","", MSE成绩库!Z376)</f>
        <v/>
      </c>
      <c r="X376" t="str">
        <f>IF(MSE成绩库!C376="","", MSE成绩库!AA376)</f>
        <v/>
      </c>
      <c r="Y376" t="str">
        <f>IF(MSE成绩库!C376="","", MSE成绩库!AB376)</f>
        <v/>
      </c>
      <c r="Z376" t="str">
        <f>IF(MSE成绩库!C376="","", MSE成绩库!AC376)</f>
        <v/>
      </c>
    </row>
    <row r="377" spans="1:26" x14ac:dyDescent="0.2">
      <c r="A377" t="str">
        <f>IF(MSE成绩库!C377="","", MSE成绩库!C377)</f>
        <v/>
      </c>
      <c r="B377" t="str">
        <f>IF(MSE成绩库!AD377="","", MSE成绩库!AD377)</f>
        <v/>
      </c>
      <c r="C377" t="str">
        <f>IF(MSE成绩库!B377="","", MSE成绩库!B377)</f>
        <v/>
      </c>
      <c r="D377" t="str">
        <f>IF(MSE成绩库!D377="","", MSE成绩库!D377)</f>
        <v/>
      </c>
      <c r="E377" t="str">
        <f>IF(MSE成绩库!C377="","", MSE成绩库!E377)</f>
        <v/>
      </c>
      <c r="F377" t="str">
        <f>IF(MSE成绩库!C377="","", MSE成绩库!F377)</f>
        <v/>
      </c>
      <c r="G377" t="str">
        <f>IF(MSE成绩库!C377="","", MSE成绩库!G377)</f>
        <v/>
      </c>
      <c r="H377" t="str">
        <f>IF(MSE成绩库!C377="","", MSE成绩库!H377)</f>
        <v/>
      </c>
      <c r="I377" t="str">
        <f>IF(MSE成绩库!C377="","", MSE成绩库!I377)</f>
        <v/>
      </c>
      <c r="J377" t="str">
        <f>IF(MSE成绩库!C377="","", MSE成绩库!J377)</f>
        <v/>
      </c>
      <c r="K377" t="str">
        <f>IF(MSE成绩库!C377="","", MSE成绩库!K377)</f>
        <v/>
      </c>
      <c r="L377" t="str">
        <f>IF(MSE成绩库!C377="","", MSE成绩库!M377)</f>
        <v/>
      </c>
      <c r="M377" t="str">
        <f>IF(MSE成绩库!C377="","", MSE成绩库!N377)</f>
        <v/>
      </c>
      <c r="N377" t="str">
        <f>IF(MSE成绩库!C377="","", MSE成绩库!O377)</f>
        <v/>
      </c>
      <c r="O377" t="str">
        <f>IF(MSE成绩库!C377="","", MSE成绩库!Q377)</f>
        <v/>
      </c>
      <c r="P377" t="str">
        <f>IF(MSE成绩库!C377="","", MSE成绩库!R377)</f>
        <v/>
      </c>
      <c r="Q377" t="str">
        <f>IF(MSE成绩库!C377="","", MSE成绩库!S377)</f>
        <v/>
      </c>
      <c r="R377" t="str">
        <f>IF(MSE成绩库!C377="","", MSE成绩库!T377)</f>
        <v/>
      </c>
      <c r="S377" t="str">
        <f>IF(MSE成绩库!C377="","", MSE成绩库!U377)</f>
        <v/>
      </c>
      <c r="T377" t="str">
        <f>IF(MSE成绩库!C377="","", MSE成绩库!V377)</f>
        <v/>
      </c>
      <c r="U377" t="str">
        <f>IF(MSE成绩库!C377="","", MSE成绩库!X377)</f>
        <v/>
      </c>
      <c r="V377" t="str">
        <f>IF(MSE成绩库!C377="","", MSE成绩库!Y377)</f>
        <v/>
      </c>
      <c r="W377" t="str">
        <f>IF(MSE成绩库!C377="","", MSE成绩库!Z377)</f>
        <v/>
      </c>
      <c r="X377" t="str">
        <f>IF(MSE成绩库!C377="","", MSE成绩库!AA377)</f>
        <v/>
      </c>
      <c r="Y377" t="str">
        <f>IF(MSE成绩库!C377="","", MSE成绩库!AB377)</f>
        <v/>
      </c>
      <c r="Z377" t="str">
        <f>IF(MSE成绩库!C377="","", MSE成绩库!AC377)</f>
        <v/>
      </c>
    </row>
    <row r="378" spans="1:26" x14ac:dyDescent="0.2">
      <c r="A378" t="str">
        <f>IF(MSE成绩库!C378="","", MSE成绩库!C378)</f>
        <v/>
      </c>
      <c r="B378" t="str">
        <f>IF(MSE成绩库!AD378="","", MSE成绩库!AD378)</f>
        <v/>
      </c>
      <c r="C378" t="str">
        <f>IF(MSE成绩库!B378="","", MSE成绩库!B378)</f>
        <v/>
      </c>
      <c r="D378" t="str">
        <f>IF(MSE成绩库!D378="","", MSE成绩库!D378)</f>
        <v/>
      </c>
      <c r="E378" t="str">
        <f>IF(MSE成绩库!C378="","", MSE成绩库!E378)</f>
        <v/>
      </c>
      <c r="F378" t="str">
        <f>IF(MSE成绩库!C378="","", MSE成绩库!F378)</f>
        <v/>
      </c>
      <c r="G378" t="str">
        <f>IF(MSE成绩库!C378="","", MSE成绩库!G378)</f>
        <v/>
      </c>
      <c r="H378" t="str">
        <f>IF(MSE成绩库!C378="","", MSE成绩库!H378)</f>
        <v/>
      </c>
      <c r="I378" t="str">
        <f>IF(MSE成绩库!C378="","", MSE成绩库!I378)</f>
        <v/>
      </c>
      <c r="J378" t="str">
        <f>IF(MSE成绩库!C378="","", MSE成绩库!J378)</f>
        <v/>
      </c>
      <c r="K378" t="str">
        <f>IF(MSE成绩库!C378="","", MSE成绩库!K378)</f>
        <v/>
      </c>
      <c r="L378" t="str">
        <f>IF(MSE成绩库!C378="","", MSE成绩库!M378)</f>
        <v/>
      </c>
      <c r="M378" t="str">
        <f>IF(MSE成绩库!C378="","", MSE成绩库!N378)</f>
        <v/>
      </c>
      <c r="N378" t="str">
        <f>IF(MSE成绩库!C378="","", MSE成绩库!O378)</f>
        <v/>
      </c>
      <c r="O378" t="str">
        <f>IF(MSE成绩库!C378="","", MSE成绩库!Q378)</f>
        <v/>
      </c>
      <c r="P378" t="str">
        <f>IF(MSE成绩库!C378="","", MSE成绩库!R378)</f>
        <v/>
      </c>
      <c r="Q378" t="str">
        <f>IF(MSE成绩库!C378="","", MSE成绩库!S378)</f>
        <v/>
      </c>
      <c r="R378" t="str">
        <f>IF(MSE成绩库!C378="","", MSE成绩库!T378)</f>
        <v/>
      </c>
      <c r="S378" t="str">
        <f>IF(MSE成绩库!C378="","", MSE成绩库!U378)</f>
        <v/>
      </c>
      <c r="T378" t="str">
        <f>IF(MSE成绩库!C378="","", MSE成绩库!V378)</f>
        <v/>
      </c>
      <c r="U378" t="str">
        <f>IF(MSE成绩库!C378="","", MSE成绩库!X378)</f>
        <v/>
      </c>
      <c r="V378" t="str">
        <f>IF(MSE成绩库!C378="","", MSE成绩库!Y378)</f>
        <v/>
      </c>
      <c r="W378" t="str">
        <f>IF(MSE成绩库!C378="","", MSE成绩库!Z378)</f>
        <v/>
      </c>
      <c r="X378" t="str">
        <f>IF(MSE成绩库!C378="","", MSE成绩库!AA378)</f>
        <v/>
      </c>
      <c r="Y378" t="str">
        <f>IF(MSE成绩库!C378="","", MSE成绩库!AB378)</f>
        <v/>
      </c>
      <c r="Z378" t="str">
        <f>IF(MSE成绩库!C378="","", MSE成绩库!AC378)</f>
        <v/>
      </c>
    </row>
    <row r="379" spans="1:26" x14ac:dyDescent="0.2">
      <c r="A379" t="str">
        <f>IF(MSE成绩库!C379="","", MSE成绩库!C379)</f>
        <v/>
      </c>
      <c r="B379" t="str">
        <f>IF(MSE成绩库!AD379="","", MSE成绩库!AD379)</f>
        <v/>
      </c>
      <c r="C379" t="str">
        <f>IF(MSE成绩库!B379="","", MSE成绩库!B379)</f>
        <v/>
      </c>
      <c r="D379" t="str">
        <f>IF(MSE成绩库!D379="","", MSE成绩库!D379)</f>
        <v/>
      </c>
      <c r="E379" t="str">
        <f>IF(MSE成绩库!C379="","", MSE成绩库!E379)</f>
        <v/>
      </c>
      <c r="F379" t="str">
        <f>IF(MSE成绩库!C379="","", MSE成绩库!F379)</f>
        <v/>
      </c>
      <c r="G379" t="str">
        <f>IF(MSE成绩库!C379="","", MSE成绩库!G379)</f>
        <v/>
      </c>
      <c r="H379" t="str">
        <f>IF(MSE成绩库!C379="","", MSE成绩库!H379)</f>
        <v/>
      </c>
      <c r="I379" t="str">
        <f>IF(MSE成绩库!C379="","", MSE成绩库!I379)</f>
        <v/>
      </c>
      <c r="J379" t="str">
        <f>IF(MSE成绩库!C379="","", MSE成绩库!J379)</f>
        <v/>
      </c>
      <c r="K379" t="str">
        <f>IF(MSE成绩库!C379="","", MSE成绩库!K379)</f>
        <v/>
      </c>
      <c r="L379" t="str">
        <f>IF(MSE成绩库!C379="","", MSE成绩库!M379)</f>
        <v/>
      </c>
      <c r="M379" t="str">
        <f>IF(MSE成绩库!C379="","", MSE成绩库!N379)</f>
        <v/>
      </c>
      <c r="N379" t="str">
        <f>IF(MSE成绩库!C379="","", MSE成绩库!O379)</f>
        <v/>
      </c>
      <c r="O379" t="str">
        <f>IF(MSE成绩库!C379="","", MSE成绩库!Q379)</f>
        <v/>
      </c>
      <c r="P379" t="str">
        <f>IF(MSE成绩库!C379="","", MSE成绩库!R379)</f>
        <v/>
      </c>
      <c r="Q379" t="str">
        <f>IF(MSE成绩库!C379="","", MSE成绩库!S379)</f>
        <v/>
      </c>
      <c r="R379" t="str">
        <f>IF(MSE成绩库!C379="","", MSE成绩库!T379)</f>
        <v/>
      </c>
      <c r="S379" t="str">
        <f>IF(MSE成绩库!C379="","", MSE成绩库!U379)</f>
        <v/>
      </c>
      <c r="T379" t="str">
        <f>IF(MSE成绩库!C379="","", MSE成绩库!V379)</f>
        <v/>
      </c>
      <c r="U379" t="str">
        <f>IF(MSE成绩库!C379="","", MSE成绩库!X379)</f>
        <v/>
      </c>
      <c r="V379" t="str">
        <f>IF(MSE成绩库!C379="","", MSE成绩库!Y379)</f>
        <v/>
      </c>
      <c r="W379" t="str">
        <f>IF(MSE成绩库!C379="","", MSE成绩库!Z379)</f>
        <v/>
      </c>
      <c r="X379" t="str">
        <f>IF(MSE成绩库!C379="","", MSE成绩库!AA379)</f>
        <v/>
      </c>
      <c r="Y379" t="str">
        <f>IF(MSE成绩库!C379="","", MSE成绩库!AB379)</f>
        <v/>
      </c>
      <c r="Z379" t="str">
        <f>IF(MSE成绩库!C379="","", MSE成绩库!AC379)</f>
        <v/>
      </c>
    </row>
    <row r="380" spans="1:26" x14ac:dyDescent="0.2">
      <c r="A380" t="str">
        <f>IF(MSE成绩库!C380="","", MSE成绩库!C380)</f>
        <v/>
      </c>
      <c r="B380" t="str">
        <f>IF(MSE成绩库!AD380="","", MSE成绩库!AD380)</f>
        <v/>
      </c>
      <c r="C380" t="str">
        <f>IF(MSE成绩库!B380="","", MSE成绩库!B380)</f>
        <v/>
      </c>
      <c r="D380" t="str">
        <f>IF(MSE成绩库!D380="","", MSE成绩库!D380)</f>
        <v/>
      </c>
      <c r="E380" t="str">
        <f>IF(MSE成绩库!C380="","", MSE成绩库!E380)</f>
        <v/>
      </c>
      <c r="F380" t="str">
        <f>IF(MSE成绩库!C380="","", MSE成绩库!F380)</f>
        <v/>
      </c>
      <c r="G380" t="str">
        <f>IF(MSE成绩库!C380="","", MSE成绩库!G380)</f>
        <v/>
      </c>
      <c r="H380" t="str">
        <f>IF(MSE成绩库!C380="","", MSE成绩库!H380)</f>
        <v/>
      </c>
      <c r="I380" t="str">
        <f>IF(MSE成绩库!C380="","", MSE成绩库!I380)</f>
        <v/>
      </c>
      <c r="J380" t="str">
        <f>IF(MSE成绩库!C380="","", MSE成绩库!J380)</f>
        <v/>
      </c>
      <c r="K380" t="str">
        <f>IF(MSE成绩库!C380="","", MSE成绩库!K380)</f>
        <v/>
      </c>
      <c r="L380" t="str">
        <f>IF(MSE成绩库!C380="","", MSE成绩库!M380)</f>
        <v/>
      </c>
      <c r="M380" t="str">
        <f>IF(MSE成绩库!C380="","", MSE成绩库!N380)</f>
        <v/>
      </c>
      <c r="N380" t="str">
        <f>IF(MSE成绩库!C380="","", MSE成绩库!O380)</f>
        <v/>
      </c>
      <c r="O380" t="str">
        <f>IF(MSE成绩库!C380="","", MSE成绩库!Q380)</f>
        <v/>
      </c>
      <c r="P380" t="str">
        <f>IF(MSE成绩库!C380="","", MSE成绩库!R380)</f>
        <v/>
      </c>
      <c r="Q380" t="str">
        <f>IF(MSE成绩库!C380="","", MSE成绩库!S380)</f>
        <v/>
      </c>
      <c r="R380" t="str">
        <f>IF(MSE成绩库!C380="","", MSE成绩库!T380)</f>
        <v/>
      </c>
      <c r="S380" t="str">
        <f>IF(MSE成绩库!C380="","", MSE成绩库!U380)</f>
        <v/>
      </c>
      <c r="T380" t="str">
        <f>IF(MSE成绩库!C380="","", MSE成绩库!V380)</f>
        <v/>
      </c>
      <c r="U380" t="str">
        <f>IF(MSE成绩库!C380="","", MSE成绩库!X380)</f>
        <v/>
      </c>
      <c r="V380" t="str">
        <f>IF(MSE成绩库!C380="","", MSE成绩库!Y380)</f>
        <v/>
      </c>
      <c r="W380" t="str">
        <f>IF(MSE成绩库!C380="","", MSE成绩库!Z380)</f>
        <v/>
      </c>
      <c r="X380" t="str">
        <f>IF(MSE成绩库!C380="","", MSE成绩库!AA380)</f>
        <v/>
      </c>
      <c r="Y380" t="str">
        <f>IF(MSE成绩库!C380="","", MSE成绩库!AB380)</f>
        <v/>
      </c>
      <c r="Z380" t="str">
        <f>IF(MSE成绩库!C380="","", MSE成绩库!AC380)</f>
        <v/>
      </c>
    </row>
    <row r="381" spans="1:26" x14ac:dyDescent="0.2">
      <c r="A381" t="str">
        <f>IF(MSE成绩库!C381="","", MSE成绩库!C381)</f>
        <v/>
      </c>
      <c r="B381" t="str">
        <f>IF(MSE成绩库!AD381="","", MSE成绩库!AD381)</f>
        <v/>
      </c>
      <c r="C381" t="str">
        <f>IF(MSE成绩库!B381="","", MSE成绩库!B381)</f>
        <v/>
      </c>
      <c r="D381" t="str">
        <f>IF(MSE成绩库!D381="","", MSE成绩库!D381)</f>
        <v/>
      </c>
      <c r="E381" t="str">
        <f>IF(MSE成绩库!C381="","", MSE成绩库!E381)</f>
        <v/>
      </c>
      <c r="F381" t="str">
        <f>IF(MSE成绩库!C381="","", MSE成绩库!F381)</f>
        <v/>
      </c>
      <c r="G381" t="str">
        <f>IF(MSE成绩库!C381="","", MSE成绩库!G381)</f>
        <v/>
      </c>
      <c r="H381" t="str">
        <f>IF(MSE成绩库!C381="","", MSE成绩库!H381)</f>
        <v/>
      </c>
      <c r="I381" t="str">
        <f>IF(MSE成绩库!C381="","", MSE成绩库!I381)</f>
        <v/>
      </c>
      <c r="J381" t="str">
        <f>IF(MSE成绩库!C381="","", MSE成绩库!J381)</f>
        <v/>
      </c>
      <c r="K381" t="str">
        <f>IF(MSE成绩库!C381="","", MSE成绩库!K381)</f>
        <v/>
      </c>
      <c r="L381" t="str">
        <f>IF(MSE成绩库!C381="","", MSE成绩库!M381)</f>
        <v/>
      </c>
      <c r="M381" t="str">
        <f>IF(MSE成绩库!C381="","", MSE成绩库!N381)</f>
        <v/>
      </c>
      <c r="N381" t="str">
        <f>IF(MSE成绩库!C381="","", MSE成绩库!O381)</f>
        <v/>
      </c>
      <c r="O381" t="str">
        <f>IF(MSE成绩库!C381="","", MSE成绩库!Q381)</f>
        <v/>
      </c>
      <c r="P381" t="str">
        <f>IF(MSE成绩库!C381="","", MSE成绩库!R381)</f>
        <v/>
      </c>
      <c r="Q381" t="str">
        <f>IF(MSE成绩库!C381="","", MSE成绩库!S381)</f>
        <v/>
      </c>
      <c r="R381" t="str">
        <f>IF(MSE成绩库!C381="","", MSE成绩库!T381)</f>
        <v/>
      </c>
      <c r="S381" t="str">
        <f>IF(MSE成绩库!C381="","", MSE成绩库!U381)</f>
        <v/>
      </c>
      <c r="T381" t="str">
        <f>IF(MSE成绩库!C381="","", MSE成绩库!V381)</f>
        <v/>
      </c>
      <c r="U381" t="str">
        <f>IF(MSE成绩库!C381="","", MSE成绩库!X381)</f>
        <v/>
      </c>
      <c r="V381" t="str">
        <f>IF(MSE成绩库!C381="","", MSE成绩库!Y381)</f>
        <v/>
      </c>
      <c r="W381" t="str">
        <f>IF(MSE成绩库!C381="","", MSE成绩库!Z381)</f>
        <v/>
      </c>
      <c r="X381" t="str">
        <f>IF(MSE成绩库!C381="","", MSE成绩库!AA381)</f>
        <v/>
      </c>
      <c r="Y381" t="str">
        <f>IF(MSE成绩库!C381="","", MSE成绩库!AB381)</f>
        <v/>
      </c>
      <c r="Z381" t="str">
        <f>IF(MSE成绩库!C381="","", MSE成绩库!AC381)</f>
        <v/>
      </c>
    </row>
    <row r="382" spans="1:26" x14ac:dyDescent="0.2">
      <c r="A382" t="str">
        <f>IF(MSE成绩库!C382="","", MSE成绩库!C382)</f>
        <v/>
      </c>
      <c r="B382" t="str">
        <f>IF(MSE成绩库!AD382="","", MSE成绩库!AD382)</f>
        <v/>
      </c>
      <c r="C382" t="str">
        <f>IF(MSE成绩库!B382="","", MSE成绩库!B382)</f>
        <v/>
      </c>
      <c r="D382" t="str">
        <f>IF(MSE成绩库!D382="","", MSE成绩库!D382)</f>
        <v/>
      </c>
      <c r="E382" t="str">
        <f>IF(MSE成绩库!C382="","", MSE成绩库!E382)</f>
        <v/>
      </c>
      <c r="F382" t="str">
        <f>IF(MSE成绩库!C382="","", MSE成绩库!F382)</f>
        <v/>
      </c>
      <c r="G382" t="str">
        <f>IF(MSE成绩库!C382="","", MSE成绩库!G382)</f>
        <v/>
      </c>
      <c r="H382" t="str">
        <f>IF(MSE成绩库!C382="","", MSE成绩库!H382)</f>
        <v/>
      </c>
      <c r="I382" t="str">
        <f>IF(MSE成绩库!C382="","", MSE成绩库!I382)</f>
        <v/>
      </c>
      <c r="J382" t="str">
        <f>IF(MSE成绩库!C382="","", MSE成绩库!J382)</f>
        <v/>
      </c>
      <c r="K382" t="str">
        <f>IF(MSE成绩库!C382="","", MSE成绩库!K382)</f>
        <v/>
      </c>
      <c r="L382" t="str">
        <f>IF(MSE成绩库!C382="","", MSE成绩库!M382)</f>
        <v/>
      </c>
      <c r="M382" t="str">
        <f>IF(MSE成绩库!C382="","", MSE成绩库!N382)</f>
        <v/>
      </c>
      <c r="N382" t="str">
        <f>IF(MSE成绩库!C382="","", MSE成绩库!O382)</f>
        <v/>
      </c>
      <c r="O382" t="str">
        <f>IF(MSE成绩库!C382="","", MSE成绩库!Q382)</f>
        <v/>
      </c>
      <c r="P382" t="str">
        <f>IF(MSE成绩库!C382="","", MSE成绩库!R382)</f>
        <v/>
      </c>
      <c r="Q382" t="str">
        <f>IF(MSE成绩库!C382="","", MSE成绩库!S382)</f>
        <v/>
      </c>
      <c r="R382" t="str">
        <f>IF(MSE成绩库!C382="","", MSE成绩库!T382)</f>
        <v/>
      </c>
      <c r="S382" t="str">
        <f>IF(MSE成绩库!C382="","", MSE成绩库!U382)</f>
        <v/>
      </c>
      <c r="T382" t="str">
        <f>IF(MSE成绩库!C382="","", MSE成绩库!V382)</f>
        <v/>
      </c>
      <c r="U382" t="str">
        <f>IF(MSE成绩库!C382="","", MSE成绩库!X382)</f>
        <v/>
      </c>
      <c r="V382" t="str">
        <f>IF(MSE成绩库!C382="","", MSE成绩库!Y382)</f>
        <v/>
      </c>
      <c r="W382" t="str">
        <f>IF(MSE成绩库!C382="","", MSE成绩库!Z382)</f>
        <v/>
      </c>
      <c r="X382" t="str">
        <f>IF(MSE成绩库!C382="","", MSE成绩库!AA382)</f>
        <v/>
      </c>
      <c r="Y382" t="str">
        <f>IF(MSE成绩库!C382="","", MSE成绩库!AB382)</f>
        <v/>
      </c>
      <c r="Z382" t="str">
        <f>IF(MSE成绩库!C382="","", MSE成绩库!AC382)</f>
        <v/>
      </c>
    </row>
    <row r="383" spans="1:26" x14ac:dyDescent="0.2">
      <c r="A383" t="str">
        <f>IF(MSE成绩库!C383="","", MSE成绩库!C383)</f>
        <v/>
      </c>
      <c r="B383" t="str">
        <f>IF(MSE成绩库!AD383="","", MSE成绩库!AD383)</f>
        <v/>
      </c>
      <c r="C383" t="str">
        <f>IF(MSE成绩库!B383="","", MSE成绩库!B383)</f>
        <v/>
      </c>
      <c r="D383" t="str">
        <f>IF(MSE成绩库!D383="","", MSE成绩库!D383)</f>
        <v/>
      </c>
      <c r="E383" t="str">
        <f>IF(MSE成绩库!C383="","", MSE成绩库!E383)</f>
        <v/>
      </c>
      <c r="F383" t="str">
        <f>IF(MSE成绩库!C383="","", MSE成绩库!F383)</f>
        <v/>
      </c>
      <c r="G383" t="str">
        <f>IF(MSE成绩库!C383="","", MSE成绩库!G383)</f>
        <v/>
      </c>
      <c r="H383" t="str">
        <f>IF(MSE成绩库!C383="","", MSE成绩库!H383)</f>
        <v/>
      </c>
      <c r="I383" t="str">
        <f>IF(MSE成绩库!C383="","", MSE成绩库!I383)</f>
        <v/>
      </c>
      <c r="J383" t="str">
        <f>IF(MSE成绩库!C383="","", MSE成绩库!J383)</f>
        <v/>
      </c>
      <c r="K383" t="str">
        <f>IF(MSE成绩库!C383="","", MSE成绩库!K383)</f>
        <v/>
      </c>
      <c r="L383" t="str">
        <f>IF(MSE成绩库!C383="","", MSE成绩库!M383)</f>
        <v/>
      </c>
      <c r="M383" t="str">
        <f>IF(MSE成绩库!C383="","", MSE成绩库!N383)</f>
        <v/>
      </c>
      <c r="N383" t="str">
        <f>IF(MSE成绩库!C383="","", MSE成绩库!O383)</f>
        <v/>
      </c>
      <c r="O383" t="str">
        <f>IF(MSE成绩库!C383="","", MSE成绩库!Q383)</f>
        <v/>
      </c>
      <c r="P383" t="str">
        <f>IF(MSE成绩库!C383="","", MSE成绩库!R383)</f>
        <v/>
      </c>
      <c r="Q383" t="str">
        <f>IF(MSE成绩库!C383="","", MSE成绩库!S383)</f>
        <v/>
      </c>
      <c r="R383" t="str">
        <f>IF(MSE成绩库!C383="","", MSE成绩库!T383)</f>
        <v/>
      </c>
      <c r="S383" t="str">
        <f>IF(MSE成绩库!C383="","", MSE成绩库!U383)</f>
        <v/>
      </c>
      <c r="T383" t="str">
        <f>IF(MSE成绩库!C383="","", MSE成绩库!V383)</f>
        <v/>
      </c>
      <c r="U383" t="str">
        <f>IF(MSE成绩库!C383="","", MSE成绩库!X383)</f>
        <v/>
      </c>
      <c r="V383" t="str">
        <f>IF(MSE成绩库!C383="","", MSE成绩库!Y383)</f>
        <v/>
      </c>
      <c r="W383" t="str">
        <f>IF(MSE成绩库!C383="","", MSE成绩库!Z383)</f>
        <v/>
      </c>
      <c r="X383" t="str">
        <f>IF(MSE成绩库!C383="","", MSE成绩库!AA383)</f>
        <v/>
      </c>
      <c r="Y383" t="str">
        <f>IF(MSE成绩库!C383="","", MSE成绩库!AB383)</f>
        <v/>
      </c>
      <c r="Z383" t="str">
        <f>IF(MSE成绩库!C383="","", MSE成绩库!AC383)</f>
        <v/>
      </c>
    </row>
    <row r="384" spans="1:26" x14ac:dyDescent="0.2">
      <c r="A384" t="str">
        <f>IF(MSE成绩库!C384="","", MSE成绩库!C384)</f>
        <v/>
      </c>
      <c r="B384" t="str">
        <f>IF(MSE成绩库!AD384="","", MSE成绩库!AD384)</f>
        <v/>
      </c>
      <c r="C384" t="str">
        <f>IF(MSE成绩库!B384="","", MSE成绩库!B384)</f>
        <v/>
      </c>
      <c r="D384" t="str">
        <f>IF(MSE成绩库!D384="","", MSE成绩库!D384)</f>
        <v/>
      </c>
      <c r="E384" t="str">
        <f>IF(MSE成绩库!C384="","", MSE成绩库!E384)</f>
        <v/>
      </c>
      <c r="F384" t="str">
        <f>IF(MSE成绩库!C384="","", MSE成绩库!F384)</f>
        <v/>
      </c>
      <c r="G384" t="str">
        <f>IF(MSE成绩库!C384="","", MSE成绩库!G384)</f>
        <v/>
      </c>
      <c r="H384" t="str">
        <f>IF(MSE成绩库!C384="","", MSE成绩库!H384)</f>
        <v/>
      </c>
      <c r="I384" t="str">
        <f>IF(MSE成绩库!C384="","", MSE成绩库!I384)</f>
        <v/>
      </c>
      <c r="J384" t="str">
        <f>IF(MSE成绩库!C384="","", MSE成绩库!J384)</f>
        <v/>
      </c>
      <c r="K384" t="str">
        <f>IF(MSE成绩库!C384="","", MSE成绩库!K384)</f>
        <v/>
      </c>
      <c r="L384" t="str">
        <f>IF(MSE成绩库!C384="","", MSE成绩库!M384)</f>
        <v/>
      </c>
      <c r="M384" t="str">
        <f>IF(MSE成绩库!C384="","", MSE成绩库!N384)</f>
        <v/>
      </c>
      <c r="N384" t="str">
        <f>IF(MSE成绩库!C384="","", MSE成绩库!O384)</f>
        <v/>
      </c>
      <c r="O384" t="str">
        <f>IF(MSE成绩库!C384="","", MSE成绩库!Q384)</f>
        <v/>
      </c>
      <c r="P384" t="str">
        <f>IF(MSE成绩库!C384="","", MSE成绩库!R384)</f>
        <v/>
      </c>
      <c r="Q384" t="str">
        <f>IF(MSE成绩库!C384="","", MSE成绩库!S384)</f>
        <v/>
      </c>
      <c r="R384" t="str">
        <f>IF(MSE成绩库!C384="","", MSE成绩库!T384)</f>
        <v/>
      </c>
      <c r="S384" t="str">
        <f>IF(MSE成绩库!C384="","", MSE成绩库!U384)</f>
        <v/>
      </c>
      <c r="T384" t="str">
        <f>IF(MSE成绩库!C384="","", MSE成绩库!V384)</f>
        <v/>
      </c>
      <c r="U384" t="str">
        <f>IF(MSE成绩库!C384="","", MSE成绩库!X384)</f>
        <v/>
      </c>
      <c r="V384" t="str">
        <f>IF(MSE成绩库!C384="","", MSE成绩库!Y384)</f>
        <v/>
      </c>
      <c r="W384" t="str">
        <f>IF(MSE成绩库!C384="","", MSE成绩库!Z384)</f>
        <v/>
      </c>
      <c r="X384" t="str">
        <f>IF(MSE成绩库!C384="","", MSE成绩库!AA384)</f>
        <v/>
      </c>
      <c r="Y384" t="str">
        <f>IF(MSE成绩库!C384="","", MSE成绩库!AB384)</f>
        <v/>
      </c>
      <c r="Z384" t="str">
        <f>IF(MSE成绩库!C384="","", MSE成绩库!AC384)</f>
        <v/>
      </c>
    </row>
    <row r="385" spans="1:26" x14ac:dyDescent="0.2">
      <c r="A385" t="str">
        <f>IF(MSE成绩库!C385="","", MSE成绩库!C385)</f>
        <v/>
      </c>
      <c r="B385" t="str">
        <f>IF(MSE成绩库!AD385="","", MSE成绩库!AD385)</f>
        <v/>
      </c>
      <c r="C385" t="str">
        <f>IF(MSE成绩库!B385="","", MSE成绩库!B385)</f>
        <v/>
      </c>
      <c r="D385" t="str">
        <f>IF(MSE成绩库!D385="","", MSE成绩库!D385)</f>
        <v/>
      </c>
      <c r="E385" t="str">
        <f>IF(MSE成绩库!C385="","", MSE成绩库!E385)</f>
        <v/>
      </c>
      <c r="F385" t="str">
        <f>IF(MSE成绩库!C385="","", MSE成绩库!F385)</f>
        <v/>
      </c>
      <c r="G385" t="str">
        <f>IF(MSE成绩库!C385="","", MSE成绩库!G385)</f>
        <v/>
      </c>
      <c r="H385" t="str">
        <f>IF(MSE成绩库!C385="","", MSE成绩库!H385)</f>
        <v/>
      </c>
      <c r="I385" t="str">
        <f>IF(MSE成绩库!C385="","", MSE成绩库!I385)</f>
        <v/>
      </c>
      <c r="J385" t="str">
        <f>IF(MSE成绩库!C385="","", MSE成绩库!J385)</f>
        <v/>
      </c>
      <c r="K385" t="str">
        <f>IF(MSE成绩库!C385="","", MSE成绩库!K385)</f>
        <v/>
      </c>
      <c r="L385" t="str">
        <f>IF(MSE成绩库!C385="","", MSE成绩库!M385)</f>
        <v/>
      </c>
      <c r="M385" t="str">
        <f>IF(MSE成绩库!C385="","", MSE成绩库!N385)</f>
        <v/>
      </c>
      <c r="N385" t="str">
        <f>IF(MSE成绩库!C385="","", MSE成绩库!O385)</f>
        <v/>
      </c>
      <c r="O385" t="str">
        <f>IF(MSE成绩库!C385="","", MSE成绩库!Q385)</f>
        <v/>
      </c>
      <c r="P385" t="str">
        <f>IF(MSE成绩库!C385="","", MSE成绩库!R385)</f>
        <v/>
      </c>
      <c r="Q385" t="str">
        <f>IF(MSE成绩库!C385="","", MSE成绩库!S385)</f>
        <v/>
      </c>
      <c r="R385" t="str">
        <f>IF(MSE成绩库!C385="","", MSE成绩库!T385)</f>
        <v/>
      </c>
      <c r="S385" t="str">
        <f>IF(MSE成绩库!C385="","", MSE成绩库!U385)</f>
        <v/>
      </c>
      <c r="T385" t="str">
        <f>IF(MSE成绩库!C385="","", MSE成绩库!V385)</f>
        <v/>
      </c>
      <c r="U385" t="str">
        <f>IF(MSE成绩库!C385="","", MSE成绩库!X385)</f>
        <v/>
      </c>
      <c r="V385" t="str">
        <f>IF(MSE成绩库!C385="","", MSE成绩库!Y385)</f>
        <v/>
      </c>
      <c r="W385" t="str">
        <f>IF(MSE成绩库!C385="","", MSE成绩库!Z385)</f>
        <v/>
      </c>
      <c r="X385" t="str">
        <f>IF(MSE成绩库!C385="","", MSE成绩库!AA385)</f>
        <v/>
      </c>
      <c r="Y385" t="str">
        <f>IF(MSE成绩库!C385="","", MSE成绩库!AB385)</f>
        <v/>
      </c>
      <c r="Z385" t="str">
        <f>IF(MSE成绩库!C385="","", MSE成绩库!AC385)</f>
        <v/>
      </c>
    </row>
    <row r="386" spans="1:26" x14ac:dyDescent="0.2">
      <c r="A386" t="str">
        <f>IF(MSE成绩库!C386="","", MSE成绩库!C386)</f>
        <v/>
      </c>
      <c r="B386" t="str">
        <f>IF(MSE成绩库!AD386="","", MSE成绩库!AD386)</f>
        <v/>
      </c>
      <c r="C386" t="str">
        <f>IF(MSE成绩库!B386="","", MSE成绩库!B386)</f>
        <v/>
      </c>
      <c r="D386" t="str">
        <f>IF(MSE成绩库!D386="","", MSE成绩库!D386)</f>
        <v/>
      </c>
      <c r="E386" t="str">
        <f>IF(MSE成绩库!C386="","", MSE成绩库!E386)</f>
        <v/>
      </c>
      <c r="F386" t="str">
        <f>IF(MSE成绩库!C386="","", MSE成绩库!F386)</f>
        <v/>
      </c>
      <c r="G386" t="str">
        <f>IF(MSE成绩库!C386="","", MSE成绩库!G386)</f>
        <v/>
      </c>
      <c r="H386" t="str">
        <f>IF(MSE成绩库!C386="","", MSE成绩库!H386)</f>
        <v/>
      </c>
      <c r="I386" t="str">
        <f>IF(MSE成绩库!C386="","", MSE成绩库!I386)</f>
        <v/>
      </c>
      <c r="J386" t="str">
        <f>IF(MSE成绩库!C386="","", MSE成绩库!J386)</f>
        <v/>
      </c>
      <c r="K386" t="str">
        <f>IF(MSE成绩库!C386="","", MSE成绩库!K386)</f>
        <v/>
      </c>
      <c r="L386" t="str">
        <f>IF(MSE成绩库!C386="","", MSE成绩库!M386)</f>
        <v/>
      </c>
      <c r="M386" t="str">
        <f>IF(MSE成绩库!C386="","", MSE成绩库!N386)</f>
        <v/>
      </c>
      <c r="N386" t="str">
        <f>IF(MSE成绩库!C386="","", MSE成绩库!O386)</f>
        <v/>
      </c>
      <c r="O386" t="str">
        <f>IF(MSE成绩库!C386="","", MSE成绩库!Q386)</f>
        <v/>
      </c>
      <c r="P386" t="str">
        <f>IF(MSE成绩库!C386="","", MSE成绩库!R386)</f>
        <v/>
      </c>
      <c r="Q386" t="str">
        <f>IF(MSE成绩库!C386="","", MSE成绩库!S386)</f>
        <v/>
      </c>
      <c r="R386" t="str">
        <f>IF(MSE成绩库!C386="","", MSE成绩库!T386)</f>
        <v/>
      </c>
      <c r="S386" t="str">
        <f>IF(MSE成绩库!C386="","", MSE成绩库!U386)</f>
        <v/>
      </c>
      <c r="T386" t="str">
        <f>IF(MSE成绩库!C386="","", MSE成绩库!V386)</f>
        <v/>
      </c>
      <c r="U386" t="str">
        <f>IF(MSE成绩库!C386="","", MSE成绩库!X386)</f>
        <v/>
      </c>
      <c r="V386" t="str">
        <f>IF(MSE成绩库!C386="","", MSE成绩库!Y386)</f>
        <v/>
      </c>
      <c r="W386" t="str">
        <f>IF(MSE成绩库!C386="","", MSE成绩库!Z386)</f>
        <v/>
      </c>
      <c r="X386" t="str">
        <f>IF(MSE成绩库!C386="","", MSE成绩库!AA386)</f>
        <v/>
      </c>
      <c r="Y386" t="str">
        <f>IF(MSE成绩库!C386="","", MSE成绩库!AB386)</f>
        <v/>
      </c>
      <c r="Z386" t="str">
        <f>IF(MSE成绩库!C386="","", MSE成绩库!AC386)</f>
        <v/>
      </c>
    </row>
    <row r="387" spans="1:26" x14ac:dyDescent="0.2">
      <c r="A387" t="str">
        <f>IF(MSE成绩库!C387="","", MSE成绩库!C387)</f>
        <v/>
      </c>
      <c r="B387" t="str">
        <f>IF(MSE成绩库!AD387="","", MSE成绩库!AD387)</f>
        <v/>
      </c>
      <c r="C387" t="str">
        <f>IF(MSE成绩库!B387="","", MSE成绩库!B387)</f>
        <v/>
      </c>
      <c r="D387" t="str">
        <f>IF(MSE成绩库!D387="","", MSE成绩库!D387)</f>
        <v/>
      </c>
      <c r="E387" t="str">
        <f>IF(MSE成绩库!C387="","", MSE成绩库!E387)</f>
        <v/>
      </c>
      <c r="F387" t="str">
        <f>IF(MSE成绩库!C387="","", MSE成绩库!F387)</f>
        <v/>
      </c>
      <c r="G387" t="str">
        <f>IF(MSE成绩库!C387="","", MSE成绩库!G387)</f>
        <v/>
      </c>
      <c r="H387" t="str">
        <f>IF(MSE成绩库!C387="","", MSE成绩库!H387)</f>
        <v/>
      </c>
      <c r="I387" t="str">
        <f>IF(MSE成绩库!C387="","", MSE成绩库!I387)</f>
        <v/>
      </c>
      <c r="J387" t="str">
        <f>IF(MSE成绩库!C387="","", MSE成绩库!J387)</f>
        <v/>
      </c>
      <c r="K387" t="str">
        <f>IF(MSE成绩库!C387="","", MSE成绩库!K387)</f>
        <v/>
      </c>
      <c r="L387" t="str">
        <f>IF(MSE成绩库!C387="","", MSE成绩库!M387)</f>
        <v/>
      </c>
      <c r="M387" t="str">
        <f>IF(MSE成绩库!C387="","", MSE成绩库!N387)</f>
        <v/>
      </c>
      <c r="N387" t="str">
        <f>IF(MSE成绩库!C387="","", MSE成绩库!O387)</f>
        <v/>
      </c>
      <c r="O387" t="str">
        <f>IF(MSE成绩库!C387="","", MSE成绩库!Q387)</f>
        <v/>
      </c>
      <c r="P387" t="str">
        <f>IF(MSE成绩库!C387="","", MSE成绩库!R387)</f>
        <v/>
      </c>
      <c r="Q387" t="str">
        <f>IF(MSE成绩库!C387="","", MSE成绩库!S387)</f>
        <v/>
      </c>
      <c r="R387" t="str">
        <f>IF(MSE成绩库!C387="","", MSE成绩库!T387)</f>
        <v/>
      </c>
      <c r="S387" t="str">
        <f>IF(MSE成绩库!C387="","", MSE成绩库!U387)</f>
        <v/>
      </c>
      <c r="T387" t="str">
        <f>IF(MSE成绩库!C387="","", MSE成绩库!V387)</f>
        <v/>
      </c>
      <c r="U387" t="str">
        <f>IF(MSE成绩库!C387="","", MSE成绩库!X387)</f>
        <v/>
      </c>
      <c r="V387" t="str">
        <f>IF(MSE成绩库!C387="","", MSE成绩库!Y387)</f>
        <v/>
      </c>
      <c r="W387" t="str">
        <f>IF(MSE成绩库!C387="","", MSE成绩库!Z387)</f>
        <v/>
      </c>
      <c r="X387" t="str">
        <f>IF(MSE成绩库!C387="","", MSE成绩库!AA387)</f>
        <v/>
      </c>
      <c r="Y387" t="str">
        <f>IF(MSE成绩库!C387="","", MSE成绩库!AB387)</f>
        <v/>
      </c>
      <c r="Z387" t="str">
        <f>IF(MSE成绩库!C387="","", MSE成绩库!AC387)</f>
        <v/>
      </c>
    </row>
    <row r="388" spans="1:26" x14ac:dyDescent="0.2">
      <c r="A388" t="str">
        <f>IF(MSE成绩库!C388="","", MSE成绩库!C388)</f>
        <v/>
      </c>
      <c r="B388" t="str">
        <f>IF(MSE成绩库!AD388="","", MSE成绩库!AD388)</f>
        <v/>
      </c>
      <c r="C388" t="str">
        <f>IF(MSE成绩库!B388="","", MSE成绩库!B388)</f>
        <v/>
      </c>
      <c r="D388" t="str">
        <f>IF(MSE成绩库!D388="","", MSE成绩库!D388)</f>
        <v/>
      </c>
      <c r="E388" t="str">
        <f>IF(MSE成绩库!C388="","", MSE成绩库!E388)</f>
        <v/>
      </c>
      <c r="F388" t="str">
        <f>IF(MSE成绩库!C388="","", MSE成绩库!F388)</f>
        <v/>
      </c>
      <c r="G388" t="str">
        <f>IF(MSE成绩库!C388="","", MSE成绩库!G388)</f>
        <v/>
      </c>
      <c r="H388" t="str">
        <f>IF(MSE成绩库!C388="","", MSE成绩库!H388)</f>
        <v/>
      </c>
      <c r="I388" t="str">
        <f>IF(MSE成绩库!C388="","", MSE成绩库!I388)</f>
        <v/>
      </c>
      <c r="J388" t="str">
        <f>IF(MSE成绩库!C388="","", MSE成绩库!J388)</f>
        <v/>
      </c>
      <c r="K388" t="str">
        <f>IF(MSE成绩库!C388="","", MSE成绩库!K388)</f>
        <v/>
      </c>
      <c r="L388" t="str">
        <f>IF(MSE成绩库!C388="","", MSE成绩库!M388)</f>
        <v/>
      </c>
      <c r="M388" t="str">
        <f>IF(MSE成绩库!C388="","", MSE成绩库!N388)</f>
        <v/>
      </c>
      <c r="N388" t="str">
        <f>IF(MSE成绩库!C388="","", MSE成绩库!O388)</f>
        <v/>
      </c>
      <c r="O388" t="str">
        <f>IF(MSE成绩库!C388="","", MSE成绩库!Q388)</f>
        <v/>
      </c>
      <c r="P388" t="str">
        <f>IF(MSE成绩库!C388="","", MSE成绩库!R388)</f>
        <v/>
      </c>
      <c r="Q388" t="str">
        <f>IF(MSE成绩库!C388="","", MSE成绩库!S388)</f>
        <v/>
      </c>
      <c r="R388" t="str">
        <f>IF(MSE成绩库!C388="","", MSE成绩库!T388)</f>
        <v/>
      </c>
      <c r="S388" t="str">
        <f>IF(MSE成绩库!C388="","", MSE成绩库!U388)</f>
        <v/>
      </c>
      <c r="T388" t="str">
        <f>IF(MSE成绩库!C388="","", MSE成绩库!V388)</f>
        <v/>
      </c>
      <c r="U388" t="str">
        <f>IF(MSE成绩库!C388="","", MSE成绩库!X388)</f>
        <v/>
      </c>
      <c r="V388" t="str">
        <f>IF(MSE成绩库!C388="","", MSE成绩库!Y388)</f>
        <v/>
      </c>
      <c r="W388" t="str">
        <f>IF(MSE成绩库!C388="","", MSE成绩库!Z388)</f>
        <v/>
      </c>
      <c r="X388" t="str">
        <f>IF(MSE成绩库!C388="","", MSE成绩库!AA388)</f>
        <v/>
      </c>
      <c r="Y388" t="str">
        <f>IF(MSE成绩库!C388="","", MSE成绩库!AB388)</f>
        <v/>
      </c>
      <c r="Z388" t="str">
        <f>IF(MSE成绩库!C388="","", MSE成绩库!AC388)</f>
        <v/>
      </c>
    </row>
    <row r="389" spans="1:26" x14ac:dyDescent="0.2">
      <c r="A389" t="str">
        <f>IF(MSE成绩库!C389="","", MSE成绩库!C389)</f>
        <v/>
      </c>
      <c r="B389" t="str">
        <f>IF(MSE成绩库!AD389="","", MSE成绩库!AD389)</f>
        <v/>
      </c>
      <c r="C389" t="str">
        <f>IF(MSE成绩库!B389="","", MSE成绩库!B389)</f>
        <v/>
      </c>
      <c r="D389" t="str">
        <f>IF(MSE成绩库!D389="","", MSE成绩库!D389)</f>
        <v/>
      </c>
      <c r="E389" t="str">
        <f>IF(MSE成绩库!C389="","", MSE成绩库!E389)</f>
        <v/>
      </c>
      <c r="F389" t="str">
        <f>IF(MSE成绩库!C389="","", MSE成绩库!F389)</f>
        <v/>
      </c>
      <c r="G389" t="str">
        <f>IF(MSE成绩库!C389="","", MSE成绩库!G389)</f>
        <v/>
      </c>
      <c r="H389" t="str">
        <f>IF(MSE成绩库!C389="","", MSE成绩库!H389)</f>
        <v/>
      </c>
      <c r="I389" t="str">
        <f>IF(MSE成绩库!C389="","", MSE成绩库!I389)</f>
        <v/>
      </c>
      <c r="J389" t="str">
        <f>IF(MSE成绩库!C389="","", MSE成绩库!J389)</f>
        <v/>
      </c>
      <c r="K389" t="str">
        <f>IF(MSE成绩库!C389="","", MSE成绩库!K389)</f>
        <v/>
      </c>
      <c r="L389" t="str">
        <f>IF(MSE成绩库!C389="","", MSE成绩库!M389)</f>
        <v/>
      </c>
      <c r="M389" t="str">
        <f>IF(MSE成绩库!C389="","", MSE成绩库!N389)</f>
        <v/>
      </c>
      <c r="N389" t="str">
        <f>IF(MSE成绩库!C389="","", MSE成绩库!O389)</f>
        <v/>
      </c>
      <c r="O389" t="str">
        <f>IF(MSE成绩库!C389="","", MSE成绩库!Q389)</f>
        <v/>
      </c>
      <c r="P389" t="str">
        <f>IF(MSE成绩库!C389="","", MSE成绩库!R389)</f>
        <v/>
      </c>
      <c r="Q389" t="str">
        <f>IF(MSE成绩库!C389="","", MSE成绩库!S389)</f>
        <v/>
      </c>
      <c r="R389" t="str">
        <f>IF(MSE成绩库!C389="","", MSE成绩库!T389)</f>
        <v/>
      </c>
      <c r="S389" t="str">
        <f>IF(MSE成绩库!C389="","", MSE成绩库!U389)</f>
        <v/>
      </c>
      <c r="T389" t="str">
        <f>IF(MSE成绩库!C389="","", MSE成绩库!V389)</f>
        <v/>
      </c>
      <c r="U389" t="str">
        <f>IF(MSE成绩库!C389="","", MSE成绩库!X389)</f>
        <v/>
      </c>
      <c r="V389" t="str">
        <f>IF(MSE成绩库!C389="","", MSE成绩库!Y389)</f>
        <v/>
      </c>
      <c r="W389" t="str">
        <f>IF(MSE成绩库!C389="","", MSE成绩库!Z389)</f>
        <v/>
      </c>
      <c r="X389" t="str">
        <f>IF(MSE成绩库!C389="","", MSE成绩库!AA389)</f>
        <v/>
      </c>
      <c r="Y389" t="str">
        <f>IF(MSE成绩库!C389="","", MSE成绩库!AB389)</f>
        <v/>
      </c>
      <c r="Z389" t="str">
        <f>IF(MSE成绩库!C389="","", MSE成绩库!AC389)</f>
        <v/>
      </c>
    </row>
    <row r="390" spans="1:26" x14ac:dyDescent="0.2">
      <c r="A390" t="str">
        <f>IF(MSE成绩库!C390="","", MSE成绩库!C390)</f>
        <v/>
      </c>
      <c r="B390" t="str">
        <f>IF(MSE成绩库!AD390="","", MSE成绩库!AD390)</f>
        <v/>
      </c>
      <c r="C390" t="str">
        <f>IF(MSE成绩库!B390="","", MSE成绩库!B390)</f>
        <v/>
      </c>
      <c r="D390" t="str">
        <f>IF(MSE成绩库!D390="","", MSE成绩库!D390)</f>
        <v/>
      </c>
      <c r="E390" t="str">
        <f>IF(MSE成绩库!C390="","", MSE成绩库!E390)</f>
        <v/>
      </c>
      <c r="F390" t="str">
        <f>IF(MSE成绩库!C390="","", MSE成绩库!F390)</f>
        <v/>
      </c>
      <c r="G390" t="str">
        <f>IF(MSE成绩库!C390="","", MSE成绩库!G390)</f>
        <v/>
      </c>
      <c r="H390" t="str">
        <f>IF(MSE成绩库!C390="","", MSE成绩库!H390)</f>
        <v/>
      </c>
      <c r="I390" t="str">
        <f>IF(MSE成绩库!C390="","", MSE成绩库!I390)</f>
        <v/>
      </c>
      <c r="J390" t="str">
        <f>IF(MSE成绩库!C390="","", MSE成绩库!J390)</f>
        <v/>
      </c>
      <c r="K390" t="str">
        <f>IF(MSE成绩库!C390="","", MSE成绩库!K390)</f>
        <v/>
      </c>
      <c r="L390" t="str">
        <f>IF(MSE成绩库!C390="","", MSE成绩库!M390)</f>
        <v/>
      </c>
      <c r="M390" t="str">
        <f>IF(MSE成绩库!C390="","", MSE成绩库!N390)</f>
        <v/>
      </c>
      <c r="N390" t="str">
        <f>IF(MSE成绩库!C390="","", MSE成绩库!O390)</f>
        <v/>
      </c>
      <c r="O390" t="str">
        <f>IF(MSE成绩库!C390="","", MSE成绩库!Q390)</f>
        <v/>
      </c>
      <c r="P390" t="str">
        <f>IF(MSE成绩库!C390="","", MSE成绩库!R390)</f>
        <v/>
      </c>
      <c r="Q390" t="str">
        <f>IF(MSE成绩库!C390="","", MSE成绩库!S390)</f>
        <v/>
      </c>
      <c r="R390" t="str">
        <f>IF(MSE成绩库!C390="","", MSE成绩库!T390)</f>
        <v/>
      </c>
      <c r="S390" t="str">
        <f>IF(MSE成绩库!C390="","", MSE成绩库!U390)</f>
        <v/>
      </c>
      <c r="T390" t="str">
        <f>IF(MSE成绩库!C390="","", MSE成绩库!V390)</f>
        <v/>
      </c>
      <c r="U390" t="str">
        <f>IF(MSE成绩库!C390="","", MSE成绩库!X390)</f>
        <v/>
      </c>
      <c r="V390" t="str">
        <f>IF(MSE成绩库!C390="","", MSE成绩库!Y390)</f>
        <v/>
      </c>
      <c r="W390" t="str">
        <f>IF(MSE成绩库!C390="","", MSE成绩库!Z390)</f>
        <v/>
      </c>
      <c r="X390" t="str">
        <f>IF(MSE成绩库!C390="","", MSE成绩库!AA390)</f>
        <v/>
      </c>
      <c r="Y390" t="str">
        <f>IF(MSE成绩库!C390="","", MSE成绩库!AB390)</f>
        <v/>
      </c>
      <c r="Z390" t="str">
        <f>IF(MSE成绩库!C390="","", MSE成绩库!AC390)</f>
        <v/>
      </c>
    </row>
    <row r="391" spans="1:26" x14ac:dyDescent="0.2">
      <c r="A391" t="str">
        <f>IF(MSE成绩库!C391="","", MSE成绩库!C391)</f>
        <v/>
      </c>
      <c r="B391" t="str">
        <f>IF(MSE成绩库!AD391="","", MSE成绩库!AD391)</f>
        <v/>
      </c>
      <c r="C391" t="str">
        <f>IF(MSE成绩库!B391="","", MSE成绩库!B391)</f>
        <v/>
      </c>
      <c r="D391" t="str">
        <f>IF(MSE成绩库!D391="","", MSE成绩库!D391)</f>
        <v/>
      </c>
      <c r="E391" t="str">
        <f>IF(MSE成绩库!C391="","", MSE成绩库!E391)</f>
        <v/>
      </c>
      <c r="F391" t="str">
        <f>IF(MSE成绩库!C391="","", MSE成绩库!F391)</f>
        <v/>
      </c>
      <c r="G391" t="str">
        <f>IF(MSE成绩库!C391="","", MSE成绩库!G391)</f>
        <v/>
      </c>
      <c r="H391" t="str">
        <f>IF(MSE成绩库!C391="","", MSE成绩库!H391)</f>
        <v/>
      </c>
      <c r="I391" t="str">
        <f>IF(MSE成绩库!C391="","", MSE成绩库!I391)</f>
        <v/>
      </c>
      <c r="J391" t="str">
        <f>IF(MSE成绩库!C391="","", MSE成绩库!J391)</f>
        <v/>
      </c>
      <c r="K391" t="str">
        <f>IF(MSE成绩库!C391="","", MSE成绩库!K391)</f>
        <v/>
      </c>
      <c r="L391" t="str">
        <f>IF(MSE成绩库!C391="","", MSE成绩库!M391)</f>
        <v/>
      </c>
      <c r="M391" t="str">
        <f>IF(MSE成绩库!C391="","", MSE成绩库!N391)</f>
        <v/>
      </c>
      <c r="N391" t="str">
        <f>IF(MSE成绩库!C391="","", MSE成绩库!O391)</f>
        <v/>
      </c>
      <c r="O391" t="str">
        <f>IF(MSE成绩库!C391="","", MSE成绩库!Q391)</f>
        <v/>
      </c>
      <c r="P391" t="str">
        <f>IF(MSE成绩库!C391="","", MSE成绩库!R391)</f>
        <v/>
      </c>
      <c r="Q391" t="str">
        <f>IF(MSE成绩库!C391="","", MSE成绩库!S391)</f>
        <v/>
      </c>
      <c r="R391" t="str">
        <f>IF(MSE成绩库!C391="","", MSE成绩库!T391)</f>
        <v/>
      </c>
      <c r="S391" t="str">
        <f>IF(MSE成绩库!C391="","", MSE成绩库!U391)</f>
        <v/>
      </c>
      <c r="T391" t="str">
        <f>IF(MSE成绩库!C391="","", MSE成绩库!V391)</f>
        <v/>
      </c>
      <c r="U391" t="str">
        <f>IF(MSE成绩库!C391="","", MSE成绩库!X391)</f>
        <v/>
      </c>
      <c r="V391" t="str">
        <f>IF(MSE成绩库!C391="","", MSE成绩库!Y391)</f>
        <v/>
      </c>
      <c r="W391" t="str">
        <f>IF(MSE成绩库!C391="","", MSE成绩库!Z391)</f>
        <v/>
      </c>
      <c r="X391" t="str">
        <f>IF(MSE成绩库!C391="","", MSE成绩库!AA391)</f>
        <v/>
      </c>
      <c r="Y391" t="str">
        <f>IF(MSE成绩库!C391="","", MSE成绩库!AB391)</f>
        <v/>
      </c>
      <c r="Z391" t="str">
        <f>IF(MSE成绩库!C391="","", MSE成绩库!AC391)</f>
        <v/>
      </c>
    </row>
    <row r="392" spans="1:26" x14ac:dyDescent="0.2">
      <c r="A392" t="str">
        <f>IF(MSE成绩库!C392="","", MSE成绩库!C392)</f>
        <v/>
      </c>
      <c r="B392" t="str">
        <f>IF(MSE成绩库!AD392="","", MSE成绩库!AD392)</f>
        <v/>
      </c>
      <c r="C392" t="str">
        <f>IF(MSE成绩库!B392="","", MSE成绩库!B392)</f>
        <v/>
      </c>
      <c r="D392" t="str">
        <f>IF(MSE成绩库!D392="","", MSE成绩库!D392)</f>
        <v/>
      </c>
      <c r="E392" t="str">
        <f>IF(MSE成绩库!C392="","", MSE成绩库!E392)</f>
        <v/>
      </c>
      <c r="F392" t="str">
        <f>IF(MSE成绩库!C392="","", MSE成绩库!F392)</f>
        <v/>
      </c>
      <c r="G392" t="str">
        <f>IF(MSE成绩库!C392="","", MSE成绩库!G392)</f>
        <v/>
      </c>
      <c r="H392" t="str">
        <f>IF(MSE成绩库!C392="","", MSE成绩库!H392)</f>
        <v/>
      </c>
      <c r="I392" t="str">
        <f>IF(MSE成绩库!C392="","", MSE成绩库!I392)</f>
        <v/>
      </c>
      <c r="J392" t="str">
        <f>IF(MSE成绩库!C392="","", MSE成绩库!J392)</f>
        <v/>
      </c>
      <c r="K392" t="str">
        <f>IF(MSE成绩库!C392="","", MSE成绩库!K392)</f>
        <v/>
      </c>
      <c r="L392" t="str">
        <f>IF(MSE成绩库!C392="","", MSE成绩库!M392)</f>
        <v/>
      </c>
      <c r="M392" t="str">
        <f>IF(MSE成绩库!C392="","", MSE成绩库!N392)</f>
        <v/>
      </c>
      <c r="N392" t="str">
        <f>IF(MSE成绩库!C392="","", MSE成绩库!O392)</f>
        <v/>
      </c>
      <c r="O392" t="str">
        <f>IF(MSE成绩库!C392="","", MSE成绩库!Q392)</f>
        <v/>
      </c>
      <c r="P392" t="str">
        <f>IF(MSE成绩库!C392="","", MSE成绩库!R392)</f>
        <v/>
      </c>
      <c r="Q392" t="str">
        <f>IF(MSE成绩库!C392="","", MSE成绩库!S392)</f>
        <v/>
      </c>
      <c r="R392" t="str">
        <f>IF(MSE成绩库!C392="","", MSE成绩库!T392)</f>
        <v/>
      </c>
      <c r="S392" t="str">
        <f>IF(MSE成绩库!C392="","", MSE成绩库!U392)</f>
        <v/>
      </c>
      <c r="T392" t="str">
        <f>IF(MSE成绩库!C392="","", MSE成绩库!V392)</f>
        <v/>
      </c>
      <c r="U392" t="str">
        <f>IF(MSE成绩库!C392="","", MSE成绩库!X392)</f>
        <v/>
      </c>
      <c r="V392" t="str">
        <f>IF(MSE成绩库!C392="","", MSE成绩库!Y392)</f>
        <v/>
      </c>
      <c r="W392" t="str">
        <f>IF(MSE成绩库!C392="","", MSE成绩库!Z392)</f>
        <v/>
      </c>
      <c r="X392" t="str">
        <f>IF(MSE成绩库!C392="","", MSE成绩库!AA392)</f>
        <v/>
      </c>
      <c r="Y392" t="str">
        <f>IF(MSE成绩库!C392="","", MSE成绩库!AB392)</f>
        <v/>
      </c>
      <c r="Z392" t="str">
        <f>IF(MSE成绩库!C392="","", MSE成绩库!AC392)</f>
        <v/>
      </c>
    </row>
    <row r="393" spans="1:26" x14ac:dyDescent="0.2">
      <c r="A393" t="str">
        <f>IF(MSE成绩库!C393="","", MSE成绩库!C393)</f>
        <v/>
      </c>
      <c r="B393" t="str">
        <f>IF(MSE成绩库!AD393="","", MSE成绩库!AD393)</f>
        <v/>
      </c>
      <c r="C393" t="str">
        <f>IF(MSE成绩库!B393="","", MSE成绩库!B393)</f>
        <v/>
      </c>
      <c r="D393" t="str">
        <f>IF(MSE成绩库!D393="","", MSE成绩库!D393)</f>
        <v/>
      </c>
      <c r="E393" t="str">
        <f>IF(MSE成绩库!C393="","", MSE成绩库!E393)</f>
        <v/>
      </c>
      <c r="F393" t="str">
        <f>IF(MSE成绩库!C393="","", MSE成绩库!F393)</f>
        <v/>
      </c>
      <c r="G393" t="str">
        <f>IF(MSE成绩库!C393="","", MSE成绩库!G393)</f>
        <v/>
      </c>
      <c r="H393" t="str">
        <f>IF(MSE成绩库!C393="","", MSE成绩库!H393)</f>
        <v/>
      </c>
      <c r="I393" t="str">
        <f>IF(MSE成绩库!C393="","", MSE成绩库!I393)</f>
        <v/>
      </c>
      <c r="J393" t="str">
        <f>IF(MSE成绩库!C393="","", MSE成绩库!J393)</f>
        <v/>
      </c>
      <c r="K393" t="str">
        <f>IF(MSE成绩库!C393="","", MSE成绩库!K393)</f>
        <v/>
      </c>
      <c r="L393" t="str">
        <f>IF(MSE成绩库!C393="","", MSE成绩库!M393)</f>
        <v/>
      </c>
      <c r="M393" t="str">
        <f>IF(MSE成绩库!C393="","", MSE成绩库!N393)</f>
        <v/>
      </c>
      <c r="N393" t="str">
        <f>IF(MSE成绩库!C393="","", MSE成绩库!O393)</f>
        <v/>
      </c>
      <c r="O393" t="str">
        <f>IF(MSE成绩库!C393="","", MSE成绩库!Q393)</f>
        <v/>
      </c>
      <c r="P393" t="str">
        <f>IF(MSE成绩库!C393="","", MSE成绩库!R393)</f>
        <v/>
      </c>
      <c r="Q393" t="str">
        <f>IF(MSE成绩库!C393="","", MSE成绩库!S393)</f>
        <v/>
      </c>
      <c r="R393" t="str">
        <f>IF(MSE成绩库!C393="","", MSE成绩库!T393)</f>
        <v/>
      </c>
      <c r="S393" t="str">
        <f>IF(MSE成绩库!C393="","", MSE成绩库!U393)</f>
        <v/>
      </c>
      <c r="T393" t="str">
        <f>IF(MSE成绩库!C393="","", MSE成绩库!V393)</f>
        <v/>
      </c>
      <c r="U393" t="str">
        <f>IF(MSE成绩库!C393="","", MSE成绩库!X393)</f>
        <v/>
      </c>
      <c r="V393" t="str">
        <f>IF(MSE成绩库!C393="","", MSE成绩库!Y393)</f>
        <v/>
      </c>
      <c r="W393" t="str">
        <f>IF(MSE成绩库!C393="","", MSE成绩库!Z393)</f>
        <v/>
      </c>
      <c r="X393" t="str">
        <f>IF(MSE成绩库!C393="","", MSE成绩库!AA393)</f>
        <v/>
      </c>
      <c r="Y393" t="str">
        <f>IF(MSE成绩库!C393="","", MSE成绩库!AB393)</f>
        <v/>
      </c>
      <c r="Z393" t="str">
        <f>IF(MSE成绩库!C393="","", MSE成绩库!AC393)</f>
        <v/>
      </c>
    </row>
    <row r="394" spans="1:26" x14ac:dyDescent="0.2">
      <c r="A394" t="str">
        <f>IF(MSE成绩库!C394="","", MSE成绩库!C394)</f>
        <v/>
      </c>
      <c r="B394" t="str">
        <f>IF(MSE成绩库!AD394="","", MSE成绩库!AD394)</f>
        <v/>
      </c>
      <c r="C394" t="str">
        <f>IF(MSE成绩库!B394="","", MSE成绩库!B394)</f>
        <v/>
      </c>
      <c r="D394" t="str">
        <f>IF(MSE成绩库!D394="","", MSE成绩库!D394)</f>
        <v/>
      </c>
      <c r="E394" t="str">
        <f>IF(MSE成绩库!C394="","", MSE成绩库!E394)</f>
        <v/>
      </c>
      <c r="F394" t="str">
        <f>IF(MSE成绩库!C394="","", MSE成绩库!F394)</f>
        <v/>
      </c>
      <c r="G394" t="str">
        <f>IF(MSE成绩库!C394="","", MSE成绩库!G394)</f>
        <v/>
      </c>
      <c r="H394" t="str">
        <f>IF(MSE成绩库!C394="","", MSE成绩库!H394)</f>
        <v/>
      </c>
      <c r="I394" t="str">
        <f>IF(MSE成绩库!C394="","", MSE成绩库!I394)</f>
        <v/>
      </c>
      <c r="J394" t="str">
        <f>IF(MSE成绩库!C394="","", MSE成绩库!J394)</f>
        <v/>
      </c>
      <c r="K394" t="str">
        <f>IF(MSE成绩库!C394="","", MSE成绩库!K394)</f>
        <v/>
      </c>
      <c r="L394" t="str">
        <f>IF(MSE成绩库!C394="","", MSE成绩库!M394)</f>
        <v/>
      </c>
      <c r="M394" t="str">
        <f>IF(MSE成绩库!C394="","", MSE成绩库!N394)</f>
        <v/>
      </c>
      <c r="N394" t="str">
        <f>IF(MSE成绩库!C394="","", MSE成绩库!O394)</f>
        <v/>
      </c>
      <c r="O394" t="str">
        <f>IF(MSE成绩库!C394="","", MSE成绩库!Q394)</f>
        <v/>
      </c>
      <c r="P394" t="str">
        <f>IF(MSE成绩库!C394="","", MSE成绩库!R394)</f>
        <v/>
      </c>
      <c r="Q394" t="str">
        <f>IF(MSE成绩库!C394="","", MSE成绩库!S394)</f>
        <v/>
      </c>
      <c r="R394" t="str">
        <f>IF(MSE成绩库!C394="","", MSE成绩库!T394)</f>
        <v/>
      </c>
      <c r="S394" t="str">
        <f>IF(MSE成绩库!C394="","", MSE成绩库!U394)</f>
        <v/>
      </c>
      <c r="T394" t="str">
        <f>IF(MSE成绩库!C394="","", MSE成绩库!V394)</f>
        <v/>
      </c>
      <c r="U394" t="str">
        <f>IF(MSE成绩库!C394="","", MSE成绩库!X394)</f>
        <v/>
      </c>
      <c r="V394" t="str">
        <f>IF(MSE成绩库!C394="","", MSE成绩库!Y394)</f>
        <v/>
      </c>
      <c r="W394" t="str">
        <f>IF(MSE成绩库!C394="","", MSE成绩库!Z394)</f>
        <v/>
      </c>
      <c r="X394" t="str">
        <f>IF(MSE成绩库!C394="","", MSE成绩库!AA394)</f>
        <v/>
      </c>
      <c r="Y394" t="str">
        <f>IF(MSE成绩库!C394="","", MSE成绩库!AB394)</f>
        <v/>
      </c>
      <c r="Z394" t="str">
        <f>IF(MSE成绩库!C394="","", MSE成绩库!AC394)</f>
        <v/>
      </c>
    </row>
    <row r="395" spans="1:26" x14ac:dyDescent="0.2">
      <c r="A395" t="str">
        <f>IF(MSE成绩库!C395="","", MSE成绩库!C395)</f>
        <v/>
      </c>
      <c r="B395" t="str">
        <f>IF(MSE成绩库!AD395="","", MSE成绩库!AD395)</f>
        <v/>
      </c>
      <c r="C395" t="str">
        <f>IF(MSE成绩库!B395="","", MSE成绩库!B395)</f>
        <v/>
      </c>
      <c r="D395" t="str">
        <f>IF(MSE成绩库!D395="","", MSE成绩库!D395)</f>
        <v/>
      </c>
      <c r="E395" t="str">
        <f>IF(MSE成绩库!C395="","", MSE成绩库!E395)</f>
        <v/>
      </c>
      <c r="F395" t="str">
        <f>IF(MSE成绩库!C395="","", MSE成绩库!F395)</f>
        <v/>
      </c>
      <c r="G395" t="str">
        <f>IF(MSE成绩库!C395="","", MSE成绩库!G395)</f>
        <v/>
      </c>
      <c r="H395" t="str">
        <f>IF(MSE成绩库!C395="","", MSE成绩库!H395)</f>
        <v/>
      </c>
      <c r="I395" t="str">
        <f>IF(MSE成绩库!C395="","", MSE成绩库!I395)</f>
        <v/>
      </c>
      <c r="J395" t="str">
        <f>IF(MSE成绩库!C395="","", MSE成绩库!J395)</f>
        <v/>
      </c>
      <c r="K395" t="str">
        <f>IF(MSE成绩库!C395="","", MSE成绩库!K395)</f>
        <v/>
      </c>
      <c r="L395" t="str">
        <f>IF(MSE成绩库!C395="","", MSE成绩库!M395)</f>
        <v/>
      </c>
      <c r="M395" t="str">
        <f>IF(MSE成绩库!C395="","", MSE成绩库!N395)</f>
        <v/>
      </c>
      <c r="N395" t="str">
        <f>IF(MSE成绩库!C395="","", MSE成绩库!O395)</f>
        <v/>
      </c>
      <c r="O395" t="str">
        <f>IF(MSE成绩库!C395="","", MSE成绩库!Q395)</f>
        <v/>
      </c>
      <c r="P395" t="str">
        <f>IF(MSE成绩库!C395="","", MSE成绩库!R395)</f>
        <v/>
      </c>
      <c r="Q395" t="str">
        <f>IF(MSE成绩库!C395="","", MSE成绩库!S395)</f>
        <v/>
      </c>
      <c r="R395" t="str">
        <f>IF(MSE成绩库!C395="","", MSE成绩库!T395)</f>
        <v/>
      </c>
      <c r="S395" t="str">
        <f>IF(MSE成绩库!C395="","", MSE成绩库!U395)</f>
        <v/>
      </c>
      <c r="T395" t="str">
        <f>IF(MSE成绩库!C395="","", MSE成绩库!V395)</f>
        <v/>
      </c>
      <c r="U395" t="str">
        <f>IF(MSE成绩库!C395="","", MSE成绩库!X395)</f>
        <v/>
      </c>
      <c r="V395" t="str">
        <f>IF(MSE成绩库!C395="","", MSE成绩库!Y395)</f>
        <v/>
      </c>
      <c r="W395" t="str">
        <f>IF(MSE成绩库!C395="","", MSE成绩库!Z395)</f>
        <v/>
      </c>
      <c r="X395" t="str">
        <f>IF(MSE成绩库!C395="","", MSE成绩库!AA395)</f>
        <v/>
      </c>
      <c r="Y395" t="str">
        <f>IF(MSE成绩库!C395="","", MSE成绩库!AB395)</f>
        <v/>
      </c>
      <c r="Z395" t="str">
        <f>IF(MSE成绩库!C395="","", MSE成绩库!AC395)</f>
        <v/>
      </c>
    </row>
    <row r="396" spans="1:26" x14ac:dyDescent="0.2">
      <c r="A396" t="str">
        <f>IF(MSE成绩库!C396="","", MSE成绩库!C396)</f>
        <v/>
      </c>
      <c r="B396" t="str">
        <f>IF(MSE成绩库!AD396="","", MSE成绩库!AD396)</f>
        <v/>
      </c>
      <c r="C396" t="str">
        <f>IF(MSE成绩库!B396="","", MSE成绩库!B396)</f>
        <v/>
      </c>
      <c r="D396" t="str">
        <f>IF(MSE成绩库!D396="","", MSE成绩库!D396)</f>
        <v/>
      </c>
      <c r="E396" t="str">
        <f>IF(MSE成绩库!C396="","", MSE成绩库!E396)</f>
        <v/>
      </c>
      <c r="F396" t="str">
        <f>IF(MSE成绩库!C396="","", MSE成绩库!F396)</f>
        <v/>
      </c>
      <c r="G396" t="str">
        <f>IF(MSE成绩库!C396="","", MSE成绩库!G396)</f>
        <v/>
      </c>
      <c r="H396" t="str">
        <f>IF(MSE成绩库!C396="","", MSE成绩库!H396)</f>
        <v/>
      </c>
      <c r="I396" t="str">
        <f>IF(MSE成绩库!C396="","", MSE成绩库!I396)</f>
        <v/>
      </c>
      <c r="J396" t="str">
        <f>IF(MSE成绩库!C396="","", MSE成绩库!J396)</f>
        <v/>
      </c>
      <c r="K396" t="str">
        <f>IF(MSE成绩库!C396="","", MSE成绩库!K396)</f>
        <v/>
      </c>
      <c r="L396" t="str">
        <f>IF(MSE成绩库!C396="","", MSE成绩库!M396)</f>
        <v/>
      </c>
      <c r="M396" t="str">
        <f>IF(MSE成绩库!C396="","", MSE成绩库!N396)</f>
        <v/>
      </c>
      <c r="N396" t="str">
        <f>IF(MSE成绩库!C396="","", MSE成绩库!O396)</f>
        <v/>
      </c>
      <c r="O396" t="str">
        <f>IF(MSE成绩库!C396="","", MSE成绩库!Q396)</f>
        <v/>
      </c>
      <c r="P396" t="str">
        <f>IF(MSE成绩库!C396="","", MSE成绩库!R396)</f>
        <v/>
      </c>
      <c r="Q396" t="str">
        <f>IF(MSE成绩库!C396="","", MSE成绩库!S396)</f>
        <v/>
      </c>
      <c r="R396" t="str">
        <f>IF(MSE成绩库!C396="","", MSE成绩库!T396)</f>
        <v/>
      </c>
      <c r="S396" t="str">
        <f>IF(MSE成绩库!C396="","", MSE成绩库!U396)</f>
        <v/>
      </c>
      <c r="T396" t="str">
        <f>IF(MSE成绩库!C396="","", MSE成绩库!V396)</f>
        <v/>
      </c>
      <c r="U396" t="str">
        <f>IF(MSE成绩库!C396="","", MSE成绩库!X396)</f>
        <v/>
      </c>
      <c r="V396" t="str">
        <f>IF(MSE成绩库!C396="","", MSE成绩库!Y396)</f>
        <v/>
      </c>
      <c r="W396" t="str">
        <f>IF(MSE成绩库!C396="","", MSE成绩库!Z396)</f>
        <v/>
      </c>
      <c r="X396" t="str">
        <f>IF(MSE成绩库!C396="","", MSE成绩库!AA396)</f>
        <v/>
      </c>
      <c r="Y396" t="str">
        <f>IF(MSE成绩库!C396="","", MSE成绩库!AB396)</f>
        <v/>
      </c>
      <c r="Z396" t="str">
        <f>IF(MSE成绩库!C396="","", MSE成绩库!AC396)</f>
        <v/>
      </c>
    </row>
    <row r="397" spans="1:26" x14ac:dyDescent="0.2">
      <c r="A397" t="str">
        <f>IF(MSE成绩库!C397="","", MSE成绩库!C397)</f>
        <v/>
      </c>
      <c r="B397" t="str">
        <f>IF(MSE成绩库!AD397="","", MSE成绩库!AD397)</f>
        <v/>
      </c>
      <c r="C397" t="str">
        <f>IF(MSE成绩库!B397="","", MSE成绩库!B397)</f>
        <v/>
      </c>
      <c r="D397" t="str">
        <f>IF(MSE成绩库!D397="","", MSE成绩库!D397)</f>
        <v/>
      </c>
      <c r="E397" t="str">
        <f>IF(MSE成绩库!C397="","", MSE成绩库!E397)</f>
        <v/>
      </c>
      <c r="F397" t="str">
        <f>IF(MSE成绩库!C397="","", MSE成绩库!F397)</f>
        <v/>
      </c>
      <c r="G397" t="str">
        <f>IF(MSE成绩库!C397="","", MSE成绩库!G397)</f>
        <v/>
      </c>
      <c r="H397" t="str">
        <f>IF(MSE成绩库!C397="","", MSE成绩库!H397)</f>
        <v/>
      </c>
      <c r="I397" t="str">
        <f>IF(MSE成绩库!C397="","", MSE成绩库!I397)</f>
        <v/>
      </c>
      <c r="J397" t="str">
        <f>IF(MSE成绩库!C397="","", MSE成绩库!J397)</f>
        <v/>
      </c>
      <c r="K397" t="str">
        <f>IF(MSE成绩库!C397="","", MSE成绩库!K397)</f>
        <v/>
      </c>
      <c r="L397" t="str">
        <f>IF(MSE成绩库!C397="","", MSE成绩库!M397)</f>
        <v/>
      </c>
      <c r="M397" t="str">
        <f>IF(MSE成绩库!C397="","", MSE成绩库!N397)</f>
        <v/>
      </c>
      <c r="N397" t="str">
        <f>IF(MSE成绩库!C397="","", MSE成绩库!O397)</f>
        <v/>
      </c>
      <c r="O397" t="str">
        <f>IF(MSE成绩库!C397="","", MSE成绩库!Q397)</f>
        <v/>
      </c>
      <c r="P397" t="str">
        <f>IF(MSE成绩库!C397="","", MSE成绩库!R397)</f>
        <v/>
      </c>
      <c r="Q397" t="str">
        <f>IF(MSE成绩库!C397="","", MSE成绩库!S397)</f>
        <v/>
      </c>
      <c r="R397" t="str">
        <f>IF(MSE成绩库!C397="","", MSE成绩库!T397)</f>
        <v/>
      </c>
      <c r="S397" t="str">
        <f>IF(MSE成绩库!C397="","", MSE成绩库!U397)</f>
        <v/>
      </c>
      <c r="T397" t="str">
        <f>IF(MSE成绩库!C397="","", MSE成绩库!V397)</f>
        <v/>
      </c>
      <c r="U397" t="str">
        <f>IF(MSE成绩库!C397="","", MSE成绩库!X397)</f>
        <v/>
      </c>
      <c r="V397" t="str">
        <f>IF(MSE成绩库!C397="","", MSE成绩库!Y397)</f>
        <v/>
      </c>
      <c r="W397" t="str">
        <f>IF(MSE成绩库!C397="","", MSE成绩库!Z397)</f>
        <v/>
      </c>
      <c r="X397" t="str">
        <f>IF(MSE成绩库!C397="","", MSE成绩库!AA397)</f>
        <v/>
      </c>
      <c r="Y397" t="str">
        <f>IF(MSE成绩库!C397="","", MSE成绩库!AB397)</f>
        <v/>
      </c>
      <c r="Z397" t="str">
        <f>IF(MSE成绩库!C397="","", MSE成绩库!AC397)</f>
        <v/>
      </c>
    </row>
    <row r="398" spans="1:26" x14ac:dyDescent="0.2">
      <c r="A398" t="str">
        <f>IF(MSE成绩库!C398="","", MSE成绩库!C398)</f>
        <v/>
      </c>
      <c r="B398" t="str">
        <f>IF(MSE成绩库!AD398="","", MSE成绩库!AD398)</f>
        <v/>
      </c>
      <c r="C398" t="str">
        <f>IF(MSE成绩库!B398="","", MSE成绩库!B398)</f>
        <v/>
      </c>
      <c r="D398" t="str">
        <f>IF(MSE成绩库!D398="","", MSE成绩库!D398)</f>
        <v/>
      </c>
      <c r="E398" t="str">
        <f>IF(MSE成绩库!C398="","", MSE成绩库!E398)</f>
        <v/>
      </c>
      <c r="F398" t="str">
        <f>IF(MSE成绩库!C398="","", MSE成绩库!F398)</f>
        <v/>
      </c>
      <c r="G398" t="str">
        <f>IF(MSE成绩库!C398="","", MSE成绩库!G398)</f>
        <v/>
      </c>
      <c r="H398" t="str">
        <f>IF(MSE成绩库!C398="","", MSE成绩库!H398)</f>
        <v/>
      </c>
      <c r="I398" t="str">
        <f>IF(MSE成绩库!C398="","", MSE成绩库!I398)</f>
        <v/>
      </c>
      <c r="J398" t="str">
        <f>IF(MSE成绩库!C398="","", MSE成绩库!J398)</f>
        <v/>
      </c>
      <c r="K398" t="str">
        <f>IF(MSE成绩库!C398="","", MSE成绩库!K398)</f>
        <v/>
      </c>
      <c r="L398" t="str">
        <f>IF(MSE成绩库!C398="","", MSE成绩库!M398)</f>
        <v/>
      </c>
      <c r="M398" t="str">
        <f>IF(MSE成绩库!C398="","", MSE成绩库!N398)</f>
        <v/>
      </c>
      <c r="N398" t="str">
        <f>IF(MSE成绩库!C398="","", MSE成绩库!O398)</f>
        <v/>
      </c>
      <c r="O398" t="str">
        <f>IF(MSE成绩库!C398="","", MSE成绩库!Q398)</f>
        <v/>
      </c>
      <c r="P398" t="str">
        <f>IF(MSE成绩库!C398="","", MSE成绩库!R398)</f>
        <v/>
      </c>
      <c r="Q398" t="str">
        <f>IF(MSE成绩库!C398="","", MSE成绩库!S398)</f>
        <v/>
      </c>
      <c r="R398" t="str">
        <f>IF(MSE成绩库!C398="","", MSE成绩库!T398)</f>
        <v/>
      </c>
      <c r="S398" t="str">
        <f>IF(MSE成绩库!C398="","", MSE成绩库!U398)</f>
        <v/>
      </c>
      <c r="T398" t="str">
        <f>IF(MSE成绩库!C398="","", MSE成绩库!V398)</f>
        <v/>
      </c>
      <c r="U398" t="str">
        <f>IF(MSE成绩库!C398="","", MSE成绩库!X398)</f>
        <v/>
      </c>
      <c r="V398" t="str">
        <f>IF(MSE成绩库!C398="","", MSE成绩库!Y398)</f>
        <v/>
      </c>
      <c r="W398" t="str">
        <f>IF(MSE成绩库!C398="","", MSE成绩库!Z398)</f>
        <v/>
      </c>
      <c r="X398" t="str">
        <f>IF(MSE成绩库!C398="","", MSE成绩库!AA398)</f>
        <v/>
      </c>
      <c r="Y398" t="str">
        <f>IF(MSE成绩库!C398="","", MSE成绩库!AB398)</f>
        <v/>
      </c>
      <c r="Z398" t="str">
        <f>IF(MSE成绩库!C398="","", MSE成绩库!AC398)</f>
        <v/>
      </c>
    </row>
    <row r="399" spans="1:26" x14ac:dyDescent="0.2">
      <c r="A399" t="str">
        <f>IF(MSE成绩库!C399="","", MSE成绩库!C399)</f>
        <v/>
      </c>
      <c r="B399" t="str">
        <f>IF(MSE成绩库!AD399="","", MSE成绩库!AD399)</f>
        <v/>
      </c>
      <c r="C399" t="str">
        <f>IF(MSE成绩库!B399="","", MSE成绩库!B399)</f>
        <v/>
      </c>
      <c r="D399" t="str">
        <f>IF(MSE成绩库!D399="","", MSE成绩库!D399)</f>
        <v/>
      </c>
      <c r="E399" t="str">
        <f>IF(MSE成绩库!C399="","", MSE成绩库!E399)</f>
        <v/>
      </c>
      <c r="F399" t="str">
        <f>IF(MSE成绩库!C399="","", MSE成绩库!F399)</f>
        <v/>
      </c>
      <c r="G399" t="str">
        <f>IF(MSE成绩库!C399="","", MSE成绩库!G399)</f>
        <v/>
      </c>
      <c r="H399" t="str">
        <f>IF(MSE成绩库!C399="","", MSE成绩库!H399)</f>
        <v/>
      </c>
      <c r="I399" t="str">
        <f>IF(MSE成绩库!C399="","", MSE成绩库!I399)</f>
        <v/>
      </c>
      <c r="J399" t="str">
        <f>IF(MSE成绩库!C399="","", MSE成绩库!J399)</f>
        <v/>
      </c>
      <c r="K399" t="str">
        <f>IF(MSE成绩库!C399="","", MSE成绩库!K399)</f>
        <v/>
      </c>
      <c r="L399" t="str">
        <f>IF(MSE成绩库!C399="","", MSE成绩库!M399)</f>
        <v/>
      </c>
      <c r="M399" t="str">
        <f>IF(MSE成绩库!C399="","", MSE成绩库!N399)</f>
        <v/>
      </c>
      <c r="N399" t="str">
        <f>IF(MSE成绩库!C399="","", MSE成绩库!O399)</f>
        <v/>
      </c>
      <c r="O399" t="str">
        <f>IF(MSE成绩库!C399="","", MSE成绩库!Q399)</f>
        <v/>
      </c>
      <c r="P399" t="str">
        <f>IF(MSE成绩库!C399="","", MSE成绩库!R399)</f>
        <v/>
      </c>
      <c r="Q399" t="str">
        <f>IF(MSE成绩库!C399="","", MSE成绩库!S399)</f>
        <v/>
      </c>
      <c r="R399" t="str">
        <f>IF(MSE成绩库!C399="","", MSE成绩库!T399)</f>
        <v/>
      </c>
      <c r="S399" t="str">
        <f>IF(MSE成绩库!C399="","", MSE成绩库!U399)</f>
        <v/>
      </c>
      <c r="T399" t="str">
        <f>IF(MSE成绩库!C399="","", MSE成绩库!V399)</f>
        <v/>
      </c>
      <c r="U399" t="str">
        <f>IF(MSE成绩库!C399="","", MSE成绩库!X399)</f>
        <v/>
      </c>
      <c r="V399" t="str">
        <f>IF(MSE成绩库!C399="","", MSE成绩库!Y399)</f>
        <v/>
      </c>
      <c r="W399" t="str">
        <f>IF(MSE成绩库!C399="","", MSE成绩库!Z399)</f>
        <v/>
      </c>
      <c r="X399" t="str">
        <f>IF(MSE成绩库!C399="","", MSE成绩库!AA399)</f>
        <v/>
      </c>
      <c r="Y399" t="str">
        <f>IF(MSE成绩库!C399="","", MSE成绩库!AB399)</f>
        <v/>
      </c>
      <c r="Z399" t="str">
        <f>IF(MSE成绩库!C399="","", MSE成绩库!AC399)</f>
        <v/>
      </c>
    </row>
    <row r="400" spans="1:26" x14ac:dyDescent="0.2">
      <c r="A400" t="str">
        <f>IF(MSE成绩库!C400="","", MSE成绩库!C400)</f>
        <v/>
      </c>
      <c r="B400" t="str">
        <f>IF(MSE成绩库!AD400="","", MSE成绩库!AD400)</f>
        <v/>
      </c>
      <c r="C400" t="str">
        <f>IF(MSE成绩库!B400="","", MSE成绩库!B400)</f>
        <v/>
      </c>
      <c r="D400" t="str">
        <f>IF(MSE成绩库!D400="","", MSE成绩库!D400)</f>
        <v/>
      </c>
      <c r="E400" t="str">
        <f>IF(MSE成绩库!C400="","", MSE成绩库!E400)</f>
        <v/>
      </c>
      <c r="F400" t="str">
        <f>IF(MSE成绩库!C400="","", MSE成绩库!F400)</f>
        <v/>
      </c>
      <c r="G400" t="str">
        <f>IF(MSE成绩库!C400="","", MSE成绩库!G400)</f>
        <v/>
      </c>
      <c r="H400" t="str">
        <f>IF(MSE成绩库!C400="","", MSE成绩库!H400)</f>
        <v/>
      </c>
      <c r="I400" t="str">
        <f>IF(MSE成绩库!C400="","", MSE成绩库!I400)</f>
        <v/>
      </c>
      <c r="J400" t="str">
        <f>IF(MSE成绩库!C400="","", MSE成绩库!J400)</f>
        <v/>
      </c>
      <c r="K400" t="str">
        <f>IF(MSE成绩库!C400="","", MSE成绩库!K400)</f>
        <v/>
      </c>
      <c r="L400" t="str">
        <f>IF(MSE成绩库!C400="","", MSE成绩库!M400)</f>
        <v/>
      </c>
      <c r="M400" t="str">
        <f>IF(MSE成绩库!C400="","", MSE成绩库!N400)</f>
        <v/>
      </c>
      <c r="N400" t="str">
        <f>IF(MSE成绩库!C400="","", MSE成绩库!O400)</f>
        <v/>
      </c>
      <c r="O400" t="str">
        <f>IF(MSE成绩库!C400="","", MSE成绩库!Q400)</f>
        <v/>
      </c>
      <c r="P400" t="str">
        <f>IF(MSE成绩库!C400="","", MSE成绩库!R400)</f>
        <v/>
      </c>
      <c r="Q400" t="str">
        <f>IF(MSE成绩库!C400="","", MSE成绩库!S400)</f>
        <v/>
      </c>
      <c r="R400" t="str">
        <f>IF(MSE成绩库!C400="","", MSE成绩库!T400)</f>
        <v/>
      </c>
      <c r="S400" t="str">
        <f>IF(MSE成绩库!C400="","", MSE成绩库!U400)</f>
        <v/>
      </c>
      <c r="T400" t="str">
        <f>IF(MSE成绩库!C400="","", MSE成绩库!V400)</f>
        <v/>
      </c>
      <c r="U400" t="str">
        <f>IF(MSE成绩库!C400="","", MSE成绩库!X400)</f>
        <v/>
      </c>
      <c r="V400" t="str">
        <f>IF(MSE成绩库!C400="","", MSE成绩库!Y400)</f>
        <v/>
      </c>
      <c r="W400" t="str">
        <f>IF(MSE成绩库!C400="","", MSE成绩库!Z400)</f>
        <v/>
      </c>
      <c r="X400" t="str">
        <f>IF(MSE成绩库!C400="","", MSE成绩库!AA400)</f>
        <v/>
      </c>
      <c r="Y400" t="str">
        <f>IF(MSE成绩库!C400="","", MSE成绩库!AB400)</f>
        <v/>
      </c>
      <c r="Z400" t="str">
        <f>IF(MSE成绩库!C400="","", MSE成绩库!AC400)</f>
        <v/>
      </c>
    </row>
    <row r="401" spans="1:26" x14ac:dyDescent="0.2">
      <c r="A401" t="str">
        <f>IF(MSE成绩库!C401="","", MSE成绩库!C401)</f>
        <v/>
      </c>
      <c r="B401" t="str">
        <f>IF(MSE成绩库!AD401="","", MSE成绩库!AD401)</f>
        <v/>
      </c>
      <c r="C401" t="str">
        <f>IF(MSE成绩库!B401="","", MSE成绩库!B401)</f>
        <v/>
      </c>
      <c r="D401" t="str">
        <f>IF(MSE成绩库!D401="","", MSE成绩库!D401)</f>
        <v/>
      </c>
      <c r="E401" t="str">
        <f>IF(MSE成绩库!C401="","", MSE成绩库!E401)</f>
        <v/>
      </c>
      <c r="F401" t="str">
        <f>IF(MSE成绩库!C401="","", MSE成绩库!F401)</f>
        <v/>
      </c>
      <c r="G401" t="str">
        <f>IF(MSE成绩库!C401="","", MSE成绩库!G401)</f>
        <v/>
      </c>
      <c r="H401" t="str">
        <f>IF(MSE成绩库!C401="","", MSE成绩库!H401)</f>
        <v/>
      </c>
      <c r="I401" t="str">
        <f>IF(MSE成绩库!C401="","", MSE成绩库!I401)</f>
        <v/>
      </c>
      <c r="J401" t="str">
        <f>IF(MSE成绩库!C401="","", MSE成绩库!J401)</f>
        <v/>
      </c>
      <c r="K401" t="str">
        <f>IF(MSE成绩库!C401="","", MSE成绩库!K401)</f>
        <v/>
      </c>
      <c r="L401" t="str">
        <f>IF(MSE成绩库!C401="","", MSE成绩库!M401)</f>
        <v/>
      </c>
      <c r="M401" t="str">
        <f>IF(MSE成绩库!C401="","", MSE成绩库!N401)</f>
        <v/>
      </c>
      <c r="N401" t="str">
        <f>IF(MSE成绩库!C401="","", MSE成绩库!O401)</f>
        <v/>
      </c>
      <c r="O401" t="str">
        <f>IF(MSE成绩库!C401="","", MSE成绩库!Q401)</f>
        <v/>
      </c>
      <c r="P401" t="str">
        <f>IF(MSE成绩库!C401="","", MSE成绩库!R401)</f>
        <v/>
      </c>
      <c r="Q401" t="str">
        <f>IF(MSE成绩库!C401="","", MSE成绩库!S401)</f>
        <v/>
      </c>
      <c r="R401" t="str">
        <f>IF(MSE成绩库!C401="","", MSE成绩库!T401)</f>
        <v/>
      </c>
      <c r="S401" t="str">
        <f>IF(MSE成绩库!C401="","", MSE成绩库!U401)</f>
        <v/>
      </c>
      <c r="T401" t="str">
        <f>IF(MSE成绩库!C401="","", MSE成绩库!V401)</f>
        <v/>
      </c>
      <c r="U401" t="str">
        <f>IF(MSE成绩库!C401="","", MSE成绩库!X401)</f>
        <v/>
      </c>
      <c r="V401" t="str">
        <f>IF(MSE成绩库!C401="","", MSE成绩库!Y401)</f>
        <v/>
      </c>
      <c r="W401" t="str">
        <f>IF(MSE成绩库!C401="","", MSE成绩库!Z401)</f>
        <v/>
      </c>
      <c r="X401" t="str">
        <f>IF(MSE成绩库!C401="","", MSE成绩库!AA401)</f>
        <v/>
      </c>
      <c r="Y401" t="str">
        <f>IF(MSE成绩库!C401="","", MSE成绩库!AB401)</f>
        <v/>
      </c>
      <c r="Z401" t="str">
        <f>IF(MSE成绩库!C401="","", MSE成绩库!AC401)</f>
        <v/>
      </c>
    </row>
    <row r="402" spans="1:26" x14ac:dyDescent="0.2">
      <c r="A402" t="str">
        <f>IF(MSE成绩库!C402="","", MSE成绩库!C402)</f>
        <v/>
      </c>
      <c r="B402" t="str">
        <f>IF(MSE成绩库!AD402="","", MSE成绩库!AD402)</f>
        <v/>
      </c>
      <c r="C402" t="str">
        <f>IF(MSE成绩库!B402="","", MSE成绩库!B402)</f>
        <v/>
      </c>
      <c r="D402" t="str">
        <f>IF(MSE成绩库!D402="","", MSE成绩库!D402)</f>
        <v/>
      </c>
      <c r="E402" t="str">
        <f>IF(MSE成绩库!C402="","", MSE成绩库!E402)</f>
        <v/>
      </c>
      <c r="F402" t="str">
        <f>IF(MSE成绩库!C402="","", MSE成绩库!F402)</f>
        <v/>
      </c>
      <c r="G402" t="str">
        <f>IF(MSE成绩库!C402="","", MSE成绩库!G402)</f>
        <v/>
      </c>
      <c r="H402" t="str">
        <f>IF(MSE成绩库!C402="","", MSE成绩库!H402)</f>
        <v/>
      </c>
      <c r="I402" t="str">
        <f>IF(MSE成绩库!C402="","", MSE成绩库!I402)</f>
        <v/>
      </c>
      <c r="J402" t="str">
        <f>IF(MSE成绩库!C402="","", MSE成绩库!J402)</f>
        <v/>
      </c>
      <c r="K402" t="str">
        <f>IF(MSE成绩库!C402="","", MSE成绩库!K402)</f>
        <v/>
      </c>
      <c r="L402" t="str">
        <f>IF(MSE成绩库!C402="","", MSE成绩库!M402)</f>
        <v/>
      </c>
      <c r="M402" t="str">
        <f>IF(MSE成绩库!C402="","", MSE成绩库!N402)</f>
        <v/>
      </c>
      <c r="N402" t="str">
        <f>IF(MSE成绩库!C402="","", MSE成绩库!O402)</f>
        <v/>
      </c>
      <c r="O402" t="str">
        <f>IF(MSE成绩库!C402="","", MSE成绩库!Q402)</f>
        <v/>
      </c>
      <c r="P402" t="str">
        <f>IF(MSE成绩库!C402="","", MSE成绩库!R402)</f>
        <v/>
      </c>
      <c r="Q402" t="str">
        <f>IF(MSE成绩库!C402="","", MSE成绩库!S402)</f>
        <v/>
      </c>
      <c r="R402" t="str">
        <f>IF(MSE成绩库!C402="","", MSE成绩库!T402)</f>
        <v/>
      </c>
      <c r="S402" t="str">
        <f>IF(MSE成绩库!C402="","", MSE成绩库!U402)</f>
        <v/>
      </c>
      <c r="T402" t="str">
        <f>IF(MSE成绩库!C402="","", MSE成绩库!V402)</f>
        <v/>
      </c>
      <c r="U402" t="str">
        <f>IF(MSE成绩库!C402="","", MSE成绩库!X402)</f>
        <v/>
      </c>
      <c r="V402" t="str">
        <f>IF(MSE成绩库!C402="","", MSE成绩库!Y402)</f>
        <v/>
      </c>
      <c r="W402" t="str">
        <f>IF(MSE成绩库!C402="","", MSE成绩库!Z402)</f>
        <v/>
      </c>
      <c r="X402" t="str">
        <f>IF(MSE成绩库!C402="","", MSE成绩库!AA402)</f>
        <v/>
      </c>
      <c r="Y402" t="str">
        <f>IF(MSE成绩库!C402="","", MSE成绩库!AB402)</f>
        <v/>
      </c>
      <c r="Z402" t="str">
        <f>IF(MSE成绩库!C402="","", MSE成绩库!AC402)</f>
        <v/>
      </c>
    </row>
    <row r="403" spans="1:26" x14ac:dyDescent="0.2">
      <c r="A403" t="str">
        <f>IF(MSE成绩库!C403="","", MSE成绩库!C403)</f>
        <v/>
      </c>
      <c r="B403" t="str">
        <f>IF(MSE成绩库!AD403="","", MSE成绩库!AD403)</f>
        <v/>
      </c>
      <c r="C403" t="str">
        <f>IF(MSE成绩库!B403="","", MSE成绩库!B403)</f>
        <v/>
      </c>
      <c r="D403" t="str">
        <f>IF(MSE成绩库!D403="","", MSE成绩库!D403)</f>
        <v/>
      </c>
      <c r="E403" t="str">
        <f>IF(MSE成绩库!C403="","", MSE成绩库!E403)</f>
        <v/>
      </c>
      <c r="F403" t="str">
        <f>IF(MSE成绩库!C403="","", MSE成绩库!F403)</f>
        <v/>
      </c>
      <c r="G403" t="str">
        <f>IF(MSE成绩库!C403="","", MSE成绩库!G403)</f>
        <v/>
      </c>
      <c r="H403" t="str">
        <f>IF(MSE成绩库!C403="","", MSE成绩库!H403)</f>
        <v/>
      </c>
      <c r="I403" t="str">
        <f>IF(MSE成绩库!C403="","", MSE成绩库!I403)</f>
        <v/>
      </c>
      <c r="J403" t="str">
        <f>IF(MSE成绩库!C403="","", MSE成绩库!J403)</f>
        <v/>
      </c>
      <c r="K403" t="str">
        <f>IF(MSE成绩库!C403="","", MSE成绩库!K403)</f>
        <v/>
      </c>
      <c r="L403" t="str">
        <f>IF(MSE成绩库!C403="","", MSE成绩库!M403)</f>
        <v/>
      </c>
      <c r="M403" t="str">
        <f>IF(MSE成绩库!C403="","", MSE成绩库!N403)</f>
        <v/>
      </c>
      <c r="N403" t="str">
        <f>IF(MSE成绩库!C403="","", MSE成绩库!O403)</f>
        <v/>
      </c>
      <c r="O403" t="str">
        <f>IF(MSE成绩库!C403="","", MSE成绩库!Q403)</f>
        <v/>
      </c>
      <c r="P403" t="str">
        <f>IF(MSE成绩库!C403="","", MSE成绩库!R403)</f>
        <v/>
      </c>
      <c r="Q403" t="str">
        <f>IF(MSE成绩库!C403="","", MSE成绩库!S403)</f>
        <v/>
      </c>
      <c r="R403" t="str">
        <f>IF(MSE成绩库!C403="","", MSE成绩库!T403)</f>
        <v/>
      </c>
      <c r="S403" t="str">
        <f>IF(MSE成绩库!C403="","", MSE成绩库!U403)</f>
        <v/>
      </c>
      <c r="T403" t="str">
        <f>IF(MSE成绩库!C403="","", MSE成绩库!V403)</f>
        <v/>
      </c>
      <c r="U403" t="str">
        <f>IF(MSE成绩库!C403="","", MSE成绩库!X403)</f>
        <v/>
      </c>
      <c r="V403" t="str">
        <f>IF(MSE成绩库!C403="","", MSE成绩库!Y403)</f>
        <v/>
      </c>
      <c r="W403" t="str">
        <f>IF(MSE成绩库!C403="","", MSE成绩库!Z403)</f>
        <v/>
      </c>
      <c r="X403" t="str">
        <f>IF(MSE成绩库!C403="","", MSE成绩库!AA403)</f>
        <v/>
      </c>
      <c r="Y403" t="str">
        <f>IF(MSE成绩库!C403="","", MSE成绩库!AB403)</f>
        <v/>
      </c>
      <c r="Z403" t="str">
        <f>IF(MSE成绩库!C403="","", MSE成绩库!AC403)</f>
        <v/>
      </c>
    </row>
    <row r="404" spans="1:26" x14ac:dyDescent="0.2">
      <c r="A404" t="str">
        <f>IF(MSE成绩库!C404="","", MSE成绩库!C404)</f>
        <v/>
      </c>
      <c r="B404" t="str">
        <f>IF(MSE成绩库!AD404="","", MSE成绩库!AD404)</f>
        <v/>
      </c>
      <c r="C404" t="str">
        <f>IF(MSE成绩库!B404="","", MSE成绩库!B404)</f>
        <v/>
      </c>
      <c r="D404" t="str">
        <f>IF(MSE成绩库!D404="","", MSE成绩库!D404)</f>
        <v/>
      </c>
      <c r="E404" t="str">
        <f>IF(MSE成绩库!C404="","", MSE成绩库!E404)</f>
        <v/>
      </c>
      <c r="F404" t="str">
        <f>IF(MSE成绩库!C404="","", MSE成绩库!F404)</f>
        <v/>
      </c>
      <c r="G404" t="str">
        <f>IF(MSE成绩库!C404="","", MSE成绩库!G404)</f>
        <v/>
      </c>
      <c r="H404" t="str">
        <f>IF(MSE成绩库!C404="","", MSE成绩库!H404)</f>
        <v/>
      </c>
      <c r="I404" t="str">
        <f>IF(MSE成绩库!C404="","", MSE成绩库!I404)</f>
        <v/>
      </c>
      <c r="J404" t="str">
        <f>IF(MSE成绩库!C404="","", MSE成绩库!J404)</f>
        <v/>
      </c>
      <c r="K404" t="str">
        <f>IF(MSE成绩库!C404="","", MSE成绩库!K404)</f>
        <v/>
      </c>
      <c r="L404" t="str">
        <f>IF(MSE成绩库!C404="","", MSE成绩库!M404)</f>
        <v/>
      </c>
      <c r="M404" t="str">
        <f>IF(MSE成绩库!C404="","", MSE成绩库!N404)</f>
        <v/>
      </c>
      <c r="N404" t="str">
        <f>IF(MSE成绩库!C404="","", MSE成绩库!O404)</f>
        <v/>
      </c>
      <c r="O404" t="str">
        <f>IF(MSE成绩库!C404="","", MSE成绩库!Q404)</f>
        <v/>
      </c>
      <c r="P404" t="str">
        <f>IF(MSE成绩库!C404="","", MSE成绩库!R404)</f>
        <v/>
      </c>
      <c r="Q404" t="str">
        <f>IF(MSE成绩库!C404="","", MSE成绩库!S404)</f>
        <v/>
      </c>
      <c r="R404" t="str">
        <f>IF(MSE成绩库!C404="","", MSE成绩库!T404)</f>
        <v/>
      </c>
      <c r="S404" t="str">
        <f>IF(MSE成绩库!C404="","", MSE成绩库!U404)</f>
        <v/>
      </c>
      <c r="T404" t="str">
        <f>IF(MSE成绩库!C404="","", MSE成绩库!V404)</f>
        <v/>
      </c>
      <c r="U404" t="str">
        <f>IF(MSE成绩库!C404="","", MSE成绩库!X404)</f>
        <v/>
      </c>
      <c r="V404" t="str">
        <f>IF(MSE成绩库!C404="","", MSE成绩库!Y404)</f>
        <v/>
      </c>
      <c r="W404" t="str">
        <f>IF(MSE成绩库!C404="","", MSE成绩库!Z404)</f>
        <v/>
      </c>
      <c r="X404" t="str">
        <f>IF(MSE成绩库!C404="","", MSE成绩库!AA404)</f>
        <v/>
      </c>
      <c r="Y404" t="str">
        <f>IF(MSE成绩库!C404="","", MSE成绩库!AB404)</f>
        <v/>
      </c>
      <c r="Z404" t="str">
        <f>IF(MSE成绩库!C404="","", MSE成绩库!AC404)</f>
        <v/>
      </c>
    </row>
    <row r="405" spans="1:26" x14ac:dyDescent="0.2">
      <c r="A405" t="str">
        <f>IF(MSE成绩库!C405="","", MSE成绩库!C405)</f>
        <v/>
      </c>
      <c r="B405" t="str">
        <f>IF(MSE成绩库!AD405="","", MSE成绩库!AD405)</f>
        <v/>
      </c>
      <c r="C405" t="str">
        <f>IF(MSE成绩库!B405="","", MSE成绩库!B405)</f>
        <v/>
      </c>
      <c r="D405" t="str">
        <f>IF(MSE成绩库!D405="","", MSE成绩库!D405)</f>
        <v/>
      </c>
      <c r="E405" t="str">
        <f>IF(MSE成绩库!C405="","", MSE成绩库!E405)</f>
        <v/>
      </c>
      <c r="F405" t="str">
        <f>IF(MSE成绩库!C405="","", MSE成绩库!F405)</f>
        <v/>
      </c>
      <c r="G405" t="str">
        <f>IF(MSE成绩库!C405="","", MSE成绩库!G405)</f>
        <v/>
      </c>
      <c r="H405" t="str">
        <f>IF(MSE成绩库!C405="","", MSE成绩库!H405)</f>
        <v/>
      </c>
      <c r="I405" t="str">
        <f>IF(MSE成绩库!C405="","", MSE成绩库!I405)</f>
        <v/>
      </c>
      <c r="J405" t="str">
        <f>IF(MSE成绩库!C405="","", MSE成绩库!J405)</f>
        <v/>
      </c>
      <c r="K405" t="str">
        <f>IF(MSE成绩库!C405="","", MSE成绩库!K405)</f>
        <v/>
      </c>
      <c r="L405" t="str">
        <f>IF(MSE成绩库!C405="","", MSE成绩库!M405)</f>
        <v/>
      </c>
      <c r="M405" t="str">
        <f>IF(MSE成绩库!C405="","", MSE成绩库!N405)</f>
        <v/>
      </c>
      <c r="N405" t="str">
        <f>IF(MSE成绩库!C405="","", MSE成绩库!O405)</f>
        <v/>
      </c>
      <c r="O405" t="str">
        <f>IF(MSE成绩库!C405="","", MSE成绩库!Q405)</f>
        <v/>
      </c>
      <c r="P405" t="str">
        <f>IF(MSE成绩库!C405="","", MSE成绩库!R405)</f>
        <v/>
      </c>
      <c r="Q405" t="str">
        <f>IF(MSE成绩库!C405="","", MSE成绩库!S405)</f>
        <v/>
      </c>
      <c r="R405" t="str">
        <f>IF(MSE成绩库!C405="","", MSE成绩库!T405)</f>
        <v/>
      </c>
      <c r="S405" t="str">
        <f>IF(MSE成绩库!C405="","", MSE成绩库!U405)</f>
        <v/>
      </c>
      <c r="T405" t="str">
        <f>IF(MSE成绩库!C405="","", MSE成绩库!V405)</f>
        <v/>
      </c>
      <c r="U405" t="str">
        <f>IF(MSE成绩库!C405="","", MSE成绩库!X405)</f>
        <v/>
      </c>
      <c r="V405" t="str">
        <f>IF(MSE成绩库!C405="","", MSE成绩库!Y405)</f>
        <v/>
      </c>
      <c r="W405" t="str">
        <f>IF(MSE成绩库!C405="","", MSE成绩库!Z405)</f>
        <v/>
      </c>
      <c r="X405" t="str">
        <f>IF(MSE成绩库!C405="","", MSE成绩库!AA405)</f>
        <v/>
      </c>
      <c r="Y405" t="str">
        <f>IF(MSE成绩库!C405="","", MSE成绩库!AB405)</f>
        <v/>
      </c>
      <c r="Z405" t="str">
        <f>IF(MSE成绩库!C405="","", MSE成绩库!AC405)</f>
        <v/>
      </c>
    </row>
    <row r="406" spans="1:26" x14ac:dyDescent="0.2">
      <c r="A406" t="str">
        <f>IF(MSE成绩库!C406="","", MSE成绩库!C406)</f>
        <v/>
      </c>
      <c r="B406" t="str">
        <f>IF(MSE成绩库!AD406="","", MSE成绩库!AD406)</f>
        <v/>
      </c>
      <c r="C406" t="str">
        <f>IF(MSE成绩库!B406="","", MSE成绩库!B406)</f>
        <v/>
      </c>
      <c r="D406" t="str">
        <f>IF(MSE成绩库!D406="","", MSE成绩库!D406)</f>
        <v/>
      </c>
      <c r="E406" t="str">
        <f>IF(MSE成绩库!C406="","", MSE成绩库!E406)</f>
        <v/>
      </c>
      <c r="F406" t="str">
        <f>IF(MSE成绩库!C406="","", MSE成绩库!F406)</f>
        <v/>
      </c>
      <c r="G406" t="str">
        <f>IF(MSE成绩库!C406="","", MSE成绩库!G406)</f>
        <v/>
      </c>
      <c r="H406" t="str">
        <f>IF(MSE成绩库!C406="","", MSE成绩库!H406)</f>
        <v/>
      </c>
      <c r="I406" t="str">
        <f>IF(MSE成绩库!C406="","", MSE成绩库!I406)</f>
        <v/>
      </c>
      <c r="J406" t="str">
        <f>IF(MSE成绩库!C406="","", MSE成绩库!J406)</f>
        <v/>
      </c>
      <c r="K406" t="str">
        <f>IF(MSE成绩库!C406="","", MSE成绩库!K406)</f>
        <v/>
      </c>
      <c r="L406" t="str">
        <f>IF(MSE成绩库!C406="","", MSE成绩库!M406)</f>
        <v/>
      </c>
      <c r="M406" t="str">
        <f>IF(MSE成绩库!C406="","", MSE成绩库!N406)</f>
        <v/>
      </c>
      <c r="N406" t="str">
        <f>IF(MSE成绩库!C406="","", MSE成绩库!O406)</f>
        <v/>
      </c>
      <c r="O406" t="str">
        <f>IF(MSE成绩库!C406="","", MSE成绩库!Q406)</f>
        <v/>
      </c>
      <c r="P406" t="str">
        <f>IF(MSE成绩库!C406="","", MSE成绩库!R406)</f>
        <v/>
      </c>
      <c r="Q406" t="str">
        <f>IF(MSE成绩库!C406="","", MSE成绩库!S406)</f>
        <v/>
      </c>
      <c r="R406" t="str">
        <f>IF(MSE成绩库!C406="","", MSE成绩库!T406)</f>
        <v/>
      </c>
      <c r="S406" t="str">
        <f>IF(MSE成绩库!C406="","", MSE成绩库!U406)</f>
        <v/>
      </c>
      <c r="T406" t="str">
        <f>IF(MSE成绩库!C406="","", MSE成绩库!V406)</f>
        <v/>
      </c>
      <c r="U406" t="str">
        <f>IF(MSE成绩库!C406="","", MSE成绩库!X406)</f>
        <v/>
      </c>
      <c r="V406" t="str">
        <f>IF(MSE成绩库!C406="","", MSE成绩库!Y406)</f>
        <v/>
      </c>
      <c r="W406" t="str">
        <f>IF(MSE成绩库!C406="","", MSE成绩库!Z406)</f>
        <v/>
      </c>
      <c r="X406" t="str">
        <f>IF(MSE成绩库!C406="","", MSE成绩库!AA406)</f>
        <v/>
      </c>
      <c r="Y406" t="str">
        <f>IF(MSE成绩库!C406="","", MSE成绩库!AB406)</f>
        <v/>
      </c>
      <c r="Z406" t="str">
        <f>IF(MSE成绩库!C406="","", MSE成绩库!AC406)</f>
        <v/>
      </c>
    </row>
    <row r="407" spans="1:26" x14ac:dyDescent="0.2">
      <c r="A407" t="str">
        <f>IF(MSE成绩库!C407="","", MSE成绩库!C407)</f>
        <v/>
      </c>
      <c r="B407" t="str">
        <f>IF(MSE成绩库!AD407="","", MSE成绩库!AD407)</f>
        <v/>
      </c>
      <c r="C407" t="str">
        <f>IF(MSE成绩库!B407="","", MSE成绩库!B407)</f>
        <v/>
      </c>
      <c r="D407" t="str">
        <f>IF(MSE成绩库!D407="","", MSE成绩库!D407)</f>
        <v/>
      </c>
      <c r="E407" t="str">
        <f>IF(MSE成绩库!C407="","", MSE成绩库!E407)</f>
        <v/>
      </c>
      <c r="F407" t="str">
        <f>IF(MSE成绩库!C407="","", MSE成绩库!F407)</f>
        <v/>
      </c>
      <c r="G407" t="str">
        <f>IF(MSE成绩库!C407="","", MSE成绩库!G407)</f>
        <v/>
      </c>
      <c r="H407" t="str">
        <f>IF(MSE成绩库!C407="","", MSE成绩库!H407)</f>
        <v/>
      </c>
      <c r="I407" t="str">
        <f>IF(MSE成绩库!C407="","", MSE成绩库!I407)</f>
        <v/>
      </c>
      <c r="J407" t="str">
        <f>IF(MSE成绩库!C407="","", MSE成绩库!J407)</f>
        <v/>
      </c>
      <c r="K407" t="str">
        <f>IF(MSE成绩库!C407="","", MSE成绩库!K407)</f>
        <v/>
      </c>
      <c r="L407" t="str">
        <f>IF(MSE成绩库!C407="","", MSE成绩库!M407)</f>
        <v/>
      </c>
      <c r="M407" t="str">
        <f>IF(MSE成绩库!C407="","", MSE成绩库!N407)</f>
        <v/>
      </c>
      <c r="N407" t="str">
        <f>IF(MSE成绩库!C407="","", MSE成绩库!O407)</f>
        <v/>
      </c>
      <c r="O407" t="str">
        <f>IF(MSE成绩库!C407="","", MSE成绩库!Q407)</f>
        <v/>
      </c>
      <c r="P407" t="str">
        <f>IF(MSE成绩库!C407="","", MSE成绩库!R407)</f>
        <v/>
      </c>
      <c r="Q407" t="str">
        <f>IF(MSE成绩库!C407="","", MSE成绩库!S407)</f>
        <v/>
      </c>
      <c r="R407" t="str">
        <f>IF(MSE成绩库!C407="","", MSE成绩库!T407)</f>
        <v/>
      </c>
      <c r="S407" t="str">
        <f>IF(MSE成绩库!C407="","", MSE成绩库!U407)</f>
        <v/>
      </c>
      <c r="T407" t="str">
        <f>IF(MSE成绩库!C407="","", MSE成绩库!V407)</f>
        <v/>
      </c>
      <c r="U407" t="str">
        <f>IF(MSE成绩库!C407="","", MSE成绩库!X407)</f>
        <v/>
      </c>
      <c r="V407" t="str">
        <f>IF(MSE成绩库!C407="","", MSE成绩库!Y407)</f>
        <v/>
      </c>
      <c r="W407" t="str">
        <f>IF(MSE成绩库!C407="","", MSE成绩库!Z407)</f>
        <v/>
      </c>
      <c r="X407" t="str">
        <f>IF(MSE成绩库!C407="","", MSE成绩库!AA407)</f>
        <v/>
      </c>
      <c r="Y407" t="str">
        <f>IF(MSE成绩库!C407="","", MSE成绩库!AB407)</f>
        <v/>
      </c>
      <c r="Z407" t="str">
        <f>IF(MSE成绩库!C407="","", MSE成绩库!AC407)</f>
        <v/>
      </c>
    </row>
    <row r="408" spans="1:26" x14ac:dyDescent="0.2">
      <c r="A408" t="str">
        <f>IF(MSE成绩库!C408="","", MSE成绩库!C408)</f>
        <v/>
      </c>
      <c r="B408" t="str">
        <f>IF(MSE成绩库!AD408="","", MSE成绩库!AD408)</f>
        <v/>
      </c>
      <c r="C408" t="str">
        <f>IF(MSE成绩库!B408="","", MSE成绩库!B408)</f>
        <v/>
      </c>
      <c r="D408" t="str">
        <f>IF(MSE成绩库!D408="","", MSE成绩库!D408)</f>
        <v/>
      </c>
      <c r="E408" t="str">
        <f>IF(MSE成绩库!C408="","", MSE成绩库!E408)</f>
        <v/>
      </c>
      <c r="F408" t="str">
        <f>IF(MSE成绩库!C408="","", MSE成绩库!F408)</f>
        <v/>
      </c>
      <c r="G408" t="str">
        <f>IF(MSE成绩库!C408="","", MSE成绩库!G408)</f>
        <v/>
      </c>
      <c r="H408" t="str">
        <f>IF(MSE成绩库!C408="","", MSE成绩库!H408)</f>
        <v/>
      </c>
      <c r="I408" t="str">
        <f>IF(MSE成绩库!C408="","", MSE成绩库!I408)</f>
        <v/>
      </c>
      <c r="J408" t="str">
        <f>IF(MSE成绩库!C408="","", MSE成绩库!J408)</f>
        <v/>
      </c>
      <c r="K408" t="str">
        <f>IF(MSE成绩库!C408="","", MSE成绩库!K408)</f>
        <v/>
      </c>
      <c r="L408" t="str">
        <f>IF(MSE成绩库!C408="","", MSE成绩库!M408)</f>
        <v/>
      </c>
      <c r="M408" t="str">
        <f>IF(MSE成绩库!C408="","", MSE成绩库!N408)</f>
        <v/>
      </c>
      <c r="N408" t="str">
        <f>IF(MSE成绩库!C408="","", MSE成绩库!O408)</f>
        <v/>
      </c>
      <c r="O408" t="str">
        <f>IF(MSE成绩库!C408="","", MSE成绩库!Q408)</f>
        <v/>
      </c>
      <c r="P408" t="str">
        <f>IF(MSE成绩库!C408="","", MSE成绩库!R408)</f>
        <v/>
      </c>
      <c r="Q408" t="str">
        <f>IF(MSE成绩库!C408="","", MSE成绩库!S408)</f>
        <v/>
      </c>
      <c r="R408" t="str">
        <f>IF(MSE成绩库!C408="","", MSE成绩库!T408)</f>
        <v/>
      </c>
      <c r="S408" t="str">
        <f>IF(MSE成绩库!C408="","", MSE成绩库!U408)</f>
        <v/>
      </c>
      <c r="T408" t="str">
        <f>IF(MSE成绩库!C408="","", MSE成绩库!V408)</f>
        <v/>
      </c>
      <c r="U408" t="str">
        <f>IF(MSE成绩库!C408="","", MSE成绩库!X408)</f>
        <v/>
      </c>
      <c r="V408" t="str">
        <f>IF(MSE成绩库!C408="","", MSE成绩库!Y408)</f>
        <v/>
      </c>
      <c r="W408" t="str">
        <f>IF(MSE成绩库!C408="","", MSE成绩库!Z408)</f>
        <v/>
      </c>
      <c r="X408" t="str">
        <f>IF(MSE成绩库!C408="","", MSE成绩库!AA408)</f>
        <v/>
      </c>
      <c r="Y408" t="str">
        <f>IF(MSE成绩库!C408="","", MSE成绩库!AB408)</f>
        <v/>
      </c>
      <c r="Z408" t="str">
        <f>IF(MSE成绩库!C408="","", MSE成绩库!AC408)</f>
        <v/>
      </c>
    </row>
    <row r="409" spans="1:26" x14ac:dyDescent="0.2">
      <c r="A409" t="str">
        <f>IF(MSE成绩库!C409="","", MSE成绩库!C409)</f>
        <v/>
      </c>
      <c r="B409" t="str">
        <f>IF(MSE成绩库!AD409="","", MSE成绩库!AD409)</f>
        <v/>
      </c>
      <c r="C409" t="str">
        <f>IF(MSE成绩库!B409="","", MSE成绩库!B409)</f>
        <v/>
      </c>
      <c r="D409" t="str">
        <f>IF(MSE成绩库!D409="","", MSE成绩库!D409)</f>
        <v/>
      </c>
      <c r="E409" t="str">
        <f>IF(MSE成绩库!C409="","", MSE成绩库!E409)</f>
        <v/>
      </c>
      <c r="F409" t="str">
        <f>IF(MSE成绩库!C409="","", MSE成绩库!F409)</f>
        <v/>
      </c>
      <c r="G409" t="str">
        <f>IF(MSE成绩库!C409="","", MSE成绩库!G409)</f>
        <v/>
      </c>
      <c r="H409" t="str">
        <f>IF(MSE成绩库!C409="","", MSE成绩库!H409)</f>
        <v/>
      </c>
      <c r="I409" t="str">
        <f>IF(MSE成绩库!C409="","", MSE成绩库!I409)</f>
        <v/>
      </c>
      <c r="J409" t="str">
        <f>IF(MSE成绩库!C409="","", MSE成绩库!J409)</f>
        <v/>
      </c>
      <c r="K409" t="str">
        <f>IF(MSE成绩库!C409="","", MSE成绩库!K409)</f>
        <v/>
      </c>
      <c r="L409" t="str">
        <f>IF(MSE成绩库!C409="","", MSE成绩库!M409)</f>
        <v/>
      </c>
      <c r="M409" t="str">
        <f>IF(MSE成绩库!C409="","", MSE成绩库!N409)</f>
        <v/>
      </c>
      <c r="N409" t="str">
        <f>IF(MSE成绩库!C409="","", MSE成绩库!O409)</f>
        <v/>
      </c>
      <c r="O409" t="str">
        <f>IF(MSE成绩库!C409="","", MSE成绩库!Q409)</f>
        <v/>
      </c>
      <c r="P409" t="str">
        <f>IF(MSE成绩库!C409="","", MSE成绩库!R409)</f>
        <v/>
      </c>
      <c r="Q409" t="str">
        <f>IF(MSE成绩库!C409="","", MSE成绩库!S409)</f>
        <v/>
      </c>
      <c r="R409" t="str">
        <f>IF(MSE成绩库!C409="","", MSE成绩库!T409)</f>
        <v/>
      </c>
      <c r="S409" t="str">
        <f>IF(MSE成绩库!C409="","", MSE成绩库!U409)</f>
        <v/>
      </c>
      <c r="T409" t="str">
        <f>IF(MSE成绩库!C409="","", MSE成绩库!V409)</f>
        <v/>
      </c>
      <c r="U409" t="str">
        <f>IF(MSE成绩库!C409="","", MSE成绩库!X409)</f>
        <v/>
      </c>
      <c r="V409" t="str">
        <f>IF(MSE成绩库!C409="","", MSE成绩库!Y409)</f>
        <v/>
      </c>
      <c r="W409" t="str">
        <f>IF(MSE成绩库!C409="","", MSE成绩库!Z409)</f>
        <v/>
      </c>
      <c r="X409" t="str">
        <f>IF(MSE成绩库!C409="","", MSE成绩库!AA409)</f>
        <v/>
      </c>
      <c r="Y409" t="str">
        <f>IF(MSE成绩库!C409="","", MSE成绩库!AB409)</f>
        <v/>
      </c>
      <c r="Z409" t="str">
        <f>IF(MSE成绩库!C409="","", MSE成绩库!AC409)</f>
        <v/>
      </c>
    </row>
    <row r="410" spans="1:26" x14ac:dyDescent="0.2">
      <c r="A410" t="str">
        <f>IF(MSE成绩库!C410="","", MSE成绩库!C410)</f>
        <v/>
      </c>
      <c r="B410" t="str">
        <f>IF(MSE成绩库!AD410="","", MSE成绩库!AD410)</f>
        <v/>
      </c>
      <c r="C410" t="str">
        <f>IF(MSE成绩库!B410="","", MSE成绩库!B410)</f>
        <v/>
      </c>
      <c r="D410" t="str">
        <f>IF(MSE成绩库!D410="","", MSE成绩库!D410)</f>
        <v/>
      </c>
      <c r="E410" t="str">
        <f>IF(MSE成绩库!C410="","", MSE成绩库!E410)</f>
        <v/>
      </c>
      <c r="F410" t="str">
        <f>IF(MSE成绩库!C410="","", MSE成绩库!F410)</f>
        <v/>
      </c>
      <c r="G410" t="str">
        <f>IF(MSE成绩库!C410="","", MSE成绩库!G410)</f>
        <v/>
      </c>
      <c r="H410" t="str">
        <f>IF(MSE成绩库!C410="","", MSE成绩库!H410)</f>
        <v/>
      </c>
      <c r="I410" t="str">
        <f>IF(MSE成绩库!C410="","", MSE成绩库!I410)</f>
        <v/>
      </c>
      <c r="J410" t="str">
        <f>IF(MSE成绩库!C410="","", MSE成绩库!J410)</f>
        <v/>
      </c>
      <c r="K410" t="str">
        <f>IF(MSE成绩库!C410="","", MSE成绩库!K410)</f>
        <v/>
      </c>
      <c r="L410" t="str">
        <f>IF(MSE成绩库!C410="","", MSE成绩库!M410)</f>
        <v/>
      </c>
      <c r="M410" t="str">
        <f>IF(MSE成绩库!C410="","", MSE成绩库!N410)</f>
        <v/>
      </c>
      <c r="N410" t="str">
        <f>IF(MSE成绩库!C410="","", MSE成绩库!O410)</f>
        <v/>
      </c>
      <c r="O410" t="str">
        <f>IF(MSE成绩库!C410="","", MSE成绩库!Q410)</f>
        <v/>
      </c>
      <c r="P410" t="str">
        <f>IF(MSE成绩库!C410="","", MSE成绩库!R410)</f>
        <v/>
      </c>
      <c r="Q410" t="str">
        <f>IF(MSE成绩库!C410="","", MSE成绩库!S410)</f>
        <v/>
      </c>
      <c r="R410" t="str">
        <f>IF(MSE成绩库!C410="","", MSE成绩库!T410)</f>
        <v/>
      </c>
      <c r="S410" t="str">
        <f>IF(MSE成绩库!C410="","", MSE成绩库!U410)</f>
        <v/>
      </c>
      <c r="T410" t="str">
        <f>IF(MSE成绩库!C410="","", MSE成绩库!V410)</f>
        <v/>
      </c>
      <c r="U410" t="str">
        <f>IF(MSE成绩库!C410="","", MSE成绩库!X410)</f>
        <v/>
      </c>
      <c r="V410" t="str">
        <f>IF(MSE成绩库!C410="","", MSE成绩库!Y410)</f>
        <v/>
      </c>
      <c r="W410" t="str">
        <f>IF(MSE成绩库!C410="","", MSE成绩库!Z410)</f>
        <v/>
      </c>
      <c r="X410" t="str">
        <f>IF(MSE成绩库!C410="","", MSE成绩库!AA410)</f>
        <v/>
      </c>
      <c r="Y410" t="str">
        <f>IF(MSE成绩库!C410="","", MSE成绩库!AB410)</f>
        <v/>
      </c>
      <c r="Z410" t="str">
        <f>IF(MSE成绩库!C410="","", MSE成绩库!AC410)</f>
        <v/>
      </c>
    </row>
    <row r="411" spans="1:26" x14ac:dyDescent="0.2">
      <c r="A411" t="str">
        <f>IF(MSE成绩库!C411="","", MSE成绩库!C411)</f>
        <v/>
      </c>
      <c r="B411" t="str">
        <f>IF(MSE成绩库!AD411="","", MSE成绩库!AD411)</f>
        <v/>
      </c>
      <c r="C411" t="str">
        <f>IF(MSE成绩库!B411="","", MSE成绩库!B411)</f>
        <v/>
      </c>
      <c r="D411" t="str">
        <f>IF(MSE成绩库!D411="","", MSE成绩库!D411)</f>
        <v/>
      </c>
      <c r="E411" t="str">
        <f>IF(MSE成绩库!C411="","", MSE成绩库!E411)</f>
        <v/>
      </c>
      <c r="F411" t="str">
        <f>IF(MSE成绩库!C411="","", MSE成绩库!F411)</f>
        <v/>
      </c>
      <c r="G411" t="str">
        <f>IF(MSE成绩库!C411="","", MSE成绩库!G411)</f>
        <v/>
      </c>
      <c r="H411" t="str">
        <f>IF(MSE成绩库!C411="","", MSE成绩库!H411)</f>
        <v/>
      </c>
      <c r="I411" t="str">
        <f>IF(MSE成绩库!C411="","", MSE成绩库!I411)</f>
        <v/>
      </c>
      <c r="J411" t="str">
        <f>IF(MSE成绩库!C411="","", MSE成绩库!J411)</f>
        <v/>
      </c>
      <c r="K411" t="str">
        <f>IF(MSE成绩库!C411="","", MSE成绩库!K411)</f>
        <v/>
      </c>
      <c r="L411" t="str">
        <f>IF(MSE成绩库!C411="","", MSE成绩库!M411)</f>
        <v/>
      </c>
      <c r="M411" t="str">
        <f>IF(MSE成绩库!C411="","", MSE成绩库!N411)</f>
        <v/>
      </c>
      <c r="N411" t="str">
        <f>IF(MSE成绩库!C411="","", MSE成绩库!O411)</f>
        <v/>
      </c>
      <c r="O411" t="str">
        <f>IF(MSE成绩库!C411="","", MSE成绩库!Q411)</f>
        <v/>
      </c>
      <c r="P411" t="str">
        <f>IF(MSE成绩库!C411="","", MSE成绩库!R411)</f>
        <v/>
      </c>
      <c r="Q411" t="str">
        <f>IF(MSE成绩库!C411="","", MSE成绩库!S411)</f>
        <v/>
      </c>
      <c r="R411" t="str">
        <f>IF(MSE成绩库!C411="","", MSE成绩库!T411)</f>
        <v/>
      </c>
      <c r="S411" t="str">
        <f>IF(MSE成绩库!C411="","", MSE成绩库!U411)</f>
        <v/>
      </c>
      <c r="T411" t="str">
        <f>IF(MSE成绩库!C411="","", MSE成绩库!V411)</f>
        <v/>
      </c>
      <c r="U411" t="str">
        <f>IF(MSE成绩库!C411="","", MSE成绩库!X411)</f>
        <v/>
      </c>
      <c r="V411" t="str">
        <f>IF(MSE成绩库!C411="","", MSE成绩库!Y411)</f>
        <v/>
      </c>
      <c r="W411" t="str">
        <f>IF(MSE成绩库!C411="","", MSE成绩库!Z411)</f>
        <v/>
      </c>
      <c r="X411" t="str">
        <f>IF(MSE成绩库!C411="","", MSE成绩库!AA411)</f>
        <v/>
      </c>
      <c r="Y411" t="str">
        <f>IF(MSE成绩库!C411="","", MSE成绩库!AB411)</f>
        <v/>
      </c>
      <c r="Z411" t="str">
        <f>IF(MSE成绩库!C411="","", MSE成绩库!AC411)</f>
        <v/>
      </c>
    </row>
    <row r="412" spans="1:26" x14ac:dyDescent="0.2">
      <c r="A412" t="str">
        <f>IF(MSE成绩库!C412="","", MSE成绩库!C412)</f>
        <v/>
      </c>
      <c r="B412" t="str">
        <f>IF(MSE成绩库!AD412="","", MSE成绩库!AD412)</f>
        <v/>
      </c>
      <c r="C412" t="str">
        <f>IF(MSE成绩库!B412="","", MSE成绩库!B412)</f>
        <v/>
      </c>
      <c r="D412" t="str">
        <f>IF(MSE成绩库!D412="","", MSE成绩库!D412)</f>
        <v/>
      </c>
      <c r="E412" t="str">
        <f>IF(MSE成绩库!C412="","", MSE成绩库!E412)</f>
        <v/>
      </c>
      <c r="F412" t="str">
        <f>IF(MSE成绩库!C412="","", MSE成绩库!F412)</f>
        <v/>
      </c>
      <c r="G412" t="str">
        <f>IF(MSE成绩库!C412="","", MSE成绩库!G412)</f>
        <v/>
      </c>
      <c r="H412" t="str">
        <f>IF(MSE成绩库!C412="","", MSE成绩库!H412)</f>
        <v/>
      </c>
      <c r="I412" t="str">
        <f>IF(MSE成绩库!C412="","", MSE成绩库!I412)</f>
        <v/>
      </c>
      <c r="J412" t="str">
        <f>IF(MSE成绩库!C412="","", MSE成绩库!J412)</f>
        <v/>
      </c>
      <c r="K412" t="str">
        <f>IF(MSE成绩库!C412="","", MSE成绩库!K412)</f>
        <v/>
      </c>
      <c r="L412" t="str">
        <f>IF(MSE成绩库!C412="","", MSE成绩库!M412)</f>
        <v/>
      </c>
      <c r="M412" t="str">
        <f>IF(MSE成绩库!C412="","", MSE成绩库!N412)</f>
        <v/>
      </c>
      <c r="N412" t="str">
        <f>IF(MSE成绩库!C412="","", MSE成绩库!O412)</f>
        <v/>
      </c>
      <c r="O412" t="str">
        <f>IF(MSE成绩库!C412="","", MSE成绩库!Q412)</f>
        <v/>
      </c>
      <c r="P412" t="str">
        <f>IF(MSE成绩库!C412="","", MSE成绩库!R412)</f>
        <v/>
      </c>
      <c r="Q412" t="str">
        <f>IF(MSE成绩库!C412="","", MSE成绩库!S412)</f>
        <v/>
      </c>
      <c r="R412" t="str">
        <f>IF(MSE成绩库!C412="","", MSE成绩库!T412)</f>
        <v/>
      </c>
      <c r="S412" t="str">
        <f>IF(MSE成绩库!C412="","", MSE成绩库!U412)</f>
        <v/>
      </c>
      <c r="T412" t="str">
        <f>IF(MSE成绩库!C412="","", MSE成绩库!V412)</f>
        <v/>
      </c>
      <c r="U412" t="str">
        <f>IF(MSE成绩库!C412="","", MSE成绩库!X412)</f>
        <v/>
      </c>
      <c r="V412" t="str">
        <f>IF(MSE成绩库!C412="","", MSE成绩库!Y412)</f>
        <v/>
      </c>
      <c r="W412" t="str">
        <f>IF(MSE成绩库!C412="","", MSE成绩库!Z412)</f>
        <v/>
      </c>
      <c r="X412" t="str">
        <f>IF(MSE成绩库!C412="","", MSE成绩库!AA412)</f>
        <v/>
      </c>
      <c r="Y412" t="str">
        <f>IF(MSE成绩库!C412="","", MSE成绩库!AB412)</f>
        <v/>
      </c>
      <c r="Z412" t="str">
        <f>IF(MSE成绩库!C412="","", MSE成绩库!AC412)</f>
        <v/>
      </c>
    </row>
    <row r="413" spans="1:26" x14ac:dyDescent="0.2">
      <c r="A413" t="str">
        <f>IF(MSE成绩库!C413="","", MSE成绩库!C413)</f>
        <v/>
      </c>
      <c r="B413" t="str">
        <f>IF(MSE成绩库!AD413="","", MSE成绩库!AD413)</f>
        <v/>
      </c>
      <c r="C413" t="str">
        <f>IF(MSE成绩库!B413="","", MSE成绩库!B413)</f>
        <v/>
      </c>
      <c r="D413" t="str">
        <f>IF(MSE成绩库!D413="","", MSE成绩库!D413)</f>
        <v/>
      </c>
      <c r="E413" t="str">
        <f>IF(MSE成绩库!C413="","", MSE成绩库!E413)</f>
        <v/>
      </c>
      <c r="F413" t="str">
        <f>IF(MSE成绩库!C413="","", MSE成绩库!F413)</f>
        <v/>
      </c>
      <c r="G413" t="str">
        <f>IF(MSE成绩库!C413="","", MSE成绩库!G413)</f>
        <v/>
      </c>
      <c r="H413" t="str">
        <f>IF(MSE成绩库!C413="","", MSE成绩库!H413)</f>
        <v/>
      </c>
      <c r="I413" t="str">
        <f>IF(MSE成绩库!C413="","", MSE成绩库!I413)</f>
        <v/>
      </c>
      <c r="J413" t="str">
        <f>IF(MSE成绩库!C413="","", MSE成绩库!J413)</f>
        <v/>
      </c>
      <c r="K413" t="str">
        <f>IF(MSE成绩库!C413="","", MSE成绩库!K413)</f>
        <v/>
      </c>
      <c r="L413" t="str">
        <f>IF(MSE成绩库!C413="","", MSE成绩库!M413)</f>
        <v/>
      </c>
      <c r="M413" t="str">
        <f>IF(MSE成绩库!C413="","", MSE成绩库!N413)</f>
        <v/>
      </c>
      <c r="N413" t="str">
        <f>IF(MSE成绩库!C413="","", MSE成绩库!O413)</f>
        <v/>
      </c>
      <c r="O413" t="str">
        <f>IF(MSE成绩库!C413="","", MSE成绩库!Q413)</f>
        <v/>
      </c>
      <c r="P413" t="str">
        <f>IF(MSE成绩库!C413="","", MSE成绩库!R413)</f>
        <v/>
      </c>
      <c r="Q413" t="str">
        <f>IF(MSE成绩库!C413="","", MSE成绩库!S413)</f>
        <v/>
      </c>
      <c r="R413" t="str">
        <f>IF(MSE成绩库!C413="","", MSE成绩库!T413)</f>
        <v/>
      </c>
      <c r="S413" t="str">
        <f>IF(MSE成绩库!C413="","", MSE成绩库!U413)</f>
        <v/>
      </c>
      <c r="T413" t="str">
        <f>IF(MSE成绩库!C413="","", MSE成绩库!V413)</f>
        <v/>
      </c>
      <c r="U413" t="str">
        <f>IF(MSE成绩库!C413="","", MSE成绩库!X413)</f>
        <v/>
      </c>
      <c r="V413" t="str">
        <f>IF(MSE成绩库!C413="","", MSE成绩库!Y413)</f>
        <v/>
      </c>
      <c r="W413" t="str">
        <f>IF(MSE成绩库!C413="","", MSE成绩库!Z413)</f>
        <v/>
      </c>
      <c r="X413" t="str">
        <f>IF(MSE成绩库!C413="","", MSE成绩库!AA413)</f>
        <v/>
      </c>
      <c r="Y413" t="str">
        <f>IF(MSE成绩库!C413="","", MSE成绩库!AB413)</f>
        <v/>
      </c>
      <c r="Z413" t="str">
        <f>IF(MSE成绩库!C413="","", MSE成绩库!AC413)</f>
        <v/>
      </c>
    </row>
    <row r="414" spans="1:26" x14ac:dyDescent="0.2">
      <c r="A414" t="str">
        <f>IF(MSE成绩库!C414="","", MSE成绩库!C414)</f>
        <v/>
      </c>
      <c r="B414" t="str">
        <f>IF(MSE成绩库!AD414="","", MSE成绩库!AD414)</f>
        <v/>
      </c>
      <c r="C414" t="str">
        <f>IF(MSE成绩库!B414="","", MSE成绩库!B414)</f>
        <v/>
      </c>
      <c r="D414" t="str">
        <f>IF(MSE成绩库!D414="","", MSE成绩库!D414)</f>
        <v/>
      </c>
      <c r="E414" t="str">
        <f>IF(MSE成绩库!C414="","", MSE成绩库!E414)</f>
        <v/>
      </c>
      <c r="F414" t="str">
        <f>IF(MSE成绩库!C414="","", MSE成绩库!F414)</f>
        <v/>
      </c>
      <c r="G414" t="str">
        <f>IF(MSE成绩库!C414="","", MSE成绩库!G414)</f>
        <v/>
      </c>
      <c r="H414" t="str">
        <f>IF(MSE成绩库!C414="","", MSE成绩库!H414)</f>
        <v/>
      </c>
      <c r="I414" t="str">
        <f>IF(MSE成绩库!C414="","", MSE成绩库!I414)</f>
        <v/>
      </c>
      <c r="J414" t="str">
        <f>IF(MSE成绩库!C414="","", MSE成绩库!J414)</f>
        <v/>
      </c>
      <c r="K414" t="str">
        <f>IF(MSE成绩库!C414="","", MSE成绩库!K414)</f>
        <v/>
      </c>
      <c r="L414" t="str">
        <f>IF(MSE成绩库!C414="","", MSE成绩库!M414)</f>
        <v/>
      </c>
      <c r="M414" t="str">
        <f>IF(MSE成绩库!C414="","", MSE成绩库!N414)</f>
        <v/>
      </c>
      <c r="N414" t="str">
        <f>IF(MSE成绩库!C414="","", MSE成绩库!O414)</f>
        <v/>
      </c>
      <c r="O414" t="str">
        <f>IF(MSE成绩库!C414="","", MSE成绩库!Q414)</f>
        <v/>
      </c>
      <c r="P414" t="str">
        <f>IF(MSE成绩库!C414="","", MSE成绩库!R414)</f>
        <v/>
      </c>
      <c r="Q414" t="str">
        <f>IF(MSE成绩库!C414="","", MSE成绩库!S414)</f>
        <v/>
      </c>
      <c r="R414" t="str">
        <f>IF(MSE成绩库!C414="","", MSE成绩库!T414)</f>
        <v/>
      </c>
      <c r="S414" t="str">
        <f>IF(MSE成绩库!C414="","", MSE成绩库!U414)</f>
        <v/>
      </c>
      <c r="T414" t="str">
        <f>IF(MSE成绩库!C414="","", MSE成绩库!V414)</f>
        <v/>
      </c>
      <c r="U414" t="str">
        <f>IF(MSE成绩库!C414="","", MSE成绩库!X414)</f>
        <v/>
      </c>
      <c r="V414" t="str">
        <f>IF(MSE成绩库!C414="","", MSE成绩库!Y414)</f>
        <v/>
      </c>
      <c r="W414" t="str">
        <f>IF(MSE成绩库!C414="","", MSE成绩库!Z414)</f>
        <v/>
      </c>
      <c r="X414" t="str">
        <f>IF(MSE成绩库!C414="","", MSE成绩库!AA414)</f>
        <v/>
      </c>
      <c r="Y414" t="str">
        <f>IF(MSE成绩库!C414="","", MSE成绩库!AB414)</f>
        <v/>
      </c>
      <c r="Z414" t="str">
        <f>IF(MSE成绩库!C414="","", MSE成绩库!AC414)</f>
        <v/>
      </c>
    </row>
    <row r="415" spans="1:26" x14ac:dyDescent="0.2">
      <c r="A415" t="str">
        <f>IF(MSE成绩库!C415="","", MSE成绩库!C415)</f>
        <v/>
      </c>
      <c r="B415" t="str">
        <f>IF(MSE成绩库!AD415="","", MSE成绩库!AD415)</f>
        <v/>
      </c>
      <c r="C415" t="str">
        <f>IF(MSE成绩库!B415="","", MSE成绩库!B415)</f>
        <v/>
      </c>
      <c r="D415" t="str">
        <f>IF(MSE成绩库!D415="","", MSE成绩库!D415)</f>
        <v/>
      </c>
      <c r="E415" t="str">
        <f>IF(MSE成绩库!C415="","", MSE成绩库!E415)</f>
        <v/>
      </c>
      <c r="F415" t="str">
        <f>IF(MSE成绩库!C415="","", MSE成绩库!F415)</f>
        <v/>
      </c>
      <c r="G415" t="str">
        <f>IF(MSE成绩库!C415="","", MSE成绩库!G415)</f>
        <v/>
      </c>
      <c r="H415" t="str">
        <f>IF(MSE成绩库!C415="","", MSE成绩库!H415)</f>
        <v/>
      </c>
      <c r="I415" t="str">
        <f>IF(MSE成绩库!C415="","", MSE成绩库!I415)</f>
        <v/>
      </c>
      <c r="J415" t="str">
        <f>IF(MSE成绩库!C415="","", MSE成绩库!J415)</f>
        <v/>
      </c>
      <c r="K415" t="str">
        <f>IF(MSE成绩库!C415="","", MSE成绩库!K415)</f>
        <v/>
      </c>
      <c r="L415" t="str">
        <f>IF(MSE成绩库!C415="","", MSE成绩库!M415)</f>
        <v/>
      </c>
      <c r="M415" t="str">
        <f>IF(MSE成绩库!C415="","", MSE成绩库!N415)</f>
        <v/>
      </c>
      <c r="N415" t="str">
        <f>IF(MSE成绩库!C415="","", MSE成绩库!O415)</f>
        <v/>
      </c>
      <c r="O415" t="str">
        <f>IF(MSE成绩库!C415="","", MSE成绩库!Q415)</f>
        <v/>
      </c>
      <c r="P415" t="str">
        <f>IF(MSE成绩库!C415="","", MSE成绩库!R415)</f>
        <v/>
      </c>
      <c r="Q415" t="str">
        <f>IF(MSE成绩库!C415="","", MSE成绩库!S415)</f>
        <v/>
      </c>
      <c r="R415" t="str">
        <f>IF(MSE成绩库!C415="","", MSE成绩库!T415)</f>
        <v/>
      </c>
      <c r="S415" t="str">
        <f>IF(MSE成绩库!C415="","", MSE成绩库!U415)</f>
        <v/>
      </c>
      <c r="T415" t="str">
        <f>IF(MSE成绩库!C415="","", MSE成绩库!V415)</f>
        <v/>
      </c>
      <c r="U415" t="str">
        <f>IF(MSE成绩库!C415="","", MSE成绩库!X415)</f>
        <v/>
      </c>
      <c r="V415" t="str">
        <f>IF(MSE成绩库!C415="","", MSE成绩库!Y415)</f>
        <v/>
      </c>
      <c r="W415" t="str">
        <f>IF(MSE成绩库!C415="","", MSE成绩库!Z415)</f>
        <v/>
      </c>
      <c r="X415" t="str">
        <f>IF(MSE成绩库!C415="","", MSE成绩库!AA415)</f>
        <v/>
      </c>
      <c r="Y415" t="str">
        <f>IF(MSE成绩库!C415="","", MSE成绩库!AB415)</f>
        <v/>
      </c>
      <c r="Z415" t="str">
        <f>IF(MSE成绩库!C415="","", MSE成绩库!AC415)</f>
        <v/>
      </c>
    </row>
    <row r="416" spans="1:26" x14ac:dyDescent="0.2">
      <c r="A416" t="str">
        <f>IF(MSE成绩库!C416="","", MSE成绩库!C416)</f>
        <v/>
      </c>
      <c r="B416" t="str">
        <f>IF(MSE成绩库!AD416="","", MSE成绩库!AD416)</f>
        <v/>
      </c>
      <c r="C416" t="str">
        <f>IF(MSE成绩库!B416="","", MSE成绩库!B416)</f>
        <v/>
      </c>
      <c r="D416" t="str">
        <f>IF(MSE成绩库!D416="","", MSE成绩库!D416)</f>
        <v/>
      </c>
      <c r="E416" t="str">
        <f>IF(MSE成绩库!C416="","", MSE成绩库!E416)</f>
        <v/>
      </c>
      <c r="F416" t="str">
        <f>IF(MSE成绩库!C416="","", MSE成绩库!F416)</f>
        <v/>
      </c>
      <c r="G416" t="str">
        <f>IF(MSE成绩库!C416="","", MSE成绩库!G416)</f>
        <v/>
      </c>
      <c r="H416" t="str">
        <f>IF(MSE成绩库!C416="","", MSE成绩库!H416)</f>
        <v/>
      </c>
      <c r="I416" t="str">
        <f>IF(MSE成绩库!C416="","", MSE成绩库!I416)</f>
        <v/>
      </c>
      <c r="J416" t="str">
        <f>IF(MSE成绩库!C416="","", MSE成绩库!J416)</f>
        <v/>
      </c>
      <c r="K416" t="str">
        <f>IF(MSE成绩库!C416="","", MSE成绩库!K416)</f>
        <v/>
      </c>
      <c r="L416" t="str">
        <f>IF(MSE成绩库!C416="","", MSE成绩库!M416)</f>
        <v/>
      </c>
      <c r="M416" t="str">
        <f>IF(MSE成绩库!C416="","", MSE成绩库!N416)</f>
        <v/>
      </c>
      <c r="N416" t="str">
        <f>IF(MSE成绩库!C416="","", MSE成绩库!O416)</f>
        <v/>
      </c>
      <c r="O416" t="str">
        <f>IF(MSE成绩库!C416="","", MSE成绩库!Q416)</f>
        <v/>
      </c>
      <c r="P416" t="str">
        <f>IF(MSE成绩库!C416="","", MSE成绩库!R416)</f>
        <v/>
      </c>
      <c r="Q416" t="str">
        <f>IF(MSE成绩库!C416="","", MSE成绩库!S416)</f>
        <v/>
      </c>
      <c r="R416" t="str">
        <f>IF(MSE成绩库!C416="","", MSE成绩库!T416)</f>
        <v/>
      </c>
      <c r="S416" t="str">
        <f>IF(MSE成绩库!C416="","", MSE成绩库!U416)</f>
        <v/>
      </c>
      <c r="T416" t="str">
        <f>IF(MSE成绩库!C416="","", MSE成绩库!V416)</f>
        <v/>
      </c>
      <c r="U416" t="str">
        <f>IF(MSE成绩库!C416="","", MSE成绩库!X416)</f>
        <v/>
      </c>
      <c r="V416" t="str">
        <f>IF(MSE成绩库!C416="","", MSE成绩库!Y416)</f>
        <v/>
      </c>
      <c r="W416" t="str">
        <f>IF(MSE成绩库!C416="","", MSE成绩库!Z416)</f>
        <v/>
      </c>
      <c r="X416" t="str">
        <f>IF(MSE成绩库!C416="","", MSE成绩库!AA416)</f>
        <v/>
      </c>
      <c r="Y416" t="str">
        <f>IF(MSE成绩库!C416="","", MSE成绩库!AB416)</f>
        <v/>
      </c>
      <c r="Z416" t="str">
        <f>IF(MSE成绩库!C416="","", MSE成绩库!AC416)</f>
        <v/>
      </c>
    </row>
    <row r="417" spans="1:26" x14ac:dyDescent="0.2">
      <c r="A417" t="str">
        <f>IF(MSE成绩库!C417="","", MSE成绩库!C417)</f>
        <v/>
      </c>
      <c r="B417" t="str">
        <f>IF(MSE成绩库!AD417="","", MSE成绩库!AD417)</f>
        <v/>
      </c>
      <c r="C417" t="str">
        <f>IF(MSE成绩库!B417="","", MSE成绩库!B417)</f>
        <v/>
      </c>
      <c r="D417" t="str">
        <f>IF(MSE成绩库!D417="","", MSE成绩库!D417)</f>
        <v/>
      </c>
      <c r="E417" t="str">
        <f>IF(MSE成绩库!C417="","", MSE成绩库!E417)</f>
        <v/>
      </c>
      <c r="F417" t="str">
        <f>IF(MSE成绩库!C417="","", MSE成绩库!F417)</f>
        <v/>
      </c>
      <c r="G417" t="str">
        <f>IF(MSE成绩库!C417="","", MSE成绩库!G417)</f>
        <v/>
      </c>
      <c r="H417" t="str">
        <f>IF(MSE成绩库!C417="","", MSE成绩库!H417)</f>
        <v/>
      </c>
      <c r="I417" t="str">
        <f>IF(MSE成绩库!C417="","", MSE成绩库!I417)</f>
        <v/>
      </c>
      <c r="J417" t="str">
        <f>IF(MSE成绩库!C417="","", MSE成绩库!J417)</f>
        <v/>
      </c>
      <c r="K417" t="str">
        <f>IF(MSE成绩库!C417="","", MSE成绩库!K417)</f>
        <v/>
      </c>
      <c r="L417" t="str">
        <f>IF(MSE成绩库!C417="","", MSE成绩库!M417)</f>
        <v/>
      </c>
      <c r="M417" t="str">
        <f>IF(MSE成绩库!C417="","", MSE成绩库!N417)</f>
        <v/>
      </c>
      <c r="N417" t="str">
        <f>IF(MSE成绩库!C417="","", MSE成绩库!O417)</f>
        <v/>
      </c>
      <c r="O417" t="str">
        <f>IF(MSE成绩库!C417="","", MSE成绩库!Q417)</f>
        <v/>
      </c>
      <c r="P417" t="str">
        <f>IF(MSE成绩库!C417="","", MSE成绩库!R417)</f>
        <v/>
      </c>
      <c r="Q417" t="str">
        <f>IF(MSE成绩库!C417="","", MSE成绩库!S417)</f>
        <v/>
      </c>
      <c r="R417" t="str">
        <f>IF(MSE成绩库!C417="","", MSE成绩库!T417)</f>
        <v/>
      </c>
      <c r="S417" t="str">
        <f>IF(MSE成绩库!C417="","", MSE成绩库!U417)</f>
        <v/>
      </c>
      <c r="T417" t="str">
        <f>IF(MSE成绩库!C417="","", MSE成绩库!V417)</f>
        <v/>
      </c>
      <c r="U417" t="str">
        <f>IF(MSE成绩库!C417="","", MSE成绩库!X417)</f>
        <v/>
      </c>
      <c r="V417" t="str">
        <f>IF(MSE成绩库!C417="","", MSE成绩库!Y417)</f>
        <v/>
      </c>
      <c r="W417" t="str">
        <f>IF(MSE成绩库!C417="","", MSE成绩库!Z417)</f>
        <v/>
      </c>
      <c r="X417" t="str">
        <f>IF(MSE成绩库!C417="","", MSE成绩库!AA417)</f>
        <v/>
      </c>
      <c r="Y417" t="str">
        <f>IF(MSE成绩库!C417="","", MSE成绩库!AB417)</f>
        <v/>
      </c>
      <c r="Z417" t="str">
        <f>IF(MSE成绩库!C417="","", MSE成绩库!AC417)</f>
        <v/>
      </c>
    </row>
    <row r="418" spans="1:26" x14ac:dyDescent="0.2">
      <c r="A418" t="str">
        <f>IF(MSE成绩库!C418="","", MSE成绩库!C418)</f>
        <v/>
      </c>
      <c r="B418" t="str">
        <f>IF(MSE成绩库!AD418="","", MSE成绩库!AD418)</f>
        <v/>
      </c>
      <c r="C418" t="str">
        <f>IF(MSE成绩库!B418="","", MSE成绩库!B418)</f>
        <v/>
      </c>
      <c r="D418" t="str">
        <f>IF(MSE成绩库!D418="","", MSE成绩库!D418)</f>
        <v/>
      </c>
      <c r="E418" t="str">
        <f>IF(MSE成绩库!C418="","", MSE成绩库!E418)</f>
        <v/>
      </c>
      <c r="F418" t="str">
        <f>IF(MSE成绩库!C418="","", MSE成绩库!F418)</f>
        <v/>
      </c>
      <c r="G418" t="str">
        <f>IF(MSE成绩库!C418="","", MSE成绩库!G418)</f>
        <v/>
      </c>
      <c r="H418" t="str">
        <f>IF(MSE成绩库!C418="","", MSE成绩库!H418)</f>
        <v/>
      </c>
      <c r="I418" t="str">
        <f>IF(MSE成绩库!C418="","", MSE成绩库!I418)</f>
        <v/>
      </c>
      <c r="J418" t="str">
        <f>IF(MSE成绩库!C418="","", MSE成绩库!J418)</f>
        <v/>
      </c>
      <c r="K418" t="str">
        <f>IF(MSE成绩库!C418="","", MSE成绩库!K418)</f>
        <v/>
      </c>
      <c r="L418" t="str">
        <f>IF(MSE成绩库!C418="","", MSE成绩库!M418)</f>
        <v/>
      </c>
      <c r="M418" t="str">
        <f>IF(MSE成绩库!C418="","", MSE成绩库!N418)</f>
        <v/>
      </c>
      <c r="N418" t="str">
        <f>IF(MSE成绩库!C418="","", MSE成绩库!O418)</f>
        <v/>
      </c>
      <c r="O418" t="str">
        <f>IF(MSE成绩库!C418="","", MSE成绩库!Q418)</f>
        <v/>
      </c>
      <c r="P418" t="str">
        <f>IF(MSE成绩库!C418="","", MSE成绩库!R418)</f>
        <v/>
      </c>
      <c r="Q418" t="str">
        <f>IF(MSE成绩库!C418="","", MSE成绩库!S418)</f>
        <v/>
      </c>
      <c r="R418" t="str">
        <f>IF(MSE成绩库!C418="","", MSE成绩库!T418)</f>
        <v/>
      </c>
      <c r="S418" t="str">
        <f>IF(MSE成绩库!C418="","", MSE成绩库!U418)</f>
        <v/>
      </c>
      <c r="T418" t="str">
        <f>IF(MSE成绩库!C418="","", MSE成绩库!V418)</f>
        <v/>
      </c>
      <c r="U418" t="str">
        <f>IF(MSE成绩库!C418="","", MSE成绩库!X418)</f>
        <v/>
      </c>
      <c r="V418" t="str">
        <f>IF(MSE成绩库!C418="","", MSE成绩库!Y418)</f>
        <v/>
      </c>
      <c r="W418" t="str">
        <f>IF(MSE成绩库!C418="","", MSE成绩库!Z418)</f>
        <v/>
      </c>
      <c r="X418" t="str">
        <f>IF(MSE成绩库!C418="","", MSE成绩库!AA418)</f>
        <v/>
      </c>
      <c r="Y418" t="str">
        <f>IF(MSE成绩库!C418="","", MSE成绩库!AB418)</f>
        <v/>
      </c>
      <c r="Z418" t="str">
        <f>IF(MSE成绩库!C418="","", MSE成绩库!AC418)</f>
        <v/>
      </c>
    </row>
    <row r="419" spans="1:26" x14ac:dyDescent="0.2">
      <c r="A419" t="str">
        <f>IF(MSE成绩库!C419="","", MSE成绩库!C419)</f>
        <v/>
      </c>
      <c r="B419" t="str">
        <f>IF(MSE成绩库!AD419="","", MSE成绩库!AD419)</f>
        <v/>
      </c>
      <c r="C419" t="str">
        <f>IF(MSE成绩库!B419="","", MSE成绩库!B419)</f>
        <v/>
      </c>
      <c r="D419" t="str">
        <f>IF(MSE成绩库!D419="","", MSE成绩库!D419)</f>
        <v/>
      </c>
      <c r="E419" t="str">
        <f>IF(MSE成绩库!C419="","", MSE成绩库!E419)</f>
        <v/>
      </c>
      <c r="F419" t="str">
        <f>IF(MSE成绩库!C419="","", MSE成绩库!F419)</f>
        <v/>
      </c>
      <c r="G419" t="str">
        <f>IF(MSE成绩库!C419="","", MSE成绩库!G419)</f>
        <v/>
      </c>
      <c r="H419" t="str">
        <f>IF(MSE成绩库!C419="","", MSE成绩库!H419)</f>
        <v/>
      </c>
      <c r="I419" t="str">
        <f>IF(MSE成绩库!C419="","", MSE成绩库!I419)</f>
        <v/>
      </c>
      <c r="J419" t="str">
        <f>IF(MSE成绩库!C419="","", MSE成绩库!J419)</f>
        <v/>
      </c>
      <c r="K419" t="str">
        <f>IF(MSE成绩库!C419="","", MSE成绩库!K419)</f>
        <v/>
      </c>
      <c r="L419" t="str">
        <f>IF(MSE成绩库!C419="","", MSE成绩库!M419)</f>
        <v/>
      </c>
      <c r="M419" t="str">
        <f>IF(MSE成绩库!C419="","", MSE成绩库!N419)</f>
        <v/>
      </c>
      <c r="N419" t="str">
        <f>IF(MSE成绩库!C419="","", MSE成绩库!O419)</f>
        <v/>
      </c>
      <c r="O419" t="str">
        <f>IF(MSE成绩库!C419="","", MSE成绩库!Q419)</f>
        <v/>
      </c>
      <c r="P419" t="str">
        <f>IF(MSE成绩库!C419="","", MSE成绩库!R419)</f>
        <v/>
      </c>
      <c r="Q419" t="str">
        <f>IF(MSE成绩库!C419="","", MSE成绩库!S419)</f>
        <v/>
      </c>
      <c r="R419" t="str">
        <f>IF(MSE成绩库!C419="","", MSE成绩库!T419)</f>
        <v/>
      </c>
      <c r="S419" t="str">
        <f>IF(MSE成绩库!C419="","", MSE成绩库!U419)</f>
        <v/>
      </c>
      <c r="T419" t="str">
        <f>IF(MSE成绩库!C419="","", MSE成绩库!V419)</f>
        <v/>
      </c>
      <c r="U419" t="str">
        <f>IF(MSE成绩库!C419="","", MSE成绩库!X419)</f>
        <v/>
      </c>
      <c r="V419" t="str">
        <f>IF(MSE成绩库!C419="","", MSE成绩库!Y419)</f>
        <v/>
      </c>
      <c r="W419" t="str">
        <f>IF(MSE成绩库!C419="","", MSE成绩库!Z419)</f>
        <v/>
      </c>
      <c r="X419" t="str">
        <f>IF(MSE成绩库!C419="","", MSE成绩库!AA419)</f>
        <v/>
      </c>
      <c r="Y419" t="str">
        <f>IF(MSE成绩库!C419="","", MSE成绩库!AB419)</f>
        <v/>
      </c>
      <c r="Z419" t="str">
        <f>IF(MSE成绩库!C419="","", MSE成绩库!AC419)</f>
        <v/>
      </c>
    </row>
    <row r="420" spans="1:26" x14ac:dyDescent="0.2">
      <c r="A420" t="str">
        <f>IF(MSE成绩库!C420="","", MSE成绩库!C420)</f>
        <v/>
      </c>
      <c r="B420" t="str">
        <f>IF(MSE成绩库!AD420="","", MSE成绩库!AD420)</f>
        <v/>
      </c>
      <c r="C420" t="str">
        <f>IF(MSE成绩库!B420="","", MSE成绩库!B420)</f>
        <v/>
      </c>
      <c r="D420" t="str">
        <f>IF(MSE成绩库!D420="","", MSE成绩库!D420)</f>
        <v/>
      </c>
      <c r="E420" t="str">
        <f>IF(MSE成绩库!C420="","", MSE成绩库!E420)</f>
        <v/>
      </c>
      <c r="F420" t="str">
        <f>IF(MSE成绩库!C420="","", MSE成绩库!F420)</f>
        <v/>
      </c>
      <c r="G420" t="str">
        <f>IF(MSE成绩库!C420="","", MSE成绩库!G420)</f>
        <v/>
      </c>
      <c r="H420" t="str">
        <f>IF(MSE成绩库!C420="","", MSE成绩库!H420)</f>
        <v/>
      </c>
      <c r="I420" t="str">
        <f>IF(MSE成绩库!C420="","", MSE成绩库!I420)</f>
        <v/>
      </c>
      <c r="J420" t="str">
        <f>IF(MSE成绩库!C420="","", MSE成绩库!J420)</f>
        <v/>
      </c>
      <c r="K420" t="str">
        <f>IF(MSE成绩库!C420="","", MSE成绩库!K420)</f>
        <v/>
      </c>
      <c r="L420" t="str">
        <f>IF(MSE成绩库!C420="","", MSE成绩库!M420)</f>
        <v/>
      </c>
      <c r="M420" t="str">
        <f>IF(MSE成绩库!C420="","", MSE成绩库!N420)</f>
        <v/>
      </c>
      <c r="N420" t="str">
        <f>IF(MSE成绩库!C420="","", MSE成绩库!O420)</f>
        <v/>
      </c>
      <c r="O420" t="str">
        <f>IF(MSE成绩库!C420="","", MSE成绩库!Q420)</f>
        <v/>
      </c>
      <c r="P420" t="str">
        <f>IF(MSE成绩库!C420="","", MSE成绩库!R420)</f>
        <v/>
      </c>
      <c r="Q420" t="str">
        <f>IF(MSE成绩库!C420="","", MSE成绩库!S420)</f>
        <v/>
      </c>
      <c r="R420" t="str">
        <f>IF(MSE成绩库!C420="","", MSE成绩库!T420)</f>
        <v/>
      </c>
      <c r="S420" t="str">
        <f>IF(MSE成绩库!C420="","", MSE成绩库!U420)</f>
        <v/>
      </c>
      <c r="T420" t="str">
        <f>IF(MSE成绩库!C420="","", MSE成绩库!V420)</f>
        <v/>
      </c>
      <c r="U420" t="str">
        <f>IF(MSE成绩库!C420="","", MSE成绩库!X420)</f>
        <v/>
      </c>
      <c r="V420" t="str">
        <f>IF(MSE成绩库!C420="","", MSE成绩库!Y420)</f>
        <v/>
      </c>
      <c r="W420" t="str">
        <f>IF(MSE成绩库!C420="","", MSE成绩库!Z420)</f>
        <v/>
      </c>
      <c r="X420" t="str">
        <f>IF(MSE成绩库!C420="","", MSE成绩库!AA420)</f>
        <v/>
      </c>
      <c r="Y420" t="str">
        <f>IF(MSE成绩库!C420="","", MSE成绩库!AB420)</f>
        <v/>
      </c>
      <c r="Z420" t="str">
        <f>IF(MSE成绩库!C420="","", MSE成绩库!AC420)</f>
        <v/>
      </c>
    </row>
    <row r="421" spans="1:26" x14ac:dyDescent="0.2">
      <c r="A421" t="str">
        <f>IF(MSE成绩库!C421="","", MSE成绩库!C421)</f>
        <v/>
      </c>
      <c r="B421" t="str">
        <f>IF(MSE成绩库!AD421="","", MSE成绩库!AD421)</f>
        <v/>
      </c>
      <c r="C421" t="str">
        <f>IF(MSE成绩库!B421="","", MSE成绩库!B421)</f>
        <v/>
      </c>
      <c r="D421" t="str">
        <f>IF(MSE成绩库!D421="","", MSE成绩库!D421)</f>
        <v/>
      </c>
      <c r="E421" t="str">
        <f>IF(MSE成绩库!C421="","", MSE成绩库!E421)</f>
        <v/>
      </c>
      <c r="F421" t="str">
        <f>IF(MSE成绩库!C421="","", MSE成绩库!F421)</f>
        <v/>
      </c>
      <c r="G421" t="str">
        <f>IF(MSE成绩库!C421="","", MSE成绩库!G421)</f>
        <v/>
      </c>
      <c r="H421" t="str">
        <f>IF(MSE成绩库!C421="","", MSE成绩库!H421)</f>
        <v/>
      </c>
      <c r="I421" t="str">
        <f>IF(MSE成绩库!C421="","", MSE成绩库!I421)</f>
        <v/>
      </c>
      <c r="J421" t="str">
        <f>IF(MSE成绩库!C421="","", MSE成绩库!J421)</f>
        <v/>
      </c>
      <c r="K421" t="str">
        <f>IF(MSE成绩库!C421="","", MSE成绩库!K421)</f>
        <v/>
      </c>
      <c r="L421" t="str">
        <f>IF(MSE成绩库!C421="","", MSE成绩库!M421)</f>
        <v/>
      </c>
      <c r="M421" t="str">
        <f>IF(MSE成绩库!C421="","", MSE成绩库!N421)</f>
        <v/>
      </c>
      <c r="N421" t="str">
        <f>IF(MSE成绩库!C421="","", MSE成绩库!O421)</f>
        <v/>
      </c>
      <c r="O421" t="str">
        <f>IF(MSE成绩库!C421="","", MSE成绩库!Q421)</f>
        <v/>
      </c>
      <c r="P421" t="str">
        <f>IF(MSE成绩库!C421="","", MSE成绩库!R421)</f>
        <v/>
      </c>
      <c r="Q421" t="str">
        <f>IF(MSE成绩库!C421="","", MSE成绩库!S421)</f>
        <v/>
      </c>
      <c r="R421" t="str">
        <f>IF(MSE成绩库!C421="","", MSE成绩库!T421)</f>
        <v/>
      </c>
      <c r="S421" t="str">
        <f>IF(MSE成绩库!C421="","", MSE成绩库!U421)</f>
        <v/>
      </c>
      <c r="T421" t="str">
        <f>IF(MSE成绩库!C421="","", MSE成绩库!V421)</f>
        <v/>
      </c>
      <c r="U421" t="str">
        <f>IF(MSE成绩库!C421="","", MSE成绩库!X421)</f>
        <v/>
      </c>
      <c r="V421" t="str">
        <f>IF(MSE成绩库!C421="","", MSE成绩库!Y421)</f>
        <v/>
      </c>
      <c r="W421" t="str">
        <f>IF(MSE成绩库!C421="","", MSE成绩库!Z421)</f>
        <v/>
      </c>
      <c r="X421" t="str">
        <f>IF(MSE成绩库!C421="","", MSE成绩库!AA421)</f>
        <v/>
      </c>
      <c r="Y421" t="str">
        <f>IF(MSE成绩库!C421="","", MSE成绩库!AB421)</f>
        <v/>
      </c>
      <c r="Z421" t="str">
        <f>IF(MSE成绩库!C421="","", MSE成绩库!AC421)</f>
        <v/>
      </c>
    </row>
    <row r="422" spans="1:26" x14ac:dyDescent="0.2">
      <c r="A422" t="str">
        <f>IF(MSE成绩库!C422="","", MSE成绩库!C422)</f>
        <v/>
      </c>
      <c r="B422" t="str">
        <f>IF(MSE成绩库!AD422="","", MSE成绩库!AD422)</f>
        <v/>
      </c>
      <c r="C422" t="str">
        <f>IF(MSE成绩库!B422="","", MSE成绩库!B422)</f>
        <v/>
      </c>
      <c r="D422" t="str">
        <f>IF(MSE成绩库!D422="","", MSE成绩库!D422)</f>
        <v/>
      </c>
      <c r="E422" t="str">
        <f>IF(MSE成绩库!C422="","", MSE成绩库!E422)</f>
        <v/>
      </c>
      <c r="F422" t="str">
        <f>IF(MSE成绩库!C422="","", MSE成绩库!F422)</f>
        <v/>
      </c>
      <c r="G422" t="str">
        <f>IF(MSE成绩库!C422="","", MSE成绩库!G422)</f>
        <v/>
      </c>
      <c r="H422" t="str">
        <f>IF(MSE成绩库!C422="","", MSE成绩库!H422)</f>
        <v/>
      </c>
      <c r="I422" t="str">
        <f>IF(MSE成绩库!C422="","", MSE成绩库!I422)</f>
        <v/>
      </c>
      <c r="J422" t="str">
        <f>IF(MSE成绩库!C422="","", MSE成绩库!J422)</f>
        <v/>
      </c>
      <c r="K422" t="str">
        <f>IF(MSE成绩库!C422="","", MSE成绩库!K422)</f>
        <v/>
      </c>
      <c r="L422" t="str">
        <f>IF(MSE成绩库!C422="","", MSE成绩库!M422)</f>
        <v/>
      </c>
      <c r="M422" t="str">
        <f>IF(MSE成绩库!C422="","", MSE成绩库!N422)</f>
        <v/>
      </c>
      <c r="N422" t="str">
        <f>IF(MSE成绩库!C422="","", MSE成绩库!O422)</f>
        <v/>
      </c>
      <c r="O422" t="str">
        <f>IF(MSE成绩库!C422="","", MSE成绩库!Q422)</f>
        <v/>
      </c>
      <c r="P422" t="str">
        <f>IF(MSE成绩库!C422="","", MSE成绩库!R422)</f>
        <v/>
      </c>
      <c r="Q422" t="str">
        <f>IF(MSE成绩库!C422="","", MSE成绩库!S422)</f>
        <v/>
      </c>
      <c r="R422" t="str">
        <f>IF(MSE成绩库!C422="","", MSE成绩库!T422)</f>
        <v/>
      </c>
      <c r="S422" t="str">
        <f>IF(MSE成绩库!C422="","", MSE成绩库!U422)</f>
        <v/>
      </c>
      <c r="T422" t="str">
        <f>IF(MSE成绩库!C422="","", MSE成绩库!V422)</f>
        <v/>
      </c>
      <c r="U422" t="str">
        <f>IF(MSE成绩库!C422="","", MSE成绩库!X422)</f>
        <v/>
      </c>
      <c r="V422" t="str">
        <f>IF(MSE成绩库!C422="","", MSE成绩库!Y422)</f>
        <v/>
      </c>
      <c r="W422" t="str">
        <f>IF(MSE成绩库!C422="","", MSE成绩库!Z422)</f>
        <v/>
      </c>
      <c r="X422" t="str">
        <f>IF(MSE成绩库!C422="","", MSE成绩库!AA422)</f>
        <v/>
      </c>
      <c r="Y422" t="str">
        <f>IF(MSE成绩库!C422="","", MSE成绩库!AB422)</f>
        <v/>
      </c>
      <c r="Z422" t="str">
        <f>IF(MSE成绩库!C422="","", MSE成绩库!AC422)</f>
        <v/>
      </c>
    </row>
    <row r="423" spans="1:26" x14ac:dyDescent="0.2">
      <c r="A423" t="str">
        <f>IF(MSE成绩库!C423="","", MSE成绩库!C423)</f>
        <v/>
      </c>
      <c r="B423" t="str">
        <f>IF(MSE成绩库!AD423="","", MSE成绩库!AD423)</f>
        <v/>
      </c>
      <c r="C423" t="str">
        <f>IF(MSE成绩库!B423="","", MSE成绩库!B423)</f>
        <v/>
      </c>
      <c r="D423" t="str">
        <f>IF(MSE成绩库!D423="","", MSE成绩库!D423)</f>
        <v/>
      </c>
      <c r="E423" t="str">
        <f>IF(MSE成绩库!C423="","", MSE成绩库!E423)</f>
        <v/>
      </c>
      <c r="F423" t="str">
        <f>IF(MSE成绩库!C423="","", MSE成绩库!F423)</f>
        <v/>
      </c>
      <c r="G423" t="str">
        <f>IF(MSE成绩库!C423="","", MSE成绩库!G423)</f>
        <v/>
      </c>
      <c r="H423" t="str">
        <f>IF(MSE成绩库!C423="","", MSE成绩库!H423)</f>
        <v/>
      </c>
      <c r="I423" t="str">
        <f>IF(MSE成绩库!C423="","", MSE成绩库!I423)</f>
        <v/>
      </c>
      <c r="J423" t="str">
        <f>IF(MSE成绩库!C423="","", MSE成绩库!J423)</f>
        <v/>
      </c>
      <c r="K423" t="str">
        <f>IF(MSE成绩库!C423="","", MSE成绩库!K423)</f>
        <v/>
      </c>
      <c r="L423" t="str">
        <f>IF(MSE成绩库!C423="","", MSE成绩库!M423)</f>
        <v/>
      </c>
      <c r="M423" t="str">
        <f>IF(MSE成绩库!C423="","", MSE成绩库!N423)</f>
        <v/>
      </c>
      <c r="N423" t="str">
        <f>IF(MSE成绩库!C423="","", MSE成绩库!O423)</f>
        <v/>
      </c>
      <c r="O423" t="str">
        <f>IF(MSE成绩库!C423="","", MSE成绩库!Q423)</f>
        <v/>
      </c>
      <c r="P423" t="str">
        <f>IF(MSE成绩库!C423="","", MSE成绩库!R423)</f>
        <v/>
      </c>
      <c r="Q423" t="str">
        <f>IF(MSE成绩库!C423="","", MSE成绩库!S423)</f>
        <v/>
      </c>
      <c r="R423" t="str">
        <f>IF(MSE成绩库!C423="","", MSE成绩库!T423)</f>
        <v/>
      </c>
      <c r="S423" t="str">
        <f>IF(MSE成绩库!C423="","", MSE成绩库!U423)</f>
        <v/>
      </c>
      <c r="T423" t="str">
        <f>IF(MSE成绩库!C423="","", MSE成绩库!V423)</f>
        <v/>
      </c>
      <c r="U423" t="str">
        <f>IF(MSE成绩库!C423="","", MSE成绩库!X423)</f>
        <v/>
      </c>
      <c r="V423" t="str">
        <f>IF(MSE成绩库!C423="","", MSE成绩库!Y423)</f>
        <v/>
      </c>
      <c r="W423" t="str">
        <f>IF(MSE成绩库!C423="","", MSE成绩库!Z423)</f>
        <v/>
      </c>
      <c r="X423" t="str">
        <f>IF(MSE成绩库!C423="","", MSE成绩库!AA423)</f>
        <v/>
      </c>
      <c r="Y423" t="str">
        <f>IF(MSE成绩库!C423="","", MSE成绩库!AB423)</f>
        <v/>
      </c>
      <c r="Z423" t="str">
        <f>IF(MSE成绩库!C423="","", MSE成绩库!AC423)</f>
        <v/>
      </c>
    </row>
    <row r="424" spans="1:26" x14ac:dyDescent="0.2">
      <c r="A424" t="str">
        <f>IF(MSE成绩库!C424="","", MSE成绩库!C424)</f>
        <v/>
      </c>
      <c r="B424" t="str">
        <f>IF(MSE成绩库!AD424="","", MSE成绩库!AD424)</f>
        <v/>
      </c>
      <c r="C424" t="str">
        <f>IF(MSE成绩库!B424="","", MSE成绩库!B424)</f>
        <v/>
      </c>
      <c r="D424" t="str">
        <f>IF(MSE成绩库!D424="","", MSE成绩库!D424)</f>
        <v/>
      </c>
      <c r="E424" t="str">
        <f>IF(MSE成绩库!C424="","", MSE成绩库!E424)</f>
        <v/>
      </c>
      <c r="F424" t="str">
        <f>IF(MSE成绩库!C424="","", MSE成绩库!F424)</f>
        <v/>
      </c>
      <c r="G424" t="str">
        <f>IF(MSE成绩库!C424="","", MSE成绩库!G424)</f>
        <v/>
      </c>
      <c r="H424" t="str">
        <f>IF(MSE成绩库!C424="","", MSE成绩库!H424)</f>
        <v/>
      </c>
      <c r="I424" t="str">
        <f>IF(MSE成绩库!C424="","", MSE成绩库!I424)</f>
        <v/>
      </c>
      <c r="J424" t="str">
        <f>IF(MSE成绩库!C424="","", MSE成绩库!J424)</f>
        <v/>
      </c>
      <c r="K424" t="str">
        <f>IF(MSE成绩库!C424="","", MSE成绩库!K424)</f>
        <v/>
      </c>
      <c r="L424" t="str">
        <f>IF(MSE成绩库!C424="","", MSE成绩库!M424)</f>
        <v/>
      </c>
      <c r="M424" t="str">
        <f>IF(MSE成绩库!C424="","", MSE成绩库!N424)</f>
        <v/>
      </c>
      <c r="N424" t="str">
        <f>IF(MSE成绩库!C424="","", MSE成绩库!O424)</f>
        <v/>
      </c>
      <c r="O424" t="str">
        <f>IF(MSE成绩库!C424="","", MSE成绩库!Q424)</f>
        <v/>
      </c>
      <c r="P424" t="str">
        <f>IF(MSE成绩库!C424="","", MSE成绩库!R424)</f>
        <v/>
      </c>
      <c r="Q424" t="str">
        <f>IF(MSE成绩库!C424="","", MSE成绩库!S424)</f>
        <v/>
      </c>
      <c r="R424" t="str">
        <f>IF(MSE成绩库!C424="","", MSE成绩库!T424)</f>
        <v/>
      </c>
      <c r="S424" t="str">
        <f>IF(MSE成绩库!C424="","", MSE成绩库!U424)</f>
        <v/>
      </c>
      <c r="T424" t="str">
        <f>IF(MSE成绩库!C424="","", MSE成绩库!V424)</f>
        <v/>
      </c>
      <c r="U424" t="str">
        <f>IF(MSE成绩库!C424="","", MSE成绩库!X424)</f>
        <v/>
      </c>
      <c r="V424" t="str">
        <f>IF(MSE成绩库!C424="","", MSE成绩库!Y424)</f>
        <v/>
      </c>
      <c r="W424" t="str">
        <f>IF(MSE成绩库!C424="","", MSE成绩库!Z424)</f>
        <v/>
      </c>
      <c r="X424" t="str">
        <f>IF(MSE成绩库!C424="","", MSE成绩库!AA424)</f>
        <v/>
      </c>
      <c r="Y424" t="str">
        <f>IF(MSE成绩库!C424="","", MSE成绩库!AB424)</f>
        <v/>
      </c>
      <c r="Z424" t="str">
        <f>IF(MSE成绩库!C424="","", MSE成绩库!AC424)</f>
        <v/>
      </c>
    </row>
    <row r="425" spans="1:26" x14ac:dyDescent="0.2">
      <c r="A425" t="str">
        <f>IF(MSE成绩库!C425="","", MSE成绩库!C425)</f>
        <v/>
      </c>
      <c r="B425" t="str">
        <f>IF(MSE成绩库!AD425="","", MSE成绩库!AD425)</f>
        <v/>
      </c>
      <c r="C425" t="str">
        <f>IF(MSE成绩库!B425="","", MSE成绩库!B425)</f>
        <v/>
      </c>
      <c r="D425" t="str">
        <f>IF(MSE成绩库!D425="","", MSE成绩库!D425)</f>
        <v/>
      </c>
      <c r="E425" t="str">
        <f>IF(MSE成绩库!C425="","", MSE成绩库!E425)</f>
        <v/>
      </c>
      <c r="F425" t="str">
        <f>IF(MSE成绩库!C425="","", MSE成绩库!F425)</f>
        <v/>
      </c>
      <c r="G425" t="str">
        <f>IF(MSE成绩库!C425="","", MSE成绩库!G425)</f>
        <v/>
      </c>
      <c r="H425" t="str">
        <f>IF(MSE成绩库!C425="","", MSE成绩库!H425)</f>
        <v/>
      </c>
      <c r="I425" t="str">
        <f>IF(MSE成绩库!C425="","", MSE成绩库!I425)</f>
        <v/>
      </c>
      <c r="J425" t="str">
        <f>IF(MSE成绩库!C425="","", MSE成绩库!J425)</f>
        <v/>
      </c>
      <c r="K425" t="str">
        <f>IF(MSE成绩库!C425="","", MSE成绩库!K425)</f>
        <v/>
      </c>
      <c r="L425" t="str">
        <f>IF(MSE成绩库!C425="","", MSE成绩库!M425)</f>
        <v/>
      </c>
      <c r="M425" t="str">
        <f>IF(MSE成绩库!C425="","", MSE成绩库!N425)</f>
        <v/>
      </c>
      <c r="N425" t="str">
        <f>IF(MSE成绩库!C425="","", MSE成绩库!O425)</f>
        <v/>
      </c>
      <c r="O425" t="str">
        <f>IF(MSE成绩库!C425="","", MSE成绩库!Q425)</f>
        <v/>
      </c>
      <c r="P425" t="str">
        <f>IF(MSE成绩库!C425="","", MSE成绩库!R425)</f>
        <v/>
      </c>
      <c r="Q425" t="str">
        <f>IF(MSE成绩库!C425="","", MSE成绩库!S425)</f>
        <v/>
      </c>
      <c r="R425" t="str">
        <f>IF(MSE成绩库!C425="","", MSE成绩库!T425)</f>
        <v/>
      </c>
      <c r="S425" t="str">
        <f>IF(MSE成绩库!C425="","", MSE成绩库!U425)</f>
        <v/>
      </c>
      <c r="T425" t="str">
        <f>IF(MSE成绩库!C425="","", MSE成绩库!V425)</f>
        <v/>
      </c>
      <c r="U425" t="str">
        <f>IF(MSE成绩库!C425="","", MSE成绩库!X425)</f>
        <v/>
      </c>
      <c r="V425" t="str">
        <f>IF(MSE成绩库!C425="","", MSE成绩库!Y425)</f>
        <v/>
      </c>
      <c r="W425" t="str">
        <f>IF(MSE成绩库!C425="","", MSE成绩库!Z425)</f>
        <v/>
      </c>
      <c r="X425" t="str">
        <f>IF(MSE成绩库!C425="","", MSE成绩库!AA425)</f>
        <v/>
      </c>
      <c r="Y425" t="str">
        <f>IF(MSE成绩库!C425="","", MSE成绩库!AB425)</f>
        <v/>
      </c>
      <c r="Z425" t="str">
        <f>IF(MSE成绩库!C425="","", MSE成绩库!AC425)</f>
        <v/>
      </c>
    </row>
    <row r="426" spans="1:26" x14ac:dyDescent="0.2">
      <c r="A426" t="str">
        <f>IF(MSE成绩库!C426="","", MSE成绩库!C426)</f>
        <v/>
      </c>
      <c r="B426" t="str">
        <f>IF(MSE成绩库!AD426="","", MSE成绩库!AD426)</f>
        <v/>
      </c>
      <c r="C426" t="str">
        <f>IF(MSE成绩库!B426="","", MSE成绩库!B426)</f>
        <v/>
      </c>
      <c r="D426" t="str">
        <f>IF(MSE成绩库!D426="","", MSE成绩库!D426)</f>
        <v/>
      </c>
      <c r="E426" t="str">
        <f>IF(MSE成绩库!C426="","", MSE成绩库!E426)</f>
        <v/>
      </c>
      <c r="F426" t="str">
        <f>IF(MSE成绩库!C426="","", MSE成绩库!F426)</f>
        <v/>
      </c>
      <c r="G426" t="str">
        <f>IF(MSE成绩库!C426="","", MSE成绩库!G426)</f>
        <v/>
      </c>
      <c r="H426" t="str">
        <f>IF(MSE成绩库!C426="","", MSE成绩库!H426)</f>
        <v/>
      </c>
      <c r="I426" t="str">
        <f>IF(MSE成绩库!C426="","", MSE成绩库!I426)</f>
        <v/>
      </c>
      <c r="J426" t="str">
        <f>IF(MSE成绩库!C426="","", MSE成绩库!J426)</f>
        <v/>
      </c>
      <c r="K426" t="str">
        <f>IF(MSE成绩库!C426="","", MSE成绩库!K426)</f>
        <v/>
      </c>
      <c r="L426" t="str">
        <f>IF(MSE成绩库!C426="","", MSE成绩库!M426)</f>
        <v/>
      </c>
      <c r="M426" t="str">
        <f>IF(MSE成绩库!C426="","", MSE成绩库!N426)</f>
        <v/>
      </c>
      <c r="N426" t="str">
        <f>IF(MSE成绩库!C426="","", MSE成绩库!O426)</f>
        <v/>
      </c>
      <c r="O426" t="str">
        <f>IF(MSE成绩库!C426="","", MSE成绩库!Q426)</f>
        <v/>
      </c>
      <c r="P426" t="str">
        <f>IF(MSE成绩库!C426="","", MSE成绩库!R426)</f>
        <v/>
      </c>
      <c r="Q426" t="str">
        <f>IF(MSE成绩库!C426="","", MSE成绩库!S426)</f>
        <v/>
      </c>
      <c r="R426" t="str">
        <f>IF(MSE成绩库!C426="","", MSE成绩库!T426)</f>
        <v/>
      </c>
      <c r="S426" t="str">
        <f>IF(MSE成绩库!C426="","", MSE成绩库!U426)</f>
        <v/>
      </c>
      <c r="T426" t="str">
        <f>IF(MSE成绩库!C426="","", MSE成绩库!V426)</f>
        <v/>
      </c>
      <c r="U426" t="str">
        <f>IF(MSE成绩库!C426="","", MSE成绩库!X426)</f>
        <v/>
      </c>
      <c r="V426" t="str">
        <f>IF(MSE成绩库!C426="","", MSE成绩库!Y426)</f>
        <v/>
      </c>
      <c r="W426" t="str">
        <f>IF(MSE成绩库!C426="","", MSE成绩库!Z426)</f>
        <v/>
      </c>
      <c r="X426" t="str">
        <f>IF(MSE成绩库!C426="","", MSE成绩库!AA426)</f>
        <v/>
      </c>
      <c r="Y426" t="str">
        <f>IF(MSE成绩库!C426="","", MSE成绩库!AB426)</f>
        <v/>
      </c>
      <c r="Z426" t="str">
        <f>IF(MSE成绩库!C426="","", MSE成绩库!AC426)</f>
        <v/>
      </c>
    </row>
    <row r="427" spans="1:26" x14ac:dyDescent="0.2">
      <c r="A427" t="str">
        <f>IF(MSE成绩库!C427="","", MSE成绩库!C427)</f>
        <v/>
      </c>
      <c r="B427" t="str">
        <f>IF(MSE成绩库!AD427="","", MSE成绩库!AD427)</f>
        <v/>
      </c>
      <c r="C427" t="str">
        <f>IF(MSE成绩库!B427="","", MSE成绩库!B427)</f>
        <v/>
      </c>
      <c r="D427" t="str">
        <f>IF(MSE成绩库!D427="","", MSE成绩库!D427)</f>
        <v/>
      </c>
      <c r="E427" t="str">
        <f>IF(MSE成绩库!C427="","", MSE成绩库!E427)</f>
        <v/>
      </c>
      <c r="F427" t="str">
        <f>IF(MSE成绩库!C427="","", MSE成绩库!F427)</f>
        <v/>
      </c>
      <c r="G427" t="str">
        <f>IF(MSE成绩库!C427="","", MSE成绩库!G427)</f>
        <v/>
      </c>
      <c r="H427" t="str">
        <f>IF(MSE成绩库!C427="","", MSE成绩库!H427)</f>
        <v/>
      </c>
      <c r="I427" t="str">
        <f>IF(MSE成绩库!C427="","", MSE成绩库!I427)</f>
        <v/>
      </c>
      <c r="J427" t="str">
        <f>IF(MSE成绩库!C427="","", MSE成绩库!J427)</f>
        <v/>
      </c>
      <c r="K427" t="str">
        <f>IF(MSE成绩库!C427="","", MSE成绩库!K427)</f>
        <v/>
      </c>
      <c r="L427" t="str">
        <f>IF(MSE成绩库!C427="","", MSE成绩库!M427)</f>
        <v/>
      </c>
      <c r="M427" t="str">
        <f>IF(MSE成绩库!C427="","", MSE成绩库!N427)</f>
        <v/>
      </c>
      <c r="N427" t="str">
        <f>IF(MSE成绩库!C427="","", MSE成绩库!O427)</f>
        <v/>
      </c>
      <c r="O427" t="str">
        <f>IF(MSE成绩库!C427="","", MSE成绩库!Q427)</f>
        <v/>
      </c>
      <c r="P427" t="str">
        <f>IF(MSE成绩库!C427="","", MSE成绩库!R427)</f>
        <v/>
      </c>
      <c r="Q427" t="str">
        <f>IF(MSE成绩库!C427="","", MSE成绩库!S427)</f>
        <v/>
      </c>
      <c r="R427" t="str">
        <f>IF(MSE成绩库!C427="","", MSE成绩库!T427)</f>
        <v/>
      </c>
      <c r="S427" t="str">
        <f>IF(MSE成绩库!C427="","", MSE成绩库!U427)</f>
        <v/>
      </c>
      <c r="T427" t="str">
        <f>IF(MSE成绩库!C427="","", MSE成绩库!V427)</f>
        <v/>
      </c>
      <c r="U427" t="str">
        <f>IF(MSE成绩库!C427="","", MSE成绩库!X427)</f>
        <v/>
      </c>
      <c r="V427" t="str">
        <f>IF(MSE成绩库!C427="","", MSE成绩库!Y427)</f>
        <v/>
      </c>
      <c r="W427" t="str">
        <f>IF(MSE成绩库!C427="","", MSE成绩库!Z427)</f>
        <v/>
      </c>
      <c r="X427" t="str">
        <f>IF(MSE成绩库!C427="","", MSE成绩库!AA427)</f>
        <v/>
      </c>
      <c r="Y427" t="str">
        <f>IF(MSE成绩库!C427="","", MSE成绩库!AB427)</f>
        <v/>
      </c>
      <c r="Z427" t="str">
        <f>IF(MSE成绩库!C427="","", MSE成绩库!AC427)</f>
        <v/>
      </c>
    </row>
    <row r="428" spans="1:26" x14ac:dyDescent="0.2">
      <c r="A428" t="str">
        <f>IF(MSE成绩库!C428="","", MSE成绩库!C428)</f>
        <v/>
      </c>
      <c r="B428" t="str">
        <f>IF(MSE成绩库!AD428="","", MSE成绩库!AD428)</f>
        <v/>
      </c>
      <c r="C428" t="str">
        <f>IF(MSE成绩库!B428="","", MSE成绩库!B428)</f>
        <v/>
      </c>
      <c r="D428" t="str">
        <f>IF(MSE成绩库!D428="","", MSE成绩库!D428)</f>
        <v/>
      </c>
      <c r="E428" t="str">
        <f>IF(MSE成绩库!C428="","", MSE成绩库!E428)</f>
        <v/>
      </c>
      <c r="F428" t="str">
        <f>IF(MSE成绩库!C428="","", MSE成绩库!F428)</f>
        <v/>
      </c>
      <c r="G428" t="str">
        <f>IF(MSE成绩库!C428="","", MSE成绩库!G428)</f>
        <v/>
      </c>
      <c r="H428" t="str">
        <f>IF(MSE成绩库!C428="","", MSE成绩库!H428)</f>
        <v/>
      </c>
      <c r="I428" t="str">
        <f>IF(MSE成绩库!C428="","", MSE成绩库!I428)</f>
        <v/>
      </c>
      <c r="J428" t="str">
        <f>IF(MSE成绩库!C428="","", MSE成绩库!J428)</f>
        <v/>
      </c>
      <c r="K428" t="str">
        <f>IF(MSE成绩库!C428="","", MSE成绩库!K428)</f>
        <v/>
      </c>
      <c r="L428" t="str">
        <f>IF(MSE成绩库!C428="","", MSE成绩库!M428)</f>
        <v/>
      </c>
      <c r="M428" t="str">
        <f>IF(MSE成绩库!C428="","", MSE成绩库!N428)</f>
        <v/>
      </c>
      <c r="N428" t="str">
        <f>IF(MSE成绩库!C428="","", MSE成绩库!O428)</f>
        <v/>
      </c>
      <c r="O428" t="str">
        <f>IF(MSE成绩库!C428="","", MSE成绩库!Q428)</f>
        <v/>
      </c>
      <c r="P428" t="str">
        <f>IF(MSE成绩库!C428="","", MSE成绩库!R428)</f>
        <v/>
      </c>
      <c r="Q428" t="str">
        <f>IF(MSE成绩库!C428="","", MSE成绩库!S428)</f>
        <v/>
      </c>
      <c r="R428" t="str">
        <f>IF(MSE成绩库!C428="","", MSE成绩库!T428)</f>
        <v/>
      </c>
      <c r="S428" t="str">
        <f>IF(MSE成绩库!C428="","", MSE成绩库!U428)</f>
        <v/>
      </c>
      <c r="T428" t="str">
        <f>IF(MSE成绩库!C428="","", MSE成绩库!V428)</f>
        <v/>
      </c>
      <c r="U428" t="str">
        <f>IF(MSE成绩库!C428="","", MSE成绩库!X428)</f>
        <v/>
      </c>
      <c r="V428" t="str">
        <f>IF(MSE成绩库!C428="","", MSE成绩库!Y428)</f>
        <v/>
      </c>
      <c r="W428" t="str">
        <f>IF(MSE成绩库!C428="","", MSE成绩库!Z428)</f>
        <v/>
      </c>
      <c r="X428" t="str">
        <f>IF(MSE成绩库!C428="","", MSE成绩库!AA428)</f>
        <v/>
      </c>
      <c r="Y428" t="str">
        <f>IF(MSE成绩库!C428="","", MSE成绩库!AB428)</f>
        <v/>
      </c>
      <c r="Z428" t="str">
        <f>IF(MSE成绩库!C428="","", MSE成绩库!AC428)</f>
        <v/>
      </c>
    </row>
    <row r="429" spans="1:26" x14ac:dyDescent="0.2">
      <c r="A429" t="str">
        <f>IF(MSE成绩库!C429="","", MSE成绩库!C429)</f>
        <v/>
      </c>
      <c r="B429" t="str">
        <f>IF(MSE成绩库!AD429="","", MSE成绩库!AD429)</f>
        <v/>
      </c>
      <c r="C429" t="str">
        <f>IF(MSE成绩库!B429="","", MSE成绩库!B429)</f>
        <v/>
      </c>
      <c r="D429" t="str">
        <f>IF(MSE成绩库!D429="","", MSE成绩库!D429)</f>
        <v/>
      </c>
      <c r="E429" t="str">
        <f>IF(MSE成绩库!C429="","", MSE成绩库!E429)</f>
        <v/>
      </c>
      <c r="F429" t="str">
        <f>IF(MSE成绩库!C429="","", MSE成绩库!F429)</f>
        <v/>
      </c>
      <c r="G429" t="str">
        <f>IF(MSE成绩库!C429="","", MSE成绩库!G429)</f>
        <v/>
      </c>
      <c r="H429" t="str">
        <f>IF(MSE成绩库!C429="","", MSE成绩库!H429)</f>
        <v/>
      </c>
      <c r="I429" t="str">
        <f>IF(MSE成绩库!C429="","", MSE成绩库!I429)</f>
        <v/>
      </c>
      <c r="J429" t="str">
        <f>IF(MSE成绩库!C429="","", MSE成绩库!J429)</f>
        <v/>
      </c>
      <c r="K429" t="str">
        <f>IF(MSE成绩库!C429="","", MSE成绩库!K429)</f>
        <v/>
      </c>
      <c r="L429" t="str">
        <f>IF(MSE成绩库!C429="","", MSE成绩库!M429)</f>
        <v/>
      </c>
      <c r="M429" t="str">
        <f>IF(MSE成绩库!C429="","", MSE成绩库!N429)</f>
        <v/>
      </c>
      <c r="N429" t="str">
        <f>IF(MSE成绩库!C429="","", MSE成绩库!O429)</f>
        <v/>
      </c>
      <c r="O429" t="str">
        <f>IF(MSE成绩库!C429="","", MSE成绩库!Q429)</f>
        <v/>
      </c>
      <c r="P429" t="str">
        <f>IF(MSE成绩库!C429="","", MSE成绩库!R429)</f>
        <v/>
      </c>
      <c r="Q429" t="str">
        <f>IF(MSE成绩库!C429="","", MSE成绩库!S429)</f>
        <v/>
      </c>
      <c r="R429" t="str">
        <f>IF(MSE成绩库!C429="","", MSE成绩库!T429)</f>
        <v/>
      </c>
      <c r="S429" t="str">
        <f>IF(MSE成绩库!C429="","", MSE成绩库!U429)</f>
        <v/>
      </c>
      <c r="T429" t="str">
        <f>IF(MSE成绩库!C429="","", MSE成绩库!V429)</f>
        <v/>
      </c>
      <c r="U429" t="str">
        <f>IF(MSE成绩库!C429="","", MSE成绩库!X429)</f>
        <v/>
      </c>
      <c r="V429" t="str">
        <f>IF(MSE成绩库!C429="","", MSE成绩库!Y429)</f>
        <v/>
      </c>
      <c r="W429" t="str">
        <f>IF(MSE成绩库!C429="","", MSE成绩库!Z429)</f>
        <v/>
      </c>
      <c r="X429" t="str">
        <f>IF(MSE成绩库!C429="","", MSE成绩库!AA429)</f>
        <v/>
      </c>
      <c r="Y429" t="str">
        <f>IF(MSE成绩库!C429="","", MSE成绩库!AB429)</f>
        <v/>
      </c>
      <c r="Z429" t="str">
        <f>IF(MSE成绩库!C429="","", MSE成绩库!AC429)</f>
        <v/>
      </c>
    </row>
    <row r="430" spans="1:26" x14ac:dyDescent="0.2">
      <c r="A430" t="str">
        <f>IF(MSE成绩库!C430="","", MSE成绩库!C430)</f>
        <v/>
      </c>
      <c r="B430" t="str">
        <f>IF(MSE成绩库!AD430="","", MSE成绩库!AD430)</f>
        <v/>
      </c>
      <c r="C430" t="str">
        <f>IF(MSE成绩库!B430="","", MSE成绩库!B430)</f>
        <v/>
      </c>
      <c r="D430" t="str">
        <f>IF(MSE成绩库!D430="","", MSE成绩库!D430)</f>
        <v/>
      </c>
      <c r="E430" t="str">
        <f>IF(MSE成绩库!C430="","", MSE成绩库!E430)</f>
        <v/>
      </c>
      <c r="F430" t="str">
        <f>IF(MSE成绩库!C430="","", MSE成绩库!F430)</f>
        <v/>
      </c>
      <c r="G430" t="str">
        <f>IF(MSE成绩库!C430="","", MSE成绩库!G430)</f>
        <v/>
      </c>
      <c r="H430" t="str">
        <f>IF(MSE成绩库!C430="","", MSE成绩库!H430)</f>
        <v/>
      </c>
      <c r="I430" t="str">
        <f>IF(MSE成绩库!C430="","", MSE成绩库!I430)</f>
        <v/>
      </c>
      <c r="J430" t="str">
        <f>IF(MSE成绩库!C430="","", MSE成绩库!J430)</f>
        <v/>
      </c>
      <c r="K430" t="str">
        <f>IF(MSE成绩库!C430="","", MSE成绩库!K430)</f>
        <v/>
      </c>
      <c r="L430" t="str">
        <f>IF(MSE成绩库!C430="","", MSE成绩库!M430)</f>
        <v/>
      </c>
      <c r="M430" t="str">
        <f>IF(MSE成绩库!C430="","", MSE成绩库!N430)</f>
        <v/>
      </c>
      <c r="N430" t="str">
        <f>IF(MSE成绩库!C430="","", MSE成绩库!O430)</f>
        <v/>
      </c>
      <c r="O430" t="str">
        <f>IF(MSE成绩库!C430="","", MSE成绩库!Q430)</f>
        <v/>
      </c>
      <c r="P430" t="str">
        <f>IF(MSE成绩库!C430="","", MSE成绩库!R430)</f>
        <v/>
      </c>
      <c r="Q430" t="str">
        <f>IF(MSE成绩库!C430="","", MSE成绩库!S430)</f>
        <v/>
      </c>
      <c r="R430" t="str">
        <f>IF(MSE成绩库!C430="","", MSE成绩库!T430)</f>
        <v/>
      </c>
      <c r="S430" t="str">
        <f>IF(MSE成绩库!C430="","", MSE成绩库!U430)</f>
        <v/>
      </c>
      <c r="T430" t="str">
        <f>IF(MSE成绩库!C430="","", MSE成绩库!V430)</f>
        <v/>
      </c>
      <c r="U430" t="str">
        <f>IF(MSE成绩库!C430="","", MSE成绩库!X430)</f>
        <v/>
      </c>
      <c r="V430" t="str">
        <f>IF(MSE成绩库!C430="","", MSE成绩库!Y430)</f>
        <v/>
      </c>
      <c r="W430" t="str">
        <f>IF(MSE成绩库!C430="","", MSE成绩库!Z430)</f>
        <v/>
      </c>
      <c r="X430" t="str">
        <f>IF(MSE成绩库!C430="","", MSE成绩库!AA430)</f>
        <v/>
      </c>
      <c r="Y430" t="str">
        <f>IF(MSE成绩库!C430="","", MSE成绩库!AB430)</f>
        <v/>
      </c>
      <c r="Z430" t="str">
        <f>IF(MSE成绩库!C430="","", MSE成绩库!AC430)</f>
        <v/>
      </c>
    </row>
    <row r="431" spans="1:26" x14ac:dyDescent="0.2">
      <c r="A431" t="str">
        <f>IF(MSE成绩库!C431="","", MSE成绩库!C431)</f>
        <v/>
      </c>
      <c r="B431" t="str">
        <f>IF(MSE成绩库!AD431="","", MSE成绩库!AD431)</f>
        <v/>
      </c>
      <c r="C431" t="str">
        <f>IF(MSE成绩库!B431="","", MSE成绩库!B431)</f>
        <v/>
      </c>
      <c r="D431" t="str">
        <f>IF(MSE成绩库!D431="","", MSE成绩库!D431)</f>
        <v/>
      </c>
      <c r="E431" t="str">
        <f>IF(MSE成绩库!C431="","", MSE成绩库!E431)</f>
        <v/>
      </c>
      <c r="F431" t="str">
        <f>IF(MSE成绩库!C431="","", MSE成绩库!F431)</f>
        <v/>
      </c>
      <c r="G431" t="str">
        <f>IF(MSE成绩库!C431="","", MSE成绩库!G431)</f>
        <v/>
      </c>
      <c r="H431" t="str">
        <f>IF(MSE成绩库!C431="","", MSE成绩库!H431)</f>
        <v/>
      </c>
      <c r="I431" t="str">
        <f>IF(MSE成绩库!C431="","", MSE成绩库!I431)</f>
        <v/>
      </c>
      <c r="J431" t="str">
        <f>IF(MSE成绩库!C431="","", MSE成绩库!J431)</f>
        <v/>
      </c>
      <c r="K431" t="str">
        <f>IF(MSE成绩库!C431="","", MSE成绩库!K431)</f>
        <v/>
      </c>
      <c r="L431" t="str">
        <f>IF(MSE成绩库!C431="","", MSE成绩库!M431)</f>
        <v/>
      </c>
      <c r="M431" t="str">
        <f>IF(MSE成绩库!C431="","", MSE成绩库!N431)</f>
        <v/>
      </c>
      <c r="N431" t="str">
        <f>IF(MSE成绩库!C431="","", MSE成绩库!O431)</f>
        <v/>
      </c>
      <c r="O431" t="str">
        <f>IF(MSE成绩库!C431="","", MSE成绩库!Q431)</f>
        <v/>
      </c>
      <c r="P431" t="str">
        <f>IF(MSE成绩库!C431="","", MSE成绩库!R431)</f>
        <v/>
      </c>
      <c r="Q431" t="str">
        <f>IF(MSE成绩库!C431="","", MSE成绩库!S431)</f>
        <v/>
      </c>
      <c r="R431" t="str">
        <f>IF(MSE成绩库!C431="","", MSE成绩库!T431)</f>
        <v/>
      </c>
      <c r="S431" t="str">
        <f>IF(MSE成绩库!C431="","", MSE成绩库!U431)</f>
        <v/>
      </c>
      <c r="T431" t="str">
        <f>IF(MSE成绩库!C431="","", MSE成绩库!V431)</f>
        <v/>
      </c>
      <c r="U431" t="str">
        <f>IF(MSE成绩库!C431="","", MSE成绩库!X431)</f>
        <v/>
      </c>
      <c r="V431" t="str">
        <f>IF(MSE成绩库!C431="","", MSE成绩库!Y431)</f>
        <v/>
      </c>
      <c r="W431" t="str">
        <f>IF(MSE成绩库!C431="","", MSE成绩库!Z431)</f>
        <v/>
      </c>
      <c r="X431" t="str">
        <f>IF(MSE成绩库!C431="","", MSE成绩库!AA431)</f>
        <v/>
      </c>
      <c r="Y431" t="str">
        <f>IF(MSE成绩库!C431="","", MSE成绩库!AB431)</f>
        <v/>
      </c>
      <c r="Z431" t="str">
        <f>IF(MSE成绩库!C431="","", MSE成绩库!AC431)</f>
        <v/>
      </c>
    </row>
    <row r="432" spans="1:26" x14ac:dyDescent="0.2">
      <c r="A432" t="str">
        <f>IF(MSE成绩库!C432="","", MSE成绩库!C432)</f>
        <v/>
      </c>
      <c r="B432" t="str">
        <f>IF(MSE成绩库!AD432="","", MSE成绩库!AD432)</f>
        <v/>
      </c>
      <c r="C432" t="str">
        <f>IF(MSE成绩库!B432="","", MSE成绩库!B432)</f>
        <v/>
      </c>
      <c r="D432" t="str">
        <f>IF(MSE成绩库!D432="","", MSE成绩库!D432)</f>
        <v/>
      </c>
      <c r="E432" t="str">
        <f>IF(MSE成绩库!C432="","", MSE成绩库!E432)</f>
        <v/>
      </c>
      <c r="F432" t="str">
        <f>IF(MSE成绩库!C432="","", MSE成绩库!F432)</f>
        <v/>
      </c>
      <c r="G432" t="str">
        <f>IF(MSE成绩库!C432="","", MSE成绩库!G432)</f>
        <v/>
      </c>
      <c r="H432" t="str">
        <f>IF(MSE成绩库!C432="","", MSE成绩库!H432)</f>
        <v/>
      </c>
      <c r="I432" t="str">
        <f>IF(MSE成绩库!C432="","", MSE成绩库!I432)</f>
        <v/>
      </c>
      <c r="J432" t="str">
        <f>IF(MSE成绩库!C432="","", MSE成绩库!J432)</f>
        <v/>
      </c>
      <c r="K432" t="str">
        <f>IF(MSE成绩库!C432="","", MSE成绩库!K432)</f>
        <v/>
      </c>
      <c r="L432" t="str">
        <f>IF(MSE成绩库!C432="","", MSE成绩库!M432)</f>
        <v/>
      </c>
      <c r="M432" t="str">
        <f>IF(MSE成绩库!C432="","", MSE成绩库!N432)</f>
        <v/>
      </c>
      <c r="N432" t="str">
        <f>IF(MSE成绩库!C432="","", MSE成绩库!O432)</f>
        <v/>
      </c>
      <c r="O432" t="str">
        <f>IF(MSE成绩库!C432="","", MSE成绩库!Q432)</f>
        <v/>
      </c>
      <c r="P432" t="str">
        <f>IF(MSE成绩库!C432="","", MSE成绩库!R432)</f>
        <v/>
      </c>
      <c r="Q432" t="str">
        <f>IF(MSE成绩库!C432="","", MSE成绩库!S432)</f>
        <v/>
      </c>
      <c r="R432" t="str">
        <f>IF(MSE成绩库!C432="","", MSE成绩库!T432)</f>
        <v/>
      </c>
      <c r="S432" t="str">
        <f>IF(MSE成绩库!C432="","", MSE成绩库!U432)</f>
        <v/>
      </c>
      <c r="T432" t="str">
        <f>IF(MSE成绩库!C432="","", MSE成绩库!V432)</f>
        <v/>
      </c>
      <c r="U432" t="str">
        <f>IF(MSE成绩库!C432="","", MSE成绩库!X432)</f>
        <v/>
      </c>
      <c r="V432" t="str">
        <f>IF(MSE成绩库!C432="","", MSE成绩库!Y432)</f>
        <v/>
      </c>
      <c r="W432" t="str">
        <f>IF(MSE成绩库!C432="","", MSE成绩库!Z432)</f>
        <v/>
      </c>
      <c r="X432" t="str">
        <f>IF(MSE成绩库!C432="","", MSE成绩库!AA432)</f>
        <v/>
      </c>
      <c r="Y432" t="str">
        <f>IF(MSE成绩库!C432="","", MSE成绩库!AB432)</f>
        <v/>
      </c>
      <c r="Z432" t="str">
        <f>IF(MSE成绩库!C432="","", MSE成绩库!AC432)</f>
        <v/>
      </c>
    </row>
    <row r="433" spans="1:26" x14ac:dyDescent="0.2">
      <c r="A433" t="str">
        <f>IF(MSE成绩库!C433="","", MSE成绩库!C433)</f>
        <v/>
      </c>
      <c r="B433" t="str">
        <f>IF(MSE成绩库!AD433="","", MSE成绩库!AD433)</f>
        <v/>
      </c>
      <c r="C433" t="str">
        <f>IF(MSE成绩库!B433="","", MSE成绩库!B433)</f>
        <v/>
      </c>
      <c r="D433" t="str">
        <f>IF(MSE成绩库!D433="","", MSE成绩库!D433)</f>
        <v/>
      </c>
      <c r="E433" t="str">
        <f>IF(MSE成绩库!C433="","", MSE成绩库!E433)</f>
        <v/>
      </c>
      <c r="F433" t="str">
        <f>IF(MSE成绩库!C433="","", MSE成绩库!F433)</f>
        <v/>
      </c>
      <c r="G433" t="str">
        <f>IF(MSE成绩库!C433="","", MSE成绩库!G433)</f>
        <v/>
      </c>
      <c r="H433" t="str">
        <f>IF(MSE成绩库!C433="","", MSE成绩库!H433)</f>
        <v/>
      </c>
      <c r="I433" t="str">
        <f>IF(MSE成绩库!C433="","", MSE成绩库!I433)</f>
        <v/>
      </c>
      <c r="J433" t="str">
        <f>IF(MSE成绩库!C433="","", MSE成绩库!J433)</f>
        <v/>
      </c>
      <c r="K433" t="str">
        <f>IF(MSE成绩库!C433="","", MSE成绩库!K433)</f>
        <v/>
      </c>
      <c r="L433" t="str">
        <f>IF(MSE成绩库!C433="","", MSE成绩库!M433)</f>
        <v/>
      </c>
      <c r="M433" t="str">
        <f>IF(MSE成绩库!C433="","", MSE成绩库!N433)</f>
        <v/>
      </c>
      <c r="N433" t="str">
        <f>IF(MSE成绩库!C433="","", MSE成绩库!O433)</f>
        <v/>
      </c>
      <c r="O433" t="str">
        <f>IF(MSE成绩库!C433="","", MSE成绩库!Q433)</f>
        <v/>
      </c>
      <c r="P433" t="str">
        <f>IF(MSE成绩库!C433="","", MSE成绩库!R433)</f>
        <v/>
      </c>
      <c r="Q433" t="str">
        <f>IF(MSE成绩库!C433="","", MSE成绩库!S433)</f>
        <v/>
      </c>
      <c r="R433" t="str">
        <f>IF(MSE成绩库!C433="","", MSE成绩库!T433)</f>
        <v/>
      </c>
      <c r="S433" t="str">
        <f>IF(MSE成绩库!C433="","", MSE成绩库!U433)</f>
        <v/>
      </c>
      <c r="T433" t="str">
        <f>IF(MSE成绩库!C433="","", MSE成绩库!V433)</f>
        <v/>
      </c>
      <c r="U433" t="str">
        <f>IF(MSE成绩库!C433="","", MSE成绩库!X433)</f>
        <v/>
      </c>
      <c r="V433" t="str">
        <f>IF(MSE成绩库!C433="","", MSE成绩库!Y433)</f>
        <v/>
      </c>
      <c r="W433" t="str">
        <f>IF(MSE成绩库!C433="","", MSE成绩库!Z433)</f>
        <v/>
      </c>
      <c r="X433" t="str">
        <f>IF(MSE成绩库!C433="","", MSE成绩库!AA433)</f>
        <v/>
      </c>
      <c r="Y433" t="str">
        <f>IF(MSE成绩库!C433="","", MSE成绩库!AB433)</f>
        <v/>
      </c>
      <c r="Z433" t="str">
        <f>IF(MSE成绩库!C433="","", MSE成绩库!AC433)</f>
        <v/>
      </c>
    </row>
    <row r="434" spans="1:26" x14ac:dyDescent="0.2">
      <c r="A434" t="str">
        <f>IF(MSE成绩库!C434="","", MSE成绩库!C434)</f>
        <v/>
      </c>
      <c r="B434" t="str">
        <f>IF(MSE成绩库!AD434="","", MSE成绩库!AD434)</f>
        <v/>
      </c>
      <c r="C434" t="str">
        <f>IF(MSE成绩库!B434="","", MSE成绩库!B434)</f>
        <v/>
      </c>
      <c r="D434" t="str">
        <f>IF(MSE成绩库!D434="","", MSE成绩库!D434)</f>
        <v/>
      </c>
      <c r="E434" t="str">
        <f>IF(MSE成绩库!C434="","", MSE成绩库!E434)</f>
        <v/>
      </c>
      <c r="F434" t="str">
        <f>IF(MSE成绩库!C434="","", MSE成绩库!F434)</f>
        <v/>
      </c>
      <c r="G434" t="str">
        <f>IF(MSE成绩库!C434="","", MSE成绩库!G434)</f>
        <v/>
      </c>
      <c r="H434" t="str">
        <f>IF(MSE成绩库!C434="","", MSE成绩库!H434)</f>
        <v/>
      </c>
      <c r="I434" t="str">
        <f>IF(MSE成绩库!C434="","", MSE成绩库!I434)</f>
        <v/>
      </c>
      <c r="J434" t="str">
        <f>IF(MSE成绩库!C434="","", MSE成绩库!J434)</f>
        <v/>
      </c>
      <c r="K434" t="str">
        <f>IF(MSE成绩库!C434="","", MSE成绩库!K434)</f>
        <v/>
      </c>
      <c r="L434" t="str">
        <f>IF(MSE成绩库!C434="","", MSE成绩库!M434)</f>
        <v/>
      </c>
      <c r="M434" t="str">
        <f>IF(MSE成绩库!C434="","", MSE成绩库!N434)</f>
        <v/>
      </c>
      <c r="N434" t="str">
        <f>IF(MSE成绩库!C434="","", MSE成绩库!O434)</f>
        <v/>
      </c>
      <c r="O434" t="str">
        <f>IF(MSE成绩库!C434="","", MSE成绩库!Q434)</f>
        <v/>
      </c>
      <c r="P434" t="str">
        <f>IF(MSE成绩库!C434="","", MSE成绩库!R434)</f>
        <v/>
      </c>
      <c r="Q434" t="str">
        <f>IF(MSE成绩库!C434="","", MSE成绩库!S434)</f>
        <v/>
      </c>
      <c r="R434" t="str">
        <f>IF(MSE成绩库!C434="","", MSE成绩库!T434)</f>
        <v/>
      </c>
      <c r="S434" t="str">
        <f>IF(MSE成绩库!C434="","", MSE成绩库!U434)</f>
        <v/>
      </c>
      <c r="T434" t="str">
        <f>IF(MSE成绩库!C434="","", MSE成绩库!V434)</f>
        <v/>
      </c>
      <c r="U434" t="str">
        <f>IF(MSE成绩库!C434="","", MSE成绩库!X434)</f>
        <v/>
      </c>
      <c r="V434" t="str">
        <f>IF(MSE成绩库!C434="","", MSE成绩库!Y434)</f>
        <v/>
      </c>
      <c r="W434" t="str">
        <f>IF(MSE成绩库!C434="","", MSE成绩库!Z434)</f>
        <v/>
      </c>
      <c r="X434" t="str">
        <f>IF(MSE成绩库!C434="","", MSE成绩库!AA434)</f>
        <v/>
      </c>
      <c r="Y434" t="str">
        <f>IF(MSE成绩库!C434="","", MSE成绩库!AB434)</f>
        <v/>
      </c>
      <c r="Z434" t="str">
        <f>IF(MSE成绩库!C434="","", MSE成绩库!AC434)</f>
        <v/>
      </c>
    </row>
    <row r="435" spans="1:26" x14ac:dyDescent="0.2">
      <c r="A435" t="str">
        <f>IF(MSE成绩库!C435="","", MSE成绩库!C435)</f>
        <v/>
      </c>
      <c r="B435" t="str">
        <f>IF(MSE成绩库!AD435="","", MSE成绩库!AD435)</f>
        <v/>
      </c>
      <c r="C435" t="str">
        <f>IF(MSE成绩库!B435="","", MSE成绩库!B435)</f>
        <v/>
      </c>
      <c r="D435" t="str">
        <f>IF(MSE成绩库!D435="","", MSE成绩库!D435)</f>
        <v/>
      </c>
      <c r="E435" t="str">
        <f>IF(MSE成绩库!C435="","", MSE成绩库!E435)</f>
        <v/>
      </c>
      <c r="F435" t="str">
        <f>IF(MSE成绩库!C435="","", MSE成绩库!F435)</f>
        <v/>
      </c>
      <c r="G435" t="str">
        <f>IF(MSE成绩库!C435="","", MSE成绩库!G435)</f>
        <v/>
      </c>
      <c r="H435" t="str">
        <f>IF(MSE成绩库!C435="","", MSE成绩库!H435)</f>
        <v/>
      </c>
      <c r="I435" t="str">
        <f>IF(MSE成绩库!C435="","", MSE成绩库!I435)</f>
        <v/>
      </c>
      <c r="J435" t="str">
        <f>IF(MSE成绩库!C435="","", MSE成绩库!J435)</f>
        <v/>
      </c>
      <c r="K435" t="str">
        <f>IF(MSE成绩库!C435="","", MSE成绩库!K435)</f>
        <v/>
      </c>
      <c r="L435" t="str">
        <f>IF(MSE成绩库!C435="","", MSE成绩库!M435)</f>
        <v/>
      </c>
      <c r="M435" t="str">
        <f>IF(MSE成绩库!C435="","", MSE成绩库!N435)</f>
        <v/>
      </c>
      <c r="N435" t="str">
        <f>IF(MSE成绩库!C435="","", MSE成绩库!O435)</f>
        <v/>
      </c>
      <c r="O435" t="str">
        <f>IF(MSE成绩库!C435="","", MSE成绩库!Q435)</f>
        <v/>
      </c>
      <c r="P435" t="str">
        <f>IF(MSE成绩库!C435="","", MSE成绩库!R435)</f>
        <v/>
      </c>
      <c r="Q435" t="str">
        <f>IF(MSE成绩库!C435="","", MSE成绩库!S435)</f>
        <v/>
      </c>
      <c r="R435" t="str">
        <f>IF(MSE成绩库!C435="","", MSE成绩库!T435)</f>
        <v/>
      </c>
      <c r="S435" t="str">
        <f>IF(MSE成绩库!C435="","", MSE成绩库!U435)</f>
        <v/>
      </c>
      <c r="T435" t="str">
        <f>IF(MSE成绩库!C435="","", MSE成绩库!V435)</f>
        <v/>
      </c>
      <c r="U435" t="str">
        <f>IF(MSE成绩库!C435="","", MSE成绩库!X435)</f>
        <v/>
      </c>
      <c r="V435" t="str">
        <f>IF(MSE成绩库!C435="","", MSE成绩库!Y435)</f>
        <v/>
      </c>
      <c r="W435" t="str">
        <f>IF(MSE成绩库!C435="","", MSE成绩库!Z435)</f>
        <v/>
      </c>
      <c r="X435" t="str">
        <f>IF(MSE成绩库!C435="","", MSE成绩库!AA435)</f>
        <v/>
      </c>
      <c r="Y435" t="str">
        <f>IF(MSE成绩库!C435="","", MSE成绩库!AB435)</f>
        <v/>
      </c>
      <c r="Z435" t="str">
        <f>IF(MSE成绩库!C435="","", MSE成绩库!AC435)</f>
        <v/>
      </c>
    </row>
    <row r="436" spans="1:26" x14ac:dyDescent="0.2">
      <c r="A436" t="str">
        <f>IF(MSE成绩库!C436="","", MSE成绩库!C436)</f>
        <v/>
      </c>
      <c r="B436" t="str">
        <f>IF(MSE成绩库!AD436="","", MSE成绩库!AD436)</f>
        <v/>
      </c>
      <c r="C436" t="str">
        <f>IF(MSE成绩库!B436="","", MSE成绩库!B436)</f>
        <v/>
      </c>
      <c r="D436" t="str">
        <f>IF(MSE成绩库!D436="","", MSE成绩库!D436)</f>
        <v/>
      </c>
      <c r="E436" t="str">
        <f>IF(MSE成绩库!C436="","", MSE成绩库!E436)</f>
        <v/>
      </c>
      <c r="F436" t="str">
        <f>IF(MSE成绩库!C436="","", MSE成绩库!F436)</f>
        <v/>
      </c>
      <c r="G436" t="str">
        <f>IF(MSE成绩库!C436="","", MSE成绩库!G436)</f>
        <v/>
      </c>
      <c r="H436" t="str">
        <f>IF(MSE成绩库!C436="","", MSE成绩库!H436)</f>
        <v/>
      </c>
      <c r="I436" t="str">
        <f>IF(MSE成绩库!C436="","", MSE成绩库!I436)</f>
        <v/>
      </c>
      <c r="J436" t="str">
        <f>IF(MSE成绩库!C436="","", MSE成绩库!J436)</f>
        <v/>
      </c>
      <c r="K436" t="str">
        <f>IF(MSE成绩库!C436="","", MSE成绩库!K436)</f>
        <v/>
      </c>
      <c r="L436" t="str">
        <f>IF(MSE成绩库!C436="","", MSE成绩库!M436)</f>
        <v/>
      </c>
      <c r="M436" t="str">
        <f>IF(MSE成绩库!C436="","", MSE成绩库!N436)</f>
        <v/>
      </c>
      <c r="N436" t="str">
        <f>IF(MSE成绩库!C436="","", MSE成绩库!O436)</f>
        <v/>
      </c>
      <c r="O436" t="str">
        <f>IF(MSE成绩库!C436="","", MSE成绩库!Q436)</f>
        <v/>
      </c>
      <c r="P436" t="str">
        <f>IF(MSE成绩库!C436="","", MSE成绩库!R436)</f>
        <v/>
      </c>
      <c r="Q436" t="str">
        <f>IF(MSE成绩库!C436="","", MSE成绩库!S436)</f>
        <v/>
      </c>
      <c r="R436" t="str">
        <f>IF(MSE成绩库!C436="","", MSE成绩库!T436)</f>
        <v/>
      </c>
      <c r="S436" t="str">
        <f>IF(MSE成绩库!C436="","", MSE成绩库!U436)</f>
        <v/>
      </c>
      <c r="T436" t="str">
        <f>IF(MSE成绩库!C436="","", MSE成绩库!V436)</f>
        <v/>
      </c>
      <c r="U436" t="str">
        <f>IF(MSE成绩库!C436="","", MSE成绩库!X436)</f>
        <v/>
      </c>
      <c r="V436" t="str">
        <f>IF(MSE成绩库!C436="","", MSE成绩库!Y436)</f>
        <v/>
      </c>
      <c r="W436" t="str">
        <f>IF(MSE成绩库!C436="","", MSE成绩库!Z436)</f>
        <v/>
      </c>
      <c r="X436" t="str">
        <f>IF(MSE成绩库!C436="","", MSE成绩库!AA436)</f>
        <v/>
      </c>
      <c r="Y436" t="str">
        <f>IF(MSE成绩库!C436="","", MSE成绩库!AB436)</f>
        <v/>
      </c>
      <c r="Z436" t="str">
        <f>IF(MSE成绩库!C436="","", MSE成绩库!AC436)</f>
        <v/>
      </c>
    </row>
    <row r="437" spans="1:26" x14ac:dyDescent="0.2">
      <c r="A437" t="str">
        <f>IF(MSE成绩库!C437="","", MSE成绩库!C437)</f>
        <v/>
      </c>
      <c r="B437" t="str">
        <f>IF(MSE成绩库!AD437="","", MSE成绩库!AD437)</f>
        <v/>
      </c>
      <c r="C437" t="str">
        <f>IF(MSE成绩库!B437="","", MSE成绩库!B437)</f>
        <v/>
      </c>
      <c r="D437" t="str">
        <f>IF(MSE成绩库!D437="","", MSE成绩库!D437)</f>
        <v/>
      </c>
      <c r="E437" t="str">
        <f>IF(MSE成绩库!C437="","", MSE成绩库!E437)</f>
        <v/>
      </c>
      <c r="F437" t="str">
        <f>IF(MSE成绩库!C437="","", MSE成绩库!F437)</f>
        <v/>
      </c>
      <c r="G437" t="str">
        <f>IF(MSE成绩库!C437="","", MSE成绩库!G437)</f>
        <v/>
      </c>
      <c r="H437" t="str">
        <f>IF(MSE成绩库!C437="","", MSE成绩库!H437)</f>
        <v/>
      </c>
      <c r="I437" t="str">
        <f>IF(MSE成绩库!C437="","", MSE成绩库!I437)</f>
        <v/>
      </c>
      <c r="J437" t="str">
        <f>IF(MSE成绩库!C437="","", MSE成绩库!J437)</f>
        <v/>
      </c>
      <c r="K437" t="str">
        <f>IF(MSE成绩库!C437="","", MSE成绩库!K437)</f>
        <v/>
      </c>
      <c r="L437" t="str">
        <f>IF(MSE成绩库!C437="","", MSE成绩库!M437)</f>
        <v/>
      </c>
      <c r="M437" t="str">
        <f>IF(MSE成绩库!C437="","", MSE成绩库!N437)</f>
        <v/>
      </c>
      <c r="N437" t="str">
        <f>IF(MSE成绩库!C437="","", MSE成绩库!O437)</f>
        <v/>
      </c>
      <c r="O437" t="str">
        <f>IF(MSE成绩库!C437="","", MSE成绩库!Q437)</f>
        <v/>
      </c>
      <c r="P437" t="str">
        <f>IF(MSE成绩库!C437="","", MSE成绩库!R437)</f>
        <v/>
      </c>
      <c r="Q437" t="str">
        <f>IF(MSE成绩库!C437="","", MSE成绩库!S437)</f>
        <v/>
      </c>
      <c r="R437" t="str">
        <f>IF(MSE成绩库!C437="","", MSE成绩库!T437)</f>
        <v/>
      </c>
      <c r="S437" t="str">
        <f>IF(MSE成绩库!C437="","", MSE成绩库!U437)</f>
        <v/>
      </c>
      <c r="T437" t="str">
        <f>IF(MSE成绩库!C437="","", MSE成绩库!V437)</f>
        <v/>
      </c>
      <c r="U437" t="str">
        <f>IF(MSE成绩库!C437="","", MSE成绩库!X437)</f>
        <v/>
      </c>
      <c r="V437" t="str">
        <f>IF(MSE成绩库!C437="","", MSE成绩库!Y437)</f>
        <v/>
      </c>
      <c r="W437" t="str">
        <f>IF(MSE成绩库!C437="","", MSE成绩库!Z437)</f>
        <v/>
      </c>
      <c r="X437" t="str">
        <f>IF(MSE成绩库!C437="","", MSE成绩库!AA437)</f>
        <v/>
      </c>
      <c r="Y437" t="str">
        <f>IF(MSE成绩库!C437="","", MSE成绩库!AB437)</f>
        <v/>
      </c>
      <c r="Z437" t="str">
        <f>IF(MSE成绩库!C437="","", MSE成绩库!AC437)</f>
        <v/>
      </c>
    </row>
    <row r="438" spans="1:26" x14ac:dyDescent="0.2">
      <c r="A438" t="str">
        <f>IF(MSE成绩库!C438="","", MSE成绩库!C438)</f>
        <v/>
      </c>
      <c r="B438" t="str">
        <f>IF(MSE成绩库!AD438="","", MSE成绩库!AD438)</f>
        <v/>
      </c>
      <c r="C438" t="str">
        <f>IF(MSE成绩库!B438="","", MSE成绩库!B438)</f>
        <v/>
      </c>
      <c r="D438" t="str">
        <f>IF(MSE成绩库!D438="","", MSE成绩库!D438)</f>
        <v/>
      </c>
      <c r="E438" t="str">
        <f>IF(MSE成绩库!C438="","", MSE成绩库!E438)</f>
        <v/>
      </c>
      <c r="F438" t="str">
        <f>IF(MSE成绩库!C438="","", MSE成绩库!F438)</f>
        <v/>
      </c>
      <c r="G438" t="str">
        <f>IF(MSE成绩库!C438="","", MSE成绩库!G438)</f>
        <v/>
      </c>
      <c r="H438" t="str">
        <f>IF(MSE成绩库!C438="","", MSE成绩库!H438)</f>
        <v/>
      </c>
      <c r="I438" t="str">
        <f>IF(MSE成绩库!C438="","", MSE成绩库!I438)</f>
        <v/>
      </c>
      <c r="J438" t="str">
        <f>IF(MSE成绩库!C438="","", MSE成绩库!J438)</f>
        <v/>
      </c>
      <c r="K438" t="str">
        <f>IF(MSE成绩库!C438="","", MSE成绩库!K438)</f>
        <v/>
      </c>
      <c r="L438" t="str">
        <f>IF(MSE成绩库!C438="","", MSE成绩库!M438)</f>
        <v/>
      </c>
      <c r="M438" t="str">
        <f>IF(MSE成绩库!C438="","", MSE成绩库!N438)</f>
        <v/>
      </c>
      <c r="N438" t="str">
        <f>IF(MSE成绩库!C438="","", MSE成绩库!O438)</f>
        <v/>
      </c>
      <c r="O438" t="str">
        <f>IF(MSE成绩库!C438="","", MSE成绩库!Q438)</f>
        <v/>
      </c>
      <c r="P438" t="str">
        <f>IF(MSE成绩库!C438="","", MSE成绩库!R438)</f>
        <v/>
      </c>
      <c r="Q438" t="str">
        <f>IF(MSE成绩库!C438="","", MSE成绩库!S438)</f>
        <v/>
      </c>
      <c r="R438" t="str">
        <f>IF(MSE成绩库!C438="","", MSE成绩库!T438)</f>
        <v/>
      </c>
      <c r="S438" t="str">
        <f>IF(MSE成绩库!C438="","", MSE成绩库!U438)</f>
        <v/>
      </c>
      <c r="T438" t="str">
        <f>IF(MSE成绩库!C438="","", MSE成绩库!V438)</f>
        <v/>
      </c>
      <c r="U438" t="str">
        <f>IF(MSE成绩库!C438="","", MSE成绩库!X438)</f>
        <v/>
      </c>
      <c r="V438" t="str">
        <f>IF(MSE成绩库!C438="","", MSE成绩库!Y438)</f>
        <v/>
      </c>
      <c r="W438" t="str">
        <f>IF(MSE成绩库!C438="","", MSE成绩库!Z438)</f>
        <v/>
      </c>
      <c r="X438" t="str">
        <f>IF(MSE成绩库!C438="","", MSE成绩库!AA438)</f>
        <v/>
      </c>
      <c r="Y438" t="str">
        <f>IF(MSE成绩库!C438="","", MSE成绩库!AB438)</f>
        <v/>
      </c>
      <c r="Z438" t="str">
        <f>IF(MSE成绩库!C438="","", MSE成绩库!AC438)</f>
        <v/>
      </c>
    </row>
    <row r="439" spans="1:26" x14ac:dyDescent="0.2">
      <c r="A439" t="str">
        <f>IF(MSE成绩库!C439="","", MSE成绩库!C439)</f>
        <v/>
      </c>
      <c r="B439" t="str">
        <f>IF(MSE成绩库!AD439="","", MSE成绩库!AD439)</f>
        <v/>
      </c>
      <c r="C439" t="str">
        <f>IF(MSE成绩库!B439="","", MSE成绩库!B439)</f>
        <v/>
      </c>
      <c r="D439" t="str">
        <f>IF(MSE成绩库!D439="","", MSE成绩库!D439)</f>
        <v/>
      </c>
      <c r="E439" t="str">
        <f>IF(MSE成绩库!C439="","", MSE成绩库!E439)</f>
        <v/>
      </c>
      <c r="F439" t="str">
        <f>IF(MSE成绩库!C439="","", MSE成绩库!F439)</f>
        <v/>
      </c>
      <c r="G439" t="str">
        <f>IF(MSE成绩库!C439="","", MSE成绩库!G439)</f>
        <v/>
      </c>
      <c r="H439" t="str">
        <f>IF(MSE成绩库!C439="","", MSE成绩库!H439)</f>
        <v/>
      </c>
      <c r="I439" t="str">
        <f>IF(MSE成绩库!C439="","", MSE成绩库!I439)</f>
        <v/>
      </c>
      <c r="J439" t="str">
        <f>IF(MSE成绩库!C439="","", MSE成绩库!J439)</f>
        <v/>
      </c>
      <c r="K439" t="str">
        <f>IF(MSE成绩库!C439="","", MSE成绩库!K439)</f>
        <v/>
      </c>
      <c r="L439" t="str">
        <f>IF(MSE成绩库!C439="","", MSE成绩库!M439)</f>
        <v/>
      </c>
      <c r="M439" t="str">
        <f>IF(MSE成绩库!C439="","", MSE成绩库!N439)</f>
        <v/>
      </c>
      <c r="N439" t="str">
        <f>IF(MSE成绩库!C439="","", MSE成绩库!O439)</f>
        <v/>
      </c>
      <c r="O439" t="str">
        <f>IF(MSE成绩库!C439="","", MSE成绩库!Q439)</f>
        <v/>
      </c>
      <c r="P439" t="str">
        <f>IF(MSE成绩库!C439="","", MSE成绩库!R439)</f>
        <v/>
      </c>
      <c r="Q439" t="str">
        <f>IF(MSE成绩库!C439="","", MSE成绩库!S439)</f>
        <v/>
      </c>
      <c r="R439" t="str">
        <f>IF(MSE成绩库!C439="","", MSE成绩库!T439)</f>
        <v/>
      </c>
      <c r="S439" t="str">
        <f>IF(MSE成绩库!C439="","", MSE成绩库!U439)</f>
        <v/>
      </c>
      <c r="T439" t="str">
        <f>IF(MSE成绩库!C439="","", MSE成绩库!V439)</f>
        <v/>
      </c>
      <c r="U439" t="str">
        <f>IF(MSE成绩库!C439="","", MSE成绩库!X439)</f>
        <v/>
      </c>
      <c r="V439" t="str">
        <f>IF(MSE成绩库!C439="","", MSE成绩库!Y439)</f>
        <v/>
      </c>
      <c r="W439" t="str">
        <f>IF(MSE成绩库!C439="","", MSE成绩库!Z439)</f>
        <v/>
      </c>
      <c r="X439" t="str">
        <f>IF(MSE成绩库!C439="","", MSE成绩库!AA439)</f>
        <v/>
      </c>
      <c r="Y439" t="str">
        <f>IF(MSE成绩库!C439="","", MSE成绩库!AB439)</f>
        <v/>
      </c>
      <c r="Z439" t="str">
        <f>IF(MSE成绩库!C439="","", MSE成绩库!AC439)</f>
        <v/>
      </c>
    </row>
    <row r="440" spans="1:26" x14ac:dyDescent="0.2">
      <c r="A440" t="str">
        <f>IF(MSE成绩库!C440="","", MSE成绩库!C440)</f>
        <v/>
      </c>
      <c r="B440" t="str">
        <f>IF(MSE成绩库!AD440="","", MSE成绩库!AD440)</f>
        <v/>
      </c>
      <c r="C440" t="str">
        <f>IF(MSE成绩库!B440="","", MSE成绩库!B440)</f>
        <v/>
      </c>
      <c r="D440" t="str">
        <f>IF(MSE成绩库!D440="","", MSE成绩库!D440)</f>
        <v/>
      </c>
      <c r="E440" t="str">
        <f>IF(MSE成绩库!C440="","", MSE成绩库!E440)</f>
        <v/>
      </c>
      <c r="F440" t="str">
        <f>IF(MSE成绩库!C440="","", MSE成绩库!F440)</f>
        <v/>
      </c>
      <c r="G440" t="str">
        <f>IF(MSE成绩库!C440="","", MSE成绩库!G440)</f>
        <v/>
      </c>
      <c r="H440" t="str">
        <f>IF(MSE成绩库!C440="","", MSE成绩库!H440)</f>
        <v/>
      </c>
      <c r="I440" t="str">
        <f>IF(MSE成绩库!C440="","", MSE成绩库!I440)</f>
        <v/>
      </c>
      <c r="J440" t="str">
        <f>IF(MSE成绩库!C440="","", MSE成绩库!J440)</f>
        <v/>
      </c>
      <c r="K440" t="str">
        <f>IF(MSE成绩库!C440="","", MSE成绩库!K440)</f>
        <v/>
      </c>
      <c r="L440" t="str">
        <f>IF(MSE成绩库!C440="","", MSE成绩库!M440)</f>
        <v/>
      </c>
      <c r="M440" t="str">
        <f>IF(MSE成绩库!C440="","", MSE成绩库!N440)</f>
        <v/>
      </c>
      <c r="N440" t="str">
        <f>IF(MSE成绩库!C440="","", MSE成绩库!O440)</f>
        <v/>
      </c>
      <c r="O440" t="str">
        <f>IF(MSE成绩库!C440="","", MSE成绩库!Q440)</f>
        <v/>
      </c>
      <c r="P440" t="str">
        <f>IF(MSE成绩库!C440="","", MSE成绩库!R440)</f>
        <v/>
      </c>
      <c r="Q440" t="str">
        <f>IF(MSE成绩库!C440="","", MSE成绩库!S440)</f>
        <v/>
      </c>
      <c r="R440" t="str">
        <f>IF(MSE成绩库!C440="","", MSE成绩库!T440)</f>
        <v/>
      </c>
      <c r="S440" t="str">
        <f>IF(MSE成绩库!C440="","", MSE成绩库!U440)</f>
        <v/>
      </c>
      <c r="T440" t="str">
        <f>IF(MSE成绩库!C440="","", MSE成绩库!V440)</f>
        <v/>
      </c>
      <c r="U440" t="str">
        <f>IF(MSE成绩库!C440="","", MSE成绩库!X440)</f>
        <v/>
      </c>
      <c r="V440" t="str">
        <f>IF(MSE成绩库!C440="","", MSE成绩库!Y440)</f>
        <v/>
      </c>
      <c r="W440" t="str">
        <f>IF(MSE成绩库!C440="","", MSE成绩库!Z440)</f>
        <v/>
      </c>
      <c r="X440" t="str">
        <f>IF(MSE成绩库!C440="","", MSE成绩库!AA440)</f>
        <v/>
      </c>
      <c r="Y440" t="str">
        <f>IF(MSE成绩库!C440="","", MSE成绩库!AB440)</f>
        <v/>
      </c>
      <c r="Z440" t="str">
        <f>IF(MSE成绩库!C440="","", MSE成绩库!AC440)</f>
        <v/>
      </c>
    </row>
    <row r="441" spans="1:26" x14ac:dyDescent="0.2">
      <c r="A441" t="str">
        <f>IF(MSE成绩库!C441="","", MSE成绩库!C441)</f>
        <v/>
      </c>
      <c r="B441" t="str">
        <f>IF(MSE成绩库!AD441="","", MSE成绩库!AD441)</f>
        <v/>
      </c>
      <c r="C441" t="str">
        <f>IF(MSE成绩库!B441="","", MSE成绩库!B441)</f>
        <v/>
      </c>
      <c r="D441" t="str">
        <f>IF(MSE成绩库!D441="","", MSE成绩库!D441)</f>
        <v/>
      </c>
      <c r="E441" t="str">
        <f>IF(MSE成绩库!C441="","", MSE成绩库!E441)</f>
        <v/>
      </c>
      <c r="F441" t="str">
        <f>IF(MSE成绩库!C441="","", MSE成绩库!F441)</f>
        <v/>
      </c>
      <c r="G441" t="str">
        <f>IF(MSE成绩库!C441="","", MSE成绩库!G441)</f>
        <v/>
      </c>
      <c r="H441" t="str">
        <f>IF(MSE成绩库!C441="","", MSE成绩库!H441)</f>
        <v/>
      </c>
      <c r="I441" t="str">
        <f>IF(MSE成绩库!C441="","", MSE成绩库!I441)</f>
        <v/>
      </c>
      <c r="J441" t="str">
        <f>IF(MSE成绩库!C441="","", MSE成绩库!J441)</f>
        <v/>
      </c>
      <c r="K441" t="str">
        <f>IF(MSE成绩库!C441="","", MSE成绩库!K441)</f>
        <v/>
      </c>
      <c r="L441" t="str">
        <f>IF(MSE成绩库!C441="","", MSE成绩库!M441)</f>
        <v/>
      </c>
      <c r="M441" t="str">
        <f>IF(MSE成绩库!C441="","", MSE成绩库!N441)</f>
        <v/>
      </c>
      <c r="N441" t="str">
        <f>IF(MSE成绩库!C441="","", MSE成绩库!O441)</f>
        <v/>
      </c>
      <c r="O441" t="str">
        <f>IF(MSE成绩库!C441="","", MSE成绩库!Q441)</f>
        <v/>
      </c>
      <c r="P441" t="str">
        <f>IF(MSE成绩库!C441="","", MSE成绩库!R441)</f>
        <v/>
      </c>
      <c r="Q441" t="str">
        <f>IF(MSE成绩库!C441="","", MSE成绩库!S441)</f>
        <v/>
      </c>
      <c r="R441" t="str">
        <f>IF(MSE成绩库!C441="","", MSE成绩库!T441)</f>
        <v/>
      </c>
      <c r="S441" t="str">
        <f>IF(MSE成绩库!C441="","", MSE成绩库!U441)</f>
        <v/>
      </c>
      <c r="T441" t="str">
        <f>IF(MSE成绩库!C441="","", MSE成绩库!V441)</f>
        <v/>
      </c>
      <c r="U441" t="str">
        <f>IF(MSE成绩库!C441="","", MSE成绩库!X441)</f>
        <v/>
      </c>
      <c r="V441" t="str">
        <f>IF(MSE成绩库!C441="","", MSE成绩库!Y441)</f>
        <v/>
      </c>
      <c r="W441" t="str">
        <f>IF(MSE成绩库!C441="","", MSE成绩库!Z441)</f>
        <v/>
      </c>
      <c r="X441" t="str">
        <f>IF(MSE成绩库!C441="","", MSE成绩库!AA441)</f>
        <v/>
      </c>
      <c r="Y441" t="str">
        <f>IF(MSE成绩库!C441="","", MSE成绩库!AB441)</f>
        <v/>
      </c>
      <c r="Z441" t="str">
        <f>IF(MSE成绩库!C441="","", MSE成绩库!AC441)</f>
        <v/>
      </c>
    </row>
    <row r="442" spans="1:26" x14ac:dyDescent="0.2">
      <c r="A442" t="str">
        <f>IF(MSE成绩库!C442="","", MSE成绩库!C442)</f>
        <v/>
      </c>
      <c r="B442" t="str">
        <f>IF(MSE成绩库!AD442="","", MSE成绩库!AD442)</f>
        <v/>
      </c>
      <c r="C442" t="str">
        <f>IF(MSE成绩库!B442="","", MSE成绩库!B442)</f>
        <v/>
      </c>
      <c r="D442" t="str">
        <f>IF(MSE成绩库!D442="","", MSE成绩库!D442)</f>
        <v/>
      </c>
      <c r="E442" t="str">
        <f>IF(MSE成绩库!C442="","", MSE成绩库!E442)</f>
        <v/>
      </c>
      <c r="F442" t="str">
        <f>IF(MSE成绩库!C442="","", MSE成绩库!F442)</f>
        <v/>
      </c>
      <c r="G442" t="str">
        <f>IF(MSE成绩库!C442="","", MSE成绩库!G442)</f>
        <v/>
      </c>
      <c r="H442" t="str">
        <f>IF(MSE成绩库!C442="","", MSE成绩库!H442)</f>
        <v/>
      </c>
      <c r="I442" t="str">
        <f>IF(MSE成绩库!C442="","", MSE成绩库!I442)</f>
        <v/>
      </c>
      <c r="J442" t="str">
        <f>IF(MSE成绩库!C442="","", MSE成绩库!J442)</f>
        <v/>
      </c>
      <c r="K442" t="str">
        <f>IF(MSE成绩库!C442="","", MSE成绩库!K442)</f>
        <v/>
      </c>
      <c r="L442" t="str">
        <f>IF(MSE成绩库!C442="","", MSE成绩库!M442)</f>
        <v/>
      </c>
      <c r="M442" t="str">
        <f>IF(MSE成绩库!C442="","", MSE成绩库!N442)</f>
        <v/>
      </c>
      <c r="N442" t="str">
        <f>IF(MSE成绩库!C442="","", MSE成绩库!O442)</f>
        <v/>
      </c>
      <c r="O442" t="str">
        <f>IF(MSE成绩库!C442="","", MSE成绩库!Q442)</f>
        <v/>
      </c>
      <c r="P442" t="str">
        <f>IF(MSE成绩库!C442="","", MSE成绩库!R442)</f>
        <v/>
      </c>
      <c r="Q442" t="str">
        <f>IF(MSE成绩库!C442="","", MSE成绩库!S442)</f>
        <v/>
      </c>
      <c r="R442" t="str">
        <f>IF(MSE成绩库!C442="","", MSE成绩库!T442)</f>
        <v/>
      </c>
      <c r="S442" t="str">
        <f>IF(MSE成绩库!C442="","", MSE成绩库!U442)</f>
        <v/>
      </c>
      <c r="T442" t="str">
        <f>IF(MSE成绩库!C442="","", MSE成绩库!V442)</f>
        <v/>
      </c>
      <c r="U442" t="str">
        <f>IF(MSE成绩库!C442="","", MSE成绩库!X442)</f>
        <v/>
      </c>
      <c r="V442" t="str">
        <f>IF(MSE成绩库!C442="","", MSE成绩库!Y442)</f>
        <v/>
      </c>
      <c r="W442" t="str">
        <f>IF(MSE成绩库!C442="","", MSE成绩库!Z442)</f>
        <v/>
      </c>
      <c r="X442" t="str">
        <f>IF(MSE成绩库!C442="","", MSE成绩库!AA442)</f>
        <v/>
      </c>
      <c r="Y442" t="str">
        <f>IF(MSE成绩库!C442="","", MSE成绩库!AB442)</f>
        <v/>
      </c>
      <c r="Z442" t="str">
        <f>IF(MSE成绩库!C442="","", MSE成绩库!AC442)</f>
        <v/>
      </c>
    </row>
    <row r="443" spans="1:26" x14ac:dyDescent="0.2">
      <c r="A443" t="str">
        <f>IF(MSE成绩库!C443="","", MSE成绩库!C443)</f>
        <v/>
      </c>
      <c r="B443" t="str">
        <f>IF(MSE成绩库!AD443="","", MSE成绩库!AD443)</f>
        <v/>
      </c>
      <c r="C443" t="str">
        <f>IF(MSE成绩库!B443="","", MSE成绩库!B443)</f>
        <v/>
      </c>
      <c r="D443" t="str">
        <f>IF(MSE成绩库!D443="","", MSE成绩库!D443)</f>
        <v/>
      </c>
      <c r="E443" t="str">
        <f>IF(MSE成绩库!C443="","", MSE成绩库!E443)</f>
        <v/>
      </c>
      <c r="F443" t="str">
        <f>IF(MSE成绩库!C443="","", MSE成绩库!F443)</f>
        <v/>
      </c>
      <c r="G443" t="str">
        <f>IF(MSE成绩库!C443="","", MSE成绩库!G443)</f>
        <v/>
      </c>
      <c r="H443" t="str">
        <f>IF(MSE成绩库!C443="","", MSE成绩库!H443)</f>
        <v/>
      </c>
      <c r="I443" t="str">
        <f>IF(MSE成绩库!C443="","", MSE成绩库!I443)</f>
        <v/>
      </c>
      <c r="J443" t="str">
        <f>IF(MSE成绩库!C443="","", MSE成绩库!J443)</f>
        <v/>
      </c>
      <c r="K443" t="str">
        <f>IF(MSE成绩库!C443="","", MSE成绩库!K443)</f>
        <v/>
      </c>
      <c r="L443" t="str">
        <f>IF(MSE成绩库!C443="","", MSE成绩库!M443)</f>
        <v/>
      </c>
      <c r="M443" t="str">
        <f>IF(MSE成绩库!C443="","", MSE成绩库!N443)</f>
        <v/>
      </c>
      <c r="N443" t="str">
        <f>IF(MSE成绩库!C443="","", MSE成绩库!O443)</f>
        <v/>
      </c>
      <c r="O443" t="str">
        <f>IF(MSE成绩库!C443="","", MSE成绩库!Q443)</f>
        <v/>
      </c>
      <c r="P443" t="str">
        <f>IF(MSE成绩库!C443="","", MSE成绩库!R443)</f>
        <v/>
      </c>
      <c r="Q443" t="str">
        <f>IF(MSE成绩库!C443="","", MSE成绩库!S443)</f>
        <v/>
      </c>
      <c r="R443" t="str">
        <f>IF(MSE成绩库!C443="","", MSE成绩库!T443)</f>
        <v/>
      </c>
      <c r="S443" t="str">
        <f>IF(MSE成绩库!C443="","", MSE成绩库!U443)</f>
        <v/>
      </c>
      <c r="T443" t="str">
        <f>IF(MSE成绩库!C443="","", MSE成绩库!V443)</f>
        <v/>
      </c>
      <c r="U443" t="str">
        <f>IF(MSE成绩库!C443="","", MSE成绩库!X443)</f>
        <v/>
      </c>
      <c r="V443" t="str">
        <f>IF(MSE成绩库!C443="","", MSE成绩库!Y443)</f>
        <v/>
      </c>
      <c r="W443" t="str">
        <f>IF(MSE成绩库!C443="","", MSE成绩库!Z443)</f>
        <v/>
      </c>
      <c r="X443" t="str">
        <f>IF(MSE成绩库!C443="","", MSE成绩库!AA443)</f>
        <v/>
      </c>
      <c r="Y443" t="str">
        <f>IF(MSE成绩库!C443="","", MSE成绩库!AB443)</f>
        <v/>
      </c>
      <c r="Z443" t="str">
        <f>IF(MSE成绩库!C443="","", MSE成绩库!AC443)</f>
        <v/>
      </c>
    </row>
    <row r="444" spans="1:26" x14ac:dyDescent="0.2">
      <c r="A444" t="str">
        <f>IF(MSE成绩库!C444="","", MSE成绩库!C444)</f>
        <v/>
      </c>
      <c r="B444" t="str">
        <f>IF(MSE成绩库!AD444="","", MSE成绩库!AD444)</f>
        <v/>
      </c>
      <c r="C444" t="str">
        <f>IF(MSE成绩库!B444="","", MSE成绩库!B444)</f>
        <v/>
      </c>
      <c r="D444" t="str">
        <f>IF(MSE成绩库!D444="","", MSE成绩库!D444)</f>
        <v/>
      </c>
      <c r="E444" t="str">
        <f>IF(MSE成绩库!C444="","", MSE成绩库!E444)</f>
        <v/>
      </c>
      <c r="F444" t="str">
        <f>IF(MSE成绩库!C444="","", MSE成绩库!F444)</f>
        <v/>
      </c>
      <c r="G444" t="str">
        <f>IF(MSE成绩库!C444="","", MSE成绩库!G444)</f>
        <v/>
      </c>
      <c r="H444" t="str">
        <f>IF(MSE成绩库!C444="","", MSE成绩库!H444)</f>
        <v/>
      </c>
      <c r="I444" t="str">
        <f>IF(MSE成绩库!C444="","", MSE成绩库!I444)</f>
        <v/>
      </c>
      <c r="J444" t="str">
        <f>IF(MSE成绩库!C444="","", MSE成绩库!J444)</f>
        <v/>
      </c>
      <c r="K444" t="str">
        <f>IF(MSE成绩库!C444="","", MSE成绩库!K444)</f>
        <v/>
      </c>
      <c r="L444" t="str">
        <f>IF(MSE成绩库!C444="","", MSE成绩库!M444)</f>
        <v/>
      </c>
      <c r="M444" t="str">
        <f>IF(MSE成绩库!C444="","", MSE成绩库!N444)</f>
        <v/>
      </c>
      <c r="N444" t="str">
        <f>IF(MSE成绩库!C444="","", MSE成绩库!O444)</f>
        <v/>
      </c>
      <c r="O444" t="str">
        <f>IF(MSE成绩库!C444="","", MSE成绩库!Q444)</f>
        <v/>
      </c>
      <c r="P444" t="str">
        <f>IF(MSE成绩库!C444="","", MSE成绩库!R444)</f>
        <v/>
      </c>
      <c r="Q444" t="str">
        <f>IF(MSE成绩库!C444="","", MSE成绩库!S444)</f>
        <v/>
      </c>
      <c r="R444" t="str">
        <f>IF(MSE成绩库!C444="","", MSE成绩库!T444)</f>
        <v/>
      </c>
      <c r="S444" t="str">
        <f>IF(MSE成绩库!C444="","", MSE成绩库!U444)</f>
        <v/>
      </c>
      <c r="T444" t="str">
        <f>IF(MSE成绩库!C444="","", MSE成绩库!V444)</f>
        <v/>
      </c>
      <c r="U444" t="str">
        <f>IF(MSE成绩库!C444="","", MSE成绩库!X444)</f>
        <v/>
      </c>
      <c r="V444" t="str">
        <f>IF(MSE成绩库!C444="","", MSE成绩库!Y444)</f>
        <v/>
      </c>
      <c r="W444" t="str">
        <f>IF(MSE成绩库!C444="","", MSE成绩库!Z444)</f>
        <v/>
      </c>
      <c r="X444" t="str">
        <f>IF(MSE成绩库!C444="","", MSE成绩库!AA444)</f>
        <v/>
      </c>
      <c r="Y444" t="str">
        <f>IF(MSE成绩库!C444="","", MSE成绩库!AB444)</f>
        <v/>
      </c>
      <c r="Z444" t="str">
        <f>IF(MSE成绩库!C444="","", MSE成绩库!AC444)</f>
        <v/>
      </c>
    </row>
    <row r="445" spans="1:26" x14ac:dyDescent="0.2">
      <c r="A445" t="str">
        <f>IF(MSE成绩库!C445="","", MSE成绩库!C445)</f>
        <v/>
      </c>
      <c r="B445" t="str">
        <f>IF(MSE成绩库!AD445="","", MSE成绩库!AD445)</f>
        <v/>
      </c>
      <c r="C445" t="str">
        <f>IF(MSE成绩库!B445="","", MSE成绩库!B445)</f>
        <v/>
      </c>
      <c r="D445" t="str">
        <f>IF(MSE成绩库!D445="","", MSE成绩库!D445)</f>
        <v/>
      </c>
      <c r="E445" t="str">
        <f>IF(MSE成绩库!C445="","", MSE成绩库!E445)</f>
        <v/>
      </c>
      <c r="F445" t="str">
        <f>IF(MSE成绩库!C445="","", MSE成绩库!F445)</f>
        <v/>
      </c>
      <c r="G445" t="str">
        <f>IF(MSE成绩库!C445="","", MSE成绩库!G445)</f>
        <v/>
      </c>
      <c r="H445" t="str">
        <f>IF(MSE成绩库!C445="","", MSE成绩库!H445)</f>
        <v/>
      </c>
      <c r="I445" t="str">
        <f>IF(MSE成绩库!C445="","", MSE成绩库!I445)</f>
        <v/>
      </c>
      <c r="J445" t="str">
        <f>IF(MSE成绩库!C445="","", MSE成绩库!J445)</f>
        <v/>
      </c>
      <c r="K445" t="str">
        <f>IF(MSE成绩库!C445="","", MSE成绩库!K445)</f>
        <v/>
      </c>
      <c r="L445" t="str">
        <f>IF(MSE成绩库!C445="","", MSE成绩库!M445)</f>
        <v/>
      </c>
      <c r="M445" t="str">
        <f>IF(MSE成绩库!C445="","", MSE成绩库!N445)</f>
        <v/>
      </c>
      <c r="N445" t="str">
        <f>IF(MSE成绩库!C445="","", MSE成绩库!O445)</f>
        <v/>
      </c>
      <c r="O445" t="str">
        <f>IF(MSE成绩库!C445="","", MSE成绩库!Q445)</f>
        <v/>
      </c>
      <c r="P445" t="str">
        <f>IF(MSE成绩库!C445="","", MSE成绩库!R445)</f>
        <v/>
      </c>
      <c r="Q445" t="str">
        <f>IF(MSE成绩库!C445="","", MSE成绩库!S445)</f>
        <v/>
      </c>
      <c r="R445" t="str">
        <f>IF(MSE成绩库!C445="","", MSE成绩库!T445)</f>
        <v/>
      </c>
      <c r="S445" t="str">
        <f>IF(MSE成绩库!C445="","", MSE成绩库!U445)</f>
        <v/>
      </c>
      <c r="T445" t="str">
        <f>IF(MSE成绩库!C445="","", MSE成绩库!V445)</f>
        <v/>
      </c>
      <c r="U445" t="str">
        <f>IF(MSE成绩库!C445="","", MSE成绩库!X445)</f>
        <v/>
      </c>
      <c r="V445" t="str">
        <f>IF(MSE成绩库!C445="","", MSE成绩库!Y445)</f>
        <v/>
      </c>
      <c r="W445" t="str">
        <f>IF(MSE成绩库!C445="","", MSE成绩库!Z445)</f>
        <v/>
      </c>
      <c r="X445" t="str">
        <f>IF(MSE成绩库!C445="","", MSE成绩库!AA445)</f>
        <v/>
      </c>
      <c r="Y445" t="str">
        <f>IF(MSE成绩库!C445="","", MSE成绩库!AB445)</f>
        <v/>
      </c>
      <c r="Z445" t="str">
        <f>IF(MSE成绩库!C445="","", MSE成绩库!AC445)</f>
        <v/>
      </c>
    </row>
    <row r="446" spans="1:26" x14ac:dyDescent="0.2">
      <c r="A446" t="str">
        <f>IF(MSE成绩库!C446="","", MSE成绩库!C446)</f>
        <v/>
      </c>
      <c r="B446" t="str">
        <f>IF(MSE成绩库!AD446="","", MSE成绩库!AD446)</f>
        <v/>
      </c>
      <c r="C446" t="str">
        <f>IF(MSE成绩库!B446="","", MSE成绩库!B446)</f>
        <v/>
      </c>
      <c r="D446" t="str">
        <f>IF(MSE成绩库!D446="","", MSE成绩库!D446)</f>
        <v/>
      </c>
      <c r="E446" t="str">
        <f>IF(MSE成绩库!C446="","", MSE成绩库!E446)</f>
        <v/>
      </c>
      <c r="F446" t="str">
        <f>IF(MSE成绩库!C446="","", MSE成绩库!F446)</f>
        <v/>
      </c>
      <c r="G446" t="str">
        <f>IF(MSE成绩库!C446="","", MSE成绩库!G446)</f>
        <v/>
      </c>
      <c r="H446" t="str">
        <f>IF(MSE成绩库!C446="","", MSE成绩库!H446)</f>
        <v/>
      </c>
      <c r="I446" t="str">
        <f>IF(MSE成绩库!C446="","", MSE成绩库!I446)</f>
        <v/>
      </c>
      <c r="J446" t="str">
        <f>IF(MSE成绩库!C446="","", MSE成绩库!J446)</f>
        <v/>
      </c>
      <c r="K446" t="str">
        <f>IF(MSE成绩库!C446="","", MSE成绩库!K446)</f>
        <v/>
      </c>
      <c r="L446" t="str">
        <f>IF(MSE成绩库!C446="","", MSE成绩库!M446)</f>
        <v/>
      </c>
      <c r="M446" t="str">
        <f>IF(MSE成绩库!C446="","", MSE成绩库!N446)</f>
        <v/>
      </c>
      <c r="N446" t="str">
        <f>IF(MSE成绩库!C446="","", MSE成绩库!O446)</f>
        <v/>
      </c>
      <c r="O446" t="str">
        <f>IF(MSE成绩库!C446="","", MSE成绩库!Q446)</f>
        <v/>
      </c>
      <c r="P446" t="str">
        <f>IF(MSE成绩库!C446="","", MSE成绩库!R446)</f>
        <v/>
      </c>
      <c r="Q446" t="str">
        <f>IF(MSE成绩库!C446="","", MSE成绩库!S446)</f>
        <v/>
      </c>
      <c r="R446" t="str">
        <f>IF(MSE成绩库!C446="","", MSE成绩库!T446)</f>
        <v/>
      </c>
      <c r="S446" t="str">
        <f>IF(MSE成绩库!C446="","", MSE成绩库!U446)</f>
        <v/>
      </c>
      <c r="T446" t="str">
        <f>IF(MSE成绩库!C446="","", MSE成绩库!V446)</f>
        <v/>
      </c>
      <c r="U446" t="str">
        <f>IF(MSE成绩库!C446="","", MSE成绩库!X446)</f>
        <v/>
      </c>
      <c r="V446" t="str">
        <f>IF(MSE成绩库!C446="","", MSE成绩库!Y446)</f>
        <v/>
      </c>
      <c r="W446" t="str">
        <f>IF(MSE成绩库!C446="","", MSE成绩库!Z446)</f>
        <v/>
      </c>
      <c r="X446" t="str">
        <f>IF(MSE成绩库!C446="","", MSE成绩库!AA446)</f>
        <v/>
      </c>
      <c r="Y446" t="str">
        <f>IF(MSE成绩库!C446="","", MSE成绩库!AB446)</f>
        <v/>
      </c>
      <c r="Z446" t="str">
        <f>IF(MSE成绩库!C446="","", MSE成绩库!AC446)</f>
        <v/>
      </c>
    </row>
    <row r="447" spans="1:26" x14ac:dyDescent="0.2">
      <c r="A447" t="str">
        <f>IF(MSE成绩库!C447="","", MSE成绩库!C447)</f>
        <v/>
      </c>
      <c r="B447" t="str">
        <f>IF(MSE成绩库!AD447="","", MSE成绩库!AD447)</f>
        <v/>
      </c>
      <c r="C447" t="str">
        <f>IF(MSE成绩库!B447="","", MSE成绩库!B447)</f>
        <v/>
      </c>
      <c r="D447" t="str">
        <f>IF(MSE成绩库!D447="","", MSE成绩库!D447)</f>
        <v/>
      </c>
      <c r="E447" t="str">
        <f>IF(MSE成绩库!C447="","", MSE成绩库!E447)</f>
        <v/>
      </c>
      <c r="F447" t="str">
        <f>IF(MSE成绩库!C447="","", MSE成绩库!F447)</f>
        <v/>
      </c>
      <c r="G447" t="str">
        <f>IF(MSE成绩库!C447="","", MSE成绩库!G447)</f>
        <v/>
      </c>
      <c r="H447" t="str">
        <f>IF(MSE成绩库!C447="","", MSE成绩库!H447)</f>
        <v/>
      </c>
      <c r="I447" t="str">
        <f>IF(MSE成绩库!C447="","", MSE成绩库!I447)</f>
        <v/>
      </c>
      <c r="J447" t="str">
        <f>IF(MSE成绩库!C447="","", MSE成绩库!J447)</f>
        <v/>
      </c>
      <c r="K447" t="str">
        <f>IF(MSE成绩库!C447="","", MSE成绩库!K447)</f>
        <v/>
      </c>
      <c r="L447" t="str">
        <f>IF(MSE成绩库!C447="","", MSE成绩库!M447)</f>
        <v/>
      </c>
      <c r="M447" t="str">
        <f>IF(MSE成绩库!C447="","", MSE成绩库!N447)</f>
        <v/>
      </c>
      <c r="N447" t="str">
        <f>IF(MSE成绩库!C447="","", MSE成绩库!O447)</f>
        <v/>
      </c>
      <c r="O447" t="str">
        <f>IF(MSE成绩库!C447="","", MSE成绩库!Q447)</f>
        <v/>
      </c>
      <c r="P447" t="str">
        <f>IF(MSE成绩库!C447="","", MSE成绩库!R447)</f>
        <v/>
      </c>
      <c r="Q447" t="str">
        <f>IF(MSE成绩库!C447="","", MSE成绩库!S447)</f>
        <v/>
      </c>
      <c r="R447" t="str">
        <f>IF(MSE成绩库!C447="","", MSE成绩库!T447)</f>
        <v/>
      </c>
      <c r="S447" t="str">
        <f>IF(MSE成绩库!C447="","", MSE成绩库!U447)</f>
        <v/>
      </c>
      <c r="T447" t="str">
        <f>IF(MSE成绩库!C447="","", MSE成绩库!V447)</f>
        <v/>
      </c>
      <c r="U447" t="str">
        <f>IF(MSE成绩库!C447="","", MSE成绩库!X447)</f>
        <v/>
      </c>
      <c r="V447" t="str">
        <f>IF(MSE成绩库!C447="","", MSE成绩库!Y447)</f>
        <v/>
      </c>
      <c r="W447" t="str">
        <f>IF(MSE成绩库!C447="","", MSE成绩库!Z447)</f>
        <v/>
      </c>
      <c r="X447" t="str">
        <f>IF(MSE成绩库!C447="","", MSE成绩库!AA447)</f>
        <v/>
      </c>
      <c r="Y447" t="str">
        <f>IF(MSE成绩库!C447="","", MSE成绩库!AB447)</f>
        <v/>
      </c>
      <c r="Z447" t="str">
        <f>IF(MSE成绩库!C447="","", MSE成绩库!AC447)</f>
        <v/>
      </c>
    </row>
    <row r="448" spans="1:26" x14ac:dyDescent="0.2">
      <c r="A448" t="str">
        <f>IF(MSE成绩库!C448="","", MSE成绩库!C448)</f>
        <v/>
      </c>
      <c r="B448" t="str">
        <f>IF(MSE成绩库!AD448="","", MSE成绩库!AD448)</f>
        <v/>
      </c>
      <c r="C448" t="str">
        <f>IF(MSE成绩库!B448="","", MSE成绩库!B448)</f>
        <v/>
      </c>
      <c r="D448" t="str">
        <f>IF(MSE成绩库!D448="","", MSE成绩库!D448)</f>
        <v/>
      </c>
      <c r="E448" t="str">
        <f>IF(MSE成绩库!C448="","", MSE成绩库!E448)</f>
        <v/>
      </c>
      <c r="F448" t="str">
        <f>IF(MSE成绩库!C448="","", MSE成绩库!F448)</f>
        <v/>
      </c>
      <c r="G448" t="str">
        <f>IF(MSE成绩库!C448="","", MSE成绩库!G448)</f>
        <v/>
      </c>
      <c r="H448" t="str">
        <f>IF(MSE成绩库!C448="","", MSE成绩库!H448)</f>
        <v/>
      </c>
      <c r="I448" t="str">
        <f>IF(MSE成绩库!C448="","", MSE成绩库!I448)</f>
        <v/>
      </c>
      <c r="J448" t="str">
        <f>IF(MSE成绩库!C448="","", MSE成绩库!J448)</f>
        <v/>
      </c>
      <c r="K448" t="str">
        <f>IF(MSE成绩库!C448="","", MSE成绩库!K448)</f>
        <v/>
      </c>
      <c r="L448" t="str">
        <f>IF(MSE成绩库!C448="","", MSE成绩库!M448)</f>
        <v/>
      </c>
      <c r="M448" t="str">
        <f>IF(MSE成绩库!C448="","", MSE成绩库!N448)</f>
        <v/>
      </c>
      <c r="N448" t="str">
        <f>IF(MSE成绩库!C448="","", MSE成绩库!O448)</f>
        <v/>
      </c>
      <c r="O448" t="str">
        <f>IF(MSE成绩库!C448="","", MSE成绩库!Q448)</f>
        <v/>
      </c>
      <c r="P448" t="str">
        <f>IF(MSE成绩库!C448="","", MSE成绩库!R448)</f>
        <v/>
      </c>
      <c r="Q448" t="str">
        <f>IF(MSE成绩库!C448="","", MSE成绩库!S448)</f>
        <v/>
      </c>
      <c r="R448" t="str">
        <f>IF(MSE成绩库!C448="","", MSE成绩库!T448)</f>
        <v/>
      </c>
      <c r="S448" t="str">
        <f>IF(MSE成绩库!C448="","", MSE成绩库!U448)</f>
        <v/>
      </c>
      <c r="T448" t="str">
        <f>IF(MSE成绩库!C448="","", MSE成绩库!V448)</f>
        <v/>
      </c>
      <c r="U448" t="str">
        <f>IF(MSE成绩库!C448="","", MSE成绩库!X448)</f>
        <v/>
      </c>
      <c r="V448" t="str">
        <f>IF(MSE成绩库!C448="","", MSE成绩库!Y448)</f>
        <v/>
      </c>
      <c r="W448" t="str">
        <f>IF(MSE成绩库!C448="","", MSE成绩库!Z448)</f>
        <v/>
      </c>
      <c r="X448" t="str">
        <f>IF(MSE成绩库!C448="","", MSE成绩库!AA448)</f>
        <v/>
      </c>
      <c r="Y448" t="str">
        <f>IF(MSE成绩库!C448="","", MSE成绩库!AB448)</f>
        <v/>
      </c>
      <c r="Z448" t="str">
        <f>IF(MSE成绩库!C448="","", MSE成绩库!AC448)</f>
        <v/>
      </c>
    </row>
    <row r="449" spans="1:26" x14ac:dyDescent="0.2">
      <c r="A449" t="str">
        <f>IF(MSE成绩库!C449="","", MSE成绩库!C449)</f>
        <v/>
      </c>
      <c r="B449" t="str">
        <f>IF(MSE成绩库!AD449="","", MSE成绩库!AD449)</f>
        <v/>
      </c>
      <c r="C449" t="str">
        <f>IF(MSE成绩库!B449="","", MSE成绩库!B449)</f>
        <v/>
      </c>
      <c r="D449" t="str">
        <f>IF(MSE成绩库!D449="","", MSE成绩库!D449)</f>
        <v/>
      </c>
      <c r="E449" t="str">
        <f>IF(MSE成绩库!C449="","", MSE成绩库!E449)</f>
        <v/>
      </c>
      <c r="F449" t="str">
        <f>IF(MSE成绩库!C449="","", MSE成绩库!F449)</f>
        <v/>
      </c>
      <c r="G449" t="str">
        <f>IF(MSE成绩库!C449="","", MSE成绩库!G449)</f>
        <v/>
      </c>
      <c r="H449" t="str">
        <f>IF(MSE成绩库!C449="","", MSE成绩库!H449)</f>
        <v/>
      </c>
      <c r="I449" t="str">
        <f>IF(MSE成绩库!C449="","", MSE成绩库!I449)</f>
        <v/>
      </c>
      <c r="J449" t="str">
        <f>IF(MSE成绩库!C449="","", MSE成绩库!J449)</f>
        <v/>
      </c>
      <c r="K449" t="str">
        <f>IF(MSE成绩库!C449="","", MSE成绩库!K449)</f>
        <v/>
      </c>
      <c r="L449" t="str">
        <f>IF(MSE成绩库!C449="","", MSE成绩库!M449)</f>
        <v/>
      </c>
      <c r="M449" t="str">
        <f>IF(MSE成绩库!C449="","", MSE成绩库!N449)</f>
        <v/>
      </c>
      <c r="N449" t="str">
        <f>IF(MSE成绩库!C449="","", MSE成绩库!O449)</f>
        <v/>
      </c>
      <c r="O449" t="str">
        <f>IF(MSE成绩库!C449="","", MSE成绩库!Q449)</f>
        <v/>
      </c>
      <c r="P449" t="str">
        <f>IF(MSE成绩库!C449="","", MSE成绩库!R449)</f>
        <v/>
      </c>
      <c r="Q449" t="str">
        <f>IF(MSE成绩库!C449="","", MSE成绩库!S449)</f>
        <v/>
      </c>
      <c r="R449" t="str">
        <f>IF(MSE成绩库!C449="","", MSE成绩库!T449)</f>
        <v/>
      </c>
      <c r="S449" t="str">
        <f>IF(MSE成绩库!C449="","", MSE成绩库!U449)</f>
        <v/>
      </c>
      <c r="T449" t="str">
        <f>IF(MSE成绩库!C449="","", MSE成绩库!V449)</f>
        <v/>
      </c>
      <c r="U449" t="str">
        <f>IF(MSE成绩库!C449="","", MSE成绩库!X449)</f>
        <v/>
      </c>
      <c r="V449" t="str">
        <f>IF(MSE成绩库!C449="","", MSE成绩库!Y449)</f>
        <v/>
      </c>
      <c r="W449" t="str">
        <f>IF(MSE成绩库!C449="","", MSE成绩库!Z449)</f>
        <v/>
      </c>
      <c r="X449" t="str">
        <f>IF(MSE成绩库!C449="","", MSE成绩库!AA449)</f>
        <v/>
      </c>
      <c r="Y449" t="str">
        <f>IF(MSE成绩库!C449="","", MSE成绩库!AB449)</f>
        <v/>
      </c>
      <c r="Z449" t="str">
        <f>IF(MSE成绩库!C449="","", MSE成绩库!AC449)</f>
        <v/>
      </c>
    </row>
    <row r="450" spans="1:26" x14ac:dyDescent="0.2">
      <c r="A450" t="str">
        <f>IF(MSE成绩库!C450="","", MSE成绩库!C450)</f>
        <v/>
      </c>
      <c r="B450" t="str">
        <f>IF(MSE成绩库!AD450="","", MSE成绩库!AD450)</f>
        <v/>
      </c>
      <c r="C450" t="str">
        <f>IF(MSE成绩库!B450="","", MSE成绩库!B450)</f>
        <v/>
      </c>
      <c r="D450" t="str">
        <f>IF(MSE成绩库!D450="","", MSE成绩库!D450)</f>
        <v/>
      </c>
      <c r="E450" t="str">
        <f>IF(MSE成绩库!C450="","", MSE成绩库!E450)</f>
        <v/>
      </c>
      <c r="F450" t="str">
        <f>IF(MSE成绩库!C450="","", MSE成绩库!F450)</f>
        <v/>
      </c>
      <c r="G450" t="str">
        <f>IF(MSE成绩库!C450="","", MSE成绩库!G450)</f>
        <v/>
      </c>
      <c r="H450" t="str">
        <f>IF(MSE成绩库!C450="","", MSE成绩库!H450)</f>
        <v/>
      </c>
      <c r="I450" t="str">
        <f>IF(MSE成绩库!C450="","", MSE成绩库!I450)</f>
        <v/>
      </c>
      <c r="J450" t="str">
        <f>IF(MSE成绩库!C450="","", MSE成绩库!J450)</f>
        <v/>
      </c>
      <c r="K450" t="str">
        <f>IF(MSE成绩库!C450="","", MSE成绩库!K450)</f>
        <v/>
      </c>
      <c r="L450" t="str">
        <f>IF(MSE成绩库!C450="","", MSE成绩库!M450)</f>
        <v/>
      </c>
      <c r="M450" t="str">
        <f>IF(MSE成绩库!C450="","", MSE成绩库!N450)</f>
        <v/>
      </c>
      <c r="N450" t="str">
        <f>IF(MSE成绩库!C450="","", MSE成绩库!O450)</f>
        <v/>
      </c>
      <c r="O450" t="str">
        <f>IF(MSE成绩库!C450="","", MSE成绩库!Q450)</f>
        <v/>
      </c>
      <c r="P450" t="str">
        <f>IF(MSE成绩库!C450="","", MSE成绩库!R450)</f>
        <v/>
      </c>
      <c r="Q450" t="str">
        <f>IF(MSE成绩库!C450="","", MSE成绩库!S450)</f>
        <v/>
      </c>
      <c r="R450" t="str">
        <f>IF(MSE成绩库!C450="","", MSE成绩库!T450)</f>
        <v/>
      </c>
      <c r="S450" t="str">
        <f>IF(MSE成绩库!C450="","", MSE成绩库!U450)</f>
        <v/>
      </c>
      <c r="T450" t="str">
        <f>IF(MSE成绩库!C450="","", MSE成绩库!V450)</f>
        <v/>
      </c>
      <c r="U450" t="str">
        <f>IF(MSE成绩库!C450="","", MSE成绩库!X450)</f>
        <v/>
      </c>
      <c r="V450" t="str">
        <f>IF(MSE成绩库!C450="","", MSE成绩库!Y450)</f>
        <v/>
      </c>
      <c r="W450" t="str">
        <f>IF(MSE成绩库!C450="","", MSE成绩库!Z450)</f>
        <v/>
      </c>
      <c r="X450" t="str">
        <f>IF(MSE成绩库!C450="","", MSE成绩库!AA450)</f>
        <v/>
      </c>
      <c r="Y450" t="str">
        <f>IF(MSE成绩库!C450="","", MSE成绩库!AB450)</f>
        <v/>
      </c>
      <c r="Z450" t="str">
        <f>IF(MSE成绩库!C450="","", MSE成绩库!AC450)</f>
        <v/>
      </c>
    </row>
    <row r="451" spans="1:26" x14ac:dyDescent="0.2">
      <c r="A451" t="str">
        <f>IF(MSE成绩库!C451="","", MSE成绩库!C451)</f>
        <v/>
      </c>
      <c r="B451" t="str">
        <f>IF(MSE成绩库!AD451="","", MSE成绩库!AD451)</f>
        <v/>
      </c>
      <c r="C451" t="str">
        <f>IF(MSE成绩库!B451="","", MSE成绩库!B451)</f>
        <v/>
      </c>
      <c r="D451" t="str">
        <f>IF(MSE成绩库!D451="","", MSE成绩库!D451)</f>
        <v/>
      </c>
      <c r="E451" t="str">
        <f>IF(MSE成绩库!C451="","", MSE成绩库!E451)</f>
        <v/>
      </c>
      <c r="F451" t="str">
        <f>IF(MSE成绩库!C451="","", MSE成绩库!F451)</f>
        <v/>
      </c>
      <c r="G451" t="str">
        <f>IF(MSE成绩库!C451="","", MSE成绩库!G451)</f>
        <v/>
      </c>
      <c r="H451" t="str">
        <f>IF(MSE成绩库!C451="","", MSE成绩库!H451)</f>
        <v/>
      </c>
      <c r="I451" t="str">
        <f>IF(MSE成绩库!C451="","", MSE成绩库!I451)</f>
        <v/>
      </c>
      <c r="J451" t="str">
        <f>IF(MSE成绩库!C451="","", MSE成绩库!J451)</f>
        <v/>
      </c>
      <c r="K451" t="str">
        <f>IF(MSE成绩库!C451="","", MSE成绩库!K451)</f>
        <v/>
      </c>
      <c r="L451" t="str">
        <f>IF(MSE成绩库!C451="","", MSE成绩库!M451)</f>
        <v/>
      </c>
      <c r="M451" t="str">
        <f>IF(MSE成绩库!C451="","", MSE成绩库!N451)</f>
        <v/>
      </c>
      <c r="N451" t="str">
        <f>IF(MSE成绩库!C451="","", MSE成绩库!O451)</f>
        <v/>
      </c>
      <c r="O451" t="str">
        <f>IF(MSE成绩库!C451="","", MSE成绩库!Q451)</f>
        <v/>
      </c>
      <c r="P451" t="str">
        <f>IF(MSE成绩库!C451="","", MSE成绩库!R451)</f>
        <v/>
      </c>
      <c r="Q451" t="str">
        <f>IF(MSE成绩库!C451="","", MSE成绩库!S451)</f>
        <v/>
      </c>
      <c r="R451" t="str">
        <f>IF(MSE成绩库!C451="","", MSE成绩库!T451)</f>
        <v/>
      </c>
      <c r="S451" t="str">
        <f>IF(MSE成绩库!C451="","", MSE成绩库!U451)</f>
        <v/>
      </c>
      <c r="T451" t="str">
        <f>IF(MSE成绩库!C451="","", MSE成绩库!V451)</f>
        <v/>
      </c>
      <c r="U451" t="str">
        <f>IF(MSE成绩库!C451="","", MSE成绩库!X451)</f>
        <v/>
      </c>
      <c r="V451" t="str">
        <f>IF(MSE成绩库!C451="","", MSE成绩库!Y451)</f>
        <v/>
      </c>
      <c r="W451" t="str">
        <f>IF(MSE成绩库!C451="","", MSE成绩库!Z451)</f>
        <v/>
      </c>
      <c r="X451" t="str">
        <f>IF(MSE成绩库!C451="","", MSE成绩库!AA451)</f>
        <v/>
      </c>
      <c r="Y451" t="str">
        <f>IF(MSE成绩库!C451="","", MSE成绩库!AB451)</f>
        <v/>
      </c>
      <c r="Z451" t="str">
        <f>IF(MSE成绩库!C451="","", MSE成绩库!AC451)</f>
        <v/>
      </c>
    </row>
    <row r="452" spans="1:26" x14ac:dyDescent="0.2">
      <c r="A452" t="str">
        <f>IF(MSE成绩库!C452="","", MSE成绩库!C452)</f>
        <v/>
      </c>
      <c r="B452" t="str">
        <f>IF(MSE成绩库!AD452="","", MSE成绩库!AD452)</f>
        <v/>
      </c>
      <c r="C452" t="str">
        <f>IF(MSE成绩库!B452="","", MSE成绩库!B452)</f>
        <v/>
      </c>
      <c r="D452" t="str">
        <f>IF(MSE成绩库!D452="","", MSE成绩库!D452)</f>
        <v/>
      </c>
      <c r="E452" t="str">
        <f>IF(MSE成绩库!C452="","", MSE成绩库!E452)</f>
        <v/>
      </c>
      <c r="F452" t="str">
        <f>IF(MSE成绩库!C452="","", MSE成绩库!F452)</f>
        <v/>
      </c>
      <c r="G452" t="str">
        <f>IF(MSE成绩库!C452="","", MSE成绩库!G452)</f>
        <v/>
      </c>
      <c r="H452" t="str">
        <f>IF(MSE成绩库!C452="","", MSE成绩库!H452)</f>
        <v/>
      </c>
      <c r="I452" t="str">
        <f>IF(MSE成绩库!C452="","", MSE成绩库!I452)</f>
        <v/>
      </c>
      <c r="J452" t="str">
        <f>IF(MSE成绩库!C452="","", MSE成绩库!J452)</f>
        <v/>
      </c>
      <c r="K452" t="str">
        <f>IF(MSE成绩库!C452="","", MSE成绩库!K452)</f>
        <v/>
      </c>
      <c r="L452" t="str">
        <f>IF(MSE成绩库!C452="","", MSE成绩库!M452)</f>
        <v/>
      </c>
      <c r="M452" t="str">
        <f>IF(MSE成绩库!C452="","", MSE成绩库!N452)</f>
        <v/>
      </c>
      <c r="N452" t="str">
        <f>IF(MSE成绩库!C452="","", MSE成绩库!O452)</f>
        <v/>
      </c>
      <c r="O452" t="str">
        <f>IF(MSE成绩库!C452="","", MSE成绩库!Q452)</f>
        <v/>
      </c>
      <c r="P452" t="str">
        <f>IF(MSE成绩库!C452="","", MSE成绩库!R452)</f>
        <v/>
      </c>
      <c r="Q452" t="str">
        <f>IF(MSE成绩库!C452="","", MSE成绩库!S452)</f>
        <v/>
      </c>
      <c r="R452" t="str">
        <f>IF(MSE成绩库!C452="","", MSE成绩库!T452)</f>
        <v/>
      </c>
      <c r="S452" t="str">
        <f>IF(MSE成绩库!C452="","", MSE成绩库!U452)</f>
        <v/>
      </c>
      <c r="T452" t="str">
        <f>IF(MSE成绩库!C452="","", MSE成绩库!V452)</f>
        <v/>
      </c>
      <c r="U452" t="str">
        <f>IF(MSE成绩库!C452="","", MSE成绩库!X452)</f>
        <v/>
      </c>
      <c r="V452" t="str">
        <f>IF(MSE成绩库!C452="","", MSE成绩库!Y452)</f>
        <v/>
      </c>
      <c r="W452" t="str">
        <f>IF(MSE成绩库!C452="","", MSE成绩库!Z452)</f>
        <v/>
      </c>
      <c r="X452" t="str">
        <f>IF(MSE成绩库!C452="","", MSE成绩库!AA452)</f>
        <v/>
      </c>
      <c r="Y452" t="str">
        <f>IF(MSE成绩库!C452="","", MSE成绩库!AB452)</f>
        <v/>
      </c>
      <c r="Z452" t="str">
        <f>IF(MSE成绩库!C452="","", MSE成绩库!AC452)</f>
        <v/>
      </c>
    </row>
    <row r="453" spans="1:26" x14ac:dyDescent="0.2">
      <c r="A453" t="str">
        <f>IF(MSE成绩库!C453="","", MSE成绩库!C453)</f>
        <v/>
      </c>
      <c r="B453" t="str">
        <f>IF(MSE成绩库!AD453="","", MSE成绩库!AD453)</f>
        <v/>
      </c>
      <c r="C453" t="str">
        <f>IF(MSE成绩库!B453="","", MSE成绩库!B453)</f>
        <v/>
      </c>
      <c r="D453" t="str">
        <f>IF(MSE成绩库!D453="","", MSE成绩库!D453)</f>
        <v/>
      </c>
      <c r="E453" t="str">
        <f>IF(MSE成绩库!C453="","", MSE成绩库!E453)</f>
        <v/>
      </c>
      <c r="F453" t="str">
        <f>IF(MSE成绩库!C453="","", MSE成绩库!F453)</f>
        <v/>
      </c>
      <c r="G453" t="str">
        <f>IF(MSE成绩库!C453="","", MSE成绩库!G453)</f>
        <v/>
      </c>
      <c r="H453" t="str">
        <f>IF(MSE成绩库!C453="","", MSE成绩库!H453)</f>
        <v/>
      </c>
      <c r="I453" t="str">
        <f>IF(MSE成绩库!C453="","", MSE成绩库!I453)</f>
        <v/>
      </c>
      <c r="J453" t="str">
        <f>IF(MSE成绩库!C453="","", MSE成绩库!J453)</f>
        <v/>
      </c>
      <c r="K453" t="str">
        <f>IF(MSE成绩库!C453="","", MSE成绩库!K453)</f>
        <v/>
      </c>
      <c r="L453" t="str">
        <f>IF(MSE成绩库!C453="","", MSE成绩库!M453)</f>
        <v/>
      </c>
      <c r="M453" t="str">
        <f>IF(MSE成绩库!C453="","", MSE成绩库!N453)</f>
        <v/>
      </c>
      <c r="N453" t="str">
        <f>IF(MSE成绩库!C453="","", MSE成绩库!O453)</f>
        <v/>
      </c>
      <c r="O453" t="str">
        <f>IF(MSE成绩库!C453="","", MSE成绩库!Q453)</f>
        <v/>
      </c>
      <c r="P453" t="str">
        <f>IF(MSE成绩库!C453="","", MSE成绩库!R453)</f>
        <v/>
      </c>
      <c r="Q453" t="str">
        <f>IF(MSE成绩库!C453="","", MSE成绩库!S453)</f>
        <v/>
      </c>
      <c r="R453" t="str">
        <f>IF(MSE成绩库!C453="","", MSE成绩库!T453)</f>
        <v/>
      </c>
      <c r="S453" t="str">
        <f>IF(MSE成绩库!C453="","", MSE成绩库!U453)</f>
        <v/>
      </c>
      <c r="T453" t="str">
        <f>IF(MSE成绩库!C453="","", MSE成绩库!V453)</f>
        <v/>
      </c>
      <c r="U453" t="str">
        <f>IF(MSE成绩库!C453="","", MSE成绩库!X453)</f>
        <v/>
      </c>
      <c r="V453" t="str">
        <f>IF(MSE成绩库!C453="","", MSE成绩库!Y453)</f>
        <v/>
      </c>
      <c r="W453" t="str">
        <f>IF(MSE成绩库!C453="","", MSE成绩库!Z453)</f>
        <v/>
      </c>
      <c r="X453" t="str">
        <f>IF(MSE成绩库!C453="","", MSE成绩库!AA453)</f>
        <v/>
      </c>
      <c r="Y453" t="str">
        <f>IF(MSE成绩库!C453="","", MSE成绩库!AB453)</f>
        <v/>
      </c>
      <c r="Z453" t="str">
        <f>IF(MSE成绩库!C453="","", MSE成绩库!AC453)</f>
        <v/>
      </c>
    </row>
    <row r="454" spans="1:26" x14ac:dyDescent="0.2">
      <c r="A454" t="str">
        <f>IF(MSE成绩库!C454="","", MSE成绩库!C454)</f>
        <v/>
      </c>
      <c r="B454" t="str">
        <f>IF(MSE成绩库!AD454="","", MSE成绩库!AD454)</f>
        <v/>
      </c>
      <c r="C454" t="str">
        <f>IF(MSE成绩库!B454="","", MSE成绩库!B454)</f>
        <v/>
      </c>
      <c r="D454" t="str">
        <f>IF(MSE成绩库!D454="","", MSE成绩库!D454)</f>
        <v/>
      </c>
      <c r="E454" t="str">
        <f>IF(MSE成绩库!C454="","", MSE成绩库!E454)</f>
        <v/>
      </c>
      <c r="F454" t="str">
        <f>IF(MSE成绩库!C454="","", MSE成绩库!F454)</f>
        <v/>
      </c>
      <c r="G454" t="str">
        <f>IF(MSE成绩库!C454="","", MSE成绩库!G454)</f>
        <v/>
      </c>
      <c r="H454" t="str">
        <f>IF(MSE成绩库!C454="","", MSE成绩库!H454)</f>
        <v/>
      </c>
      <c r="I454" t="str">
        <f>IF(MSE成绩库!C454="","", MSE成绩库!I454)</f>
        <v/>
      </c>
      <c r="J454" t="str">
        <f>IF(MSE成绩库!C454="","", MSE成绩库!J454)</f>
        <v/>
      </c>
      <c r="K454" t="str">
        <f>IF(MSE成绩库!C454="","", MSE成绩库!K454)</f>
        <v/>
      </c>
      <c r="L454" t="str">
        <f>IF(MSE成绩库!C454="","", MSE成绩库!M454)</f>
        <v/>
      </c>
      <c r="M454" t="str">
        <f>IF(MSE成绩库!C454="","", MSE成绩库!N454)</f>
        <v/>
      </c>
      <c r="N454" t="str">
        <f>IF(MSE成绩库!C454="","", MSE成绩库!O454)</f>
        <v/>
      </c>
      <c r="O454" t="str">
        <f>IF(MSE成绩库!C454="","", MSE成绩库!Q454)</f>
        <v/>
      </c>
      <c r="P454" t="str">
        <f>IF(MSE成绩库!C454="","", MSE成绩库!R454)</f>
        <v/>
      </c>
      <c r="Q454" t="str">
        <f>IF(MSE成绩库!C454="","", MSE成绩库!S454)</f>
        <v/>
      </c>
      <c r="R454" t="str">
        <f>IF(MSE成绩库!C454="","", MSE成绩库!T454)</f>
        <v/>
      </c>
      <c r="S454" t="str">
        <f>IF(MSE成绩库!C454="","", MSE成绩库!U454)</f>
        <v/>
      </c>
      <c r="T454" t="str">
        <f>IF(MSE成绩库!C454="","", MSE成绩库!V454)</f>
        <v/>
      </c>
      <c r="U454" t="str">
        <f>IF(MSE成绩库!C454="","", MSE成绩库!X454)</f>
        <v/>
      </c>
      <c r="V454" t="str">
        <f>IF(MSE成绩库!C454="","", MSE成绩库!Y454)</f>
        <v/>
      </c>
      <c r="W454" t="str">
        <f>IF(MSE成绩库!C454="","", MSE成绩库!Z454)</f>
        <v/>
      </c>
      <c r="X454" t="str">
        <f>IF(MSE成绩库!C454="","", MSE成绩库!AA454)</f>
        <v/>
      </c>
      <c r="Y454" t="str">
        <f>IF(MSE成绩库!C454="","", MSE成绩库!AB454)</f>
        <v/>
      </c>
      <c r="Z454" t="str">
        <f>IF(MSE成绩库!C454="","", MSE成绩库!AC454)</f>
        <v/>
      </c>
    </row>
    <row r="455" spans="1:26" x14ac:dyDescent="0.2">
      <c r="A455" t="str">
        <f>IF(MSE成绩库!C455="","", MSE成绩库!C455)</f>
        <v/>
      </c>
      <c r="B455" t="str">
        <f>IF(MSE成绩库!AD455="","", MSE成绩库!AD455)</f>
        <v/>
      </c>
      <c r="C455" t="str">
        <f>IF(MSE成绩库!B455="","", MSE成绩库!B455)</f>
        <v/>
      </c>
      <c r="D455" t="str">
        <f>IF(MSE成绩库!D455="","", MSE成绩库!D455)</f>
        <v/>
      </c>
      <c r="E455" t="str">
        <f>IF(MSE成绩库!C455="","", MSE成绩库!E455)</f>
        <v/>
      </c>
      <c r="F455" t="str">
        <f>IF(MSE成绩库!C455="","", MSE成绩库!F455)</f>
        <v/>
      </c>
      <c r="G455" t="str">
        <f>IF(MSE成绩库!C455="","", MSE成绩库!G455)</f>
        <v/>
      </c>
      <c r="H455" t="str">
        <f>IF(MSE成绩库!C455="","", MSE成绩库!H455)</f>
        <v/>
      </c>
      <c r="I455" t="str">
        <f>IF(MSE成绩库!C455="","", MSE成绩库!I455)</f>
        <v/>
      </c>
      <c r="J455" t="str">
        <f>IF(MSE成绩库!C455="","", MSE成绩库!J455)</f>
        <v/>
      </c>
      <c r="K455" t="str">
        <f>IF(MSE成绩库!C455="","", MSE成绩库!K455)</f>
        <v/>
      </c>
      <c r="L455" t="str">
        <f>IF(MSE成绩库!C455="","", MSE成绩库!M455)</f>
        <v/>
      </c>
      <c r="M455" t="str">
        <f>IF(MSE成绩库!C455="","", MSE成绩库!N455)</f>
        <v/>
      </c>
      <c r="N455" t="str">
        <f>IF(MSE成绩库!C455="","", MSE成绩库!O455)</f>
        <v/>
      </c>
      <c r="O455" t="str">
        <f>IF(MSE成绩库!C455="","", MSE成绩库!Q455)</f>
        <v/>
      </c>
      <c r="P455" t="str">
        <f>IF(MSE成绩库!C455="","", MSE成绩库!R455)</f>
        <v/>
      </c>
      <c r="Q455" t="str">
        <f>IF(MSE成绩库!C455="","", MSE成绩库!S455)</f>
        <v/>
      </c>
      <c r="R455" t="str">
        <f>IF(MSE成绩库!C455="","", MSE成绩库!T455)</f>
        <v/>
      </c>
      <c r="S455" t="str">
        <f>IF(MSE成绩库!C455="","", MSE成绩库!U455)</f>
        <v/>
      </c>
      <c r="T455" t="str">
        <f>IF(MSE成绩库!C455="","", MSE成绩库!V455)</f>
        <v/>
      </c>
      <c r="U455" t="str">
        <f>IF(MSE成绩库!C455="","", MSE成绩库!X455)</f>
        <v/>
      </c>
      <c r="V455" t="str">
        <f>IF(MSE成绩库!C455="","", MSE成绩库!Y455)</f>
        <v/>
      </c>
      <c r="W455" t="str">
        <f>IF(MSE成绩库!C455="","", MSE成绩库!Z455)</f>
        <v/>
      </c>
      <c r="X455" t="str">
        <f>IF(MSE成绩库!C455="","", MSE成绩库!AA455)</f>
        <v/>
      </c>
      <c r="Y455" t="str">
        <f>IF(MSE成绩库!C455="","", MSE成绩库!AB455)</f>
        <v/>
      </c>
      <c r="Z455" t="str">
        <f>IF(MSE成绩库!C455="","", MSE成绩库!AC455)</f>
        <v/>
      </c>
    </row>
    <row r="456" spans="1:26" x14ac:dyDescent="0.2">
      <c r="A456" t="str">
        <f>IF(MSE成绩库!C456="","", MSE成绩库!C456)</f>
        <v/>
      </c>
      <c r="B456" t="str">
        <f>IF(MSE成绩库!AD456="","", MSE成绩库!AD456)</f>
        <v/>
      </c>
      <c r="C456" t="str">
        <f>IF(MSE成绩库!B456="","", MSE成绩库!B456)</f>
        <v/>
      </c>
      <c r="D456" t="str">
        <f>IF(MSE成绩库!D456="","", MSE成绩库!D456)</f>
        <v/>
      </c>
      <c r="E456" t="str">
        <f>IF(MSE成绩库!C456="","", MSE成绩库!E456)</f>
        <v/>
      </c>
      <c r="F456" t="str">
        <f>IF(MSE成绩库!C456="","", MSE成绩库!F456)</f>
        <v/>
      </c>
      <c r="G456" t="str">
        <f>IF(MSE成绩库!C456="","", MSE成绩库!G456)</f>
        <v/>
      </c>
      <c r="H456" t="str">
        <f>IF(MSE成绩库!C456="","", MSE成绩库!H456)</f>
        <v/>
      </c>
      <c r="I456" t="str">
        <f>IF(MSE成绩库!C456="","", MSE成绩库!I456)</f>
        <v/>
      </c>
      <c r="J456" t="str">
        <f>IF(MSE成绩库!C456="","", MSE成绩库!J456)</f>
        <v/>
      </c>
      <c r="K456" t="str">
        <f>IF(MSE成绩库!C456="","", MSE成绩库!K456)</f>
        <v/>
      </c>
      <c r="L456" t="str">
        <f>IF(MSE成绩库!C456="","", MSE成绩库!M456)</f>
        <v/>
      </c>
      <c r="M456" t="str">
        <f>IF(MSE成绩库!C456="","", MSE成绩库!N456)</f>
        <v/>
      </c>
      <c r="N456" t="str">
        <f>IF(MSE成绩库!C456="","", MSE成绩库!O456)</f>
        <v/>
      </c>
      <c r="O456" t="str">
        <f>IF(MSE成绩库!C456="","", MSE成绩库!Q456)</f>
        <v/>
      </c>
      <c r="P456" t="str">
        <f>IF(MSE成绩库!C456="","", MSE成绩库!R456)</f>
        <v/>
      </c>
      <c r="Q456" t="str">
        <f>IF(MSE成绩库!C456="","", MSE成绩库!S456)</f>
        <v/>
      </c>
      <c r="R456" t="str">
        <f>IF(MSE成绩库!C456="","", MSE成绩库!T456)</f>
        <v/>
      </c>
      <c r="S456" t="str">
        <f>IF(MSE成绩库!C456="","", MSE成绩库!U456)</f>
        <v/>
      </c>
      <c r="T456" t="str">
        <f>IF(MSE成绩库!C456="","", MSE成绩库!V456)</f>
        <v/>
      </c>
      <c r="U456" t="str">
        <f>IF(MSE成绩库!C456="","", MSE成绩库!X456)</f>
        <v/>
      </c>
      <c r="V456" t="str">
        <f>IF(MSE成绩库!C456="","", MSE成绩库!Y456)</f>
        <v/>
      </c>
      <c r="W456" t="str">
        <f>IF(MSE成绩库!C456="","", MSE成绩库!Z456)</f>
        <v/>
      </c>
      <c r="X456" t="str">
        <f>IF(MSE成绩库!C456="","", MSE成绩库!AA456)</f>
        <v/>
      </c>
      <c r="Y456" t="str">
        <f>IF(MSE成绩库!C456="","", MSE成绩库!AB456)</f>
        <v/>
      </c>
      <c r="Z456" t="str">
        <f>IF(MSE成绩库!C456="","", MSE成绩库!AC456)</f>
        <v/>
      </c>
    </row>
    <row r="457" spans="1:26" x14ac:dyDescent="0.2">
      <c r="A457" t="str">
        <f>IF(MSE成绩库!C457="","", MSE成绩库!C457)</f>
        <v/>
      </c>
      <c r="B457" t="str">
        <f>IF(MSE成绩库!AD457="","", MSE成绩库!AD457)</f>
        <v/>
      </c>
      <c r="C457" t="str">
        <f>IF(MSE成绩库!B457="","", MSE成绩库!B457)</f>
        <v/>
      </c>
      <c r="D457" t="str">
        <f>IF(MSE成绩库!D457="","", MSE成绩库!D457)</f>
        <v/>
      </c>
      <c r="E457" t="str">
        <f>IF(MSE成绩库!C457="","", MSE成绩库!E457)</f>
        <v/>
      </c>
      <c r="F457" t="str">
        <f>IF(MSE成绩库!C457="","", MSE成绩库!F457)</f>
        <v/>
      </c>
      <c r="G457" t="str">
        <f>IF(MSE成绩库!C457="","", MSE成绩库!G457)</f>
        <v/>
      </c>
      <c r="H457" t="str">
        <f>IF(MSE成绩库!C457="","", MSE成绩库!H457)</f>
        <v/>
      </c>
      <c r="I457" t="str">
        <f>IF(MSE成绩库!C457="","", MSE成绩库!I457)</f>
        <v/>
      </c>
      <c r="J457" t="str">
        <f>IF(MSE成绩库!C457="","", MSE成绩库!J457)</f>
        <v/>
      </c>
      <c r="K457" t="str">
        <f>IF(MSE成绩库!C457="","", MSE成绩库!K457)</f>
        <v/>
      </c>
      <c r="L457" t="str">
        <f>IF(MSE成绩库!C457="","", MSE成绩库!M457)</f>
        <v/>
      </c>
      <c r="M457" t="str">
        <f>IF(MSE成绩库!C457="","", MSE成绩库!N457)</f>
        <v/>
      </c>
      <c r="N457" t="str">
        <f>IF(MSE成绩库!C457="","", MSE成绩库!O457)</f>
        <v/>
      </c>
      <c r="O457" t="str">
        <f>IF(MSE成绩库!C457="","", MSE成绩库!Q457)</f>
        <v/>
      </c>
      <c r="P457" t="str">
        <f>IF(MSE成绩库!C457="","", MSE成绩库!R457)</f>
        <v/>
      </c>
      <c r="Q457" t="str">
        <f>IF(MSE成绩库!C457="","", MSE成绩库!S457)</f>
        <v/>
      </c>
      <c r="R457" t="str">
        <f>IF(MSE成绩库!C457="","", MSE成绩库!T457)</f>
        <v/>
      </c>
      <c r="S457" t="str">
        <f>IF(MSE成绩库!C457="","", MSE成绩库!U457)</f>
        <v/>
      </c>
      <c r="T457" t="str">
        <f>IF(MSE成绩库!C457="","", MSE成绩库!V457)</f>
        <v/>
      </c>
      <c r="U457" t="str">
        <f>IF(MSE成绩库!C457="","", MSE成绩库!X457)</f>
        <v/>
      </c>
      <c r="V457" t="str">
        <f>IF(MSE成绩库!C457="","", MSE成绩库!Y457)</f>
        <v/>
      </c>
      <c r="W457" t="str">
        <f>IF(MSE成绩库!C457="","", MSE成绩库!Z457)</f>
        <v/>
      </c>
      <c r="X457" t="str">
        <f>IF(MSE成绩库!C457="","", MSE成绩库!AA457)</f>
        <v/>
      </c>
      <c r="Y457" t="str">
        <f>IF(MSE成绩库!C457="","", MSE成绩库!AB457)</f>
        <v/>
      </c>
      <c r="Z457" t="str">
        <f>IF(MSE成绩库!C457="","", MSE成绩库!AC457)</f>
        <v/>
      </c>
    </row>
    <row r="458" spans="1:26" x14ac:dyDescent="0.2">
      <c r="A458" t="str">
        <f>IF(MSE成绩库!C458="","", MSE成绩库!C458)</f>
        <v/>
      </c>
      <c r="B458" t="str">
        <f>IF(MSE成绩库!AD458="","", MSE成绩库!AD458)</f>
        <v/>
      </c>
      <c r="C458" t="str">
        <f>IF(MSE成绩库!B458="","", MSE成绩库!B458)</f>
        <v/>
      </c>
      <c r="D458" t="str">
        <f>IF(MSE成绩库!D458="","", MSE成绩库!D458)</f>
        <v/>
      </c>
      <c r="E458" t="str">
        <f>IF(MSE成绩库!C458="","", MSE成绩库!E458)</f>
        <v/>
      </c>
      <c r="F458" t="str">
        <f>IF(MSE成绩库!C458="","", MSE成绩库!F458)</f>
        <v/>
      </c>
      <c r="G458" t="str">
        <f>IF(MSE成绩库!C458="","", MSE成绩库!G458)</f>
        <v/>
      </c>
      <c r="H458" t="str">
        <f>IF(MSE成绩库!C458="","", MSE成绩库!H458)</f>
        <v/>
      </c>
      <c r="I458" t="str">
        <f>IF(MSE成绩库!C458="","", MSE成绩库!I458)</f>
        <v/>
      </c>
      <c r="J458" t="str">
        <f>IF(MSE成绩库!C458="","", MSE成绩库!J458)</f>
        <v/>
      </c>
      <c r="K458" t="str">
        <f>IF(MSE成绩库!C458="","", MSE成绩库!K458)</f>
        <v/>
      </c>
      <c r="L458" t="str">
        <f>IF(MSE成绩库!C458="","", MSE成绩库!M458)</f>
        <v/>
      </c>
      <c r="M458" t="str">
        <f>IF(MSE成绩库!C458="","", MSE成绩库!N458)</f>
        <v/>
      </c>
      <c r="N458" t="str">
        <f>IF(MSE成绩库!C458="","", MSE成绩库!O458)</f>
        <v/>
      </c>
      <c r="O458" t="str">
        <f>IF(MSE成绩库!C458="","", MSE成绩库!Q458)</f>
        <v/>
      </c>
      <c r="P458" t="str">
        <f>IF(MSE成绩库!C458="","", MSE成绩库!R458)</f>
        <v/>
      </c>
      <c r="Q458" t="str">
        <f>IF(MSE成绩库!C458="","", MSE成绩库!S458)</f>
        <v/>
      </c>
      <c r="R458" t="str">
        <f>IF(MSE成绩库!C458="","", MSE成绩库!T458)</f>
        <v/>
      </c>
      <c r="S458" t="str">
        <f>IF(MSE成绩库!C458="","", MSE成绩库!U458)</f>
        <v/>
      </c>
      <c r="T458" t="str">
        <f>IF(MSE成绩库!C458="","", MSE成绩库!V458)</f>
        <v/>
      </c>
      <c r="U458" t="str">
        <f>IF(MSE成绩库!C458="","", MSE成绩库!X458)</f>
        <v/>
      </c>
      <c r="V458" t="str">
        <f>IF(MSE成绩库!C458="","", MSE成绩库!Y458)</f>
        <v/>
      </c>
      <c r="W458" t="str">
        <f>IF(MSE成绩库!C458="","", MSE成绩库!Z458)</f>
        <v/>
      </c>
      <c r="X458" t="str">
        <f>IF(MSE成绩库!C458="","", MSE成绩库!AA458)</f>
        <v/>
      </c>
      <c r="Y458" t="str">
        <f>IF(MSE成绩库!C458="","", MSE成绩库!AB458)</f>
        <v/>
      </c>
      <c r="Z458" t="str">
        <f>IF(MSE成绩库!C458="","", MSE成绩库!AC458)</f>
        <v/>
      </c>
    </row>
    <row r="459" spans="1:26" x14ac:dyDescent="0.2">
      <c r="A459" t="str">
        <f>IF(MSE成绩库!C459="","", MSE成绩库!C459)</f>
        <v/>
      </c>
      <c r="B459" t="str">
        <f>IF(MSE成绩库!AD459="","", MSE成绩库!AD459)</f>
        <v/>
      </c>
      <c r="C459" t="str">
        <f>IF(MSE成绩库!B459="","", MSE成绩库!B459)</f>
        <v/>
      </c>
      <c r="D459" t="str">
        <f>IF(MSE成绩库!D459="","", MSE成绩库!D459)</f>
        <v/>
      </c>
      <c r="E459" t="str">
        <f>IF(MSE成绩库!C459="","", MSE成绩库!E459)</f>
        <v/>
      </c>
      <c r="F459" t="str">
        <f>IF(MSE成绩库!C459="","", MSE成绩库!F459)</f>
        <v/>
      </c>
      <c r="G459" t="str">
        <f>IF(MSE成绩库!C459="","", MSE成绩库!G459)</f>
        <v/>
      </c>
      <c r="H459" t="str">
        <f>IF(MSE成绩库!C459="","", MSE成绩库!H459)</f>
        <v/>
      </c>
      <c r="I459" t="str">
        <f>IF(MSE成绩库!C459="","", MSE成绩库!I459)</f>
        <v/>
      </c>
      <c r="J459" t="str">
        <f>IF(MSE成绩库!C459="","", MSE成绩库!J459)</f>
        <v/>
      </c>
      <c r="K459" t="str">
        <f>IF(MSE成绩库!C459="","", MSE成绩库!K459)</f>
        <v/>
      </c>
      <c r="L459" t="str">
        <f>IF(MSE成绩库!C459="","", MSE成绩库!M459)</f>
        <v/>
      </c>
      <c r="M459" t="str">
        <f>IF(MSE成绩库!C459="","", MSE成绩库!N459)</f>
        <v/>
      </c>
      <c r="N459" t="str">
        <f>IF(MSE成绩库!C459="","", MSE成绩库!O459)</f>
        <v/>
      </c>
      <c r="O459" t="str">
        <f>IF(MSE成绩库!C459="","", MSE成绩库!Q459)</f>
        <v/>
      </c>
      <c r="P459" t="str">
        <f>IF(MSE成绩库!C459="","", MSE成绩库!R459)</f>
        <v/>
      </c>
      <c r="Q459" t="str">
        <f>IF(MSE成绩库!C459="","", MSE成绩库!S459)</f>
        <v/>
      </c>
      <c r="R459" t="str">
        <f>IF(MSE成绩库!C459="","", MSE成绩库!T459)</f>
        <v/>
      </c>
      <c r="S459" t="str">
        <f>IF(MSE成绩库!C459="","", MSE成绩库!U459)</f>
        <v/>
      </c>
      <c r="T459" t="str">
        <f>IF(MSE成绩库!C459="","", MSE成绩库!V459)</f>
        <v/>
      </c>
      <c r="U459" t="str">
        <f>IF(MSE成绩库!C459="","", MSE成绩库!X459)</f>
        <v/>
      </c>
      <c r="V459" t="str">
        <f>IF(MSE成绩库!C459="","", MSE成绩库!Y459)</f>
        <v/>
      </c>
      <c r="W459" t="str">
        <f>IF(MSE成绩库!C459="","", MSE成绩库!Z459)</f>
        <v/>
      </c>
      <c r="X459" t="str">
        <f>IF(MSE成绩库!C459="","", MSE成绩库!AA459)</f>
        <v/>
      </c>
      <c r="Y459" t="str">
        <f>IF(MSE成绩库!C459="","", MSE成绩库!AB459)</f>
        <v/>
      </c>
      <c r="Z459" t="str">
        <f>IF(MSE成绩库!C459="","", MSE成绩库!AC459)</f>
        <v/>
      </c>
    </row>
    <row r="460" spans="1:26" x14ac:dyDescent="0.2">
      <c r="A460" t="str">
        <f>IF(MSE成绩库!C460="","", MSE成绩库!C460)</f>
        <v/>
      </c>
      <c r="B460" t="str">
        <f>IF(MSE成绩库!AD460="","", MSE成绩库!AD460)</f>
        <v/>
      </c>
      <c r="C460" t="str">
        <f>IF(MSE成绩库!B460="","", MSE成绩库!B460)</f>
        <v/>
      </c>
      <c r="D460" t="str">
        <f>IF(MSE成绩库!D460="","", MSE成绩库!D460)</f>
        <v/>
      </c>
      <c r="E460" t="str">
        <f>IF(MSE成绩库!C460="","", MSE成绩库!E460)</f>
        <v/>
      </c>
      <c r="F460" t="str">
        <f>IF(MSE成绩库!C460="","", MSE成绩库!F460)</f>
        <v/>
      </c>
      <c r="G460" t="str">
        <f>IF(MSE成绩库!C460="","", MSE成绩库!G460)</f>
        <v/>
      </c>
      <c r="H460" t="str">
        <f>IF(MSE成绩库!C460="","", MSE成绩库!H460)</f>
        <v/>
      </c>
      <c r="I460" t="str">
        <f>IF(MSE成绩库!C460="","", MSE成绩库!I460)</f>
        <v/>
      </c>
      <c r="J460" t="str">
        <f>IF(MSE成绩库!C460="","", MSE成绩库!J460)</f>
        <v/>
      </c>
      <c r="K460" t="str">
        <f>IF(MSE成绩库!C460="","", MSE成绩库!K460)</f>
        <v/>
      </c>
      <c r="L460" t="str">
        <f>IF(MSE成绩库!C460="","", MSE成绩库!M460)</f>
        <v/>
      </c>
      <c r="M460" t="str">
        <f>IF(MSE成绩库!C460="","", MSE成绩库!N460)</f>
        <v/>
      </c>
      <c r="N460" t="str">
        <f>IF(MSE成绩库!C460="","", MSE成绩库!O460)</f>
        <v/>
      </c>
      <c r="O460" t="str">
        <f>IF(MSE成绩库!C460="","", MSE成绩库!Q460)</f>
        <v/>
      </c>
      <c r="P460" t="str">
        <f>IF(MSE成绩库!C460="","", MSE成绩库!R460)</f>
        <v/>
      </c>
      <c r="Q460" t="str">
        <f>IF(MSE成绩库!C460="","", MSE成绩库!S460)</f>
        <v/>
      </c>
      <c r="R460" t="str">
        <f>IF(MSE成绩库!C460="","", MSE成绩库!T460)</f>
        <v/>
      </c>
      <c r="S460" t="str">
        <f>IF(MSE成绩库!C460="","", MSE成绩库!U460)</f>
        <v/>
      </c>
      <c r="T460" t="str">
        <f>IF(MSE成绩库!C460="","", MSE成绩库!V460)</f>
        <v/>
      </c>
      <c r="U460" t="str">
        <f>IF(MSE成绩库!C460="","", MSE成绩库!X460)</f>
        <v/>
      </c>
      <c r="V460" t="str">
        <f>IF(MSE成绩库!C460="","", MSE成绩库!Y460)</f>
        <v/>
      </c>
      <c r="W460" t="str">
        <f>IF(MSE成绩库!C460="","", MSE成绩库!Z460)</f>
        <v/>
      </c>
      <c r="X460" t="str">
        <f>IF(MSE成绩库!C460="","", MSE成绩库!AA460)</f>
        <v/>
      </c>
      <c r="Y460" t="str">
        <f>IF(MSE成绩库!C460="","", MSE成绩库!AB460)</f>
        <v/>
      </c>
      <c r="Z460" t="str">
        <f>IF(MSE成绩库!C460="","", MSE成绩库!AC460)</f>
        <v/>
      </c>
    </row>
    <row r="461" spans="1:26" x14ac:dyDescent="0.2">
      <c r="A461" t="str">
        <f>IF(MSE成绩库!C461="","", MSE成绩库!C461)</f>
        <v/>
      </c>
      <c r="B461" t="str">
        <f>IF(MSE成绩库!AD461="","", MSE成绩库!AD461)</f>
        <v/>
      </c>
      <c r="C461" t="str">
        <f>IF(MSE成绩库!B461="","", MSE成绩库!B461)</f>
        <v/>
      </c>
      <c r="D461" t="str">
        <f>IF(MSE成绩库!D461="","", MSE成绩库!D461)</f>
        <v/>
      </c>
      <c r="E461" t="str">
        <f>IF(MSE成绩库!C461="","", MSE成绩库!E461)</f>
        <v/>
      </c>
      <c r="F461" t="str">
        <f>IF(MSE成绩库!C461="","", MSE成绩库!F461)</f>
        <v/>
      </c>
      <c r="G461" t="str">
        <f>IF(MSE成绩库!C461="","", MSE成绩库!G461)</f>
        <v/>
      </c>
      <c r="H461" t="str">
        <f>IF(MSE成绩库!C461="","", MSE成绩库!H461)</f>
        <v/>
      </c>
      <c r="I461" t="str">
        <f>IF(MSE成绩库!C461="","", MSE成绩库!I461)</f>
        <v/>
      </c>
      <c r="J461" t="str">
        <f>IF(MSE成绩库!C461="","", MSE成绩库!J461)</f>
        <v/>
      </c>
      <c r="K461" t="str">
        <f>IF(MSE成绩库!C461="","", MSE成绩库!K461)</f>
        <v/>
      </c>
      <c r="L461" t="str">
        <f>IF(MSE成绩库!C461="","", MSE成绩库!M461)</f>
        <v/>
      </c>
      <c r="M461" t="str">
        <f>IF(MSE成绩库!C461="","", MSE成绩库!N461)</f>
        <v/>
      </c>
      <c r="N461" t="str">
        <f>IF(MSE成绩库!C461="","", MSE成绩库!O461)</f>
        <v/>
      </c>
      <c r="O461" t="str">
        <f>IF(MSE成绩库!C461="","", MSE成绩库!Q461)</f>
        <v/>
      </c>
      <c r="P461" t="str">
        <f>IF(MSE成绩库!C461="","", MSE成绩库!R461)</f>
        <v/>
      </c>
      <c r="Q461" t="str">
        <f>IF(MSE成绩库!C461="","", MSE成绩库!S461)</f>
        <v/>
      </c>
      <c r="R461" t="str">
        <f>IF(MSE成绩库!C461="","", MSE成绩库!T461)</f>
        <v/>
      </c>
      <c r="S461" t="str">
        <f>IF(MSE成绩库!C461="","", MSE成绩库!U461)</f>
        <v/>
      </c>
      <c r="T461" t="str">
        <f>IF(MSE成绩库!C461="","", MSE成绩库!V461)</f>
        <v/>
      </c>
      <c r="U461" t="str">
        <f>IF(MSE成绩库!C461="","", MSE成绩库!X461)</f>
        <v/>
      </c>
      <c r="V461" t="str">
        <f>IF(MSE成绩库!C461="","", MSE成绩库!Y461)</f>
        <v/>
      </c>
      <c r="W461" t="str">
        <f>IF(MSE成绩库!C461="","", MSE成绩库!Z461)</f>
        <v/>
      </c>
      <c r="X461" t="str">
        <f>IF(MSE成绩库!C461="","", MSE成绩库!AA461)</f>
        <v/>
      </c>
      <c r="Y461" t="str">
        <f>IF(MSE成绩库!C461="","", MSE成绩库!AB461)</f>
        <v/>
      </c>
      <c r="Z461" t="str">
        <f>IF(MSE成绩库!C461="","", MSE成绩库!AC461)</f>
        <v/>
      </c>
    </row>
    <row r="462" spans="1:26" x14ac:dyDescent="0.2">
      <c r="A462" t="str">
        <f>IF(MSE成绩库!C462="","", MSE成绩库!C462)</f>
        <v/>
      </c>
      <c r="B462" t="str">
        <f>IF(MSE成绩库!AD462="","", MSE成绩库!AD462)</f>
        <v/>
      </c>
      <c r="C462" t="str">
        <f>IF(MSE成绩库!B462="","", MSE成绩库!B462)</f>
        <v/>
      </c>
      <c r="D462" t="str">
        <f>IF(MSE成绩库!D462="","", MSE成绩库!D462)</f>
        <v/>
      </c>
      <c r="E462" t="str">
        <f>IF(MSE成绩库!C462="","", MSE成绩库!E462)</f>
        <v/>
      </c>
      <c r="F462" t="str">
        <f>IF(MSE成绩库!C462="","", MSE成绩库!F462)</f>
        <v/>
      </c>
      <c r="G462" t="str">
        <f>IF(MSE成绩库!C462="","", MSE成绩库!G462)</f>
        <v/>
      </c>
      <c r="H462" t="str">
        <f>IF(MSE成绩库!C462="","", MSE成绩库!H462)</f>
        <v/>
      </c>
      <c r="I462" t="str">
        <f>IF(MSE成绩库!C462="","", MSE成绩库!I462)</f>
        <v/>
      </c>
      <c r="J462" t="str">
        <f>IF(MSE成绩库!C462="","", MSE成绩库!J462)</f>
        <v/>
      </c>
      <c r="K462" t="str">
        <f>IF(MSE成绩库!C462="","", MSE成绩库!K462)</f>
        <v/>
      </c>
      <c r="L462" t="str">
        <f>IF(MSE成绩库!C462="","", MSE成绩库!M462)</f>
        <v/>
      </c>
      <c r="M462" t="str">
        <f>IF(MSE成绩库!C462="","", MSE成绩库!N462)</f>
        <v/>
      </c>
      <c r="N462" t="str">
        <f>IF(MSE成绩库!C462="","", MSE成绩库!O462)</f>
        <v/>
      </c>
      <c r="O462" t="str">
        <f>IF(MSE成绩库!C462="","", MSE成绩库!Q462)</f>
        <v/>
      </c>
      <c r="P462" t="str">
        <f>IF(MSE成绩库!C462="","", MSE成绩库!R462)</f>
        <v/>
      </c>
      <c r="Q462" t="str">
        <f>IF(MSE成绩库!C462="","", MSE成绩库!S462)</f>
        <v/>
      </c>
      <c r="R462" t="str">
        <f>IF(MSE成绩库!C462="","", MSE成绩库!T462)</f>
        <v/>
      </c>
      <c r="S462" t="str">
        <f>IF(MSE成绩库!C462="","", MSE成绩库!U462)</f>
        <v/>
      </c>
      <c r="T462" t="str">
        <f>IF(MSE成绩库!C462="","", MSE成绩库!V462)</f>
        <v/>
      </c>
      <c r="U462" t="str">
        <f>IF(MSE成绩库!C462="","", MSE成绩库!X462)</f>
        <v/>
      </c>
      <c r="V462" t="str">
        <f>IF(MSE成绩库!C462="","", MSE成绩库!Y462)</f>
        <v/>
      </c>
      <c r="W462" t="str">
        <f>IF(MSE成绩库!C462="","", MSE成绩库!Z462)</f>
        <v/>
      </c>
      <c r="X462" t="str">
        <f>IF(MSE成绩库!C462="","", MSE成绩库!AA462)</f>
        <v/>
      </c>
      <c r="Y462" t="str">
        <f>IF(MSE成绩库!C462="","", MSE成绩库!AB462)</f>
        <v/>
      </c>
      <c r="Z462" t="str">
        <f>IF(MSE成绩库!C462="","", MSE成绩库!AC462)</f>
        <v/>
      </c>
    </row>
    <row r="463" spans="1:26" x14ac:dyDescent="0.2">
      <c r="A463" t="str">
        <f>IF(MSE成绩库!C463="","", MSE成绩库!C463)</f>
        <v/>
      </c>
      <c r="B463" t="str">
        <f>IF(MSE成绩库!AD463="","", MSE成绩库!AD463)</f>
        <v/>
      </c>
      <c r="C463" t="str">
        <f>IF(MSE成绩库!B463="","", MSE成绩库!B463)</f>
        <v/>
      </c>
      <c r="D463" t="str">
        <f>IF(MSE成绩库!D463="","", MSE成绩库!D463)</f>
        <v/>
      </c>
      <c r="E463" t="str">
        <f>IF(MSE成绩库!C463="","", MSE成绩库!E463)</f>
        <v/>
      </c>
      <c r="F463" t="str">
        <f>IF(MSE成绩库!C463="","", MSE成绩库!F463)</f>
        <v/>
      </c>
      <c r="G463" t="str">
        <f>IF(MSE成绩库!C463="","", MSE成绩库!G463)</f>
        <v/>
      </c>
      <c r="H463" t="str">
        <f>IF(MSE成绩库!C463="","", MSE成绩库!H463)</f>
        <v/>
      </c>
      <c r="I463" t="str">
        <f>IF(MSE成绩库!C463="","", MSE成绩库!I463)</f>
        <v/>
      </c>
      <c r="J463" t="str">
        <f>IF(MSE成绩库!C463="","", MSE成绩库!J463)</f>
        <v/>
      </c>
      <c r="K463" t="str">
        <f>IF(MSE成绩库!C463="","", MSE成绩库!K463)</f>
        <v/>
      </c>
      <c r="L463" t="str">
        <f>IF(MSE成绩库!C463="","", MSE成绩库!M463)</f>
        <v/>
      </c>
      <c r="M463" t="str">
        <f>IF(MSE成绩库!C463="","", MSE成绩库!N463)</f>
        <v/>
      </c>
      <c r="N463" t="str">
        <f>IF(MSE成绩库!C463="","", MSE成绩库!O463)</f>
        <v/>
      </c>
      <c r="O463" t="str">
        <f>IF(MSE成绩库!C463="","", MSE成绩库!Q463)</f>
        <v/>
      </c>
      <c r="P463" t="str">
        <f>IF(MSE成绩库!C463="","", MSE成绩库!R463)</f>
        <v/>
      </c>
      <c r="Q463" t="str">
        <f>IF(MSE成绩库!C463="","", MSE成绩库!S463)</f>
        <v/>
      </c>
      <c r="R463" t="str">
        <f>IF(MSE成绩库!C463="","", MSE成绩库!T463)</f>
        <v/>
      </c>
      <c r="S463" t="str">
        <f>IF(MSE成绩库!C463="","", MSE成绩库!U463)</f>
        <v/>
      </c>
      <c r="T463" t="str">
        <f>IF(MSE成绩库!C463="","", MSE成绩库!V463)</f>
        <v/>
      </c>
      <c r="U463" t="str">
        <f>IF(MSE成绩库!C463="","", MSE成绩库!X463)</f>
        <v/>
      </c>
      <c r="V463" t="str">
        <f>IF(MSE成绩库!C463="","", MSE成绩库!Y463)</f>
        <v/>
      </c>
      <c r="W463" t="str">
        <f>IF(MSE成绩库!C463="","", MSE成绩库!Z463)</f>
        <v/>
      </c>
      <c r="X463" t="str">
        <f>IF(MSE成绩库!C463="","", MSE成绩库!AA463)</f>
        <v/>
      </c>
      <c r="Y463" t="str">
        <f>IF(MSE成绩库!C463="","", MSE成绩库!AB463)</f>
        <v/>
      </c>
      <c r="Z463" t="str">
        <f>IF(MSE成绩库!C463="","", MSE成绩库!AC463)</f>
        <v/>
      </c>
    </row>
    <row r="464" spans="1:26" x14ac:dyDescent="0.2">
      <c r="A464" t="str">
        <f>IF(MSE成绩库!C464="","", MSE成绩库!C464)</f>
        <v/>
      </c>
      <c r="B464" t="str">
        <f>IF(MSE成绩库!AD464="","", MSE成绩库!AD464)</f>
        <v/>
      </c>
      <c r="C464" t="str">
        <f>IF(MSE成绩库!B464="","", MSE成绩库!B464)</f>
        <v/>
      </c>
      <c r="D464" t="str">
        <f>IF(MSE成绩库!D464="","", MSE成绩库!D464)</f>
        <v/>
      </c>
      <c r="E464" t="str">
        <f>IF(MSE成绩库!C464="","", MSE成绩库!E464)</f>
        <v/>
      </c>
      <c r="F464" t="str">
        <f>IF(MSE成绩库!C464="","", MSE成绩库!F464)</f>
        <v/>
      </c>
      <c r="G464" t="str">
        <f>IF(MSE成绩库!C464="","", MSE成绩库!G464)</f>
        <v/>
      </c>
      <c r="H464" t="str">
        <f>IF(MSE成绩库!C464="","", MSE成绩库!H464)</f>
        <v/>
      </c>
      <c r="I464" t="str">
        <f>IF(MSE成绩库!C464="","", MSE成绩库!I464)</f>
        <v/>
      </c>
      <c r="J464" t="str">
        <f>IF(MSE成绩库!C464="","", MSE成绩库!J464)</f>
        <v/>
      </c>
      <c r="K464" t="str">
        <f>IF(MSE成绩库!C464="","", MSE成绩库!K464)</f>
        <v/>
      </c>
      <c r="L464" t="str">
        <f>IF(MSE成绩库!C464="","", MSE成绩库!M464)</f>
        <v/>
      </c>
      <c r="M464" t="str">
        <f>IF(MSE成绩库!C464="","", MSE成绩库!N464)</f>
        <v/>
      </c>
      <c r="N464" t="str">
        <f>IF(MSE成绩库!C464="","", MSE成绩库!O464)</f>
        <v/>
      </c>
      <c r="O464" t="str">
        <f>IF(MSE成绩库!C464="","", MSE成绩库!Q464)</f>
        <v/>
      </c>
      <c r="P464" t="str">
        <f>IF(MSE成绩库!C464="","", MSE成绩库!R464)</f>
        <v/>
      </c>
      <c r="Q464" t="str">
        <f>IF(MSE成绩库!C464="","", MSE成绩库!S464)</f>
        <v/>
      </c>
      <c r="R464" t="str">
        <f>IF(MSE成绩库!C464="","", MSE成绩库!T464)</f>
        <v/>
      </c>
      <c r="S464" t="str">
        <f>IF(MSE成绩库!C464="","", MSE成绩库!U464)</f>
        <v/>
      </c>
      <c r="T464" t="str">
        <f>IF(MSE成绩库!C464="","", MSE成绩库!V464)</f>
        <v/>
      </c>
      <c r="U464" t="str">
        <f>IF(MSE成绩库!C464="","", MSE成绩库!X464)</f>
        <v/>
      </c>
      <c r="V464" t="str">
        <f>IF(MSE成绩库!C464="","", MSE成绩库!Y464)</f>
        <v/>
      </c>
      <c r="W464" t="str">
        <f>IF(MSE成绩库!C464="","", MSE成绩库!Z464)</f>
        <v/>
      </c>
      <c r="X464" t="str">
        <f>IF(MSE成绩库!C464="","", MSE成绩库!AA464)</f>
        <v/>
      </c>
      <c r="Y464" t="str">
        <f>IF(MSE成绩库!C464="","", MSE成绩库!AB464)</f>
        <v/>
      </c>
      <c r="Z464" t="str">
        <f>IF(MSE成绩库!C464="","", MSE成绩库!AC464)</f>
        <v/>
      </c>
    </row>
    <row r="465" spans="1:26" x14ac:dyDescent="0.2">
      <c r="A465" t="str">
        <f>IF(MSE成绩库!C465="","", MSE成绩库!C465)</f>
        <v/>
      </c>
      <c r="B465" t="str">
        <f>IF(MSE成绩库!AD465="","", MSE成绩库!AD465)</f>
        <v/>
      </c>
      <c r="C465" t="str">
        <f>IF(MSE成绩库!B465="","", MSE成绩库!B465)</f>
        <v/>
      </c>
      <c r="D465" t="str">
        <f>IF(MSE成绩库!D465="","", MSE成绩库!D465)</f>
        <v/>
      </c>
      <c r="E465" t="str">
        <f>IF(MSE成绩库!C465="","", MSE成绩库!E465)</f>
        <v/>
      </c>
      <c r="F465" t="str">
        <f>IF(MSE成绩库!C465="","", MSE成绩库!F465)</f>
        <v/>
      </c>
      <c r="G465" t="str">
        <f>IF(MSE成绩库!C465="","", MSE成绩库!G465)</f>
        <v/>
      </c>
      <c r="H465" t="str">
        <f>IF(MSE成绩库!C465="","", MSE成绩库!H465)</f>
        <v/>
      </c>
      <c r="I465" t="str">
        <f>IF(MSE成绩库!C465="","", MSE成绩库!I465)</f>
        <v/>
      </c>
      <c r="J465" t="str">
        <f>IF(MSE成绩库!C465="","", MSE成绩库!J465)</f>
        <v/>
      </c>
      <c r="K465" t="str">
        <f>IF(MSE成绩库!C465="","", MSE成绩库!K465)</f>
        <v/>
      </c>
      <c r="L465" t="str">
        <f>IF(MSE成绩库!C465="","", MSE成绩库!M465)</f>
        <v/>
      </c>
      <c r="M465" t="str">
        <f>IF(MSE成绩库!C465="","", MSE成绩库!N465)</f>
        <v/>
      </c>
      <c r="N465" t="str">
        <f>IF(MSE成绩库!C465="","", MSE成绩库!O465)</f>
        <v/>
      </c>
      <c r="O465" t="str">
        <f>IF(MSE成绩库!C465="","", MSE成绩库!Q465)</f>
        <v/>
      </c>
      <c r="P465" t="str">
        <f>IF(MSE成绩库!C465="","", MSE成绩库!R465)</f>
        <v/>
      </c>
      <c r="Q465" t="str">
        <f>IF(MSE成绩库!C465="","", MSE成绩库!S465)</f>
        <v/>
      </c>
      <c r="R465" t="str">
        <f>IF(MSE成绩库!C465="","", MSE成绩库!T465)</f>
        <v/>
      </c>
      <c r="S465" t="str">
        <f>IF(MSE成绩库!C465="","", MSE成绩库!U465)</f>
        <v/>
      </c>
      <c r="T465" t="str">
        <f>IF(MSE成绩库!C465="","", MSE成绩库!V465)</f>
        <v/>
      </c>
      <c r="U465" t="str">
        <f>IF(MSE成绩库!C465="","", MSE成绩库!X465)</f>
        <v/>
      </c>
      <c r="V465" t="str">
        <f>IF(MSE成绩库!C465="","", MSE成绩库!Y465)</f>
        <v/>
      </c>
      <c r="W465" t="str">
        <f>IF(MSE成绩库!C465="","", MSE成绩库!Z465)</f>
        <v/>
      </c>
      <c r="X465" t="str">
        <f>IF(MSE成绩库!C465="","", MSE成绩库!AA465)</f>
        <v/>
      </c>
      <c r="Y465" t="str">
        <f>IF(MSE成绩库!C465="","", MSE成绩库!AB465)</f>
        <v/>
      </c>
      <c r="Z465" t="str">
        <f>IF(MSE成绩库!C465="","", MSE成绩库!AC465)</f>
        <v/>
      </c>
    </row>
    <row r="466" spans="1:26" x14ac:dyDescent="0.2">
      <c r="A466" t="str">
        <f>IF(MSE成绩库!C466="","", MSE成绩库!C466)</f>
        <v/>
      </c>
      <c r="B466" t="str">
        <f>IF(MSE成绩库!AD466="","", MSE成绩库!AD466)</f>
        <v/>
      </c>
      <c r="C466" t="str">
        <f>IF(MSE成绩库!B466="","", MSE成绩库!B466)</f>
        <v/>
      </c>
      <c r="D466" t="str">
        <f>IF(MSE成绩库!D466="","", MSE成绩库!D466)</f>
        <v/>
      </c>
      <c r="E466" t="str">
        <f>IF(MSE成绩库!C466="","", MSE成绩库!E466)</f>
        <v/>
      </c>
      <c r="F466" t="str">
        <f>IF(MSE成绩库!C466="","", MSE成绩库!F466)</f>
        <v/>
      </c>
      <c r="G466" t="str">
        <f>IF(MSE成绩库!C466="","", MSE成绩库!G466)</f>
        <v/>
      </c>
      <c r="H466" t="str">
        <f>IF(MSE成绩库!C466="","", MSE成绩库!H466)</f>
        <v/>
      </c>
      <c r="I466" t="str">
        <f>IF(MSE成绩库!C466="","", MSE成绩库!I466)</f>
        <v/>
      </c>
      <c r="J466" t="str">
        <f>IF(MSE成绩库!C466="","", MSE成绩库!J466)</f>
        <v/>
      </c>
      <c r="K466" t="str">
        <f>IF(MSE成绩库!C466="","", MSE成绩库!K466)</f>
        <v/>
      </c>
      <c r="L466" t="str">
        <f>IF(MSE成绩库!C466="","", MSE成绩库!M466)</f>
        <v/>
      </c>
      <c r="M466" t="str">
        <f>IF(MSE成绩库!C466="","", MSE成绩库!N466)</f>
        <v/>
      </c>
      <c r="N466" t="str">
        <f>IF(MSE成绩库!C466="","", MSE成绩库!O466)</f>
        <v/>
      </c>
      <c r="O466" t="str">
        <f>IF(MSE成绩库!C466="","", MSE成绩库!Q466)</f>
        <v/>
      </c>
      <c r="P466" t="str">
        <f>IF(MSE成绩库!C466="","", MSE成绩库!R466)</f>
        <v/>
      </c>
      <c r="Q466" t="str">
        <f>IF(MSE成绩库!C466="","", MSE成绩库!S466)</f>
        <v/>
      </c>
      <c r="R466" t="str">
        <f>IF(MSE成绩库!C466="","", MSE成绩库!T466)</f>
        <v/>
      </c>
      <c r="S466" t="str">
        <f>IF(MSE成绩库!C466="","", MSE成绩库!U466)</f>
        <v/>
      </c>
      <c r="T466" t="str">
        <f>IF(MSE成绩库!C466="","", MSE成绩库!V466)</f>
        <v/>
      </c>
      <c r="U466" t="str">
        <f>IF(MSE成绩库!C466="","", MSE成绩库!X466)</f>
        <v/>
      </c>
      <c r="V466" t="str">
        <f>IF(MSE成绩库!C466="","", MSE成绩库!Y466)</f>
        <v/>
      </c>
      <c r="W466" t="str">
        <f>IF(MSE成绩库!C466="","", MSE成绩库!Z466)</f>
        <v/>
      </c>
      <c r="X466" t="str">
        <f>IF(MSE成绩库!C466="","", MSE成绩库!AA466)</f>
        <v/>
      </c>
      <c r="Y466" t="str">
        <f>IF(MSE成绩库!C466="","", MSE成绩库!AB466)</f>
        <v/>
      </c>
      <c r="Z466" t="str">
        <f>IF(MSE成绩库!C466="","", MSE成绩库!AC466)</f>
        <v/>
      </c>
    </row>
    <row r="467" spans="1:26" x14ac:dyDescent="0.2">
      <c r="A467" t="str">
        <f>IF(MSE成绩库!C467="","", MSE成绩库!C467)</f>
        <v/>
      </c>
      <c r="B467" t="str">
        <f>IF(MSE成绩库!AD467="","", MSE成绩库!AD467)</f>
        <v/>
      </c>
      <c r="C467" t="str">
        <f>IF(MSE成绩库!B467="","", MSE成绩库!B467)</f>
        <v/>
      </c>
      <c r="D467" t="str">
        <f>IF(MSE成绩库!D467="","", MSE成绩库!D467)</f>
        <v/>
      </c>
      <c r="E467" t="str">
        <f>IF(MSE成绩库!C467="","", MSE成绩库!E467)</f>
        <v/>
      </c>
      <c r="F467" t="str">
        <f>IF(MSE成绩库!C467="","", MSE成绩库!F467)</f>
        <v/>
      </c>
      <c r="G467" t="str">
        <f>IF(MSE成绩库!C467="","", MSE成绩库!G467)</f>
        <v/>
      </c>
      <c r="H467" t="str">
        <f>IF(MSE成绩库!C467="","", MSE成绩库!H467)</f>
        <v/>
      </c>
      <c r="I467" t="str">
        <f>IF(MSE成绩库!C467="","", MSE成绩库!I467)</f>
        <v/>
      </c>
      <c r="J467" t="str">
        <f>IF(MSE成绩库!C467="","", MSE成绩库!J467)</f>
        <v/>
      </c>
      <c r="K467" t="str">
        <f>IF(MSE成绩库!C467="","", MSE成绩库!K467)</f>
        <v/>
      </c>
      <c r="L467" t="str">
        <f>IF(MSE成绩库!C467="","", MSE成绩库!M467)</f>
        <v/>
      </c>
      <c r="M467" t="str">
        <f>IF(MSE成绩库!C467="","", MSE成绩库!N467)</f>
        <v/>
      </c>
      <c r="N467" t="str">
        <f>IF(MSE成绩库!C467="","", MSE成绩库!O467)</f>
        <v/>
      </c>
      <c r="O467" t="str">
        <f>IF(MSE成绩库!C467="","", MSE成绩库!Q467)</f>
        <v/>
      </c>
      <c r="P467" t="str">
        <f>IF(MSE成绩库!C467="","", MSE成绩库!R467)</f>
        <v/>
      </c>
      <c r="Q467" t="str">
        <f>IF(MSE成绩库!C467="","", MSE成绩库!S467)</f>
        <v/>
      </c>
      <c r="R467" t="str">
        <f>IF(MSE成绩库!C467="","", MSE成绩库!T467)</f>
        <v/>
      </c>
      <c r="S467" t="str">
        <f>IF(MSE成绩库!C467="","", MSE成绩库!U467)</f>
        <v/>
      </c>
      <c r="T467" t="str">
        <f>IF(MSE成绩库!C467="","", MSE成绩库!V467)</f>
        <v/>
      </c>
      <c r="U467" t="str">
        <f>IF(MSE成绩库!C467="","", MSE成绩库!X467)</f>
        <v/>
      </c>
      <c r="V467" t="str">
        <f>IF(MSE成绩库!C467="","", MSE成绩库!Y467)</f>
        <v/>
      </c>
      <c r="W467" t="str">
        <f>IF(MSE成绩库!C467="","", MSE成绩库!Z467)</f>
        <v/>
      </c>
      <c r="X467" t="str">
        <f>IF(MSE成绩库!C467="","", MSE成绩库!AA467)</f>
        <v/>
      </c>
      <c r="Y467" t="str">
        <f>IF(MSE成绩库!C467="","", MSE成绩库!AB467)</f>
        <v/>
      </c>
      <c r="Z467" t="str">
        <f>IF(MSE成绩库!C467="","", MSE成绩库!AC467)</f>
        <v/>
      </c>
    </row>
    <row r="468" spans="1:26" x14ac:dyDescent="0.2">
      <c r="A468" t="str">
        <f>IF(MSE成绩库!C468="","", MSE成绩库!C468)</f>
        <v/>
      </c>
      <c r="B468" t="str">
        <f>IF(MSE成绩库!AD468="","", MSE成绩库!AD468)</f>
        <v/>
      </c>
      <c r="C468" t="str">
        <f>IF(MSE成绩库!B468="","", MSE成绩库!B468)</f>
        <v/>
      </c>
      <c r="D468" t="str">
        <f>IF(MSE成绩库!D468="","", MSE成绩库!D468)</f>
        <v/>
      </c>
      <c r="E468" t="str">
        <f>IF(MSE成绩库!C468="","", MSE成绩库!E468)</f>
        <v/>
      </c>
      <c r="F468" t="str">
        <f>IF(MSE成绩库!C468="","", MSE成绩库!F468)</f>
        <v/>
      </c>
      <c r="G468" t="str">
        <f>IF(MSE成绩库!C468="","", MSE成绩库!G468)</f>
        <v/>
      </c>
      <c r="H468" t="str">
        <f>IF(MSE成绩库!C468="","", MSE成绩库!H468)</f>
        <v/>
      </c>
      <c r="I468" t="str">
        <f>IF(MSE成绩库!C468="","", MSE成绩库!I468)</f>
        <v/>
      </c>
      <c r="J468" t="str">
        <f>IF(MSE成绩库!C468="","", MSE成绩库!J468)</f>
        <v/>
      </c>
      <c r="K468" t="str">
        <f>IF(MSE成绩库!C468="","", MSE成绩库!K468)</f>
        <v/>
      </c>
      <c r="L468" t="str">
        <f>IF(MSE成绩库!C468="","", MSE成绩库!M468)</f>
        <v/>
      </c>
      <c r="M468" t="str">
        <f>IF(MSE成绩库!C468="","", MSE成绩库!N468)</f>
        <v/>
      </c>
      <c r="N468" t="str">
        <f>IF(MSE成绩库!C468="","", MSE成绩库!O468)</f>
        <v/>
      </c>
      <c r="O468" t="str">
        <f>IF(MSE成绩库!C468="","", MSE成绩库!Q468)</f>
        <v/>
      </c>
      <c r="P468" t="str">
        <f>IF(MSE成绩库!C468="","", MSE成绩库!R468)</f>
        <v/>
      </c>
      <c r="Q468" t="str">
        <f>IF(MSE成绩库!C468="","", MSE成绩库!S468)</f>
        <v/>
      </c>
      <c r="R468" t="str">
        <f>IF(MSE成绩库!C468="","", MSE成绩库!T468)</f>
        <v/>
      </c>
      <c r="S468" t="str">
        <f>IF(MSE成绩库!C468="","", MSE成绩库!U468)</f>
        <v/>
      </c>
      <c r="T468" t="str">
        <f>IF(MSE成绩库!C468="","", MSE成绩库!V468)</f>
        <v/>
      </c>
      <c r="U468" t="str">
        <f>IF(MSE成绩库!C468="","", MSE成绩库!X468)</f>
        <v/>
      </c>
      <c r="V468" t="str">
        <f>IF(MSE成绩库!C468="","", MSE成绩库!Y468)</f>
        <v/>
      </c>
      <c r="W468" t="str">
        <f>IF(MSE成绩库!C468="","", MSE成绩库!Z468)</f>
        <v/>
      </c>
      <c r="X468" t="str">
        <f>IF(MSE成绩库!C468="","", MSE成绩库!AA468)</f>
        <v/>
      </c>
      <c r="Y468" t="str">
        <f>IF(MSE成绩库!C468="","", MSE成绩库!AB468)</f>
        <v/>
      </c>
      <c r="Z468" t="str">
        <f>IF(MSE成绩库!C468="","", MSE成绩库!AC468)</f>
        <v/>
      </c>
    </row>
    <row r="469" spans="1:26" x14ac:dyDescent="0.2">
      <c r="A469" t="str">
        <f>IF(MSE成绩库!C469="","", MSE成绩库!C469)</f>
        <v/>
      </c>
      <c r="B469" t="str">
        <f>IF(MSE成绩库!AD469="","", MSE成绩库!AD469)</f>
        <v/>
      </c>
      <c r="C469" t="str">
        <f>IF(MSE成绩库!B469="","", MSE成绩库!B469)</f>
        <v/>
      </c>
      <c r="D469" t="str">
        <f>IF(MSE成绩库!D469="","", MSE成绩库!D469)</f>
        <v/>
      </c>
      <c r="E469" t="str">
        <f>IF(MSE成绩库!C469="","", MSE成绩库!E469)</f>
        <v/>
      </c>
      <c r="F469" t="str">
        <f>IF(MSE成绩库!C469="","", MSE成绩库!F469)</f>
        <v/>
      </c>
      <c r="G469" t="str">
        <f>IF(MSE成绩库!C469="","", MSE成绩库!G469)</f>
        <v/>
      </c>
      <c r="H469" t="str">
        <f>IF(MSE成绩库!C469="","", MSE成绩库!H469)</f>
        <v/>
      </c>
      <c r="I469" t="str">
        <f>IF(MSE成绩库!C469="","", MSE成绩库!I469)</f>
        <v/>
      </c>
      <c r="J469" t="str">
        <f>IF(MSE成绩库!C469="","", MSE成绩库!J469)</f>
        <v/>
      </c>
      <c r="K469" t="str">
        <f>IF(MSE成绩库!C469="","", MSE成绩库!K469)</f>
        <v/>
      </c>
      <c r="L469" t="str">
        <f>IF(MSE成绩库!C469="","", MSE成绩库!M469)</f>
        <v/>
      </c>
      <c r="M469" t="str">
        <f>IF(MSE成绩库!C469="","", MSE成绩库!N469)</f>
        <v/>
      </c>
      <c r="N469" t="str">
        <f>IF(MSE成绩库!C469="","", MSE成绩库!O469)</f>
        <v/>
      </c>
      <c r="O469" t="str">
        <f>IF(MSE成绩库!C469="","", MSE成绩库!Q469)</f>
        <v/>
      </c>
      <c r="P469" t="str">
        <f>IF(MSE成绩库!C469="","", MSE成绩库!R469)</f>
        <v/>
      </c>
      <c r="Q469" t="str">
        <f>IF(MSE成绩库!C469="","", MSE成绩库!S469)</f>
        <v/>
      </c>
      <c r="R469" t="str">
        <f>IF(MSE成绩库!C469="","", MSE成绩库!T469)</f>
        <v/>
      </c>
      <c r="S469" t="str">
        <f>IF(MSE成绩库!C469="","", MSE成绩库!U469)</f>
        <v/>
      </c>
      <c r="T469" t="str">
        <f>IF(MSE成绩库!C469="","", MSE成绩库!V469)</f>
        <v/>
      </c>
      <c r="U469" t="str">
        <f>IF(MSE成绩库!C469="","", MSE成绩库!X469)</f>
        <v/>
      </c>
      <c r="V469" t="str">
        <f>IF(MSE成绩库!C469="","", MSE成绩库!Y469)</f>
        <v/>
      </c>
      <c r="W469" t="str">
        <f>IF(MSE成绩库!C469="","", MSE成绩库!Z469)</f>
        <v/>
      </c>
      <c r="X469" t="str">
        <f>IF(MSE成绩库!C469="","", MSE成绩库!AA469)</f>
        <v/>
      </c>
      <c r="Y469" t="str">
        <f>IF(MSE成绩库!C469="","", MSE成绩库!AB469)</f>
        <v/>
      </c>
      <c r="Z469" t="str">
        <f>IF(MSE成绩库!C469="","", MSE成绩库!AC469)</f>
        <v/>
      </c>
    </row>
    <row r="470" spans="1:26" x14ac:dyDescent="0.2">
      <c r="A470" t="str">
        <f>IF(MSE成绩库!C470="","", MSE成绩库!C470)</f>
        <v/>
      </c>
      <c r="B470" t="str">
        <f>IF(MSE成绩库!AD470="","", MSE成绩库!AD470)</f>
        <v/>
      </c>
      <c r="C470" t="str">
        <f>IF(MSE成绩库!B470="","", MSE成绩库!B470)</f>
        <v/>
      </c>
      <c r="D470" t="str">
        <f>IF(MSE成绩库!D470="","", MSE成绩库!D470)</f>
        <v/>
      </c>
      <c r="E470" t="str">
        <f>IF(MSE成绩库!C470="","", MSE成绩库!E470)</f>
        <v/>
      </c>
      <c r="F470" t="str">
        <f>IF(MSE成绩库!C470="","", MSE成绩库!F470)</f>
        <v/>
      </c>
      <c r="G470" t="str">
        <f>IF(MSE成绩库!C470="","", MSE成绩库!G470)</f>
        <v/>
      </c>
      <c r="H470" t="str">
        <f>IF(MSE成绩库!C470="","", MSE成绩库!H470)</f>
        <v/>
      </c>
      <c r="I470" t="str">
        <f>IF(MSE成绩库!C470="","", MSE成绩库!I470)</f>
        <v/>
      </c>
      <c r="J470" t="str">
        <f>IF(MSE成绩库!C470="","", MSE成绩库!J470)</f>
        <v/>
      </c>
      <c r="K470" t="str">
        <f>IF(MSE成绩库!C470="","", MSE成绩库!K470)</f>
        <v/>
      </c>
      <c r="L470" t="str">
        <f>IF(MSE成绩库!C470="","", MSE成绩库!M470)</f>
        <v/>
      </c>
      <c r="M470" t="str">
        <f>IF(MSE成绩库!C470="","", MSE成绩库!N470)</f>
        <v/>
      </c>
      <c r="N470" t="str">
        <f>IF(MSE成绩库!C470="","", MSE成绩库!O470)</f>
        <v/>
      </c>
      <c r="O470" t="str">
        <f>IF(MSE成绩库!C470="","", MSE成绩库!Q470)</f>
        <v/>
      </c>
      <c r="P470" t="str">
        <f>IF(MSE成绩库!C470="","", MSE成绩库!R470)</f>
        <v/>
      </c>
      <c r="Q470" t="str">
        <f>IF(MSE成绩库!C470="","", MSE成绩库!S470)</f>
        <v/>
      </c>
      <c r="R470" t="str">
        <f>IF(MSE成绩库!C470="","", MSE成绩库!T470)</f>
        <v/>
      </c>
      <c r="S470" t="str">
        <f>IF(MSE成绩库!C470="","", MSE成绩库!U470)</f>
        <v/>
      </c>
      <c r="T470" t="str">
        <f>IF(MSE成绩库!C470="","", MSE成绩库!V470)</f>
        <v/>
      </c>
      <c r="U470" t="str">
        <f>IF(MSE成绩库!C470="","", MSE成绩库!X470)</f>
        <v/>
      </c>
      <c r="V470" t="str">
        <f>IF(MSE成绩库!C470="","", MSE成绩库!Y470)</f>
        <v/>
      </c>
      <c r="W470" t="str">
        <f>IF(MSE成绩库!C470="","", MSE成绩库!Z470)</f>
        <v/>
      </c>
      <c r="X470" t="str">
        <f>IF(MSE成绩库!C470="","", MSE成绩库!AA470)</f>
        <v/>
      </c>
      <c r="Y470" t="str">
        <f>IF(MSE成绩库!C470="","", MSE成绩库!AB470)</f>
        <v/>
      </c>
      <c r="Z470" t="str">
        <f>IF(MSE成绩库!C470="","", MSE成绩库!AC470)</f>
        <v/>
      </c>
    </row>
    <row r="471" spans="1:26" x14ac:dyDescent="0.2">
      <c r="A471" t="str">
        <f>IF(MSE成绩库!C471="","", MSE成绩库!C471)</f>
        <v/>
      </c>
      <c r="B471" t="str">
        <f>IF(MSE成绩库!AD471="","", MSE成绩库!AD471)</f>
        <v/>
      </c>
      <c r="C471" t="str">
        <f>IF(MSE成绩库!B471="","", MSE成绩库!B471)</f>
        <v/>
      </c>
      <c r="D471" t="str">
        <f>IF(MSE成绩库!D471="","", MSE成绩库!D471)</f>
        <v/>
      </c>
      <c r="E471" t="str">
        <f>IF(MSE成绩库!C471="","", MSE成绩库!E471)</f>
        <v/>
      </c>
      <c r="F471" t="str">
        <f>IF(MSE成绩库!C471="","", MSE成绩库!F471)</f>
        <v/>
      </c>
      <c r="G471" t="str">
        <f>IF(MSE成绩库!C471="","", MSE成绩库!G471)</f>
        <v/>
      </c>
      <c r="H471" t="str">
        <f>IF(MSE成绩库!C471="","", MSE成绩库!H471)</f>
        <v/>
      </c>
      <c r="I471" t="str">
        <f>IF(MSE成绩库!C471="","", MSE成绩库!I471)</f>
        <v/>
      </c>
      <c r="J471" t="str">
        <f>IF(MSE成绩库!C471="","", MSE成绩库!J471)</f>
        <v/>
      </c>
      <c r="K471" t="str">
        <f>IF(MSE成绩库!C471="","", MSE成绩库!K471)</f>
        <v/>
      </c>
      <c r="L471" t="str">
        <f>IF(MSE成绩库!C471="","", MSE成绩库!M471)</f>
        <v/>
      </c>
      <c r="M471" t="str">
        <f>IF(MSE成绩库!C471="","", MSE成绩库!N471)</f>
        <v/>
      </c>
      <c r="N471" t="str">
        <f>IF(MSE成绩库!C471="","", MSE成绩库!O471)</f>
        <v/>
      </c>
      <c r="O471" t="str">
        <f>IF(MSE成绩库!C471="","", MSE成绩库!Q471)</f>
        <v/>
      </c>
      <c r="P471" t="str">
        <f>IF(MSE成绩库!C471="","", MSE成绩库!R471)</f>
        <v/>
      </c>
      <c r="Q471" t="str">
        <f>IF(MSE成绩库!C471="","", MSE成绩库!S471)</f>
        <v/>
      </c>
      <c r="R471" t="str">
        <f>IF(MSE成绩库!C471="","", MSE成绩库!T471)</f>
        <v/>
      </c>
      <c r="S471" t="str">
        <f>IF(MSE成绩库!C471="","", MSE成绩库!U471)</f>
        <v/>
      </c>
      <c r="T471" t="str">
        <f>IF(MSE成绩库!C471="","", MSE成绩库!V471)</f>
        <v/>
      </c>
      <c r="U471" t="str">
        <f>IF(MSE成绩库!C471="","", MSE成绩库!X471)</f>
        <v/>
      </c>
      <c r="V471" t="str">
        <f>IF(MSE成绩库!C471="","", MSE成绩库!Y471)</f>
        <v/>
      </c>
      <c r="W471" t="str">
        <f>IF(MSE成绩库!C471="","", MSE成绩库!Z471)</f>
        <v/>
      </c>
      <c r="X471" t="str">
        <f>IF(MSE成绩库!C471="","", MSE成绩库!AA471)</f>
        <v/>
      </c>
      <c r="Y471" t="str">
        <f>IF(MSE成绩库!C471="","", MSE成绩库!AB471)</f>
        <v/>
      </c>
      <c r="Z471" t="str">
        <f>IF(MSE成绩库!C471="","", MSE成绩库!AC471)</f>
        <v/>
      </c>
    </row>
    <row r="472" spans="1:26" x14ac:dyDescent="0.2">
      <c r="A472" t="str">
        <f>IF(MSE成绩库!C472="","", MSE成绩库!C472)</f>
        <v/>
      </c>
      <c r="B472" t="str">
        <f>IF(MSE成绩库!AD472="","", MSE成绩库!AD472)</f>
        <v/>
      </c>
      <c r="C472" t="str">
        <f>IF(MSE成绩库!B472="","", MSE成绩库!B472)</f>
        <v/>
      </c>
      <c r="D472" t="str">
        <f>IF(MSE成绩库!D472="","", MSE成绩库!D472)</f>
        <v/>
      </c>
      <c r="E472" t="str">
        <f>IF(MSE成绩库!C472="","", MSE成绩库!E472)</f>
        <v/>
      </c>
      <c r="F472" t="str">
        <f>IF(MSE成绩库!C472="","", MSE成绩库!F472)</f>
        <v/>
      </c>
      <c r="G472" t="str">
        <f>IF(MSE成绩库!C472="","", MSE成绩库!G472)</f>
        <v/>
      </c>
      <c r="H472" t="str">
        <f>IF(MSE成绩库!C472="","", MSE成绩库!H472)</f>
        <v/>
      </c>
      <c r="I472" t="str">
        <f>IF(MSE成绩库!C472="","", MSE成绩库!I472)</f>
        <v/>
      </c>
      <c r="J472" t="str">
        <f>IF(MSE成绩库!C472="","", MSE成绩库!J472)</f>
        <v/>
      </c>
      <c r="K472" t="str">
        <f>IF(MSE成绩库!C472="","", MSE成绩库!K472)</f>
        <v/>
      </c>
      <c r="L472" t="str">
        <f>IF(MSE成绩库!C472="","", MSE成绩库!M472)</f>
        <v/>
      </c>
      <c r="M472" t="str">
        <f>IF(MSE成绩库!C472="","", MSE成绩库!N472)</f>
        <v/>
      </c>
      <c r="N472" t="str">
        <f>IF(MSE成绩库!C472="","", MSE成绩库!O472)</f>
        <v/>
      </c>
      <c r="O472" t="str">
        <f>IF(MSE成绩库!C472="","", MSE成绩库!Q472)</f>
        <v/>
      </c>
      <c r="P472" t="str">
        <f>IF(MSE成绩库!C472="","", MSE成绩库!R472)</f>
        <v/>
      </c>
      <c r="Q472" t="str">
        <f>IF(MSE成绩库!C472="","", MSE成绩库!S472)</f>
        <v/>
      </c>
      <c r="R472" t="str">
        <f>IF(MSE成绩库!C472="","", MSE成绩库!T472)</f>
        <v/>
      </c>
      <c r="S472" t="str">
        <f>IF(MSE成绩库!C472="","", MSE成绩库!U472)</f>
        <v/>
      </c>
      <c r="T472" t="str">
        <f>IF(MSE成绩库!C472="","", MSE成绩库!V472)</f>
        <v/>
      </c>
      <c r="U472" t="str">
        <f>IF(MSE成绩库!C472="","", MSE成绩库!X472)</f>
        <v/>
      </c>
      <c r="V472" t="str">
        <f>IF(MSE成绩库!C472="","", MSE成绩库!Y472)</f>
        <v/>
      </c>
      <c r="W472" t="str">
        <f>IF(MSE成绩库!C472="","", MSE成绩库!Z472)</f>
        <v/>
      </c>
      <c r="X472" t="str">
        <f>IF(MSE成绩库!C472="","", MSE成绩库!AA472)</f>
        <v/>
      </c>
      <c r="Y472" t="str">
        <f>IF(MSE成绩库!C472="","", MSE成绩库!AB472)</f>
        <v/>
      </c>
      <c r="Z472" t="str">
        <f>IF(MSE成绩库!C472="","", MSE成绩库!AC472)</f>
        <v/>
      </c>
    </row>
    <row r="473" spans="1:26" x14ac:dyDescent="0.2">
      <c r="A473" t="str">
        <f>IF(MSE成绩库!C473="","", MSE成绩库!C473)</f>
        <v/>
      </c>
      <c r="B473" t="str">
        <f>IF(MSE成绩库!AD473="","", MSE成绩库!AD473)</f>
        <v/>
      </c>
      <c r="C473" t="str">
        <f>IF(MSE成绩库!B473="","", MSE成绩库!B473)</f>
        <v/>
      </c>
      <c r="D473" t="str">
        <f>IF(MSE成绩库!D473="","", MSE成绩库!D473)</f>
        <v/>
      </c>
      <c r="E473" t="str">
        <f>IF(MSE成绩库!C473="","", MSE成绩库!E473)</f>
        <v/>
      </c>
      <c r="F473" t="str">
        <f>IF(MSE成绩库!C473="","", MSE成绩库!F473)</f>
        <v/>
      </c>
      <c r="G473" t="str">
        <f>IF(MSE成绩库!C473="","", MSE成绩库!G473)</f>
        <v/>
      </c>
      <c r="H473" t="str">
        <f>IF(MSE成绩库!C473="","", MSE成绩库!H473)</f>
        <v/>
      </c>
      <c r="I473" t="str">
        <f>IF(MSE成绩库!C473="","", MSE成绩库!I473)</f>
        <v/>
      </c>
      <c r="J473" t="str">
        <f>IF(MSE成绩库!C473="","", MSE成绩库!J473)</f>
        <v/>
      </c>
      <c r="K473" t="str">
        <f>IF(MSE成绩库!C473="","", MSE成绩库!K473)</f>
        <v/>
      </c>
      <c r="L473" t="str">
        <f>IF(MSE成绩库!C473="","", MSE成绩库!M473)</f>
        <v/>
      </c>
      <c r="M473" t="str">
        <f>IF(MSE成绩库!C473="","", MSE成绩库!N473)</f>
        <v/>
      </c>
      <c r="N473" t="str">
        <f>IF(MSE成绩库!C473="","", MSE成绩库!O473)</f>
        <v/>
      </c>
      <c r="O473" t="str">
        <f>IF(MSE成绩库!C473="","", MSE成绩库!Q473)</f>
        <v/>
      </c>
      <c r="P473" t="str">
        <f>IF(MSE成绩库!C473="","", MSE成绩库!R473)</f>
        <v/>
      </c>
      <c r="Q473" t="str">
        <f>IF(MSE成绩库!C473="","", MSE成绩库!S473)</f>
        <v/>
      </c>
      <c r="R473" t="str">
        <f>IF(MSE成绩库!C473="","", MSE成绩库!T473)</f>
        <v/>
      </c>
      <c r="S473" t="str">
        <f>IF(MSE成绩库!C473="","", MSE成绩库!U473)</f>
        <v/>
      </c>
      <c r="T473" t="str">
        <f>IF(MSE成绩库!C473="","", MSE成绩库!V473)</f>
        <v/>
      </c>
      <c r="U473" t="str">
        <f>IF(MSE成绩库!C473="","", MSE成绩库!X473)</f>
        <v/>
      </c>
      <c r="V473" t="str">
        <f>IF(MSE成绩库!C473="","", MSE成绩库!Y473)</f>
        <v/>
      </c>
      <c r="W473" t="str">
        <f>IF(MSE成绩库!C473="","", MSE成绩库!Z473)</f>
        <v/>
      </c>
      <c r="X473" t="str">
        <f>IF(MSE成绩库!C473="","", MSE成绩库!AA473)</f>
        <v/>
      </c>
      <c r="Y473" t="str">
        <f>IF(MSE成绩库!C473="","", MSE成绩库!AB473)</f>
        <v/>
      </c>
      <c r="Z473" t="str">
        <f>IF(MSE成绩库!C473="","", MSE成绩库!AC473)</f>
        <v/>
      </c>
    </row>
    <row r="474" spans="1:26" x14ac:dyDescent="0.2">
      <c r="A474" t="str">
        <f>IF(MSE成绩库!C474="","", MSE成绩库!C474)</f>
        <v/>
      </c>
      <c r="B474" t="str">
        <f>IF(MSE成绩库!AD474="","", MSE成绩库!AD474)</f>
        <v/>
      </c>
      <c r="C474" t="str">
        <f>IF(MSE成绩库!B474="","", MSE成绩库!B474)</f>
        <v/>
      </c>
      <c r="D474" t="str">
        <f>IF(MSE成绩库!D474="","", MSE成绩库!D474)</f>
        <v/>
      </c>
      <c r="E474" t="str">
        <f>IF(MSE成绩库!C474="","", MSE成绩库!E474)</f>
        <v/>
      </c>
      <c r="F474" t="str">
        <f>IF(MSE成绩库!C474="","", MSE成绩库!F474)</f>
        <v/>
      </c>
      <c r="G474" t="str">
        <f>IF(MSE成绩库!C474="","", MSE成绩库!G474)</f>
        <v/>
      </c>
      <c r="H474" t="str">
        <f>IF(MSE成绩库!C474="","", MSE成绩库!H474)</f>
        <v/>
      </c>
      <c r="I474" t="str">
        <f>IF(MSE成绩库!C474="","", MSE成绩库!I474)</f>
        <v/>
      </c>
      <c r="J474" t="str">
        <f>IF(MSE成绩库!C474="","", MSE成绩库!J474)</f>
        <v/>
      </c>
      <c r="K474" t="str">
        <f>IF(MSE成绩库!C474="","", MSE成绩库!K474)</f>
        <v/>
      </c>
      <c r="L474" t="str">
        <f>IF(MSE成绩库!C474="","", MSE成绩库!M474)</f>
        <v/>
      </c>
      <c r="M474" t="str">
        <f>IF(MSE成绩库!C474="","", MSE成绩库!N474)</f>
        <v/>
      </c>
      <c r="N474" t="str">
        <f>IF(MSE成绩库!C474="","", MSE成绩库!O474)</f>
        <v/>
      </c>
      <c r="O474" t="str">
        <f>IF(MSE成绩库!C474="","", MSE成绩库!Q474)</f>
        <v/>
      </c>
      <c r="P474" t="str">
        <f>IF(MSE成绩库!C474="","", MSE成绩库!R474)</f>
        <v/>
      </c>
      <c r="Q474" t="str">
        <f>IF(MSE成绩库!C474="","", MSE成绩库!S474)</f>
        <v/>
      </c>
      <c r="R474" t="str">
        <f>IF(MSE成绩库!C474="","", MSE成绩库!T474)</f>
        <v/>
      </c>
      <c r="S474" t="str">
        <f>IF(MSE成绩库!C474="","", MSE成绩库!U474)</f>
        <v/>
      </c>
      <c r="T474" t="str">
        <f>IF(MSE成绩库!C474="","", MSE成绩库!V474)</f>
        <v/>
      </c>
      <c r="U474" t="str">
        <f>IF(MSE成绩库!C474="","", MSE成绩库!X474)</f>
        <v/>
      </c>
      <c r="V474" t="str">
        <f>IF(MSE成绩库!C474="","", MSE成绩库!Y474)</f>
        <v/>
      </c>
      <c r="W474" t="str">
        <f>IF(MSE成绩库!C474="","", MSE成绩库!Z474)</f>
        <v/>
      </c>
      <c r="X474" t="str">
        <f>IF(MSE成绩库!C474="","", MSE成绩库!AA474)</f>
        <v/>
      </c>
      <c r="Y474" t="str">
        <f>IF(MSE成绩库!C474="","", MSE成绩库!AB474)</f>
        <v/>
      </c>
      <c r="Z474" t="str">
        <f>IF(MSE成绩库!C474="","", MSE成绩库!AC474)</f>
        <v/>
      </c>
    </row>
    <row r="475" spans="1:26" x14ac:dyDescent="0.2">
      <c r="A475" t="str">
        <f>IF(MSE成绩库!C475="","", MSE成绩库!C475)</f>
        <v/>
      </c>
      <c r="B475" t="str">
        <f>IF(MSE成绩库!AD475="","", MSE成绩库!AD475)</f>
        <v/>
      </c>
      <c r="C475" t="str">
        <f>IF(MSE成绩库!B475="","", MSE成绩库!B475)</f>
        <v/>
      </c>
      <c r="D475" t="str">
        <f>IF(MSE成绩库!D475="","", MSE成绩库!D475)</f>
        <v/>
      </c>
      <c r="E475" t="str">
        <f>IF(MSE成绩库!C475="","", MSE成绩库!E475)</f>
        <v/>
      </c>
      <c r="F475" t="str">
        <f>IF(MSE成绩库!C475="","", MSE成绩库!F475)</f>
        <v/>
      </c>
      <c r="G475" t="str">
        <f>IF(MSE成绩库!C475="","", MSE成绩库!G475)</f>
        <v/>
      </c>
      <c r="H475" t="str">
        <f>IF(MSE成绩库!C475="","", MSE成绩库!H475)</f>
        <v/>
      </c>
      <c r="I475" t="str">
        <f>IF(MSE成绩库!C475="","", MSE成绩库!I475)</f>
        <v/>
      </c>
      <c r="J475" t="str">
        <f>IF(MSE成绩库!C475="","", MSE成绩库!J475)</f>
        <v/>
      </c>
      <c r="K475" t="str">
        <f>IF(MSE成绩库!C475="","", MSE成绩库!K475)</f>
        <v/>
      </c>
      <c r="L475" t="str">
        <f>IF(MSE成绩库!C475="","", MSE成绩库!M475)</f>
        <v/>
      </c>
      <c r="M475" t="str">
        <f>IF(MSE成绩库!C475="","", MSE成绩库!N475)</f>
        <v/>
      </c>
      <c r="N475" t="str">
        <f>IF(MSE成绩库!C475="","", MSE成绩库!O475)</f>
        <v/>
      </c>
      <c r="O475" t="str">
        <f>IF(MSE成绩库!C475="","", MSE成绩库!Q475)</f>
        <v/>
      </c>
      <c r="P475" t="str">
        <f>IF(MSE成绩库!C475="","", MSE成绩库!R475)</f>
        <v/>
      </c>
      <c r="Q475" t="str">
        <f>IF(MSE成绩库!C475="","", MSE成绩库!S475)</f>
        <v/>
      </c>
      <c r="R475" t="str">
        <f>IF(MSE成绩库!C475="","", MSE成绩库!T475)</f>
        <v/>
      </c>
      <c r="S475" t="str">
        <f>IF(MSE成绩库!C475="","", MSE成绩库!U475)</f>
        <v/>
      </c>
      <c r="T475" t="str">
        <f>IF(MSE成绩库!C475="","", MSE成绩库!V475)</f>
        <v/>
      </c>
      <c r="U475" t="str">
        <f>IF(MSE成绩库!C475="","", MSE成绩库!X475)</f>
        <v/>
      </c>
      <c r="V475" t="str">
        <f>IF(MSE成绩库!C475="","", MSE成绩库!Y475)</f>
        <v/>
      </c>
      <c r="W475" t="str">
        <f>IF(MSE成绩库!C475="","", MSE成绩库!Z475)</f>
        <v/>
      </c>
      <c r="X475" t="str">
        <f>IF(MSE成绩库!C475="","", MSE成绩库!AA475)</f>
        <v/>
      </c>
      <c r="Y475" t="str">
        <f>IF(MSE成绩库!C475="","", MSE成绩库!AB475)</f>
        <v/>
      </c>
      <c r="Z475" t="str">
        <f>IF(MSE成绩库!C475="","", MSE成绩库!AC475)</f>
        <v/>
      </c>
    </row>
    <row r="476" spans="1:26" x14ac:dyDescent="0.2">
      <c r="A476" t="str">
        <f>IF(MSE成绩库!C476="","", MSE成绩库!C476)</f>
        <v/>
      </c>
      <c r="B476" t="str">
        <f>IF(MSE成绩库!AD476="","", MSE成绩库!AD476)</f>
        <v/>
      </c>
      <c r="C476" t="str">
        <f>IF(MSE成绩库!B476="","", MSE成绩库!B476)</f>
        <v/>
      </c>
      <c r="D476" t="str">
        <f>IF(MSE成绩库!D476="","", MSE成绩库!D476)</f>
        <v/>
      </c>
      <c r="E476" t="str">
        <f>IF(MSE成绩库!C476="","", MSE成绩库!E476)</f>
        <v/>
      </c>
      <c r="F476" t="str">
        <f>IF(MSE成绩库!C476="","", MSE成绩库!F476)</f>
        <v/>
      </c>
      <c r="G476" t="str">
        <f>IF(MSE成绩库!C476="","", MSE成绩库!G476)</f>
        <v/>
      </c>
      <c r="H476" t="str">
        <f>IF(MSE成绩库!C476="","", MSE成绩库!H476)</f>
        <v/>
      </c>
      <c r="I476" t="str">
        <f>IF(MSE成绩库!C476="","", MSE成绩库!I476)</f>
        <v/>
      </c>
      <c r="J476" t="str">
        <f>IF(MSE成绩库!C476="","", MSE成绩库!J476)</f>
        <v/>
      </c>
      <c r="K476" t="str">
        <f>IF(MSE成绩库!C476="","", MSE成绩库!K476)</f>
        <v/>
      </c>
      <c r="L476" t="str">
        <f>IF(MSE成绩库!C476="","", MSE成绩库!M476)</f>
        <v/>
      </c>
      <c r="M476" t="str">
        <f>IF(MSE成绩库!C476="","", MSE成绩库!N476)</f>
        <v/>
      </c>
      <c r="N476" t="str">
        <f>IF(MSE成绩库!C476="","", MSE成绩库!O476)</f>
        <v/>
      </c>
      <c r="O476" t="str">
        <f>IF(MSE成绩库!C476="","", MSE成绩库!Q476)</f>
        <v/>
      </c>
      <c r="P476" t="str">
        <f>IF(MSE成绩库!C476="","", MSE成绩库!R476)</f>
        <v/>
      </c>
      <c r="Q476" t="str">
        <f>IF(MSE成绩库!C476="","", MSE成绩库!S476)</f>
        <v/>
      </c>
      <c r="R476" t="str">
        <f>IF(MSE成绩库!C476="","", MSE成绩库!T476)</f>
        <v/>
      </c>
      <c r="S476" t="str">
        <f>IF(MSE成绩库!C476="","", MSE成绩库!U476)</f>
        <v/>
      </c>
      <c r="T476" t="str">
        <f>IF(MSE成绩库!C476="","", MSE成绩库!V476)</f>
        <v/>
      </c>
      <c r="U476" t="str">
        <f>IF(MSE成绩库!C476="","", MSE成绩库!X476)</f>
        <v/>
      </c>
      <c r="V476" t="str">
        <f>IF(MSE成绩库!C476="","", MSE成绩库!Y476)</f>
        <v/>
      </c>
      <c r="W476" t="str">
        <f>IF(MSE成绩库!C476="","", MSE成绩库!Z476)</f>
        <v/>
      </c>
      <c r="X476" t="str">
        <f>IF(MSE成绩库!C476="","", MSE成绩库!AA476)</f>
        <v/>
      </c>
      <c r="Y476" t="str">
        <f>IF(MSE成绩库!C476="","", MSE成绩库!AB476)</f>
        <v/>
      </c>
      <c r="Z476" t="str">
        <f>IF(MSE成绩库!C476="","", MSE成绩库!AC476)</f>
        <v/>
      </c>
    </row>
    <row r="477" spans="1:26" x14ac:dyDescent="0.2">
      <c r="A477" t="str">
        <f>IF(MSE成绩库!C477="","", MSE成绩库!C477)</f>
        <v/>
      </c>
      <c r="B477" t="str">
        <f>IF(MSE成绩库!AD477="","", MSE成绩库!AD477)</f>
        <v/>
      </c>
      <c r="C477" t="str">
        <f>IF(MSE成绩库!B477="","", MSE成绩库!B477)</f>
        <v/>
      </c>
      <c r="D477" t="str">
        <f>IF(MSE成绩库!D477="","", MSE成绩库!D477)</f>
        <v/>
      </c>
      <c r="E477" t="str">
        <f>IF(MSE成绩库!C477="","", MSE成绩库!E477)</f>
        <v/>
      </c>
      <c r="F477" t="str">
        <f>IF(MSE成绩库!C477="","", MSE成绩库!F477)</f>
        <v/>
      </c>
      <c r="G477" t="str">
        <f>IF(MSE成绩库!C477="","", MSE成绩库!G477)</f>
        <v/>
      </c>
      <c r="H477" t="str">
        <f>IF(MSE成绩库!C477="","", MSE成绩库!H477)</f>
        <v/>
      </c>
      <c r="I477" t="str">
        <f>IF(MSE成绩库!C477="","", MSE成绩库!I477)</f>
        <v/>
      </c>
      <c r="J477" t="str">
        <f>IF(MSE成绩库!C477="","", MSE成绩库!J477)</f>
        <v/>
      </c>
      <c r="K477" t="str">
        <f>IF(MSE成绩库!C477="","", MSE成绩库!K477)</f>
        <v/>
      </c>
      <c r="L477" t="str">
        <f>IF(MSE成绩库!C477="","", MSE成绩库!M477)</f>
        <v/>
      </c>
      <c r="M477" t="str">
        <f>IF(MSE成绩库!C477="","", MSE成绩库!N477)</f>
        <v/>
      </c>
      <c r="N477" t="str">
        <f>IF(MSE成绩库!C477="","", MSE成绩库!O477)</f>
        <v/>
      </c>
      <c r="O477" t="str">
        <f>IF(MSE成绩库!C477="","", MSE成绩库!Q477)</f>
        <v/>
      </c>
      <c r="P477" t="str">
        <f>IF(MSE成绩库!C477="","", MSE成绩库!R477)</f>
        <v/>
      </c>
      <c r="Q477" t="str">
        <f>IF(MSE成绩库!C477="","", MSE成绩库!S477)</f>
        <v/>
      </c>
      <c r="R477" t="str">
        <f>IF(MSE成绩库!C477="","", MSE成绩库!T477)</f>
        <v/>
      </c>
      <c r="S477" t="str">
        <f>IF(MSE成绩库!C477="","", MSE成绩库!U477)</f>
        <v/>
      </c>
      <c r="T477" t="str">
        <f>IF(MSE成绩库!C477="","", MSE成绩库!V477)</f>
        <v/>
      </c>
      <c r="U477" t="str">
        <f>IF(MSE成绩库!C477="","", MSE成绩库!X477)</f>
        <v/>
      </c>
      <c r="V477" t="str">
        <f>IF(MSE成绩库!C477="","", MSE成绩库!Y477)</f>
        <v/>
      </c>
      <c r="W477" t="str">
        <f>IF(MSE成绩库!C477="","", MSE成绩库!Z477)</f>
        <v/>
      </c>
      <c r="X477" t="str">
        <f>IF(MSE成绩库!C477="","", MSE成绩库!AA477)</f>
        <v/>
      </c>
      <c r="Y477" t="str">
        <f>IF(MSE成绩库!C477="","", MSE成绩库!AB477)</f>
        <v/>
      </c>
      <c r="Z477" t="str">
        <f>IF(MSE成绩库!C477="","", MSE成绩库!AC477)</f>
        <v/>
      </c>
    </row>
    <row r="478" spans="1:26" x14ac:dyDescent="0.2">
      <c r="A478" t="str">
        <f>IF(MSE成绩库!C478="","", MSE成绩库!C478)</f>
        <v/>
      </c>
      <c r="B478" t="str">
        <f>IF(MSE成绩库!AD478="","", MSE成绩库!AD478)</f>
        <v/>
      </c>
      <c r="C478" t="str">
        <f>IF(MSE成绩库!B478="","", MSE成绩库!B478)</f>
        <v/>
      </c>
      <c r="D478" t="str">
        <f>IF(MSE成绩库!D478="","", MSE成绩库!D478)</f>
        <v/>
      </c>
      <c r="E478" t="str">
        <f>IF(MSE成绩库!C478="","", MSE成绩库!E478)</f>
        <v/>
      </c>
      <c r="F478" t="str">
        <f>IF(MSE成绩库!C478="","", MSE成绩库!F478)</f>
        <v/>
      </c>
      <c r="G478" t="str">
        <f>IF(MSE成绩库!C478="","", MSE成绩库!G478)</f>
        <v/>
      </c>
      <c r="H478" t="str">
        <f>IF(MSE成绩库!C478="","", MSE成绩库!H478)</f>
        <v/>
      </c>
      <c r="I478" t="str">
        <f>IF(MSE成绩库!C478="","", MSE成绩库!I478)</f>
        <v/>
      </c>
      <c r="J478" t="str">
        <f>IF(MSE成绩库!C478="","", MSE成绩库!J478)</f>
        <v/>
      </c>
      <c r="K478" t="str">
        <f>IF(MSE成绩库!C478="","", MSE成绩库!K478)</f>
        <v/>
      </c>
      <c r="L478" t="str">
        <f>IF(MSE成绩库!C478="","", MSE成绩库!M478)</f>
        <v/>
      </c>
      <c r="M478" t="str">
        <f>IF(MSE成绩库!C478="","", MSE成绩库!N478)</f>
        <v/>
      </c>
      <c r="N478" t="str">
        <f>IF(MSE成绩库!C478="","", MSE成绩库!O478)</f>
        <v/>
      </c>
      <c r="O478" t="str">
        <f>IF(MSE成绩库!C478="","", MSE成绩库!Q478)</f>
        <v/>
      </c>
      <c r="P478" t="str">
        <f>IF(MSE成绩库!C478="","", MSE成绩库!R478)</f>
        <v/>
      </c>
      <c r="Q478" t="str">
        <f>IF(MSE成绩库!C478="","", MSE成绩库!S478)</f>
        <v/>
      </c>
      <c r="R478" t="str">
        <f>IF(MSE成绩库!C478="","", MSE成绩库!T478)</f>
        <v/>
      </c>
      <c r="S478" t="str">
        <f>IF(MSE成绩库!C478="","", MSE成绩库!U478)</f>
        <v/>
      </c>
      <c r="T478" t="str">
        <f>IF(MSE成绩库!C478="","", MSE成绩库!V478)</f>
        <v/>
      </c>
      <c r="U478" t="str">
        <f>IF(MSE成绩库!C478="","", MSE成绩库!X478)</f>
        <v/>
      </c>
      <c r="V478" t="str">
        <f>IF(MSE成绩库!C478="","", MSE成绩库!Y478)</f>
        <v/>
      </c>
      <c r="W478" t="str">
        <f>IF(MSE成绩库!C478="","", MSE成绩库!Z478)</f>
        <v/>
      </c>
      <c r="X478" t="str">
        <f>IF(MSE成绩库!C478="","", MSE成绩库!AA478)</f>
        <v/>
      </c>
      <c r="Y478" t="str">
        <f>IF(MSE成绩库!C478="","", MSE成绩库!AB478)</f>
        <v/>
      </c>
      <c r="Z478" t="str">
        <f>IF(MSE成绩库!C478="","", MSE成绩库!AC478)</f>
        <v/>
      </c>
    </row>
    <row r="479" spans="1:26" x14ac:dyDescent="0.2">
      <c r="A479" t="str">
        <f>IF(MSE成绩库!C479="","", MSE成绩库!C479)</f>
        <v/>
      </c>
      <c r="B479" t="str">
        <f>IF(MSE成绩库!AD479="","", MSE成绩库!AD479)</f>
        <v/>
      </c>
      <c r="C479" t="str">
        <f>IF(MSE成绩库!B479="","", MSE成绩库!B479)</f>
        <v/>
      </c>
      <c r="D479" t="str">
        <f>IF(MSE成绩库!D479="","", MSE成绩库!D479)</f>
        <v/>
      </c>
      <c r="E479" t="str">
        <f>IF(MSE成绩库!C479="","", MSE成绩库!E479)</f>
        <v/>
      </c>
      <c r="F479" t="str">
        <f>IF(MSE成绩库!C479="","", MSE成绩库!F479)</f>
        <v/>
      </c>
      <c r="G479" t="str">
        <f>IF(MSE成绩库!C479="","", MSE成绩库!G479)</f>
        <v/>
      </c>
      <c r="H479" t="str">
        <f>IF(MSE成绩库!C479="","", MSE成绩库!H479)</f>
        <v/>
      </c>
      <c r="I479" t="str">
        <f>IF(MSE成绩库!C479="","", MSE成绩库!I479)</f>
        <v/>
      </c>
      <c r="J479" t="str">
        <f>IF(MSE成绩库!C479="","", MSE成绩库!J479)</f>
        <v/>
      </c>
      <c r="K479" t="str">
        <f>IF(MSE成绩库!C479="","", MSE成绩库!K479)</f>
        <v/>
      </c>
      <c r="L479" t="str">
        <f>IF(MSE成绩库!C479="","", MSE成绩库!M479)</f>
        <v/>
      </c>
      <c r="M479" t="str">
        <f>IF(MSE成绩库!C479="","", MSE成绩库!N479)</f>
        <v/>
      </c>
      <c r="N479" t="str">
        <f>IF(MSE成绩库!C479="","", MSE成绩库!O479)</f>
        <v/>
      </c>
      <c r="O479" t="str">
        <f>IF(MSE成绩库!C479="","", MSE成绩库!Q479)</f>
        <v/>
      </c>
      <c r="P479" t="str">
        <f>IF(MSE成绩库!C479="","", MSE成绩库!R479)</f>
        <v/>
      </c>
      <c r="Q479" t="str">
        <f>IF(MSE成绩库!C479="","", MSE成绩库!S479)</f>
        <v/>
      </c>
      <c r="R479" t="str">
        <f>IF(MSE成绩库!C479="","", MSE成绩库!T479)</f>
        <v/>
      </c>
      <c r="S479" t="str">
        <f>IF(MSE成绩库!C479="","", MSE成绩库!U479)</f>
        <v/>
      </c>
      <c r="T479" t="str">
        <f>IF(MSE成绩库!C479="","", MSE成绩库!V479)</f>
        <v/>
      </c>
      <c r="U479" t="str">
        <f>IF(MSE成绩库!C479="","", MSE成绩库!X479)</f>
        <v/>
      </c>
      <c r="V479" t="str">
        <f>IF(MSE成绩库!C479="","", MSE成绩库!Y479)</f>
        <v/>
      </c>
      <c r="W479" t="str">
        <f>IF(MSE成绩库!C479="","", MSE成绩库!Z479)</f>
        <v/>
      </c>
      <c r="X479" t="str">
        <f>IF(MSE成绩库!C479="","", MSE成绩库!AA479)</f>
        <v/>
      </c>
      <c r="Y479" t="str">
        <f>IF(MSE成绩库!C479="","", MSE成绩库!AB479)</f>
        <v/>
      </c>
      <c r="Z479" t="str">
        <f>IF(MSE成绩库!C479="","", MSE成绩库!AC479)</f>
        <v/>
      </c>
    </row>
    <row r="480" spans="1:26" x14ac:dyDescent="0.2">
      <c r="A480" t="str">
        <f>IF(MSE成绩库!C480="","", MSE成绩库!C480)</f>
        <v/>
      </c>
      <c r="B480" t="str">
        <f>IF(MSE成绩库!AD480="","", MSE成绩库!AD480)</f>
        <v/>
      </c>
      <c r="C480" t="str">
        <f>IF(MSE成绩库!B480="","", MSE成绩库!B480)</f>
        <v/>
      </c>
      <c r="D480" t="str">
        <f>IF(MSE成绩库!D480="","", MSE成绩库!D480)</f>
        <v/>
      </c>
      <c r="E480" t="str">
        <f>IF(MSE成绩库!C480="","", MSE成绩库!E480)</f>
        <v/>
      </c>
      <c r="F480" t="str">
        <f>IF(MSE成绩库!C480="","", MSE成绩库!F480)</f>
        <v/>
      </c>
      <c r="G480" t="str">
        <f>IF(MSE成绩库!C480="","", MSE成绩库!G480)</f>
        <v/>
      </c>
      <c r="H480" t="str">
        <f>IF(MSE成绩库!C480="","", MSE成绩库!H480)</f>
        <v/>
      </c>
      <c r="I480" t="str">
        <f>IF(MSE成绩库!C480="","", MSE成绩库!I480)</f>
        <v/>
      </c>
      <c r="J480" t="str">
        <f>IF(MSE成绩库!C480="","", MSE成绩库!J480)</f>
        <v/>
      </c>
      <c r="K480" t="str">
        <f>IF(MSE成绩库!C480="","", MSE成绩库!K480)</f>
        <v/>
      </c>
      <c r="L480" t="str">
        <f>IF(MSE成绩库!C480="","", MSE成绩库!M480)</f>
        <v/>
      </c>
      <c r="M480" t="str">
        <f>IF(MSE成绩库!C480="","", MSE成绩库!N480)</f>
        <v/>
      </c>
      <c r="N480" t="str">
        <f>IF(MSE成绩库!C480="","", MSE成绩库!O480)</f>
        <v/>
      </c>
      <c r="O480" t="str">
        <f>IF(MSE成绩库!C480="","", MSE成绩库!Q480)</f>
        <v/>
      </c>
      <c r="P480" t="str">
        <f>IF(MSE成绩库!C480="","", MSE成绩库!R480)</f>
        <v/>
      </c>
      <c r="Q480" t="str">
        <f>IF(MSE成绩库!C480="","", MSE成绩库!S480)</f>
        <v/>
      </c>
      <c r="R480" t="str">
        <f>IF(MSE成绩库!C480="","", MSE成绩库!T480)</f>
        <v/>
      </c>
      <c r="S480" t="str">
        <f>IF(MSE成绩库!C480="","", MSE成绩库!U480)</f>
        <v/>
      </c>
      <c r="T480" t="str">
        <f>IF(MSE成绩库!C480="","", MSE成绩库!V480)</f>
        <v/>
      </c>
      <c r="U480" t="str">
        <f>IF(MSE成绩库!C480="","", MSE成绩库!X480)</f>
        <v/>
      </c>
      <c r="V480" t="str">
        <f>IF(MSE成绩库!C480="","", MSE成绩库!Y480)</f>
        <v/>
      </c>
      <c r="W480" t="str">
        <f>IF(MSE成绩库!C480="","", MSE成绩库!Z480)</f>
        <v/>
      </c>
      <c r="X480" t="str">
        <f>IF(MSE成绩库!C480="","", MSE成绩库!AA480)</f>
        <v/>
      </c>
      <c r="Y480" t="str">
        <f>IF(MSE成绩库!C480="","", MSE成绩库!AB480)</f>
        <v/>
      </c>
      <c r="Z480" t="str">
        <f>IF(MSE成绩库!C480="","", MSE成绩库!AC480)</f>
        <v/>
      </c>
    </row>
    <row r="481" spans="1:26" x14ac:dyDescent="0.2">
      <c r="A481" t="str">
        <f>IF(MSE成绩库!C481="","", MSE成绩库!C481)</f>
        <v/>
      </c>
      <c r="B481" t="str">
        <f>IF(MSE成绩库!AD481="","", MSE成绩库!AD481)</f>
        <v/>
      </c>
      <c r="C481" t="str">
        <f>IF(MSE成绩库!B481="","", MSE成绩库!B481)</f>
        <v/>
      </c>
      <c r="D481" t="str">
        <f>IF(MSE成绩库!D481="","", MSE成绩库!D481)</f>
        <v/>
      </c>
      <c r="E481" t="str">
        <f>IF(MSE成绩库!C481="","", MSE成绩库!E481)</f>
        <v/>
      </c>
      <c r="F481" t="str">
        <f>IF(MSE成绩库!C481="","", MSE成绩库!F481)</f>
        <v/>
      </c>
      <c r="G481" t="str">
        <f>IF(MSE成绩库!C481="","", MSE成绩库!G481)</f>
        <v/>
      </c>
      <c r="H481" t="str">
        <f>IF(MSE成绩库!C481="","", MSE成绩库!H481)</f>
        <v/>
      </c>
      <c r="I481" t="str">
        <f>IF(MSE成绩库!C481="","", MSE成绩库!I481)</f>
        <v/>
      </c>
      <c r="J481" t="str">
        <f>IF(MSE成绩库!C481="","", MSE成绩库!J481)</f>
        <v/>
      </c>
      <c r="K481" t="str">
        <f>IF(MSE成绩库!C481="","", MSE成绩库!K481)</f>
        <v/>
      </c>
      <c r="L481" t="str">
        <f>IF(MSE成绩库!C481="","", MSE成绩库!M481)</f>
        <v/>
      </c>
      <c r="M481" t="str">
        <f>IF(MSE成绩库!C481="","", MSE成绩库!N481)</f>
        <v/>
      </c>
      <c r="N481" t="str">
        <f>IF(MSE成绩库!C481="","", MSE成绩库!O481)</f>
        <v/>
      </c>
      <c r="O481" t="str">
        <f>IF(MSE成绩库!C481="","", MSE成绩库!Q481)</f>
        <v/>
      </c>
      <c r="P481" t="str">
        <f>IF(MSE成绩库!C481="","", MSE成绩库!R481)</f>
        <v/>
      </c>
      <c r="Q481" t="str">
        <f>IF(MSE成绩库!C481="","", MSE成绩库!S481)</f>
        <v/>
      </c>
      <c r="R481" t="str">
        <f>IF(MSE成绩库!C481="","", MSE成绩库!T481)</f>
        <v/>
      </c>
      <c r="S481" t="str">
        <f>IF(MSE成绩库!C481="","", MSE成绩库!U481)</f>
        <v/>
      </c>
      <c r="T481" t="str">
        <f>IF(MSE成绩库!C481="","", MSE成绩库!V481)</f>
        <v/>
      </c>
      <c r="U481" t="str">
        <f>IF(MSE成绩库!C481="","", MSE成绩库!X481)</f>
        <v/>
      </c>
      <c r="V481" t="str">
        <f>IF(MSE成绩库!C481="","", MSE成绩库!Y481)</f>
        <v/>
      </c>
      <c r="W481" t="str">
        <f>IF(MSE成绩库!C481="","", MSE成绩库!Z481)</f>
        <v/>
      </c>
      <c r="X481" t="str">
        <f>IF(MSE成绩库!C481="","", MSE成绩库!AA481)</f>
        <v/>
      </c>
      <c r="Y481" t="str">
        <f>IF(MSE成绩库!C481="","", MSE成绩库!AB481)</f>
        <v/>
      </c>
      <c r="Z481" t="str">
        <f>IF(MSE成绩库!C481="","", MSE成绩库!AC481)</f>
        <v/>
      </c>
    </row>
    <row r="482" spans="1:26" x14ac:dyDescent="0.2">
      <c r="A482" t="str">
        <f>IF(MSE成绩库!C482="","", MSE成绩库!C482)</f>
        <v/>
      </c>
      <c r="B482" t="str">
        <f>IF(MSE成绩库!AD482="","", MSE成绩库!AD482)</f>
        <v/>
      </c>
      <c r="C482" t="str">
        <f>IF(MSE成绩库!B482="","", MSE成绩库!B482)</f>
        <v/>
      </c>
      <c r="D482" t="str">
        <f>IF(MSE成绩库!D482="","", MSE成绩库!D482)</f>
        <v/>
      </c>
      <c r="E482" t="str">
        <f>IF(MSE成绩库!C482="","", MSE成绩库!E482)</f>
        <v/>
      </c>
      <c r="F482" t="str">
        <f>IF(MSE成绩库!C482="","", MSE成绩库!F482)</f>
        <v/>
      </c>
      <c r="G482" t="str">
        <f>IF(MSE成绩库!C482="","", MSE成绩库!G482)</f>
        <v/>
      </c>
      <c r="H482" t="str">
        <f>IF(MSE成绩库!C482="","", MSE成绩库!H482)</f>
        <v/>
      </c>
      <c r="I482" t="str">
        <f>IF(MSE成绩库!C482="","", MSE成绩库!I482)</f>
        <v/>
      </c>
      <c r="J482" t="str">
        <f>IF(MSE成绩库!C482="","", MSE成绩库!J482)</f>
        <v/>
      </c>
      <c r="K482" t="str">
        <f>IF(MSE成绩库!C482="","", MSE成绩库!K482)</f>
        <v/>
      </c>
      <c r="L482" t="str">
        <f>IF(MSE成绩库!C482="","", MSE成绩库!M482)</f>
        <v/>
      </c>
      <c r="M482" t="str">
        <f>IF(MSE成绩库!C482="","", MSE成绩库!N482)</f>
        <v/>
      </c>
      <c r="N482" t="str">
        <f>IF(MSE成绩库!C482="","", MSE成绩库!O482)</f>
        <v/>
      </c>
      <c r="O482" t="str">
        <f>IF(MSE成绩库!C482="","", MSE成绩库!Q482)</f>
        <v/>
      </c>
      <c r="P482" t="str">
        <f>IF(MSE成绩库!C482="","", MSE成绩库!R482)</f>
        <v/>
      </c>
      <c r="Q482" t="str">
        <f>IF(MSE成绩库!C482="","", MSE成绩库!S482)</f>
        <v/>
      </c>
      <c r="R482" t="str">
        <f>IF(MSE成绩库!C482="","", MSE成绩库!T482)</f>
        <v/>
      </c>
      <c r="S482" t="str">
        <f>IF(MSE成绩库!C482="","", MSE成绩库!U482)</f>
        <v/>
      </c>
      <c r="T482" t="str">
        <f>IF(MSE成绩库!C482="","", MSE成绩库!V482)</f>
        <v/>
      </c>
      <c r="U482" t="str">
        <f>IF(MSE成绩库!C482="","", MSE成绩库!X482)</f>
        <v/>
      </c>
      <c r="V482" t="str">
        <f>IF(MSE成绩库!C482="","", MSE成绩库!Y482)</f>
        <v/>
      </c>
      <c r="W482" t="str">
        <f>IF(MSE成绩库!C482="","", MSE成绩库!Z482)</f>
        <v/>
      </c>
      <c r="X482" t="str">
        <f>IF(MSE成绩库!C482="","", MSE成绩库!AA482)</f>
        <v/>
      </c>
      <c r="Y482" t="str">
        <f>IF(MSE成绩库!C482="","", MSE成绩库!AB482)</f>
        <v/>
      </c>
      <c r="Z482" t="str">
        <f>IF(MSE成绩库!C482="","", MSE成绩库!AC482)</f>
        <v/>
      </c>
    </row>
    <row r="483" spans="1:26" x14ac:dyDescent="0.2">
      <c r="A483" t="str">
        <f>IF(MSE成绩库!C483="","", MSE成绩库!C483)</f>
        <v/>
      </c>
      <c r="B483" t="str">
        <f>IF(MSE成绩库!AD483="","", MSE成绩库!AD483)</f>
        <v/>
      </c>
      <c r="C483" t="str">
        <f>IF(MSE成绩库!B483="","", MSE成绩库!B483)</f>
        <v/>
      </c>
      <c r="D483" t="str">
        <f>IF(MSE成绩库!D483="","", MSE成绩库!D483)</f>
        <v/>
      </c>
      <c r="E483" t="str">
        <f>IF(MSE成绩库!C483="","", MSE成绩库!E483)</f>
        <v/>
      </c>
      <c r="F483" t="str">
        <f>IF(MSE成绩库!C483="","", MSE成绩库!F483)</f>
        <v/>
      </c>
      <c r="G483" t="str">
        <f>IF(MSE成绩库!C483="","", MSE成绩库!G483)</f>
        <v/>
      </c>
      <c r="H483" t="str">
        <f>IF(MSE成绩库!C483="","", MSE成绩库!H483)</f>
        <v/>
      </c>
      <c r="I483" t="str">
        <f>IF(MSE成绩库!C483="","", MSE成绩库!I483)</f>
        <v/>
      </c>
      <c r="J483" t="str">
        <f>IF(MSE成绩库!C483="","", MSE成绩库!J483)</f>
        <v/>
      </c>
      <c r="K483" t="str">
        <f>IF(MSE成绩库!C483="","", MSE成绩库!K483)</f>
        <v/>
      </c>
      <c r="L483" t="str">
        <f>IF(MSE成绩库!C483="","", MSE成绩库!M483)</f>
        <v/>
      </c>
      <c r="M483" t="str">
        <f>IF(MSE成绩库!C483="","", MSE成绩库!N483)</f>
        <v/>
      </c>
      <c r="N483" t="str">
        <f>IF(MSE成绩库!C483="","", MSE成绩库!O483)</f>
        <v/>
      </c>
      <c r="O483" t="str">
        <f>IF(MSE成绩库!C483="","", MSE成绩库!Q483)</f>
        <v/>
      </c>
      <c r="P483" t="str">
        <f>IF(MSE成绩库!C483="","", MSE成绩库!R483)</f>
        <v/>
      </c>
      <c r="Q483" t="str">
        <f>IF(MSE成绩库!C483="","", MSE成绩库!S483)</f>
        <v/>
      </c>
      <c r="R483" t="str">
        <f>IF(MSE成绩库!C483="","", MSE成绩库!T483)</f>
        <v/>
      </c>
      <c r="S483" t="str">
        <f>IF(MSE成绩库!C483="","", MSE成绩库!U483)</f>
        <v/>
      </c>
      <c r="T483" t="str">
        <f>IF(MSE成绩库!C483="","", MSE成绩库!V483)</f>
        <v/>
      </c>
      <c r="U483" t="str">
        <f>IF(MSE成绩库!C483="","", MSE成绩库!X483)</f>
        <v/>
      </c>
      <c r="V483" t="str">
        <f>IF(MSE成绩库!C483="","", MSE成绩库!Y483)</f>
        <v/>
      </c>
      <c r="W483" t="str">
        <f>IF(MSE成绩库!C483="","", MSE成绩库!Z483)</f>
        <v/>
      </c>
      <c r="X483" t="str">
        <f>IF(MSE成绩库!C483="","", MSE成绩库!AA483)</f>
        <v/>
      </c>
      <c r="Y483" t="str">
        <f>IF(MSE成绩库!C483="","", MSE成绩库!AB483)</f>
        <v/>
      </c>
      <c r="Z483" t="str">
        <f>IF(MSE成绩库!C483="","", MSE成绩库!AC483)</f>
        <v/>
      </c>
    </row>
    <row r="484" spans="1:26" x14ac:dyDescent="0.2">
      <c r="A484" t="str">
        <f>IF(MSE成绩库!C484="","", MSE成绩库!C484)</f>
        <v/>
      </c>
      <c r="B484" t="str">
        <f>IF(MSE成绩库!AD484="","", MSE成绩库!AD484)</f>
        <v/>
      </c>
      <c r="C484" t="str">
        <f>IF(MSE成绩库!B484="","", MSE成绩库!B484)</f>
        <v/>
      </c>
      <c r="D484" t="str">
        <f>IF(MSE成绩库!D484="","", MSE成绩库!D484)</f>
        <v/>
      </c>
      <c r="E484" t="str">
        <f>IF(MSE成绩库!C484="","", MSE成绩库!E484)</f>
        <v/>
      </c>
      <c r="F484" t="str">
        <f>IF(MSE成绩库!C484="","", MSE成绩库!F484)</f>
        <v/>
      </c>
      <c r="G484" t="str">
        <f>IF(MSE成绩库!C484="","", MSE成绩库!G484)</f>
        <v/>
      </c>
      <c r="H484" t="str">
        <f>IF(MSE成绩库!C484="","", MSE成绩库!H484)</f>
        <v/>
      </c>
      <c r="I484" t="str">
        <f>IF(MSE成绩库!C484="","", MSE成绩库!I484)</f>
        <v/>
      </c>
      <c r="J484" t="str">
        <f>IF(MSE成绩库!C484="","", MSE成绩库!J484)</f>
        <v/>
      </c>
      <c r="K484" t="str">
        <f>IF(MSE成绩库!C484="","", MSE成绩库!K484)</f>
        <v/>
      </c>
      <c r="L484" t="str">
        <f>IF(MSE成绩库!C484="","", MSE成绩库!M484)</f>
        <v/>
      </c>
      <c r="M484" t="str">
        <f>IF(MSE成绩库!C484="","", MSE成绩库!N484)</f>
        <v/>
      </c>
      <c r="N484" t="str">
        <f>IF(MSE成绩库!C484="","", MSE成绩库!O484)</f>
        <v/>
      </c>
      <c r="O484" t="str">
        <f>IF(MSE成绩库!C484="","", MSE成绩库!Q484)</f>
        <v/>
      </c>
      <c r="P484" t="str">
        <f>IF(MSE成绩库!C484="","", MSE成绩库!R484)</f>
        <v/>
      </c>
      <c r="Q484" t="str">
        <f>IF(MSE成绩库!C484="","", MSE成绩库!S484)</f>
        <v/>
      </c>
      <c r="R484" t="str">
        <f>IF(MSE成绩库!C484="","", MSE成绩库!T484)</f>
        <v/>
      </c>
      <c r="S484" t="str">
        <f>IF(MSE成绩库!C484="","", MSE成绩库!U484)</f>
        <v/>
      </c>
      <c r="T484" t="str">
        <f>IF(MSE成绩库!C484="","", MSE成绩库!V484)</f>
        <v/>
      </c>
      <c r="U484" t="str">
        <f>IF(MSE成绩库!C484="","", MSE成绩库!X484)</f>
        <v/>
      </c>
      <c r="V484" t="str">
        <f>IF(MSE成绩库!C484="","", MSE成绩库!Y484)</f>
        <v/>
      </c>
      <c r="W484" t="str">
        <f>IF(MSE成绩库!C484="","", MSE成绩库!Z484)</f>
        <v/>
      </c>
      <c r="X484" t="str">
        <f>IF(MSE成绩库!C484="","", MSE成绩库!AA484)</f>
        <v/>
      </c>
      <c r="Y484" t="str">
        <f>IF(MSE成绩库!C484="","", MSE成绩库!AB484)</f>
        <v/>
      </c>
      <c r="Z484" t="str">
        <f>IF(MSE成绩库!C484="","", MSE成绩库!AC484)</f>
        <v/>
      </c>
    </row>
    <row r="485" spans="1:26" x14ac:dyDescent="0.2">
      <c r="A485" t="str">
        <f>IF(MSE成绩库!C485="","", MSE成绩库!C485)</f>
        <v/>
      </c>
      <c r="B485" t="str">
        <f>IF(MSE成绩库!AD485="","", MSE成绩库!AD485)</f>
        <v/>
      </c>
      <c r="C485" t="str">
        <f>IF(MSE成绩库!B485="","", MSE成绩库!B485)</f>
        <v/>
      </c>
      <c r="D485" t="str">
        <f>IF(MSE成绩库!D485="","", MSE成绩库!D485)</f>
        <v/>
      </c>
      <c r="E485" t="str">
        <f>IF(MSE成绩库!C485="","", MSE成绩库!E485)</f>
        <v/>
      </c>
      <c r="F485" t="str">
        <f>IF(MSE成绩库!C485="","", MSE成绩库!F485)</f>
        <v/>
      </c>
      <c r="G485" t="str">
        <f>IF(MSE成绩库!C485="","", MSE成绩库!G485)</f>
        <v/>
      </c>
      <c r="H485" t="str">
        <f>IF(MSE成绩库!C485="","", MSE成绩库!H485)</f>
        <v/>
      </c>
      <c r="I485" t="str">
        <f>IF(MSE成绩库!C485="","", MSE成绩库!I485)</f>
        <v/>
      </c>
      <c r="J485" t="str">
        <f>IF(MSE成绩库!C485="","", MSE成绩库!J485)</f>
        <v/>
      </c>
      <c r="K485" t="str">
        <f>IF(MSE成绩库!C485="","", MSE成绩库!K485)</f>
        <v/>
      </c>
      <c r="L485" t="str">
        <f>IF(MSE成绩库!C485="","", MSE成绩库!M485)</f>
        <v/>
      </c>
      <c r="M485" t="str">
        <f>IF(MSE成绩库!C485="","", MSE成绩库!N485)</f>
        <v/>
      </c>
      <c r="N485" t="str">
        <f>IF(MSE成绩库!C485="","", MSE成绩库!O485)</f>
        <v/>
      </c>
      <c r="O485" t="str">
        <f>IF(MSE成绩库!C485="","", MSE成绩库!Q485)</f>
        <v/>
      </c>
      <c r="P485" t="str">
        <f>IF(MSE成绩库!C485="","", MSE成绩库!R485)</f>
        <v/>
      </c>
      <c r="Q485" t="str">
        <f>IF(MSE成绩库!C485="","", MSE成绩库!S485)</f>
        <v/>
      </c>
      <c r="R485" t="str">
        <f>IF(MSE成绩库!C485="","", MSE成绩库!T485)</f>
        <v/>
      </c>
      <c r="S485" t="str">
        <f>IF(MSE成绩库!C485="","", MSE成绩库!U485)</f>
        <v/>
      </c>
      <c r="T485" t="str">
        <f>IF(MSE成绩库!C485="","", MSE成绩库!V485)</f>
        <v/>
      </c>
      <c r="U485" t="str">
        <f>IF(MSE成绩库!C485="","", MSE成绩库!X485)</f>
        <v/>
      </c>
      <c r="V485" t="str">
        <f>IF(MSE成绩库!C485="","", MSE成绩库!Y485)</f>
        <v/>
      </c>
      <c r="W485" t="str">
        <f>IF(MSE成绩库!C485="","", MSE成绩库!Z485)</f>
        <v/>
      </c>
      <c r="X485" t="str">
        <f>IF(MSE成绩库!C485="","", MSE成绩库!AA485)</f>
        <v/>
      </c>
      <c r="Y485" t="str">
        <f>IF(MSE成绩库!C485="","", MSE成绩库!AB485)</f>
        <v/>
      </c>
      <c r="Z485" t="str">
        <f>IF(MSE成绩库!C485="","", MSE成绩库!AC485)</f>
        <v/>
      </c>
    </row>
    <row r="486" spans="1:26" x14ac:dyDescent="0.2">
      <c r="A486" t="str">
        <f>IF(MSE成绩库!C486="","", MSE成绩库!C486)</f>
        <v/>
      </c>
      <c r="B486" t="str">
        <f>IF(MSE成绩库!AD486="","", MSE成绩库!AD486)</f>
        <v/>
      </c>
      <c r="C486" t="str">
        <f>IF(MSE成绩库!B486="","", MSE成绩库!B486)</f>
        <v/>
      </c>
      <c r="D486" t="str">
        <f>IF(MSE成绩库!D486="","", MSE成绩库!D486)</f>
        <v/>
      </c>
      <c r="E486" t="str">
        <f>IF(MSE成绩库!C486="","", MSE成绩库!E486)</f>
        <v/>
      </c>
      <c r="F486" t="str">
        <f>IF(MSE成绩库!C486="","", MSE成绩库!F486)</f>
        <v/>
      </c>
      <c r="G486" t="str">
        <f>IF(MSE成绩库!C486="","", MSE成绩库!G486)</f>
        <v/>
      </c>
      <c r="H486" t="str">
        <f>IF(MSE成绩库!C486="","", MSE成绩库!H486)</f>
        <v/>
      </c>
      <c r="I486" t="str">
        <f>IF(MSE成绩库!C486="","", MSE成绩库!I486)</f>
        <v/>
      </c>
      <c r="J486" t="str">
        <f>IF(MSE成绩库!C486="","", MSE成绩库!J486)</f>
        <v/>
      </c>
      <c r="K486" t="str">
        <f>IF(MSE成绩库!C486="","", MSE成绩库!K486)</f>
        <v/>
      </c>
      <c r="L486" t="str">
        <f>IF(MSE成绩库!C486="","", MSE成绩库!M486)</f>
        <v/>
      </c>
      <c r="M486" t="str">
        <f>IF(MSE成绩库!C486="","", MSE成绩库!N486)</f>
        <v/>
      </c>
      <c r="N486" t="str">
        <f>IF(MSE成绩库!C486="","", MSE成绩库!O486)</f>
        <v/>
      </c>
      <c r="O486" t="str">
        <f>IF(MSE成绩库!C486="","", MSE成绩库!Q486)</f>
        <v/>
      </c>
      <c r="P486" t="str">
        <f>IF(MSE成绩库!C486="","", MSE成绩库!R486)</f>
        <v/>
      </c>
      <c r="Q486" t="str">
        <f>IF(MSE成绩库!C486="","", MSE成绩库!S486)</f>
        <v/>
      </c>
      <c r="R486" t="str">
        <f>IF(MSE成绩库!C486="","", MSE成绩库!T486)</f>
        <v/>
      </c>
      <c r="S486" t="str">
        <f>IF(MSE成绩库!C486="","", MSE成绩库!U486)</f>
        <v/>
      </c>
      <c r="T486" t="str">
        <f>IF(MSE成绩库!C486="","", MSE成绩库!V486)</f>
        <v/>
      </c>
      <c r="U486" t="str">
        <f>IF(MSE成绩库!C486="","", MSE成绩库!X486)</f>
        <v/>
      </c>
      <c r="V486" t="str">
        <f>IF(MSE成绩库!C486="","", MSE成绩库!Y486)</f>
        <v/>
      </c>
      <c r="W486" t="str">
        <f>IF(MSE成绩库!C486="","", MSE成绩库!Z486)</f>
        <v/>
      </c>
      <c r="X486" t="str">
        <f>IF(MSE成绩库!C486="","", MSE成绩库!AA486)</f>
        <v/>
      </c>
      <c r="Y486" t="str">
        <f>IF(MSE成绩库!C486="","", MSE成绩库!AB486)</f>
        <v/>
      </c>
      <c r="Z486" t="str">
        <f>IF(MSE成绩库!C486="","", MSE成绩库!AC486)</f>
        <v/>
      </c>
    </row>
    <row r="487" spans="1:26" x14ac:dyDescent="0.2">
      <c r="A487" t="str">
        <f>IF(MSE成绩库!C487="","", MSE成绩库!C487)</f>
        <v/>
      </c>
      <c r="B487" t="str">
        <f>IF(MSE成绩库!AD487="","", MSE成绩库!AD487)</f>
        <v/>
      </c>
      <c r="C487" t="str">
        <f>IF(MSE成绩库!B487="","", MSE成绩库!B487)</f>
        <v/>
      </c>
      <c r="D487" t="str">
        <f>IF(MSE成绩库!D487="","", MSE成绩库!D487)</f>
        <v/>
      </c>
      <c r="E487" t="str">
        <f>IF(MSE成绩库!C487="","", MSE成绩库!E487)</f>
        <v/>
      </c>
      <c r="F487" t="str">
        <f>IF(MSE成绩库!C487="","", MSE成绩库!F487)</f>
        <v/>
      </c>
      <c r="G487" t="str">
        <f>IF(MSE成绩库!C487="","", MSE成绩库!G487)</f>
        <v/>
      </c>
      <c r="H487" t="str">
        <f>IF(MSE成绩库!C487="","", MSE成绩库!H487)</f>
        <v/>
      </c>
      <c r="I487" t="str">
        <f>IF(MSE成绩库!C487="","", MSE成绩库!I487)</f>
        <v/>
      </c>
      <c r="J487" t="str">
        <f>IF(MSE成绩库!C487="","", MSE成绩库!J487)</f>
        <v/>
      </c>
      <c r="K487" t="str">
        <f>IF(MSE成绩库!C487="","", MSE成绩库!K487)</f>
        <v/>
      </c>
      <c r="L487" t="str">
        <f>IF(MSE成绩库!C487="","", MSE成绩库!M487)</f>
        <v/>
      </c>
      <c r="M487" t="str">
        <f>IF(MSE成绩库!C487="","", MSE成绩库!N487)</f>
        <v/>
      </c>
      <c r="N487" t="str">
        <f>IF(MSE成绩库!C487="","", MSE成绩库!O487)</f>
        <v/>
      </c>
      <c r="O487" t="str">
        <f>IF(MSE成绩库!C487="","", MSE成绩库!Q487)</f>
        <v/>
      </c>
      <c r="P487" t="str">
        <f>IF(MSE成绩库!C487="","", MSE成绩库!R487)</f>
        <v/>
      </c>
      <c r="Q487" t="str">
        <f>IF(MSE成绩库!C487="","", MSE成绩库!S487)</f>
        <v/>
      </c>
      <c r="R487" t="str">
        <f>IF(MSE成绩库!C487="","", MSE成绩库!T487)</f>
        <v/>
      </c>
      <c r="S487" t="str">
        <f>IF(MSE成绩库!C487="","", MSE成绩库!U487)</f>
        <v/>
      </c>
      <c r="T487" t="str">
        <f>IF(MSE成绩库!C487="","", MSE成绩库!V487)</f>
        <v/>
      </c>
      <c r="U487" t="str">
        <f>IF(MSE成绩库!C487="","", MSE成绩库!X487)</f>
        <v/>
      </c>
      <c r="V487" t="str">
        <f>IF(MSE成绩库!C487="","", MSE成绩库!Y487)</f>
        <v/>
      </c>
      <c r="W487" t="str">
        <f>IF(MSE成绩库!C487="","", MSE成绩库!Z487)</f>
        <v/>
      </c>
      <c r="X487" t="str">
        <f>IF(MSE成绩库!C487="","", MSE成绩库!AA487)</f>
        <v/>
      </c>
      <c r="Y487" t="str">
        <f>IF(MSE成绩库!C487="","", MSE成绩库!AB487)</f>
        <v/>
      </c>
      <c r="Z487" t="str">
        <f>IF(MSE成绩库!C487="","", MSE成绩库!AC487)</f>
        <v/>
      </c>
    </row>
    <row r="488" spans="1:26" x14ac:dyDescent="0.2">
      <c r="A488" t="str">
        <f>IF(MSE成绩库!C488="","", MSE成绩库!C488)</f>
        <v/>
      </c>
      <c r="B488" t="str">
        <f>IF(MSE成绩库!AD488="","", MSE成绩库!AD488)</f>
        <v/>
      </c>
      <c r="C488" t="str">
        <f>IF(MSE成绩库!B488="","", MSE成绩库!B488)</f>
        <v/>
      </c>
      <c r="D488" t="str">
        <f>IF(MSE成绩库!D488="","", MSE成绩库!D488)</f>
        <v/>
      </c>
      <c r="E488" t="str">
        <f>IF(MSE成绩库!C488="","", MSE成绩库!E488)</f>
        <v/>
      </c>
      <c r="F488" t="str">
        <f>IF(MSE成绩库!C488="","", MSE成绩库!F488)</f>
        <v/>
      </c>
      <c r="G488" t="str">
        <f>IF(MSE成绩库!C488="","", MSE成绩库!G488)</f>
        <v/>
      </c>
      <c r="H488" t="str">
        <f>IF(MSE成绩库!C488="","", MSE成绩库!H488)</f>
        <v/>
      </c>
      <c r="I488" t="str">
        <f>IF(MSE成绩库!C488="","", MSE成绩库!I488)</f>
        <v/>
      </c>
      <c r="J488" t="str">
        <f>IF(MSE成绩库!C488="","", MSE成绩库!J488)</f>
        <v/>
      </c>
      <c r="K488" t="str">
        <f>IF(MSE成绩库!C488="","", MSE成绩库!K488)</f>
        <v/>
      </c>
      <c r="L488" t="str">
        <f>IF(MSE成绩库!C488="","", MSE成绩库!M488)</f>
        <v/>
      </c>
      <c r="M488" t="str">
        <f>IF(MSE成绩库!C488="","", MSE成绩库!N488)</f>
        <v/>
      </c>
      <c r="N488" t="str">
        <f>IF(MSE成绩库!C488="","", MSE成绩库!O488)</f>
        <v/>
      </c>
      <c r="O488" t="str">
        <f>IF(MSE成绩库!C488="","", MSE成绩库!Q488)</f>
        <v/>
      </c>
      <c r="P488" t="str">
        <f>IF(MSE成绩库!C488="","", MSE成绩库!R488)</f>
        <v/>
      </c>
      <c r="Q488" t="str">
        <f>IF(MSE成绩库!C488="","", MSE成绩库!S488)</f>
        <v/>
      </c>
      <c r="R488" t="str">
        <f>IF(MSE成绩库!C488="","", MSE成绩库!T488)</f>
        <v/>
      </c>
      <c r="S488" t="str">
        <f>IF(MSE成绩库!C488="","", MSE成绩库!U488)</f>
        <v/>
      </c>
      <c r="T488" t="str">
        <f>IF(MSE成绩库!C488="","", MSE成绩库!V488)</f>
        <v/>
      </c>
      <c r="U488" t="str">
        <f>IF(MSE成绩库!C488="","", MSE成绩库!X488)</f>
        <v/>
      </c>
      <c r="V488" t="str">
        <f>IF(MSE成绩库!C488="","", MSE成绩库!Y488)</f>
        <v/>
      </c>
      <c r="W488" t="str">
        <f>IF(MSE成绩库!C488="","", MSE成绩库!Z488)</f>
        <v/>
      </c>
      <c r="X488" t="str">
        <f>IF(MSE成绩库!C488="","", MSE成绩库!AA488)</f>
        <v/>
      </c>
      <c r="Y488" t="str">
        <f>IF(MSE成绩库!C488="","", MSE成绩库!AB488)</f>
        <v/>
      </c>
      <c r="Z488" t="str">
        <f>IF(MSE成绩库!C488="","", MSE成绩库!AC488)</f>
        <v/>
      </c>
    </row>
    <row r="489" spans="1:26" x14ac:dyDescent="0.2">
      <c r="A489" t="str">
        <f>IF(MSE成绩库!C489="","", MSE成绩库!C489)</f>
        <v/>
      </c>
      <c r="B489" t="str">
        <f>IF(MSE成绩库!AD489="","", MSE成绩库!AD489)</f>
        <v/>
      </c>
      <c r="C489" t="str">
        <f>IF(MSE成绩库!B489="","", MSE成绩库!B489)</f>
        <v/>
      </c>
      <c r="D489" t="str">
        <f>IF(MSE成绩库!D489="","", MSE成绩库!D489)</f>
        <v/>
      </c>
      <c r="E489" t="str">
        <f>IF(MSE成绩库!C489="","", MSE成绩库!E489)</f>
        <v/>
      </c>
      <c r="F489" t="str">
        <f>IF(MSE成绩库!C489="","", MSE成绩库!F489)</f>
        <v/>
      </c>
      <c r="G489" t="str">
        <f>IF(MSE成绩库!C489="","", MSE成绩库!G489)</f>
        <v/>
      </c>
      <c r="H489" t="str">
        <f>IF(MSE成绩库!C489="","", MSE成绩库!H489)</f>
        <v/>
      </c>
      <c r="I489" t="str">
        <f>IF(MSE成绩库!C489="","", MSE成绩库!I489)</f>
        <v/>
      </c>
      <c r="J489" t="str">
        <f>IF(MSE成绩库!C489="","", MSE成绩库!J489)</f>
        <v/>
      </c>
      <c r="K489" t="str">
        <f>IF(MSE成绩库!C489="","", MSE成绩库!K489)</f>
        <v/>
      </c>
      <c r="L489" t="str">
        <f>IF(MSE成绩库!C489="","", MSE成绩库!M489)</f>
        <v/>
      </c>
      <c r="M489" t="str">
        <f>IF(MSE成绩库!C489="","", MSE成绩库!N489)</f>
        <v/>
      </c>
      <c r="N489" t="str">
        <f>IF(MSE成绩库!C489="","", MSE成绩库!O489)</f>
        <v/>
      </c>
      <c r="O489" t="str">
        <f>IF(MSE成绩库!C489="","", MSE成绩库!Q489)</f>
        <v/>
      </c>
      <c r="P489" t="str">
        <f>IF(MSE成绩库!C489="","", MSE成绩库!R489)</f>
        <v/>
      </c>
      <c r="Q489" t="str">
        <f>IF(MSE成绩库!C489="","", MSE成绩库!S489)</f>
        <v/>
      </c>
      <c r="R489" t="str">
        <f>IF(MSE成绩库!C489="","", MSE成绩库!T489)</f>
        <v/>
      </c>
      <c r="S489" t="str">
        <f>IF(MSE成绩库!C489="","", MSE成绩库!U489)</f>
        <v/>
      </c>
      <c r="T489" t="str">
        <f>IF(MSE成绩库!C489="","", MSE成绩库!V489)</f>
        <v/>
      </c>
      <c r="U489" t="str">
        <f>IF(MSE成绩库!C489="","", MSE成绩库!X489)</f>
        <v/>
      </c>
      <c r="V489" t="str">
        <f>IF(MSE成绩库!C489="","", MSE成绩库!Y489)</f>
        <v/>
      </c>
      <c r="W489" t="str">
        <f>IF(MSE成绩库!C489="","", MSE成绩库!Z489)</f>
        <v/>
      </c>
      <c r="X489" t="str">
        <f>IF(MSE成绩库!C489="","", MSE成绩库!AA489)</f>
        <v/>
      </c>
      <c r="Y489" t="str">
        <f>IF(MSE成绩库!C489="","", MSE成绩库!AB489)</f>
        <v/>
      </c>
      <c r="Z489" t="str">
        <f>IF(MSE成绩库!C489="","", MSE成绩库!AC489)</f>
        <v/>
      </c>
    </row>
    <row r="490" spans="1:26" x14ac:dyDescent="0.2">
      <c r="A490" t="str">
        <f>IF(MSE成绩库!C490="","", MSE成绩库!C490)</f>
        <v/>
      </c>
      <c r="B490" t="str">
        <f>IF(MSE成绩库!AD490="","", MSE成绩库!AD490)</f>
        <v/>
      </c>
      <c r="C490" t="str">
        <f>IF(MSE成绩库!B490="","", MSE成绩库!B490)</f>
        <v/>
      </c>
      <c r="D490" t="str">
        <f>IF(MSE成绩库!D490="","", MSE成绩库!D490)</f>
        <v/>
      </c>
      <c r="E490" t="str">
        <f>IF(MSE成绩库!C490="","", MSE成绩库!E490)</f>
        <v/>
      </c>
      <c r="F490" t="str">
        <f>IF(MSE成绩库!C490="","", MSE成绩库!F490)</f>
        <v/>
      </c>
      <c r="G490" t="str">
        <f>IF(MSE成绩库!C490="","", MSE成绩库!G490)</f>
        <v/>
      </c>
      <c r="H490" t="str">
        <f>IF(MSE成绩库!C490="","", MSE成绩库!H490)</f>
        <v/>
      </c>
      <c r="I490" t="str">
        <f>IF(MSE成绩库!C490="","", MSE成绩库!I490)</f>
        <v/>
      </c>
      <c r="J490" t="str">
        <f>IF(MSE成绩库!C490="","", MSE成绩库!J490)</f>
        <v/>
      </c>
      <c r="K490" t="str">
        <f>IF(MSE成绩库!C490="","", MSE成绩库!K490)</f>
        <v/>
      </c>
      <c r="L490" t="str">
        <f>IF(MSE成绩库!C490="","", MSE成绩库!M490)</f>
        <v/>
      </c>
      <c r="M490" t="str">
        <f>IF(MSE成绩库!C490="","", MSE成绩库!N490)</f>
        <v/>
      </c>
      <c r="N490" t="str">
        <f>IF(MSE成绩库!C490="","", MSE成绩库!O490)</f>
        <v/>
      </c>
      <c r="O490" t="str">
        <f>IF(MSE成绩库!C490="","", MSE成绩库!Q490)</f>
        <v/>
      </c>
      <c r="P490" t="str">
        <f>IF(MSE成绩库!C490="","", MSE成绩库!R490)</f>
        <v/>
      </c>
      <c r="Q490" t="str">
        <f>IF(MSE成绩库!C490="","", MSE成绩库!S490)</f>
        <v/>
      </c>
      <c r="R490" t="str">
        <f>IF(MSE成绩库!C490="","", MSE成绩库!T490)</f>
        <v/>
      </c>
      <c r="S490" t="str">
        <f>IF(MSE成绩库!C490="","", MSE成绩库!U490)</f>
        <v/>
      </c>
      <c r="T490" t="str">
        <f>IF(MSE成绩库!C490="","", MSE成绩库!V490)</f>
        <v/>
      </c>
      <c r="U490" t="str">
        <f>IF(MSE成绩库!C490="","", MSE成绩库!X490)</f>
        <v/>
      </c>
      <c r="V490" t="str">
        <f>IF(MSE成绩库!C490="","", MSE成绩库!Y490)</f>
        <v/>
      </c>
      <c r="W490" t="str">
        <f>IF(MSE成绩库!C490="","", MSE成绩库!Z490)</f>
        <v/>
      </c>
      <c r="X490" t="str">
        <f>IF(MSE成绩库!C490="","", MSE成绩库!AA490)</f>
        <v/>
      </c>
      <c r="Y490" t="str">
        <f>IF(MSE成绩库!C490="","", MSE成绩库!AB490)</f>
        <v/>
      </c>
      <c r="Z490" t="str">
        <f>IF(MSE成绩库!C490="","", MSE成绩库!AC490)</f>
        <v/>
      </c>
    </row>
    <row r="491" spans="1:26" x14ac:dyDescent="0.2">
      <c r="A491" t="str">
        <f>IF(MSE成绩库!C491="","", MSE成绩库!C491)</f>
        <v/>
      </c>
      <c r="B491" t="str">
        <f>IF(MSE成绩库!AD491="","", MSE成绩库!AD491)</f>
        <v/>
      </c>
      <c r="C491" t="str">
        <f>IF(MSE成绩库!B491="","", MSE成绩库!B491)</f>
        <v/>
      </c>
      <c r="D491" t="str">
        <f>IF(MSE成绩库!D491="","", MSE成绩库!D491)</f>
        <v/>
      </c>
      <c r="E491" t="str">
        <f>IF(MSE成绩库!C491="","", MSE成绩库!E491)</f>
        <v/>
      </c>
      <c r="F491" t="str">
        <f>IF(MSE成绩库!C491="","", MSE成绩库!F491)</f>
        <v/>
      </c>
      <c r="G491" t="str">
        <f>IF(MSE成绩库!C491="","", MSE成绩库!G491)</f>
        <v/>
      </c>
      <c r="H491" t="str">
        <f>IF(MSE成绩库!C491="","", MSE成绩库!H491)</f>
        <v/>
      </c>
      <c r="I491" t="str">
        <f>IF(MSE成绩库!C491="","", MSE成绩库!I491)</f>
        <v/>
      </c>
      <c r="J491" t="str">
        <f>IF(MSE成绩库!C491="","", MSE成绩库!J491)</f>
        <v/>
      </c>
      <c r="K491" t="str">
        <f>IF(MSE成绩库!C491="","", MSE成绩库!K491)</f>
        <v/>
      </c>
      <c r="L491" t="str">
        <f>IF(MSE成绩库!C491="","", MSE成绩库!M491)</f>
        <v/>
      </c>
      <c r="M491" t="str">
        <f>IF(MSE成绩库!C491="","", MSE成绩库!N491)</f>
        <v/>
      </c>
      <c r="N491" t="str">
        <f>IF(MSE成绩库!C491="","", MSE成绩库!O491)</f>
        <v/>
      </c>
      <c r="O491" t="str">
        <f>IF(MSE成绩库!C491="","", MSE成绩库!Q491)</f>
        <v/>
      </c>
      <c r="P491" t="str">
        <f>IF(MSE成绩库!C491="","", MSE成绩库!R491)</f>
        <v/>
      </c>
      <c r="Q491" t="str">
        <f>IF(MSE成绩库!C491="","", MSE成绩库!S491)</f>
        <v/>
      </c>
      <c r="R491" t="str">
        <f>IF(MSE成绩库!C491="","", MSE成绩库!T491)</f>
        <v/>
      </c>
      <c r="S491" t="str">
        <f>IF(MSE成绩库!C491="","", MSE成绩库!U491)</f>
        <v/>
      </c>
      <c r="T491" t="str">
        <f>IF(MSE成绩库!C491="","", MSE成绩库!V491)</f>
        <v/>
      </c>
      <c r="U491" t="str">
        <f>IF(MSE成绩库!C491="","", MSE成绩库!X491)</f>
        <v/>
      </c>
      <c r="V491" t="str">
        <f>IF(MSE成绩库!C491="","", MSE成绩库!Y491)</f>
        <v/>
      </c>
      <c r="W491" t="str">
        <f>IF(MSE成绩库!C491="","", MSE成绩库!Z491)</f>
        <v/>
      </c>
      <c r="X491" t="str">
        <f>IF(MSE成绩库!C491="","", MSE成绩库!AA491)</f>
        <v/>
      </c>
      <c r="Y491" t="str">
        <f>IF(MSE成绩库!C491="","", MSE成绩库!AB491)</f>
        <v/>
      </c>
      <c r="Z491" t="str">
        <f>IF(MSE成绩库!C491="","", MSE成绩库!AC491)</f>
        <v/>
      </c>
    </row>
    <row r="492" spans="1:26" x14ac:dyDescent="0.2">
      <c r="A492" t="str">
        <f>IF(MSE成绩库!C492="","", MSE成绩库!C492)</f>
        <v/>
      </c>
      <c r="B492" t="str">
        <f>IF(MSE成绩库!AD492="","", MSE成绩库!AD492)</f>
        <v/>
      </c>
      <c r="C492" t="str">
        <f>IF(MSE成绩库!B492="","", MSE成绩库!B492)</f>
        <v/>
      </c>
      <c r="D492" t="str">
        <f>IF(MSE成绩库!D492="","", MSE成绩库!D492)</f>
        <v/>
      </c>
      <c r="E492" t="str">
        <f>IF(MSE成绩库!C492="","", MSE成绩库!E492)</f>
        <v/>
      </c>
      <c r="F492" t="str">
        <f>IF(MSE成绩库!C492="","", MSE成绩库!F492)</f>
        <v/>
      </c>
      <c r="G492" t="str">
        <f>IF(MSE成绩库!C492="","", MSE成绩库!G492)</f>
        <v/>
      </c>
      <c r="H492" t="str">
        <f>IF(MSE成绩库!C492="","", MSE成绩库!H492)</f>
        <v/>
      </c>
      <c r="I492" t="str">
        <f>IF(MSE成绩库!C492="","", MSE成绩库!I492)</f>
        <v/>
      </c>
      <c r="J492" t="str">
        <f>IF(MSE成绩库!C492="","", MSE成绩库!J492)</f>
        <v/>
      </c>
      <c r="K492" t="str">
        <f>IF(MSE成绩库!C492="","", MSE成绩库!K492)</f>
        <v/>
      </c>
      <c r="L492" t="str">
        <f>IF(MSE成绩库!C492="","", MSE成绩库!M492)</f>
        <v/>
      </c>
      <c r="M492" t="str">
        <f>IF(MSE成绩库!C492="","", MSE成绩库!N492)</f>
        <v/>
      </c>
      <c r="N492" t="str">
        <f>IF(MSE成绩库!C492="","", MSE成绩库!O492)</f>
        <v/>
      </c>
      <c r="O492" t="str">
        <f>IF(MSE成绩库!C492="","", MSE成绩库!Q492)</f>
        <v/>
      </c>
      <c r="P492" t="str">
        <f>IF(MSE成绩库!C492="","", MSE成绩库!R492)</f>
        <v/>
      </c>
      <c r="Q492" t="str">
        <f>IF(MSE成绩库!C492="","", MSE成绩库!S492)</f>
        <v/>
      </c>
      <c r="R492" t="str">
        <f>IF(MSE成绩库!C492="","", MSE成绩库!T492)</f>
        <v/>
      </c>
      <c r="S492" t="str">
        <f>IF(MSE成绩库!C492="","", MSE成绩库!U492)</f>
        <v/>
      </c>
      <c r="T492" t="str">
        <f>IF(MSE成绩库!C492="","", MSE成绩库!V492)</f>
        <v/>
      </c>
      <c r="U492" t="str">
        <f>IF(MSE成绩库!C492="","", MSE成绩库!X492)</f>
        <v/>
      </c>
      <c r="V492" t="str">
        <f>IF(MSE成绩库!C492="","", MSE成绩库!Y492)</f>
        <v/>
      </c>
      <c r="W492" t="str">
        <f>IF(MSE成绩库!C492="","", MSE成绩库!Z492)</f>
        <v/>
      </c>
      <c r="X492" t="str">
        <f>IF(MSE成绩库!C492="","", MSE成绩库!AA492)</f>
        <v/>
      </c>
      <c r="Y492" t="str">
        <f>IF(MSE成绩库!C492="","", MSE成绩库!AB492)</f>
        <v/>
      </c>
      <c r="Z492" t="str">
        <f>IF(MSE成绩库!C492="","", MSE成绩库!AC492)</f>
        <v/>
      </c>
    </row>
    <row r="493" spans="1:26" x14ac:dyDescent="0.2">
      <c r="A493" t="str">
        <f>IF(MSE成绩库!C493="","", MSE成绩库!C493)</f>
        <v/>
      </c>
      <c r="B493" t="str">
        <f>IF(MSE成绩库!AD493="","", MSE成绩库!AD493)</f>
        <v/>
      </c>
      <c r="C493" t="str">
        <f>IF(MSE成绩库!B493="","", MSE成绩库!B493)</f>
        <v/>
      </c>
      <c r="D493" t="str">
        <f>IF(MSE成绩库!D493="","", MSE成绩库!D493)</f>
        <v/>
      </c>
      <c r="E493" t="str">
        <f>IF(MSE成绩库!C493="","", MSE成绩库!E493)</f>
        <v/>
      </c>
      <c r="F493" t="str">
        <f>IF(MSE成绩库!C493="","", MSE成绩库!F493)</f>
        <v/>
      </c>
      <c r="G493" t="str">
        <f>IF(MSE成绩库!C493="","", MSE成绩库!G493)</f>
        <v/>
      </c>
      <c r="H493" t="str">
        <f>IF(MSE成绩库!C493="","", MSE成绩库!H493)</f>
        <v/>
      </c>
      <c r="I493" t="str">
        <f>IF(MSE成绩库!C493="","", MSE成绩库!I493)</f>
        <v/>
      </c>
      <c r="J493" t="str">
        <f>IF(MSE成绩库!C493="","", MSE成绩库!J493)</f>
        <v/>
      </c>
      <c r="K493" t="str">
        <f>IF(MSE成绩库!C493="","", MSE成绩库!K493)</f>
        <v/>
      </c>
      <c r="L493" t="str">
        <f>IF(MSE成绩库!C493="","", MSE成绩库!M493)</f>
        <v/>
      </c>
      <c r="M493" t="str">
        <f>IF(MSE成绩库!C493="","", MSE成绩库!N493)</f>
        <v/>
      </c>
      <c r="N493" t="str">
        <f>IF(MSE成绩库!C493="","", MSE成绩库!O493)</f>
        <v/>
      </c>
      <c r="O493" t="str">
        <f>IF(MSE成绩库!C493="","", MSE成绩库!Q493)</f>
        <v/>
      </c>
      <c r="P493" t="str">
        <f>IF(MSE成绩库!C493="","", MSE成绩库!R493)</f>
        <v/>
      </c>
      <c r="Q493" t="str">
        <f>IF(MSE成绩库!C493="","", MSE成绩库!S493)</f>
        <v/>
      </c>
      <c r="R493" t="str">
        <f>IF(MSE成绩库!C493="","", MSE成绩库!T493)</f>
        <v/>
      </c>
      <c r="S493" t="str">
        <f>IF(MSE成绩库!C493="","", MSE成绩库!U493)</f>
        <v/>
      </c>
      <c r="T493" t="str">
        <f>IF(MSE成绩库!C493="","", MSE成绩库!V493)</f>
        <v/>
      </c>
      <c r="U493" t="str">
        <f>IF(MSE成绩库!C493="","", MSE成绩库!X493)</f>
        <v/>
      </c>
      <c r="V493" t="str">
        <f>IF(MSE成绩库!C493="","", MSE成绩库!Y493)</f>
        <v/>
      </c>
      <c r="W493" t="str">
        <f>IF(MSE成绩库!C493="","", MSE成绩库!Z493)</f>
        <v/>
      </c>
      <c r="X493" t="str">
        <f>IF(MSE成绩库!C493="","", MSE成绩库!AA493)</f>
        <v/>
      </c>
      <c r="Y493" t="str">
        <f>IF(MSE成绩库!C493="","", MSE成绩库!AB493)</f>
        <v/>
      </c>
      <c r="Z493" t="str">
        <f>IF(MSE成绩库!C493="","", MSE成绩库!AC493)</f>
        <v/>
      </c>
    </row>
    <row r="494" spans="1:26" x14ac:dyDescent="0.2">
      <c r="A494" t="str">
        <f>IF(MSE成绩库!C494="","", MSE成绩库!C494)</f>
        <v/>
      </c>
      <c r="B494" t="str">
        <f>IF(MSE成绩库!AD494="","", MSE成绩库!AD494)</f>
        <v/>
      </c>
      <c r="C494" t="str">
        <f>IF(MSE成绩库!B494="","", MSE成绩库!B494)</f>
        <v/>
      </c>
      <c r="D494" t="str">
        <f>IF(MSE成绩库!D494="","", MSE成绩库!D494)</f>
        <v/>
      </c>
      <c r="E494" t="str">
        <f>IF(MSE成绩库!C494="","", MSE成绩库!E494)</f>
        <v/>
      </c>
      <c r="F494" t="str">
        <f>IF(MSE成绩库!C494="","", MSE成绩库!F494)</f>
        <v/>
      </c>
      <c r="G494" t="str">
        <f>IF(MSE成绩库!C494="","", MSE成绩库!G494)</f>
        <v/>
      </c>
      <c r="H494" t="str">
        <f>IF(MSE成绩库!C494="","", MSE成绩库!H494)</f>
        <v/>
      </c>
      <c r="I494" t="str">
        <f>IF(MSE成绩库!C494="","", MSE成绩库!I494)</f>
        <v/>
      </c>
      <c r="J494" t="str">
        <f>IF(MSE成绩库!C494="","", MSE成绩库!J494)</f>
        <v/>
      </c>
      <c r="K494" t="str">
        <f>IF(MSE成绩库!C494="","", MSE成绩库!K494)</f>
        <v/>
      </c>
      <c r="L494" t="str">
        <f>IF(MSE成绩库!C494="","", MSE成绩库!M494)</f>
        <v/>
      </c>
      <c r="M494" t="str">
        <f>IF(MSE成绩库!C494="","", MSE成绩库!N494)</f>
        <v/>
      </c>
      <c r="N494" t="str">
        <f>IF(MSE成绩库!C494="","", MSE成绩库!O494)</f>
        <v/>
      </c>
      <c r="O494" t="str">
        <f>IF(MSE成绩库!C494="","", MSE成绩库!Q494)</f>
        <v/>
      </c>
      <c r="P494" t="str">
        <f>IF(MSE成绩库!C494="","", MSE成绩库!R494)</f>
        <v/>
      </c>
      <c r="Q494" t="str">
        <f>IF(MSE成绩库!C494="","", MSE成绩库!S494)</f>
        <v/>
      </c>
      <c r="R494" t="str">
        <f>IF(MSE成绩库!C494="","", MSE成绩库!T494)</f>
        <v/>
      </c>
      <c r="S494" t="str">
        <f>IF(MSE成绩库!C494="","", MSE成绩库!U494)</f>
        <v/>
      </c>
      <c r="T494" t="str">
        <f>IF(MSE成绩库!C494="","", MSE成绩库!V494)</f>
        <v/>
      </c>
      <c r="U494" t="str">
        <f>IF(MSE成绩库!C494="","", MSE成绩库!X494)</f>
        <v/>
      </c>
      <c r="V494" t="str">
        <f>IF(MSE成绩库!C494="","", MSE成绩库!Y494)</f>
        <v/>
      </c>
      <c r="W494" t="str">
        <f>IF(MSE成绩库!C494="","", MSE成绩库!Z494)</f>
        <v/>
      </c>
      <c r="X494" t="str">
        <f>IF(MSE成绩库!C494="","", MSE成绩库!AA494)</f>
        <v/>
      </c>
      <c r="Y494" t="str">
        <f>IF(MSE成绩库!C494="","", MSE成绩库!AB494)</f>
        <v/>
      </c>
      <c r="Z494" t="str">
        <f>IF(MSE成绩库!C494="","", MSE成绩库!AC494)</f>
        <v/>
      </c>
    </row>
    <row r="495" spans="1:26" x14ac:dyDescent="0.2">
      <c r="A495" t="str">
        <f>IF(MSE成绩库!C495="","", MSE成绩库!C495)</f>
        <v/>
      </c>
      <c r="B495" t="str">
        <f>IF(MSE成绩库!AD495="","", MSE成绩库!AD495)</f>
        <v/>
      </c>
      <c r="C495" t="str">
        <f>IF(MSE成绩库!B495="","", MSE成绩库!B495)</f>
        <v/>
      </c>
      <c r="D495" t="str">
        <f>IF(MSE成绩库!D495="","", MSE成绩库!D495)</f>
        <v/>
      </c>
      <c r="E495" t="str">
        <f>IF(MSE成绩库!C495="","", MSE成绩库!E495)</f>
        <v/>
      </c>
      <c r="F495" t="str">
        <f>IF(MSE成绩库!C495="","", MSE成绩库!F495)</f>
        <v/>
      </c>
      <c r="G495" t="str">
        <f>IF(MSE成绩库!C495="","", MSE成绩库!G495)</f>
        <v/>
      </c>
      <c r="H495" t="str">
        <f>IF(MSE成绩库!C495="","", MSE成绩库!H495)</f>
        <v/>
      </c>
      <c r="I495" t="str">
        <f>IF(MSE成绩库!C495="","", MSE成绩库!I495)</f>
        <v/>
      </c>
      <c r="J495" t="str">
        <f>IF(MSE成绩库!C495="","", MSE成绩库!J495)</f>
        <v/>
      </c>
      <c r="K495" t="str">
        <f>IF(MSE成绩库!C495="","", MSE成绩库!K495)</f>
        <v/>
      </c>
      <c r="L495" t="str">
        <f>IF(MSE成绩库!C495="","", MSE成绩库!M495)</f>
        <v/>
      </c>
      <c r="M495" t="str">
        <f>IF(MSE成绩库!C495="","", MSE成绩库!N495)</f>
        <v/>
      </c>
      <c r="N495" t="str">
        <f>IF(MSE成绩库!C495="","", MSE成绩库!O495)</f>
        <v/>
      </c>
      <c r="O495" t="str">
        <f>IF(MSE成绩库!C495="","", MSE成绩库!Q495)</f>
        <v/>
      </c>
      <c r="P495" t="str">
        <f>IF(MSE成绩库!C495="","", MSE成绩库!R495)</f>
        <v/>
      </c>
      <c r="Q495" t="str">
        <f>IF(MSE成绩库!C495="","", MSE成绩库!S495)</f>
        <v/>
      </c>
      <c r="R495" t="str">
        <f>IF(MSE成绩库!C495="","", MSE成绩库!T495)</f>
        <v/>
      </c>
      <c r="S495" t="str">
        <f>IF(MSE成绩库!C495="","", MSE成绩库!U495)</f>
        <v/>
      </c>
      <c r="T495" t="str">
        <f>IF(MSE成绩库!C495="","", MSE成绩库!V495)</f>
        <v/>
      </c>
      <c r="U495" t="str">
        <f>IF(MSE成绩库!C495="","", MSE成绩库!X495)</f>
        <v/>
      </c>
      <c r="V495" t="str">
        <f>IF(MSE成绩库!C495="","", MSE成绩库!Y495)</f>
        <v/>
      </c>
      <c r="W495" t="str">
        <f>IF(MSE成绩库!C495="","", MSE成绩库!Z495)</f>
        <v/>
      </c>
      <c r="X495" t="str">
        <f>IF(MSE成绩库!C495="","", MSE成绩库!AA495)</f>
        <v/>
      </c>
      <c r="Y495" t="str">
        <f>IF(MSE成绩库!C495="","", MSE成绩库!AB495)</f>
        <v/>
      </c>
      <c r="Z495" t="str">
        <f>IF(MSE成绩库!C495="","", MSE成绩库!AC495)</f>
        <v/>
      </c>
    </row>
    <row r="496" spans="1:26" x14ac:dyDescent="0.2">
      <c r="A496" t="str">
        <f>IF(MSE成绩库!C496="","", MSE成绩库!C496)</f>
        <v/>
      </c>
      <c r="B496" t="str">
        <f>IF(MSE成绩库!AD496="","", MSE成绩库!AD496)</f>
        <v/>
      </c>
      <c r="C496" t="str">
        <f>IF(MSE成绩库!B496="","", MSE成绩库!B496)</f>
        <v/>
      </c>
      <c r="D496" t="str">
        <f>IF(MSE成绩库!D496="","", MSE成绩库!D496)</f>
        <v/>
      </c>
      <c r="E496" t="str">
        <f>IF(MSE成绩库!C496="","", MSE成绩库!E496)</f>
        <v/>
      </c>
      <c r="F496" t="str">
        <f>IF(MSE成绩库!C496="","", MSE成绩库!F496)</f>
        <v/>
      </c>
      <c r="G496" t="str">
        <f>IF(MSE成绩库!C496="","", MSE成绩库!G496)</f>
        <v/>
      </c>
      <c r="H496" t="str">
        <f>IF(MSE成绩库!C496="","", MSE成绩库!H496)</f>
        <v/>
      </c>
      <c r="I496" t="str">
        <f>IF(MSE成绩库!C496="","", MSE成绩库!I496)</f>
        <v/>
      </c>
      <c r="J496" t="str">
        <f>IF(MSE成绩库!C496="","", MSE成绩库!J496)</f>
        <v/>
      </c>
      <c r="K496" t="str">
        <f>IF(MSE成绩库!C496="","", MSE成绩库!K496)</f>
        <v/>
      </c>
      <c r="L496" t="str">
        <f>IF(MSE成绩库!C496="","", MSE成绩库!M496)</f>
        <v/>
      </c>
      <c r="M496" t="str">
        <f>IF(MSE成绩库!C496="","", MSE成绩库!N496)</f>
        <v/>
      </c>
      <c r="N496" t="str">
        <f>IF(MSE成绩库!C496="","", MSE成绩库!O496)</f>
        <v/>
      </c>
      <c r="O496" t="str">
        <f>IF(MSE成绩库!C496="","", MSE成绩库!Q496)</f>
        <v/>
      </c>
      <c r="P496" t="str">
        <f>IF(MSE成绩库!C496="","", MSE成绩库!R496)</f>
        <v/>
      </c>
      <c r="Q496" t="str">
        <f>IF(MSE成绩库!C496="","", MSE成绩库!S496)</f>
        <v/>
      </c>
      <c r="R496" t="str">
        <f>IF(MSE成绩库!C496="","", MSE成绩库!T496)</f>
        <v/>
      </c>
      <c r="S496" t="str">
        <f>IF(MSE成绩库!C496="","", MSE成绩库!U496)</f>
        <v/>
      </c>
      <c r="T496" t="str">
        <f>IF(MSE成绩库!C496="","", MSE成绩库!V496)</f>
        <v/>
      </c>
      <c r="U496" t="str">
        <f>IF(MSE成绩库!C496="","", MSE成绩库!X496)</f>
        <v/>
      </c>
      <c r="V496" t="str">
        <f>IF(MSE成绩库!C496="","", MSE成绩库!Y496)</f>
        <v/>
      </c>
      <c r="W496" t="str">
        <f>IF(MSE成绩库!C496="","", MSE成绩库!Z496)</f>
        <v/>
      </c>
      <c r="X496" t="str">
        <f>IF(MSE成绩库!C496="","", MSE成绩库!AA496)</f>
        <v/>
      </c>
      <c r="Y496" t="str">
        <f>IF(MSE成绩库!C496="","", MSE成绩库!AB496)</f>
        <v/>
      </c>
      <c r="Z496" t="str">
        <f>IF(MSE成绩库!C496="","", MSE成绩库!AC496)</f>
        <v/>
      </c>
    </row>
    <row r="497" spans="1:26" x14ac:dyDescent="0.2">
      <c r="A497" t="str">
        <f>IF(MSE成绩库!C497="","", MSE成绩库!C497)</f>
        <v/>
      </c>
      <c r="B497" t="str">
        <f>IF(MSE成绩库!AD497="","", MSE成绩库!AD497)</f>
        <v/>
      </c>
      <c r="C497" t="str">
        <f>IF(MSE成绩库!B497="","", MSE成绩库!B497)</f>
        <v/>
      </c>
      <c r="D497" t="str">
        <f>IF(MSE成绩库!D497="","", MSE成绩库!D497)</f>
        <v/>
      </c>
      <c r="E497" t="str">
        <f>IF(MSE成绩库!C497="","", MSE成绩库!E497)</f>
        <v/>
      </c>
      <c r="F497" t="str">
        <f>IF(MSE成绩库!C497="","", MSE成绩库!F497)</f>
        <v/>
      </c>
      <c r="G497" t="str">
        <f>IF(MSE成绩库!C497="","", MSE成绩库!G497)</f>
        <v/>
      </c>
      <c r="H497" t="str">
        <f>IF(MSE成绩库!C497="","", MSE成绩库!H497)</f>
        <v/>
      </c>
      <c r="I497" t="str">
        <f>IF(MSE成绩库!C497="","", MSE成绩库!I497)</f>
        <v/>
      </c>
      <c r="J497" t="str">
        <f>IF(MSE成绩库!C497="","", MSE成绩库!J497)</f>
        <v/>
      </c>
      <c r="K497" t="str">
        <f>IF(MSE成绩库!C497="","", MSE成绩库!K497)</f>
        <v/>
      </c>
      <c r="L497" t="str">
        <f>IF(MSE成绩库!C497="","", MSE成绩库!M497)</f>
        <v/>
      </c>
      <c r="M497" t="str">
        <f>IF(MSE成绩库!C497="","", MSE成绩库!N497)</f>
        <v/>
      </c>
      <c r="N497" t="str">
        <f>IF(MSE成绩库!C497="","", MSE成绩库!O497)</f>
        <v/>
      </c>
      <c r="O497" t="str">
        <f>IF(MSE成绩库!C497="","", MSE成绩库!Q497)</f>
        <v/>
      </c>
      <c r="P497" t="str">
        <f>IF(MSE成绩库!C497="","", MSE成绩库!R497)</f>
        <v/>
      </c>
      <c r="Q497" t="str">
        <f>IF(MSE成绩库!C497="","", MSE成绩库!S497)</f>
        <v/>
      </c>
      <c r="R497" t="str">
        <f>IF(MSE成绩库!C497="","", MSE成绩库!T497)</f>
        <v/>
      </c>
      <c r="S497" t="str">
        <f>IF(MSE成绩库!C497="","", MSE成绩库!U497)</f>
        <v/>
      </c>
      <c r="T497" t="str">
        <f>IF(MSE成绩库!C497="","", MSE成绩库!V497)</f>
        <v/>
      </c>
      <c r="U497" t="str">
        <f>IF(MSE成绩库!C497="","", MSE成绩库!X497)</f>
        <v/>
      </c>
      <c r="V497" t="str">
        <f>IF(MSE成绩库!C497="","", MSE成绩库!Y497)</f>
        <v/>
      </c>
      <c r="W497" t="str">
        <f>IF(MSE成绩库!C497="","", MSE成绩库!Z497)</f>
        <v/>
      </c>
      <c r="X497" t="str">
        <f>IF(MSE成绩库!C497="","", MSE成绩库!AA497)</f>
        <v/>
      </c>
      <c r="Y497" t="str">
        <f>IF(MSE成绩库!C497="","", MSE成绩库!AB497)</f>
        <v/>
      </c>
      <c r="Z497" t="str">
        <f>IF(MSE成绩库!C497="","", MSE成绩库!AC497)</f>
        <v/>
      </c>
    </row>
    <row r="498" spans="1:26" x14ac:dyDescent="0.2">
      <c r="A498" t="str">
        <f>IF(MSE成绩库!C498="","", MSE成绩库!C498)</f>
        <v/>
      </c>
      <c r="B498" t="str">
        <f>IF(MSE成绩库!AD498="","", MSE成绩库!AD498)</f>
        <v/>
      </c>
      <c r="C498" t="str">
        <f>IF(MSE成绩库!B498="","", MSE成绩库!B498)</f>
        <v/>
      </c>
      <c r="D498" t="str">
        <f>IF(MSE成绩库!D498="","", MSE成绩库!D498)</f>
        <v/>
      </c>
      <c r="E498" t="str">
        <f>IF(MSE成绩库!C498="","", MSE成绩库!E498)</f>
        <v/>
      </c>
      <c r="F498" t="str">
        <f>IF(MSE成绩库!C498="","", MSE成绩库!F498)</f>
        <v/>
      </c>
      <c r="G498" t="str">
        <f>IF(MSE成绩库!C498="","", MSE成绩库!G498)</f>
        <v/>
      </c>
      <c r="H498" t="str">
        <f>IF(MSE成绩库!C498="","", MSE成绩库!H498)</f>
        <v/>
      </c>
      <c r="I498" t="str">
        <f>IF(MSE成绩库!C498="","", MSE成绩库!I498)</f>
        <v/>
      </c>
      <c r="J498" t="str">
        <f>IF(MSE成绩库!C498="","", MSE成绩库!J498)</f>
        <v/>
      </c>
      <c r="K498" t="str">
        <f>IF(MSE成绩库!C498="","", MSE成绩库!K498)</f>
        <v/>
      </c>
      <c r="L498" t="str">
        <f>IF(MSE成绩库!C498="","", MSE成绩库!M498)</f>
        <v/>
      </c>
      <c r="M498" t="str">
        <f>IF(MSE成绩库!C498="","", MSE成绩库!N498)</f>
        <v/>
      </c>
      <c r="N498" t="str">
        <f>IF(MSE成绩库!C498="","", MSE成绩库!O498)</f>
        <v/>
      </c>
      <c r="O498" t="str">
        <f>IF(MSE成绩库!C498="","", MSE成绩库!Q498)</f>
        <v/>
      </c>
      <c r="P498" t="str">
        <f>IF(MSE成绩库!C498="","", MSE成绩库!R498)</f>
        <v/>
      </c>
      <c r="Q498" t="str">
        <f>IF(MSE成绩库!C498="","", MSE成绩库!S498)</f>
        <v/>
      </c>
      <c r="R498" t="str">
        <f>IF(MSE成绩库!C498="","", MSE成绩库!T498)</f>
        <v/>
      </c>
      <c r="S498" t="str">
        <f>IF(MSE成绩库!C498="","", MSE成绩库!U498)</f>
        <v/>
      </c>
      <c r="T498" t="str">
        <f>IF(MSE成绩库!C498="","", MSE成绩库!V498)</f>
        <v/>
      </c>
      <c r="U498" t="str">
        <f>IF(MSE成绩库!C498="","", MSE成绩库!X498)</f>
        <v/>
      </c>
      <c r="V498" t="str">
        <f>IF(MSE成绩库!C498="","", MSE成绩库!Y498)</f>
        <v/>
      </c>
      <c r="W498" t="str">
        <f>IF(MSE成绩库!C498="","", MSE成绩库!Z498)</f>
        <v/>
      </c>
      <c r="X498" t="str">
        <f>IF(MSE成绩库!C498="","", MSE成绩库!AA498)</f>
        <v/>
      </c>
      <c r="Y498" t="str">
        <f>IF(MSE成绩库!C498="","", MSE成绩库!AB498)</f>
        <v/>
      </c>
      <c r="Z498" t="str">
        <f>IF(MSE成绩库!C498="","", MSE成绩库!AC498)</f>
        <v/>
      </c>
    </row>
    <row r="499" spans="1:26" x14ac:dyDescent="0.2">
      <c r="A499" t="str">
        <f>IF(MSE成绩库!C499="","", MSE成绩库!C499)</f>
        <v/>
      </c>
      <c r="B499" t="str">
        <f>IF(MSE成绩库!AD499="","", MSE成绩库!AD499)</f>
        <v/>
      </c>
      <c r="C499" t="str">
        <f>IF(MSE成绩库!B499="","", MSE成绩库!B499)</f>
        <v/>
      </c>
      <c r="D499" t="str">
        <f>IF(MSE成绩库!D499="","", MSE成绩库!D499)</f>
        <v/>
      </c>
      <c r="E499" t="str">
        <f>IF(MSE成绩库!C499="","", MSE成绩库!E499)</f>
        <v/>
      </c>
      <c r="F499" t="str">
        <f>IF(MSE成绩库!C499="","", MSE成绩库!F499)</f>
        <v/>
      </c>
      <c r="G499" t="str">
        <f>IF(MSE成绩库!C499="","", MSE成绩库!G499)</f>
        <v/>
      </c>
      <c r="H499" t="str">
        <f>IF(MSE成绩库!C499="","", MSE成绩库!H499)</f>
        <v/>
      </c>
      <c r="I499" t="str">
        <f>IF(MSE成绩库!C499="","", MSE成绩库!I499)</f>
        <v/>
      </c>
      <c r="J499" t="str">
        <f>IF(MSE成绩库!C499="","", MSE成绩库!J499)</f>
        <v/>
      </c>
      <c r="K499" t="str">
        <f>IF(MSE成绩库!C499="","", MSE成绩库!K499)</f>
        <v/>
      </c>
      <c r="L499" t="str">
        <f>IF(MSE成绩库!C499="","", MSE成绩库!M499)</f>
        <v/>
      </c>
      <c r="M499" t="str">
        <f>IF(MSE成绩库!C499="","", MSE成绩库!N499)</f>
        <v/>
      </c>
      <c r="N499" t="str">
        <f>IF(MSE成绩库!C499="","", MSE成绩库!O499)</f>
        <v/>
      </c>
      <c r="O499" t="str">
        <f>IF(MSE成绩库!C499="","", MSE成绩库!Q499)</f>
        <v/>
      </c>
      <c r="P499" t="str">
        <f>IF(MSE成绩库!C499="","", MSE成绩库!R499)</f>
        <v/>
      </c>
      <c r="Q499" t="str">
        <f>IF(MSE成绩库!C499="","", MSE成绩库!S499)</f>
        <v/>
      </c>
      <c r="R499" t="str">
        <f>IF(MSE成绩库!C499="","", MSE成绩库!T499)</f>
        <v/>
      </c>
      <c r="S499" t="str">
        <f>IF(MSE成绩库!C499="","", MSE成绩库!U499)</f>
        <v/>
      </c>
      <c r="T499" t="str">
        <f>IF(MSE成绩库!C499="","", MSE成绩库!V499)</f>
        <v/>
      </c>
      <c r="U499" t="str">
        <f>IF(MSE成绩库!C499="","", MSE成绩库!X499)</f>
        <v/>
      </c>
      <c r="V499" t="str">
        <f>IF(MSE成绩库!C499="","", MSE成绩库!Y499)</f>
        <v/>
      </c>
      <c r="W499" t="str">
        <f>IF(MSE成绩库!C499="","", MSE成绩库!Z499)</f>
        <v/>
      </c>
      <c r="X499" t="str">
        <f>IF(MSE成绩库!C499="","", MSE成绩库!AA499)</f>
        <v/>
      </c>
      <c r="Y499" t="str">
        <f>IF(MSE成绩库!C499="","", MSE成绩库!AB499)</f>
        <v/>
      </c>
      <c r="Z499" t="str">
        <f>IF(MSE成绩库!C499="","", MSE成绩库!AC499)</f>
        <v/>
      </c>
    </row>
    <row r="500" spans="1:26" x14ac:dyDescent="0.2">
      <c r="A500" t="str">
        <f>IF(MSE成绩库!C500="","", MSE成绩库!C500)</f>
        <v/>
      </c>
      <c r="B500" t="str">
        <f>IF(MSE成绩库!AD500="","", MSE成绩库!AD500)</f>
        <v/>
      </c>
      <c r="C500" t="str">
        <f>IF(MSE成绩库!B500="","", MSE成绩库!B500)</f>
        <v/>
      </c>
      <c r="D500" t="str">
        <f>IF(MSE成绩库!D500="","", MSE成绩库!D500)</f>
        <v/>
      </c>
      <c r="E500" t="str">
        <f>IF(MSE成绩库!C500="","", MSE成绩库!E500)</f>
        <v/>
      </c>
      <c r="F500" t="str">
        <f>IF(MSE成绩库!C500="","", MSE成绩库!F500)</f>
        <v/>
      </c>
      <c r="G500" t="str">
        <f>IF(MSE成绩库!C500="","", MSE成绩库!G500)</f>
        <v/>
      </c>
      <c r="H500" t="str">
        <f>IF(MSE成绩库!C500="","", MSE成绩库!H500)</f>
        <v/>
      </c>
      <c r="I500" t="str">
        <f>IF(MSE成绩库!C500="","", MSE成绩库!I500)</f>
        <v/>
      </c>
      <c r="J500" t="str">
        <f>IF(MSE成绩库!C500="","", MSE成绩库!J500)</f>
        <v/>
      </c>
      <c r="K500" t="str">
        <f>IF(MSE成绩库!C500="","", MSE成绩库!K500)</f>
        <v/>
      </c>
      <c r="L500" t="str">
        <f>IF(MSE成绩库!C500="","", MSE成绩库!M500)</f>
        <v/>
      </c>
      <c r="M500" t="str">
        <f>IF(MSE成绩库!C500="","", MSE成绩库!N500)</f>
        <v/>
      </c>
      <c r="N500" t="str">
        <f>IF(MSE成绩库!C500="","", MSE成绩库!O500)</f>
        <v/>
      </c>
      <c r="O500" t="str">
        <f>IF(MSE成绩库!C500="","", MSE成绩库!Q500)</f>
        <v/>
      </c>
      <c r="P500" t="str">
        <f>IF(MSE成绩库!C500="","", MSE成绩库!R500)</f>
        <v/>
      </c>
      <c r="Q500" t="str">
        <f>IF(MSE成绩库!C500="","", MSE成绩库!S500)</f>
        <v/>
      </c>
      <c r="R500" t="str">
        <f>IF(MSE成绩库!C500="","", MSE成绩库!T500)</f>
        <v/>
      </c>
      <c r="S500" t="str">
        <f>IF(MSE成绩库!C500="","", MSE成绩库!U500)</f>
        <v/>
      </c>
      <c r="T500" t="str">
        <f>IF(MSE成绩库!C500="","", MSE成绩库!V500)</f>
        <v/>
      </c>
      <c r="U500" t="str">
        <f>IF(MSE成绩库!C500="","", MSE成绩库!X500)</f>
        <v/>
      </c>
      <c r="V500" t="str">
        <f>IF(MSE成绩库!C500="","", MSE成绩库!Y500)</f>
        <v/>
      </c>
      <c r="W500" t="str">
        <f>IF(MSE成绩库!C500="","", MSE成绩库!Z500)</f>
        <v/>
      </c>
      <c r="X500" t="str">
        <f>IF(MSE成绩库!C500="","", MSE成绩库!AA500)</f>
        <v/>
      </c>
      <c r="Y500" t="str">
        <f>IF(MSE成绩库!C500="","", MSE成绩库!AB500)</f>
        <v/>
      </c>
      <c r="Z500" t="str">
        <f>IF(MSE成绩库!C500="","", MSE成绩库!AC500)</f>
        <v/>
      </c>
    </row>
    <row r="501" spans="1:26" x14ac:dyDescent="0.2">
      <c r="A501" t="str">
        <f>IF(MSE成绩库!C501="","", MSE成绩库!C501)</f>
        <v/>
      </c>
      <c r="B501" t="str">
        <f>IF(MSE成绩库!AD501="","", MSE成绩库!AD501)</f>
        <v/>
      </c>
      <c r="C501" t="str">
        <f>IF(MSE成绩库!B501="","", MSE成绩库!B501)</f>
        <v/>
      </c>
      <c r="D501" t="str">
        <f>IF(MSE成绩库!D501="","", MSE成绩库!D501)</f>
        <v/>
      </c>
      <c r="E501" t="str">
        <f>IF(MSE成绩库!C501="","", MSE成绩库!E501)</f>
        <v/>
      </c>
      <c r="F501" t="str">
        <f>IF(MSE成绩库!C501="","", MSE成绩库!F501)</f>
        <v/>
      </c>
      <c r="G501" t="str">
        <f>IF(MSE成绩库!C501="","", MSE成绩库!G501)</f>
        <v/>
      </c>
      <c r="H501" t="str">
        <f>IF(MSE成绩库!C501="","", MSE成绩库!H501)</f>
        <v/>
      </c>
      <c r="I501" t="str">
        <f>IF(MSE成绩库!C501="","", MSE成绩库!I501)</f>
        <v/>
      </c>
      <c r="J501" t="str">
        <f>IF(MSE成绩库!C501="","", MSE成绩库!J501)</f>
        <v/>
      </c>
      <c r="K501" t="str">
        <f>IF(MSE成绩库!C501="","", MSE成绩库!K501)</f>
        <v/>
      </c>
      <c r="L501" t="str">
        <f>IF(MSE成绩库!C501="","", MSE成绩库!M501)</f>
        <v/>
      </c>
      <c r="M501" t="str">
        <f>IF(MSE成绩库!C501="","", MSE成绩库!N501)</f>
        <v/>
      </c>
      <c r="N501" t="str">
        <f>IF(MSE成绩库!C501="","", MSE成绩库!O501)</f>
        <v/>
      </c>
      <c r="O501" t="str">
        <f>IF(MSE成绩库!C501="","", MSE成绩库!Q501)</f>
        <v/>
      </c>
      <c r="P501" t="str">
        <f>IF(MSE成绩库!C501="","", MSE成绩库!R501)</f>
        <v/>
      </c>
      <c r="Q501" t="str">
        <f>IF(MSE成绩库!C501="","", MSE成绩库!S501)</f>
        <v/>
      </c>
      <c r="R501" t="str">
        <f>IF(MSE成绩库!C501="","", MSE成绩库!T501)</f>
        <v/>
      </c>
      <c r="S501" t="str">
        <f>IF(MSE成绩库!C501="","", MSE成绩库!U501)</f>
        <v/>
      </c>
      <c r="T501" t="str">
        <f>IF(MSE成绩库!C501="","", MSE成绩库!V501)</f>
        <v/>
      </c>
      <c r="U501" t="str">
        <f>IF(MSE成绩库!C501="","", MSE成绩库!X501)</f>
        <v/>
      </c>
      <c r="V501" t="str">
        <f>IF(MSE成绩库!C501="","", MSE成绩库!Y501)</f>
        <v/>
      </c>
      <c r="W501" t="str">
        <f>IF(MSE成绩库!C501="","", MSE成绩库!Z501)</f>
        <v/>
      </c>
      <c r="X501" t="str">
        <f>IF(MSE成绩库!C501="","", MSE成绩库!AA501)</f>
        <v/>
      </c>
      <c r="Y501" t="str">
        <f>IF(MSE成绩库!C501="","", MSE成绩库!AB501)</f>
        <v/>
      </c>
      <c r="Z501" t="str">
        <f>IF(MSE成绩库!C501="","", MSE成绩库!AC501)</f>
        <v/>
      </c>
    </row>
    <row r="502" spans="1:26" x14ac:dyDescent="0.2">
      <c r="A502" t="str">
        <f>IF(YLE成绩库!C2="","", YLE成绩库!C2)</f>
        <v>何灼灼 Carmen He</v>
      </c>
      <c r="B502" t="str">
        <f>IF(YLE成绩库!AB2="","", YLE成绩库!AB2)</f>
        <v>2024-01-15</v>
      </c>
      <c r="C502" t="str">
        <f>IF(YLE成绩库!B2="","", YLE成绩库!B2)</f>
        <v>B1</v>
      </c>
      <c r="D502" t="str">
        <f>IF(YLE成绩库!D2="","", YLE成绩库!D2)</f>
        <v>Flyers</v>
      </c>
      <c r="E502">
        <f>IF(YLE成绩库!C2="","", YLE成绩库!L2)</f>
        <v>0</v>
      </c>
      <c r="F502">
        <f>IF(YLE成绩库!C2="","", YLE成绩库!M2)</f>
        <v>8</v>
      </c>
      <c r="G502">
        <f>IF(YLE成绩库!C2="","", YLE成绩库!N2)</f>
        <v>2</v>
      </c>
      <c r="H502">
        <f>IF(YLE成绩库!C2="","", YLE成绩库!O2)</f>
        <v>6</v>
      </c>
      <c r="I502">
        <f>IF(YLE成绩库!C2="","", YLE成绩库!P2)</f>
        <v>6</v>
      </c>
      <c r="J502">
        <f>IF(YLE成绩库!C2="","", YLE成绩库!Q2)</f>
        <v>4</v>
      </c>
      <c r="K502">
        <f>IF(YLE成绩库!C2="","", YLE成绩库!R2)</f>
        <v>0</v>
      </c>
      <c r="L502">
        <f>IF(YLE成绩库!C2="","", YLE成绩库!U2)</f>
        <v>3</v>
      </c>
      <c r="M502">
        <v>0</v>
      </c>
      <c r="N502">
        <v>0</v>
      </c>
      <c r="O502">
        <v>0</v>
      </c>
      <c r="P502" t="str">
        <f>IF(YLE成绩库!C2="","", YLE成绩库!D2)</f>
        <v>Flyers</v>
      </c>
      <c r="Q502">
        <f>IF(YLE成绩库!C2="","", YLE成绩库!E2)</f>
        <v>4</v>
      </c>
      <c r="R502">
        <f>IF(YLE成绩库!C2="","", YLE成绩库!F2)</f>
        <v>2</v>
      </c>
      <c r="S502">
        <f>IF(YLE成绩库!C2="","", YLE成绩库!G2)</f>
        <v>5</v>
      </c>
      <c r="T502">
        <f>IF(YLE成绩库!C2="","", YLE成绩库!H2)</f>
        <v>5</v>
      </c>
      <c r="U502">
        <f>IF(YLE成绩库!C2="","", YLE成绩库!K2)</f>
        <v>5</v>
      </c>
      <c r="V502">
        <f>IF(YLE成绩库!C2="","", YLE成绩库!W2)</f>
        <v>8</v>
      </c>
      <c r="W502">
        <f>IF(YLE成绩库!C2="","", YLE成绩库!X2)</f>
        <v>0</v>
      </c>
      <c r="X502" t="str">
        <f>IF(YLE成绩库!C2="","", YLE成绩库!AA2)</f>
        <v>⚠️ 薄弱环节: RW-Pt6
📉 考察能力: [读写] 完形填空 (无选项)
💡 提升建议: 类似于Part 4，但通常考察更具功能性的语法点。</v>
      </c>
      <c r="Z502" t="str">
        <f>IF(YLE成绩库!C2="","", YLE成绩库!Z2)</f>
        <v>🎉 表现优异，无明显弱项！</v>
      </c>
    </row>
    <row r="503" spans="1:26" x14ac:dyDescent="0.2">
      <c r="A503" t="str">
        <f>IF(YLE成绩库!C3="","", YLE成绩库!C3)</f>
        <v>庄婧妍 Jessie Zhuang</v>
      </c>
      <c r="B503" t="str">
        <f>IF(YLE成绩库!AB3="","", YLE成绩库!AB3)</f>
        <v>2024-01-15</v>
      </c>
      <c r="C503" t="str">
        <f>IF(YLE成绩库!B3="","", YLE成绩库!B3)</f>
        <v>B1</v>
      </c>
      <c r="D503" t="str">
        <f>IF(YLE成绩库!D3="","", YLE成绩库!D3)</f>
        <v>Flyers</v>
      </c>
      <c r="E503">
        <f>IF(YLE成绩库!C3="","", YLE成绩库!L3)</f>
        <v>0</v>
      </c>
      <c r="F503">
        <f>IF(YLE成绩库!C3="","", YLE成绩库!M3)</f>
        <v>7</v>
      </c>
      <c r="G503">
        <f>IF(YLE成绩库!C3="","", YLE成绩库!N3)</f>
        <v>2</v>
      </c>
      <c r="H503">
        <f>IF(YLE成绩库!C3="","", YLE成绩库!O3)</f>
        <v>3</v>
      </c>
      <c r="I503">
        <f>IF(YLE成绩库!C3="","", YLE成绩库!P3)</f>
        <v>7</v>
      </c>
      <c r="J503">
        <f>IF(YLE成绩库!C3="","", YLE成绩库!Q3)</f>
        <v>4</v>
      </c>
      <c r="K503">
        <f>IF(YLE成绩库!C3="","", YLE成绩库!R3)</f>
        <v>1</v>
      </c>
      <c r="L503">
        <f>IF(YLE成绩库!C3="","", YLE成绩库!U3)</f>
        <v>3</v>
      </c>
      <c r="M503">
        <v>0</v>
      </c>
      <c r="N503">
        <v>0</v>
      </c>
      <c r="O503">
        <v>0</v>
      </c>
      <c r="P503" t="str">
        <f>IF(YLE成绩库!C3="","", YLE成绩库!D3)</f>
        <v>Flyers</v>
      </c>
      <c r="Q503">
        <f>IF(YLE成绩库!C3="","", YLE成绩库!E3)</f>
        <v>4</v>
      </c>
      <c r="R503">
        <f>IF(YLE成绩库!C3="","", YLE成绩库!F3)</f>
        <v>1</v>
      </c>
      <c r="S503">
        <f>IF(YLE成绩库!C3="","", YLE成绩库!G3)</f>
        <v>4</v>
      </c>
      <c r="T503">
        <f>IF(YLE成绩库!C3="","", YLE成绩库!H3)</f>
        <v>4</v>
      </c>
      <c r="U503">
        <f>IF(YLE成绩库!C3="","", YLE成绩库!K3)</f>
        <v>4</v>
      </c>
      <c r="V503">
        <f>IF(YLE成绩库!C3="","", YLE成绩库!W3)</f>
        <v>7</v>
      </c>
      <c r="W503">
        <f>IF(YLE成绩库!C3="","", YLE成绩库!X3)</f>
        <v>0</v>
      </c>
      <c r="X503" t="str">
        <f>IF(YLE成绩库!C3="","", YLE成绩库!AA3)</f>
        <v>⚠️ 薄弱环节: RW-Pt6
📉 考察能力: [读写] 完形填空 (无选项)
💡 提升建议: 类似于Part 4，但通常考察更具功能性的语法点。</v>
      </c>
      <c r="Z503" t="str">
        <f>IF(YLE成绩库!C3="","", YLE成绩库!Z3)</f>
        <v>🎉 表现优异，无明显弱项！</v>
      </c>
    </row>
    <row r="504" spans="1:26" x14ac:dyDescent="0.2">
      <c r="A504" t="str">
        <f>IF(YLE成绩库!C4="","", YLE成绩库!C4)</f>
        <v>庄婼棱 Doris Zhuang</v>
      </c>
      <c r="B504" t="str">
        <f>IF(YLE成绩库!AB4="","", YLE成绩库!AB4)</f>
        <v>2024-01-15</v>
      </c>
      <c r="C504" t="str">
        <f>IF(YLE成绩库!B4="","", YLE成绩库!B4)</f>
        <v>B1</v>
      </c>
      <c r="D504" t="str">
        <f>IF(YLE成绩库!D4="","", YLE成绩库!D4)</f>
        <v>Flyers</v>
      </c>
      <c r="E504">
        <f>IF(YLE成绩库!C4="","", YLE成绩库!L4)</f>
        <v>0</v>
      </c>
      <c r="F504">
        <f>IF(YLE成绩库!C4="","", YLE成绩库!M4)</f>
        <v>4</v>
      </c>
      <c r="G504">
        <f>IF(YLE成绩库!C4="","", YLE成绩库!N4)</f>
        <v>5</v>
      </c>
      <c r="H504">
        <f>IF(YLE成绩库!C4="","", YLE成绩库!O4)</f>
        <v>4</v>
      </c>
      <c r="I504">
        <f>IF(YLE成绩库!C4="","", YLE成绩库!P4)</f>
        <v>3</v>
      </c>
      <c r="J504">
        <f>IF(YLE成绩库!C4="","", YLE成绩库!Q4)</f>
        <v>1</v>
      </c>
      <c r="K504">
        <f>IF(YLE成绩库!C4="","", YLE成绩库!R4)</f>
        <v>0</v>
      </c>
      <c r="L504">
        <f>IF(YLE成绩库!C4="","", YLE成绩库!U4)</f>
        <v>2</v>
      </c>
      <c r="M504">
        <v>0</v>
      </c>
      <c r="N504">
        <v>0</v>
      </c>
      <c r="O504">
        <v>0</v>
      </c>
      <c r="P504" t="str">
        <f>IF(YLE成绩库!C4="","", YLE成绩库!D4)</f>
        <v>Flyers</v>
      </c>
      <c r="Q504">
        <f>IF(YLE成绩库!C4="","", YLE成绩库!E4)</f>
        <v>4</v>
      </c>
      <c r="R504">
        <f>IF(YLE成绩库!C4="","", YLE成绩库!F4)</f>
        <v>1</v>
      </c>
      <c r="S504">
        <f>IF(YLE成绩库!C4="","", YLE成绩库!G4)</f>
        <v>3</v>
      </c>
      <c r="T504">
        <f>IF(YLE成绩库!C4="","", YLE成绩库!H4)</f>
        <v>5</v>
      </c>
      <c r="U504">
        <f>IF(YLE成绩库!C4="","", YLE成绩库!K4)</f>
        <v>4</v>
      </c>
      <c r="V504">
        <f>IF(YLE成绩库!C4="","", YLE成绩库!W4)</f>
        <v>6</v>
      </c>
      <c r="W504">
        <f>IF(YLE成绩库!C4="","", YLE成绩库!X4)</f>
        <v>0</v>
      </c>
      <c r="X504" t="str">
        <f>IF(YLE成绩库!C4="","", YLE成绩库!AA4)</f>
        <v>⚠️ 薄弱环节: RW-Pt6
📉 考察能力: [读写] 完形填空 (无选项)
💡 提升建议: 类似于Part 4，但通常考察更具功能性的语法点。</v>
      </c>
      <c r="Z504" t="str">
        <f>IF(YLE成绩库!C4="","", YLE成绩库!Z4)</f>
        <v>🎉 表现优异，无明显弱项！</v>
      </c>
    </row>
    <row r="505" spans="1:26" x14ac:dyDescent="0.2">
      <c r="A505" t="str">
        <f>IF(YLE成绩库!C5="","", YLE成绩库!C5)</f>
        <v>徐梓怡 Kiki Xu</v>
      </c>
      <c r="B505" t="str">
        <f>IF(YLE成绩库!AB5="","", YLE成绩库!AB5)</f>
        <v>2024-01-15</v>
      </c>
      <c r="C505" t="str">
        <f>IF(YLE成绩库!B5="","", YLE成绩库!B5)</f>
        <v>B1</v>
      </c>
      <c r="D505" t="str">
        <f>IF(YLE成绩库!D5="","", YLE成绩库!D5)</f>
        <v>Flyers</v>
      </c>
      <c r="E505">
        <f>IF(YLE成绩库!C5="","", YLE成绩库!L5)</f>
        <v>0</v>
      </c>
      <c r="F505">
        <f>IF(YLE成绩库!C5="","", YLE成绩库!M5)</f>
        <v>8</v>
      </c>
      <c r="G505">
        <f>IF(YLE成绩库!C5="","", YLE成绩库!N5)</f>
        <v>2</v>
      </c>
      <c r="H505">
        <f>IF(YLE成绩库!C5="","", YLE成绩库!O5)</f>
        <v>6</v>
      </c>
      <c r="I505">
        <f>IF(YLE成绩库!C5="","", YLE成绩库!P5)</f>
        <v>8</v>
      </c>
      <c r="J505">
        <f>IF(YLE成绩库!C5="","", YLE成绩库!Q5)</f>
        <v>5</v>
      </c>
      <c r="K505">
        <f>IF(YLE成绩库!C5="","", YLE成绩库!R5)</f>
        <v>1</v>
      </c>
      <c r="L505">
        <f>IF(YLE成绩库!C5="","", YLE成绩库!U5)</f>
        <v>3</v>
      </c>
      <c r="M505">
        <v>0</v>
      </c>
      <c r="N505">
        <v>0</v>
      </c>
      <c r="O505">
        <v>0</v>
      </c>
      <c r="P505" t="str">
        <f>IF(YLE成绩库!C5="","", YLE成绩库!D5)</f>
        <v>Flyers</v>
      </c>
      <c r="Q505">
        <f>IF(YLE成绩库!C5="","", YLE成绩库!E5)</f>
        <v>5</v>
      </c>
      <c r="R505">
        <f>IF(YLE成绩库!C5="","", YLE成绩库!F5)</f>
        <v>1</v>
      </c>
      <c r="S505">
        <f>IF(YLE成绩库!C5="","", YLE成绩库!G5)</f>
        <v>2</v>
      </c>
      <c r="T505">
        <f>IF(YLE成绩库!C5="","", YLE成绩库!H5)</f>
        <v>4</v>
      </c>
      <c r="U505">
        <f>IF(YLE成绩库!C5="","", YLE成绩库!K5)</f>
        <v>3</v>
      </c>
      <c r="V505">
        <f>IF(YLE成绩库!C5="","", YLE成绩库!W5)</f>
        <v>6</v>
      </c>
      <c r="W505">
        <f>IF(YLE成绩库!C5="","", YLE成绩库!X5)</f>
        <v>0</v>
      </c>
      <c r="X505" t="str">
        <f>IF(YLE成绩库!C5="","", YLE成绩库!AA5)</f>
        <v>⚠️ 薄弱环节: RW-Pt6
📉 考察能力: [读写] 完形填空 (无选项)
💡 提升建议: 类似于Part 4，但通常考察更具功能性的语法点。</v>
      </c>
      <c r="Z505" t="str">
        <f>IF(YLE成绩库!C5="","", YLE成绩库!Z5)</f>
        <v>⚠️ 薄弱环节: L-Pt2
📉 考察能力: [听力] 听取细节并填空
💡 提升建议: 信息量增加，注意快速书写，拼写必须准确。</v>
      </c>
    </row>
    <row r="506" spans="1:26" x14ac:dyDescent="0.2">
      <c r="A506" t="str">
        <f>IF(YLE成绩库!C6="","", YLE成绩库!C6)</f>
        <v>江函妤 Hannah Jiang</v>
      </c>
      <c r="B506" t="str">
        <f>IF(YLE成绩库!AB6="","", YLE成绩库!AB6)</f>
        <v>2024-01-15</v>
      </c>
      <c r="C506" t="str">
        <f>IF(YLE成绩库!B6="","", YLE成绩库!B6)</f>
        <v>B1</v>
      </c>
      <c r="D506" t="str">
        <f>IF(YLE成绩库!D6="","", YLE成绩库!D6)</f>
        <v>Flyers</v>
      </c>
      <c r="E506">
        <f>IF(YLE成绩库!C6="","", YLE成绩库!L6)</f>
        <v>0</v>
      </c>
      <c r="F506">
        <f>IF(YLE成绩库!C6="","", YLE成绩库!M6)</f>
        <v>9</v>
      </c>
      <c r="G506">
        <f>IF(YLE成绩库!C6="","", YLE成绩库!N6)</f>
        <v>1</v>
      </c>
      <c r="H506">
        <f>IF(YLE成绩库!C6="","", YLE成绩库!O6)</f>
        <v>6</v>
      </c>
      <c r="I506">
        <f>IF(YLE成绩库!C6="","", YLE成绩库!P6)</f>
        <v>10</v>
      </c>
      <c r="J506">
        <f>IF(YLE成绩库!C6="","", YLE成绩库!Q6)</f>
        <v>3</v>
      </c>
      <c r="K506">
        <f>IF(YLE成绩库!C6="","", YLE成绩库!R6)</f>
        <v>2</v>
      </c>
      <c r="L506">
        <f>IF(YLE成绩库!C6="","", YLE成绩库!U6)</f>
        <v>3</v>
      </c>
      <c r="M506">
        <v>0</v>
      </c>
      <c r="N506">
        <v>0</v>
      </c>
      <c r="O506">
        <v>0</v>
      </c>
      <c r="P506" t="str">
        <f>IF(YLE成绩库!C6="","", YLE成绩库!D6)</f>
        <v>Flyers</v>
      </c>
      <c r="Q506">
        <f>IF(YLE成绩库!C6="","", YLE成绩库!E6)</f>
        <v>5</v>
      </c>
      <c r="R506">
        <f>IF(YLE成绩库!C6="","", YLE成绩库!F6)</f>
        <v>1</v>
      </c>
      <c r="S506">
        <f>IF(YLE成绩库!C6="","", YLE成绩库!G6)</f>
        <v>5</v>
      </c>
      <c r="T506">
        <f>IF(YLE成绩库!C6="","", YLE成绩库!H6)</f>
        <v>5</v>
      </c>
      <c r="U506">
        <f>IF(YLE成绩库!C6="","", YLE成绩库!K6)</f>
        <v>5</v>
      </c>
      <c r="V506">
        <f>IF(YLE成绩库!C6="","", YLE成绩库!W6)</f>
        <v>8</v>
      </c>
      <c r="W506">
        <f>IF(YLE成绩库!C6="","", YLE成绩库!X6)</f>
        <v>0</v>
      </c>
      <c r="X506" t="str">
        <f>IF(YLE成绩库!C6="","", YLE成绩库!AA6)</f>
        <v>⚠️ 薄弱环节: RW-Pt2
📉 考察能力: [读写] 补全对话
💡 提升建议: 逻辑性增强，需根据前言后语推断缺失的句子。</v>
      </c>
      <c r="Z506" t="str">
        <f>IF(YLE成绩库!C6="","", YLE成绩库!Z6)</f>
        <v>🎉 表现优异，无明显弱项！</v>
      </c>
    </row>
    <row r="507" spans="1:26" x14ac:dyDescent="0.2">
      <c r="A507" t="str">
        <f>IF(YLE成绩库!C7="","", YLE成绩库!C7)</f>
        <v>沈致远 Mikey Shen</v>
      </c>
      <c r="B507" t="str">
        <f>IF(YLE成绩库!AB7="","", YLE成绩库!AB7)</f>
        <v>2024-01-15</v>
      </c>
      <c r="C507" t="str">
        <f>IF(YLE成绩库!B7="","", YLE成绩库!B7)</f>
        <v>B1</v>
      </c>
      <c r="D507" t="str">
        <f>IF(YLE成绩库!D7="","", YLE成绩库!D7)</f>
        <v>Flyers</v>
      </c>
      <c r="E507">
        <f>IF(YLE成绩库!C7="","", YLE成绩库!L7)</f>
        <v>0</v>
      </c>
      <c r="F507">
        <f>IF(YLE成绩库!C7="","", YLE成绩库!M7)</f>
        <v>8</v>
      </c>
      <c r="G507">
        <f>IF(YLE成绩库!C7="","", YLE成绩库!N7)</f>
        <v>2</v>
      </c>
      <c r="H507">
        <f>IF(YLE成绩库!C7="","", YLE成绩库!O7)</f>
        <v>0</v>
      </c>
      <c r="I507">
        <f>IF(YLE成绩库!C7="","", YLE成绩库!P7)</f>
        <v>8</v>
      </c>
      <c r="J507">
        <f>IF(YLE成绩库!C7="","", YLE成绩库!Q7)</f>
        <v>0</v>
      </c>
      <c r="K507">
        <f>IF(YLE成绩库!C7="","", YLE成绩库!R7)</f>
        <v>2</v>
      </c>
      <c r="L507">
        <f>IF(YLE成绩库!C7="","", YLE成绩库!U7)</f>
        <v>3</v>
      </c>
      <c r="M507">
        <v>0</v>
      </c>
      <c r="N507">
        <v>0</v>
      </c>
      <c r="O507">
        <v>0</v>
      </c>
      <c r="P507" t="str">
        <f>IF(YLE成绩库!C7="","", YLE成绩库!D7)</f>
        <v>Flyers</v>
      </c>
      <c r="Q507">
        <f>IF(YLE成绩库!C7="","", YLE成绩库!E7)</f>
        <v>5</v>
      </c>
      <c r="R507">
        <f>IF(YLE成绩库!C7="","", YLE成绩库!F7)</f>
        <v>1</v>
      </c>
      <c r="S507">
        <f>IF(YLE成绩库!C7="","", YLE成绩库!G7)</f>
        <v>5</v>
      </c>
      <c r="T507">
        <f>IF(YLE成绩库!C7="","", YLE成绩库!H7)</f>
        <v>5</v>
      </c>
      <c r="U507">
        <f>IF(YLE成绩库!C7="","", YLE成绩库!K7)</f>
        <v>4</v>
      </c>
      <c r="V507">
        <f>IF(YLE成绩库!C7="","", YLE成绩库!W7)</f>
        <v>7</v>
      </c>
      <c r="W507">
        <f>IF(YLE成绩库!C7="","", YLE成绩库!X7)</f>
        <v>0</v>
      </c>
      <c r="X507" t="str">
        <f>IF(YLE成绩库!C7="","", YLE成绩库!AA7)</f>
        <v>⚠️ 薄弱环节: RW-Pt3
📉 考察能力: [读写] 完形填空 (选词)
💡 提升建议: 考察词汇辨析和固定搭配，注意上下文连贯性。</v>
      </c>
      <c r="Z507" t="str">
        <f>IF(YLE成绩库!C7="","", YLE成绩库!Z7)</f>
        <v>🎉 表现优异，无明显弱项！</v>
      </c>
    </row>
    <row r="508" spans="1:26" x14ac:dyDescent="0.2">
      <c r="A508" t="str">
        <f>IF(YLE成绩库!C8="","", YLE成绩库!C8)</f>
        <v>王译帆 Carl Wang</v>
      </c>
      <c r="B508" t="str">
        <f>IF(YLE成绩库!AB8="","", YLE成绩库!AB8)</f>
        <v>2024-01-15</v>
      </c>
      <c r="C508" t="str">
        <f>IF(YLE成绩库!B8="","", YLE成绩库!B8)</f>
        <v>B1</v>
      </c>
      <c r="D508" t="str">
        <f>IF(YLE成绩库!D8="","", YLE成绩库!D8)</f>
        <v>Flyers</v>
      </c>
      <c r="E508">
        <f>IF(YLE成绩库!C8="","", YLE成绩库!L8)</f>
        <v>0</v>
      </c>
      <c r="F508">
        <f>IF(YLE成绩库!C8="","", YLE成绩库!M8)</f>
        <v>4</v>
      </c>
      <c r="G508">
        <f>IF(YLE成绩库!C8="","", YLE成绩库!N8)</f>
        <v>2</v>
      </c>
      <c r="H508">
        <f>IF(YLE成绩库!C8="","", YLE成绩库!O8)</f>
        <v>6</v>
      </c>
      <c r="I508">
        <f>IF(YLE成绩库!C8="","", YLE成绩库!P8)</f>
        <v>8</v>
      </c>
      <c r="J508">
        <f>IF(YLE成绩库!C8="","", YLE成绩库!Q8)</f>
        <v>0</v>
      </c>
      <c r="K508">
        <f>IF(YLE成绩库!C8="","", YLE成绩库!R8)</f>
        <v>1</v>
      </c>
      <c r="L508">
        <f>IF(YLE成绩库!C8="","", YLE成绩库!U8)</f>
        <v>3</v>
      </c>
      <c r="M508">
        <v>0</v>
      </c>
      <c r="N508">
        <v>0</v>
      </c>
      <c r="O508">
        <v>0</v>
      </c>
      <c r="P508" t="str">
        <f>IF(YLE成绩库!C8="","", YLE成绩库!D8)</f>
        <v>Flyers</v>
      </c>
      <c r="Q508">
        <f>IF(YLE成绩库!C8="","", YLE成绩库!E8)</f>
        <v>5</v>
      </c>
      <c r="R508">
        <f>IF(YLE成绩库!C8="","", YLE成绩库!F8)</f>
        <v>2</v>
      </c>
      <c r="S508">
        <f>IF(YLE成绩库!C8="","", YLE成绩库!G8)</f>
        <v>4</v>
      </c>
      <c r="T508">
        <f>IF(YLE成绩库!C8="","", YLE成绩库!H8)</f>
        <v>4</v>
      </c>
      <c r="U508">
        <f>IF(YLE成绩库!C8="","", YLE成绩库!K8)</f>
        <v>4</v>
      </c>
      <c r="V508">
        <f>IF(YLE成绩库!C8="","", YLE成绩库!W8)</f>
        <v>7</v>
      </c>
      <c r="W508">
        <f>IF(YLE成绩库!C8="","", YLE成绩库!X8)</f>
        <v>0</v>
      </c>
      <c r="X508" t="str">
        <f>IF(YLE成绩库!C8="","", YLE成绩库!AA8)</f>
        <v>⚠️ 薄弱环节: RW-Pt5
📉 考察能力: [读写] 阅读故事补全句子
💡 提升建议: 概括能力要求提升，需归纳文章信息来填空。</v>
      </c>
      <c r="Z508" t="str">
        <f>IF(YLE成绩库!C8="","", YLE成绩库!Z8)</f>
        <v>🎉 表现优异，无明显弱项！</v>
      </c>
    </row>
    <row r="509" spans="1:26" x14ac:dyDescent="0.2">
      <c r="A509" t="str">
        <f>IF(YLE成绩库!C9="","", YLE成绩库!C9)</f>
        <v>蒋博安 Stephan Jiang</v>
      </c>
      <c r="B509" t="str">
        <f>IF(YLE成绩库!AB9="","", YLE成绩库!AB9)</f>
        <v>2024-01-15</v>
      </c>
      <c r="C509" t="str">
        <f>IF(YLE成绩库!B9="","", YLE成绩库!B9)</f>
        <v>B1</v>
      </c>
      <c r="D509" t="str">
        <f>IF(YLE成绩库!D9="","", YLE成绩库!D9)</f>
        <v>Flyers</v>
      </c>
      <c r="E509">
        <f>IF(YLE成绩库!C9="","", YLE成绩库!L9)</f>
        <v>0</v>
      </c>
      <c r="F509">
        <f>IF(YLE成绩库!C9="","", YLE成绩库!M9)</f>
        <v>6</v>
      </c>
      <c r="G509">
        <f>IF(YLE成绩库!C9="","", YLE成绩库!N9)</f>
        <v>2</v>
      </c>
      <c r="H509">
        <f>IF(YLE成绩库!C9="","", YLE成绩库!O9)</f>
        <v>6</v>
      </c>
      <c r="I509">
        <f>IF(YLE成绩库!C9="","", YLE成绩库!P9)</f>
        <v>9</v>
      </c>
      <c r="J509">
        <f>IF(YLE成绩库!C9="","", YLE成绩库!Q9)</f>
        <v>3</v>
      </c>
      <c r="K509">
        <f>IF(YLE成绩库!C9="","", YLE成绩库!R9)</f>
        <v>1</v>
      </c>
      <c r="L509">
        <f>IF(YLE成绩库!C9="","", YLE成绩库!U9)</f>
        <v>3</v>
      </c>
      <c r="M509">
        <v>0</v>
      </c>
      <c r="N509">
        <v>0</v>
      </c>
      <c r="O509">
        <v>0</v>
      </c>
      <c r="P509" t="str">
        <f>IF(YLE成绩库!C9="","", YLE成绩库!D9)</f>
        <v>Flyers</v>
      </c>
      <c r="Q509">
        <f>IF(YLE成绩库!C9="","", YLE成绩库!E9)</f>
        <v>5</v>
      </c>
      <c r="R509">
        <f>IF(YLE成绩库!C9="","", YLE成绩库!F9)</f>
        <v>3</v>
      </c>
      <c r="S509">
        <f>IF(YLE成绩库!C9="","", YLE成绩库!G9)</f>
        <v>4</v>
      </c>
      <c r="T509">
        <f>IF(YLE成绩库!C9="","", YLE成绩库!H9)</f>
        <v>4</v>
      </c>
      <c r="U509">
        <f>IF(YLE成绩库!C9="","", YLE成绩库!K9)</f>
        <v>5</v>
      </c>
      <c r="V509">
        <f>IF(YLE成绩库!C9="","", YLE成绩库!W9)</f>
        <v>8</v>
      </c>
      <c r="W509">
        <f>IF(YLE成绩库!C9="","", YLE成绩库!X9)</f>
        <v>0</v>
      </c>
      <c r="X509" t="str">
        <f>IF(YLE成绩库!C9="","", YLE成绩库!AA9)</f>
        <v>⚠️ 薄弱环节: RW-Pt6
📉 考察能力: [读写] 完形填空 (无选项)
💡 提升建议: 类似于Part 4，但通常考察更具功能性的语法点。</v>
      </c>
      <c r="Z509" t="str">
        <f>IF(YLE成绩库!C9="","", YLE成绩库!Z9)</f>
        <v>🎉 表现优异，无明显弱项！</v>
      </c>
    </row>
    <row r="510" spans="1:26" x14ac:dyDescent="0.2">
      <c r="A510" t="str">
        <f>IF(YLE成绩库!C10="","", YLE成绩库!C10)</f>
        <v>赵谦牧 Harvey Zhao</v>
      </c>
      <c r="B510" t="str">
        <f>IF(YLE成绩库!AB10="","", YLE成绩库!AB10)</f>
        <v>2024-01-15</v>
      </c>
      <c r="C510" t="str">
        <f>IF(YLE成绩库!B10="","", YLE成绩库!B10)</f>
        <v>B1</v>
      </c>
      <c r="D510" t="str">
        <f>IF(YLE成绩库!D10="","", YLE成绩库!D10)</f>
        <v>Flyers</v>
      </c>
      <c r="E510">
        <f>IF(YLE成绩库!C10="","", YLE成绩库!L10)</f>
        <v>0</v>
      </c>
      <c r="F510">
        <f>IF(YLE成绩库!C10="","", YLE成绩库!M10)</f>
        <v>6</v>
      </c>
      <c r="G510">
        <f>IF(YLE成绩库!C10="","", YLE成绩库!N10)</f>
        <v>5</v>
      </c>
      <c r="H510">
        <f>IF(YLE成绩库!C10="","", YLE成绩库!O10)</f>
        <v>4</v>
      </c>
      <c r="I510">
        <f>IF(YLE成绩库!C10="","", YLE成绩库!P10)</f>
        <v>9</v>
      </c>
      <c r="J510">
        <f>IF(YLE成绩库!C10="","", YLE成绩库!Q10)</f>
        <v>1</v>
      </c>
      <c r="K510">
        <f>IF(YLE成绩库!C10="","", YLE成绩库!R10)</f>
        <v>1</v>
      </c>
      <c r="L510">
        <f>IF(YLE成绩库!C10="","", YLE成绩库!U10)</f>
        <v>3</v>
      </c>
      <c r="M510">
        <v>0</v>
      </c>
      <c r="N510">
        <v>0</v>
      </c>
      <c r="O510">
        <v>0</v>
      </c>
      <c r="P510" t="str">
        <f>IF(YLE成绩库!C10="","", YLE成绩库!D10)</f>
        <v>Flyers</v>
      </c>
      <c r="Q510">
        <f>IF(YLE成绩库!C10="","", YLE成绩库!E10)</f>
        <v>3</v>
      </c>
      <c r="R510">
        <f>IF(YLE成绩库!C10="","", YLE成绩库!F10)</f>
        <v>1</v>
      </c>
      <c r="S510">
        <f>IF(YLE成绩库!C10="","", YLE成绩库!G10)</f>
        <v>5</v>
      </c>
      <c r="T510">
        <f>IF(YLE成绩库!C10="","", YLE成绩库!H10)</f>
        <v>5</v>
      </c>
      <c r="U510">
        <f>IF(YLE成绩库!C10="","", YLE成绩库!K10)</f>
        <v>4</v>
      </c>
      <c r="V510">
        <f>IF(YLE成绩库!C10="","", YLE成绩库!W10)</f>
        <v>7</v>
      </c>
      <c r="W510">
        <f>IF(YLE成绩库!C10="","", YLE成绩库!X10)</f>
        <v>0</v>
      </c>
      <c r="X510" t="str">
        <f>IF(YLE成绩库!C10="","", YLE成绩库!AA10)</f>
        <v>⚠️ 薄弱环节: RW-Pt5
📉 考察能力: [读写] 阅读故事补全句子
💡 提升建议: 概括能力要求提升，需归纳文章信息来填空。</v>
      </c>
      <c r="Z510" t="str">
        <f>IF(YLE成绩库!C10="","", YLE成绩库!Z10)</f>
        <v>🎉 表现优异，无明显弱项！</v>
      </c>
    </row>
    <row r="511" spans="1:26" x14ac:dyDescent="0.2">
      <c r="A511" t="str">
        <f>IF(YLE成绩库!C11="","", YLE成绩库!C11)</f>
        <v>陈歆冉 Ella Chen</v>
      </c>
      <c r="B511" t="str">
        <f>IF(YLE成绩库!AB11="","", YLE成绩库!AB11)</f>
        <v>2024-01-15</v>
      </c>
      <c r="C511" t="str">
        <f>IF(YLE成绩库!B11="","", YLE成绩库!B11)</f>
        <v>B1</v>
      </c>
      <c r="D511" t="str">
        <f>IF(YLE成绩库!D11="","", YLE成绩库!D11)</f>
        <v>Flyers</v>
      </c>
      <c r="E511">
        <f>IF(YLE成绩库!C11="","", YLE成绩库!L11)</f>
        <v>0</v>
      </c>
      <c r="F511">
        <f>IF(YLE成绩库!C11="","", YLE成绩库!M11)</f>
        <v>9</v>
      </c>
      <c r="G511">
        <f>IF(YLE成绩库!C11="","", YLE成绩库!N11)</f>
        <v>2</v>
      </c>
      <c r="H511">
        <f>IF(YLE成绩库!C11="","", YLE成绩库!O11)</f>
        <v>4</v>
      </c>
      <c r="I511">
        <f>IF(YLE成绩库!C11="","", YLE成绩库!P11)</f>
        <v>9</v>
      </c>
      <c r="J511">
        <f>IF(YLE成绩库!C11="","", YLE成绩库!Q11)</f>
        <v>3</v>
      </c>
      <c r="K511">
        <f>IF(YLE成绩库!C11="","", YLE成绩库!R11)</f>
        <v>2</v>
      </c>
      <c r="L511">
        <f>IF(YLE成绩库!C11="","", YLE成绩库!U11)</f>
        <v>3</v>
      </c>
      <c r="M511">
        <v>0</v>
      </c>
      <c r="N511">
        <v>0</v>
      </c>
      <c r="O511">
        <v>0</v>
      </c>
      <c r="P511" t="str">
        <f>IF(YLE成绩库!C11="","", YLE成绩库!D11)</f>
        <v>Flyers</v>
      </c>
      <c r="Q511">
        <f>IF(YLE成绩库!C11="","", YLE成绩库!E11)</f>
        <v>5</v>
      </c>
      <c r="R511">
        <f>IF(YLE成绩库!C11="","", YLE成绩库!F11)</f>
        <v>2</v>
      </c>
      <c r="S511">
        <f>IF(YLE成绩库!C11="","", YLE成绩库!G11)</f>
        <v>4</v>
      </c>
      <c r="T511">
        <f>IF(YLE成绩库!C11="","", YLE成绩库!H11)</f>
        <v>5</v>
      </c>
      <c r="U511">
        <f>IF(YLE成绩库!C11="","", YLE成绩库!K11)</f>
        <v>5</v>
      </c>
      <c r="V511">
        <f>IF(YLE成绩库!C11="","", YLE成绩库!W11)</f>
        <v>8</v>
      </c>
      <c r="W511">
        <f>IF(YLE成绩库!C11="","", YLE成绩库!X11)</f>
        <v>0</v>
      </c>
      <c r="X511" t="str">
        <f>IF(YLE成绩库!C11="","", YLE成绩库!AA11)</f>
        <v>⚠️ 薄弱环节: RW-Pt2
📉 考察能力: [读写] 补全对话
💡 提升建议: 逻辑性增强，需根据前言后语推断缺失的句子。</v>
      </c>
      <c r="Z511" t="str">
        <f>IF(YLE成绩库!C11="","", YLE成绩库!Z11)</f>
        <v>🎉 表现优异，无明显弱项！</v>
      </c>
    </row>
    <row r="512" spans="1:26" x14ac:dyDescent="0.2">
      <c r="A512" t="str">
        <f>IF(YLE成绩库!C12="","", YLE成绩库!C12)</f>
        <v>余宜城 Luca Yu</v>
      </c>
      <c r="B512">
        <f>IF(YLE成绩库!AB12="","", YLE成绩库!AB12)</f>
        <v>45915</v>
      </c>
      <c r="C512" t="str">
        <f>IF(YLE成绩库!B12="","", YLE成绩库!B12)</f>
        <v>A1</v>
      </c>
      <c r="D512" t="str">
        <f>IF(YLE成绩库!D12="","", YLE成绩库!D12)</f>
        <v>Flyers</v>
      </c>
      <c r="E512">
        <f>IF(YLE成绩库!C12="","", YLE成绩库!L12)</f>
        <v>0</v>
      </c>
      <c r="F512">
        <f>IF(YLE成绩库!C12="","", YLE成绩库!M12)</f>
        <v>6</v>
      </c>
      <c r="G512">
        <f>IF(YLE成绩库!C12="","", YLE成绩库!N12)</f>
        <v>5</v>
      </c>
      <c r="H512">
        <f>IF(YLE成绩库!C12="","", YLE成绩库!O12)</f>
        <v>5</v>
      </c>
      <c r="I512">
        <f>IF(YLE成绩库!C12="","", YLE成绩库!P12)</f>
        <v>9</v>
      </c>
      <c r="J512">
        <f>IF(YLE成绩库!C12="","", YLE成绩库!Q12)</f>
        <v>0</v>
      </c>
      <c r="K512">
        <f>IF(YLE成绩库!C12="","", YLE成绩库!R12)</f>
        <v>0</v>
      </c>
      <c r="L512">
        <f>IF(YLE成绩库!C12="","", YLE成绩库!U12)</f>
        <v>3</v>
      </c>
      <c r="M512">
        <v>0</v>
      </c>
      <c r="N512">
        <v>0</v>
      </c>
      <c r="O512">
        <v>0</v>
      </c>
      <c r="P512" t="str">
        <f>IF(YLE成绩库!C12="","", YLE成绩库!D12)</f>
        <v>Flyers</v>
      </c>
      <c r="Q512">
        <f>IF(YLE成绩库!C12="","", YLE成绩库!E12)</f>
        <v>5</v>
      </c>
      <c r="R512">
        <f>IF(YLE成绩库!C12="","", YLE成绩库!F12)</f>
        <v>1</v>
      </c>
      <c r="S512">
        <f>IF(YLE成绩库!C12="","", YLE成绩库!G12)</f>
        <v>4</v>
      </c>
      <c r="T512">
        <f>IF(YLE成绩库!C12="","", YLE成绩库!H12)</f>
        <v>5</v>
      </c>
      <c r="U512">
        <f>IF(YLE成绩库!C12="","", YLE成绩库!K12)</f>
        <v>4</v>
      </c>
      <c r="V512">
        <f>IF(YLE成绩库!C12="","", YLE成绩库!W12)</f>
        <v>7</v>
      </c>
      <c r="W512">
        <f>IF(YLE成绩库!C12="","", YLE成绩库!X12)</f>
        <v>0</v>
      </c>
      <c r="X512" t="str">
        <f>IF(YLE成绩库!C12="","", YLE成绩库!AA12)</f>
        <v>⚠️ 薄弱环节: RW-Pt5
📉 考察能力: [读写] 阅读故事补全句子
💡 提升建议: 概括能力要求提升，需归纳文章信息来填空。</v>
      </c>
      <c r="Z512" t="str">
        <f>IF(YLE成绩库!C12="","", YLE成绩库!Z12)</f>
        <v>🎉 表现优异，无明显弱项！</v>
      </c>
    </row>
    <row r="513" spans="1:26" x14ac:dyDescent="0.2">
      <c r="A513" t="str">
        <f>IF(YLE成绩库!C13="","", YLE成绩库!C13)</f>
        <v>李嘉晟 Eleven Li</v>
      </c>
      <c r="B513">
        <f>IF(YLE成绩库!AB13="","", YLE成绩库!AB13)</f>
        <v>45915</v>
      </c>
      <c r="C513" t="str">
        <f>IF(YLE成绩库!B13="","", YLE成绩库!B13)</f>
        <v>A1</v>
      </c>
      <c r="D513" t="str">
        <f>IF(YLE成绩库!D13="","", YLE成绩库!D13)</f>
        <v>Flyers</v>
      </c>
      <c r="E513">
        <f>IF(YLE成绩库!C13="","", YLE成绩库!L13)</f>
        <v>0</v>
      </c>
      <c r="F513">
        <f>IF(YLE成绩库!C13="","", YLE成绩库!M13)</f>
        <v>6</v>
      </c>
      <c r="G513">
        <f>IF(YLE成绩库!C13="","", YLE成绩库!N13)</f>
        <v>1</v>
      </c>
      <c r="H513">
        <f>IF(YLE成绩库!C13="","", YLE成绩库!O13)</f>
        <v>6</v>
      </c>
      <c r="I513">
        <f>IF(YLE成绩库!C13="","", YLE成绩库!P13)</f>
        <v>8</v>
      </c>
      <c r="J513">
        <f>IF(YLE成绩库!C13="","", YLE成绩库!Q13)</f>
        <v>3</v>
      </c>
      <c r="K513">
        <f>IF(YLE成绩库!C13="","", YLE成绩库!R13)</f>
        <v>0</v>
      </c>
      <c r="L513">
        <f>IF(YLE成绩库!C13="","", YLE成绩库!U13)</f>
        <v>3</v>
      </c>
      <c r="M513">
        <v>0</v>
      </c>
      <c r="N513">
        <v>0</v>
      </c>
      <c r="O513">
        <v>0</v>
      </c>
      <c r="P513" t="str">
        <f>IF(YLE成绩库!C13="","", YLE成绩库!D13)</f>
        <v>Flyers</v>
      </c>
      <c r="Q513">
        <f>IF(YLE成绩库!C13="","", YLE成绩库!E13)</f>
        <v>5</v>
      </c>
      <c r="R513">
        <f>IF(YLE成绩库!C13="","", YLE成绩库!F13)</f>
        <v>2</v>
      </c>
      <c r="S513">
        <f>IF(YLE成绩库!C13="","", YLE成绩库!G13)</f>
        <v>5</v>
      </c>
      <c r="T513">
        <f>IF(YLE成绩库!C13="","", YLE成绩库!H13)</f>
        <v>5</v>
      </c>
      <c r="U513">
        <f>IF(YLE成绩库!C13="","", YLE成绩库!K13)</f>
        <v>5</v>
      </c>
      <c r="V513">
        <f>IF(YLE成绩库!C13="","", YLE成绩库!W13)</f>
        <v>8</v>
      </c>
      <c r="W513">
        <f>IF(YLE成绩库!C13="","", YLE成绩库!X13)</f>
        <v>0</v>
      </c>
      <c r="X513" t="str">
        <f>IF(YLE成绩库!C13="","", YLE成绩库!AA13)</f>
        <v>⚠️ 薄弱环节: RW-Pt6
📉 考察能力: [读写] 完形填空 (无选项)
💡 提升建议: 类似于Part 4，但通常考察更具功能性的语法点。</v>
      </c>
      <c r="Z513" t="str">
        <f>IF(YLE成绩库!C13="","", YLE成绩库!Z13)</f>
        <v>🎉 表现优异，无明显弱项！</v>
      </c>
    </row>
    <row r="514" spans="1:26" x14ac:dyDescent="0.2">
      <c r="A514" t="str">
        <f>IF(YLE成绩库!C14="","", YLE成绩库!C14)</f>
        <v>陈奕泓 Charlie Chen</v>
      </c>
      <c r="B514">
        <f>IF(YLE成绩库!AB14="","", YLE成绩库!AB14)</f>
        <v>45915</v>
      </c>
      <c r="C514" t="str">
        <f>IF(YLE成绩库!B14="","", YLE成绩库!B14)</f>
        <v>A1</v>
      </c>
      <c r="D514" t="str">
        <f>IF(YLE成绩库!D14="","", YLE成绩库!D14)</f>
        <v>Flyers</v>
      </c>
      <c r="E514">
        <f>IF(YLE成绩库!C14="","", YLE成绩库!L14)</f>
        <v>0</v>
      </c>
      <c r="F514">
        <f>IF(YLE成绩库!C14="","", YLE成绩库!M14)</f>
        <v>8</v>
      </c>
      <c r="G514">
        <f>IF(YLE成绩库!C14="","", YLE成绩库!N14)</f>
        <v>2</v>
      </c>
      <c r="H514">
        <f>IF(YLE成绩库!C14="","", YLE成绩库!O14)</f>
        <v>4</v>
      </c>
      <c r="I514">
        <f>IF(YLE成绩库!C14="","", YLE成绩库!P14)</f>
        <v>8</v>
      </c>
      <c r="J514">
        <f>IF(YLE成绩库!C14="","", YLE成绩库!Q14)</f>
        <v>0</v>
      </c>
      <c r="K514">
        <f>IF(YLE成绩库!C14="","", YLE成绩库!R14)</f>
        <v>2</v>
      </c>
      <c r="L514">
        <f>IF(YLE成绩库!C14="","", YLE成绩库!U14)</f>
        <v>3</v>
      </c>
      <c r="M514">
        <v>0</v>
      </c>
      <c r="N514">
        <v>0</v>
      </c>
      <c r="O514">
        <v>0</v>
      </c>
      <c r="P514" t="str">
        <f>IF(YLE成绩库!C14="","", YLE成绩库!D14)</f>
        <v>Flyers</v>
      </c>
      <c r="Q514">
        <f>IF(YLE成绩库!C14="","", YLE成绩库!E14)</f>
        <v>5</v>
      </c>
      <c r="R514">
        <f>IF(YLE成绩库!C14="","", YLE成绩库!F14)</f>
        <v>4</v>
      </c>
      <c r="S514">
        <f>IF(YLE成绩库!C14="","", YLE成绩库!G14)</f>
        <v>4</v>
      </c>
      <c r="T514">
        <f>IF(YLE成绩库!C14="","", YLE成绩库!H14)</f>
        <v>5</v>
      </c>
      <c r="U514">
        <f>IF(YLE成绩库!C14="","", YLE成绩库!K14)</f>
        <v>5</v>
      </c>
      <c r="V514">
        <f>IF(YLE成绩库!C14="","", YLE成绩库!W14)</f>
        <v>8</v>
      </c>
      <c r="W514">
        <f>IF(YLE成绩库!C14="","", YLE成绩库!X14)</f>
        <v>0</v>
      </c>
      <c r="X514" t="str">
        <f>IF(YLE成绩库!C14="","", YLE成绩库!AA14)</f>
        <v>⚠️ 薄弱环节: RW-Pt5
📉 考察能力: [读写] 阅读故事补全句子
💡 提升建议: 概括能力要求提升，需归纳文章信息来填空。</v>
      </c>
      <c r="Z514" t="str">
        <f>IF(YLE成绩库!C14="","", YLE成绩库!Z14)</f>
        <v>🎉 表现优异，无明显弱项！</v>
      </c>
    </row>
    <row r="515" spans="1:26" x14ac:dyDescent="0.2">
      <c r="A515" t="str">
        <f>IF(YLE成绩库!C15="","", YLE成绩库!C15)</f>
        <v>Sharon Liuer Lin</v>
      </c>
      <c r="B515" t="str">
        <f>IF(YLE成绩库!AB15="","", YLE成绩库!AB15)</f>
        <v>2024-01-15</v>
      </c>
      <c r="C515" t="str">
        <f>IF(YLE成绩库!B15="","", YLE成绩库!B15)</f>
        <v>A2</v>
      </c>
      <c r="D515" t="str">
        <f>IF(YLE成绩库!D15="","", YLE成绩库!D15)</f>
        <v>Flyers</v>
      </c>
      <c r="E515">
        <f>IF(YLE成绩库!C15="","", YLE成绩库!L15)</f>
        <v>0</v>
      </c>
      <c r="F515">
        <f>IF(YLE成绩库!C15="","", YLE成绩库!M15)</f>
        <v>6</v>
      </c>
      <c r="G515">
        <f>IF(YLE成绩库!C15="","", YLE成绩库!N15)</f>
        <v>2</v>
      </c>
      <c r="H515">
        <f>IF(YLE成绩库!C15="","", YLE成绩库!O15)</f>
        <v>5</v>
      </c>
      <c r="I515">
        <f>IF(YLE成绩库!C15="","", YLE成绩库!P15)</f>
        <v>4</v>
      </c>
      <c r="J515">
        <f>IF(YLE成绩库!C15="","", YLE成绩库!Q15)</f>
        <v>2</v>
      </c>
      <c r="K515">
        <f>IF(YLE成绩库!C15="","", YLE成绩库!R15)</f>
        <v>1</v>
      </c>
      <c r="L515">
        <f>IF(YLE成绩库!C15="","", YLE成绩库!U15)</f>
        <v>2</v>
      </c>
      <c r="M515">
        <v>0</v>
      </c>
      <c r="N515">
        <v>0</v>
      </c>
      <c r="O515">
        <v>0</v>
      </c>
      <c r="P515" t="str">
        <f>IF(YLE成绩库!C15="","", YLE成绩库!D15)</f>
        <v>Flyers</v>
      </c>
      <c r="Q515">
        <f>IF(YLE成绩库!C15="","", YLE成绩库!E15)</f>
        <v>5</v>
      </c>
      <c r="R515">
        <f>IF(YLE成绩库!C15="","", YLE成绩库!F15)</f>
        <v>1</v>
      </c>
      <c r="S515">
        <f>IF(YLE成绩库!C15="","", YLE成绩库!G15)</f>
        <v>4</v>
      </c>
      <c r="T515">
        <f>IF(YLE成绩库!C15="","", YLE成绩库!H15)</f>
        <v>5</v>
      </c>
      <c r="U515">
        <f>IF(YLE成绩库!C15="","", YLE成绩库!K15)</f>
        <v>4</v>
      </c>
      <c r="V515">
        <f>IF(YLE成绩库!C15="","", YLE成绩库!W15)</f>
        <v>6</v>
      </c>
      <c r="W515">
        <f>IF(YLE成绩库!C15="","", YLE成绩库!X15)</f>
        <v>0</v>
      </c>
      <c r="X515" t="str">
        <f>IF(YLE成绩库!C15="","", YLE成绩库!AA15)</f>
        <v>⚠️ 薄弱环节: RW-Pt7
📉 考察能力: [读写] 看图写作文
💡 提升建议: 观察三幅图，运用连接词编写一个有逻辑的短故事 (20词+)。</v>
      </c>
      <c r="Z515" t="str">
        <f>IF(YLE成绩库!C15="","", YLE成绩库!Z15)</f>
        <v>🎉 表现优异，无明显弱项！</v>
      </c>
    </row>
    <row r="516" spans="1:26" x14ac:dyDescent="0.2">
      <c r="A516" t="str">
        <f>IF(YLE成绩库!C16="","", YLE成绩库!C16)</f>
        <v>周子淇 Lucy Zhou</v>
      </c>
      <c r="B516" t="str">
        <f>IF(YLE成绩库!AB16="","", YLE成绩库!AB16)</f>
        <v>2024-01-15</v>
      </c>
      <c r="C516" t="str">
        <f>IF(YLE成绩库!B16="","", YLE成绩库!B16)</f>
        <v>A2</v>
      </c>
      <c r="D516" t="str">
        <f>IF(YLE成绩库!D16="","", YLE成绩库!D16)</f>
        <v>Flyers</v>
      </c>
      <c r="E516">
        <f>IF(YLE成绩库!C16="","", YLE成绩库!L16)</f>
        <v>0</v>
      </c>
      <c r="F516">
        <f>IF(YLE成绩库!C16="","", YLE成绩库!M16)</f>
        <v>8</v>
      </c>
      <c r="G516">
        <f>IF(YLE成绩库!C16="","", YLE成绩库!N16)</f>
        <v>4</v>
      </c>
      <c r="H516">
        <f>IF(YLE成绩库!C16="","", YLE成绩库!O16)</f>
        <v>5</v>
      </c>
      <c r="I516">
        <f>IF(YLE成绩库!C16="","", YLE成绩库!P16)</f>
        <v>9</v>
      </c>
      <c r="J516">
        <f>IF(YLE成绩库!C16="","", YLE成绩库!Q16)</f>
        <v>3</v>
      </c>
      <c r="K516">
        <f>IF(YLE成绩库!C16="","", YLE成绩库!R16)</f>
        <v>1</v>
      </c>
      <c r="L516">
        <f>IF(YLE成绩库!C16="","", YLE成绩库!U16)</f>
        <v>3</v>
      </c>
      <c r="M516">
        <v>0</v>
      </c>
      <c r="N516">
        <v>0</v>
      </c>
      <c r="O516">
        <v>0</v>
      </c>
      <c r="P516" t="str">
        <f>IF(YLE成绩库!C16="","", YLE成绩库!D16)</f>
        <v>Flyers</v>
      </c>
      <c r="Q516">
        <f>IF(YLE成绩库!C16="","", YLE成绩库!E16)</f>
        <v>5</v>
      </c>
      <c r="R516">
        <f>IF(YLE成绩库!C16="","", YLE成绩库!F16)</f>
        <v>2</v>
      </c>
      <c r="S516">
        <f>IF(YLE成绩库!C16="","", YLE成绩库!G16)</f>
        <v>5</v>
      </c>
      <c r="T516">
        <f>IF(YLE成绩库!C16="","", YLE成绩库!H16)</f>
        <v>5</v>
      </c>
      <c r="U516">
        <f>IF(YLE成绩库!C16="","", YLE成绩库!K16)</f>
        <v>5</v>
      </c>
      <c r="V516">
        <f>IF(YLE成绩库!C16="","", YLE成绩库!W16)</f>
        <v>8</v>
      </c>
      <c r="W516">
        <f>IF(YLE成绩库!C16="","", YLE成绩库!X16)</f>
        <v>0</v>
      </c>
      <c r="X516" t="str">
        <f>IF(YLE成绩库!C16="","", YLE成绩库!AA16)</f>
        <v>⚠️ 薄弱环节: RW-Pt6
📉 考察能力: [读写] 完形填空 (无选项)
💡 提升建议: 类似于Part 4，但通常考察更具功能性的语法点。</v>
      </c>
      <c r="Z516" t="str">
        <f>IF(YLE成绩库!C16="","", YLE成绩库!Z16)</f>
        <v>🎉 表现优异，无明显弱项！</v>
      </c>
    </row>
    <row r="517" spans="1:26" x14ac:dyDescent="0.2">
      <c r="A517" t="str">
        <f>IF(YLE成绩库!C17="","", YLE成绩库!C17)</f>
        <v>周慕晨 Candy Zhou</v>
      </c>
      <c r="B517" t="str">
        <f>IF(YLE成绩库!AB17="","", YLE成绩库!AB17)</f>
        <v>2024-01-15</v>
      </c>
      <c r="C517" t="str">
        <f>IF(YLE成绩库!B17="","", YLE成绩库!B17)</f>
        <v>A2</v>
      </c>
      <c r="D517" t="str">
        <f>IF(YLE成绩库!D17="","", YLE成绩库!D17)</f>
        <v>Flyers</v>
      </c>
      <c r="E517">
        <f>IF(YLE成绩库!C17="","", YLE成绩库!L17)</f>
        <v>0</v>
      </c>
      <c r="F517">
        <f>IF(YLE成绩库!C17="","", YLE成绩库!M17)</f>
        <v>6</v>
      </c>
      <c r="G517">
        <f>IF(YLE成绩库!C17="","", YLE成绩库!N17)</f>
        <v>2</v>
      </c>
      <c r="H517">
        <f>IF(YLE成绩库!C17="","", YLE成绩库!O17)</f>
        <v>4</v>
      </c>
      <c r="I517">
        <f>IF(YLE成绩库!C17="","", YLE成绩库!P17)</f>
        <v>10</v>
      </c>
      <c r="J517">
        <f>IF(YLE成绩库!C17="","", YLE成绩库!Q17)</f>
        <v>3</v>
      </c>
      <c r="K517">
        <f>IF(YLE成绩库!C17="","", YLE成绩库!R17)</f>
        <v>2</v>
      </c>
      <c r="L517">
        <f>IF(YLE成绩库!C17="","", YLE成绩库!U17)</f>
        <v>3</v>
      </c>
      <c r="M517">
        <v>0</v>
      </c>
      <c r="N517">
        <v>0</v>
      </c>
      <c r="O517">
        <v>0</v>
      </c>
      <c r="P517" t="str">
        <f>IF(YLE成绩库!C17="","", YLE成绩库!D17)</f>
        <v>Flyers</v>
      </c>
      <c r="Q517">
        <f>IF(YLE成绩库!C17="","", YLE成绩库!E17)</f>
        <v>5</v>
      </c>
      <c r="R517">
        <f>IF(YLE成绩库!C17="","", YLE成绩库!F17)</f>
        <v>2</v>
      </c>
      <c r="S517">
        <f>IF(YLE成绩库!C17="","", YLE成绩库!G17)</f>
        <v>5</v>
      </c>
      <c r="T517">
        <f>IF(YLE成绩库!C17="","", YLE成绩库!H17)</f>
        <v>5</v>
      </c>
      <c r="U517">
        <f>IF(YLE成绩库!C17="","", YLE成绩库!K17)</f>
        <v>5</v>
      </c>
      <c r="V517">
        <f>IF(YLE成绩库!C17="","", YLE成绩库!W17)</f>
        <v>8</v>
      </c>
      <c r="W517">
        <f>IF(YLE成绩库!C17="","", YLE成绩库!X17)</f>
        <v>0</v>
      </c>
      <c r="X517" t="str">
        <f>IF(YLE成绩库!C17="","", YLE成绩库!AA17)</f>
        <v>⚠️ 薄弱环节: RW-Pt2
📉 考察能力: [读写] 补全对话
💡 提升建议: 逻辑性增强，需根据前言后语推断缺失的句子。</v>
      </c>
      <c r="Z517" t="str">
        <f>IF(YLE成绩库!C17="","", YLE成绩库!Z17)</f>
        <v>🎉 表现优异，无明显弱项！</v>
      </c>
    </row>
    <row r="518" spans="1:26" x14ac:dyDescent="0.2">
      <c r="A518" t="str">
        <f>IF(YLE成绩库!C18="","", YLE成绩库!C18)</f>
        <v>张芷悦 Olivia Zhang</v>
      </c>
      <c r="B518" t="str">
        <f>IF(YLE成绩库!AB18="","", YLE成绩库!AB18)</f>
        <v>2024-01-15</v>
      </c>
      <c r="C518" t="str">
        <f>IF(YLE成绩库!B18="","", YLE成绩库!B18)</f>
        <v>A2</v>
      </c>
      <c r="D518" t="str">
        <f>IF(YLE成绩库!D18="","", YLE成绩库!D18)</f>
        <v>Flyers</v>
      </c>
      <c r="E518">
        <f>IF(YLE成绩库!C18="","", YLE成绩库!L18)</f>
        <v>0</v>
      </c>
      <c r="F518">
        <f>IF(YLE成绩库!C18="","", YLE成绩库!M18)</f>
        <v>5</v>
      </c>
      <c r="G518">
        <f>IF(YLE成绩库!C18="","", YLE成绩库!N18)</f>
        <v>1</v>
      </c>
      <c r="H518">
        <f>IF(YLE成绩库!C18="","", YLE成绩库!O18)</f>
        <v>3</v>
      </c>
      <c r="I518">
        <f>IF(YLE成绩库!C18="","", YLE成绩库!P18)</f>
        <v>7</v>
      </c>
      <c r="J518">
        <f>IF(YLE成绩库!C18="","", YLE成绩库!Q18)</f>
        <v>4</v>
      </c>
      <c r="K518">
        <f>IF(YLE成绩库!C18="","", YLE成绩库!R18)</f>
        <v>1</v>
      </c>
      <c r="L518">
        <f>IF(YLE成绩库!C18="","", YLE成绩库!U18)</f>
        <v>3</v>
      </c>
      <c r="M518">
        <v>0</v>
      </c>
      <c r="N518">
        <v>0</v>
      </c>
      <c r="O518">
        <v>0</v>
      </c>
      <c r="P518" t="str">
        <f>IF(YLE成绩库!C18="","", YLE成绩库!D18)</f>
        <v>Flyers</v>
      </c>
      <c r="Q518">
        <f>IF(YLE成绩库!C18="","", YLE成绩库!E18)</f>
        <v>5</v>
      </c>
      <c r="R518">
        <f>IF(YLE成绩库!C18="","", YLE成绩库!F18)</f>
        <v>3</v>
      </c>
      <c r="S518">
        <f>IF(YLE成绩库!C18="","", YLE成绩库!G18)</f>
        <v>4</v>
      </c>
      <c r="T518">
        <f>IF(YLE成绩库!C18="","", YLE成绩库!H18)</f>
        <v>5</v>
      </c>
      <c r="U518">
        <f>IF(YLE成绩库!C18="","", YLE成绩库!K18)</f>
        <v>5</v>
      </c>
      <c r="V518">
        <f>IF(YLE成绩库!C18="","", YLE成绩库!W18)</f>
        <v>8</v>
      </c>
      <c r="W518">
        <f>IF(YLE成绩库!C18="","", YLE成绩库!X18)</f>
        <v>0</v>
      </c>
      <c r="X518" t="str">
        <f>IF(YLE成绩库!C18="","", YLE成绩库!AA18)</f>
        <v>⚠️ 薄弱环节: RW-Pt2
📉 考察能力: [读写] 补全对话
💡 提升建议: 逻辑性增强，需根据前言后语推断缺失的句子。</v>
      </c>
      <c r="Z518" t="str">
        <f>IF(YLE成绩库!C18="","", YLE成绩库!Z18)</f>
        <v>🎉 表现优异，无明显弱项！</v>
      </c>
    </row>
    <row r="519" spans="1:26" x14ac:dyDescent="0.2">
      <c r="A519" t="str">
        <f>IF(YLE成绩库!C19="","", YLE成绩库!C19)</f>
        <v>徐坤泽 Zachary</v>
      </c>
      <c r="B519" t="str">
        <f>IF(YLE成绩库!AB19="","", YLE成绩库!AB19)</f>
        <v>2024-01-15</v>
      </c>
      <c r="C519" t="str">
        <f>IF(YLE成绩库!B19="","", YLE成绩库!B19)</f>
        <v>A2</v>
      </c>
      <c r="D519" t="str">
        <f>IF(YLE成绩库!D19="","", YLE成绩库!D19)</f>
        <v>Flyers</v>
      </c>
      <c r="E519">
        <f>IF(YLE成绩库!C19="","", YLE成绩库!L19)</f>
        <v>0</v>
      </c>
      <c r="F519">
        <f>IF(YLE成绩库!C19="","", YLE成绩库!M19)</f>
        <v>3</v>
      </c>
      <c r="G519">
        <f>IF(YLE成绩库!C19="","", YLE成绩库!N19)</f>
        <v>2</v>
      </c>
      <c r="H519">
        <f>IF(YLE成绩库!C19="","", YLE成绩库!O19)</f>
        <v>4</v>
      </c>
      <c r="I519">
        <f>IF(YLE成绩库!C19="","", YLE成绩库!P19)</f>
        <v>9</v>
      </c>
      <c r="J519">
        <f>IF(YLE成绩库!C19="","", YLE成绩库!Q19)</f>
        <v>2</v>
      </c>
      <c r="K519">
        <f>IF(YLE成绩库!C19="","", YLE成绩库!R19)</f>
        <v>0</v>
      </c>
      <c r="L519">
        <f>IF(YLE成绩库!C19="","", YLE成绩库!U19)</f>
        <v>3</v>
      </c>
      <c r="M519">
        <v>0</v>
      </c>
      <c r="N519">
        <v>0</v>
      </c>
      <c r="O519">
        <v>0</v>
      </c>
      <c r="P519" t="str">
        <f>IF(YLE成绩库!C19="","", YLE成绩库!D19)</f>
        <v>Flyers</v>
      </c>
      <c r="Q519">
        <f>IF(YLE成绩库!C19="","", YLE成绩库!E19)</f>
        <v>5</v>
      </c>
      <c r="R519">
        <f>IF(YLE成绩库!C19="","", YLE成绩库!F19)</f>
        <v>0</v>
      </c>
      <c r="S519">
        <f>IF(YLE成绩库!C19="","", YLE成绩库!G19)</f>
        <v>5</v>
      </c>
      <c r="T519">
        <f>IF(YLE成绩库!C19="","", YLE成绩库!H19)</f>
        <v>4</v>
      </c>
      <c r="U519">
        <f>IF(YLE成绩库!C19="","", YLE成绩库!K19)</f>
        <v>4</v>
      </c>
      <c r="V519">
        <f>IF(YLE成绩库!C19="","", YLE成绩库!W19)</f>
        <v>7</v>
      </c>
      <c r="W519">
        <f>IF(YLE成绩库!C19="","", YLE成绩库!X19)</f>
        <v>0</v>
      </c>
      <c r="X519" t="str">
        <f>IF(YLE成绩库!C19="","", YLE成绩库!AA19)</f>
        <v>⚠️ 薄弱环节: RW-Pt6
📉 考察能力: [读写] 完形填空 (无选项)
💡 提升建议: 类似于Part 4，但通常考察更具功能性的语法点。</v>
      </c>
      <c r="Z519" t="str">
        <f>IF(YLE成绩库!C19="","", YLE成绩库!Z19)</f>
        <v>🎉 表现优异，无明显弱项！</v>
      </c>
    </row>
    <row r="520" spans="1:26" x14ac:dyDescent="0.2">
      <c r="A520" t="str">
        <f>IF(YLE成绩库!C20="","", YLE成绩库!C20)</f>
        <v>方辰晞 Amy Fang</v>
      </c>
      <c r="B520" t="str">
        <f>IF(YLE成绩库!AB20="","", YLE成绩库!AB20)</f>
        <v>2024-01-15</v>
      </c>
      <c r="C520" t="str">
        <f>IF(YLE成绩库!B20="","", YLE成绩库!B20)</f>
        <v>A2</v>
      </c>
      <c r="D520" t="str">
        <f>IF(YLE成绩库!D20="","", YLE成绩库!D20)</f>
        <v>Flyers</v>
      </c>
      <c r="E520">
        <f>IF(YLE成绩库!C20="","", YLE成绩库!L20)</f>
        <v>0</v>
      </c>
      <c r="F520">
        <f>IF(YLE成绩库!C20="","", YLE成绩库!M20)</f>
        <v>10</v>
      </c>
      <c r="G520">
        <f>IF(YLE成绩库!C20="","", YLE成绩库!N20)</f>
        <v>5</v>
      </c>
      <c r="H520">
        <f>IF(YLE成绩库!C20="","", YLE成绩库!O20)</f>
        <v>5</v>
      </c>
      <c r="I520">
        <f>IF(YLE成绩库!C20="","", YLE成绩库!P20)</f>
        <v>9</v>
      </c>
      <c r="J520">
        <f>IF(YLE成绩库!C20="","", YLE成绩库!Q20)</f>
        <v>2</v>
      </c>
      <c r="K520">
        <f>IF(YLE成绩库!C20="","", YLE成绩库!R20)</f>
        <v>0</v>
      </c>
      <c r="L520">
        <f>IF(YLE成绩库!C20="","", YLE成绩库!U20)</f>
        <v>3</v>
      </c>
      <c r="M520">
        <v>0</v>
      </c>
      <c r="N520">
        <v>0</v>
      </c>
      <c r="O520">
        <v>0</v>
      </c>
      <c r="P520" t="str">
        <f>IF(YLE成绩库!C20="","", YLE成绩库!D20)</f>
        <v>Flyers</v>
      </c>
      <c r="Q520">
        <f>IF(YLE成绩库!C20="","", YLE成绩库!E20)</f>
        <v>5</v>
      </c>
      <c r="R520">
        <f>IF(YLE成绩库!C20="","", YLE成绩库!F20)</f>
        <v>3</v>
      </c>
      <c r="S520">
        <f>IF(YLE成绩库!C20="","", YLE成绩库!G20)</f>
        <v>5</v>
      </c>
      <c r="T520">
        <f>IF(YLE成绩库!C20="","", YLE成绩库!H20)</f>
        <v>5</v>
      </c>
      <c r="U520">
        <f>IF(YLE成绩库!C20="","", YLE成绩库!K20)</f>
        <v>5</v>
      </c>
      <c r="V520">
        <f>IF(YLE成绩库!C20="","", YLE成绩库!W20)</f>
        <v>8</v>
      </c>
      <c r="W520">
        <f>IF(YLE成绩库!C20="","", YLE成绩库!X20)</f>
        <v>0</v>
      </c>
      <c r="X520" t="str">
        <f>IF(YLE成绩库!C20="","", YLE成绩库!AA20)</f>
        <v>⚠️ 薄弱环节: RW-Pt6
📉 考察能力: [读写] 完形填空 (无选项)
💡 提升建议: 类似于Part 4，但通常考察更具功能性的语法点。</v>
      </c>
      <c r="Z520" t="str">
        <f>IF(YLE成绩库!C20="","", YLE成绩库!Z20)</f>
        <v>🎉 表现优异，无明显弱项！</v>
      </c>
    </row>
    <row r="521" spans="1:26" x14ac:dyDescent="0.2">
      <c r="A521" t="str">
        <f>IF(YLE成绩库!C21="","", YLE成绩库!C21)</f>
        <v>曹梓诚 James Cao</v>
      </c>
      <c r="B521" t="str">
        <f>IF(YLE成绩库!AB21="","", YLE成绩库!AB21)</f>
        <v>2024-01-15</v>
      </c>
      <c r="C521" t="str">
        <f>IF(YLE成绩库!B21="","", YLE成绩库!B21)</f>
        <v>A2</v>
      </c>
      <c r="D521" t="str">
        <f>IF(YLE成绩库!D21="","", YLE成绩库!D21)</f>
        <v>Flyers</v>
      </c>
      <c r="E521">
        <f>IF(YLE成绩库!C21="","", YLE成绩库!L21)</f>
        <v>0</v>
      </c>
      <c r="F521">
        <f>IF(YLE成绩库!C21="","", YLE成绩库!M21)</f>
        <v>5</v>
      </c>
      <c r="G521">
        <f>IF(YLE成绩库!C21="","", YLE成绩库!N21)</f>
        <v>2</v>
      </c>
      <c r="H521">
        <f>IF(YLE成绩库!C21="","", YLE成绩库!O21)</f>
        <v>4</v>
      </c>
      <c r="I521">
        <f>IF(YLE成绩库!C21="","", YLE成绩库!P21)</f>
        <v>7</v>
      </c>
      <c r="J521">
        <f>IF(YLE成绩库!C21="","", YLE成绩库!Q21)</f>
        <v>5</v>
      </c>
      <c r="K521">
        <f>IF(YLE成绩库!C21="","", YLE成绩库!R21)</f>
        <v>0</v>
      </c>
      <c r="L521">
        <f>IF(YLE成绩库!C21="","", YLE成绩库!U21)</f>
        <v>2</v>
      </c>
      <c r="M521">
        <v>0</v>
      </c>
      <c r="N521">
        <v>0</v>
      </c>
      <c r="O521">
        <v>0</v>
      </c>
      <c r="P521" t="str">
        <f>IF(YLE成绩库!C21="","", YLE成绩库!D21)</f>
        <v>Flyers</v>
      </c>
      <c r="Q521">
        <f>IF(YLE成绩库!C21="","", YLE成绩库!E21)</f>
        <v>5</v>
      </c>
      <c r="R521">
        <f>IF(YLE成绩库!C21="","", YLE成绩库!F21)</f>
        <v>3</v>
      </c>
      <c r="S521">
        <f>IF(YLE成绩库!C21="","", YLE成绩库!G21)</f>
        <v>5</v>
      </c>
      <c r="T521">
        <f>IF(YLE成绩库!C21="","", YLE成绩库!H21)</f>
        <v>5</v>
      </c>
      <c r="U521">
        <f>IF(YLE成绩库!C21="","", YLE成绩库!K21)</f>
        <v>5</v>
      </c>
      <c r="V521">
        <f>IF(YLE成绩库!C21="","", YLE成绩库!W21)</f>
        <v>7</v>
      </c>
      <c r="W521">
        <f>IF(YLE成绩库!C21="","", YLE成绩库!X21)</f>
        <v>0</v>
      </c>
      <c r="X521" t="str">
        <f>IF(YLE成绩库!C21="","", YLE成绩库!AA21)</f>
        <v>⚠️ 薄弱环节: RW-Pt6
📉 考察能力: [读写] 完形填空 (无选项)
💡 提升建议: 类似于Part 4，但通常考察更具功能性的语法点。</v>
      </c>
      <c r="Z521" t="str">
        <f>IF(YLE成绩库!C21="","", YLE成绩库!Z21)</f>
        <v>🎉 表现优异，无明显弱项！</v>
      </c>
    </row>
    <row r="522" spans="1:26" x14ac:dyDescent="0.2">
      <c r="A522" t="str">
        <f>IF(YLE成绩库!C22="","", YLE成绩库!C22)</f>
        <v>苏泓恺 Dayton Su</v>
      </c>
      <c r="B522" t="str">
        <f>IF(YLE成绩库!AB22="","", YLE成绩库!AB22)</f>
        <v>2024-01-15</v>
      </c>
      <c r="C522" t="str">
        <f>IF(YLE成绩库!B22="","", YLE成绩库!B22)</f>
        <v>A2</v>
      </c>
      <c r="D522" t="str">
        <f>IF(YLE成绩库!D22="","", YLE成绩库!D22)</f>
        <v>Flyers</v>
      </c>
      <c r="E522">
        <f>IF(YLE成绩库!C22="","", YLE成绩库!L22)</f>
        <v>0</v>
      </c>
      <c r="F522">
        <f>IF(YLE成绩库!C22="","", YLE成绩库!M22)</f>
        <v>6</v>
      </c>
      <c r="G522">
        <f>IF(YLE成绩库!C22="","", YLE成绩库!N22)</f>
        <v>4</v>
      </c>
      <c r="H522">
        <f>IF(YLE成绩库!C22="","", YLE成绩库!O22)</f>
        <v>6</v>
      </c>
      <c r="I522">
        <f>IF(YLE成绩库!C22="","", YLE成绩库!P22)</f>
        <v>7</v>
      </c>
      <c r="J522">
        <f>IF(YLE成绩库!C22="","", YLE成绩库!Q22)</f>
        <v>3</v>
      </c>
      <c r="K522">
        <f>IF(YLE成绩库!C22="","", YLE成绩库!R22)</f>
        <v>2</v>
      </c>
      <c r="L522">
        <f>IF(YLE成绩库!C22="","", YLE成绩库!U22)</f>
        <v>3</v>
      </c>
      <c r="M522">
        <v>0</v>
      </c>
      <c r="N522">
        <v>0</v>
      </c>
      <c r="O522">
        <v>0</v>
      </c>
      <c r="P522" t="str">
        <f>IF(YLE成绩库!C22="","", YLE成绩库!D22)</f>
        <v>Flyers</v>
      </c>
      <c r="Q522">
        <f>IF(YLE成绩库!C22="","", YLE成绩库!E22)</f>
        <v>4</v>
      </c>
      <c r="R522">
        <f>IF(YLE成绩库!C22="","", YLE成绩库!F22)</f>
        <v>1</v>
      </c>
      <c r="S522">
        <f>IF(YLE成绩库!C22="","", YLE成绩库!G22)</f>
        <v>3</v>
      </c>
      <c r="T522">
        <f>IF(YLE成绩库!C22="","", YLE成绩库!H22)</f>
        <v>5</v>
      </c>
      <c r="U522">
        <f>IF(YLE成绩库!C22="","", YLE成绩库!K22)</f>
        <v>3</v>
      </c>
      <c r="V522">
        <f>IF(YLE成绩库!C22="","", YLE成绩库!W22)</f>
        <v>6</v>
      </c>
      <c r="W522">
        <f>IF(YLE成绩库!C22="","", YLE成绩库!X22)</f>
        <v>0</v>
      </c>
      <c r="X522" t="str">
        <f>IF(YLE成绩库!C22="","", YLE成绩库!AA22)</f>
        <v>⚠️ 薄弱环节: RW-Pt6
📉 考察能力: [读写] 完形填空 (无选项)
💡 提升建议: 类似于Part 4，但通常考察更具功能性的语法点。</v>
      </c>
      <c r="Z522" t="str">
        <f>IF(YLE成绩库!C22="","", YLE成绩库!Z22)</f>
        <v>⚠️ 薄弱环节: L-Pt2
📉 考察能力: [听力] 听取细节并填空
💡 提升建议: 信息量增加，注意快速书写，拼写必须准确。</v>
      </c>
    </row>
    <row r="523" spans="1:26" x14ac:dyDescent="0.2">
      <c r="A523" t="str">
        <f>IF(YLE成绩库!C23="","", YLE成绩库!C23)</f>
        <v>郑乔元 George Zheng</v>
      </c>
      <c r="B523" t="str">
        <f>IF(YLE成绩库!AB23="","", YLE成绩库!AB23)</f>
        <v>2024-01-15</v>
      </c>
      <c r="C523" t="str">
        <f>IF(YLE成绩库!B23="","", YLE成绩库!B23)</f>
        <v>A2</v>
      </c>
      <c r="D523" t="str">
        <f>IF(YLE成绩库!D23="","", YLE成绩库!D23)</f>
        <v>Flyers</v>
      </c>
      <c r="E523">
        <f>IF(YLE成绩库!C23="","", YLE成绩库!L23)</f>
        <v>0</v>
      </c>
      <c r="F523">
        <f>IF(YLE成绩库!C23="","", YLE成绩库!M23)</f>
        <v>6</v>
      </c>
      <c r="G523">
        <f>IF(YLE成绩库!C23="","", YLE成绩库!N23)</f>
        <v>3</v>
      </c>
      <c r="H523">
        <f>IF(YLE成绩库!C23="","", YLE成绩库!O23)</f>
        <v>5</v>
      </c>
      <c r="I523">
        <f>IF(YLE成绩库!C23="","", YLE成绩库!P23)</f>
        <v>7</v>
      </c>
      <c r="J523">
        <f>IF(YLE成绩库!C23="","", YLE成绩库!Q23)</f>
        <v>2</v>
      </c>
      <c r="K523">
        <f>IF(YLE成绩库!C23="","", YLE成绩库!R23)</f>
        <v>1</v>
      </c>
      <c r="L523">
        <f>IF(YLE成绩库!C23="","", YLE成绩库!U23)</f>
        <v>3</v>
      </c>
      <c r="M523">
        <v>0</v>
      </c>
      <c r="N523">
        <v>0</v>
      </c>
      <c r="O523">
        <v>0</v>
      </c>
      <c r="P523" t="str">
        <f>IF(YLE成绩库!C23="","", YLE成绩库!D23)</f>
        <v>Flyers</v>
      </c>
      <c r="Q523">
        <f>IF(YLE成绩库!C23="","", YLE成绩库!E23)</f>
        <v>5</v>
      </c>
      <c r="R523">
        <f>IF(YLE成绩库!C23="","", YLE成绩库!F23)</f>
        <v>0</v>
      </c>
      <c r="S523">
        <f>IF(YLE成绩库!C23="","", YLE成绩库!G23)</f>
        <v>4</v>
      </c>
      <c r="T523">
        <f>IF(YLE成绩库!C23="","", YLE成绩库!H23)</f>
        <v>4</v>
      </c>
      <c r="U523">
        <f>IF(YLE成绩库!C23="","", YLE成绩库!K23)</f>
        <v>4</v>
      </c>
      <c r="V523">
        <f>IF(YLE成绩库!C23="","", YLE成绩库!W23)</f>
        <v>7</v>
      </c>
      <c r="W523">
        <f>IF(YLE成绩库!C23="","", YLE成绩库!X23)</f>
        <v>0</v>
      </c>
      <c r="X523" t="str">
        <f>IF(YLE成绩库!C23="","", YLE成绩库!AA23)</f>
        <v>⚠️ 薄弱环节: RW-Pt7
📉 考察能力: [读写] 看图写作文
💡 提升建议: 观察三幅图，运用连接词编写一个有逻辑的短故事 (20词+)。</v>
      </c>
      <c r="Z523" t="str">
        <f>IF(YLE成绩库!C23="","", YLE成绩库!Z23)</f>
        <v>🎉 表现优异，无明显弱项！</v>
      </c>
    </row>
    <row r="524" spans="1:26" x14ac:dyDescent="0.2">
      <c r="A524" t="str">
        <f>IF(YLE成绩库!C24="","", YLE成绩库!C24)</f>
        <v>钱沅 Elsa Qian</v>
      </c>
      <c r="B524" t="str">
        <f>IF(YLE成绩库!AB24="","", YLE成绩库!AB24)</f>
        <v>2024-01-15</v>
      </c>
      <c r="C524" t="str">
        <f>IF(YLE成绩库!B24="","", YLE成绩库!B24)</f>
        <v>A2</v>
      </c>
      <c r="D524" t="str">
        <f>IF(YLE成绩库!D24="","", YLE成绩库!D24)</f>
        <v>Flyers</v>
      </c>
      <c r="E524">
        <f>IF(YLE成绩库!C24="","", YLE成绩库!L24)</f>
        <v>0</v>
      </c>
      <c r="F524">
        <f>IF(YLE成绩库!C24="","", YLE成绩库!M24)</f>
        <v>7</v>
      </c>
      <c r="G524">
        <f>IF(YLE成绩库!C24="","", YLE成绩库!N24)</f>
        <v>5</v>
      </c>
      <c r="H524">
        <f>IF(YLE成绩库!C24="","", YLE成绩库!O24)</f>
        <v>6</v>
      </c>
      <c r="I524">
        <f>IF(YLE成绩库!C24="","", YLE成绩库!P24)</f>
        <v>9</v>
      </c>
      <c r="J524">
        <f>IF(YLE成绩库!C24="","", YLE成绩库!Q24)</f>
        <v>5</v>
      </c>
      <c r="K524">
        <f>IF(YLE成绩库!C24="","", YLE成绩库!R24)</f>
        <v>0</v>
      </c>
      <c r="L524">
        <f>IF(YLE成绩库!C24="","", YLE成绩库!U24)</f>
        <v>3</v>
      </c>
      <c r="M524">
        <v>0</v>
      </c>
      <c r="N524">
        <v>0</v>
      </c>
      <c r="O524">
        <v>0</v>
      </c>
      <c r="P524" t="str">
        <f>IF(YLE成绩库!C24="","", YLE成绩库!D24)</f>
        <v>Flyers</v>
      </c>
      <c r="Q524">
        <f>IF(YLE成绩库!C24="","", YLE成绩库!E24)</f>
        <v>5</v>
      </c>
      <c r="R524">
        <f>IF(YLE成绩库!C24="","", YLE成绩库!F24)</f>
        <v>1</v>
      </c>
      <c r="S524">
        <f>IF(YLE成绩库!C24="","", YLE成绩库!G24)</f>
        <v>4</v>
      </c>
      <c r="T524">
        <f>IF(YLE成绩库!C24="","", YLE成绩库!H24)</f>
        <v>5</v>
      </c>
      <c r="U524">
        <f>IF(YLE成绩库!C24="","", YLE成绩库!K24)</f>
        <v>4</v>
      </c>
      <c r="V524">
        <f>IF(YLE成绩库!C24="","", YLE成绩库!W24)</f>
        <v>7</v>
      </c>
      <c r="W524">
        <f>IF(YLE成绩库!C24="","", YLE成绩库!X24)</f>
        <v>0</v>
      </c>
      <c r="X524" t="str">
        <f>IF(YLE成绩库!C24="","", YLE成绩库!AA24)</f>
        <v>⚠️ 薄弱环节: RW-Pt6
📉 考察能力: [读写] 完形填空 (无选项)
💡 提升建议: 类似于Part 4，但通常考察更具功能性的语法点。</v>
      </c>
      <c r="Z524" t="str">
        <f>IF(YLE成绩库!C24="","", YLE成绩库!Z24)</f>
        <v>🎉 表现优异，无明显弱项！</v>
      </c>
    </row>
    <row r="525" spans="1:26" x14ac:dyDescent="0.2">
      <c r="A525" t="str">
        <f>IF(YLE成绩库!C25="","", YLE成绩库!C25)</f>
        <v>陆羿恺 Noah Lu</v>
      </c>
      <c r="B525" t="str">
        <f>IF(YLE成绩库!AB25="","", YLE成绩库!AB25)</f>
        <v>2024-01-15</v>
      </c>
      <c r="C525" t="str">
        <f>IF(YLE成绩库!B25="","", YLE成绩库!B25)</f>
        <v>A2</v>
      </c>
      <c r="D525" t="str">
        <f>IF(YLE成绩库!D25="","", YLE成绩库!D25)</f>
        <v>Flyers</v>
      </c>
      <c r="E525">
        <f>IF(YLE成绩库!C25="","", YLE成绩库!L25)</f>
        <v>0</v>
      </c>
      <c r="F525">
        <f>IF(YLE成绩库!C25="","", YLE成绩库!M25)</f>
        <v>4</v>
      </c>
      <c r="G525">
        <f>IF(YLE成绩库!C25="","", YLE成绩库!N25)</f>
        <v>3</v>
      </c>
      <c r="H525">
        <f>IF(YLE成绩库!C25="","", YLE成绩库!O25)</f>
        <v>5</v>
      </c>
      <c r="I525">
        <f>IF(YLE成绩库!C25="","", YLE成绩库!P25)</f>
        <v>8</v>
      </c>
      <c r="J525">
        <f>IF(YLE成绩库!C25="","", YLE成绩库!Q25)</f>
        <v>3</v>
      </c>
      <c r="K525">
        <f>IF(YLE成绩库!C25="","", YLE成绩库!R25)</f>
        <v>0</v>
      </c>
      <c r="L525">
        <f>IF(YLE成绩库!C25="","", YLE成绩库!U25)</f>
        <v>3</v>
      </c>
      <c r="M525">
        <v>0</v>
      </c>
      <c r="N525">
        <v>0</v>
      </c>
      <c r="O525">
        <v>0</v>
      </c>
      <c r="P525" t="str">
        <f>IF(YLE成绩库!C25="","", YLE成绩库!D25)</f>
        <v>Flyers</v>
      </c>
      <c r="Q525">
        <f>IF(YLE成绩库!C25="","", YLE成绩库!E25)</f>
        <v>2</v>
      </c>
      <c r="R525">
        <f>IF(YLE成绩库!C25="","", YLE成绩库!F25)</f>
        <v>0</v>
      </c>
      <c r="S525">
        <f>IF(YLE成绩库!C25="","", YLE成绩库!G25)</f>
        <v>4</v>
      </c>
      <c r="T525">
        <f>IF(YLE成绩库!C25="","", YLE成绩库!H25)</f>
        <v>5</v>
      </c>
      <c r="U525">
        <f>IF(YLE成绩库!C25="","", YLE成绩库!K25)</f>
        <v>3</v>
      </c>
      <c r="V525">
        <f>IF(YLE成绩库!C25="","", YLE成绩库!W25)</f>
        <v>6</v>
      </c>
      <c r="W525">
        <f>IF(YLE成绩库!C25="","", YLE成绩库!X25)</f>
        <v>0</v>
      </c>
      <c r="X525" t="str">
        <f>IF(YLE成绩库!C25="","", YLE成绩库!AA25)</f>
        <v>⚠️ 薄弱环节: RW-Pt6
📉 考察能力: [读写] 完形填空 (无选项)
💡 提升建议: 类似于Part 4，但通常考察更具功能性的语法点。</v>
      </c>
      <c r="Z525" t="str">
        <f>IF(YLE成绩库!C25="","", YLE成绩库!Z25)</f>
        <v>⚠️ 薄弱环节: L-Pt2
📉 考察能力: [听力] 听取细节并填空
💡 提升建议: 信息量增加，注意快速书写，拼写必须准确。</v>
      </c>
    </row>
    <row r="526" spans="1:26" x14ac:dyDescent="0.2">
      <c r="A526" t="str">
        <f>IF(YLE成绩库!C26="","", YLE成绩库!C26)</f>
        <v>陈奕臻 Eason Chen</v>
      </c>
      <c r="B526" t="str">
        <f>IF(YLE成绩库!AB26="","", YLE成绩库!AB26)</f>
        <v>2024-01-15</v>
      </c>
      <c r="C526" t="str">
        <f>IF(YLE成绩库!B26="","", YLE成绩库!B26)</f>
        <v>A2</v>
      </c>
      <c r="D526" t="str">
        <f>IF(YLE成绩库!D26="","", YLE成绩库!D26)</f>
        <v>Flyers</v>
      </c>
      <c r="E526">
        <f>IF(YLE成绩库!C26="","", YLE成绩库!L26)</f>
        <v>0</v>
      </c>
      <c r="F526">
        <f>IF(YLE成绩库!C26="","", YLE成绩库!M26)</f>
        <v>6</v>
      </c>
      <c r="G526">
        <f>IF(YLE成绩库!C26="","", YLE成绩库!N26)</f>
        <v>2</v>
      </c>
      <c r="H526">
        <f>IF(YLE成绩库!C26="","", YLE成绩库!O26)</f>
        <v>4</v>
      </c>
      <c r="I526">
        <f>IF(YLE成绩库!C26="","", YLE成绩库!P26)</f>
        <v>6</v>
      </c>
      <c r="J526">
        <f>IF(YLE成绩库!C26="","", YLE成绩库!Q26)</f>
        <v>3</v>
      </c>
      <c r="K526">
        <f>IF(YLE成绩库!C26="","", YLE成绩库!R26)</f>
        <v>0</v>
      </c>
      <c r="L526">
        <f>IF(YLE成绩库!C26="","", YLE成绩库!U26)</f>
        <v>3</v>
      </c>
      <c r="M526">
        <v>0</v>
      </c>
      <c r="N526">
        <v>0</v>
      </c>
      <c r="O526">
        <v>0</v>
      </c>
      <c r="P526" t="str">
        <f>IF(YLE成绩库!C26="","", YLE成绩库!D26)</f>
        <v>Flyers</v>
      </c>
      <c r="Q526">
        <f>IF(YLE成绩库!C26="","", YLE成绩库!E26)</f>
        <v>4</v>
      </c>
      <c r="R526">
        <f>IF(YLE成绩库!C26="","", YLE成绩库!F26)</f>
        <v>1</v>
      </c>
      <c r="S526">
        <f>IF(YLE成绩库!C26="","", YLE成绩库!G26)</f>
        <v>1</v>
      </c>
      <c r="T526">
        <f>IF(YLE成绩库!C26="","", YLE成绩库!H26)</f>
        <v>4</v>
      </c>
      <c r="U526">
        <f>IF(YLE成绩库!C26="","", YLE成绩库!K26)</f>
        <v>3</v>
      </c>
      <c r="V526">
        <f>IF(YLE成绩库!C26="","", YLE成绩库!W26)</f>
        <v>6</v>
      </c>
      <c r="W526">
        <f>IF(YLE成绩库!C26="","", YLE成绩库!X26)</f>
        <v>0</v>
      </c>
      <c r="X526" t="str">
        <f>IF(YLE成绩库!C26="","", YLE成绩库!AA26)</f>
        <v>⚠️ 薄弱环节: RW-Pt6
📉 考察能力: [读写] 完形填空 (无选项)
💡 提升建议: 类似于Part 4，但通常考察更具功能性的语法点。</v>
      </c>
      <c r="Z526" t="str">
        <f>IF(YLE成绩库!C26="","", YLE成绩库!Z26)</f>
        <v>⚠️ 薄弱环节: L-Pt2
📉 考察能力: [听力] 听取细节并填空
💡 提升建议: 信息量增加，注意快速书写，拼写必须准确。</v>
      </c>
    </row>
    <row r="527" spans="1:26" x14ac:dyDescent="0.2">
      <c r="A527" t="str">
        <f>IF(YLE成绩库!C27="","", YLE成绩库!C27)</f>
        <v>刘芷萱 Heidi Liu</v>
      </c>
      <c r="B527" t="str">
        <f>IF(YLE成绩库!AB27="","", YLE成绩库!AB27)</f>
        <v>2024-01-15</v>
      </c>
      <c r="C527" t="str">
        <f>IF(YLE成绩库!B27="","", YLE成绩库!B27)</f>
        <v>A2</v>
      </c>
      <c r="D527" t="str">
        <f>IF(YLE成绩库!D27="","", YLE成绩库!D27)</f>
        <v>Movers</v>
      </c>
      <c r="E527">
        <f>IF(YLE成绩库!C27="","", YLE成绩库!L27)</f>
        <v>0</v>
      </c>
      <c r="F527">
        <f>IF(YLE成绩库!C27="","", YLE成绩库!M27)</f>
        <v>5</v>
      </c>
      <c r="G527">
        <f>IF(YLE成绩库!C27="","", YLE成绩库!N27)</f>
        <v>2</v>
      </c>
      <c r="H527">
        <f>IF(YLE成绩库!C27="","", YLE成绩库!O27)</f>
        <v>5</v>
      </c>
      <c r="I527">
        <f>IF(YLE成绩库!C27="","", YLE成绩库!P27)</f>
        <v>2</v>
      </c>
      <c r="J527">
        <f>IF(YLE成绩库!C27="","", YLE成绩库!Q27)</f>
        <v>3</v>
      </c>
      <c r="K527">
        <f>IF(YLE成绩库!C27="","", YLE成绩库!R27)</f>
        <v>0</v>
      </c>
      <c r="L527">
        <f>IF(YLE成绩库!C27="","", YLE成绩库!U27)</f>
        <v>1</v>
      </c>
      <c r="M527">
        <v>0</v>
      </c>
      <c r="N527">
        <v>0</v>
      </c>
      <c r="O527">
        <v>0</v>
      </c>
      <c r="P527" t="str">
        <f>IF(YLE成绩库!C27="","", YLE成绩库!D27)</f>
        <v>Movers</v>
      </c>
      <c r="Q527">
        <f>IF(YLE成绩库!C27="","", YLE成绩库!E27)</f>
        <v>5</v>
      </c>
      <c r="R527">
        <f>IF(YLE成绩库!C27="","", YLE成绩库!F27)</f>
        <v>1</v>
      </c>
      <c r="S527">
        <f>IF(YLE成绩库!C27="","", YLE成绩库!G27)</f>
        <v>4</v>
      </c>
      <c r="T527">
        <f>IF(YLE成绩库!C27="","", YLE成绩库!H27)</f>
        <v>1</v>
      </c>
      <c r="U527">
        <f>IF(YLE成绩库!C27="","", YLE成绩库!K27)</f>
        <v>3</v>
      </c>
      <c r="V527">
        <f>IF(YLE成绩库!C27="","", YLE成绩库!W27)</f>
        <v>4</v>
      </c>
      <c r="W527">
        <f>IF(YLE成绩库!C27="","", YLE成绩库!X27)</f>
        <v>0</v>
      </c>
      <c r="X527" t="str">
        <f>IF(YLE成绩库!C27="","", YLE成绩库!AA27)</f>
        <v>⚠️ 薄弱环节: RW-Pt6
📉 考察能力: [读写] 看图写句子
💡 提升建议: 仔细观察图片，回答问题并写完整的句子，注意拼写。</v>
      </c>
      <c r="Z527" t="str">
        <f>IF(YLE成绩库!C27="","", YLE成绩库!Z27)</f>
        <v>⚠️ 薄弱环节: L-Pt2
📉 考察能力: [听力] 听取细节并填空
💡 提升建议: 重点练习拼写人名、地名以及抓取数字信息。</v>
      </c>
    </row>
    <row r="528" spans="1:26" x14ac:dyDescent="0.2">
      <c r="A528" t="str">
        <f>IF(YLE成绩库!C28="","", YLE成绩库!C28)</f>
        <v>吕婉仪 Sofia Lv</v>
      </c>
      <c r="B528" t="str">
        <f>IF(YLE成绩库!AB28="","", YLE成绩库!AB28)</f>
        <v>2024-01-15</v>
      </c>
      <c r="C528" t="str">
        <f>IF(YLE成绩库!B28="","", YLE成绩库!B28)</f>
        <v>A2</v>
      </c>
      <c r="D528" t="str">
        <f>IF(YLE成绩库!D28="","", YLE成绩库!D28)</f>
        <v>Movers</v>
      </c>
      <c r="E528">
        <f>IF(YLE成绩库!C28="","", YLE成绩库!L28)</f>
        <v>0</v>
      </c>
      <c r="F528">
        <f>IF(YLE成绩库!C28="","", YLE成绩库!M28)</f>
        <v>5</v>
      </c>
      <c r="G528">
        <f>IF(YLE成绩库!C28="","", YLE成绩库!N28)</f>
        <v>5</v>
      </c>
      <c r="H528">
        <f>IF(YLE成绩库!C28="","", YLE成绩库!O28)</f>
        <v>6</v>
      </c>
      <c r="I528">
        <f>IF(YLE成绩库!C28="","", YLE成绩库!P28)</f>
        <v>5</v>
      </c>
      <c r="J528">
        <f>IF(YLE成绩库!C28="","", YLE成绩库!Q28)</f>
        <v>5</v>
      </c>
      <c r="K528">
        <f>IF(YLE成绩库!C28="","", YLE成绩库!R28)</f>
        <v>6</v>
      </c>
      <c r="L528">
        <f>IF(YLE成绩库!C28="","", YLE成绩库!U28)</f>
        <v>4</v>
      </c>
      <c r="M528">
        <v>0</v>
      </c>
      <c r="N528">
        <v>0</v>
      </c>
      <c r="O528">
        <v>0</v>
      </c>
      <c r="P528" t="str">
        <f>IF(YLE成绩库!C28="","", YLE成绩库!D28)</f>
        <v>Movers</v>
      </c>
      <c r="Q528">
        <f>IF(YLE成绩库!C28="","", YLE成绩库!E28)</f>
        <v>5</v>
      </c>
      <c r="R528">
        <f>IF(YLE成绩库!C28="","", YLE成绩库!F28)</f>
        <v>2</v>
      </c>
      <c r="S528">
        <f>IF(YLE成绩库!C28="","", YLE成绩库!G28)</f>
        <v>5</v>
      </c>
      <c r="T528">
        <f>IF(YLE成绩库!C28="","", YLE成绩库!H28)</f>
        <v>2</v>
      </c>
      <c r="U528">
        <f>IF(YLE成绩库!C28="","", YLE成绩库!K28)</f>
        <v>4</v>
      </c>
      <c r="V528">
        <f>IF(YLE成绩库!C28="","", YLE成绩库!W28)</f>
        <v>8</v>
      </c>
      <c r="W528">
        <f>IF(YLE成绩库!C28="","", YLE成绩库!X28)</f>
        <v>0</v>
      </c>
      <c r="X528" t="str">
        <f>IF(YLE成绩库!C28="","", YLE成绩库!AA28)</f>
        <v>🎉 表现优异，无明显弱项！</v>
      </c>
      <c r="Z528" t="str">
        <f>IF(YLE成绩库!C28="","", YLE成绩库!Z28)</f>
        <v>🎉 表现优异，无明显弱项！</v>
      </c>
    </row>
    <row r="529" spans="1:26" x14ac:dyDescent="0.2">
      <c r="A529" t="str">
        <f>IF(YLE成绩库!C29="","", YLE成绩库!C29)</f>
        <v>林怿辛 Adam Lin</v>
      </c>
      <c r="B529" t="str">
        <f>IF(YLE成绩库!AB29="","", YLE成绩库!AB29)</f>
        <v>2024-01-15</v>
      </c>
      <c r="C529" t="str">
        <f>IF(YLE成绩库!B29="","", YLE成绩库!B29)</f>
        <v>A2</v>
      </c>
      <c r="D529" t="str">
        <f>IF(YLE成绩库!D29="","", YLE成绩库!D29)</f>
        <v>Movers</v>
      </c>
      <c r="E529">
        <f>IF(YLE成绩库!C29="","", YLE成绩库!L29)</f>
        <v>0</v>
      </c>
      <c r="F529">
        <f>IF(YLE成绩库!C29="","", YLE成绩库!M29)</f>
        <v>5</v>
      </c>
      <c r="G529">
        <f>IF(YLE成绩库!C29="","", YLE成绩库!N29)</f>
        <v>6</v>
      </c>
      <c r="H529">
        <f>IF(YLE成绩库!C29="","", YLE成绩库!O29)</f>
        <v>6</v>
      </c>
      <c r="I529">
        <f>IF(YLE成绩库!C29="","", YLE成绩库!P29)</f>
        <v>4</v>
      </c>
      <c r="J529">
        <f>IF(YLE成绩库!C29="","", YLE成绩库!Q29)</f>
        <v>4</v>
      </c>
      <c r="K529">
        <f>IF(YLE成绩库!C29="","", YLE成绩库!R29)</f>
        <v>4</v>
      </c>
      <c r="L529">
        <f>IF(YLE成绩库!C29="","", YLE成绩库!U29)</f>
        <v>4</v>
      </c>
      <c r="M529">
        <v>0</v>
      </c>
      <c r="N529">
        <v>0</v>
      </c>
      <c r="O529">
        <v>0</v>
      </c>
      <c r="P529" t="str">
        <f>IF(YLE成绩库!C29="","", YLE成绩库!D29)</f>
        <v>Movers</v>
      </c>
      <c r="Q529">
        <f>IF(YLE成绩库!C29="","", YLE成绩库!E29)</f>
        <v>5</v>
      </c>
      <c r="R529">
        <f>IF(YLE成绩库!C29="","", YLE成绩库!F29)</f>
        <v>2</v>
      </c>
      <c r="S529">
        <f>IF(YLE成绩库!C29="","", YLE成绩库!G29)</f>
        <v>5</v>
      </c>
      <c r="T529">
        <f>IF(YLE成绩库!C29="","", YLE成绩库!H29)</f>
        <v>2</v>
      </c>
      <c r="U529">
        <f>IF(YLE成绩库!C29="","", YLE成绩库!K29)</f>
        <v>4</v>
      </c>
      <c r="V529">
        <f>IF(YLE成绩库!C29="","", YLE成绩库!W29)</f>
        <v>8</v>
      </c>
      <c r="W529">
        <f>IF(YLE成绩库!C29="","", YLE成绩库!X29)</f>
        <v>0</v>
      </c>
      <c r="X529" t="str">
        <f>IF(YLE成绩库!C29="","", YLE成绩库!AA29)</f>
        <v>🎉 表现优异，无明显弱项！</v>
      </c>
      <c r="Z529" t="str">
        <f>IF(YLE成绩库!C29="","", YLE成绩库!Z29)</f>
        <v>🎉 表现优异，无明显弱项！</v>
      </c>
    </row>
    <row r="530" spans="1:26" x14ac:dyDescent="0.2">
      <c r="A530" t="str">
        <f>IF(YLE成绩库!C30="","", YLE成绩库!C30)</f>
        <v>邬宇玹 Zoe Wu</v>
      </c>
      <c r="B530" t="str">
        <f>IF(YLE成绩库!AB30="","", YLE成绩库!AB30)</f>
        <v>2024-01-15</v>
      </c>
      <c r="C530" t="str">
        <f>IF(YLE成绩库!B30="","", YLE成绩库!B30)</f>
        <v>A2</v>
      </c>
      <c r="D530" t="str">
        <f>IF(YLE成绩库!D30="","", YLE成绩库!D30)</f>
        <v>Movers</v>
      </c>
      <c r="E530">
        <f>IF(YLE成绩库!C30="","", YLE成绩库!L30)</f>
        <v>0</v>
      </c>
      <c r="F530">
        <f>IF(YLE成绩库!C30="","", YLE成绩库!M30)</f>
        <v>2</v>
      </c>
      <c r="G530">
        <f>IF(YLE成绩库!C30="","", YLE成绩库!N30)</f>
        <v>5</v>
      </c>
      <c r="H530">
        <f>IF(YLE成绩库!C30="","", YLE成绩库!O30)</f>
        <v>5</v>
      </c>
      <c r="I530">
        <f>IF(YLE成绩库!C30="","", YLE成绩库!P30)</f>
        <v>4</v>
      </c>
      <c r="J530">
        <f>IF(YLE成绩库!C30="","", YLE成绩库!Q30)</f>
        <v>1</v>
      </c>
      <c r="K530">
        <f>IF(YLE成绩库!C30="","", YLE成绩库!R30)</f>
        <v>4</v>
      </c>
      <c r="L530">
        <f>IF(YLE成绩库!C30="","", YLE成绩库!U30)</f>
        <v>2</v>
      </c>
      <c r="M530">
        <v>0</v>
      </c>
      <c r="N530">
        <v>0</v>
      </c>
      <c r="O530">
        <v>0</v>
      </c>
      <c r="P530" t="str">
        <f>IF(YLE成绩库!C30="","", YLE成绩库!D30)</f>
        <v>Movers</v>
      </c>
      <c r="Q530">
        <f>IF(YLE成绩库!C30="","", YLE成绩库!E30)</f>
        <v>4</v>
      </c>
      <c r="R530">
        <f>IF(YLE成绩库!C30="","", YLE成绩库!F30)</f>
        <v>2</v>
      </c>
      <c r="S530">
        <f>IF(YLE成绩库!C30="","", YLE成绩库!G30)</f>
        <v>4</v>
      </c>
      <c r="T530">
        <f>IF(YLE成绩库!C30="","", YLE成绩库!H30)</f>
        <v>2</v>
      </c>
      <c r="U530">
        <f>IF(YLE成绩库!C30="","", YLE成绩库!K30)</f>
        <v>3</v>
      </c>
      <c r="V530">
        <f>IF(YLE成绩库!C30="","", YLE成绩库!W30)</f>
        <v>5</v>
      </c>
      <c r="W530">
        <f>IF(YLE成绩库!C30="","", YLE成绩库!X30)</f>
        <v>0</v>
      </c>
      <c r="X530" t="str">
        <f>IF(YLE成绩库!C30="","", YLE成绩库!AA30)</f>
        <v>⚠️ 薄弱环节: RW-Pt5
📉 考察能力: [读写] 阅读故事补全句子
💡 提升建议: 练习同义替换，答案通常直接来自文章，不要自己编造。</v>
      </c>
      <c r="Z530" t="str">
        <f>IF(YLE成绩库!C30="","", YLE成绩库!Z30)</f>
        <v>⚠️ 薄弱环节: L-Pt2
📉 考察能力: [听力] 听取细节并填空
💡 提升建议: 重点练习拼写人名、地名以及抓取数字信息。</v>
      </c>
    </row>
    <row r="531" spans="1:26" x14ac:dyDescent="0.2">
      <c r="A531" t="str">
        <f>IF(YLE成绩库!C31="","", YLE成绩库!C31)</f>
        <v>李晨弘 Sean Li</v>
      </c>
      <c r="B531" t="str">
        <f>IF(YLE成绩库!AB31="","", YLE成绩库!AB31)</f>
        <v>2024-01-15</v>
      </c>
      <c r="C531" t="str">
        <f>IF(YLE成绩库!B31="","", YLE成绩库!B31)</f>
        <v>A4</v>
      </c>
      <c r="D531" t="str">
        <f>IF(YLE成绩库!D31="","", YLE成绩库!D31)</f>
        <v xml:space="preserve">Flyers </v>
      </c>
      <c r="E531">
        <f>IF(YLE成绩库!C31="","", YLE成绩库!L31)</f>
        <v>0</v>
      </c>
      <c r="F531">
        <f>IF(YLE成绩库!C31="","", YLE成绩库!M31)</f>
        <v>5</v>
      </c>
      <c r="G531">
        <f>IF(YLE成绩库!C31="","", YLE成绩库!N31)</f>
        <v>2</v>
      </c>
      <c r="H531">
        <f>IF(YLE成绩库!C31="","", YLE成绩库!O31)</f>
        <v>6</v>
      </c>
      <c r="I531">
        <f>IF(YLE成绩库!C31="","", YLE成绩库!P31)</f>
        <v>3</v>
      </c>
      <c r="J531">
        <f>IF(YLE成绩库!C31="","", YLE成绩库!Q31)</f>
        <v>1</v>
      </c>
      <c r="K531">
        <f>IF(YLE成绩库!C31="","", YLE成绩库!R31)</f>
        <v>0</v>
      </c>
      <c r="L531">
        <f>IF(YLE成绩库!C31="","", YLE成绩库!U31)</f>
        <v>2</v>
      </c>
      <c r="M531">
        <v>0</v>
      </c>
      <c r="N531">
        <v>0</v>
      </c>
      <c r="O531">
        <v>0</v>
      </c>
      <c r="P531" t="str">
        <f>IF(YLE成绩库!C31="","", YLE成绩库!D31)</f>
        <v xml:space="preserve">Flyers </v>
      </c>
      <c r="Q531">
        <f>IF(YLE成绩库!C31="","", YLE成绩库!E31)</f>
        <v>3</v>
      </c>
      <c r="R531">
        <f>IF(YLE成绩库!C31="","", YLE成绩库!F31)</f>
        <v>0</v>
      </c>
      <c r="S531">
        <f>IF(YLE成绩库!C31="","", YLE成绩库!G31)</f>
        <v>5</v>
      </c>
      <c r="T531">
        <f>IF(YLE成绩库!C31="","", YLE成绩库!H31)</f>
        <v>5</v>
      </c>
      <c r="U531">
        <f>IF(YLE成绩库!C31="","", YLE成绩库!K31)</f>
        <v>4</v>
      </c>
      <c r="V531">
        <f>IF(YLE成绩库!C31="","", YLE成绩库!W31)</f>
        <v>6</v>
      </c>
      <c r="W531">
        <f>IF(YLE成绩库!C31="","", YLE成绩库!X31)</f>
        <v>0</v>
      </c>
      <c r="X531" t="str">
        <f>IF(YLE成绩库!C31="","", YLE成绩库!AA31)</f>
        <v>⚠️ 薄弱环节: RW-Pt6
📉 考察能力: [读写] 完形填空 (无选项)
💡 提升建议: 类似于Part 4，但通常考察更具功能性的语法点。</v>
      </c>
      <c r="Z531" t="str">
        <f>IF(YLE成绩库!C31="","", YLE成绩库!Z31)</f>
        <v>🎉 表现优异，无明显弱项！</v>
      </c>
    </row>
    <row r="532" spans="1:26" x14ac:dyDescent="0.2">
      <c r="A532" t="str">
        <f>IF(YLE成绩库!C32="","", YLE成绩库!C32)</f>
        <v>严浩桐 Ryan Yan</v>
      </c>
      <c r="B532" t="str">
        <f>IF(YLE成绩库!AB32="","", YLE成绩库!AB32)</f>
        <v>2024-01-15</v>
      </c>
      <c r="C532" t="str">
        <f>IF(YLE成绩库!B32="","", YLE成绩库!B32)</f>
        <v>A4</v>
      </c>
      <c r="D532" t="str">
        <f>IF(YLE成绩库!D32="","", YLE成绩库!D32)</f>
        <v>Movers</v>
      </c>
      <c r="E532">
        <f>IF(YLE成绩库!C32="","", YLE成绩库!L32)</f>
        <v>0</v>
      </c>
      <c r="F532">
        <f>IF(YLE成绩库!C32="","", YLE成绩库!M32)</f>
        <v>4</v>
      </c>
      <c r="G532">
        <f>IF(YLE成绩库!C32="","", YLE成绩库!N32)</f>
        <v>4</v>
      </c>
      <c r="H532">
        <f>IF(YLE成绩库!C32="","", YLE成绩库!O32)</f>
        <v>2</v>
      </c>
      <c r="I532">
        <f>IF(YLE成绩库!C32="","", YLE成绩库!P32)</f>
        <v>3</v>
      </c>
      <c r="J532">
        <f>IF(YLE成绩库!C32="","", YLE成绩库!Q32)</f>
        <v>0</v>
      </c>
      <c r="K532">
        <f>IF(YLE成绩库!C32="","", YLE成绩库!R32)</f>
        <v>0</v>
      </c>
      <c r="L532">
        <f>IF(YLE成绩库!C32="","", YLE成绩库!U32)</f>
        <v>1</v>
      </c>
      <c r="M532">
        <v>0</v>
      </c>
      <c r="N532">
        <v>0</v>
      </c>
      <c r="O532">
        <v>0</v>
      </c>
      <c r="P532" t="str">
        <f>IF(YLE成绩库!C32="","", YLE成绩库!D32)</f>
        <v>Movers</v>
      </c>
      <c r="Q532">
        <f>IF(YLE成绩库!C32="","", YLE成绩库!E32)</f>
        <v>5</v>
      </c>
      <c r="R532">
        <f>IF(YLE成绩库!C32="","", YLE成绩库!F32)</f>
        <v>1</v>
      </c>
      <c r="S532">
        <f>IF(YLE成绩库!C32="","", YLE成绩库!G32)</f>
        <v>1</v>
      </c>
      <c r="T532">
        <f>IF(YLE成绩库!C32="","", YLE成绩库!H32)</f>
        <v>3</v>
      </c>
      <c r="U532">
        <f>IF(YLE成绩库!C32="","", YLE成绩库!K32)</f>
        <v>2</v>
      </c>
      <c r="V532">
        <f>IF(YLE成绩库!C32="","", YLE成绩库!W32)</f>
        <v>3</v>
      </c>
      <c r="W532">
        <f>IF(YLE成绩库!C32="","", YLE成绩库!X32)</f>
        <v>0</v>
      </c>
      <c r="X532" t="str">
        <f>IF(YLE成绩库!C32="","", YLE成绩库!AA32)</f>
        <v>⚠️ 薄弱环节: RW-Pt5
📉 考察能力: [读写] 阅读故事补全句子
💡 提升建议: 练习同义替换，答案通常直接来自文章，不要自己编造。</v>
      </c>
      <c r="Z532" t="str">
        <f>IF(YLE成绩库!C32="","", YLE成绩库!Z32)</f>
        <v>⚠️ 薄弱环节: L-Pt2
📉 考察能力: [听力] 听取细节并填空
💡 提升建议: 重点练习拼写人名、地名以及抓取数字信息。</v>
      </c>
    </row>
    <row r="533" spans="1:26" x14ac:dyDescent="0.2">
      <c r="A533" t="str">
        <f>IF(YLE成绩库!C33="","", YLE成绩库!C33)</f>
        <v>沈泽辰 Jack Shen</v>
      </c>
      <c r="B533" t="str">
        <f>IF(YLE成绩库!AB33="","", YLE成绩库!AB33)</f>
        <v>2024-01-15</v>
      </c>
      <c r="C533" t="str">
        <f>IF(YLE成绩库!B33="","", YLE成绩库!B33)</f>
        <v>A4</v>
      </c>
      <c r="D533" t="str">
        <f>IF(YLE成绩库!D33="","", YLE成绩库!D33)</f>
        <v>Movers</v>
      </c>
      <c r="E533">
        <f>IF(YLE成绩库!C33="","", YLE成绩库!L33)</f>
        <v>0</v>
      </c>
      <c r="F533">
        <f>IF(YLE成绩库!C33="","", YLE成绩库!M33)</f>
        <v>1</v>
      </c>
      <c r="G533">
        <f>IF(YLE成绩库!C33="","", YLE成绩库!N33)</f>
        <v>4</v>
      </c>
      <c r="H533">
        <f>IF(YLE成绩库!C33="","", YLE成绩库!O33)</f>
        <v>0</v>
      </c>
      <c r="I533">
        <f>IF(YLE成绩库!C33="","", YLE成绩库!P33)</f>
        <v>0</v>
      </c>
      <c r="J533">
        <f>IF(YLE成绩库!C33="","", YLE成绩库!Q33)</f>
        <v>0</v>
      </c>
      <c r="K533">
        <f>IF(YLE成绩库!C33="","", YLE成绩库!R33)</f>
        <v>0</v>
      </c>
      <c r="L533">
        <f>IF(YLE成绩库!C33="","", YLE成绩库!U33)</f>
        <v>1</v>
      </c>
      <c r="M533">
        <v>0</v>
      </c>
      <c r="N533">
        <v>0</v>
      </c>
      <c r="O533">
        <v>0</v>
      </c>
      <c r="P533" t="str">
        <f>IF(YLE成绩库!C33="","", YLE成绩库!D33)</f>
        <v>Movers</v>
      </c>
      <c r="Q533">
        <f>IF(YLE成绩库!C33="","", YLE成绩库!E33)</f>
        <v>5</v>
      </c>
      <c r="R533">
        <f>IF(YLE成绩库!C33="","", YLE成绩库!F33)</f>
        <v>0</v>
      </c>
      <c r="S533">
        <f>IF(YLE成绩库!C33="","", YLE成绩库!G33)</f>
        <v>1</v>
      </c>
      <c r="T533">
        <f>IF(YLE成绩库!C33="","", YLE成绩库!H33)</f>
        <v>3</v>
      </c>
      <c r="U533">
        <f>IF(YLE成绩库!C33="","", YLE成绩库!K33)</f>
        <v>1</v>
      </c>
      <c r="V533">
        <f>IF(YLE成绩库!C33="","", YLE成绩库!W33)</f>
        <v>2</v>
      </c>
      <c r="W533">
        <f>IF(YLE成绩库!C33="","", YLE成绩库!X33)</f>
        <v>0</v>
      </c>
      <c r="X533" t="str">
        <f>IF(YLE成绩库!C33="","", YLE成绩库!AA33)</f>
        <v>⚠️ 薄弱环节: RW-Pt3
📉 考察能力: [读写] 完形填空 (选词)
💡 提升建议: 通读全文掌握大意，根据词性判断空格处应填名词还是动词。</v>
      </c>
      <c r="Z533" t="str">
        <f>IF(YLE成绩库!C33="","", YLE成绩库!Z33)</f>
        <v>⚠️ 薄弱环节: L-Pt2
📉 考察能力: [听力] 听取细节并填空
💡 提升建议: 重点练习拼写人名、地名以及抓取数字信息。</v>
      </c>
    </row>
    <row r="534" spans="1:26" x14ac:dyDescent="0.2">
      <c r="A534" t="str">
        <f>IF(YLE成绩库!C34="","", YLE成绩库!C34)</f>
        <v>徐沁尧 Yoyo Xu</v>
      </c>
      <c r="B534" t="str">
        <f>IF(YLE成绩库!AB34="","", YLE成绩库!AB34)</f>
        <v>2024-01-15</v>
      </c>
      <c r="C534" t="str">
        <f>IF(YLE成绩库!B34="","", YLE成绩库!B34)</f>
        <v>A4</v>
      </c>
      <c r="D534" t="str">
        <f>IF(YLE成绩库!D34="","", YLE成绩库!D34)</f>
        <v>Movers</v>
      </c>
      <c r="E534">
        <f>IF(YLE成绩库!C34="","", YLE成绩库!L34)</f>
        <v>0</v>
      </c>
      <c r="F534">
        <f>IF(YLE成绩库!C34="","", YLE成绩库!M34)</f>
        <v>2</v>
      </c>
      <c r="G534">
        <f>IF(YLE成绩库!C34="","", YLE成绩库!N34)</f>
        <v>2</v>
      </c>
      <c r="H534">
        <f>IF(YLE成绩库!C34="","", YLE成绩库!O34)</f>
        <v>2</v>
      </c>
      <c r="I534">
        <f>IF(YLE成绩库!C34="","", YLE成绩库!P34)</f>
        <v>0</v>
      </c>
      <c r="J534">
        <f>IF(YLE成绩库!C34="","", YLE成绩库!Q34)</f>
        <v>0</v>
      </c>
      <c r="K534">
        <f>IF(YLE成绩库!C34="","", YLE成绩库!R34)</f>
        <v>0</v>
      </c>
      <c r="L534">
        <f>IF(YLE成绩库!C34="","", YLE成绩库!U34)</f>
        <v>1</v>
      </c>
      <c r="M534">
        <v>0</v>
      </c>
      <c r="N534">
        <v>0</v>
      </c>
      <c r="O534">
        <v>0</v>
      </c>
      <c r="P534" t="str">
        <f>IF(YLE成绩库!C34="","", YLE成绩库!D34)</f>
        <v>Movers</v>
      </c>
      <c r="Q534">
        <f>IF(YLE成绩库!C34="","", YLE成绩库!E34)</f>
        <v>3</v>
      </c>
      <c r="R534">
        <f>IF(YLE成绩库!C34="","", YLE成绩库!F34)</f>
        <v>0</v>
      </c>
      <c r="S534">
        <f>IF(YLE成绩库!C34="","", YLE成绩库!G34)</f>
        <v>0</v>
      </c>
      <c r="T534">
        <f>IF(YLE成绩库!C34="","", YLE成绩库!H34)</f>
        <v>0</v>
      </c>
      <c r="U534">
        <f>IF(YLE成绩库!C34="","", YLE成绩库!K34)</f>
        <v>1</v>
      </c>
      <c r="V534">
        <f>IF(YLE成绩库!C34="","", YLE成绩库!W34)</f>
        <v>2</v>
      </c>
      <c r="W534">
        <f>IF(YLE成绩库!C34="","", YLE成绩库!X34)</f>
        <v>0</v>
      </c>
      <c r="X534" t="str">
        <f>IF(YLE成绩库!C34="","", YLE成绩库!AA34)</f>
        <v>⚠️ 薄弱环节: RW-Pt4
📉 考察能力: [读写] 多项选择 (语法)
💡 提升建议: 重点考核语法基础，如名词单复数、代词指代、动词形式。</v>
      </c>
      <c r="Z534" t="str">
        <f>IF(YLE成绩库!C34="","", YLE成绩库!Z34)</f>
        <v>⚠️ 薄弱环节: L-Pt2
📉 考察能力: [听力] 听取细节并填空
💡 提升建议: 重点练习拼写人名、地名以及抓取数字信息。</v>
      </c>
    </row>
    <row r="535" spans="1:26" x14ac:dyDescent="0.2">
      <c r="A535" t="str">
        <f>IF(YLE成绩库!C35="","", YLE成绩库!C35)</f>
        <v>史言 Millie Shi</v>
      </c>
      <c r="B535" t="str">
        <f>IF(YLE成绩库!AB35="","", YLE成绩库!AB35)</f>
        <v>2024-01-15</v>
      </c>
      <c r="C535" t="str">
        <f>IF(YLE成绩库!B35="","", YLE成绩库!B35)</f>
        <v>A4</v>
      </c>
      <c r="D535" t="str">
        <f>IF(YLE成绩库!D35="","", YLE成绩库!D35)</f>
        <v>Movers</v>
      </c>
      <c r="E535">
        <f>IF(YLE成绩库!C35="","", YLE成绩库!L35)</f>
        <v>0</v>
      </c>
      <c r="F535">
        <f>IF(YLE成绩库!C35="","", YLE成绩库!M35)</f>
        <v>2</v>
      </c>
      <c r="G535">
        <f>IF(YLE成绩库!C35="","", YLE成绩库!N35)</f>
        <v>2</v>
      </c>
      <c r="H535">
        <f>IF(YLE成绩库!C35="","", YLE成绩库!O35)</f>
        <v>0</v>
      </c>
      <c r="I535">
        <f>IF(YLE成绩库!C35="","", YLE成绩库!P35)</f>
        <v>0</v>
      </c>
      <c r="J535">
        <f>IF(YLE成绩库!C35="","", YLE成绩库!Q35)</f>
        <v>0</v>
      </c>
      <c r="K535">
        <f>IF(YLE成绩库!C35="","", YLE成绩库!R35)</f>
        <v>0</v>
      </c>
      <c r="L535">
        <f>IF(YLE成绩库!C35="","", YLE成绩库!U35)</f>
        <v>1</v>
      </c>
      <c r="M535">
        <v>0</v>
      </c>
      <c r="N535">
        <v>0</v>
      </c>
      <c r="O535">
        <v>0</v>
      </c>
      <c r="P535" t="str">
        <f>IF(YLE成绩库!C35="","", YLE成绩库!D35)</f>
        <v>Movers</v>
      </c>
      <c r="Q535">
        <f>IF(YLE成绩库!C35="","", YLE成绩库!E35)</f>
        <v>4</v>
      </c>
      <c r="R535">
        <f>IF(YLE成绩库!C35="","", YLE成绩库!F35)</f>
        <v>0</v>
      </c>
      <c r="S535">
        <f>IF(YLE成绩库!C35="","", YLE成绩库!G35)</f>
        <v>0</v>
      </c>
      <c r="T535">
        <f>IF(YLE成绩库!C35="","", YLE成绩库!H35)</f>
        <v>0</v>
      </c>
      <c r="U535">
        <f>IF(YLE成绩库!C35="","", YLE成绩库!K35)</f>
        <v>1</v>
      </c>
      <c r="V535">
        <f>IF(YLE成绩库!C35="","", YLE成绩库!W35)</f>
        <v>2</v>
      </c>
      <c r="W535">
        <f>IF(YLE成绩库!C35="","", YLE成绩库!X35)</f>
        <v>0</v>
      </c>
      <c r="X535" t="str">
        <f>IF(YLE成绩库!C35="","", YLE成绩库!AA35)</f>
        <v>⚠️ 薄弱环节: RW-Pt3
📉 考察能力: [读写] 完形填空 (选词)
💡 提升建议: 通读全文掌握大意，根据词性判断空格处应填名词还是动词。</v>
      </c>
      <c r="Z535" t="str">
        <f>IF(YLE成绩库!C35="","", YLE成绩库!Z35)</f>
        <v>⚠️ 薄弱环节: L-Pt2
📉 考察能力: [听力] 听取细节并填空
💡 提升建议: 重点练习拼写人名、地名以及抓取数字信息。</v>
      </c>
    </row>
    <row r="536" spans="1:26" x14ac:dyDescent="0.2">
      <c r="A536" t="str">
        <f>IF(YLE成绩库!C36="","", YLE成绩库!C36)</f>
        <v>周晟妍 Candy Zhou</v>
      </c>
      <c r="B536" t="str">
        <f>IF(YLE成绩库!AB36="","", YLE成绩库!AB36)</f>
        <v>2024-01-15</v>
      </c>
      <c r="C536" t="str">
        <f>IF(YLE成绩库!B36="","", YLE成绩库!B36)</f>
        <v>A4</v>
      </c>
      <c r="D536" t="str">
        <f>IF(YLE成绩库!D36="","", YLE成绩库!D36)</f>
        <v>Movers</v>
      </c>
      <c r="E536">
        <f>IF(YLE成绩库!C36="","", YLE成绩库!L36)</f>
        <v>0</v>
      </c>
      <c r="F536">
        <f>IF(YLE成绩库!C36="","", YLE成绩库!M36)</f>
        <v>2</v>
      </c>
      <c r="G536">
        <f>IF(YLE成绩库!C36="","", YLE成绩库!N36)</f>
        <v>0</v>
      </c>
      <c r="H536">
        <f>IF(YLE成绩库!C36="","", YLE成绩库!O36)</f>
        <v>2</v>
      </c>
      <c r="I536">
        <f>IF(YLE成绩库!C36="","", YLE成绩库!P36)</f>
        <v>2</v>
      </c>
      <c r="J536">
        <f>IF(YLE成绩库!C36="","", YLE成绩库!Q36)</f>
        <v>1</v>
      </c>
      <c r="K536">
        <f>IF(YLE成绩库!C36="","", YLE成绩库!R36)</f>
        <v>0</v>
      </c>
      <c r="L536">
        <f>IF(YLE成绩库!C36="","", YLE成绩库!U36)</f>
        <v>1</v>
      </c>
      <c r="M536">
        <v>0</v>
      </c>
      <c r="N536">
        <v>0</v>
      </c>
      <c r="O536">
        <v>0</v>
      </c>
      <c r="P536" t="str">
        <f>IF(YLE成绩库!C36="","", YLE成绩库!D36)</f>
        <v>Movers</v>
      </c>
      <c r="Q536">
        <f>IF(YLE成绩库!C36="","", YLE成绩库!E36)</f>
        <v>3</v>
      </c>
      <c r="R536">
        <f>IF(YLE成绩库!C36="","", YLE成绩库!F36)</f>
        <v>1</v>
      </c>
      <c r="S536">
        <f>IF(YLE成绩库!C36="","", YLE成绩库!G36)</f>
        <v>1</v>
      </c>
      <c r="T536">
        <f>IF(YLE成绩库!C36="","", YLE成绩库!H36)</f>
        <v>3</v>
      </c>
      <c r="U536">
        <f>IF(YLE成绩库!C36="","", YLE成绩库!K36)</f>
        <v>1</v>
      </c>
      <c r="V536">
        <f>IF(YLE成绩库!C36="","", YLE成绩库!W36)</f>
        <v>2</v>
      </c>
      <c r="W536">
        <f>IF(YLE成绩库!C36="","", YLE成绩库!X36)</f>
        <v>0</v>
      </c>
      <c r="X536" t="str">
        <f>IF(YLE成绩库!C36="","", YLE成绩库!AA36)</f>
        <v>⚠️ 薄弱环节: RW-Pt2
📉 考察能力: [读写] 补全对话
💡 提升建议: 结合上下文语境，注意问句和答句的时态一致性。</v>
      </c>
      <c r="Z536" t="str">
        <f>IF(YLE成绩库!C36="","", YLE成绩库!Z36)</f>
        <v>⚠️ 薄弱环节: L-Pt2
📉 考察能力: [听力] 听取细节并填空
💡 提升建议: 重点练习拼写人名、地名以及抓取数字信息。</v>
      </c>
    </row>
    <row r="537" spans="1:26" x14ac:dyDescent="0.2">
      <c r="A537" t="str">
        <f>IF(YLE成绩库!C37="","", YLE成绩库!C37)</f>
        <v>黄楒雯 Wendy Huang</v>
      </c>
      <c r="B537" t="str">
        <f>IF(YLE成绩库!AB37="","", YLE成绩库!AB37)</f>
        <v>2024-01-15</v>
      </c>
      <c r="C537" t="str">
        <f>IF(YLE成绩库!B37="","", YLE成绩库!B37)</f>
        <v>A4</v>
      </c>
      <c r="D537" t="str">
        <f>IF(YLE成绩库!D37="","", YLE成绩库!D37)</f>
        <v>Movers</v>
      </c>
      <c r="E537">
        <f>IF(YLE成绩库!C37="","", YLE成绩库!L37)</f>
        <v>0</v>
      </c>
      <c r="F537">
        <f>IF(YLE成绩库!C37="","", YLE成绩库!M37)</f>
        <v>3</v>
      </c>
      <c r="G537">
        <f>IF(YLE成绩库!C37="","", YLE成绩库!N37)</f>
        <v>4</v>
      </c>
      <c r="H537">
        <f>IF(YLE成绩库!C37="","", YLE成绩库!O37)</f>
        <v>4</v>
      </c>
      <c r="I537">
        <f>IF(YLE成绩库!C37="","", YLE成绩库!P37)</f>
        <v>1</v>
      </c>
      <c r="J537">
        <f>IF(YLE成绩库!C37="","", YLE成绩库!Q37)</f>
        <v>2</v>
      </c>
      <c r="K537">
        <f>IF(YLE成绩库!C37="","", YLE成绩库!R37)</f>
        <v>1</v>
      </c>
      <c r="L537">
        <f>IF(YLE成绩库!C37="","", YLE成绩库!U37)</f>
        <v>1</v>
      </c>
      <c r="M537">
        <v>0</v>
      </c>
      <c r="N537">
        <v>0</v>
      </c>
      <c r="O537">
        <v>0</v>
      </c>
      <c r="P537" t="str">
        <f>IF(YLE成绩库!C37="","", YLE成绩库!D37)</f>
        <v>Movers</v>
      </c>
      <c r="Q537">
        <f>IF(YLE成绩库!C37="","", YLE成绩库!E37)</f>
        <v>4</v>
      </c>
      <c r="R537">
        <f>IF(YLE成绩库!C37="","", YLE成绩库!F37)</f>
        <v>2</v>
      </c>
      <c r="S537">
        <f>IF(YLE成绩库!C37="","", YLE成绩库!G37)</f>
        <v>3</v>
      </c>
      <c r="T537">
        <f>IF(YLE成绩库!C37="","", YLE成绩库!H37)</f>
        <v>1</v>
      </c>
      <c r="U537">
        <f>IF(YLE成绩库!C37="","", YLE成绩库!K37)</f>
        <v>3</v>
      </c>
      <c r="V537">
        <f>IF(YLE成绩库!C37="","", YLE成绩库!W37)</f>
        <v>4</v>
      </c>
      <c r="W537">
        <f>IF(YLE成绩库!C37="","", YLE成绩库!X37)</f>
        <v>0</v>
      </c>
      <c r="X537" t="str">
        <f>IF(YLE成绩库!C37="","", YLE成绩库!AA37)</f>
        <v>⚠️ 薄弱环节: RW-Pt4
📉 考察能力: [读写] 多项选择 (语法)
💡 提升建议: 重点考核语法基础，如名词单复数、代词指代、动词形式。</v>
      </c>
      <c r="Z537" t="str">
        <f>IF(YLE成绩库!C37="","", YLE成绩库!Z37)</f>
        <v>⚠️ 薄弱环节: L-Pt4
📉 考察能力: [听力] 听取细节 (选择题)
💡 提升建议: 每个小题都是一个小故事，注意听转折词 (but, no)。</v>
      </c>
    </row>
    <row r="538" spans="1:26" x14ac:dyDescent="0.2">
      <c r="A538" t="str">
        <f>IF(YLE成绩库!C38="","", YLE成绩库!C38)</f>
        <v>陈佳浩 Henry Chen</v>
      </c>
      <c r="B538" t="str">
        <f>IF(YLE成绩库!AB38="","", YLE成绩库!AB38)</f>
        <v>2024-01-15</v>
      </c>
      <c r="C538" t="str">
        <f>IF(YLE成绩库!B38="","", YLE成绩库!B38)</f>
        <v>A4</v>
      </c>
      <c r="D538" t="str">
        <f>IF(YLE成绩库!D38="","", YLE成绩库!D38)</f>
        <v>Movers</v>
      </c>
      <c r="E538">
        <f>IF(YLE成绩库!C38="","", YLE成绩库!L38)</f>
        <v>0</v>
      </c>
      <c r="F538">
        <f>IF(YLE成绩库!C38="","", YLE成绩库!M38)</f>
        <v>5</v>
      </c>
      <c r="G538">
        <f>IF(YLE成绩库!C38="","", YLE成绩库!N38)</f>
        <v>1</v>
      </c>
      <c r="H538">
        <f>IF(YLE成绩库!C38="","", YLE成绩库!O38)</f>
        <v>0</v>
      </c>
      <c r="I538">
        <f>IF(YLE成绩库!C38="","", YLE成绩库!P38)</f>
        <v>1</v>
      </c>
      <c r="J538">
        <f>IF(YLE成绩库!C38="","", YLE成绩库!Q38)</f>
        <v>0</v>
      </c>
      <c r="K538">
        <f>IF(YLE成绩库!C38="","", YLE成绩库!R38)</f>
        <v>0</v>
      </c>
      <c r="L538">
        <f>IF(YLE成绩库!C38="","", YLE成绩库!U38)</f>
        <v>1</v>
      </c>
      <c r="M538">
        <v>0</v>
      </c>
      <c r="N538">
        <v>0</v>
      </c>
      <c r="O538">
        <v>0</v>
      </c>
      <c r="P538" t="str">
        <f>IF(YLE成绩库!C38="","", YLE成绩库!D38)</f>
        <v>Movers</v>
      </c>
      <c r="Q538">
        <f>IF(YLE成绩库!C38="","", YLE成绩库!E38)</f>
        <v>5</v>
      </c>
      <c r="R538">
        <f>IF(YLE成绩库!C38="","", YLE成绩库!F38)</f>
        <v>2</v>
      </c>
      <c r="S538">
        <f>IF(YLE成绩库!C38="","", YLE成绩库!G38)</f>
        <v>3</v>
      </c>
      <c r="T538">
        <f>IF(YLE成绩库!C38="","", YLE成绩库!H38)</f>
        <v>2</v>
      </c>
      <c r="U538">
        <f>IF(YLE成绩库!C38="","", YLE成绩库!K38)</f>
        <v>3</v>
      </c>
      <c r="V538">
        <f>IF(YLE成绩库!C38="","", YLE成绩库!W38)</f>
        <v>4</v>
      </c>
      <c r="W538">
        <f>IF(YLE成绩库!C38="","", YLE成绩库!X38)</f>
        <v>0</v>
      </c>
      <c r="X538" t="str">
        <f>IF(YLE成绩库!C38="","", YLE成绩库!AA38)</f>
        <v>⚠️ 薄弱环节: RW-Pt3
📉 考察能力: [读写] 完形填空 (选词)
💡 提升建议: 通读全文掌握大意，根据词性判断空格处应填名词还是动词。</v>
      </c>
      <c r="Z538" t="str">
        <f>IF(YLE成绩库!C38="","", YLE成绩库!Z38)</f>
        <v>⚠️ 薄弱环节: L-Pt2
📉 考察能力: [听力] 听取细节并填空
💡 提升建议: 重点练习拼写人名、地名以及抓取数字信息。</v>
      </c>
    </row>
    <row r="539" spans="1:26" x14ac:dyDescent="0.2">
      <c r="A539" t="str">
        <f>IF(YLE成绩库!C39="","", YLE成绩库!C39)</f>
        <v>田子甯 Cora Tian</v>
      </c>
      <c r="B539" t="str">
        <f>IF(YLE成绩库!AB39="","", YLE成绩库!AB39)</f>
        <v>2024-01-15</v>
      </c>
      <c r="C539" t="str">
        <f>IF(YLE成绩库!B39="","", YLE成绩库!B39)</f>
        <v>A4</v>
      </c>
      <c r="D539" t="str">
        <f>IF(YLE成绩库!D39="","", YLE成绩库!D39)</f>
        <v>Movers</v>
      </c>
      <c r="E539">
        <f>IF(YLE成绩库!C39="","", YLE成绩库!L39)</f>
        <v>0</v>
      </c>
      <c r="F539">
        <f>IF(YLE成绩库!C39="","", YLE成绩库!M39)</f>
        <v>2</v>
      </c>
      <c r="G539">
        <f>IF(YLE成绩库!C39="","", YLE成绩库!N39)</f>
        <v>4</v>
      </c>
      <c r="H539">
        <f>IF(YLE成绩库!C39="","", YLE成绩库!O39)</f>
        <v>4</v>
      </c>
      <c r="I539">
        <f>IF(YLE成绩库!C39="","", YLE成绩库!P39)</f>
        <v>3</v>
      </c>
      <c r="J539">
        <f>IF(YLE成绩库!C39="","", YLE成绩库!Q39)</f>
        <v>3</v>
      </c>
      <c r="K539">
        <f>IF(YLE成绩库!C39="","", YLE成绩库!R39)</f>
        <v>0</v>
      </c>
      <c r="L539">
        <f>IF(YLE成绩库!C39="","", YLE成绩库!U39)</f>
        <v>1</v>
      </c>
      <c r="M539">
        <v>0</v>
      </c>
      <c r="N539">
        <v>0</v>
      </c>
      <c r="O539">
        <v>0</v>
      </c>
      <c r="P539" t="str">
        <f>IF(YLE成绩库!C39="","", YLE成绩库!D39)</f>
        <v>Movers</v>
      </c>
      <c r="Q539">
        <f>IF(YLE成绩库!C39="","", YLE成绩库!E39)</f>
        <v>5</v>
      </c>
      <c r="R539">
        <f>IF(YLE成绩库!C39="","", YLE成绩库!F39)</f>
        <v>2</v>
      </c>
      <c r="S539">
        <f>IF(YLE成绩库!C39="","", YLE成绩库!G39)</f>
        <v>5</v>
      </c>
      <c r="T539">
        <f>IF(YLE成绩库!C39="","", YLE成绩库!H39)</f>
        <v>3</v>
      </c>
      <c r="U539">
        <f>IF(YLE成绩库!C39="","", YLE成绩库!K39)</f>
        <v>4</v>
      </c>
      <c r="V539">
        <f>IF(YLE成绩库!C39="","", YLE成绩库!W39)</f>
        <v>5</v>
      </c>
      <c r="W539">
        <f>IF(YLE成绩库!C39="","", YLE成绩库!X39)</f>
        <v>0</v>
      </c>
      <c r="X539" t="str">
        <f>IF(YLE成绩库!C39="","", YLE成绩库!AA39)</f>
        <v>⚠️ 薄弱环节: RW-Pt6
📉 考察能力: [读写] 看图写句子
💡 提升建议: 仔细观察图片，回答问题并写完整的句子，注意拼写。</v>
      </c>
      <c r="Z539" t="str">
        <f>IF(YLE成绩库!C39="","", YLE成绩库!Z39)</f>
        <v>🎉 表现优异，无明显弱项！</v>
      </c>
    </row>
    <row r="540" spans="1:26" x14ac:dyDescent="0.2">
      <c r="A540" t="str">
        <f>IF(YLE成绩库!C40="","", YLE成绩库!C40)</f>
        <v>王海晴 Cherry Wang</v>
      </c>
      <c r="B540" t="str">
        <f>IF(YLE成绩库!AB40="","", YLE成绩库!AB40)</f>
        <v>2024-01-15</v>
      </c>
      <c r="C540" t="str">
        <f>IF(YLE成绩库!B40="","", YLE成绩库!B40)</f>
        <v>A4</v>
      </c>
      <c r="D540" t="str">
        <f>IF(YLE成绩库!D40="","", YLE成绩库!D40)</f>
        <v>Movers</v>
      </c>
      <c r="E540">
        <f>IF(YLE成绩库!C40="","", YLE成绩库!L40)</f>
        <v>0</v>
      </c>
      <c r="F540">
        <f>IF(YLE成绩库!C40="","", YLE成绩库!M40)</f>
        <v>3</v>
      </c>
      <c r="G540">
        <f>IF(YLE成绩库!C40="","", YLE成绩库!N40)</f>
        <v>3</v>
      </c>
      <c r="H540">
        <f>IF(YLE成绩库!C40="","", YLE成绩库!O40)</f>
        <v>5</v>
      </c>
      <c r="I540">
        <f>IF(YLE成绩库!C40="","", YLE成绩库!P40)</f>
        <v>3</v>
      </c>
      <c r="J540">
        <f>IF(YLE成绩库!C40="","", YLE成绩库!Q40)</f>
        <v>1</v>
      </c>
      <c r="K540">
        <f>IF(YLE成绩库!C40="","", YLE成绩库!R40)</f>
        <v>1</v>
      </c>
      <c r="L540">
        <f>IF(YLE成绩库!C40="","", YLE成绩库!U40)</f>
        <v>1</v>
      </c>
      <c r="M540">
        <v>0</v>
      </c>
      <c r="N540">
        <v>0</v>
      </c>
      <c r="O540">
        <v>0</v>
      </c>
      <c r="P540" t="str">
        <f>IF(YLE成绩库!C40="","", YLE成绩库!D40)</f>
        <v>Movers</v>
      </c>
      <c r="Q540">
        <f>IF(YLE成绩库!C40="","", YLE成绩库!E40)</f>
        <v>5</v>
      </c>
      <c r="R540">
        <f>IF(YLE成绩库!C40="","", YLE成绩库!F40)</f>
        <v>1</v>
      </c>
      <c r="S540">
        <f>IF(YLE成绩库!C40="","", YLE成绩库!G40)</f>
        <v>0</v>
      </c>
      <c r="T540">
        <f>IF(YLE成绩库!C40="","", YLE成绩库!H40)</f>
        <v>3</v>
      </c>
      <c r="U540">
        <f>IF(YLE成绩库!C40="","", YLE成绩库!K40)</f>
        <v>2</v>
      </c>
      <c r="V540">
        <f>IF(YLE成绩库!C40="","", YLE成绩库!W40)</f>
        <v>3</v>
      </c>
      <c r="W540">
        <f>IF(YLE成绩库!C40="","", YLE成绩库!X40)</f>
        <v>0</v>
      </c>
      <c r="X540" t="str">
        <f>IF(YLE成绩库!C40="","", YLE成绩库!AA40)</f>
        <v>⚠️ 薄弱环节: RW-Pt5
📉 考察能力: [读写] 阅读故事补全句子
💡 提升建议: 练习同义替换，答案通常直接来自文章，不要自己编造。</v>
      </c>
      <c r="Z540" t="str">
        <f>IF(YLE成绩库!C40="","", YLE成绩库!Z40)</f>
        <v>⚠️ 薄弱环节: L-Pt3
📉 考察能力: [听力] 图片匹配 (星期/活动)
💡 提升建议: 听完整的句子，注意区分过去几天做了什么，留意干扰项。</v>
      </c>
    </row>
    <row r="541" spans="1:26" x14ac:dyDescent="0.2">
      <c r="A541" t="str">
        <f>IF(YLE成绩库!C41="","", YLE成绩库!C41)</f>
        <v>黄悦翰 Oscar Huang</v>
      </c>
      <c r="B541" t="str">
        <f>IF(YLE成绩库!AB41="","", YLE成绩库!AB41)</f>
        <v>2024-01-15</v>
      </c>
      <c r="C541" t="str">
        <f>IF(YLE成绩库!B41="","", YLE成绩库!B41)</f>
        <v>A4</v>
      </c>
      <c r="D541" t="str">
        <f>IF(YLE成绩库!D41="","", YLE成绩库!D41)</f>
        <v>Movers</v>
      </c>
      <c r="E541">
        <f>IF(YLE成绩库!C41="","", YLE成绩库!L41)</f>
        <v>0</v>
      </c>
      <c r="F541">
        <f>IF(YLE成绩库!C41="","", YLE成绩库!M41)</f>
        <v>3</v>
      </c>
      <c r="G541">
        <f>IF(YLE成绩库!C41="","", YLE成绩库!N41)</f>
        <v>3</v>
      </c>
      <c r="H541">
        <f>IF(YLE成绩库!C41="","", YLE成绩库!O41)</f>
        <v>3</v>
      </c>
      <c r="I541">
        <f>IF(YLE成绩库!C41="","", YLE成绩库!P41)</f>
        <v>0</v>
      </c>
      <c r="J541">
        <f>IF(YLE成绩库!C41="","", YLE成绩库!Q41)</f>
        <v>0</v>
      </c>
      <c r="K541">
        <f>IF(YLE成绩库!C41="","", YLE成绩库!R41)</f>
        <v>0</v>
      </c>
      <c r="L541">
        <f>IF(YLE成绩库!C41="","", YLE成绩库!U41)</f>
        <v>1</v>
      </c>
      <c r="M541">
        <v>0</v>
      </c>
      <c r="N541">
        <v>0</v>
      </c>
      <c r="O541">
        <v>0</v>
      </c>
      <c r="P541" t="str">
        <f>IF(YLE成绩库!C41="","", YLE成绩库!D41)</f>
        <v>Movers</v>
      </c>
      <c r="Q541">
        <f>IF(YLE成绩库!C41="","", YLE成绩库!E41)</f>
        <v>3</v>
      </c>
      <c r="R541">
        <f>IF(YLE成绩库!C41="","", YLE成绩库!F41)</f>
        <v>1</v>
      </c>
      <c r="S541">
        <f>IF(YLE成绩库!C41="","", YLE成绩库!G41)</f>
        <v>1</v>
      </c>
      <c r="T541">
        <f>IF(YLE成绩库!C41="","", YLE成绩库!H41)</f>
        <v>1</v>
      </c>
      <c r="U541">
        <f>IF(YLE成绩库!C41="","", YLE成绩库!K41)</f>
        <v>1</v>
      </c>
      <c r="V541">
        <f>IF(YLE成绩库!C41="","", YLE成绩库!W41)</f>
        <v>2</v>
      </c>
      <c r="W541">
        <f>IF(YLE成绩库!C41="","", YLE成绩库!X41)</f>
        <v>0</v>
      </c>
      <c r="X541" t="str">
        <f>IF(YLE成绩库!C41="","", YLE成绩库!AA41)</f>
        <v>⚠️ 薄弱环节: RW-Pt4
📉 考察能力: [读写] 多项选择 (语法)
💡 提升建议: 重点考核语法基础，如名词单复数、代词指代、动词形式。</v>
      </c>
      <c r="Z541" t="str">
        <f>IF(YLE成绩库!C41="","", YLE成绩库!Z41)</f>
        <v>⚠️ 薄弱环节: L-Pt2
📉 考察能力: [听力] 听取细节并填空
💡 提升建议: 重点练习拼写人名、地名以及抓取数字信息。</v>
      </c>
    </row>
    <row r="542" spans="1:26" x14ac:dyDescent="0.2">
      <c r="A542" t="str">
        <f>IF(YLE成绩库!C42="","", YLE成绩库!C42)</f>
        <v>泮羿帆 Milo Pan</v>
      </c>
      <c r="B542" t="str">
        <f>IF(YLE成绩库!AB42="","", YLE成绩库!AB42)</f>
        <v>2024-01-15</v>
      </c>
      <c r="C542" t="str">
        <f>IF(YLE成绩库!B42="","", YLE成绩库!B42)</f>
        <v>A4</v>
      </c>
      <c r="D542" t="str">
        <f>IF(YLE成绩库!D42="","", YLE成绩库!D42)</f>
        <v>Movers</v>
      </c>
      <c r="E542">
        <f>IF(YLE成绩库!C42="","", YLE成绩库!L42)</f>
        <v>0</v>
      </c>
      <c r="F542">
        <f>IF(YLE成绩库!C42="","", YLE成绩库!M42)</f>
        <v>5</v>
      </c>
      <c r="G542">
        <f>IF(YLE成绩库!C42="","", YLE成绩库!N42)</f>
        <v>4</v>
      </c>
      <c r="H542">
        <f>IF(YLE成绩库!C42="","", YLE成绩库!O42)</f>
        <v>3</v>
      </c>
      <c r="I542">
        <f>IF(YLE成绩库!C42="","", YLE成绩库!P42)</f>
        <v>2</v>
      </c>
      <c r="J542">
        <f>IF(YLE成绩库!C42="","", YLE成绩库!Q42)</f>
        <v>3</v>
      </c>
      <c r="K542">
        <f>IF(YLE成绩库!C42="","", YLE成绩库!R42)</f>
        <v>3</v>
      </c>
      <c r="L542">
        <f>IF(YLE成绩库!C42="","", YLE成绩库!U42)</f>
        <v>2</v>
      </c>
      <c r="M542">
        <v>0</v>
      </c>
      <c r="N542">
        <v>0</v>
      </c>
      <c r="O542">
        <v>0</v>
      </c>
      <c r="P542" t="str">
        <f>IF(YLE成绩库!C42="","", YLE成绩库!D42)</f>
        <v>Movers</v>
      </c>
      <c r="Q542">
        <f>IF(YLE成绩库!C42="","", YLE成绩库!E42)</f>
        <v>5</v>
      </c>
      <c r="R542">
        <f>IF(YLE成绩库!C42="","", YLE成绩库!F42)</f>
        <v>2</v>
      </c>
      <c r="S542">
        <f>IF(YLE成绩库!C42="","", YLE成绩库!G42)</f>
        <v>3</v>
      </c>
      <c r="T542">
        <f>IF(YLE成绩库!C42="","", YLE成绩库!H42)</f>
        <v>4</v>
      </c>
      <c r="U542">
        <f>IF(YLE成绩库!C42="","", YLE成绩库!K42)</f>
        <v>3</v>
      </c>
      <c r="V542">
        <f>IF(YLE成绩库!C42="","", YLE成绩库!W42)</f>
        <v>5</v>
      </c>
      <c r="W542">
        <f>IF(YLE成绩库!C42="","", YLE成绩库!X42)</f>
        <v>0</v>
      </c>
      <c r="X542" t="str">
        <f>IF(YLE成绩库!C42="","", YLE成绩库!AA42)</f>
        <v>⚠️ 薄弱环节: RW-Pt4
📉 考察能力: [读写] 多项选择 (语法)
💡 提升建议: 重点考核语法基础，如名词单复数、代词指代、动词形式。</v>
      </c>
      <c r="Z542" t="str">
        <f>IF(YLE成绩库!C42="","", YLE成绩库!Z42)</f>
        <v>⚠️ 薄弱环节: L-Pt2
📉 考察能力: [听力] 听取细节并填空
💡 提升建议: 重点练习拼写人名、地名以及抓取数字信息。</v>
      </c>
    </row>
    <row r="543" spans="1:26" x14ac:dyDescent="0.2">
      <c r="A543" t="str">
        <f>IF(YLE成绩库!C43="","", YLE成绩库!C43)</f>
        <v>黄冉 Aimee Huang</v>
      </c>
      <c r="B543" t="str">
        <f>IF(YLE成绩库!AB43="","", YLE成绩库!AB43)</f>
        <v>2024-01-15</v>
      </c>
      <c r="C543" t="str">
        <f>IF(YLE成绩库!B43="","", YLE成绩库!B43)</f>
        <v>A4</v>
      </c>
      <c r="D543" t="str">
        <f>IF(YLE成绩库!D43="","", YLE成绩库!D43)</f>
        <v>Movers</v>
      </c>
      <c r="E543">
        <f>IF(YLE成绩库!C43="","", YLE成绩库!L43)</f>
        <v>0</v>
      </c>
      <c r="F543">
        <f>IF(YLE成绩库!C43="","", YLE成绩库!M43)</f>
        <v>4</v>
      </c>
      <c r="G543">
        <f>IF(YLE成绩库!C43="","", YLE成绩库!N43)</f>
        <v>0</v>
      </c>
      <c r="H543">
        <f>IF(YLE成绩库!C43="","", YLE成绩库!O43)</f>
        <v>1</v>
      </c>
      <c r="I543">
        <f>IF(YLE成绩库!C43="","", YLE成绩库!P43)</f>
        <v>0</v>
      </c>
      <c r="J543">
        <f>IF(YLE成绩库!C43="","", YLE成绩库!Q43)</f>
        <v>0</v>
      </c>
      <c r="K543">
        <f>IF(YLE成绩库!C43="","", YLE成绩库!R43)</f>
        <v>0</v>
      </c>
      <c r="L543">
        <f>IF(YLE成绩库!C43="","", YLE成绩库!U43)</f>
        <v>1</v>
      </c>
      <c r="M543">
        <v>0</v>
      </c>
      <c r="N543">
        <v>0</v>
      </c>
      <c r="O543">
        <v>0</v>
      </c>
      <c r="P543" t="str">
        <f>IF(YLE成绩库!C43="","", YLE成绩库!D43)</f>
        <v>Movers</v>
      </c>
      <c r="Q543">
        <f>IF(YLE成绩库!C43="","", YLE成绩库!E43)</f>
        <v>5</v>
      </c>
      <c r="R543">
        <f>IF(YLE成绩库!C43="","", YLE成绩库!F43)</f>
        <v>0</v>
      </c>
      <c r="S543">
        <f>IF(YLE成绩库!C43="","", YLE成绩库!G43)</f>
        <v>0</v>
      </c>
      <c r="T543">
        <f>IF(YLE成绩库!C43="","", YLE成绩库!H43)</f>
        <v>1</v>
      </c>
      <c r="U543">
        <f>IF(YLE成绩库!C43="","", YLE成绩库!K43)</f>
        <v>1</v>
      </c>
      <c r="V543">
        <f>IF(YLE成绩库!C43="","", YLE成绩库!W43)</f>
        <v>2</v>
      </c>
      <c r="W543">
        <f>IF(YLE成绩库!C43="","", YLE成绩库!X43)</f>
        <v>0</v>
      </c>
      <c r="X543" t="str">
        <f>IF(YLE成绩库!C43="","", YLE成绩库!AA43)</f>
        <v>⚠️ 薄弱环节: RW-Pt2
📉 考察能力: [读写] 补全对话
💡 提升建议: 结合上下文语境，注意问句和答句的时态一致性。</v>
      </c>
      <c r="Z543" t="str">
        <f>IF(YLE成绩库!C43="","", YLE成绩库!Z43)</f>
        <v>⚠️ 薄弱环节: L-Pt2
📉 考察能力: [听力] 听取细节并填空
💡 提升建议: 重点练习拼写人名、地名以及抓取数字信息。</v>
      </c>
    </row>
    <row r="544" spans="1:26" x14ac:dyDescent="0.2">
      <c r="A544" t="str">
        <f>IF(YLE成绩库!C44="","", YLE成绩库!C44)</f>
        <v>周楚娴 Victoria Zhou</v>
      </c>
      <c r="B544" t="str">
        <f>IF(YLE成绩库!AB44="","", YLE成绩库!AB44)</f>
        <v>2024-01-15</v>
      </c>
      <c r="C544" t="str">
        <f>IF(YLE成绩库!B44="","", YLE成绩库!B44)</f>
        <v>A4</v>
      </c>
      <c r="D544" t="str">
        <f>IF(YLE成绩库!D44="","", YLE成绩库!D44)</f>
        <v>Movers</v>
      </c>
      <c r="E544">
        <f>IF(YLE成绩库!C44="","", YLE成绩库!L44)</f>
        <v>0</v>
      </c>
      <c r="F544">
        <f>IF(YLE成绩库!C44="","", YLE成绩库!M44)</f>
        <v>2</v>
      </c>
      <c r="G544">
        <f>IF(YLE成绩库!C44="","", YLE成绩库!N44)</f>
        <v>1</v>
      </c>
      <c r="H544">
        <f>IF(YLE成绩库!C44="","", YLE成绩库!O44)</f>
        <v>2</v>
      </c>
      <c r="I544">
        <f>IF(YLE成绩库!C44="","", YLE成绩库!P44)</f>
        <v>1</v>
      </c>
      <c r="J544">
        <f>IF(YLE成绩库!C44="","", YLE成绩库!Q44)</f>
        <v>0</v>
      </c>
      <c r="K544">
        <f>IF(YLE成绩库!C44="","", YLE成绩库!R44)</f>
        <v>0</v>
      </c>
      <c r="L544">
        <f>IF(YLE成绩库!C44="","", YLE成绩库!U44)</f>
        <v>1</v>
      </c>
      <c r="M544">
        <v>0</v>
      </c>
      <c r="N544">
        <v>0</v>
      </c>
      <c r="O544">
        <v>0</v>
      </c>
      <c r="P544" t="str">
        <f>IF(YLE成绩库!C44="","", YLE成绩库!D44)</f>
        <v>Movers</v>
      </c>
      <c r="Q544">
        <f>IF(YLE成绩库!C44="","", YLE成绩库!E44)</f>
        <v>3</v>
      </c>
      <c r="R544">
        <f>IF(YLE成绩库!C44="","", YLE成绩库!F44)</f>
        <v>2</v>
      </c>
      <c r="S544">
        <f>IF(YLE成绩库!C44="","", YLE成绩库!G44)</f>
        <v>0</v>
      </c>
      <c r="T544">
        <f>IF(YLE成绩库!C44="","", YLE成绩库!H44)</f>
        <v>2</v>
      </c>
      <c r="U544">
        <f>IF(YLE成绩库!C44="","", YLE成绩库!K44)</f>
        <v>1</v>
      </c>
      <c r="V544">
        <f>IF(YLE成绩库!C44="","", YLE成绩库!W44)</f>
        <v>2</v>
      </c>
      <c r="W544">
        <f>IF(YLE成绩库!C44="","", YLE成绩库!X44)</f>
        <v>0</v>
      </c>
      <c r="X544" t="str">
        <f>IF(YLE成绩库!C44="","", YLE成绩库!AA44)</f>
        <v>⚠️ 薄弱环节: RW-Pt5
📉 考察能力: [读写] 阅读故事补全句子
💡 提升建议: 练习同义替换，答案通常直接来自文章，不要自己编造。</v>
      </c>
      <c r="Z544" t="str">
        <f>IF(YLE成绩库!C44="","", YLE成绩库!Z44)</f>
        <v>⚠️ 薄弱环节: L-Pt3
📉 考察能力: [听力] 图片匹配 (星期/活动)
💡 提升建议: 听完整的句子，注意区分过去几天做了什么，留意干扰项。</v>
      </c>
    </row>
    <row r="545" spans="1:26" x14ac:dyDescent="0.2">
      <c r="A545" t="str">
        <f>IF(YLE成绩库!C45="","", YLE成绩库!C45)</f>
        <v>赵之源 Adam Zhao</v>
      </c>
      <c r="B545" t="str">
        <f>IF(YLE成绩库!AB45="","", YLE成绩库!AB45)</f>
        <v>2024-01-15</v>
      </c>
      <c r="C545" t="str">
        <f>IF(YLE成绩库!B45="","", YLE成绩库!B45)</f>
        <v>A4</v>
      </c>
      <c r="D545" t="str">
        <f>IF(YLE成绩库!D45="","", YLE成绩库!D45)</f>
        <v>Movers</v>
      </c>
      <c r="E545">
        <f>IF(YLE成绩库!C45="","", YLE成绩库!L45)</f>
        <v>0</v>
      </c>
      <c r="F545">
        <f>IF(YLE成绩库!C45="","", YLE成绩库!M45)</f>
        <v>4</v>
      </c>
      <c r="G545">
        <f>IF(YLE成绩库!C45="","", YLE成绩库!N45)</f>
        <v>0</v>
      </c>
      <c r="H545">
        <f>IF(YLE成绩库!C45="","", YLE成绩库!O45)</f>
        <v>1</v>
      </c>
      <c r="I545">
        <f>IF(YLE成绩库!C45="","", YLE成绩库!P45)</f>
        <v>0</v>
      </c>
      <c r="J545">
        <f>IF(YLE成绩库!C45="","", YLE成绩库!Q45)</f>
        <v>0</v>
      </c>
      <c r="K545">
        <f>IF(YLE成绩库!C45="","", YLE成绩库!R45)</f>
        <v>1</v>
      </c>
      <c r="L545">
        <f>IF(YLE成绩库!C45="","", YLE成绩库!U45)</f>
        <v>1</v>
      </c>
      <c r="M545">
        <v>0</v>
      </c>
      <c r="N545">
        <v>0</v>
      </c>
      <c r="O545">
        <v>0</v>
      </c>
      <c r="P545" t="str">
        <f>IF(YLE成绩库!C45="","", YLE成绩库!D45)</f>
        <v>Movers</v>
      </c>
      <c r="Q545">
        <f>IF(YLE成绩库!C45="","", YLE成绩库!E45)</f>
        <v>4</v>
      </c>
      <c r="R545">
        <f>IF(YLE成绩库!C45="","", YLE成绩库!F45)</f>
        <v>0</v>
      </c>
      <c r="S545">
        <f>IF(YLE成绩库!C45="","", YLE成绩库!G45)</f>
        <v>2</v>
      </c>
      <c r="T545">
        <f>IF(YLE成绩库!C45="","", YLE成绩库!H45)</f>
        <v>2</v>
      </c>
      <c r="U545">
        <f>IF(YLE成绩库!C45="","", YLE成绩库!K45)</f>
        <v>2</v>
      </c>
      <c r="V545">
        <f>IF(YLE成绩库!C45="","", YLE成绩库!W45)</f>
        <v>3</v>
      </c>
      <c r="W545">
        <f>IF(YLE成绩库!C45="","", YLE成绩库!X45)</f>
        <v>0</v>
      </c>
      <c r="X545" t="str">
        <f>IF(YLE成绩库!C45="","", YLE成绩库!AA45)</f>
        <v>⚠️ 薄弱环节: RW-Pt2
📉 考察能力: [读写] 补全对话
💡 提升建议: 结合上下文语境，注意问句和答句的时态一致性。</v>
      </c>
      <c r="Z545" t="str">
        <f>IF(YLE成绩库!C45="","", YLE成绩库!Z45)</f>
        <v>⚠️ 薄弱环节: L-Pt2
📉 考察能力: [听力] 听取细节并填空
💡 提升建议: 重点练习拼写人名、地名以及抓取数字信息。</v>
      </c>
    </row>
    <row r="546" spans="1:26" x14ac:dyDescent="0.2">
      <c r="A546" t="str">
        <f>IF(YLE成绩库!C46="","", YLE成绩库!C46)</f>
        <v>沈传扬 Anson Shen</v>
      </c>
      <c r="B546" t="str">
        <f>IF(YLE成绩库!AB46="","", YLE成绩库!AB46)</f>
        <v>2024-01-15</v>
      </c>
      <c r="C546" t="str">
        <f>IF(YLE成绩库!B46="","", YLE成绩库!B46)</f>
        <v>A4</v>
      </c>
      <c r="D546" t="str">
        <f>IF(YLE成绩库!D46="","", YLE成绩库!D46)</f>
        <v>Movers</v>
      </c>
      <c r="E546">
        <f>IF(YLE成绩库!C46="","", YLE成绩库!L46)</f>
        <v>0</v>
      </c>
      <c r="F546">
        <f>IF(YLE成绩库!C46="","", YLE成绩库!M46)</f>
        <v>4</v>
      </c>
      <c r="G546">
        <f>IF(YLE成绩库!C46="","", YLE成绩库!N46)</f>
        <v>0</v>
      </c>
      <c r="H546">
        <f>IF(YLE成绩库!C46="","", YLE成绩库!O46)</f>
        <v>0</v>
      </c>
      <c r="I546">
        <f>IF(YLE成绩库!C46="","", YLE成绩库!P46)</f>
        <v>1</v>
      </c>
      <c r="J546">
        <f>IF(YLE成绩库!C46="","", YLE成绩库!Q46)</f>
        <v>0</v>
      </c>
      <c r="K546">
        <f>IF(YLE成绩库!C46="","", YLE成绩库!R46)</f>
        <v>0</v>
      </c>
      <c r="L546">
        <f>IF(YLE成绩库!C46="","", YLE成绩库!U46)</f>
        <v>1</v>
      </c>
      <c r="M546">
        <v>0</v>
      </c>
      <c r="N546">
        <v>0</v>
      </c>
      <c r="O546">
        <v>0</v>
      </c>
      <c r="P546" t="str">
        <f>IF(YLE成绩库!C46="","", YLE成绩库!D46)</f>
        <v>Movers</v>
      </c>
      <c r="Q546">
        <f>IF(YLE成绩库!C46="","", YLE成绩库!E46)</f>
        <v>5</v>
      </c>
      <c r="R546">
        <f>IF(YLE成绩库!C46="","", YLE成绩库!F46)</f>
        <v>0</v>
      </c>
      <c r="S546">
        <f>IF(YLE成绩库!C46="","", YLE成绩库!G46)</f>
        <v>3</v>
      </c>
      <c r="T546">
        <f>IF(YLE成绩库!C46="","", YLE成绩库!H46)</f>
        <v>0</v>
      </c>
      <c r="U546">
        <f>IF(YLE成绩库!C46="","", YLE成绩库!K46)</f>
        <v>1</v>
      </c>
      <c r="V546">
        <f>IF(YLE成绩库!C46="","", YLE成绩库!W46)</f>
        <v>2</v>
      </c>
      <c r="W546">
        <f>IF(YLE成绩库!C46="","", YLE成绩库!X46)</f>
        <v>0</v>
      </c>
      <c r="X546" t="str">
        <f>IF(YLE成绩库!C46="","", YLE成绩库!AA46)</f>
        <v>⚠️ 薄弱环节: RW-Pt2
📉 考察能力: [读写] 补全对话
💡 提升建议: 结合上下文语境，注意问句和答句的时态一致性。</v>
      </c>
      <c r="Z546" t="str">
        <f>IF(YLE成绩库!C46="","", YLE成绩库!Z46)</f>
        <v>⚠️ 薄弱环节: L-Pt2
📉 考察能力: [听力] 听取细节并填空
💡 提升建议: 重点练习拼写人名、地名以及抓取数字信息。</v>
      </c>
    </row>
    <row r="547" spans="1:26" x14ac:dyDescent="0.2">
      <c r="A547" t="str">
        <f>IF(YLE成绩库!C47="","", YLE成绩库!C47)</f>
        <v>陆宇晨 Lucas Lu</v>
      </c>
      <c r="B547" t="str">
        <f>IF(YLE成绩库!AB47="","", YLE成绩库!AB47)</f>
        <v>2024-01-15</v>
      </c>
      <c r="C547" t="str">
        <f>IF(YLE成绩库!B47="","", YLE成绩库!B47)</f>
        <v>A4</v>
      </c>
      <c r="D547" t="str">
        <f>IF(YLE成绩库!D47="","", YLE成绩库!D47)</f>
        <v>Movers</v>
      </c>
      <c r="E547">
        <f>IF(YLE成绩库!C47="","", YLE成绩库!L47)</f>
        <v>0</v>
      </c>
      <c r="F547">
        <f>IF(YLE成绩库!C47="","", YLE成绩库!M47)</f>
        <v>5</v>
      </c>
      <c r="G547">
        <f>IF(YLE成绩库!C47="","", YLE成绩库!N47)</f>
        <v>5</v>
      </c>
      <c r="H547">
        <f>IF(YLE成绩库!C47="","", YLE成绩库!O47)</f>
        <v>5</v>
      </c>
      <c r="I547">
        <f>IF(YLE成绩库!C47="","", YLE成绩库!P47)</f>
        <v>3</v>
      </c>
      <c r="J547">
        <f>IF(YLE成绩库!C47="","", YLE成绩库!Q47)</f>
        <v>2</v>
      </c>
      <c r="K547">
        <f>IF(YLE成绩库!C47="","", YLE成绩库!R47)</f>
        <v>7</v>
      </c>
      <c r="L547">
        <f>IF(YLE成绩库!C47="","", YLE成绩库!U47)</f>
        <v>3</v>
      </c>
      <c r="M547">
        <v>0</v>
      </c>
      <c r="N547">
        <v>0</v>
      </c>
      <c r="O547">
        <v>0</v>
      </c>
      <c r="P547" t="str">
        <f>IF(YLE成绩库!C47="","", YLE成绩库!D47)</f>
        <v>Movers</v>
      </c>
      <c r="Q547">
        <f>IF(YLE成绩库!C47="","", YLE成绩库!E47)</f>
        <v>5</v>
      </c>
      <c r="R547">
        <f>IF(YLE成绩库!C47="","", YLE成绩库!F47)</f>
        <v>3</v>
      </c>
      <c r="S547">
        <f>IF(YLE成绩库!C47="","", YLE成绩库!G47)</f>
        <v>3</v>
      </c>
      <c r="T547">
        <f>IF(YLE成绩库!C47="","", YLE成绩库!H47)</f>
        <v>2</v>
      </c>
      <c r="U547">
        <f>IF(YLE成绩库!C47="","", YLE成绩库!K47)</f>
        <v>4</v>
      </c>
      <c r="V547">
        <f>IF(YLE成绩库!C47="","", YLE成绩库!W47)</f>
        <v>7</v>
      </c>
      <c r="W547">
        <f>IF(YLE成绩库!C47="","", YLE成绩库!X47)</f>
        <v>0</v>
      </c>
      <c r="X547" t="str">
        <f>IF(YLE成绩库!C47="","", YLE成绩库!AA47)</f>
        <v>⚠️ 薄弱环节: RW-Pt5
📉 考察能力: [读写] 阅读故事补全句子
💡 提升建议: 练习同义替换，答案通常直接来自文章，不要自己编造。</v>
      </c>
      <c r="Z547" t="str">
        <f>IF(YLE成绩库!C47="","", YLE成绩库!Z47)</f>
        <v>🎉 表现优异，无明显弱项！</v>
      </c>
    </row>
    <row r="548" spans="1:26" x14ac:dyDescent="0.2">
      <c r="A548" t="str">
        <f>IF(YLE成绩库!C48="","", YLE成绩库!C48)</f>
        <v>黄俊泽 Jeffery Huang</v>
      </c>
      <c r="B548" t="str">
        <f>IF(YLE成绩库!AB48="","", YLE成绩库!AB48)</f>
        <v>2024-01-15</v>
      </c>
      <c r="C548" t="str">
        <f>IF(YLE成绩库!B48="","", YLE成绩库!B48)</f>
        <v>A4</v>
      </c>
      <c r="D548" t="str">
        <f>IF(YLE成绩库!D48="","", YLE成绩库!D48)</f>
        <v>Movers</v>
      </c>
      <c r="E548">
        <f>IF(YLE成绩库!C48="","", YLE成绩库!L48)</f>
        <v>0</v>
      </c>
      <c r="F548">
        <f>IF(YLE成绩库!C48="","", YLE成绩库!M48)</f>
        <v>2</v>
      </c>
      <c r="G548">
        <f>IF(YLE成绩库!C48="","", YLE成绩库!N48)</f>
        <v>0</v>
      </c>
      <c r="H548">
        <f>IF(YLE成绩库!C48="","", YLE成绩库!O48)</f>
        <v>0</v>
      </c>
      <c r="I548">
        <f>IF(YLE成绩库!C48="","", YLE成绩库!P48)</f>
        <v>0</v>
      </c>
      <c r="J548">
        <f>IF(YLE成绩库!C48="","", YLE成绩库!Q48)</f>
        <v>0</v>
      </c>
      <c r="K548">
        <f>IF(YLE成绩库!C48="","", YLE成绩库!R48)</f>
        <v>0</v>
      </c>
      <c r="L548">
        <f>IF(YLE成绩库!C48="","", YLE成绩库!U48)</f>
        <v>1</v>
      </c>
      <c r="M548">
        <v>0</v>
      </c>
      <c r="N548">
        <v>0</v>
      </c>
      <c r="O548">
        <v>0</v>
      </c>
      <c r="P548" t="str">
        <f>IF(YLE成绩库!C48="","", YLE成绩库!D48)</f>
        <v>Movers</v>
      </c>
      <c r="Q548">
        <f>IF(YLE成绩库!C48="","", YLE成绩库!E48)</f>
        <v>3</v>
      </c>
      <c r="R548">
        <f>IF(YLE成绩库!C48="","", YLE成绩库!F48)</f>
        <v>0</v>
      </c>
      <c r="S548">
        <f>IF(YLE成绩库!C48="","", YLE成绩库!G48)</f>
        <v>2</v>
      </c>
      <c r="T548">
        <f>IF(YLE成绩库!C48="","", YLE成绩库!H48)</f>
        <v>2</v>
      </c>
      <c r="U548">
        <f>IF(YLE成绩库!C48="","", YLE成绩库!K48)</f>
        <v>1</v>
      </c>
      <c r="V548">
        <f>IF(YLE成绩库!C48="","", YLE成绩库!W48)</f>
        <v>2</v>
      </c>
      <c r="W548">
        <f>IF(YLE成绩库!C48="","", YLE成绩库!X48)</f>
        <v>0</v>
      </c>
      <c r="X548" t="str">
        <f>IF(YLE成绩库!C48="","", YLE成绩库!AA48)</f>
        <v>⚠️ 薄弱环节: RW-Pt2
📉 考察能力: [读写] 补全对话
💡 提升建议: 结合上下文语境，注意问句和答句的时态一致性。</v>
      </c>
      <c r="Z548" t="str">
        <f>IF(YLE成绩库!C48="","", YLE成绩库!Z48)</f>
        <v>⚠️ 薄弱环节: L-Pt2
📉 考察能力: [听力] 听取细节并填空
💡 提升建议: 重点练习拼写人名、地名以及抓取数字信息。</v>
      </c>
    </row>
    <row r="549" spans="1:26" x14ac:dyDescent="0.2">
      <c r="A549" t="str">
        <f>IF(YLE成绩库!C49="","", YLE成绩库!C49)</f>
        <v>林霆沣 Johnson Lin</v>
      </c>
      <c r="B549" t="str">
        <f>IF(YLE成绩库!AB49="","", YLE成绩库!AB49)</f>
        <v>2024-01-15</v>
      </c>
      <c r="C549" t="str">
        <f>IF(YLE成绩库!B49="","", YLE成绩库!B49)</f>
        <v>A4</v>
      </c>
      <c r="D549" t="str">
        <f>IF(YLE成绩库!D49="","", YLE成绩库!D49)</f>
        <v>Movers</v>
      </c>
      <c r="E549">
        <f>IF(YLE成绩库!C49="","", YLE成绩库!L49)</f>
        <v>0</v>
      </c>
      <c r="F549">
        <f>IF(YLE成绩库!C49="","", YLE成绩库!M49)</f>
        <v>3</v>
      </c>
      <c r="G549">
        <f>IF(YLE成绩库!C49="","", YLE成绩库!N49)</f>
        <v>3</v>
      </c>
      <c r="H549">
        <f>IF(YLE成绩库!C49="","", YLE成绩库!O49)</f>
        <v>1</v>
      </c>
      <c r="I549">
        <f>IF(YLE成绩库!C49="","", YLE成绩库!P49)</f>
        <v>0</v>
      </c>
      <c r="J549">
        <f>IF(YLE成绩库!C49="","", YLE成绩库!Q49)</f>
        <v>0</v>
      </c>
      <c r="K549">
        <f>IF(YLE成绩库!C49="","", YLE成绩库!R49)</f>
        <v>1</v>
      </c>
      <c r="L549">
        <f>IF(YLE成绩库!C49="","", YLE成绩库!U49)</f>
        <v>1</v>
      </c>
      <c r="M549">
        <v>0</v>
      </c>
      <c r="N549">
        <v>0</v>
      </c>
      <c r="O549">
        <v>0</v>
      </c>
      <c r="P549" t="str">
        <f>IF(YLE成绩库!C49="","", YLE成绩库!D49)</f>
        <v>Movers</v>
      </c>
      <c r="Q549">
        <f>IF(YLE成绩库!C49="","", YLE成绩库!E49)</f>
        <v>5</v>
      </c>
      <c r="R549">
        <f>IF(YLE成绩库!C49="","", YLE成绩库!F49)</f>
        <v>2</v>
      </c>
      <c r="S549">
        <f>IF(YLE成绩库!C49="","", YLE成绩库!G49)</f>
        <v>3</v>
      </c>
      <c r="T549">
        <f>IF(YLE成绩库!C49="","", YLE成绩库!H49)</f>
        <v>2</v>
      </c>
      <c r="U549">
        <f>IF(YLE成绩库!C49="","", YLE成绩库!K49)</f>
        <v>2</v>
      </c>
      <c r="V549">
        <f>IF(YLE成绩库!C49="","", YLE成绩库!W49)</f>
        <v>3</v>
      </c>
      <c r="W549">
        <f>IF(YLE成绩库!C49="","", YLE成绩库!X49)</f>
        <v>0</v>
      </c>
      <c r="X549" t="str">
        <f>IF(YLE成绩库!C49="","", YLE成绩库!AA49)</f>
        <v>⚠️ 薄弱环节: RW-Pt4
📉 考察能力: [读写] 多项选择 (语法)
💡 提升建议: 重点考核语法基础，如名词单复数、代词指代、动词形式。</v>
      </c>
      <c r="Z549" t="str">
        <f>IF(YLE成绩库!C49="","", YLE成绩库!Z49)</f>
        <v>⚠️ 薄弱环节: L-Pt5
📉 考察能力: [听力] 听音涂色与书写
💡 提升建议: 区分位置介词，准确找到需要涂色的物体，只涂色不画画。</v>
      </c>
    </row>
    <row r="550" spans="1:26" x14ac:dyDescent="0.2">
      <c r="A550" t="str">
        <f>IF(YLE成绩库!C50="","", YLE成绩库!C50)</f>
        <v>梁柯添玥 Summer Liang</v>
      </c>
      <c r="B550" t="str">
        <f>IF(YLE成绩库!AB50="","", YLE成绩库!AB50)</f>
        <v>2024-01-15</v>
      </c>
      <c r="C550" t="str">
        <f>IF(YLE成绩库!B50="","", YLE成绩库!B50)</f>
        <v>A4</v>
      </c>
      <c r="D550" t="str">
        <f>IF(YLE成绩库!D50="","", YLE成绩库!D50)</f>
        <v>Movers</v>
      </c>
      <c r="E550">
        <f>IF(YLE成绩库!C50="","", YLE成绩库!L50)</f>
        <v>0</v>
      </c>
      <c r="F550">
        <f>IF(YLE成绩库!C50="","", YLE成绩库!M50)</f>
        <v>2</v>
      </c>
      <c r="G550">
        <f>IF(YLE成绩库!C50="","", YLE成绩库!N50)</f>
        <v>1</v>
      </c>
      <c r="H550">
        <f>IF(YLE成绩库!C50="","", YLE成绩库!O50)</f>
        <v>3</v>
      </c>
      <c r="I550">
        <f>IF(YLE成绩库!C50="","", YLE成绩库!P50)</f>
        <v>1</v>
      </c>
      <c r="J550">
        <f>IF(YLE成绩库!C50="","", YLE成绩库!Q50)</f>
        <v>1</v>
      </c>
      <c r="K550">
        <f>IF(YLE成绩库!C50="","", YLE成绩库!R50)</f>
        <v>5</v>
      </c>
      <c r="L550">
        <f>IF(YLE成绩库!C50="","", YLE成绩库!U50)</f>
        <v>1</v>
      </c>
      <c r="M550">
        <v>0</v>
      </c>
      <c r="N550">
        <v>0</v>
      </c>
      <c r="O550">
        <v>0</v>
      </c>
      <c r="P550" t="str">
        <f>IF(YLE成绩库!C50="","", YLE成绩库!D50)</f>
        <v>Movers</v>
      </c>
      <c r="Q550">
        <f>IF(YLE成绩库!C50="","", YLE成绩库!E50)</f>
        <v>4</v>
      </c>
      <c r="R550">
        <f>IF(YLE成绩库!C50="","", YLE成绩库!F50)</f>
        <v>1</v>
      </c>
      <c r="S550">
        <f>IF(YLE成绩库!C50="","", YLE成绩库!G50)</f>
        <v>3</v>
      </c>
      <c r="T550">
        <f>IF(YLE成绩库!C50="","", YLE成绩库!H50)</f>
        <v>2</v>
      </c>
      <c r="U550">
        <f>IF(YLE成绩库!C50="","", YLE成绩库!K50)</f>
        <v>3</v>
      </c>
      <c r="V550">
        <f>IF(YLE成绩库!C50="","", YLE成绩库!W50)</f>
        <v>4</v>
      </c>
      <c r="W550">
        <f>IF(YLE成绩库!C50="","", YLE成绩库!X50)</f>
        <v>0</v>
      </c>
      <c r="X550" t="str">
        <f>IF(YLE成绩库!C50="","", YLE成绩库!AA50)</f>
        <v>⚠️ 薄弱环节: RW-Pt2
📉 考察能力: [读写] 补全对话
💡 提升建议: 结合上下文语境，注意问句和答句的时态一致性。</v>
      </c>
      <c r="Z550" t="str">
        <f>IF(YLE成绩库!C50="","", YLE成绩库!Z50)</f>
        <v>⚠️ 薄弱环节: L-Pt2
📉 考察能力: [听力] 听取细节并填空
💡 提升建议: 重点练习拼写人名、地名以及抓取数字信息。</v>
      </c>
    </row>
    <row r="551" spans="1:26" x14ac:dyDescent="0.2">
      <c r="A551" t="str">
        <f>IF(YLE成绩库!C51="","", YLE成绩库!C51)</f>
        <v>黄缙 Jin Huang</v>
      </c>
      <c r="B551" t="str">
        <f>IF(YLE成绩库!AB51="","", YLE成绩库!AB51)</f>
        <v>2024-01-15</v>
      </c>
      <c r="C551" t="str">
        <f>IF(YLE成绩库!B51="","", YLE成绩库!B51)</f>
        <v>A4</v>
      </c>
      <c r="D551" t="str">
        <f>IF(YLE成绩库!D51="","", YLE成绩库!D51)</f>
        <v>Movers</v>
      </c>
      <c r="E551">
        <f>IF(YLE成绩库!C51="","", YLE成绩库!L51)</f>
        <v>0</v>
      </c>
      <c r="F551">
        <f>IF(YLE成绩库!C51="","", YLE成绩库!M51)</f>
        <v>0</v>
      </c>
      <c r="G551">
        <f>IF(YLE成绩库!C51="","", YLE成绩库!N51)</f>
        <v>2</v>
      </c>
      <c r="H551">
        <f>IF(YLE成绩库!C51="","", YLE成绩库!O51)</f>
        <v>0</v>
      </c>
      <c r="I551">
        <f>IF(YLE成绩库!C51="","", YLE成绩库!P51)</f>
        <v>2</v>
      </c>
      <c r="J551">
        <f>IF(YLE成绩库!C51="","", YLE成绩库!Q51)</f>
        <v>2</v>
      </c>
      <c r="K551">
        <f>IF(YLE成绩库!C51="","", YLE成绩库!R51)</f>
        <v>0</v>
      </c>
      <c r="L551">
        <f>IF(YLE成绩库!C51="","", YLE成绩库!U51)</f>
        <v>1</v>
      </c>
      <c r="M551">
        <v>0</v>
      </c>
      <c r="N551">
        <v>0</v>
      </c>
      <c r="O551">
        <v>0</v>
      </c>
      <c r="P551" t="str">
        <f>IF(YLE成绩库!C51="","", YLE成绩库!D51)</f>
        <v>Movers</v>
      </c>
      <c r="Q551">
        <f>IF(YLE成绩库!C51="","", YLE成绩库!E51)</f>
        <v>3</v>
      </c>
      <c r="R551">
        <f>IF(YLE成绩库!C51="","", YLE成绩库!F51)</f>
        <v>2</v>
      </c>
      <c r="S551">
        <f>IF(YLE成绩库!C51="","", YLE成绩库!G51)</f>
        <v>1</v>
      </c>
      <c r="T551">
        <f>IF(YLE成绩库!C51="","", YLE成绩库!H51)</f>
        <v>2</v>
      </c>
      <c r="U551">
        <f>IF(YLE成绩库!C51="","", YLE成绩库!K51)</f>
        <v>1</v>
      </c>
      <c r="V551">
        <f>IF(YLE成绩库!C51="","", YLE成绩库!W51)</f>
        <v>2</v>
      </c>
      <c r="W551">
        <f>IF(YLE成绩库!C51="","", YLE成绩库!X51)</f>
        <v>0</v>
      </c>
      <c r="X551" t="str">
        <f>IF(YLE成绩库!C51="","", YLE成绩库!AA51)</f>
        <v>⚠️ 薄弱环节: RW-Pt1
📉 考察能力: [读写] 词汇定义匹配
💡 提升建议: 积累名词定义，注意区分功能相似的物品 (如不同种类的动物)。</v>
      </c>
      <c r="Z551" t="str">
        <f>IF(YLE成绩库!C51="","", YLE成绩库!Z51)</f>
        <v>⚠️ 薄弱环节: L-Pt5
📉 考察能力: [听力] 听音涂色与书写
💡 提升建议: 区分位置介词，准确找到需要涂色的物体，只涂色不画画。</v>
      </c>
    </row>
    <row r="552" spans="1:26" x14ac:dyDescent="0.2">
      <c r="A552" t="str">
        <f>IF(YLE成绩库!C52="","", YLE成绩库!C52)</f>
        <v>包言心 Angelina Bao</v>
      </c>
      <c r="B552" t="str">
        <f>IF(YLE成绩库!AB52="","", YLE成绩库!AB52)</f>
        <v>2024-01-15</v>
      </c>
      <c r="C552" t="str">
        <f>IF(YLE成绩库!B52="","", YLE成绩库!B52)</f>
        <v>A4</v>
      </c>
      <c r="D552" t="str">
        <f>IF(YLE成绩库!D52="","", YLE成绩库!D52)</f>
        <v>Movers</v>
      </c>
      <c r="E552">
        <f>IF(YLE成绩库!C52="","", YLE成绩库!L52)</f>
        <v>0</v>
      </c>
      <c r="F552">
        <f>IF(YLE成绩库!C52="","", YLE成绩库!M52)</f>
        <v>3</v>
      </c>
      <c r="G552">
        <f>IF(YLE成绩库!C52="","", YLE成绩库!N52)</f>
        <v>3</v>
      </c>
      <c r="H552">
        <f>IF(YLE成绩库!C52="","", YLE成绩库!O52)</f>
        <v>2</v>
      </c>
      <c r="I552">
        <f>IF(YLE成绩库!C52="","", YLE成绩库!P52)</f>
        <v>0</v>
      </c>
      <c r="J552">
        <f>IF(YLE成绩库!C52="","", YLE成绩库!Q52)</f>
        <v>2</v>
      </c>
      <c r="K552">
        <f>IF(YLE成绩库!C52="","", YLE成绩库!R52)</f>
        <v>0</v>
      </c>
      <c r="L552">
        <f>IF(YLE成绩库!C52="","", YLE成绩库!U52)</f>
        <v>1</v>
      </c>
      <c r="M552">
        <v>0</v>
      </c>
      <c r="N552">
        <v>0</v>
      </c>
      <c r="O552">
        <v>0</v>
      </c>
      <c r="P552" t="str">
        <f>IF(YLE成绩库!C52="","", YLE成绩库!D52)</f>
        <v>Movers</v>
      </c>
      <c r="Q552">
        <f>IF(YLE成绩库!C52="","", YLE成绩库!E52)</f>
        <v>5</v>
      </c>
      <c r="R552">
        <f>IF(YLE成绩库!C52="","", YLE成绩库!F52)</f>
        <v>1</v>
      </c>
      <c r="S552">
        <f>IF(YLE成绩库!C52="","", YLE成绩库!G52)</f>
        <v>5</v>
      </c>
      <c r="T552">
        <f>IF(YLE成绩库!C52="","", YLE成绩库!H52)</f>
        <v>2</v>
      </c>
      <c r="U552">
        <f>IF(YLE成绩库!C52="","", YLE成绩库!K52)</f>
        <v>3</v>
      </c>
      <c r="V552">
        <f>IF(YLE成绩库!C52="","", YLE成绩库!W52)</f>
        <v>4</v>
      </c>
      <c r="W552">
        <f>IF(YLE成绩库!C52="","", YLE成绩库!X52)</f>
        <v>0</v>
      </c>
      <c r="X552" t="str">
        <f>IF(YLE成绩库!C52="","", YLE成绩库!AA52)</f>
        <v>⚠️ 薄弱环节: RW-Pt4
📉 考察能力: [读写] 多项选择 (语法)
💡 提升建议: 重点考核语法基础，如名词单复数、代词指代、动词形式。</v>
      </c>
      <c r="Z552" t="str">
        <f>IF(YLE成绩库!C52="","", YLE成绩库!Z52)</f>
        <v>⚠️ 薄弱环节: L-Pt2
📉 考察能力: [听力] 听取细节并填空
💡 提升建议: 重点练习拼写人名、地名以及抓取数字信息。</v>
      </c>
    </row>
    <row r="553" spans="1:26" x14ac:dyDescent="0.2">
      <c r="A553" t="str">
        <f>IF(YLE成绩库!C53="","", YLE成绩库!C53)</f>
        <v>陈睿淇 Rachel Chen</v>
      </c>
      <c r="B553" t="str">
        <f>IF(YLE成绩库!AB53="","", YLE成绩库!AB53)</f>
        <v>2024-01-15</v>
      </c>
      <c r="C553" t="str">
        <f>IF(YLE成绩库!B53="","", YLE成绩库!B53)</f>
        <v>A4</v>
      </c>
      <c r="D553" t="str">
        <f>IF(YLE成绩库!D53="","", YLE成绩库!D53)</f>
        <v>Starters</v>
      </c>
      <c r="E553">
        <f>IF(YLE成绩库!C53="","", YLE成绩库!L53)</f>
        <v>0</v>
      </c>
      <c r="F553">
        <f>IF(YLE成绩库!C53="","", YLE成绩库!M53)</f>
        <v>4</v>
      </c>
      <c r="G553">
        <f>IF(YLE成绩库!C53="","", YLE成绩库!N53)</f>
        <v>0</v>
      </c>
      <c r="H553">
        <f>IF(YLE成绩库!C53="","", YLE成绩库!O53)</f>
        <v>0</v>
      </c>
      <c r="I553">
        <f>IF(YLE成绩库!C53="","", YLE成绩库!P53)</f>
        <v>0</v>
      </c>
      <c r="J553">
        <f>IF(YLE成绩库!C53="","", YLE成绩库!Q53)</f>
        <v>0</v>
      </c>
      <c r="K553">
        <f>IF(YLE成绩库!C53="","", YLE成绩库!R53)</f>
        <v>0</v>
      </c>
      <c r="L553">
        <f>IF(YLE成绩库!C53="","", YLE成绩库!U53)</f>
        <v>1</v>
      </c>
      <c r="M553">
        <v>0</v>
      </c>
      <c r="N553">
        <v>0</v>
      </c>
      <c r="O553">
        <v>0</v>
      </c>
      <c r="P553" t="str">
        <f>IF(YLE成绩库!C53="","", YLE成绩库!D53)</f>
        <v>Starters</v>
      </c>
      <c r="Q553">
        <f>IF(YLE成绩库!C53="","", YLE成绩库!E53)</f>
        <v>1</v>
      </c>
      <c r="R553">
        <f>IF(YLE成绩库!C53="","", YLE成绩库!F53)</f>
        <v>2</v>
      </c>
      <c r="S553">
        <f>IF(YLE成绩库!C53="","", YLE成绩库!G53)</f>
        <v>0</v>
      </c>
      <c r="T553">
        <f>IF(YLE成绩库!C53="","", YLE成绩库!H53)</f>
        <v>0</v>
      </c>
      <c r="U553">
        <f>IF(YLE成绩库!C53="","", YLE成绩库!K53)</f>
        <v>1</v>
      </c>
      <c r="V553">
        <f>IF(YLE成绩库!C53="","", YLE成绩库!W53)</f>
        <v>2</v>
      </c>
      <c r="W553">
        <f>IF(YLE成绩库!C53="","", YLE成绩库!X53)</f>
        <v>0</v>
      </c>
      <c r="X553" t="str">
        <f>IF(YLE成绩库!C53="","", YLE成绩库!AA53)</f>
        <v>⚠️ 薄弱环节: RW-Pt2
📉 考察能力: 建议查阅考纲
💡 提升建议: 请针对该题型加强练习</v>
      </c>
      <c r="Z553" t="str">
        <f>IF(YLE成绩库!C53="","", YLE成绩库!Z53)</f>
        <v>⚠️ 薄弱环节: L-Pt3
📉 考察能力: 建议查阅考纲
💡 提升建议: 请针对该题型加强练习</v>
      </c>
    </row>
    <row r="554" spans="1:26" x14ac:dyDescent="0.2">
      <c r="A554" t="str">
        <f>IF(YLE成绩库!C54="","", YLE成绩库!C54)</f>
        <v/>
      </c>
      <c r="B554" t="str">
        <f>IF(YLE成绩库!AB54="","", YLE成绩库!AB54)</f>
        <v>2024-01-15</v>
      </c>
      <c r="C554" t="str">
        <f>IF(YLE成绩库!B54="","", YLE成绩库!B54)</f>
        <v/>
      </c>
      <c r="D554" t="str">
        <f>IF(YLE成绩库!D54="","", YLE成绩库!D54)</f>
        <v/>
      </c>
      <c r="E554" t="str">
        <f>IF(YLE成绩库!C54="","", YLE成绩库!L54)</f>
        <v/>
      </c>
      <c r="F554" t="str">
        <f>IF(YLE成绩库!C54="","", YLE成绩库!M54)</f>
        <v/>
      </c>
      <c r="G554" t="str">
        <f>IF(YLE成绩库!C54="","", YLE成绩库!N54)</f>
        <v/>
      </c>
      <c r="H554" t="str">
        <f>IF(YLE成绩库!C54="","", YLE成绩库!O54)</f>
        <v/>
      </c>
      <c r="I554" t="str">
        <f>IF(YLE成绩库!C54="","", YLE成绩库!P54)</f>
        <v/>
      </c>
      <c r="J554" t="str">
        <f>IF(YLE成绩库!C54="","", YLE成绩库!Q54)</f>
        <v/>
      </c>
      <c r="K554" t="str">
        <f>IF(YLE成绩库!C54="","", YLE成绩库!R54)</f>
        <v/>
      </c>
      <c r="L554" t="str">
        <f>IF(YLE成绩库!C54="","", YLE成绩库!U54)</f>
        <v/>
      </c>
      <c r="M554">
        <v>0</v>
      </c>
      <c r="N554">
        <v>0</v>
      </c>
      <c r="O554">
        <v>0</v>
      </c>
      <c r="P554" t="str">
        <f>IF(YLE成绩库!C54="","", YLE成绩库!D54)</f>
        <v/>
      </c>
      <c r="Q554" t="str">
        <f>IF(YLE成绩库!C54="","", YLE成绩库!E54)</f>
        <v/>
      </c>
      <c r="R554" t="str">
        <f>IF(YLE成绩库!C54="","", YLE成绩库!F54)</f>
        <v/>
      </c>
      <c r="S554" t="str">
        <f>IF(YLE成绩库!C54="","", YLE成绩库!G54)</f>
        <v/>
      </c>
      <c r="T554" t="str">
        <f>IF(YLE成绩库!C54="","", YLE成绩库!H54)</f>
        <v/>
      </c>
      <c r="U554" t="str">
        <f>IF(YLE成绩库!C54="","", YLE成绩库!K54)</f>
        <v/>
      </c>
      <c r="V554" t="str">
        <f>IF(YLE成绩库!C54="","", YLE成绩库!W54)</f>
        <v/>
      </c>
      <c r="W554" t="str">
        <f>IF(YLE成绩库!C54="","", YLE成绩库!X54)</f>
        <v/>
      </c>
      <c r="X554" t="str">
        <f>IF(YLE成绩库!C54="","", YLE成绩库!AA54)</f>
        <v/>
      </c>
      <c r="Z554" t="str">
        <f>IF(YLE成绩库!C54="","", YLE成绩库!Z54)</f>
        <v/>
      </c>
    </row>
    <row r="555" spans="1:26" x14ac:dyDescent="0.2">
      <c r="A555" t="str">
        <f>IF(YLE成绩库!C55="","", YLE成绩库!C55)</f>
        <v/>
      </c>
      <c r="B555" t="str">
        <f>IF(YLE成绩库!AB55="","", YLE成绩库!AB55)</f>
        <v>2024-01-15</v>
      </c>
      <c r="C555" t="str">
        <f>IF(YLE成绩库!B55="","", YLE成绩库!B55)</f>
        <v/>
      </c>
      <c r="D555" t="str">
        <f>IF(YLE成绩库!D55="","", YLE成绩库!D55)</f>
        <v/>
      </c>
      <c r="E555" t="str">
        <f>IF(YLE成绩库!C55="","", YLE成绩库!L55)</f>
        <v/>
      </c>
      <c r="F555" t="str">
        <f>IF(YLE成绩库!C55="","", YLE成绩库!M55)</f>
        <v/>
      </c>
      <c r="G555" t="str">
        <f>IF(YLE成绩库!C55="","", YLE成绩库!N55)</f>
        <v/>
      </c>
      <c r="H555" t="str">
        <f>IF(YLE成绩库!C55="","", YLE成绩库!O55)</f>
        <v/>
      </c>
      <c r="I555" t="str">
        <f>IF(YLE成绩库!C55="","", YLE成绩库!P55)</f>
        <v/>
      </c>
      <c r="J555" t="str">
        <f>IF(YLE成绩库!C55="","", YLE成绩库!Q55)</f>
        <v/>
      </c>
      <c r="K555" t="str">
        <f>IF(YLE成绩库!C55="","", YLE成绩库!R55)</f>
        <v/>
      </c>
      <c r="L555" t="str">
        <f>IF(YLE成绩库!C55="","", YLE成绩库!U55)</f>
        <v/>
      </c>
      <c r="M555">
        <v>0</v>
      </c>
      <c r="N555">
        <v>0</v>
      </c>
      <c r="O555">
        <v>0</v>
      </c>
      <c r="P555" t="str">
        <f>IF(YLE成绩库!C55="","", YLE成绩库!D55)</f>
        <v/>
      </c>
      <c r="Q555" t="str">
        <f>IF(YLE成绩库!C55="","", YLE成绩库!E55)</f>
        <v/>
      </c>
      <c r="R555" t="str">
        <f>IF(YLE成绩库!C55="","", YLE成绩库!F55)</f>
        <v/>
      </c>
      <c r="S555" t="str">
        <f>IF(YLE成绩库!C55="","", YLE成绩库!G55)</f>
        <v/>
      </c>
      <c r="T555" t="str">
        <f>IF(YLE成绩库!C55="","", YLE成绩库!H55)</f>
        <v/>
      </c>
      <c r="U555" t="str">
        <f>IF(YLE成绩库!C55="","", YLE成绩库!K55)</f>
        <v/>
      </c>
      <c r="V555" t="str">
        <f>IF(YLE成绩库!C55="","", YLE成绩库!W55)</f>
        <v/>
      </c>
      <c r="W555" t="str">
        <f>IF(YLE成绩库!C55="","", YLE成绩库!X55)</f>
        <v/>
      </c>
      <c r="X555" t="str">
        <f>IF(YLE成绩库!C55="","", YLE成绩库!AA55)</f>
        <v/>
      </c>
      <c r="Z555" t="str">
        <f>IF(YLE成绩库!C55="","", YLE成绩库!Z55)</f>
        <v/>
      </c>
    </row>
    <row r="556" spans="1:26" x14ac:dyDescent="0.2">
      <c r="A556" t="str">
        <f>IF(YLE成绩库!C56="","", YLE成绩库!C56)</f>
        <v/>
      </c>
      <c r="B556" t="str">
        <f>IF(YLE成绩库!AB56="","", YLE成绩库!AB56)</f>
        <v>2024-01-15</v>
      </c>
      <c r="C556" t="str">
        <f>IF(YLE成绩库!B56="","", YLE成绩库!B56)</f>
        <v/>
      </c>
      <c r="D556" t="str">
        <f>IF(YLE成绩库!D56="","", YLE成绩库!D56)</f>
        <v/>
      </c>
      <c r="E556" t="str">
        <f>IF(YLE成绩库!C56="","", YLE成绩库!L56)</f>
        <v/>
      </c>
      <c r="F556" t="str">
        <f>IF(YLE成绩库!C56="","", YLE成绩库!M56)</f>
        <v/>
      </c>
      <c r="G556" t="str">
        <f>IF(YLE成绩库!C56="","", YLE成绩库!N56)</f>
        <v/>
      </c>
      <c r="H556" t="str">
        <f>IF(YLE成绩库!C56="","", YLE成绩库!O56)</f>
        <v/>
      </c>
      <c r="I556" t="str">
        <f>IF(YLE成绩库!C56="","", YLE成绩库!P56)</f>
        <v/>
      </c>
      <c r="J556" t="str">
        <f>IF(YLE成绩库!C56="","", YLE成绩库!Q56)</f>
        <v/>
      </c>
      <c r="K556" t="str">
        <f>IF(YLE成绩库!C56="","", YLE成绩库!R56)</f>
        <v/>
      </c>
      <c r="L556" t="str">
        <f>IF(YLE成绩库!C56="","", YLE成绩库!U56)</f>
        <v/>
      </c>
      <c r="M556">
        <v>0</v>
      </c>
      <c r="N556">
        <v>0</v>
      </c>
      <c r="O556">
        <v>0</v>
      </c>
      <c r="P556" t="str">
        <f>IF(YLE成绩库!C56="","", YLE成绩库!D56)</f>
        <v/>
      </c>
      <c r="Q556" t="str">
        <f>IF(YLE成绩库!C56="","", YLE成绩库!E56)</f>
        <v/>
      </c>
      <c r="R556" t="str">
        <f>IF(YLE成绩库!C56="","", YLE成绩库!F56)</f>
        <v/>
      </c>
      <c r="S556" t="str">
        <f>IF(YLE成绩库!C56="","", YLE成绩库!G56)</f>
        <v/>
      </c>
      <c r="T556" t="str">
        <f>IF(YLE成绩库!C56="","", YLE成绩库!H56)</f>
        <v/>
      </c>
      <c r="U556" t="str">
        <f>IF(YLE成绩库!C56="","", YLE成绩库!K56)</f>
        <v/>
      </c>
      <c r="V556" t="str">
        <f>IF(YLE成绩库!C56="","", YLE成绩库!W56)</f>
        <v/>
      </c>
      <c r="W556" t="str">
        <f>IF(YLE成绩库!C56="","", YLE成绩库!X56)</f>
        <v/>
      </c>
      <c r="X556" t="str">
        <f>IF(YLE成绩库!C56="","", YLE成绩库!AA56)</f>
        <v/>
      </c>
      <c r="Z556" t="str">
        <f>IF(YLE成绩库!C56="","", YLE成绩库!Z56)</f>
        <v/>
      </c>
    </row>
    <row r="557" spans="1:26" x14ac:dyDescent="0.2">
      <c r="A557" t="str">
        <f>IF(YLE成绩库!C57="","", YLE成绩库!C57)</f>
        <v/>
      </c>
      <c r="B557" t="str">
        <f>IF(YLE成绩库!AB57="","", YLE成绩库!AB57)</f>
        <v>2024-01-15</v>
      </c>
      <c r="C557" t="str">
        <f>IF(YLE成绩库!B57="","", YLE成绩库!B57)</f>
        <v/>
      </c>
      <c r="D557" t="str">
        <f>IF(YLE成绩库!D57="","", YLE成绩库!D57)</f>
        <v/>
      </c>
      <c r="E557" t="str">
        <f>IF(YLE成绩库!C57="","", YLE成绩库!L57)</f>
        <v/>
      </c>
      <c r="F557" t="str">
        <f>IF(YLE成绩库!C57="","", YLE成绩库!M57)</f>
        <v/>
      </c>
      <c r="G557" t="str">
        <f>IF(YLE成绩库!C57="","", YLE成绩库!N57)</f>
        <v/>
      </c>
      <c r="H557" t="str">
        <f>IF(YLE成绩库!C57="","", YLE成绩库!O57)</f>
        <v/>
      </c>
      <c r="I557" t="str">
        <f>IF(YLE成绩库!C57="","", YLE成绩库!P57)</f>
        <v/>
      </c>
      <c r="J557" t="str">
        <f>IF(YLE成绩库!C57="","", YLE成绩库!Q57)</f>
        <v/>
      </c>
      <c r="K557" t="str">
        <f>IF(YLE成绩库!C57="","", YLE成绩库!R57)</f>
        <v/>
      </c>
      <c r="L557" t="str">
        <f>IF(YLE成绩库!C57="","", YLE成绩库!U57)</f>
        <v/>
      </c>
      <c r="M557">
        <v>0</v>
      </c>
      <c r="N557">
        <v>0</v>
      </c>
      <c r="O557">
        <v>0</v>
      </c>
      <c r="P557" t="str">
        <f>IF(YLE成绩库!C57="","", YLE成绩库!D57)</f>
        <v/>
      </c>
      <c r="Q557" t="str">
        <f>IF(YLE成绩库!C57="","", YLE成绩库!E57)</f>
        <v/>
      </c>
      <c r="R557" t="str">
        <f>IF(YLE成绩库!C57="","", YLE成绩库!F57)</f>
        <v/>
      </c>
      <c r="S557" t="str">
        <f>IF(YLE成绩库!C57="","", YLE成绩库!G57)</f>
        <v/>
      </c>
      <c r="T557" t="str">
        <f>IF(YLE成绩库!C57="","", YLE成绩库!H57)</f>
        <v/>
      </c>
      <c r="U557" t="str">
        <f>IF(YLE成绩库!C57="","", YLE成绩库!K57)</f>
        <v/>
      </c>
      <c r="V557" t="str">
        <f>IF(YLE成绩库!C57="","", YLE成绩库!W57)</f>
        <v/>
      </c>
      <c r="W557" t="str">
        <f>IF(YLE成绩库!C57="","", YLE成绩库!X57)</f>
        <v/>
      </c>
      <c r="X557" t="str">
        <f>IF(YLE成绩库!C57="","", YLE成绩库!AA57)</f>
        <v/>
      </c>
      <c r="Z557" t="str">
        <f>IF(YLE成绩库!C57="","", YLE成绩库!Z57)</f>
        <v/>
      </c>
    </row>
    <row r="558" spans="1:26" x14ac:dyDescent="0.2">
      <c r="A558" t="str">
        <f>IF(YLE成绩库!C58="","", YLE成绩库!C58)</f>
        <v/>
      </c>
      <c r="B558" t="str">
        <f>IF(YLE成绩库!AB58="","", YLE成绩库!AB58)</f>
        <v>2024-01-15</v>
      </c>
      <c r="C558" t="str">
        <f>IF(YLE成绩库!B58="","", YLE成绩库!B58)</f>
        <v/>
      </c>
      <c r="D558" t="str">
        <f>IF(YLE成绩库!D58="","", YLE成绩库!D58)</f>
        <v/>
      </c>
      <c r="E558" t="str">
        <f>IF(YLE成绩库!C58="","", YLE成绩库!L58)</f>
        <v/>
      </c>
      <c r="F558" t="str">
        <f>IF(YLE成绩库!C58="","", YLE成绩库!M58)</f>
        <v/>
      </c>
      <c r="G558" t="str">
        <f>IF(YLE成绩库!C58="","", YLE成绩库!N58)</f>
        <v/>
      </c>
      <c r="H558" t="str">
        <f>IF(YLE成绩库!C58="","", YLE成绩库!O58)</f>
        <v/>
      </c>
      <c r="I558" t="str">
        <f>IF(YLE成绩库!C58="","", YLE成绩库!P58)</f>
        <v/>
      </c>
      <c r="J558" t="str">
        <f>IF(YLE成绩库!C58="","", YLE成绩库!Q58)</f>
        <v/>
      </c>
      <c r="K558" t="str">
        <f>IF(YLE成绩库!C58="","", YLE成绩库!R58)</f>
        <v/>
      </c>
      <c r="L558" t="str">
        <f>IF(YLE成绩库!C58="","", YLE成绩库!U58)</f>
        <v/>
      </c>
      <c r="M558">
        <v>0</v>
      </c>
      <c r="N558">
        <v>0</v>
      </c>
      <c r="O558">
        <v>0</v>
      </c>
      <c r="P558" t="str">
        <f>IF(YLE成绩库!C58="","", YLE成绩库!D58)</f>
        <v/>
      </c>
      <c r="Q558" t="str">
        <f>IF(YLE成绩库!C58="","", YLE成绩库!E58)</f>
        <v/>
      </c>
      <c r="R558" t="str">
        <f>IF(YLE成绩库!C58="","", YLE成绩库!F58)</f>
        <v/>
      </c>
      <c r="S558" t="str">
        <f>IF(YLE成绩库!C58="","", YLE成绩库!G58)</f>
        <v/>
      </c>
      <c r="T558" t="str">
        <f>IF(YLE成绩库!C58="","", YLE成绩库!H58)</f>
        <v/>
      </c>
      <c r="U558" t="str">
        <f>IF(YLE成绩库!C58="","", YLE成绩库!K58)</f>
        <v/>
      </c>
      <c r="V558" t="str">
        <f>IF(YLE成绩库!C58="","", YLE成绩库!W58)</f>
        <v/>
      </c>
      <c r="W558" t="str">
        <f>IF(YLE成绩库!C58="","", YLE成绩库!X58)</f>
        <v/>
      </c>
      <c r="X558" t="str">
        <f>IF(YLE成绩库!C58="","", YLE成绩库!AA58)</f>
        <v/>
      </c>
      <c r="Z558" t="str">
        <f>IF(YLE成绩库!C58="","", YLE成绩库!Z58)</f>
        <v/>
      </c>
    </row>
    <row r="559" spans="1:26" x14ac:dyDescent="0.2">
      <c r="A559" t="str">
        <f>IF(YLE成绩库!C59="","", YLE成绩库!C59)</f>
        <v/>
      </c>
      <c r="B559" t="str">
        <f>IF(YLE成绩库!AB59="","", YLE成绩库!AB59)</f>
        <v>2024-01-15</v>
      </c>
      <c r="C559" t="str">
        <f>IF(YLE成绩库!B59="","", YLE成绩库!B59)</f>
        <v/>
      </c>
      <c r="D559" t="str">
        <f>IF(YLE成绩库!D59="","", YLE成绩库!D59)</f>
        <v/>
      </c>
      <c r="E559" t="str">
        <f>IF(YLE成绩库!C59="","", YLE成绩库!L59)</f>
        <v/>
      </c>
      <c r="F559" t="str">
        <f>IF(YLE成绩库!C59="","", YLE成绩库!M59)</f>
        <v/>
      </c>
      <c r="G559" t="str">
        <f>IF(YLE成绩库!C59="","", YLE成绩库!N59)</f>
        <v/>
      </c>
      <c r="H559" t="str">
        <f>IF(YLE成绩库!C59="","", YLE成绩库!O59)</f>
        <v/>
      </c>
      <c r="I559" t="str">
        <f>IF(YLE成绩库!C59="","", YLE成绩库!P59)</f>
        <v/>
      </c>
      <c r="J559" t="str">
        <f>IF(YLE成绩库!C59="","", YLE成绩库!Q59)</f>
        <v/>
      </c>
      <c r="K559" t="str">
        <f>IF(YLE成绩库!C59="","", YLE成绩库!R59)</f>
        <v/>
      </c>
      <c r="L559" t="str">
        <f>IF(YLE成绩库!C59="","", YLE成绩库!U59)</f>
        <v/>
      </c>
      <c r="M559">
        <v>0</v>
      </c>
      <c r="N559">
        <v>0</v>
      </c>
      <c r="O559">
        <v>0</v>
      </c>
      <c r="P559" t="str">
        <f>IF(YLE成绩库!C59="","", YLE成绩库!D59)</f>
        <v/>
      </c>
      <c r="Q559" t="str">
        <f>IF(YLE成绩库!C59="","", YLE成绩库!E59)</f>
        <v/>
      </c>
      <c r="R559" t="str">
        <f>IF(YLE成绩库!C59="","", YLE成绩库!F59)</f>
        <v/>
      </c>
      <c r="S559" t="str">
        <f>IF(YLE成绩库!C59="","", YLE成绩库!G59)</f>
        <v/>
      </c>
      <c r="T559" t="str">
        <f>IF(YLE成绩库!C59="","", YLE成绩库!H59)</f>
        <v/>
      </c>
      <c r="U559" t="str">
        <f>IF(YLE成绩库!C59="","", YLE成绩库!K59)</f>
        <v/>
      </c>
      <c r="V559" t="str">
        <f>IF(YLE成绩库!C59="","", YLE成绩库!W59)</f>
        <v/>
      </c>
      <c r="W559" t="str">
        <f>IF(YLE成绩库!C59="","", YLE成绩库!X59)</f>
        <v/>
      </c>
      <c r="X559" t="str">
        <f>IF(YLE成绩库!C59="","", YLE成绩库!AA59)</f>
        <v/>
      </c>
      <c r="Z559" t="str">
        <f>IF(YLE成绩库!C59="","", YLE成绩库!Z59)</f>
        <v/>
      </c>
    </row>
    <row r="560" spans="1:26" x14ac:dyDescent="0.2">
      <c r="A560" t="str">
        <f>IF(YLE成绩库!C60="","", YLE成绩库!C60)</f>
        <v/>
      </c>
      <c r="B560" t="str">
        <f>IF(YLE成绩库!AB60="","", YLE成绩库!AB60)</f>
        <v>2024-01-15</v>
      </c>
      <c r="C560" t="str">
        <f>IF(YLE成绩库!B60="","", YLE成绩库!B60)</f>
        <v/>
      </c>
      <c r="D560" t="str">
        <f>IF(YLE成绩库!D60="","", YLE成绩库!D60)</f>
        <v/>
      </c>
      <c r="E560" t="str">
        <f>IF(YLE成绩库!C60="","", YLE成绩库!L60)</f>
        <v/>
      </c>
      <c r="F560" t="str">
        <f>IF(YLE成绩库!C60="","", YLE成绩库!M60)</f>
        <v/>
      </c>
      <c r="G560" t="str">
        <f>IF(YLE成绩库!C60="","", YLE成绩库!N60)</f>
        <v/>
      </c>
      <c r="H560" t="str">
        <f>IF(YLE成绩库!C60="","", YLE成绩库!O60)</f>
        <v/>
      </c>
      <c r="I560" t="str">
        <f>IF(YLE成绩库!C60="","", YLE成绩库!P60)</f>
        <v/>
      </c>
      <c r="J560" t="str">
        <f>IF(YLE成绩库!C60="","", YLE成绩库!Q60)</f>
        <v/>
      </c>
      <c r="K560" t="str">
        <f>IF(YLE成绩库!C60="","", YLE成绩库!R60)</f>
        <v/>
      </c>
      <c r="L560" t="str">
        <f>IF(YLE成绩库!C60="","", YLE成绩库!U60)</f>
        <v/>
      </c>
      <c r="M560">
        <v>0</v>
      </c>
      <c r="N560">
        <v>0</v>
      </c>
      <c r="O560">
        <v>0</v>
      </c>
      <c r="P560" t="str">
        <f>IF(YLE成绩库!C60="","", YLE成绩库!D60)</f>
        <v/>
      </c>
      <c r="Q560" t="str">
        <f>IF(YLE成绩库!C60="","", YLE成绩库!E60)</f>
        <v/>
      </c>
      <c r="R560" t="str">
        <f>IF(YLE成绩库!C60="","", YLE成绩库!F60)</f>
        <v/>
      </c>
      <c r="S560" t="str">
        <f>IF(YLE成绩库!C60="","", YLE成绩库!G60)</f>
        <v/>
      </c>
      <c r="T560" t="str">
        <f>IF(YLE成绩库!C60="","", YLE成绩库!H60)</f>
        <v/>
      </c>
      <c r="U560" t="str">
        <f>IF(YLE成绩库!C60="","", YLE成绩库!K60)</f>
        <v/>
      </c>
      <c r="V560" t="str">
        <f>IF(YLE成绩库!C60="","", YLE成绩库!W60)</f>
        <v/>
      </c>
      <c r="W560" t="str">
        <f>IF(YLE成绩库!C60="","", YLE成绩库!X60)</f>
        <v/>
      </c>
      <c r="X560" t="str">
        <f>IF(YLE成绩库!C60="","", YLE成绩库!AA60)</f>
        <v/>
      </c>
      <c r="Z560" t="str">
        <f>IF(YLE成绩库!C60="","", YLE成绩库!Z60)</f>
        <v/>
      </c>
    </row>
    <row r="561" spans="1:26" x14ac:dyDescent="0.2">
      <c r="A561" t="str">
        <f>IF(YLE成绩库!C61="","", YLE成绩库!C61)</f>
        <v/>
      </c>
      <c r="B561" t="str">
        <f>IF(YLE成绩库!AB61="","", YLE成绩库!AB61)</f>
        <v>2024-01-15</v>
      </c>
      <c r="C561" t="str">
        <f>IF(YLE成绩库!B61="","", YLE成绩库!B61)</f>
        <v/>
      </c>
      <c r="D561" t="str">
        <f>IF(YLE成绩库!D61="","", YLE成绩库!D61)</f>
        <v/>
      </c>
      <c r="E561" t="str">
        <f>IF(YLE成绩库!C61="","", YLE成绩库!L61)</f>
        <v/>
      </c>
      <c r="F561" t="str">
        <f>IF(YLE成绩库!C61="","", YLE成绩库!M61)</f>
        <v/>
      </c>
      <c r="G561" t="str">
        <f>IF(YLE成绩库!C61="","", YLE成绩库!N61)</f>
        <v/>
      </c>
      <c r="H561" t="str">
        <f>IF(YLE成绩库!C61="","", YLE成绩库!O61)</f>
        <v/>
      </c>
      <c r="I561" t="str">
        <f>IF(YLE成绩库!C61="","", YLE成绩库!P61)</f>
        <v/>
      </c>
      <c r="J561" t="str">
        <f>IF(YLE成绩库!C61="","", YLE成绩库!Q61)</f>
        <v/>
      </c>
      <c r="K561" t="str">
        <f>IF(YLE成绩库!C61="","", YLE成绩库!R61)</f>
        <v/>
      </c>
      <c r="L561" t="str">
        <f>IF(YLE成绩库!C61="","", YLE成绩库!U61)</f>
        <v/>
      </c>
      <c r="M561">
        <v>0</v>
      </c>
      <c r="N561">
        <v>0</v>
      </c>
      <c r="O561">
        <v>0</v>
      </c>
      <c r="P561" t="str">
        <f>IF(YLE成绩库!C61="","", YLE成绩库!D61)</f>
        <v/>
      </c>
      <c r="Q561" t="str">
        <f>IF(YLE成绩库!C61="","", YLE成绩库!E61)</f>
        <v/>
      </c>
      <c r="R561" t="str">
        <f>IF(YLE成绩库!C61="","", YLE成绩库!F61)</f>
        <v/>
      </c>
      <c r="S561" t="str">
        <f>IF(YLE成绩库!C61="","", YLE成绩库!G61)</f>
        <v/>
      </c>
      <c r="T561" t="str">
        <f>IF(YLE成绩库!C61="","", YLE成绩库!H61)</f>
        <v/>
      </c>
      <c r="U561" t="str">
        <f>IF(YLE成绩库!C61="","", YLE成绩库!K61)</f>
        <v/>
      </c>
      <c r="V561" t="str">
        <f>IF(YLE成绩库!C61="","", YLE成绩库!W61)</f>
        <v/>
      </c>
      <c r="W561" t="str">
        <f>IF(YLE成绩库!C61="","", YLE成绩库!X61)</f>
        <v/>
      </c>
      <c r="X561" t="str">
        <f>IF(YLE成绩库!C61="","", YLE成绩库!AA61)</f>
        <v/>
      </c>
      <c r="Z561" t="str">
        <f>IF(YLE成绩库!C61="","", YLE成绩库!Z61)</f>
        <v/>
      </c>
    </row>
    <row r="562" spans="1:26" x14ac:dyDescent="0.2">
      <c r="A562" t="str">
        <f>IF(YLE成绩库!C62="","", YLE成绩库!C62)</f>
        <v/>
      </c>
      <c r="B562" t="str">
        <f>IF(YLE成绩库!AB62="","", YLE成绩库!AB62)</f>
        <v>2024-01-15</v>
      </c>
      <c r="C562" t="str">
        <f>IF(YLE成绩库!B62="","", YLE成绩库!B62)</f>
        <v/>
      </c>
      <c r="D562" t="str">
        <f>IF(YLE成绩库!D62="","", YLE成绩库!D62)</f>
        <v/>
      </c>
      <c r="E562" t="str">
        <f>IF(YLE成绩库!C62="","", YLE成绩库!L62)</f>
        <v/>
      </c>
      <c r="F562" t="str">
        <f>IF(YLE成绩库!C62="","", YLE成绩库!M62)</f>
        <v/>
      </c>
      <c r="G562" t="str">
        <f>IF(YLE成绩库!C62="","", YLE成绩库!N62)</f>
        <v/>
      </c>
      <c r="H562" t="str">
        <f>IF(YLE成绩库!C62="","", YLE成绩库!O62)</f>
        <v/>
      </c>
      <c r="I562" t="str">
        <f>IF(YLE成绩库!C62="","", YLE成绩库!P62)</f>
        <v/>
      </c>
      <c r="J562" t="str">
        <f>IF(YLE成绩库!C62="","", YLE成绩库!Q62)</f>
        <v/>
      </c>
      <c r="K562" t="str">
        <f>IF(YLE成绩库!C62="","", YLE成绩库!R62)</f>
        <v/>
      </c>
      <c r="L562" t="str">
        <f>IF(YLE成绩库!C62="","", YLE成绩库!U62)</f>
        <v/>
      </c>
      <c r="M562">
        <v>0</v>
      </c>
      <c r="N562">
        <v>0</v>
      </c>
      <c r="O562">
        <v>0</v>
      </c>
      <c r="P562" t="str">
        <f>IF(YLE成绩库!C62="","", YLE成绩库!D62)</f>
        <v/>
      </c>
      <c r="Q562" t="str">
        <f>IF(YLE成绩库!C62="","", YLE成绩库!E62)</f>
        <v/>
      </c>
      <c r="R562" t="str">
        <f>IF(YLE成绩库!C62="","", YLE成绩库!F62)</f>
        <v/>
      </c>
      <c r="S562" t="str">
        <f>IF(YLE成绩库!C62="","", YLE成绩库!G62)</f>
        <v/>
      </c>
      <c r="T562" t="str">
        <f>IF(YLE成绩库!C62="","", YLE成绩库!H62)</f>
        <v/>
      </c>
      <c r="U562" t="str">
        <f>IF(YLE成绩库!C62="","", YLE成绩库!K62)</f>
        <v/>
      </c>
      <c r="V562" t="str">
        <f>IF(YLE成绩库!C62="","", YLE成绩库!W62)</f>
        <v/>
      </c>
      <c r="W562" t="str">
        <f>IF(YLE成绩库!C62="","", YLE成绩库!X62)</f>
        <v/>
      </c>
      <c r="X562" t="str">
        <f>IF(YLE成绩库!C62="","", YLE成绩库!AA62)</f>
        <v/>
      </c>
      <c r="Z562" t="str">
        <f>IF(YLE成绩库!C62="","", YLE成绩库!Z62)</f>
        <v/>
      </c>
    </row>
    <row r="563" spans="1:26" x14ac:dyDescent="0.2">
      <c r="A563" t="str">
        <f>IF(YLE成绩库!C63="","", YLE成绩库!C63)</f>
        <v/>
      </c>
      <c r="B563" t="str">
        <f>IF(YLE成绩库!AB63="","", YLE成绩库!AB63)</f>
        <v>2024-01-15</v>
      </c>
      <c r="C563" t="str">
        <f>IF(YLE成绩库!B63="","", YLE成绩库!B63)</f>
        <v/>
      </c>
      <c r="D563" t="str">
        <f>IF(YLE成绩库!D63="","", YLE成绩库!D63)</f>
        <v/>
      </c>
      <c r="E563" t="str">
        <f>IF(YLE成绩库!C63="","", YLE成绩库!L63)</f>
        <v/>
      </c>
      <c r="F563" t="str">
        <f>IF(YLE成绩库!C63="","", YLE成绩库!M63)</f>
        <v/>
      </c>
      <c r="G563" t="str">
        <f>IF(YLE成绩库!C63="","", YLE成绩库!N63)</f>
        <v/>
      </c>
      <c r="H563" t="str">
        <f>IF(YLE成绩库!C63="","", YLE成绩库!O63)</f>
        <v/>
      </c>
      <c r="I563" t="str">
        <f>IF(YLE成绩库!C63="","", YLE成绩库!P63)</f>
        <v/>
      </c>
      <c r="J563" t="str">
        <f>IF(YLE成绩库!C63="","", YLE成绩库!Q63)</f>
        <v/>
      </c>
      <c r="K563" t="str">
        <f>IF(YLE成绩库!C63="","", YLE成绩库!R63)</f>
        <v/>
      </c>
      <c r="L563" t="str">
        <f>IF(YLE成绩库!C63="","", YLE成绩库!U63)</f>
        <v/>
      </c>
      <c r="M563">
        <v>0</v>
      </c>
      <c r="N563">
        <v>0</v>
      </c>
      <c r="O563">
        <v>0</v>
      </c>
      <c r="P563" t="str">
        <f>IF(YLE成绩库!C63="","", YLE成绩库!D63)</f>
        <v/>
      </c>
      <c r="Q563" t="str">
        <f>IF(YLE成绩库!C63="","", YLE成绩库!E63)</f>
        <v/>
      </c>
      <c r="R563" t="str">
        <f>IF(YLE成绩库!C63="","", YLE成绩库!F63)</f>
        <v/>
      </c>
      <c r="S563" t="str">
        <f>IF(YLE成绩库!C63="","", YLE成绩库!G63)</f>
        <v/>
      </c>
      <c r="T563" t="str">
        <f>IF(YLE成绩库!C63="","", YLE成绩库!H63)</f>
        <v/>
      </c>
      <c r="U563" t="str">
        <f>IF(YLE成绩库!C63="","", YLE成绩库!K63)</f>
        <v/>
      </c>
      <c r="V563" t="str">
        <f>IF(YLE成绩库!C63="","", YLE成绩库!W63)</f>
        <v/>
      </c>
      <c r="W563" t="str">
        <f>IF(YLE成绩库!C63="","", YLE成绩库!X63)</f>
        <v/>
      </c>
      <c r="X563" t="str">
        <f>IF(YLE成绩库!C63="","", YLE成绩库!AA63)</f>
        <v/>
      </c>
      <c r="Z563" t="str">
        <f>IF(YLE成绩库!C63="","", YLE成绩库!Z63)</f>
        <v/>
      </c>
    </row>
    <row r="564" spans="1:26" x14ac:dyDescent="0.2">
      <c r="A564" t="str">
        <f>IF(YLE成绩库!C64="","", YLE成绩库!C64)</f>
        <v/>
      </c>
      <c r="B564" t="str">
        <f>IF(YLE成绩库!AB64="","", YLE成绩库!AB64)</f>
        <v>2024-01-15</v>
      </c>
      <c r="C564" t="str">
        <f>IF(YLE成绩库!B64="","", YLE成绩库!B64)</f>
        <v/>
      </c>
      <c r="D564" t="str">
        <f>IF(YLE成绩库!D64="","", YLE成绩库!D64)</f>
        <v/>
      </c>
      <c r="E564" t="str">
        <f>IF(YLE成绩库!C64="","", YLE成绩库!L64)</f>
        <v/>
      </c>
      <c r="F564" t="str">
        <f>IF(YLE成绩库!C64="","", YLE成绩库!M64)</f>
        <v/>
      </c>
      <c r="G564" t="str">
        <f>IF(YLE成绩库!C64="","", YLE成绩库!N64)</f>
        <v/>
      </c>
      <c r="H564" t="str">
        <f>IF(YLE成绩库!C64="","", YLE成绩库!O64)</f>
        <v/>
      </c>
      <c r="I564" t="str">
        <f>IF(YLE成绩库!C64="","", YLE成绩库!P64)</f>
        <v/>
      </c>
      <c r="J564" t="str">
        <f>IF(YLE成绩库!C64="","", YLE成绩库!Q64)</f>
        <v/>
      </c>
      <c r="K564" t="str">
        <f>IF(YLE成绩库!C64="","", YLE成绩库!R64)</f>
        <v/>
      </c>
      <c r="L564" t="str">
        <f>IF(YLE成绩库!C64="","", YLE成绩库!U64)</f>
        <v/>
      </c>
      <c r="M564">
        <v>0</v>
      </c>
      <c r="N564">
        <v>0</v>
      </c>
      <c r="O564">
        <v>0</v>
      </c>
      <c r="P564" t="str">
        <f>IF(YLE成绩库!C64="","", YLE成绩库!D64)</f>
        <v/>
      </c>
      <c r="Q564" t="str">
        <f>IF(YLE成绩库!C64="","", YLE成绩库!E64)</f>
        <v/>
      </c>
      <c r="R564" t="str">
        <f>IF(YLE成绩库!C64="","", YLE成绩库!F64)</f>
        <v/>
      </c>
      <c r="S564" t="str">
        <f>IF(YLE成绩库!C64="","", YLE成绩库!G64)</f>
        <v/>
      </c>
      <c r="T564" t="str">
        <f>IF(YLE成绩库!C64="","", YLE成绩库!H64)</f>
        <v/>
      </c>
      <c r="U564" t="str">
        <f>IF(YLE成绩库!C64="","", YLE成绩库!K64)</f>
        <v/>
      </c>
      <c r="V564" t="str">
        <f>IF(YLE成绩库!C64="","", YLE成绩库!W64)</f>
        <v/>
      </c>
      <c r="W564" t="str">
        <f>IF(YLE成绩库!C64="","", YLE成绩库!X64)</f>
        <v/>
      </c>
      <c r="X564" t="str">
        <f>IF(YLE成绩库!C64="","", YLE成绩库!AA64)</f>
        <v/>
      </c>
      <c r="Z564" t="str">
        <f>IF(YLE成绩库!C64="","", YLE成绩库!Z64)</f>
        <v/>
      </c>
    </row>
    <row r="565" spans="1:26" x14ac:dyDescent="0.2">
      <c r="A565" t="str">
        <f>IF(YLE成绩库!C65="","", YLE成绩库!C65)</f>
        <v/>
      </c>
      <c r="B565" t="str">
        <f>IF(YLE成绩库!AB65="","", YLE成绩库!AB65)</f>
        <v>2024-01-15</v>
      </c>
      <c r="C565" t="str">
        <f>IF(YLE成绩库!B65="","", YLE成绩库!B65)</f>
        <v/>
      </c>
      <c r="D565" t="str">
        <f>IF(YLE成绩库!D65="","", YLE成绩库!D65)</f>
        <v/>
      </c>
      <c r="E565" t="str">
        <f>IF(YLE成绩库!C65="","", YLE成绩库!L65)</f>
        <v/>
      </c>
      <c r="F565" t="str">
        <f>IF(YLE成绩库!C65="","", YLE成绩库!M65)</f>
        <v/>
      </c>
      <c r="G565" t="str">
        <f>IF(YLE成绩库!C65="","", YLE成绩库!N65)</f>
        <v/>
      </c>
      <c r="H565" t="str">
        <f>IF(YLE成绩库!C65="","", YLE成绩库!O65)</f>
        <v/>
      </c>
      <c r="I565" t="str">
        <f>IF(YLE成绩库!C65="","", YLE成绩库!P65)</f>
        <v/>
      </c>
      <c r="J565" t="str">
        <f>IF(YLE成绩库!C65="","", YLE成绩库!Q65)</f>
        <v/>
      </c>
      <c r="K565" t="str">
        <f>IF(YLE成绩库!C65="","", YLE成绩库!R65)</f>
        <v/>
      </c>
      <c r="L565" t="str">
        <f>IF(YLE成绩库!C65="","", YLE成绩库!U65)</f>
        <v/>
      </c>
      <c r="M565">
        <v>0</v>
      </c>
      <c r="N565">
        <v>0</v>
      </c>
      <c r="O565">
        <v>0</v>
      </c>
      <c r="P565" t="str">
        <f>IF(YLE成绩库!C65="","", YLE成绩库!D65)</f>
        <v/>
      </c>
      <c r="Q565" t="str">
        <f>IF(YLE成绩库!C65="","", YLE成绩库!E65)</f>
        <v/>
      </c>
      <c r="R565" t="str">
        <f>IF(YLE成绩库!C65="","", YLE成绩库!F65)</f>
        <v/>
      </c>
      <c r="S565" t="str">
        <f>IF(YLE成绩库!C65="","", YLE成绩库!G65)</f>
        <v/>
      </c>
      <c r="T565" t="str">
        <f>IF(YLE成绩库!C65="","", YLE成绩库!H65)</f>
        <v/>
      </c>
      <c r="U565" t="str">
        <f>IF(YLE成绩库!C65="","", YLE成绩库!K65)</f>
        <v/>
      </c>
      <c r="V565" t="str">
        <f>IF(YLE成绩库!C65="","", YLE成绩库!W65)</f>
        <v/>
      </c>
      <c r="W565" t="str">
        <f>IF(YLE成绩库!C65="","", YLE成绩库!X65)</f>
        <v/>
      </c>
      <c r="X565" t="str">
        <f>IF(YLE成绩库!C65="","", YLE成绩库!AA65)</f>
        <v/>
      </c>
      <c r="Z565" t="str">
        <f>IF(YLE成绩库!C65="","", YLE成绩库!Z65)</f>
        <v/>
      </c>
    </row>
    <row r="566" spans="1:26" x14ac:dyDescent="0.2">
      <c r="A566" t="str">
        <f>IF(YLE成绩库!C66="","", YLE成绩库!C66)</f>
        <v/>
      </c>
      <c r="B566" t="str">
        <f>IF(YLE成绩库!AB66="","", YLE成绩库!AB66)</f>
        <v>2024-01-15</v>
      </c>
      <c r="C566" t="str">
        <f>IF(YLE成绩库!B66="","", YLE成绩库!B66)</f>
        <v/>
      </c>
      <c r="D566" t="str">
        <f>IF(YLE成绩库!D66="","", YLE成绩库!D66)</f>
        <v/>
      </c>
      <c r="E566" t="str">
        <f>IF(YLE成绩库!C66="","", YLE成绩库!L66)</f>
        <v/>
      </c>
      <c r="F566" t="str">
        <f>IF(YLE成绩库!C66="","", YLE成绩库!M66)</f>
        <v/>
      </c>
      <c r="G566" t="str">
        <f>IF(YLE成绩库!C66="","", YLE成绩库!N66)</f>
        <v/>
      </c>
      <c r="H566" t="str">
        <f>IF(YLE成绩库!C66="","", YLE成绩库!O66)</f>
        <v/>
      </c>
      <c r="I566" t="str">
        <f>IF(YLE成绩库!C66="","", YLE成绩库!P66)</f>
        <v/>
      </c>
      <c r="J566" t="str">
        <f>IF(YLE成绩库!C66="","", YLE成绩库!Q66)</f>
        <v/>
      </c>
      <c r="K566" t="str">
        <f>IF(YLE成绩库!C66="","", YLE成绩库!R66)</f>
        <v/>
      </c>
      <c r="L566" t="str">
        <f>IF(YLE成绩库!C66="","", YLE成绩库!U66)</f>
        <v/>
      </c>
      <c r="M566">
        <v>0</v>
      </c>
      <c r="N566">
        <v>0</v>
      </c>
      <c r="O566">
        <v>0</v>
      </c>
      <c r="P566" t="str">
        <f>IF(YLE成绩库!C66="","", YLE成绩库!D66)</f>
        <v/>
      </c>
      <c r="Q566" t="str">
        <f>IF(YLE成绩库!C66="","", YLE成绩库!E66)</f>
        <v/>
      </c>
      <c r="R566" t="str">
        <f>IF(YLE成绩库!C66="","", YLE成绩库!F66)</f>
        <v/>
      </c>
      <c r="S566" t="str">
        <f>IF(YLE成绩库!C66="","", YLE成绩库!G66)</f>
        <v/>
      </c>
      <c r="T566" t="str">
        <f>IF(YLE成绩库!C66="","", YLE成绩库!H66)</f>
        <v/>
      </c>
      <c r="U566" t="str">
        <f>IF(YLE成绩库!C66="","", YLE成绩库!K66)</f>
        <v/>
      </c>
      <c r="V566" t="str">
        <f>IF(YLE成绩库!C66="","", YLE成绩库!W66)</f>
        <v/>
      </c>
      <c r="W566" t="str">
        <f>IF(YLE成绩库!C66="","", YLE成绩库!X66)</f>
        <v/>
      </c>
      <c r="X566" t="str">
        <f>IF(YLE成绩库!C66="","", YLE成绩库!AA66)</f>
        <v/>
      </c>
      <c r="Z566" t="str">
        <f>IF(YLE成绩库!C66="","", YLE成绩库!Z66)</f>
        <v/>
      </c>
    </row>
    <row r="567" spans="1:26" x14ac:dyDescent="0.2">
      <c r="A567" t="str">
        <f>IF(YLE成绩库!C67="","", YLE成绩库!C67)</f>
        <v/>
      </c>
      <c r="B567" t="str">
        <f>IF(YLE成绩库!AB67="","", YLE成绩库!AB67)</f>
        <v>2024-01-15</v>
      </c>
      <c r="C567" t="str">
        <f>IF(YLE成绩库!B67="","", YLE成绩库!B67)</f>
        <v/>
      </c>
      <c r="D567" t="str">
        <f>IF(YLE成绩库!D67="","", YLE成绩库!D67)</f>
        <v/>
      </c>
      <c r="E567" t="str">
        <f>IF(YLE成绩库!C67="","", YLE成绩库!L67)</f>
        <v/>
      </c>
      <c r="F567" t="str">
        <f>IF(YLE成绩库!C67="","", YLE成绩库!M67)</f>
        <v/>
      </c>
      <c r="G567" t="str">
        <f>IF(YLE成绩库!C67="","", YLE成绩库!N67)</f>
        <v/>
      </c>
      <c r="H567" t="str">
        <f>IF(YLE成绩库!C67="","", YLE成绩库!O67)</f>
        <v/>
      </c>
      <c r="I567" t="str">
        <f>IF(YLE成绩库!C67="","", YLE成绩库!P67)</f>
        <v/>
      </c>
      <c r="J567" t="str">
        <f>IF(YLE成绩库!C67="","", YLE成绩库!Q67)</f>
        <v/>
      </c>
      <c r="K567" t="str">
        <f>IF(YLE成绩库!C67="","", YLE成绩库!R67)</f>
        <v/>
      </c>
      <c r="L567" t="str">
        <f>IF(YLE成绩库!C67="","", YLE成绩库!U67)</f>
        <v/>
      </c>
      <c r="M567">
        <v>0</v>
      </c>
      <c r="N567">
        <v>0</v>
      </c>
      <c r="O567">
        <v>0</v>
      </c>
      <c r="P567" t="str">
        <f>IF(YLE成绩库!C67="","", YLE成绩库!D67)</f>
        <v/>
      </c>
      <c r="Q567" t="str">
        <f>IF(YLE成绩库!C67="","", YLE成绩库!E67)</f>
        <v/>
      </c>
      <c r="R567" t="str">
        <f>IF(YLE成绩库!C67="","", YLE成绩库!F67)</f>
        <v/>
      </c>
      <c r="S567" t="str">
        <f>IF(YLE成绩库!C67="","", YLE成绩库!G67)</f>
        <v/>
      </c>
      <c r="T567" t="str">
        <f>IF(YLE成绩库!C67="","", YLE成绩库!H67)</f>
        <v/>
      </c>
      <c r="U567" t="str">
        <f>IF(YLE成绩库!C67="","", YLE成绩库!K67)</f>
        <v/>
      </c>
      <c r="V567" t="str">
        <f>IF(YLE成绩库!C67="","", YLE成绩库!W67)</f>
        <v/>
      </c>
      <c r="W567" t="str">
        <f>IF(YLE成绩库!C67="","", YLE成绩库!X67)</f>
        <v/>
      </c>
      <c r="X567" t="str">
        <f>IF(YLE成绩库!C67="","", YLE成绩库!AA67)</f>
        <v/>
      </c>
      <c r="Z567" t="str">
        <f>IF(YLE成绩库!C67="","", YLE成绩库!Z67)</f>
        <v/>
      </c>
    </row>
    <row r="568" spans="1:26" x14ac:dyDescent="0.2">
      <c r="A568" t="str">
        <f>IF(YLE成绩库!C68="","", YLE成绩库!C68)</f>
        <v/>
      </c>
      <c r="B568" t="str">
        <f>IF(YLE成绩库!AB68="","", YLE成绩库!AB68)</f>
        <v>2024-01-15</v>
      </c>
      <c r="C568" t="str">
        <f>IF(YLE成绩库!B68="","", YLE成绩库!B68)</f>
        <v/>
      </c>
      <c r="D568" t="str">
        <f>IF(YLE成绩库!D68="","", YLE成绩库!D68)</f>
        <v/>
      </c>
      <c r="E568" t="str">
        <f>IF(YLE成绩库!C68="","", YLE成绩库!L68)</f>
        <v/>
      </c>
      <c r="F568" t="str">
        <f>IF(YLE成绩库!C68="","", YLE成绩库!M68)</f>
        <v/>
      </c>
      <c r="G568" t="str">
        <f>IF(YLE成绩库!C68="","", YLE成绩库!N68)</f>
        <v/>
      </c>
      <c r="H568" t="str">
        <f>IF(YLE成绩库!C68="","", YLE成绩库!O68)</f>
        <v/>
      </c>
      <c r="I568" t="str">
        <f>IF(YLE成绩库!C68="","", YLE成绩库!P68)</f>
        <v/>
      </c>
      <c r="J568" t="str">
        <f>IF(YLE成绩库!C68="","", YLE成绩库!Q68)</f>
        <v/>
      </c>
      <c r="K568" t="str">
        <f>IF(YLE成绩库!C68="","", YLE成绩库!R68)</f>
        <v/>
      </c>
      <c r="L568" t="str">
        <f>IF(YLE成绩库!C68="","", YLE成绩库!U68)</f>
        <v/>
      </c>
      <c r="M568">
        <v>0</v>
      </c>
      <c r="N568">
        <v>0</v>
      </c>
      <c r="O568">
        <v>0</v>
      </c>
      <c r="P568" t="str">
        <f>IF(YLE成绩库!C68="","", YLE成绩库!D68)</f>
        <v/>
      </c>
      <c r="Q568" t="str">
        <f>IF(YLE成绩库!C68="","", YLE成绩库!E68)</f>
        <v/>
      </c>
      <c r="R568" t="str">
        <f>IF(YLE成绩库!C68="","", YLE成绩库!F68)</f>
        <v/>
      </c>
      <c r="S568" t="str">
        <f>IF(YLE成绩库!C68="","", YLE成绩库!G68)</f>
        <v/>
      </c>
      <c r="T568" t="str">
        <f>IF(YLE成绩库!C68="","", YLE成绩库!H68)</f>
        <v/>
      </c>
      <c r="U568" t="str">
        <f>IF(YLE成绩库!C68="","", YLE成绩库!K68)</f>
        <v/>
      </c>
      <c r="V568" t="str">
        <f>IF(YLE成绩库!C68="","", YLE成绩库!W68)</f>
        <v/>
      </c>
      <c r="W568" t="str">
        <f>IF(YLE成绩库!C68="","", YLE成绩库!X68)</f>
        <v/>
      </c>
      <c r="X568" t="str">
        <f>IF(YLE成绩库!C68="","", YLE成绩库!AA68)</f>
        <v/>
      </c>
      <c r="Z568" t="str">
        <f>IF(YLE成绩库!C68="","", YLE成绩库!Z68)</f>
        <v/>
      </c>
    </row>
    <row r="569" spans="1:26" x14ac:dyDescent="0.2">
      <c r="A569" t="str">
        <f>IF(YLE成绩库!C69="","", YLE成绩库!C69)</f>
        <v/>
      </c>
      <c r="B569" t="str">
        <f>IF(YLE成绩库!AB69="","", YLE成绩库!AB69)</f>
        <v>2024-01-15</v>
      </c>
      <c r="C569" t="str">
        <f>IF(YLE成绩库!B69="","", YLE成绩库!B69)</f>
        <v/>
      </c>
      <c r="D569" t="str">
        <f>IF(YLE成绩库!D69="","", YLE成绩库!D69)</f>
        <v/>
      </c>
      <c r="E569" t="str">
        <f>IF(YLE成绩库!C69="","", YLE成绩库!L69)</f>
        <v/>
      </c>
      <c r="F569" t="str">
        <f>IF(YLE成绩库!C69="","", YLE成绩库!M69)</f>
        <v/>
      </c>
      <c r="G569" t="str">
        <f>IF(YLE成绩库!C69="","", YLE成绩库!N69)</f>
        <v/>
      </c>
      <c r="H569" t="str">
        <f>IF(YLE成绩库!C69="","", YLE成绩库!O69)</f>
        <v/>
      </c>
      <c r="I569" t="str">
        <f>IF(YLE成绩库!C69="","", YLE成绩库!P69)</f>
        <v/>
      </c>
      <c r="J569" t="str">
        <f>IF(YLE成绩库!C69="","", YLE成绩库!Q69)</f>
        <v/>
      </c>
      <c r="K569" t="str">
        <f>IF(YLE成绩库!C69="","", YLE成绩库!R69)</f>
        <v/>
      </c>
      <c r="L569" t="str">
        <f>IF(YLE成绩库!C69="","", YLE成绩库!U69)</f>
        <v/>
      </c>
      <c r="M569">
        <v>0</v>
      </c>
      <c r="N569">
        <v>0</v>
      </c>
      <c r="O569">
        <v>0</v>
      </c>
      <c r="P569" t="str">
        <f>IF(YLE成绩库!C69="","", YLE成绩库!D69)</f>
        <v/>
      </c>
      <c r="Q569" t="str">
        <f>IF(YLE成绩库!C69="","", YLE成绩库!E69)</f>
        <v/>
      </c>
      <c r="R569" t="str">
        <f>IF(YLE成绩库!C69="","", YLE成绩库!F69)</f>
        <v/>
      </c>
      <c r="S569" t="str">
        <f>IF(YLE成绩库!C69="","", YLE成绩库!G69)</f>
        <v/>
      </c>
      <c r="T569" t="str">
        <f>IF(YLE成绩库!C69="","", YLE成绩库!H69)</f>
        <v/>
      </c>
      <c r="U569" t="str">
        <f>IF(YLE成绩库!C69="","", YLE成绩库!K69)</f>
        <v/>
      </c>
      <c r="V569" t="str">
        <f>IF(YLE成绩库!C69="","", YLE成绩库!W69)</f>
        <v/>
      </c>
      <c r="W569" t="str">
        <f>IF(YLE成绩库!C69="","", YLE成绩库!X69)</f>
        <v/>
      </c>
      <c r="X569" t="str">
        <f>IF(YLE成绩库!C69="","", YLE成绩库!AA69)</f>
        <v/>
      </c>
      <c r="Z569" t="str">
        <f>IF(YLE成绩库!C69="","", YLE成绩库!Z69)</f>
        <v/>
      </c>
    </row>
    <row r="570" spans="1:26" x14ac:dyDescent="0.2">
      <c r="A570" t="str">
        <f>IF(YLE成绩库!C70="","", YLE成绩库!C70)</f>
        <v/>
      </c>
      <c r="B570" t="str">
        <f>IF(YLE成绩库!AB70="","", YLE成绩库!AB70)</f>
        <v>2024-01-15</v>
      </c>
      <c r="C570" t="str">
        <f>IF(YLE成绩库!B70="","", YLE成绩库!B70)</f>
        <v/>
      </c>
      <c r="D570" t="str">
        <f>IF(YLE成绩库!D70="","", YLE成绩库!D70)</f>
        <v/>
      </c>
      <c r="E570" t="str">
        <f>IF(YLE成绩库!C70="","", YLE成绩库!L70)</f>
        <v/>
      </c>
      <c r="F570" t="str">
        <f>IF(YLE成绩库!C70="","", YLE成绩库!M70)</f>
        <v/>
      </c>
      <c r="G570" t="str">
        <f>IF(YLE成绩库!C70="","", YLE成绩库!N70)</f>
        <v/>
      </c>
      <c r="H570" t="str">
        <f>IF(YLE成绩库!C70="","", YLE成绩库!O70)</f>
        <v/>
      </c>
      <c r="I570" t="str">
        <f>IF(YLE成绩库!C70="","", YLE成绩库!P70)</f>
        <v/>
      </c>
      <c r="J570" t="str">
        <f>IF(YLE成绩库!C70="","", YLE成绩库!Q70)</f>
        <v/>
      </c>
      <c r="K570" t="str">
        <f>IF(YLE成绩库!C70="","", YLE成绩库!R70)</f>
        <v/>
      </c>
      <c r="L570" t="str">
        <f>IF(YLE成绩库!C70="","", YLE成绩库!U70)</f>
        <v/>
      </c>
      <c r="M570">
        <v>0</v>
      </c>
      <c r="N570">
        <v>0</v>
      </c>
      <c r="O570">
        <v>0</v>
      </c>
      <c r="P570" t="str">
        <f>IF(YLE成绩库!C70="","", YLE成绩库!D70)</f>
        <v/>
      </c>
      <c r="Q570" t="str">
        <f>IF(YLE成绩库!C70="","", YLE成绩库!E70)</f>
        <v/>
      </c>
      <c r="R570" t="str">
        <f>IF(YLE成绩库!C70="","", YLE成绩库!F70)</f>
        <v/>
      </c>
      <c r="S570" t="str">
        <f>IF(YLE成绩库!C70="","", YLE成绩库!G70)</f>
        <v/>
      </c>
      <c r="T570" t="str">
        <f>IF(YLE成绩库!C70="","", YLE成绩库!H70)</f>
        <v/>
      </c>
      <c r="U570" t="str">
        <f>IF(YLE成绩库!C70="","", YLE成绩库!K70)</f>
        <v/>
      </c>
      <c r="V570" t="str">
        <f>IF(YLE成绩库!C70="","", YLE成绩库!W70)</f>
        <v/>
      </c>
      <c r="W570" t="str">
        <f>IF(YLE成绩库!C70="","", YLE成绩库!X70)</f>
        <v/>
      </c>
      <c r="X570" t="str">
        <f>IF(YLE成绩库!C70="","", YLE成绩库!AA70)</f>
        <v/>
      </c>
      <c r="Z570" t="str">
        <f>IF(YLE成绩库!C70="","", YLE成绩库!Z70)</f>
        <v/>
      </c>
    </row>
    <row r="571" spans="1:26" x14ac:dyDescent="0.2">
      <c r="A571" t="str">
        <f>IF(YLE成绩库!C71="","", YLE成绩库!C71)</f>
        <v/>
      </c>
      <c r="B571" t="str">
        <f>IF(YLE成绩库!AB71="","", YLE成绩库!AB71)</f>
        <v>2024-01-15</v>
      </c>
      <c r="C571" t="str">
        <f>IF(YLE成绩库!B71="","", YLE成绩库!B71)</f>
        <v/>
      </c>
      <c r="D571" t="str">
        <f>IF(YLE成绩库!D71="","", YLE成绩库!D71)</f>
        <v/>
      </c>
      <c r="E571" t="str">
        <f>IF(YLE成绩库!C71="","", YLE成绩库!L71)</f>
        <v/>
      </c>
      <c r="F571" t="str">
        <f>IF(YLE成绩库!C71="","", YLE成绩库!M71)</f>
        <v/>
      </c>
      <c r="G571" t="str">
        <f>IF(YLE成绩库!C71="","", YLE成绩库!N71)</f>
        <v/>
      </c>
      <c r="H571" t="str">
        <f>IF(YLE成绩库!C71="","", YLE成绩库!O71)</f>
        <v/>
      </c>
      <c r="I571" t="str">
        <f>IF(YLE成绩库!C71="","", YLE成绩库!P71)</f>
        <v/>
      </c>
      <c r="J571" t="str">
        <f>IF(YLE成绩库!C71="","", YLE成绩库!Q71)</f>
        <v/>
      </c>
      <c r="K571" t="str">
        <f>IF(YLE成绩库!C71="","", YLE成绩库!R71)</f>
        <v/>
      </c>
      <c r="L571" t="str">
        <f>IF(YLE成绩库!C71="","", YLE成绩库!U71)</f>
        <v/>
      </c>
      <c r="M571">
        <v>0</v>
      </c>
      <c r="N571">
        <v>0</v>
      </c>
      <c r="O571">
        <v>0</v>
      </c>
      <c r="P571" t="str">
        <f>IF(YLE成绩库!C71="","", YLE成绩库!D71)</f>
        <v/>
      </c>
      <c r="Q571" t="str">
        <f>IF(YLE成绩库!C71="","", YLE成绩库!E71)</f>
        <v/>
      </c>
      <c r="R571" t="str">
        <f>IF(YLE成绩库!C71="","", YLE成绩库!F71)</f>
        <v/>
      </c>
      <c r="S571" t="str">
        <f>IF(YLE成绩库!C71="","", YLE成绩库!G71)</f>
        <v/>
      </c>
      <c r="T571" t="str">
        <f>IF(YLE成绩库!C71="","", YLE成绩库!H71)</f>
        <v/>
      </c>
      <c r="U571" t="str">
        <f>IF(YLE成绩库!C71="","", YLE成绩库!K71)</f>
        <v/>
      </c>
      <c r="V571" t="str">
        <f>IF(YLE成绩库!C71="","", YLE成绩库!W71)</f>
        <v/>
      </c>
      <c r="W571" t="str">
        <f>IF(YLE成绩库!C71="","", YLE成绩库!X71)</f>
        <v/>
      </c>
      <c r="X571" t="str">
        <f>IF(YLE成绩库!C71="","", YLE成绩库!AA71)</f>
        <v/>
      </c>
      <c r="Z571" t="str">
        <f>IF(YLE成绩库!C71="","", YLE成绩库!Z71)</f>
        <v/>
      </c>
    </row>
    <row r="572" spans="1:26" x14ac:dyDescent="0.2">
      <c r="A572" t="str">
        <f>IF(YLE成绩库!C72="","", YLE成绩库!C72)</f>
        <v/>
      </c>
      <c r="B572" t="str">
        <f>IF(YLE成绩库!AB72="","", YLE成绩库!AB72)</f>
        <v>2024-01-15</v>
      </c>
      <c r="C572" t="str">
        <f>IF(YLE成绩库!B72="","", YLE成绩库!B72)</f>
        <v/>
      </c>
      <c r="D572" t="str">
        <f>IF(YLE成绩库!D72="","", YLE成绩库!D72)</f>
        <v/>
      </c>
      <c r="E572" t="str">
        <f>IF(YLE成绩库!C72="","", YLE成绩库!L72)</f>
        <v/>
      </c>
      <c r="F572" t="str">
        <f>IF(YLE成绩库!C72="","", YLE成绩库!M72)</f>
        <v/>
      </c>
      <c r="G572" t="str">
        <f>IF(YLE成绩库!C72="","", YLE成绩库!N72)</f>
        <v/>
      </c>
      <c r="H572" t="str">
        <f>IF(YLE成绩库!C72="","", YLE成绩库!O72)</f>
        <v/>
      </c>
      <c r="I572" t="str">
        <f>IF(YLE成绩库!C72="","", YLE成绩库!P72)</f>
        <v/>
      </c>
      <c r="J572" t="str">
        <f>IF(YLE成绩库!C72="","", YLE成绩库!Q72)</f>
        <v/>
      </c>
      <c r="K572" t="str">
        <f>IF(YLE成绩库!C72="","", YLE成绩库!R72)</f>
        <v/>
      </c>
      <c r="L572" t="str">
        <f>IF(YLE成绩库!C72="","", YLE成绩库!U72)</f>
        <v/>
      </c>
      <c r="M572">
        <v>0</v>
      </c>
      <c r="N572">
        <v>0</v>
      </c>
      <c r="O572">
        <v>0</v>
      </c>
      <c r="P572" t="str">
        <f>IF(YLE成绩库!C72="","", YLE成绩库!D72)</f>
        <v/>
      </c>
      <c r="Q572" t="str">
        <f>IF(YLE成绩库!C72="","", YLE成绩库!E72)</f>
        <v/>
      </c>
      <c r="R572" t="str">
        <f>IF(YLE成绩库!C72="","", YLE成绩库!F72)</f>
        <v/>
      </c>
      <c r="S572" t="str">
        <f>IF(YLE成绩库!C72="","", YLE成绩库!G72)</f>
        <v/>
      </c>
      <c r="T572" t="str">
        <f>IF(YLE成绩库!C72="","", YLE成绩库!H72)</f>
        <v/>
      </c>
      <c r="U572" t="str">
        <f>IF(YLE成绩库!C72="","", YLE成绩库!K72)</f>
        <v/>
      </c>
      <c r="V572" t="str">
        <f>IF(YLE成绩库!C72="","", YLE成绩库!W72)</f>
        <v/>
      </c>
      <c r="W572" t="str">
        <f>IF(YLE成绩库!C72="","", YLE成绩库!X72)</f>
        <v/>
      </c>
      <c r="X572" t="str">
        <f>IF(YLE成绩库!C72="","", YLE成绩库!AA72)</f>
        <v/>
      </c>
      <c r="Z572" t="str">
        <f>IF(YLE成绩库!C72="","", YLE成绩库!Z72)</f>
        <v/>
      </c>
    </row>
    <row r="573" spans="1:26" x14ac:dyDescent="0.2">
      <c r="A573" t="str">
        <f>IF(YLE成绩库!C73="","", YLE成绩库!C73)</f>
        <v/>
      </c>
      <c r="B573" t="str">
        <f>IF(YLE成绩库!AB73="","", YLE成绩库!AB73)</f>
        <v>2024-01-15</v>
      </c>
      <c r="C573" t="str">
        <f>IF(YLE成绩库!B73="","", YLE成绩库!B73)</f>
        <v/>
      </c>
      <c r="D573" t="str">
        <f>IF(YLE成绩库!D73="","", YLE成绩库!D73)</f>
        <v/>
      </c>
      <c r="E573" t="str">
        <f>IF(YLE成绩库!C73="","", YLE成绩库!L73)</f>
        <v/>
      </c>
      <c r="F573" t="str">
        <f>IF(YLE成绩库!C73="","", YLE成绩库!M73)</f>
        <v/>
      </c>
      <c r="G573" t="str">
        <f>IF(YLE成绩库!C73="","", YLE成绩库!N73)</f>
        <v/>
      </c>
      <c r="H573" t="str">
        <f>IF(YLE成绩库!C73="","", YLE成绩库!O73)</f>
        <v/>
      </c>
      <c r="I573" t="str">
        <f>IF(YLE成绩库!C73="","", YLE成绩库!P73)</f>
        <v/>
      </c>
      <c r="J573" t="str">
        <f>IF(YLE成绩库!C73="","", YLE成绩库!Q73)</f>
        <v/>
      </c>
      <c r="K573" t="str">
        <f>IF(YLE成绩库!C73="","", YLE成绩库!R73)</f>
        <v/>
      </c>
      <c r="L573" t="str">
        <f>IF(YLE成绩库!C73="","", YLE成绩库!U73)</f>
        <v/>
      </c>
      <c r="M573">
        <v>0</v>
      </c>
      <c r="N573">
        <v>0</v>
      </c>
      <c r="O573">
        <v>0</v>
      </c>
      <c r="P573" t="str">
        <f>IF(YLE成绩库!C73="","", YLE成绩库!D73)</f>
        <v/>
      </c>
      <c r="Q573" t="str">
        <f>IF(YLE成绩库!C73="","", YLE成绩库!E73)</f>
        <v/>
      </c>
      <c r="R573" t="str">
        <f>IF(YLE成绩库!C73="","", YLE成绩库!F73)</f>
        <v/>
      </c>
      <c r="S573" t="str">
        <f>IF(YLE成绩库!C73="","", YLE成绩库!G73)</f>
        <v/>
      </c>
      <c r="T573" t="str">
        <f>IF(YLE成绩库!C73="","", YLE成绩库!H73)</f>
        <v/>
      </c>
      <c r="U573" t="str">
        <f>IF(YLE成绩库!C73="","", YLE成绩库!K73)</f>
        <v/>
      </c>
      <c r="V573" t="str">
        <f>IF(YLE成绩库!C73="","", YLE成绩库!W73)</f>
        <v/>
      </c>
      <c r="W573" t="str">
        <f>IF(YLE成绩库!C73="","", YLE成绩库!X73)</f>
        <v/>
      </c>
      <c r="X573" t="str">
        <f>IF(YLE成绩库!C73="","", YLE成绩库!AA73)</f>
        <v/>
      </c>
      <c r="Z573" t="str">
        <f>IF(YLE成绩库!C73="","", YLE成绩库!Z73)</f>
        <v/>
      </c>
    </row>
    <row r="574" spans="1:26" x14ac:dyDescent="0.2">
      <c r="A574" t="str">
        <f>IF(YLE成绩库!C74="","", YLE成绩库!C74)</f>
        <v/>
      </c>
      <c r="B574" t="str">
        <f>IF(YLE成绩库!AB74="","", YLE成绩库!AB74)</f>
        <v>2024-01-15</v>
      </c>
      <c r="C574" t="str">
        <f>IF(YLE成绩库!B74="","", YLE成绩库!B74)</f>
        <v/>
      </c>
      <c r="D574" t="str">
        <f>IF(YLE成绩库!D74="","", YLE成绩库!D74)</f>
        <v/>
      </c>
      <c r="E574" t="str">
        <f>IF(YLE成绩库!C74="","", YLE成绩库!L74)</f>
        <v/>
      </c>
      <c r="F574" t="str">
        <f>IF(YLE成绩库!C74="","", YLE成绩库!M74)</f>
        <v/>
      </c>
      <c r="G574" t="str">
        <f>IF(YLE成绩库!C74="","", YLE成绩库!N74)</f>
        <v/>
      </c>
      <c r="H574" t="str">
        <f>IF(YLE成绩库!C74="","", YLE成绩库!O74)</f>
        <v/>
      </c>
      <c r="I574" t="str">
        <f>IF(YLE成绩库!C74="","", YLE成绩库!P74)</f>
        <v/>
      </c>
      <c r="J574" t="str">
        <f>IF(YLE成绩库!C74="","", YLE成绩库!Q74)</f>
        <v/>
      </c>
      <c r="K574" t="str">
        <f>IF(YLE成绩库!C74="","", YLE成绩库!R74)</f>
        <v/>
      </c>
      <c r="L574" t="str">
        <f>IF(YLE成绩库!C74="","", YLE成绩库!U74)</f>
        <v/>
      </c>
      <c r="M574">
        <v>0</v>
      </c>
      <c r="N574">
        <v>0</v>
      </c>
      <c r="O574">
        <v>0</v>
      </c>
      <c r="P574" t="str">
        <f>IF(YLE成绩库!C74="","", YLE成绩库!D74)</f>
        <v/>
      </c>
      <c r="Q574" t="str">
        <f>IF(YLE成绩库!C74="","", YLE成绩库!E74)</f>
        <v/>
      </c>
      <c r="R574" t="str">
        <f>IF(YLE成绩库!C74="","", YLE成绩库!F74)</f>
        <v/>
      </c>
      <c r="S574" t="str">
        <f>IF(YLE成绩库!C74="","", YLE成绩库!G74)</f>
        <v/>
      </c>
      <c r="T574" t="str">
        <f>IF(YLE成绩库!C74="","", YLE成绩库!H74)</f>
        <v/>
      </c>
      <c r="U574" t="str">
        <f>IF(YLE成绩库!C74="","", YLE成绩库!K74)</f>
        <v/>
      </c>
      <c r="V574" t="str">
        <f>IF(YLE成绩库!C74="","", YLE成绩库!W74)</f>
        <v/>
      </c>
      <c r="W574" t="str">
        <f>IF(YLE成绩库!C74="","", YLE成绩库!X74)</f>
        <v/>
      </c>
      <c r="X574" t="str">
        <f>IF(YLE成绩库!C74="","", YLE成绩库!AA74)</f>
        <v/>
      </c>
      <c r="Z574" t="str">
        <f>IF(YLE成绩库!C74="","", YLE成绩库!Z74)</f>
        <v/>
      </c>
    </row>
    <row r="575" spans="1:26" x14ac:dyDescent="0.2">
      <c r="A575" t="str">
        <f>IF(YLE成绩库!C75="","", YLE成绩库!C75)</f>
        <v/>
      </c>
      <c r="B575" t="str">
        <f>IF(YLE成绩库!AB75="","", YLE成绩库!AB75)</f>
        <v>2024-01-15</v>
      </c>
      <c r="C575" t="str">
        <f>IF(YLE成绩库!B75="","", YLE成绩库!B75)</f>
        <v/>
      </c>
      <c r="D575" t="str">
        <f>IF(YLE成绩库!D75="","", YLE成绩库!D75)</f>
        <v/>
      </c>
      <c r="E575" t="str">
        <f>IF(YLE成绩库!C75="","", YLE成绩库!L75)</f>
        <v/>
      </c>
      <c r="F575" t="str">
        <f>IF(YLE成绩库!C75="","", YLE成绩库!M75)</f>
        <v/>
      </c>
      <c r="G575" t="str">
        <f>IF(YLE成绩库!C75="","", YLE成绩库!N75)</f>
        <v/>
      </c>
      <c r="H575" t="str">
        <f>IF(YLE成绩库!C75="","", YLE成绩库!O75)</f>
        <v/>
      </c>
      <c r="I575" t="str">
        <f>IF(YLE成绩库!C75="","", YLE成绩库!P75)</f>
        <v/>
      </c>
      <c r="J575" t="str">
        <f>IF(YLE成绩库!C75="","", YLE成绩库!Q75)</f>
        <v/>
      </c>
      <c r="K575" t="str">
        <f>IF(YLE成绩库!C75="","", YLE成绩库!R75)</f>
        <v/>
      </c>
      <c r="L575" t="str">
        <f>IF(YLE成绩库!C75="","", YLE成绩库!U75)</f>
        <v/>
      </c>
      <c r="M575">
        <v>0</v>
      </c>
      <c r="N575">
        <v>0</v>
      </c>
      <c r="O575">
        <v>0</v>
      </c>
      <c r="P575" t="str">
        <f>IF(YLE成绩库!C75="","", YLE成绩库!D75)</f>
        <v/>
      </c>
      <c r="Q575" t="str">
        <f>IF(YLE成绩库!C75="","", YLE成绩库!E75)</f>
        <v/>
      </c>
      <c r="R575" t="str">
        <f>IF(YLE成绩库!C75="","", YLE成绩库!F75)</f>
        <v/>
      </c>
      <c r="S575" t="str">
        <f>IF(YLE成绩库!C75="","", YLE成绩库!G75)</f>
        <v/>
      </c>
      <c r="T575" t="str">
        <f>IF(YLE成绩库!C75="","", YLE成绩库!H75)</f>
        <v/>
      </c>
      <c r="U575" t="str">
        <f>IF(YLE成绩库!C75="","", YLE成绩库!K75)</f>
        <v/>
      </c>
      <c r="V575" t="str">
        <f>IF(YLE成绩库!C75="","", YLE成绩库!W75)</f>
        <v/>
      </c>
      <c r="W575" t="str">
        <f>IF(YLE成绩库!C75="","", YLE成绩库!X75)</f>
        <v/>
      </c>
      <c r="X575" t="str">
        <f>IF(YLE成绩库!C75="","", YLE成绩库!AA75)</f>
        <v/>
      </c>
      <c r="Z575" t="str">
        <f>IF(YLE成绩库!C75="","", YLE成绩库!Z75)</f>
        <v/>
      </c>
    </row>
    <row r="576" spans="1:26" x14ac:dyDescent="0.2">
      <c r="A576" t="str">
        <f>IF(YLE成绩库!C76="","", YLE成绩库!C76)</f>
        <v/>
      </c>
      <c r="B576" t="str">
        <f>IF(YLE成绩库!AB76="","", YLE成绩库!AB76)</f>
        <v>2024-01-15</v>
      </c>
      <c r="C576" t="str">
        <f>IF(YLE成绩库!B76="","", YLE成绩库!B76)</f>
        <v/>
      </c>
      <c r="D576" t="str">
        <f>IF(YLE成绩库!D76="","", YLE成绩库!D76)</f>
        <v/>
      </c>
      <c r="E576" t="str">
        <f>IF(YLE成绩库!C76="","", YLE成绩库!L76)</f>
        <v/>
      </c>
      <c r="F576" t="str">
        <f>IF(YLE成绩库!C76="","", YLE成绩库!M76)</f>
        <v/>
      </c>
      <c r="G576" t="str">
        <f>IF(YLE成绩库!C76="","", YLE成绩库!N76)</f>
        <v/>
      </c>
      <c r="H576" t="str">
        <f>IF(YLE成绩库!C76="","", YLE成绩库!O76)</f>
        <v/>
      </c>
      <c r="I576" t="str">
        <f>IF(YLE成绩库!C76="","", YLE成绩库!P76)</f>
        <v/>
      </c>
      <c r="J576" t="str">
        <f>IF(YLE成绩库!C76="","", YLE成绩库!Q76)</f>
        <v/>
      </c>
      <c r="K576" t="str">
        <f>IF(YLE成绩库!C76="","", YLE成绩库!R76)</f>
        <v/>
      </c>
      <c r="L576" t="str">
        <f>IF(YLE成绩库!C76="","", YLE成绩库!U76)</f>
        <v/>
      </c>
      <c r="M576">
        <v>0</v>
      </c>
      <c r="N576">
        <v>0</v>
      </c>
      <c r="O576">
        <v>0</v>
      </c>
      <c r="P576" t="str">
        <f>IF(YLE成绩库!C76="","", YLE成绩库!D76)</f>
        <v/>
      </c>
      <c r="Q576" t="str">
        <f>IF(YLE成绩库!C76="","", YLE成绩库!E76)</f>
        <v/>
      </c>
      <c r="R576" t="str">
        <f>IF(YLE成绩库!C76="","", YLE成绩库!F76)</f>
        <v/>
      </c>
      <c r="S576" t="str">
        <f>IF(YLE成绩库!C76="","", YLE成绩库!G76)</f>
        <v/>
      </c>
      <c r="T576" t="str">
        <f>IF(YLE成绩库!C76="","", YLE成绩库!H76)</f>
        <v/>
      </c>
      <c r="U576" t="str">
        <f>IF(YLE成绩库!C76="","", YLE成绩库!K76)</f>
        <v/>
      </c>
      <c r="V576" t="str">
        <f>IF(YLE成绩库!C76="","", YLE成绩库!W76)</f>
        <v/>
      </c>
      <c r="W576" t="str">
        <f>IF(YLE成绩库!C76="","", YLE成绩库!X76)</f>
        <v/>
      </c>
      <c r="X576" t="str">
        <f>IF(YLE成绩库!C76="","", YLE成绩库!AA76)</f>
        <v/>
      </c>
      <c r="Z576" t="str">
        <f>IF(YLE成绩库!C76="","", YLE成绩库!Z76)</f>
        <v/>
      </c>
    </row>
    <row r="577" spans="1:26" x14ac:dyDescent="0.2">
      <c r="A577" t="str">
        <f>IF(YLE成绩库!C77="","", YLE成绩库!C77)</f>
        <v/>
      </c>
      <c r="B577" t="str">
        <f>IF(YLE成绩库!AB77="","", YLE成绩库!AB77)</f>
        <v>2024-01-15</v>
      </c>
      <c r="C577" t="str">
        <f>IF(YLE成绩库!B77="","", YLE成绩库!B77)</f>
        <v/>
      </c>
      <c r="D577" t="str">
        <f>IF(YLE成绩库!D77="","", YLE成绩库!D77)</f>
        <v/>
      </c>
      <c r="E577" t="str">
        <f>IF(YLE成绩库!C77="","", YLE成绩库!L77)</f>
        <v/>
      </c>
      <c r="F577" t="str">
        <f>IF(YLE成绩库!C77="","", YLE成绩库!M77)</f>
        <v/>
      </c>
      <c r="G577" t="str">
        <f>IF(YLE成绩库!C77="","", YLE成绩库!N77)</f>
        <v/>
      </c>
      <c r="H577" t="str">
        <f>IF(YLE成绩库!C77="","", YLE成绩库!O77)</f>
        <v/>
      </c>
      <c r="I577" t="str">
        <f>IF(YLE成绩库!C77="","", YLE成绩库!P77)</f>
        <v/>
      </c>
      <c r="J577" t="str">
        <f>IF(YLE成绩库!C77="","", YLE成绩库!Q77)</f>
        <v/>
      </c>
      <c r="K577" t="str">
        <f>IF(YLE成绩库!C77="","", YLE成绩库!R77)</f>
        <v/>
      </c>
      <c r="L577" t="str">
        <f>IF(YLE成绩库!C77="","", YLE成绩库!U77)</f>
        <v/>
      </c>
      <c r="M577">
        <v>0</v>
      </c>
      <c r="N577">
        <v>0</v>
      </c>
      <c r="O577">
        <v>0</v>
      </c>
      <c r="P577" t="str">
        <f>IF(YLE成绩库!C77="","", YLE成绩库!D77)</f>
        <v/>
      </c>
      <c r="Q577" t="str">
        <f>IF(YLE成绩库!C77="","", YLE成绩库!E77)</f>
        <v/>
      </c>
      <c r="R577" t="str">
        <f>IF(YLE成绩库!C77="","", YLE成绩库!F77)</f>
        <v/>
      </c>
      <c r="S577" t="str">
        <f>IF(YLE成绩库!C77="","", YLE成绩库!G77)</f>
        <v/>
      </c>
      <c r="T577" t="str">
        <f>IF(YLE成绩库!C77="","", YLE成绩库!H77)</f>
        <v/>
      </c>
      <c r="U577" t="str">
        <f>IF(YLE成绩库!C77="","", YLE成绩库!K77)</f>
        <v/>
      </c>
      <c r="V577" t="str">
        <f>IF(YLE成绩库!C77="","", YLE成绩库!W77)</f>
        <v/>
      </c>
      <c r="W577" t="str">
        <f>IF(YLE成绩库!C77="","", YLE成绩库!X77)</f>
        <v/>
      </c>
      <c r="X577" t="str">
        <f>IF(YLE成绩库!C77="","", YLE成绩库!AA77)</f>
        <v/>
      </c>
      <c r="Z577" t="str">
        <f>IF(YLE成绩库!C77="","", YLE成绩库!Z77)</f>
        <v/>
      </c>
    </row>
    <row r="578" spans="1:26" x14ac:dyDescent="0.2">
      <c r="A578" t="str">
        <f>IF(YLE成绩库!C78="","", YLE成绩库!C78)</f>
        <v/>
      </c>
      <c r="B578" t="str">
        <f>IF(YLE成绩库!AB78="","", YLE成绩库!AB78)</f>
        <v>2024-01-15</v>
      </c>
      <c r="C578" t="str">
        <f>IF(YLE成绩库!B78="","", YLE成绩库!B78)</f>
        <v/>
      </c>
      <c r="D578" t="str">
        <f>IF(YLE成绩库!D78="","", YLE成绩库!D78)</f>
        <v/>
      </c>
      <c r="E578" t="str">
        <f>IF(YLE成绩库!C78="","", YLE成绩库!L78)</f>
        <v/>
      </c>
      <c r="F578" t="str">
        <f>IF(YLE成绩库!C78="","", YLE成绩库!M78)</f>
        <v/>
      </c>
      <c r="G578" t="str">
        <f>IF(YLE成绩库!C78="","", YLE成绩库!N78)</f>
        <v/>
      </c>
      <c r="H578" t="str">
        <f>IF(YLE成绩库!C78="","", YLE成绩库!O78)</f>
        <v/>
      </c>
      <c r="I578" t="str">
        <f>IF(YLE成绩库!C78="","", YLE成绩库!P78)</f>
        <v/>
      </c>
      <c r="J578" t="str">
        <f>IF(YLE成绩库!C78="","", YLE成绩库!Q78)</f>
        <v/>
      </c>
      <c r="K578" t="str">
        <f>IF(YLE成绩库!C78="","", YLE成绩库!R78)</f>
        <v/>
      </c>
      <c r="L578" t="str">
        <f>IF(YLE成绩库!C78="","", YLE成绩库!U78)</f>
        <v/>
      </c>
      <c r="M578">
        <v>0</v>
      </c>
      <c r="N578">
        <v>0</v>
      </c>
      <c r="O578">
        <v>0</v>
      </c>
      <c r="P578" t="str">
        <f>IF(YLE成绩库!C78="","", YLE成绩库!D78)</f>
        <v/>
      </c>
      <c r="Q578" t="str">
        <f>IF(YLE成绩库!C78="","", YLE成绩库!E78)</f>
        <v/>
      </c>
      <c r="R578" t="str">
        <f>IF(YLE成绩库!C78="","", YLE成绩库!F78)</f>
        <v/>
      </c>
      <c r="S578" t="str">
        <f>IF(YLE成绩库!C78="","", YLE成绩库!G78)</f>
        <v/>
      </c>
      <c r="T578" t="str">
        <f>IF(YLE成绩库!C78="","", YLE成绩库!H78)</f>
        <v/>
      </c>
      <c r="U578" t="str">
        <f>IF(YLE成绩库!C78="","", YLE成绩库!K78)</f>
        <v/>
      </c>
      <c r="V578" t="str">
        <f>IF(YLE成绩库!C78="","", YLE成绩库!W78)</f>
        <v/>
      </c>
      <c r="W578" t="str">
        <f>IF(YLE成绩库!C78="","", YLE成绩库!X78)</f>
        <v/>
      </c>
      <c r="X578" t="str">
        <f>IF(YLE成绩库!C78="","", YLE成绩库!AA78)</f>
        <v/>
      </c>
      <c r="Z578" t="str">
        <f>IF(YLE成绩库!C78="","", YLE成绩库!Z78)</f>
        <v/>
      </c>
    </row>
    <row r="579" spans="1:26" x14ac:dyDescent="0.2">
      <c r="A579" t="str">
        <f>IF(YLE成绩库!C79="","", YLE成绩库!C79)</f>
        <v/>
      </c>
      <c r="B579" t="str">
        <f>IF(YLE成绩库!AB79="","", YLE成绩库!AB79)</f>
        <v>2024-01-15</v>
      </c>
      <c r="C579" t="str">
        <f>IF(YLE成绩库!B79="","", YLE成绩库!B79)</f>
        <v/>
      </c>
      <c r="D579" t="str">
        <f>IF(YLE成绩库!D79="","", YLE成绩库!D79)</f>
        <v/>
      </c>
      <c r="E579" t="str">
        <f>IF(YLE成绩库!C79="","", YLE成绩库!L79)</f>
        <v/>
      </c>
      <c r="F579" t="str">
        <f>IF(YLE成绩库!C79="","", YLE成绩库!M79)</f>
        <v/>
      </c>
      <c r="G579" t="str">
        <f>IF(YLE成绩库!C79="","", YLE成绩库!N79)</f>
        <v/>
      </c>
      <c r="H579" t="str">
        <f>IF(YLE成绩库!C79="","", YLE成绩库!O79)</f>
        <v/>
      </c>
      <c r="I579" t="str">
        <f>IF(YLE成绩库!C79="","", YLE成绩库!P79)</f>
        <v/>
      </c>
      <c r="J579" t="str">
        <f>IF(YLE成绩库!C79="","", YLE成绩库!Q79)</f>
        <v/>
      </c>
      <c r="K579" t="str">
        <f>IF(YLE成绩库!C79="","", YLE成绩库!R79)</f>
        <v/>
      </c>
      <c r="L579" t="str">
        <f>IF(YLE成绩库!C79="","", YLE成绩库!U79)</f>
        <v/>
      </c>
      <c r="M579">
        <v>0</v>
      </c>
      <c r="N579">
        <v>0</v>
      </c>
      <c r="O579">
        <v>0</v>
      </c>
      <c r="P579" t="str">
        <f>IF(YLE成绩库!C79="","", YLE成绩库!D79)</f>
        <v/>
      </c>
      <c r="Q579" t="str">
        <f>IF(YLE成绩库!C79="","", YLE成绩库!E79)</f>
        <v/>
      </c>
      <c r="R579" t="str">
        <f>IF(YLE成绩库!C79="","", YLE成绩库!F79)</f>
        <v/>
      </c>
      <c r="S579" t="str">
        <f>IF(YLE成绩库!C79="","", YLE成绩库!G79)</f>
        <v/>
      </c>
      <c r="T579" t="str">
        <f>IF(YLE成绩库!C79="","", YLE成绩库!H79)</f>
        <v/>
      </c>
      <c r="U579" t="str">
        <f>IF(YLE成绩库!C79="","", YLE成绩库!K79)</f>
        <v/>
      </c>
      <c r="V579" t="str">
        <f>IF(YLE成绩库!C79="","", YLE成绩库!W79)</f>
        <v/>
      </c>
      <c r="W579" t="str">
        <f>IF(YLE成绩库!C79="","", YLE成绩库!X79)</f>
        <v/>
      </c>
      <c r="X579" t="str">
        <f>IF(YLE成绩库!C79="","", YLE成绩库!AA79)</f>
        <v/>
      </c>
      <c r="Z579" t="str">
        <f>IF(YLE成绩库!C79="","", YLE成绩库!Z79)</f>
        <v/>
      </c>
    </row>
    <row r="580" spans="1:26" x14ac:dyDescent="0.2">
      <c r="A580" t="str">
        <f>IF(YLE成绩库!C80="","", YLE成绩库!C80)</f>
        <v/>
      </c>
      <c r="B580" t="str">
        <f>IF(YLE成绩库!AB80="","", YLE成绩库!AB80)</f>
        <v>2024-01-15</v>
      </c>
      <c r="C580" t="str">
        <f>IF(YLE成绩库!B80="","", YLE成绩库!B80)</f>
        <v/>
      </c>
      <c r="D580" t="str">
        <f>IF(YLE成绩库!D80="","", YLE成绩库!D80)</f>
        <v/>
      </c>
      <c r="E580" t="str">
        <f>IF(YLE成绩库!C80="","", YLE成绩库!L80)</f>
        <v/>
      </c>
      <c r="F580" t="str">
        <f>IF(YLE成绩库!C80="","", YLE成绩库!M80)</f>
        <v/>
      </c>
      <c r="G580" t="str">
        <f>IF(YLE成绩库!C80="","", YLE成绩库!N80)</f>
        <v/>
      </c>
      <c r="H580" t="str">
        <f>IF(YLE成绩库!C80="","", YLE成绩库!O80)</f>
        <v/>
      </c>
      <c r="I580" t="str">
        <f>IF(YLE成绩库!C80="","", YLE成绩库!P80)</f>
        <v/>
      </c>
      <c r="J580" t="str">
        <f>IF(YLE成绩库!C80="","", YLE成绩库!Q80)</f>
        <v/>
      </c>
      <c r="K580" t="str">
        <f>IF(YLE成绩库!C80="","", YLE成绩库!R80)</f>
        <v/>
      </c>
      <c r="L580" t="str">
        <f>IF(YLE成绩库!C80="","", YLE成绩库!U80)</f>
        <v/>
      </c>
      <c r="M580">
        <v>0</v>
      </c>
      <c r="N580">
        <v>0</v>
      </c>
      <c r="O580">
        <v>0</v>
      </c>
      <c r="P580" t="str">
        <f>IF(YLE成绩库!C80="","", YLE成绩库!D80)</f>
        <v/>
      </c>
      <c r="Q580" t="str">
        <f>IF(YLE成绩库!C80="","", YLE成绩库!E80)</f>
        <v/>
      </c>
      <c r="R580" t="str">
        <f>IF(YLE成绩库!C80="","", YLE成绩库!F80)</f>
        <v/>
      </c>
      <c r="S580" t="str">
        <f>IF(YLE成绩库!C80="","", YLE成绩库!G80)</f>
        <v/>
      </c>
      <c r="T580" t="str">
        <f>IF(YLE成绩库!C80="","", YLE成绩库!H80)</f>
        <v/>
      </c>
      <c r="U580" t="str">
        <f>IF(YLE成绩库!C80="","", YLE成绩库!K80)</f>
        <v/>
      </c>
      <c r="V580" t="str">
        <f>IF(YLE成绩库!C80="","", YLE成绩库!W80)</f>
        <v/>
      </c>
      <c r="W580" t="str">
        <f>IF(YLE成绩库!C80="","", YLE成绩库!X80)</f>
        <v/>
      </c>
      <c r="X580" t="str">
        <f>IF(YLE成绩库!C80="","", YLE成绩库!AA80)</f>
        <v/>
      </c>
      <c r="Z580" t="str">
        <f>IF(YLE成绩库!C80="","", YLE成绩库!Z80)</f>
        <v/>
      </c>
    </row>
    <row r="581" spans="1:26" x14ac:dyDescent="0.2">
      <c r="A581" t="str">
        <f>IF(YLE成绩库!C81="","", YLE成绩库!C81)</f>
        <v/>
      </c>
      <c r="B581" t="str">
        <f>IF(YLE成绩库!AB81="","", YLE成绩库!AB81)</f>
        <v>2024-01-15</v>
      </c>
      <c r="C581" t="str">
        <f>IF(YLE成绩库!B81="","", YLE成绩库!B81)</f>
        <v/>
      </c>
      <c r="D581" t="str">
        <f>IF(YLE成绩库!D81="","", YLE成绩库!D81)</f>
        <v/>
      </c>
      <c r="E581" t="str">
        <f>IF(YLE成绩库!C81="","", YLE成绩库!L81)</f>
        <v/>
      </c>
      <c r="F581" t="str">
        <f>IF(YLE成绩库!C81="","", YLE成绩库!M81)</f>
        <v/>
      </c>
      <c r="G581" t="str">
        <f>IF(YLE成绩库!C81="","", YLE成绩库!N81)</f>
        <v/>
      </c>
      <c r="H581" t="str">
        <f>IF(YLE成绩库!C81="","", YLE成绩库!O81)</f>
        <v/>
      </c>
      <c r="I581" t="str">
        <f>IF(YLE成绩库!C81="","", YLE成绩库!P81)</f>
        <v/>
      </c>
      <c r="J581" t="str">
        <f>IF(YLE成绩库!C81="","", YLE成绩库!Q81)</f>
        <v/>
      </c>
      <c r="K581" t="str">
        <f>IF(YLE成绩库!C81="","", YLE成绩库!R81)</f>
        <v/>
      </c>
      <c r="L581" t="str">
        <f>IF(YLE成绩库!C81="","", YLE成绩库!U81)</f>
        <v/>
      </c>
      <c r="M581">
        <v>0</v>
      </c>
      <c r="N581">
        <v>0</v>
      </c>
      <c r="O581">
        <v>0</v>
      </c>
      <c r="P581" t="str">
        <f>IF(YLE成绩库!C81="","", YLE成绩库!D81)</f>
        <v/>
      </c>
      <c r="Q581" t="str">
        <f>IF(YLE成绩库!C81="","", YLE成绩库!E81)</f>
        <v/>
      </c>
      <c r="R581" t="str">
        <f>IF(YLE成绩库!C81="","", YLE成绩库!F81)</f>
        <v/>
      </c>
      <c r="S581" t="str">
        <f>IF(YLE成绩库!C81="","", YLE成绩库!G81)</f>
        <v/>
      </c>
      <c r="T581" t="str">
        <f>IF(YLE成绩库!C81="","", YLE成绩库!H81)</f>
        <v/>
      </c>
      <c r="U581" t="str">
        <f>IF(YLE成绩库!C81="","", YLE成绩库!K81)</f>
        <v/>
      </c>
      <c r="V581" t="str">
        <f>IF(YLE成绩库!C81="","", YLE成绩库!W81)</f>
        <v/>
      </c>
      <c r="W581" t="str">
        <f>IF(YLE成绩库!C81="","", YLE成绩库!X81)</f>
        <v/>
      </c>
      <c r="X581" t="str">
        <f>IF(YLE成绩库!C81="","", YLE成绩库!AA81)</f>
        <v/>
      </c>
      <c r="Z581" t="str">
        <f>IF(YLE成绩库!C81="","", YLE成绩库!Z81)</f>
        <v/>
      </c>
    </row>
    <row r="582" spans="1:26" x14ac:dyDescent="0.2">
      <c r="A582" t="str">
        <f>IF(YLE成绩库!C82="","", YLE成绩库!C82)</f>
        <v/>
      </c>
      <c r="B582" t="str">
        <f>IF(YLE成绩库!AB82="","", YLE成绩库!AB82)</f>
        <v>2024-01-15</v>
      </c>
      <c r="C582" t="str">
        <f>IF(YLE成绩库!B82="","", YLE成绩库!B82)</f>
        <v/>
      </c>
      <c r="D582" t="str">
        <f>IF(YLE成绩库!D82="","", YLE成绩库!D82)</f>
        <v/>
      </c>
      <c r="E582" t="str">
        <f>IF(YLE成绩库!C82="","", YLE成绩库!L82)</f>
        <v/>
      </c>
      <c r="F582" t="str">
        <f>IF(YLE成绩库!C82="","", YLE成绩库!M82)</f>
        <v/>
      </c>
      <c r="G582" t="str">
        <f>IF(YLE成绩库!C82="","", YLE成绩库!N82)</f>
        <v/>
      </c>
      <c r="H582" t="str">
        <f>IF(YLE成绩库!C82="","", YLE成绩库!O82)</f>
        <v/>
      </c>
      <c r="I582" t="str">
        <f>IF(YLE成绩库!C82="","", YLE成绩库!P82)</f>
        <v/>
      </c>
      <c r="J582" t="str">
        <f>IF(YLE成绩库!C82="","", YLE成绩库!Q82)</f>
        <v/>
      </c>
      <c r="K582" t="str">
        <f>IF(YLE成绩库!C82="","", YLE成绩库!R82)</f>
        <v/>
      </c>
      <c r="L582" t="str">
        <f>IF(YLE成绩库!C82="","", YLE成绩库!U82)</f>
        <v/>
      </c>
      <c r="M582">
        <v>0</v>
      </c>
      <c r="N582">
        <v>0</v>
      </c>
      <c r="O582">
        <v>0</v>
      </c>
      <c r="P582" t="str">
        <f>IF(YLE成绩库!C82="","", YLE成绩库!D82)</f>
        <v/>
      </c>
      <c r="Q582" t="str">
        <f>IF(YLE成绩库!C82="","", YLE成绩库!E82)</f>
        <v/>
      </c>
      <c r="R582" t="str">
        <f>IF(YLE成绩库!C82="","", YLE成绩库!F82)</f>
        <v/>
      </c>
      <c r="S582" t="str">
        <f>IF(YLE成绩库!C82="","", YLE成绩库!G82)</f>
        <v/>
      </c>
      <c r="T582" t="str">
        <f>IF(YLE成绩库!C82="","", YLE成绩库!H82)</f>
        <v/>
      </c>
      <c r="U582" t="str">
        <f>IF(YLE成绩库!C82="","", YLE成绩库!K82)</f>
        <v/>
      </c>
      <c r="V582" t="str">
        <f>IF(YLE成绩库!C82="","", YLE成绩库!W82)</f>
        <v/>
      </c>
      <c r="W582" t="str">
        <f>IF(YLE成绩库!C82="","", YLE成绩库!X82)</f>
        <v/>
      </c>
      <c r="X582" t="str">
        <f>IF(YLE成绩库!C82="","", YLE成绩库!AA82)</f>
        <v/>
      </c>
      <c r="Z582" t="str">
        <f>IF(YLE成绩库!C82="","", YLE成绩库!Z82)</f>
        <v/>
      </c>
    </row>
    <row r="583" spans="1:26" x14ac:dyDescent="0.2">
      <c r="A583" t="str">
        <f>IF(YLE成绩库!C83="","", YLE成绩库!C83)</f>
        <v/>
      </c>
      <c r="B583" t="str">
        <f>IF(YLE成绩库!AB83="","", YLE成绩库!AB83)</f>
        <v>2024-01-15</v>
      </c>
      <c r="C583" t="str">
        <f>IF(YLE成绩库!B83="","", YLE成绩库!B83)</f>
        <v/>
      </c>
      <c r="D583" t="str">
        <f>IF(YLE成绩库!D83="","", YLE成绩库!D83)</f>
        <v/>
      </c>
      <c r="E583" t="str">
        <f>IF(YLE成绩库!C83="","", YLE成绩库!L83)</f>
        <v/>
      </c>
      <c r="F583" t="str">
        <f>IF(YLE成绩库!C83="","", YLE成绩库!M83)</f>
        <v/>
      </c>
      <c r="G583" t="str">
        <f>IF(YLE成绩库!C83="","", YLE成绩库!N83)</f>
        <v/>
      </c>
      <c r="H583" t="str">
        <f>IF(YLE成绩库!C83="","", YLE成绩库!O83)</f>
        <v/>
      </c>
      <c r="I583" t="str">
        <f>IF(YLE成绩库!C83="","", YLE成绩库!P83)</f>
        <v/>
      </c>
      <c r="J583" t="str">
        <f>IF(YLE成绩库!C83="","", YLE成绩库!Q83)</f>
        <v/>
      </c>
      <c r="K583" t="str">
        <f>IF(YLE成绩库!C83="","", YLE成绩库!R83)</f>
        <v/>
      </c>
      <c r="L583" t="str">
        <f>IF(YLE成绩库!C83="","", YLE成绩库!U83)</f>
        <v/>
      </c>
      <c r="M583">
        <v>0</v>
      </c>
      <c r="N583">
        <v>0</v>
      </c>
      <c r="O583">
        <v>0</v>
      </c>
      <c r="P583" t="str">
        <f>IF(YLE成绩库!C83="","", YLE成绩库!D83)</f>
        <v/>
      </c>
      <c r="Q583" t="str">
        <f>IF(YLE成绩库!C83="","", YLE成绩库!E83)</f>
        <v/>
      </c>
      <c r="R583" t="str">
        <f>IF(YLE成绩库!C83="","", YLE成绩库!F83)</f>
        <v/>
      </c>
      <c r="S583" t="str">
        <f>IF(YLE成绩库!C83="","", YLE成绩库!G83)</f>
        <v/>
      </c>
      <c r="T583" t="str">
        <f>IF(YLE成绩库!C83="","", YLE成绩库!H83)</f>
        <v/>
      </c>
      <c r="U583" t="str">
        <f>IF(YLE成绩库!C83="","", YLE成绩库!K83)</f>
        <v/>
      </c>
      <c r="V583" t="str">
        <f>IF(YLE成绩库!C83="","", YLE成绩库!W83)</f>
        <v/>
      </c>
      <c r="W583" t="str">
        <f>IF(YLE成绩库!C83="","", YLE成绩库!X83)</f>
        <v/>
      </c>
      <c r="X583" t="str">
        <f>IF(YLE成绩库!C83="","", YLE成绩库!AA83)</f>
        <v/>
      </c>
      <c r="Z583" t="str">
        <f>IF(YLE成绩库!C83="","", YLE成绩库!Z83)</f>
        <v/>
      </c>
    </row>
    <row r="584" spans="1:26" x14ac:dyDescent="0.2">
      <c r="A584" t="str">
        <f>IF(YLE成绩库!C84="","", YLE成绩库!C84)</f>
        <v/>
      </c>
      <c r="B584" t="str">
        <f>IF(YLE成绩库!AB84="","", YLE成绩库!AB84)</f>
        <v>2024-01-15</v>
      </c>
      <c r="C584" t="str">
        <f>IF(YLE成绩库!B84="","", YLE成绩库!B84)</f>
        <v/>
      </c>
      <c r="D584" t="str">
        <f>IF(YLE成绩库!D84="","", YLE成绩库!D84)</f>
        <v/>
      </c>
      <c r="E584" t="str">
        <f>IF(YLE成绩库!C84="","", YLE成绩库!L84)</f>
        <v/>
      </c>
      <c r="F584" t="str">
        <f>IF(YLE成绩库!C84="","", YLE成绩库!M84)</f>
        <v/>
      </c>
      <c r="G584" t="str">
        <f>IF(YLE成绩库!C84="","", YLE成绩库!N84)</f>
        <v/>
      </c>
      <c r="H584" t="str">
        <f>IF(YLE成绩库!C84="","", YLE成绩库!O84)</f>
        <v/>
      </c>
      <c r="I584" t="str">
        <f>IF(YLE成绩库!C84="","", YLE成绩库!P84)</f>
        <v/>
      </c>
      <c r="J584" t="str">
        <f>IF(YLE成绩库!C84="","", YLE成绩库!Q84)</f>
        <v/>
      </c>
      <c r="K584" t="str">
        <f>IF(YLE成绩库!C84="","", YLE成绩库!R84)</f>
        <v/>
      </c>
      <c r="L584" t="str">
        <f>IF(YLE成绩库!C84="","", YLE成绩库!U84)</f>
        <v/>
      </c>
      <c r="M584">
        <v>0</v>
      </c>
      <c r="N584">
        <v>0</v>
      </c>
      <c r="O584">
        <v>0</v>
      </c>
      <c r="P584" t="str">
        <f>IF(YLE成绩库!C84="","", YLE成绩库!D84)</f>
        <v/>
      </c>
      <c r="Q584" t="str">
        <f>IF(YLE成绩库!C84="","", YLE成绩库!E84)</f>
        <v/>
      </c>
      <c r="R584" t="str">
        <f>IF(YLE成绩库!C84="","", YLE成绩库!F84)</f>
        <v/>
      </c>
      <c r="S584" t="str">
        <f>IF(YLE成绩库!C84="","", YLE成绩库!G84)</f>
        <v/>
      </c>
      <c r="T584" t="str">
        <f>IF(YLE成绩库!C84="","", YLE成绩库!H84)</f>
        <v/>
      </c>
      <c r="U584" t="str">
        <f>IF(YLE成绩库!C84="","", YLE成绩库!K84)</f>
        <v/>
      </c>
      <c r="V584" t="str">
        <f>IF(YLE成绩库!C84="","", YLE成绩库!W84)</f>
        <v/>
      </c>
      <c r="W584" t="str">
        <f>IF(YLE成绩库!C84="","", YLE成绩库!X84)</f>
        <v/>
      </c>
      <c r="X584" t="str">
        <f>IF(YLE成绩库!C84="","", YLE成绩库!AA84)</f>
        <v/>
      </c>
      <c r="Z584" t="str">
        <f>IF(YLE成绩库!C84="","", YLE成绩库!Z84)</f>
        <v/>
      </c>
    </row>
    <row r="585" spans="1:26" x14ac:dyDescent="0.2">
      <c r="A585" t="str">
        <f>IF(YLE成绩库!C85="","", YLE成绩库!C85)</f>
        <v/>
      </c>
      <c r="B585" t="str">
        <f>IF(YLE成绩库!AB85="","", YLE成绩库!AB85)</f>
        <v>2024-01-15</v>
      </c>
      <c r="C585" t="str">
        <f>IF(YLE成绩库!B85="","", YLE成绩库!B85)</f>
        <v/>
      </c>
      <c r="D585" t="str">
        <f>IF(YLE成绩库!D85="","", YLE成绩库!D85)</f>
        <v/>
      </c>
      <c r="E585" t="str">
        <f>IF(YLE成绩库!C85="","", YLE成绩库!L85)</f>
        <v/>
      </c>
      <c r="F585" t="str">
        <f>IF(YLE成绩库!C85="","", YLE成绩库!M85)</f>
        <v/>
      </c>
      <c r="G585" t="str">
        <f>IF(YLE成绩库!C85="","", YLE成绩库!N85)</f>
        <v/>
      </c>
      <c r="H585" t="str">
        <f>IF(YLE成绩库!C85="","", YLE成绩库!O85)</f>
        <v/>
      </c>
      <c r="I585" t="str">
        <f>IF(YLE成绩库!C85="","", YLE成绩库!P85)</f>
        <v/>
      </c>
      <c r="J585" t="str">
        <f>IF(YLE成绩库!C85="","", YLE成绩库!Q85)</f>
        <v/>
      </c>
      <c r="K585" t="str">
        <f>IF(YLE成绩库!C85="","", YLE成绩库!R85)</f>
        <v/>
      </c>
      <c r="L585" t="str">
        <f>IF(YLE成绩库!C85="","", YLE成绩库!U85)</f>
        <v/>
      </c>
      <c r="M585">
        <v>0</v>
      </c>
      <c r="N585">
        <v>0</v>
      </c>
      <c r="O585">
        <v>0</v>
      </c>
      <c r="P585" t="str">
        <f>IF(YLE成绩库!C85="","", YLE成绩库!D85)</f>
        <v/>
      </c>
      <c r="Q585" t="str">
        <f>IF(YLE成绩库!C85="","", YLE成绩库!E85)</f>
        <v/>
      </c>
      <c r="R585" t="str">
        <f>IF(YLE成绩库!C85="","", YLE成绩库!F85)</f>
        <v/>
      </c>
      <c r="S585" t="str">
        <f>IF(YLE成绩库!C85="","", YLE成绩库!G85)</f>
        <v/>
      </c>
      <c r="T585" t="str">
        <f>IF(YLE成绩库!C85="","", YLE成绩库!H85)</f>
        <v/>
      </c>
      <c r="U585" t="str">
        <f>IF(YLE成绩库!C85="","", YLE成绩库!K85)</f>
        <v/>
      </c>
      <c r="V585" t="str">
        <f>IF(YLE成绩库!C85="","", YLE成绩库!W85)</f>
        <v/>
      </c>
      <c r="W585" t="str">
        <f>IF(YLE成绩库!C85="","", YLE成绩库!X85)</f>
        <v/>
      </c>
      <c r="X585" t="str">
        <f>IF(YLE成绩库!C85="","", YLE成绩库!AA85)</f>
        <v/>
      </c>
      <c r="Z585" t="str">
        <f>IF(YLE成绩库!C85="","", YLE成绩库!Z85)</f>
        <v/>
      </c>
    </row>
    <row r="586" spans="1:26" x14ac:dyDescent="0.2">
      <c r="A586" t="str">
        <f>IF(YLE成绩库!C86="","", YLE成绩库!C86)</f>
        <v/>
      </c>
      <c r="B586" t="str">
        <f>IF(YLE成绩库!AB86="","", YLE成绩库!AB86)</f>
        <v>2024-01-15</v>
      </c>
      <c r="C586" t="str">
        <f>IF(YLE成绩库!B86="","", YLE成绩库!B86)</f>
        <v/>
      </c>
      <c r="D586" t="str">
        <f>IF(YLE成绩库!D86="","", YLE成绩库!D86)</f>
        <v/>
      </c>
      <c r="E586" t="str">
        <f>IF(YLE成绩库!C86="","", YLE成绩库!L86)</f>
        <v/>
      </c>
      <c r="F586" t="str">
        <f>IF(YLE成绩库!C86="","", YLE成绩库!M86)</f>
        <v/>
      </c>
      <c r="G586" t="str">
        <f>IF(YLE成绩库!C86="","", YLE成绩库!N86)</f>
        <v/>
      </c>
      <c r="H586" t="str">
        <f>IF(YLE成绩库!C86="","", YLE成绩库!O86)</f>
        <v/>
      </c>
      <c r="I586" t="str">
        <f>IF(YLE成绩库!C86="","", YLE成绩库!P86)</f>
        <v/>
      </c>
      <c r="J586" t="str">
        <f>IF(YLE成绩库!C86="","", YLE成绩库!Q86)</f>
        <v/>
      </c>
      <c r="K586" t="str">
        <f>IF(YLE成绩库!C86="","", YLE成绩库!R86)</f>
        <v/>
      </c>
      <c r="L586" t="str">
        <f>IF(YLE成绩库!C86="","", YLE成绩库!U86)</f>
        <v/>
      </c>
      <c r="M586">
        <v>0</v>
      </c>
      <c r="N586">
        <v>0</v>
      </c>
      <c r="O586">
        <v>0</v>
      </c>
      <c r="P586" t="str">
        <f>IF(YLE成绩库!C86="","", YLE成绩库!D86)</f>
        <v/>
      </c>
      <c r="Q586" t="str">
        <f>IF(YLE成绩库!C86="","", YLE成绩库!E86)</f>
        <v/>
      </c>
      <c r="R586" t="str">
        <f>IF(YLE成绩库!C86="","", YLE成绩库!F86)</f>
        <v/>
      </c>
      <c r="S586" t="str">
        <f>IF(YLE成绩库!C86="","", YLE成绩库!G86)</f>
        <v/>
      </c>
      <c r="T586" t="str">
        <f>IF(YLE成绩库!C86="","", YLE成绩库!H86)</f>
        <v/>
      </c>
      <c r="U586" t="str">
        <f>IF(YLE成绩库!C86="","", YLE成绩库!K86)</f>
        <v/>
      </c>
      <c r="V586" t="str">
        <f>IF(YLE成绩库!C86="","", YLE成绩库!W86)</f>
        <v/>
      </c>
      <c r="W586" t="str">
        <f>IF(YLE成绩库!C86="","", YLE成绩库!X86)</f>
        <v/>
      </c>
      <c r="X586" t="str">
        <f>IF(YLE成绩库!C86="","", YLE成绩库!AA86)</f>
        <v/>
      </c>
      <c r="Z586" t="str">
        <f>IF(YLE成绩库!C86="","", YLE成绩库!Z86)</f>
        <v/>
      </c>
    </row>
    <row r="587" spans="1:26" x14ac:dyDescent="0.2">
      <c r="A587" t="str">
        <f>IF(YLE成绩库!C87="","", YLE成绩库!C87)</f>
        <v/>
      </c>
      <c r="B587" t="str">
        <f>IF(YLE成绩库!AB87="","", YLE成绩库!AB87)</f>
        <v>2024-01-15</v>
      </c>
      <c r="C587" t="str">
        <f>IF(YLE成绩库!B87="","", YLE成绩库!B87)</f>
        <v/>
      </c>
      <c r="D587" t="str">
        <f>IF(YLE成绩库!D87="","", YLE成绩库!D87)</f>
        <v/>
      </c>
      <c r="E587" t="str">
        <f>IF(YLE成绩库!C87="","", YLE成绩库!L87)</f>
        <v/>
      </c>
      <c r="F587" t="str">
        <f>IF(YLE成绩库!C87="","", YLE成绩库!M87)</f>
        <v/>
      </c>
      <c r="G587" t="str">
        <f>IF(YLE成绩库!C87="","", YLE成绩库!N87)</f>
        <v/>
      </c>
      <c r="H587" t="str">
        <f>IF(YLE成绩库!C87="","", YLE成绩库!O87)</f>
        <v/>
      </c>
      <c r="I587" t="str">
        <f>IF(YLE成绩库!C87="","", YLE成绩库!P87)</f>
        <v/>
      </c>
      <c r="J587" t="str">
        <f>IF(YLE成绩库!C87="","", YLE成绩库!Q87)</f>
        <v/>
      </c>
      <c r="K587" t="str">
        <f>IF(YLE成绩库!C87="","", YLE成绩库!R87)</f>
        <v/>
      </c>
      <c r="L587" t="str">
        <f>IF(YLE成绩库!C87="","", YLE成绩库!U87)</f>
        <v/>
      </c>
      <c r="M587">
        <v>0</v>
      </c>
      <c r="N587">
        <v>0</v>
      </c>
      <c r="O587">
        <v>0</v>
      </c>
      <c r="P587" t="str">
        <f>IF(YLE成绩库!C87="","", YLE成绩库!D87)</f>
        <v/>
      </c>
      <c r="Q587" t="str">
        <f>IF(YLE成绩库!C87="","", YLE成绩库!E87)</f>
        <v/>
      </c>
      <c r="R587" t="str">
        <f>IF(YLE成绩库!C87="","", YLE成绩库!F87)</f>
        <v/>
      </c>
      <c r="S587" t="str">
        <f>IF(YLE成绩库!C87="","", YLE成绩库!G87)</f>
        <v/>
      </c>
      <c r="T587" t="str">
        <f>IF(YLE成绩库!C87="","", YLE成绩库!H87)</f>
        <v/>
      </c>
      <c r="U587" t="str">
        <f>IF(YLE成绩库!C87="","", YLE成绩库!K87)</f>
        <v/>
      </c>
      <c r="V587" t="str">
        <f>IF(YLE成绩库!C87="","", YLE成绩库!W87)</f>
        <v/>
      </c>
      <c r="W587" t="str">
        <f>IF(YLE成绩库!C87="","", YLE成绩库!X87)</f>
        <v/>
      </c>
      <c r="X587" t="str">
        <f>IF(YLE成绩库!C87="","", YLE成绩库!AA87)</f>
        <v/>
      </c>
      <c r="Z587" t="str">
        <f>IF(YLE成绩库!C87="","", YLE成绩库!Z87)</f>
        <v/>
      </c>
    </row>
    <row r="588" spans="1:26" x14ac:dyDescent="0.2">
      <c r="A588" t="str">
        <f>IF(YLE成绩库!C88="","", YLE成绩库!C88)</f>
        <v/>
      </c>
      <c r="B588" t="str">
        <f>IF(YLE成绩库!AB88="","", YLE成绩库!AB88)</f>
        <v>2024-01-15</v>
      </c>
      <c r="C588" t="str">
        <f>IF(YLE成绩库!B88="","", YLE成绩库!B88)</f>
        <v/>
      </c>
      <c r="D588" t="str">
        <f>IF(YLE成绩库!D88="","", YLE成绩库!D88)</f>
        <v/>
      </c>
      <c r="E588" t="str">
        <f>IF(YLE成绩库!C88="","", YLE成绩库!L88)</f>
        <v/>
      </c>
      <c r="F588" t="str">
        <f>IF(YLE成绩库!C88="","", YLE成绩库!M88)</f>
        <v/>
      </c>
      <c r="G588" t="str">
        <f>IF(YLE成绩库!C88="","", YLE成绩库!N88)</f>
        <v/>
      </c>
      <c r="H588" t="str">
        <f>IF(YLE成绩库!C88="","", YLE成绩库!O88)</f>
        <v/>
      </c>
      <c r="I588" t="str">
        <f>IF(YLE成绩库!C88="","", YLE成绩库!P88)</f>
        <v/>
      </c>
      <c r="J588" t="str">
        <f>IF(YLE成绩库!C88="","", YLE成绩库!Q88)</f>
        <v/>
      </c>
      <c r="K588" t="str">
        <f>IF(YLE成绩库!C88="","", YLE成绩库!R88)</f>
        <v/>
      </c>
      <c r="L588" t="str">
        <f>IF(YLE成绩库!C88="","", YLE成绩库!U88)</f>
        <v/>
      </c>
      <c r="M588">
        <v>0</v>
      </c>
      <c r="N588">
        <v>0</v>
      </c>
      <c r="O588">
        <v>0</v>
      </c>
      <c r="P588" t="str">
        <f>IF(YLE成绩库!C88="","", YLE成绩库!D88)</f>
        <v/>
      </c>
      <c r="Q588" t="str">
        <f>IF(YLE成绩库!C88="","", YLE成绩库!E88)</f>
        <v/>
      </c>
      <c r="R588" t="str">
        <f>IF(YLE成绩库!C88="","", YLE成绩库!F88)</f>
        <v/>
      </c>
      <c r="S588" t="str">
        <f>IF(YLE成绩库!C88="","", YLE成绩库!G88)</f>
        <v/>
      </c>
      <c r="T588" t="str">
        <f>IF(YLE成绩库!C88="","", YLE成绩库!H88)</f>
        <v/>
      </c>
      <c r="U588" t="str">
        <f>IF(YLE成绩库!C88="","", YLE成绩库!K88)</f>
        <v/>
      </c>
      <c r="V588" t="str">
        <f>IF(YLE成绩库!C88="","", YLE成绩库!W88)</f>
        <v/>
      </c>
      <c r="W588" t="str">
        <f>IF(YLE成绩库!C88="","", YLE成绩库!X88)</f>
        <v/>
      </c>
      <c r="X588" t="str">
        <f>IF(YLE成绩库!C88="","", YLE成绩库!AA88)</f>
        <v/>
      </c>
      <c r="Z588" t="str">
        <f>IF(YLE成绩库!C88="","", YLE成绩库!Z88)</f>
        <v/>
      </c>
    </row>
    <row r="589" spans="1:26" x14ac:dyDescent="0.2">
      <c r="A589" t="str">
        <f>IF(YLE成绩库!C89="","", YLE成绩库!C89)</f>
        <v/>
      </c>
      <c r="B589" t="str">
        <f>IF(YLE成绩库!AB89="","", YLE成绩库!AB89)</f>
        <v>2024-01-15</v>
      </c>
      <c r="C589" t="str">
        <f>IF(YLE成绩库!B89="","", YLE成绩库!B89)</f>
        <v/>
      </c>
      <c r="D589" t="str">
        <f>IF(YLE成绩库!D89="","", YLE成绩库!D89)</f>
        <v/>
      </c>
      <c r="E589" t="str">
        <f>IF(YLE成绩库!C89="","", YLE成绩库!L89)</f>
        <v/>
      </c>
      <c r="F589" t="str">
        <f>IF(YLE成绩库!C89="","", YLE成绩库!M89)</f>
        <v/>
      </c>
      <c r="G589" t="str">
        <f>IF(YLE成绩库!C89="","", YLE成绩库!N89)</f>
        <v/>
      </c>
      <c r="H589" t="str">
        <f>IF(YLE成绩库!C89="","", YLE成绩库!O89)</f>
        <v/>
      </c>
      <c r="I589" t="str">
        <f>IF(YLE成绩库!C89="","", YLE成绩库!P89)</f>
        <v/>
      </c>
      <c r="J589" t="str">
        <f>IF(YLE成绩库!C89="","", YLE成绩库!Q89)</f>
        <v/>
      </c>
      <c r="K589" t="str">
        <f>IF(YLE成绩库!C89="","", YLE成绩库!R89)</f>
        <v/>
      </c>
      <c r="L589" t="str">
        <f>IF(YLE成绩库!C89="","", YLE成绩库!U89)</f>
        <v/>
      </c>
      <c r="M589">
        <v>0</v>
      </c>
      <c r="N589">
        <v>0</v>
      </c>
      <c r="O589">
        <v>0</v>
      </c>
      <c r="P589" t="str">
        <f>IF(YLE成绩库!C89="","", YLE成绩库!D89)</f>
        <v/>
      </c>
      <c r="Q589" t="str">
        <f>IF(YLE成绩库!C89="","", YLE成绩库!E89)</f>
        <v/>
      </c>
      <c r="R589" t="str">
        <f>IF(YLE成绩库!C89="","", YLE成绩库!F89)</f>
        <v/>
      </c>
      <c r="S589" t="str">
        <f>IF(YLE成绩库!C89="","", YLE成绩库!G89)</f>
        <v/>
      </c>
      <c r="T589" t="str">
        <f>IF(YLE成绩库!C89="","", YLE成绩库!H89)</f>
        <v/>
      </c>
      <c r="U589" t="str">
        <f>IF(YLE成绩库!C89="","", YLE成绩库!K89)</f>
        <v/>
      </c>
      <c r="V589" t="str">
        <f>IF(YLE成绩库!C89="","", YLE成绩库!W89)</f>
        <v/>
      </c>
      <c r="W589" t="str">
        <f>IF(YLE成绩库!C89="","", YLE成绩库!X89)</f>
        <v/>
      </c>
      <c r="X589" t="str">
        <f>IF(YLE成绩库!C89="","", YLE成绩库!AA89)</f>
        <v/>
      </c>
      <c r="Z589" t="str">
        <f>IF(YLE成绩库!C89="","", YLE成绩库!Z89)</f>
        <v/>
      </c>
    </row>
    <row r="590" spans="1:26" x14ac:dyDescent="0.2">
      <c r="A590" t="str">
        <f>IF(YLE成绩库!C90="","", YLE成绩库!C90)</f>
        <v/>
      </c>
      <c r="B590" t="str">
        <f>IF(YLE成绩库!AB90="","", YLE成绩库!AB90)</f>
        <v>2024-01-15</v>
      </c>
      <c r="C590" t="str">
        <f>IF(YLE成绩库!B90="","", YLE成绩库!B90)</f>
        <v/>
      </c>
      <c r="D590" t="str">
        <f>IF(YLE成绩库!D90="","", YLE成绩库!D90)</f>
        <v/>
      </c>
      <c r="E590" t="str">
        <f>IF(YLE成绩库!C90="","", YLE成绩库!L90)</f>
        <v/>
      </c>
      <c r="F590" t="str">
        <f>IF(YLE成绩库!C90="","", YLE成绩库!M90)</f>
        <v/>
      </c>
      <c r="G590" t="str">
        <f>IF(YLE成绩库!C90="","", YLE成绩库!N90)</f>
        <v/>
      </c>
      <c r="H590" t="str">
        <f>IF(YLE成绩库!C90="","", YLE成绩库!O90)</f>
        <v/>
      </c>
      <c r="I590" t="str">
        <f>IF(YLE成绩库!C90="","", YLE成绩库!P90)</f>
        <v/>
      </c>
      <c r="J590" t="str">
        <f>IF(YLE成绩库!C90="","", YLE成绩库!Q90)</f>
        <v/>
      </c>
      <c r="K590" t="str">
        <f>IF(YLE成绩库!C90="","", YLE成绩库!R90)</f>
        <v/>
      </c>
      <c r="L590" t="str">
        <f>IF(YLE成绩库!C90="","", YLE成绩库!U90)</f>
        <v/>
      </c>
      <c r="M590">
        <v>0</v>
      </c>
      <c r="N590">
        <v>0</v>
      </c>
      <c r="O590">
        <v>0</v>
      </c>
      <c r="P590" t="str">
        <f>IF(YLE成绩库!C90="","", YLE成绩库!D90)</f>
        <v/>
      </c>
      <c r="Q590" t="str">
        <f>IF(YLE成绩库!C90="","", YLE成绩库!E90)</f>
        <v/>
      </c>
      <c r="R590" t="str">
        <f>IF(YLE成绩库!C90="","", YLE成绩库!F90)</f>
        <v/>
      </c>
      <c r="S590" t="str">
        <f>IF(YLE成绩库!C90="","", YLE成绩库!G90)</f>
        <v/>
      </c>
      <c r="T590" t="str">
        <f>IF(YLE成绩库!C90="","", YLE成绩库!H90)</f>
        <v/>
      </c>
      <c r="U590" t="str">
        <f>IF(YLE成绩库!C90="","", YLE成绩库!K90)</f>
        <v/>
      </c>
      <c r="V590" t="str">
        <f>IF(YLE成绩库!C90="","", YLE成绩库!W90)</f>
        <v/>
      </c>
      <c r="W590" t="str">
        <f>IF(YLE成绩库!C90="","", YLE成绩库!X90)</f>
        <v/>
      </c>
      <c r="X590" t="str">
        <f>IF(YLE成绩库!C90="","", YLE成绩库!AA90)</f>
        <v/>
      </c>
      <c r="Z590" t="str">
        <f>IF(YLE成绩库!C90="","", YLE成绩库!Z90)</f>
        <v/>
      </c>
    </row>
    <row r="591" spans="1:26" x14ac:dyDescent="0.2">
      <c r="A591" t="str">
        <f>IF(YLE成绩库!C91="","", YLE成绩库!C91)</f>
        <v/>
      </c>
      <c r="B591" t="str">
        <f>IF(YLE成绩库!AB91="","", YLE成绩库!AB91)</f>
        <v>2024-01-15</v>
      </c>
      <c r="C591" t="str">
        <f>IF(YLE成绩库!B91="","", YLE成绩库!B91)</f>
        <v/>
      </c>
      <c r="D591" t="str">
        <f>IF(YLE成绩库!D91="","", YLE成绩库!D91)</f>
        <v/>
      </c>
      <c r="E591" t="str">
        <f>IF(YLE成绩库!C91="","", YLE成绩库!L91)</f>
        <v/>
      </c>
      <c r="F591" t="str">
        <f>IF(YLE成绩库!C91="","", YLE成绩库!M91)</f>
        <v/>
      </c>
      <c r="G591" t="str">
        <f>IF(YLE成绩库!C91="","", YLE成绩库!N91)</f>
        <v/>
      </c>
      <c r="H591" t="str">
        <f>IF(YLE成绩库!C91="","", YLE成绩库!O91)</f>
        <v/>
      </c>
      <c r="I591" t="str">
        <f>IF(YLE成绩库!C91="","", YLE成绩库!P91)</f>
        <v/>
      </c>
      <c r="J591" t="str">
        <f>IF(YLE成绩库!C91="","", YLE成绩库!Q91)</f>
        <v/>
      </c>
      <c r="K591" t="str">
        <f>IF(YLE成绩库!C91="","", YLE成绩库!R91)</f>
        <v/>
      </c>
      <c r="L591" t="str">
        <f>IF(YLE成绩库!C91="","", YLE成绩库!U91)</f>
        <v/>
      </c>
      <c r="M591">
        <v>0</v>
      </c>
      <c r="N591">
        <v>0</v>
      </c>
      <c r="O591">
        <v>0</v>
      </c>
      <c r="P591" t="str">
        <f>IF(YLE成绩库!C91="","", YLE成绩库!D91)</f>
        <v/>
      </c>
      <c r="Q591" t="str">
        <f>IF(YLE成绩库!C91="","", YLE成绩库!E91)</f>
        <v/>
      </c>
      <c r="R591" t="str">
        <f>IF(YLE成绩库!C91="","", YLE成绩库!F91)</f>
        <v/>
      </c>
      <c r="S591" t="str">
        <f>IF(YLE成绩库!C91="","", YLE成绩库!G91)</f>
        <v/>
      </c>
      <c r="T591" t="str">
        <f>IF(YLE成绩库!C91="","", YLE成绩库!H91)</f>
        <v/>
      </c>
      <c r="U591" t="str">
        <f>IF(YLE成绩库!C91="","", YLE成绩库!K91)</f>
        <v/>
      </c>
      <c r="V591" t="str">
        <f>IF(YLE成绩库!C91="","", YLE成绩库!W91)</f>
        <v/>
      </c>
      <c r="W591" t="str">
        <f>IF(YLE成绩库!C91="","", YLE成绩库!X91)</f>
        <v/>
      </c>
      <c r="X591" t="str">
        <f>IF(YLE成绩库!C91="","", YLE成绩库!AA91)</f>
        <v/>
      </c>
      <c r="Z591" t="str">
        <f>IF(YLE成绩库!C91="","", YLE成绩库!Z91)</f>
        <v/>
      </c>
    </row>
    <row r="592" spans="1:26" x14ac:dyDescent="0.2">
      <c r="A592" t="str">
        <f>IF(YLE成绩库!C92="","", YLE成绩库!C92)</f>
        <v/>
      </c>
      <c r="B592" t="str">
        <f>IF(YLE成绩库!AB92="","", YLE成绩库!AB92)</f>
        <v>2024-01-15</v>
      </c>
      <c r="C592" t="str">
        <f>IF(YLE成绩库!B92="","", YLE成绩库!B92)</f>
        <v/>
      </c>
      <c r="D592" t="str">
        <f>IF(YLE成绩库!D92="","", YLE成绩库!D92)</f>
        <v/>
      </c>
      <c r="E592" t="str">
        <f>IF(YLE成绩库!C92="","", YLE成绩库!L92)</f>
        <v/>
      </c>
      <c r="F592" t="str">
        <f>IF(YLE成绩库!C92="","", YLE成绩库!M92)</f>
        <v/>
      </c>
      <c r="G592" t="str">
        <f>IF(YLE成绩库!C92="","", YLE成绩库!N92)</f>
        <v/>
      </c>
      <c r="H592" t="str">
        <f>IF(YLE成绩库!C92="","", YLE成绩库!O92)</f>
        <v/>
      </c>
      <c r="I592" t="str">
        <f>IF(YLE成绩库!C92="","", YLE成绩库!P92)</f>
        <v/>
      </c>
      <c r="J592" t="str">
        <f>IF(YLE成绩库!C92="","", YLE成绩库!Q92)</f>
        <v/>
      </c>
      <c r="K592" t="str">
        <f>IF(YLE成绩库!C92="","", YLE成绩库!R92)</f>
        <v/>
      </c>
      <c r="L592" t="str">
        <f>IF(YLE成绩库!C92="","", YLE成绩库!U92)</f>
        <v/>
      </c>
      <c r="M592">
        <v>0</v>
      </c>
      <c r="N592">
        <v>0</v>
      </c>
      <c r="O592">
        <v>0</v>
      </c>
      <c r="P592" t="str">
        <f>IF(YLE成绩库!C92="","", YLE成绩库!D92)</f>
        <v/>
      </c>
      <c r="Q592" t="str">
        <f>IF(YLE成绩库!C92="","", YLE成绩库!E92)</f>
        <v/>
      </c>
      <c r="R592" t="str">
        <f>IF(YLE成绩库!C92="","", YLE成绩库!F92)</f>
        <v/>
      </c>
      <c r="S592" t="str">
        <f>IF(YLE成绩库!C92="","", YLE成绩库!G92)</f>
        <v/>
      </c>
      <c r="T592" t="str">
        <f>IF(YLE成绩库!C92="","", YLE成绩库!H92)</f>
        <v/>
      </c>
      <c r="U592" t="str">
        <f>IF(YLE成绩库!C92="","", YLE成绩库!K92)</f>
        <v/>
      </c>
      <c r="V592" t="str">
        <f>IF(YLE成绩库!C92="","", YLE成绩库!W92)</f>
        <v/>
      </c>
      <c r="W592" t="str">
        <f>IF(YLE成绩库!C92="","", YLE成绩库!X92)</f>
        <v/>
      </c>
      <c r="X592" t="str">
        <f>IF(YLE成绩库!C92="","", YLE成绩库!AA92)</f>
        <v/>
      </c>
      <c r="Z592" t="str">
        <f>IF(YLE成绩库!C92="","", YLE成绩库!Z92)</f>
        <v/>
      </c>
    </row>
    <row r="593" spans="1:26" x14ac:dyDescent="0.2">
      <c r="A593" t="str">
        <f>IF(YLE成绩库!C93="","", YLE成绩库!C93)</f>
        <v/>
      </c>
      <c r="B593" t="str">
        <f>IF(YLE成绩库!AB93="","", YLE成绩库!AB93)</f>
        <v>2024-01-15</v>
      </c>
      <c r="C593" t="str">
        <f>IF(YLE成绩库!B93="","", YLE成绩库!B93)</f>
        <v/>
      </c>
      <c r="D593" t="str">
        <f>IF(YLE成绩库!D93="","", YLE成绩库!D93)</f>
        <v/>
      </c>
      <c r="E593" t="str">
        <f>IF(YLE成绩库!C93="","", YLE成绩库!L93)</f>
        <v/>
      </c>
      <c r="F593" t="str">
        <f>IF(YLE成绩库!C93="","", YLE成绩库!M93)</f>
        <v/>
      </c>
      <c r="G593" t="str">
        <f>IF(YLE成绩库!C93="","", YLE成绩库!N93)</f>
        <v/>
      </c>
      <c r="H593" t="str">
        <f>IF(YLE成绩库!C93="","", YLE成绩库!O93)</f>
        <v/>
      </c>
      <c r="I593" t="str">
        <f>IF(YLE成绩库!C93="","", YLE成绩库!P93)</f>
        <v/>
      </c>
      <c r="J593" t="str">
        <f>IF(YLE成绩库!C93="","", YLE成绩库!Q93)</f>
        <v/>
      </c>
      <c r="K593" t="str">
        <f>IF(YLE成绩库!C93="","", YLE成绩库!R93)</f>
        <v/>
      </c>
      <c r="L593" t="str">
        <f>IF(YLE成绩库!C93="","", YLE成绩库!U93)</f>
        <v/>
      </c>
      <c r="M593">
        <v>0</v>
      </c>
      <c r="N593">
        <v>0</v>
      </c>
      <c r="O593">
        <v>0</v>
      </c>
      <c r="P593" t="str">
        <f>IF(YLE成绩库!C93="","", YLE成绩库!D93)</f>
        <v/>
      </c>
      <c r="Q593" t="str">
        <f>IF(YLE成绩库!C93="","", YLE成绩库!E93)</f>
        <v/>
      </c>
      <c r="R593" t="str">
        <f>IF(YLE成绩库!C93="","", YLE成绩库!F93)</f>
        <v/>
      </c>
      <c r="S593" t="str">
        <f>IF(YLE成绩库!C93="","", YLE成绩库!G93)</f>
        <v/>
      </c>
      <c r="T593" t="str">
        <f>IF(YLE成绩库!C93="","", YLE成绩库!H93)</f>
        <v/>
      </c>
      <c r="U593" t="str">
        <f>IF(YLE成绩库!C93="","", YLE成绩库!K93)</f>
        <v/>
      </c>
      <c r="V593" t="str">
        <f>IF(YLE成绩库!C93="","", YLE成绩库!W93)</f>
        <v/>
      </c>
      <c r="W593" t="str">
        <f>IF(YLE成绩库!C93="","", YLE成绩库!X93)</f>
        <v/>
      </c>
      <c r="X593" t="str">
        <f>IF(YLE成绩库!C93="","", YLE成绩库!AA93)</f>
        <v/>
      </c>
      <c r="Z593" t="str">
        <f>IF(YLE成绩库!C93="","", YLE成绩库!Z93)</f>
        <v/>
      </c>
    </row>
    <row r="594" spans="1:26" x14ac:dyDescent="0.2">
      <c r="A594" t="str">
        <f>IF(YLE成绩库!C94="","", YLE成绩库!C94)</f>
        <v/>
      </c>
      <c r="B594" t="str">
        <f>IF(YLE成绩库!AB94="","", YLE成绩库!AB94)</f>
        <v>2024-01-15</v>
      </c>
      <c r="C594" t="str">
        <f>IF(YLE成绩库!B94="","", YLE成绩库!B94)</f>
        <v/>
      </c>
      <c r="D594" t="str">
        <f>IF(YLE成绩库!D94="","", YLE成绩库!D94)</f>
        <v/>
      </c>
      <c r="E594" t="str">
        <f>IF(YLE成绩库!C94="","", YLE成绩库!L94)</f>
        <v/>
      </c>
      <c r="F594" t="str">
        <f>IF(YLE成绩库!C94="","", YLE成绩库!M94)</f>
        <v/>
      </c>
      <c r="G594" t="str">
        <f>IF(YLE成绩库!C94="","", YLE成绩库!N94)</f>
        <v/>
      </c>
      <c r="H594" t="str">
        <f>IF(YLE成绩库!C94="","", YLE成绩库!O94)</f>
        <v/>
      </c>
      <c r="I594" t="str">
        <f>IF(YLE成绩库!C94="","", YLE成绩库!P94)</f>
        <v/>
      </c>
      <c r="J594" t="str">
        <f>IF(YLE成绩库!C94="","", YLE成绩库!Q94)</f>
        <v/>
      </c>
      <c r="K594" t="str">
        <f>IF(YLE成绩库!C94="","", YLE成绩库!R94)</f>
        <v/>
      </c>
      <c r="L594" t="str">
        <f>IF(YLE成绩库!C94="","", YLE成绩库!U94)</f>
        <v/>
      </c>
      <c r="M594">
        <v>0</v>
      </c>
      <c r="N594">
        <v>0</v>
      </c>
      <c r="O594">
        <v>0</v>
      </c>
      <c r="P594" t="str">
        <f>IF(YLE成绩库!C94="","", YLE成绩库!D94)</f>
        <v/>
      </c>
      <c r="Q594" t="str">
        <f>IF(YLE成绩库!C94="","", YLE成绩库!E94)</f>
        <v/>
      </c>
      <c r="R594" t="str">
        <f>IF(YLE成绩库!C94="","", YLE成绩库!F94)</f>
        <v/>
      </c>
      <c r="S594" t="str">
        <f>IF(YLE成绩库!C94="","", YLE成绩库!G94)</f>
        <v/>
      </c>
      <c r="T594" t="str">
        <f>IF(YLE成绩库!C94="","", YLE成绩库!H94)</f>
        <v/>
      </c>
      <c r="U594" t="str">
        <f>IF(YLE成绩库!C94="","", YLE成绩库!K94)</f>
        <v/>
      </c>
      <c r="V594" t="str">
        <f>IF(YLE成绩库!C94="","", YLE成绩库!W94)</f>
        <v/>
      </c>
      <c r="W594" t="str">
        <f>IF(YLE成绩库!C94="","", YLE成绩库!X94)</f>
        <v/>
      </c>
      <c r="X594" t="str">
        <f>IF(YLE成绩库!C94="","", YLE成绩库!AA94)</f>
        <v/>
      </c>
      <c r="Z594" t="str">
        <f>IF(YLE成绩库!C94="","", YLE成绩库!Z94)</f>
        <v/>
      </c>
    </row>
    <row r="595" spans="1:26" x14ac:dyDescent="0.2">
      <c r="A595" t="str">
        <f>IF(YLE成绩库!C95="","", YLE成绩库!C95)</f>
        <v/>
      </c>
      <c r="B595" t="str">
        <f>IF(YLE成绩库!AB95="","", YLE成绩库!AB95)</f>
        <v>2024-01-15</v>
      </c>
      <c r="C595" t="str">
        <f>IF(YLE成绩库!B95="","", YLE成绩库!B95)</f>
        <v/>
      </c>
      <c r="D595" t="str">
        <f>IF(YLE成绩库!D95="","", YLE成绩库!D95)</f>
        <v/>
      </c>
      <c r="E595" t="str">
        <f>IF(YLE成绩库!C95="","", YLE成绩库!L95)</f>
        <v/>
      </c>
      <c r="F595" t="str">
        <f>IF(YLE成绩库!C95="","", YLE成绩库!M95)</f>
        <v/>
      </c>
      <c r="G595" t="str">
        <f>IF(YLE成绩库!C95="","", YLE成绩库!N95)</f>
        <v/>
      </c>
      <c r="H595" t="str">
        <f>IF(YLE成绩库!C95="","", YLE成绩库!O95)</f>
        <v/>
      </c>
      <c r="I595" t="str">
        <f>IF(YLE成绩库!C95="","", YLE成绩库!P95)</f>
        <v/>
      </c>
      <c r="J595" t="str">
        <f>IF(YLE成绩库!C95="","", YLE成绩库!Q95)</f>
        <v/>
      </c>
      <c r="K595" t="str">
        <f>IF(YLE成绩库!C95="","", YLE成绩库!R95)</f>
        <v/>
      </c>
      <c r="L595" t="str">
        <f>IF(YLE成绩库!C95="","", YLE成绩库!U95)</f>
        <v/>
      </c>
      <c r="M595">
        <v>0</v>
      </c>
      <c r="N595">
        <v>0</v>
      </c>
      <c r="O595">
        <v>0</v>
      </c>
      <c r="P595" t="str">
        <f>IF(YLE成绩库!C95="","", YLE成绩库!D95)</f>
        <v/>
      </c>
      <c r="Q595" t="str">
        <f>IF(YLE成绩库!C95="","", YLE成绩库!E95)</f>
        <v/>
      </c>
      <c r="R595" t="str">
        <f>IF(YLE成绩库!C95="","", YLE成绩库!F95)</f>
        <v/>
      </c>
      <c r="S595" t="str">
        <f>IF(YLE成绩库!C95="","", YLE成绩库!G95)</f>
        <v/>
      </c>
      <c r="T595" t="str">
        <f>IF(YLE成绩库!C95="","", YLE成绩库!H95)</f>
        <v/>
      </c>
      <c r="U595" t="str">
        <f>IF(YLE成绩库!C95="","", YLE成绩库!K95)</f>
        <v/>
      </c>
      <c r="V595" t="str">
        <f>IF(YLE成绩库!C95="","", YLE成绩库!W95)</f>
        <v/>
      </c>
      <c r="W595" t="str">
        <f>IF(YLE成绩库!C95="","", YLE成绩库!X95)</f>
        <v/>
      </c>
      <c r="X595" t="str">
        <f>IF(YLE成绩库!C95="","", YLE成绩库!AA95)</f>
        <v/>
      </c>
      <c r="Z595" t="str">
        <f>IF(YLE成绩库!C95="","", YLE成绩库!Z95)</f>
        <v/>
      </c>
    </row>
    <row r="596" spans="1:26" x14ac:dyDescent="0.2">
      <c r="A596" t="str">
        <f>IF(YLE成绩库!C96="","", YLE成绩库!C96)</f>
        <v/>
      </c>
      <c r="B596" t="str">
        <f>IF(YLE成绩库!AB96="","", YLE成绩库!AB96)</f>
        <v>2024-01-15</v>
      </c>
      <c r="C596" t="str">
        <f>IF(YLE成绩库!B96="","", YLE成绩库!B96)</f>
        <v/>
      </c>
      <c r="D596" t="str">
        <f>IF(YLE成绩库!D96="","", YLE成绩库!D96)</f>
        <v/>
      </c>
      <c r="E596" t="str">
        <f>IF(YLE成绩库!C96="","", YLE成绩库!L96)</f>
        <v/>
      </c>
      <c r="F596" t="str">
        <f>IF(YLE成绩库!C96="","", YLE成绩库!M96)</f>
        <v/>
      </c>
      <c r="G596" t="str">
        <f>IF(YLE成绩库!C96="","", YLE成绩库!N96)</f>
        <v/>
      </c>
      <c r="H596" t="str">
        <f>IF(YLE成绩库!C96="","", YLE成绩库!O96)</f>
        <v/>
      </c>
      <c r="I596" t="str">
        <f>IF(YLE成绩库!C96="","", YLE成绩库!P96)</f>
        <v/>
      </c>
      <c r="J596" t="str">
        <f>IF(YLE成绩库!C96="","", YLE成绩库!Q96)</f>
        <v/>
      </c>
      <c r="K596" t="str">
        <f>IF(YLE成绩库!C96="","", YLE成绩库!R96)</f>
        <v/>
      </c>
      <c r="L596" t="str">
        <f>IF(YLE成绩库!C96="","", YLE成绩库!U96)</f>
        <v/>
      </c>
      <c r="M596">
        <v>0</v>
      </c>
      <c r="N596">
        <v>0</v>
      </c>
      <c r="O596">
        <v>0</v>
      </c>
      <c r="P596" t="str">
        <f>IF(YLE成绩库!C96="","", YLE成绩库!D96)</f>
        <v/>
      </c>
      <c r="Q596" t="str">
        <f>IF(YLE成绩库!C96="","", YLE成绩库!E96)</f>
        <v/>
      </c>
      <c r="R596" t="str">
        <f>IF(YLE成绩库!C96="","", YLE成绩库!F96)</f>
        <v/>
      </c>
      <c r="S596" t="str">
        <f>IF(YLE成绩库!C96="","", YLE成绩库!G96)</f>
        <v/>
      </c>
      <c r="T596" t="str">
        <f>IF(YLE成绩库!C96="","", YLE成绩库!H96)</f>
        <v/>
      </c>
      <c r="U596" t="str">
        <f>IF(YLE成绩库!C96="","", YLE成绩库!K96)</f>
        <v/>
      </c>
      <c r="V596" t="str">
        <f>IF(YLE成绩库!C96="","", YLE成绩库!W96)</f>
        <v/>
      </c>
      <c r="W596" t="str">
        <f>IF(YLE成绩库!C96="","", YLE成绩库!X96)</f>
        <v/>
      </c>
      <c r="X596" t="str">
        <f>IF(YLE成绩库!C96="","", YLE成绩库!AA96)</f>
        <v/>
      </c>
      <c r="Z596" t="str">
        <f>IF(YLE成绩库!C96="","", YLE成绩库!Z96)</f>
        <v/>
      </c>
    </row>
    <row r="597" spans="1:26" x14ac:dyDescent="0.2">
      <c r="A597" t="str">
        <f>IF(YLE成绩库!C97="","", YLE成绩库!C97)</f>
        <v/>
      </c>
      <c r="B597" t="str">
        <f>IF(YLE成绩库!AB97="","", YLE成绩库!AB97)</f>
        <v>2024-01-15</v>
      </c>
      <c r="C597" t="str">
        <f>IF(YLE成绩库!B97="","", YLE成绩库!B97)</f>
        <v/>
      </c>
      <c r="D597" t="str">
        <f>IF(YLE成绩库!D97="","", YLE成绩库!D97)</f>
        <v/>
      </c>
      <c r="E597" t="str">
        <f>IF(YLE成绩库!C97="","", YLE成绩库!L97)</f>
        <v/>
      </c>
      <c r="F597" t="str">
        <f>IF(YLE成绩库!C97="","", YLE成绩库!M97)</f>
        <v/>
      </c>
      <c r="G597" t="str">
        <f>IF(YLE成绩库!C97="","", YLE成绩库!N97)</f>
        <v/>
      </c>
      <c r="H597" t="str">
        <f>IF(YLE成绩库!C97="","", YLE成绩库!O97)</f>
        <v/>
      </c>
      <c r="I597" t="str">
        <f>IF(YLE成绩库!C97="","", YLE成绩库!P97)</f>
        <v/>
      </c>
      <c r="J597" t="str">
        <f>IF(YLE成绩库!C97="","", YLE成绩库!Q97)</f>
        <v/>
      </c>
      <c r="K597" t="str">
        <f>IF(YLE成绩库!C97="","", YLE成绩库!R97)</f>
        <v/>
      </c>
      <c r="L597" t="str">
        <f>IF(YLE成绩库!C97="","", YLE成绩库!U97)</f>
        <v/>
      </c>
      <c r="M597">
        <v>0</v>
      </c>
      <c r="N597">
        <v>0</v>
      </c>
      <c r="O597">
        <v>0</v>
      </c>
      <c r="P597" t="str">
        <f>IF(YLE成绩库!C97="","", YLE成绩库!D97)</f>
        <v/>
      </c>
      <c r="Q597" t="str">
        <f>IF(YLE成绩库!C97="","", YLE成绩库!E97)</f>
        <v/>
      </c>
      <c r="R597" t="str">
        <f>IF(YLE成绩库!C97="","", YLE成绩库!F97)</f>
        <v/>
      </c>
      <c r="S597" t="str">
        <f>IF(YLE成绩库!C97="","", YLE成绩库!G97)</f>
        <v/>
      </c>
      <c r="T597" t="str">
        <f>IF(YLE成绩库!C97="","", YLE成绩库!H97)</f>
        <v/>
      </c>
      <c r="U597" t="str">
        <f>IF(YLE成绩库!C97="","", YLE成绩库!K97)</f>
        <v/>
      </c>
      <c r="V597" t="str">
        <f>IF(YLE成绩库!C97="","", YLE成绩库!W97)</f>
        <v/>
      </c>
      <c r="W597" t="str">
        <f>IF(YLE成绩库!C97="","", YLE成绩库!X97)</f>
        <v/>
      </c>
      <c r="X597" t="str">
        <f>IF(YLE成绩库!C97="","", YLE成绩库!AA97)</f>
        <v/>
      </c>
      <c r="Z597" t="str">
        <f>IF(YLE成绩库!C97="","", YLE成绩库!Z97)</f>
        <v/>
      </c>
    </row>
    <row r="598" spans="1:26" x14ac:dyDescent="0.2">
      <c r="A598" t="str">
        <f>IF(YLE成绩库!C98="","", YLE成绩库!C98)</f>
        <v/>
      </c>
      <c r="B598" t="str">
        <f>IF(YLE成绩库!AB98="","", YLE成绩库!AB98)</f>
        <v>2024-01-15</v>
      </c>
      <c r="C598" t="str">
        <f>IF(YLE成绩库!B98="","", YLE成绩库!B98)</f>
        <v/>
      </c>
      <c r="D598" t="str">
        <f>IF(YLE成绩库!D98="","", YLE成绩库!D98)</f>
        <v/>
      </c>
      <c r="E598" t="str">
        <f>IF(YLE成绩库!C98="","", YLE成绩库!L98)</f>
        <v/>
      </c>
      <c r="F598" t="str">
        <f>IF(YLE成绩库!C98="","", YLE成绩库!M98)</f>
        <v/>
      </c>
      <c r="G598" t="str">
        <f>IF(YLE成绩库!C98="","", YLE成绩库!N98)</f>
        <v/>
      </c>
      <c r="H598" t="str">
        <f>IF(YLE成绩库!C98="","", YLE成绩库!O98)</f>
        <v/>
      </c>
      <c r="I598" t="str">
        <f>IF(YLE成绩库!C98="","", YLE成绩库!P98)</f>
        <v/>
      </c>
      <c r="J598" t="str">
        <f>IF(YLE成绩库!C98="","", YLE成绩库!Q98)</f>
        <v/>
      </c>
      <c r="K598" t="str">
        <f>IF(YLE成绩库!C98="","", YLE成绩库!R98)</f>
        <v/>
      </c>
      <c r="L598" t="str">
        <f>IF(YLE成绩库!C98="","", YLE成绩库!U98)</f>
        <v/>
      </c>
      <c r="M598">
        <v>0</v>
      </c>
      <c r="N598">
        <v>0</v>
      </c>
      <c r="O598">
        <v>0</v>
      </c>
      <c r="P598" t="str">
        <f>IF(YLE成绩库!C98="","", YLE成绩库!D98)</f>
        <v/>
      </c>
      <c r="Q598" t="str">
        <f>IF(YLE成绩库!C98="","", YLE成绩库!E98)</f>
        <v/>
      </c>
      <c r="R598" t="str">
        <f>IF(YLE成绩库!C98="","", YLE成绩库!F98)</f>
        <v/>
      </c>
      <c r="S598" t="str">
        <f>IF(YLE成绩库!C98="","", YLE成绩库!G98)</f>
        <v/>
      </c>
      <c r="T598" t="str">
        <f>IF(YLE成绩库!C98="","", YLE成绩库!H98)</f>
        <v/>
      </c>
      <c r="U598" t="str">
        <f>IF(YLE成绩库!C98="","", YLE成绩库!K98)</f>
        <v/>
      </c>
      <c r="V598" t="str">
        <f>IF(YLE成绩库!C98="","", YLE成绩库!W98)</f>
        <v/>
      </c>
      <c r="W598" t="str">
        <f>IF(YLE成绩库!C98="","", YLE成绩库!X98)</f>
        <v/>
      </c>
      <c r="X598" t="str">
        <f>IF(YLE成绩库!C98="","", YLE成绩库!AA98)</f>
        <v/>
      </c>
      <c r="Z598" t="str">
        <f>IF(YLE成绩库!C98="","", YLE成绩库!Z98)</f>
        <v/>
      </c>
    </row>
    <row r="599" spans="1:26" x14ac:dyDescent="0.2">
      <c r="A599" t="str">
        <f>IF(YLE成绩库!C99="","", YLE成绩库!C99)</f>
        <v/>
      </c>
      <c r="B599" t="str">
        <f>IF(YLE成绩库!AB99="","", YLE成绩库!AB99)</f>
        <v>2024-01-15</v>
      </c>
      <c r="C599" t="str">
        <f>IF(YLE成绩库!B99="","", YLE成绩库!B99)</f>
        <v/>
      </c>
      <c r="D599" t="str">
        <f>IF(YLE成绩库!D99="","", YLE成绩库!D99)</f>
        <v/>
      </c>
      <c r="E599" t="str">
        <f>IF(YLE成绩库!C99="","", YLE成绩库!L99)</f>
        <v/>
      </c>
      <c r="F599" t="str">
        <f>IF(YLE成绩库!C99="","", YLE成绩库!M99)</f>
        <v/>
      </c>
      <c r="G599" t="str">
        <f>IF(YLE成绩库!C99="","", YLE成绩库!N99)</f>
        <v/>
      </c>
      <c r="H599" t="str">
        <f>IF(YLE成绩库!C99="","", YLE成绩库!O99)</f>
        <v/>
      </c>
      <c r="I599" t="str">
        <f>IF(YLE成绩库!C99="","", YLE成绩库!P99)</f>
        <v/>
      </c>
      <c r="J599" t="str">
        <f>IF(YLE成绩库!C99="","", YLE成绩库!Q99)</f>
        <v/>
      </c>
      <c r="K599" t="str">
        <f>IF(YLE成绩库!C99="","", YLE成绩库!R99)</f>
        <v/>
      </c>
      <c r="L599" t="str">
        <f>IF(YLE成绩库!C99="","", YLE成绩库!U99)</f>
        <v/>
      </c>
      <c r="M599">
        <v>0</v>
      </c>
      <c r="N599">
        <v>0</v>
      </c>
      <c r="O599">
        <v>0</v>
      </c>
      <c r="P599" t="str">
        <f>IF(YLE成绩库!C99="","", YLE成绩库!D99)</f>
        <v/>
      </c>
      <c r="Q599" t="str">
        <f>IF(YLE成绩库!C99="","", YLE成绩库!E99)</f>
        <v/>
      </c>
      <c r="R599" t="str">
        <f>IF(YLE成绩库!C99="","", YLE成绩库!F99)</f>
        <v/>
      </c>
      <c r="S599" t="str">
        <f>IF(YLE成绩库!C99="","", YLE成绩库!G99)</f>
        <v/>
      </c>
      <c r="T599" t="str">
        <f>IF(YLE成绩库!C99="","", YLE成绩库!H99)</f>
        <v/>
      </c>
      <c r="U599" t="str">
        <f>IF(YLE成绩库!C99="","", YLE成绩库!K99)</f>
        <v/>
      </c>
      <c r="V599" t="str">
        <f>IF(YLE成绩库!C99="","", YLE成绩库!W99)</f>
        <v/>
      </c>
      <c r="W599" t="str">
        <f>IF(YLE成绩库!C99="","", YLE成绩库!X99)</f>
        <v/>
      </c>
      <c r="X599" t="str">
        <f>IF(YLE成绩库!C99="","", YLE成绩库!AA99)</f>
        <v/>
      </c>
      <c r="Z599" t="str">
        <f>IF(YLE成绩库!C99="","", YLE成绩库!Z99)</f>
        <v/>
      </c>
    </row>
    <row r="600" spans="1:26" x14ac:dyDescent="0.2">
      <c r="A600" t="str">
        <f>IF(YLE成绩库!C100="","", YLE成绩库!C100)</f>
        <v/>
      </c>
      <c r="B600" t="str">
        <f>IF(YLE成绩库!AB100="","", YLE成绩库!AB100)</f>
        <v>2024-01-15</v>
      </c>
      <c r="C600" t="str">
        <f>IF(YLE成绩库!B100="","", YLE成绩库!B100)</f>
        <v/>
      </c>
      <c r="D600" t="str">
        <f>IF(YLE成绩库!D100="","", YLE成绩库!D100)</f>
        <v/>
      </c>
      <c r="E600" t="str">
        <f>IF(YLE成绩库!C100="","", YLE成绩库!L100)</f>
        <v/>
      </c>
      <c r="F600" t="str">
        <f>IF(YLE成绩库!C100="","", YLE成绩库!M100)</f>
        <v/>
      </c>
      <c r="G600" t="str">
        <f>IF(YLE成绩库!C100="","", YLE成绩库!N100)</f>
        <v/>
      </c>
      <c r="H600" t="str">
        <f>IF(YLE成绩库!C100="","", YLE成绩库!O100)</f>
        <v/>
      </c>
      <c r="I600" t="str">
        <f>IF(YLE成绩库!C100="","", YLE成绩库!P100)</f>
        <v/>
      </c>
      <c r="J600" t="str">
        <f>IF(YLE成绩库!C100="","", YLE成绩库!Q100)</f>
        <v/>
      </c>
      <c r="K600" t="str">
        <f>IF(YLE成绩库!C100="","", YLE成绩库!R100)</f>
        <v/>
      </c>
      <c r="L600" t="str">
        <f>IF(YLE成绩库!C100="","", YLE成绩库!U100)</f>
        <v/>
      </c>
      <c r="M600">
        <v>0</v>
      </c>
      <c r="N600">
        <v>0</v>
      </c>
      <c r="O600">
        <v>0</v>
      </c>
      <c r="P600" t="str">
        <f>IF(YLE成绩库!C100="","", YLE成绩库!D100)</f>
        <v/>
      </c>
      <c r="Q600" t="str">
        <f>IF(YLE成绩库!C100="","", YLE成绩库!E100)</f>
        <v/>
      </c>
      <c r="R600" t="str">
        <f>IF(YLE成绩库!C100="","", YLE成绩库!F100)</f>
        <v/>
      </c>
      <c r="S600" t="str">
        <f>IF(YLE成绩库!C100="","", YLE成绩库!G100)</f>
        <v/>
      </c>
      <c r="T600" t="str">
        <f>IF(YLE成绩库!C100="","", YLE成绩库!H100)</f>
        <v/>
      </c>
      <c r="U600" t="str">
        <f>IF(YLE成绩库!C100="","", YLE成绩库!K100)</f>
        <v/>
      </c>
      <c r="V600" t="str">
        <f>IF(YLE成绩库!C100="","", YLE成绩库!W100)</f>
        <v/>
      </c>
      <c r="W600" t="str">
        <f>IF(YLE成绩库!C100="","", YLE成绩库!X100)</f>
        <v/>
      </c>
      <c r="X600" t="str">
        <f>IF(YLE成绩库!C100="","", YLE成绩库!AA100)</f>
        <v/>
      </c>
      <c r="Z600" t="str">
        <f>IF(YLE成绩库!C100="","", YLE成绩库!Z100)</f>
        <v/>
      </c>
    </row>
    <row r="601" spans="1:26" x14ac:dyDescent="0.2">
      <c r="A601" t="str">
        <f>IF(YLE成绩库!C101="","", YLE成绩库!C101)</f>
        <v/>
      </c>
      <c r="B601" t="str">
        <f>IF(YLE成绩库!AB101="","", YLE成绩库!AB101)</f>
        <v>2024-01-15</v>
      </c>
      <c r="C601" t="str">
        <f>IF(YLE成绩库!B101="","", YLE成绩库!B101)</f>
        <v/>
      </c>
      <c r="D601" t="str">
        <f>IF(YLE成绩库!D101="","", YLE成绩库!D101)</f>
        <v/>
      </c>
      <c r="E601" t="str">
        <f>IF(YLE成绩库!C101="","", YLE成绩库!L101)</f>
        <v/>
      </c>
      <c r="F601" t="str">
        <f>IF(YLE成绩库!C101="","", YLE成绩库!M101)</f>
        <v/>
      </c>
      <c r="G601" t="str">
        <f>IF(YLE成绩库!C101="","", YLE成绩库!N101)</f>
        <v/>
      </c>
      <c r="H601" t="str">
        <f>IF(YLE成绩库!C101="","", YLE成绩库!O101)</f>
        <v/>
      </c>
      <c r="I601" t="str">
        <f>IF(YLE成绩库!C101="","", YLE成绩库!P101)</f>
        <v/>
      </c>
      <c r="J601" t="str">
        <f>IF(YLE成绩库!C101="","", YLE成绩库!Q101)</f>
        <v/>
      </c>
      <c r="K601" t="str">
        <f>IF(YLE成绩库!C101="","", YLE成绩库!R101)</f>
        <v/>
      </c>
      <c r="L601" t="str">
        <f>IF(YLE成绩库!C101="","", YLE成绩库!U101)</f>
        <v/>
      </c>
      <c r="M601">
        <v>0</v>
      </c>
      <c r="N601">
        <v>0</v>
      </c>
      <c r="O601">
        <v>0</v>
      </c>
      <c r="P601" t="str">
        <f>IF(YLE成绩库!C101="","", YLE成绩库!D101)</f>
        <v/>
      </c>
      <c r="Q601" t="str">
        <f>IF(YLE成绩库!C101="","", YLE成绩库!E101)</f>
        <v/>
      </c>
      <c r="R601" t="str">
        <f>IF(YLE成绩库!C101="","", YLE成绩库!F101)</f>
        <v/>
      </c>
      <c r="S601" t="str">
        <f>IF(YLE成绩库!C101="","", YLE成绩库!G101)</f>
        <v/>
      </c>
      <c r="T601" t="str">
        <f>IF(YLE成绩库!C101="","", YLE成绩库!H101)</f>
        <v/>
      </c>
      <c r="U601" t="str">
        <f>IF(YLE成绩库!C101="","", YLE成绩库!K101)</f>
        <v/>
      </c>
      <c r="V601" t="str">
        <f>IF(YLE成绩库!C101="","", YLE成绩库!W101)</f>
        <v/>
      </c>
      <c r="W601" t="str">
        <f>IF(YLE成绩库!C101="","", YLE成绩库!X101)</f>
        <v/>
      </c>
      <c r="X601" t="str">
        <f>IF(YLE成绩库!C101="","", YLE成绩库!AA101)</f>
        <v/>
      </c>
      <c r="Z601" t="str">
        <f>IF(YLE成绩库!C101="","", YLE成绩库!Z101)</f>
        <v/>
      </c>
    </row>
    <row r="602" spans="1:26" x14ac:dyDescent="0.2">
      <c r="A602" t="str">
        <f>IF(YLE成绩库!C102="","", YLE成绩库!C102)</f>
        <v/>
      </c>
      <c r="B602" t="str">
        <f>IF(YLE成绩库!AB102="","", YLE成绩库!AB102)</f>
        <v>2024-01-15</v>
      </c>
      <c r="C602" t="str">
        <f>IF(YLE成绩库!B102="","", YLE成绩库!B102)</f>
        <v/>
      </c>
      <c r="D602" t="str">
        <f>IF(YLE成绩库!D102="","", YLE成绩库!D102)</f>
        <v/>
      </c>
      <c r="E602" t="str">
        <f>IF(YLE成绩库!C102="","", YLE成绩库!L102)</f>
        <v/>
      </c>
      <c r="F602" t="str">
        <f>IF(YLE成绩库!C102="","", YLE成绩库!M102)</f>
        <v/>
      </c>
      <c r="G602" t="str">
        <f>IF(YLE成绩库!C102="","", YLE成绩库!N102)</f>
        <v/>
      </c>
      <c r="H602" t="str">
        <f>IF(YLE成绩库!C102="","", YLE成绩库!O102)</f>
        <v/>
      </c>
      <c r="I602" t="str">
        <f>IF(YLE成绩库!C102="","", YLE成绩库!P102)</f>
        <v/>
      </c>
      <c r="J602" t="str">
        <f>IF(YLE成绩库!C102="","", YLE成绩库!Q102)</f>
        <v/>
      </c>
      <c r="K602" t="str">
        <f>IF(YLE成绩库!C102="","", YLE成绩库!R102)</f>
        <v/>
      </c>
      <c r="L602" t="str">
        <f>IF(YLE成绩库!C102="","", YLE成绩库!U102)</f>
        <v/>
      </c>
      <c r="M602">
        <v>0</v>
      </c>
      <c r="N602">
        <v>0</v>
      </c>
      <c r="O602">
        <v>0</v>
      </c>
      <c r="P602" t="str">
        <f>IF(YLE成绩库!C102="","", YLE成绩库!D102)</f>
        <v/>
      </c>
      <c r="Q602" t="str">
        <f>IF(YLE成绩库!C102="","", YLE成绩库!E102)</f>
        <v/>
      </c>
      <c r="R602" t="str">
        <f>IF(YLE成绩库!C102="","", YLE成绩库!F102)</f>
        <v/>
      </c>
      <c r="S602" t="str">
        <f>IF(YLE成绩库!C102="","", YLE成绩库!G102)</f>
        <v/>
      </c>
      <c r="T602" t="str">
        <f>IF(YLE成绩库!C102="","", YLE成绩库!H102)</f>
        <v/>
      </c>
      <c r="U602" t="str">
        <f>IF(YLE成绩库!C102="","", YLE成绩库!K102)</f>
        <v/>
      </c>
      <c r="V602" t="str">
        <f>IF(YLE成绩库!C102="","", YLE成绩库!W102)</f>
        <v/>
      </c>
      <c r="W602" t="str">
        <f>IF(YLE成绩库!C102="","", YLE成绩库!X102)</f>
        <v/>
      </c>
      <c r="X602" t="str">
        <f>IF(YLE成绩库!C102="","", YLE成绩库!AA102)</f>
        <v/>
      </c>
      <c r="Z602" t="str">
        <f>IF(YLE成绩库!C102="","", YLE成绩库!Z102)</f>
        <v/>
      </c>
    </row>
    <row r="603" spans="1:26" x14ac:dyDescent="0.2">
      <c r="A603" t="str">
        <f>IF(YLE成绩库!C103="","", YLE成绩库!C103)</f>
        <v/>
      </c>
      <c r="B603" t="str">
        <f>IF(YLE成绩库!AB103="","", YLE成绩库!AB103)</f>
        <v>2024-01-15</v>
      </c>
      <c r="C603" t="str">
        <f>IF(YLE成绩库!B103="","", YLE成绩库!B103)</f>
        <v/>
      </c>
      <c r="D603" t="str">
        <f>IF(YLE成绩库!D103="","", YLE成绩库!D103)</f>
        <v/>
      </c>
      <c r="E603" t="str">
        <f>IF(YLE成绩库!C103="","", YLE成绩库!L103)</f>
        <v/>
      </c>
      <c r="F603" t="str">
        <f>IF(YLE成绩库!C103="","", YLE成绩库!M103)</f>
        <v/>
      </c>
      <c r="G603" t="str">
        <f>IF(YLE成绩库!C103="","", YLE成绩库!N103)</f>
        <v/>
      </c>
      <c r="H603" t="str">
        <f>IF(YLE成绩库!C103="","", YLE成绩库!O103)</f>
        <v/>
      </c>
      <c r="I603" t="str">
        <f>IF(YLE成绩库!C103="","", YLE成绩库!P103)</f>
        <v/>
      </c>
      <c r="J603" t="str">
        <f>IF(YLE成绩库!C103="","", YLE成绩库!Q103)</f>
        <v/>
      </c>
      <c r="K603" t="str">
        <f>IF(YLE成绩库!C103="","", YLE成绩库!R103)</f>
        <v/>
      </c>
      <c r="L603" t="str">
        <f>IF(YLE成绩库!C103="","", YLE成绩库!U103)</f>
        <v/>
      </c>
      <c r="M603">
        <v>0</v>
      </c>
      <c r="N603">
        <v>0</v>
      </c>
      <c r="O603">
        <v>0</v>
      </c>
      <c r="P603" t="str">
        <f>IF(YLE成绩库!C103="","", YLE成绩库!D103)</f>
        <v/>
      </c>
      <c r="Q603" t="str">
        <f>IF(YLE成绩库!C103="","", YLE成绩库!E103)</f>
        <v/>
      </c>
      <c r="R603" t="str">
        <f>IF(YLE成绩库!C103="","", YLE成绩库!F103)</f>
        <v/>
      </c>
      <c r="S603" t="str">
        <f>IF(YLE成绩库!C103="","", YLE成绩库!G103)</f>
        <v/>
      </c>
      <c r="T603" t="str">
        <f>IF(YLE成绩库!C103="","", YLE成绩库!H103)</f>
        <v/>
      </c>
      <c r="U603" t="str">
        <f>IF(YLE成绩库!C103="","", YLE成绩库!K103)</f>
        <v/>
      </c>
      <c r="V603" t="str">
        <f>IF(YLE成绩库!C103="","", YLE成绩库!W103)</f>
        <v/>
      </c>
      <c r="W603" t="str">
        <f>IF(YLE成绩库!C103="","", YLE成绩库!X103)</f>
        <v/>
      </c>
      <c r="X603" t="str">
        <f>IF(YLE成绩库!C103="","", YLE成绩库!AA103)</f>
        <v/>
      </c>
      <c r="Z603" t="str">
        <f>IF(YLE成绩库!C103="","", YLE成绩库!Z103)</f>
        <v/>
      </c>
    </row>
    <row r="604" spans="1:26" x14ac:dyDescent="0.2">
      <c r="A604" t="str">
        <f>IF(YLE成绩库!C104="","", YLE成绩库!C104)</f>
        <v/>
      </c>
      <c r="B604" t="str">
        <f>IF(YLE成绩库!AB104="","", YLE成绩库!AB104)</f>
        <v>2024-01-15</v>
      </c>
      <c r="C604" t="str">
        <f>IF(YLE成绩库!B104="","", YLE成绩库!B104)</f>
        <v/>
      </c>
      <c r="D604" t="str">
        <f>IF(YLE成绩库!D104="","", YLE成绩库!D104)</f>
        <v/>
      </c>
      <c r="E604" t="str">
        <f>IF(YLE成绩库!C104="","", YLE成绩库!L104)</f>
        <v/>
      </c>
      <c r="F604" t="str">
        <f>IF(YLE成绩库!C104="","", YLE成绩库!M104)</f>
        <v/>
      </c>
      <c r="G604" t="str">
        <f>IF(YLE成绩库!C104="","", YLE成绩库!N104)</f>
        <v/>
      </c>
      <c r="H604" t="str">
        <f>IF(YLE成绩库!C104="","", YLE成绩库!O104)</f>
        <v/>
      </c>
      <c r="I604" t="str">
        <f>IF(YLE成绩库!C104="","", YLE成绩库!P104)</f>
        <v/>
      </c>
      <c r="J604" t="str">
        <f>IF(YLE成绩库!C104="","", YLE成绩库!Q104)</f>
        <v/>
      </c>
      <c r="K604" t="str">
        <f>IF(YLE成绩库!C104="","", YLE成绩库!R104)</f>
        <v/>
      </c>
      <c r="L604" t="str">
        <f>IF(YLE成绩库!C104="","", YLE成绩库!U104)</f>
        <v/>
      </c>
      <c r="M604">
        <v>0</v>
      </c>
      <c r="N604">
        <v>0</v>
      </c>
      <c r="O604">
        <v>0</v>
      </c>
      <c r="P604" t="str">
        <f>IF(YLE成绩库!C104="","", YLE成绩库!D104)</f>
        <v/>
      </c>
      <c r="Q604" t="str">
        <f>IF(YLE成绩库!C104="","", YLE成绩库!E104)</f>
        <v/>
      </c>
      <c r="R604" t="str">
        <f>IF(YLE成绩库!C104="","", YLE成绩库!F104)</f>
        <v/>
      </c>
      <c r="S604" t="str">
        <f>IF(YLE成绩库!C104="","", YLE成绩库!G104)</f>
        <v/>
      </c>
      <c r="T604" t="str">
        <f>IF(YLE成绩库!C104="","", YLE成绩库!H104)</f>
        <v/>
      </c>
      <c r="U604" t="str">
        <f>IF(YLE成绩库!C104="","", YLE成绩库!K104)</f>
        <v/>
      </c>
      <c r="V604" t="str">
        <f>IF(YLE成绩库!C104="","", YLE成绩库!W104)</f>
        <v/>
      </c>
      <c r="W604" t="str">
        <f>IF(YLE成绩库!C104="","", YLE成绩库!X104)</f>
        <v/>
      </c>
      <c r="X604" t="str">
        <f>IF(YLE成绩库!C104="","", YLE成绩库!AA104)</f>
        <v/>
      </c>
      <c r="Z604" t="str">
        <f>IF(YLE成绩库!C104="","", YLE成绩库!Z104)</f>
        <v/>
      </c>
    </row>
    <row r="605" spans="1:26" x14ac:dyDescent="0.2">
      <c r="A605" t="str">
        <f>IF(YLE成绩库!C105="","", YLE成绩库!C105)</f>
        <v/>
      </c>
      <c r="B605" t="str">
        <f>IF(YLE成绩库!AB105="","", YLE成绩库!AB105)</f>
        <v>2024-01-15</v>
      </c>
      <c r="C605" t="str">
        <f>IF(YLE成绩库!B105="","", YLE成绩库!B105)</f>
        <v/>
      </c>
      <c r="D605" t="str">
        <f>IF(YLE成绩库!D105="","", YLE成绩库!D105)</f>
        <v/>
      </c>
      <c r="E605" t="str">
        <f>IF(YLE成绩库!C105="","", YLE成绩库!L105)</f>
        <v/>
      </c>
      <c r="F605" t="str">
        <f>IF(YLE成绩库!C105="","", YLE成绩库!M105)</f>
        <v/>
      </c>
      <c r="G605" t="str">
        <f>IF(YLE成绩库!C105="","", YLE成绩库!N105)</f>
        <v/>
      </c>
      <c r="H605" t="str">
        <f>IF(YLE成绩库!C105="","", YLE成绩库!O105)</f>
        <v/>
      </c>
      <c r="I605" t="str">
        <f>IF(YLE成绩库!C105="","", YLE成绩库!P105)</f>
        <v/>
      </c>
      <c r="J605" t="str">
        <f>IF(YLE成绩库!C105="","", YLE成绩库!Q105)</f>
        <v/>
      </c>
      <c r="K605" t="str">
        <f>IF(YLE成绩库!C105="","", YLE成绩库!R105)</f>
        <v/>
      </c>
      <c r="L605" t="str">
        <f>IF(YLE成绩库!C105="","", YLE成绩库!U105)</f>
        <v/>
      </c>
      <c r="M605">
        <v>0</v>
      </c>
      <c r="N605">
        <v>0</v>
      </c>
      <c r="O605">
        <v>0</v>
      </c>
      <c r="P605" t="str">
        <f>IF(YLE成绩库!C105="","", YLE成绩库!D105)</f>
        <v/>
      </c>
      <c r="Q605" t="str">
        <f>IF(YLE成绩库!C105="","", YLE成绩库!E105)</f>
        <v/>
      </c>
      <c r="R605" t="str">
        <f>IF(YLE成绩库!C105="","", YLE成绩库!F105)</f>
        <v/>
      </c>
      <c r="S605" t="str">
        <f>IF(YLE成绩库!C105="","", YLE成绩库!G105)</f>
        <v/>
      </c>
      <c r="T605" t="str">
        <f>IF(YLE成绩库!C105="","", YLE成绩库!H105)</f>
        <v/>
      </c>
      <c r="U605" t="str">
        <f>IF(YLE成绩库!C105="","", YLE成绩库!K105)</f>
        <v/>
      </c>
      <c r="V605" t="str">
        <f>IF(YLE成绩库!C105="","", YLE成绩库!W105)</f>
        <v/>
      </c>
      <c r="W605" t="str">
        <f>IF(YLE成绩库!C105="","", YLE成绩库!X105)</f>
        <v/>
      </c>
      <c r="X605" t="str">
        <f>IF(YLE成绩库!C105="","", YLE成绩库!AA105)</f>
        <v/>
      </c>
      <c r="Z605" t="str">
        <f>IF(YLE成绩库!C105="","", YLE成绩库!Z105)</f>
        <v/>
      </c>
    </row>
    <row r="606" spans="1:26" x14ac:dyDescent="0.2">
      <c r="A606" t="str">
        <f>IF(YLE成绩库!C106="","", YLE成绩库!C106)</f>
        <v/>
      </c>
      <c r="B606" t="str">
        <f>IF(YLE成绩库!AB106="","", YLE成绩库!AB106)</f>
        <v>2024-01-15</v>
      </c>
      <c r="C606" t="str">
        <f>IF(YLE成绩库!B106="","", YLE成绩库!B106)</f>
        <v/>
      </c>
      <c r="D606" t="str">
        <f>IF(YLE成绩库!D106="","", YLE成绩库!D106)</f>
        <v/>
      </c>
      <c r="E606" t="str">
        <f>IF(YLE成绩库!C106="","", YLE成绩库!L106)</f>
        <v/>
      </c>
      <c r="F606" t="str">
        <f>IF(YLE成绩库!C106="","", YLE成绩库!M106)</f>
        <v/>
      </c>
      <c r="G606" t="str">
        <f>IF(YLE成绩库!C106="","", YLE成绩库!N106)</f>
        <v/>
      </c>
      <c r="H606" t="str">
        <f>IF(YLE成绩库!C106="","", YLE成绩库!O106)</f>
        <v/>
      </c>
      <c r="I606" t="str">
        <f>IF(YLE成绩库!C106="","", YLE成绩库!P106)</f>
        <v/>
      </c>
      <c r="J606" t="str">
        <f>IF(YLE成绩库!C106="","", YLE成绩库!Q106)</f>
        <v/>
      </c>
      <c r="K606" t="str">
        <f>IF(YLE成绩库!C106="","", YLE成绩库!R106)</f>
        <v/>
      </c>
      <c r="L606" t="str">
        <f>IF(YLE成绩库!C106="","", YLE成绩库!U106)</f>
        <v/>
      </c>
      <c r="M606">
        <v>0</v>
      </c>
      <c r="N606">
        <v>0</v>
      </c>
      <c r="O606">
        <v>0</v>
      </c>
      <c r="P606" t="str">
        <f>IF(YLE成绩库!C106="","", YLE成绩库!D106)</f>
        <v/>
      </c>
      <c r="Q606" t="str">
        <f>IF(YLE成绩库!C106="","", YLE成绩库!E106)</f>
        <v/>
      </c>
      <c r="R606" t="str">
        <f>IF(YLE成绩库!C106="","", YLE成绩库!F106)</f>
        <v/>
      </c>
      <c r="S606" t="str">
        <f>IF(YLE成绩库!C106="","", YLE成绩库!G106)</f>
        <v/>
      </c>
      <c r="T606" t="str">
        <f>IF(YLE成绩库!C106="","", YLE成绩库!H106)</f>
        <v/>
      </c>
      <c r="U606" t="str">
        <f>IF(YLE成绩库!C106="","", YLE成绩库!K106)</f>
        <v/>
      </c>
      <c r="V606" t="str">
        <f>IF(YLE成绩库!C106="","", YLE成绩库!W106)</f>
        <v/>
      </c>
      <c r="W606" t="str">
        <f>IF(YLE成绩库!C106="","", YLE成绩库!X106)</f>
        <v/>
      </c>
      <c r="X606" t="str">
        <f>IF(YLE成绩库!C106="","", YLE成绩库!AA106)</f>
        <v/>
      </c>
      <c r="Z606" t="str">
        <f>IF(YLE成绩库!C106="","", YLE成绩库!Z106)</f>
        <v/>
      </c>
    </row>
    <row r="607" spans="1:26" x14ac:dyDescent="0.2">
      <c r="A607" t="str">
        <f>IF(YLE成绩库!C107="","", YLE成绩库!C107)</f>
        <v/>
      </c>
      <c r="B607" t="str">
        <f>IF(YLE成绩库!AB107="","", YLE成绩库!AB107)</f>
        <v>2024-01-15</v>
      </c>
      <c r="C607" t="str">
        <f>IF(YLE成绩库!B107="","", YLE成绩库!B107)</f>
        <v/>
      </c>
      <c r="D607" t="str">
        <f>IF(YLE成绩库!D107="","", YLE成绩库!D107)</f>
        <v/>
      </c>
      <c r="E607" t="str">
        <f>IF(YLE成绩库!C107="","", YLE成绩库!L107)</f>
        <v/>
      </c>
      <c r="F607" t="str">
        <f>IF(YLE成绩库!C107="","", YLE成绩库!M107)</f>
        <v/>
      </c>
      <c r="G607" t="str">
        <f>IF(YLE成绩库!C107="","", YLE成绩库!N107)</f>
        <v/>
      </c>
      <c r="H607" t="str">
        <f>IF(YLE成绩库!C107="","", YLE成绩库!O107)</f>
        <v/>
      </c>
      <c r="I607" t="str">
        <f>IF(YLE成绩库!C107="","", YLE成绩库!P107)</f>
        <v/>
      </c>
      <c r="J607" t="str">
        <f>IF(YLE成绩库!C107="","", YLE成绩库!Q107)</f>
        <v/>
      </c>
      <c r="K607" t="str">
        <f>IF(YLE成绩库!C107="","", YLE成绩库!R107)</f>
        <v/>
      </c>
      <c r="L607" t="str">
        <f>IF(YLE成绩库!C107="","", YLE成绩库!U107)</f>
        <v/>
      </c>
      <c r="M607">
        <v>0</v>
      </c>
      <c r="N607">
        <v>0</v>
      </c>
      <c r="O607">
        <v>0</v>
      </c>
      <c r="P607" t="str">
        <f>IF(YLE成绩库!C107="","", YLE成绩库!D107)</f>
        <v/>
      </c>
      <c r="Q607" t="str">
        <f>IF(YLE成绩库!C107="","", YLE成绩库!E107)</f>
        <v/>
      </c>
      <c r="R607" t="str">
        <f>IF(YLE成绩库!C107="","", YLE成绩库!F107)</f>
        <v/>
      </c>
      <c r="S607" t="str">
        <f>IF(YLE成绩库!C107="","", YLE成绩库!G107)</f>
        <v/>
      </c>
      <c r="T607" t="str">
        <f>IF(YLE成绩库!C107="","", YLE成绩库!H107)</f>
        <v/>
      </c>
      <c r="U607" t="str">
        <f>IF(YLE成绩库!C107="","", YLE成绩库!K107)</f>
        <v/>
      </c>
      <c r="V607" t="str">
        <f>IF(YLE成绩库!C107="","", YLE成绩库!W107)</f>
        <v/>
      </c>
      <c r="W607" t="str">
        <f>IF(YLE成绩库!C107="","", YLE成绩库!X107)</f>
        <v/>
      </c>
      <c r="X607" t="str">
        <f>IF(YLE成绩库!C107="","", YLE成绩库!AA107)</f>
        <v/>
      </c>
      <c r="Z607" t="str">
        <f>IF(YLE成绩库!C107="","", YLE成绩库!Z107)</f>
        <v/>
      </c>
    </row>
    <row r="608" spans="1:26" x14ac:dyDescent="0.2">
      <c r="A608" t="str">
        <f>IF(YLE成绩库!C108="","", YLE成绩库!C108)</f>
        <v/>
      </c>
      <c r="B608" t="str">
        <f>IF(YLE成绩库!AB108="","", YLE成绩库!AB108)</f>
        <v>2024-01-15</v>
      </c>
      <c r="C608" t="str">
        <f>IF(YLE成绩库!B108="","", YLE成绩库!B108)</f>
        <v/>
      </c>
      <c r="D608" t="str">
        <f>IF(YLE成绩库!D108="","", YLE成绩库!D108)</f>
        <v/>
      </c>
      <c r="E608" t="str">
        <f>IF(YLE成绩库!C108="","", YLE成绩库!L108)</f>
        <v/>
      </c>
      <c r="F608" t="str">
        <f>IF(YLE成绩库!C108="","", YLE成绩库!M108)</f>
        <v/>
      </c>
      <c r="G608" t="str">
        <f>IF(YLE成绩库!C108="","", YLE成绩库!N108)</f>
        <v/>
      </c>
      <c r="H608" t="str">
        <f>IF(YLE成绩库!C108="","", YLE成绩库!O108)</f>
        <v/>
      </c>
      <c r="I608" t="str">
        <f>IF(YLE成绩库!C108="","", YLE成绩库!P108)</f>
        <v/>
      </c>
      <c r="J608" t="str">
        <f>IF(YLE成绩库!C108="","", YLE成绩库!Q108)</f>
        <v/>
      </c>
      <c r="K608" t="str">
        <f>IF(YLE成绩库!C108="","", YLE成绩库!R108)</f>
        <v/>
      </c>
      <c r="L608" t="str">
        <f>IF(YLE成绩库!C108="","", YLE成绩库!U108)</f>
        <v/>
      </c>
      <c r="M608">
        <v>0</v>
      </c>
      <c r="N608">
        <v>0</v>
      </c>
      <c r="O608">
        <v>0</v>
      </c>
      <c r="P608" t="str">
        <f>IF(YLE成绩库!C108="","", YLE成绩库!D108)</f>
        <v/>
      </c>
      <c r="Q608" t="str">
        <f>IF(YLE成绩库!C108="","", YLE成绩库!E108)</f>
        <v/>
      </c>
      <c r="R608" t="str">
        <f>IF(YLE成绩库!C108="","", YLE成绩库!F108)</f>
        <v/>
      </c>
      <c r="S608" t="str">
        <f>IF(YLE成绩库!C108="","", YLE成绩库!G108)</f>
        <v/>
      </c>
      <c r="T608" t="str">
        <f>IF(YLE成绩库!C108="","", YLE成绩库!H108)</f>
        <v/>
      </c>
      <c r="U608" t="str">
        <f>IF(YLE成绩库!C108="","", YLE成绩库!K108)</f>
        <v/>
      </c>
      <c r="V608" t="str">
        <f>IF(YLE成绩库!C108="","", YLE成绩库!W108)</f>
        <v/>
      </c>
      <c r="W608" t="str">
        <f>IF(YLE成绩库!C108="","", YLE成绩库!X108)</f>
        <v/>
      </c>
      <c r="X608" t="str">
        <f>IF(YLE成绩库!C108="","", YLE成绩库!AA108)</f>
        <v/>
      </c>
      <c r="Z608" t="str">
        <f>IF(YLE成绩库!C108="","", YLE成绩库!Z108)</f>
        <v/>
      </c>
    </row>
    <row r="609" spans="1:26" x14ac:dyDescent="0.2">
      <c r="A609" t="str">
        <f>IF(YLE成绩库!C109="","", YLE成绩库!C109)</f>
        <v/>
      </c>
      <c r="B609" t="str">
        <f>IF(YLE成绩库!AB109="","", YLE成绩库!AB109)</f>
        <v>2024-01-15</v>
      </c>
      <c r="C609" t="str">
        <f>IF(YLE成绩库!B109="","", YLE成绩库!B109)</f>
        <v/>
      </c>
      <c r="D609" t="str">
        <f>IF(YLE成绩库!D109="","", YLE成绩库!D109)</f>
        <v/>
      </c>
      <c r="E609" t="str">
        <f>IF(YLE成绩库!C109="","", YLE成绩库!L109)</f>
        <v/>
      </c>
      <c r="F609" t="str">
        <f>IF(YLE成绩库!C109="","", YLE成绩库!M109)</f>
        <v/>
      </c>
      <c r="G609" t="str">
        <f>IF(YLE成绩库!C109="","", YLE成绩库!N109)</f>
        <v/>
      </c>
      <c r="H609" t="str">
        <f>IF(YLE成绩库!C109="","", YLE成绩库!O109)</f>
        <v/>
      </c>
      <c r="I609" t="str">
        <f>IF(YLE成绩库!C109="","", YLE成绩库!P109)</f>
        <v/>
      </c>
      <c r="J609" t="str">
        <f>IF(YLE成绩库!C109="","", YLE成绩库!Q109)</f>
        <v/>
      </c>
      <c r="K609" t="str">
        <f>IF(YLE成绩库!C109="","", YLE成绩库!R109)</f>
        <v/>
      </c>
      <c r="L609" t="str">
        <f>IF(YLE成绩库!C109="","", YLE成绩库!U109)</f>
        <v/>
      </c>
      <c r="M609">
        <v>0</v>
      </c>
      <c r="N609">
        <v>0</v>
      </c>
      <c r="O609">
        <v>0</v>
      </c>
      <c r="P609" t="str">
        <f>IF(YLE成绩库!C109="","", YLE成绩库!D109)</f>
        <v/>
      </c>
      <c r="Q609" t="str">
        <f>IF(YLE成绩库!C109="","", YLE成绩库!E109)</f>
        <v/>
      </c>
      <c r="R609" t="str">
        <f>IF(YLE成绩库!C109="","", YLE成绩库!F109)</f>
        <v/>
      </c>
      <c r="S609" t="str">
        <f>IF(YLE成绩库!C109="","", YLE成绩库!G109)</f>
        <v/>
      </c>
      <c r="T609" t="str">
        <f>IF(YLE成绩库!C109="","", YLE成绩库!H109)</f>
        <v/>
      </c>
      <c r="U609" t="str">
        <f>IF(YLE成绩库!C109="","", YLE成绩库!K109)</f>
        <v/>
      </c>
      <c r="V609" t="str">
        <f>IF(YLE成绩库!C109="","", YLE成绩库!W109)</f>
        <v/>
      </c>
      <c r="W609" t="str">
        <f>IF(YLE成绩库!C109="","", YLE成绩库!X109)</f>
        <v/>
      </c>
      <c r="X609" t="str">
        <f>IF(YLE成绩库!C109="","", YLE成绩库!AA109)</f>
        <v/>
      </c>
      <c r="Z609" t="str">
        <f>IF(YLE成绩库!C109="","", YLE成绩库!Z109)</f>
        <v/>
      </c>
    </row>
    <row r="610" spans="1:26" x14ac:dyDescent="0.2">
      <c r="A610" t="str">
        <f>IF(YLE成绩库!C110="","", YLE成绩库!C110)</f>
        <v/>
      </c>
      <c r="B610" t="str">
        <f>IF(YLE成绩库!AB110="","", YLE成绩库!AB110)</f>
        <v>2024-01-15</v>
      </c>
      <c r="C610" t="str">
        <f>IF(YLE成绩库!B110="","", YLE成绩库!B110)</f>
        <v/>
      </c>
      <c r="D610" t="str">
        <f>IF(YLE成绩库!D110="","", YLE成绩库!D110)</f>
        <v/>
      </c>
      <c r="E610" t="str">
        <f>IF(YLE成绩库!C110="","", YLE成绩库!L110)</f>
        <v/>
      </c>
      <c r="F610" t="str">
        <f>IF(YLE成绩库!C110="","", YLE成绩库!M110)</f>
        <v/>
      </c>
      <c r="G610" t="str">
        <f>IF(YLE成绩库!C110="","", YLE成绩库!N110)</f>
        <v/>
      </c>
      <c r="H610" t="str">
        <f>IF(YLE成绩库!C110="","", YLE成绩库!O110)</f>
        <v/>
      </c>
      <c r="I610" t="str">
        <f>IF(YLE成绩库!C110="","", YLE成绩库!P110)</f>
        <v/>
      </c>
      <c r="J610" t="str">
        <f>IF(YLE成绩库!C110="","", YLE成绩库!Q110)</f>
        <v/>
      </c>
      <c r="K610" t="str">
        <f>IF(YLE成绩库!C110="","", YLE成绩库!R110)</f>
        <v/>
      </c>
      <c r="L610" t="str">
        <f>IF(YLE成绩库!C110="","", YLE成绩库!U110)</f>
        <v/>
      </c>
      <c r="M610">
        <v>0</v>
      </c>
      <c r="N610">
        <v>0</v>
      </c>
      <c r="O610">
        <v>0</v>
      </c>
      <c r="P610" t="str">
        <f>IF(YLE成绩库!C110="","", YLE成绩库!D110)</f>
        <v/>
      </c>
      <c r="Q610" t="str">
        <f>IF(YLE成绩库!C110="","", YLE成绩库!E110)</f>
        <v/>
      </c>
      <c r="R610" t="str">
        <f>IF(YLE成绩库!C110="","", YLE成绩库!F110)</f>
        <v/>
      </c>
      <c r="S610" t="str">
        <f>IF(YLE成绩库!C110="","", YLE成绩库!G110)</f>
        <v/>
      </c>
      <c r="T610" t="str">
        <f>IF(YLE成绩库!C110="","", YLE成绩库!H110)</f>
        <v/>
      </c>
      <c r="U610" t="str">
        <f>IF(YLE成绩库!C110="","", YLE成绩库!K110)</f>
        <v/>
      </c>
      <c r="V610" t="str">
        <f>IF(YLE成绩库!C110="","", YLE成绩库!W110)</f>
        <v/>
      </c>
      <c r="W610" t="str">
        <f>IF(YLE成绩库!C110="","", YLE成绩库!X110)</f>
        <v/>
      </c>
      <c r="X610" t="str">
        <f>IF(YLE成绩库!C110="","", YLE成绩库!AA110)</f>
        <v/>
      </c>
      <c r="Z610" t="str">
        <f>IF(YLE成绩库!C110="","", YLE成绩库!Z110)</f>
        <v/>
      </c>
    </row>
    <row r="611" spans="1:26" x14ac:dyDescent="0.2">
      <c r="A611" t="str">
        <f>IF(YLE成绩库!C111="","", YLE成绩库!C111)</f>
        <v/>
      </c>
      <c r="B611" t="str">
        <f>IF(YLE成绩库!AB111="","", YLE成绩库!AB111)</f>
        <v>2024-01-15</v>
      </c>
      <c r="C611" t="str">
        <f>IF(YLE成绩库!B111="","", YLE成绩库!B111)</f>
        <v/>
      </c>
      <c r="D611" t="str">
        <f>IF(YLE成绩库!D111="","", YLE成绩库!D111)</f>
        <v/>
      </c>
      <c r="E611" t="str">
        <f>IF(YLE成绩库!C111="","", YLE成绩库!L111)</f>
        <v/>
      </c>
      <c r="F611" t="str">
        <f>IF(YLE成绩库!C111="","", YLE成绩库!M111)</f>
        <v/>
      </c>
      <c r="G611" t="str">
        <f>IF(YLE成绩库!C111="","", YLE成绩库!N111)</f>
        <v/>
      </c>
      <c r="H611" t="str">
        <f>IF(YLE成绩库!C111="","", YLE成绩库!O111)</f>
        <v/>
      </c>
      <c r="I611" t="str">
        <f>IF(YLE成绩库!C111="","", YLE成绩库!P111)</f>
        <v/>
      </c>
      <c r="J611" t="str">
        <f>IF(YLE成绩库!C111="","", YLE成绩库!Q111)</f>
        <v/>
      </c>
      <c r="K611" t="str">
        <f>IF(YLE成绩库!C111="","", YLE成绩库!R111)</f>
        <v/>
      </c>
      <c r="L611" t="str">
        <f>IF(YLE成绩库!C111="","", YLE成绩库!U111)</f>
        <v/>
      </c>
      <c r="M611">
        <v>0</v>
      </c>
      <c r="N611">
        <v>0</v>
      </c>
      <c r="O611">
        <v>0</v>
      </c>
      <c r="P611" t="str">
        <f>IF(YLE成绩库!C111="","", YLE成绩库!D111)</f>
        <v/>
      </c>
      <c r="Q611" t="str">
        <f>IF(YLE成绩库!C111="","", YLE成绩库!E111)</f>
        <v/>
      </c>
      <c r="R611" t="str">
        <f>IF(YLE成绩库!C111="","", YLE成绩库!F111)</f>
        <v/>
      </c>
      <c r="S611" t="str">
        <f>IF(YLE成绩库!C111="","", YLE成绩库!G111)</f>
        <v/>
      </c>
      <c r="T611" t="str">
        <f>IF(YLE成绩库!C111="","", YLE成绩库!H111)</f>
        <v/>
      </c>
      <c r="U611" t="str">
        <f>IF(YLE成绩库!C111="","", YLE成绩库!K111)</f>
        <v/>
      </c>
      <c r="V611" t="str">
        <f>IF(YLE成绩库!C111="","", YLE成绩库!W111)</f>
        <v/>
      </c>
      <c r="W611" t="str">
        <f>IF(YLE成绩库!C111="","", YLE成绩库!X111)</f>
        <v/>
      </c>
      <c r="X611" t="str">
        <f>IF(YLE成绩库!C111="","", YLE成绩库!AA111)</f>
        <v/>
      </c>
      <c r="Z611" t="str">
        <f>IF(YLE成绩库!C111="","", YLE成绩库!Z111)</f>
        <v/>
      </c>
    </row>
    <row r="612" spans="1:26" x14ac:dyDescent="0.2">
      <c r="A612" t="str">
        <f>IF(YLE成绩库!C112="","", YLE成绩库!C112)</f>
        <v/>
      </c>
      <c r="B612" t="str">
        <f>IF(YLE成绩库!AB112="","", YLE成绩库!AB112)</f>
        <v>2024-01-15</v>
      </c>
      <c r="C612" t="str">
        <f>IF(YLE成绩库!B112="","", YLE成绩库!B112)</f>
        <v/>
      </c>
      <c r="D612" t="str">
        <f>IF(YLE成绩库!D112="","", YLE成绩库!D112)</f>
        <v/>
      </c>
      <c r="E612" t="str">
        <f>IF(YLE成绩库!C112="","", YLE成绩库!L112)</f>
        <v/>
      </c>
      <c r="F612" t="str">
        <f>IF(YLE成绩库!C112="","", YLE成绩库!M112)</f>
        <v/>
      </c>
      <c r="G612" t="str">
        <f>IF(YLE成绩库!C112="","", YLE成绩库!N112)</f>
        <v/>
      </c>
      <c r="H612" t="str">
        <f>IF(YLE成绩库!C112="","", YLE成绩库!O112)</f>
        <v/>
      </c>
      <c r="I612" t="str">
        <f>IF(YLE成绩库!C112="","", YLE成绩库!P112)</f>
        <v/>
      </c>
      <c r="J612" t="str">
        <f>IF(YLE成绩库!C112="","", YLE成绩库!Q112)</f>
        <v/>
      </c>
      <c r="K612" t="str">
        <f>IF(YLE成绩库!C112="","", YLE成绩库!R112)</f>
        <v/>
      </c>
      <c r="L612" t="str">
        <f>IF(YLE成绩库!C112="","", YLE成绩库!U112)</f>
        <v/>
      </c>
      <c r="M612">
        <v>0</v>
      </c>
      <c r="N612">
        <v>0</v>
      </c>
      <c r="O612">
        <v>0</v>
      </c>
      <c r="P612" t="str">
        <f>IF(YLE成绩库!C112="","", YLE成绩库!D112)</f>
        <v/>
      </c>
      <c r="Q612" t="str">
        <f>IF(YLE成绩库!C112="","", YLE成绩库!E112)</f>
        <v/>
      </c>
      <c r="R612" t="str">
        <f>IF(YLE成绩库!C112="","", YLE成绩库!F112)</f>
        <v/>
      </c>
      <c r="S612" t="str">
        <f>IF(YLE成绩库!C112="","", YLE成绩库!G112)</f>
        <v/>
      </c>
      <c r="T612" t="str">
        <f>IF(YLE成绩库!C112="","", YLE成绩库!H112)</f>
        <v/>
      </c>
      <c r="U612" t="str">
        <f>IF(YLE成绩库!C112="","", YLE成绩库!K112)</f>
        <v/>
      </c>
      <c r="V612" t="str">
        <f>IF(YLE成绩库!C112="","", YLE成绩库!W112)</f>
        <v/>
      </c>
      <c r="W612" t="str">
        <f>IF(YLE成绩库!C112="","", YLE成绩库!X112)</f>
        <v/>
      </c>
      <c r="X612" t="str">
        <f>IF(YLE成绩库!C112="","", YLE成绩库!AA112)</f>
        <v/>
      </c>
      <c r="Z612" t="str">
        <f>IF(YLE成绩库!C112="","", YLE成绩库!Z112)</f>
        <v/>
      </c>
    </row>
    <row r="613" spans="1:26" x14ac:dyDescent="0.2">
      <c r="A613" t="str">
        <f>IF(YLE成绩库!C113="","", YLE成绩库!C113)</f>
        <v/>
      </c>
      <c r="B613" t="str">
        <f>IF(YLE成绩库!AB113="","", YLE成绩库!AB113)</f>
        <v>2024-01-15</v>
      </c>
      <c r="C613" t="str">
        <f>IF(YLE成绩库!B113="","", YLE成绩库!B113)</f>
        <v/>
      </c>
      <c r="D613" t="str">
        <f>IF(YLE成绩库!D113="","", YLE成绩库!D113)</f>
        <v/>
      </c>
      <c r="E613" t="str">
        <f>IF(YLE成绩库!C113="","", YLE成绩库!L113)</f>
        <v/>
      </c>
      <c r="F613" t="str">
        <f>IF(YLE成绩库!C113="","", YLE成绩库!M113)</f>
        <v/>
      </c>
      <c r="G613" t="str">
        <f>IF(YLE成绩库!C113="","", YLE成绩库!N113)</f>
        <v/>
      </c>
      <c r="H613" t="str">
        <f>IF(YLE成绩库!C113="","", YLE成绩库!O113)</f>
        <v/>
      </c>
      <c r="I613" t="str">
        <f>IF(YLE成绩库!C113="","", YLE成绩库!P113)</f>
        <v/>
      </c>
      <c r="J613" t="str">
        <f>IF(YLE成绩库!C113="","", YLE成绩库!Q113)</f>
        <v/>
      </c>
      <c r="K613" t="str">
        <f>IF(YLE成绩库!C113="","", YLE成绩库!R113)</f>
        <v/>
      </c>
      <c r="L613" t="str">
        <f>IF(YLE成绩库!C113="","", YLE成绩库!U113)</f>
        <v/>
      </c>
      <c r="M613">
        <v>0</v>
      </c>
      <c r="N613">
        <v>0</v>
      </c>
      <c r="O613">
        <v>0</v>
      </c>
      <c r="P613" t="str">
        <f>IF(YLE成绩库!C113="","", YLE成绩库!D113)</f>
        <v/>
      </c>
      <c r="Q613" t="str">
        <f>IF(YLE成绩库!C113="","", YLE成绩库!E113)</f>
        <v/>
      </c>
      <c r="R613" t="str">
        <f>IF(YLE成绩库!C113="","", YLE成绩库!F113)</f>
        <v/>
      </c>
      <c r="S613" t="str">
        <f>IF(YLE成绩库!C113="","", YLE成绩库!G113)</f>
        <v/>
      </c>
      <c r="T613" t="str">
        <f>IF(YLE成绩库!C113="","", YLE成绩库!H113)</f>
        <v/>
      </c>
      <c r="U613" t="str">
        <f>IF(YLE成绩库!C113="","", YLE成绩库!K113)</f>
        <v/>
      </c>
      <c r="V613" t="str">
        <f>IF(YLE成绩库!C113="","", YLE成绩库!W113)</f>
        <v/>
      </c>
      <c r="W613" t="str">
        <f>IF(YLE成绩库!C113="","", YLE成绩库!X113)</f>
        <v/>
      </c>
      <c r="X613" t="str">
        <f>IF(YLE成绩库!C113="","", YLE成绩库!AA113)</f>
        <v/>
      </c>
      <c r="Z613" t="str">
        <f>IF(YLE成绩库!C113="","", YLE成绩库!Z113)</f>
        <v/>
      </c>
    </row>
    <row r="614" spans="1:26" x14ac:dyDescent="0.2">
      <c r="A614" t="str">
        <f>IF(YLE成绩库!C114="","", YLE成绩库!C114)</f>
        <v/>
      </c>
      <c r="B614" t="str">
        <f>IF(YLE成绩库!AB114="","", YLE成绩库!AB114)</f>
        <v>2024-01-15</v>
      </c>
      <c r="C614" t="str">
        <f>IF(YLE成绩库!B114="","", YLE成绩库!B114)</f>
        <v/>
      </c>
      <c r="D614" t="str">
        <f>IF(YLE成绩库!D114="","", YLE成绩库!D114)</f>
        <v/>
      </c>
      <c r="E614" t="str">
        <f>IF(YLE成绩库!C114="","", YLE成绩库!L114)</f>
        <v/>
      </c>
      <c r="F614" t="str">
        <f>IF(YLE成绩库!C114="","", YLE成绩库!M114)</f>
        <v/>
      </c>
      <c r="G614" t="str">
        <f>IF(YLE成绩库!C114="","", YLE成绩库!N114)</f>
        <v/>
      </c>
      <c r="H614" t="str">
        <f>IF(YLE成绩库!C114="","", YLE成绩库!O114)</f>
        <v/>
      </c>
      <c r="I614" t="str">
        <f>IF(YLE成绩库!C114="","", YLE成绩库!P114)</f>
        <v/>
      </c>
      <c r="J614" t="str">
        <f>IF(YLE成绩库!C114="","", YLE成绩库!Q114)</f>
        <v/>
      </c>
      <c r="K614" t="str">
        <f>IF(YLE成绩库!C114="","", YLE成绩库!R114)</f>
        <v/>
      </c>
      <c r="L614" t="str">
        <f>IF(YLE成绩库!C114="","", YLE成绩库!U114)</f>
        <v/>
      </c>
      <c r="M614">
        <v>0</v>
      </c>
      <c r="N614">
        <v>0</v>
      </c>
      <c r="O614">
        <v>0</v>
      </c>
      <c r="P614" t="str">
        <f>IF(YLE成绩库!C114="","", YLE成绩库!D114)</f>
        <v/>
      </c>
      <c r="Q614" t="str">
        <f>IF(YLE成绩库!C114="","", YLE成绩库!E114)</f>
        <v/>
      </c>
      <c r="R614" t="str">
        <f>IF(YLE成绩库!C114="","", YLE成绩库!F114)</f>
        <v/>
      </c>
      <c r="S614" t="str">
        <f>IF(YLE成绩库!C114="","", YLE成绩库!G114)</f>
        <v/>
      </c>
      <c r="T614" t="str">
        <f>IF(YLE成绩库!C114="","", YLE成绩库!H114)</f>
        <v/>
      </c>
      <c r="U614" t="str">
        <f>IF(YLE成绩库!C114="","", YLE成绩库!K114)</f>
        <v/>
      </c>
      <c r="V614" t="str">
        <f>IF(YLE成绩库!C114="","", YLE成绩库!W114)</f>
        <v/>
      </c>
      <c r="W614" t="str">
        <f>IF(YLE成绩库!C114="","", YLE成绩库!X114)</f>
        <v/>
      </c>
      <c r="X614" t="str">
        <f>IF(YLE成绩库!C114="","", YLE成绩库!AA114)</f>
        <v/>
      </c>
      <c r="Z614" t="str">
        <f>IF(YLE成绩库!C114="","", YLE成绩库!Z114)</f>
        <v/>
      </c>
    </row>
    <row r="615" spans="1:26" x14ac:dyDescent="0.2">
      <c r="A615" t="str">
        <f>IF(YLE成绩库!C115="","", YLE成绩库!C115)</f>
        <v/>
      </c>
      <c r="B615" t="str">
        <f>IF(YLE成绩库!AB115="","", YLE成绩库!AB115)</f>
        <v>2024-01-15</v>
      </c>
      <c r="C615" t="str">
        <f>IF(YLE成绩库!B115="","", YLE成绩库!B115)</f>
        <v/>
      </c>
      <c r="D615" t="str">
        <f>IF(YLE成绩库!D115="","", YLE成绩库!D115)</f>
        <v/>
      </c>
      <c r="E615" t="str">
        <f>IF(YLE成绩库!C115="","", YLE成绩库!L115)</f>
        <v/>
      </c>
      <c r="F615" t="str">
        <f>IF(YLE成绩库!C115="","", YLE成绩库!M115)</f>
        <v/>
      </c>
      <c r="G615" t="str">
        <f>IF(YLE成绩库!C115="","", YLE成绩库!N115)</f>
        <v/>
      </c>
      <c r="H615" t="str">
        <f>IF(YLE成绩库!C115="","", YLE成绩库!O115)</f>
        <v/>
      </c>
      <c r="I615" t="str">
        <f>IF(YLE成绩库!C115="","", YLE成绩库!P115)</f>
        <v/>
      </c>
      <c r="J615" t="str">
        <f>IF(YLE成绩库!C115="","", YLE成绩库!Q115)</f>
        <v/>
      </c>
      <c r="K615" t="str">
        <f>IF(YLE成绩库!C115="","", YLE成绩库!R115)</f>
        <v/>
      </c>
      <c r="L615" t="str">
        <f>IF(YLE成绩库!C115="","", YLE成绩库!U115)</f>
        <v/>
      </c>
      <c r="M615">
        <v>0</v>
      </c>
      <c r="N615">
        <v>0</v>
      </c>
      <c r="O615">
        <v>0</v>
      </c>
      <c r="P615" t="str">
        <f>IF(YLE成绩库!C115="","", YLE成绩库!D115)</f>
        <v/>
      </c>
      <c r="Q615" t="str">
        <f>IF(YLE成绩库!C115="","", YLE成绩库!E115)</f>
        <v/>
      </c>
      <c r="R615" t="str">
        <f>IF(YLE成绩库!C115="","", YLE成绩库!F115)</f>
        <v/>
      </c>
      <c r="S615" t="str">
        <f>IF(YLE成绩库!C115="","", YLE成绩库!G115)</f>
        <v/>
      </c>
      <c r="T615" t="str">
        <f>IF(YLE成绩库!C115="","", YLE成绩库!H115)</f>
        <v/>
      </c>
      <c r="U615" t="str">
        <f>IF(YLE成绩库!C115="","", YLE成绩库!K115)</f>
        <v/>
      </c>
      <c r="V615" t="str">
        <f>IF(YLE成绩库!C115="","", YLE成绩库!W115)</f>
        <v/>
      </c>
      <c r="W615" t="str">
        <f>IF(YLE成绩库!C115="","", YLE成绩库!X115)</f>
        <v/>
      </c>
      <c r="X615" t="str">
        <f>IF(YLE成绩库!C115="","", YLE成绩库!AA115)</f>
        <v/>
      </c>
      <c r="Z615" t="str">
        <f>IF(YLE成绩库!C115="","", YLE成绩库!Z115)</f>
        <v/>
      </c>
    </row>
    <row r="616" spans="1:26" x14ac:dyDescent="0.2">
      <c r="A616" t="str">
        <f>IF(YLE成绩库!C116="","", YLE成绩库!C116)</f>
        <v/>
      </c>
      <c r="B616" t="str">
        <f>IF(YLE成绩库!AB116="","", YLE成绩库!AB116)</f>
        <v>2024-01-15</v>
      </c>
      <c r="C616" t="str">
        <f>IF(YLE成绩库!B116="","", YLE成绩库!B116)</f>
        <v/>
      </c>
      <c r="D616" t="str">
        <f>IF(YLE成绩库!D116="","", YLE成绩库!D116)</f>
        <v/>
      </c>
      <c r="E616" t="str">
        <f>IF(YLE成绩库!C116="","", YLE成绩库!L116)</f>
        <v/>
      </c>
      <c r="F616" t="str">
        <f>IF(YLE成绩库!C116="","", YLE成绩库!M116)</f>
        <v/>
      </c>
      <c r="G616" t="str">
        <f>IF(YLE成绩库!C116="","", YLE成绩库!N116)</f>
        <v/>
      </c>
      <c r="H616" t="str">
        <f>IF(YLE成绩库!C116="","", YLE成绩库!O116)</f>
        <v/>
      </c>
      <c r="I616" t="str">
        <f>IF(YLE成绩库!C116="","", YLE成绩库!P116)</f>
        <v/>
      </c>
      <c r="J616" t="str">
        <f>IF(YLE成绩库!C116="","", YLE成绩库!Q116)</f>
        <v/>
      </c>
      <c r="K616" t="str">
        <f>IF(YLE成绩库!C116="","", YLE成绩库!R116)</f>
        <v/>
      </c>
      <c r="L616" t="str">
        <f>IF(YLE成绩库!C116="","", YLE成绩库!U116)</f>
        <v/>
      </c>
      <c r="M616">
        <v>0</v>
      </c>
      <c r="N616">
        <v>0</v>
      </c>
      <c r="O616">
        <v>0</v>
      </c>
      <c r="P616" t="str">
        <f>IF(YLE成绩库!C116="","", YLE成绩库!D116)</f>
        <v/>
      </c>
      <c r="Q616" t="str">
        <f>IF(YLE成绩库!C116="","", YLE成绩库!E116)</f>
        <v/>
      </c>
      <c r="R616" t="str">
        <f>IF(YLE成绩库!C116="","", YLE成绩库!F116)</f>
        <v/>
      </c>
      <c r="S616" t="str">
        <f>IF(YLE成绩库!C116="","", YLE成绩库!G116)</f>
        <v/>
      </c>
      <c r="T616" t="str">
        <f>IF(YLE成绩库!C116="","", YLE成绩库!H116)</f>
        <v/>
      </c>
      <c r="U616" t="str">
        <f>IF(YLE成绩库!C116="","", YLE成绩库!K116)</f>
        <v/>
      </c>
      <c r="V616" t="str">
        <f>IF(YLE成绩库!C116="","", YLE成绩库!W116)</f>
        <v/>
      </c>
      <c r="W616" t="str">
        <f>IF(YLE成绩库!C116="","", YLE成绩库!X116)</f>
        <v/>
      </c>
      <c r="X616" t="str">
        <f>IF(YLE成绩库!C116="","", YLE成绩库!AA116)</f>
        <v/>
      </c>
      <c r="Z616" t="str">
        <f>IF(YLE成绩库!C116="","", YLE成绩库!Z116)</f>
        <v/>
      </c>
    </row>
    <row r="617" spans="1:26" x14ac:dyDescent="0.2">
      <c r="A617" t="str">
        <f>IF(YLE成绩库!C117="","", YLE成绩库!C117)</f>
        <v/>
      </c>
      <c r="B617" t="str">
        <f>IF(YLE成绩库!AB117="","", YLE成绩库!AB117)</f>
        <v>2024-01-15</v>
      </c>
      <c r="C617" t="str">
        <f>IF(YLE成绩库!B117="","", YLE成绩库!B117)</f>
        <v/>
      </c>
      <c r="D617" t="str">
        <f>IF(YLE成绩库!D117="","", YLE成绩库!D117)</f>
        <v/>
      </c>
      <c r="E617" t="str">
        <f>IF(YLE成绩库!C117="","", YLE成绩库!L117)</f>
        <v/>
      </c>
      <c r="F617" t="str">
        <f>IF(YLE成绩库!C117="","", YLE成绩库!M117)</f>
        <v/>
      </c>
      <c r="G617" t="str">
        <f>IF(YLE成绩库!C117="","", YLE成绩库!N117)</f>
        <v/>
      </c>
      <c r="H617" t="str">
        <f>IF(YLE成绩库!C117="","", YLE成绩库!O117)</f>
        <v/>
      </c>
      <c r="I617" t="str">
        <f>IF(YLE成绩库!C117="","", YLE成绩库!P117)</f>
        <v/>
      </c>
      <c r="J617" t="str">
        <f>IF(YLE成绩库!C117="","", YLE成绩库!Q117)</f>
        <v/>
      </c>
      <c r="K617" t="str">
        <f>IF(YLE成绩库!C117="","", YLE成绩库!R117)</f>
        <v/>
      </c>
      <c r="L617" t="str">
        <f>IF(YLE成绩库!C117="","", YLE成绩库!U117)</f>
        <v/>
      </c>
      <c r="M617">
        <v>0</v>
      </c>
      <c r="N617">
        <v>0</v>
      </c>
      <c r="O617">
        <v>0</v>
      </c>
      <c r="P617" t="str">
        <f>IF(YLE成绩库!C117="","", YLE成绩库!D117)</f>
        <v/>
      </c>
      <c r="Q617" t="str">
        <f>IF(YLE成绩库!C117="","", YLE成绩库!E117)</f>
        <v/>
      </c>
      <c r="R617" t="str">
        <f>IF(YLE成绩库!C117="","", YLE成绩库!F117)</f>
        <v/>
      </c>
      <c r="S617" t="str">
        <f>IF(YLE成绩库!C117="","", YLE成绩库!G117)</f>
        <v/>
      </c>
      <c r="T617" t="str">
        <f>IF(YLE成绩库!C117="","", YLE成绩库!H117)</f>
        <v/>
      </c>
      <c r="U617" t="str">
        <f>IF(YLE成绩库!C117="","", YLE成绩库!K117)</f>
        <v/>
      </c>
      <c r="V617" t="str">
        <f>IF(YLE成绩库!C117="","", YLE成绩库!W117)</f>
        <v/>
      </c>
      <c r="W617" t="str">
        <f>IF(YLE成绩库!C117="","", YLE成绩库!X117)</f>
        <v/>
      </c>
      <c r="X617" t="str">
        <f>IF(YLE成绩库!C117="","", YLE成绩库!AA117)</f>
        <v/>
      </c>
      <c r="Z617" t="str">
        <f>IF(YLE成绩库!C117="","", YLE成绩库!Z117)</f>
        <v/>
      </c>
    </row>
    <row r="618" spans="1:26" x14ac:dyDescent="0.2">
      <c r="A618" t="str">
        <f>IF(YLE成绩库!C118="","", YLE成绩库!C118)</f>
        <v/>
      </c>
      <c r="B618" t="str">
        <f>IF(YLE成绩库!AB118="","", YLE成绩库!AB118)</f>
        <v>2024-01-15</v>
      </c>
      <c r="C618" t="str">
        <f>IF(YLE成绩库!B118="","", YLE成绩库!B118)</f>
        <v/>
      </c>
      <c r="D618" t="str">
        <f>IF(YLE成绩库!D118="","", YLE成绩库!D118)</f>
        <v/>
      </c>
      <c r="E618" t="str">
        <f>IF(YLE成绩库!C118="","", YLE成绩库!L118)</f>
        <v/>
      </c>
      <c r="F618" t="str">
        <f>IF(YLE成绩库!C118="","", YLE成绩库!M118)</f>
        <v/>
      </c>
      <c r="G618" t="str">
        <f>IF(YLE成绩库!C118="","", YLE成绩库!N118)</f>
        <v/>
      </c>
      <c r="H618" t="str">
        <f>IF(YLE成绩库!C118="","", YLE成绩库!O118)</f>
        <v/>
      </c>
      <c r="I618" t="str">
        <f>IF(YLE成绩库!C118="","", YLE成绩库!P118)</f>
        <v/>
      </c>
      <c r="J618" t="str">
        <f>IF(YLE成绩库!C118="","", YLE成绩库!Q118)</f>
        <v/>
      </c>
      <c r="K618" t="str">
        <f>IF(YLE成绩库!C118="","", YLE成绩库!R118)</f>
        <v/>
      </c>
      <c r="L618" t="str">
        <f>IF(YLE成绩库!C118="","", YLE成绩库!U118)</f>
        <v/>
      </c>
      <c r="M618">
        <v>0</v>
      </c>
      <c r="N618">
        <v>0</v>
      </c>
      <c r="O618">
        <v>0</v>
      </c>
      <c r="P618" t="str">
        <f>IF(YLE成绩库!C118="","", YLE成绩库!D118)</f>
        <v/>
      </c>
      <c r="Q618" t="str">
        <f>IF(YLE成绩库!C118="","", YLE成绩库!E118)</f>
        <v/>
      </c>
      <c r="R618" t="str">
        <f>IF(YLE成绩库!C118="","", YLE成绩库!F118)</f>
        <v/>
      </c>
      <c r="S618" t="str">
        <f>IF(YLE成绩库!C118="","", YLE成绩库!G118)</f>
        <v/>
      </c>
      <c r="T618" t="str">
        <f>IF(YLE成绩库!C118="","", YLE成绩库!H118)</f>
        <v/>
      </c>
      <c r="U618" t="str">
        <f>IF(YLE成绩库!C118="","", YLE成绩库!K118)</f>
        <v/>
      </c>
      <c r="V618" t="str">
        <f>IF(YLE成绩库!C118="","", YLE成绩库!W118)</f>
        <v/>
      </c>
      <c r="W618" t="str">
        <f>IF(YLE成绩库!C118="","", YLE成绩库!X118)</f>
        <v/>
      </c>
      <c r="X618" t="str">
        <f>IF(YLE成绩库!C118="","", YLE成绩库!AA118)</f>
        <v/>
      </c>
      <c r="Z618" t="str">
        <f>IF(YLE成绩库!C118="","", YLE成绩库!Z118)</f>
        <v/>
      </c>
    </row>
    <row r="619" spans="1:26" x14ac:dyDescent="0.2">
      <c r="A619" t="str">
        <f>IF(YLE成绩库!C119="","", YLE成绩库!C119)</f>
        <v/>
      </c>
      <c r="B619" t="str">
        <f>IF(YLE成绩库!AB119="","", YLE成绩库!AB119)</f>
        <v>2024-01-15</v>
      </c>
      <c r="C619" t="str">
        <f>IF(YLE成绩库!B119="","", YLE成绩库!B119)</f>
        <v/>
      </c>
      <c r="D619" t="str">
        <f>IF(YLE成绩库!D119="","", YLE成绩库!D119)</f>
        <v/>
      </c>
      <c r="E619" t="str">
        <f>IF(YLE成绩库!C119="","", YLE成绩库!L119)</f>
        <v/>
      </c>
      <c r="F619" t="str">
        <f>IF(YLE成绩库!C119="","", YLE成绩库!M119)</f>
        <v/>
      </c>
      <c r="G619" t="str">
        <f>IF(YLE成绩库!C119="","", YLE成绩库!N119)</f>
        <v/>
      </c>
      <c r="H619" t="str">
        <f>IF(YLE成绩库!C119="","", YLE成绩库!O119)</f>
        <v/>
      </c>
      <c r="I619" t="str">
        <f>IF(YLE成绩库!C119="","", YLE成绩库!P119)</f>
        <v/>
      </c>
      <c r="J619" t="str">
        <f>IF(YLE成绩库!C119="","", YLE成绩库!Q119)</f>
        <v/>
      </c>
      <c r="K619" t="str">
        <f>IF(YLE成绩库!C119="","", YLE成绩库!R119)</f>
        <v/>
      </c>
      <c r="L619" t="str">
        <f>IF(YLE成绩库!C119="","", YLE成绩库!U119)</f>
        <v/>
      </c>
      <c r="M619">
        <v>0</v>
      </c>
      <c r="N619">
        <v>0</v>
      </c>
      <c r="O619">
        <v>0</v>
      </c>
      <c r="P619" t="str">
        <f>IF(YLE成绩库!C119="","", YLE成绩库!D119)</f>
        <v/>
      </c>
      <c r="Q619" t="str">
        <f>IF(YLE成绩库!C119="","", YLE成绩库!E119)</f>
        <v/>
      </c>
      <c r="R619" t="str">
        <f>IF(YLE成绩库!C119="","", YLE成绩库!F119)</f>
        <v/>
      </c>
      <c r="S619" t="str">
        <f>IF(YLE成绩库!C119="","", YLE成绩库!G119)</f>
        <v/>
      </c>
      <c r="T619" t="str">
        <f>IF(YLE成绩库!C119="","", YLE成绩库!H119)</f>
        <v/>
      </c>
      <c r="U619" t="str">
        <f>IF(YLE成绩库!C119="","", YLE成绩库!K119)</f>
        <v/>
      </c>
      <c r="V619" t="str">
        <f>IF(YLE成绩库!C119="","", YLE成绩库!W119)</f>
        <v/>
      </c>
      <c r="W619" t="str">
        <f>IF(YLE成绩库!C119="","", YLE成绩库!X119)</f>
        <v/>
      </c>
      <c r="X619" t="str">
        <f>IF(YLE成绩库!C119="","", YLE成绩库!AA119)</f>
        <v/>
      </c>
      <c r="Z619" t="str">
        <f>IF(YLE成绩库!C119="","", YLE成绩库!Z119)</f>
        <v/>
      </c>
    </row>
    <row r="620" spans="1:26" x14ac:dyDescent="0.2">
      <c r="A620" t="str">
        <f>IF(YLE成绩库!C120="","", YLE成绩库!C120)</f>
        <v/>
      </c>
      <c r="B620" t="str">
        <f>IF(YLE成绩库!AB120="","", YLE成绩库!AB120)</f>
        <v>2024-01-15</v>
      </c>
      <c r="C620" t="str">
        <f>IF(YLE成绩库!B120="","", YLE成绩库!B120)</f>
        <v/>
      </c>
      <c r="D620" t="str">
        <f>IF(YLE成绩库!D120="","", YLE成绩库!D120)</f>
        <v/>
      </c>
      <c r="E620" t="str">
        <f>IF(YLE成绩库!C120="","", YLE成绩库!L120)</f>
        <v/>
      </c>
      <c r="F620" t="str">
        <f>IF(YLE成绩库!C120="","", YLE成绩库!M120)</f>
        <v/>
      </c>
      <c r="G620" t="str">
        <f>IF(YLE成绩库!C120="","", YLE成绩库!N120)</f>
        <v/>
      </c>
      <c r="H620" t="str">
        <f>IF(YLE成绩库!C120="","", YLE成绩库!O120)</f>
        <v/>
      </c>
      <c r="I620" t="str">
        <f>IF(YLE成绩库!C120="","", YLE成绩库!P120)</f>
        <v/>
      </c>
      <c r="J620" t="str">
        <f>IF(YLE成绩库!C120="","", YLE成绩库!Q120)</f>
        <v/>
      </c>
      <c r="K620" t="str">
        <f>IF(YLE成绩库!C120="","", YLE成绩库!R120)</f>
        <v/>
      </c>
      <c r="L620" t="str">
        <f>IF(YLE成绩库!C120="","", YLE成绩库!U120)</f>
        <v/>
      </c>
      <c r="M620">
        <v>0</v>
      </c>
      <c r="N620">
        <v>0</v>
      </c>
      <c r="O620">
        <v>0</v>
      </c>
      <c r="P620" t="str">
        <f>IF(YLE成绩库!C120="","", YLE成绩库!D120)</f>
        <v/>
      </c>
      <c r="Q620" t="str">
        <f>IF(YLE成绩库!C120="","", YLE成绩库!E120)</f>
        <v/>
      </c>
      <c r="R620" t="str">
        <f>IF(YLE成绩库!C120="","", YLE成绩库!F120)</f>
        <v/>
      </c>
      <c r="S620" t="str">
        <f>IF(YLE成绩库!C120="","", YLE成绩库!G120)</f>
        <v/>
      </c>
      <c r="T620" t="str">
        <f>IF(YLE成绩库!C120="","", YLE成绩库!H120)</f>
        <v/>
      </c>
      <c r="U620" t="str">
        <f>IF(YLE成绩库!C120="","", YLE成绩库!K120)</f>
        <v/>
      </c>
      <c r="V620" t="str">
        <f>IF(YLE成绩库!C120="","", YLE成绩库!W120)</f>
        <v/>
      </c>
      <c r="W620" t="str">
        <f>IF(YLE成绩库!C120="","", YLE成绩库!X120)</f>
        <v/>
      </c>
      <c r="X620" t="str">
        <f>IF(YLE成绩库!C120="","", YLE成绩库!AA120)</f>
        <v/>
      </c>
      <c r="Z620" t="str">
        <f>IF(YLE成绩库!C120="","", YLE成绩库!Z120)</f>
        <v/>
      </c>
    </row>
    <row r="621" spans="1:26" x14ac:dyDescent="0.2">
      <c r="A621" t="str">
        <f>IF(YLE成绩库!C121="","", YLE成绩库!C121)</f>
        <v/>
      </c>
      <c r="B621" t="str">
        <f>IF(YLE成绩库!AB121="","", YLE成绩库!AB121)</f>
        <v>2024-01-15</v>
      </c>
      <c r="C621" t="str">
        <f>IF(YLE成绩库!B121="","", YLE成绩库!B121)</f>
        <v/>
      </c>
      <c r="D621" t="str">
        <f>IF(YLE成绩库!D121="","", YLE成绩库!D121)</f>
        <v/>
      </c>
      <c r="E621" t="str">
        <f>IF(YLE成绩库!C121="","", YLE成绩库!L121)</f>
        <v/>
      </c>
      <c r="F621" t="str">
        <f>IF(YLE成绩库!C121="","", YLE成绩库!M121)</f>
        <v/>
      </c>
      <c r="G621" t="str">
        <f>IF(YLE成绩库!C121="","", YLE成绩库!N121)</f>
        <v/>
      </c>
      <c r="H621" t="str">
        <f>IF(YLE成绩库!C121="","", YLE成绩库!O121)</f>
        <v/>
      </c>
      <c r="I621" t="str">
        <f>IF(YLE成绩库!C121="","", YLE成绩库!P121)</f>
        <v/>
      </c>
      <c r="J621" t="str">
        <f>IF(YLE成绩库!C121="","", YLE成绩库!Q121)</f>
        <v/>
      </c>
      <c r="K621" t="str">
        <f>IF(YLE成绩库!C121="","", YLE成绩库!R121)</f>
        <v/>
      </c>
      <c r="L621" t="str">
        <f>IF(YLE成绩库!C121="","", YLE成绩库!U121)</f>
        <v/>
      </c>
      <c r="M621">
        <v>0</v>
      </c>
      <c r="N621">
        <v>0</v>
      </c>
      <c r="O621">
        <v>0</v>
      </c>
      <c r="P621" t="str">
        <f>IF(YLE成绩库!C121="","", YLE成绩库!D121)</f>
        <v/>
      </c>
      <c r="Q621" t="str">
        <f>IF(YLE成绩库!C121="","", YLE成绩库!E121)</f>
        <v/>
      </c>
      <c r="R621" t="str">
        <f>IF(YLE成绩库!C121="","", YLE成绩库!F121)</f>
        <v/>
      </c>
      <c r="S621" t="str">
        <f>IF(YLE成绩库!C121="","", YLE成绩库!G121)</f>
        <v/>
      </c>
      <c r="T621" t="str">
        <f>IF(YLE成绩库!C121="","", YLE成绩库!H121)</f>
        <v/>
      </c>
      <c r="U621" t="str">
        <f>IF(YLE成绩库!C121="","", YLE成绩库!K121)</f>
        <v/>
      </c>
      <c r="V621" t="str">
        <f>IF(YLE成绩库!C121="","", YLE成绩库!W121)</f>
        <v/>
      </c>
      <c r="W621" t="str">
        <f>IF(YLE成绩库!C121="","", YLE成绩库!X121)</f>
        <v/>
      </c>
      <c r="X621" t="str">
        <f>IF(YLE成绩库!C121="","", YLE成绩库!AA121)</f>
        <v/>
      </c>
      <c r="Z621" t="str">
        <f>IF(YLE成绩库!C121="","", YLE成绩库!Z121)</f>
        <v/>
      </c>
    </row>
    <row r="622" spans="1:26" x14ac:dyDescent="0.2">
      <c r="A622" t="str">
        <f>IF(YLE成绩库!C122="","", YLE成绩库!C122)</f>
        <v/>
      </c>
      <c r="B622" t="str">
        <f>IF(YLE成绩库!AB122="","", YLE成绩库!AB122)</f>
        <v>2024-01-15</v>
      </c>
      <c r="C622" t="str">
        <f>IF(YLE成绩库!B122="","", YLE成绩库!B122)</f>
        <v/>
      </c>
      <c r="D622" t="str">
        <f>IF(YLE成绩库!D122="","", YLE成绩库!D122)</f>
        <v/>
      </c>
      <c r="E622" t="str">
        <f>IF(YLE成绩库!C122="","", YLE成绩库!L122)</f>
        <v/>
      </c>
      <c r="F622" t="str">
        <f>IF(YLE成绩库!C122="","", YLE成绩库!M122)</f>
        <v/>
      </c>
      <c r="G622" t="str">
        <f>IF(YLE成绩库!C122="","", YLE成绩库!N122)</f>
        <v/>
      </c>
      <c r="H622" t="str">
        <f>IF(YLE成绩库!C122="","", YLE成绩库!O122)</f>
        <v/>
      </c>
      <c r="I622" t="str">
        <f>IF(YLE成绩库!C122="","", YLE成绩库!P122)</f>
        <v/>
      </c>
      <c r="J622" t="str">
        <f>IF(YLE成绩库!C122="","", YLE成绩库!Q122)</f>
        <v/>
      </c>
      <c r="K622" t="str">
        <f>IF(YLE成绩库!C122="","", YLE成绩库!R122)</f>
        <v/>
      </c>
      <c r="L622" t="str">
        <f>IF(YLE成绩库!C122="","", YLE成绩库!U122)</f>
        <v/>
      </c>
      <c r="M622">
        <v>0</v>
      </c>
      <c r="N622">
        <v>0</v>
      </c>
      <c r="O622">
        <v>0</v>
      </c>
      <c r="P622" t="str">
        <f>IF(YLE成绩库!C122="","", YLE成绩库!D122)</f>
        <v/>
      </c>
      <c r="Q622" t="str">
        <f>IF(YLE成绩库!C122="","", YLE成绩库!E122)</f>
        <v/>
      </c>
      <c r="R622" t="str">
        <f>IF(YLE成绩库!C122="","", YLE成绩库!F122)</f>
        <v/>
      </c>
      <c r="S622" t="str">
        <f>IF(YLE成绩库!C122="","", YLE成绩库!G122)</f>
        <v/>
      </c>
      <c r="T622" t="str">
        <f>IF(YLE成绩库!C122="","", YLE成绩库!H122)</f>
        <v/>
      </c>
      <c r="U622" t="str">
        <f>IF(YLE成绩库!C122="","", YLE成绩库!K122)</f>
        <v/>
      </c>
      <c r="V622" t="str">
        <f>IF(YLE成绩库!C122="","", YLE成绩库!W122)</f>
        <v/>
      </c>
      <c r="W622" t="str">
        <f>IF(YLE成绩库!C122="","", YLE成绩库!X122)</f>
        <v/>
      </c>
      <c r="X622" t="str">
        <f>IF(YLE成绩库!C122="","", YLE成绩库!AA122)</f>
        <v/>
      </c>
      <c r="Z622" t="str">
        <f>IF(YLE成绩库!C122="","", YLE成绩库!Z122)</f>
        <v/>
      </c>
    </row>
    <row r="623" spans="1:26" x14ac:dyDescent="0.2">
      <c r="A623" t="str">
        <f>IF(YLE成绩库!C123="","", YLE成绩库!C123)</f>
        <v/>
      </c>
      <c r="B623" t="str">
        <f>IF(YLE成绩库!AB123="","", YLE成绩库!AB123)</f>
        <v>2024-01-15</v>
      </c>
      <c r="C623" t="str">
        <f>IF(YLE成绩库!B123="","", YLE成绩库!B123)</f>
        <v/>
      </c>
      <c r="D623" t="str">
        <f>IF(YLE成绩库!D123="","", YLE成绩库!D123)</f>
        <v/>
      </c>
      <c r="E623" t="str">
        <f>IF(YLE成绩库!C123="","", YLE成绩库!L123)</f>
        <v/>
      </c>
      <c r="F623" t="str">
        <f>IF(YLE成绩库!C123="","", YLE成绩库!M123)</f>
        <v/>
      </c>
      <c r="G623" t="str">
        <f>IF(YLE成绩库!C123="","", YLE成绩库!N123)</f>
        <v/>
      </c>
      <c r="H623" t="str">
        <f>IF(YLE成绩库!C123="","", YLE成绩库!O123)</f>
        <v/>
      </c>
      <c r="I623" t="str">
        <f>IF(YLE成绩库!C123="","", YLE成绩库!P123)</f>
        <v/>
      </c>
      <c r="J623" t="str">
        <f>IF(YLE成绩库!C123="","", YLE成绩库!Q123)</f>
        <v/>
      </c>
      <c r="K623" t="str">
        <f>IF(YLE成绩库!C123="","", YLE成绩库!R123)</f>
        <v/>
      </c>
      <c r="L623" t="str">
        <f>IF(YLE成绩库!C123="","", YLE成绩库!U123)</f>
        <v/>
      </c>
      <c r="M623">
        <v>0</v>
      </c>
      <c r="N623">
        <v>0</v>
      </c>
      <c r="O623">
        <v>0</v>
      </c>
      <c r="P623" t="str">
        <f>IF(YLE成绩库!C123="","", YLE成绩库!D123)</f>
        <v/>
      </c>
      <c r="Q623" t="str">
        <f>IF(YLE成绩库!C123="","", YLE成绩库!E123)</f>
        <v/>
      </c>
      <c r="R623" t="str">
        <f>IF(YLE成绩库!C123="","", YLE成绩库!F123)</f>
        <v/>
      </c>
      <c r="S623" t="str">
        <f>IF(YLE成绩库!C123="","", YLE成绩库!G123)</f>
        <v/>
      </c>
      <c r="T623" t="str">
        <f>IF(YLE成绩库!C123="","", YLE成绩库!H123)</f>
        <v/>
      </c>
      <c r="U623" t="str">
        <f>IF(YLE成绩库!C123="","", YLE成绩库!K123)</f>
        <v/>
      </c>
      <c r="V623" t="str">
        <f>IF(YLE成绩库!C123="","", YLE成绩库!W123)</f>
        <v/>
      </c>
      <c r="W623" t="str">
        <f>IF(YLE成绩库!C123="","", YLE成绩库!X123)</f>
        <v/>
      </c>
      <c r="X623" t="str">
        <f>IF(YLE成绩库!C123="","", YLE成绩库!AA123)</f>
        <v/>
      </c>
      <c r="Z623" t="str">
        <f>IF(YLE成绩库!C123="","", YLE成绩库!Z123)</f>
        <v/>
      </c>
    </row>
    <row r="624" spans="1:26" x14ac:dyDescent="0.2">
      <c r="A624" t="str">
        <f>IF(YLE成绩库!C124="","", YLE成绩库!C124)</f>
        <v/>
      </c>
      <c r="B624" t="str">
        <f>IF(YLE成绩库!AB124="","", YLE成绩库!AB124)</f>
        <v>2024-01-15</v>
      </c>
      <c r="C624" t="str">
        <f>IF(YLE成绩库!B124="","", YLE成绩库!B124)</f>
        <v/>
      </c>
      <c r="D624" t="str">
        <f>IF(YLE成绩库!D124="","", YLE成绩库!D124)</f>
        <v/>
      </c>
      <c r="E624" t="str">
        <f>IF(YLE成绩库!C124="","", YLE成绩库!L124)</f>
        <v/>
      </c>
      <c r="F624" t="str">
        <f>IF(YLE成绩库!C124="","", YLE成绩库!M124)</f>
        <v/>
      </c>
      <c r="G624" t="str">
        <f>IF(YLE成绩库!C124="","", YLE成绩库!N124)</f>
        <v/>
      </c>
      <c r="H624" t="str">
        <f>IF(YLE成绩库!C124="","", YLE成绩库!O124)</f>
        <v/>
      </c>
      <c r="I624" t="str">
        <f>IF(YLE成绩库!C124="","", YLE成绩库!P124)</f>
        <v/>
      </c>
      <c r="J624" t="str">
        <f>IF(YLE成绩库!C124="","", YLE成绩库!Q124)</f>
        <v/>
      </c>
      <c r="K624" t="str">
        <f>IF(YLE成绩库!C124="","", YLE成绩库!R124)</f>
        <v/>
      </c>
      <c r="L624" t="str">
        <f>IF(YLE成绩库!C124="","", YLE成绩库!U124)</f>
        <v/>
      </c>
      <c r="M624">
        <v>0</v>
      </c>
      <c r="N624">
        <v>0</v>
      </c>
      <c r="O624">
        <v>0</v>
      </c>
      <c r="P624" t="str">
        <f>IF(YLE成绩库!C124="","", YLE成绩库!D124)</f>
        <v/>
      </c>
      <c r="Q624" t="str">
        <f>IF(YLE成绩库!C124="","", YLE成绩库!E124)</f>
        <v/>
      </c>
      <c r="R624" t="str">
        <f>IF(YLE成绩库!C124="","", YLE成绩库!F124)</f>
        <v/>
      </c>
      <c r="S624" t="str">
        <f>IF(YLE成绩库!C124="","", YLE成绩库!G124)</f>
        <v/>
      </c>
      <c r="T624" t="str">
        <f>IF(YLE成绩库!C124="","", YLE成绩库!H124)</f>
        <v/>
      </c>
      <c r="U624" t="str">
        <f>IF(YLE成绩库!C124="","", YLE成绩库!K124)</f>
        <v/>
      </c>
      <c r="V624" t="str">
        <f>IF(YLE成绩库!C124="","", YLE成绩库!W124)</f>
        <v/>
      </c>
      <c r="W624" t="str">
        <f>IF(YLE成绩库!C124="","", YLE成绩库!X124)</f>
        <v/>
      </c>
      <c r="X624" t="str">
        <f>IF(YLE成绩库!C124="","", YLE成绩库!AA124)</f>
        <v/>
      </c>
      <c r="Z624" t="str">
        <f>IF(YLE成绩库!C124="","", YLE成绩库!Z124)</f>
        <v/>
      </c>
    </row>
    <row r="625" spans="1:26" x14ac:dyDescent="0.2">
      <c r="A625" t="str">
        <f>IF(YLE成绩库!C125="","", YLE成绩库!C125)</f>
        <v/>
      </c>
      <c r="B625" t="str">
        <f>IF(YLE成绩库!AB125="","", YLE成绩库!AB125)</f>
        <v>2024-01-15</v>
      </c>
      <c r="C625" t="str">
        <f>IF(YLE成绩库!B125="","", YLE成绩库!B125)</f>
        <v/>
      </c>
      <c r="D625" t="str">
        <f>IF(YLE成绩库!D125="","", YLE成绩库!D125)</f>
        <v/>
      </c>
      <c r="E625" t="str">
        <f>IF(YLE成绩库!C125="","", YLE成绩库!L125)</f>
        <v/>
      </c>
      <c r="F625" t="str">
        <f>IF(YLE成绩库!C125="","", YLE成绩库!M125)</f>
        <v/>
      </c>
      <c r="G625" t="str">
        <f>IF(YLE成绩库!C125="","", YLE成绩库!N125)</f>
        <v/>
      </c>
      <c r="H625" t="str">
        <f>IF(YLE成绩库!C125="","", YLE成绩库!O125)</f>
        <v/>
      </c>
      <c r="I625" t="str">
        <f>IF(YLE成绩库!C125="","", YLE成绩库!P125)</f>
        <v/>
      </c>
      <c r="J625" t="str">
        <f>IF(YLE成绩库!C125="","", YLE成绩库!Q125)</f>
        <v/>
      </c>
      <c r="K625" t="str">
        <f>IF(YLE成绩库!C125="","", YLE成绩库!R125)</f>
        <v/>
      </c>
      <c r="L625" t="str">
        <f>IF(YLE成绩库!C125="","", YLE成绩库!U125)</f>
        <v/>
      </c>
      <c r="M625">
        <v>0</v>
      </c>
      <c r="N625">
        <v>0</v>
      </c>
      <c r="O625">
        <v>0</v>
      </c>
      <c r="P625" t="str">
        <f>IF(YLE成绩库!C125="","", YLE成绩库!D125)</f>
        <v/>
      </c>
      <c r="Q625" t="str">
        <f>IF(YLE成绩库!C125="","", YLE成绩库!E125)</f>
        <v/>
      </c>
      <c r="R625" t="str">
        <f>IF(YLE成绩库!C125="","", YLE成绩库!F125)</f>
        <v/>
      </c>
      <c r="S625" t="str">
        <f>IF(YLE成绩库!C125="","", YLE成绩库!G125)</f>
        <v/>
      </c>
      <c r="T625" t="str">
        <f>IF(YLE成绩库!C125="","", YLE成绩库!H125)</f>
        <v/>
      </c>
      <c r="U625" t="str">
        <f>IF(YLE成绩库!C125="","", YLE成绩库!K125)</f>
        <v/>
      </c>
      <c r="V625" t="str">
        <f>IF(YLE成绩库!C125="","", YLE成绩库!W125)</f>
        <v/>
      </c>
      <c r="W625" t="str">
        <f>IF(YLE成绩库!C125="","", YLE成绩库!X125)</f>
        <v/>
      </c>
      <c r="X625" t="str">
        <f>IF(YLE成绩库!C125="","", YLE成绩库!AA125)</f>
        <v/>
      </c>
      <c r="Z625" t="str">
        <f>IF(YLE成绩库!C125="","", YLE成绩库!Z125)</f>
        <v/>
      </c>
    </row>
    <row r="626" spans="1:26" x14ac:dyDescent="0.2">
      <c r="A626" t="str">
        <f>IF(YLE成绩库!C126="","", YLE成绩库!C126)</f>
        <v/>
      </c>
      <c r="B626" t="str">
        <f>IF(YLE成绩库!AB126="","", YLE成绩库!AB126)</f>
        <v>2024-01-15</v>
      </c>
      <c r="C626" t="str">
        <f>IF(YLE成绩库!B126="","", YLE成绩库!B126)</f>
        <v/>
      </c>
      <c r="D626" t="str">
        <f>IF(YLE成绩库!D126="","", YLE成绩库!D126)</f>
        <v/>
      </c>
      <c r="E626" t="str">
        <f>IF(YLE成绩库!C126="","", YLE成绩库!L126)</f>
        <v/>
      </c>
      <c r="F626" t="str">
        <f>IF(YLE成绩库!C126="","", YLE成绩库!M126)</f>
        <v/>
      </c>
      <c r="G626" t="str">
        <f>IF(YLE成绩库!C126="","", YLE成绩库!N126)</f>
        <v/>
      </c>
      <c r="H626" t="str">
        <f>IF(YLE成绩库!C126="","", YLE成绩库!O126)</f>
        <v/>
      </c>
      <c r="I626" t="str">
        <f>IF(YLE成绩库!C126="","", YLE成绩库!P126)</f>
        <v/>
      </c>
      <c r="J626" t="str">
        <f>IF(YLE成绩库!C126="","", YLE成绩库!Q126)</f>
        <v/>
      </c>
      <c r="K626" t="str">
        <f>IF(YLE成绩库!C126="","", YLE成绩库!R126)</f>
        <v/>
      </c>
      <c r="L626" t="str">
        <f>IF(YLE成绩库!C126="","", YLE成绩库!U126)</f>
        <v/>
      </c>
      <c r="M626">
        <v>0</v>
      </c>
      <c r="N626">
        <v>0</v>
      </c>
      <c r="O626">
        <v>0</v>
      </c>
      <c r="P626" t="str">
        <f>IF(YLE成绩库!C126="","", YLE成绩库!D126)</f>
        <v/>
      </c>
      <c r="Q626" t="str">
        <f>IF(YLE成绩库!C126="","", YLE成绩库!E126)</f>
        <v/>
      </c>
      <c r="R626" t="str">
        <f>IF(YLE成绩库!C126="","", YLE成绩库!F126)</f>
        <v/>
      </c>
      <c r="S626" t="str">
        <f>IF(YLE成绩库!C126="","", YLE成绩库!G126)</f>
        <v/>
      </c>
      <c r="T626" t="str">
        <f>IF(YLE成绩库!C126="","", YLE成绩库!H126)</f>
        <v/>
      </c>
      <c r="U626" t="str">
        <f>IF(YLE成绩库!C126="","", YLE成绩库!K126)</f>
        <v/>
      </c>
      <c r="V626" t="str">
        <f>IF(YLE成绩库!C126="","", YLE成绩库!W126)</f>
        <v/>
      </c>
      <c r="W626" t="str">
        <f>IF(YLE成绩库!C126="","", YLE成绩库!X126)</f>
        <v/>
      </c>
      <c r="X626" t="str">
        <f>IF(YLE成绩库!C126="","", YLE成绩库!AA126)</f>
        <v/>
      </c>
      <c r="Z626" t="str">
        <f>IF(YLE成绩库!C126="","", YLE成绩库!Z126)</f>
        <v/>
      </c>
    </row>
    <row r="627" spans="1:26" x14ac:dyDescent="0.2">
      <c r="A627" t="str">
        <f>IF(YLE成绩库!C127="","", YLE成绩库!C127)</f>
        <v/>
      </c>
      <c r="B627" t="str">
        <f>IF(YLE成绩库!AB127="","", YLE成绩库!AB127)</f>
        <v>2024-01-15</v>
      </c>
      <c r="C627" t="str">
        <f>IF(YLE成绩库!B127="","", YLE成绩库!B127)</f>
        <v/>
      </c>
      <c r="D627" t="str">
        <f>IF(YLE成绩库!D127="","", YLE成绩库!D127)</f>
        <v/>
      </c>
      <c r="E627" t="str">
        <f>IF(YLE成绩库!C127="","", YLE成绩库!L127)</f>
        <v/>
      </c>
      <c r="F627" t="str">
        <f>IF(YLE成绩库!C127="","", YLE成绩库!M127)</f>
        <v/>
      </c>
      <c r="G627" t="str">
        <f>IF(YLE成绩库!C127="","", YLE成绩库!N127)</f>
        <v/>
      </c>
      <c r="H627" t="str">
        <f>IF(YLE成绩库!C127="","", YLE成绩库!O127)</f>
        <v/>
      </c>
      <c r="I627" t="str">
        <f>IF(YLE成绩库!C127="","", YLE成绩库!P127)</f>
        <v/>
      </c>
      <c r="J627" t="str">
        <f>IF(YLE成绩库!C127="","", YLE成绩库!Q127)</f>
        <v/>
      </c>
      <c r="K627" t="str">
        <f>IF(YLE成绩库!C127="","", YLE成绩库!R127)</f>
        <v/>
      </c>
      <c r="L627" t="str">
        <f>IF(YLE成绩库!C127="","", YLE成绩库!U127)</f>
        <v/>
      </c>
      <c r="M627">
        <v>0</v>
      </c>
      <c r="N627">
        <v>0</v>
      </c>
      <c r="O627">
        <v>0</v>
      </c>
      <c r="P627" t="str">
        <f>IF(YLE成绩库!C127="","", YLE成绩库!D127)</f>
        <v/>
      </c>
      <c r="Q627" t="str">
        <f>IF(YLE成绩库!C127="","", YLE成绩库!E127)</f>
        <v/>
      </c>
      <c r="R627" t="str">
        <f>IF(YLE成绩库!C127="","", YLE成绩库!F127)</f>
        <v/>
      </c>
      <c r="S627" t="str">
        <f>IF(YLE成绩库!C127="","", YLE成绩库!G127)</f>
        <v/>
      </c>
      <c r="T627" t="str">
        <f>IF(YLE成绩库!C127="","", YLE成绩库!H127)</f>
        <v/>
      </c>
      <c r="U627" t="str">
        <f>IF(YLE成绩库!C127="","", YLE成绩库!K127)</f>
        <v/>
      </c>
      <c r="V627" t="str">
        <f>IF(YLE成绩库!C127="","", YLE成绩库!W127)</f>
        <v/>
      </c>
      <c r="W627" t="str">
        <f>IF(YLE成绩库!C127="","", YLE成绩库!X127)</f>
        <v/>
      </c>
      <c r="X627" t="str">
        <f>IF(YLE成绩库!C127="","", YLE成绩库!AA127)</f>
        <v/>
      </c>
      <c r="Z627" t="str">
        <f>IF(YLE成绩库!C127="","", YLE成绩库!Z127)</f>
        <v/>
      </c>
    </row>
    <row r="628" spans="1:26" x14ac:dyDescent="0.2">
      <c r="A628" t="str">
        <f>IF(YLE成绩库!C128="","", YLE成绩库!C128)</f>
        <v/>
      </c>
      <c r="B628" t="str">
        <f>IF(YLE成绩库!AB128="","", YLE成绩库!AB128)</f>
        <v>2024-01-15</v>
      </c>
      <c r="C628" t="str">
        <f>IF(YLE成绩库!B128="","", YLE成绩库!B128)</f>
        <v/>
      </c>
      <c r="D628" t="str">
        <f>IF(YLE成绩库!D128="","", YLE成绩库!D128)</f>
        <v/>
      </c>
      <c r="E628" t="str">
        <f>IF(YLE成绩库!C128="","", YLE成绩库!L128)</f>
        <v/>
      </c>
      <c r="F628" t="str">
        <f>IF(YLE成绩库!C128="","", YLE成绩库!M128)</f>
        <v/>
      </c>
      <c r="G628" t="str">
        <f>IF(YLE成绩库!C128="","", YLE成绩库!N128)</f>
        <v/>
      </c>
      <c r="H628" t="str">
        <f>IF(YLE成绩库!C128="","", YLE成绩库!O128)</f>
        <v/>
      </c>
      <c r="I628" t="str">
        <f>IF(YLE成绩库!C128="","", YLE成绩库!P128)</f>
        <v/>
      </c>
      <c r="J628" t="str">
        <f>IF(YLE成绩库!C128="","", YLE成绩库!Q128)</f>
        <v/>
      </c>
      <c r="K628" t="str">
        <f>IF(YLE成绩库!C128="","", YLE成绩库!R128)</f>
        <v/>
      </c>
      <c r="L628" t="str">
        <f>IF(YLE成绩库!C128="","", YLE成绩库!U128)</f>
        <v/>
      </c>
      <c r="M628">
        <v>0</v>
      </c>
      <c r="N628">
        <v>0</v>
      </c>
      <c r="O628">
        <v>0</v>
      </c>
      <c r="P628" t="str">
        <f>IF(YLE成绩库!C128="","", YLE成绩库!D128)</f>
        <v/>
      </c>
      <c r="Q628" t="str">
        <f>IF(YLE成绩库!C128="","", YLE成绩库!E128)</f>
        <v/>
      </c>
      <c r="R628" t="str">
        <f>IF(YLE成绩库!C128="","", YLE成绩库!F128)</f>
        <v/>
      </c>
      <c r="S628" t="str">
        <f>IF(YLE成绩库!C128="","", YLE成绩库!G128)</f>
        <v/>
      </c>
      <c r="T628" t="str">
        <f>IF(YLE成绩库!C128="","", YLE成绩库!H128)</f>
        <v/>
      </c>
      <c r="U628" t="str">
        <f>IF(YLE成绩库!C128="","", YLE成绩库!K128)</f>
        <v/>
      </c>
      <c r="V628" t="str">
        <f>IF(YLE成绩库!C128="","", YLE成绩库!W128)</f>
        <v/>
      </c>
      <c r="W628" t="str">
        <f>IF(YLE成绩库!C128="","", YLE成绩库!X128)</f>
        <v/>
      </c>
      <c r="X628" t="str">
        <f>IF(YLE成绩库!C128="","", YLE成绩库!AA128)</f>
        <v/>
      </c>
      <c r="Z628" t="str">
        <f>IF(YLE成绩库!C128="","", YLE成绩库!Z128)</f>
        <v/>
      </c>
    </row>
    <row r="629" spans="1:26" x14ac:dyDescent="0.2">
      <c r="A629" t="str">
        <f>IF(YLE成绩库!C129="","", YLE成绩库!C129)</f>
        <v/>
      </c>
      <c r="B629" t="str">
        <f>IF(YLE成绩库!AB129="","", YLE成绩库!AB129)</f>
        <v>2024-01-15</v>
      </c>
      <c r="C629" t="str">
        <f>IF(YLE成绩库!B129="","", YLE成绩库!B129)</f>
        <v/>
      </c>
      <c r="D629" t="str">
        <f>IF(YLE成绩库!D129="","", YLE成绩库!D129)</f>
        <v/>
      </c>
      <c r="E629" t="str">
        <f>IF(YLE成绩库!C129="","", YLE成绩库!L129)</f>
        <v/>
      </c>
      <c r="F629" t="str">
        <f>IF(YLE成绩库!C129="","", YLE成绩库!M129)</f>
        <v/>
      </c>
      <c r="G629" t="str">
        <f>IF(YLE成绩库!C129="","", YLE成绩库!N129)</f>
        <v/>
      </c>
      <c r="H629" t="str">
        <f>IF(YLE成绩库!C129="","", YLE成绩库!O129)</f>
        <v/>
      </c>
      <c r="I629" t="str">
        <f>IF(YLE成绩库!C129="","", YLE成绩库!P129)</f>
        <v/>
      </c>
      <c r="J629" t="str">
        <f>IF(YLE成绩库!C129="","", YLE成绩库!Q129)</f>
        <v/>
      </c>
      <c r="K629" t="str">
        <f>IF(YLE成绩库!C129="","", YLE成绩库!R129)</f>
        <v/>
      </c>
      <c r="L629" t="str">
        <f>IF(YLE成绩库!C129="","", YLE成绩库!U129)</f>
        <v/>
      </c>
      <c r="M629">
        <v>0</v>
      </c>
      <c r="N629">
        <v>0</v>
      </c>
      <c r="O629">
        <v>0</v>
      </c>
      <c r="P629" t="str">
        <f>IF(YLE成绩库!C129="","", YLE成绩库!D129)</f>
        <v/>
      </c>
      <c r="Q629" t="str">
        <f>IF(YLE成绩库!C129="","", YLE成绩库!E129)</f>
        <v/>
      </c>
      <c r="R629" t="str">
        <f>IF(YLE成绩库!C129="","", YLE成绩库!F129)</f>
        <v/>
      </c>
      <c r="S629" t="str">
        <f>IF(YLE成绩库!C129="","", YLE成绩库!G129)</f>
        <v/>
      </c>
      <c r="T629" t="str">
        <f>IF(YLE成绩库!C129="","", YLE成绩库!H129)</f>
        <v/>
      </c>
      <c r="U629" t="str">
        <f>IF(YLE成绩库!C129="","", YLE成绩库!K129)</f>
        <v/>
      </c>
      <c r="V629" t="str">
        <f>IF(YLE成绩库!C129="","", YLE成绩库!W129)</f>
        <v/>
      </c>
      <c r="W629" t="str">
        <f>IF(YLE成绩库!C129="","", YLE成绩库!X129)</f>
        <v/>
      </c>
      <c r="X629" t="str">
        <f>IF(YLE成绩库!C129="","", YLE成绩库!AA129)</f>
        <v/>
      </c>
      <c r="Z629" t="str">
        <f>IF(YLE成绩库!C129="","", YLE成绩库!Z129)</f>
        <v/>
      </c>
    </row>
    <row r="630" spans="1:26" x14ac:dyDescent="0.2">
      <c r="A630" t="str">
        <f>IF(YLE成绩库!C130="","", YLE成绩库!C130)</f>
        <v/>
      </c>
      <c r="B630" t="str">
        <f>IF(YLE成绩库!AB130="","", YLE成绩库!AB130)</f>
        <v>2024-01-15</v>
      </c>
      <c r="C630" t="str">
        <f>IF(YLE成绩库!B130="","", YLE成绩库!B130)</f>
        <v/>
      </c>
      <c r="D630" t="str">
        <f>IF(YLE成绩库!D130="","", YLE成绩库!D130)</f>
        <v/>
      </c>
      <c r="E630" t="str">
        <f>IF(YLE成绩库!C130="","", YLE成绩库!L130)</f>
        <v/>
      </c>
      <c r="F630" t="str">
        <f>IF(YLE成绩库!C130="","", YLE成绩库!M130)</f>
        <v/>
      </c>
      <c r="G630" t="str">
        <f>IF(YLE成绩库!C130="","", YLE成绩库!N130)</f>
        <v/>
      </c>
      <c r="H630" t="str">
        <f>IF(YLE成绩库!C130="","", YLE成绩库!O130)</f>
        <v/>
      </c>
      <c r="I630" t="str">
        <f>IF(YLE成绩库!C130="","", YLE成绩库!P130)</f>
        <v/>
      </c>
      <c r="J630" t="str">
        <f>IF(YLE成绩库!C130="","", YLE成绩库!Q130)</f>
        <v/>
      </c>
      <c r="K630" t="str">
        <f>IF(YLE成绩库!C130="","", YLE成绩库!R130)</f>
        <v/>
      </c>
      <c r="L630" t="str">
        <f>IF(YLE成绩库!C130="","", YLE成绩库!U130)</f>
        <v/>
      </c>
      <c r="M630">
        <v>0</v>
      </c>
      <c r="N630">
        <v>0</v>
      </c>
      <c r="O630">
        <v>0</v>
      </c>
      <c r="P630" t="str">
        <f>IF(YLE成绩库!C130="","", YLE成绩库!D130)</f>
        <v/>
      </c>
      <c r="Q630" t="str">
        <f>IF(YLE成绩库!C130="","", YLE成绩库!E130)</f>
        <v/>
      </c>
      <c r="R630" t="str">
        <f>IF(YLE成绩库!C130="","", YLE成绩库!F130)</f>
        <v/>
      </c>
      <c r="S630" t="str">
        <f>IF(YLE成绩库!C130="","", YLE成绩库!G130)</f>
        <v/>
      </c>
      <c r="T630" t="str">
        <f>IF(YLE成绩库!C130="","", YLE成绩库!H130)</f>
        <v/>
      </c>
      <c r="U630" t="str">
        <f>IF(YLE成绩库!C130="","", YLE成绩库!K130)</f>
        <v/>
      </c>
      <c r="V630" t="str">
        <f>IF(YLE成绩库!C130="","", YLE成绩库!W130)</f>
        <v/>
      </c>
      <c r="W630" t="str">
        <f>IF(YLE成绩库!C130="","", YLE成绩库!X130)</f>
        <v/>
      </c>
      <c r="X630" t="str">
        <f>IF(YLE成绩库!C130="","", YLE成绩库!AA130)</f>
        <v/>
      </c>
      <c r="Z630" t="str">
        <f>IF(YLE成绩库!C130="","", YLE成绩库!Z130)</f>
        <v/>
      </c>
    </row>
    <row r="631" spans="1:26" x14ac:dyDescent="0.2">
      <c r="A631" t="str">
        <f>IF(YLE成绩库!C131="","", YLE成绩库!C131)</f>
        <v/>
      </c>
      <c r="B631" t="str">
        <f>IF(YLE成绩库!AB131="","", YLE成绩库!AB131)</f>
        <v>2024-01-15</v>
      </c>
      <c r="C631" t="str">
        <f>IF(YLE成绩库!B131="","", YLE成绩库!B131)</f>
        <v/>
      </c>
      <c r="D631" t="str">
        <f>IF(YLE成绩库!D131="","", YLE成绩库!D131)</f>
        <v/>
      </c>
      <c r="E631" t="str">
        <f>IF(YLE成绩库!C131="","", YLE成绩库!L131)</f>
        <v/>
      </c>
      <c r="F631" t="str">
        <f>IF(YLE成绩库!C131="","", YLE成绩库!M131)</f>
        <v/>
      </c>
      <c r="G631" t="str">
        <f>IF(YLE成绩库!C131="","", YLE成绩库!N131)</f>
        <v/>
      </c>
      <c r="H631" t="str">
        <f>IF(YLE成绩库!C131="","", YLE成绩库!O131)</f>
        <v/>
      </c>
      <c r="I631" t="str">
        <f>IF(YLE成绩库!C131="","", YLE成绩库!P131)</f>
        <v/>
      </c>
      <c r="J631" t="str">
        <f>IF(YLE成绩库!C131="","", YLE成绩库!Q131)</f>
        <v/>
      </c>
      <c r="K631" t="str">
        <f>IF(YLE成绩库!C131="","", YLE成绩库!R131)</f>
        <v/>
      </c>
      <c r="L631" t="str">
        <f>IF(YLE成绩库!C131="","", YLE成绩库!U131)</f>
        <v/>
      </c>
      <c r="M631">
        <v>0</v>
      </c>
      <c r="N631">
        <v>0</v>
      </c>
      <c r="O631">
        <v>0</v>
      </c>
      <c r="P631" t="str">
        <f>IF(YLE成绩库!C131="","", YLE成绩库!D131)</f>
        <v/>
      </c>
      <c r="Q631" t="str">
        <f>IF(YLE成绩库!C131="","", YLE成绩库!E131)</f>
        <v/>
      </c>
      <c r="R631" t="str">
        <f>IF(YLE成绩库!C131="","", YLE成绩库!F131)</f>
        <v/>
      </c>
      <c r="S631" t="str">
        <f>IF(YLE成绩库!C131="","", YLE成绩库!G131)</f>
        <v/>
      </c>
      <c r="T631" t="str">
        <f>IF(YLE成绩库!C131="","", YLE成绩库!H131)</f>
        <v/>
      </c>
      <c r="U631" t="str">
        <f>IF(YLE成绩库!C131="","", YLE成绩库!K131)</f>
        <v/>
      </c>
      <c r="V631" t="str">
        <f>IF(YLE成绩库!C131="","", YLE成绩库!W131)</f>
        <v/>
      </c>
      <c r="W631" t="str">
        <f>IF(YLE成绩库!C131="","", YLE成绩库!X131)</f>
        <v/>
      </c>
      <c r="X631" t="str">
        <f>IF(YLE成绩库!C131="","", YLE成绩库!AA131)</f>
        <v/>
      </c>
      <c r="Z631" t="str">
        <f>IF(YLE成绩库!C131="","", YLE成绩库!Z131)</f>
        <v/>
      </c>
    </row>
    <row r="632" spans="1:26" x14ac:dyDescent="0.2">
      <c r="A632" t="str">
        <f>IF(YLE成绩库!C132="","", YLE成绩库!C132)</f>
        <v/>
      </c>
      <c r="B632" t="str">
        <f>IF(YLE成绩库!AB132="","", YLE成绩库!AB132)</f>
        <v>2024-01-15</v>
      </c>
      <c r="C632" t="str">
        <f>IF(YLE成绩库!B132="","", YLE成绩库!B132)</f>
        <v/>
      </c>
      <c r="D632" t="str">
        <f>IF(YLE成绩库!D132="","", YLE成绩库!D132)</f>
        <v/>
      </c>
      <c r="E632" t="str">
        <f>IF(YLE成绩库!C132="","", YLE成绩库!L132)</f>
        <v/>
      </c>
      <c r="F632" t="str">
        <f>IF(YLE成绩库!C132="","", YLE成绩库!M132)</f>
        <v/>
      </c>
      <c r="G632" t="str">
        <f>IF(YLE成绩库!C132="","", YLE成绩库!N132)</f>
        <v/>
      </c>
      <c r="H632" t="str">
        <f>IF(YLE成绩库!C132="","", YLE成绩库!O132)</f>
        <v/>
      </c>
      <c r="I632" t="str">
        <f>IF(YLE成绩库!C132="","", YLE成绩库!P132)</f>
        <v/>
      </c>
      <c r="J632" t="str">
        <f>IF(YLE成绩库!C132="","", YLE成绩库!Q132)</f>
        <v/>
      </c>
      <c r="K632" t="str">
        <f>IF(YLE成绩库!C132="","", YLE成绩库!R132)</f>
        <v/>
      </c>
      <c r="L632" t="str">
        <f>IF(YLE成绩库!C132="","", YLE成绩库!U132)</f>
        <v/>
      </c>
      <c r="M632">
        <v>0</v>
      </c>
      <c r="N632">
        <v>0</v>
      </c>
      <c r="O632">
        <v>0</v>
      </c>
      <c r="P632" t="str">
        <f>IF(YLE成绩库!C132="","", YLE成绩库!D132)</f>
        <v/>
      </c>
      <c r="Q632" t="str">
        <f>IF(YLE成绩库!C132="","", YLE成绩库!E132)</f>
        <v/>
      </c>
      <c r="R632" t="str">
        <f>IF(YLE成绩库!C132="","", YLE成绩库!F132)</f>
        <v/>
      </c>
      <c r="S632" t="str">
        <f>IF(YLE成绩库!C132="","", YLE成绩库!G132)</f>
        <v/>
      </c>
      <c r="T632" t="str">
        <f>IF(YLE成绩库!C132="","", YLE成绩库!H132)</f>
        <v/>
      </c>
      <c r="U632" t="str">
        <f>IF(YLE成绩库!C132="","", YLE成绩库!K132)</f>
        <v/>
      </c>
      <c r="V632" t="str">
        <f>IF(YLE成绩库!C132="","", YLE成绩库!W132)</f>
        <v/>
      </c>
      <c r="W632" t="str">
        <f>IF(YLE成绩库!C132="","", YLE成绩库!X132)</f>
        <v/>
      </c>
      <c r="X632" t="str">
        <f>IF(YLE成绩库!C132="","", YLE成绩库!AA132)</f>
        <v/>
      </c>
      <c r="Z632" t="str">
        <f>IF(YLE成绩库!C132="","", YLE成绩库!Z132)</f>
        <v/>
      </c>
    </row>
    <row r="633" spans="1:26" x14ac:dyDescent="0.2">
      <c r="A633" t="str">
        <f>IF(YLE成绩库!C133="","", YLE成绩库!C133)</f>
        <v/>
      </c>
      <c r="B633" t="str">
        <f>IF(YLE成绩库!AB133="","", YLE成绩库!AB133)</f>
        <v>2024-01-15</v>
      </c>
      <c r="C633" t="str">
        <f>IF(YLE成绩库!B133="","", YLE成绩库!B133)</f>
        <v/>
      </c>
      <c r="D633" t="str">
        <f>IF(YLE成绩库!D133="","", YLE成绩库!D133)</f>
        <v/>
      </c>
      <c r="E633" t="str">
        <f>IF(YLE成绩库!C133="","", YLE成绩库!L133)</f>
        <v/>
      </c>
      <c r="F633" t="str">
        <f>IF(YLE成绩库!C133="","", YLE成绩库!M133)</f>
        <v/>
      </c>
      <c r="G633" t="str">
        <f>IF(YLE成绩库!C133="","", YLE成绩库!N133)</f>
        <v/>
      </c>
      <c r="H633" t="str">
        <f>IF(YLE成绩库!C133="","", YLE成绩库!O133)</f>
        <v/>
      </c>
      <c r="I633" t="str">
        <f>IF(YLE成绩库!C133="","", YLE成绩库!P133)</f>
        <v/>
      </c>
      <c r="J633" t="str">
        <f>IF(YLE成绩库!C133="","", YLE成绩库!Q133)</f>
        <v/>
      </c>
      <c r="K633" t="str">
        <f>IF(YLE成绩库!C133="","", YLE成绩库!R133)</f>
        <v/>
      </c>
      <c r="L633" t="str">
        <f>IF(YLE成绩库!C133="","", YLE成绩库!U133)</f>
        <v/>
      </c>
      <c r="M633">
        <v>0</v>
      </c>
      <c r="N633">
        <v>0</v>
      </c>
      <c r="O633">
        <v>0</v>
      </c>
      <c r="P633" t="str">
        <f>IF(YLE成绩库!C133="","", YLE成绩库!D133)</f>
        <v/>
      </c>
      <c r="Q633" t="str">
        <f>IF(YLE成绩库!C133="","", YLE成绩库!E133)</f>
        <v/>
      </c>
      <c r="R633" t="str">
        <f>IF(YLE成绩库!C133="","", YLE成绩库!F133)</f>
        <v/>
      </c>
      <c r="S633" t="str">
        <f>IF(YLE成绩库!C133="","", YLE成绩库!G133)</f>
        <v/>
      </c>
      <c r="T633" t="str">
        <f>IF(YLE成绩库!C133="","", YLE成绩库!H133)</f>
        <v/>
      </c>
      <c r="U633" t="str">
        <f>IF(YLE成绩库!C133="","", YLE成绩库!K133)</f>
        <v/>
      </c>
      <c r="V633" t="str">
        <f>IF(YLE成绩库!C133="","", YLE成绩库!W133)</f>
        <v/>
      </c>
      <c r="W633" t="str">
        <f>IF(YLE成绩库!C133="","", YLE成绩库!X133)</f>
        <v/>
      </c>
      <c r="X633" t="str">
        <f>IF(YLE成绩库!C133="","", YLE成绩库!AA133)</f>
        <v/>
      </c>
      <c r="Z633" t="str">
        <f>IF(YLE成绩库!C133="","", YLE成绩库!Z133)</f>
        <v/>
      </c>
    </row>
    <row r="634" spans="1:26" x14ac:dyDescent="0.2">
      <c r="A634" t="str">
        <f>IF(YLE成绩库!C134="","", YLE成绩库!C134)</f>
        <v/>
      </c>
      <c r="B634" t="str">
        <f>IF(YLE成绩库!AB134="","", YLE成绩库!AB134)</f>
        <v>2024-01-15</v>
      </c>
      <c r="C634" t="str">
        <f>IF(YLE成绩库!B134="","", YLE成绩库!B134)</f>
        <v/>
      </c>
      <c r="D634" t="str">
        <f>IF(YLE成绩库!D134="","", YLE成绩库!D134)</f>
        <v/>
      </c>
      <c r="E634" t="str">
        <f>IF(YLE成绩库!C134="","", YLE成绩库!L134)</f>
        <v/>
      </c>
      <c r="F634" t="str">
        <f>IF(YLE成绩库!C134="","", YLE成绩库!M134)</f>
        <v/>
      </c>
      <c r="G634" t="str">
        <f>IF(YLE成绩库!C134="","", YLE成绩库!N134)</f>
        <v/>
      </c>
      <c r="H634" t="str">
        <f>IF(YLE成绩库!C134="","", YLE成绩库!O134)</f>
        <v/>
      </c>
      <c r="I634" t="str">
        <f>IF(YLE成绩库!C134="","", YLE成绩库!P134)</f>
        <v/>
      </c>
      <c r="J634" t="str">
        <f>IF(YLE成绩库!C134="","", YLE成绩库!Q134)</f>
        <v/>
      </c>
      <c r="K634" t="str">
        <f>IF(YLE成绩库!C134="","", YLE成绩库!R134)</f>
        <v/>
      </c>
      <c r="L634" t="str">
        <f>IF(YLE成绩库!C134="","", YLE成绩库!U134)</f>
        <v/>
      </c>
      <c r="M634">
        <v>0</v>
      </c>
      <c r="N634">
        <v>0</v>
      </c>
      <c r="O634">
        <v>0</v>
      </c>
      <c r="P634" t="str">
        <f>IF(YLE成绩库!C134="","", YLE成绩库!D134)</f>
        <v/>
      </c>
      <c r="Q634" t="str">
        <f>IF(YLE成绩库!C134="","", YLE成绩库!E134)</f>
        <v/>
      </c>
      <c r="R634" t="str">
        <f>IF(YLE成绩库!C134="","", YLE成绩库!F134)</f>
        <v/>
      </c>
      <c r="S634" t="str">
        <f>IF(YLE成绩库!C134="","", YLE成绩库!G134)</f>
        <v/>
      </c>
      <c r="T634" t="str">
        <f>IF(YLE成绩库!C134="","", YLE成绩库!H134)</f>
        <v/>
      </c>
      <c r="U634" t="str">
        <f>IF(YLE成绩库!C134="","", YLE成绩库!K134)</f>
        <v/>
      </c>
      <c r="V634" t="str">
        <f>IF(YLE成绩库!C134="","", YLE成绩库!W134)</f>
        <v/>
      </c>
      <c r="W634" t="str">
        <f>IF(YLE成绩库!C134="","", YLE成绩库!X134)</f>
        <v/>
      </c>
      <c r="X634" t="str">
        <f>IF(YLE成绩库!C134="","", YLE成绩库!AA134)</f>
        <v/>
      </c>
      <c r="Z634" t="str">
        <f>IF(YLE成绩库!C134="","", YLE成绩库!Z134)</f>
        <v/>
      </c>
    </row>
    <row r="635" spans="1:26" x14ac:dyDescent="0.2">
      <c r="A635" t="str">
        <f>IF(YLE成绩库!C135="","", YLE成绩库!C135)</f>
        <v/>
      </c>
      <c r="B635" t="str">
        <f>IF(YLE成绩库!AB135="","", YLE成绩库!AB135)</f>
        <v>2024-01-15</v>
      </c>
      <c r="C635" t="str">
        <f>IF(YLE成绩库!B135="","", YLE成绩库!B135)</f>
        <v/>
      </c>
      <c r="D635" t="str">
        <f>IF(YLE成绩库!D135="","", YLE成绩库!D135)</f>
        <v/>
      </c>
      <c r="E635" t="str">
        <f>IF(YLE成绩库!C135="","", YLE成绩库!L135)</f>
        <v/>
      </c>
      <c r="F635" t="str">
        <f>IF(YLE成绩库!C135="","", YLE成绩库!M135)</f>
        <v/>
      </c>
      <c r="G635" t="str">
        <f>IF(YLE成绩库!C135="","", YLE成绩库!N135)</f>
        <v/>
      </c>
      <c r="H635" t="str">
        <f>IF(YLE成绩库!C135="","", YLE成绩库!O135)</f>
        <v/>
      </c>
      <c r="I635" t="str">
        <f>IF(YLE成绩库!C135="","", YLE成绩库!P135)</f>
        <v/>
      </c>
      <c r="J635" t="str">
        <f>IF(YLE成绩库!C135="","", YLE成绩库!Q135)</f>
        <v/>
      </c>
      <c r="K635" t="str">
        <f>IF(YLE成绩库!C135="","", YLE成绩库!R135)</f>
        <v/>
      </c>
      <c r="L635" t="str">
        <f>IF(YLE成绩库!C135="","", YLE成绩库!U135)</f>
        <v/>
      </c>
      <c r="M635">
        <v>0</v>
      </c>
      <c r="N635">
        <v>0</v>
      </c>
      <c r="O635">
        <v>0</v>
      </c>
      <c r="P635" t="str">
        <f>IF(YLE成绩库!C135="","", YLE成绩库!D135)</f>
        <v/>
      </c>
      <c r="Q635" t="str">
        <f>IF(YLE成绩库!C135="","", YLE成绩库!E135)</f>
        <v/>
      </c>
      <c r="R635" t="str">
        <f>IF(YLE成绩库!C135="","", YLE成绩库!F135)</f>
        <v/>
      </c>
      <c r="S635" t="str">
        <f>IF(YLE成绩库!C135="","", YLE成绩库!G135)</f>
        <v/>
      </c>
      <c r="T635" t="str">
        <f>IF(YLE成绩库!C135="","", YLE成绩库!H135)</f>
        <v/>
      </c>
      <c r="U635" t="str">
        <f>IF(YLE成绩库!C135="","", YLE成绩库!K135)</f>
        <v/>
      </c>
      <c r="V635" t="str">
        <f>IF(YLE成绩库!C135="","", YLE成绩库!W135)</f>
        <v/>
      </c>
      <c r="W635" t="str">
        <f>IF(YLE成绩库!C135="","", YLE成绩库!X135)</f>
        <v/>
      </c>
      <c r="X635" t="str">
        <f>IF(YLE成绩库!C135="","", YLE成绩库!AA135)</f>
        <v/>
      </c>
      <c r="Z635" t="str">
        <f>IF(YLE成绩库!C135="","", YLE成绩库!Z135)</f>
        <v/>
      </c>
    </row>
    <row r="636" spans="1:26" x14ac:dyDescent="0.2">
      <c r="A636" t="str">
        <f>IF(YLE成绩库!C136="","", YLE成绩库!C136)</f>
        <v/>
      </c>
      <c r="B636" t="str">
        <f>IF(YLE成绩库!AB136="","", YLE成绩库!AB136)</f>
        <v>2024-01-15</v>
      </c>
      <c r="C636" t="str">
        <f>IF(YLE成绩库!B136="","", YLE成绩库!B136)</f>
        <v/>
      </c>
      <c r="D636" t="str">
        <f>IF(YLE成绩库!D136="","", YLE成绩库!D136)</f>
        <v/>
      </c>
      <c r="E636" t="str">
        <f>IF(YLE成绩库!C136="","", YLE成绩库!L136)</f>
        <v/>
      </c>
      <c r="F636" t="str">
        <f>IF(YLE成绩库!C136="","", YLE成绩库!M136)</f>
        <v/>
      </c>
      <c r="G636" t="str">
        <f>IF(YLE成绩库!C136="","", YLE成绩库!N136)</f>
        <v/>
      </c>
      <c r="H636" t="str">
        <f>IF(YLE成绩库!C136="","", YLE成绩库!O136)</f>
        <v/>
      </c>
      <c r="I636" t="str">
        <f>IF(YLE成绩库!C136="","", YLE成绩库!P136)</f>
        <v/>
      </c>
      <c r="J636" t="str">
        <f>IF(YLE成绩库!C136="","", YLE成绩库!Q136)</f>
        <v/>
      </c>
      <c r="K636" t="str">
        <f>IF(YLE成绩库!C136="","", YLE成绩库!R136)</f>
        <v/>
      </c>
      <c r="L636" t="str">
        <f>IF(YLE成绩库!C136="","", YLE成绩库!U136)</f>
        <v/>
      </c>
      <c r="M636">
        <v>0</v>
      </c>
      <c r="N636">
        <v>0</v>
      </c>
      <c r="O636">
        <v>0</v>
      </c>
      <c r="P636" t="str">
        <f>IF(YLE成绩库!C136="","", YLE成绩库!D136)</f>
        <v/>
      </c>
      <c r="Q636" t="str">
        <f>IF(YLE成绩库!C136="","", YLE成绩库!E136)</f>
        <v/>
      </c>
      <c r="R636" t="str">
        <f>IF(YLE成绩库!C136="","", YLE成绩库!F136)</f>
        <v/>
      </c>
      <c r="S636" t="str">
        <f>IF(YLE成绩库!C136="","", YLE成绩库!G136)</f>
        <v/>
      </c>
      <c r="T636" t="str">
        <f>IF(YLE成绩库!C136="","", YLE成绩库!H136)</f>
        <v/>
      </c>
      <c r="U636" t="str">
        <f>IF(YLE成绩库!C136="","", YLE成绩库!K136)</f>
        <v/>
      </c>
      <c r="V636" t="str">
        <f>IF(YLE成绩库!C136="","", YLE成绩库!W136)</f>
        <v/>
      </c>
      <c r="W636" t="str">
        <f>IF(YLE成绩库!C136="","", YLE成绩库!X136)</f>
        <v/>
      </c>
      <c r="X636" t="str">
        <f>IF(YLE成绩库!C136="","", YLE成绩库!AA136)</f>
        <v/>
      </c>
      <c r="Z636" t="str">
        <f>IF(YLE成绩库!C136="","", YLE成绩库!Z136)</f>
        <v/>
      </c>
    </row>
    <row r="637" spans="1:26" x14ac:dyDescent="0.2">
      <c r="A637" t="str">
        <f>IF(YLE成绩库!C137="","", YLE成绩库!C137)</f>
        <v/>
      </c>
      <c r="B637" t="str">
        <f>IF(YLE成绩库!AB137="","", YLE成绩库!AB137)</f>
        <v>2024-01-15</v>
      </c>
      <c r="C637" t="str">
        <f>IF(YLE成绩库!B137="","", YLE成绩库!B137)</f>
        <v/>
      </c>
      <c r="D637" t="str">
        <f>IF(YLE成绩库!D137="","", YLE成绩库!D137)</f>
        <v/>
      </c>
      <c r="E637" t="str">
        <f>IF(YLE成绩库!C137="","", YLE成绩库!L137)</f>
        <v/>
      </c>
      <c r="F637" t="str">
        <f>IF(YLE成绩库!C137="","", YLE成绩库!M137)</f>
        <v/>
      </c>
      <c r="G637" t="str">
        <f>IF(YLE成绩库!C137="","", YLE成绩库!N137)</f>
        <v/>
      </c>
      <c r="H637" t="str">
        <f>IF(YLE成绩库!C137="","", YLE成绩库!O137)</f>
        <v/>
      </c>
      <c r="I637" t="str">
        <f>IF(YLE成绩库!C137="","", YLE成绩库!P137)</f>
        <v/>
      </c>
      <c r="J637" t="str">
        <f>IF(YLE成绩库!C137="","", YLE成绩库!Q137)</f>
        <v/>
      </c>
      <c r="K637" t="str">
        <f>IF(YLE成绩库!C137="","", YLE成绩库!R137)</f>
        <v/>
      </c>
      <c r="L637" t="str">
        <f>IF(YLE成绩库!C137="","", YLE成绩库!U137)</f>
        <v/>
      </c>
      <c r="M637">
        <v>0</v>
      </c>
      <c r="N637">
        <v>0</v>
      </c>
      <c r="O637">
        <v>0</v>
      </c>
      <c r="P637" t="str">
        <f>IF(YLE成绩库!C137="","", YLE成绩库!D137)</f>
        <v/>
      </c>
      <c r="Q637" t="str">
        <f>IF(YLE成绩库!C137="","", YLE成绩库!E137)</f>
        <v/>
      </c>
      <c r="R637" t="str">
        <f>IF(YLE成绩库!C137="","", YLE成绩库!F137)</f>
        <v/>
      </c>
      <c r="S637" t="str">
        <f>IF(YLE成绩库!C137="","", YLE成绩库!G137)</f>
        <v/>
      </c>
      <c r="T637" t="str">
        <f>IF(YLE成绩库!C137="","", YLE成绩库!H137)</f>
        <v/>
      </c>
      <c r="U637" t="str">
        <f>IF(YLE成绩库!C137="","", YLE成绩库!K137)</f>
        <v/>
      </c>
      <c r="V637" t="str">
        <f>IF(YLE成绩库!C137="","", YLE成绩库!W137)</f>
        <v/>
      </c>
      <c r="W637" t="str">
        <f>IF(YLE成绩库!C137="","", YLE成绩库!X137)</f>
        <v/>
      </c>
      <c r="X637" t="str">
        <f>IF(YLE成绩库!C137="","", YLE成绩库!AA137)</f>
        <v/>
      </c>
      <c r="Z637" t="str">
        <f>IF(YLE成绩库!C137="","", YLE成绩库!Z137)</f>
        <v/>
      </c>
    </row>
    <row r="638" spans="1:26" x14ac:dyDescent="0.2">
      <c r="A638" t="str">
        <f>IF(YLE成绩库!C138="","", YLE成绩库!C138)</f>
        <v/>
      </c>
      <c r="B638" t="str">
        <f>IF(YLE成绩库!AB138="","", YLE成绩库!AB138)</f>
        <v>2024-01-15</v>
      </c>
      <c r="C638" t="str">
        <f>IF(YLE成绩库!B138="","", YLE成绩库!B138)</f>
        <v/>
      </c>
      <c r="D638" t="str">
        <f>IF(YLE成绩库!D138="","", YLE成绩库!D138)</f>
        <v/>
      </c>
      <c r="E638" t="str">
        <f>IF(YLE成绩库!C138="","", YLE成绩库!L138)</f>
        <v/>
      </c>
      <c r="F638" t="str">
        <f>IF(YLE成绩库!C138="","", YLE成绩库!M138)</f>
        <v/>
      </c>
      <c r="G638" t="str">
        <f>IF(YLE成绩库!C138="","", YLE成绩库!N138)</f>
        <v/>
      </c>
      <c r="H638" t="str">
        <f>IF(YLE成绩库!C138="","", YLE成绩库!O138)</f>
        <v/>
      </c>
      <c r="I638" t="str">
        <f>IF(YLE成绩库!C138="","", YLE成绩库!P138)</f>
        <v/>
      </c>
      <c r="J638" t="str">
        <f>IF(YLE成绩库!C138="","", YLE成绩库!Q138)</f>
        <v/>
      </c>
      <c r="K638" t="str">
        <f>IF(YLE成绩库!C138="","", YLE成绩库!R138)</f>
        <v/>
      </c>
      <c r="L638" t="str">
        <f>IF(YLE成绩库!C138="","", YLE成绩库!U138)</f>
        <v/>
      </c>
      <c r="M638">
        <v>0</v>
      </c>
      <c r="N638">
        <v>0</v>
      </c>
      <c r="O638">
        <v>0</v>
      </c>
      <c r="P638" t="str">
        <f>IF(YLE成绩库!C138="","", YLE成绩库!D138)</f>
        <v/>
      </c>
      <c r="Q638" t="str">
        <f>IF(YLE成绩库!C138="","", YLE成绩库!E138)</f>
        <v/>
      </c>
      <c r="R638" t="str">
        <f>IF(YLE成绩库!C138="","", YLE成绩库!F138)</f>
        <v/>
      </c>
      <c r="S638" t="str">
        <f>IF(YLE成绩库!C138="","", YLE成绩库!G138)</f>
        <v/>
      </c>
      <c r="T638" t="str">
        <f>IF(YLE成绩库!C138="","", YLE成绩库!H138)</f>
        <v/>
      </c>
      <c r="U638" t="str">
        <f>IF(YLE成绩库!C138="","", YLE成绩库!K138)</f>
        <v/>
      </c>
      <c r="V638" t="str">
        <f>IF(YLE成绩库!C138="","", YLE成绩库!W138)</f>
        <v/>
      </c>
      <c r="W638" t="str">
        <f>IF(YLE成绩库!C138="","", YLE成绩库!X138)</f>
        <v/>
      </c>
      <c r="X638" t="str">
        <f>IF(YLE成绩库!C138="","", YLE成绩库!AA138)</f>
        <v/>
      </c>
      <c r="Z638" t="str">
        <f>IF(YLE成绩库!C138="","", YLE成绩库!Z138)</f>
        <v/>
      </c>
    </row>
    <row r="639" spans="1:26" x14ac:dyDescent="0.2">
      <c r="A639" t="str">
        <f>IF(YLE成绩库!C139="","", YLE成绩库!C139)</f>
        <v/>
      </c>
      <c r="B639" t="str">
        <f>IF(YLE成绩库!AB139="","", YLE成绩库!AB139)</f>
        <v>2024-01-15</v>
      </c>
      <c r="C639" t="str">
        <f>IF(YLE成绩库!B139="","", YLE成绩库!B139)</f>
        <v/>
      </c>
      <c r="D639" t="str">
        <f>IF(YLE成绩库!D139="","", YLE成绩库!D139)</f>
        <v/>
      </c>
      <c r="E639" t="str">
        <f>IF(YLE成绩库!C139="","", YLE成绩库!L139)</f>
        <v/>
      </c>
      <c r="F639" t="str">
        <f>IF(YLE成绩库!C139="","", YLE成绩库!M139)</f>
        <v/>
      </c>
      <c r="G639" t="str">
        <f>IF(YLE成绩库!C139="","", YLE成绩库!N139)</f>
        <v/>
      </c>
      <c r="H639" t="str">
        <f>IF(YLE成绩库!C139="","", YLE成绩库!O139)</f>
        <v/>
      </c>
      <c r="I639" t="str">
        <f>IF(YLE成绩库!C139="","", YLE成绩库!P139)</f>
        <v/>
      </c>
      <c r="J639" t="str">
        <f>IF(YLE成绩库!C139="","", YLE成绩库!Q139)</f>
        <v/>
      </c>
      <c r="K639" t="str">
        <f>IF(YLE成绩库!C139="","", YLE成绩库!R139)</f>
        <v/>
      </c>
      <c r="L639" t="str">
        <f>IF(YLE成绩库!C139="","", YLE成绩库!U139)</f>
        <v/>
      </c>
      <c r="M639">
        <v>0</v>
      </c>
      <c r="N639">
        <v>0</v>
      </c>
      <c r="O639">
        <v>0</v>
      </c>
      <c r="P639" t="str">
        <f>IF(YLE成绩库!C139="","", YLE成绩库!D139)</f>
        <v/>
      </c>
      <c r="Q639" t="str">
        <f>IF(YLE成绩库!C139="","", YLE成绩库!E139)</f>
        <v/>
      </c>
      <c r="R639" t="str">
        <f>IF(YLE成绩库!C139="","", YLE成绩库!F139)</f>
        <v/>
      </c>
      <c r="S639" t="str">
        <f>IF(YLE成绩库!C139="","", YLE成绩库!G139)</f>
        <v/>
      </c>
      <c r="T639" t="str">
        <f>IF(YLE成绩库!C139="","", YLE成绩库!H139)</f>
        <v/>
      </c>
      <c r="U639" t="str">
        <f>IF(YLE成绩库!C139="","", YLE成绩库!K139)</f>
        <v/>
      </c>
      <c r="V639" t="str">
        <f>IF(YLE成绩库!C139="","", YLE成绩库!W139)</f>
        <v/>
      </c>
      <c r="W639" t="str">
        <f>IF(YLE成绩库!C139="","", YLE成绩库!X139)</f>
        <v/>
      </c>
      <c r="X639" t="str">
        <f>IF(YLE成绩库!C139="","", YLE成绩库!AA139)</f>
        <v/>
      </c>
      <c r="Z639" t="str">
        <f>IF(YLE成绩库!C139="","", YLE成绩库!Z139)</f>
        <v/>
      </c>
    </row>
    <row r="640" spans="1:26" x14ac:dyDescent="0.2">
      <c r="A640" t="str">
        <f>IF(YLE成绩库!C140="","", YLE成绩库!C140)</f>
        <v/>
      </c>
      <c r="B640" t="str">
        <f>IF(YLE成绩库!AB140="","", YLE成绩库!AB140)</f>
        <v>2024-01-15</v>
      </c>
      <c r="C640" t="str">
        <f>IF(YLE成绩库!B140="","", YLE成绩库!B140)</f>
        <v/>
      </c>
      <c r="D640" t="str">
        <f>IF(YLE成绩库!D140="","", YLE成绩库!D140)</f>
        <v/>
      </c>
      <c r="E640" t="str">
        <f>IF(YLE成绩库!C140="","", YLE成绩库!L140)</f>
        <v/>
      </c>
      <c r="F640" t="str">
        <f>IF(YLE成绩库!C140="","", YLE成绩库!M140)</f>
        <v/>
      </c>
      <c r="G640" t="str">
        <f>IF(YLE成绩库!C140="","", YLE成绩库!N140)</f>
        <v/>
      </c>
      <c r="H640" t="str">
        <f>IF(YLE成绩库!C140="","", YLE成绩库!O140)</f>
        <v/>
      </c>
      <c r="I640" t="str">
        <f>IF(YLE成绩库!C140="","", YLE成绩库!P140)</f>
        <v/>
      </c>
      <c r="J640" t="str">
        <f>IF(YLE成绩库!C140="","", YLE成绩库!Q140)</f>
        <v/>
      </c>
      <c r="K640" t="str">
        <f>IF(YLE成绩库!C140="","", YLE成绩库!R140)</f>
        <v/>
      </c>
      <c r="L640" t="str">
        <f>IF(YLE成绩库!C140="","", YLE成绩库!U140)</f>
        <v/>
      </c>
      <c r="M640">
        <v>0</v>
      </c>
      <c r="N640">
        <v>0</v>
      </c>
      <c r="O640">
        <v>0</v>
      </c>
      <c r="P640" t="str">
        <f>IF(YLE成绩库!C140="","", YLE成绩库!D140)</f>
        <v/>
      </c>
      <c r="Q640" t="str">
        <f>IF(YLE成绩库!C140="","", YLE成绩库!E140)</f>
        <v/>
      </c>
      <c r="R640" t="str">
        <f>IF(YLE成绩库!C140="","", YLE成绩库!F140)</f>
        <v/>
      </c>
      <c r="S640" t="str">
        <f>IF(YLE成绩库!C140="","", YLE成绩库!G140)</f>
        <v/>
      </c>
      <c r="T640" t="str">
        <f>IF(YLE成绩库!C140="","", YLE成绩库!H140)</f>
        <v/>
      </c>
      <c r="U640" t="str">
        <f>IF(YLE成绩库!C140="","", YLE成绩库!K140)</f>
        <v/>
      </c>
      <c r="V640" t="str">
        <f>IF(YLE成绩库!C140="","", YLE成绩库!W140)</f>
        <v/>
      </c>
      <c r="W640" t="str">
        <f>IF(YLE成绩库!C140="","", YLE成绩库!X140)</f>
        <v/>
      </c>
      <c r="X640" t="str">
        <f>IF(YLE成绩库!C140="","", YLE成绩库!AA140)</f>
        <v/>
      </c>
      <c r="Z640" t="str">
        <f>IF(YLE成绩库!C140="","", YLE成绩库!Z140)</f>
        <v/>
      </c>
    </row>
    <row r="641" spans="1:26" x14ac:dyDescent="0.2">
      <c r="A641" t="str">
        <f>IF(YLE成绩库!C141="","", YLE成绩库!C141)</f>
        <v/>
      </c>
      <c r="B641" t="str">
        <f>IF(YLE成绩库!AB141="","", YLE成绩库!AB141)</f>
        <v>2024-01-15</v>
      </c>
      <c r="C641" t="str">
        <f>IF(YLE成绩库!B141="","", YLE成绩库!B141)</f>
        <v/>
      </c>
      <c r="D641" t="str">
        <f>IF(YLE成绩库!D141="","", YLE成绩库!D141)</f>
        <v/>
      </c>
      <c r="E641" t="str">
        <f>IF(YLE成绩库!C141="","", YLE成绩库!L141)</f>
        <v/>
      </c>
      <c r="F641" t="str">
        <f>IF(YLE成绩库!C141="","", YLE成绩库!M141)</f>
        <v/>
      </c>
      <c r="G641" t="str">
        <f>IF(YLE成绩库!C141="","", YLE成绩库!N141)</f>
        <v/>
      </c>
      <c r="H641" t="str">
        <f>IF(YLE成绩库!C141="","", YLE成绩库!O141)</f>
        <v/>
      </c>
      <c r="I641" t="str">
        <f>IF(YLE成绩库!C141="","", YLE成绩库!P141)</f>
        <v/>
      </c>
      <c r="J641" t="str">
        <f>IF(YLE成绩库!C141="","", YLE成绩库!Q141)</f>
        <v/>
      </c>
      <c r="K641" t="str">
        <f>IF(YLE成绩库!C141="","", YLE成绩库!R141)</f>
        <v/>
      </c>
      <c r="L641" t="str">
        <f>IF(YLE成绩库!C141="","", YLE成绩库!U141)</f>
        <v/>
      </c>
      <c r="M641">
        <v>0</v>
      </c>
      <c r="N641">
        <v>0</v>
      </c>
      <c r="O641">
        <v>0</v>
      </c>
      <c r="P641" t="str">
        <f>IF(YLE成绩库!C141="","", YLE成绩库!D141)</f>
        <v/>
      </c>
      <c r="Q641" t="str">
        <f>IF(YLE成绩库!C141="","", YLE成绩库!E141)</f>
        <v/>
      </c>
      <c r="R641" t="str">
        <f>IF(YLE成绩库!C141="","", YLE成绩库!F141)</f>
        <v/>
      </c>
      <c r="S641" t="str">
        <f>IF(YLE成绩库!C141="","", YLE成绩库!G141)</f>
        <v/>
      </c>
      <c r="T641" t="str">
        <f>IF(YLE成绩库!C141="","", YLE成绩库!H141)</f>
        <v/>
      </c>
      <c r="U641" t="str">
        <f>IF(YLE成绩库!C141="","", YLE成绩库!K141)</f>
        <v/>
      </c>
      <c r="V641" t="str">
        <f>IF(YLE成绩库!C141="","", YLE成绩库!W141)</f>
        <v/>
      </c>
      <c r="W641" t="str">
        <f>IF(YLE成绩库!C141="","", YLE成绩库!X141)</f>
        <v/>
      </c>
      <c r="X641" t="str">
        <f>IF(YLE成绩库!C141="","", YLE成绩库!AA141)</f>
        <v/>
      </c>
      <c r="Z641" t="str">
        <f>IF(YLE成绩库!C141="","", YLE成绩库!Z141)</f>
        <v/>
      </c>
    </row>
    <row r="642" spans="1:26" x14ac:dyDescent="0.2">
      <c r="A642" t="str">
        <f>IF(YLE成绩库!C142="","", YLE成绩库!C142)</f>
        <v/>
      </c>
      <c r="B642" t="str">
        <f>IF(YLE成绩库!AB142="","", YLE成绩库!AB142)</f>
        <v>2024-01-15</v>
      </c>
      <c r="C642" t="str">
        <f>IF(YLE成绩库!B142="","", YLE成绩库!B142)</f>
        <v/>
      </c>
      <c r="D642" t="str">
        <f>IF(YLE成绩库!D142="","", YLE成绩库!D142)</f>
        <v/>
      </c>
      <c r="E642" t="str">
        <f>IF(YLE成绩库!C142="","", YLE成绩库!L142)</f>
        <v/>
      </c>
      <c r="F642" t="str">
        <f>IF(YLE成绩库!C142="","", YLE成绩库!M142)</f>
        <v/>
      </c>
      <c r="G642" t="str">
        <f>IF(YLE成绩库!C142="","", YLE成绩库!N142)</f>
        <v/>
      </c>
      <c r="H642" t="str">
        <f>IF(YLE成绩库!C142="","", YLE成绩库!O142)</f>
        <v/>
      </c>
      <c r="I642" t="str">
        <f>IF(YLE成绩库!C142="","", YLE成绩库!P142)</f>
        <v/>
      </c>
      <c r="J642" t="str">
        <f>IF(YLE成绩库!C142="","", YLE成绩库!Q142)</f>
        <v/>
      </c>
      <c r="K642" t="str">
        <f>IF(YLE成绩库!C142="","", YLE成绩库!R142)</f>
        <v/>
      </c>
      <c r="L642" t="str">
        <f>IF(YLE成绩库!C142="","", YLE成绩库!U142)</f>
        <v/>
      </c>
      <c r="M642">
        <v>0</v>
      </c>
      <c r="N642">
        <v>0</v>
      </c>
      <c r="O642">
        <v>0</v>
      </c>
      <c r="P642" t="str">
        <f>IF(YLE成绩库!C142="","", YLE成绩库!D142)</f>
        <v/>
      </c>
      <c r="Q642" t="str">
        <f>IF(YLE成绩库!C142="","", YLE成绩库!E142)</f>
        <v/>
      </c>
      <c r="R642" t="str">
        <f>IF(YLE成绩库!C142="","", YLE成绩库!F142)</f>
        <v/>
      </c>
      <c r="S642" t="str">
        <f>IF(YLE成绩库!C142="","", YLE成绩库!G142)</f>
        <v/>
      </c>
      <c r="T642" t="str">
        <f>IF(YLE成绩库!C142="","", YLE成绩库!H142)</f>
        <v/>
      </c>
      <c r="U642" t="str">
        <f>IF(YLE成绩库!C142="","", YLE成绩库!K142)</f>
        <v/>
      </c>
      <c r="V642" t="str">
        <f>IF(YLE成绩库!C142="","", YLE成绩库!W142)</f>
        <v/>
      </c>
      <c r="W642" t="str">
        <f>IF(YLE成绩库!C142="","", YLE成绩库!X142)</f>
        <v/>
      </c>
      <c r="X642" t="str">
        <f>IF(YLE成绩库!C142="","", YLE成绩库!AA142)</f>
        <v/>
      </c>
      <c r="Z642" t="str">
        <f>IF(YLE成绩库!C142="","", YLE成绩库!Z142)</f>
        <v/>
      </c>
    </row>
    <row r="643" spans="1:26" x14ac:dyDescent="0.2">
      <c r="A643" t="str">
        <f>IF(YLE成绩库!C143="","", YLE成绩库!C143)</f>
        <v/>
      </c>
      <c r="B643" t="str">
        <f>IF(YLE成绩库!AB143="","", YLE成绩库!AB143)</f>
        <v>2024-01-15</v>
      </c>
      <c r="C643" t="str">
        <f>IF(YLE成绩库!B143="","", YLE成绩库!B143)</f>
        <v/>
      </c>
      <c r="D643" t="str">
        <f>IF(YLE成绩库!D143="","", YLE成绩库!D143)</f>
        <v/>
      </c>
      <c r="E643" t="str">
        <f>IF(YLE成绩库!C143="","", YLE成绩库!L143)</f>
        <v/>
      </c>
      <c r="F643" t="str">
        <f>IF(YLE成绩库!C143="","", YLE成绩库!M143)</f>
        <v/>
      </c>
      <c r="G643" t="str">
        <f>IF(YLE成绩库!C143="","", YLE成绩库!N143)</f>
        <v/>
      </c>
      <c r="H643" t="str">
        <f>IF(YLE成绩库!C143="","", YLE成绩库!O143)</f>
        <v/>
      </c>
      <c r="I643" t="str">
        <f>IF(YLE成绩库!C143="","", YLE成绩库!P143)</f>
        <v/>
      </c>
      <c r="J643" t="str">
        <f>IF(YLE成绩库!C143="","", YLE成绩库!Q143)</f>
        <v/>
      </c>
      <c r="K643" t="str">
        <f>IF(YLE成绩库!C143="","", YLE成绩库!R143)</f>
        <v/>
      </c>
      <c r="L643" t="str">
        <f>IF(YLE成绩库!C143="","", YLE成绩库!U143)</f>
        <v/>
      </c>
      <c r="M643">
        <v>0</v>
      </c>
      <c r="N643">
        <v>0</v>
      </c>
      <c r="O643">
        <v>0</v>
      </c>
      <c r="P643" t="str">
        <f>IF(YLE成绩库!C143="","", YLE成绩库!D143)</f>
        <v/>
      </c>
      <c r="Q643" t="str">
        <f>IF(YLE成绩库!C143="","", YLE成绩库!E143)</f>
        <v/>
      </c>
      <c r="R643" t="str">
        <f>IF(YLE成绩库!C143="","", YLE成绩库!F143)</f>
        <v/>
      </c>
      <c r="S643" t="str">
        <f>IF(YLE成绩库!C143="","", YLE成绩库!G143)</f>
        <v/>
      </c>
      <c r="T643" t="str">
        <f>IF(YLE成绩库!C143="","", YLE成绩库!H143)</f>
        <v/>
      </c>
      <c r="U643" t="str">
        <f>IF(YLE成绩库!C143="","", YLE成绩库!K143)</f>
        <v/>
      </c>
      <c r="V643" t="str">
        <f>IF(YLE成绩库!C143="","", YLE成绩库!W143)</f>
        <v/>
      </c>
      <c r="W643" t="str">
        <f>IF(YLE成绩库!C143="","", YLE成绩库!X143)</f>
        <v/>
      </c>
      <c r="X643" t="str">
        <f>IF(YLE成绩库!C143="","", YLE成绩库!AA143)</f>
        <v/>
      </c>
      <c r="Z643" t="str">
        <f>IF(YLE成绩库!C143="","", YLE成绩库!Z143)</f>
        <v/>
      </c>
    </row>
    <row r="644" spans="1:26" x14ac:dyDescent="0.2">
      <c r="A644" t="str">
        <f>IF(YLE成绩库!C144="","", YLE成绩库!C144)</f>
        <v/>
      </c>
      <c r="B644" t="str">
        <f>IF(YLE成绩库!AB144="","", YLE成绩库!AB144)</f>
        <v>2024-01-15</v>
      </c>
      <c r="C644" t="str">
        <f>IF(YLE成绩库!B144="","", YLE成绩库!B144)</f>
        <v/>
      </c>
      <c r="D644" t="str">
        <f>IF(YLE成绩库!D144="","", YLE成绩库!D144)</f>
        <v/>
      </c>
      <c r="E644" t="str">
        <f>IF(YLE成绩库!C144="","", YLE成绩库!L144)</f>
        <v/>
      </c>
      <c r="F644" t="str">
        <f>IF(YLE成绩库!C144="","", YLE成绩库!M144)</f>
        <v/>
      </c>
      <c r="G644" t="str">
        <f>IF(YLE成绩库!C144="","", YLE成绩库!N144)</f>
        <v/>
      </c>
      <c r="H644" t="str">
        <f>IF(YLE成绩库!C144="","", YLE成绩库!O144)</f>
        <v/>
      </c>
      <c r="I644" t="str">
        <f>IF(YLE成绩库!C144="","", YLE成绩库!P144)</f>
        <v/>
      </c>
      <c r="J644" t="str">
        <f>IF(YLE成绩库!C144="","", YLE成绩库!Q144)</f>
        <v/>
      </c>
      <c r="K644" t="str">
        <f>IF(YLE成绩库!C144="","", YLE成绩库!R144)</f>
        <v/>
      </c>
      <c r="L644" t="str">
        <f>IF(YLE成绩库!C144="","", YLE成绩库!U144)</f>
        <v/>
      </c>
      <c r="M644">
        <v>0</v>
      </c>
      <c r="N644">
        <v>0</v>
      </c>
      <c r="O644">
        <v>0</v>
      </c>
      <c r="P644" t="str">
        <f>IF(YLE成绩库!C144="","", YLE成绩库!D144)</f>
        <v/>
      </c>
      <c r="Q644" t="str">
        <f>IF(YLE成绩库!C144="","", YLE成绩库!E144)</f>
        <v/>
      </c>
      <c r="R644" t="str">
        <f>IF(YLE成绩库!C144="","", YLE成绩库!F144)</f>
        <v/>
      </c>
      <c r="S644" t="str">
        <f>IF(YLE成绩库!C144="","", YLE成绩库!G144)</f>
        <v/>
      </c>
      <c r="T644" t="str">
        <f>IF(YLE成绩库!C144="","", YLE成绩库!H144)</f>
        <v/>
      </c>
      <c r="U644" t="str">
        <f>IF(YLE成绩库!C144="","", YLE成绩库!K144)</f>
        <v/>
      </c>
      <c r="V644" t="str">
        <f>IF(YLE成绩库!C144="","", YLE成绩库!W144)</f>
        <v/>
      </c>
      <c r="W644" t="str">
        <f>IF(YLE成绩库!C144="","", YLE成绩库!X144)</f>
        <v/>
      </c>
      <c r="X644" t="str">
        <f>IF(YLE成绩库!C144="","", YLE成绩库!AA144)</f>
        <v/>
      </c>
      <c r="Z644" t="str">
        <f>IF(YLE成绩库!C144="","", YLE成绩库!Z144)</f>
        <v/>
      </c>
    </row>
    <row r="645" spans="1:26" x14ac:dyDescent="0.2">
      <c r="A645" t="str">
        <f>IF(YLE成绩库!C145="","", YLE成绩库!C145)</f>
        <v/>
      </c>
      <c r="B645" t="str">
        <f>IF(YLE成绩库!AB145="","", YLE成绩库!AB145)</f>
        <v>2024-01-15</v>
      </c>
      <c r="C645" t="str">
        <f>IF(YLE成绩库!B145="","", YLE成绩库!B145)</f>
        <v/>
      </c>
      <c r="D645" t="str">
        <f>IF(YLE成绩库!D145="","", YLE成绩库!D145)</f>
        <v/>
      </c>
      <c r="E645" t="str">
        <f>IF(YLE成绩库!C145="","", YLE成绩库!L145)</f>
        <v/>
      </c>
      <c r="F645" t="str">
        <f>IF(YLE成绩库!C145="","", YLE成绩库!M145)</f>
        <v/>
      </c>
      <c r="G645" t="str">
        <f>IF(YLE成绩库!C145="","", YLE成绩库!N145)</f>
        <v/>
      </c>
      <c r="H645" t="str">
        <f>IF(YLE成绩库!C145="","", YLE成绩库!O145)</f>
        <v/>
      </c>
      <c r="I645" t="str">
        <f>IF(YLE成绩库!C145="","", YLE成绩库!P145)</f>
        <v/>
      </c>
      <c r="J645" t="str">
        <f>IF(YLE成绩库!C145="","", YLE成绩库!Q145)</f>
        <v/>
      </c>
      <c r="K645" t="str">
        <f>IF(YLE成绩库!C145="","", YLE成绩库!R145)</f>
        <v/>
      </c>
      <c r="L645" t="str">
        <f>IF(YLE成绩库!C145="","", YLE成绩库!U145)</f>
        <v/>
      </c>
      <c r="M645">
        <v>0</v>
      </c>
      <c r="N645">
        <v>0</v>
      </c>
      <c r="O645">
        <v>0</v>
      </c>
      <c r="P645" t="str">
        <f>IF(YLE成绩库!C145="","", YLE成绩库!D145)</f>
        <v/>
      </c>
      <c r="Q645" t="str">
        <f>IF(YLE成绩库!C145="","", YLE成绩库!E145)</f>
        <v/>
      </c>
      <c r="R645" t="str">
        <f>IF(YLE成绩库!C145="","", YLE成绩库!F145)</f>
        <v/>
      </c>
      <c r="S645" t="str">
        <f>IF(YLE成绩库!C145="","", YLE成绩库!G145)</f>
        <v/>
      </c>
      <c r="T645" t="str">
        <f>IF(YLE成绩库!C145="","", YLE成绩库!H145)</f>
        <v/>
      </c>
      <c r="U645" t="str">
        <f>IF(YLE成绩库!C145="","", YLE成绩库!K145)</f>
        <v/>
      </c>
      <c r="V645" t="str">
        <f>IF(YLE成绩库!C145="","", YLE成绩库!W145)</f>
        <v/>
      </c>
      <c r="W645" t="str">
        <f>IF(YLE成绩库!C145="","", YLE成绩库!X145)</f>
        <v/>
      </c>
      <c r="X645" t="str">
        <f>IF(YLE成绩库!C145="","", YLE成绩库!AA145)</f>
        <v/>
      </c>
      <c r="Z645" t="str">
        <f>IF(YLE成绩库!C145="","", YLE成绩库!Z145)</f>
        <v/>
      </c>
    </row>
    <row r="646" spans="1:26" x14ac:dyDescent="0.2">
      <c r="A646" t="str">
        <f>IF(YLE成绩库!C146="","", YLE成绩库!C146)</f>
        <v/>
      </c>
      <c r="B646" t="str">
        <f>IF(YLE成绩库!AB146="","", YLE成绩库!AB146)</f>
        <v>2024-01-15</v>
      </c>
      <c r="C646" t="str">
        <f>IF(YLE成绩库!B146="","", YLE成绩库!B146)</f>
        <v/>
      </c>
      <c r="D646" t="str">
        <f>IF(YLE成绩库!D146="","", YLE成绩库!D146)</f>
        <v/>
      </c>
      <c r="E646" t="str">
        <f>IF(YLE成绩库!C146="","", YLE成绩库!L146)</f>
        <v/>
      </c>
      <c r="F646" t="str">
        <f>IF(YLE成绩库!C146="","", YLE成绩库!M146)</f>
        <v/>
      </c>
      <c r="G646" t="str">
        <f>IF(YLE成绩库!C146="","", YLE成绩库!N146)</f>
        <v/>
      </c>
      <c r="H646" t="str">
        <f>IF(YLE成绩库!C146="","", YLE成绩库!O146)</f>
        <v/>
      </c>
      <c r="I646" t="str">
        <f>IF(YLE成绩库!C146="","", YLE成绩库!P146)</f>
        <v/>
      </c>
      <c r="J646" t="str">
        <f>IF(YLE成绩库!C146="","", YLE成绩库!Q146)</f>
        <v/>
      </c>
      <c r="K646" t="str">
        <f>IF(YLE成绩库!C146="","", YLE成绩库!R146)</f>
        <v/>
      </c>
      <c r="L646" t="str">
        <f>IF(YLE成绩库!C146="","", YLE成绩库!U146)</f>
        <v/>
      </c>
      <c r="M646">
        <v>0</v>
      </c>
      <c r="N646">
        <v>0</v>
      </c>
      <c r="O646">
        <v>0</v>
      </c>
      <c r="P646" t="str">
        <f>IF(YLE成绩库!C146="","", YLE成绩库!D146)</f>
        <v/>
      </c>
      <c r="Q646" t="str">
        <f>IF(YLE成绩库!C146="","", YLE成绩库!E146)</f>
        <v/>
      </c>
      <c r="R646" t="str">
        <f>IF(YLE成绩库!C146="","", YLE成绩库!F146)</f>
        <v/>
      </c>
      <c r="S646" t="str">
        <f>IF(YLE成绩库!C146="","", YLE成绩库!G146)</f>
        <v/>
      </c>
      <c r="T646" t="str">
        <f>IF(YLE成绩库!C146="","", YLE成绩库!H146)</f>
        <v/>
      </c>
      <c r="U646" t="str">
        <f>IF(YLE成绩库!C146="","", YLE成绩库!K146)</f>
        <v/>
      </c>
      <c r="V646" t="str">
        <f>IF(YLE成绩库!C146="","", YLE成绩库!W146)</f>
        <v/>
      </c>
      <c r="W646" t="str">
        <f>IF(YLE成绩库!C146="","", YLE成绩库!X146)</f>
        <v/>
      </c>
      <c r="X646" t="str">
        <f>IF(YLE成绩库!C146="","", YLE成绩库!AA146)</f>
        <v/>
      </c>
      <c r="Z646" t="str">
        <f>IF(YLE成绩库!C146="","", YLE成绩库!Z146)</f>
        <v/>
      </c>
    </row>
    <row r="647" spans="1:26" x14ac:dyDescent="0.2">
      <c r="A647" t="str">
        <f>IF(YLE成绩库!C147="","", YLE成绩库!C147)</f>
        <v/>
      </c>
      <c r="B647" t="str">
        <f>IF(YLE成绩库!AB147="","", YLE成绩库!AB147)</f>
        <v>2024-01-15</v>
      </c>
      <c r="C647" t="str">
        <f>IF(YLE成绩库!B147="","", YLE成绩库!B147)</f>
        <v/>
      </c>
      <c r="D647" t="str">
        <f>IF(YLE成绩库!D147="","", YLE成绩库!D147)</f>
        <v/>
      </c>
      <c r="E647" t="str">
        <f>IF(YLE成绩库!C147="","", YLE成绩库!L147)</f>
        <v/>
      </c>
      <c r="F647" t="str">
        <f>IF(YLE成绩库!C147="","", YLE成绩库!M147)</f>
        <v/>
      </c>
      <c r="G647" t="str">
        <f>IF(YLE成绩库!C147="","", YLE成绩库!N147)</f>
        <v/>
      </c>
      <c r="H647" t="str">
        <f>IF(YLE成绩库!C147="","", YLE成绩库!O147)</f>
        <v/>
      </c>
      <c r="I647" t="str">
        <f>IF(YLE成绩库!C147="","", YLE成绩库!P147)</f>
        <v/>
      </c>
      <c r="J647" t="str">
        <f>IF(YLE成绩库!C147="","", YLE成绩库!Q147)</f>
        <v/>
      </c>
      <c r="K647" t="str">
        <f>IF(YLE成绩库!C147="","", YLE成绩库!R147)</f>
        <v/>
      </c>
      <c r="L647" t="str">
        <f>IF(YLE成绩库!C147="","", YLE成绩库!U147)</f>
        <v/>
      </c>
      <c r="M647">
        <v>0</v>
      </c>
      <c r="N647">
        <v>0</v>
      </c>
      <c r="O647">
        <v>0</v>
      </c>
      <c r="P647" t="str">
        <f>IF(YLE成绩库!C147="","", YLE成绩库!D147)</f>
        <v/>
      </c>
      <c r="Q647" t="str">
        <f>IF(YLE成绩库!C147="","", YLE成绩库!E147)</f>
        <v/>
      </c>
      <c r="R647" t="str">
        <f>IF(YLE成绩库!C147="","", YLE成绩库!F147)</f>
        <v/>
      </c>
      <c r="S647" t="str">
        <f>IF(YLE成绩库!C147="","", YLE成绩库!G147)</f>
        <v/>
      </c>
      <c r="T647" t="str">
        <f>IF(YLE成绩库!C147="","", YLE成绩库!H147)</f>
        <v/>
      </c>
      <c r="U647" t="str">
        <f>IF(YLE成绩库!C147="","", YLE成绩库!K147)</f>
        <v/>
      </c>
      <c r="V647" t="str">
        <f>IF(YLE成绩库!C147="","", YLE成绩库!W147)</f>
        <v/>
      </c>
      <c r="W647" t="str">
        <f>IF(YLE成绩库!C147="","", YLE成绩库!X147)</f>
        <v/>
      </c>
      <c r="X647" t="str">
        <f>IF(YLE成绩库!C147="","", YLE成绩库!AA147)</f>
        <v/>
      </c>
      <c r="Z647" t="str">
        <f>IF(YLE成绩库!C147="","", YLE成绩库!Z147)</f>
        <v/>
      </c>
    </row>
    <row r="648" spans="1:26" x14ac:dyDescent="0.2">
      <c r="A648" t="str">
        <f>IF(YLE成绩库!C148="","", YLE成绩库!C148)</f>
        <v/>
      </c>
      <c r="B648" t="str">
        <f>IF(YLE成绩库!AB148="","", YLE成绩库!AB148)</f>
        <v>2024-01-15</v>
      </c>
      <c r="C648" t="str">
        <f>IF(YLE成绩库!B148="","", YLE成绩库!B148)</f>
        <v/>
      </c>
      <c r="D648" t="str">
        <f>IF(YLE成绩库!D148="","", YLE成绩库!D148)</f>
        <v/>
      </c>
      <c r="E648" t="str">
        <f>IF(YLE成绩库!C148="","", YLE成绩库!L148)</f>
        <v/>
      </c>
      <c r="F648" t="str">
        <f>IF(YLE成绩库!C148="","", YLE成绩库!M148)</f>
        <v/>
      </c>
      <c r="G648" t="str">
        <f>IF(YLE成绩库!C148="","", YLE成绩库!N148)</f>
        <v/>
      </c>
      <c r="H648" t="str">
        <f>IF(YLE成绩库!C148="","", YLE成绩库!O148)</f>
        <v/>
      </c>
      <c r="I648" t="str">
        <f>IF(YLE成绩库!C148="","", YLE成绩库!P148)</f>
        <v/>
      </c>
      <c r="J648" t="str">
        <f>IF(YLE成绩库!C148="","", YLE成绩库!Q148)</f>
        <v/>
      </c>
      <c r="K648" t="str">
        <f>IF(YLE成绩库!C148="","", YLE成绩库!R148)</f>
        <v/>
      </c>
      <c r="L648" t="str">
        <f>IF(YLE成绩库!C148="","", YLE成绩库!U148)</f>
        <v/>
      </c>
      <c r="M648">
        <v>0</v>
      </c>
      <c r="N648">
        <v>0</v>
      </c>
      <c r="O648">
        <v>0</v>
      </c>
      <c r="P648" t="str">
        <f>IF(YLE成绩库!C148="","", YLE成绩库!D148)</f>
        <v/>
      </c>
      <c r="Q648" t="str">
        <f>IF(YLE成绩库!C148="","", YLE成绩库!E148)</f>
        <v/>
      </c>
      <c r="R648" t="str">
        <f>IF(YLE成绩库!C148="","", YLE成绩库!F148)</f>
        <v/>
      </c>
      <c r="S648" t="str">
        <f>IF(YLE成绩库!C148="","", YLE成绩库!G148)</f>
        <v/>
      </c>
      <c r="T648" t="str">
        <f>IF(YLE成绩库!C148="","", YLE成绩库!H148)</f>
        <v/>
      </c>
      <c r="U648" t="str">
        <f>IF(YLE成绩库!C148="","", YLE成绩库!K148)</f>
        <v/>
      </c>
      <c r="V648" t="str">
        <f>IF(YLE成绩库!C148="","", YLE成绩库!W148)</f>
        <v/>
      </c>
      <c r="W648" t="str">
        <f>IF(YLE成绩库!C148="","", YLE成绩库!X148)</f>
        <v/>
      </c>
      <c r="X648" t="str">
        <f>IF(YLE成绩库!C148="","", YLE成绩库!AA148)</f>
        <v/>
      </c>
      <c r="Z648" t="str">
        <f>IF(YLE成绩库!C148="","", YLE成绩库!Z148)</f>
        <v/>
      </c>
    </row>
    <row r="649" spans="1:26" x14ac:dyDescent="0.2">
      <c r="A649" t="str">
        <f>IF(YLE成绩库!C149="","", YLE成绩库!C149)</f>
        <v/>
      </c>
      <c r="B649" t="str">
        <f>IF(YLE成绩库!AB149="","", YLE成绩库!AB149)</f>
        <v>2024-01-15</v>
      </c>
      <c r="C649" t="str">
        <f>IF(YLE成绩库!B149="","", YLE成绩库!B149)</f>
        <v/>
      </c>
      <c r="D649" t="str">
        <f>IF(YLE成绩库!D149="","", YLE成绩库!D149)</f>
        <v/>
      </c>
      <c r="E649" t="str">
        <f>IF(YLE成绩库!C149="","", YLE成绩库!L149)</f>
        <v/>
      </c>
      <c r="F649" t="str">
        <f>IF(YLE成绩库!C149="","", YLE成绩库!M149)</f>
        <v/>
      </c>
      <c r="G649" t="str">
        <f>IF(YLE成绩库!C149="","", YLE成绩库!N149)</f>
        <v/>
      </c>
      <c r="H649" t="str">
        <f>IF(YLE成绩库!C149="","", YLE成绩库!O149)</f>
        <v/>
      </c>
      <c r="I649" t="str">
        <f>IF(YLE成绩库!C149="","", YLE成绩库!P149)</f>
        <v/>
      </c>
      <c r="J649" t="str">
        <f>IF(YLE成绩库!C149="","", YLE成绩库!Q149)</f>
        <v/>
      </c>
      <c r="K649" t="str">
        <f>IF(YLE成绩库!C149="","", YLE成绩库!R149)</f>
        <v/>
      </c>
      <c r="L649" t="str">
        <f>IF(YLE成绩库!C149="","", YLE成绩库!U149)</f>
        <v/>
      </c>
      <c r="M649">
        <v>0</v>
      </c>
      <c r="N649">
        <v>0</v>
      </c>
      <c r="O649">
        <v>0</v>
      </c>
      <c r="P649" t="str">
        <f>IF(YLE成绩库!C149="","", YLE成绩库!D149)</f>
        <v/>
      </c>
      <c r="Q649" t="str">
        <f>IF(YLE成绩库!C149="","", YLE成绩库!E149)</f>
        <v/>
      </c>
      <c r="R649" t="str">
        <f>IF(YLE成绩库!C149="","", YLE成绩库!F149)</f>
        <v/>
      </c>
      <c r="S649" t="str">
        <f>IF(YLE成绩库!C149="","", YLE成绩库!G149)</f>
        <v/>
      </c>
      <c r="T649" t="str">
        <f>IF(YLE成绩库!C149="","", YLE成绩库!H149)</f>
        <v/>
      </c>
      <c r="U649" t="str">
        <f>IF(YLE成绩库!C149="","", YLE成绩库!K149)</f>
        <v/>
      </c>
      <c r="V649" t="str">
        <f>IF(YLE成绩库!C149="","", YLE成绩库!W149)</f>
        <v/>
      </c>
      <c r="W649" t="str">
        <f>IF(YLE成绩库!C149="","", YLE成绩库!X149)</f>
        <v/>
      </c>
      <c r="X649" t="str">
        <f>IF(YLE成绩库!C149="","", YLE成绩库!AA149)</f>
        <v/>
      </c>
      <c r="Z649" t="str">
        <f>IF(YLE成绩库!C149="","", YLE成绩库!Z149)</f>
        <v/>
      </c>
    </row>
    <row r="650" spans="1:26" x14ac:dyDescent="0.2">
      <c r="A650" t="str">
        <f>IF(YLE成绩库!C150="","", YLE成绩库!C150)</f>
        <v/>
      </c>
      <c r="B650" t="str">
        <f>IF(YLE成绩库!AB150="","", YLE成绩库!AB150)</f>
        <v>2024-01-15</v>
      </c>
      <c r="C650" t="str">
        <f>IF(YLE成绩库!B150="","", YLE成绩库!B150)</f>
        <v/>
      </c>
      <c r="D650" t="str">
        <f>IF(YLE成绩库!D150="","", YLE成绩库!D150)</f>
        <v/>
      </c>
      <c r="E650" t="str">
        <f>IF(YLE成绩库!C150="","", YLE成绩库!L150)</f>
        <v/>
      </c>
      <c r="F650" t="str">
        <f>IF(YLE成绩库!C150="","", YLE成绩库!M150)</f>
        <v/>
      </c>
      <c r="G650" t="str">
        <f>IF(YLE成绩库!C150="","", YLE成绩库!N150)</f>
        <v/>
      </c>
      <c r="H650" t="str">
        <f>IF(YLE成绩库!C150="","", YLE成绩库!O150)</f>
        <v/>
      </c>
      <c r="I650" t="str">
        <f>IF(YLE成绩库!C150="","", YLE成绩库!P150)</f>
        <v/>
      </c>
      <c r="J650" t="str">
        <f>IF(YLE成绩库!C150="","", YLE成绩库!Q150)</f>
        <v/>
      </c>
      <c r="K650" t="str">
        <f>IF(YLE成绩库!C150="","", YLE成绩库!R150)</f>
        <v/>
      </c>
      <c r="L650" t="str">
        <f>IF(YLE成绩库!C150="","", YLE成绩库!U150)</f>
        <v/>
      </c>
      <c r="M650">
        <v>0</v>
      </c>
      <c r="N650">
        <v>0</v>
      </c>
      <c r="O650">
        <v>0</v>
      </c>
      <c r="P650" t="str">
        <f>IF(YLE成绩库!C150="","", YLE成绩库!D150)</f>
        <v/>
      </c>
      <c r="Q650" t="str">
        <f>IF(YLE成绩库!C150="","", YLE成绩库!E150)</f>
        <v/>
      </c>
      <c r="R650" t="str">
        <f>IF(YLE成绩库!C150="","", YLE成绩库!F150)</f>
        <v/>
      </c>
      <c r="S650" t="str">
        <f>IF(YLE成绩库!C150="","", YLE成绩库!G150)</f>
        <v/>
      </c>
      <c r="T650" t="str">
        <f>IF(YLE成绩库!C150="","", YLE成绩库!H150)</f>
        <v/>
      </c>
      <c r="U650" t="str">
        <f>IF(YLE成绩库!C150="","", YLE成绩库!K150)</f>
        <v/>
      </c>
      <c r="V650" t="str">
        <f>IF(YLE成绩库!C150="","", YLE成绩库!W150)</f>
        <v/>
      </c>
      <c r="W650" t="str">
        <f>IF(YLE成绩库!C150="","", YLE成绩库!X150)</f>
        <v/>
      </c>
      <c r="X650" t="str">
        <f>IF(YLE成绩库!C150="","", YLE成绩库!AA150)</f>
        <v/>
      </c>
      <c r="Z650" t="str">
        <f>IF(YLE成绩库!C150="","", YLE成绩库!Z150)</f>
        <v/>
      </c>
    </row>
    <row r="651" spans="1:26" x14ac:dyDescent="0.2">
      <c r="A651" t="str">
        <f>IF(YLE成绩库!C151="","", YLE成绩库!C151)</f>
        <v/>
      </c>
      <c r="B651" t="str">
        <f>IF(YLE成绩库!AB151="","", YLE成绩库!AB151)</f>
        <v>2024-01-15</v>
      </c>
      <c r="C651" t="str">
        <f>IF(YLE成绩库!B151="","", YLE成绩库!B151)</f>
        <v/>
      </c>
      <c r="D651" t="str">
        <f>IF(YLE成绩库!D151="","", YLE成绩库!D151)</f>
        <v/>
      </c>
      <c r="E651" t="str">
        <f>IF(YLE成绩库!C151="","", YLE成绩库!L151)</f>
        <v/>
      </c>
      <c r="F651" t="str">
        <f>IF(YLE成绩库!C151="","", YLE成绩库!M151)</f>
        <v/>
      </c>
      <c r="G651" t="str">
        <f>IF(YLE成绩库!C151="","", YLE成绩库!N151)</f>
        <v/>
      </c>
      <c r="H651" t="str">
        <f>IF(YLE成绩库!C151="","", YLE成绩库!O151)</f>
        <v/>
      </c>
      <c r="I651" t="str">
        <f>IF(YLE成绩库!C151="","", YLE成绩库!P151)</f>
        <v/>
      </c>
      <c r="J651" t="str">
        <f>IF(YLE成绩库!C151="","", YLE成绩库!Q151)</f>
        <v/>
      </c>
      <c r="K651" t="str">
        <f>IF(YLE成绩库!C151="","", YLE成绩库!R151)</f>
        <v/>
      </c>
      <c r="L651" t="str">
        <f>IF(YLE成绩库!C151="","", YLE成绩库!U151)</f>
        <v/>
      </c>
      <c r="M651">
        <v>0</v>
      </c>
      <c r="N651">
        <v>0</v>
      </c>
      <c r="O651">
        <v>0</v>
      </c>
      <c r="P651" t="str">
        <f>IF(YLE成绩库!C151="","", YLE成绩库!D151)</f>
        <v/>
      </c>
      <c r="Q651" t="str">
        <f>IF(YLE成绩库!C151="","", YLE成绩库!E151)</f>
        <v/>
      </c>
      <c r="R651" t="str">
        <f>IF(YLE成绩库!C151="","", YLE成绩库!F151)</f>
        <v/>
      </c>
      <c r="S651" t="str">
        <f>IF(YLE成绩库!C151="","", YLE成绩库!G151)</f>
        <v/>
      </c>
      <c r="T651" t="str">
        <f>IF(YLE成绩库!C151="","", YLE成绩库!H151)</f>
        <v/>
      </c>
      <c r="U651" t="str">
        <f>IF(YLE成绩库!C151="","", YLE成绩库!K151)</f>
        <v/>
      </c>
      <c r="V651" t="str">
        <f>IF(YLE成绩库!C151="","", YLE成绩库!W151)</f>
        <v/>
      </c>
      <c r="W651" t="str">
        <f>IF(YLE成绩库!C151="","", YLE成绩库!X151)</f>
        <v/>
      </c>
      <c r="X651" t="str">
        <f>IF(YLE成绩库!C151="","", YLE成绩库!AA151)</f>
        <v/>
      </c>
      <c r="Z651" t="str">
        <f>IF(YLE成绩库!C151="","", YLE成绩库!Z151)</f>
        <v/>
      </c>
    </row>
    <row r="652" spans="1:26" x14ac:dyDescent="0.2">
      <c r="A652" t="str">
        <f>IF(YLE成绩库!C152="","", YLE成绩库!C152)</f>
        <v/>
      </c>
      <c r="B652" t="str">
        <f>IF(YLE成绩库!AB152="","", YLE成绩库!AB152)</f>
        <v>2024-01-15</v>
      </c>
      <c r="C652" t="str">
        <f>IF(YLE成绩库!B152="","", YLE成绩库!B152)</f>
        <v/>
      </c>
      <c r="D652" t="str">
        <f>IF(YLE成绩库!D152="","", YLE成绩库!D152)</f>
        <v/>
      </c>
      <c r="E652" t="str">
        <f>IF(YLE成绩库!C152="","", YLE成绩库!L152)</f>
        <v/>
      </c>
      <c r="F652" t="str">
        <f>IF(YLE成绩库!C152="","", YLE成绩库!M152)</f>
        <v/>
      </c>
      <c r="G652" t="str">
        <f>IF(YLE成绩库!C152="","", YLE成绩库!N152)</f>
        <v/>
      </c>
      <c r="H652" t="str">
        <f>IF(YLE成绩库!C152="","", YLE成绩库!O152)</f>
        <v/>
      </c>
      <c r="I652" t="str">
        <f>IF(YLE成绩库!C152="","", YLE成绩库!P152)</f>
        <v/>
      </c>
      <c r="J652" t="str">
        <f>IF(YLE成绩库!C152="","", YLE成绩库!Q152)</f>
        <v/>
      </c>
      <c r="K652" t="str">
        <f>IF(YLE成绩库!C152="","", YLE成绩库!R152)</f>
        <v/>
      </c>
      <c r="L652" t="str">
        <f>IF(YLE成绩库!C152="","", YLE成绩库!U152)</f>
        <v/>
      </c>
      <c r="M652">
        <v>0</v>
      </c>
      <c r="N652">
        <v>0</v>
      </c>
      <c r="O652">
        <v>0</v>
      </c>
      <c r="P652" t="str">
        <f>IF(YLE成绩库!C152="","", YLE成绩库!D152)</f>
        <v/>
      </c>
      <c r="Q652" t="str">
        <f>IF(YLE成绩库!C152="","", YLE成绩库!E152)</f>
        <v/>
      </c>
      <c r="R652" t="str">
        <f>IF(YLE成绩库!C152="","", YLE成绩库!F152)</f>
        <v/>
      </c>
      <c r="S652" t="str">
        <f>IF(YLE成绩库!C152="","", YLE成绩库!G152)</f>
        <v/>
      </c>
      <c r="T652" t="str">
        <f>IF(YLE成绩库!C152="","", YLE成绩库!H152)</f>
        <v/>
      </c>
      <c r="U652" t="str">
        <f>IF(YLE成绩库!C152="","", YLE成绩库!K152)</f>
        <v/>
      </c>
      <c r="V652" t="str">
        <f>IF(YLE成绩库!C152="","", YLE成绩库!W152)</f>
        <v/>
      </c>
      <c r="W652" t="str">
        <f>IF(YLE成绩库!C152="","", YLE成绩库!X152)</f>
        <v/>
      </c>
      <c r="X652" t="str">
        <f>IF(YLE成绩库!C152="","", YLE成绩库!AA152)</f>
        <v/>
      </c>
      <c r="Z652" t="str">
        <f>IF(YLE成绩库!C152="","", YLE成绩库!Z152)</f>
        <v/>
      </c>
    </row>
    <row r="653" spans="1:26" x14ac:dyDescent="0.2">
      <c r="A653" t="str">
        <f>IF(YLE成绩库!C153="","", YLE成绩库!C153)</f>
        <v/>
      </c>
      <c r="B653" t="str">
        <f>IF(YLE成绩库!AB153="","", YLE成绩库!AB153)</f>
        <v>2024-01-15</v>
      </c>
      <c r="C653" t="str">
        <f>IF(YLE成绩库!B153="","", YLE成绩库!B153)</f>
        <v/>
      </c>
      <c r="D653" t="str">
        <f>IF(YLE成绩库!D153="","", YLE成绩库!D153)</f>
        <v/>
      </c>
      <c r="E653" t="str">
        <f>IF(YLE成绩库!C153="","", YLE成绩库!L153)</f>
        <v/>
      </c>
      <c r="F653" t="str">
        <f>IF(YLE成绩库!C153="","", YLE成绩库!M153)</f>
        <v/>
      </c>
      <c r="G653" t="str">
        <f>IF(YLE成绩库!C153="","", YLE成绩库!N153)</f>
        <v/>
      </c>
      <c r="H653" t="str">
        <f>IF(YLE成绩库!C153="","", YLE成绩库!O153)</f>
        <v/>
      </c>
      <c r="I653" t="str">
        <f>IF(YLE成绩库!C153="","", YLE成绩库!P153)</f>
        <v/>
      </c>
      <c r="J653" t="str">
        <f>IF(YLE成绩库!C153="","", YLE成绩库!Q153)</f>
        <v/>
      </c>
      <c r="K653" t="str">
        <f>IF(YLE成绩库!C153="","", YLE成绩库!R153)</f>
        <v/>
      </c>
      <c r="L653" t="str">
        <f>IF(YLE成绩库!C153="","", YLE成绩库!U153)</f>
        <v/>
      </c>
      <c r="M653">
        <v>0</v>
      </c>
      <c r="N653">
        <v>0</v>
      </c>
      <c r="O653">
        <v>0</v>
      </c>
      <c r="P653" t="str">
        <f>IF(YLE成绩库!C153="","", YLE成绩库!D153)</f>
        <v/>
      </c>
      <c r="Q653" t="str">
        <f>IF(YLE成绩库!C153="","", YLE成绩库!E153)</f>
        <v/>
      </c>
      <c r="R653" t="str">
        <f>IF(YLE成绩库!C153="","", YLE成绩库!F153)</f>
        <v/>
      </c>
      <c r="S653" t="str">
        <f>IF(YLE成绩库!C153="","", YLE成绩库!G153)</f>
        <v/>
      </c>
      <c r="T653" t="str">
        <f>IF(YLE成绩库!C153="","", YLE成绩库!H153)</f>
        <v/>
      </c>
      <c r="U653" t="str">
        <f>IF(YLE成绩库!C153="","", YLE成绩库!K153)</f>
        <v/>
      </c>
      <c r="V653" t="str">
        <f>IF(YLE成绩库!C153="","", YLE成绩库!W153)</f>
        <v/>
      </c>
      <c r="W653" t="str">
        <f>IF(YLE成绩库!C153="","", YLE成绩库!X153)</f>
        <v/>
      </c>
      <c r="X653" t="str">
        <f>IF(YLE成绩库!C153="","", YLE成绩库!AA153)</f>
        <v/>
      </c>
      <c r="Z653" t="str">
        <f>IF(YLE成绩库!C153="","", YLE成绩库!Z153)</f>
        <v/>
      </c>
    </row>
    <row r="654" spans="1:26" x14ac:dyDescent="0.2">
      <c r="A654" t="str">
        <f>IF(YLE成绩库!C154="","", YLE成绩库!C154)</f>
        <v/>
      </c>
      <c r="B654" t="str">
        <f>IF(YLE成绩库!AB154="","", YLE成绩库!AB154)</f>
        <v>2024-01-15</v>
      </c>
      <c r="C654" t="str">
        <f>IF(YLE成绩库!B154="","", YLE成绩库!B154)</f>
        <v/>
      </c>
      <c r="D654" t="str">
        <f>IF(YLE成绩库!D154="","", YLE成绩库!D154)</f>
        <v/>
      </c>
      <c r="E654" t="str">
        <f>IF(YLE成绩库!C154="","", YLE成绩库!L154)</f>
        <v/>
      </c>
      <c r="F654" t="str">
        <f>IF(YLE成绩库!C154="","", YLE成绩库!M154)</f>
        <v/>
      </c>
      <c r="G654" t="str">
        <f>IF(YLE成绩库!C154="","", YLE成绩库!N154)</f>
        <v/>
      </c>
      <c r="H654" t="str">
        <f>IF(YLE成绩库!C154="","", YLE成绩库!O154)</f>
        <v/>
      </c>
      <c r="I654" t="str">
        <f>IF(YLE成绩库!C154="","", YLE成绩库!P154)</f>
        <v/>
      </c>
      <c r="J654" t="str">
        <f>IF(YLE成绩库!C154="","", YLE成绩库!Q154)</f>
        <v/>
      </c>
      <c r="K654" t="str">
        <f>IF(YLE成绩库!C154="","", YLE成绩库!R154)</f>
        <v/>
      </c>
      <c r="L654" t="str">
        <f>IF(YLE成绩库!C154="","", YLE成绩库!U154)</f>
        <v/>
      </c>
      <c r="M654">
        <v>0</v>
      </c>
      <c r="N654">
        <v>0</v>
      </c>
      <c r="O654">
        <v>0</v>
      </c>
      <c r="P654" t="str">
        <f>IF(YLE成绩库!C154="","", YLE成绩库!D154)</f>
        <v/>
      </c>
      <c r="Q654" t="str">
        <f>IF(YLE成绩库!C154="","", YLE成绩库!E154)</f>
        <v/>
      </c>
      <c r="R654" t="str">
        <f>IF(YLE成绩库!C154="","", YLE成绩库!F154)</f>
        <v/>
      </c>
      <c r="S654" t="str">
        <f>IF(YLE成绩库!C154="","", YLE成绩库!G154)</f>
        <v/>
      </c>
      <c r="T654" t="str">
        <f>IF(YLE成绩库!C154="","", YLE成绩库!H154)</f>
        <v/>
      </c>
      <c r="U654" t="str">
        <f>IF(YLE成绩库!C154="","", YLE成绩库!K154)</f>
        <v/>
      </c>
      <c r="V654" t="str">
        <f>IF(YLE成绩库!C154="","", YLE成绩库!W154)</f>
        <v/>
      </c>
      <c r="W654" t="str">
        <f>IF(YLE成绩库!C154="","", YLE成绩库!X154)</f>
        <v/>
      </c>
      <c r="X654" t="str">
        <f>IF(YLE成绩库!C154="","", YLE成绩库!AA154)</f>
        <v/>
      </c>
      <c r="Z654" t="str">
        <f>IF(YLE成绩库!C154="","", YLE成绩库!Z154)</f>
        <v/>
      </c>
    </row>
    <row r="655" spans="1:26" x14ac:dyDescent="0.2">
      <c r="A655" t="str">
        <f>IF(YLE成绩库!C155="","", YLE成绩库!C155)</f>
        <v/>
      </c>
      <c r="B655" t="str">
        <f>IF(YLE成绩库!AB155="","", YLE成绩库!AB155)</f>
        <v>2024-01-15</v>
      </c>
      <c r="C655" t="str">
        <f>IF(YLE成绩库!B155="","", YLE成绩库!B155)</f>
        <v/>
      </c>
      <c r="D655" t="str">
        <f>IF(YLE成绩库!D155="","", YLE成绩库!D155)</f>
        <v/>
      </c>
      <c r="E655" t="str">
        <f>IF(YLE成绩库!C155="","", YLE成绩库!L155)</f>
        <v/>
      </c>
      <c r="F655" t="str">
        <f>IF(YLE成绩库!C155="","", YLE成绩库!M155)</f>
        <v/>
      </c>
      <c r="G655" t="str">
        <f>IF(YLE成绩库!C155="","", YLE成绩库!N155)</f>
        <v/>
      </c>
      <c r="H655" t="str">
        <f>IF(YLE成绩库!C155="","", YLE成绩库!O155)</f>
        <v/>
      </c>
      <c r="I655" t="str">
        <f>IF(YLE成绩库!C155="","", YLE成绩库!P155)</f>
        <v/>
      </c>
      <c r="J655" t="str">
        <f>IF(YLE成绩库!C155="","", YLE成绩库!Q155)</f>
        <v/>
      </c>
      <c r="K655" t="str">
        <f>IF(YLE成绩库!C155="","", YLE成绩库!R155)</f>
        <v/>
      </c>
      <c r="L655" t="str">
        <f>IF(YLE成绩库!C155="","", YLE成绩库!U155)</f>
        <v/>
      </c>
      <c r="M655">
        <v>0</v>
      </c>
      <c r="N655">
        <v>0</v>
      </c>
      <c r="O655">
        <v>0</v>
      </c>
      <c r="P655" t="str">
        <f>IF(YLE成绩库!C155="","", YLE成绩库!D155)</f>
        <v/>
      </c>
      <c r="Q655" t="str">
        <f>IF(YLE成绩库!C155="","", YLE成绩库!E155)</f>
        <v/>
      </c>
      <c r="R655" t="str">
        <f>IF(YLE成绩库!C155="","", YLE成绩库!F155)</f>
        <v/>
      </c>
      <c r="S655" t="str">
        <f>IF(YLE成绩库!C155="","", YLE成绩库!G155)</f>
        <v/>
      </c>
      <c r="T655" t="str">
        <f>IF(YLE成绩库!C155="","", YLE成绩库!H155)</f>
        <v/>
      </c>
      <c r="U655" t="str">
        <f>IF(YLE成绩库!C155="","", YLE成绩库!K155)</f>
        <v/>
      </c>
      <c r="V655" t="str">
        <f>IF(YLE成绩库!C155="","", YLE成绩库!W155)</f>
        <v/>
      </c>
      <c r="W655" t="str">
        <f>IF(YLE成绩库!C155="","", YLE成绩库!X155)</f>
        <v/>
      </c>
      <c r="X655" t="str">
        <f>IF(YLE成绩库!C155="","", YLE成绩库!AA155)</f>
        <v/>
      </c>
      <c r="Z655" t="str">
        <f>IF(YLE成绩库!C155="","", YLE成绩库!Z155)</f>
        <v/>
      </c>
    </row>
    <row r="656" spans="1:26" x14ac:dyDescent="0.2">
      <c r="A656" t="str">
        <f>IF(YLE成绩库!C156="","", YLE成绩库!C156)</f>
        <v/>
      </c>
      <c r="B656" t="str">
        <f>IF(YLE成绩库!AB156="","", YLE成绩库!AB156)</f>
        <v>2024-01-15</v>
      </c>
      <c r="C656" t="str">
        <f>IF(YLE成绩库!B156="","", YLE成绩库!B156)</f>
        <v/>
      </c>
      <c r="D656" t="str">
        <f>IF(YLE成绩库!D156="","", YLE成绩库!D156)</f>
        <v/>
      </c>
      <c r="E656" t="str">
        <f>IF(YLE成绩库!C156="","", YLE成绩库!L156)</f>
        <v/>
      </c>
      <c r="F656" t="str">
        <f>IF(YLE成绩库!C156="","", YLE成绩库!M156)</f>
        <v/>
      </c>
      <c r="G656" t="str">
        <f>IF(YLE成绩库!C156="","", YLE成绩库!N156)</f>
        <v/>
      </c>
      <c r="H656" t="str">
        <f>IF(YLE成绩库!C156="","", YLE成绩库!O156)</f>
        <v/>
      </c>
      <c r="I656" t="str">
        <f>IF(YLE成绩库!C156="","", YLE成绩库!P156)</f>
        <v/>
      </c>
      <c r="J656" t="str">
        <f>IF(YLE成绩库!C156="","", YLE成绩库!Q156)</f>
        <v/>
      </c>
      <c r="K656" t="str">
        <f>IF(YLE成绩库!C156="","", YLE成绩库!R156)</f>
        <v/>
      </c>
      <c r="L656" t="str">
        <f>IF(YLE成绩库!C156="","", YLE成绩库!U156)</f>
        <v/>
      </c>
      <c r="M656">
        <v>0</v>
      </c>
      <c r="N656">
        <v>0</v>
      </c>
      <c r="O656">
        <v>0</v>
      </c>
      <c r="P656" t="str">
        <f>IF(YLE成绩库!C156="","", YLE成绩库!D156)</f>
        <v/>
      </c>
      <c r="Q656" t="str">
        <f>IF(YLE成绩库!C156="","", YLE成绩库!E156)</f>
        <v/>
      </c>
      <c r="R656" t="str">
        <f>IF(YLE成绩库!C156="","", YLE成绩库!F156)</f>
        <v/>
      </c>
      <c r="S656" t="str">
        <f>IF(YLE成绩库!C156="","", YLE成绩库!G156)</f>
        <v/>
      </c>
      <c r="T656" t="str">
        <f>IF(YLE成绩库!C156="","", YLE成绩库!H156)</f>
        <v/>
      </c>
      <c r="U656" t="str">
        <f>IF(YLE成绩库!C156="","", YLE成绩库!K156)</f>
        <v/>
      </c>
      <c r="V656" t="str">
        <f>IF(YLE成绩库!C156="","", YLE成绩库!W156)</f>
        <v/>
      </c>
      <c r="W656" t="str">
        <f>IF(YLE成绩库!C156="","", YLE成绩库!X156)</f>
        <v/>
      </c>
      <c r="X656" t="str">
        <f>IF(YLE成绩库!C156="","", YLE成绩库!AA156)</f>
        <v/>
      </c>
      <c r="Z656" t="str">
        <f>IF(YLE成绩库!C156="","", YLE成绩库!Z156)</f>
        <v/>
      </c>
    </row>
    <row r="657" spans="1:26" x14ac:dyDescent="0.2">
      <c r="A657" t="str">
        <f>IF(YLE成绩库!C157="","", YLE成绩库!C157)</f>
        <v/>
      </c>
      <c r="B657" t="str">
        <f>IF(YLE成绩库!AB157="","", YLE成绩库!AB157)</f>
        <v>2024-01-15</v>
      </c>
      <c r="C657" t="str">
        <f>IF(YLE成绩库!B157="","", YLE成绩库!B157)</f>
        <v/>
      </c>
      <c r="D657" t="str">
        <f>IF(YLE成绩库!D157="","", YLE成绩库!D157)</f>
        <v/>
      </c>
      <c r="E657" t="str">
        <f>IF(YLE成绩库!C157="","", YLE成绩库!L157)</f>
        <v/>
      </c>
      <c r="F657" t="str">
        <f>IF(YLE成绩库!C157="","", YLE成绩库!M157)</f>
        <v/>
      </c>
      <c r="G657" t="str">
        <f>IF(YLE成绩库!C157="","", YLE成绩库!N157)</f>
        <v/>
      </c>
      <c r="H657" t="str">
        <f>IF(YLE成绩库!C157="","", YLE成绩库!O157)</f>
        <v/>
      </c>
      <c r="I657" t="str">
        <f>IF(YLE成绩库!C157="","", YLE成绩库!P157)</f>
        <v/>
      </c>
      <c r="J657" t="str">
        <f>IF(YLE成绩库!C157="","", YLE成绩库!Q157)</f>
        <v/>
      </c>
      <c r="K657" t="str">
        <f>IF(YLE成绩库!C157="","", YLE成绩库!R157)</f>
        <v/>
      </c>
      <c r="L657" t="str">
        <f>IF(YLE成绩库!C157="","", YLE成绩库!U157)</f>
        <v/>
      </c>
      <c r="M657">
        <v>0</v>
      </c>
      <c r="N657">
        <v>0</v>
      </c>
      <c r="O657">
        <v>0</v>
      </c>
      <c r="P657" t="str">
        <f>IF(YLE成绩库!C157="","", YLE成绩库!D157)</f>
        <v/>
      </c>
      <c r="Q657" t="str">
        <f>IF(YLE成绩库!C157="","", YLE成绩库!E157)</f>
        <v/>
      </c>
      <c r="R657" t="str">
        <f>IF(YLE成绩库!C157="","", YLE成绩库!F157)</f>
        <v/>
      </c>
      <c r="S657" t="str">
        <f>IF(YLE成绩库!C157="","", YLE成绩库!G157)</f>
        <v/>
      </c>
      <c r="T657" t="str">
        <f>IF(YLE成绩库!C157="","", YLE成绩库!H157)</f>
        <v/>
      </c>
      <c r="U657" t="str">
        <f>IF(YLE成绩库!C157="","", YLE成绩库!K157)</f>
        <v/>
      </c>
      <c r="V657" t="str">
        <f>IF(YLE成绩库!C157="","", YLE成绩库!W157)</f>
        <v/>
      </c>
      <c r="W657" t="str">
        <f>IF(YLE成绩库!C157="","", YLE成绩库!X157)</f>
        <v/>
      </c>
      <c r="X657" t="str">
        <f>IF(YLE成绩库!C157="","", YLE成绩库!AA157)</f>
        <v/>
      </c>
      <c r="Z657" t="str">
        <f>IF(YLE成绩库!C157="","", YLE成绩库!Z157)</f>
        <v/>
      </c>
    </row>
    <row r="658" spans="1:26" x14ac:dyDescent="0.2">
      <c r="A658" t="str">
        <f>IF(YLE成绩库!C158="","", YLE成绩库!C158)</f>
        <v/>
      </c>
      <c r="B658" t="str">
        <f>IF(YLE成绩库!AB158="","", YLE成绩库!AB158)</f>
        <v>2024-01-15</v>
      </c>
      <c r="C658" t="str">
        <f>IF(YLE成绩库!B158="","", YLE成绩库!B158)</f>
        <v/>
      </c>
      <c r="D658" t="str">
        <f>IF(YLE成绩库!D158="","", YLE成绩库!D158)</f>
        <v/>
      </c>
      <c r="E658" t="str">
        <f>IF(YLE成绩库!C158="","", YLE成绩库!L158)</f>
        <v/>
      </c>
      <c r="F658" t="str">
        <f>IF(YLE成绩库!C158="","", YLE成绩库!M158)</f>
        <v/>
      </c>
      <c r="G658" t="str">
        <f>IF(YLE成绩库!C158="","", YLE成绩库!N158)</f>
        <v/>
      </c>
      <c r="H658" t="str">
        <f>IF(YLE成绩库!C158="","", YLE成绩库!O158)</f>
        <v/>
      </c>
      <c r="I658" t="str">
        <f>IF(YLE成绩库!C158="","", YLE成绩库!P158)</f>
        <v/>
      </c>
      <c r="J658" t="str">
        <f>IF(YLE成绩库!C158="","", YLE成绩库!Q158)</f>
        <v/>
      </c>
      <c r="K658" t="str">
        <f>IF(YLE成绩库!C158="","", YLE成绩库!R158)</f>
        <v/>
      </c>
      <c r="L658" t="str">
        <f>IF(YLE成绩库!C158="","", YLE成绩库!U158)</f>
        <v/>
      </c>
      <c r="M658">
        <v>0</v>
      </c>
      <c r="N658">
        <v>0</v>
      </c>
      <c r="O658">
        <v>0</v>
      </c>
      <c r="P658" t="str">
        <f>IF(YLE成绩库!C158="","", YLE成绩库!D158)</f>
        <v/>
      </c>
      <c r="Q658" t="str">
        <f>IF(YLE成绩库!C158="","", YLE成绩库!E158)</f>
        <v/>
      </c>
      <c r="R658" t="str">
        <f>IF(YLE成绩库!C158="","", YLE成绩库!F158)</f>
        <v/>
      </c>
      <c r="S658" t="str">
        <f>IF(YLE成绩库!C158="","", YLE成绩库!G158)</f>
        <v/>
      </c>
      <c r="T658" t="str">
        <f>IF(YLE成绩库!C158="","", YLE成绩库!H158)</f>
        <v/>
      </c>
      <c r="U658" t="str">
        <f>IF(YLE成绩库!C158="","", YLE成绩库!K158)</f>
        <v/>
      </c>
      <c r="V658" t="str">
        <f>IF(YLE成绩库!C158="","", YLE成绩库!W158)</f>
        <v/>
      </c>
      <c r="W658" t="str">
        <f>IF(YLE成绩库!C158="","", YLE成绩库!X158)</f>
        <v/>
      </c>
      <c r="X658" t="str">
        <f>IF(YLE成绩库!C158="","", YLE成绩库!AA158)</f>
        <v/>
      </c>
      <c r="Z658" t="str">
        <f>IF(YLE成绩库!C158="","", YLE成绩库!Z158)</f>
        <v/>
      </c>
    </row>
    <row r="659" spans="1:26" x14ac:dyDescent="0.2">
      <c r="A659" t="str">
        <f>IF(YLE成绩库!C159="","", YLE成绩库!C159)</f>
        <v/>
      </c>
      <c r="B659" t="str">
        <f>IF(YLE成绩库!AB159="","", YLE成绩库!AB159)</f>
        <v>2024-01-15</v>
      </c>
      <c r="C659" t="str">
        <f>IF(YLE成绩库!B159="","", YLE成绩库!B159)</f>
        <v/>
      </c>
      <c r="D659" t="str">
        <f>IF(YLE成绩库!D159="","", YLE成绩库!D159)</f>
        <v/>
      </c>
      <c r="E659" t="str">
        <f>IF(YLE成绩库!C159="","", YLE成绩库!L159)</f>
        <v/>
      </c>
      <c r="F659" t="str">
        <f>IF(YLE成绩库!C159="","", YLE成绩库!M159)</f>
        <v/>
      </c>
      <c r="G659" t="str">
        <f>IF(YLE成绩库!C159="","", YLE成绩库!N159)</f>
        <v/>
      </c>
      <c r="H659" t="str">
        <f>IF(YLE成绩库!C159="","", YLE成绩库!O159)</f>
        <v/>
      </c>
      <c r="I659" t="str">
        <f>IF(YLE成绩库!C159="","", YLE成绩库!P159)</f>
        <v/>
      </c>
      <c r="J659" t="str">
        <f>IF(YLE成绩库!C159="","", YLE成绩库!Q159)</f>
        <v/>
      </c>
      <c r="K659" t="str">
        <f>IF(YLE成绩库!C159="","", YLE成绩库!R159)</f>
        <v/>
      </c>
      <c r="L659" t="str">
        <f>IF(YLE成绩库!C159="","", YLE成绩库!U159)</f>
        <v/>
      </c>
      <c r="M659">
        <v>0</v>
      </c>
      <c r="N659">
        <v>0</v>
      </c>
      <c r="O659">
        <v>0</v>
      </c>
      <c r="P659" t="str">
        <f>IF(YLE成绩库!C159="","", YLE成绩库!D159)</f>
        <v/>
      </c>
      <c r="Q659" t="str">
        <f>IF(YLE成绩库!C159="","", YLE成绩库!E159)</f>
        <v/>
      </c>
      <c r="R659" t="str">
        <f>IF(YLE成绩库!C159="","", YLE成绩库!F159)</f>
        <v/>
      </c>
      <c r="S659" t="str">
        <f>IF(YLE成绩库!C159="","", YLE成绩库!G159)</f>
        <v/>
      </c>
      <c r="T659" t="str">
        <f>IF(YLE成绩库!C159="","", YLE成绩库!H159)</f>
        <v/>
      </c>
      <c r="U659" t="str">
        <f>IF(YLE成绩库!C159="","", YLE成绩库!K159)</f>
        <v/>
      </c>
      <c r="V659" t="str">
        <f>IF(YLE成绩库!C159="","", YLE成绩库!W159)</f>
        <v/>
      </c>
      <c r="W659" t="str">
        <f>IF(YLE成绩库!C159="","", YLE成绩库!X159)</f>
        <v/>
      </c>
      <c r="X659" t="str">
        <f>IF(YLE成绩库!C159="","", YLE成绩库!AA159)</f>
        <v/>
      </c>
      <c r="Z659" t="str">
        <f>IF(YLE成绩库!C159="","", YLE成绩库!Z159)</f>
        <v/>
      </c>
    </row>
    <row r="660" spans="1:26" x14ac:dyDescent="0.2">
      <c r="A660" t="str">
        <f>IF(YLE成绩库!C160="","", YLE成绩库!C160)</f>
        <v/>
      </c>
      <c r="B660" t="str">
        <f>IF(YLE成绩库!AB160="","", YLE成绩库!AB160)</f>
        <v>2024-01-15</v>
      </c>
      <c r="C660" t="str">
        <f>IF(YLE成绩库!B160="","", YLE成绩库!B160)</f>
        <v/>
      </c>
      <c r="D660" t="str">
        <f>IF(YLE成绩库!D160="","", YLE成绩库!D160)</f>
        <v/>
      </c>
      <c r="E660" t="str">
        <f>IF(YLE成绩库!C160="","", YLE成绩库!L160)</f>
        <v/>
      </c>
      <c r="F660" t="str">
        <f>IF(YLE成绩库!C160="","", YLE成绩库!M160)</f>
        <v/>
      </c>
      <c r="G660" t="str">
        <f>IF(YLE成绩库!C160="","", YLE成绩库!N160)</f>
        <v/>
      </c>
      <c r="H660" t="str">
        <f>IF(YLE成绩库!C160="","", YLE成绩库!O160)</f>
        <v/>
      </c>
      <c r="I660" t="str">
        <f>IF(YLE成绩库!C160="","", YLE成绩库!P160)</f>
        <v/>
      </c>
      <c r="J660" t="str">
        <f>IF(YLE成绩库!C160="","", YLE成绩库!Q160)</f>
        <v/>
      </c>
      <c r="K660" t="str">
        <f>IF(YLE成绩库!C160="","", YLE成绩库!R160)</f>
        <v/>
      </c>
      <c r="L660" t="str">
        <f>IF(YLE成绩库!C160="","", YLE成绩库!U160)</f>
        <v/>
      </c>
      <c r="M660">
        <v>0</v>
      </c>
      <c r="N660">
        <v>0</v>
      </c>
      <c r="O660">
        <v>0</v>
      </c>
      <c r="P660" t="str">
        <f>IF(YLE成绩库!C160="","", YLE成绩库!D160)</f>
        <v/>
      </c>
      <c r="Q660" t="str">
        <f>IF(YLE成绩库!C160="","", YLE成绩库!E160)</f>
        <v/>
      </c>
      <c r="R660" t="str">
        <f>IF(YLE成绩库!C160="","", YLE成绩库!F160)</f>
        <v/>
      </c>
      <c r="S660" t="str">
        <f>IF(YLE成绩库!C160="","", YLE成绩库!G160)</f>
        <v/>
      </c>
      <c r="T660" t="str">
        <f>IF(YLE成绩库!C160="","", YLE成绩库!H160)</f>
        <v/>
      </c>
      <c r="U660" t="str">
        <f>IF(YLE成绩库!C160="","", YLE成绩库!K160)</f>
        <v/>
      </c>
      <c r="V660" t="str">
        <f>IF(YLE成绩库!C160="","", YLE成绩库!W160)</f>
        <v/>
      </c>
      <c r="W660" t="str">
        <f>IF(YLE成绩库!C160="","", YLE成绩库!X160)</f>
        <v/>
      </c>
      <c r="X660" t="str">
        <f>IF(YLE成绩库!C160="","", YLE成绩库!AA160)</f>
        <v/>
      </c>
      <c r="Z660" t="str">
        <f>IF(YLE成绩库!C160="","", YLE成绩库!Z160)</f>
        <v/>
      </c>
    </row>
    <row r="661" spans="1:26" x14ac:dyDescent="0.2">
      <c r="A661" t="str">
        <f>IF(YLE成绩库!C161="","", YLE成绩库!C161)</f>
        <v/>
      </c>
      <c r="B661" t="str">
        <f>IF(YLE成绩库!AB161="","", YLE成绩库!AB161)</f>
        <v>2024-01-15</v>
      </c>
      <c r="C661" t="str">
        <f>IF(YLE成绩库!B161="","", YLE成绩库!B161)</f>
        <v/>
      </c>
      <c r="D661" t="str">
        <f>IF(YLE成绩库!D161="","", YLE成绩库!D161)</f>
        <v/>
      </c>
      <c r="E661" t="str">
        <f>IF(YLE成绩库!C161="","", YLE成绩库!L161)</f>
        <v/>
      </c>
      <c r="F661" t="str">
        <f>IF(YLE成绩库!C161="","", YLE成绩库!M161)</f>
        <v/>
      </c>
      <c r="G661" t="str">
        <f>IF(YLE成绩库!C161="","", YLE成绩库!N161)</f>
        <v/>
      </c>
      <c r="H661" t="str">
        <f>IF(YLE成绩库!C161="","", YLE成绩库!O161)</f>
        <v/>
      </c>
      <c r="I661" t="str">
        <f>IF(YLE成绩库!C161="","", YLE成绩库!P161)</f>
        <v/>
      </c>
      <c r="J661" t="str">
        <f>IF(YLE成绩库!C161="","", YLE成绩库!Q161)</f>
        <v/>
      </c>
      <c r="K661" t="str">
        <f>IF(YLE成绩库!C161="","", YLE成绩库!R161)</f>
        <v/>
      </c>
      <c r="L661" t="str">
        <f>IF(YLE成绩库!C161="","", YLE成绩库!U161)</f>
        <v/>
      </c>
      <c r="M661">
        <v>0</v>
      </c>
      <c r="N661">
        <v>0</v>
      </c>
      <c r="O661">
        <v>0</v>
      </c>
      <c r="P661" t="str">
        <f>IF(YLE成绩库!C161="","", YLE成绩库!D161)</f>
        <v/>
      </c>
      <c r="Q661" t="str">
        <f>IF(YLE成绩库!C161="","", YLE成绩库!E161)</f>
        <v/>
      </c>
      <c r="R661" t="str">
        <f>IF(YLE成绩库!C161="","", YLE成绩库!F161)</f>
        <v/>
      </c>
      <c r="S661" t="str">
        <f>IF(YLE成绩库!C161="","", YLE成绩库!G161)</f>
        <v/>
      </c>
      <c r="T661" t="str">
        <f>IF(YLE成绩库!C161="","", YLE成绩库!H161)</f>
        <v/>
      </c>
      <c r="U661" t="str">
        <f>IF(YLE成绩库!C161="","", YLE成绩库!K161)</f>
        <v/>
      </c>
      <c r="V661" t="str">
        <f>IF(YLE成绩库!C161="","", YLE成绩库!W161)</f>
        <v/>
      </c>
      <c r="W661" t="str">
        <f>IF(YLE成绩库!C161="","", YLE成绩库!X161)</f>
        <v/>
      </c>
      <c r="X661" t="str">
        <f>IF(YLE成绩库!C161="","", YLE成绩库!AA161)</f>
        <v/>
      </c>
      <c r="Z661" t="str">
        <f>IF(YLE成绩库!C161="","", YLE成绩库!Z161)</f>
        <v/>
      </c>
    </row>
    <row r="662" spans="1:26" x14ac:dyDescent="0.2">
      <c r="A662" t="str">
        <f>IF(YLE成绩库!C162="","", YLE成绩库!C162)</f>
        <v/>
      </c>
      <c r="B662" t="str">
        <f>IF(YLE成绩库!AB162="","", YLE成绩库!AB162)</f>
        <v>2024-01-15</v>
      </c>
      <c r="C662" t="str">
        <f>IF(YLE成绩库!B162="","", YLE成绩库!B162)</f>
        <v/>
      </c>
      <c r="D662" t="str">
        <f>IF(YLE成绩库!D162="","", YLE成绩库!D162)</f>
        <v/>
      </c>
      <c r="E662" t="str">
        <f>IF(YLE成绩库!C162="","", YLE成绩库!L162)</f>
        <v/>
      </c>
      <c r="F662" t="str">
        <f>IF(YLE成绩库!C162="","", YLE成绩库!M162)</f>
        <v/>
      </c>
      <c r="G662" t="str">
        <f>IF(YLE成绩库!C162="","", YLE成绩库!N162)</f>
        <v/>
      </c>
      <c r="H662" t="str">
        <f>IF(YLE成绩库!C162="","", YLE成绩库!O162)</f>
        <v/>
      </c>
      <c r="I662" t="str">
        <f>IF(YLE成绩库!C162="","", YLE成绩库!P162)</f>
        <v/>
      </c>
      <c r="J662" t="str">
        <f>IF(YLE成绩库!C162="","", YLE成绩库!Q162)</f>
        <v/>
      </c>
      <c r="K662" t="str">
        <f>IF(YLE成绩库!C162="","", YLE成绩库!R162)</f>
        <v/>
      </c>
      <c r="L662" t="str">
        <f>IF(YLE成绩库!C162="","", YLE成绩库!U162)</f>
        <v/>
      </c>
      <c r="M662">
        <v>0</v>
      </c>
      <c r="N662">
        <v>0</v>
      </c>
      <c r="O662">
        <v>0</v>
      </c>
      <c r="P662" t="str">
        <f>IF(YLE成绩库!C162="","", YLE成绩库!D162)</f>
        <v/>
      </c>
      <c r="Q662" t="str">
        <f>IF(YLE成绩库!C162="","", YLE成绩库!E162)</f>
        <v/>
      </c>
      <c r="R662" t="str">
        <f>IF(YLE成绩库!C162="","", YLE成绩库!F162)</f>
        <v/>
      </c>
      <c r="S662" t="str">
        <f>IF(YLE成绩库!C162="","", YLE成绩库!G162)</f>
        <v/>
      </c>
      <c r="T662" t="str">
        <f>IF(YLE成绩库!C162="","", YLE成绩库!H162)</f>
        <v/>
      </c>
      <c r="U662" t="str">
        <f>IF(YLE成绩库!C162="","", YLE成绩库!K162)</f>
        <v/>
      </c>
      <c r="V662" t="str">
        <f>IF(YLE成绩库!C162="","", YLE成绩库!W162)</f>
        <v/>
      </c>
      <c r="W662" t="str">
        <f>IF(YLE成绩库!C162="","", YLE成绩库!X162)</f>
        <v/>
      </c>
      <c r="X662" t="str">
        <f>IF(YLE成绩库!C162="","", YLE成绩库!AA162)</f>
        <v/>
      </c>
      <c r="Z662" t="str">
        <f>IF(YLE成绩库!C162="","", YLE成绩库!Z162)</f>
        <v/>
      </c>
    </row>
    <row r="663" spans="1:26" x14ac:dyDescent="0.2">
      <c r="A663" t="str">
        <f>IF(YLE成绩库!C163="","", YLE成绩库!C163)</f>
        <v/>
      </c>
      <c r="B663" t="str">
        <f>IF(YLE成绩库!AB163="","", YLE成绩库!AB163)</f>
        <v>2024-01-15</v>
      </c>
      <c r="C663" t="str">
        <f>IF(YLE成绩库!B163="","", YLE成绩库!B163)</f>
        <v/>
      </c>
      <c r="D663" t="str">
        <f>IF(YLE成绩库!D163="","", YLE成绩库!D163)</f>
        <v/>
      </c>
      <c r="E663" t="str">
        <f>IF(YLE成绩库!C163="","", YLE成绩库!L163)</f>
        <v/>
      </c>
      <c r="F663" t="str">
        <f>IF(YLE成绩库!C163="","", YLE成绩库!M163)</f>
        <v/>
      </c>
      <c r="G663" t="str">
        <f>IF(YLE成绩库!C163="","", YLE成绩库!N163)</f>
        <v/>
      </c>
      <c r="H663" t="str">
        <f>IF(YLE成绩库!C163="","", YLE成绩库!O163)</f>
        <v/>
      </c>
      <c r="I663" t="str">
        <f>IF(YLE成绩库!C163="","", YLE成绩库!P163)</f>
        <v/>
      </c>
      <c r="J663" t="str">
        <f>IF(YLE成绩库!C163="","", YLE成绩库!Q163)</f>
        <v/>
      </c>
      <c r="K663" t="str">
        <f>IF(YLE成绩库!C163="","", YLE成绩库!R163)</f>
        <v/>
      </c>
      <c r="L663" t="str">
        <f>IF(YLE成绩库!C163="","", YLE成绩库!U163)</f>
        <v/>
      </c>
      <c r="M663">
        <v>0</v>
      </c>
      <c r="N663">
        <v>0</v>
      </c>
      <c r="O663">
        <v>0</v>
      </c>
      <c r="P663" t="str">
        <f>IF(YLE成绩库!C163="","", YLE成绩库!D163)</f>
        <v/>
      </c>
      <c r="Q663" t="str">
        <f>IF(YLE成绩库!C163="","", YLE成绩库!E163)</f>
        <v/>
      </c>
      <c r="R663" t="str">
        <f>IF(YLE成绩库!C163="","", YLE成绩库!F163)</f>
        <v/>
      </c>
      <c r="S663" t="str">
        <f>IF(YLE成绩库!C163="","", YLE成绩库!G163)</f>
        <v/>
      </c>
      <c r="T663" t="str">
        <f>IF(YLE成绩库!C163="","", YLE成绩库!H163)</f>
        <v/>
      </c>
      <c r="U663" t="str">
        <f>IF(YLE成绩库!C163="","", YLE成绩库!K163)</f>
        <v/>
      </c>
      <c r="V663" t="str">
        <f>IF(YLE成绩库!C163="","", YLE成绩库!W163)</f>
        <v/>
      </c>
      <c r="W663" t="str">
        <f>IF(YLE成绩库!C163="","", YLE成绩库!X163)</f>
        <v/>
      </c>
      <c r="X663" t="str">
        <f>IF(YLE成绩库!C163="","", YLE成绩库!AA163)</f>
        <v/>
      </c>
      <c r="Z663" t="str">
        <f>IF(YLE成绩库!C163="","", YLE成绩库!Z163)</f>
        <v/>
      </c>
    </row>
    <row r="664" spans="1:26" x14ac:dyDescent="0.2">
      <c r="A664" t="str">
        <f>IF(YLE成绩库!C164="","", YLE成绩库!C164)</f>
        <v/>
      </c>
      <c r="B664" t="str">
        <f>IF(YLE成绩库!AB164="","", YLE成绩库!AB164)</f>
        <v>2024-01-15</v>
      </c>
      <c r="C664" t="str">
        <f>IF(YLE成绩库!B164="","", YLE成绩库!B164)</f>
        <v/>
      </c>
      <c r="D664" t="str">
        <f>IF(YLE成绩库!D164="","", YLE成绩库!D164)</f>
        <v/>
      </c>
      <c r="E664" t="str">
        <f>IF(YLE成绩库!C164="","", YLE成绩库!L164)</f>
        <v/>
      </c>
      <c r="F664" t="str">
        <f>IF(YLE成绩库!C164="","", YLE成绩库!M164)</f>
        <v/>
      </c>
      <c r="G664" t="str">
        <f>IF(YLE成绩库!C164="","", YLE成绩库!N164)</f>
        <v/>
      </c>
      <c r="H664" t="str">
        <f>IF(YLE成绩库!C164="","", YLE成绩库!O164)</f>
        <v/>
      </c>
      <c r="I664" t="str">
        <f>IF(YLE成绩库!C164="","", YLE成绩库!P164)</f>
        <v/>
      </c>
      <c r="J664" t="str">
        <f>IF(YLE成绩库!C164="","", YLE成绩库!Q164)</f>
        <v/>
      </c>
      <c r="K664" t="str">
        <f>IF(YLE成绩库!C164="","", YLE成绩库!R164)</f>
        <v/>
      </c>
      <c r="L664" t="str">
        <f>IF(YLE成绩库!C164="","", YLE成绩库!U164)</f>
        <v/>
      </c>
      <c r="M664">
        <v>0</v>
      </c>
      <c r="N664">
        <v>0</v>
      </c>
      <c r="O664">
        <v>0</v>
      </c>
      <c r="P664" t="str">
        <f>IF(YLE成绩库!C164="","", YLE成绩库!D164)</f>
        <v/>
      </c>
      <c r="Q664" t="str">
        <f>IF(YLE成绩库!C164="","", YLE成绩库!E164)</f>
        <v/>
      </c>
      <c r="R664" t="str">
        <f>IF(YLE成绩库!C164="","", YLE成绩库!F164)</f>
        <v/>
      </c>
      <c r="S664" t="str">
        <f>IF(YLE成绩库!C164="","", YLE成绩库!G164)</f>
        <v/>
      </c>
      <c r="T664" t="str">
        <f>IF(YLE成绩库!C164="","", YLE成绩库!H164)</f>
        <v/>
      </c>
      <c r="U664" t="str">
        <f>IF(YLE成绩库!C164="","", YLE成绩库!K164)</f>
        <v/>
      </c>
      <c r="V664" t="str">
        <f>IF(YLE成绩库!C164="","", YLE成绩库!W164)</f>
        <v/>
      </c>
      <c r="W664" t="str">
        <f>IF(YLE成绩库!C164="","", YLE成绩库!X164)</f>
        <v/>
      </c>
      <c r="X664" t="str">
        <f>IF(YLE成绩库!C164="","", YLE成绩库!AA164)</f>
        <v/>
      </c>
      <c r="Z664" t="str">
        <f>IF(YLE成绩库!C164="","", YLE成绩库!Z164)</f>
        <v/>
      </c>
    </row>
    <row r="665" spans="1:26" x14ac:dyDescent="0.2">
      <c r="A665" t="str">
        <f>IF(YLE成绩库!C165="","", YLE成绩库!C165)</f>
        <v/>
      </c>
      <c r="B665" t="str">
        <f>IF(YLE成绩库!AB165="","", YLE成绩库!AB165)</f>
        <v>2024-01-15</v>
      </c>
      <c r="C665" t="str">
        <f>IF(YLE成绩库!B165="","", YLE成绩库!B165)</f>
        <v/>
      </c>
      <c r="D665" t="str">
        <f>IF(YLE成绩库!D165="","", YLE成绩库!D165)</f>
        <v/>
      </c>
      <c r="E665" t="str">
        <f>IF(YLE成绩库!C165="","", YLE成绩库!L165)</f>
        <v/>
      </c>
      <c r="F665" t="str">
        <f>IF(YLE成绩库!C165="","", YLE成绩库!M165)</f>
        <v/>
      </c>
      <c r="G665" t="str">
        <f>IF(YLE成绩库!C165="","", YLE成绩库!N165)</f>
        <v/>
      </c>
      <c r="H665" t="str">
        <f>IF(YLE成绩库!C165="","", YLE成绩库!O165)</f>
        <v/>
      </c>
      <c r="I665" t="str">
        <f>IF(YLE成绩库!C165="","", YLE成绩库!P165)</f>
        <v/>
      </c>
      <c r="J665" t="str">
        <f>IF(YLE成绩库!C165="","", YLE成绩库!Q165)</f>
        <v/>
      </c>
      <c r="K665" t="str">
        <f>IF(YLE成绩库!C165="","", YLE成绩库!R165)</f>
        <v/>
      </c>
      <c r="L665" t="str">
        <f>IF(YLE成绩库!C165="","", YLE成绩库!U165)</f>
        <v/>
      </c>
      <c r="M665">
        <v>0</v>
      </c>
      <c r="N665">
        <v>0</v>
      </c>
      <c r="O665">
        <v>0</v>
      </c>
      <c r="P665" t="str">
        <f>IF(YLE成绩库!C165="","", YLE成绩库!D165)</f>
        <v/>
      </c>
      <c r="Q665" t="str">
        <f>IF(YLE成绩库!C165="","", YLE成绩库!E165)</f>
        <v/>
      </c>
      <c r="R665" t="str">
        <f>IF(YLE成绩库!C165="","", YLE成绩库!F165)</f>
        <v/>
      </c>
      <c r="S665" t="str">
        <f>IF(YLE成绩库!C165="","", YLE成绩库!G165)</f>
        <v/>
      </c>
      <c r="T665" t="str">
        <f>IF(YLE成绩库!C165="","", YLE成绩库!H165)</f>
        <v/>
      </c>
      <c r="U665" t="str">
        <f>IF(YLE成绩库!C165="","", YLE成绩库!K165)</f>
        <v/>
      </c>
      <c r="V665" t="str">
        <f>IF(YLE成绩库!C165="","", YLE成绩库!W165)</f>
        <v/>
      </c>
      <c r="W665" t="str">
        <f>IF(YLE成绩库!C165="","", YLE成绩库!X165)</f>
        <v/>
      </c>
      <c r="X665" t="str">
        <f>IF(YLE成绩库!C165="","", YLE成绩库!AA165)</f>
        <v/>
      </c>
      <c r="Z665" t="str">
        <f>IF(YLE成绩库!C165="","", YLE成绩库!Z165)</f>
        <v/>
      </c>
    </row>
    <row r="666" spans="1:26" x14ac:dyDescent="0.2">
      <c r="A666" t="str">
        <f>IF(YLE成绩库!C166="","", YLE成绩库!C166)</f>
        <v/>
      </c>
      <c r="B666" t="str">
        <f>IF(YLE成绩库!AB166="","", YLE成绩库!AB166)</f>
        <v>2024-01-15</v>
      </c>
      <c r="C666" t="str">
        <f>IF(YLE成绩库!B166="","", YLE成绩库!B166)</f>
        <v/>
      </c>
      <c r="D666" t="str">
        <f>IF(YLE成绩库!D166="","", YLE成绩库!D166)</f>
        <v/>
      </c>
      <c r="E666" t="str">
        <f>IF(YLE成绩库!C166="","", YLE成绩库!L166)</f>
        <v/>
      </c>
      <c r="F666" t="str">
        <f>IF(YLE成绩库!C166="","", YLE成绩库!M166)</f>
        <v/>
      </c>
      <c r="G666" t="str">
        <f>IF(YLE成绩库!C166="","", YLE成绩库!N166)</f>
        <v/>
      </c>
      <c r="H666" t="str">
        <f>IF(YLE成绩库!C166="","", YLE成绩库!O166)</f>
        <v/>
      </c>
      <c r="I666" t="str">
        <f>IF(YLE成绩库!C166="","", YLE成绩库!P166)</f>
        <v/>
      </c>
      <c r="J666" t="str">
        <f>IF(YLE成绩库!C166="","", YLE成绩库!Q166)</f>
        <v/>
      </c>
      <c r="K666" t="str">
        <f>IF(YLE成绩库!C166="","", YLE成绩库!R166)</f>
        <v/>
      </c>
      <c r="L666" t="str">
        <f>IF(YLE成绩库!C166="","", YLE成绩库!U166)</f>
        <v/>
      </c>
      <c r="M666">
        <v>0</v>
      </c>
      <c r="N666">
        <v>0</v>
      </c>
      <c r="O666">
        <v>0</v>
      </c>
      <c r="P666" t="str">
        <f>IF(YLE成绩库!C166="","", YLE成绩库!D166)</f>
        <v/>
      </c>
      <c r="Q666" t="str">
        <f>IF(YLE成绩库!C166="","", YLE成绩库!E166)</f>
        <v/>
      </c>
      <c r="R666" t="str">
        <f>IF(YLE成绩库!C166="","", YLE成绩库!F166)</f>
        <v/>
      </c>
      <c r="S666" t="str">
        <f>IF(YLE成绩库!C166="","", YLE成绩库!G166)</f>
        <v/>
      </c>
      <c r="T666" t="str">
        <f>IF(YLE成绩库!C166="","", YLE成绩库!H166)</f>
        <v/>
      </c>
      <c r="U666" t="str">
        <f>IF(YLE成绩库!C166="","", YLE成绩库!K166)</f>
        <v/>
      </c>
      <c r="V666" t="str">
        <f>IF(YLE成绩库!C166="","", YLE成绩库!W166)</f>
        <v/>
      </c>
      <c r="W666" t="str">
        <f>IF(YLE成绩库!C166="","", YLE成绩库!X166)</f>
        <v/>
      </c>
      <c r="X666" t="str">
        <f>IF(YLE成绩库!C166="","", YLE成绩库!AA166)</f>
        <v/>
      </c>
      <c r="Z666" t="str">
        <f>IF(YLE成绩库!C166="","", YLE成绩库!Z166)</f>
        <v/>
      </c>
    </row>
    <row r="667" spans="1:26" x14ac:dyDescent="0.2">
      <c r="A667" t="str">
        <f>IF(YLE成绩库!C167="","", YLE成绩库!C167)</f>
        <v/>
      </c>
      <c r="B667" t="str">
        <f>IF(YLE成绩库!AB167="","", YLE成绩库!AB167)</f>
        <v>2024-01-15</v>
      </c>
      <c r="C667" t="str">
        <f>IF(YLE成绩库!B167="","", YLE成绩库!B167)</f>
        <v/>
      </c>
      <c r="D667" t="str">
        <f>IF(YLE成绩库!D167="","", YLE成绩库!D167)</f>
        <v/>
      </c>
      <c r="E667" t="str">
        <f>IF(YLE成绩库!C167="","", YLE成绩库!L167)</f>
        <v/>
      </c>
      <c r="F667" t="str">
        <f>IF(YLE成绩库!C167="","", YLE成绩库!M167)</f>
        <v/>
      </c>
      <c r="G667" t="str">
        <f>IF(YLE成绩库!C167="","", YLE成绩库!N167)</f>
        <v/>
      </c>
      <c r="H667" t="str">
        <f>IF(YLE成绩库!C167="","", YLE成绩库!O167)</f>
        <v/>
      </c>
      <c r="I667" t="str">
        <f>IF(YLE成绩库!C167="","", YLE成绩库!P167)</f>
        <v/>
      </c>
      <c r="J667" t="str">
        <f>IF(YLE成绩库!C167="","", YLE成绩库!Q167)</f>
        <v/>
      </c>
      <c r="K667" t="str">
        <f>IF(YLE成绩库!C167="","", YLE成绩库!R167)</f>
        <v/>
      </c>
      <c r="L667" t="str">
        <f>IF(YLE成绩库!C167="","", YLE成绩库!U167)</f>
        <v/>
      </c>
      <c r="M667">
        <v>0</v>
      </c>
      <c r="N667">
        <v>0</v>
      </c>
      <c r="O667">
        <v>0</v>
      </c>
      <c r="P667" t="str">
        <f>IF(YLE成绩库!C167="","", YLE成绩库!D167)</f>
        <v/>
      </c>
      <c r="Q667" t="str">
        <f>IF(YLE成绩库!C167="","", YLE成绩库!E167)</f>
        <v/>
      </c>
      <c r="R667" t="str">
        <f>IF(YLE成绩库!C167="","", YLE成绩库!F167)</f>
        <v/>
      </c>
      <c r="S667" t="str">
        <f>IF(YLE成绩库!C167="","", YLE成绩库!G167)</f>
        <v/>
      </c>
      <c r="T667" t="str">
        <f>IF(YLE成绩库!C167="","", YLE成绩库!H167)</f>
        <v/>
      </c>
      <c r="U667" t="str">
        <f>IF(YLE成绩库!C167="","", YLE成绩库!K167)</f>
        <v/>
      </c>
      <c r="V667" t="str">
        <f>IF(YLE成绩库!C167="","", YLE成绩库!W167)</f>
        <v/>
      </c>
      <c r="W667" t="str">
        <f>IF(YLE成绩库!C167="","", YLE成绩库!X167)</f>
        <v/>
      </c>
      <c r="X667" t="str">
        <f>IF(YLE成绩库!C167="","", YLE成绩库!AA167)</f>
        <v/>
      </c>
      <c r="Z667" t="str">
        <f>IF(YLE成绩库!C167="","", YLE成绩库!Z167)</f>
        <v/>
      </c>
    </row>
    <row r="668" spans="1:26" x14ac:dyDescent="0.2">
      <c r="A668" t="str">
        <f>IF(YLE成绩库!C168="","", YLE成绩库!C168)</f>
        <v>何灼灼 Carmen He</v>
      </c>
      <c r="B668" t="str">
        <f>IF(YLE成绩库!AB168="","", YLE成绩库!AB168)</f>
        <v>2024-02-15</v>
      </c>
      <c r="C668" t="str">
        <f>IF(YLE成绩库!B168="","", YLE成绩库!B168)</f>
        <v>B1</v>
      </c>
      <c r="D668" t="str">
        <f>IF(YLE成绩库!D168="","", YLE成绩库!D168)</f>
        <v>Flyers</v>
      </c>
      <c r="E668" t="str">
        <f>IF(YLE成绩库!C168="","", YLE成绩库!L168)</f>
        <v>133 - 139</v>
      </c>
      <c r="F668">
        <f>IF(YLE成绩库!C168="","", YLE成绩库!M168)</f>
        <v>8.64</v>
      </c>
      <c r="G668">
        <f>IF(YLE成绩库!C168="","", YLE成绩库!N168)</f>
        <v>2.16</v>
      </c>
      <c r="H668">
        <f>IF(YLE成绩库!C168="","", YLE成绩库!O168)</f>
        <v>6.48</v>
      </c>
      <c r="I668">
        <f>IF(YLE成绩库!C168="","", YLE成绩库!P168)</f>
        <v>6.48</v>
      </c>
      <c r="J668">
        <f>IF(YLE成绩库!C168="","", YLE成绩库!Q168)</f>
        <v>4.32</v>
      </c>
      <c r="K668">
        <f>IF(YLE成绩库!C168="","", YLE成绩库!R168)</f>
        <v>0</v>
      </c>
      <c r="L668">
        <f>IF(YLE成绩库!C168="","", YLE成绩库!U168)</f>
        <v>3</v>
      </c>
      <c r="M668">
        <v>0</v>
      </c>
      <c r="N668">
        <v>0</v>
      </c>
      <c r="O668">
        <v>0</v>
      </c>
      <c r="P668" t="str">
        <f>IF(YLE成绩库!C168="","", YLE成绩库!D168)</f>
        <v>Flyers</v>
      </c>
      <c r="Q668">
        <f>IF(YLE成绩库!C168="","", YLE成绩库!E168)</f>
        <v>4.32</v>
      </c>
      <c r="R668">
        <f>IF(YLE成绩库!C168="","", YLE成绩库!F168)</f>
        <v>2.16</v>
      </c>
      <c r="S668">
        <f>IF(YLE成绩库!C168="","", YLE成绩库!G168)</f>
        <v>5.4</v>
      </c>
      <c r="T668">
        <f>IF(YLE成绩库!C168="","", YLE成绩库!H168)</f>
        <v>5.4</v>
      </c>
      <c r="U668">
        <f>IF(YLE成绩库!C168="","", YLE成绩库!K168)</f>
        <v>5</v>
      </c>
      <c r="V668">
        <f>IF(YLE成绩库!C168="","", YLE成绩库!W168)</f>
        <v>8</v>
      </c>
      <c r="W668">
        <f>IF(YLE成绩库!C168="","", YLE成绩库!X168)</f>
        <v>0</v>
      </c>
      <c r="X668" t="str">
        <f>IF(YLE成绩库!C168="","", YLE成绩库!AA168)</f>
        <v>⚠️ 薄弱环节: RW-Pt6
📉 考察能力: [读写] 完形填空 (无选项)
💡 提升建议: 类似于Part 4，但通常考察更具功能性的语法点。</v>
      </c>
      <c r="Z668" t="str">
        <f>IF(YLE成绩库!C168="","", YLE成绩库!Z168)</f>
        <v>🎉 表现优异，无明显弱项！</v>
      </c>
    </row>
    <row r="669" spans="1:26" x14ac:dyDescent="0.2">
      <c r="A669" t="str">
        <f>IF(YLE成绩库!C169="","", YLE成绩库!C169)</f>
        <v>庄婧妍 Jessie Zhuang</v>
      </c>
      <c r="B669" t="str">
        <f>IF(YLE成绩库!AB169="","", YLE成绩库!AB169)</f>
        <v>2024-02-15</v>
      </c>
      <c r="C669" t="str">
        <f>IF(YLE成绩库!B169="","", YLE成绩库!B169)</f>
        <v>B1</v>
      </c>
      <c r="D669" t="str">
        <f>IF(YLE成绩库!D169="","", YLE成绩库!D169)</f>
        <v>Flyers</v>
      </c>
      <c r="E669" t="str">
        <f>IF(YLE成绩库!C169="","", YLE成绩库!L169)</f>
        <v>120 - 132</v>
      </c>
      <c r="F669">
        <f>IF(YLE成绩库!C169="","", YLE成绩库!M169)</f>
        <v>7.56</v>
      </c>
      <c r="G669">
        <f>IF(YLE成绩库!C169="","", YLE成绩库!N169)</f>
        <v>2.16</v>
      </c>
      <c r="H669">
        <f>IF(YLE成绩库!C169="","", YLE成绩库!O169)</f>
        <v>3.24</v>
      </c>
      <c r="I669">
        <f>IF(YLE成绩库!C169="","", YLE成绩库!P169)</f>
        <v>7.56</v>
      </c>
      <c r="J669">
        <f>IF(YLE成绩库!C169="","", YLE成绩库!Q169)</f>
        <v>4.32</v>
      </c>
      <c r="K669">
        <f>IF(YLE成绩库!C169="","", YLE成绩库!R169)</f>
        <v>1.08</v>
      </c>
      <c r="L669">
        <f>IF(YLE成绩库!C169="","", YLE成绩库!U169)</f>
        <v>3</v>
      </c>
      <c r="M669">
        <v>0</v>
      </c>
      <c r="N669">
        <v>0</v>
      </c>
      <c r="O669">
        <v>0</v>
      </c>
      <c r="P669" t="str">
        <f>IF(YLE成绩库!C169="","", YLE成绩库!D169)</f>
        <v>Flyers</v>
      </c>
      <c r="Q669">
        <f>IF(YLE成绩库!C169="","", YLE成绩库!E169)</f>
        <v>4.32</v>
      </c>
      <c r="R669">
        <f>IF(YLE成绩库!C169="","", YLE成绩库!F169)</f>
        <v>1.08</v>
      </c>
      <c r="S669">
        <f>IF(YLE成绩库!C169="","", YLE成绩库!G169)</f>
        <v>4.32</v>
      </c>
      <c r="T669">
        <f>IF(YLE成绩库!C169="","", YLE成绩库!H169)</f>
        <v>4.32</v>
      </c>
      <c r="U669">
        <f>IF(YLE成绩库!C169="","", YLE成绩库!K169)</f>
        <v>4</v>
      </c>
      <c r="V669">
        <f>IF(YLE成绩库!C169="","", YLE成绩库!W169)</f>
        <v>7</v>
      </c>
      <c r="W669">
        <f>IF(YLE成绩库!C169="","", YLE成绩库!X169)</f>
        <v>0</v>
      </c>
      <c r="X669" t="str">
        <f>IF(YLE成绩库!C169="","", YLE成绩库!AA169)</f>
        <v>⚠️ 薄弱环节: RW-Pt6
📉 考察能力: [读写] 完形填空 (无选项)
💡 提升建议: 类似于Part 4，但通常考察更具功能性的语法点。</v>
      </c>
      <c r="Z669" t="str">
        <f>IF(YLE成绩库!C169="","", YLE成绩库!Z169)</f>
        <v>🎉 表现优异，无明显弱项！</v>
      </c>
    </row>
    <row r="670" spans="1:26" x14ac:dyDescent="0.2">
      <c r="A670" t="str">
        <f>IF(YLE成绩库!C170="","", YLE成绩库!C170)</f>
        <v>庄婼棱 Doris Zhuang</v>
      </c>
      <c r="B670" t="str">
        <f>IF(YLE成绩库!AB170="","", YLE成绩库!AB170)</f>
        <v>2024-02-15</v>
      </c>
      <c r="C670" t="str">
        <f>IF(YLE成绩库!B170="","", YLE成绩库!B170)</f>
        <v>B1</v>
      </c>
      <c r="D670" t="str">
        <f>IF(YLE成绩库!D170="","", YLE成绩库!D170)</f>
        <v>Flyers</v>
      </c>
      <c r="E670" t="str">
        <f>IF(YLE成绩库!C170="","", YLE成绩库!L170)</f>
        <v>120 - 132</v>
      </c>
      <c r="F670">
        <f>IF(YLE成绩库!C170="","", YLE成绩库!M170)</f>
        <v>4.32</v>
      </c>
      <c r="G670">
        <f>IF(YLE成绩库!C170="","", YLE成绩库!N170)</f>
        <v>5.4</v>
      </c>
      <c r="H670">
        <f>IF(YLE成绩库!C170="","", YLE成绩库!O170)</f>
        <v>4.32</v>
      </c>
      <c r="I670">
        <f>IF(YLE成绩库!C170="","", YLE成绩库!P170)</f>
        <v>3.24</v>
      </c>
      <c r="J670">
        <f>IF(YLE成绩库!C170="","", YLE成绩库!Q170)</f>
        <v>1.08</v>
      </c>
      <c r="K670">
        <f>IF(YLE成绩库!C170="","", YLE成绩库!R170)</f>
        <v>0</v>
      </c>
      <c r="L670">
        <f>IF(YLE成绩库!C170="","", YLE成绩库!U170)</f>
        <v>2</v>
      </c>
      <c r="M670">
        <v>0</v>
      </c>
      <c r="N670">
        <v>0</v>
      </c>
      <c r="O670">
        <v>0</v>
      </c>
      <c r="P670" t="str">
        <f>IF(YLE成绩库!C170="","", YLE成绩库!D170)</f>
        <v>Flyers</v>
      </c>
      <c r="Q670">
        <f>IF(YLE成绩库!C170="","", YLE成绩库!E170)</f>
        <v>4.32</v>
      </c>
      <c r="R670">
        <f>IF(YLE成绩库!C170="","", YLE成绩库!F170)</f>
        <v>1.08</v>
      </c>
      <c r="S670">
        <f>IF(YLE成绩库!C170="","", YLE成绩库!G170)</f>
        <v>3.24</v>
      </c>
      <c r="T670">
        <f>IF(YLE成绩库!C170="","", YLE成绩库!H170)</f>
        <v>5.4</v>
      </c>
      <c r="U670">
        <f>IF(YLE成绩库!C170="","", YLE成绩库!K170)</f>
        <v>4</v>
      </c>
      <c r="V670">
        <f>IF(YLE成绩库!C170="","", YLE成绩库!W170)</f>
        <v>6</v>
      </c>
      <c r="W670">
        <f>IF(YLE成绩库!C170="","", YLE成绩库!X170)</f>
        <v>0</v>
      </c>
      <c r="X670" t="str">
        <f>IF(YLE成绩库!C170="","", YLE成绩库!AA170)</f>
        <v>⚠️ 薄弱环节: RW-Pt6
📉 考察能力: [读写] 完形填空 (无选项)
💡 提升建议: 类似于Part 4，但通常考察更具功能性的语法点。</v>
      </c>
      <c r="Z670" t="str">
        <f>IF(YLE成绩库!C170="","", YLE成绩库!Z170)</f>
        <v>🎉 表现优异，无明显弱项！</v>
      </c>
    </row>
    <row r="671" spans="1:26" x14ac:dyDescent="0.2">
      <c r="A671" t="str">
        <f>IF(YLE成绩库!C171="","", YLE成绩库!C171)</f>
        <v>徐梓怡 Kiki Xu</v>
      </c>
      <c r="B671" t="str">
        <f>IF(YLE成绩库!AB171="","", YLE成绩库!AB171)</f>
        <v>2024-02-15</v>
      </c>
      <c r="C671" t="str">
        <f>IF(YLE成绩库!B171="","", YLE成绩库!B171)</f>
        <v>B1</v>
      </c>
      <c r="D671" t="str">
        <f>IF(YLE成绩库!D171="","", YLE成绩库!D171)</f>
        <v>Flyers</v>
      </c>
      <c r="E671" t="str">
        <f>IF(YLE成绩库!C171="","", YLE成绩库!L171)</f>
        <v>110 - 119</v>
      </c>
      <c r="F671">
        <f>IF(YLE成绩库!C171="","", YLE成绩库!M171)</f>
        <v>8.64</v>
      </c>
      <c r="G671">
        <f>IF(YLE成绩库!C171="","", YLE成绩库!N171)</f>
        <v>2.16</v>
      </c>
      <c r="H671">
        <f>IF(YLE成绩库!C171="","", YLE成绩库!O171)</f>
        <v>6.48</v>
      </c>
      <c r="I671">
        <f>IF(YLE成绩库!C171="","", YLE成绩库!P171)</f>
        <v>8.64</v>
      </c>
      <c r="J671">
        <f>IF(YLE成绩库!C171="","", YLE成绩库!Q171)</f>
        <v>5.4</v>
      </c>
      <c r="K671">
        <f>IF(YLE成绩库!C171="","", YLE成绩库!R171)</f>
        <v>1.08</v>
      </c>
      <c r="L671">
        <f>IF(YLE成绩库!C171="","", YLE成绩库!U171)</f>
        <v>4</v>
      </c>
      <c r="M671">
        <v>0</v>
      </c>
      <c r="N671">
        <v>0</v>
      </c>
      <c r="O671">
        <v>0</v>
      </c>
      <c r="P671" t="str">
        <f>IF(YLE成绩库!C171="","", YLE成绩库!D171)</f>
        <v>Flyers</v>
      </c>
      <c r="Q671">
        <f>IF(YLE成绩库!C171="","", YLE成绩库!E171)</f>
        <v>5.4</v>
      </c>
      <c r="R671">
        <f>IF(YLE成绩库!C171="","", YLE成绩库!F171)</f>
        <v>1.08</v>
      </c>
      <c r="S671">
        <f>IF(YLE成绩库!C171="","", YLE成绩库!G171)</f>
        <v>2.16</v>
      </c>
      <c r="T671">
        <f>IF(YLE成绩库!C171="","", YLE成绩库!H171)</f>
        <v>4.32</v>
      </c>
      <c r="U671">
        <f>IF(YLE成绩库!C171="","", YLE成绩库!K171)</f>
        <v>4</v>
      </c>
      <c r="V671">
        <f>IF(YLE成绩库!C171="","", YLE成绩库!W171)</f>
        <v>8</v>
      </c>
      <c r="W671">
        <f>IF(YLE成绩库!C171="","", YLE成绩库!X171)</f>
        <v>0</v>
      </c>
      <c r="X671" t="str">
        <f>IF(YLE成绩库!C171="","", YLE成绩库!AA171)</f>
        <v>🎉 表现优异，无明显弱项！</v>
      </c>
      <c r="Z671" t="str">
        <f>IF(YLE成绩库!C171="","", YLE成绩库!Z171)</f>
        <v>🎉 表现优异，无明显弱项！</v>
      </c>
    </row>
    <row r="672" spans="1:26" x14ac:dyDescent="0.2">
      <c r="A672" t="str">
        <f>IF(YLE成绩库!C172="","", YLE成绩库!C172)</f>
        <v>江函妤 Hannah Jiang</v>
      </c>
      <c r="B672" t="str">
        <f>IF(YLE成绩库!AB172="","", YLE成绩库!AB172)</f>
        <v>2024-02-15</v>
      </c>
      <c r="C672" t="str">
        <f>IF(YLE成绩库!B172="","", YLE成绩库!B172)</f>
        <v>B1</v>
      </c>
      <c r="D672" t="str">
        <f>IF(YLE成绩库!D172="","", YLE成绩库!D172)</f>
        <v>Flyers</v>
      </c>
      <c r="E672" t="str">
        <f>IF(YLE成绩库!C172="","", YLE成绩库!L172)</f>
        <v>133 - 139</v>
      </c>
      <c r="F672">
        <f>IF(YLE成绩库!C172="","", YLE成绩库!M172)</f>
        <v>9.7200000000000006</v>
      </c>
      <c r="G672">
        <f>IF(YLE成绩库!C172="","", YLE成绩库!N172)</f>
        <v>1.08</v>
      </c>
      <c r="H672">
        <f>IF(YLE成绩库!C172="","", YLE成绩库!O172)</f>
        <v>6.48</v>
      </c>
      <c r="I672">
        <f>IF(YLE成绩库!C172="","", YLE成绩库!P172)</f>
        <v>10.8</v>
      </c>
      <c r="J672">
        <f>IF(YLE成绩库!C172="","", YLE成绩库!Q172)</f>
        <v>3.24</v>
      </c>
      <c r="K672">
        <f>IF(YLE成绩库!C172="","", YLE成绩库!R172)</f>
        <v>2.16</v>
      </c>
      <c r="L672">
        <f>IF(YLE成绩库!C172="","", YLE成绩库!U172)</f>
        <v>4</v>
      </c>
      <c r="M672">
        <v>0</v>
      </c>
      <c r="N672">
        <v>0</v>
      </c>
      <c r="O672">
        <v>0</v>
      </c>
      <c r="P672" t="str">
        <f>IF(YLE成绩库!C172="","", YLE成绩库!D172)</f>
        <v>Flyers</v>
      </c>
      <c r="Q672">
        <f>IF(YLE成绩库!C172="","", YLE成绩库!E172)</f>
        <v>5.4</v>
      </c>
      <c r="R672">
        <f>IF(YLE成绩库!C172="","", YLE成绩库!F172)</f>
        <v>1.08</v>
      </c>
      <c r="S672">
        <f>IF(YLE成绩库!C172="","", YLE成绩库!G172)</f>
        <v>5.4</v>
      </c>
      <c r="T672">
        <f>IF(YLE成绩库!C172="","", YLE成绩库!H172)</f>
        <v>5.4</v>
      </c>
      <c r="U672">
        <f>IF(YLE成绩库!C172="","", YLE成绩库!K172)</f>
        <v>5</v>
      </c>
      <c r="V672">
        <f>IF(YLE成绩库!C172="","", YLE成绩库!W172)</f>
        <v>9</v>
      </c>
      <c r="W672">
        <f>IF(YLE成绩库!C172="","", YLE成绩库!X172)</f>
        <v>0</v>
      </c>
      <c r="X672" t="str">
        <f>IF(YLE成绩库!C172="","", YLE成绩库!AA172)</f>
        <v>🎉 表现优异，无明显弱项！</v>
      </c>
      <c r="Z672" t="str">
        <f>IF(YLE成绩库!C172="","", YLE成绩库!Z172)</f>
        <v>🎉 表现优异，无明显弱项！</v>
      </c>
    </row>
    <row r="673" spans="1:26" x14ac:dyDescent="0.2">
      <c r="A673" t="str">
        <f>IF(YLE成绩库!C173="","", YLE成绩库!C173)</f>
        <v>沈致远 Mikey Shen</v>
      </c>
      <c r="B673" t="str">
        <f>IF(YLE成绩库!AB173="","", YLE成绩库!AB173)</f>
        <v>2024-02-15</v>
      </c>
      <c r="C673" t="str">
        <f>IF(YLE成绩库!B173="","", YLE成绩库!B173)</f>
        <v>B1</v>
      </c>
      <c r="D673" t="str">
        <f>IF(YLE成绩库!D173="","", YLE成绩库!D173)</f>
        <v>Flyers</v>
      </c>
      <c r="E673" t="str">
        <f>IF(YLE成绩库!C173="","", YLE成绩库!L173)</f>
        <v>120 - 132</v>
      </c>
      <c r="F673">
        <f>IF(YLE成绩库!C173="","", YLE成绩库!M173)</f>
        <v>8.64</v>
      </c>
      <c r="G673">
        <f>IF(YLE成绩库!C173="","", YLE成绩库!N173)</f>
        <v>2.16</v>
      </c>
      <c r="H673">
        <f>IF(YLE成绩库!C173="","", YLE成绩库!O173)</f>
        <v>0</v>
      </c>
      <c r="I673">
        <f>IF(YLE成绩库!C173="","", YLE成绩库!P173)</f>
        <v>8.64</v>
      </c>
      <c r="J673">
        <f>IF(YLE成绩库!C173="","", YLE成绩库!Q173)</f>
        <v>0</v>
      </c>
      <c r="K673">
        <f>IF(YLE成绩库!C173="","", YLE成绩库!R173)</f>
        <v>2.16</v>
      </c>
      <c r="L673">
        <f>IF(YLE成绩库!C173="","", YLE成绩库!U173)</f>
        <v>3</v>
      </c>
      <c r="M673">
        <v>0</v>
      </c>
      <c r="N673">
        <v>0</v>
      </c>
      <c r="O673">
        <v>0</v>
      </c>
      <c r="P673" t="str">
        <f>IF(YLE成绩库!C173="","", YLE成绩库!D173)</f>
        <v>Flyers</v>
      </c>
      <c r="Q673">
        <f>IF(YLE成绩库!C173="","", YLE成绩库!E173)</f>
        <v>5.4</v>
      </c>
      <c r="R673">
        <f>IF(YLE成绩库!C173="","", YLE成绩库!F173)</f>
        <v>1.08</v>
      </c>
      <c r="S673">
        <f>IF(YLE成绩库!C173="","", YLE成绩库!G173)</f>
        <v>5.4</v>
      </c>
      <c r="T673">
        <f>IF(YLE成绩库!C173="","", YLE成绩库!H173)</f>
        <v>5.4</v>
      </c>
      <c r="U673">
        <f>IF(YLE成绩库!C173="","", YLE成绩库!K173)</f>
        <v>5</v>
      </c>
      <c r="V673">
        <f>IF(YLE成绩库!C173="","", YLE成绩库!W173)</f>
        <v>8</v>
      </c>
      <c r="W673">
        <f>IF(YLE成绩库!C173="","", YLE成绩库!X173)</f>
        <v>0</v>
      </c>
      <c r="X673" t="str">
        <f>IF(YLE成绩库!C173="","", YLE成绩库!AA173)</f>
        <v>⚠️ 薄弱环节: RW-Pt3
📉 考察能力: [读写] 完形填空 (选词)
💡 提升建议: 考察词汇辨析和固定搭配，注意上下文连贯性。</v>
      </c>
      <c r="Z673" t="str">
        <f>IF(YLE成绩库!C173="","", YLE成绩库!Z173)</f>
        <v>🎉 表现优异，无明显弱项！</v>
      </c>
    </row>
    <row r="674" spans="1:26" x14ac:dyDescent="0.2">
      <c r="A674" t="str">
        <f>IF(YLE成绩库!C174="","", YLE成绩库!C174)</f>
        <v>王译帆 Carl Wang</v>
      </c>
      <c r="B674" t="str">
        <f>IF(YLE成绩库!AB174="","", YLE成绩库!AB174)</f>
        <v>2024-02-15</v>
      </c>
      <c r="C674" t="str">
        <f>IF(YLE成绩库!B174="","", YLE成绩库!B174)</f>
        <v>B1</v>
      </c>
      <c r="D674" t="str">
        <f>IF(YLE成绩库!D174="","", YLE成绩库!D174)</f>
        <v>Flyers</v>
      </c>
      <c r="E674" t="str">
        <f>IF(YLE成绩库!C174="","", YLE成绩库!L174)</f>
        <v>120 - 132</v>
      </c>
      <c r="F674">
        <f>IF(YLE成绩库!C174="","", YLE成绩库!M174)</f>
        <v>4.32</v>
      </c>
      <c r="G674">
        <f>IF(YLE成绩库!C174="","", YLE成绩库!N174)</f>
        <v>2.16</v>
      </c>
      <c r="H674">
        <f>IF(YLE成绩库!C174="","", YLE成绩库!O174)</f>
        <v>6.48</v>
      </c>
      <c r="I674">
        <f>IF(YLE成绩库!C174="","", YLE成绩库!P174)</f>
        <v>8.64</v>
      </c>
      <c r="J674">
        <f>IF(YLE成绩库!C174="","", YLE成绩库!Q174)</f>
        <v>0</v>
      </c>
      <c r="K674">
        <f>IF(YLE成绩库!C174="","", YLE成绩库!R174)</f>
        <v>1.08</v>
      </c>
      <c r="L674">
        <f>IF(YLE成绩库!C174="","", YLE成绩库!U174)</f>
        <v>3</v>
      </c>
      <c r="M674">
        <v>0</v>
      </c>
      <c r="N674">
        <v>0</v>
      </c>
      <c r="O674">
        <v>0</v>
      </c>
      <c r="P674" t="str">
        <f>IF(YLE成绩库!C174="","", YLE成绩库!D174)</f>
        <v>Flyers</v>
      </c>
      <c r="Q674">
        <f>IF(YLE成绩库!C174="","", YLE成绩库!E174)</f>
        <v>5.4</v>
      </c>
      <c r="R674">
        <f>IF(YLE成绩库!C174="","", YLE成绩库!F174)</f>
        <v>2.16</v>
      </c>
      <c r="S674">
        <f>IF(YLE成绩库!C174="","", YLE成绩库!G174)</f>
        <v>4.32</v>
      </c>
      <c r="T674">
        <f>IF(YLE成绩库!C174="","", YLE成绩库!H174)</f>
        <v>4.32</v>
      </c>
      <c r="U674">
        <f>IF(YLE成绩库!C174="","", YLE成绩库!K174)</f>
        <v>5</v>
      </c>
      <c r="V674">
        <f>IF(YLE成绩库!C174="","", YLE成绩库!W174)</f>
        <v>8</v>
      </c>
      <c r="W674">
        <f>IF(YLE成绩库!C174="","", YLE成绩库!X174)</f>
        <v>0</v>
      </c>
      <c r="X674" t="str">
        <f>IF(YLE成绩库!C174="","", YLE成绩库!AA174)</f>
        <v>⚠️ 薄弱环节: RW-Pt5
📉 考察能力: [读写] 阅读故事补全句子
💡 提升建议: 概括能力要求提升，需归纳文章信息来填空。</v>
      </c>
      <c r="Z674" t="str">
        <f>IF(YLE成绩库!C174="","", YLE成绩库!Z174)</f>
        <v>🎉 表现优异，无明显弱项！</v>
      </c>
    </row>
    <row r="675" spans="1:26" x14ac:dyDescent="0.2">
      <c r="A675" t="str">
        <f>IF(YLE成绩库!C175="","", YLE成绩库!C175)</f>
        <v>蒋博安 Stephan Jiang</v>
      </c>
      <c r="B675" t="str">
        <f>IF(YLE成绩库!AB175="","", YLE成绩库!AB175)</f>
        <v>2024-02-15</v>
      </c>
      <c r="C675" t="str">
        <f>IF(YLE成绩库!B175="","", YLE成绩库!B175)</f>
        <v>B1</v>
      </c>
      <c r="D675" t="str">
        <f>IF(YLE成绩库!D175="","", YLE成绩库!D175)</f>
        <v>Flyers</v>
      </c>
      <c r="E675" t="str">
        <f>IF(YLE成绩库!C175="","", YLE成绩库!L175)</f>
        <v>133 - 139</v>
      </c>
      <c r="F675">
        <f>IF(YLE成绩库!C175="","", YLE成绩库!M175)</f>
        <v>6.48</v>
      </c>
      <c r="G675">
        <f>IF(YLE成绩库!C175="","", YLE成绩库!N175)</f>
        <v>2.16</v>
      </c>
      <c r="H675">
        <f>IF(YLE成绩库!C175="","", YLE成绩库!O175)</f>
        <v>6.48</v>
      </c>
      <c r="I675">
        <f>IF(YLE成绩库!C175="","", YLE成绩库!P175)</f>
        <v>9.7200000000000006</v>
      </c>
      <c r="J675">
        <f>IF(YLE成绩库!C175="","", YLE成绩库!Q175)</f>
        <v>3.24</v>
      </c>
      <c r="K675">
        <f>IF(YLE成绩库!C175="","", YLE成绩库!R175)</f>
        <v>1.08</v>
      </c>
      <c r="L675">
        <f>IF(YLE成绩库!C175="","", YLE成绩库!U175)</f>
        <v>3</v>
      </c>
      <c r="M675">
        <v>0</v>
      </c>
      <c r="N675">
        <v>0</v>
      </c>
      <c r="O675">
        <v>0</v>
      </c>
      <c r="P675" t="str">
        <f>IF(YLE成绩库!C175="","", YLE成绩库!D175)</f>
        <v>Flyers</v>
      </c>
      <c r="Q675">
        <f>IF(YLE成绩库!C175="","", YLE成绩库!E175)</f>
        <v>5.4</v>
      </c>
      <c r="R675">
        <f>IF(YLE成绩库!C175="","", YLE成绩库!F175)</f>
        <v>3.24</v>
      </c>
      <c r="S675">
        <f>IF(YLE成绩库!C175="","", YLE成绩库!G175)</f>
        <v>4.32</v>
      </c>
      <c r="T675">
        <f>IF(YLE成绩库!C175="","", YLE成绩库!H175)</f>
        <v>4.32</v>
      </c>
      <c r="U675">
        <f>IF(YLE成绩库!C175="","", YLE成绩库!K175)</f>
        <v>5</v>
      </c>
      <c r="V675">
        <f>IF(YLE成绩库!C175="","", YLE成绩库!W175)</f>
        <v>8</v>
      </c>
      <c r="W675">
        <f>IF(YLE成绩库!C175="","", YLE成绩库!X175)</f>
        <v>0</v>
      </c>
      <c r="X675" t="str">
        <f>IF(YLE成绩库!C175="","", YLE成绩库!AA175)</f>
        <v>⚠️ 薄弱环节: RW-Pt6
📉 考察能力: [读写] 完形填空 (无选项)
💡 提升建议: 类似于Part 4，但通常考察更具功能性的语法点。</v>
      </c>
      <c r="Z675" t="str">
        <f>IF(YLE成绩库!C175="","", YLE成绩库!Z175)</f>
        <v>🎉 表现优异，无明显弱项！</v>
      </c>
    </row>
    <row r="676" spans="1:26" x14ac:dyDescent="0.2">
      <c r="A676" t="str">
        <f>IF(YLE成绩库!C176="","", YLE成绩库!C176)</f>
        <v/>
      </c>
      <c r="B676" t="str">
        <f>IF(YLE成绩库!AB176="","", YLE成绩库!AB176)</f>
        <v/>
      </c>
      <c r="C676" t="str">
        <f>IF(YLE成绩库!B176="","", YLE成绩库!B176)</f>
        <v/>
      </c>
      <c r="D676" t="str">
        <f>IF(YLE成绩库!D176="","", YLE成绩库!D176)</f>
        <v/>
      </c>
      <c r="E676" t="str">
        <f>IF(YLE成绩库!C176="","", YLE成绩库!L176)</f>
        <v/>
      </c>
      <c r="F676" t="str">
        <f>IF(YLE成绩库!C176="","", YLE成绩库!M176)</f>
        <v/>
      </c>
      <c r="G676" t="str">
        <f>IF(YLE成绩库!C176="","", YLE成绩库!N176)</f>
        <v/>
      </c>
      <c r="H676" t="str">
        <f>IF(YLE成绩库!C176="","", YLE成绩库!O176)</f>
        <v/>
      </c>
      <c r="I676" t="str">
        <f>IF(YLE成绩库!C176="","", YLE成绩库!P176)</f>
        <v/>
      </c>
      <c r="J676" t="str">
        <f>IF(YLE成绩库!C176="","", YLE成绩库!Q176)</f>
        <v/>
      </c>
      <c r="K676" t="str">
        <f>IF(YLE成绩库!C176="","", YLE成绩库!R176)</f>
        <v/>
      </c>
      <c r="L676" t="str">
        <f>IF(YLE成绩库!C176="","", YLE成绩库!U176)</f>
        <v/>
      </c>
      <c r="M676">
        <v>0</v>
      </c>
      <c r="N676">
        <v>0</v>
      </c>
      <c r="O676">
        <v>0</v>
      </c>
      <c r="P676" t="str">
        <f>IF(YLE成绩库!C176="","", YLE成绩库!D176)</f>
        <v/>
      </c>
      <c r="Q676" t="str">
        <f>IF(YLE成绩库!C176="","", YLE成绩库!E176)</f>
        <v/>
      </c>
      <c r="R676" t="str">
        <f>IF(YLE成绩库!C176="","", YLE成绩库!F176)</f>
        <v/>
      </c>
      <c r="S676" t="str">
        <f>IF(YLE成绩库!C176="","", YLE成绩库!G176)</f>
        <v/>
      </c>
      <c r="T676" t="str">
        <f>IF(YLE成绩库!C176="","", YLE成绩库!H176)</f>
        <v/>
      </c>
      <c r="U676" t="str">
        <f>IF(YLE成绩库!C176="","", YLE成绩库!K176)</f>
        <v/>
      </c>
      <c r="V676" t="str">
        <f>IF(YLE成绩库!C176="","", YLE成绩库!W176)</f>
        <v/>
      </c>
      <c r="W676" t="str">
        <f>IF(YLE成绩库!C176="","", YLE成绩库!X176)</f>
        <v/>
      </c>
      <c r="X676" t="str">
        <f>IF(YLE成绩库!C176="","", YLE成绩库!AA176)</f>
        <v/>
      </c>
      <c r="Z676" t="str">
        <f>IF(YLE成绩库!C176="","", YLE成绩库!Z176)</f>
        <v/>
      </c>
    </row>
    <row r="677" spans="1:26" x14ac:dyDescent="0.2">
      <c r="A677" t="str">
        <f>IF(YLE成绩库!C177="","", YLE成绩库!C177)</f>
        <v/>
      </c>
      <c r="B677" t="str">
        <f>IF(YLE成绩库!AB177="","", YLE成绩库!AB177)</f>
        <v/>
      </c>
      <c r="C677" t="str">
        <f>IF(YLE成绩库!B177="","", YLE成绩库!B177)</f>
        <v/>
      </c>
      <c r="D677" t="str">
        <f>IF(YLE成绩库!D177="","", YLE成绩库!D177)</f>
        <v/>
      </c>
      <c r="E677" t="str">
        <f>IF(YLE成绩库!C177="","", YLE成绩库!L177)</f>
        <v/>
      </c>
      <c r="F677" t="str">
        <f>IF(YLE成绩库!C177="","", YLE成绩库!M177)</f>
        <v/>
      </c>
      <c r="G677" t="str">
        <f>IF(YLE成绩库!C177="","", YLE成绩库!N177)</f>
        <v/>
      </c>
      <c r="H677" t="str">
        <f>IF(YLE成绩库!C177="","", YLE成绩库!O177)</f>
        <v/>
      </c>
      <c r="I677" t="str">
        <f>IF(YLE成绩库!C177="","", YLE成绩库!P177)</f>
        <v/>
      </c>
      <c r="J677" t="str">
        <f>IF(YLE成绩库!C177="","", YLE成绩库!Q177)</f>
        <v/>
      </c>
      <c r="K677" t="str">
        <f>IF(YLE成绩库!C177="","", YLE成绩库!R177)</f>
        <v/>
      </c>
      <c r="L677" t="str">
        <f>IF(YLE成绩库!C177="","", YLE成绩库!U177)</f>
        <v/>
      </c>
      <c r="M677">
        <v>0</v>
      </c>
      <c r="N677">
        <v>0</v>
      </c>
      <c r="O677">
        <v>0</v>
      </c>
      <c r="P677" t="str">
        <f>IF(YLE成绩库!C177="","", YLE成绩库!D177)</f>
        <v/>
      </c>
      <c r="Q677" t="str">
        <f>IF(YLE成绩库!C177="","", YLE成绩库!E177)</f>
        <v/>
      </c>
      <c r="R677" t="str">
        <f>IF(YLE成绩库!C177="","", YLE成绩库!F177)</f>
        <v/>
      </c>
      <c r="S677" t="str">
        <f>IF(YLE成绩库!C177="","", YLE成绩库!G177)</f>
        <v/>
      </c>
      <c r="T677" t="str">
        <f>IF(YLE成绩库!C177="","", YLE成绩库!H177)</f>
        <v/>
      </c>
      <c r="U677" t="str">
        <f>IF(YLE成绩库!C177="","", YLE成绩库!K177)</f>
        <v/>
      </c>
      <c r="V677" t="str">
        <f>IF(YLE成绩库!C177="","", YLE成绩库!W177)</f>
        <v/>
      </c>
      <c r="W677" t="str">
        <f>IF(YLE成绩库!C177="","", YLE成绩库!X177)</f>
        <v/>
      </c>
      <c r="X677" t="str">
        <f>IF(YLE成绩库!C177="","", YLE成绩库!AA177)</f>
        <v/>
      </c>
      <c r="Z677" t="str">
        <f>IF(YLE成绩库!C177="","", YLE成绩库!Z177)</f>
        <v/>
      </c>
    </row>
    <row r="678" spans="1:26" x14ac:dyDescent="0.2">
      <c r="A678" t="str">
        <f>IF(YLE成绩库!C178="","", YLE成绩库!C178)</f>
        <v/>
      </c>
      <c r="B678" t="str">
        <f>IF(YLE成绩库!AB178="","", YLE成绩库!AB178)</f>
        <v/>
      </c>
      <c r="C678" t="str">
        <f>IF(YLE成绩库!B178="","", YLE成绩库!B178)</f>
        <v/>
      </c>
      <c r="D678" t="str">
        <f>IF(YLE成绩库!D178="","", YLE成绩库!D178)</f>
        <v/>
      </c>
      <c r="E678" t="str">
        <f>IF(YLE成绩库!C178="","", YLE成绩库!L178)</f>
        <v/>
      </c>
      <c r="F678" t="str">
        <f>IF(YLE成绩库!C178="","", YLE成绩库!M178)</f>
        <v/>
      </c>
      <c r="G678" t="str">
        <f>IF(YLE成绩库!C178="","", YLE成绩库!N178)</f>
        <v/>
      </c>
      <c r="H678" t="str">
        <f>IF(YLE成绩库!C178="","", YLE成绩库!O178)</f>
        <v/>
      </c>
      <c r="I678" t="str">
        <f>IF(YLE成绩库!C178="","", YLE成绩库!P178)</f>
        <v/>
      </c>
      <c r="J678" t="str">
        <f>IF(YLE成绩库!C178="","", YLE成绩库!Q178)</f>
        <v/>
      </c>
      <c r="K678" t="str">
        <f>IF(YLE成绩库!C178="","", YLE成绩库!R178)</f>
        <v/>
      </c>
      <c r="L678" t="str">
        <f>IF(YLE成绩库!C178="","", YLE成绩库!U178)</f>
        <v/>
      </c>
      <c r="M678">
        <v>0</v>
      </c>
      <c r="N678">
        <v>0</v>
      </c>
      <c r="O678">
        <v>0</v>
      </c>
      <c r="P678" t="str">
        <f>IF(YLE成绩库!C178="","", YLE成绩库!D178)</f>
        <v/>
      </c>
      <c r="Q678" t="str">
        <f>IF(YLE成绩库!C178="","", YLE成绩库!E178)</f>
        <v/>
      </c>
      <c r="R678" t="str">
        <f>IF(YLE成绩库!C178="","", YLE成绩库!F178)</f>
        <v/>
      </c>
      <c r="S678" t="str">
        <f>IF(YLE成绩库!C178="","", YLE成绩库!G178)</f>
        <v/>
      </c>
      <c r="T678" t="str">
        <f>IF(YLE成绩库!C178="","", YLE成绩库!H178)</f>
        <v/>
      </c>
      <c r="U678" t="str">
        <f>IF(YLE成绩库!C178="","", YLE成绩库!K178)</f>
        <v/>
      </c>
      <c r="V678" t="str">
        <f>IF(YLE成绩库!C178="","", YLE成绩库!W178)</f>
        <v/>
      </c>
      <c r="W678" t="str">
        <f>IF(YLE成绩库!C178="","", YLE成绩库!X178)</f>
        <v/>
      </c>
      <c r="X678" t="str">
        <f>IF(YLE成绩库!C178="","", YLE成绩库!AA178)</f>
        <v/>
      </c>
      <c r="Z678" t="str">
        <f>IF(YLE成绩库!C178="","", YLE成绩库!Z178)</f>
        <v/>
      </c>
    </row>
    <row r="679" spans="1:26" x14ac:dyDescent="0.2">
      <c r="A679" t="str">
        <f>IF(YLE成绩库!C179="","", YLE成绩库!C179)</f>
        <v/>
      </c>
      <c r="B679" t="str">
        <f>IF(YLE成绩库!AB179="","", YLE成绩库!AB179)</f>
        <v/>
      </c>
      <c r="C679" t="str">
        <f>IF(YLE成绩库!B179="","", YLE成绩库!B179)</f>
        <v/>
      </c>
      <c r="D679" t="str">
        <f>IF(YLE成绩库!D179="","", YLE成绩库!D179)</f>
        <v/>
      </c>
      <c r="E679" t="str">
        <f>IF(YLE成绩库!C179="","", YLE成绩库!L179)</f>
        <v/>
      </c>
      <c r="F679" t="str">
        <f>IF(YLE成绩库!C179="","", YLE成绩库!M179)</f>
        <v/>
      </c>
      <c r="G679" t="str">
        <f>IF(YLE成绩库!C179="","", YLE成绩库!N179)</f>
        <v/>
      </c>
      <c r="H679" t="str">
        <f>IF(YLE成绩库!C179="","", YLE成绩库!O179)</f>
        <v/>
      </c>
      <c r="I679" t="str">
        <f>IF(YLE成绩库!C179="","", YLE成绩库!P179)</f>
        <v/>
      </c>
      <c r="J679" t="str">
        <f>IF(YLE成绩库!C179="","", YLE成绩库!Q179)</f>
        <v/>
      </c>
      <c r="K679" t="str">
        <f>IF(YLE成绩库!C179="","", YLE成绩库!R179)</f>
        <v/>
      </c>
      <c r="L679" t="str">
        <f>IF(YLE成绩库!C179="","", YLE成绩库!U179)</f>
        <v/>
      </c>
      <c r="M679">
        <v>0</v>
      </c>
      <c r="N679">
        <v>0</v>
      </c>
      <c r="O679">
        <v>0</v>
      </c>
      <c r="P679" t="str">
        <f>IF(YLE成绩库!C179="","", YLE成绩库!D179)</f>
        <v/>
      </c>
      <c r="Q679" t="str">
        <f>IF(YLE成绩库!C179="","", YLE成绩库!E179)</f>
        <v/>
      </c>
      <c r="R679" t="str">
        <f>IF(YLE成绩库!C179="","", YLE成绩库!F179)</f>
        <v/>
      </c>
      <c r="S679" t="str">
        <f>IF(YLE成绩库!C179="","", YLE成绩库!G179)</f>
        <v/>
      </c>
      <c r="T679" t="str">
        <f>IF(YLE成绩库!C179="","", YLE成绩库!H179)</f>
        <v/>
      </c>
      <c r="U679" t="str">
        <f>IF(YLE成绩库!C179="","", YLE成绩库!K179)</f>
        <v/>
      </c>
      <c r="V679" t="str">
        <f>IF(YLE成绩库!C179="","", YLE成绩库!W179)</f>
        <v/>
      </c>
      <c r="W679" t="str">
        <f>IF(YLE成绩库!C179="","", YLE成绩库!X179)</f>
        <v/>
      </c>
      <c r="X679" t="str">
        <f>IF(YLE成绩库!C179="","", YLE成绩库!AA179)</f>
        <v/>
      </c>
      <c r="Z679" t="str">
        <f>IF(YLE成绩库!C179="","", YLE成绩库!Z179)</f>
        <v/>
      </c>
    </row>
    <row r="680" spans="1:26" x14ac:dyDescent="0.2">
      <c r="A680" t="str">
        <f>IF(YLE成绩库!C180="","", YLE成绩库!C180)</f>
        <v/>
      </c>
      <c r="B680" t="str">
        <f>IF(YLE成绩库!AB180="","", YLE成绩库!AB180)</f>
        <v/>
      </c>
      <c r="C680" t="str">
        <f>IF(YLE成绩库!B180="","", YLE成绩库!B180)</f>
        <v/>
      </c>
      <c r="D680" t="str">
        <f>IF(YLE成绩库!D180="","", YLE成绩库!D180)</f>
        <v/>
      </c>
      <c r="E680" t="str">
        <f>IF(YLE成绩库!C180="","", YLE成绩库!L180)</f>
        <v/>
      </c>
      <c r="F680" t="str">
        <f>IF(YLE成绩库!C180="","", YLE成绩库!M180)</f>
        <v/>
      </c>
      <c r="G680" t="str">
        <f>IF(YLE成绩库!C180="","", YLE成绩库!N180)</f>
        <v/>
      </c>
      <c r="H680" t="str">
        <f>IF(YLE成绩库!C180="","", YLE成绩库!O180)</f>
        <v/>
      </c>
      <c r="I680" t="str">
        <f>IF(YLE成绩库!C180="","", YLE成绩库!P180)</f>
        <v/>
      </c>
      <c r="J680" t="str">
        <f>IF(YLE成绩库!C180="","", YLE成绩库!Q180)</f>
        <v/>
      </c>
      <c r="K680" t="str">
        <f>IF(YLE成绩库!C180="","", YLE成绩库!R180)</f>
        <v/>
      </c>
      <c r="L680" t="str">
        <f>IF(YLE成绩库!C180="","", YLE成绩库!U180)</f>
        <v/>
      </c>
      <c r="M680">
        <v>0</v>
      </c>
      <c r="N680">
        <v>0</v>
      </c>
      <c r="O680">
        <v>0</v>
      </c>
      <c r="P680" t="str">
        <f>IF(YLE成绩库!C180="","", YLE成绩库!D180)</f>
        <v/>
      </c>
      <c r="Q680" t="str">
        <f>IF(YLE成绩库!C180="","", YLE成绩库!E180)</f>
        <v/>
      </c>
      <c r="R680" t="str">
        <f>IF(YLE成绩库!C180="","", YLE成绩库!F180)</f>
        <v/>
      </c>
      <c r="S680" t="str">
        <f>IF(YLE成绩库!C180="","", YLE成绩库!G180)</f>
        <v/>
      </c>
      <c r="T680" t="str">
        <f>IF(YLE成绩库!C180="","", YLE成绩库!H180)</f>
        <v/>
      </c>
      <c r="U680" t="str">
        <f>IF(YLE成绩库!C180="","", YLE成绩库!K180)</f>
        <v/>
      </c>
      <c r="V680" t="str">
        <f>IF(YLE成绩库!C180="","", YLE成绩库!W180)</f>
        <v/>
      </c>
      <c r="W680" t="str">
        <f>IF(YLE成绩库!C180="","", YLE成绩库!X180)</f>
        <v/>
      </c>
      <c r="X680" t="str">
        <f>IF(YLE成绩库!C180="","", YLE成绩库!AA180)</f>
        <v/>
      </c>
      <c r="Z680" t="str">
        <f>IF(YLE成绩库!C180="","", YLE成绩库!Z180)</f>
        <v/>
      </c>
    </row>
    <row r="681" spans="1:26" x14ac:dyDescent="0.2">
      <c r="A681" t="str">
        <f>IF(YLE成绩库!C181="","", YLE成绩库!C181)</f>
        <v/>
      </c>
      <c r="B681" t="str">
        <f>IF(YLE成绩库!AB181="","", YLE成绩库!AB181)</f>
        <v/>
      </c>
      <c r="C681" t="str">
        <f>IF(YLE成绩库!B181="","", YLE成绩库!B181)</f>
        <v/>
      </c>
      <c r="D681" t="str">
        <f>IF(YLE成绩库!D181="","", YLE成绩库!D181)</f>
        <v/>
      </c>
      <c r="E681" t="str">
        <f>IF(YLE成绩库!C181="","", YLE成绩库!L181)</f>
        <v/>
      </c>
      <c r="F681" t="str">
        <f>IF(YLE成绩库!C181="","", YLE成绩库!M181)</f>
        <v/>
      </c>
      <c r="G681" t="str">
        <f>IF(YLE成绩库!C181="","", YLE成绩库!N181)</f>
        <v/>
      </c>
      <c r="H681" t="str">
        <f>IF(YLE成绩库!C181="","", YLE成绩库!O181)</f>
        <v/>
      </c>
      <c r="I681" t="str">
        <f>IF(YLE成绩库!C181="","", YLE成绩库!P181)</f>
        <v/>
      </c>
      <c r="J681" t="str">
        <f>IF(YLE成绩库!C181="","", YLE成绩库!Q181)</f>
        <v/>
      </c>
      <c r="K681" t="str">
        <f>IF(YLE成绩库!C181="","", YLE成绩库!R181)</f>
        <v/>
      </c>
      <c r="L681" t="str">
        <f>IF(YLE成绩库!C181="","", YLE成绩库!U181)</f>
        <v/>
      </c>
      <c r="M681">
        <v>0</v>
      </c>
      <c r="N681">
        <v>0</v>
      </c>
      <c r="O681">
        <v>0</v>
      </c>
      <c r="P681" t="str">
        <f>IF(YLE成绩库!C181="","", YLE成绩库!D181)</f>
        <v/>
      </c>
      <c r="Q681" t="str">
        <f>IF(YLE成绩库!C181="","", YLE成绩库!E181)</f>
        <v/>
      </c>
      <c r="R681" t="str">
        <f>IF(YLE成绩库!C181="","", YLE成绩库!F181)</f>
        <v/>
      </c>
      <c r="S681" t="str">
        <f>IF(YLE成绩库!C181="","", YLE成绩库!G181)</f>
        <v/>
      </c>
      <c r="T681" t="str">
        <f>IF(YLE成绩库!C181="","", YLE成绩库!H181)</f>
        <v/>
      </c>
      <c r="U681" t="str">
        <f>IF(YLE成绩库!C181="","", YLE成绩库!K181)</f>
        <v/>
      </c>
      <c r="V681" t="str">
        <f>IF(YLE成绩库!C181="","", YLE成绩库!W181)</f>
        <v/>
      </c>
      <c r="W681" t="str">
        <f>IF(YLE成绩库!C181="","", YLE成绩库!X181)</f>
        <v/>
      </c>
      <c r="X681" t="str">
        <f>IF(YLE成绩库!C181="","", YLE成绩库!AA181)</f>
        <v/>
      </c>
      <c r="Z681" t="str">
        <f>IF(YLE成绩库!C181="","", YLE成绩库!Z181)</f>
        <v/>
      </c>
    </row>
    <row r="682" spans="1:26" x14ac:dyDescent="0.2">
      <c r="A682" t="str">
        <f>IF(YLE成绩库!C182="","", YLE成绩库!C182)</f>
        <v/>
      </c>
      <c r="B682" t="str">
        <f>IF(YLE成绩库!AB182="","", YLE成绩库!AB182)</f>
        <v/>
      </c>
      <c r="C682" t="str">
        <f>IF(YLE成绩库!B182="","", YLE成绩库!B182)</f>
        <v/>
      </c>
      <c r="D682" t="str">
        <f>IF(YLE成绩库!D182="","", YLE成绩库!D182)</f>
        <v/>
      </c>
      <c r="E682" t="str">
        <f>IF(YLE成绩库!C182="","", YLE成绩库!L182)</f>
        <v/>
      </c>
      <c r="F682" t="str">
        <f>IF(YLE成绩库!C182="","", YLE成绩库!M182)</f>
        <v/>
      </c>
      <c r="G682" t="str">
        <f>IF(YLE成绩库!C182="","", YLE成绩库!N182)</f>
        <v/>
      </c>
      <c r="H682" t="str">
        <f>IF(YLE成绩库!C182="","", YLE成绩库!O182)</f>
        <v/>
      </c>
      <c r="I682" t="str">
        <f>IF(YLE成绩库!C182="","", YLE成绩库!P182)</f>
        <v/>
      </c>
      <c r="J682" t="str">
        <f>IF(YLE成绩库!C182="","", YLE成绩库!Q182)</f>
        <v/>
      </c>
      <c r="K682" t="str">
        <f>IF(YLE成绩库!C182="","", YLE成绩库!R182)</f>
        <v/>
      </c>
      <c r="L682" t="str">
        <f>IF(YLE成绩库!C182="","", YLE成绩库!U182)</f>
        <v/>
      </c>
      <c r="M682">
        <v>0</v>
      </c>
      <c r="N682">
        <v>0</v>
      </c>
      <c r="O682">
        <v>0</v>
      </c>
      <c r="P682" t="str">
        <f>IF(YLE成绩库!C182="","", YLE成绩库!D182)</f>
        <v/>
      </c>
      <c r="Q682" t="str">
        <f>IF(YLE成绩库!C182="","", YLE成绩库!E182)</f>
        <v/>
      </c>
      <c r="R682" t="str">
        <f>IF(YLE成绩库!C182="","", YLE成绩库!F182)</f>
        <v/>
      </c>
      <c r="S682" t="str">
        <f>IF(YLE成绩库!C182="","", YLE成绩库!G182)</f>
        <v/>
      </c>
      <c r="T682" t="str">
        <f>IF(YLE成绩库!C182="","", YLE成绩库!H182)</f>
        <v/>
      </c>
      <c r="U682" t="str">
        <f>IF(YLE成绩库!C182="","", YLE成绩库!K182)</f>
        <v/>
      </c>
      <c r="V682" t="str">
        <f>IF(YLE成绩库!C182="","", YLE成绩库!W182)</f>
        <v/>
      </c>
      <c r="W682" t="str">
        <f>IF(YLE成绩库!C182="","", YLE成绩库!X182)</f>
        <v/>
      </c>
      <c r="X682" t="str">
        <f>IF(YLE成绩库!C182="","", YLE成绩库!AA182)</f>
        <v/>
      </c>
      <c r="Z682" t="str">
        <f>IF(YLE成绩库!C182="","", YLE成绩库!Z182)</f>
        <v/>
      </c>
    </row>
    <row r="683" spans="1:26" x14ac:dyDescent="0.2">
      <c r="A683" t="str">
        <f>IF(YLE成绩库!C183="","", YLE成绩库!C183)</f>
        <v/>
      </c>
      <c r="B683" t="str">
        <f>IF(YLE成绩库!AB183="","", YLE成绩库!AB183)</f>
        <v/>
      </c>
      <c r="C683" t="str">
        <f>IF(YLE成绩库!B183="","", YLE成绩库!B183)</f>
        <v/>
      </c>
      <c r="D683" t="str">
        <f>IF(YLE成绩库!D183="","", YLE成绩库!D183)</f>
        <v/>
      </c>
      <c r="E683" t="str">
        <f>IF(YLE成绩库!C183="","", YLE成绩库!L183)</f>
        <v/>
      </c>
      <c r="F683" t="str">
        <f>IF(YLE成绩库!C183="","", YLE成绩库!M183)</f>
        <v/>
      </c>
      <c r="G683" t="str">
        <f>IF(YLE成绩库!C183="","", YLE成绩库!N183)</f>
        <v/>
      </c>
      <c r="H683" t="str">
        <f>IF(YLE成绩库!C183="","", YLE成绩库!O183)</f>
        <v/>
      </c>
      <c r="I683" t="str">
        <f>IF(YLE成绩库!C183="","", YLE成绩库!P183)</f>
        <v/>
      </c>
      <c r="J683" t="str">
        <f>IF(YLE成绩库!C183="","", YLE成绩库!Q183)</f>
        <v/>
      </c>
      <c r="K683" t="str">
        <f>IF(YLE成绩库!C183="","", YLE成绩库!R183)</f>
        <v/>
      </c>
      <c r="L683" t="str">
        <f>IF(YLE成绩库!C183="","", YLE成绩库!U183)</f>
        <v/>
      </c>
      <c r="M683">
        <v>0</v>
      </c>
      <c r="N683">
        <v>0</v>
      </c>
      <c r="O683">
        <v>0</v>
      </c>
      <c r="P683" t="str">
        <f>IF(YLE成绩库!C183="","", YLE成绩库!D183)</f>
        <v/>
      </c>
      <c r="Q683" t="str">
        <f>IF(YLE成绩库!C183="","", YLE成绩库!E183)</f>
        <v/>
      </c>
      <c r="R683" t="str">
        <f>IF(YLE成绩库!C183="","", YLE成绩库!F183)</f>
        <v/>
      </c>
      <c r="S683" t="str">
        <f>IF(YLE成绩库!C183="","", YLE成绩库!G183)</f>
        <v/>
      </c>
      <c r="T683" t="str">
        <f>IF(YLE成绩库!C183="","", YLE成绩库!H183)</f>
        <v/>
      </c>
      <c r="U683" t="str">
        <f>IF(YLE成绩库!C183="","", YLE成绩库!K183)</f>
        <v/>
      </c>
      <c r="V683" t="str">
        <f>IF(YLE成绩库!C183="","", YLE成绩库!W183)</f>
        <v/>
      </c>
      <c r="W683" t="str">
        <f>IF(YLE成绩库!C183="","", YLE成绩库!X183)</f>
        <v/>
      </c>
      <c r="X683" t="str">
        <f>IF(YLE成绩库!C183="","", YLE成绩库!AA183)</f>
        <v/>
      </c>
      <c r="Z683" t="str">
        <f>IF(YLE成绩库!C183="","", YLE成绩库!Z183)</f>
        <v/>
      </c>
    </row>
    <row r="684" spans="1:26" x14ac:dyDescent="0.2">
      <c r="A684" t="str">
        <f>IF(YLE成绩库!C184="","", YLE成绩库!C184)</f>
        <v/>
      </c>
      <c r="B684" t="str">
        <f>IF(YLE成绩库!AB184="","", YLE成绩库!AB184)</f>
        <v/>
      </c>
      <c r="C684" t="str">
        <f>IF(YLE成绩库!B184="","", YLE成绩库!B184)</f>
        <v/>
      </c>
      <c r="D684" t="str">
        <f>IF(YLE成绩库!D184="","", YLE成绩库!D184)</f>
        <v/>
      </c>
      <c r="E684" t="str">
        <f>IF(YLE成绩库!C184="","", YLE成绩库!L184)</f>
        <v/>
      </c>
      <c r="F684" t="str">
        <f>IF(YLE成绩库!C184="","", YLE成绩库!M184)</f>
        <v/>
      </c>
      <c r="G684" t="str">
        <f>IF(YLE成绩库!C184="","", YLE成绩库!N184)</f>
        <v/>
      </c>
      <c r="H684" t="str">
        <f>IF(YLE成绩库!C184="","", YLE成绩库!O184)</f>
        <v/>
      </c>
      <c r="I684" t="str">
        <f>IF(YLE成绩库!C184="","", YLE成绩库!P184)</f>
        <v/>
      </c>
      <c r="J684" t="str">
        <f>IF(YLE成绩库!C184="","", YLE成绩库!Q184)</f>
        <v/>
      </c>
      <c r="K684" t="str">
        <f>IF(YLE成绩库!C184="","", YLE成绩库!R184)</f>
        <v/>
      </c>
      <c r="L684" t="str">
        <f>IF(YLE成绩库!C184="","", YLE成绩库!U184)</f>
        <v/>
      </c>
      <c r="M684">
        <v>0</v>
      </c>
      <c r="N684">
        <v>0</v>
      </c>
      <c r="O684">
        <v>0</v>
      </c>
      <c r="P684" t="str">
        <f>IF(YLE成绩库!C184="","", YLE成绩库!D184)</f>
        <v/>
      </c>
      <c r="Q684" t="str">
        <f>IF(YLE成绩库!C184="","", YLE成绩库!E184)</f>
        <v/>
      </c>
      <c r="R684" t="str">
        <f>IF(YLE成绩库!C184="","", YLE成绩库!F184)</f>
        <v/>
      </c>
      <c r="S684" t="str">
        <f>IF(YLE成绩库!C184="","", YLE成绩库!G184)</f>
        <v/>
      </c>
      <c r="T684" t="str">
        <f>IF(YLE成绩库!C184="","", YLE成绩库!H184)</f>
        <v/>
      </c>
      <c r="U684" t="str">
        <f>IF(YLE成绩库!C184="","", YLE成绩库!K184)</f>
        <v/>
      </c>
      <c r="V684" t="str">
        <f>IF(YLE成绩库!C184="","", YLE成绩库!W184)</f>
        <v/>
      </c>
      <c r="W684" t="str">
        <f>IF(YLE成绩库!C184="","", YLE成绩库!X184)</f>
        <v/>
      </c>
      <c r="X684" t="str">
        <f>IF(YLE成绩库!C184="","", YLE成绩库!AA184)</f>
        <v/>
      </c>
      <c r="Z684" t="str">
        <f>IF(YLE成绩库!C184="","", YLE成绩库!Z184)</f>
        <v/>
      </c>
    </row>
    <row r="685" spans="1:26" x14ac:dyDescent="0.2">
      <c r="A685" t="str">
        <f>IF(YLE成绩库!C185="","", YLE成绩库!C185)</f>
        <v/>
      </c>
      <c r="B685" t="str">
        <f>IF(YLE成绩库!AB185="","", YLE成绩库!AB185)</f>
        <v/>
      </c>
      <c r="C685" t="str">
        <f>IF(YLE成绩库!B185="","", YLE成绩库!B185)</f>
        <v/>
      </c>
      <c r="D685" t="str">
        <f>IF(YLE成绩库!D185="","", YLE成绩库!D185)</f>
        <v/>
      </c>
      <c r="E685" t="str">
        <f>IF(YLE成绩库!C185="","", YLE成绩库!L185)</f>
        <v/>
      </c>
      <c r="F685" t="str">
        <f>IF(YLE成绩库!C185="","", YLE成绩库!M185)</f>
        <v/>
      </c>
      <c r="G685" t="str">
        <f>IF(YLE成绩库!C185="","", YLE成绩库!N185)</f>
        <v/>
      </c>
      <c r="H685" t="str">
        <f>IF(YLE成绩库!C185="","", YLE成绩库!O185)</f>
        <v/>
      </c>
      <c r="I685" t="str">
        <f>IF(YLE成绩库!C185="","", YLE成绩库!P185)</f>
        <v/>
      </c>
      <c r="J685" t="str">
        <f>IF(YLE成绩库!C185="","", YLE成绩库!Q185)</f>
        <v/>
      </c>
      <c r="K685" t="str">
        <f>IF(YLE成绩库!C185="","", YLE成绩库!R185)</f>
        <v/>
      </c>
      <c r="L685" t="str">
        <f>IF(YLE成绩库!C185="","", YLE成绩库!U185)</f>
        <v/>
      </c>
      <c r="M685">
        <v>0</v>
      </c>
      <c r="N685">
        <v>0</v>
      </c>
      <c r="O685">
        <v>0</v>
      </c>
      <c r="P685" t="str">
        <f>IF(YLE成绩库!C185="","", YLE成绩库!D185)</f>
        <v/>
      </c>
      <c r="Q685" t="str">
        <f>IF(YLE成绩库!C185="","", YLE成绩库!E185)</f>
        <v/>
      </c>
      <c r="R685" t="str">
        <f>IF(YLE成绩库!C185="","", YLE成绩库!F185)</f>
        <v/>
      </c>
      <c r="S685" t="str">
        <f>IF(YLE成绩库!C185="","", YLE成绩库!G185)</f>
        <v/>
      </c>
      <c r="T685" t="str">
        <f>IF(YLE成绩库!C185="","", YLE成绩库!H185)</f>
        <v/>
      </c>
      <c r="U685" t="str">
        <f>IF(YLE成绩库!C185="","", YLE成绩库!K185)</f>
        <v/>
      </c>
      <c r="V685" t="str">
        <f>IF(YLE成绩库!C185="","", YLE成绩库!W185)</f>
        <v/>
      </c>
      <c r="W685" t="str">
        <f>IF(YLE成绩库!C185="","", YLE成绩库!X185)</f>
        <v/>
      </c>
      <c r="X685" t="str">
        <f>IF(YLE成绩库!C185="","", YLE成绩库!AA185)</f>
        <v/>
      </c>
      <c r="Z685" t="str">
        <f>IF(YLE成绩库!C185="","", YLE成绩库!Z185)</f>
        <v/>
      </c>
    </row>
    <row r="686" spans="1:26" x14ac:dyDescent="0.2">
      <c r="A686" t="str">
        <f>IF(YLE成绩库!C186="","", YLE成绩库!C186)</f>
        <v/>
      </c>
      <c r="B686" t="str">
        <f>IF(YLE成绩库!AB186="","", YLE成绩库!AB186)</f>
        <v/>
      </c>
      <c r="C686" t="str">
        <f>IF(YLE成绩库!B186="","", YLE成绩库!B186)</f>
        <v/>
      </c>
      <c r="D686" t="str">
        <f>IF(YLE成绩库!D186="","", YLE成绩库!D186)</f>
        <v/>
      </c>
      <c r="E686" t="str">
        <f>IF(YLE成绩库!C186="","", YLE成绩库!L186)</f>
        <v/>
      </c>
      <c r="F686" t="str">
        <f>IF(YLE成绩库!C186="","", YLE成绩库!M186)</f>
        <v/>
      </c>
      <c r="G686" t="str">
        <f>IF(YLE成绩库!C186="","", YLE成绩库!N186)</f>
        <v/>
      </c>
      <c r="H686" t="str">
        <f>IF(YLE成绩库!C186="","", YLE成绩库!O186)</f>
        <v/>
      </c>
      <c r="I686" t="str">
        <f>IF(YLE成绩库!C186="","", YLE成绩库!P186)</f>
        <v/>
      </c>
      <c r="J686" t="str">
        <f>IF(YLE成绩库!C186="","", YLE成绩库!Q186)</f>
        <v/>
      </c>
      <c r="K686" t="str">
        <f>IF(YLE成绩库!C186="","", YLE成绩库!R186)</f>
        <v/>
      </c>
      <c r="L686" t="str">
        <f>IF(YLE成绩库!C186="","", YLE成绩库!U186)</f>
        <v/>
      </c>
      <c r="M686">
        <v>0</v>
      </c>
      <c r="N686">
        <v>0</v>
      </c>
      <c r="O686">
        <v>0</v>
      </c>
      <c r="P686" t="str">
        <f>IF(YLE成绩库!C186="","", YLE成绩库!D186)</f>
        <v/>
      </c>
      <c r="Q686" t="str">
        <f>IF(YLE成绩库!C186="","", YLE成绩库!E186)</f>
        <v/>
      </c>
      <c r="R686" t="str">
        <f>IF(YLE成绩库!C186="","", YLE成绩库!F186)</f>
        <v/>
      </c>
      <c r="S686" t="str">
        <f>IF(YLE成绩库!C186="","", YLE成绩库!G186)</f>
        <v/>
      </c>
      <c r="T686" t="str">
        <f>IF(YLE成绩库!C186="","", YLE成绩库!H186)</f>
        <v/>
      </c>
      <c r="U686" t="str">
        <f>IF(YLE成绩库!C186="","", YLE成绩库!K186)</f>
        <v/>
      </c>
      <c r="V686" t="str">
        <f>IF(YLE成绩库!C186="","", YLE成绩库!W186)</f>
        <v/>
      </c>
      <c r="W686" t="str">
        <f>IF(YLE成绩库!C186="","", YLE成绩库!X186)</f>
        <v/>
      </c>
      <c r="X686" t="str">
        <f>IF(YLE成绩库!C186="","", YLE成绩库!AA186)</f>
        <v/>
      </c>
      <c r="Z686" t="str">
        <f>IF(YLE成绩库!C186="","", YLE成绩库!Z186)</f>
        <v/>
      </c>
    </row>
    <row r="687" spans="1:26" x14ac:dyDescent="0.2">
      <c r="A687" t="str">
        <f>IF(YLE成绩库!C187="","", YLE成绩库!C187)</f>
        <v/>
      </c>
      <c r="B687" t="str">
        <f>IF(YLE成绩库!AB187="","", YLE成绩库!AB187)</f>
        <v/>
      </c>
      <c r="C687" t="str">
        <f>IF(YLE成绩库!B187="","", YLE成绩库!B187)</f>
        <v/>
      </c>
      <c r="D687" t="str">
        <f>IF(YLE成绩库!D187="","", YLE成绩库!D187)</f>
        <v/>
      </c>
      <c r="E687" t="str">
        <f>IF(YLE成绩库!C187="","", YLE成绩库!L187)</f>
        <v/>
      </c>
      <c r="F687" t="str">
        <f>IF(YLE成绩库!C187="","", YLE成绩库!M187)</f>
        <v/>
      </c>
      <c r="G687" t="str">
        <f>IF(YLE成绩库!C187="","", YLE成绩库!N187)</f>
        <v/>
      </c>
      <c r="H687" t="str">
        <f>IF(YLE成绩库!C187="","", YLE成绩库!O187)</f>
        <v/>
      </c>
      <c r="I687" t="str">
        <f>IF(YLE成绩库!C187="","", YLE成绩库!P187)</f>
        <v/>
      </c>
      <c r="J687" t="str">
        <f>IF(YLE成绩库!C187="","", YLE成绩库!Q187)</f>
        <v/>
      </c>
      <c r="K687" t="str">
        <f>IF(YLE成绩库!C187="","", YLE成绩库!R187)</f>
        <v/>
      </c>
      <c r="L687" t="str">
        <f>IF(YLE成绩库!C187="","", YLE成绩库!U187)</f>
        <v/>
      </c>
      <c r="M687">
        <v>0</v>
      </c>
      <c r="N687">
        <v>0</v>
      </c>
      <c r="O687">
        <v>0</v>
      </c>
      <c r="P687" t="str">
        <f>IF(YLE成绩库!C187="","", YLE成绩库!D187)</f>
        <v/>
      </c>
      <c r="Q687" t="str">
        <f>IF(YLE成绩库!C187="","", YLE成绩库!E187)</f>
        <v/>
      </c>
      <c r="R687" t="str">
        <f>IF(YLE成绩库!C187="","", YLE成绩库!F187)</f>
        <v/>
      </c>
      <c r="S687" t="str">
        <f>IF(YLE成绩库!C187="","", YLE成绩库!G187)</f>
        <v/>
      </c>
      <c r="T687" t="str">
        <f>IF(YLE成绩库!C187="","", YLE成绩库!H187)</f>
        <v/>
      </c>
      <c r="U687" t="str">
        <f>IF(YLE成绩库!C187="","", YLE成绩库!K187)</f>
        <v/>
      </c>
      <c r="V687" t="str">
        <f>IF(YLE成绩库!C187="","", YLE成绩库!W187)</f>
        <v/>
      </c>
      <c r="W687" t="str">
        <f>IF(YLE成绩库!C187="","", YLE成绩库!X187)</f>
        <v/>
      </c>
      <c r="X687" t="str">
        <f>IF(YLE成绩库!C187="","", YLE成绩库!AA187)</f>
        <v/>
      </c>
      <c r="Z687" t="str">
        <f>IF(YLE成绩库!C187="","", YLE成绩库!Z187)</f>
        <v/>
      </c>
    </row>
    <row r="688" spans="1:26" x14ac:dyDescent="0.2">
      <c r="A688" t="str">
        <f>IF(YLE成绩库!C188="","", YLE成绩库!C188)</f>
        <v/>
      </c>
      <c r="B688" t="str">
        <f>IF(YLE成绩库!AB188="","", YLE成绩库!AB188)</f>
        <v/>
      </c>
      <c r="C688" t="str">
        <f>IF(YLE成绩库!B188="","", YLE成绩库!B188)</f>
        <v/>
      </c>
      <c r="D688" t="str">
        <f>IF(YLE成绩库!D188="","", YLE成绩库!D188)</f>
        <v/>
      </c>
      <c r="E688" t="str">
        <f>IF(YLE成绩库!C188="","", YLE成绩库!L188)</f>
        <v/>
      </c>
      <c r="F688" t="str">
        <f>IF(YLE成绩库!C188="","", YLE成绩库!M188)</f>
        <v/>
      </c>
      <c r="G688" t="str">
        <f>IF(YLE成绩库!C188="","", YLE成绩库!N188)</f>
        <v/>
      </c>
      <c r="H688" t="str">
        <f>IF(YLE成绩库!C188="","", YLE成绩库!O188)</f>
        <v/>
      </c>
      <c r="I688" t="str">
        <f>IF(YLE成绩库!C188="","", YLE成绩库!P188)</f>
        <v/>
      </c>
      <c r="J688" t="str">
        <f>IF(YLE成绩库!C188="","", YLE成绩库!Q188)</f>
        <v/>
      </c>
      <c r="K688" t="str">
        <f>IF(YLE成绩库!C188="","", YLE成绩库!R188)</f>
        <v/>
      </c>
      <c r="L688" t="str">
        <f>IF(YLE成绩库!C188="","", YLE成绩库!U188)</f>
        <v/>
      </c>
      <c r="M688">
        <v>0</v>
      </c>
      <c r="N688">
        <v>0</v>
      </c>
      <c r="O688">
        <v>0</v>
      </c>
      <c r="P688" t="str">
        <f>IF(YLE成绩库!C188="","", YLE成绩库!D188)</f>
        <v/>
      </c>
      <c r="Q688" t="str">
        <f>IF(YLE成绩库!C188="","", YLE成绩库!E188)</f>
        <v/>
      </c>
      <c r="R688" t="str">
        <f>IF(YLE成绩库!C188="","", YLE成绩库!F188)</f>
        <v/>
      </c>
      <c r="S688" t="str">
        <f>IF(YLE成绩库!C188="","", YLE成绩库!G188)</f>
        <v/>
      </c>
      <c r="T688" t="str">
        <f>IF(YLE成绩库!C188="","", YLE成绩库!H188)</f>
        <v/>
      </c>
      <c r="U688" t="str">
        <f>IF(YLE成绩库!C188="","", YLE成绩库!K188)</f>
        <v/>
      </c>
      <c r="V688" t="str">
        <f>IF(YLE成绩库!C188="","", YLE成绩库!W188)</f>
        <v/>
      </c>
      <c r="W688" t="str">
        <f>IF(YLE成绩库!C188="","", YLE成绩库!X188)</f>
        <v/>
      </c>
      <c r="X688" t="str">
        <f>IF(YLE成绩库!C188="","", YLE成绩库!AA188)</f>
        <v/>
      </c>
      <c r="Z688" t="str">
        <f>IF(YLE成绩库!C188="","", YLE成绩库!Z188)</f>
        <v/>
      </c>
    </row>
    <row r="689" spans="1:26" x14ac:dyDescent="0.2">
      <c r="A689" t="str">
        <f>IF(YLE成绩库!C189="","", YLE成绩库!C189)</f>
        <v/>
      </c>
      <c r="B689" t="str">
        <f>IF(YLE成绩库!AB189="","", YLE成绩库!AB189)</f>
        <v/>
      </c>
      <c r="C689" t="str">
        <f>IF(YLE成绩库!B189="","", YLE成绩库!B189)</f>
        <v/>
      </c>
      <c r="D689" t="str">
        <f>IF(YLE成绩库!D189="","", YLE成绩库!D189)</f>
        <v/>
      </c>
      <c r="E689" t="str">
        <f>IF(YLE成绩库!C189="","", YLE成绩库!L189)</f>
        <v/>
      </c>
      <c r="F689" t="str">
        <f>IF(YLE成绩库!C189="","", YLE成绩库!M189)</f>
        <v/>
      </c>
      <c r="G689" t="str">
        <f>IF(YLE成绩库!C189="","", YLE成绩库!N189)</f>
        <v/>
      </c>
      <c r="H689" t="str">
        <f>IF(YLE成绩库!C189="","", YLE成绩库!O189)</f>
        <v/>
      </c>
      <c r="I689" t="str">
        <f>IF(YLE成绩库!C189="","", YLE成绩库!P189)</f>
        <v/>
      </c>
      <c r="J689" t="str">
        <f>IF(YLE成绩库!C189="","", YLE成绩库!Q189)</f>
        <v/>
      </c>
      <c r="K689" t="str">
        <f>IF(YLE成绩库!C189="","", YLE成绩库!R189)</f>
        <v/>
      </c>
      <c r="L689" t="str">
        <f>IF(YLE成绩库!C189="","", YLE成绩库!U189)</f>
        <v/>
      </c>
      <c r="M689">
        <v>0</v>
      </c>
      <c r="N689">
        <v>0</v>
      </c>
      <c r="O689">
        <v>0</v>
      </c>
      <c r="P689" t="str">
        <f>IF(YLE成绩库!C189="","", YLE成绩库!D189)</f>
        <v/>
      </c>
      <c r="Q689" t="str">
        <f>IF(YLE成绩库!C189="","", YLE成绩库!E189)</f>
        <v/>
      </c>
      <c r="R689" t="str">
        <f>IF(YLE成绩库!C189="","", YLE成绩库!F189)</f>
        <v/>
      </c>
      <c r="S689" t="str">
        <f>IF(YLE成绩库!C189="","", YLE成绩库!G189)</f>
        <v/>
      </c>
      <c r="T689" t="str">
        <f>IF(YLE成绩库!C189="","", YLE成绩库!H189)</f>
        <v/>
      </c>
      <c r="U689" t="str">
        <f>IF(YLE成绩库!C189="","", YLE成绩库!K189)</f>
        <v/>
      </c>
      <c r="V689" t="str">
        <f>IF(YLE成绩库!C189="","", YLE成绩库!W189)</f>
        <v/>
      </c>
      <c r="W689" t="str">
        <f>IF(YLE成绩库!C189="","", YLE成绩库!X189)</f>
        <v/>
      </c>
      <c r="X689" t="str">
        <f>IF(YLE成绩库!C189="","", YLE成绩库!AA189)</f>
        <v/>
      </c>
      <c r="Z689" t="str">
        <f>IF(YLE成绩库!C189="","", YLE成绩库!Z189)</f>
        <v/>
      </c>
    </row>
    <row r="690" spans="1:26" x14ac:dyDescent="0.2">
      <c r="A690" t="str">
        <f>IF(YLE成绩库!C190="","", YLE成绩库!C190)</f>
        <v/>
      </c>
      <c r="B690" t="str">
        <f>IF(YLE成绩库!AB190="","", YLE成绩库!AB190)</f>
        <v/>
      </c>
      <c r="C690" t="str">
        <f>IF(YLE成绩库!B190="","", YLE成绩库!B190)</f>
        <v/>
      </c>
      <c r="D690" t="str">
        <f>IF(YLE成绩库!D190="","", YLE成绩库!D190)</f>
        <v/>
      </c>
      <c r="E690" t="str">
        <f>IF(YLE成绩库!C190="","", YLE成绩库!L190)</f>
        <v/>
      </c>
      <c r="F690" t="str">
        <f>IF(YLE成绩库!C190="","", YLE成绩库!M190)</f>
        <v/>
      </c>
      <c r="G690" t="str">
        <f>IF(YLE成绩库!C190="","", YLE成绩库!N190)</f>
        <v/>
      </c>
      <c r="H690" t="str">
        <f>IF(YLE成绩库!C190="","", YLE成绩库!O190)</f>
        <v/>
      </c>
      <c r="I690" t="str">
        <f>IF(YLE成绩库!C190="","", YLE成绩库!P190)</f>
        <v/>
      </c>
      <c r="J690" t="str">
        <f>IF(YLE成绩库!C190="","", YLE成绩库!Q190)</f>
        <v/>
      </c>
      <c r="K690" t="str">
        <f>IF(YLE成绩库!C190="","", YLE成绩库!R190)</f>
        <v/>
      </c>
      <c r="L690" t="str">
        <f>IF(YLE成绩库!C190="","", YLE成绩库!U190)</f>
        <v/>
      </c>
      <c r="M690">
        <v>0</v>
      </c>
      <c r="N690">
        <v>0</v>
      </c>
      <c r="O690">
        <v>0</v>
      </c>
      <c r="P690" t="str">
        <f>IF(YLE成绩库!C190="","", YLE成绩库!D190)</f>
        <v/>
      </c>
      <c r="Q690" t="str">
        <f>IF(YLE成绩库!C190="","", YLE成绩库!E190)</f>
        <v/>
      </c>
      <c r="R690" t="str">
        <f>IF(YLE成绩库!C190="","", YLE成绩库!F190)</f>
        <v/>
      </c>
      <c r="S690" t="str">
        <f>IF(YLE成绩库!C190="","", YLE成绩库!G190)</f>
        <v/>
      </c>
      <c r="T690" t="str">
        <f>IF(YLE成绩库!C190="","", YLE成绩库!H190)</f>
        <v/>
      </c>
      <c r="U690" t="str">
        <f>IF(YLE成绩库!C190="","", YLE成绩库!K190)</f>
        <v/>
      </c>
      <c r="V690" t="str">
        <f>IF(YLE成绩库!C190="","", YLE成绩库!W190)</f>
        <v/>
      </c>
      <c r="W690" t="str">
        <f>IF(YLE成绩库!C190="","", YLE成绩库!X190)</f>
        <v/>
      </c>
      <c r="X690" t="str">
        <f>IF(YLE成绩库!C190="","", YLE成绩库!AA190)</f>
        <v/>
      </c>
      <c r="Z690" t="str">
        <f>IF(YLE成绩库!C190="","", YLE成绩库!Z190)</f>
        <v/>
      </c>
    </row>
    <row r="691" spans="1:26" x14ac:dyDescent="0.2">
      <c r="A691" t="str">
        <f>IF(YLE成绩库!C191="","", YLE成绩库!C191)</f>
        <v/>
      </c>
      <c r="B691" t="str">
        <f>IF(YLE成绩库!AB191="","", YLE成绩库!AB191)</f>
        <v/>
      </c>
      <c r="C691" t="str">
        <f>IF(YLE成绩库!B191="","", YLE成绩库!B191)</f>
        <v/>
      </c>
      <c r="D691" t="str">
        <f>IF(YLE成绩库!D191="","", YLE成绩库!D191)</f>
        <v/>
      </c>
      <c r="E691" t="str">
        <f>IF(YLE成绩库!C191="","", YLE成绩库!L191)</f>
        <v/>
      </c>
      <c r="F691" t="str">
        <f>IF(YLE成绩库!C191="","", YLE成绩库!M191)</f>
        <v/>
      </c>
      <c r="G691" t="str">
        <f>IF(YLE成绩库!C191="","", YLE成绩库!N191)</f>
        <v/>
      </c>
      <c r="H691" t="str">
        <f>IF(YLE成绩库!C191="","", YLE成绩库!O191)</f>
        <v/>
      </c>
      <c r="I691" t="str">
        <f>IF(YLE成绩库!C191="","", YLE成绩库!P191)</f>
        <v/>
      </c>
      <c r="J691" t="str">
        <f>IF(YLE成绩库!C191="","", YLE成绩库!Q191)</f>
        <v/>
      </c>
      <c r="K691" t="str">
        <f>IF(YLE成绩库!C191="","", YLE成绩库!R191)</f>
        <v/>
      </c>
      <c r="L691" t="str">
        <f>IF(YLE成绩库!C191="","", YLE成绩库!U191)</f>
        <v/>
      </c>
      <c r="M691">
        <v>0</v>
      </c>
      <c r="N691">
        <v>0</v>
      </c>
      <c r="O691">
        <v>0</v>
      </c>
      <c r="P691" t="str">
        <f>IF(YLE成绩库!C191="","", YLE成绩库!D191)</f>
        <v/>
      </c>
      <c r="Q691" t="str">
        <f>IF(YLE成绩库!C191="","", YLE成绩库!E191)</f>
        <v/>
      </c>
      <c r="R691" t="str">
        <f>IF(YLE成绩库!C191="","", YLE成绩库!F191)</f>
        <v/>
      </c>
      <c r="S691" t="str">
        <f>IF(YLE成绩库!C191="","", YLE成绩库!G191)</f>
        <v/>
      </c>
      <c r="T691" t="str">
        <f>IF(YLE成绩库!C191="","", YLE成绩库!H191)</f>
        <v/>
      </c>
      <c r="U691" t="str">
        <f>IF(YLE成绩库!C191="","", YLE成绩库!K191)</f>
        <v/>
      </c>
      <c r="V691" t="str">
        <f>IF(YLE成绩库!C191="","", YLE成绩库!W191)</f>
        <v/>
      </c>
      <c r="W691" t="str">
        <f>IF(YLE成绩库!C191="","", YLE成绩库!X191)</f>
        <v/>
      </c>
      <c r="X691" t="str">
        <f>IF(YLE成绩库!C191="","", YLE成绩库!AA191)</f>
        <v/>
      </c>
      <c r="Z691" t="str">
        <f>IF(YLE成绩库!C191="","", YLE成绩库!Z191)</f>
        <v/>
      </c>
    </row>
    <row r="692" spans="1:26" x14ac:dyDescent="0.2">
      <c r="A692" t="str">
        <f>IF(YLE成绩库!C192="","", YLE成绩库!C192)</f>
        <v/>
      </c>
      <c r="B692" t="str">
        <f>IF(YLE成绩库!AB192="","", YLE成绩库!AB192)</f>
        <v/>
      </c>
      <c r="C692" t="str">
        <f>IF(YLE成绩库!B192="","", YLE成绩库!B192)</f>
        <v/>
      </c>
      <c r="D692" t="str">
        <f>IF(YLE成绩库!D192="","", YLE成绩库!D192)</f>
        <v/>
      </c>
      <c r="E692" t="str">
        <f>IF(YLE成绩库!C192="","", YLE成绩库!L192)</f>
        <v/>
      </c>
      <c r="F692" t="str">
        <f>IF(YLE成绩库!C192="","", YLE成绩库!M192)</f>
        <v/>
      </c>
      <c r="G692" t="str">
        <f>IF(YLE成绩库!C192="","", YLE成绩库!N192)</f>
        <v/>
      </c>
      <c r="H692" t="str">
        <f>IF(YLE成绩库!C192="","", YLE成绩库!O192)</f>
        <v/>
      </c>
      <c r="I692" t="str">
        <f>IF(YLE成绩库!C192="","", YLE成绩库!P192)</f>
        <v/>
      </c>
      <c r="J692" t="str">
        <f>IF(YLE成绩库!C192="","", YLE成绩库!Q192)</f>
        <v/>
      </c>
      <c r="K692" t="str">
        <f>IF(YLE成绩库!C192="","", YLE成绩库!R192)</f>
        <v/>
      </c>
      <c r="L692" t="str">
        <f>IF(YLE成绩库!C192="","", YLE成绩库!U192)</f>
        <v/>
      </c>
      <c r="M692">
        <v>0</v>
      </c>
      <c r="N692">
        <v>0</v>
      </c>
      <c r="O692">
        <v>0</v>
      </c>
      <c r="P692" t="str">
        <f>IF(YLE成绩库!C192="","", YLE成绩库!D192)</f>
        <v/>
      </c>
      <c r="Q692" t="str">
        <f>IF(YLE成绩库!C192="","", YLE成绩库!E192)</f>
        <v/>
      </c>
      <c r="R692" t="str">
        <f>IF(YLE成绩库!C192="","", YLE成绩库!F192)</f>
        <v/>
      </c>
      <c r="S692" t="str">
        <f>IF(YLE成绩库!C192="","", YLE成绩库!G192)</f>
        <v/>
      </c>
      <c r="T692" t="str">
        <f>IF(YLE成绩库!C192="","", YLE成绩库!H192)</f>
        <v/>
      </c>
      <c r="U692" t="str">
        <f>IF(YLE成绩库!C192="","", YLE成绩库!K192)</f>
        <v/>
      </c>
      <c r="V692" t="str">
        <f>IF(YLE成绩库!C192="","", YLE成绩库!W192)</f>
        <v/>
      </c>
      <c r="W692" t="str">
        <f>IF(YLE成绩库!C192="","", YLE成绩库!X192)</f>
        <v/>
      </c>
      <c r="X692" t="str">
        <f>IF(YLE成绩库!C192="","", YLE成绩库!AA192)</f>
        <v/>
      </c>
      <c r="Z692" t="str">
        <f>IF(YLE成绩库!C192="","", YLE成绩库!Z192)</f>
        <v/>
      </c>
    </row>
    <row r="693" spans="1:26" x14ac:dyDescent="0.2">
      <c r="A693" t="str">
        <f>IF(YLE成绩库!C193="","", YLE成绩库!C193)</f>
        <v/>
      </c>
      <c r="B693" t="str">
        <f>IF(YLE成绩库!AB193="","", YLE成绩库!AB193)</f>
        <v/>
      </c>
      <c r="C693" t="str">
        <f>IF(YLE成绩库!B193="","", YLE成绩库!B193)</f>
        <v/>
      </c>
      <c r="D693" t="str">
        <f>IF(YLE成绩库!D193="","", YLE成绩库!D193)</f>
        <v/>
      </c>
      <c r="E693" t="str">
        <f>IF(YLE成绩库!C193="","", YLE成绩库!L193)</f>
        <v/>
      </c>
      <c r="F693" t="str">
        <f>IF(YLE成绩库!C193="","", YLE成绩库!M193)</f>
        <v/>
      </c>
      <c r="G693" t="str">
        <f>IF(YLE成绩库!C193="","", YLE成绩库!N193)</f>
        <v/>
      </c>
      <c r="H693" t="str">
        <f>IF(YLE成绩库!C193="","", YLE成绩库!O193)</f>
        <v/>
      </c>
      <c r="I693" t="str">
        <f>IF(YLE成绩库!C193="","", YLE成绩库!P193)</f>
        <v/>
      </c>
      <c r="J693" t="str">
        <f>IF(YLE成绩库!C193="","", YLE成绩库!Q193)</f>
        <v/>
      </c>
      <c r="K693" t="str">
        <f>IF(YLE成绩库!C193="","", YLE成绩库!R193)</f>
        <v/>
      </c>
      <c r="L693" t="str">
        <f>IF(YLE成绩库!C193="","", YLE成绩库!U193)</f>
        <v/>
      </c>
      <c r="M693">
        <v>0</v>
      </c>
      <c r="N693">
        <v>0</v>
      </c>
      <c r="O693">
        <v>0</v>
      </c>
      <c r="P693" t="str">
        <f>IF(YLE成绩库!C193="","", YLE成绩库!D193)</f>
        <v/>
      </c>
      <c r="Q693" t="str">
        <f>IF(YLE成绩库!C193="","", YLE成绩库!E193)</f>
        <v/>
      </c>
      <c r="R693" t="str">
        <f>IF(YLE成绩库!C193="","", YLE成绩库!F193)</f>
        <v/>
      </c>
      <c r="S693" t="str">
        <f>IF(YLE成绩库!C193="","", YLE成绩库!G193)</f>
        <v/>
      </c>
      <c r="T693" t="str">
        <f>IF(YLE成绩库!C193="","", YLE成绩库!H193)</f>
        <v/>
      </c>
      <c r="U693" t="str">
        <f>IF(YLE成绩库!C193="","", YLE成绩库!K193)</f>
        <v/>
      </c>
      <c r="V693" t="str">
        <f>IF(YLE成绩库!C193="","", YLE成绩库!W193)</f>
        <v/>
      </c>
      <c r="W693" t="str">
        <f>IF(YLE成绩库!C193="","", YLE成绩库!X193)</f>
        <v/>
      </c>
      <c r="X693" t="str">
        <f>IF(YLE成绩库!C193="","", YLE成绩库!AA193)</f>
        <v/>
      </c>
      <c r="Z693" t="str">
        <f>IF(YLE成绩库!C193="","", YLE成绩库!Z193)</f>
        <v/>
      </c>
    </row>
    <row r="694" spans="1:26" x14ac:dyDescent="0.2">
      <c r="A694" t="str">
        <f>IF(YLE成绩库!C194="","", YLE成绩库!C194)</f>
        <v/>
      </c>
      <c r="B694" t="str">
        <f>IF(YLE成绩库!AB194="","", YLE成绩库!AB194)</f>
        <v/>
      </c>
      <c r="C694" t="str">
        <f>IF(YLE成绩库!B194="","", YLE成绩库!B194)</f>
        <v/>
      </c>
      <c r="D694" t="str">
        <f>IF(YLE成绩库!D194="","", YLE成绩库!D194)</f>
        <v/>
      </c>
      <c r="E694" t="str">
        <f>IF(YLE成绩库!C194="","", YLE成绩库!L194)</f>
        <v/>
      </c>
      <c r="F694" t="str">
        <f>IF(YLE成绩库!C194="","", YLE成绩库!M194)</f>
        <v/>
      </c>
      <c r="G694" t="str">
        <f>IF(YLE成绩库!C194="","", YLE成绩库!N194)</f>
        <v/>
      </c>
      <c r="H694" t="str">
        <f>IF(YLE成绩库!C194="","", YLE成绩库!O194)</f>
        <v/>
      </c>
      <c r="I694" t="str">
        <f>IF(YLE成绩库!C194="","", YLE成绩库!P194)</f>
        <v/>
      </c>
      <c r="J694" t="str">
        <f>IF(YLE成绩库!C194="","", YLE成绩库!Q194)</f>
        <v/>
      </c>
      <c r="K694" t="str">
        <f>IF(YLE成绩库!C194="","", YLE成绩库!R194)</f>
        <v/>
      </c>
      <c r="L694" t="str">
        <f>IF(YLE成绩库!C194="","", YLE成绩库!U194)</f>
        <v/>
      </c>
      <c r="M694">
        <v>0</v>
      </c>
      <c r="N694">
        <v>0</v>
      </c>
      <c r="O694">
        <v>0</v>
      </c>
      <c r="P694" t="str">
        <f>IF(YLE成绩库!C194="","", YLE成绩库!D194)</f>
        <v/>
      </c>
      <c r="Q694" t="str">
        <f>IF(YLE成绩库!C194="","", YLE成绩库!E194)</f>
        <v/>
      </c>
      <c r="R694" t="str">
        <f>IF(YLE成绩库!C194="","", YLE成绩库!F194)</f>
        <v/>
      </c>
      <c r="S694" t="str">
        <f>IF(YLE成绩库!C194="","", YLE成绩库!G194)</f>
        <v/>
      </c>
      <c r="T694" t="str">
        <f>IF(YLE成绩库!C194="","", YLE成绩库!H194)</f>
        <v/>
      </c>
      <c r="U694" t="str">
        <f>IF(YLE成绩库!C194="","", YLE成绩库!K194)</f>
        <v/>
      </c>
      <c r="V694" t="str">
        <f>IF(YLE成绩库!C194="","", YLE成绩库!W194)</f>
        <v/>
      </c>
      <c r="W694" t="str">
        <f>IF(YLE成绩库!C194="","", YLE成绩库!X194)</f>
        <v/>
      </c>
      <c r="X694" t="str">
        <f>IF(YLE成绩库!C194="","", YLE成绩库!AA194)</f>
        <v/>
      </c>
      <c r="Z694" t="str">
        <f>IF(YLE成绩库!C194="","", YLE成绩库!Z194)</f>
        <v/>
      </c>
    </row>
    <row r="695" spans="1:26" x14ac:dyDescent="0.2">
      <c r="A695" t="str">
        <f>IF(YLE成绩库!C195="","", YLE成绩库!C195)</f>
        <v/>
      </c>
      <c r="B695" t="str">
        <f>IF(YLE成绩库!AB195="","", YLE成绩库!AB195)</f>
        <v/>
      </c>
      <c r="C695" t="str">
        <f>IF(YLE成绩库!B195="","", YLE成绩库!B195)</f>
        <v/>
      </c>
      <c r="D695" t="str">
        <f>IF(YLE成绩库!D195="","", YLE成绩库!D195)</f>
        <v/>
      </c>
      <c r="E695" t="str">
        <f>IF(YLE成绩库!C195="","", YLE成绩库!L195)</f>
        <v/>
      </c>
      <c r="F695" t="str">
        <f>IF(YLE成绩库!C195="","", YLE成绩库!M195)</f>
        <v/>
      </c>
      <c r="G695" t="str">
        <f>IF(YLE成绩库!C195="","", YLE成绩库!N195)</f>
        <v/>
      </c>
      <c r="H695" t="str">
        <f>IF(YLE成绩库!C195="","", YLE成绩库!O195)</f>
        <v/>
      </c>
      <c r="I695" t="str">
        <f>IF(YLE成绩库!C195="","", YLE成绩库!P195)</f>
        <v/>
      </c>
      <c r="J695" t="str">
        <f>IF(YLE成绩库!C195="","", YLE成绩库!Q195)</f>
        <v/>
      </c>
      <c r="K695" t="str">
        <f>IF(YLE成绩库!C195="","", YLE成绩库!R195)</f>
        <v/>
      </c>
      <c r="L695" t="str">
        <f>IF(YLE成绩库!C195="","", YLE成绩库!U195)</f>
        <v/>
      </c>
      <c r="M695">
        <v>0</v>
      </c>
      <c r="N695">
        <v>0</v>
      </c>
      <c r="O695">
        <v>0</v>
      </c>
      <c r="P695" t="str">
        <f>IF(YLE成绩库!C195="","", YLE成绩库!D195)</f>
        <v/>
      </c>
      <c r="Q695" t="str">
        <f>IF(YLE成绩库!C195="","", YLE成绩库!E195)</f>
        <v/>
      </c>
      <c r="R695" t="str">
        <f>IF(YLE成绩库!C195="","", YLE成绩库!F195)</f>
        <v/>
      </c>
      <c r="S695" t="str">
        <f>IF(YLE成绩库!C195="","", YLE成绩库!G195)</f>
        <v/>
      </c>
      <c r="T695" t="str">
        <f>IF(YLE成绩库!C195="","", YLE成绩库!H195)</f>
        <v/>
      </c>
      <c r="U695" t="str">
        <f>IF(YLE成绩库!C195="","", YLE成绩库!K195)</f>
        <v/>
      </c>
      <c r="V695" t="str">
        <f>IF(YLE成绩库!C195="","", YLE成绩库!W195)</f>
        <v/>
      </c>
      <c r="W695" t="str">
        <f>IF(YLE成绩库!C195="","", YLE成绩库!X195)</f>
        <v/>
      </c>
      <c r="X695" t="str">
        <f>IF(YLE成绩库!C195="","", YLE成绩库!AA195)</f>
        <v/>
      </c>
      <c r="Z695" t="str">
        <f>IF(YLE成绩库!C195="","", YLE成绩库!Z195)</f>
        <v/>
      </c>
    </row>
    <row r="696" spans="1:26" x14ac:dyDescent="0.2">
      <c r="A696" t="str">
        <f>IF(YLE成绩库!C196="","", YLE成绩库!C196)</f>
        <v/>
      </c>
      <c r="B696" t="str">
        <f>IF(YLE成绩库!AB196="","", YLE成绩库!AB196)</f>
        <v/>
      </c>
      <c r="C696" t="str">
        <f>IF(YLE成绩库!B196="","", YLE成绩库!B196)</f>
        <v/>
      </c>
      <c r="D696" t="str">
        <f>IF(YLE成绩库!D196="","", YLE成绩库!D196)</f>
        <v/>
      </c>
      <c r="E696" t="str">
        <f>IF(YLE成绩库!C196="","", YLE成绩库!L196)</f>
        <v/>
      </c>
      <c r="F696" t="str">
        <f>IF(YLE成绩库!C196="","", YLE成绩库!M196)</f>
        <v/>
      </c>
      <c r="G696" t="str">
        <f>IF(YLE成绩库!C196="","", YLE成绩库!N196)</f>
        <v/>
      </c>
      <c r="H696" t="str">
        <f>IF(YLE成绩库!C196="","", YLE成绩库!O196)</f>
        <v/>
      </c>
      <c r="I696" t="str">
        <f>IF(YLE成绩库!C196="","", YLE成绩库!P196)</f>
        <v/>
      </c>
      <c r="J696" t="str">
        <f>IF(YLE成绩库!C196="","", YLE成绩库!Q196)</f>
        <v/>
      </c>
      <c r="K696" t="str">
        <f>IF(YLE成绩库!C196="","", YLE成绩库!R196)</f>
        <v/>
      </c>
      <c r="L696" t="str">
        <f>IF(YLE成绩库!C196="","", YLE成绩库!U196)</f>
        <v/>
      </c>
      <c r="M696">
        <v>0</v>
      </c>
      <c r="N696">
        <v>0</v>
      </c>
      <c r="O696">
        <v>0</v>
      </c>
      <c r="P696" t="str">
        <f>IF(YLE成绩库!C196="","", YLE成绩库!D196)</f>
        <v/>
      </c>
      <c r="Q696" t="str">
        <f>IF(YLE成绩库!C196="","", YLE成绩库!E196)</f>
        <v/>
      </c>
      <c r="R696" t="str">
        <f>IF(YLE成绩库!C196="","", YLE成绩库!F196)</f>
        <v/>
      </c>
      <c r="S696" t="str">
        <f>IF(YLE成绩库!C196="","", YLE成绩库!G196)</f>
        <v/>
      </c>
      <c r="T696" t="str">
        <f>IF(YLE成绩库!C196="","", YLE成绩库!H196)</f>
        <v/>
      </c>
      <c r="U696" t="str">
        <f>IF(YLE成绩库!C196="","", YLE成绩库!K196)</f>
        <v/>
      </c>
      <c r="V696" t="str">
        <f>IF(YLE成绩库!C196="","", YLE成绩库!W196)</f>
        <v/>
      </c>
      <c r="W696" t="str">
        <f>IF(YLE成绩库!C196="","", YLE成绩库!X196)</f>
        <v/>
      </c>
      <c r="X696" t="str">
        <f>IF(YLE成绩库!C196="","", YLE成绩库!AA196)</f>
        <v/>
      </c>
      <c r="Z696" t="str">
        <f>IF(YLE成绩库!C196="","", YLE成绩库!Z196)</f>
        <v/>
      </c>
    </row>
    <row r="697" spans="1:26" x14ac:dyDescent="0.2">
      <c r="A697" t="str">
        <f>IF(YLE成绩库!C197="","", YLE成绩库!C197)</f>
        <v/>
      </c>
      <c r="B697" t="str">
        <f>IF(YLE成绩库!AB197="","", YLE成绩库!AB197)</f>
        <v/>
      </c>
      <c r="C697" t="str">
        <f>IF(YLE成绩库!B197="","", YLE成绩库!B197)</f>
        <v/>
      </c>
      <c r="D697" t="str">
        <f>IF(YLE成绩库!D197="","", YLE成绩库!D197)</f>
        <v/>
      </c>
      <c r="E697" t="str">
        <f>IF(YLE成绩库!C197="","", YLE成绩库!L197)</f>
        <v/>
      </c>
      <c r="F697" t="str">
        <f>IF(YLE成绩库!C197="","", YLE成绩库!M197)</f>
        <v/>
      </c>
      <c r="G697" t="str">
        <f>IF(YLE成绩库!C197="","", YLE成绩库!N197)</f>
        <v/>
      </c>
      <c r="H697" t="str">
        <f>IF(YLE成绩库!C197="","", YLE成绩库!O197)</f>
        <v/>
      </c>
      <c r="I697" t="str">
        <f>IF(YLE成绩库!C197="","", YLE成绩库!P197)</f>
        <v/>
      </c>
      <c r="J697" t="str">
        <f>IF(YLE成绩库!C197="","", YLE成绩库!Q197)</f>
        <v/>
      </c>
      <c r="K697" t="str">
        <f>IF(YLE成绩库!C197="","", YLE成绩库!R197)</f>
        <v/>
      </c>
      <c r="L697" t="str">
        <f>IF(YLE成绩库!C197="","", YLE成绩库!U197)</f>
        <v/>
      </c>
      <c r="M697">
        <v>0</v>
      </c>
      <c r="N697">
        <v>0</v>
      </c>
      <c r="O697">
        <v>0</v>
      </c>
      <c r="P697" t="str">
        <f>IF(YLE成绩库!C197="","", YLE成绩库!D197)</f>
        <v/>
      </c>
      <c r="Q697" t="str">
        <f>IF(YLE成绩库!C197="","", YLE成绩库!E197)</f>
        <v/>
      </c>
      <c r="R697" t="str">
        <f>IF(YLE成绩库!C197="","", YLE成绩库!F197)</f>
        <v/>
      </c>
      <c r="S697" t="str">
        <f>IF(YLE成绩库!C197="","", YLE成绩库!G197)</f>
        <v/>
      </c>
      <c r="T697" t="str">
        <f>IF(YLE成绩库!C197="","", YLE成绩库!H197)</f>
        <v/>
      </c>
      <c r="U697" t="str">
        <f>IF(YLE成绩库!C197="","", YLE成绩库!K197)</f>
        <v/>
      </c>
      <c r="V697" t="str">
        <f>IF(YLE成绩库!C197="","", YLE成绩库!W197)</f>
        <v/>
      </c>
      <c r="W697" t="str">
        <f>IF(YLE成绩库!C197="","", YLE成绩库!X197)</f>
        <v/>
      </c>
      <c r="X697" t="str">
        <f>IF(YLE成绩库!C197="","", YLE成绩库!AA197)</f>
        <v/>
      </c>
      <c r="Z697" t="str">
        <f>IF(YLE成绩库!C197="","", YLE成绩库!Z197)</f>
        <v/>
      </c>
    </row>
    <row r="698" spans="1:26" x14ac:dyDescent="0.2">
      <c r="A698" t="str">
        <f>IF(YLE成绩库!C198="","", YLE成绩库!C198)</f>
        <v/>
      </c>
      <c r="B698" t="str">
        <f>IF(YLE成绩库!AB198="","", YLE成绩库!AB198)</f>
        <v/>
      </c>
      <c r="C698" t="str">
        <f>IF(YLE成绩库!B198="","", YLE成绩库!B198)</f>
        <v/>
      </c>
      <c r="D698" t="str">
        <f>IF(YLE成绩库!D198="","", YLE成绩库!D198)</f>
        <v/>
      </c>
      <c r="E698" t="str">
        <f>IF(YLE成绩库!C198="","", YLE成绩库!L198)</f>
        <v/>
      </c>
      <c r="F698" t="str">
        <f>IF(YLE成绩库!C198="","", YLE成绩库!M198)</f>
        <v/>
      </c>
      <c r="G698" t="str">
        <f>IF(YLE成绩库!C198="","", YLE成绩库!N198)</f>
        <v/>
      </c>
      <c r="H698" t="str">
        <f>IF(YLE成绩库!C198="","", YLE成绩库!O198)</f>
        <v/>
      </c>
      <c r="I698" t="str">
        <f>IF(YLE成绩库!C198="","", YLE成绩库!P198)</f>
        <v/>
      </c>
      <c r="J698" t="str">
        <f>IF(YLE成绩库!C198="","", YLE成绩库!Q198)</f>
        <v/>
      </c>
      <c r="K698" t="str">
        <f>IF(YLE成绩库!C198="","", YLE成绩库!R198)</f>
        <v/>
      </c>
      <c r="L698" t="str">
        <f>IF(YLE成绩库!C198="","", YLE成绩库!U198)</f>
        <v/>
      </c>
      <c r="M698">
        <v>0</v>
      </c>
      <c r="N698">
        <v>0</v>
      </c>
      <c r="O698">
        <v>0</v>
      </c>
      <c r="P698" t="str">
        <f>IF(YLE成绩库!C198="","", YLE成绩库!D198)</f>
        <v/>
      </c>
      <c r="Q698" t="str">
        <f>IF(YLE成绩库!C198="","", YLE成绩库!E198)</f>
        <v/>
      </c>
      <c r="R698" t="str">
        <f>IF(YLE成绩库!C198="","", YLE成绩库!F198)</f>
        <v/>
      </c>
      <c r="S698" t="str">
        <f>IF(YLE成绩库!C198="","", YLE成绩库!G198)</f>
        <v/>
      </c>
      <c r="T698" t="str">
        <f>IF(YLE成绩库!C198="","", YLE成绩库!H198)</f>
        <v/>
      </c>
      <c r="U698" t="str">
        <f>IF(YLE成绩库!C198="","", YLE成绩库!K198)</f>
        <v/>
      </c>
      <c r="V698" t="str">
        <f>IF(YLE成绩库!C198="","", YLE成绩库!W198)</f>
        <v/>
      </c>
      <c r="W698" t="str">
        <f>IF(YLE成绩库!C198="","", YLE成绩库!X198)</f>
        <v/>
      </c>
      <c r="X698" t="str">
        <f>IF(YLE成绩库!C198="","", YLE成绩库!AA198)</f>
        <v/>
      </c>
      <c r="Z698" t="str">
        <f>IF(YLE成绩库!C198="","", YLE成绩库!Z198)</f>
        <v/>
      </c>
    </row>
    <row r="699" spans="1:26" x14ac:dyDescent="0.2">
      <c r="A699" t="str">
        <f>IF(YLE成绩库!C199="","", YLE成绩库!C199)</f>
        <v/>
      </c>
      <c r="B699" t="str">
        <f>IF(YLE成绩库!AB199="","", YLE成绩库!AB199)</f>
        <v/>
      </c>
      <c r="C699" t="str">
        <f>IF(YLE成绩库!B199="","", YLE成绩库!B199)</f>
        <v/>
      </c>
      <c r="D699" t="str">
        <f>IF(YLE成绩库!D199="","", YLE成绩库!D199)</f>
        <v/>
      </c>
      <c r="E699" t="str">
        <f>IF(YLE成绩库!C199="","", YLE成绩库!L199)</f>
        <v/>
      </c>
      <c r="F699" t="str">
        <f>IF(YLE成绩库!C199="","", YLE成绩库!M199)</f>
        <v/>
      </c>
      <c r="G699" t="str">
        <f>IF(YLE成绩库!C199="","", YLE成绩库!N199)</f>
        <v/>
      </c>
      <c r="H699" t="str">
        <f>IF(YLE成绩库!C199="","", YLE成绩库!O199)</f>
        <v/>
      </c>
      <c r="I699" t="str">
        <f>IF(YLE成绩库!C199="","", YLE成绩库!P199)</f>
        <v/>
      </c>
      <c r="J699" t="str">
        <f>IF(YLE成绩库!C199="","", YLE成绩库!Q199)</f>
        <v/>
      </c>
      <c r="K699" t="str">
        <f>IF(YLE成绩库!C199="","", YLE成绩库!R199)</f>
        <v/>
      </c>
      <c r="L699" t="str">
        <f>IF(YLE成绩库!C199="","", YLE成绩库!U199)</f>
        <v/>
      </c>
      <c r="M699">
        <v>0</v>
      </c>
      <c r="N699">
        <v>0</v>
      </c>
      <c r="O699">
        <v>0</v>
      </c>
      <c r="P699" t="str">
        <f>IF(YLE成绩库!C199="","", YLE成绩库!D199)</f>
        <v/>
      </c>
      <c r="Q699" t="str">
        <f>IF(YLE成绩库!C199="","", YLE成绩库!E199)</f>
        <v/>
      </c>
      <c r="R699" t="str">
        <f>IF(YLE成绩库!C199="","", YLE成绩库!F199)</f>
        <v/>
      </c>
      <c r="S699" t="str">
        <f>IF(YLE成绩库!C199="","", YLE成绩库!G199)</f>
        <v/>
      </c>
      <c r="T699" t="str">
        <f>IF(YLE成绩库!C199="","", YLE成绩库!H199)</f>
        <v/>
      </c>
      <c r="U699" t="str">
        <f>IF(YLE成绩库!C199="","", YLE成绩库!K199)</f>
        <v/>
      </c>
      <c r="V699" t="str">
        <f>IF(YLE成绩库!C199="","", YLE成绩库!W199)</f>
        <v/>
      </c>
      <c r="W699" t="str">
        <f>IF(YLE成绩库!C199="","", YLE成绩库!X199)</f>
        <v/>
      </c>
      <c r="X699" t="str">
        <f>IF(YLE成绩库!C199="","", YLE成绩库!AA199)</f>
        <v/>
      </c>
      <c r="Z699" t="str">
        <f>IF(YLE成绩库!C199="","", YLE成绩库!Z199)</f>
        <v/>
      </c>
    </row>
    <row r="700" spans="1:26" x14ac:dyDescent="0.2">
      <c r="A700" t="str">
        <f>IF(YLE成绩库!C200="","", YLE成绩库!C200)</f>
        <v/>
      </c>
      <c r="B700" t="str">
        <f>IF(YLE成绩库!AB200="","", YLE成绩库!AB200)</f>
        <v/>
      </c>
      <c r="C700" t="str">
        <f>IF(YLE成绩库!B200="","", YLE成绩库!B200)</f>
        <v/>
      </c>
      <c r="D700" t="str">
        <f>IF(YLE成绩库!D200="","", YLE成绩库!D200)</f>
        <v/>
      </c>
      <c r="E700" t="str">
        <f>IF(YLE成绩库!C200="","", YLE成绩库!L200)</f>
        <v/>
      </c>
      <c r="F700" t="str">
        <f>IF(YLE成绩库!C200="","", YLE成绩库!M200)</f>
        <v/>
      </c>
      <c r="G700" t="str">
        <f>IF(YLE成绩库!C200="","", YLE成绩库!N200)</f>
        <v/>
      </c>
      <c r="H700" t="str">
        <f>IF(YLE成绩库!C200="","", YLE成绩库!O200)</f>
        <v/>
      </c>
      <c r="I700" t="str">
        <f>IF(YLE成绩库!C200="","", YLE成绩库!P200)</f>
        <v/>
      </c>
      <c r="J700" t="str">
        <f>IF(YLE成绩库!C200="","", YLE成绩库!Q200)</f>
        <v/>
      </c>
      <c r="K700" t="str">
        <f>IF(YLE成绩库!C200="","", YLE成绩库!R200)</f>
        <v/>
      </c>
      <c r="L700" t="str">
        <f>IF(YLE成绩库!C200="","", YLE成绩库!U200)</f>
        <v/>
      </c>
      <c r="M700">
        <v>0</v>
      </c>
      <c r="N700">
        <v>0</v>
      </c>
      <c r="O700">
        <v>0</v>
      </c>
      <c r="P700" t="str">
        <f>IF(YLE成绩库!C200="","", YLE成绩库!D200)</f>
        <v/>
      </c>
      <c r="Q700" t="str">
        <f>IF(YLE成绩库!C200="","", YLE成绩库!E200)</f>
        <v/>
      </c>
      <c r="R700" t="str">
        <f>IF(YLE成绩库!C200="","", YLE成绩库!F200)</f>
        <v/>
      </c>
      <c r="S700" t="str">
        <f>IF(YLE成绩库!C200="","", YLE成绩库!G200)</f>
        <v/>
      </c>
      <c r="T700" t="str">
        <f>IF(YLE成绩库!C200="","", YLE成绩库!H200)</f>
        <v/>
      </c>
      <c r="U700" t="str">
        <f>IF(YLE成绩库!C200="","", YLE成绩库!K200)</f>
        <v/>
      </c>
      <c r="V700" t="str">
        <f>IF(YLE成绩库!C200="","", YLE成绩库!W200)</f>
        <v/>
      </c>
      <c r="W700" t="str">
        <f>IF(YLE成绩库!C200="","", YLE成绩库!X200)</f>
        <v/>
      </c>
      <c r="X700" t="str">
        <f>IF(YLE成绩库!C200="","", YLE成绩库!AA200)</f>
        <v/>
      </c>
      <c r="Z700" t="str">
        <f>IF(YLE成绩库!C200="","", YLE成绩库!Z200)</f>
        <v/>
      </c>
    </row>
    <row r="701" spans="1:26" x14ac:dyDescent="0.2">
      <c r="A701" t="str">
        <f>IF(YLE成绩库!C201="","", YLE成绩库!C201)</f>
        <v/>
      </c>
      <c r="B701" t="str">
        <f>IF(YLE成绩库!AB201="","", YLE成绩库!AB201)</f>
        <v/>
      </c>
      <c r="C701" t="str">
        <f>IF(YLE成绩库!B201="","", YLE成绩库!B201)</f>
        <v/>
      </c>
      <c r="D701" t="str">
        <f>IF(YLE成绩库!D201="","", YLE成绩库!D201)</f>
        <v/>
      </c>
      <c r="E701" t="str">
        <f>IF(YLE成绩库!C201="","", YLE成绩库!L201)</f>
        <v/>
      </c>
      <c r="F701" t="str">
        <f>IF(YLE成绩库!C201="","", YLE成绩库!M201)</f>
        <v/>
      </c>
      <c r="G701" t="str">
        <f>IF(YLE成绩库!C201="","", YLE成绩库!N201)</f>
        <v/>
      </c>
      <c r="H701" t="str">
        <f>IF(YLE成绩库!C201="","", YLE成绩库!O201)</f>
        <v/>
      </c>
      <c r="I701" t="str">
        <f>IF(YLE成绩库!C201="","", YLE成绩库!P201)</f>
        <v/>
      </c>
      <c r="J701" t="str">
        <f>IF(YLE成绩库!C201="","", YLE成绩库!Q201)</f>
        <v/>
      </c>
      <c r="K701" t="str">
        <f>IF(YLE成绩库!C201="","", YLE成绩库!R201)</f>
        <v/>
      </c>
      <c r="L701" t="str">
        <f>IF(YLE成绩库!C201="","", YLE成绩库!U201)</f>
        <v/>
      </c>
      <c r="M701">
        <v>0</v>
      </c>
      <c r="N701">
        <v>0</v>
      </c>
      <c r="O701">
        <v>0</v>
      </c>
      <c r="P701" t="str">
        <f>IF(YLE成绩库!C201="","", YLE成绩库!D201)</f>
        <v/>
      </c>
      <c r="Q701" t="str">
        <f>IF(YLE成绩库!C201="","", YLE成绩库!E201)</f>
        <v/>
      </c>
      <c r="R701" t="str">
        <f>IF(YLE成绩库!C201="","", YLE成绩库!F201)</f>
        <v/>
      </c>
      <c r="S701" t="str">
        <f>IF(YLE成绩库!C201="","", YLE成绩库!G201)</f>
        <v/>
      </c>
      <c r="T701" t="str">
        <f>IF(YLE成绩库!C201="","", YLE成绩库!H201)</f>
        <v/>
      </c>
      <c r="U701" t="str">
        <f>IF(YLE成绩库!C201="","", YLE成绩库!K201)</f>
        <v/>
      </c>
      <c r="V701" t="str">
        <f>IF(YLE成绩库!C201="","", YLE成绩库!W201)</f>
        <v/>
      </c>
      <c r="W701" t="str">
        <f>IF(YLE成绩库!C201="","", YLE成绩库!X201)</f>
        <v/>
      </c>
      <c r="X701" t="str">
        <f>IF(YLE成绩库!C201="","", YLE成绩库!AA201)</f>
        <v/>
      </c>
      <c r="Z701" t="str">
        <f>IF(YLE成绩库!C201="","", YLE成绩库!Z201)</f>
        <v/>
      </c>
    </row>
    <row r="702" spans="1:26" x14ac:dyDescent="0.2">
      <c r="A702" t="str">
        <f>IF(YLE成绩库!C202="","", YLE成绩库!C202)</f>
        <v/>
      </c>
      <c r="B702" t="str">
        <f>IF(YLE成绩库!AB202="","", YLE成绩库!AB202)</f>
        <v/>
      </c>
      <c r="C702" t="str">
        <f>IF(YLE成绩库!B202="","", YLE成绩库!B202)</f>
        <v/>
      </c>
      <c r="D702" t="str">
        <f>IF(YLE成绩库!D202="","", YLE成绩库!D202)</f>
        <v/>
      </c>
      <c r="E702" t="str">
        <f>IF(YLE成绩库!C202="","", YLE成绩库!L202)</f>
        <v/>
      </c>
      <c r="F702" t="str">
        <f>IF(YLE成绩库!C202="","", YLE成绩库!M202)</f>
        <v/>
      </c>
      <c r="G702" t="str">
        <f>IF(YLE成绩库!C202="","", YLE成绩库!N202)</f>
        <v/>
      </c>
      <c r="H702" t="str">
        <f>IF(YLE成绩库!C202="","", YLE成绩库!O202)</f>
        <v/>
      </c>
      <c r="I702" t="str">
        <f>IF(YLE成绩库!C202="","", YLE成绩库!P202)</f>
        <v/>
      </c>
      <c r="J702" t="str">
        <f>IF(YLE成绩库!C202="","", YLE成绩库!Q202)</f>
        <v/>
      </c>
      <c r="K702" t="str">
        <f>IF(YLE成绩库!C202="","", YLE成绩库!R202)</f>
        <v/>
      </c>
      <c r="L702" t="str">
        <f>IF(YLE成绩库!C202="","", YLE成绩库!U202)</f>
        <v/>
      </c>
      <c r="M702">
        <v>0</v>
      </c>
      <c r="N702">
        <v>0</v>
      </c>
      <c r="O702">
        <v>0</v>
      </c>
      <c r="P702" t="str">
        <f>IF(YLE成绩库!C202="","", YLE成绩库!D202)</f>
        <v/>
      </c>
      <c r="Q702" t="str">
        <f>IF(YLE成绩库!C202="","", YLE成绩库!E202)</f>
        <v/>
      </c>
      <c r="R702" t="str">
        <f>IF(YLE成绩库!C202="","", YLE成绩库!F202)</f>
        <v/>
      </c>
      <c r="S702" t="str">
        <f>IF(YLE成绩库!C202="","", YLE成绩库!G202)</f>
        <v/>
      </c>
      <c r="T702" t="str">
        <f>IF(YLE成绩库!C202="","", YLE成绩库!H202)</f>
        <v/>
      </c>
      <c r="U702" t="str">
        <f>IF(YLE成绩库!C202="","", YLE成绩库!K202)</f>
        <v/>
      </c>
      <c r="V702" t="str">
        <f>IF(YLE成绩库!C202="","", YLE成绩库!W202)</f>
        <v/>
      </c>
      <c r="W702" t="str">
        <f>IF(YLE成绩库!C202="","", YLE成绩库!X202)</f>
        <v/>
      </c>
      <c r="X702" t="str">
        <f>IF(YLE成绩库!C202="","", YLE成绩库!AA202)</f>
        <v/>
      </c>
      <c r="Z702" t="str">
        <f>IF(YLE成绩库!C202="","", YLE成绩库!Z202)</f>
        <v/>
      </c>
    </row>
    <row r="703" spans="1:26" x14ac:dyDescent="0.2">
      <c r="A703" t="str">
        <f>IF(YLE成绩库!C203="","", YLE成绩库!C203)</f>
        <v/>
      </c>
      <c r="B703" t="str">
        <f>IF(YLE成绩库!AB203="","", YLE成绩库!AB203)</f>
        <v/>
      </c>
      <c r="C703" t="str">
        <f>IF(YLE成绩库!B203="","", YLE成绩库!B203)</f>
        <v/>
      </c>
      <c r="D703" t="str">
        <f>IF(YLE成绩库!D203="","", YLE成绩库!D203)</f>
        <v/>
      </c>
      <c r="E703" t="str">
        <f>IF(YLE成绩库!C203="","", YLE成绩库!L203)</f>
        <v/>
      </c>
      <c r="F703" t="str">
        <f>IF(YLE成绩库!C203="","", YLE成绩库!M203)</f>
        <v/>
      </c>
      <c r="G703" t="str">
        <f>IF(YLE成绩库!C203="","", YLE成绩库!N203)</f>
        <v/>
      </c>
      <c r="H703" t="str">
        <f>IF(YLE成绩库!C203="","", YLE成绩库!O203)</f>
        <v/>
      </c>
      <c r="I703" t="str">
        <f>IF(YLE成绩库!C203="","", YLE成绩库!P203)</f>
        <v/>
      </c>
      <c r="J703" t="str">
        <f>IF(YLE成绩库!C203="","", YLE成绩库!Q203)</f>
        <v/>
      </c>
      <c r="K703" t="str">
        <f>IF(YLE成绩库!C203="","", YLE成绩库!R203)</f>
        <v/>
      </c>
      <c r="L703" t="str">
        <f>IF(YLE成绩库!C203="","", YLE成绩库!U203)</f>
        <v/>
      </c>
      <c r="M703">
        <v>0</v>
      </c>
      <c r="N703">
        <v>0</v>
      </c>
      <c r="O703">
        <v>0</v>
      </c>
      <c r="P703" t="str">
        <f>IF(YLE成绩库!C203="","", YLE成绩库!D203)</f>
        <v/>
      </c>
      <c r="Q703" t="str">
        <f>IF(YLE成绩库!C203="","", YLE成绩库!E203)</f>
        <v/>
      </c>
      <c r="R703" t="str">
        <f>IF(YLE成绩库!C203="","", YLE成绩库!F203)</f>
        <v/>
      </c>
      <c r="S703" t="str">
        <f>IF(YLE成绩库!C203="","", YLE成绩库!G203)</f>
        <v/>
      </c>
      <c r="T703" t="str">
        <f>IF(YLE成绩库!C203="","", YLE成绩库!H203)</f>
        <v/>
      </c>
      <c r="U703" t="str">
        <f>IF(YLE成绩库!C203="","", YLE成绩库!K203)</f>
        <v/>
      </c>
      <c r="V703" t="str">
        <f>IF(YLE成绩库!C203="","", YLE成绩库!W203)</f>
        <v/>
      </c>
      <c r="W703" t="str">
        <f>IF(YLE成绩库!C203="","", YLE成绩库!X203)</f>
        <v/>
      </c>
      <c r="X703" t="str">
        <f>IF(YLE成绩库!C203="","", YLE成绩库!AA203)</f>
        <v/>
      </c>
      <c r="Z703" t="str">
        <f>IF(YLE成绩库!C203="","", YLE成绩库!Z203)</f>
        <v/>
      </c>
    </row>
    <row r="704" spans="1:26" x14ac:dyDescent="0.2">
      <c r="A704" t="str">
        <f>IF(YLE成绩库!C204="","", YLE成绩库!C204)</f>
        <v/>
      </c>
      <c r="B704" t="str">
        <f>IF(YLE成绩库!AB204="","", YLE成绩库!AB204)</f>
        <v/>
      </c>
      <c r="C704" t="str">
        <f>IF(YLE成绩库!B204="","", YLE成绩库!B204)</f>
        <v/>
      </c>
      <c r="D704" t="str">
        <f>IF(YLE成绩库!D204="","", YLE成绩库!D204)</f>
        <v/>
      </c>
      <c r="E704" t="str">
        <f>IF(YLE成绩库!C204="","", YLE成绩库!L204)</f>
        <v/>
      </c>
      <c r="F704" t="str">
        <f>IF(YLE成绩库!C204="","", YLE成绩库!M204)</f>
        <v/>
      </c>
      <c r="G704" t="str">
        <f>IF(YLE成绩库!C204="","", YLE成绩库!N204)</f>
        <v/>
      </c>
      <c r="H704" t="str">
        <f>IF(YLE成绩库!C204="","", YLE成绩库!O204)</f>
        <v/>
      </c>
      <c r="I704" t="str">
        <f>IF(YLE成绩库!C204="","", YLE成绩库!P204)</f>
        <v/>
      </c>
      <c r="J704" t="str">
        <f>IF(YLE成绩库!C204="","", YLE成绩库!Q204)</f>
        <v/>
      </c>
      <c r="K704" t="str">
        <f>IF(YLE成绩库!C204="","", YLE成绩库!R204)</f>
        <v/>
      </c>
      <c r="L704" t="str">
        <f>IF(YLE成绩库!C204="","", YLE成绩库!U204)</f>
        <v/>
      </c>
      <c r="M704">
        <v>0</v>
      </c>
      <c r="N704">
        <v>0</v>
      </c>
      <c r="O704">
        <v>0</v>
      </c>
      <c r="P704" t="str">
        <f>IF(YLE成绩库!C204="","", YLE成绩库!D204)</f>
        <v/>
      </c>
      <c r="Q704" t="str">
        <f>IF(YLE成绩库!C204="","", YLE成绩库!E204)</f>
        <v/>
      </c>
      <c r="R704" t="str">
        <f>IF(YLE成绩库!C204="","", YLE成绩库!F204)</f>
        <v/>
      </c>
      <c r="S704" t="str">
        <f>IF(YLE成绩库!C204="","", YLE成绩库!G204)</f>
        <v/>
      </c>
      <c r="T704" t="str">
        <f>IF(YLE成绩库!C204="","", YLE成绩库!H204)</f>
        <v/>
      </c>
      <c r="U704" t="str">
        <f>IF(YLE成绩库!C204="","", YLE成绩库!K204)</f>
        <v/>
      </c>
      <c r="V704" t="str">
        <f>IF(YLE成绩库!C204="","", YLE成绩库!W204)</f>
        <v/>
      </c>
      <c r="W704" t="str">
        <f>IF(YLE成绩库!C204="","", YLE成绩库!X204)</f>
        <v/>
      </c>
      <c r="X704" t="str">
        <f>IF(YLE成绩库!C204="","", YLE成绩库!AA204)</f>
        <v/>
      </c>
      <c r="Z704" t="str">
        <f>IF(YLE成绩库!C204="","", YLE成绩库!Z204)</f>
        <v/>
      </c>
    </row>
    <row r="705" spans="1:26" x14ac:dyDescent="0.2">
      <c r="A705" t="str">
        <f>IF(YLE成绩库!C205="","", YLE成绩库!C205)</f>
        <v/>
      </c>
      <c r="B705" t="str">
        <f>IF(YLE成绩库!AB205="","", YLE成绩库!AB205)</f>
        <v/>
      </c>
      <c r="C705" t="str">
        <f>IF(YLE成绩库!B205="","", YLE成绩库!B205)</f>
        <v/>
      </c>
      <c r="D705" t="str">
        <f>IF(YLE成绩库!D205="","", YLE成绩库!D205)</f>
        <v/>
      </c>
      <c r="E705" t="str">
        <f>IF(YLE成绩库!C205="","", YLE成绩库!L205)</f>
        <v/>
      </c>
      <c r="F705" t="str">
        <f>IF(YLE成绩库!C205="","", YLE成绩库!M205)</f>
        <v/>
      </c>
      <c r="G705" t="str">
        <f>IF(YLE成绩库!C205="","", YLE成绩库!N205)</f>
        <v/>
      </c>
      <c r="H705" t="str">
        <f>IF(YLE成绩库!C205="","", YLE成绩库!O205)</f>
        <v/>
      </c>
      <c r="I705" t="str">
        <f>IF(YLE成绩库!C205="","", YLE成绩库!P205)</f>
        <v/>
      </c>
      <c r="J705" t="str">
        <f>IF(YLE成绩库!C205="","", YLE成绩库!Q205)</f>
        <v/>
      </c>
      <c r="K705" t="str">
        <f>IF(YLE成绩库!C205="","", YLE成绩库!R205)</f>
        <v/>
      </c>
      <c r="L705" t="str">
        <f>IF(YLE成绩库!C205="","", YLE成绩库!U205)</f>
        <v/>
      </c>
      <c r="M705">
        <v>0</v>
      </c>
      <c r="N705">
        <v>0</v>
      </c>
      <c r="O705">
        <v>0</v>
      </c>
      <c r="P705" t="str">
        <f>IF(YLE成绩库!C205="","", YLE成绩库!D205)</f>
        <v/>
      </c>
      <c r="Q705" t="str">
        <f>IF(YLE成绩库!C205="","", YLE成绩库!E205)</f>
        <v/>
      </c>
      <c r="R705" t="str">
        <f>IF(YLE成绩库!C205="","", YLE成绩库!F205)</f>
        <v/>
      </c>
      <c r="S705" t="str">
        <f>IF(YLE成绩库!C205="","", YLE成绩库!G205)</f>
        <v/>
      </c>
      <c r="T705" t="str">
        <f>IF(YLE成绩库!C205="","", YLE成绩库!H205)</f>
        <v/>
      </c>
      <c r="U705" t="str">
        <f>IF(YLE成绩库!C205="","", YLE成绩库!K205)</f>
        <v/>
      </c>
      <c r="V705" t="str">
        <f>IF(YLE成绩库!C205="","", YLE成绩库!W205)</f>
        <v/>
      </c>
      <c r="W705" t="str">
        <f>IF(YLE成绩库!C205="","", YLE成绩库!X205)</f>
        <v/>
      </c>
      <c r="X705" t="str">
        <f>IF(YLE成绩库!C205="","", YLE成绩库!AA205)</f>
        <v/>
      </c>
      <c r="Z705" t="str">
        <f>IF(YLE成绩库!C205="","", YLE成绩库!Z205)</f>
        <v/>
      </c>
    </row>
    <row r="706" spans="1:26" x14ac:dyDescent="0.2">
      <c r="A706" t="str">
        <f>IF(YLE成绩库!C206="","", YLE成绩库!C206)</f>
        <v/>
      </c>
      <c r="B706" t="str">
        <f>IF(YLE成绩库!AB206="","", YLE成绩库!AB206)</f>
        <v/>
      </c>
      <c r="C706" t="str">
        <f>IF(YLE成绩库!B206="","", YLE成绩库!B206)</f>
        <v/>
      </c>
      <c r="D706" t="str">
        <f>IF(YLE成绩库!D206="","", YLE成绩库!D206)</f>
        <v/>
      </c>
      <c r="E706" t="str">
        <f>IF(YLE成绩库!C206="","", YLE成绩库!L206)</f>
        <v/>
      </c>
      <c r="F706" t="str">
        <f>IF(YLE成绩库!C206="","", YLE成绩库!M206)</f>
        <v/>
      </c>
      <c r="G706" t="str">
        <f>IF(YLE成绩库!C206="","", YLE成绩库!N206)</f>
        <v/>
      </c>
      <c r="H706" t="str">
        <f>IF(YLE成绩库!C206="","", YLE成绩库!O206)</f>
        <v/>
      </c>
      <c r="I706" t="str">
        <f>IF(YLE成绩库!C206="","", YLE成绩库!P206)</f>
        <v/>
      </c>
      <c r="J706" t="str">
        <f>IF(YLE成绩库!C206="","", YLE成绩库!Q206)</f>
        <v/>
      </c>
      <c r="K706" t="str">
        <f>IF(YLE成绩库!C206="","", YLE成绩库!R206)</f>
        <v/>
      </c>
      <c r="L706" t="str">
        <f>IF(YLE成绩库!C206="","", YLE成绩库!U206)</f>
        <v/>
      </c>
      <c r="M706">
        <v>0</v>
      </c>
      <c r="N706">
        <v>0</v>
      </c>
      <c r="O706">
        <v>0</v>
      </c>
      <c r="P706" t="str">
        <f>IF(YLE成绩库!C206="","", YLE成绩库!D206)</f>
        <v/>
      </c>
      <c r="Q706" t="str">
        <f>IF(YLE成绩库!C206="","", YLE成绩库!E206)</f>
        <v/>
      </c>
      <c r="R706" t="str">
        <f>IF(YLE成绩库!C206="","", YLE成绩库!F206)</f>
        <v/>
      </c>
      <c r="S706" t="str">
        <f>IF(YLE成绩库!C206="","", YLE成绩库!G206)</f>
        <v/>
      </c>
      <c r="T706" t="str">
        <f>IF(YLE成绩库!C206="","", YLE成绩库!H206)</f>
        <v/>
      </c>
      <c r="U706" t="str">
        <f>IF(YLE成绩库!C206="","", YLE成绩库!K206)</f>
        <v/>
      </c>
      <c r="V706" t="str">
        <f>IF(YLE成绩库!C206="","", YLE成绩库!W206)</f>
        <v/>
      </c>
      <c r="W706" t="str">
        <f>IF(YLE成绩库!C206="","", YLE成绩库!X206)</f>
        <v/>
      </c>
      <c r="X706" t="str">
        <f>IF(YLE成绩库!C206="","", YLE成绩库!AA206)</f>
        <v/>
      </c>
      <c r="Z706" t="str">
        <f>IF(YLE成绩库!C206="","", YLE成绩库!Z206)</f>
        <v/>
      </c>
    </row>
    <row r="707" spans="1:26" x14ac:dyDescent="0.2">
      <c r="A707" t="str">
        <f>IF(YLE成绩库!C207="","", YLE成绩库!C207)</f>
        <v/>
      </c>
      <c r="B707" t="str">
        <f>IF(YLE成绩库!AB207="","", YLE成绩库!AB207)</f>
        <v/>
      </c>
      <c r="C707" t="str">
        <f>IF(YLE成绩库!B207="","", YLE成绩库!B207)</f>
        <v/>
      </c>
      <c r="D707" t="str">
        <f>IF(YLE成绩库!D207="","", YLE成绩库!D207)</f>
        <v/>
      </c>
      <c r="E707" t="str">
        <f>IF(YLE成绩库!C207="","", YLE成绩库!L207)</f>
        <v/>
      </c>
      <c r="F707" t="str">
        <f>IF(YLE成绩库!C207="","", YLE成绩库!M207)</f>
        <v/>
      </c>
      <c r="G707" t="str">
        <f>IF(YLE成绩库!C207="","", YLE成绩库!N207)</f>
        <v/>
      </c>
      <c r="H707" t="str">
        <f>IF(YLE成绩库!C207="","", YLE成绩库!O207)</f>
        <v/>
      </c>
      <c r="I707" t="str">
        <f>IF(YLE成绩库!C207="","", YLE成绩库!P207)</f>
        <v/>
      </c>
      <c r="J707" t="str">
        <f>IF(YLE成绩库!C207="","", YLE成绩库!Q207)</f>
        <v/>
      </c>
      <c r="K707" t="str">
        <f>IF(YLE成绩库!C207="","", YLE成绩库!R207)</f>
        <v/>
      </c>
      <c r="L707" t="str">
        <f>IF(YLE成绩库!C207="","", YLE成绩库!U207)</f>
        <v/>
      </c>
      <c r="M707">
        <v>0</v>
      </c>
      <c r="N707">
        <v>0</v>
      </c>
      <c r="O707">
        <v>0</v>
      </c>
      <c r="P707" t="str">
        <f>IF(YLE成绩库!C207="","", YLE成绩库!D207)</f>
        <v/>
      </c>
      <c r="Q707" t="str">
        <f>IF(YLE成绩库!C207="","", YLE成绩库!E207)</f>
        <v/>
      </c>
      <c r="R707" t="str">
        <f>IF(YLE成绩库!C207="","", YLE成绩库!F207)</f>
        <v/>
      </c>
      <c r="S707" t="str">
        <f>IF(YLE成绩库!C207="","", YLE成绩库!G207)</f>
        <v/>
      </c>
      <c r="T707" t="str">
        <f>IF(YLE成绩库!C207="","", YLE成绩库!H207)</f>
        <v/>
      </c>
      <c r="U707" t="str">
        <f>IF(YLE成绩库!C207="","", YLE成绩库!K207)</f>
        <v/>
      </c>
      <c r="V707" t="str">
        <f>IF(YLE成绩库!C207="","", YLE成绩库!W207)</f>
        <v/>
      </c>
      <c r="W707" t="str">
        <f>IF(YLE成绩库!C207="","", YLE成绩库!X207)</f>
        <v/>
      </c>
      <c r="X707" t="str">
        <f>IF(YLE成绩库!C207="","", YLE成绩库!AA207)</f>
        <v/>
      </c>
      <c r="Z707" t="str">
        <f>IF(YLE成绩库!C207="","", YLE成绩库!Z207)</f>
        <v/>
      </c>
    </row>
    <row r="708" spans="1:26" x14ac:dyDescent="0.2">
      <c r="A708" t="str">
        <f>IF(YLE成绩库!C208="","", YLE成绩库!C208)</f>
        <v/>
      </c>
      <c r="B708" t="str">
        <f>IF(YLE成绩库!AB208="","", YLE成绩库!AB208)</f>
        <v/>
      </c>
      <c r="C708" t="str">
        <f>IF(YLE成绩库!B208="","", YLE成绩库!B208)</f>
        <v/>
      </c>
      <c r="D708" t="str">
        <f>IF(YLE成绩库!D208="","", YLE成绩库!D208)</f>
        <v/>
      </c>
      <c r="E708" t="str">
        <f>IF(YLE成绩库!C208="","", YLE成绩库!L208)</f>
        <v/>
      </c>
      <c r="F708" t="str">
        <f>IF(YLE成绩库!C208="","", YLE成绩库!M208)</f>
        <v/>
      </c>
      <c r="G708" t="str">
        <f>IF(YLE成绩库!C208="","", YLE成绩库!N208)</f>
        <v/>
      </c>
      <c r="H708" t="str">
        <f>IF(YLE成绩库!C208="","", YLE成绩库!O208)</f>
        <v/>
      </c>
      <c r="I708" t="str">
        <f>IF(YLE成绩库!C208="","", YLE成绩库!P208)</f>
        <v/>
      </c>
      <c r="J708" t="str">
        <f>IF(YLE成绩库!C208="","", YLE成绩库!Q208)</f>
        <v/>
      </c>
      <c r="K708" t="str">
        <f>IF(YLE成绩库!C208="","", YLE成绩库!R208)</f>
        <v/>
      </c>
      <c r="L708" t="str">
        <f>IF(YLE成绩库!C208="","", YLE成绩库!U208)</f>
        <v/>
      </c>
      <c r="M708">
        <v>0</v>
      </c>
      <c r="N708">
        <v>0</v>
      </c>
      <c r="O708">
        <v>0</v>
      </c>
      <c r="P708" t="str">
        <f>IF(YLE成绩库!C208="","", YLE成绩库!D208)</f>
        <v/>
      </c>
      <c r="Q708" t="str">
        <f>IF(YLE成绩库!C208="","", YLE成绩库!E208)</f>
        <v/>
      </c>
      <c r="R708" t="str">
        <f>IF(YLE成绩库!C208="","", YLE成绩库!F208)</f>
        <v/>
      </c>
      <c r="S708" t="str">
        <f>IF(YLE成绩库!C208="","", YLE成绩库!G208)</f>
        <v/>
      </c>
      <c r="T708" t="str">
        <f>IF(YLE成绩库!C208="","", YLE成绩库!H208)</f>
        <v/>
      </c>
      <c r="U708" t="str">
        <f>IF(YLE成绩库!C208="","", YLE成绩库!K208)</f>
        <v/>
      </c>
      <c r="V708" t="str">
        <f>IF(YLE成绩库!C208="","", YLE成绩库!W208)</f>
        <v/>
      </c>
      <c r="W708" t="str">
        <f>IF(YLE成绩库!C208="","", YLE成绩库!X208)</f>
        <v/>
      </c>
      <c r="X708" t="str">
        <f>IF(YLE成绩库!C208="","", YLE成绩库!AA208)</f>
        <v/>
      </c>
      <c r="Z708" t="str">
        <f>IF(YLE成绩库!C208="","", YLE成绩库!Z208)</f>
        <v/>
      </c>
    </row>
    <row r="709" spans="1:26" x14ac:dyDescent="0.2">
      <c r="A709" t="str">
        <f>IF(YLE成绩库!C209="","", YLE成绩库!C209)</f>
        <v/>
      </c>
      <c r="B709" t="str">
        <f>IF(YLE成绩库!AB209="","", YLE成绩库!AB209)</f>
        <v/>
      </c>
      <c r="C709" t="str">
        <f>IF(YLE成绩库!B209="","", YLE成绩库!B209)</f>
        <v/>
      </c>
      <c r="D709" t="str">
        <f>IF(YLE成绩库!D209="","", YLE成绩库!D209)</f>
        <v/>
      </c>
      <c r="E709" t="str">
        <f>IF(YLE成绩库!C209="","", YLE成绩库!L209)</f>
        <v/>
      </c>
      <c r="F709" t="str">
        <f>IF(YLE成绩库!C209="","", YLE成绩库!M209)</f>
        <v/>
      </c>
      <c r="G709" t="str">
        <f>IF(YLE成绩库!C209="","", YLE成绩库!N209)</f>
        <v/>
      </c>
      <c r="H709" t="str">
        <f>IF(YLE成绩库!C209="","", YLE成绩库!O209)</f>
        <v/>
      </c>
      <c r="I709" t="str">
        <f>IF(YLE成绩库!C209="","", YLE成绩库!P209)</f>
        <v/>
      </c>
      <c r="J709" t="str">
        <f>IF(YLE成绩库!C209="","", YLE成绩库!Q209)</f>
        <v/>
      </c>
      <c r="K709" t="str">
        <f>IF(YLE成绩库!C209="","", YLE成绩库!R209)</f>
        <v/>
      </c>
      <c r="L709" t="str">
        <f>IF(YLE成绩库!C209="","", YLE成绩库!U209)</f>
        <v/>
      </c>
      <c r="M709">
        <v>0</v>
      </c>
      <c r="N709">
        <v>0</v>
      </c>
      <c r="O709">
        <v>0</v>
      </c>
      <c r="P709" t="str">
        <f>IF(YLE成绩库!C209="","", YLE成绩库!D209)</f>
        <v/>
      </c>
      <c r="Q709" t="str">
        <f>IF(YLE成绩库!C209="","", YLE成绩库!E209)</f>
        <v/>
      </c>
      <c r="R709" t="str">
        <f>IF(YLE成绩库!C209="","", YLE成绩库!F209)</f>
        <v/>
      </c>
      <c r="S709" t="str">
        <f>IF(YLE成绩库!C209="","", YLE成绩库!G209)</f>
        <v/>
      </c>
      <c r="T709" t="str">
        <f>IF(YLE成绩库!C209="","", YLE成绩库!H209)</f>
        <v/>
      </c>
      <c r="U709" t="str">
        <f>IF(YLE成绩库!C209="","", YLE成绩库!K209)</f>
        <v/>
      </c>
      <c r="V709" t="str">
        <f>IF(YLE成绩库!C209="","", YLE成绩库!W209)</f>
        <v/>
      </c>
      <c r="W709" t="str">
        <f>IF(YLE成绩库!C209="","", YLE成绩库!X209)</f>
        <v/>
      </c>
      <c r="X709" t="str">
        <f>IF(YLE成绩库!C209="","", YLE成绩库!AA209)</f>
        <v/>
      </c>
      <c r="Z709" t="str">
        <f>IF(YLE成绩库!C209="","", YLE成绩库!Z209)</f>
        <v/>
      </c>
    </row>
    <row r="710" spans="1:26" x14ac:dyDescent="0.2">
      <c r="A710" t="str">
        <f>IF(YLE成绩库!C210="","", YLE成绩库!C210)</f>
        <v/>
      </c>
      <c r="B710" t="str">
        <f>IF(YLE成绩库!AB210="","", YLE成绩库!AB210)</f>
        <v/>
      </c>
      <c r="C710" t="str">
        <f>IF(YLE成绩库!B210="","", YLE成绩库!B210)</f>
        <v/>
      </c>
      <c r="D710" t="str">
        <f>IF(YLE成绩库!D210="","", YLE成绩库!D210)</f>
        <v/>
      </c>
      <c r="E710" t="str">
        <f>IF(YLE成绩库!C210="","", YLE成绩库!L210)</f>
        <v/>
      </c>
      <c r="F710" t="str">
        <f>IF(YLE成绩库!C210="","", YLE成绩库!M210)</f>
        <v/>
      </c>
      <c r="G710" t="str">
        <f>IF(YLE成绩库!C210="","", YLE成绩库!N210)</f>
        <v/>
      </c>
      <c r="H710" t="str">
        <f>IF(YLE成绩库!C210="","", YLE成绩库!O210)</f>
        <v/>
      </c>
      <c r="I710" t="str">
        <f>IF(YLE成绩库!C210="","", YLE成绩库!P210)</f>
        <v/>
      </c>
      <c r="J710" t="str">
        <f>IF(YLE成绩库!C210="","", YLE成绩库!Q210)</f>
        <v/>
      </c>
      <c r="K710" t="str">
        <f>IF(YLE成绩库!C210="","", YLE成绩库!R210)</f>
        <v/>
      </c>
      <c r="L710" t="str">
        <f>IF(YLE成绩库!C210="","", YLE成绩库!U210)</f>
        <v/>
      </c>
      <c r="M710">
        <v>0</v>
      </c>
      <c r="N710">
        <v>0</v>
      </c>
      <c r="O710">
        <v>0</v>
      </c>
      <c r="P710" t="str">
        <f>IF(YLE成绩库!C210="","", YLE成绩库!D210)</f>
        <v/>
      </c>
      <c r="Q710" t="str">
        <f>IF(YLE成绩库!C210="","", YLE成绩库!E210)</f>
        <v/>
      </c>
      <c r="R710" t="str">
        <f>IF(YLE成绩库!C210="","", YLE成绩库!F210)</f>
        <v/>
      </c>
      <c r="S710" t="str">
        <f>IF(YLE成绩库!C210="","", YLE成绩库!G210)</f>
        <v/>
      </c>
      <c r="T710" t="str">
        <f>IF(YLE成绩库!C210="","", YLE成绩库!H210)</f>
        <v/>
      </c>
      <c r="U710" t="str">
        <f>IF(YLE成绩库!C210="","", YLE成绩库!K210)</f>
        <v/>
      </c>
      <c r="V710" t="str">
        <f>IF(YLE成绩库!C210="","", YLE成绩库!W210)</f>
        <v/>
      </c>
      <c r="W710" t="str">
        <f>IF(YLE成绩库!C210="","", YLE成绩库!X210)</f>
        <v/>
      </c>
      <c r="X710" t="str">
        <f>IF(YLE成绩库!C210="","", YLE成绩库!AA210)</f>
        <v/>
      </c>
      <c r="Z710" t="str">
        <f>IF(YLE成绩库!C210="","", YLE成绩库!Z210)</f>
        <v/>
      </c>
    </row>
    <row r="711" spans="1:26" x14ac:dyDescent="0.2">
      <c r="A711" t="str">
        <f>IF(YLE成绩库!C211="","", YLE成绩库!C211)</f>
        <v/>
      </c>
      <c r="B711" t="str">
        <f>IF(YLE成绩库!AB211="","", YLE成绩库!AB211)</f>
        <v/>
      </c>
      <c r="C711" t="str">
        <f>IF(YLE成绩库!B211="","", YLE成绩库!B211)</f>
        <v/>
      </c>
      <c r="D711" t="str">
        <f>IF(YLE成绩库!D211="","", YLE成绩库!D211)</f>
        <v/>
      </c>
      <c r="E711" t="str">
        <f>IF(YLE成绩库!C211="","", YLE成绩库!L211)</f>
        <v/>
      </c>
      <c r="F711" t="str">
        <f>IF(YLE成绩库!C211="","", YLE成绩库!M211)</f>
        <v/>
      </c>
      <c r="G711" t="str">
        <f>IF(YLE成绩库!C211="","", YLE成绩库!N211)</f>
        <v/>
      </c>
      <c r="H711" t="str">
        <f>IF(YLE成绩库!C211="","", YLE成绩库!O211)</f>
        <v/>
      </c>
      <c r="I711" t="str">
        <f>IF(YLE成绩库!C211="","", YLE成绩库!P211)</f>
        <v/>
      </c>
      <c r="J711" t="str">
        <f>IF(YLE成绩库!C211="","", YLE成绩库!Q211)</f>
        <v/>
      </c>
      <c r="K711" t="str">
        <f>IF(YLE成绩库!C211="","", YLE成绩库!R211)</f>
        <v/>
      </c>
      <c r="L711" t="str">
        <f>IF(YLE成绩库!C211="","", YLE成绩库!U211)</f>
        <v/>
      </c>
      <c r="M711">
        <v>0</v>
      </c>
      <c r="N711">
        <v>0</v>
      </c>
      <c r="O711">
        <v>0</v>
      </c>
      <c r="P711" t="str">
        <f>IF(YLE成绩库!C211="","", YLE成绩库!D211)</f>
        <v/>
      </c>
      <c r="Q711" t="str">
        <f>IF(YLE成绩库!C211="","", YLE成绩库!E211)</f>
        <v/>
      </c>
      <c r="R711" t="str">
        <f>IF(YLE成绩库!C211="","", YLE成绩库!F211)</f>
        <v/>
      </c>
      <c r="S711" t="str">
        <f>IF(YLE成绩库!C211="","", YLE成绩库!G211)</f>
        <v/>
      </c>
      <c r="T711" t="str">
        <f>IF(YLE成绩库!C211="","", YLE成绩库!H211)</f>
        <v/>
      </c>
      <c r="U711" t="str">
        <f>IF(YLE成绩库!C211="","", YLE成绩库!K211)</f>
        <v/>
      </c>
      <c r="V711" t="str">
        <f>IF(YLE成绩库!C211="","", YLE成绩库!W211)</f>
        <v/>
      </c>
      <c r="W711" t="str">
        <f>IF(YLE成绩库!C211="","", YLE成绩库!X211)</f>
        <v/>
      </c>
      <c r="X711" t="str">
        <f>IF(YLE成绩库!C211="","", YLE成绩库!AA211)</f>
        <v/>
      </c>
      <c r="Z711" t="str">
        <f>IF(YLE成绩库!C211="","", YLE成绩库!Z211)</f>
        <v/>
      </c>
    </row>
    <row r="712" spans="1:26" x14ac:dyDescent="0.2">
      <c r="A712" t="str">
        <f>IF(YLE成绩库!C212="","", YLE成绩库!C212)</f>
        <v/>
      </c>
      <c r="B712" t="str">
        <f>IF(YLE成绩库!AB212="","", YLE成绩库!AB212)</f>
        <v/>
      </c>
      <c r="C712" t="str">
        <f>IF(YLE成绩库!B212="","", YLE成绩库!B212)</f>
        <v/>
      </c>
      <c r="D712" t="str">
        <f>IF(YLE成绩库!D212="","", YLE成绩库!D212)</f>
        <v/>
      </c>
      <c r="E712" t="str">
        <f>IF(YLE成绩库!C212="","", YLE成绩库!L212)</f>
        <v/>
      </c>
      <c r="F712" t="str">
        <f>IF(YLE成绩库!C212="","", YLE成绩库!M212)</f>
        <v/>
      </c>
      <c r="G712" t="str">
        <f>IF(YLE成绩库!C212="","", YLE成绩库!N212)</f>
        <v/>
      </c>
      <c r="H712" t="str">
        <f>IF(YLE成绩库!C212="","", YLE成绩库!O212)</f>
        <v/>
      </c>
      <c r="I712" t="str">
        <f>IF(YLE成绩库!C212="","", YLE成绩库!P212)</f>
        <v/>
      </c>
      <c r="J712" t="str">
        <f>IF(YLE成绩库!C212="","", YLE成绩库!Q212)</f>
        <v/>
      </c>
      <c r="K712" t="str">
        <f>IF(YLE成绩库!C212="","", YLE成绩库!R212)</f>
        <v/>
      </c>
      <c r="L712" t="str">
        <f>IF(YLE成绩库!C212="","", YLE成绩库!U212)</f>
        <v/>
      </c>
      <c r="M712">
        <v>0</v>
      </c>
      <c r="N712">
        <v>0</v>
      </c>
      <c r="O712">
        <v>0</v>
      </c>
      <c r="P712" t="str">
        <f>IF(YLE成绩库!C212="","", YLE成绩库!D212)</f>
        <v/>
      </c>
      <c r="Q712" t="str">
        <f>IF(YLE成绩库!C212="","", YLE成绩库!E212)</f>
        <v/>
      </c>
      <c r="R712" t="str">
        <f>IF(YLE成绩库!C212="","", YLE成绩库!F212)</f>
        <v/>
      </c>
      <c r="S712" t="str">
        <f>IF(YLE成绩库!C212="","", YLE成绩库!G212)</f>
        <v/>
      </c>
      <c r="T712" t="str">
        <f>IF(YLE成绩库!C212="","", YLE成绩库!H212)</f>
        <v/>
      </c>
      <c r="U712" t="str">
        <f>IF(YLE成绩库!C212="","", YLE成绩库!K212)</f>
        <v/>
      </c>
      <c r="V712" t="str">
        <f>IF(YLE成绩库!C212="","", YLE成绩库!W212)</f>
        <v/>
      </c>
      <c r="W712" t="str">
        <f>IF(YLE成绩库!C212="","", YLE成绩库!X212)</f>
        <v/>
      </c>
      <c r="X712" t="str">
        <f>IF(YLE成绩库!C212="","", YLE成绩库!AA212)</f>
        <v/>
      </c>
      <c r="Z712" t="str">
        <f>IF(YLE成绩库!C212="","", YLE成绩库!Z212)</f>
        <v/>
      </c>
    </row>
    <row r="713" spans="1:26" x14ac:dyDescent="0.2">
      <c r="A713" t="str">
        <f>IF(YLE成绩库!C213="","", YLE成绩库!C213)</f>
        <v/>
      </c>
      <c r="B713" t="str">
        <f>IF(YLE成绩库!AB213="","", YLE成绩库!AB213)</f>
        <v/>
      </c>
      <c r="C713" t="str">
        <f>IF(YLE成绩库!B213="","", YLE成绩库!B213)</f>
        <v/>
      </c>
      <c r="D713" t="str">
        <f>IF(YLE成绩库!D213="","", YLE成绩库!D213)</f>
        <v/>
      </c>
      <c r="E713" t="str">
        <f>IF(YLE成绩库!C213="","", YLE成绩库!L213)</f>
        <v/>
      </c>
      <c r="F713" t="str">
        <f>IF(YLE成绩库!C213="","", YLE成绩库!M213)</f>
        <v/>
      </c>
      <c r="G713" t="str">
        <f>IF(YLE成绩库!C213="","", YLE成绩库!N213)</f>
        <v/>
      </c>
      <c r="H713" t="str">
        <f>IF(YLE成绩库!C213="","", YLE成绩库!O213)</f>
        <v/>
      </c>
      <c r="I713" t="str">
        <f>IF(YLE成绩库!C213="","", YLE成绩库!P213)</f>
        <v/>
      </c>
      <c r="J713" t="str">
        <f>IF(YLE成绩库!C213="","", YLE成绩库!Q213)</f>
        <v/>
      </c>
      <c r="K713" t="str">
        <f>IF(YLE成绩库!C213="","", YLE成绩库!R213)</f>
        <v/>
      </c>
      <c r="L713" t="str">
        <f>IF(YLE成绩库!C213="","", YLE成绩库!U213)</f>
        <v/>
      </c>
      <c r="M713">
        <v>0</v>
      </c>
      <c r="N713">
        <v>0</v>
      </c>
      <c r="O713">
        <v>0</v>
      </c>
      <c r="P713" t="str">
        <f>IF(YLE成绩库!C213="","", YLE成绩库!D213)</f>
        <v/>
      </c>
      <c r="Q713" t="str">
        <f>IF(YLE成绩库!C213="","", YLE成绩库!E213)</f>
        <v/>
      </c>
      <c r="R713" t="str">
        <f>IF(YLE成绩库!C213="","", YLE成绩库!F213)</f>
        <v/>
      </c>
      <c r="S713" t="str">
        <f>IF(YLE成绩库!C213="","", YLE成绩库!G213)</f>
        <v/>
      </c>
      <c r="T713" t="str">
        <f>IF(YLE成绩库!C213="","", YLE成绩库!H213)</f>
        <v/>
      </c>
      <c r="U713" t="str">
        <f>IF(YLE成绩库!C213="","", YLE成绩库!K213)</f>
        <v/>
      </c>
      <c r="V713" t="str">
        <f>IF(YLE成绩库!C213="","", YLE成绩库!W213)</f>
        <v/>
      </c>
      <c r="W713" t="str">
        <f>IF(YLE成绩库!C213="","", YLE成绩库!X213)</f>
        <v/>
      </c>
      <c r="X713" t="str">
        <f>IF(YLE成绩库!C213="","", YLE成绩库!AA213)</f>
        <v/>
      </c>
      <c r="Z713" t="str">
        <f>IF(YLE成绩库!C213="","", YLE成绩库!Z213)</f>
        <v/>
      </c>
    </row>
    <row r="714" spans="1:26" x14ac:dyDescent="0.2">
      <c r="A714" t="str">
        <f>IF(YLE成绩库!C214="","", YLE成绩库!C214)</f>
        <v/>
      </c>
      <c r="B714" t="str">
        <f>IF(YLE成绩库!AB214="","", YLE成绩库!AB214)</f>
        <v/>
      </c>
      <c r="C714" t="str">
        <f>IF(YLE成绩库!B214="","", YLE成绩库!B214)</f>
        <v/>
      </c>
      <c r="D714" t="str">
        <f>IF(YLE成绩库!D214="","", YLE成绩库!D214)</f>
        <v/>
      </c>
      <c r="E714" t="str">
        <f>IF(YLE成绩库!C214="","", YLE成绩库!L214)</f>
        <v/>
      </c>
      <c r="F714" t="str">
        <f>IF(YLE成绩库!C214="","", YLE成绩库!M214)</f>
        <v/>
      </c>
      <c r="G714" t="str">
        <f>IF(YLE成绩库!C214="","", YLE成绩库!N214)</f>
        <v/>
      </c>
      <c r="H714" t="str">
        <f>IF(YLE成绩库!C214="","", YLE成绩库!O214)</f>
        <v/>
      </c>
      <c r="I714" t="str">
        <f>IF(YLE成绩库!C214="","", YLE成绩库!P214)</f>
        <v/>
      </c>
      <c r="J714" t="str">
        <f>IF(YLE成绩库!C214="","", YLE成绩库!Q214)</f>
        <v/>
      </c>
      <c r="K714" t="str">
        <f>IF(YLE成绩库!C214="","", YLE成绩库!R214)</f>
        <v/>
      </c>
      <c r="L714" t="str">
        <f>IF(YLE成绩库!C214="","", YLE成绩库!U214)</f>
        <v/>
      </c>
      <c r="M714">
        <v>0</v>
      </c>
      <c r="N714">
        <v>0</v>
      </c>
      <c r="O714">
        <v>0</v>
      </c>
      <c r="P714" t="str">
        <f>IF(YLE成绩库!C214="","", YLE成绩库!D214)</f>
        <v/>
      </c>
      <c r="Q714" t="str">
        <f>IF(YLE成绩库!C214="","", YLE成绩库!E214)</f>
        <v/>
      </c>
      <c r="R714" t="str">
        <f>IF(YLE成绩库!C214="","", YLE成绩库!F214)</f>
        <v/>
      </c>
      <c r="S714" t="str">
        <f>IF(YLE成绩库!C214="","", YLE成绩库!G214)</f>
        <v/>
      </c>
      <c r="T714" t="str">
        <f>IF(YLE成绩库!C214="","", YLE成绩库!H214)</f>
        <v/>
      </c>
      <c r="U714" t="str">
        <f>IF(YLE成绩库!C214="","", YLE成绩库!K214)</f>
        <v/>
      </c>
      <c r="V714" t="str">
        <f>IF(YLE成绩库!C214="","", YLE成绩库!W214)</f>
        <v/>
      </c>
      <c r="W714" t="str">
        <f>IF(YLE成绩库!C214="","", YLE成绩库!X214)</f>
        <v/>
      </c>
      <c r="X714" t="str">
        <f>IF(YLE成绩库!C214="","", YLE成绩库!AA214)</f>
        <v/>
      </c>
      <c r="Z714" t="str">
        <f>IF(YLE成绩库!C214="","", YLE成绩库!Z214)</f>
        <v/>
      </c>
    </row>
    <row r="715" spans="1:26" x14ac:dyDescent="0.2">
      <c r="A715" t="str">
        <f>IF(YLE成绩库!C215="","", YLE成绩库!C215)</f>
        <v/>
      </c>
      <c r="B715" t="str">
        <f>IF(YLE成绩库!AB215="","", YLE成绩库!AB215)</f>
        <v/>
      </c>
      <c r="C715" t="str">
        <f>IF(YLE成绩库!B215="","", YLE成绩库!B215)</f>
        <v/>
      </c>
      <c r="D715" t="str">
        <f>IF(YLE成绩库!D215="","", YLE成绩库!D215)</f>
        <v/>
      </c>
      <c r="E715" t="str">
        <f>IF(YLE成绩库!C215="","", YLE成绩库!L215)</f>
        <v/>
      </c>
      <c r="F715" t="str">
        <f>IF(YLE成绩库!C215="","", YLE成绩库!M215)</f>
        <v/>
      </c>
      <c r="G715" t="str">
        <f>IF(YLE成绩库!C215="","", YLE成绩库!N215)</f>
        <v/>
      </c>
      <c r="H715" t="str">
        <f>IF(YLE成绩库!C215="","", YLE成绩库!O215)</f>
        <v/>
      </c>
      <c r="I715" t="str">
        <f>IF(YLE成绩库!C215="","", YLE成绩库!P215)</f>
        <v/>
      </c>
      <c r="J715" t="str">
        <f>IF(YLE成绩库!C215="","", YLE成绩库!Q215)</f>
        <v/>
      </c>
      <c r="K715" t="str">
        <f>IF(YLE成绩库!C215="","", YLE成绩库!R215)</f>
        <v/>
      </c>
      <c r="L715" t="str">
        <f>IF(YLE成绩库!C215="","", YLE成绩库!U215)</f>
        <v/>
      </c>
      <c r="M715">
        <v>0</v>
      </c>
      <c r="N715">
        <v>0</v>
      </c>
      <c r="O715">
        <v>0</v>
      </c>
      <c r="P715" t="str">
        <f>IF(YLE成绩库!C215="","", YLE成绩库!D215)</f>
        <v/>
      </c>
      <c r="Q715" t="str">
        <f>IF(YLE成绩库!C215="","", YLE成绩库!E215)</f>
        <v/>
      </c>
      <c r="R715" t="str">
        <f>IF(YLE成绩库!C215="","", YLE成绩库!F215)</f>
        <v/>
      </c>
      <c r="S715" t="str">
        <f>IF(YLE成绩库!C215="","", YLE成绩库!G215)</f>
        <v/>
      </c>
      <c r="T715" t="str">
        <f>IF(YLE成绩库!C215="","", YLE成绩库!H215)</f>
        <v/>
      </c>
      <c r="U715" t="str">
        <f>IF(YLE成绩库!C215="","", YLE成绩库!K215)</f>
        <v/>
      </c>
      <c r="V715" t="str">
        <f>IF(YLE成绩库!C215="","", YLE成绩库!W215)</f>
        <v/>
      </c>
      <c r="W715" t="str">
        <f>IF(YLE成绩库!C215="","", YLE成绩库!X215)</f>
        <v/>
      </c>
      <c r="X715" t="str">
        <f>IF(YLE成绩库!C215="","", YLE成绩库!AA215)</f>
        <v/>
      </c>
      <c r="Z715" t="str">
        <f>IF(YLE成绩库!C215="","", YLE成绩库!Z215)</f>
        <v/>
      </c>
    </row>
    <row r="716" spans="1:26" x14ac:dyDescent="0.2">
      <c r="A716" t="str">
        <f>IF(YLE成绩库!C216="","", YLE成绩库!C216)</f>
        <v/>
      </c>
      <c r="B716" t="str">
        <f>IF(YLE成绩库!AB216="","", YLE成绩库!AB216)</f>
        <v/>
      </c>
      <c r="C716" t="str">
        <f>IF(YLE成绩库!B216="","", YLE成绩库!B216)</f>
        <v/>
      </c>
      <c r="D716" t="str">
        <f>IF(YLE成绩库!D216="","", YLE成绩库!D216)</f>
        <v/>
      </c>
      <c r="E716" t="str">
        <f>IF(YLE成绩库!C216="","", YLE成绩库!L216)</f>
        <v/>
      </c>
      <c r="F716" t="str">
        <f>IF(YLE成绩库!C216="","", YLE成绩库!M216)</f>
        <v/>
      </c>
      <c r="G716" t="str">
        <f>IF(YLE成绩库!C216="","", YLE成绩库!N216)</f>
        <v/>
      </c>
      <c r="H716" t="str">
        <f>IF(YLE成绩库!C216="","", YLE成绩库!O216)</f>
        <v/>
      </c>
      <c r="I716" t="str">
        <f>IF(YLE成绩库!C216="","", YLE成绩库!P216)</f>
        <v/>
      </c>
      <c r="J716" t="str">
        <f>IF(YLE成绩库!C216="","", YLE成绩库!Q216)</f>
        <v/>
      </c>
      <c r="K716" t="str">
        <f>IF(YLE成绩库!C216="","", YLE成绩库!R216)</f>
        <v/>
      </c>
      <c r="L716" t="str">
        <f>IF(YLE成绩库!C216="","", YLE成绩库!U216)</f>
        <v/>
      </c>
      <c r="M716">
        <v>0</v>
      </c>
      <c r="N716">
        <v>0</v>
      </c>
      <c r="O716">
        <v>0</v>
      </c>
      <c r="P716" t="str">
        <f>IF(YLE成绩库!C216="","", YLE成绩库!D216)</f>
        <v/>
      </c>
      <c r="Q716" t="str">
        <f>IF(YLE成绩库!C216="","", YLE成绩库!E216)</f>
        <v/>
      </c>
      <c r="R716" t="str">
        <f>IF(YLE成绩库!C216="","", YLE成绩库!F216)</f>
        <v/>
      </c>
      <c r="S716" t="str">
        <f>IF(YLE成绩库!C216="","", YLE成绩库!G216)</f>
        <v/>
      </c>
      <c r="T716" t="str">
        <f>IF(YLE成绩库!C216="","", YLE成绩库!H216)</f>
        <v/>
      </c>
      <c r="U716" t="str">
        <f>IF(YLE成绩库!C216="","", YLE成绩库!K216)</f>
        <v/>
      </c>
      <c r="V716" t="str">
        <f>IF(YLE成绩库!C216="","", YLE成绩库!W216)</f>
        <v/>
      </c>
      <c r="W716" t="str">
        <f>IF(YLE成绩库!C216="","", YLE成绩库!X216)</f>
        <v/>
      </c>
      <c r="X716" t="str">
        <f>IF(YLE成绩库!C216="","", YLE成绩库!AA216)</f>
        <v/>
      </c>
      <c r="Z716" t="str">
        <f>IF(YLE成绩库!C216="","", YLE成绩库!Z216)</f>
        <v/>
      </c>
    </row>
    <row r="717" spans="1:26" x14ac:dyDescent="0.2">
      <c r="A717" t="str">
        <f>IF(YLE成绩库!C217="","", YLE成绩库!C217)</f>
        <v/>
      </c>
      <c r="B717" t="str">
        <f>IF(YLE成绩库!AB217="","", YLE成绩库!AB217)</f>
        <v/>
      </c>
      <c r="C717" t="str">
        <f>IF(YLE成绩库!B217="","", YLE成绩库!B217)</f>
        <v/>
      </c>
      <c r="D717" t="str">
        <f>IF(YLE成绩库!D217="","", YLE成绩库!D217)</f>
        <v/>
      </c>
      <c r="E717" t="str">
        <f>IF(YLE成绩库!C217="","", YLE成绩库!L217)</f>
        <v/>
      </c>
      <c r="F717" t="str">
        <f>IF(YLE成绩库!C217="","", YLE成绩库!M217)</f>
        <v/>
      </c>
      <c r="G717" t="str">
        <f>IF(YLE成绩库!C217="","", YLE成绩库!N217)</f>
        <v/>
      </c>
      <c r="H717" t="str">
        <f>IF(YLE成绩库!C217="","", YLE成绩库!O217)</f>
        <v/>
      </c>
      <c r="I717" t="str">
        <f>IF(YLE成绩库!C217="","", YLE成绩库!P217)</f>
        <v/>
      </c>
      <c r="J717" t="str">
        <f>IF(YLE成绩库!C217="","", YLE成绩库!Q217)</f>
        <v/>
      </c>
      <c r="K717" t="str">
        <f>IF(YLE成绩库!C217="","", YLE成绩库!R217)</f>
        <v/>
      </c>
      <c r="L717" t="str">
        <f>IF(YLE成绩库!C217="","", YLE成绩库!U217)</f>
        <v/>
      </c>
      <c r="M717">
        <v>0</v>
      </c>
      <c r="N717">
        <v>0</v>
      </c>
      <c r="O717">
        <v>0</v>
      </c>
      <c r="P717" t="str">
        <f>IF(YLE成绩库!C217="","", YLE成绩库!D217)</f>
        <v/>
      </c>
      <c r="Q717" t="str">
        <f>IF(YLE成绩库!C217="","", YLE成绩库!E217)</f>
        <v/>
      </c>
      <c r="R717" t="str">
        <f>IF(YLE成绩库!C217="","", YLE成绩库!F217)</f>
        <v/>
      </c>
      <c r="S717" t="str">
        <f>IF(YLE成绩库!C217="","", YLE成绩库!G217)</f>
        <v/>
      </c>
      <c r="T717" t="str">
        <f>IF(YLE成绩库!C217="","", YLE成绩库!H217)</f>
        <v/>
      </c>
      <c r="U717" t="str">
        <f>IF(YLE成绩库!C217="","", YLE成绩库!K217)</f>
        <v/>
      </c>
      <c r="V717" t="str">
        <f>IF(YLE成绩库!C217="","", YLE成绩库!W217)</f>
        <v/>
      </c>
      <c r="W717" t="str">
        <f>IF(YLE成绩库!C217="","", YLE成绩库!X217)</f>
        <v/>
      </c>
      <c r="X717" t="str">
        <f>IF(YLE成绩库!C217="","", YLE成绩库!AA217)</f>
        <v/>
      </c>
      <c r="Z717" t="str">
        <f>IF(YLE成绩库!C217="","", YLE成绩库!Z217)</f>
        <v/>
      </c>
    </row>
    <row r="718" spans="1:26" x14ac:dyDescent="0.2">
      <c r="A718" t="str">
        <f>IF(YLE成绩库!C218="","", YLE成绩库!C218)</f>
        <v/>
      </c>
      <c r="B718" t="str">
        <f>IF(YLE成绩库!AB218="","", YLE成绩库!AB218)</f>
        <v/>
      </c>
      <c r="C718" t="str">
        <f>IF(YLE成绩库!B218="","", YLE成绩库!B218)</f>
        <v/>
      </c>
      <c r="D718" t="str">
        <f>IF(YLE成绩库!D218="","", YLE成绩库!D218)</f>
        <v/>
      </c>
      <c r="E718" t="str">
        <f>IF(YLE成绩库!C218="","", YLE成绩库!L218)</f>
        <v/>
      </c>
      <c r="F718" t="str">
        <f>IF(YLE成绩库!C218="","", YLE成绩库!M218)</f>
        <v/>
      </c>
      <c r="G718" t="str">
        <f>IF(YLE成绩库!C218="","", YLE成绩库!N218)</f>
        <v/>
      </c>
      <c r="H718" t="str">
        <f>IF(YLE成绩库!C218="","", YLE成绩库!O218)</f>
        <v/>
      </c>
      <c r="I718" t="str">
        <f>IF(YLE成绩库!C218="","", YLE成绩库!P218)</f>
        <v/>
      </c>
      <c r="J718" t="str">
        <f>IF(YLE成绩库!C218="","", YLE成绩库!Q218)</f>
        <v/>
      </c>
      <c r="K718" t="str">
        <f>IF(YLE成绩库!C218="","", YLE成绩库!R218)</f>
        <v/>
      </c>
      <c r="L718" t="str">
        <f>IF(YLE成绩库!C218="","", YLE成绩库!U218)</f>
        <v/>
      </c>
      <c r="M718">
        <v>0</v>
      </c>
      <c r="N718">
        <v>0</v>
      </c>
      <c r="O718">
        <v>0</v>
      </c>
      <c r="P718" t="str">
        <f>IF(YLE成绩库!C218="","", YLE成绩库!D218)</f>
        <v/>
      </c>
      <c r="Q718" t="str">
        <f>IF(YLE成绩库!C218="","", YLE成绩库!E218)</f>
        <v/>
      </c>
      <c r="R718" t="str">
        <f>IF(YLE成绩库!C218="","", YLE成绩库!F218)</f>
        <v/>
      </c>
      <c r="S718" t="str">
        <f>IF(YLE成绩库!C218="","", YLE成绩库!G218)</f>
        <v/>
      </c>
      <c r="T718" t="str">
        <f>IF(YLE成绩库!C218="","", YLE成绩库!H218)</f>
        <v/>
      </c>
      <c r="U718" t="str">
        <f>IF(YLE成绩库!C218="","", YLE成绩库!K218)</f>
        <v/>
      </c>
      <c r="V718" t="str">
        <f>IF(YLE成绩库!C218="","", YLE成绩库!W218)</f>
        <v/>
      </c>
      <c r="W718" t="str">
        <f>IF(YLE成绩库!C218="","", YLE成绩库!X218)</f>
        <v/>
      </c>
      <c r="X718" t="str">
        <f>IF(YLE成绩库!C218="","", YLE成绩库!AA218)</f>
        <v/>
      </c>
      <c r="Z718" t="str">
        <f>IF(YLE成绩库!C218="","", YLE成绩库!Z218)</f>
        <v/>
      </c>
    </row>
    <row r="719" spans="1:26" x14ac:dyDescent="0.2">
      <c r="A719" t="str">
        <f>IF(YLE成绩库!C219="","", YLE成绩库!C219)</f>
        <v/>
      </c>
      <c r="B719" t="str">
        <f>IF(YLE成绩库!AB219="","", YLE成绩库!AB219)</f>
        <v/>
      </c>
      <c r="C719" t="str">
        <f>IF(YLE成绩库!B219="","", YLE成绩库!B219)</f>
        <v/>
      </c>
      <c r="D719" t="str">
        <f>IF(YLE成绩库!D219="","", YLE成绩库!D219)</f>
        <v/>
      </c>
      <c r="E719" t="str">
        <f>IF(YLE成绩库!C219="","", YLE成绩库!L219)</f>
        <v/>
      </c>
      <c r="F719" t="str">
        <f>IF(YLE成绩库!C219="","", YLE成绩库!M219)</f>
        <v/>
      </c>
      <c r="G719" t="str">
        <f>IF(YLE成绩库!C219="","", YLE成绩库!N219)</f>
        <v/>
      </c>
      <c r="H719" t="str">
        <f>IF(YLE成绩库!C219="","", YLE成绩库!O219)</f>
        <v/>
      </c>
      <c r="I719" t="str">
        <f>IF(YLE成绩库!C219="","", YLE成绩库!P219)</f>
        <v/>
      </c>
      <c r="J719" t="str">
        <f>IF(YLE成绩库!C219="","", YLE成绩库!Q219)</f>
        <v/>
      </c>
      <c r="K719" t="str">
        <f>IF(YLE成绩库!C219="","", YLE成绩库!R219)</f>
        <v/>
      </c>
      <c r="L719" t="str">
        <f>IF(YLE成绩库!C219="","", YLE成绩库!U219)</f>
        <v/>
      </c>
      <c r="M719">
        <v>0</v>
      </c>
      <c r="N719">
        <v>0</v>
      </c>
      <c r="O719">
        <v>0</v>
      </c>
      <c r="P719" t="str">
        <f>IF(YLE成绩库!C219="","", YLE成绩库!D219)</f>
        <v/>
      </c>
      <c r="Q719" t="str">
        <f>IF(YLE成绩库!C219="","", YLE成绩库!E219)</f>
        <v/>
      </c>
      <c r="R719" t="str">
        <f>IF(YLE成绩库!C219="","", YLE成绩库!F219)</f>
        <v/>
      </c>
      <c r="S719" t="str">
        <f>IF(YLE成绩库!C219="","", YLE成绩库!G219)</f>
        <v/>
      </c>
      <c r="T719" t="str">
        <f>IF(YLE成绩库!C219="","", YLE成绩库!H219)</f>
        <v/>
      </c>
      <c r="U719" t="str">
        <f>IF(YLE成绩库!C219="","", YLE成绩库!K219)</f>
        <v/>
      </c>
      <c r="V719" t="str">
        <f>IF(YLE成绩库!C219="","", YLE成绩库!W219)</f>
        <v/>
      </c>
      <c r="W719" t="str">
        <f>IF(YLE成绩库!C219="","", YLE成绩库!X219)</f>
        <v/>
      </c>
      <c r="X719" t="str">
        <f>IF(YLE成绩库!C219="","", YLE成绩库!AA219)</f>
        <v/>
      </c>
      <c r="Z719" t="str">
        <f>IF(YLE成绩库!C219="","", YLE成绩库!Z219)</f>
        <v/>
      </c>
    </row>
    <row r="720" spans="1:26" x14ac:dyDescent="0.2">
      <c r="A720" t="str">
        <f>IF(YLE成绩库!C220="","", YLE成绩库!C220)</f>
        <v/>
      </c>
      <c r="B720" t="str">
        <f>IF(YLE成绩库!AB220="","", YLE成绩库!AB220)</f>
        <v/>
      </c>
      <c r="C720" t="str">
        <f>IF(YLE成绩库!B220="","", YLE成绩库!B220)</f>
        <v/>
      </c>
      <c r="D720" t="str">
        <f>IF(YLE成绩库!D220="","", YLE成绩库!D220)</f>
        <v/>
      </c>
      <c r="E720" t="str">
        <f>IF(YLE成绩库!C220="","", YLE成绩库!L220)</f>
        <v/>
      </c>
      <c r="F720" t="str">
        <f>IF(YLE成绩库!C220="","", YLE成绩库!M220)</f>
        <v/>
      </c>
      <c r="G720" t="str">
        <f>IF(YLE成绩库!C220="","", YLE成绩库!N220)</f>
        <v/>
      </c>
      <c r="H720" t="str">
        <f>IF(YLE成绩库!C220="","", YLE成绩库!O220)</f>
        <v/>
      </c>
      <c r="I720" t="str">
        <f>IF(YLE成绩库!C220="","", YLE成绩库!P220)</f>
        <v/>
      </c>
      <c r="J720" t="str">
        <f>IF(YLE成绩库!C220="","", YLE成绩库!Q220)</f>
        <v/>
      </c>
      <c r="K720" t="str">
        <f>IF(YLE成绩库!C220="","", YLE成绩库!R220)</f>
        <v/>
      </c>
      <c r="L720" t="str">
        <f>IF(YLE成绩库!C220="","", YLE成绩库!U220)</f>
        <v/>
      </c>
      <c r="M720">
        <v>0</v>
      </c>
      <c r="N720">
        <v>0</v>
      </c>
      <c r="O720">
        <v>0</v>
      </c>
      <c r="P720" t="str">
        <f>IF(YLE成绩库!C220="","", YLE成绩库!D220)</f>
        <v/>
      </c>
      <c r="Q720" t="str">
        <f>IF(YLE成绩库!C220="","", YLE成绩库!E220)</f>
        <v/>
      </c>
      <c r="R720" t="str">
        <f>IF(YLE成绩库!C220="","", YLE成绩库!F220)</f>
        <v/>
      </c>
      <c r="S720" t="str">
        <f>IF(YLE成绩库!C220="","", YLE成绩库!G220)</f>
        <v/>
      </c>
      <c r="T720" t="str">
        <f>IF(YLE成绩库!C220="","", YLE成绩库!H220)</f>
        <v/>
      </c>
      <c r="U720" t="str">
        <f>IF(YLE成绩库!C220="","", YLE成绩库!K220)</f>
        <v/>
      </c>
      <c r="V720" t="str">
        <f>IF(YLE成绩库!C220="","", YLE成绩库!W220)</f>
        <v/>
      </c>
      <c r="W720" t="str">
        <f>IF(YLE成绩库!C220="","", YLE成绩库!X220)</f>
        <v/>
      </c>
      <c r="X720" t="str">
        <f>IF(YLE成绩库!C220="","", YLE成绩库!AA220)</f>
        <v/>
      </c>
      <c r="Z720" t="str">
        <f>IF(YLE成绩库!C220="","", YLE成绩库!Z220)</f>
        <v/>
      </c>
    </row>
    <row r="721" spans="1:26" x14ac:dyDescent="0.2">
      <c r="A721" t="str">
        <f>IF(YLE成绩库!C221="","", YLE成绩库!C221)</f>
        <v/>
      </c>
      <c r="B721" t="str">
        <f>IF(YLE成绩库!AB221="","", YLE成绩库!AB221)</f>
        <v/>
      </c>
      <c r="C721" t="str">
        <f>IF(YLE成绩库!B221="","", YLE成绩库!B221)</f>
        <v/>
      </c>
      <c r="D721" t="str">
        <f>IF(YLE成绩库!D221="","", YLE成绩库!D221)</f>
        <v/>
      </c>
      <c r="E721" t="str">
        <f>IF(YLE成绩库!C221="","", YLE成绩库!L221)</f>
        <v/>
      </c>
      <c r="F721" t="str">
        <f>IF(YLE成绩库!C221="","", YLE成绩库!M221)</f>
        <v/>
      </c>
      <c r="G721" t="str">
        <f>IF(YLE成绩库!C221="","", YLE成绩库!N221)</f>
        <v/>
      </c>
      <c r="H721" t="str">
        <f>IF(YLE成绩库!C221="","", YLE成绩库!O221)</f>
        <v/>
      </c>
      <c r="I721" t="str">
        <f>IF(YLE成绩库!C221="","", YLE成绩库!P221)</f>
        <v/>
      </c>
      <c r="J721" t="str">
        <f>IF(YLE成绩库!C221="","", YLE成绩库!Q221)</f>
        <v/>
      </c>
      <c r="K721" t="str">
        <f>IF(YLE成绩库!C221="","", YLE成绩库!R221)</f>
        <v/>
      </c>
      <c r="L721" t="str">
        <f>IF(YLE成绩库!C221="","", YLE成绩库!U221)</f>
        <v/>
      </c>
      <c r="M721">
        <v>0</v>
      </c>
      <c r="N721">
        <v>0</v>
      </c>
      <c r="O721">
        <v>0</v>
      </c>
      <c r="P721" t="str">
        <f>IF(YLE成绩库!C221="","", YLE成绩库!D221)</f>
        <v/>
      </c>
      <c r="Q721" t="str">
        <f>IF(YLE成绩库!C221="","", YLE成绩库!E221)</f>
        <v/>
      </c>
      <c r="R721" t="str">
        <f>IF(YLE成绩库!C221="","", YLE成绩库!F221)</f>
        <v/>
      </c>
      <c r="S721" t="str">
        <f>IF(YLE成绩库!C221="","", YLE成绩库!G221)</f>
        <v/>
      </c>
      <c r="T721" t="str">
        <f>IF(YLE成绩库!C221="","", YLE成绩库!H221)</f>
        <v/>
      </c>
      <c r="U721" t="str">
        <f>IF(YLE成绩库!C221="","", YLE成绩库!K221)</f>
        <v/>
      </c>
      <c r="V721" t="str">
        <f>IF(YLE成绩库!C221="","", YLE成绩库!W221)</f>
        <v/>
      </c>
      <c r="W721" t="str">
        <f>IF(YLE成绩库!C221="","", YLE成绩库!X221)</f>
        <v/>
      </c>
      <c r="X721" t="str">
        <f>IF(YLE成绩库!C221="","", YLE成绩库!AA221)</f>
        <v/>
      </c>
      <c r="Z721" t="str">
        <f>IF(YLE成绩库!C221="","", YLE成绩库!Z221)</f>
        <v/>
      </c>
    </row>
    <row r="722" spans="1:26" x14ac:dyDescent="0.2">
      <c r="A722" t="str">
        <f>IF(YLE成绩库!C222="","", YLE成绩库!C222)</f>
        <v/>
      </c>
      <c r="B722" t="str">
        <f>IF(YLE成绩库!AB222="","", YLE成绩库!AB222)</f>
        <v/>
      </c>
      <c r="C722" t="str">
        <f>IF(YLE成绩库!B222="","", YLE成绩库!B222)</f>
        <v/>
      </c>
      <c r="D722" t="str">
        <f>IF(YLE成绩库!D222="","", YLE成绩库!D222)</f>
        <v/>
      </c>
      <c r="E722" t="str">
        <f>IF(YLE成绩库!C222="","", YLE成绩库!L222)</f>
        <v/>
      </c>
      <c r="F722" t="str">
        <f>IF(YLE成绩库!C222="","", YLE成绩库!M222)</f>
        <v/>
      </c>
      <c r="G722" t="str">
        <f>IF(YLE成绩库!C222="","", YLE成绩库!N222)</f>
        <v/>
      </c>
      <c r="H722" t="str">
        <f>IF(YLE成绩库!C222="","", YLE成绩库!O222)</f>
        <v/>
      </c>
      <c r="I722" t="str">
        <f>IF(YLE成绩库!C222="","", YLE成绩库!P222)</f>
        <v/>
      </c>
      <c r="J722" t="str">
        <f>IF(YLE成绩库!C222="","", YLE成绩库!Q222)</f>
        <v/>
      </c>
      <c r="K722" t="str">
        <f>IF(YLE成绩库!C222="","", YLE成绩库!R222)</f>
        <v/>
      </c>
      <c r="L722" t="str">
        <f>IF(YLE成绩库!C222="","", YLE成绩库!U222)</f>
        <v/>
      </c>
      <c r="M722">
        <v>0</v>
      </c>
      <c r="N722">
        <v>0</v>
      </c>
      <c r="O722">
        <v>0</v>
      </c>
      <c r="P722" t="str">
        <f>IF(YLE成绩库!C222="","", YLE成绩库!D222)</f>
        <v/>
      </c>
      <c r="Q722" t="str">
        <f>IF(YLE成绩库!C222="","", YLE成绩库!E222)</f>
        <v/>
      </c>
      <c r="R722" t="str">
        <f>IF(YLE成绩库!C222="","", YLE成绩库!F222)</f>
        <v/>
      </c>
      <c r="S722" t="str">
        <f>IF(YLE成绩库!C222="","", YLE成绩库!G222)</f>
        <v/>
      </c>
      <c r="T722" t="str">
        <f>IF(YLE成绩库!C222="","", YLE成绩库!H222)</f>
        <v/>
      </c>
      <c r="U722" t="str">
        <f>IF(YLE成绩库!C222="","", YLE成绩库!K222)</f>
        <v/>
      </c>
      <c r="V722" t="str">
        <f>IF(YLE成绩库!C222="","", YLE成绩库!W222)</f>
        <v/>
      </c>
      <c r="W722" t="str">
        <f>IF(YLE成绩库!C222="","", YLE成绩库!X222)</f>
        <v/>
      </c>
      <c r="X722" t="str">
        <f>IF(YLE成绩库!C222="","", YLE成绩库!AA222)</f>
        <v/>
      </c>
      <c r="Z722" t="str">
        <f>IF(YLE成绩库!C222="","", YLE成绩库!Z222)</f>
        <v/>
      </c>
    </row>
    <row r="723" spans="1:26" x14ac:dyDescent="0.2">
      <c r="A723" t="str">
        <f>IF(YLE成绩库!C223="","", YLE成绩库!C223)</f>
        <v/>
      </c>
      <c r="B723" t="str">
        <f>IF(YLE成绩库!AB223="","", YLE成绩库!AB223)</f>
        <v/>
      </c>
      <c r="C723" t="str">
        <f>IF(YLE成绩库!B223="","", YLE成绩库!B223)</f>
        <v/>
      </c>
      <c r="D723" t="str">
        <f>IF(YLE成绩库!D223="","", YLE成绩库!D223)</f>
        <v/>
      </c>
      <c r="E723" t="str">
        <f>IF(YLE成绩库!C223="","", YLE成绩库!L223)</f>
        <v/>
      </c>
      <c r="F723" t="str">
        <f>IF(YLE成绩库!C223="","", YLE成绩库!M223)</f>
        <v/>
      </c>
      <c r="G723" t="str">
        <f>IF(YLE成绩库!C223="","", YLE成绩库!N223)</f>
        <v/>
      </c>
      <c r="H723" t="str">
        <f>IF(YLE成绩库!C223="","", YLE成绩库!O223)</f>
        <v/>
      </c>
      <c r="I723" t="str">
        <f>IF(YLE成绩库!C223="","", YLE成绩库!P223)</f>
        <v/>
      </c>
      <c r="J723" t="str">
        <f>IF(YLE成绩库!C223="","", YLE成绩库!Q223)</f>
        <v/>
      </c>
      <c r="K723" t="str">
        <f>IF(YLE成绩库!C223="","", YLE成绩库!R223)</f>
        <v/>
      </c>
      <c r="L723" t="str">
        <f>IF(YLE成绩库!C223="","", YLE成绩库!U223)</f>
        <v/>
      </c>
      <c r="M723">
        <v>0</v>
      </c>
      <c r="N723">
        <v>0</v>
      </c>
      <c r="O723">
        <v>0</v>
      </c>
      <c r="P723" t="str">
        <f>IF(YLE成绩库!C223="","", YLE成绩库!D223)</f>
        <v/>
      </c>
      <c r="Q723" t="str">
        <f>IF(YLE成绩库!C223="","", YLE成绩库!E223)</f>
        <v/>
      </c>
      <c r="R723" t="str">
        <f>IF(YLE成绩库!C223="","", YLE成绩库!F223)</f>
        <v/>
      </c>
      <c r="S723" t="str">
        <f>IF(YLE成绩库!C223="","", YLE成绩库!G223)</f>
        <v/>
      </c>
      <c r="T723" t="str">
        <f>IF(YLE成绩库!C223="","", YLE成绩库!H223)</f>
        <v/>
      </c>
      <c r="U723" t="str">
        <f>IF(YLE成绩库!C223="","", YLE成绩库!K223)</f>
        <v/>
      </c>
      <c r="V723" t="str">
        <f>IF(YLE成绩库!C223="","", YLE成绩库!W223)</f>
        <v/>
      </c>
      <c r="W723" t="str">
        <f>IF(YLE成绩库!C223="","", YLE成绩库!X223)</f>
        <v/>
      </c>
      <c r="X723" t="str">
        <f>IF(YLE成绩库!C223="","", YLE成绩库!AA223)</f>
        <v/>
      </c>
      <c r="Z723" t="str">
        <f>IF(YLE成绩库!C223="","", YLE成绩库!Z223)</f>
        <v/>
      </c>
    </row>
    <row r="724" spans="1:26" x14ac:dyDescent="0.2">
      <c r="A724" t="str">
        <f>IF(YLE成绩库!C224="","", YLE成绩库!C224)</f>
        <v/>
      </c>
      <c r="B724" t="str">
        <f>IF(YLE成绩库!AB224="","", YLE成绩库!AB224)</f>
        <v/>
      </c>
      <c r="C724" t="str">
        <f>IF(YLE成绩库!B224="","", YLE成绩库!B224)</f>
        <v/>
      </c>
      <c r="D724" t="str">
        <f>IF(YLE成绩库!D224="","", YLE成绩库!D224)</f>
        <v/>
      </c>
      <c r="E724" t="str">
        <f>IF(YLE成绩库!C224="","", YLE成绩库!L224)</f>
        <v/>
      </c>
      <c r="F724" t="str">
        <f>IF(YLE成绩库!C224="","", YLE成绩库!M224)</f>
        <v/>
      </c>
      <c r="G724" t="str">
        <f>IF(YLE成绩库!C224="","", YLE成绩库!N224)</f>
        <v/>
      </c>
      <c r="H724" t="str">
        <f>IF(YLE成绩库!C224="","", YLE成绩库!O224)</f>
        <v/>
      </c>
      <c r="I724" t="str">
        <f>IF(YLE成绩库!C224="","", YLE成绩库!P224)</f>
        <v/>
      </c>
      <c r="J724" t="str">
        <f>IF(YLE成绩库!C224="","", YLE成绩库!Q224)</f>
        <v/>
      </c>
      <c r="K724" t="str">
        <f>IF(YLE成绩库!C224="","", YLE成绩库!R224)</f>
        <v/>
      </c>
      <c r="L724" t="str">
        <f>IF(YLE成绩库!C224="","", YLE成绩库!U224)</f>
        <v/>
      </c>
      <c r="M724">
        <v>0</v>
      </c>
      <c r="N724">
        <v>0</v>
      </c>
      <c r="O724">
        <v>0</v>
      </c>
      <c r="P724" t="str">
        <f>IF(YLE成绩库!C224="","", YLE成绩库!D224)</f>
        <v/>
      </c>
      <c r="Q724" t="str">
        <f>IF(YLE成绩库!C224="","", YLE成绩库!E224)</f>
        <v/>
      </c>
      <c r="R724" t="str">
        <f>IF(YLE成绩库!C224="","", YLE成绩库!F224)</f>
        <v/>
      </c>
      <c r="S724" t="str">
        <f>IF(YLE成绩库!C224="","", YLE成绩库!G224)</f>
        <v/>
      </c>
      <c r="T724" t="str">
        <f>IF(YLE成绩库!C224="","", YLE成绩库!H224)</f>
        <v/>
      </c>
      <c r="U724" t="str">
        <f>IF(YLE成绩库!C224="","", YLE成绩库!K224)</f>
        <v/>
      </c>
      <c r="V724" t="str">
        <f>IF(YLE成绩库!C224="","", YLE成绩库!W224)</f>
        <v/>
      </c>
      <c r="W724" t="str">
        <f>IF(YLE成绩库!C224="","", YLE成绩库!X224)</f>
        <v/>
      </c>
      <c r="X724" t="str">
        <f>IF(YLE成绩库!C224="","", YLE成绩库!AA224)</f>
        <v/>
      </c>
      <c r="Z724" t="str">
        <f>IF(YLE成绩库!C224="","", YLE成绩库!Z224)</f>
        <v/>
      </c>
    </row>
    <row r="725" spans="1:26" x14ac:dyDescent="0.2">
      <c r="A725" t="str">
        <f>IF(YLE成绩库!C225="","", YLE成绩库!C225)</f>
        <v/>
      </c>
      <c r="B725" t="str">
        <f>IF(YLE成绩库!AB225="","", YLE成绩库!AB225)</f>
        <v/>
      </c>
      <c r="C725" t="str">
        <f>IF(YLE成绩库!B225="","", YLE成绩库!B225)</f>
        <v/>
      </c>
      <c r="D725" t="str">
        <f>IF(YLE成绩库!D225="","", YLE成绩库!D225)</f>
        <v/>
      </c>
      <c r="E725" t="str">
        <f>IF(YLE成绩库!C225="","", YLE成绩库!L225)</f>
        <v/>
      </c>
      <c r="F725" t="str">
        <f>IF(YLE成绩库!C225="","", YLE成绩库!M225)</f>
        <v/>
      </c>
      <c r="G725" t="str">
        <f>IF(YLE成绩库!C225="","", YLE成绩库!N225)</f>
        <v/>
      </c>
      <c r="H725" t="str">
        <f>IF(YLE成绩库!C225="","", YLE成绩库!O225)</f>
        <v/>
      </c>
      <c r="I725" t="str">
        <f>IF(YLE成绩库!C225="","", YLE成绩库!P225)</f>
        <v/>
      </c>
      <c r="J725" t="str">
        <f>IF(YLE成绩库!C225="","", YLE成绩库!Q225)</f>
        <v/>
      </c>
      <c r="K725" t="str">
        <f>IF(YLE成绩库!C225="","", YLE成绩库!R225)</f>
        <v/>
      </c>
      <c r="L725" t="str">
        <f>IF(YLE成绩库!C225="","", YLE成绩库!U225)</f>
        <v/>
      </c>
      <c r="M725">
        <v>0</v>
      </c>
      <c r="N725">
        <v>0</v>
      </c>
      <c r="O725">
        <v>0</v>
      </c>
      <c r="P725" t="str">
        <f>IF(YLE成绩库!C225="","", YLE成绩库!D225)</f>
        <v/>
      </c>
      <c r="Q725" t="str">
        <f>IF(YLE成绩库!C225="","", YLE成绩库!E225)</f>
        <v/>
      </c>
      <c r="R725" t="str">
        <f>IF(YLE成绩库!C225="","", YLE成绩库!F225)</f>
        <v/>
      </c>
      <c r="S725" t="str">
        <f>IF(YLE成绩库!C225="","", YLE成绩库!G225)</f>
        <v/>
      </c>
      <c r="T725" t="str">
        <f>IF(YLE成绩库!C225="","", YLE成绩库!H225)</f>
        <v/>
      </c>
      <c r="U725" t="str">
        <f>IF(YLE成绩库!C225="","", YLE成绩库!K225)</f>
        <v/>
      </c>
      <c r="V725" t="str">
        <f>IF(YLE成绩库!C225="","", YLE成绩库!W225)</f>
        <v/>
      </c>
      <c r="W725" t="str">
        <f>IF(YLE成绩库!C225="","", YLE成绩库!X225)</f>
        <v/>
      </c>
      <c r="X725" t="str">
        <f>IF(YLE成绩库!C225="","", YLE成绩库!AA225)</f>
        <v/>
      </c>
      <c r="Z725" t="str">
        <f>IF(YLE成绩库!C225="","", YLE成绩库!Z225)</f>
        <v/>
      </c>
    </row>
    <row r="726" spans="1:26" x14ac:dyDescent="0.2">
      <c r="A726" t="str">
        <f>IF(YLE成绩库!C226="","", YLE成绩库!C226)</f>
        <v/>
      </c>
      <c r="B726" t="str">
        <f>IF(YLE成绩库!AB226="","", YLE成绩库!AB226)</f>
        <v/>
      </c>
      <c r="C726" t="str">
        <f>IF(YLE成绩库!B226="","", YLE成绩库!B226)</f>
        <v/>
      </c>
      <c r="D726" t="str">
        <f>IF(YLE成绩库!D226="","", YLE成绩库!D226)</f>
        <v/>
      </c>
      <c r="E726" t="str">
        <f>IF(YLE成绩库!C226="","", YLE成绩库!L226)</f>
        <v/>
      </c>
      <c r="F726" t="str">
        <f>IF(YLE成绩库!C226="","", YLE成绩库!M226)</f>
        <v/>
      </c>
      <c r="G726" t="str">
        <f>IF(YLE成绩库!C226="","", YLE成绩库!N226)</f>
        <v/>
      </c>
      <c r="H726" t="str">
        <f>IF(YLE成绩库!C226="","", YLE成绩库!O226)</f>
        <v/>
      </c>
      <c r="I726" t="str">
        <f>IF(YLE成绩库!C226="","", YLE成绩库!P226)</f>
        <v/>
      </c>
      <c r="J726" t="str">
        <f>IF(YLE成绩库!C226="","", YLE成绩库!Q226)</f>
        <v/>
      </c>
      <c r="K726" t="str">
        <f>IF(YLE成绩库!C226="","", YLE成绩库!R226)</f>
        <v/>
      </c>
      <c r="L726" t="str">
        <f>IF(YLE成绩库!C226="","", YLE成绩库!U226)</f>
        <v/>
      </c>
      <c r="M726">
        <v>0</v>
      </c>
      <c r="N726">
        <v>0</v>
      </c>
      <c r="O726">
        <v>0</v>
      </c>
      <c r="P726" t="str">
        <f>IF(YLE成绩库!C226="","", YLE成绩库!D226)</f>
        <v/>
      </c>
      <c r="Q726" t="str">
        <f>IF(YLE成绩库!C226="","", YLE成绩库!E226)</f>
        <v/>
      </c>
      <c r="R726" t="str">
        <f>IF(YLE成绩库!C226="","", YLE成绩库!F226)</f>
        <v/>
      </c>
      <c r="S726" t="str">
        <f>IF(YLE成绩库!C226="","", YLE成绩库!G226)</f>
        <v/>
      </c>
      <c r="T726" t="str">
        <f>IF(YLE成绩库!C226="","", YLE成绩库!H226)</f>
        <v/>
      </c>
      <c r="U726" t="str">
        <f>IF(YLE成绩库!C226="","", YLE成绩库!K226)</f>
        <v/>
      </c>
      <c r="V726" t="str">
        <f>IF(YLE成绩库!C226="","", YLE成绩库!W226)</f>
        <v/>
      </c>
      <c r="W726" t="str">
        <f>IF(YLE成绩库!C226="","", YLE成绩库!X226)</f>
        <v/>
      </c>
      <c r="X726" t="str">
        <f>IF(YLE成绩库!C226="","", YLE成绩库!AA226)</f>
        <v/>
      </c>
      <c r="Z726" t="str">
        <f>IF(YLE成绩库!C226="","", YLE成绩库!Z226)</f>
        <v/>
      </c>
    </row>
    <row r="727" spans="1:26" x14ac:dyDescent="0.2">
      <c r="A727" t="str">
        <f>IF(YLE成绩库!C227="","", YLE成绩库!C227)</f>
        <v/>
      </c>
      <c r="B727" t="str">
        <f>IF(YLE成绩库!AB227="","", YLE成绩库!AB227)</f>
        <v/>
      </c>
      <c r="C727" t="str">
        <f>IF(YLE成绩库!B227="","", YLE成绩库!B227)</f>
        <v/>
      </c>
      <c r="D727" t="str">
        <f>IF(YLE成绩库!D227="","", YLE成绩库!D227)</f>
        <v/>
      </c>
      <c r="E727" t="str">
        <f>IF(YLE成绩库!C227="","", YLE成绩库!L227)</f>
        <v/>
      </c>
      <c r="F727" t="str">
        <f>IF(YLE成绩库!C227="","", YLE成绩库!M227)</f>
        <v/>
      </c>
      <c r="G727" t="str">
        <f>IF(YLE成绩库!C227="","", YLE成绩库!N227)</f>
        <v/>
      </c>
      <c r="H727" t="str">
        <f>IF(YLE成绩库!C227="","", YLE成绩库!O227)</f>
        <v/>
      </c>
      <c r="I727" t="str">
        <f>IF(YLE成绩库!C227="","", YLE成绩库!P227)</f>
        <v/>
      </c>
      <c r="J727" t="str">
        <f>IF(YLE成绩库!C227="","", YLE成绩库!Q227)</f>
        <v/>
      </c>
      <c r="K727" t="str">
        <f>IF(YLE成绩库!C227="","", YLE成绩库!R227)</f>
        <v/>
      </c>
      <c r="L727" t="str">
        <f>IF(YLE成绩库!C227="","", YLE成绩库!U227)</f>
        <v/>
      </c>
      <c r="M727">
        <v>0</v>
      </c>
      <c r="N727">
        <v>0</v>
      </c>
      <c r="O727">
        <v>0</v>
      </c>
      <c r="P727" t="str">
        <f>IF(YLE成绩库!C227="","", YLE成绩库!D227)</f>
        <v/>
      </c>
      <c r="Q727" t="str">
        <f>IF(YLE成绩库!C227="","", YLE成绩库!E227)</f>
        <v/>
      </c>
      <c r="R727" t="str">
        <f>IF(YLE成绩库!C227="","", YLE成绩库!F227)</f>
        <v/>
      </c>
      <c r="S727" t="str">
        <f>IF(YLE成绩库!C227="","", YLE成绩库!G227)</f>
        <v/>
      </c>
      <c r="T727" t="str">
        <f>IF(YLE成绩库!C227="","", YLE成绩库!H227)</f>
        <v/>
      </c>
      <c r="U727" t="str">
        <f>IF(YLE成绩库!C227="","", YLE成绩库!K227)</f>
        <v/>
      </c>
      <c r="V727" t="str">
        <f>IF(YLE成绩库!C227="","", YLE成绩库!W227)</f>
        <v/>
      </c>
      <c r="W727" t="str">
        <f>IF(YLE成绩库!C227="","", YLE成绩库!X227)</f>
        <v/>
      </c>
      <c r="X727" t="str">
        <f>IF(YLE成绩库!C227="","", YLE成绩库!AA227)</f>
        <v/>
      </c>
      <c r="Z727" t="str">
        <f>IF(YLE成绩库!C227="","", YLE成绩库!Z227)</f>
        <v/>
      </c>
    </row>
    <row r="728" spans="1:26" x14ac:dyDescent="0.2">
      <c r="A728" t="str">
        <f>IF(YLE成绩库!C228="","", YLE成绩库!C228)</f>
        <v/>
      </c>
      <c r="B728" t="str">
        <f>IF(YLE成绩库!AB228="","", YLE成绩库!AB228)</f>
        <v/>
      </c>
      <c r="C728" t="str">
        <f>IF(YLE成绩库!B228="","", YLE成绩库!B228)</f>
        <v/>
      </c>
      <c r="D728" t="str">
        <f>IF(YLE成绩库!D228="","", YLE成绩库!D228)</f>
        <v/>
      </c>
      <c r="E728" t="str">
        <f>IF(YLE成绩库!C228="","", YLE成绩库!L228)</f>
        <v/>
      </c>
      <c r="F728" t="str">
        <f>IF(YLE成绩库!C228="","", YLE成绩库!M228)</f>
        <v/>
      </c>
      <c r="G728" t="str">
        <f>IF(YLE成绩库!C228="","", YLE成绩库!N228)</f>
        <v/>
      </c>
      <c r="H728" t="str">
        <f>IF(YLE成绩库!C228="","", YLE成绩库!O228)</f>
        <v/>
      </c>
      <c r="I728" t="str">
        <f>IF(YLE成绩库!C228="","", YLE成绩库!P228)</f>
        <v/>
      </c>
      <c r="J728" t="str">
        <f>IF(YLE成绩库!C228="","", YLE成绩库!Q228)</f>
        <v/>
      </c>
      <c r="K728" t="str">
        <f>IF(YLE成绩库!C228="","", YLE成绩库!R228)</f>
        <v/>
      </c>
      <c r="L728" t="str">
        <f>IF(YLE成绩库!C228="","", YLE成绩库!U228)</f>
        <v/>
      </c>
      <c r="M728">
        <v>0</v>
      </c>
      <c r="N728">
        <v>0</v>
      </c>
      <c r="O728">
        <v>0</v>
      </c>
      <c r="P728" t="str">
        <f>IF(YLE成绩库!C228="","", YLE成绩库!D228)</f>
        <v/>
      </c>
      <c r="Q728" t="str">
        <f>IF(YLE成绩库!C228="","", YLE成绩库!E228)</f>
        <v/>
      </c>
      <c r="R728" t="str">
        <f>IF(YLE成绩库!C228="","", YLE成绩库!F228)</f>
        <v/>
      </c>
      <c r="S728" t="str">
        <f>IF(YLE成绩库!C228="","", YLE成绩库!G228)</f>
        <v/>
      </c>
      <c r="T728" t="str">
        <f>IF(YLE成绩库!C228="","", YLE成绩库!H228)</f>
        <v/>
      </c>
      <c r="U728" t="str">
        <f>IF(YLE成绩库!C228="","", YLE成绩库!K228)</f>
        <v/>
      </c>
      <c r="V728" t="str">
        <f>IF(YLE成绩库!C228="","", YLE成绩库!W228)</f>
        <v/>
      </c>
      <c r="W728" t="str">
        <f>IF(YLE成绩库!C228="","", YLE成绩库!X228)</f>
        <v/>
      </c>
      <c r="X728" t="str">
        <f>IF(YLE成绩库!C228="","", YLE成绩库!AA228)</f>
        <v/>
      </c>
      <c r="Z728" t="str">
        <f>IF(YLE成绩库!C228="","", YLE成绩库!Z228)</f>
        <v/>
      </c>
    </row>
    <row r="729" spans="1:26" x14ac:dyDescent="0.2">
      <c r="A729" t="str">
        <f>IF(YLE成绩库!C229="","", YLE成绩库!C229)</f>
        <v/>
      </c>
      <c r="B729" t="str">
        <f>IF(YLE成绩库!AB229="","", YLE成绩库!AB229)</f>
        <v/>
      </c>
      <c r="C729" t="str">
        <f>IF(YLE成绩库!B229="","", YLE成绩库!B229)</f>
        <v/>
      </c>
      <c r="D729" t="str">
        <f>IF(YLE成绩库!D229="","", YLE成绩库!D229)</f>
        <v/>
      </c>
      <c r="E729" t="str">
        <f>IF(YLE成绩库!C229="","", YLE成绩库!L229)</f>
        <v/>
      </c>
      <c r="F729" t="str">
        <f>IF(YLE成绩库!C229="","", YLE成绩库!M229)</f>
        <v/>
      </c>
      <c r="G729" t="str">
        <f>IF(YLE成绩库!C229="","", YLE成绩库!N229)</f>
        <v/>
      </c>
      <c r="H729" t="str">
        <f>IF(YLE成绩库!C229="","", YLE成绩库!O229)</f>
        <v/>
      </c>
      <c r="I729" t="str">
        <f>IF(YLE成绩库!C229="","", YLE成绩库!P229)</f>
        <v/>
      </c>
      <c r="J729" t="str">
        <f>IF(YLE成绩库!C229="","", YLE成绩库!Q229)</f>
        <v/>
      </c>
      <c r="K729" t="str">
        <f>IF(YLE成绩库!C229="","", YLE成绩库!R229)</f>
        <v/>
      </c>
      <c r="L729" t="str">
        <f>IF(YLE成绩库!C229="","", YLE成绩库!U229)</f>
        <v/>
      </c>
      <c r="M729">
        <v>0</v>
      </c>
      <c r="N729">
        <v>0</v>
      </c>
      <c r="O729">
        <v>0</v>
      </c>
      <c r="P729" t="str">
        <f>IF(YLE成绩库!C229="","", YLE成绩库!D229)</f>
        <v/>
      </c>
      <c r="Q729" t="str">
        <f>IF(YLE成绩库!C229="","", YLE成绩库!E229)</f>
        <v/>
      </c>
      <c r="R729" t="str">
        <f>IF(YLE成绩库!C229="","", YLE成绩库!F229)</f>
        <v/>
      </c>
      <c r="S729" t="str">
        <f>IF(YLE成绩库!C229="","", YLE成绩库!G229)</f>
        <v/>
      </c>
      <c r="T729" t="str">
        <f>IF(YLE成绩库!C229="","", YLE成绩库!H229)</f>
        <v/>
      </c>
      <c r="U729" t="str">
        <f>IF(YLE成绩库!C229="","", YLE成绩库!K229)</f>
        <v/>
      </c>
      <c r="V729" t="str">
        <f>IF(YLE成绩库!C229="","", YLE成绩库!W229)</f>
        <v/>
      </c>
      <c r="W729" t="str">
        <f>IF(YLE成绩库!C229="","", YLE成绩库!X229)</f>
        <v/>
      </c>
      <c r="X729" t="str">
        <f>IF(YLE成绩库!C229="","", YLE成绩库!AA229)</f>
        <v/>
      </c>
      <c r="Z729" t="str">
        <f>IF(YLE成绩库!C229="","", YLE成绩库!Z229)</f>
        <v/>
      </c>
    </row>
    <row r="730" spans="1:26" x14ac:dyDescent="0.2">
      <c r="A730" t="str">
        <f>IF(YLE成绩库!C230="","", YLE成绩库!C230)</f>
        <v/>
      </c>
      <c r="B730" t="str">
        <f>IF(YLE成绩库!AB230="","", YLE成绩库!AB230)</f>
        <v/>
      </c>
      <c r="C730" t="str">
        <f>IF(YLE成绩库!B230="","", YLE成绩库!B230)</f>
        <v/>
      </c>
      <c r="D730" t="str">
        <f>IF(YLE成绩库!D230="","", YLE成绩库!D230)</f>
        <v/>
      </c>
      <c r="E730" t="str">
        <f>IF(YLE成绩库!C230="","", YLE成绩库!L230)</f>
        <v/>
      </c>
      <c r="F730" t="str">
        <f>IF(YLE成绩库!C230="","", YLE成绩库!M230)</f>
        <v/>
      </c>
      <c r="G730" t="str">
        <f>IF(YLE成绩库!C230="","", YLE成绩库!N230)</f>
        <v/>
      </c>
      <c r="H730" t="str">
        <f>IF(YLE成绩库!C230="","", YLE成绩库!O230)</f>
        <v/>
      </c>
      <c r="I730" t="str">
        <f>IF(YLE成绩库!C230="","", YLE成绩库!P230)</f>
        <v/>
      </c>
      <c r="J730" t="str">
        <f>IF(YLE成绩库!C230="","", YLE成绩库!Q230)</f>
        <v/>
      </c>
      <c r="K730" t="str">
        <f>IF(YLE成绩库!C230="","", YLE成绩库!R230)</f>
        <v/>
      </c>
      <c r="L730" t="str">
        <f>IF(YLE成绩库!C230="","", YLE成绩库!U230)</f>
        <v/>
      </c>
      <c r="M730">
        <v>0</v>
      </c>
      <c r="N730">
        <v>0</v>
      </c>
      <c r="O730">
        <v>0</v>
      </c>
      <c r="P730" t="str">
        <f>IF(YLE成绩库!C230="","", YLE成绩库!D230)</f>
        <v/>
      </c>
      <c r="Q730" t="str">
        <f>IF(YLE成绩库!C230="","", YLE成绩库!E230)</f>
        <v/>
      </c>
      <c r="R730" t="str">
        <f>IF(YLE成绩库!C230="","", YLE成绩库!F230)</f>
        <v/>
      </c>
      <c r="S730" t="str">
        <f>IF(YLE成绩库!C230="","", YLE成绩库!G230)</f>
        <v/>
      </c>
      <c r="T730" t="str">
        <f>IF(YLE成绩库!C230="","", YLE成绩库!H230)</f>
        <v/>
      </c>
      <c r="U730" t="str">
        <f>IF(YLE成绩库!C230="","", YLE成绩库!K230)</f>
        <v/>
      </c>
      <c r="V730" t="str">
        <f>IF(YLE成绩库!C230="","", YLE成绩库!W230)</f>
        <v/>
      </c>
      <c r="W730" t="str">
        <f>IF(YLE成绩库!C230="","", YLE成绩库!X230)</f>
        <v/>
      </c>
      <c r="X730" t="str">
        <f>IF(YLE成绩库!C230="","", YLE成绩库!AA230)</f>
        <v/>
      </c>
      <c r="Z730" t="str">
        <f>IF(YLE成绩库!C230="","", YLE成绩库!Z230)</f>
        <v/>
      </c>
    </row>
    <row r="731" spans="1:26" x14ac:dyDescent="0.2">
      <c r="A731" t="str">
        <f>IF(YLE成绩库!C231="","", YLE成绩库!C231)</f>
        <v/>
      </c>
      <c r="B731" t="str">
        <f>IF(YLE成绩库!AB231="","", YLE成绩库!AB231)</f>
        <v/>
      </c>
      <c r="C731" t="str">
        <f>IF(YLE成绩库!B231="","", YLE成绩库!B231)</f>
        <v/>
      </c>
      <c r="D731" t="str">
        <f>IF(YLE成绩库!D231="","", YLE成绩库!D231)</f>
        <v/>
      </c>
      <c r="E731" t="str">
        <f>IF(YLE成绩库!C231="","", YLE成绩库!L231)</f>
        <v/>
      </c>
      <c r="F731" t="str">
        <f>IF(YLE成绩库!C231="","", YLE成绩库!M231)</f>
        <v/>
      </c>
      <c r="G731" t="str">
        <f>IF(YLE成绩库!C231="","", YLE成绩库!N231)</f>
        <v/>
      </c>
      <c r="H731" t="str">
        <f>IF(YLE成绩库!C231="","", YLE成绩库!O231)</f>
        <v/>
      </c>
      <c r="I731" t="str">
        <f>IF(YLE成绩库!C231="","", YLE成绩库!P231)</f>
        <v/>
      </c>
      <c r="J731" t="str">
        <f>IF(YLE成绩库!C231="","", YLE成绩库!Q231)</f>
        <v/>
      </c>
      <c r="K731" t="str">
        <f>IF(YLE成绩库!C231="","", YLE成绩库!R231)</f>
        <v/>
      </c>
      <c r="L731" t="str">
        <f>IF(YLE成绩库!C231="","", YLE成绩库!U231)</f>
        <v/>
      </c>
      <c r="M731">
        <v>0</v>
      </c>
      <c r="N731">
        <v>0</v>
      </c>
      <c r="O731">
        <v>0</v>
      </c>
      <c r="P731" t="str">
        <f>IF(YLE成绩库!C231="","", YLE成绩库!D231)</f>
        <v/>
      </c>
      <c r="Q731" t="str">
        <f>IF(YLE成绩库!C231="","", YLE成绩库!E231)</f>
        <v/>
      </c>
      <c r="R731" t="str">
        <f>IF(YLE成绩库!C231="","", YLE成绩库!F231)</f>
        <v/>
      </c>
      <c r="S731" t="str">
        <f>IF(YLE成绩库!C231="","", YLE成绩库!G231)</f>
        <v/>
      </c>
      <c r="T731" t="str">
        <f>IF(YLE成绩库!C231="","", YLE成绩库!H231)</f>
        <v/>
      </c>
      <c r="U731" t="str">
        <f>IF(YLE成绩库!C231="","", YLE成绩库!K231)</f>
        <v/>
      </c>
      <c r="V731" t="str">
        <f>IF(YLE成绩库!C231="","", YLE成绩库!W231)</f>
        <v/>
      </c>
      <c r="W731" t="str">
        <f>IF(YLE成绩库!C231="","", YLE成绩库!X231)</f>
        <v/>
      </c>
      <c r="X731" t="str">
        <f>IF(YLE成绩库!C231="","", YLE成绩库!AA231)</f>
        <v/>
      </c>
      <c r="Z731" t="str">
        <f>IF(YLE成绩库!C231="","", YLE成绩库!Z231)</f>
        <v/>
      </c>
    </row>
    <row r="732" spans="1:26" x14ac:dyDescent="0.2">
      <c r="A732" t="str">
        <f>IF(YLE成绩库!C232="","", YLE成绩库!C232)</f>
        <v/>
      </c>
      <c r="B732" t="str">
        <f>IF(YLE成绩库!AB232="","", YLE成绩库!AB232)</f>
        <v/>
      </c>
      <c r="C732" t="str">
        <f>IF(YLE成绩库!B232="","", YLE成绩库!B232)</f>
        <v/>
      </c>
      <c r="D732" t="str">
        <f>IF(YLE成绩库!D232="","", YLE成绩库!D232)</f>
        <v/>
      </c>
      <c r="E732" t="str">
        <f>IF(YLE成绩库!C232="","", YLE成绩库!L232)</f>
        <v/>
      </c>
      <c r="F732" t="str">
        <f>IF(YLE成绩库!C232="","", YLE成绩库!M232)</f>
        <v/>
      </c>
      <c r="G732" t="str">
        <f>IF(YLE成绩库!C232="","", YLE成绩库!N232)</f>
        <v/>
      </c>
      <c r="H732" t="str">
        <f>IF(YLE成绩库!C232="","", YLE成绩库!O232)</f>
        <v/>
      </c>
      <c r="I732" t="str">
        <f>IF(YLE成绩库!C232="","", YLE成绩库!P232)</f>
        <v/>
      </c>
      <c r="J732" t="str">
        <f>IF(YLE成绩库!C232="","", YLE成绩库!Q232)</f>
        <v/>
      </c>
      <c r="K732" t="str">
        <f>IF(YLE成绩库!C232="","", YLE成绩库!R232)</f>
        <v/>
      </c>
      <c r="L732" t="str">
        <f>IF(YLE成绩库!C232="","", YLE成绩库!U232)</f>
        <v/>
      </c>
      <c r="M732">
        <v>0</v>
      </c>
      <c r="N732">
        <v>0</v>
      </c>
      <c r="O732">
        <v>0</v>
      </c>
      <c r="P732" t="str">
        <f>IF(YLE成绩库!C232="","", YLE成绩库!D232)</f>
        <v/>
      </c>
      <c r="Q732" t="str">
        <f>IF(YLE成绩库!C232="","", YLE成绩库!E232)</f>
        <v/>
      </c>
      <c r="R732" t="str">
        <f>IF(YLE成绩库!C232="","", YLE成绩库!F232)</f>
        <v/>
      </c>
      <c r="S732" t="str">
        <f>IF(YLE成绩库!C232="","", YLE成绩库!G232)</f>
        <v/>
      </c>
      <c r="T732" t="str">
        <f>IF(YLE成绩库!C232="","", YLE成绩库!H232)</f>
        <v/>
      </c>
      <c r="U732" t="str">
        <f>IF(YLE成绩库!C232="","", YLE成绩库!K232)</f>
        <v/>
      </c>
      <c r="V732" t="str">
        <f>IF(YLE成绩库!C232="","", YLE成绩库!W232)</f>
        <v/>
      </c>
      <c r="W732" t="str">
        <f>IF(YLE成绩库!C232="","", YLE成绩库!X232)</f>
        <v/>
      </c>
      <c r="X732" t="str">
        <f>IF(YLE成绩库!C232="","", YLE成绩库!AA232)</f>
        <v/>
      </c>
      <c r="Z732" t="str">
        <f>IF(YLE成绩库!C232="","", YLE成绩库!Z232)</f>
        <v/>
      </c>
    </row>
    <row r="733" spans="1:26" x14ac:dyDescent="0.2">
      <c r="A733" t="str">
        <f>IF(YLE成绩库!C233="","", YLE成绩库!C233)</f>
        <v/>
      </c>
      <c r="B733" t="str">
        <f>IF(YLE成绩库!AB233="","", YLE成绩库!AB233)</f>
        <v/>
      </c>
      <c r="C733" t="str">
        <f>IF(YLE成绩库!B233="","", YLE成绩库!B233)</f>
        <v/>
      </c>
      <c r="D733" t="str">
        <f>IF(YLE成绩库!D233="","", YLE成绩库!D233)</f>
        <v/>
      </c>
      <c r="E733" t="str">
        <f>IF(YLE成绩库!C233="","", YLE成绩库!L233)</f>
        <v/>
      </c>
      <c r="F733" t="str">
        <f>IF(YLE成绩库!C233="","", YLE成绩库!M233)</f>
        <v/>
      </c>
      <c r="G733" t="str">
        <f>IF(YLE成绩库!C233="","", YLE成绩库!N233)</f>
        <v/>
      </c>
      <c r="H733" t="str">
        <f>IF(YLE成绩库!C233="","", YLE成绩库!O233)</f>
        <v/>
      </c>
      <c r="I733" t="str">
        <f>IF(YLE成绩库!C233="","", YLE成绩库!P233)</f>
        <v/>
      </c>
      <c r="J733" t="str">
        <f>IF(YLE成绩库!C233="","", YLE成绩库!Q233)</f>
        <v/>
      </c>
      <c r="K733" t="str">
        <f>IF(YLE成绩库!C233="","", YLE成绩库!R233)</f>
        <v/>
      </c>
      <c r="L733" t="str">
        <f>IF(YLE成绩库!C233="","", YLE成绩库!U233)</f>
        <v/>
      </c>
      <c r="M733">
        <v>0</v>
      </c>
      <c r="N733">
        <v>0</v>
      </c>
      <c r="O733">
        <v>0</v>
      </c>
      <c r="P733" t="str">
        <f>IF(YLE成绩库!C233="","", YLE成绩库!D233)</f>
        <v/>
      </c>
      <c r="Q733" t="str">
        <f>IF(YLE成绩库!C233="","", YLE成绩库!E233)</f>
        <v/>
      </c>
      <c r="R733" t="str">
        <f>IF(YLE成绩库!C233="","", YLE成绩库!F233)</f>
        <v/>
      </c>
      <c r="S733" t="str">
        <f>IF(YLE成绩库!C233="","", YLE成绩库!G233)</f>
        <v/>
      </c>
      <c r="T733" t="str">
        <f>IF(YLE成绩库!C233="","", YLE成绩库!H233)</f>
        <v/>
      </c>
      <c r="U733" t="str">
        <f>IF(YLE成绩库!C233="","", YLE成绩库!K233)</f>
        <v/>
      </c>
      <c r="V733" t="str">
        <f>IF(YLE成绩库!C233="","", YLE成绩库!W233)</f>
        <v/>
      </c>
      <c r="W733" t="str">
        <f>IF(YLE成绩库!C233="","", YLE成绩库!X233)</f>
        <v/>
      </c>
      <c r="X733" t="str">
        <f>IF(YLE成绩库!C233="","", YLE成绩库!AA233)</f>
        <v/>
      </c>
      <c r="Z733" t="str">
        <f>IF(YLE成绩库!C233="","", YLE成绩库!Z233)</f>
        <v/>
      </c>
    </row>
    <row r="734" spans="1:26" x14ac:dyDescent="0.2">
      <c r="A734" t="str">
        <f>IF(YLE成绩库!C234="","", YLE成绩库!C234)</f>
        <v/>
      </c>
      <c r="B734" t="str">
        <f>IF(YLE成绩库!AB234="","", YLE成绩库!AB234)</f>
        <v/>
      </c>
      <c r="C734" t="str">
        <f>IF(YLE成绩库!B234="","", YLE成绩库!B234)</f>
        <v/>
      </c>
      <c r="D734" t="str">
        <f>IF(YLE成绩库!D234="","", YLE成绩库!D234)</f>
        <v/>
      </c>
      <c r="E734" t="str">
        <f>IF(YLE成绩库!C234="","", YLE成绩库!L234)</f>
        <v/>
      </c>
      <c r="F734" t="str">
        <f>IF(YLE成绩库!C234="","", YLE成绩库!M234)</f>
        <v/>
      </c>
      <c r="G734" t="str">
        <f>IF(YLE成绩库!C234="","", YLE成绩库!N234)</f>
        <v/>
      </c>
      <c r="H734" t="str">
        <f>IF(YLE成绩库!C234="","", YLE成绩库!O234)</f>
        <v/>
      </c>
      <c r="I734" t="str">
        <f>IF(YLE成绩库!C234="","", YLE成绩库!P234)</f>
        <v/>
      </c>
      <c r="J734" t="str">
        <f>IF(YLE成绩库!C234="","", YLE成绩库!Q234)</f>
        <v/>
      </c>
      <c r="K734" t="str">
        <f>IF(YLE成绩库!C234="","", YLE成绩库!R234)</f>
        <v/>
      </c>
      <c r="L734" t="str">
        <f>IF(YLE成绩库!C234="","", YLE成绩库!U234)</f>
        <v/>
      </c>
      <c r="M734">
        <v>0</v>
      </c>
      <c r="N734">
        <v>0</v>
      </c>
      <c r="O734">
        <v>0</v>
      </c>
      <c r="P734" t="str">
        <f>IF(YLE成绩库!C234="","", YLE成绩库!D234)</f>
        <v/>
      </c>
      <c r="Q734" t="str">
        <f>IF(YLE成绩库!C234="","", YLE成绩库!E234)</f>
        <v/>
      </c>
      <c r="R734" t="str">
        <f>IF(YLE成绩库!C234="","", YLE成绩库!F234)</f>
        <v/>
      </c>
      <c r="S734" t="str">
        <f>IF(YLE成绩库!C234="","", YLE成绩库!G234)</f>
        <v/>
      </c>
      <c r="T734" t="str">
        <f>IF(YLE成绩库!C234="","", YLE成绩库!H234)</f>
        <v/>
      </c>
      <c r="U734" t="str">
        <f>IF(YLE成绩库!C234="","", YLE成绩库!K234)</f>
        <v/>
      </c>
      <c r="V734" t="str">
        <f>IF(YLE成绩库!C234="","", YLE成绩库!W234)</f>
        <v/>
      </c>
      <c r="W734" t="str">
        <f>IF(YLE成绩库!C234="","", YLE成绩库!X234)</f>
        <v/>
      </c>
      <c r="X734" t="str">
        <f>IF(YLE成绩库!C234="","", YLE成绩库!AA234)</f>
        <v/>
      </c>
      <c r="Z734" t="str">
        <f>IF(YLE成绩库!C234="","", YLE成绩库!Z234)</f>
        <v/>
      </c>
    </row>
    <row r="735" spans="1:26" x14ac:dyDescent="0.2">
      <c r="A735" t="str">
        <f>IF(YLE成绩库!C235="","", YLE成绩库!C235)</f>
        <v/>
      </c>
      <c r="B735" t="str">
        <f>IF(YLE成绩库!AB235="","", YLE成绩库!AB235)</f>
        <v/>
      </c>
      <c r="C735" t="str">
        <f>IF(YLE成绩库!B235="","", YLE成绩库!B235)</f>
        <v/>
      </c>
      <c r="D735" t="str">
        <f>IF(YLE成绩库!D235="","", YLE成绩库!D235)</f>
        <v/>
      </c>
      <c r="E735" t="str">
        <f>IF(YLE成绩库!C235="","", YLE成绩库!L235)</f>
        <v/>
      </c>
      <c r="F735" t="str">
        <f>IF(YLE成绩库!C235="","", YLE成绩库!M235)</f>
        <v/>
      </c>
      <c r="G735" t="str">
        <f>IF(YLE成绩库!C235="","", YLE成绩库!N235)</f>
        <v/>
      </c>
      <c r="H735" t="str">
        <f>IF(YLE成绩库!C235="","", YLE成绩库!O235)</f>
        <v/>
      </c>
      <c r="I735" t="str">
        <f>IF(YLE成绩库!C235="","", YLE成绩库!P235)</f>
        <v/>
      </c>
      <c r="J735" t="str">
        <f>IF(YLE成绩库!C235="","", YLE成绩库!Q235)</f>
        <v/>
      </c>
      <c r="K735" t="str">
        <f>IF(YLE成绩库!C235="","", YLE成绩库!R235)</f>
        <v/>
      </c>
      <c r="L735" t="str">
        <f>IF(YLE成绩库!C235="","", YLE成绩库!U235)</f>
        <v/>
      </c>
      <c r="M735">
        <v>0</v>
      </c>
      <c r="N735">
        <v>0</v>
      </c>
      <c r="O735">
        <v>0</v>
      </c>
      <c r="P735" t="str">
        <f>IF(YLE成绩库!C235="","", YLE成绩库!D235)</f>
        <v/>
      </c>
      <c r="Q735" t="str">
        <f>IF(YLE成绩库!C235="","", YLE成绩库!E235)</f>
        <v/>
      </c>
      <c r="R735" t="str">
        <f>IF(YLE成绩库!C235="","", YLE成绩库!F235)</f>
        <v/>
      </c>
      <c r="S735" t="str">
        <f>IF(YLE成绩库!C235="","", YLE成绩库!G235)</f>
        <v/>
      </c>
      <c r="T735" t="str">
        <f>IF(YLE成绩库!C235="","", YLE成绩库!H235)</f>
        <v/>
      </c>
      <c r="U735" t="str">
        <f>IF(YLE成绩库!C235="","", YLE成绩库!K235)</f>
        <v/>
      </c>
      <c r="V735" t="str">
        <f>IF(YLE成绩库!C235="","", YLE成绩库!W235)</f>
        <v/>
      </c>
      <c r="W735" t="str">
        <f>IF(YLE成绩库!C235="","", YLE成绩库!X235)</f>
        <v/>
      </c>
      <c r="X735" t="str">
        <f>IF(YLE成绩库!C235="","", YLE成绩库!AA235)</f>
        <v/>
      </c>
      <c r="Z735" t="str">
        <f>IF(YLE成绩库!C235="","", YLE成绩库!Z235)</f>
        <v/>
      </c>
    </row>
    <row r="736" spans="1:26" x14ac:dyDescent="0.2">
      <c r="A736" t="str">
        <f>IF(YLE成绩库!C236="","", YLE成绩库!C236)</f>
        <v/>
      </c>
      <c r="B736" t="str">
        <f>IF(YLE成绩库!AB236="","", YLE成绩库!AB236)</f>
        <v/>
      </c>
      <c r="C736" t="str">
        <f>IF(YLE成绩库!B236="","", YLE成绩库!B236)</f>
        <v/>
      </c>
      <c r="D736" t="str">
        <f>IF(YLE成绩库!D236="","", YLE成绩库!D236)</f>
        <v/>
      </c>
      <c r="E736" t="str">
        <f>IF(YLE成绩库!C236="","", YLE成绩库!L236)</f>
        <v/>
      </c>
      <c r="F736" t="str">
        <f>IF(YLE成绩库!C236="","", YLE成绩库!M236)</f>
        <v/>
      </c>
      <c r="G736" t="str">
        <f>IF(YLE成绩库!C236="","", YLE成绩库!N236)</f>
        <v/>
      </c>
      <c r="H736" t="str">
        <f>IF(YLE成绩库!C236="","", YLE成绩库!O236)</f>
        <v/>
      </c>
      <c r="I736" t="str">
        <f>IF(YLE成绩库!C236="","", YLE成绩库!P236)</f>
        <v/>
      </c>
      <c r="J736" t="str">
        <f>IF(YLE成绩库!C236="","", YLE成绩库!Q236)</f>
        <v/>
      </c>
      <c r="K736" t="str">
        <f>IF(YLE成绩库!C236="","", YLE成绩库!R236)</f>
        <v/>
      </c>
      <c r="L736" t="str">
        <f>IF(YLE成绩库!C236="","", YLE成绩库!U236)</f>
        <v/>
      </c>
      <c r="M736">
        <v>0</v>
      </c>
      <c r="N736">
        <v>0</v>
      </c>
      <c r="O736">
        <v>0</v>
      </c>
      <c r="P736" t="str">
        <f>IF(YLE成绩库!C236="","", YLE成绩库!D236)</f>
        <v/>
      </c>
      <c r="Q736" t="str">
        <f>IF(YLE成绩库!C236="","", YLE成绩库!E236)</f>
        <v/>
      </c>
      <c r="R736" t="str">
        <f>IF(YLE成绩库!C236="","", YLE成绩库!F236)</f>
        <v/>
      </c>
      <c r="S736" t="str">
        <f>IF(YLE成绩库!C236="","", YLE成绩库!G236)</f>
        <v/>
      </c>
      <c r="T736" t="str">
        <f>IF(YLE成绩库!C236="","", YLE成绩库!H236)</f>
        <v/>
      </c>
      <c r="U736" t="str">
        <f>IF(YLE成绩库!C236="","", YLE成绩库!K236)</f>
        <v/>
      </c>
      <c r="V736" t="str">
        <f>IF(YLE成绩库!C236="","", YLE成绩库!W236)</f>
        <v/>
      </c>
      <c r="W736" t="str">
        <f>IF(YLE成绩库!C236="","", YLE成绩库!X236)</f>
        <v/>
      </c>
      <c r="X736" t="str">
        <f>IF(YLE成绩库!C236="","", YLE成绩库!AA236)</f>
        <v/>
      </c>
      <c r="Z736" t="str">
        <f>IF(YLE成绩库!C236="","", YLE成绩库!Z236)</f>
        <v/>
      </c>
    </row>
    <row r="737" spans="1:26" x14ac:dyDescent="0.2">
      <c r="A737" t="str">
        <f>IF(YLE成绩库!C237="","", YLE成绩库!C237)</f>
        <v/>
      </c>
      <c r="B737" t="str">
        <f>IF(YLE成绩库!AB237="","", YLE成绩库!AB237)</f>
        <v/>
      </c>
      <c r="C737" t="str">
        <f>IF(YLE成绩库!B237="","", YLE成绩库!B237)</f>
        <v/>
      </c>
      <c r="D737" t="str">
        <f>IF(YLE成绩库!D237="","", YLE成绩库!D237)</f>
        <v/>
      </c>
      <c r="E737" t="str">
        <f>IF(YLE成绩库!C237="","", YLE成绩库!L237)</f>
        <v/>
      </c>
      <c r="F737" t="str">
        <f>IF(YLE成绩库!C237="","", YLE成绩库!M237)</f>
        <v/>
      </c>
      <c r="G737" t="str">
        <f>IF(YLE成绩库!C237="","", YLE成绩库!N237)</f>
        <v/>
      </c>
      <c r="H737" t="str">
        <f>IF(YLE成绩库!C237="","", YLE成绩库!O237)</f>
        <v/>
      </c>
      <c r="I737" t="str">
        <f>IF(YLE成绩库!C237="","", YLE成绩库!P237)</f>
        <v/>
      </c>
      <c r="J737" t="str">
        <f>IF(YLE成绩库!C237="","", YLE成绩库!Q237)</f>
        <v/>
      </c>
      <c r="K737" t="str">
        <f>IF(YLE成绩库!C237="","", YLE成绩库!R237)</f>
        <v/>
      </c>
      <c r="L737" t="str">
        <f>IF(YLE成绩库!C237="","", YLE成绩库!U237)</f>
        <v/>
      </c>
      <c r="M737">
        <v>0</v>
      </c>
      <c r="N737">
        <v>0</v>
      </c>
      <c r="O737">
        <v>0</v>
      </c>
      <c r="P737" t="str">
        <f>IF(YLE成绩库!C237="","", YLE成绩库!D237)</f>
        <v/>
      </c>
      <c r="Q737" t="str">
        <f>IF(YLE成绩库!C237="","", YLE成绩库!E237)</f>
        <v/>
      </c>
      <c r="R737" t="str">
        <f>IF(YLE成绩库!C237="","", YLE成绩库!F237)</f>
        <v/>
      </c>
      <c r="S737" t="str">
        <f>IF(YLE成绩库!C237="","", YLE成绩库!G237)</f>
        <v/>
      </c>
      <c r="T737" t="str">
        <f>IF(YLE成绩库!C237="","", YLE成绩库!H237)</f>
        <v/>
      </c>
      <c r="U737" t="str">
        <f>IF(YLE成绩库!C237="","", YLE成绩库!K237)</f>
        <v/>
      </c>
      <c r="V737" t="str">
        <f>IF(YLE成绩库!C237="","", YLE成绩库!W237)</f>
        <v/>
      </c>
      <c r="W737" t="str">
        <f>IF(YLE成绩库!C237="","", YLE成绩库!X237)</f>
        <v/>
      </c>
      <c r="X737" t="str">
        <f>IF(YLE成绩库!C237="","", YLE成绩库!AA237)</f>
        <v/>
      </c>
      <c r="Z737" t="str">
        <f>IF(YLE成绩库!C237="","", YLE成绩库!Z237)</f>
        <v/>
      </c>
    </row>
    <row r="738" spans="1:26" x14ac:dyDescent="0.2">
      <c r="A738" t="str">
        <f>IF(YLE成绩库!C238="","", YLE成绩库!C238)</f>
        <v/>
      </c>
      <c r="B738" t="str">
        <f>IF(YLE成绩库!AB238="","", YLE成绩库!AB238)</f>
        <v/>
      </c>
      <c r="C738" t="str">
        <f>IF(YLE成绩库!B238="","", YLE成绩库!B238)</f>
        <v/>
      </c>
      <c r="D738" t="str">
        <f>IF(YLE成绩库!D238="","", YLE成绩库!D238)</f>
        <v/>
      </c>
      <c r="E738" t="str">
        <f>IF(YLE成绩库!C238="","", YLE成绩库!L238)</f>
        <v/>
      </c>
      <c r="F738" t="str">
        <f>IF(YLE成绩库!C238="","", YLE成绩库!M238)</f>
        <v/>
      </c>
      <c r="G738" t="str">
        <f>IF(YLE成绩库!C238="","", YLE成绩库!N238)</f>
        <v/>
      </c>
      <c r="H738" t="str">
        <f>IF(YLE成绩库!C238="","", YLE成绩库!O238)</f>
        <v/>
      </c>
      <c r="I738" t="str">
        <f>IF(YLE成绩库!C238="","", YLE成绩库!P238)</f>
        <v/>
      </c>
      <c r="J738" t="str">
        <f>IF(YLE成绩库!C238="","", YLE成绩库!Q238)</f>
        <v/>
      </c>
      <c r="K738" t="str">
        <f>IF(YLE成绩库!C238="","", YLE成绩库!R238)</f>
        <v/>
      </c>
      <c r="L738" t="str">
        <f>IF(YLE成绩库!C238="","", YLE成绩库!U238)</f>
        <v/>
      </c>
      <c r="M738">
        <v>0</v>
      </c>
      <c r="N738">
        <v>0</v>
      </c>
      <c r="O738">
        <v>0</v>
      </c>
      <c r="P738" t="str">
        <f>IF(YLE成绩库!C238="","", YLE成绩库!D238)</f>
        <v/>
      </c>
      <c r="Q738" t="str">
        <f>IF(YLE成绩库!C238="","", YLE成绩库!E238)</f>
        <v/>
      </c>
      <c r="R738" t="str">
        <f>IF(YLE成绩库!C238="","", YLE成绩库!F238)</f>
        <v/>
      </c>
      <c r="S738" t="str">
        <f>IF(YLE成绩库!C238="","", YLE成绩库!G238)</f>
        <v/>
      </c>
      <c r="T738" t="str">
        <f>IF(YLE成绩库!C238="","", YLE成绩库!H238)</f>
        <v/>
      </c>
      <c r="U738" t="str">
        <f>IF(YLE成绩库!C238="","", YLE成绩库!K238)</f>
        <v/>
      </c>
      <c r="V738" t="str">
        <f>IF(YLE成绩库!C238="","", YLE成绩库!W238)</f>
        <v/>
      </c>
      <c r="W738" t="str">
        <f>IF(YLE成绩库!C238="","", YLE成绩库!X238)</f>
        <v/>
      </c>
      <c r="X738" t="str">
        <f>IF(YLE成绩库!C238="","", YLE成绩库!AA238)</f>
        <v/>
      </c>
      <c r="Z738" t="str">
        <f>IF(YLE成绩库!C238="","", YLE成绩库!Z238)</f>
        <v/>
      </c>
    </row>
    <row r="739" spans="1:26" x14ac:dyDescent="0.2">
      <c r="A739" t="str">
        <f>IF(YLE成绩库!C239="","", YLE成绩库!C239)</f>
        <v/>
      </c>
      <c r="B739" t="str">
        <f>IF(YLE成绩库!AB239="","", YLE成绩库!AB239)</f>
        <v/>
      </c>
      <c r="C739" t="str">
        <f>IF(YLE成绩库!B239="","", YLE成绩库!B239)</f>
        <v/>
      </c>
      <c r="D739" t="str">
        <f>IF(YLE成绩库!D239="","", YLE成绩库!D239)</f>
        <v/>
      </c>
      <c r="E739" t="str">
        <f>IF(YLE成绩库!C239="","", YLE成绩库!L239)</f>
        <v/>
      </c>
      <c r="F739" t="str">
        <f>IF(YLE成绩库!C239="","", YLE成绩库!M239)</f>
        <v/>
      </c>
      <c r="G739" t="str">
        <f>IF(YLE成绩库!C239="","", YLE成绩库!N239)</f>
        <v/>
      </c>
      <c r="H739" t="str">
        <f>IF(YLE成绩库!C239="","", YLE成绩库!O239)</f>
        <v/>
      </c>
      <c r="I739" t="str">
        <f>IF(YLE成绩库!C239="","", YLE成绩库!P239)</f>
        <v/>
      </c>
      <c r="J739" t="str">
        <f>IF(YLE成绩库!C239="","", YLE成绩库!Q239)</f>
        <v/>
      </c>
      <c r="K739" t="str">
        <f>IF(YLE成绩库!C239="","", YLE成绩库!R239)</f>
        <v/>
      </c>
      <c r="L739" t="str">
        <f>IF(YLE成绩库!C239="","", YLE成绩库!U239)</f>
        <v/>
      </c>
      <c r="M739">
        <v>0</v>
      </c>
      <c r="N739">
        <v>0</v>
      </c>
      <c r="O739">
        <v>0</v>
      </c>
      <c r="P739" t="str">
        <f>IF(YLE成绩库!C239="","", YLE成绩库!D239)</f>
        <v/>
      </c>
      <c r="Q739" t="str">
        <f>IF(YLE成绩库!C239="","", YLE成绩库!E239)</f>
        <v/>
      </c>
      <c r="R739" t="str">
        <f>IF(YLE成绩库!C239="","", YLE成绩库!F239)</f>
        <v/>
      </c>
      <c r="S739" t="str">
        <f>IF(YLE成绩库!C239="","", YLE成绩库!G239)</f>
        <v/>
      </c>
      <c r="T739" t="str">
        <f>IF(YLE成绩库!C239="","", YLE成绩库!H239)</f>
        <v/>
      </c>
      <c r="U739" t="str">
        <f>IF(YLE成绩库!C239="","", YLE成绩库!K239)</f>
        <v/>
      </c>
      <c r="V739" t="str">
        <f>IF(YLE成绩库!C239="","", YLE成绩库!W239)</f>
        <v/>
      </c>
      <c r="W739" t="str">
        <f>IF(YLE成绩库!C239="","", YLE成绩库!X239)</f>
        <v/>
      </c>
      <c r="X739" t="str">
        <f>IF(YLE成绩库!C239="","", YLE成绩库!AA239)</f>
        <v/>
      </c>
      <c r="Z739" t="str">
        <f>IF(YLE成绩库!C239="","", YLE成绩库!Z239)</f>
        <v/>
      </c>
    </row>
    <row r="740" spans="1:26" x14ac:dyDescent="0.2">
      <c r="A740" t="str">
        <f>IF(YLE成绩库!C240="","", YLE成绩库!C240)</f>
        <v/>
      </c>
      <c r="B740" t="str">
        <f>IF(YLE成绩库!AB240="","", YLE成绩库!AB240)</f>
        <v/>
      </c>
      <c r="C740" t="str">
        <f>IF(YLE成绩库!B240="","", YLE成绩库!B240)</f>
        <v/>
      </c>
      <c r="D740" t="str">
        <f>IF(YLE成绩库!D240="","", YLE成绩库!D240)</f>
        <v/>
      </c>
      <c r="E740" t="str">
        <f>IF(YLE成绩库!C240="","", YLE成绩库!L240)</f>
        <v/>
      </c>
      <c r="F740" t="str">
        <f>IF(YLE成绩库!C240="","", YLE成绩库!M240)</f>
        <v/>
      </c>
      <c r="G740" t="str">
        <f>IF(YLE成绩库!C240="","", YLE成绩库!N240)</f>
        <v/>
      </c>
      <c r="H740" t="str">
        <f>IF(YLE成绩库!C240="","", YLE成绩库!O240)</f>
        <v/>
      </c>
      <c r="I740" t="str">
        <f>IF(YLE成绩库!C240="","", YLE成绩库!P240)</f>
        <v/>
      </c>
      <c r="J740" t="str">
        <f>IF(YLE成绩库!C240="","", YLE成绩库!Q240)</f>
        <v/>
      </c>
      <c r="K740" t="str">
        <f>IF(YLE成绩库!C240="","", YLE成绩库!R240)</f>
        <v/>
      </c>
      <c r="L740" t="str">
        <f>IF(YLE成绩库!C240="","", YLE成绩库!U240)</f>
        <v/>
      </c>
      <c r="M740">
        <v>0</v>
      </c>
      <c r="N740">
        <v>0</v>
      </c>
      <c r="O740">
        <v>0</v>
      </c>
      <c r="P740" t="str">
        <f>IF(YLE成绩库!C240="","", YLE成绩库!D240)</f>
        <v/>
      </c>
      <c r="Q740" t="str">
        <f>IF(YLE成绩库!C240="","", YLE成绩库!E240)</f>
        <v/>
      </c>
      <c r="R740" t="str">
        <f>IF(YLE成绩库!C240="","", YLE成绩库!F240)</f>
        <v/>
      </c>
      <c r="S740" t="str">
        <f>IF(YLE成绩库!C240="","", YLE成绩库!G240)</f>
        <v/>
      </c>
      <c r="T740" t="str">
        <f>IF(YLE成绩库!C240="","", YLE成绩库!H240)</f>
        <v/>
      </c>
      <c r="U740" t="str">
        <f>IF(YLE成绩库!C240="","", YLE成绩库!K240)</f>
        <v/>
      </c>
      <c r="V740" t="str">
        <f>IF(YLE成绩库!C240="","", YLE成绩库!W240)</f>
        <v/>
      </c>
      <c r="W740" t="str">
        <f>IF(YLE成绩库!C240="","", YLE成绩库!X240)</f>
        <v/>
      </c>
      <c r="X740" t="str">
        <f>IF(YLE成绩库!C240="","", YLE成绩库!AA240)</f>
        <v/>
      </c>
      <c r="Z740" t="str">
        <f>IF(YLE成绩库!C240="","", YLE成绩库!Z240)</f>
        <v/>
      </c>
    </row>
    <row r="741" spans="1:26" x14ac:dyDescent="0.2">
      <c r="A741" t="str">
        <f>IF(YLE成绩库!C241="","", YLE成绩库!C241)</f>
        <v/>
      </c>
      <c r="B741" t="str">
        <f>IF(YLE成绩库!AB241="","", YLE成绩库!AB241)</f>
        <v/>
      </c>
      <c r="C741" t="str">
        <f>IF(YLE成绩库!B241="","", YLE成绩库!B241)</f>
        <v/>
      </c>
      <c r="D741" t="str">
        <f>IF(YLE成绩库!D241="","", YLE成绩库!D241)</f>
        <v/>
      </c>
      <c r="E741" t="str">
        <f>IF(YLE成绩库!C241="","", YLE成绩库!L241)</f>
        <v/>
      </c>
      <c r="F741" t="str">
        <f>IF(YLE成绩库!C241="","", YLE成绩库!M241)</f>
        <v/>
      </c>
      <c r="G741" t="str">
        <f>IF(YLE成绩库!C241="","", YLE成绩库!N241)</f>
        <v/>
      </c>
      <c r="H741" t="str">
        <f>IF(YLE成绩库!C241="","", YLE成绩库!O241)</f>
        <v/>
      </c>
      <c r="I741" t="str">
        <f>IF(YLE成绩库!C241="","", YLE成绩库!P241)</f>
        <v/>
      </c>
      <c r="J741" t="str">
        <f>IF(YLE成绩库!C241="","", YLE成绩库!Q241)</f>
        <v/>
      </c>
      <c r="K741" t="str">
        <f>IF(YLE成绩库!C241="","", YLE成绩库!R241)</f>
        <v/>
      </c>
      <c r="L741" t="str">
        <f>IF(YLE成绩库!C241="","", YLE成绩库!U241)</f>
        <v/>
      </c>
      <c r="M741">
        <v>0</v>
      </c>
      <c r="N741">
        <v>0</v>
      </c>
      <c r="O741">
        <v>0</v>
      </c>
      <c r="P741" t="str">
        <f>IF(YLE成绩库!C241="","", YLE成绩库!D241)</f>
        <v/>
      </c>
      <c r="Q741" t="str">
        <f>IF(YLE成绩库!C241="","", YLE成绩库!E241)</f>
        <v/>
      </c>
      <c r="R741" t="str">
        <f>IF(YLE成绩库!C241="","", YLE成绩库!F241)</f>
        <v/>
      </c>
      <c r="S741" t="str">
        <f>IF(YLE成绩库!C241="","", YLE成绩库!G241)</f>
        <v/>
      </c>
      <c r="T741" t="str">
        <f>IF(YLE成绩库!C241="","", YLE成绩库!H241)</f>
        <v/>
      </c>
      <c r="U741" t="str">
        <f>IF(YLE成绩库!C241="","", YLE成绩库!K241)</f>
        <v/>
      </c>
      <c r="V741" t="str">
        <f>IF(YLE成绩库!C241="","", YLE成绩库!W241)</f>
        <v/>
      </c>
      <c r="W741" t="str">
        <f>IF(YLE成绩库!C241="","", YLE成绩库!X241)</f>
        <v/>
      </c>
      <c r="X741" t="str">
        <f>IF(YLE成绩库!C241="","", YLE成绩库!AA241)</f>
        <v/>
      </c>
      <c r="Z741" t="str">
        <f>IF(YLE成绩库!C241="","", YLE成绩库!Z241)</f>
        <v/>
      </c>
    </row>
    <row r="742" spans="1:26" x14ac:dyDescent="0.2">
      <c r="A742" t="str">
        <f>IF(YLE成绩库!C242="","", YLE成绩库!C242)</f>
        <v/>
      </c>
      <c r="B742" t="str">
        <f>IF(YLE成绩库!AB242="","", YLE成绩库!AB242)</f>
        <v/>
      </c>
      <c r="C742" t="str">
        <f>IF(YLE成绩库!B242="","", YLE成绩库!B242)</f>
        <v/>
      </c>
      <c r="D742" t="str">
        <f>IF(YLE成绩库!D242="","", YLE成绩库!D242)</f>
        <v/>
      </c>
      <c r="E742" t="str">
        <f>IF(YLE成绩库!C242="","", YLE成绩库!L242)</f>
        <v/>
      </c>
      <c r="F742" t="str">
        <f>IF(YLE成绩库!C242="","", YLE成绩库!M242)</f>
        <v/>
      </c>
      <c r="G742" t="str">
        <f>IF(YLE成绩库!C242="","", YLE成绩库!N242)</f>
        <v/>
      </c>
      <c r="H742" t="str">
        <f>IF(YLE成绩库!C242="","", YLE成绩库!O242)</f>
        <v/>
      </c>
      <c r="I742" t="str">
        <f>IF(YLE成绩库!C242="","", YLE成绩库!P242)</f>
        <v/>
      </c>
      <c r="J742" t="str">
        <f>IF(YLE成绩库!C242="","", YLE成绩库!Q242)</f>
        <v/>
      </c>
      <c r="K742" t="str">
        <f>IF(YLE成绩库!C242="","", YLE成绩库!R242)</f>
        <v/>
      </c>
      <c r="L742" t="str">
        <f>IF(YLE成绩库!C242="","", YLE成绩库!U242)</f>
        <v/>
      </c>
      <c r="M742">
        <v>0</v>
      </c>
      <c r="N742">
        <v>0</v>
      </c>
      <c r="O742">
        <v>0</v>
      </c>
      <c r="P742" t="str">
        <f>IF(YLE成绩库!C242="","", YLE成绩库!D242)</f>
        <v/>
      </c>
      <c r="Q742" t="str">
        <f>IF(YLE成绩库!C242="","", YLE成绩库!E242)</f>
        <v/>
      </c>
      <c r="R742" t="str">
        <f>IF(YLE成绩库!C242="","", YLE成绩库!F242)</f>
        <v/>
      </c>
      <c r="S742" t="str">
        <f>IF(YLE成绩库!C242="","", YLE成绩库!G242)</f>
        <v/>
      </c>
      <c r="T742" t="str">
        <f>IF(YLE成绩库!C242="","", YLE成绩库!H242)</f>
        <v/>
      </c>
      <c r="U742" t="str">
        <f>IF(YLE成绩库!C242="","", YLE成绩库!K242)</f>
        <v/>
      </c>
      <c r="V742" t="str">
        <f>IF(YLE成绩库!C242="","", YLE成绩库!W242)</f>
        <v/>
      </c>
      <c r="W742" t="str">
        <f>IF(YLE成绩库!C242="","", YLE成绩库!X242)</f>
        <v/>
      </c>
      <c r="X742" t="str">
        <f>IF(YLE成绩库!C242="","", YLE成绩库!AA242)</f>
        <v/>
      </c>
      <c r="Z742" t="str">
        <f>IF(YLE成绩库!C242="","", YLE成绩库!Z242)</f>
        <v/>
      </c>
    </row>
    <row r="743" spans="1:26" x14ac:dyDescent="0.2">
      <c r="A743" t="str">
        <f>IF(YLE成绩库!C243="","", YLE成绩库!C243)</f>
        <v/>
      </c>
      <c r="B743" t="str">
        <f>IF(YLE成绩库!AB243="","", YLE成绩库!AB243)</f>
        <v/>
      </c>
      <c r="C743" t="str">
        <f>IF(YLE成绩库!B243="","", YLE成绩库!B243)</f>
        <v/>
      </c>
      <c r="D743" t="str">
        <f>IF(YLE成绩库!D243="","", YLE成绩库!D243)</f>
        <v/>
      </c>
      <c r="E743" t="str">
        <f>IF(YLE成绩库!C243="","", YLE成绩库!L243)</f>
        <v/>
      </c>
      <c r="F743" t="str">
        <f>IF(YLE成绩库!C243="","", YLE成绩库!M243)</f>
        <v/>
      </c>
      <c r="G743" t="str">
        <f>IF(YLE成绩库!C243="","", YLE成绩库!N243)</f>
        <v/>
      </c>
      <c r="H743" t="str">
        <f>IF(YLE成绩库!C243="","", YLE成绩库!O243)</f>
        <v/>
      </c>
      <c r="I743" t="str">
        <f>IF(YLE成绩库!C243="","", YLE成绩库!P243)</f>
        <v/>
      </c>
      <c r="J743" t="str">
        <f>IF(YLE成绩库!C243="","", YLE成绩库!Q243)</f>
        <v/>
      </c>
      <c r="K743" t="str">
        <f>IF(YLE成绩库!C243="","", YLE成绩库!R243)</f>
        <v/>
      </c>
      <c r="L743" t="str">
        <f>IF(YLE成绩库!C243="","", YLE成绩库!U243)</f>
        <v/>
      </c>
      <c r="M743">
        <v>0</v>
      </c>
      <c r="N743">
        <v>0</v>
      </c>
      <c r="O743">
        <v>0</v>
      </c>
      <c r="P743" t="str">
        <f>IF(YLE成绩库!C243="","", YLE成绩库!D243)</f>
        <v/>
      </c>
      <c r="Q743" t="str">
        <f>IF(YLE成绩库!C243="","", YLE成绩库!E243)</f>
        <v/>
      </c>
      <c r="R743" t="str">
        <f>IF(YLE成绩库!C243="","", YLE成绩库!F243)</f>
        <v/>
      </c>
      <c r="S743" t="str">
        <f>IF(YLE成绩库!C243="","", YLE成绩库!G243)</f>
        <v/>
      </c>
      <c r="T743" t="str">
        <f>IF(YLE成绩库!C243="","", YLE成绩库!H243)</f>
        <v/>
      </c>
      <c r="U743" t="str">
        <f>IF(YLE成绩库!C243="","", YLE成绩库!K243)</f>
        <v/>
      </c>
      <c r="V743" t="str">
        <f>IF(YLE成绩库!C243="","", YLE成绩库!W243)</f>
        <v/>
      </c>
      <c r="W743" t="str">
        <f>IF(YLE成绩库!C243="","", YLE成绩库!X243)</f>
        <v/>
      </c>
      <c r="X743" t="str">
        <f>IF(YLE成绩库!C243="","", YLE成绩库!AA243)</f>
        <v/>
      </c>
      <c r="Z743" t="str">
        <f>IF(YLE成绩库!C243="","", YLE成绩库!Z243)</f>
        <v/>
      </c>
    </row>
    <row r="744" spans="1:26" x14ac:dyDescent="0.2">
      <c r="A744" t="str">
        <f>IF(YLE成绩库!C244="","", YLE成绩库!C244)</f>
        <v/>
      </c>
      <c r="B744" t="str">
        <f>IF(YLE成绩库!AB244="","", YLE成绩库!AB244)</f>
        <v/>
      </c>
      <c r="C744" t="str">
        <f>IF(YLE成绩库!B244="","", YLE成绩库!B244)</f>
        <v/>
      </c>
      <c r="D744" t="str">
        <f>IF(YLE成绩库!D244="","", YLE成绩库!D244)</f>
        <v/>
      </c>
      <c r="E744" t="str">
        <f>IF(YLE成绩库!C244="","", YLE成绩库!L244)</f>
        <v/>
      </c>
      <c r="F744" t="str">
        <f>IF(YLE成绩库!C244="","", YLE成绩库!M244)</f>
        <v/>
      </c>
      <c r="G744" t="str">
        <f>IF(YLE成绩库!C244="","", YLE成绩库!N244)</f>
        <v/>
      </c>
      <c r="H744" t="str">
        <f>IF(YLE成绩库!C244="","", YLE成绩库!O244)</f>
        <v/>
      </c>
      <c r="I744" t="str">
        <f>IF(YLE成绩库!C244="","", YLE成绩库!P244)</f>
        <v/>
      </c>
      <c r="J744" t="str">
        <f>IF(YLE成绩库!C244="","", YLE成绩库!Q244)</f>
        <v/>
      </c>
      <c r="K744" t="str">
        <f>IF(YLE成绩库!C244="","", YLE成绩库!R244)</f>
        <v/>
      </c>
      <c r="L744" t="str">
        <f>IF(YLE成绩库!C244="","", YLE成绩库!U244)</f>
        <v/>
      </c>
      <c r="M744">
        <v>0</v>
      </c>
      <c r="N744">
        <v>0</v>
      </c>
      <c r="O744">
        <v>0</v>
      </c>
      <c r="P744" t="str">
        <f>IF(YLE成绩库!C244="","", YLE成绩库!D244)</f>
        <v/>
      </c>
      <c r="Q744" t="str">
        <f>IF(YLE成绩库!C244="","", YLE成绩库!E244)</f>
        <v/>
      </c>
      <c r="R744" t="str">
        <f>IF(YLE成绩库!C244="","", YLE成绩库!F244)</f>
        <v/>
      </c>
      <c r="S744" t="str">
        <f>IF(YLE成绩库!C244="","", YLE成绩库!G244)</f>
        <v/>
      </c>
      <c r="T744" t="str">
        <f>IF(YLE成绩库!C244="","", YLE成绩库!H244)</f>
        <v/>
      </c>
      <c r="U744" t="str">
        <f>IF(YLE成绩库!C244="","", YLE成绩库!K244)</f>
        <v/>
      </c>
      <c r="V744" t="str">
        <f>IF(YLE成绩库!C244="","", YLE成绩库!W244)</f>
        <v/>
      </c>
      <c r="W744" t="str">
        <f>IF(YLE成绩库!C244="","", YLE成绩库!X244)</f>
        <v/>
      </c>
      <c r="X744" t="str">
        <f>IF(YLE成绩库!C244="","", YLE成绩库!AA244)</f>
        <v/>
      </c>
      <c r="Z744" t="str">
        <f>IF(YLE成绩库!C244="","", YLE成绩库!Z244)</f>
        <v/>
      </c>
    </row>
    <row r="745" spans="1:26" x14ac:dyDescent="0.2">
      <c r="A745" t="str">
        <f>IF(YLE成绩库!C245="","", YLE成绩库!C245)</f>
        <v/>
      </c>
      <c r="B745" t="str">
        <f>IF(YLE成绩库!AB245="","", YLE成绩库!AB245)</f>
        <v/>
      </c>
      <c r="C745" t="str">
        <f>IF(YLE成绩库!B245="","", YLE成绩库!B245)</f>
        <v/>
      </c>
      <c r="D745" t="str">
        <f>IF(YLE成绩库!D245="","", YLE成绩库!D245)</f>
        <v/>
      </c>
      <c r="E745" t="str">
        <f>IF(YLE成绩库!C245="","", YLE成绩库!L245)</f>
        <v/>
      </c>
      <c r="F745" t="str">
        <f>IF(YLE成绩库!C245="","", YLE成绩库!M245)</f>
        <v/>
      </c>
      <c r="G745" t="str">
        <f>IF(YLE成绩库!C245="","", YLE成绩库!N245)</f>
        <v/>
      </c>
      <c r="H745" t="str">
        <f>IF(YLE成绩库!C245="","", YLE成绩库!O245)</f>
        <v/>
      </c>
      <c r="I745" t="str">
        <f>IF(YLE成绩库!C245="","", YLE成绩库!P245)</f>
        <v/>
      </c>
      <c r="J745" t="str">
        <f>IF(YLE成绩库!C245="","", YLE成绩库!Q245)</f>
        <v/>
      </c>
      <c r="K745" t="str">
        <f>IF(YLE成绩库!C245="","", YLE成绩库!R245)</f>
        <v/>
      </c>
      <c r="L745" t="str">
        <f>IF(YLE成绩库!C245="","", YLE成绩库!U245)</f>
        <v/>
      </c>
      <c r="M745">
        <v>0</v>
      </c>
      <c r="N745">
        <v>0</v>
      </c>
      <c r="O745">
        <v>0</v>
      </c>
      <c r="P745" t="str">
        <f>IF(YLE成绩库!C245="","", YLE成绩库!D245)</f>
        <v/>
      </c>
      <c r="Q745" t="str">
        <f>IF(YLE成绩库!C245="","", YLE成绩库!E245)</f>
        <v/>
      </c>
      <c r="R745" t="str">
        <f>IF(YLE成绩库!C245="","", YLE成绩库!F245)</f>
        <v/>
      </c>
      <c r="S745" t="str">
        <f>IF(YLE成绩库!C245="","", YLE成绩库!G245)</f>
        <v/>
      </c>
      <c r="T745" t="str">
        <f>IF(YLE成绩库!C245="","", YLE成绩库!H245)</f>
        <v/>
      </c>
      <c r="U745" t="str">
        <f>IF(YLE成绩库!C245="","", YLE成绩库!K245)</f>
        <v/>
      </c>
      <c r="V745" t="str">
        <f>IF(YLE成绩库!C245="","", YLE成绩库!W245)</f>
        <v/>
      </c>
      <c r="W745" t="str">
        <f>IF(YLE成绩库!C245="","", YLE成绩库!X245)</f>
        <v/>
      </c>
      <c r="X745" t="str">
        <f>IF(YLE成绩库!C245="","", YLE成绩库!AA245)</f>
        <v/>
      </c>
      <c r="Z745" t="str">
        <f>IF(YLE成绩库!C245="","", YLE成绩库!Z245)</f>
        <v/>
      </c>
    </row>
    <row r="746" spans="1:26" x14ac:dyDescent="0.2">
      <c r="A746" t="str">
        <f>IF(YLE成绩库!C246="","", YLE成绩库!C246)</f>
        <v/>
      </c>
      <c r="B746" t="str">
        <f>IF(YLE成绩库!AB246="","", YLE成绩库!AB246)</f>
        <v/>
      </c>
      <c r="C746" t="str">
        <f>IF(YLE成绩库!B246="","", YLE成绩库!B246)</f>
        <v/>
      </c>
      <c r="D746" t="str">
        <f>IF(YLE成绩库!D246="","", YLE成绩库!D246)</f>
        <v/>
      </c>
      <c r="E746" t="str">
        <f>IF(YLE成绩库!C246="","", YLE成绩库!L246)</f>
        <v/>
      </c>
      <c r="F746" t="str">
        <f>IF(YLE成绩库!C246="","", YLE成绩库!M246)</f>
        <v/>
      </c>
      <c r="G746" t="str">
        <f>IF(YLE成绩库!C246="","", YLE成绩库!N246)</f>
        <v/>
      </c>
      <c r="H746" t="str">
        <f>IF(YLE成绩库!C246="","", YLE成绩库!O246)</f>
        <v/>
      </c>
      <c r="I746" t="str">
        <f>IF(YLE成绩库!C246="","", YLE成绩库!P246)</f>
        <v/>
      </c>
      <c r="J746" t="str">
        <f>IF(YLE成绩库!C246="","", YLE成绩库!Q246)</f>
        <v/>
      </c>
      <c r="K746" t="str">
        <f>IF(YLE成绩库!C246="","", YLE成绩库!R246)</f>
        <v/>
      </c>
      <c r="L746" t="str">
        <f>IF(YLE成绩库!C246="","", YLE成绩库!U246)</f>
        <v/>
      </c>
      <c r="M746">
        <v>0</v>
      </c>
      <c r="N746">
        <v>0</v>
      </c>
      <c r="O746">
        <v>0</v>
      </c>
      <c r="P746" t="str">
        <f>IF(YLE成绩库!C246="","", YLE成绩库!D246)</f>
        <v/>
      </c>
      <c r="Q746" t="str">
        <f>IF(YLE成绩库!C246="","", YLE成绩库!E246)</f>
        <v/>
      </c>
      <c r="R746" t="str">
        <f>IF(YLE成绩库!C246="","", YLE成绩库!F246)</f>
        <v/>
      </c>
      <c r="S746" t="str">
        <f>IF(YLE成绩库!C246="","", YLE成绩库!G246)</f>
        <v/>
      </c>
      <c r="T746" t="str">
        <f>IF(YLE成绩库!C246="","", YLE成绩库!H246)</f>
        <v/>
      </c>
      <c r="U746" t="str">
        <f>IF(YLE成绩库!C246="","", YLE成绩库!K246)</f>
        <v/>
      </c>
      <c r="V746" t="str">
        <f>IF(YLE成绩库!C246="","", YLE成绩库!W246)</f>
        <v/>
      </c>
      <c r="W746" t="str">
        <f>IF(YLE成绩库!C246="","", YLE成绩库!X246)</f>
        <v/>
      </c>
      <c r="X746" t="str">
        <f>IF(YLE成绩库!C246="","", YLE成绩库!AA246)</f>
        <v/>
      </c>
      <c r="Z746" t="str">
        <f>IF(YLE成绩库!C246="","", YLE成绩库!Z246)</f>
        <v/>
      </c>
    </row>
    <row r="747" spans="1:26" x14ac:dyDescent="0.2">
      <c r="A747" t="str">
        <f>IF(YLE成绩库!C247="","", YLE成绩库!C247)</f>
        <v/>
      </c>
      <c r="B747" t="str">
        <f>IF(YLE成绩库!AB247="","", YLE成绩库!AB247)</f>
        <v/>
      </c>
      <c r="C747" t="str">
        <f>IF(YLE成绩库!B247="","", YLE成绩库!B247)</f>
        <v/>
      </c>
      <c r="D747" t="str">
        <f>IF(YLE成绩库!D247="","", YLE成绩库!D247)</f>
        <v/>
      </c>
      <c r="E747" t="str">
        <f>IF(YLE成绩库!C247="","", YLE成绩库!L247)</f>
        <v/>
      </c>
      <c r="F747" t="str">
        <f>IF(YLE成绩库!C247="","", YLE成绩库!M247)</f>
        <v/>
      </c>
      <c r="G747" t="str">
        <f>IF(YLE成绩库!C247="","", YLE成绩库!N247)</f>
        <v/>
      </c>
      <c r="H747" t="str">
        <f>IF(YLE成绩库!C247="","", YLE成绩库!O247)</f>
        <v/>
      </c>
      <c r="I747" t="str">
        <f>IF(YLE成绩库!C247="","", YLE成绩库!P247)</f>
        <v/>
      </c>
      <c r="J747" t="str">
        <f>IF(YLE成绩库!C247="","", YLE成绩库!Q247)</f>
        <v/>
      </c>
      <c r="K747" t="str">
        <f>IF(YLE成绩库!C247="","", YLE成绩库!R247)</f>
        <v/>
      </c>
      <c r="L747" t="str">
        <f>IF(YLE成绩库!C247="","", YLE成绩库!U247)</f>
        <v/>
      </c>
      <c r="M747">
        <v>0</v>
      </c>
      <c r="N747">
        <v>0</v>
      </c>
      <c r="O747">
        <v>0</v>
      </c>
      <c r="P747" t="str">
        <f>IF(YLE成绩库!C247="","", YLE成绩库!D247)</f>
        <v/>
      </c>
      <c r="Q747" t="str">
        <f>IF(YLE成绩库!C247="","", YLE成绩库!E247)</f>
        <v/>
      </c>
      <c r="R747" t="str">
        <f>IF(YLE成绩库!C247="","", YLE成绩库!F247)</f>
        <v/>
      </c>
      <c r="S747" t="str">
        <f>IF(YLE成绩库!C247="","", YLE成绩库!G247)</f>
        <v/>
      </c>
      <c r="T747" t="str">
        <f>IF(YLE成绩库!C247="","", YLE成绩库!H247)</f>
        <v/>
      </c>
      <c r="U747" t="str">
        <f>IF(YLE成绩库!C247="","", YLE成绩库!K247)</f>
        <v/>
      </c>
      <c r="V747" t="str">
        <f>IF(YLE成绩库!C247="","", YLE成绩库!W247)</f>
        <v/>
      </c>
      <c r="W747" t="str">
        <f>IF(YLE成绩库!C247="","", YLE成绩库!X247)</f>
        <v/>
      </c>
      <c r="X747" t="str">
        <f>IF(YLE成绩库!C247="","", YLE成绩库!AA247)</f>
        <v/>
      </c>
      <c r="Z747" t="str">
        <f>IF(YLE成绩库!C247="","", YLE成绩库!Z247)</f>
        <v/>
      </c>
    </row>
    <row r="748" spans="1:26" x14ac:dyDescent="0.2">
      <c r="A748" t="str">
        <f>IF(YLE成绩库!C248="","", YLE成绩库!C248)</f>
        <v/>
      </c>
      <c r="B748" t="str">
        <f>IF(YLE成绩库!AB248="","", YLE成绩库!AB248)</f>
        <v/>
      </c>
      <c r="C748" t="str">
        <f>IF(YLE成绩库!B248="","", YLE成绩库!B248)</f>
        <v/>
      </c>
      <c r="D748" t="str">
        <f>IF(YLE成绩库!D248="","", YLE成绩库!D248)</f>
        <v/>
      </c>
      <c r="E748" t="str">
        <f>IF(YLE成绩库!C248="","", YLE成绩库!L248)</f>
        <v/>
      </c>
      <c r="F748" t="str">
        <f>IF(YLE成绩库!C248="","", YLE成绩库!M248)</f>
        <v/>
      </c>
      <c r="G748" t="str">
        <f>IF(YLE成绩库!C248="","", YLE成绩库!N248)</f>
        <v/>
      </c>
      <c r="H748" t="str">
        <f>IF(YLE成绩库!C248="","", YLE成绩库!O248)</f>
        <v/>
      </c>
      <c r="I748" t="str">
        <f>IF(YLE成绩库!C248="","", YLE成绩库!P248)</f>
        <v/>
      </c>
      <c r="J748" t="str">
        <f>IF(YLE成绩库!C248="","", YLE成绩库!Q248)</f>
        <v/>
      </c>
      <c r="K748" t="str">
        <f>IF(YLE成绩库!C248="","", YLE成绩库!R248)</f>
        <v/>
      </c>
      <c r="L748" t="str">
        <f>IF(YLE成绩库!C248="","", YLE成绩库!U248)</f>
        <v/>
      </c>
      <c r="M748">
        <v>0</v>
      </c>
      <c r="N748">
        <v>0</v>
      </c>
      <c r="O748">
        <v>0</v>
      </c>
      <c r="P748" t="str">
        <f>IF(YLE成绩库!C248="","", YLE成绩库!D248)</f>
        <v/>
      </c>
      <c r="Q748" t="str">
        <f>IF(YLE成绩库!C248="","", YLE成绩库!E248)</f>
        <v/>
      </c>
      <c r="R748" t="str">
        <f>IF(YLE成绩库!C248="","", YLE成绩库!F248)</f>
        <v/>
      </c>
      <c r="S748" t="str">
        <f>IF(YLE成绩库!C248="","", YLE成绩库!G248)</f>
        <v/>
      </c>
      <c r="T748" t="str">
        <f>IF(YLE成绩库!C248="","", YLE成绩库!H248)</f>
        <v/>
      </c>
      <c r="U748" t="str">
        <f>IF(YLE成绩库!C248="","", YLE成绩库!K248)</f>
        <v/>
      </c>
      <c r="V748" t="str">
        <f>IF(YLE成绩库!C248="","", YLE成绩库!W248)</f>
        <v/>
      </c>
      <c r="W748" t="str">
        <f>IF(YLE成绩库!C248="","", YLE成绩库!X248)</f>
        <v/>
      </c>
      <c r="X748" t="str">
        <f>IF(YLE成绩库!C248="","", YLE成绩库!AA248)</f>
        <v/>
      </c>
      <c r="Z748" t="str">
        <f>IF(YLE成绩库!C248="","", YLE成绩库!Z248)</f>
        <v/>
      </c>
    </row>
    <row r="749" spans="1:26" x14ac:dyDescent="0.2">
      <c r="A749" t="str">
        <f>IF(YLE成绩库!C249="","", YLE成绩库!C249)</f>
        <v/>
      </c>
      <c r="B749" t="str">
        <f>IF(YLE成绩库!AB249="","", YLE成绩库!AB249)</f>
        <v/>
      </c>
      <c r="C749" t="str">
        <f>IF(YLE成绩库!B249="","", YLE成绩库!B249)</f>
        <v/>
      </c>
      <c r="D749" t="str">
        <f>IF(YLE成绩库!D249="","", YLE成绩库!D249)</f>
        <v/>
      </c>
      <c r="E749" t="str">
        <f>IF(YLE成绩库!C249="","", YLE成绩库!L249)</f>
        <v/>
      </c>
      <c r="F749" t="str">
        <f>IF(YLE成绩库!C249="","", YLE成绩库!M249)</f>
        <v/>
      </c>
      <c r="G749" t="str">
        <f>IF(YLE成绩库!C249="","", YLE成绩库!N249)</f>
        <v/>
      </c>
      <c r="H749" t="str">
        <f>IF(YLE成绩库!C249="","", YLE成绩库!O249)</f>
        <v/>
      </c>
      <c r="I749" t="str">
        <f>IF(YLE成绩库!C249="","", YLE成绩库!P249)</f>
        <v/>
      </c>
      <c r="J749" t="str">
        <f>IF(YLE成绩库!C249="","", YLE成绩库!Q249)</f>
        <v/>
      </c>
      <c r="K749" t="str">
        <f>IF(YLE成绩库!C249="","", YLE成绩库!R249)</f>
        <v/>
      </c>
      <c r="L749" t="str">
        <f>IF(YLE成绩库!C249="","", YLE成绩库!U249)</f>
        <v/>
      </c>
      <c r="M749">
        <v>0</v>
      </c>
      <c r="N749">
        <v>0</v>
      </c>
      <c r="O749">
        <v>0</v>
      </c>
      <c r="P749" t="str">
        <f>IF(YLE成绩库!C249="","", YLE成绩库!D249)</f>
        <v/>
      </c>
      <c r="Q749" t="str">
        <f>IF(YLE成绩库!C249="","", YLE成绩库!E249)</f>
        <v/>
      </c>
      <c r="R749" t="str">
        <f>IF(YLE成绩库!C249="","", YLE成绩库!F249)</f>
        <v/>
      </c>
      <c r="S749" t="str">
        <f>IF(YLE成绩库!C249="","", YLE成绩库!G249)</f>
        <v/>
      </c>
      <c r="T749" t="str">
        <f>IF(YLE成绩库!C249="","", YLE成绩库!H249)</f>
        <v/>
      </c>
      <c r="U749" t="str">
        <f>IF(YLE成绩库!C249="","", YLE成绩库!K249)</f>
        <v/>
      </c>
      <c r="V749" t="str">
        <f>IF(YLE成绩库!C249="","", YLE成绩库!W249)</f>
        <v/>
      </c>
      <c r="W749" t="str">
        <f>IF(YLE成绩库!C249="","", YLE成绩库!X249)</f>
        <v/>
      </c>
      <c r="X749" t="str">
        <f>IF(YLE成绩库!C249="","", YLE成绩库!AA249)</f>
        <v/>
      </c>
      <c r="Z749" t="str">
        <f>IF(YLE成绩库!C249="","", YLE成绩库!Z249)</f>
        <v/>
      </c>
    </row>
    <row r="750" spans="1:26" x14ac:dyDescent="0.2">
      <c r="A750" t="str">
        <f>IF(YLE成绩库!C250="","", YLE成绩库!C250)</f>
        <v/>
      </c>
      <c r="B750" t="str">
        <f>IF(YLE成绩库!AB250="","", YLE成绩库!AB250)</f>
        <v/>
      </c>
      <c r="C750" t="str">
        <f>IF(YLE成绩库!B250="","", YLE成绩库!B250)</f>
        <v/>
      </c>
      <c r="D750" t="str">
        <f>IF(YLE成绩库!D250="","", YLE成绩库!D250)</f>
        <v/>
      </c>
      <c r="E750" t="str">
        <f>IF(YLE成绩库!C250="","", YLE成绩库!L250)</f>
        <v/>
      </c>
      <c r="F750" t="str">
        <f>IF(YLE成绩库!C250="","", YLE成绩库!M250)</f>
        <v/>
      </c>
      <c r="G750" t="str">
        <f>IF(YLE成绩库!C250="","", YLE成绩库!N250)</f>
        <v/>
      </c>
      <c r="H750" t="str">
        <f>IF(YLE成绩库!C250="","", YLE成绩库!O250)</f>
        <v/>
      </c>
      <c r="I750" t="str">
        <f>IF(YLE成绩库!C250="","", YLE成绩库!P250)</f>
        <v/>
      </c>
      <c r="J750" t="str">
        <f>IF(YLE成绩库!C250="","", YLE成绩库!Q250)</f>
        <v/>
      </c>
      <c r="K750" t="str">
        <f>IF(YLE成绩库!C250="","", YLE成绩库!R250)</f>
        <v/>
      </c>
      <c r="L750" t="str">
        <f>IF(YLE成绩库!C250="","", YLE成绩库!U250)</f>
        <v/>
      </c>
      <c r="M750">
        <v>0</v>
      </c>
      <c r="N750">
        <v>0</v>
      </c>
      <c r="O750">
        <v>0</v>
      </c>
      <c r="P750" t="str">
        <f>IF(YLE成绩库!C250="","", YLE成绩库!D250)</f>
        <v/>
      </c>
      <c r="Q750" t="str">
        <f>IF(YLE成绩库!C250="","", YLE成绩库!E250)</f>
        <v/>
      </c>
      <c r="R750" t="str">
        <f>IF(YLE成绩库!C250="","", YLE成绩库!F250)</f>
        <v/>
      </c>
      <c r="S750" t="str">
        <f>IF(YLE成绩库!C250="","", YLE成绩库!G250)</f>
        <v/>
      </c>
      <c r="T750" t="str">
        <f>IF(YLE成绩库!C250="","", YLE成绩库!H250)</f>
        <v/>
      </c>
      <c r="U750" t="str">
        <f>IF(YLE成绩库!C250="","", YLE成绩库!K250)</f>
        <v/>
      </c>
      <c r="V750" t="str">
        <f>IF(YLE成绩库!C250="","", YLE成绩库!W250)</f>
        <v/>
      </c>
      <c r="W750" t="str">
        <f>IF(YLE成绩库!C250="","", YLE成绩库!X250)</f>
        <v/>
      </c>
      <c r="X750" t="str">
        <f>IF(YLE成绩库!C250="","", YLE成绩库!AA250)</f>
        <v/>
      </c>
      <c r="Z750" t="str">
        <f>IF(YLE成绩库!C250="","", YLE成绩库!Z250)</f>
        <v/>
      </c>
    </row>
    <row r="751" spans="1:26" x14ac:dyDescent="0.2">
      <c r="A751" t="str">
        <f>IF(YLE成绩库!C251="","", YLE成绩库!C251)</f>
        <v/>
      </c>
      <c r="B751" t="str">
        <f>IF(YLE成绩库!AB251="","", YLE成绩库!AB251)</f>
        <v/>
      </c>
      <c r="C751" t="str">
        <f>IF(YLE成绩库!B251="","", YLE成绩库!B251)</f>
        <v/>
      </c>
      <c r="D751" t="str">
        <f>IF(YLE成绩库!D251="","", YLE成绩库!D251)</f>
        <v/>
      </c>
      <c r="E751" t="str">
        <f>IF(YLE成绩库!C251="","", YLE成绩库!L251)</f>
        <v/>
      </c>
      <c r="F751" t="str">
        <f>IF(YLE成绩库!C251="","", YLE成绩库!M251)</f>
        <v/>
      </c>
      <c r="G751" t="str">
        <f>IF(YLE成绩库!C251="","", YLE成绩库!N251)</f>
        <v/>
      </c>
      <c r="H751" t="str">
        <f>IF(YLE成绩库!C251="","", YLE成绩库!O251)</f>
        <v/>
      </c>
      <c r="I751" t="str">
        <f>IF(YLE成绩库!C251="","", YLE成绩库!P251)</f>
        <v/>
      </c>
      <c r="J751" t="str">
        <f>IF(YLE成绩库!C251="","", YLE成绩库!Q251)</f>
        <v/>
      </c>
      <c r="K751" t="str">
        <f>IF(YLE成绩库!C251="","", YLE成绩库!R251)</f>
        <v/>
      </c>
      <c r="L751" t="str">
        <f>IF(YLE成绩库!C251="","", YLE成绩库!U251)</f>
        <v/>
      </c>
      <c r="M751">
        <v>0</v>
      </c>
      <c r="N751">
        <v>0</v>
      </c>
      <c r="O751">
        <v>0</v>
      </c>
      <c r="P751" t="str">
        <f>IF(YLE成绩库!C251="","", YLE成绩库!D251)</f>
        <v/>
      </c>
      <c r="Q751" t="str">
        <f>IF(YLE成绩库!C251="","", YLE成绩库!E251)</f>
        <v/>
      </c>
      <c r="R751" t="str">
        <f>IF(YLE成绩库!C251="","", YLE成绩库!F251)</f>
        <v/>
      </c>
      <c r="S751" t="str">
        <f>IF(YLE成绩库!C251="","", YLE成绩库!G251)</f>
        <v/>
      </c>
      <c r="T751" t="str">
        <f>IF(YLE成绩库!C251="","", YLE成绩库!H251)</f>
        <v/>
      </c>
      <c r="U751" t="str">
        <f>IF(YLE成绩库!C251="","", YLE成绩库!K251)</f>
        <v/>
      </c>
      <c r="V751" t="str">
        <f>IF(YLE成绩库!C251="","", YLE成绩库!W251)</f>
        <v/>
      </c>
      <c r="W751" t="str">
        <f>IF(YLE成绩库!C251="","", YLE成绩库!X251)</f>
        <v/>
      </c>
      <c r="X751" t="str">
        <f>IF(YLE成绩库!C251="","", YLE成绩库!AA251)</f>
        <v/>
      </c>
      <c r="Z751" t="str">
        <f>IF(YLE成绩库!C251="","", YLE成绩库!Z251)</f>
        <v/>
      </c>
    </row>
    <row r="752" spans="1:26" x14ac:dyDescent="0.2">
      <c r="A752" t="str">
        <f>IF(YLE成绩库!C252="","", YLE成绩库!C252)</f>
        <v/>
      </c>
      <c r="B752" t="str">
        <f>IF(YLE成绩库!AB252="","", YLE成绩库!AB252)</f>
        <v/>
      </c>
      <c r="C752" t="str">
        <f>IF(YLE成绩库!B252="","", YLE成绩库!B252)</f>
        <v/>
      </c>
      <c r="D752" t="str">
        <f>IF(YLE成绩库!D252="","", YLE成绩库!D252)</f>
        <v/>
      </c>
      <c r="E752" t="str">
        <f>IF(YLE成绩库!C252="","", YLE成绩库!L252)</f>
        <v/>
      </c>
      <c r="F752" t="str">
        <f>IF(YLE成绩库!C252="","", YLE成绩库!M252)</f>
        <v/>
      </c>
      <c r="G752" t="str">
        <f>IF(YLE成绩库!C252="","", YLE成绩库!N252)</f>
        <v/>
      </c>
      <c r="H752" t="str">
        <f>IF(YLE成绩库!C252="","", YLE成绩库!O252)</f>
        <v/>
      </c>
      <c r="I752" t="str">
        <f>IF(YLE成绩库!C252="","", YLE成绩库!P252)</f>
        <v/>
      </c>
      <c r="J752" t="str">
        <f>IF(YLE成绩库!C252="","", YLE成绩库!Q252)</f>
        <v/>
      </c>
      <c r="K752" t="str">
        <f>IF(YLE成绩库!C252="","", YLE成绩库!R252)</f>
        <v/>
      </c>
      <c r="L752" t="str">
        <f>IF(YLE成绩库!C252="","", YLE成绩库!U252)</f>
        <v/>
      </c>
      <c r="M752">
        <v>0</v>
      </c>
      <c r="N752">
        <v>0</v>
      </c>
      <c r="O752">
        <v>0</v>
      </c>
      <c r="P752" t="str">
        <f>IF(YLE成绩库!C252="","", YLE成绩库!D252)</f>
        <v/>
      </c>
      <c r="Q752" t="str">
        <f>IF(YLE成绩库!C252="","", YLE成绩库!E252)</f>
        <v/>
      </c>
      <c r="R752" t="str">
        <f>IF(YLE成绩库!C252="","", YLE成绩库!F252)</f>
        <v/>
      </c>
      <c r="S752" t="str">
        <f>IF(YLE成绩库!C252="","", YLE成绩库!G252)</f>
        <v/>
      </c>
      <c r="T752" t="str">
        <f>IF(YLE成绩库!C252="","", YLE成绩库!H252)</f>
        <v/>
      </c>
      <c r="U752" t="str">
        <f>IF(YLE成绩库!C252="","", YLE成绩库!K252)</f>
        <v/>
      </c>
      <c r="V752" t="str">
        <f>IF(YLE成绩库!C252="","", YLE成绩库!W252)</f>
        <v/>
      </c>
      <c r="W752" t="str">
        <f>IF(YLE成绩库!C252="","", YLE成绩库!X252)</f>
        <v/>
      </c>
      <c r="X752" t="str">
        <f>IF(YLE成绩库!C252="","", YLE成绩库!AA252)</f>
        <v/>
      </c>
      <c r="Z752" t="str">
        <f>IF(YLE成绩库!C252="","", YLE成绩库!Z252)</f>
        <v/>
      </c>
    </row>
    <row r="753" spans="1:26" x14ac:dyDescent="0.2">
      <c r="A753" t="str">
        <f>IF(YLE成绩库!C253="","", YLE成绩库!C253)</f>
        <v/>
      </c>
      <c r="B753" t="str">
        <f>IF(YLE成绩库!AB253="","", YLE成绩库!AB253)</f>
        <v/>
      </c>
      <c r="C753" t="str">
        <f>IF(YLE成绩库!B253="","", YLE成绩库!B253)</f>
        <v/>
      </c>
      <c r="D753" t="str">
        <f>IF(YLE成绩库!D253="","", YLE成绩库!D253)</f>
        <v/>
      </c>
      <c r="E753" t="str">
        <f>IF(YLE成绩库!C253="","", YLE成绩库!L253)</f>
        <v/>
      </c>
      <c r="F753" t="str">
        <f>IF(YLE成绩库!C253="","", YLE成绩库!M253)</f>
        <v/>
      </c>
      <c r="G753" t="str">
        <f>IF(YLE成绩库!C253="","", YLE成绩库!N253)</f>
        <v/>
      </c>
      <c r="H753" t="str">
        <f>IF(YLE成绩库!C253="","", YLE成绩库!O253)</f>
        <v/>
      </c>
      <c r="I753" t="str">
        <f>IF(YLE成绩库!C253="","", YLE成绩库!P253)</f>
        <v/>
      </c>
      <c r="J753" t="str">
        <f>IF(YLE成绩库!C253="","", YLE成绩库!Q253)</f>
        <v/>
      </c>
      <c r="K753" t="str">
        <f>IF(YLE成绩库!C253="","", YLE成绩库!R253)</f>
        <v/>
      </c>
      <c r="L753" t="str">
        <f>IF(YLE成绩库!C253="","", YLE成绩库!U253)</f>
        <v/>
      </c>
      <c r="M753">
        <v>0</v>
      </c>
      <c r="N753">
        <v>0</v>
      </c>
      <c r="O753">
        <v>0</v>
      </c>
      <c r="P753" t="str">
        <f>IF(YLE成绩库!C253="","", YLE成绩库!D253)</f>
        <v/>
      </c>
      <c r="Q753" t="str">
        <f>IF(YLE成绩库!C253="","", YLE成绩库!E253)</f>
        <v/>
      </c>
      <c r="R753" t="str">
        <f>IF(YLE成绩库!C253="","", YLE成绩库!F253)</f>
        <v/>
      </c>
      <c r="S753" t="str">
        <f>IF(YLE成绩库!C253="","", YLE成绩库!G253)</f>
        <v/>
      </c>
      <c r="T753" t="str">
        <f>IF(YLE成绩库!C253="","", YLE成绩库!H253)</f>
        <v/>
      </c>
      <c r="U753" t="str">
        <f>IF(YLE成绩库!C253="","", YLE成绩库!K253)</f>
        <v/>
      </c>
      <c r="V753" t="str">
        <f>IF(YLE成绩库!C253="","", YLE成绩库!W253)</f>
        <v/>
      </c>
      <c r="W753" t="str">
        <f>IF(YLE成绩库!C253="","", YLE成绩库!X253)</f>
        <v/>
      </c>
      <c r="X753" t="str">
        <f>IF(YLE成绩库!C253="","", YLE成绩库!AA253)</f>
        <v/>
      </c>
      <c r="Z753" t="str">
        <f>IF(YLE成绩库!C253="","", YLE成绩库!Z253)</f>
        <v/>
      </c>
    </row>
    <row r="754" spans="1:26" x14ac:dyDescent="0.2">
      <c r="A754" t="str">
        <f>IF(YLE成绩库!C254="","", YLE成绩库!C254)</f>
        <v/>
      </c>
      <c r="B754" t="str">
        <f>IF(YLE成绩库!AB254="","", YLE成绩库!AB254)</f>
        <v/>
      </c>
      <c r="C754" t="str">
        <f>IF(YLE成绩库!B254="","", YLE成绩库!B254)</f>
        <v/>
      </c>
      <c r="D754" t="str">
        <f>IF(YLE成绩库!D254="","", YLE成绩库!D254)</f>
        <v/>
      </c>
      <c r="E754" t="str">
        <f>IF(YLE成绩库!C254="","", YLE成绩库!L254)</f>
        <v/>
      </c>
      <c r="F754" t="str">
        <f>IF(YLE成绩库!C254="","", YLE成绩库!M254)</f>
        <v/>
      </c>
      <c r="G754" t="str">
        <f>IF(YLE成绩库!C254="","", YLE成绩库!N254)</f>
        <v/>
      </c>
      <c r="H754" t="str">
        <f>IF(YLE成绩库!C254="","", YLE成绩库!O254)</f>
        <v/>
      </c>
      <c r="I754" t="str">
        <f>IF(YLE成绩库!C254="","", YLE成绩库!P254)</f>
        <v/>
      </c>
      <c r="J754" t="str">
        <f>IF(YLE成绩库!C254="","", YLE成绩库!Q254)</f>
        <v/>
      </c>
      <c r="K754" t="str">
        <f>IF(YLE成绩库!C254="","", YLE成绩库!R254)</f>
        <v/>
      </c>
      <c r="L754" t="str">
        <f>IF(YLE成绩库!C254="","", YLE成绩库!U254)</f>
        <v/>
      </c>
      <c r="M754">
        <v>0</v>
      </c>
      <c r="N754">
        <v>0</v>
      </c>
      <c r="O754">
        <v>0</v>
      </c>
      <c r="P754" t="str">
        <f>IF(YLE成绩库!C254="","", YLE成绩库!D254)</f>
        <v/>
      </c>
      <c r="Q754" t="str">
        <f>IF(YLE成绩库!C254="","", YLE成绩库!E254)</f>
        <v/>
      </c>
      <c r="R754" t="str">
        <f>IF(YLE成绩库!C254="","", YLE成绩库!F254)</f>
        <v/>
      </c>
      <c r="S754" t="str">
        <f>IF(YLE成绩库!C254="","", YLE成绩库!G254)</f>
        <v/>
      </c>
      <c r="T754" t="str">
        <f>IF(YLE成绩库!C254="","", YLE成绩库!H254)</f>
        <v/>
      </c>
      <c r="U754" t="str">
        <f>IF(YLE成绩库!C254="","", YLE成绩库!K254)</f>
        <v/>
      </c>
      <c r="V754" t="str">
        <f>IF(YLE成绩库!C254="","", YLE成绩库!W254)</f>
        <v/>
      </c>
      <c r="W754" t="str">
        <f>IF(YLE成绩库!C254="","", YLE成绩库!X254)</f>
        <v/>
      </c>
      <c r="X754" t="str">
        <f>IF(YLE成绩库!C254="","", YLE成绩库!AA254)</f>
        <v/>
      </c>
      <c r="Z754" t="str">
        <f>IF(YLE成绩库!C254="","", YLE成绩库!Z254)</f>
        <v/>
      </c>
    </row>
    <row r="755" spans="1:26" x14ac:dyDescent="0.2">
      <c r="A755" t="str">
        <f>IF(YLE成绩库!C255="","", YLE成绩库!C255)</f>
        <v/>
      </c>
      <c r="B755" t="str">
        <f>IF(YLE成绩库!AB255="","", YLE成绩库!AB255)</f>
        <v/>
      </c>
      <c r="C755" t="str">
        <f>IF(YLE成绩库!B255="","", YLE成绩库!B255)</f>
        <v/>
      </c>
      <c r="D755" t="str">
        <f>IF(YLE成绩库!D255="","", YLE成绩库!D255)</f>
        <v/>
      </c>
      <c r="E755" t="str">
        <f>IF(YLE成绩库!C255="","", YLE成绩库!L255)</f>
        <v/>
      </c>
      <c r="F755" t="str">
        <f>IF(YLE成绩库!C255="","", YLE成绩库!M255)</f>
        <v/>
      </c>
      <c r="G755" t="str">
        <f>IF(YLE成绩库!C255="","", YLE成绩库!N255)</f>
        <v/>
      </c>
      <c r="H755" t="str">
        <f>IF(YLE成绩库!C255="","", YLE成绩库!O255)</f>
        <v/>
      </c>
      <c r="I755" t="str">
        <f>IF(YLE成绩库!C255="","", YLE成绩库!P255)</f>
        <v/>
      </c>
      <c r="J755" t="str">
        <f>IF(YLE成绩库!C255="","", YLE成绩库!Q255)</f>
        <v/>
      </c>
      <c r="K755" t="str">
        <f>IF(YLE成绩库!C255="","", YLE成绩库!R255)</f>
        <v/>
      </c>
      <c r="L755" t="str">
        <f>IF(YLE成绩库!C255="","", YLE成绩库!U255)</f>
        <v/>
      </c>
      <c r="M755">
        <v>0</v>
      </c>
      <c r="N755">
        <v>0</v>
      </c>
      <c r="O755">
        <v>0</v>
      </c>
      <c r="P755" t="str">
        <f>IF(YLE成绩库!C255="","", YLE成绩库!D255)</f>
        <v/>
      </c>
      <c r="Q755" t="str">
        <f>IF(YLE成绩库!C255="","", YLE成绩库!E255)</f>
        <v/>
      </c>
      <c r="R755" t="str">
        <f>IF(YLE成绩库!C255="","", YLE成绩库!F255)</f>
        <v/>
      </c>
      <c r="S755" t="str">
        <f>IF(YLE成绩库!C255="","", YLE成绩库!G255)</f>
        <v/>
      </c>
      <c r="T755" t="str">
        <f>IF(YLE成绩库!C255="","", YLE成绩库!H255)</f>
        <v/>
      </c>
      <c r="U755" t="str">
        <f>IF(YLE成绩库!C255="","", YLE成绩库!K255)</f>
        <v/>
      </c>
      <c r="V755" t="str">
        <f>IF(YLE成绩库!C255="","", YLE成绩库!W255)</f>
        <v/>
      </c>
      <c r="W755" t="str">
        <f>IF(YLE成绩库!C255="","", YLE成绩库!X255)</f>
        <v/>
      </c>
      <c r="X755" t="str">
        <f>IF(YLE成绩库!C255="","", YLE成绩库!AA255)</f>
        <v/>
      </c>
      <c r="Z755" t="str">
        <f>IF(YLE成绩库!C255="","", YLE成绩库!Z255)</f>
        <v/>
      </c>
    </row>
    <row r="756" spans="1:26" x14ac:dyDescent="0.2">
      <c r="A756" t="str">
        <f>IF(YLE成绩库!C256="","", YLE成绩库!C256)</f>
        <v/>
      </c>
      <c r="B756" t="str">
        <f>IF(YLE成绩库!AB256="","", YLE成绩库!AB256)</f>
        <v/>
      </c>
      <c r="C756" t="str">
        <f>IF(YLE成绩库!B256="","", YLE成绩库!B256)</f>
        <v/>
      </c>
      <c r="D756" t="str">
        <f>IF(YLE成绩库!D256="","", YLE成绩库!D256)</f>
        <v/>
      </c>
      <c r="E756" t="str">
        <f>IF(YLE成绩库!C256="","", YLE成绩库!L256)</f>
        <v/>
      </c>
      <c r="F756" t="str">
        <f>IF(YLE成绩库!C256="","", YLE成绩库!M256)</f>
        <v/>
      </c>
      <c r="G756" t="str">
        <f>IF(YLE成绩库!C256="","", YLE成绩库!N256)</f>
        <v/>
      </c>
      <c r="H756" t="str">
        <f>IF(YLE成绩库!C256="","", YLE成绩库!O256)</f>
        <v/>
      </c>
      <c r="I756" t="str">
        <f>IF(YLE成绩库!C256="","", YLE成绩库!P256)</f>
        <v/>
      </c>
      <c r="J756" t="str">
        <f>IF(YLE成绩库!C256="","", YLE成绩库!Q256)</f>
        <v/>
      </c>
      <c r="K756" t="str">
        <f>IF(YLE成绩库!C256="","", YLE成绩库!R256)</f>
        <v/>
      </c>
      <c r="L756" t="str">
        <f>IF(YLE成绩库!C256="","", YLE成绩库!U256)</f>
        <v/>
      </c>
      <c r="M756">
        <v>0</v>
      </c>
      <c r="N756">
        <v>0</v>
      </c>
      <c r="O756">
        <v>0</v>
      </c>
      <c r="P756" t="str">
        <f>IF(YLE成绩库!C256="","", YLE成绩库!D256)</f>
        <v/>
      </c>
      <c r="Q756" t="str">
        <f>IF(YLE成绩库!C256="","", YLE成绩库!E256)</f>
        <v/>
      </c>
      <c r="R756" t="str">
        <f>IF(YLE成绩库!C256="","", YLE成绩库!F256)</f>
        <v/>
      </c>
      <c r="S756" t="str">
        <f>IF(YLE成绩库!C256="","", YLE成绩库!G256)</f>
        <v/>
      </c>
      <c r="T756" t="str">
        <f>IF(YLE成绩库!C256="","", YLE成绩库!H256)</f>
        <v/>
      </c>
      <c r="U756" t="str">
        <f>IF(YLE成绩库!C256="","", YLE成绩库!K256)</f>
        <v/>
      </c>
      <c r="V756" t="str">
        <f>IF(YLE成绩库!C256="","", YLE成绩库!W256)</f>
        <v/>
      </c>
      <c r="W756" t="str">
        <f>IF(YLE成绩库!C256="","", YLE成绩库!X256)</f>
        <v/>
      </c>
      <c r="X756" t="str">
        <f>IF(YLE成绩库!C256="","", YLE成绩库!AA256)</f>
        <v/>
      </c>
      <c r="Z756" t="str">
        <f>IF(YLE成绩库!C256="","", YLE成绩库!Z256)</f>
        <v/>
      </c>
    </row>
    <row r="757" spans="1:26" x14ac:dyDescent="0.2">
      <c r="A757" t="str">
        <f>IF(YLE成绩库!C257="","", YLE成绩库!C257)</f>
        <v/>
      </c>
      <c r="B757" t="str">
        <f>IF(YLE成绩库!AB257="","", YLE成绩库!AB257)</f>
        <v/>
      </c>
      <c r="C757" t="str">
        <f>IF(YLE成绩库!B257="","", YLE成绩库!B257)</f>
        <v/>
      </c>
      <c r="D757" t="str">
        <f>IF(YLE成绩库!D257="","", YLE成绩库!D257)</f>
        <v/>
      </c>
      <c r="E757" t="str">
        <f>IF(YLE成绩库!C257="","", YLE成绩库!L257)</f>
        <v/>
      </c>
      <c r="F757" t="str">
        <f>IF(YLE成绩库!C257="","", YLE成绩库!M257)</f>
        <v/>
      </c>
      <c r="G757" t="str">
        <f>IF(YLE成绩库!C257="","", YLE成绩库!N257)</f>
        <v/>
      </c>
      <c r="H757" t="str">
        <f>IF(YLE成绩库!C257="","", YLE成绩库!O257)</f>
        <v/>
      </c>
      <c r="I757" t="str">
        <f>IF(YLE成绩库!C257="","", YLE成绩库!P257)</f>
        <v/>
      </c>
      <c r="J757" t="str">
        <f>IF(YLE成绩库!C257="","", YLE成绩库!Q257)</f>
        <v/>
      </c>
      <c r="K757" t="str">
        <f>IF(YLE成绩库!C257="","", YLE成绩库!R257)</f>
        <v/>
      </c>
      <c r="L757" t="str">
        <f>IF(YLE成绩库!C257="","", YLE成绩库!U257)</f>
        <v/>
      </c>
      <c r="M757">
        <v>0</v>
      </c>
      <c r="N757">
        <v>0</v>
      </c>
      <c r="O757">
        <v>0</v>
      </c>
      <c r="P757" t="str">
        <f>IF(YLE成绩库!C257="","", YLE成绩库!D257)</f>
        <v/>
      </c>
      <c r="Q757" t="str">
        <f>IF(YLE成绩库!C257="","", YLE成绩库!E257)</f>
        <v/>
      </c>
      <c r="R757" t="str">
        <f>IF(YLE成绩库!C257="","", YLE成绩库!F257)</f>
        <v/>
      </c>
      <c r="S757" t="str">
        <f>IF(YLE成绩库!C257="","", YLE成绩库!G257)</f>
        <v/>
      </c>
      <c r="T757" t="str">
        <f>IF(YLE成绩库!C257="","", YLE成绩库!H257)</f>
        <v/>
      </c>
      <c r="U757" t="str">
        <f>IF(YLE成绩库!C257="","", YLE成绩库!K257)</f>
        <v/>
      </c>
      <c r="V757" t="str">
        <f>IF(YLE成绩库!C257="","", YLE成绩库!W257)</f>
        <v/>
      </c>
      <c r="W757" t="str">
        <f>IF(YLE成绩库!C257="","", YLE成绩库!X257)</f>
        <v/>
      </c>
      <c r="X757" t="str">
        <f>IF(YLE成绩库!C257="","", YLE成绩库!AA257)</f>
        <v/>
      </c>
      <c r="Z757" t="str">
        <f>IF(YLE成绩库!C257="","", YLE成绩库!Z257)</f>
        <v/>
      </c>
    </row>
    <row r="758" spans="1:26" x14ac:dyDescent="0.2">
      <c r="A758" t="str">
        <f>IF(YLE成绩库!C258="","", YLE成绩库!C258)</f>
        <v/>
      </c>
      <c r="B758" t="str">
        <f>IF(YLE成绩库!AB258="","", YLE成绩库!AB258)</f>
        <v/>
      </c>
      <c r="C758" t="str">
        <f>IF(YLE成绩库!B258="","", YLE成绩库!B258)</f>
        <v/>
      </c>
      <c r="D758" t="str">
        <f>IF(YLE成绩库!D258="","", YLE成绩库!D258)</f>
        <v/>
      </c>
      <c r="E758" t="str">
        <f>IF(YLE成绩库!C258="","", YLE成绩库!L258)</f>
        <v/>
      </c>
      <c r="F758" t="str">
        <f>IF(YLE成绩库!C258="","", YLE成绩库!M258)</f>
        <v/>
      </c>
      <c r="G758" t="str">
        <f>IF(YLE成绩库!C258="","", YLE成绩库!N258)</f>
        <v/>
      </c>
      <c r="H758" t="str">
        <f>IF(YLE成绩库!C258="","", YLE成绩库!O258)</f>
        <v/>
      </c>
      <c r="I758" t="str">
        <f>IF(YLE成绩库!C258="","", YLE成绩库!P258)</f>
        <v/>
      </c>
      <c r="J758" t="str">
        <f>IF(YLE成绩库!C258="","", YLE成绩库!Q258)</f>
        <v/>
      </c>
      <c r="K758" t="str">
        <f>IF(YLE成绩库!C258="","", YLE成绩库!R258)</f>
        <v/>
      </c>
      <c r="L758" t="str">
        <f>IF(YLE成绩库!C258="","", YLE成绩库!U258)</f>
        <v/>
      </c>
      <c r="M758">
        <v>0</v>
      </c>
      <c r="N758">
        <v>0</v>
      </c>
      <c r="O758">
        <v>0</v>
      </c>
      <c r="P758" t="str">
        <f>IF(YLE成绩库!C258="","", YLE成绩库!D258)</f>
        <v/>
      </c>
      <c r="Q758" t="str">
        <f>IF(YLE成绩库!C258="","", YLE成绩库!E258)</f>
        <v/>
      </c>
      <c r="R758" t="str">
        <f>IF(YLE成绩库!C258="","", YLE成绩库!F258)</f>
        <v/>
      </c>
      <c r="S758" t="str">
        <f>IF(YLE成绩库!C258="","", YLE成绩库!G258)</f>
        <v/>
      </c>
      <c r="T758" t="str">
        <f>IF(YLE成绩库!C258="","", YLE成绩库!H258)</f>
        <v/>
      </c>
      <c r="U758" t="str">
        <f>IF(YLE成绩库!C258="","", YLE成绩库!K258)</f>
        <v/>
      </c>
      <c r="V758" t="str">
        <f>IF(YLE成绩库!C258="","", YLE成绩库!W258)</f>
        <v/>
      </c>
      <c r="W758" t="str">
        <f>IF(YLE成绩库!C258="","", YLE成绩库!X258)</f>
        <v/>
      </c>
      <c r="X758" t="str">
        <f>IF(YLE成绩库!C258="","", YLE成绩库!AA258)</f>
        <v/>
      </c>
      <c r="Z758" t="str">
        <f>IF(YLE成绩库!C258="","", YLE成绩库!Z258)</f>
        <v/>
      </c>
    </row>
    <row r="759" spans="1:26" x14ac:dyDescent="0.2">
      <c r="A759" t="str">
        <f>IF(YLE成绩库!C259="","", YLE成绩库!C259)</f>
        <v/>
      </c>
      <c r="B759" t="str">
        <f>IF(YLE成绩库!AB259="","", YLE成绩库!AB259)</f>
        <v/>
      </c>
      <c r="C759" t="str">
        <f>IF(YLE成绩库!B259="","", YLE成绩库!B259)</f>
        <v/>
      </c>
      <c r="D759" t="str">
        <f>IF(YLE成绩库!D259="","", YLE成绩库!D259)</f>
        <v/>
      </c>
      <c r="E759" t="str">
        <f>IF(YLE成绩库!C259="","", YLE成绩库!L259)</f>
        <v/>
      </c>
      <c r="F759" t="str">
        <f>IF(YLE成绩库!C259="","", YLE成绩库!M259)</f>
        <v/>
      </c>
      <c r="G759" t="str">
        <f>IF(YLE成绩库!C259="","", YLE成绩库!N259)</f>
        <v/>
      </c>
      <c r="H759" t="str">
        <f>IF(YLE成绩库!C259="","", YLE成绩库!O259)</f>
        <v/>
      </c>
      <c r="I759" t="str">
        <f>IF(YLE成绩库!C259="","", YLE成绩库!P259)</f>
        <v/>
      </c>
      <c r="J759" t="str">
        <f>IF(YLE成绩库!C259="","", YLE成绩库!Q259)</f>
        <v/>
      </c>
      <c r="K759" t="str">
        <f>IF(YLE成绩库!C259="","", YLE成绩库!R259)</f>
        <v/>
      </c>
      <c r="L759" t="str">
        <f>IF(YLE成绩库!C259="","", YLE成绩库!U259)</f>
        <v/>
      </c>
      <c r="M759">
        <v>0</v>
      </c>
      <c r="N759">
        <v>0</v>
      </c>
      <c r="O759">
        <v>0</v>
      </c>
      <c r="P759" t="str">
        <f>IF(YLE成绩库!C259="","", YLE成绩库!D259)</f>
        <v/>
      </c>
      <c r="Q759" t="str">
        <f>IF(YLE成绩库!C259="","", YLE成绩库!E259)</f>
        <v/>
      </c>
      <c r="R759" t="str">
        <f>IF(YLE成绩库!C259="","", YLE成绩库!F259)</f>
        <v/>
      </c>
      <c r="S759" t="str">
        <f>IF(YLE成绩库!C259="","", YLE成绩库!G259)</f>
        <v/>
      </c>
      <c r="T759" t="str">
        <f>IF(YLE成绩库!C259="","", YLE成绩库!H259)</f>
        <v/>
      </c>
      <c r="U759" t="str">
        <f>IF(YLE成绩库!C259="","", YLE成绩库!K259)</f>
        <v/>
      </c>
      <c r="V759" t="str">
        <f>IF(YLE成绩库!C259="","", YLE成绩库!W259)</f>
        <v/>
      </c>
      <c r="W759" t="str">
        <f>IF(YLE成绩库!C259="","", YLE成绩库!X259)</f>
        <v/>
      </c>
      <c r="X759" t="str">
        <f>IF(YLE成绩库!C259="","", YLE成绩库!AA259)</f>
        <v/>
      </c>
      <c r="Z759" t="str">
        <f>IF(YLE成绩库!C259="","", YLE成绩库!Z259)</f>
        <v/>
      </c>
    </row>
    <row r="760" spans="1:26" x14ac:dyDescent="0.2">
      <c r="A760" t="str">
        <f>IF(YLE成绩库!C260="","", YLE成绩库!C260)</f>
        <v/>
      </c>
      <c r="B760" t="str">
        <f>IF(YLE成绩库!AB260="","", YLE成绩库!AB260)</f>
        <v/>
      </c>
      <c r="C760" t="str">
        <f>IF(YLE成绩库!B260="","", YLE成绩库!B260)</f>
        <v/>
      </c>
      <c r="D760" t="str">
        <f>IF(YLE成绩库!D260="","", YLE成绩库!D260)</f>
        <v/>
      </c>
      <c r="E760" t="str">
        <f>IF(YLE成绩库!C260="","", YLE成绩库!L260)</f>
        <v/>
      </c>
      <c r="F760" t="str">
        <f>IF(YLE成绩库!C260="","", YLE成绩库!M260)</f>
        <v/>
      </c>
      <c r="G760" t="str">
        <f>IF(YLE成绩库!C260="","", YLE成绩库!N260)</f>
        <v/>
      </c>
      <c r="H760" t="str">
        <f>IF(YLE成绩库!C260="","", YLE成绩库!O260)</f>
        <v/>
      </c>
      <c r="I760" t="str">
        <f>IF(YLE成绩库!C260="","", YLE成绩库!P260)</f>
        <v/>
      </c>
      <c r="J760" t="str">
        <f>IF(YLE成绩库!C260="","", YLE成绩库!Q260)</f>
        <v/>
      </c>
      <c r="K760" t="str">
        <f>IF(YLE成绩库!C260="","", YLE成绩库!R260)</f>
        <v/>
      </c>
      <c r="L760" t="str">
        <f>IF(YLE成绩库!C260="","", YLE成绩库!U260)</f>
        <v/>
      </c>
      <c r="M760">
        <v>0</v>
      </c>
      <c r="N760">
        <v>0</v>
      </c>
      <c r="O760">
        <v>0</v>
      </c>
      <c r="P760" t="str">
        <f>IF(YLE成绩库!C260="","", YLE成绩库!D260)</f>
        <v/>
      </c>
      <c r="Q760" t="str">
        <f>IF(YLE成绩库!C260="","", YLE成绩库!E260)</f>
        <v/>
      </c>
      <c r="R760" t="str">
        <f>IF(YLE成绩库!C260="","", YLE成绩库!F260)</f>
        <v/>
      </c>
      <c r="S760" t="str">
        <f>IF(YLE成绩库!C260="","", YLE成绩库!G260)</f>
        <v/>
      </c>
      <c r="T760" t="str">
        <f>IF(YLE成绩库!C260="","", YLE成绩库!H260)</f>
        <v/>
      </c>
      <c r="U760" t="str">
        <f>IF(YLE成绩库!C260="","", YLE成绩库!K260)</f>
        <v/>
      </c>
      <c r="V760" t="str">
        <f>IF(YLE成绩库!C260="","", YLE成绩库!W260)</f>
        <v/>
      </c>
      <c r="W760" t="str">
        <f>IF(YLE成绩库!C260="","", YLE成绩库!X260)</f>
        <v/>
      </c>
      <c r="X760" t="str">
        <f>IF(YLE成绩库!C260="","", YLE成绩库!AA260)</f>
        <v/>
      </c>
      <c r="Z760" t="str">
        <f>IF(YLE成绩库!C260="","", YLE成绩库!Z260)</f>
        <v/>
      </c>
    </row>
    <row r="761" spans="1:26" x14ac:dyDescent="0.2">
      <c r="A761" t="str">
        <f>IF(YLE成绩库!C261="","", YLE成绩库!C261)</f>
        <v/>
      </c>
      <c r="B761" t="str">
        <f>IF(YLE成绩库!AB261="","", YLE成绩库!AB261)</f>
        <v/>
      </c>
      <c r="C761" t="str">
        <f>IF(YLE成绩库!B261="","", YLE成绩库!B261)</f>
        <v/>
      </c>
      <c r="D761" t="str">
        <f>IF(YLE成绩库!D261="","", YLE成绩库!D261)</f>
        <v/>
      </c>
      <c r="E761" t="str">
        <f>IF(YLE成绩库!C261="","", YLE成绩库!L261)</f>
        <v/>
      </c>
      <c r="F761" t="str">
        <f>IF(YLE成绩库!C261="","", YLE成绩库!M261)</f>
        <v/>
      </c>
      <c r="G761" t="str">
        <f>IF(YLE成绩库!C261="","", YLE成绩库!N261)</f>
        <v/>
      </c>
      <c r="H761" t="str">
        <f>IF(YLE成绩库!C261="","", YLE成绩库!O261)</f>
        <v/>
      </c>
      <c r="I761" t="str">
        <f>IF(YLE成绩库!C261="","", YLE成绩库!P261)</f>
        <v/>
      </c>
      <c r="J761" t="str">
        <f>IF(YLE成绩库!C261="","", YLE成绩库!Q261)</f>
        <v/>
      </c>
      <c r="K761" t="str">
        <f>IF(YLE成绩库!C261="","", YLE成绩库!R261)</f>
        <v/>
      </c>
      <c r="L761" t="str">
        <f>IF(YLE成绩库!C261="","", YLE成绩库!U261)</f>
        <v/>
      </c>
      <c r="M761">
        <v>0</v>
      </c>
      <c r="N761">
        <v>0</v>
      </c>
      <c r="O761">
        <v>0</v>
      </c>
      <c r="P761" t="str">
        <f>IF(YLE成绩库!C261="","", YLE成绩库!D261)</f>
        <v/>
      </c>
      <c r="Q761" t="str">
        <f>IF(YLE成绩库!C261="","", YLE成绩库!E261)</f>
        <v/>
      </c>
      <c r="R761" t="str">
        <f>IF(YLE成绩库!C261="","", YLE成绩库!F261)</f>
        <v/>
      </c>
      <c r="S761" t="str">
        <f>IF(YLE成绩库!C261="","", YLE成绩库!G261)</f>
        <v/>
      </c>
      <c r="T761" t="str">
        <f>IF(YLE成绩库!C261="","", YLE成绩库!H261)</f>
        <v/>
      </c>
      <c r="U761" t="str">
        <f>IF(YLE成绩库!C261="","", YLE成绩库!K261)</f>
        <v/>
      </c>
      <c r="V761" t="str">
        <f>IF(YLE成绩库!C261="","", YLE成绩库!W261)</f>
        <v/>
      </c>
      <c r="W761" t="str">
        <f>IF(YLE成绩库!C261="","", YLE成绩库!X261)</f>
        <v/>
      </c>
      <c r="X761" t="str">
        <f>IF(YLE成绩库!C261="","", YLE成绩库!AA261)</f>
        <v/>
      </c>
      <c r="Z761" t="str">
        <f>IF(YLE成绩库!C261="","", YLE成绩库!Z261)</f>
        <v/>
      </c>
    </row>
    <row r="762" spans="1:26" x14ac:dyDescent="0.2">
      <c r="A762" t="str">
        <f>IF(YLE成绩库!C262="","", YLE成绩库!C262)</f>
        <v/>
      </c>
      <c r="B762" t="str">
        <f>IF(YLE成绩库!AB262="","", YLE成绩库!AB262)</f>
        <v/>
      </c>
      <c r="C762" t="str">
        <f>IF(YLE成绩库!B262="","", YLE成绩库!B262)</f>
        <v/>
      </c>
      <c r="D762" t="str">
        <f>IF(YLE成绩库!D262="","", YLE成绩库!D262)</f>
        <v/>
      </c>
      <c r="E762" t="str">
        <f>IF(YLE成绩库!C262="","", YLE成绩库!L262)</f>
        <v/>
      </c>
      <c r="F762" t="str">
        <f>IF(YLE成绩库!C262="","", YLE成绩库!M262)</f>
        <v/>
      </c>
      <c r="G762" t="str">
        <f>IF(YLE成绩库!C262="","", YLE成绩库!N262)</f>
        <v/>
      </c>
      <c r="H762" t="str">
        <f>IF(YLE成绩库!C262="","", YLE成绩库!O262)</f>
        <v/>
      </c>
      <c r="I762" t="str">
        <f>IF(YLE成绩库!C262="","", YLE成绩库!P262)</f>
        <v/>
      </c>
      <c r="J762" t="str">
        <f>IF(YLE成绩库!C262="","", YLE成绩库!Q262)</f>
        <v/>
      </c>
      <c r="K762" t="str">
        <f>IF(YLE成绩库!C262="","", YLE成绩库!R262)</f>
        <v/>
      </c>
      <c r="L762" t="str">
        <f>IF(YLE成绩库!C262="","", YLE成绩库!U262)</f>
        <v/>
      </c>
      <c r="M762">
        <v>0</v>
      </c>
      <c r="N762">
        <v>0</v>
      </c>
      <c r="O762">
        <v>0</v>
      </c>
      <c r="P762" t="str">
        <f>IF(YLE成绩库!C262="","", YLE成绩库!D262)</f>
        <v/>
      </c>
      <c r="Q762" t="str">
        <f>IF(YLE成绩库!C262="","", YLE成绩库!E262)</f>
        <v/>
      </c>
      <c r="R762" t="str">
        <f>IF(YLE成绩库!C262="","", YLE成绩库!F262)</f>
        <v/>
      </c>
      <c r="S762" t="str">
        <f>IF(YLE成绩库!C262="","", YLE成绩库!G262)</f>
        <v/>
      </c>
      <c r="T762" t="str">
        <f>IF(YLE成绩库!C262="","", YLE成绩库!H262)</f>
        <v/>
      </c>
      <c r="U762" t="str">
        <f>IF(YLE成绩库!C262="","", YLE成绩库!K262)</f>
        <v/>
      </c>
      <c r="V762" t="str">
        <f>IF(YLE成绩库!C262="","", YLE成绩库!W262)</f>
        <v/>
      </c>
      <c r="W762" t="str">
        <f>IF(YLE成绩库!C262="","", YLE成绩库!X262)</f>
        <v/>
      </c>
      <c r="X762" t="str">
        <f>IF(YLE成绩库!C262="","", YLE成绩库!AA262)</f>
        <v/>
      </c>
      <c r="Z762" t="str">
        <f>IF(YLE成绩库!C262="","", YLE成绩库!Z262)</f>
        <v/>
      </c>
    </row>
    <row r="763" spans="1:26" x14ac:dyDescent="0.2">
      <c r="A763" t="str">
        <f>IF(YLE成绩库!C263="","", YLE成绩库!C263)</f>
        <v/>
      </c>
      <c r="B763" t="str">
        <f>IF(YLE成绩库!AB263="","", YLE成绩库!AB263)</f>
        <v/>
      </c>
      <c r="C763" t="str">
        <f>IF(YLE成绩库!B263="","", YLE成绩库!B263)</f>
        <v/>
      </c>
      <c r="D763" t="str">
        <f>IF(YLE成绩库!D263="","", YLE成绩库!D263)</f>
        <v/>
      </c>
      <c r="E763" t="str">
        <f>IF(YLE成绩库!C263="","", YLE成绩库!L263)</f>
        <v/>
      </c>
      <c r="F763" t="str">
        <f>IF(YLE成绩库!C263="","", YLE成绩库!M263)</f>
        <v/>
      </c>
      <c r="G763" t="str">
        <f>IF(YLE成绩库!C263="","", YLE成绩库!N263)</f>
        <v/>
      </c>
      <c r="H763" t="str">
        <f>IF(YLE成绩库!C263="","", YLE成绩库!O263)</f>
        <v/>
      </c>
      <c r="I763" t="str">
        <f>IF(YLE成绩库!C263="","", YLE成绩库!P263)</f>
        <v/>
      </c>
      <c r="J763" t="str">
        <f>IF(YLE成绩库!C263="","", YLE成绩库!Q263)</f>
        <v/>
      </c>
      <c r="K763" t="str">
        <f>IF(YLE成绩库!C263="","", YLE成绩库!R263)</f>
        <v/>
      </c>
      <c r="L763" t="str">
        <f>IF(YLE成绩库!C263="","", YLE成绩库!U263)</f>
        <v/>
      </c>
      <c r="M763">
        <v>0</v>
      </c>
      <c r="N763">
        <v>0</v>
      </c>
      <c r="O763">
        <v>0</v>
      </c>
      <c r="P763" t="str">
        <f>IF(YLE成绩库!C263="","", YLE成绩库!D263)</f>
        <v/>
      </c>
      <c r="Q763" t="str">
        <f>IF(YLE成绩库!C263="","", YLE成绩库!E263)</f>
        <v/>
      </c>
      <c r="R763" t="str">
        <f>IF(YLE成绩库!C263="","", YLE成绩库!F263)</f>
        <v/>
      </c>
      <c r="S763" t="str">
        <f>IF(YLE成绩库!C263="","", YLE成绩库!G263)</f>
        <v/>
      </c>
      <c r="T763" t="str">
        <f>IF(YLE成绩库!C263="","", YLE成绩库!H263)</f>
        <v/>
      </c>
      <c r="U763" t="str">
        <f>IF(YLE成绩库!C263="","", YLE成绩库!K263)</f>
        <v/>
      </c>
      <c r="V763" t="str">
        <f>IF(YLE成绩库!C263="","", YLE成绩库!W263)</f>
        <v/>
      </c>
      <c r="W763" t="str">
        <f>IF(YLE成绩库!C263="","", YLE成绩库!X263)</f>
        <v/>
      </c>
      <c r="X763" t="str">
        <f>IF(YLE成绩库!C263="","", YLE成绩库!AA263)</f>
        <v/>
      </c>
      <c r="Z763" t="str">
        <f>IF(YLE成绩库!C263="","", YLE成绩库!Z263)</f>
        <v/>
      </c>
    </row>
    <row r="764" spans="1:26" x14ac:dyDescent="0.2">
      <c r="A764" t="str">
        <f>IF(YLE成绩库!C264="","", YLE成绩库!C264)</f>
        <v/>
      </c>
      <c r="B764" t="str">
        <f>IF(YLE成绩库!AB264="","", YLE成绩库!AB264)</f>
        <v/>
      </c>
      <c r="C764" t="str">
        <f>IF(YLE成绩库!B264="","", YLE成绩库!B264)</f>
        <v/>
      </c>
      <c r="D764" t="str">
        <f>IF(YLE成绩库!D264="","", YLE成绩库!D264)</f>
        <v/>
      </c>
      <c r="E764" t="str">
        <f>IF(YLE成绩库!C264="","", YLE成绩库!L264)</f>
        <v/>
      </c>
      <c r="F764" t="str">
        <f>IF(YLE成绩库!C264="","", YLE成绩库!M264)</f>
        <v/>
      </c>
      <c r="G764" t="str">
        <f>IF(YLE成绩库!C264="","", YLE成绩库!N264)</f>
        <v/>
      </c>
      <c r="H764" t="str">
        <f>IF(YLE成绩库!C264="","", YLE成绩库!O264)</f>
        <v/>
      </c>
      <c r="I764" t="str">
        <f>IF(YLE成绩库!C264="","", YLE成绩库!P264)</f>
        <v/>
      </c>
      <c r="J764" t="str">
        <f>IF(YLE成绩库!C264="","", YLE成绩库!Q264)</f>
        <v/>
      </c>
      <c r="K764" t="str">
        <f>IF(YLE成绩库!C264="","", YLE成绩库!R264)</f>
        <v/>
      </c>
      <c r="L764" t="str">
        <f>IF(YLE成绩库!C264="","", YLE成绩库!U264)</f>
        <v/>
      </c>
      <c r="M764">
        <v>0</v>
      </c>
      <c r="N764">
        <v>0</v>
      </c>
      <c r="O764">
        <v>0</v>
      </c>
      <c r="P764" t="str">
        <f>IF(YLE成绩库!C264="","", YLE成绩库!D264)</f>
        <v/>
      </c>
      <c r="Q764" t="str">
        <f>IF(YLE成绩库!C264="","", YLE成绩库!E264)</f>
        <v/>
      </c>
      <c r="R764" t="str">
        <f>IF(YLE成绩库!C264="","", YLE成绩库!F264)</f>
        <v/>
      </c>
      <c r="S764" t="str">
        <f>IF(YLE成绩库!C264="","", YLE成绩库!G264)</f>
        <v/>
      </c>
      <c r="T764" t="str">
        <f>IF(YLE成绩库!C264="","", YLE成绩库!H264)</f>
        <v/>
      </c>
      <c r="U764" t="str">
        <f>IF(YLE成绩库!C264="","", YLE成绩库!K264)</f>
        <v/>
      </c>
      <c r="V764" t="str">
        <f>IF(YLE成绩库!C264="","", YLE成绩库!W264)</f>
        <v/>
      </c>
      <c r="W764" t="str">
        <f>IF(YLE成绩库!C264="","", YLE成绩库!X264)</f>
        <v/>
      </c>
      <c r="X764" t="str">
        <f>IF(YLE成绩库!C264="","", YLE成绩库!AA264)</f>
        <v/>
      </c>
      <c r="Z764" t="str">
        <f>IF(YLE成绩库!C264="","", YLE成绩库!Z264)</f>
        <v/>
      </c>
    </row>
    <row r="765" spans="1:26" x14ac:dyDescent="0.2">
      <c r="A765" t="str">
        <f>IF(YLE成绩库!C265="","", YLE成绩库!C265)</f>
        <v/>
      </c>
      <c r="B765" t="str">
        <f>IF(YLE成绩库!AB265="","", YLE成绩库!AB265)</f>
        <v/>
      </c>
      <c r="C765" t="str">
        <f>IF(YLE成绩库!B265="","", YLE成绩库!B265)</f>
        <v/>
      </c>
      <c r="D765" t="str">
        <f>IF(YLE成绩库!D265="","", YLE成绩库!D265)</f>
        <v/>
      </c>
      <c r="E765" t="str">
        <f>IF(YLE成绩库!C265="","", YLE成绩库!L265)</f>
        <v/>
      </c>
      <c r="F765" t="str">
        <f>IF(YLE成绩库!C265="","", YLE成绩库!M265)</f>
        <v/>
      </c>
      <c r="G765" t="str">
        <f>IF(YLE成绩库!C265="","", YLE成绩库!N265)</f>
        <v/>
      </c>
      <c r="H765" t="str">
        <f>IF(YLE成绩库!C265="","", YLE成绩库!O265)</f>
        <v/>
      </c>
      <c r="I765" t="str">
        <f>IF(YLE成绩库!C265="","", YLE成绩库!P265)</f>
        <v/>
      </c>
      <c r="J765" t="str">
        <f>IF(YLE成绩库!C265="","", YLE成绩库!Q265)</f>
        <v/>
      </c>
      <c r="K765" t="str">
        <f>IF(YLE成绩库!C265="","", YLE成绩库!R265)</f>
        <v/>
      </c>
      <c r="L765" t="str">
        <f>IF(YLE成绩库!C265="","", YLE成绩库!U265)</f>
        <v/>
      </c>
      <c r="M765">
        <v>0</v>
      </c>
      <c r="N765">
        <v>0</v>
      </c>
      <c r="O765">
        <v>0</v>
      </c>
      <c r="P765" t="str">
        <f>IF(YLE成绩库!C265="","", YLE成绩库!D265)</f>
        <v/>
      </c>
      <c r="Q765" t="str">
        <f>IF(YLE成绩库!C265="","", YLE成绩库!E265)</f>
        <v/>
      </c>
      <c r="R765" t="str">
        <f>IF(YLE成绩库!C265="","", YLE成绩库!F265)</f>
        <v/>
      </c>
      <c r="S765" t="str">
        <f>IF(YLE成绩库!C265="","", YLE成绩库!G265)</f>
        <v/>
      </c>
      <c r="T765" t="str">
        <f>IF(YLE成绩库!C265="","", YLE成绩库!H265)</f>
        <v/>
      </c>
      <c r="U765" t="str">
        <f>IF(YLE成绩库!C265="","", YLE成绩库!K265)</f>
        <v/>
      </c>
      <c r="V765" t="str">
        <f>IF(YLE成绩库!C265="","", YLE成绩库!W265)</f>
        <v/>
      </c>
      <c r="W765" t="str">
        <f>IF(YLE成绩库!C265="","", YLE成绩库!X265)</f>
        <v/>
      </c>
      <c r="X765" t="str">
        <f>IF(YLE成绩库!C265="","", YLE成绩库!AA265)</f>
        <v/>
      </c>
      <c r="Z765" t="str">
        <f>IF(YLE成绩库!C265="","", YLE成绩库!Z265)</f>
        <v/>
      </c>
    </row>
    <row r="766" spans="1:26" x14ac:dyDescent="0.2">
      <c r="A766" t="str">
        <f>IF(YLE成绩库!C266="","", YLE成绩库!C266)</f>
        <v/>
      </c>
      <c r="B766" t="str">
        <f>IF(YLE成绩库!AB266="","", YLE成绩库!AB266)</f>
        <v/>
      </c>
      <c r="C766" t="str">
        <f>IF(YLE成绩库!B266="","", YLE成绩库!B266)</f>
        <v/>
      </c>
      <c r="D766" t="str">
        <f>IF(YLE成绩库!D266="","", YLE成绩库!D266)</f>
        <v/>
      </c>
      <c r="E766" t="str">
        <f>IF(YLE成绩库!C266="","", YLE成绩库!L266)</f>
        <v/>
      </c>
      <c r="F766" t="str">
        <f>IF(YLE成绩库!C266="","", YLE成绩库!M266)</f>
        <v/>
      </c>
      <c r="G766" t="str">
        <f>IF(YLE成绩库!C266="","", YLE成绩库!N266)</f>
        <v/>
      </c>
      <c r="H766" t="str">
        <f>IF(YLE成绩库!C266="","", YLE成绩库!O266)</f>
        <v/>
      </c>
      <c r="I766" t="str">
        <f>IF(YLE成绩库!C266="","", YLE成绩库!P266)</f>
        <v/>
      </c>
      <c r="J766" t="str">
        <f>IF(YLE成绩库!C266="","", YLE成绩库!Q266)</f>
        <v/>
      </c>
      <c r="K766" t="str">
        <f>IF(YLE成绩库!C266="","", YLE成绩库!R266)</f>
        <v/>
      </c>
      <c r="L766" t="str">
        <f>IF(YLE成绩库!C266="","", YLE成绩库!U266)</f>
        <v/>
      </c>
      <c r="M766">
        <v>0</v>
      </c>
      <c r="N766">
        <v>0</v>
      </c>
      <c r="O766">
        <v>0</v>
      </c>
      <c r="P766" t="str">
        <f>IF(YLE成绩库!C266="","", YLE成绩库!D266)</f>
        <v/>
      </c>
      <c r="Q766" t="str">
        <f>IF(YLE成绩库!C266="","", YLE成绩库!E266)</f>
        <v/>
      </c>
      <c r="R766" t="str">
        <f>IF(YLE成绩库!C266="","", YLE成绩库!F266)</f>
        <v/>
      </c>
      <c r="S766" t="str">
        <f>IF(YLE成绩库!C266="","", YLE成绩库!G266)</f>
        <v/>
      </c>
      <c r="T766" t="str">
        <f>IF(YLE成绩库!C266="","", YLE成绩库!H266)</f>
        <v/>
      </c>
      <c r="U766" t="str">
        <f>IF(YLE成绩库!C266="","", YLE成绩库!K266)</f>
        <v/>
      </c>
      <c r="V766" t="str">
        <f>IF(YLE成绩库!C266="","", YLE成绩库!W266)</f>
        <v/>
      </c>
      <c r="W766" t="str">
        <f>IF(YLE成绩库!C266="","", YLE成绩库!X266)</f>
        <v/>
      </c>
      <c r="X766" t="str">
        <f>IF(YLE成绩库!C266="","", YLE成绩库!AA266)</f>
        <v/>
      </c>
      <c r="Z766" t="str">
        <f>IF(YLE成绩库!C266="","", YLE成绩库!Z266)</f>
        <v/>
      </c>
    </row>
    <row r="767" spans="1:26" x14ac:dyDescent="0.2">
      <c r="A767" t="str">
        <f>IF(YLE成绩库!C267="","", YLE成绩库!C267)</f>
        <v/>
      </c>
      <c r="B767" t="str">
        <f>IF(YLE成绩库!AB267="","", YLE成绩库!AB267)</f>
        <v/>
      </c>
      <c r="C767" t="str">
        <f>IF(YLE成绩库!B267="","", YLE成绩库!B267)</f>
        <v/>
      </c>
      <c r="D767" t="str">
        <f>IF(YLE成绩库!D267="","", YLE成绩库!D267)</f>
        <v/>
      </c>
      <c r="E767" t="str">
        <f>IF(YLE成绩库!C267="","", YLE成绩库!L267)</f>
        <v/>
      </c>
      <c r="F767" t="str">
        <f>IF(YLE成绩库!C267="","", YLE成绩库!M267)</f>
        <v/>
      </c>
      <c r="G767" t="str">
        <f>IF(YLE成绩库!C267="","", YLE成绩库!N267)</f>
        <v/>
      </c>
      <c r="H767" t="str">
        <f>IF(YLE成绩库!C267="","", YLE成绩库!O267)</f>
        <v/>
      </c>
      <c r="I767" t="str">
        <f>IF(YLE成绩库!C267="","", YLE成绩库!P267)</f>
        <v/>
      </c>
      <c r="J767" t="str">
        <f>IF(YLE成绩库!C267="","", YLE成绩库!Q267)</f>
        <v/>
      </c>
      <c r="K767" t="str">
        <f>IF(YLE成绩库!C267="","", YLE成绩库!R267)</f>
        <v/>
      </c>
      <c r="L767" t="str">
        <f>IF(YLE成绩库!C267="","", YLE成绩库!U267)</f>
        <v/>
      </c>
      <c r="M767">
        <v>0</v>
      </c>
      <c r="N767">
        <v>0</v>
      </c>
      <c r="O767">
        <v>0</v>
      </c>
      <c r="P767" t="str">
        <f>IF(YLE成绩库!C267="","", YLE成绩库!D267)</f>
        <v/>
      </c>
      <c r="Q767" t="str">
        <f>IF(YLE成绩库!C267="","", YLE成绩库!E267)</f>
        <v/>
      </c>
      <c r="R767" t="str">
        <f>IF(YLE成绩库!C267="","", YLE成绩库!F267)</f>
        <v/>
      </c>
      <c r="S767" t="str">
        <f>IF(YLE成绩库!C267="","", YLE成绩库!G267)</f>
        <v/>
      </c>
      <c r="T767" t="str">
        <f>IF(YLE成绩库!C267="","", YLE成绩库!H267)</f>
        <v/>
      </c>
      <c r="U767" t="str">
        <f>IF(YLE成绩库!C267="","", YLE成绩库!K267)</f>
        <v/>
      </c>
      <c r="V767" t="str">
        <f>IF(YLE成绩库!C267="","", YLE成绩库!W267)</f>
        <v/>
      </c>
      <c r="W767" t="str">
        <f>IF(YLE成绩库!C267="","", YLE成绩库!X267)</f>
        <v/>
      </c>
      <c r="X767" t="str">
        <f>IF(YLE成绩库!C267="","", YLE成绩库!AA267)</f>
        <v/>
      </c>
      <c r="Z767" t="str">
        <f>IF(YLE成绩库!C267="","", YLE成绩库!Z267)</f>
        <v/>
      </c>
    </row>
    <row r="768" spans="1:26" x14ac:dyDescent="0.2">
      <c r="A768" t="str">
        <f>IF(YLE成绩库!C268="","", YLE成绩库!C268)</f>
        <v/>
      </c>
      <c r="B768" t="str">
        <f>IF(YLE成绩库!AB268="","", YLE成绩库!AB268)</f>
        <v/>
      </c>
      <c r="C768" t="str">
        <f>IF(YLE成绩库!B268="","", YLE成绩库!B268)</f>
        <v/>
      </c>
      <c r="D768" t="str">
        <f>IF(YLE成绩库!D268="","", YLE成绩库!D268)</f>
        <v/>
      </c>
      <c r="E768" t="str">
        <f>IF(YLE成绩库!C268="","", YLE成绩库!L268)</f>
        <v/>
      </c>
      <c r="F768" t="str">
        <f>IF(YLE成绩库!C268="","", YLE成绩库!M268)</f>
        <v/>
      </c>
      <c r="G768" t="str">
        <f>IF(YLE成绩库!C268="","", YLE成绩库!N268)</f>
        <v/>
      </c>
      <c r="H768" t="str">
        <f>IF(YLE成绩库!C268="","", YLE成绩库!O268)</f>
        <v/>
      </c>
      <c r="I768" t="str">
        <f>IF(YLE成绩库!C268="","", YLE成绩库!P268)</f>
        <v/>
      </c>
      <c r="J768" t="str">
        <f>IF(YLE成绩库!C268="","", YLE成绩库!Q268)</f>
        <v/>
      </c>
      <c r="K768" t="str">
        <f>IF(YLE成绩库!C268="","", YLE成绩库!R268)</f>
        <v/>
      </c>
      <c r="L768" t="str">
        <f>IF(YLE成绩库!C268="","", YLE成绩库!U268)</f>
        <v/>
      </c>
      <c r="M768">
        <v>0</v>
      </c>
      <c r="N768">
        <v>0</v>
      </c>
      <c r="O768">
        <v>0</v>
      </c>
      <c r="P768" t="str">
        <f>IF(YLE成绩库!C268="","", YLE成绩库!D268)</f>
        <v/>
      </c>
      <c r="Q768" t="str">
        <f>IF(YLE成绩库!C268="","", YLE成绩库!E268)</f>
        <v/>
      </c>
      <c r="R768" t="str">
        <f>IF(YLE成绩库!C268="","", YLE成绩库!F268)</f>
        <v/>
      </c>
      <c r="S768" t="str">
        <f>IF(YLE成绩库!C268="","", YLE成绩库!G268)</f>
        <v/>
      </c>
      <c r="T768" t="str">
        <f>IF(YLE成绩库!C268="","", YLE成绩库!H268)</f>
        <v/>
      </c>
      <c r="U768" t="str">
        <f>IF(YLE成绩库!C268="","", YLE成绩库!K268)</f>
        <v/>
      </c>
      <c r="V768" t="str">
        <f>IF(YLE成绩库!C268="","", YLE成绩库!W268)</f>
        <v/>
      </c>
      <c r="W768" t="str">
        <f>IF(YLE成绩库!C268="","", YLE成绩库!X268)</f>
        <v/>
      </c>
      <c r="X768" t="str">
        <f>IF(YLE成绩库!C268="","", YLE成绩库!AA268)</f>
        <v/>
      </c>
      <c r="Z768" t="str">
        <f>IF(YLE成绩库!C268="","", YLE成绩库!Z268)</f>
        <v/>
      </c>
    </row>
    <row r="769" spans="1:26" x14ac:dyDescent="0.2">
      <c r="A769" t="str">
        <f>IF(YLE成绩库!C269="","", YLE成绩库!C269)</f>
        <v/>
      </c>
      <c r="B769" t="str">
        <f>IF(YLE成绩库!AB269="","", YLE成绩库!AB269)</f>
        <v/>
      </c>
      <c r="C769" t="str">
        <f>IF(YLE成绩库!B269="","", YLE成绩库!B269)</f>
        <v/>
      </c>
      <c r="D769" t="str">
        <f>IF(YLE成绩库!D269="","", YLE成绩库!D269)</f>
        <v/>
      </c>
      <c r="E769" t="str">
        <f>IF(YLE成绩库!C269="","", YLE成绩库!L269)</f>
        <v/>
      </c>
      <c r="F769" t="str">
        <f>IF(YLE成绩库!C269="","", YLE成绩库!M269)</f>
        <v/>
      </c>
      <c r="G769" t="str">
        <f>IF(YLE成绩库!C269="","", YLE成绩库!N269)</f>
        <v/>
      </c>
      <c r="H769" t="str">
        <f>IF(YLE成绩库!C269="","", YLE成绩库!O269)</f>
        <v/>
      </c>
      <c r="I769" t="str">
        <f>IF(YLE成绩库!C269="","", YLE成绩库!P269)</f>
        <v/>
      </c>
      <c r="J769" t="str">
        <f>IF(YLE成绩库!C269="","", YLE成绩库!Q269)</f>
        <v/>
      </c>
      <c r="K769" t="str">
        <f>IF(YLE成绩库!C269="","", YLE成绩库!R269)</f>
        <v/>
      </c>
      <c r="L769" t="str">
        <f>IF(YLE成绩库!C269="","", YLE成绩库!U269)</f>
        <v/>
      </c>
      <c r="M769">
        <v>0</v>
      </c>
      <c r="N769">
        <v>0</v>
      </c>
      <c r="O769">
        <v>0</v>
      </c>
      <c r="P769" t="str">
        <f>IF(YLE成绩库!C269="","", YLE成绩库!D269)</f>
        <v/>
      </c>
      <c r="Q769" t="str">
        <f>IF(YLE成绩库!C269="","", YLE成绩库!E269)</f>
        <v/>
      </c>
      <c r="R769" t="str">
        <f>IF(YLE成绩库!C269="","", YLE成绩库!F269)</f>
        <v/>
      </c>
      <c r="S769" t="str">
        <f>IF(YLE成绩库!C269="","", YLE成绩库!G269)</f>
        <v/>
      </c>
      <c r="T769" t="str">
        <f>IF(YLE成绩库!C269="","", YLE成绩库!H269)</f>
        <v/>
      </c>
      <c r="U769" t="str">
        <f>IF(YLE成绩库!C269="","", YLE成绩库!K269)</f>
        <v/>
      </c>
      <c r="V769" t="str">
        <f>IF(YLE成绩库!C269="","", YLE成绩库!W269)</f>
        <v/>
      </c>
      <c r="W769" t="str">
        <f>IF(YLE成绩库!C269="","", YLE成绩库!X269)</f>
        <v/>
      </c>
      <c r="X769" t="str">
        <f>IF(YLE成绩库!C269="","", YLE成绩库!AA269)</f>
        <v/>
      </c>
      <c r="Z769" t="str">
        <f>IF(YLE成绩库!C269="","", YLE成绩库!Z269)</f>
        <v/>
      </c>
    </row>
    <row r="770" spans="1:26" x14ac:dyDescent="0.2">
      <c r="A770" t="str">
        <f>IF(YLE成绩库!C270="","", YLE成绩库!C270)</f>
        <v/>
      </c>
      <c r="B770" t="str">
        <f>IF(YLE成绩库!AB270="","", YLE成绩库!AB270)</f>
        <v/>
      </c>
      <c r="C770" t="str">
        <f>IF(YLE成绩库!B270="","", YLE成绩库!B270)</f>
        <v/>
      </c>
      <c r="D770" t="str">
        <f>IF(YLE成绩库!D270="","", YLE成绩库!D270)</f>
        <v/>
      </c>
      <c r="E770" t="str">
        <f>IF(YLE成绩库!C270="","", YLE成绩库!L270)</f>
        <v/>
      </c>
      <c r="F770" t="str">
        <f>IF(YLE成绩库!C270="","", YLE成绩库!M270)</f>
        <v/>
      </c>
      <c r="G770" t="str">
        <f>IF(YLE成绩库!C270="","", YLE成绩库!N270)</f>
        <v/>
      </c>
      <c r="H770" t="str">
        <f>IF(YLE成绩库!C270="","", YLE成绩库!O270)</f>
        <v/>
      </c>
      <c r="I770" t="str">
        <f>IF(YLE成绩库!C270="","", YLE成绩库!P270)</f>
        <v/>
      </c>
      <c r="J770" t="str">
        <f>IF(YLE成绩库!C270="","", YLE成绩库!Q270)</f>
        <v/>
      </c>
      <c r="K770" t="str">
        <f>IF(YLE成绩库!C270="","", YLE成绩库!R270)</f>
        <v/>
      </c>
      <c r="L770" t="str">
        <f>IF(YLE成绩库!C270="","", YLE成绩库!U270)</f>
        <v/>
      </c>
      <c r="M770">
        <v>0</v>
      </c>
      <c r="N770">
        <v>0</v>
      </c>
      <c r="O770">
        <v>0</v>
      </c>
      <c r="P770" t="str">
        <f>IF(YLE成绩库!C270="","", YLE成绩库!D270)</f>
        <v/>
      </c>
      <c r="Q770" t="str">
        <f>IF(YLE成绩库!C270="","", YLE成绩库!E270)</f>
        <v/>
      </c>
      <c r="R770" t="str">
        <f>IF(YLE成绩库!C270="","", YLE成绩库!F270)</f>
        <v/>
      </c>
      <c r="S770" t="str">
        <f>IF(YLE成绩库!C270="","", YLE成绩库!G270)</f>
        <v/>
      </c>
      <c r="T770" t="str">
        <f>IF(YLE成绩库!C270="","", YLE成绩库!H270)</f>
        <v/>
      </c>
      <c r="U770" t="str">
        <f>IF(YLE成绩库!C270="","", YLE成绩库!K270)</f>
        <v/>
      </c>
      <c r="V770" t="str">
        <f>IF(YLE成绩库!C270="","", YLE成绩库!W270)</f>
        <v/>
      </c>
      <c r="W770" t="str">
        <f>IF(YLE成绩库!C270="","", YLE成绩库!X270)</f>
        <v/>
      </c>
      <c r="X770" t="str">
        <f>IF(YLE成绩库!C270="","", YLE成绩库!AA270)</f>
        <v/>
      </c>
      <c r="Z770" t="str">
        <f>IF(YLE成绩库!C270="","", YLE成绩库!Z270)</f>
        <v/>
      </c>
    </row>
    <row r="771" spans="1:26" x14ac:dyDescent="0.2">
      <c r="A771" t="str">
        <f>IF(YLE成绩库!C271="","", YLE成绩库!C271)</f>
        <v/>
      </c>
      <c r="B771" t="str">
        <f>IF(YLE成绩库!AB271="","", YLE成绩库!AB271)</f>
        <v/>
      </c>
      <c r="C771" t="str">
        <f>IF(YLE成绩库!B271="","", YLE成绩库!B271)</f>
        <v/>
      </c>
      <c r="D771" t="str">
        <f>IF(YLE成绩库!D271="","", YLE成绩库!D271)</f>
        <v/>
      </c>
      <c r="E771" t="str">
        <f>IF(YLE成绩库!C271="","", YLE成绩库!L271)</f>
        <v/>
      </c>
      <c r="F771" t="str">
        <f>IF(YLE成绩库!C271="","", YLE成绩库!M271)</f>
        <v/>
      </c>
      <c r="G771" t="str">
        <f>IF(YLE成绩库!C271="","", YLE成绩库!N271)</f>
        <v/>
      </c>
      <c r="H771" t="str">
        <f>IF(YLE成绩库!C271="","", YLE成绩库!O271)</f>
        <v/>
      </c>
      <c r="I771" t="str">
        <f>IF(YLE成绩库!C271="","", YLE成绩库!P271)</f>
        <v/>
      </c>
      <c r="J771" t="str">
        <f>IF(YLE成绩库!C271="","", YLE成绩库!Q271)</f>
        <v/>
      </c>
      <c r="K771" t="str">
        <f>IF(YLE成绩库!C271="","", YLE成绩库!R271)</f>
        <v/>
      </c>
      <c r="L771" t="str">
        <f>IF(YLE成绩库!C271="","", YLE成绩库!U271)</f>
        <v/>
      </c>
      <c r="M771">
        <v>0</v>
      </c>
      <c r="N771">
        <v>0</v>
      </c>
      <c r="O771">
        <v>0</v>
      </c>
      <c r="P771" t="str">
        <f>IF(YLE成绩库!C271="","", YLE成绩库!D271)</f>
        <v/>
      </c>
      <c r="Q771" t="str">
        <f>IF(YLE成绩库!C271="","", YLE成绩库!E271)</f>
        <v/>
      </c>
      <c r="R771" t="str">
        <f>IF(YLE成绩库!C271="","", YLE成绩库!F271)</f>
        <v/>
      </c>
      <c r="S771" t="str">
        <f>IF(YLE成绩库!C271="","", YLE成绩库!G271)</f>
        <v/>
      </c>
      <c r="T771" t="str">
        <f>IF(YLE成绩库!C271="","", YLE成绩库!H271)</f>
        <v/>
      </c>
      <c r="U771" t="str">
        <f>IF(YLE成绩库!C271="","", YLE成绩库!K271)</f>
        <v/>
      </c>
      <c r="V771" t="str">
        <f>IF(YLE成绩库!C271="","", YLE成绩库!W271)</f>
        <v/>
      </c>
      <c r="W771" t="str">
        <f>IF(YLE成绩库!C271="","", YLE成绩库!X271)</f>
        <v/>
      </c>
      <c r="X771" t="str">
        <f>IF(YLE成绩库!C271="","", YLE成绩库!AA271)</f>
        <v/>
      </c>
      <c r="Z771" t="str">
        <f>IF(YLE成绩库!C271="","", YLE成绩库!Z271)</f>
        <v/>
      </c>
    </row>
    <row r="772" spans="1:26" x14ac:dyDescent="0.2">
      <c r="A772" t="str">
        <f>IF(YLE成绩库!C272="","", YLE成绩库!C272)</f>
        <v/>
      </c>
      <c r="B772" t="str">
        <f>IF(YLE成绩库!AB272="","", YLE成绩库!AB272)</f>
        <v/>
      </c>
      <c r="C772" t="str">
        <f>IF(YLE成绩库!B272="","", YLE成绩库!B272)</f>
        <v/>
      </c>
      <c r="D772" t="str">
        <f>IF(YLE成绩库!D272="","", YLE成绩库!D272)</f>
        <v/>
      </c>
      <c r="E772" t="str">
        <f>IF(YLE成绩库!C272="","", YLE成绩库!L272)</f>
        <v/>
      </c>
      <c r="F772" t="str">
        <f>IF(YLE成绩库!C272="","", YLE成绩库!M272)</f>
        <v/>
      </c>
      <c r="G772" t="str">
        <f>IF(YLE成绩库!C272="","", YLE成绩库!N272)</f>
        <v/>
      </c>
      <c r="H772" t="str">
        <f>IF(YLE成绩库!C272="","", YLE成绩库!O272)</f>
        <v/>
      </c>
      <c r="I772" t="str">
        <f>IF(YLE成绩库!C272="","", YLE成绩库!P272)</f>
        <v/>
      </c>
      <c r="J772" t="str">
        <f>IF(YLE成绩库!C272="","", YLE成绩库!Q272)</f>
        <v/>
      </c>
      <c r="K772" t="str">
        <f>IF(YLE成绩库!C272="","", YLE成绩库!R272)</f>
        <v/>
      </c>
      <c r="L772" t="str">
        <f>IF(YLE成绩库!C272="","", YLE成绩库!U272)</f>
        <v/>
      </c>
      <c r="M772">
        <v>0</v>
      </c>
      <c r="N772">
        <v>0</v>
      </c>
      <c r="O772">
        <v>0</v>
      </c>
      <c r="P772" t="str">
        <f>IF(YLE成绩库!C272="","", YLE成绩库!D272)</f>
        <v/>
      </c>
      <c r="Q772" t="str">
        <f>IF(YLE成绩库!C272="","", YLE成绩库!E272)</f>
        <v/>
      </c>
      <c r="R772" t="str">
        <f>IF(YLE成绩库!C272="","", YLE成绩库!F272)</f>
        <v/>
      </c>
      <c r="S772" t="str">
        <f>IF(YLE成绩库!C272="","", YLE成绩库!G272)</f>
        <v/>
      </c>
      <c r="T772" t="str">
        <f>IF(YLE成绩库!C272="","", YLE成绩库!H272)</f>
        <v/>
      </c>
      <c r="U772" t="str">
        <f>IF(YLE成绩库!C272="","", YLE成绩库!K272)</f>
        <v/>
      </c>
      <c r="V772" t="str">
        <f>IF(YLE成绩库!C272="","", YLE成绩库!W272)</f>
        <v/>
      </c>
      <c r="W772" t="str">
        <f>IF(YLE成绩库!C272="","", YLE成绩库!X272)</f>
        <v/>
      </c>
      <c r="X772" t="str">
        <f>IF(YLE成绩库!C272="","", YLE成绩库!AA272)</f>
        <v/>
      </c>
      <c r="Z772" t="str">
        <f>IF(YLE成绩库!C272="","", YLE成绩库!Z272)</f>
        <v/>
      </c>
    </row>
    <row r="773" spans="1:26" x14ac:dyDescent="0.2">
      <c r="A773" t="str">
        <f>IF(YLE成绩库!C273="","", YLE成绩库!C273)</f>
        <v/>
      </c>
      <c r="B773" t="str">
        <f>IF(YLE成绩库!AB273="","", YLE成绩库!AB273)</f>
        <v/>
      </c>
      <c r="C773" t="str">
        <f>IF(YLE成绩库!B273="","", YLE成绩库!B273)</f>
        <v/>
      </c>
      <c r="D773" t="str">
        <f>IF(YLE成绩库!D273="","", YLE成绩库!D273)</f>
        <v/>
      </c>
      <c r="E773" t="str">
        <f>IF(YLE成绩库!C273="","", YLE成绩库!L273)</f>
        <v/>
      </c>
      <c r="F773" t="str">
        <f>IF(YLE成绩库!C273="","", YLE成绩库!M273)</f>
        <v/>
      </c>
      <c r="G773" t="str">
        <f>IF(YLE成绩库!C273="","", YLE成绩库!N273)</f>
        <v/>
      </c>
      <c r="H773" t="str">
        <f>IF(YLE成绩库!C273="","", YLE成绩库!O273)</f>
        <v/>
      </c>
      <c r="I773" t="str">
        <f>IF(YLE成绩库!C273="","", YLE成绩库!P273)</f>
        <v/>
      </c>
      <c r="J773" t="str">
        <f>IF(YLE成绩库!C273="","", YLE成绩库!Q273)</f>
        <v/>
      </c>
      <c r="K773" t="str">
        <f>IF(YLE成绩库!C273="","", YLE成绩库!R273)</f>
        <v/>
      </c>
      <c r="L773" t="str">
        <f>IF(YLE成绩库!C273="","", YLE成绩库!U273)</f>
        <v/>
      </c>
      <c r="M773">
        <v>0</v>
      </c>
      <c r="N773">
        <v>0</v>
      </c>
      <c r="O773">
        <v>0</v>
      </c>
      <c r="P773" t="str">
        <f>IF(YLE成绩库!C273="","", YLE成绩库!D273)</f>
        <v/>
      </c>
      <c r="Q773" t="str">
        <f>IF(YLE成绩库!C273="","", YLE成绩库!E273)</f>
        <v/>
      </c>
      <c r="R773" t="str">
        <f>IF(YLE成绩库!C273="","", YLE成绩库!F273)</f>
        <v/>
      </c>
      <c r="S773" t="str">
        <f>IF(YLE成绩库!C273="","", YLE成绩库!G273)</f>
        <v/>
      </c>
      <c r="T773" t="str">
        <f>IF(YLE成绩库!C273="","", YLE成绩库!H273)</f>
        <v/>
      </c>
      <c r="U773" t="str">
        <f>IF(YLE成绩库!C273="","", YLE成绩库!K273)</f>
        <v/>
      </c>
      <c r="V773" t="str">
        <f>IF(YLE成绩库!C273="","", YLE成绩库!W273)</f>
        <v/>
      </c>
      <c r="W773" t="str">
        <f>IF(YLE成绩库!C273="","", YLE成绩库!X273)</f>
        <v/>
      </c>
      <c r="X773" t="str">
        <f>IF(YLE成绩库!C273="","", YLE成绩库!AA273)</f>
        <v/>
      </c>
      <c r="Z773" t="str">
        <f>IF(YLE成绩库!C273="","", YLE成绩库!Z273)</f>
        <v/>
      </c>
    </row>
    <row r="774" spans="1:26" x14ac:dyDescent="0.2">
      <c r="A774" t="str">
        <f>IF(YLE成绩库!C274="","", YLE成绩库!C274)</f>
        <v/>
      </c>
      <c r="B774" t="str">
        <f>IF(YLE成绩库!AB274="","", YLE成绩库!AB274)</f>
        <v/>
      </c>
      <c r="C774" t="str">
        <f>IF(YLE成绩库!B274="","", YLE成绩库!B274)</f>
        <v/>
      </c>
      <c r="D774" t="str">
        <f>IF(YLE成绩库!D274="","", YLE成绩库!D274)</f>
        <v/>
      </c>
      <c r="E774" t="str">
        <f>IF(YLE成绩库!C274="","", YLE成绩库!L274)</f>
        <v/>
      </c>
      <c r="F774" t="str">
        <f>IF(YLE成绩库!C274="","", YLE成绩库!M274)</f>
        <v/>
      </c>
      <c r="G774" t="str">
        <f>IF(YLE成绩库!C274="","", YLE成绩库!N274)</f>
        <v/>
      </c>
      <c r="H774" t="str">
        <f>IF(YLE成绩库!C274="","", YLE成绩库!O274)</f>
        <v/>
      </c>
      <c r="I774" t="str">
        <f>IF(YLE成绩库!C274="","", YLE成绩库!P274)</f>
        <v/>
      </c>
      <c r="J774" t="str">
        <f>IF(YLE成绩库!C274="","", YLE成绩库!Q274)</f>
        <v/>
      </c>
      <c r="K774" t="str">
        <f>IF(YLE成绩库!C274="","", YLE成绩库!R274)</f>
        <v/>
      </c>
      <c r="L774" t="str">
        <f>IF(YLE成绩库!C274="","", YLE成绩库!U274)</f>
        <v/>
      </c>
      <c r="M774">
        <v>0</v>
      </c>
      <c r="N774">
        <v>0</v>
      </c>
      <c r="O774">
        <v>0</v>
      </c>
      <c r="P774" t="str">
        <f>IF(YLE成绩库!C274="","", YLE成绩库!D274)</f>
        <v/>
      </c>
      <c r="Q774" t="str">
        <f>IF(YLE成绩库!C274="","", YLE成绩库!E274)</f>
        <v/>
      </c>
      <c r="R774" t="str">
        <f>IF(YLE成绩库!C274="","", YLE成绩库!F274)</f>
        <v/>
      </c>
      <c r="S774" t="str">
        <f>IF(YLE成绩库!C274="","", YLE成绩库!G274)</f>
        <v/>
      </c>
      <c r="T774" t="str">
        <f>IF(YLE成绩库!C274="","", YLE成绩库!H274)</f>
        <v/>
      </c>
      <c r="U774" t="str">
        <f>IF(YLE成绩库!C274="","", YLE成绩库!K274)</f>
        <v/>
      </c>
      <c r="V774" t="str">
        <f>IF(YLE成绩库!C274="","", YLE成绩库!W274)</f>
        <v/>
      </c>
      <c r="W774" t="str">
        <f>IF(YLE成绩库!C274="","", YLE成绩库!X274)</f>
        <v/>
      </c>
      <c r="X774" t="str">
        <f>IF(YLE成绩库!C274="","", YLE成绩库!AA274)</f>
        <v/>
      </c>
      <c r="Z774" t="str">
        <f>IF(YLE成绩库!C274="","", YLE成绩库!Z274)</f>
        <v/>
      </c>
    </row>
    <row r="775" spans="1:26" x14ac:dyDescent="0.2">
      <c r="A775" t="str">
        <f>IF(YLE成绩库!C275="","", YLE成绩库!C275)</f>
        <v/>
      </c>
      <c r="B775" t="str">
        <f>IF(YLE成绩库!AB275="","", YLE成绩库!AB275)</f>
        <v/>
      </c>
      <c r="C775" t="str">
        <f>IF(YLE成绩库!B275="","", YLE成绩库!B275)</f>
        <v/>
      </c>
      <c r="D775" t="str">
        <f>IF(YLE成绩库!D275="","", YLE成绩库!D275)</f>
        <v/>
      </c>
      <c r="E775" t="str">
        <f>IF(YLE成绩库!C275="","", YLE成绩库!L275)</f>
        <v/>
      </c>
      <c r="F775" t="str">
        <f>IF(YLE成绩库!C275="","", YLE成绩库!M275)</f>
        <v/>
      </c>
      <c r="G775" t="str">
        <f>IF(YLE成绩库!C275="","", YLE成绩库!N275)</f>
        <v/>
      </c>
      <c r="H775" t="str">
        <f>IF(YLE成绩库!C275="","", YLE成绩库!O275)</f>
        <v/>
      </c>
      <c r="I775" t="str">
        <f>IF(YLE成绩库!C275="","", YLE成绩库!P275)</f>
        <v/>
      </c>
      <c r="J775" t="str">
        <f>IF(YLE成绩库!C275="","", YLE成绩库!Q275)</f>
        <v/>
      </c>
      <c r="K775" t="str">
        <f>IF(YLE成绩库!C275="","", YLE成绩库!R275)</f>
        <v/>
      </c>
      <c r="L775" t="str">
        <f>IF(YLE成绩库!C275="","", YLE成绩库!U275)</f>
        <v/>
      </c>
      <c r="M775">
        <v>0</v>
      </c>
      <c r="N775">
        <v>0</v>
      </c>
      <c r="O775">
        <v>0</v>
      </c>
      <c r="P775" t="str">
        <f>IF(YLE成绩库!C275="","", YLE成绩库!D275)</f>
        <v/>
      </c>
      <c r="Q775" t="str">
        <f>IF(YLE成绩库!C275="","", YLE成绩库!E275)</f>
        <v/>
      </c>
      <c r="R775" t="str">
        <f>IF(YLE成绩库!C275="","", YLE成绩库!F275)</f>
        <v/>
      </c>
      <c r="S775" t="str">
        <f>IF(YLE成绩库!C275="","", YLE成绩库!G275)</f>
        <v/>
      </c>
      <c r="T775" t="str">
        <f>IF(YLE成绩库!C275="","", YLE成绩库!H275)</f>
        <v/>
      </c>
      <c r="U775" t="str">
        <f>IF(YLE成绩库!C275="","", YLE成绩库!K275)</f>
        <v/>
      </c>
      <c r="V775" t="str">
        <f>IF(YLE成绩库!C275="","", YLE成绩库!W275)</f>
        <v/>
      </c>
      <c r="W775" t="str">
        <f>IF(YLE成绩库!C275="","", YLE成绩库!X275)</f>
        <v/>
      </c>
      <c r="X775" t="str">
        <f>IF(YLE成绩库!C275="","", YLE成绩库!AA275)</f>
        <v/>
      </c>
      <c r="Z775" t="str">
        <f>IF(YLE成绩库!C275="","", YLE成绩库!Z275)</f>
        <v/>
      </c>
    </row>
    <row r="776" spans="1:26" x14ac:dyDescent="0.2">
      <c r="A776" t="str">
        <f>IF(YLE成绩库!C276="","", YLE成绩库!C276)</f>
        <v/>
      </c>
      <c r="B776" t="str">
        <f>IF(YLE成绩库!AB276="","", YLE成绩库!AB276)</f>
        <v/>
      </c>
      <c r="C776" t="str">
        <f>IF(YLE成绩库!B276="","", YLE成绩库!B276)</f>
        <v/>
      </c>
      <c r="D776" t="str">
        <f>IF(YLE成绩库!D276="","", YLE成绩库!D276)</f>
        <v/>
      </c>
      <c r="E776" t="str">
        <f>IF(YLE成绩库!C276="","", YLE成绩库!L276)</f>
        <v/>
      </c>
      <c r="F776" t="str">
        <f>IF(YLE成绩库!C276="","", YLE成绩库!M276)</f>
        <v/>
      </c>
      <c r="G776" t="str">
        <f>IF(YLE成绩库!C276="","", YLE成绩库!N276)</f>
        <v/>
      </c>
      <c r="H776" t="str">
        <f>IF(YLE成绩库!C276="","", YLE成绩库!O276)</f>
        <v/>
      </c>
      <c r="I776" t="str">
        <f>IF(YLE成绩库!C276="","", YLE成绩库!P276)</f>
        <v/>
      </c>
      <c r="J776" t="str">
        <f>IF(YLE成绩库!C276="","", YLE成绩库!Q276)</f>
        <v/>
      </c>
      <c r="K776" t="str">
        <f>IF(YLE成绩库!C276="","", YLE成绩库!R276)</f>
        <v/>
      </c>
      <c r="L776" t="str">
        <f>IF(YLE成绩库!C276="","", YLE成绩库!U276)</f>
        <v/>
      </c>
      <c r="M776">
        <v>0</v>
      </c>
      <c r="N776">
        <v>0</v>
      </c>
      <c r="O776">
        <v>0</v>
      </c>
      <c r="P776" t="str">
        <f>IF(YLE成绩库!C276="","", YLE成绩库!D276)</f>
        <v/>
      </c>
      <c r="Q776" t="str">
        <f>IF(YLE成绩库!C276="","", YLE成绩库!E276)</f>
        <v/>
      </c>
      <c r="R776" t="str">
        <f>IF(YLE成绩库!C276="","", YLE成绩库!F276)</f>
        <v/>
      </c>
      <c r="S776" t="str">
        <f>IF(YLE成绩库!C276="","", YLE成绩库!G276)</f>
        <v/>
      </c>
      <c r="T776" t="str">
        <f>IF(YLE成绩库!C276="","", YLE成绩库!H276)</f>
        <v/>
      </c>
      <c r="U776" t="str">
        <f>IF(YLE成绩库!C276="","", YLE成绩库!K276)</f>
        <v/>
      </c>
      <c r="V776" t="str">
        <f>IF(YLE成绩库!C276="","", YLE成绩库!W276)</f>
        <v/>
      </c>
      <c r="W776" t="str">
        <f>IF(YLE成绩库!C276="","", YLE成绩库!X276)</f>
        <v/>
      </c>
      <c r="X776" t="str">
        <f>IF(YLE成绩库!C276="","", YLE成绩库!AA276)</f>
        <v/>
      </c>
      <c r="Z776" t="str">
        <f>IF(YLE成绩库!C276="","", YLE成绩库!Z276)</f>
        <v/>
      </c>
    </row>
    <row r="777" spans="1:26" x14ac:dyDescent="0.2">
      <c r="A777" t="str">
        <f>IF(YLE成绩库!C277="","", YLE成绩库!C277)</f>
        <v/>
      </c>
      <c r="B777" t="str">
        <f>IF(YLE成绩库!AB277="","", YLE成绩库!AB277)</f>
        <v/>
      </c>
      <c r="C777" t="str">
        <f>IF(YLE成绩库!B277="","", YLE成绩库!B277)</f>
        <v/>
      </c>
      <c r="D777" t="str">
        <f>IF(YLE成绩库!D277="","", YLE成绩库!D277)</f>
        <v/>
      </c>
      <c r="E777" t="str">
        <f>IF(YLE成绩库!C277="","", YLE成绩库!L277)</f>
        <v/>
      </c>
      <c r="F777" t="str">
        <f>IF(YLE成绩库!C277="","", YLE成绩库!M277)</f>
        <v/>
      </c>
      <c r="G777" t="str">
        <f>IF(YLE成绩库!C277="","", YLE成绩库!N277)</f>
        <v/>
      </c>
      <c r="H777" t="str">
        <f>IF(YLE成绩库!C277="","", YLE成绩库!O277)</f>
        <v/>
      </c>
      <c r="I777" t="str">
        <f>IF(YLE成绩库!C277="","", YLE成绩库!P277)</f>
        <v/>
      </c>
      <c r="J777" t="str">
        <f>IF(YLE成绩库!C277="","", YLE成绩库!Q277)</f>
        <v/>
      </c>
      <c r="K777" t="str">
        <f>IF(YLE成绩库!C277="","", YLE成绩库!R277)</f>
        <v/>
      </c>
      <c r="L777" t="str">
        <f>IF(YLE成绩库!C277="","", YLE成绩库!U277)</f>
        <v/>
      </c>
      <c r="M777">
        <v>0</v>
      </c>
      <c r="N777">
        <v>0</v>
      </c>
      <c r="O777">
        <v>0</v>
      </c>
      <c r="P777" t="str">
        <f>IF(YLE成绩库!C277="","", YLE成绩库!D277)</f>
        <v/>
      </c>
      <c r="Q777" t="str">
        <f>IF(YLE成绩库!C277="","", YLE成绩库!E277)</f>
        <v/>
      </c>
      <c r="R777" t="str">
        <f>IF(YLE成绩库!C277="","", YLE成绩库!F277)</f>
        <v/>
      </c>
      <c r="S777" t="str">
        <f>IF(YLE成绩库!C277="","", YLE成绩库!G277)</f>
        <v/>
      </c>
      <c r="T777" t="str">
        <f>IF(YLE成绩库!C277="","", YLE成绩库!H277)</f>
        <v/>
      </c>
      <c r="U777" t="str">
        <f>IF(YLE成绩库!C277="","", YLE成绩库!K277)</f>
        <v/>
      </c>
      <c r="V777" t="str">
        <f>IF(YLE成绩库!C277="","", YLE成绩库!W277)</f>
        <v/>
      </c>
      <c r="W777" t="str">
        <f>IF(YLE成绩库!C277="","", YLE成绩库!X277)</f>
        <v/>
      </c>
      <c r="X777" t="str">
        <f>IF(YLE成绩库!C277="","", YLE成绩库!AA277)</f>
        <v/>
      </c>
      <c r="Z777" t="str">
        <f>IF(YLE成绩库!C277="","", YLE成绩库!Z277)</f>
        <v/>
      </c>
    </row>
    <row r="778" spans="1:26" x14ac:dyDescent="0.2">
      <c r="A778" t="str">
        <f>IF(YLE成绩库!C278="","", YLE成绩库!C278)</f>
        <v/>
      </c>
      <c r="B778" t="str">
        <f>IF(YLE成绩库!AB278="","", YLE成绩库!AB278)</f>
        <v/>
      </c>
      <c r="C778" t="str">
        <f>IF(YLE成绩库!B278="","", YLE成绩库!B278)</f>
        <v/>
      </c>
      <c r="D778" t="str">
        <f>IF(YLE成绩库!D278="","", YLE成绩库!D278)</f>
        <v/>
      </c>
      <c r="E778" t="str">
        <f>IF(YLE成绩库!C278="","", YLE成绩库!L278)</f>
        <v/>
      </c>
      <c r="F778" t="str">
        <f>IF(YLE成绩库!C278="","", YLE成绩库!M278)</f>
        <v/>
      </c>
      <c r="G778" t="str">
        <f>IF(YLE成绩库!C278="","", YLE成绩库!N278)</f>
        <v/>
      </c>
      <c r="H778" t="str">
        <f>IF(YLE成绩库!C278="","", YLE成绩库!O278)</f>
        <v/>
      </c>
      <c r="I778" t="str">
        <f>IF(YLE成绩库!C278="","", YLE成绩库!P278)</f>
        <v/>
      </c>
      <c r="J778" t="str">
        <f>IF(YLE成绩库!C278="","", YLE成绩库!Q278)</f>
        <v/>
      </c>
      <c r="K778" t="str">
        <f>IF(YLE成绩库!C278="","", YLE成绩库!R278)</f>
        <v/>
      </c>
      <c r="L778" t="str">
        <f>IF(YLE成绩库!C278="","", YLE成绩库!U278)</f>
        <v/>
      </c>
      <c r="M778">
        <v>0</v>
      </c>
      <c r="N778">
        <v>0</v>
      </c>
      <c r="O778">
        <v>0</v>
      </c>
      <c r="P778" t="str">
        <f>IF(YLE成绩库!C278="","", YLE成绩库!D278)</f>
        <v/>
      </c>
      <c r="Q778" t="str">
        <f>IF(YLE成绩库!C278="","", YLE成绩库!E278)</f>
        <v/>
      </c>
      <c r="R778" t="str">
        <f>IF(YLE成绩库!C278="","", YLE成绩库!F278)</f>
        <v/>
      </c>
      <c r="S778" t="str">
        <f>IF(YLE成绩库!C278="","", YLE成绩库!G278)</f>
        <v/>
      </c>
      <c r="T778" t="str">
        <f>IF(YLE成绩库!C278="","", YLE成绩库!H278)</f>
        <v/>
      </c>
      <c r="U778" t="str">
        <f>IF(YLE成绩库!C278="","", YLE成绩库!K278)</f>
        <v/>
      </c>
      <c r="V778" t="str">
        <f>IF(YLE成绩库!C278="","", YLE成绩库!W278)</f>
        <v/>
      </c>
      <c r="W778" t="str">
        <f>IF(YLE成绩库!C278="","", YLE成绩库!X278)</f>
        <v/>
      </c>
      <c r="X778" t="str">
        <f>IF(YLE成绩库!C278="","", YLE成绩库!AA278)</f>
        <v/>
      </c>
      <c r="Z778" t="str">
        <f>IF(YLE成绩库!C278="","", YLE成绩库!Z278)</f>
        <v/>
      </c>
    </row>
    <row r="779" spans="1:26" x14ac:dyDescent="0.2">
      <c r="A779" t="str">
        <f>IF(YLE成绩库!C279="","", YLE成绩库!C279)</f>
        <v/>
      </c>
      <c r="B779" t="str">
        <f>IF(YLE成绩库!AB279="","", YLE成绩库!AB279)</f>
        <v/>
      </c>
      <c r="C779" t="str">
        <f>IF(YLE成绩库!B279="","", YLE成绩库!B279)</f>
        <v/>
      </c>
      <c r="D779" t="str">
        <f>IF(YLE成绩库!D279="","", YLE成绩库!D279)</f>
        <v/>
      </c>
      <c r="E779" t="str">
        <f>IF(YLE成绩库!C279="","", YLE成绩库!L279)</f>
        <v/>
      </c>
      <c r="F779" t="str">
        <f>IF(YLE成绩库!C279="","", YLE成绩库!M279)</f>
        <v/>
      </c>
      <c r="G779" t="str">
        <f>IF(YLE成绩库!C279="","", YLE成绩库!N279)</f>
        <v/>
      </c>
      <c r="H779" t="str">
        <f>IF(YLE成绩库!C279="","", YLE成绩库!O279)</f>
        <v/>
      </c>
      <c r="I779" t="str">
        <f>IF(YLE成绩库!C279="","", YLE成绩库!P279)</f>
        <v/>
      </c>
      <c r="J779" t="str">
        <f>IF(YLE成绩库!C279="","", YLE成绩库!Q279)</f>
        <v/>
      </c>
      <c r="K779" t="str">
        <f>IF(YLE成绩库!C279="","", YLE成绩库!R279)</f>
        <v/>
      </c>
      <c r="L779" t="str">
        <f>IF(YLE成绩库!C279="","", YLE成绩库!U279)</f>
        <v/>
      </c>
      <c r="M779">
        <v>0</v>
      </c>
      <c r="N779">
        <v>0</v>
      </c>
      <c r="O779">
        <v>0</v>
      </c>
      <c r="P779" t="str">
        <f>IF(YLE成绩库!C279="","", YLE成绩库!D279)</f>
        <v/>
      </c>
      <c r="Q779" t="str">
        <f>IF(YLE成绩库!C279="","", YLE成绩库!E279)</f>
        <v/>
      </c>
      <c r="R779" t="str">
        <f>IF(YLE成绩库!C279="","", YLE成绩库!F279)</f>
        <v/>
      </c>
      <c r="S779" t="str">
        <f>IF(YLE成绩库!C279="","", YLE成绩库!G279)</f>
        <v/>
      </c>
      <c r="T779" t="str">
        <f>IF(YLE成绩库!C279="","", YLE成绩库!H279)</f>
        <v/>
      </c>
      <c r="U779" t="str">
        <f>IF(YLE成绩库!C279="","", YLE成绩库!K279)</f>
        <v/>
      </c>
      <c r="V779" t="str">
        <f>IF(YLE成绩库!C279="","", YLE成绩库!W279)</f>
        <v/>
      </c>
      <c r="W779" t="str">
        <f>IF(YLE成绩库!C279="","", YLE成绩库!X279)</f>
        <v/>
      </c>
      <c r="X779" t="str">
        <f>IF(YLE成绩库!C279="","", YLE成绩库!AA279)</f>
        <v/>
      </c>
      <c r="Z779" t="str">
        <f>IF(YLE成绩库!C279="","", YLE成绩库!Z279)</f>
        <v/>
      </c>
    </row>
    <row r="780" spans="1:26" x14ac:dyDescent="0.2">
      <c r="A780" t="str">
        <f>IF(YLE成绩库!C280="","", YLE成绩库!C280)</f>
        <v/>
      </c>
      <c r="B780" t="str">
        <f>IF(YLE成绩库!AB280="","", YLE成绩库!AB280)</f>
        <v/>
      </c>
      <c r="C780" t="str">
        <f>IF(YLE成绩库!B280="","", YLE成绩库!B280)</f>
        <v/>
      </c>
      <c r="D780" t="str">
        <f>IF(YLE成绩库!D280="","", YLE成绩库!D280)</f>
        <v/>
      </c>
      <c r="E780" t="str">
        <f>IF(YLE成绩库!C280="","", YLE成绩库!L280)</f>
        <v/>
      </c>
      <c r="F780" t="str">
        <f>IF(YLE成绩库!C280="","", YLE成绩库!M280)</f>
        <v/>
      </c>
      <c r="G780" t="str">
        <f>IF(YLE成绩库!C280="","", YLE成绩库!N280)</f>
        <v/>
      </c>
      <c r="H780" t="str">
        <f>IF(YLE成绩库!C280="","", YLE成绩库!O280)</f>
        <v/>
      </c>
      <c r="I780" t="str">
        <f>IF(YLE成绩库!C280="","", YLE成绩库!P280)</f>
        <v/>
      </c>
      <c r="J780" t="str">
        <f>IF(YLE成绩库!C280="","", YLE成绩库!Q280)</f>
        <v/>
      </c>
      <c r="K780" t="str">
        <f>IF(YLE成绩库!C280="","", YLE成绩库!R280)</f>
        <v/>
      </c>
      <c r="L780" t="str">
        <f>IF(YLE成绩库!C280="","", YLE成绩库!U280)</f>
        <v/>
      </c>
      <c r="M780">
        <v>0</v>
      </c>
      <c r="N780">
        <v>0</v>
      </c>
      <c r="O780">
        <v>0</v>
      </c>
      <c r="P780" t="str">
        <f>IF(YLE成绩库!C280="","", YLE成绩库!D280)</f>
        <v/>
      </c>
      <c r="Q780" t="str">
        <f>IF(YLE成绩库!C280="","", YLE成绩库!E280)</f>
        <v/>
      </c>
      <c r="R780" t="str">
        <f>IF(YLE成绩库!C280="","", YLE成绩库!F280)</f>
        <v/>
      </c>
      <c r="S780" t="str">
        <f>IF(YLE成绩库!C280="","", YLE成绩库!G280)</f>
        <v/>
      </c>
      <c r="T780" t="str">
        <f>IF(YLE成绩库!C280="","", YLE成绩库!H280)</f>
        <v/>
      </c>
      <c r="U780" t="str">
        <f>IF(YLE成绩库!C280="","", YLE成绩库!K280)</f>
        <v/>
      </c>
      <c r="V780" t="str">
        <f>IF(YLE成绩库!C280="","", YLE成绩库!W280)</f>
        <v/>
      </c>
      <c r="W780" t="str">
        <f>IF(YLE成绩库!C280="","", YLE成绩库!X280)</f>
        <v/>
      </c>
      <c r="X780" t="str">
        <f>IF(YLE成绩库!C280="","", YLE成绩库!AA280)</f>
        <v/>
      </c>
      <c r="Z780" t="str">
        <f>IF(YLE成绩库!C280="","", YLE成绩库!Z280)</f>
        <v/>
      </c>
    </row>
    <row r="781" spans="1:26" x14ac:dyDescent="0.2">
      <c r="A781" t="str">
        <f>IF(YLE成绩库!C281="","", YLE成绩库!C281)</f>
        <v/>
      </c>
      <c r="B781" t="str">
        <f>IF(YLE成绩库!AB281="","", YLE成绩库!AB281)</f>
        <v/>
      </c>
      <c r="C781" t="str">
        <f>IF(YLE成绩库!B281="","", YLE成绩库!B281)</f>
        <v/>
      </c>
      <c r="D781" t="str">
        <f>IF(YLE成绩库!D281="","", YLE成绩库!D281)</f>
        <v/>
      </c>
      <c r="E781" t="str">
        <f>IF(YLE成绩库!C281="","", YLE成绩库!L281)</f>
        <v/>
      </c>
      <c r="F781" t="str">
        <f>IF(YLE成绩库!C281="","", YLE成绩库!M281)</f>
        <v/>
      </c>
      <c r="G781" t="str">
        <f>IF(YLE成绩库!C281="","", YLE成绩库!N281)</f>
        <v/>
      </c>
      <c r="H781" t="str">
        <f>IF(YLE成绩库!C281="","", YLE成绩库!O281)</f>
        <v/>
      </c>
      <c r="I781" t="str">
        <f>IF(YLE成绩库!C281="","", YLE成绩库!P281)</f>
        <v/>
      </c>
      <c r="J781" t="str">
        <f>IF(YLE成绩库!C281="","", YLE成绩库!Q281)</f>
        <v/>
      </c>
      <c r="K781" t="str">
        <f>IF(YLE成绩库!C281="","", YLE成绩库!R281)</f>
        <v/>
      </c>
      <c r="L781" t="str">
        <f>IF(YLE成绩库!C281="","", YLE成绩库!U281)</f>
        <v/>
      </c>
      <c r="M781">
        <v>0</v>
      </c>
      <c r="N781">
        <v>0</v>
      </c>
      <c r="O781">
        <v>0</v>
      </c>
      <c r="P781" t="str">
        <f>IF(YLE成绩库!C281="","", YLE成绩库!D281)</f>
        <v/>
      </c>
      <c r="Q781" t="str">
        <f>IF(YLE成绩库!C281="","", YLE成绩库!E281)</f>
        <v/>
      </c>
      <c r="R781" t="str">
        <f>IF(YLE成绩库!C281="","", YLE成绩库!F281)</f>
        <v/>
      </c>
      <c r="S781" t="str">
        <f>IF(YLE成绩库!C281="","", YLE成绩库!G281)</f>
        <v/>
      </c>
      <c r="T781" t="str">
        <f>IF(YLE成绩库!C281="","", YLE成绩库!H281)</f>
        <v/>
      </c>
      <c r="U781" t="str">
        <f>IF(YLE成绩库!C281="","", YLE成绩库!K281)</f>
        <v/>
      </c>
      <c r="V781" t="str">
        <f>IF(YLE成绩库!C281="","", YLE成绩库!W281)</f>
        <v/>
      </c>
      <c r="W781" t="str">
        <f>IF(YLE成绩库!C281="","", YLE成绩库!X281)</f>
        <v/>
      </c>
      <c r="X781" t="str">
        <f>IF(YLE成绩库!C281="","", YLE成绩库!AA281)</f>
        <v/>
      </c>
      <c r="Z781" t="str">
        <f>IF(YLE成绩库!C281="","", YLE成绩库!Z281)</f>
        <v/>
      </c>
    </row>
    <row r="782" spans="1:26" x14ac:dyDescent="0.2">
      <c r="A782" t="str">
        <f>IF(YLE成绩库!C282="","", YLE成绩库!C282)</f>
        <v/>
      </c>
      <c r="B782" t="str">
        <f>IF(YLE成绩库!AB282="","", YLE成绩库!AB282)</f>
        <v/>
      </c>
      <c r="C782" t="str">
        <f>IF(YLE成绩库!B282="","", YLE成绩库!B282)</f>
        <v/>
      </c>
      <c r="D782" t="str">
        <f>IF(YLE成绩库!D282="","", YLE成绩库!D282)</f>
        <v/>
      </c>
      <c r="E782" t="str">
        <f>IF(YLE成绩库!C282="","", YLE成绩库!L282)</f>
        <v/>
      </c>
      <c r="F782" t="str">
        <f>IF(YLE成绩库!C282="","", YLE成绩库!M282)</f>
        <v/>
      </c>
      <c r="G782" t="str">
        <f>IF(YLE成绩库!C282="","", YLE成绩库!N282)</f>
        <v/>
      </c>
      <c r="H782" t="str">
        <f>IF(YLE成绩库!C282="","", YLE成绩库!O282)</f>
        <v/>
      </c>
      <c r="I782" t="str">
        <f>IF(YLE成绩库!C282="","", YLE成绩库!P282)</f>
        <v/>
      </c>
      <c r="J782" t="str">
        <f>IF(YLE成绩库!C282="","", YLE成绩库!Q282)</f>
        <v/>
      </c>
      <c r="K782" t="str">
        <f>IF(YLE成绩库!C282="","", YLE成绩库!R282)</f>
        <v/>
      </c>
      <c r="L782" t="str">
        <f>IF(YLE成绩库!C282="","", YLE成绩库!U282)</f>
        <v/>
      </c>
      <c r="M782">
        <v>0</v>
      </c>
      <c r="N782">
        <v>0</v>
      </c>
      <c r="O782">
        <v>0</v>
      </c>
      <c r="P782" t="str">
        <f>IF(YLE成绩库!C282="","", YLE成绩库!D282)</f>
        <v/>
      </c>
      <c r="Q782" t="str">
        <f>IF(YLE成绩库!C282="","", YLE成绩库!E282)</f>
        <v/>
      </c>
      <c r="R782" t="str">
        <f>IF(YLE成绩库!C282="","", YLE成绩库!F282)</f>
        <v/>
      </c>
      <c r="S782" t="str">
        <f>IF(YLE成绩库!C282="","", YLE成绩库!G282)</f>
        <v/>
      </c>
      <c r="T782" t="str">
        <f>IF(YLE成绩库!C282="","", YLE成绩库!H282)</f>
        <v/>
      </c>
      <c r="U782" t="str">
        <f>IF(YLE成绩库!C282="","", YLE成绩库!K282)</f>
        <v/>
      </c>
      <c r="V782" t="str">
        <f>IF(YLE成绩库!C282="","", YLE成绩库!W282)</f>
        <v/>
      </c>
      <c r="W782" t="str">
        <f>IF(YLE成绩库!C282="","", YLE成绩库!X282)</f>
        <v/>
      </c>
      <c r="X782" t="str">
        <f>IF(YLE成绩库!C282="","", YLE成绩库!AA282)</f>
        <v/>
      </c>
      <c r="Z782" t="str">
        <f>IF(YLE成绩库!C282="","", YLE成绩库!Z282)</f>
        <v/>
      </c>
    </row>
    <row r="783" spans="1:26" x14ac:dyDescent="0.2">
      <c r="A783" t="str">
        <f>IF(YLE成绩库!C283="","", YLE成绩库!C283)</f>
        <v/>
      </c>
      <c r="B783" t="str">
        <f>IF(YLE成绩库!AB283="","", YLE成绩库!AB283)</f>
        <v/>
      </c>
      <c r="C783" t="str">
        <f>IF(YLE成绩库!B283="","", YLE成绩库!B283)</f>
        <v/>
      </c>
      <c r="D783" t="str">
        <f>IF(YLE成绩库!D283="","", YLE成绩库!D283)</f>
        <v/>
      </c>
      <c r="E783" t="str">
        <f>IF(YLE成绩库!C283="","", YLE成绩库!L283)</f>
        <v/>
      </c>
      <c r="F783" t="str">
        <f>IF(YLE成绩库!C283="","", YLE成绩库!M283)</f>
        <v/>
      </c>
      <c r="G783" t="str">
        <f>IF(YLE成绩库!C283="","", YLE成绩库!N283)</f>
        <v/>
      </c>
      <c r="H783" t="str">
        <f>IF(YLE成绩库!C283="","", YLE成绩库!O283)</f>
        <v/>
      </c>
      <c r="I783" t="str">
        <f>IF(YLE成绩库!C283="","", YLE成绩库!P283)</f>
        <v/>
      </c>
      <c r="J783" t="str">
        <f>IF(YLE成绩库!C283="","", YLE成绩库!Q283)</f>
        <v/>
      </c>
      <c r="K783" t="str">
        <f>IF(YLE成绩库!C283="","", YLE成绩库!R283)</f>
        <v/>
      </c>
      <c r="L783" t="str">
        <f>IF(YLE成绩库!C283="","", YLE成绩库!U283)</f>
        <v/>
      </c>
      <c r="M783">
        <v>0</v>
      </c>
      <c r="N783">
        <v>0</v>
      </c>
      <c r="O783">
        <v>0</v>
      </c>
      <c r="P783" t="str">
        <f>IF(YLE成绩库!C283="","", YLE成绩库!D283)</f>
        <v/>
      </c>
      <c r="Q783" t="str">
        <f>IF(YLE成绩库!C283="","", YLE成绩库!E283)</f>
        <v/>
      </c>
      <c r="R783" t="str">
        <f>IF(YLE成绩库!C283="","", YLE成绩库!F283)</f>
        <v/>
      </c>
      <c r="S783" t="str">
        <f>IF(YLE成绩库!C283="","", YLE成绩库!G283)</f>
        <v/>
      </c>
      <c r="T783" t="str">
        <f>IF(YLE成绩库!C283="","", YLE成绩库!H283)</f>
        <v/>
      </c>
      <c r="U783" t="str">
        <f>IF(YLE成绩库!C283="","", YLE成绩库!K283)</f>
        <v/>
      </c>
      <c r="V783" t="str">
        <f>IF(YLE成绩库!C283="","", YLE成绩库!W283)</f>
        <v/>
      </c>
      <c r="W783" t="str">
        <f>IF(YLE成绩库!C283="","", YLE成绩库!X283)</f>
        <v/>
      </c>
      <c r="X783" t="str">
        <f>IF(YLE成绩库!C283="","", YLE成绩库!AA283)</f>
        <v/>
      </c>
      <c r="Z783" t="str">
        <f>IF(YLE成绩库!C283="","", YLE成绩库!Z283)</f>
        <v/>
      </c>
    </row>
    <row r="784" spans="1:26" x14ac:dyDescent="0.2">
      <c r="A784" t="str">
        <f>IF(YLE成绩库!C284="","", YLE成绩库!C284)</f>
        <v/>
      </c>
      <c r="B784" t="str">
        <f>IF(YLE成绩库!AB284="","", YLE成绩库!AB284)</f>
        <v/>
      </c>
      <c r="C784" t="str">
        <f>IF(YLE成绩库!B284="","", YLE成绩库!B284)</f>
        <v/>
      </c>
      <c r="D784" t="str">
        <f>IF(YLE成绩库!D284="","", YLE成绩库!D284)</f>
        <v/>
      </c>
      <c r="E784" t="str">
        <f>IF(YLE成绩库!C284="","", YLE成绩库!L284)</f>
        <v/>
      </c>
      <c r="F784" t="str">
        <f>IF(YLE成绩库!C284="","", YLE成绩库!M284)</f>
        <v/>
      </c>
      <c r="G784" t="str">
        <f>IF(YLE成绩库!C284="","", YLE成绩库!N284)</f>
        <v/>
      </c>
      <c r="H784" t="str">
        <f>IF(YLE成绩库!C284="","", YLE成绩库!O284)</f>
        <v/>
      </c>
      <c r="I784" t="str">
        <f>IF(YLE成绩库!C284="","", YLE成绩库!P284)</f>
        <v/>
      </c>
      <c r="J784" t="str">
        <f>IF(YLE成绩库!C284="","", YLE成绩库!Q284)</f>
        <v/>
      </c>
      <c r="K784" t="str">
        <f>IF(YLE成绩库!C284="","", YLE成绩库!R284)</f>
        <v/>
      </c>
      <c r="L784" t="str">
        <f>IF(YLE成绩库!C284="","", YLE成绩库!U284)</f>
        <v/>
      </c>
      <c r="M784">
        <v>0</v>
      </c>
      <c r="N784">
        <v>0</v>
      </c>
      <c r="O784">
        <v>0</v>
      </c>
      <c r="P784" t="str">
        <f>IF(YLE成绩库!C284="","", YLE成绩库!D284)</f>
        <v/>
      </c>
      <c r="Q784" t="str">
        <f>IF(YLE成绩库!C284="","", YLE成绩库!E284)</f>
        <v/>
      </c>
      <c r="R784" t="str">
        <f>IF(YLE成绩库!C284="","", YLE成绩库!F284)</f>
        <v/>
      </c>
      <c r="S784" t="str">
        <f>IF(YLE成绩库!C284="","", YLE成绩库!G284)</f>
        <v/>
      </c>
      <c r="T784" t="str">
        <f>IF(YLE成绩库!C284="","", YLE成绩库!H284)</f>
        <v/>
      </c>
      <c r="U784" t="str">
        <f>IF(YLE成绩库!C284="","", YLE成绩库!K284)</f>
        <v/>
      </c>
      <c r="V784" t="str">
        <f>IF(YLE成绩库!C284="","", YLE成绩库!W284)</f>
        <v/>
      </c>
      <c r="W784" t="str">
        <f>IF(YLE成绩库!C284="","", YLE成绩库!X284)</f>
        <v/>
      </c>
      <c r="X784" t="str">
        <f>IF(YLE成绩库!C284="","", YLE成绩库!AA284)</f>
        <v/>
      </c>
      <c r="Z784" t="str">
        <f>IF(YLE成绩库!C284="","", YLE成绩库!Z284)</f>
        <v/>
      </c>
    </row>
    <row r="785" spans="1:26" x14ac:dyDescent="0.2">
      <c r="A785" t="str">
        <f>IF(YLE成绩库!C285="","", YLE成绩库!C285)</f>
        <v/>
      </c>
      <c r="B785" t="str">
        <f>IF(YLE成绩库!AB285="","", YLE成绩库!AB285)</f>
        <v/>
      </c>
      <c r="C785" t="str">
        <f>IF(YLE成绩库!B285="","", YLE成绩库!B285)</f>
        <v/>
      </c>
      <c r="D785" t="str">
        <f>IF(YLE成绩库!D285="","", YLE成绩库!D285)</f>
        <v/>
      </c>
      <c r="E785" t="str">
        <f>IF(YLE成绩库!C285="","", YLE成绩库!L285)</f>
        <v/>
      </c>
      <c r="F785" t="str">
        <f>IF(YLE成绩库!C285="","", YLE成绩库!M285)</f>
        <v/>
      </c>
      <c r="G785" t="str">
        <f>IF(YLE成绩库!C285="","", YLE成绩库!N285)</f>
        <v/>
      </c>
      <c r="H785" t="str">
        <f>IF(YLE成绩库!C285="","", YLE成绩库!O285)</f>
        <v/>
      </c>
      <c r="I785" t="str">
        <f>IF(YLE成绩库!C285="","", YLE成绩库!P285)</f>
        <v/>
      </c>
      <c r="J785" t="str">
        <f>IF(YLE成绩库!C285="","", YLE成绩库!Q285)</f>
        <v/>
      </c>
      <c r="K785" t="str">
        <f>IF(YLE成绩库!C285="","", YLE成绩库!R285)</f>
        <v/>
      </c>
      <c r="L785" t="str">
        <f>IF(YLE成绩库!C285="","", YLE成绩库!U285)</f>
        <v/>
      </c>
      <c r="M785">
        <v>0</v>
      </c>
      <c r="N785">
        <v>0</v>
      </c>
      <c r="O785">
        <v>0</v>
      </c>
      <c r="P785" t="str">
        <f>IF(YLE成绩库!C285="","", YLE成绩库!D285)</f>
        <v/>
      </c>
      <c r="Q785" t="str">
        <f>IF(YLE成绩库!C285="","", YLE成绩库!E285)</f>
        <v/>
      </c>
      <c r="R785" t="str">
        <f>IF(YLE成绩库!C285="","", YLE成绩库!F285)</f>
        <v/>
      </c>
      <c r="S785" t="str">
        <f>IF(YLE成绩库!C285="","", YLE成绩库!G285)</f>
        <v/>
      </c>
      <c r="T785" t="str">
        <f>IF(YLE成绩库!C285="","", YLE成绩库!H285)</f>
        <v/>
      </c>
      <c r="U785" t="str">
        <f>IF(YLE成绩库!C285="","", YLE成绩库!K285)</f>
        <v/>
      </c>
      <c r="V785" t="str">
        <f>IF(YLE成绩库!C285="","", YLE成绩库!W285)</f>
        <v/>
      </c>
      <c r="W785" t="str">
        <f>IF(YLE成绩库!C285="","", YLE成绩库!X285)</f>
        <v/>
      </c>
      <c r="X785" t="str">
        <f>IF(YLE成绩库!C285="","", YLE成绩库!AA285)</f>
        <v/>
      </c>
      <c r="Z785" t="str">
        <f>IF(YLE成绩库!C285="","", YLE成绩库!Z285)</f>
        <v/>
      </c>
    </row>
    <row r="786" spans="1:26" x14ac:dyDescent="0.2">
      <c r="A786" t="str">
        <f>IF(YLE成绩库!C286="","", YLE成绩库!C286)</f>
        <v/>
      </c>
      <c r="B786" t="str">
        <f>IF(YLE成绩库!AB286="","", YLE成绩库!AB286)</f>
        <v/>
      </c>
      <c r="C786" t="str">
        <f>IF(YLE成绩库!B286="","", YLE成绩库!B286)</f>
        <v/>
      </c>
      <c r="D786" t="str">
        <f>IF(YLE成绩库!D286="","", YLE成绩库!D286)</f>
        <v/>
      </c>
      <c r="E786" t="str">
        <f>IF(YLE成绩库!C286="","", YLE成绩库!L286)</f>
        <v/>
      </c>
      <c r="F786" t="str">
        <f>IF(YLE成绩库!C286="","", YLE成绩库!M286)</f>
        <v/>
      </c>
      <c r="G786" t="str">
        <f>IF(YLE成绩库!C286="","", YLE成绩库!N286)</f>
        <v/>
      </c>
      <c r="H786" t="str">
        <f>IF(YLE成绩库!C286="","", YLE成绩库!O286)</f>
        <v/>
      </c>
      <c r="I786" t="str">
        <f>IF(YLE成绩库!C286="","", YLE成绩库!P286)</f>
        <v/>
      </c>
      <c r="J786" t="str">
        <f>IF(YLE成绩库!C286="","", YLE成绩库!Q286)</f>
        <v/>
      </c>
      <c r="K786" t="str">
        <f>IF(YLE成绩库!C286="","", YLE成绩库!R286)</f>
        <v/>
      </c>
      <c r="L786" t="str">
        <f>IF(YLE成绩库!C286="","", YLE成绩库!U286)</f>
        <v/>
      </c>
      <c r="M786">
        <v>0</v>
      </c>
      <c r="N786">
        <v>0</v>
      </c>
      <c r="O786">
        <v>0</v>
      </c>
      <c r="P786" t="str">
        <f>IF(YLE成绩库!C286="","", YLE成绩库!D286)</f>
        <v/>
      </c>
      <c r="Q786" t="str">
        <f>IF(YLE成绩库!C286="","", YLE成绩库!E286)</f>
        <v/>
      </c>
      <c r="R786" t="str">
        <f>IF(YLE成绩库!C286="","", YLE成绩库!F286)</f>
        <v/>
      </c>
      <c r="S786" t="str">
        <f>IF(YLE成绩库!C286="","", YLE成绩库!G286)</f>
        <v/>
      </c>
      <c r="T786" t="str">
        <f>IF(YLE成绩库!C286="","", YLE成绩库!H286)</f>
        <v/>
      </c>
      <c r="U786" t="str">
        <f>IF(YLE成绩库!C286="","", YLE成绩库!K286)</f>
        <v/>
      </c>
      <c r="V786" t="str">
        <f>IF(YLE成绩库!C286="","", YLE成绩库!W286)</f>
        <v/>
      </c>
      <c r="W786" t="str">
        <f>IF(YLE成绩库!C286="","", YLE成绩库!X286)</f>
        <v/>
      </c>
      <c r="X786" t="str">
        <f>IF(YLE成绩库!C286="","", YLE成绩库!AA286)</f>
        <v/>
      </c>
      <c r="Z786" t="str">
        <f>IF(YLE成绩库!C286="","", YLE成绩库!Z286)</f>
        <v/>
      </c>
    </row>
    <row r="787" spans="1:26" x14ac:dyDescent="0.2">
      <c r="A787" t="str">
        <f>IF(YLE成绩库!C287="","", YLE成绩库!C287)</f>
        <v/>
      </c>
      <c r="B787" t="str">
        <f>IF(YLE成绩库!AB287="","", YLE成绩库!AB287)</f>
        <v/>
      </c>
      <c r="C787" t="str">
        <f>IF(YLE成绩库!B287="","", YLE成绩库!B287)</f>
        <v/>
      </c>
      <c r="D787" t="str">
        <f>IF(YLE成绩库!D287="","", YLE成绩库!D287)</f>
        <v/>
      </c>
      <c r="E787" t="str">
        <f>IF(YLE成绩库!C287="","", YLE成绩库!L287)</f>
        <v/>
      </c>
      <c r="F787" t="str">
        <f>IF(YLE成绩库!C287="","", YLE成绩库!M287)</f>
        <v/>
      </c>
      <c r="G787" t="str">
        <f>IF(YLE成绩库!C287="","", YLE成绩库!N287)</f>
        <v/>
      </c>
      <c r="H787" t="str">
        <f>IF(YLE成绩库!C287="","", YLE成绩库!O287)</f>
        <v/>
      </c>
      <c r="I787" t="str">
        <f>IF(YLE成绩库!C287="","", YLE成绩库!P287)</f>
        <v/>
      </c>
      <c r="J787" t="str">
        <f>IF(YLE成绩库!C287="","", YLE成绩库!Q287)</f>
        <v/>
      </c>
      <c r="K787" t="str">
        <f>IF(YLE成绩库!C287="","", YLE成绩库!R287)</f>
        <v/>
      </c>
      <c r="L787" t="str">
        <f>IF(YLE成绩库!C287="","", YLE成绩库!U287)</f>
        <v/>
      </c>
      <c r="M787">
        <v>0</v>
      </c>
      <c r="N787">
        <v>0</v>
      </c>
      <c r="O787">
        <v>0</v>
      </c>
      <c r="P787" t="str">
        <f>IF(YLE成绩库!C287="","", YLE成绩库!D287)</f>
        <v/>
      </c>
      <c r="Q787" t="str">
        <f>IF(YLE成绩库!C287="","", YLE成绩库!E287)</f>
        <v/>
      </c>
      <c r="R787" t="str">
        <f>IF(YLE成绩库!C287="","", YLE成绩库!F287)</f>
        <v/>
      </c>
      <c r="S787" t="str">
        <f>IF(YLE成绩库!C287="","", YLE成绩库!G287)</f>
        <v/>
      </c>
      <c r="T787" t="str">
        <f>IF(YLE成绩库!C287="","", YLE成绩库!H287)</f>
        <v/>
      </c>
      <c r="U787" t="str">
        <f>IF(YLE成绩库!C287="","", YLE成绩库!K287)</f>
        <v/>
      </c>
      <c r="V787" t="str">
        <f>IF(YLE成绩库!C287="","", YLE成绩库!W287)</f>
        <v/>
      </c>
      <c r="W787" t="str">
        <f>IF(YLE成绩库!C287="","", YLE成绩库!X287)</f>
        <v/>
      </c>
      <c r="X787" t="str">
        <f>IF(YLE成绩库!C287="","", YLE成绩库!AA287)</f>
        <v/>
      </c>
      <c r="Z787" t="str">
        <f>IF(YLE成绩库!C287="","", YLE成绩库!Z287)</f>
        <v/>
      </c>
    </row>
    <row r="788" spans="1:26" x14ac:dyDescent="0.2">
      <c r="A788" t="str">
        <f>IF(YLE成绩库!C288="","", YLE成绩库!C288)</f>
        <v/>
      </c>
      <c r="B788" t="str">
        <f>IF(YLE成绩库!AB288="","", YLE成绩库!AB288)</f>
        <v/>
      </c>
      <c r="C788" t="str">
        <f>IF(YLE成绩库!B288="","", YLE成绩库!B288)</f>
        <v/>
      </c>
      <c r="D788" t="str">
        <f>IF(YLE成绩库!D288="","", YLE成绩库!D288)</f>
        <v/>
      </c>
      <c r="E788" t="str">
        <f>IF(YLE成绩库!C288="","", YLE成绩库!L288)</f>
        <v/>
      </c>
      <c r="F788" t="str">
        <f>IF(YLE成绩库!C288="","", YLE成绩库!M288)</f>
        <v/>
      </c>
      <c r="G788" t="str">
        <f>IF(YLE成绩库!C288="","", YLE成绩库!N288)</f>
        <v/>
      </c>
      <c r="H788" t="str">
        <f>IF(YLE成绩库!C288="","", YLE成绩库!O288)</f>
        <v/>
      </c>
      <c r="I788" t="str">
        <f>IF(YLE成绩库!C288="","", YLE成绩库!P288)</f>
        <v/>
      </c>
      <c r="J788" t="str">
        <f>IF(YLE成绩库!C288="","", YLE成绩库!Q288)</f>
        <v/>
      </c>
      <c r="K788" t="str">
        <f>IF(YLE成绩库!C288="","", YLE成绩库!R288)</f>
        <v/>
      </c>
      <c r="L788" t="str">
        <f>IF(YLE成绩库!C288="","", YLE成绩库!U288)</f>
        <v/>
      </c>
      <c r="M788">
        <v>0</v>
      </c>
      <c r="N788">
        <v>0</v>
      </c>
      <c r="O788">
        <v>0</v>
      </c>
      <c r="P788" t="str">
        <f>IF(YLE成绩库!C288="","", YLE成绩库!D288)</f>
        <v/>
      </c>
      <c r="Q788" t="str">
        <f>IF(YLE成绩库!C288="","", YLE成绩库!E288)</f>
        <v/>
      </c>
      <c r="R788" t="str">
        <f>IF(YLE成绩库!C288="","", YLE成绩库!F288)</f>
        <v/>
      </c>
      <c r="S788" t="str">
        <f>IF(YLE成绩库!C288="","", YLE成绩库!G288)</f>
        <v/>
      </c>
      <c r="T788" t="str">
        <f>IF(YLE成绩库!C288="","", YLE成绩库!H288)</f>
        <v/>
      </c>
      <c r="U788" t="str">
        <f>IF(YLE成绩库!C288="","", YLE成绩库!K288)</f>
        <v/>
      </c>
      <c r="V788" t="str">
        <f>IF(YLE成绩库!C288="","", YLE成绩库!W288)</f>
        <v/>
      </c>
      <c r="W788" t="str">
        <f>IF(YLE成绩库!C288="","", YLE成绩库!X288)</f>
        <v/>
      </c>
      <c r="X788" t="str">
        <f>IF(YLE成绩库!C288="","", YLE成绩库!AA288)</f>
        <v/>
      </c>
      <c r="Z788" t="str">
        <f>IF(YLE成绩库!C288="","", YLE成绩库!Z288)</f>
        <v/>
      </c>
    </row>
    <row r="789" spans="1:26" x14ac:dyDescent="0.2">
      <c r="A789" t="str">
        <f>IF(YLE成绩库!C289="","", YLE成绩库!C289)</f>
        <v/>
      </c>
      <c r="B789" t="str">
        <f>IF(YLE成绩库!AB289="","", YLE成绩库!AB289)</f>
        <v/>
      </c>
      <c r="C789" t="str">
        <f>IF(YLE成绩库!B289="","", YLE成绩库!B289)</f>
        <v/>
      </c>
      <c r="D789" t="str">
        <f>IF(YLE成绩库!D289="","", YLE成绩库!D289)</f>
        <v/>
      </c>
      <c r="E789" t="str">
        <f>IF(YLE成绩库!C289="","", YLE成绩库!L289)</f>
        <v/>
      </c>
      <c r="F789" t="str">
        <f>IF(YLE成绩库!C289="","", YLE成绩库!M289)</f>
        <v/>
      </c>
      <c r="G789" t="str">
        <f>IF(YLE成绩库!C289="","", YLE成绩库!N289)</f>
        <v/>
      </c>
      <c r="H789" t="str">
        <f>IF(YLE成绩库!C289="","", YLE成绩库!O289)</f>
        <v/>
      </c>
      <c r="I789" t="str">
        <f>IF(YLE成绩库!C289="","", YLE成绩库!P289)</f>
        <v/>
      </c>
      <c r="J789" t="str">
        <f>IF(YLE成绩库!C289="","", YLE成绩库!Q289)</f>
        <v/>
      </c>
      <c r="K789" t="str">
        <f>IF(YLE成绩库!C289="","", YLE成绩库!R289)</f>
        <v/>
      </c>
      <c r="L789" t="str">
        <f>IF(YLE成绩库!C289="","", YLE成绩库!U289)</f>
        <v/>
      </c>
      <c r="M789">
        <v>0</v>
      </c>
      <c r="N789">
        <v>0</v>
      </c>
      <c r="O789">
        <v>0</v>
      </c>
      <c r="P789" t="str">
        <f>IF(YLE成绩库!C289="","", YLE成绩库!D289)</f>
        <v/>
      </c>
      <c r="Q789" t="str">
        <f>IF(YLE成绩库!C289="","", YLE成绩库!E289)</f>
        <v/>
      </c>
      <c r="R789" t="str">
        <f>IF(YLE成绩库!C289="","", YLE成绩库!F289)</f>
        <v/>
      </c>
      <c r="S789" t="str">
        <f>IF(YLE成绩库!C289="","", YLE成绩库!G289)</f>
        <v/>
      </c>
      <c r="T789" t="str">
        <f>IF(YLE成绩库!C289="","", YLE成绩库!H289)</f>
        <v/>
      </c>
      <c r="U789" t="str">
        <f>IF(YLE成绩库!C289="","", YLE成绩库!K289)</f>
        <v/>
      </c>
      <c r="V789" t="str">
        <f>IF(YLE成绩库!C289="","", YLE成绩库!W289)</f>
        <v/>
      </c>
      <c r="W789" t="str">
        <f>IF(YLE成绩库!C289="","", YLE成绩库!X289)</f>
        <v/>
      </c>
      <c r="X789" t="str">
        <f>IF(YLE成绩库!C289="","", YLE成绩库!AA289)</f>
        <v/>
      </c>
      <c r="Z789" t="str">
        <f>IF(YLE成绩库!C289="","", YLE成绩库!Z289)</f>
        <v/>
      </c>
    </row>
    <row r="790" spans="1:26" x14ac:dyDescent="0.2">
      <c r="A790" t="str">
        <f>IF(YLE成绩库!C290="","", YLE成绩库!C290)</f>
        <v/>
      </c>
      <c r="B790" t="str">
        <f>IF(YLE成绩库!AB290="","", YLE成绩库!AB290)</f>
        <v/>
      </c>
      <c r="C790" t="str">
        <f>IF(YLE成绩库!B290="","", YLE成绩库!B290)</f>
        <v/>
      </c>
      <c r="D790" t="str">
        <f>IF(YLE成绩库!D290="","", YLE成绩库!D290)</f>
        <v/>
      </c>
      <c r="E790" t="str">
        <f>IF(YLE成绩库!C290="","", YLE成绩库!L290)</f>
        <v/>
      </c>
      <c r="F790" t="str">
        <f>IF(YLE成绩库!C290="","", YLE成绩库!M290)</f>
        <v/>
      </c>
      <c r="G790" t="str">
        <f>IF(YLE成绩库!C290="","", YLE成绩库!N290)</f>
        <v/>
      </c>
      <c r="H790" t="str">
        <f>IF(YLE成绩库!C290="","", YLE成绩库!O290)</f>
        <v/>
      </c>
      <c r="I790" t="str">
        <f>IF(YLE成绩库!C290="","", YLE成绩库!P290)</f>
        <v/>
      </c>
      <c r="J790" t="str">
        <f>IF(YLE成绩库!C290="","", YLE成绩库!Q290)</f>
        <v/>
      </c>
      <c r="K790" t="str">
        <f>IF(YLE成绩库!C290="","", YLE成绩库!R290)</f>
        <v/>
      </c>
      <c r="L790" t="str">
        <f>IF(YLE成绩库!C290="","", YLE成绩库!U290)</f>
        <v/>
      </c>
      <c r="M790">
        <v>0</v>
      </c>
      <c r="N790">
        <v>0</v>
      </c>
      <c r="O790">
        <v>0</v>
      </c>
      <c r="P790" t="str">
        <f>IF(YLE成绩库!C290="","", YLE成绩库!D290)</f>
        <v/>
      </c>
      <c r="Q790" t="str">
        <f>IF(YLE成绩库!C290="","", YLE成绩库!E290)</f>
        <v/>
      </c>
      <c r="R790" t="str">
        <f>IF(YLE成绩库!C290="","", YLE成绩库!F290)</f>
        <v/>
      </c>
      <c r="S790" t="str">
        <f>IF(YLE成绩库!C290="","", YLE成绩库!G290)</f>
        <v/>
      </c>
      <c r="T790" t="str">
        <f>IF(YLE成绩库!C290="","", YLE成绩库!H290)</f>
        <v/>
      </c>
      <c r="U790" t="str">
        <f>IF(YLE成绩库!C290="","", YLE成绩库!K290)</f>
        <v/>
      </c>
      <c r="V790" t="str">
        <f>IF(YLE成绩库!C290="","", YLE成绩库!W290)</f>
        <v/>
      </c>
      <c r="W790" t="str">
        <f>IF(YLE成绩库!C290="","", YLE成绩库!X290)</f>
        <v/>
      </c>
      <c r="X790" t="str">
        <f>IF(YLE成绩库!C290="","", YLE成绩库!AA290)</f>
        <v/>
      </c>
      <c r="Z790" t="str">
        <f>IF(YLE成绩库!C290="","", YLE成绩库!Z290)</f>
        <v/>
      </c>
    </row>
    <row r="791" spans="1:26" x14ac:dyDescent="0.2">
      <c r="A791" t="str">
        <f>IF(YLE成绩库!C291="","", YLE成绩库!C291)</f>
        <v/>
      </c>
      <c r="B791" t="str">
        <f>IF(YLE成绩库!AB291="","", YLE成绩库!AB291)</f>
        <v/>
      </c>
      <c r="C791" t="str">
        <f>IF(YLE成绩库!B291="","", YLE成绩库!B291)</f>
        <v/>
      </c>
      <c r="D791" t="str">
        <f>IF(YLE成绩库!D291="","", YLE成绩库!D291)</f>
        <v/>
      </c>
      <c r="E791" t="str">
        <f>IF(YLE成绩库!C291="","", YLE成绩库!L291)</f>
        <v/>
      </c>
      <c r="F791" t="str">
        <f>IF(YLE成绩库!C291="","", YLE成绩库!M291)</f>
        <v/>
      </c>
      <c r="G791" t="str">
        <f>IF(YLE成绩库!C291="","", YLE成绩库!N291)</f>
        <v/>
      </c>
      <c r="H791" t="str">
        <f>IF(YLE成绩库!C291="","", YLE成绩库!O291)</f>
        <v/>
      </c>
      <c r="I791" t="str">
        <f>IF(YLE成绩库!C291="","", YLE成绩库!P291)</f>
        <v/>
      </c>
      <c r="J791" t="str">
        <f>IF(YLE成绩库!C291="","", YLE成绩库!Q291)</f>
        <v/>
      </c>
      <c r="K791" t="str">
        <f>IF(YLE成绩库!C291="","", YLE成绩库!R291)</f>
        <v/>
      </c>
      <c r="L791" t="str">
        <f>IF(YLE成绩库!C291="","", YLE成绩库!U291)</f>
        <v/>
      </c>
      <c r="M791">
        <v>0</v>
      </c>
      <c r="N791">
        <v>0</v>
      </c>
      <c r="O791">
        <v>0</v>
      </c>
      <c r="P791" t="str">
        <f>IF(YLE成绩库!C291="","", YLE成绩库!D291)</f>
        <v/>
      </c>
      <c r="Q791" t="str">
        <f>IF(YLE成绩库!C291="","", YLE成绩库!E291)</f>
        <v/>
      </c>
      <c r="R791" t="str">
        <f>IF(YLE成绩库!C291="","", YLE成绩库!F291)</f>
        <v/>
      </c>
      <c r="S791" t="str">
        <f>IF(YLE成绩库!C291="","", YLE成绩库!G291)</f>
        <v/>
      </c>
      <c r="T791" t="str">
        <f>IF(YLE成绩库!C291="","", YLE成绩库!H291)</f>
        <v/>
      </c>
      <c r="U791" t="str">
        <f>IF(YLE成绩库!C291="","", YLE成绩库!K291)</f>
        <v/>
      </c>
      <c r="V791" t="str">
        <f>IF(YLE成绩库!C291="","", YLE成绩库!W291)</f>
        <v/>
      </c>
      <c r="W791" t="str">
        <f>IF(YLE成绩库!C291="","", YLE成绩库!X291)</f>
        <v/>
      </c>
      <c r="X791" t="str">
        <f>IF(YLE成绩库!C291="","", YLE成绩库!AA291)</f>
        <v/>
      </c>
      <c r="Z791" t="str">
        <f>IF(YLE成绩库!C291="","", YLE成绩库!Z291)</f>
        <v/>
      </c>
    </row>
    <row r="792" spans="1:26" x14ac:dyDescent="0.2">
      <c r="A792" t="str">
        <f>IF(YLE成绩库!C292="","", YLE成绩库!C292)</f>
        <v/>
      </c>
      <c r="B792" t="str">
        <f>IF(YLE成绩库!AB292="","", YLE成绩库!AB292)</f>
        <v/>
      </c>
      <c r="C792" t="str">
        <f>IF(YLE成绩库!B292="","", YLE成绩库!B292)</f>
        <v/>
      </c>
      <c r="D792" t="str">
        <f>IF(YLE成绩库!D292="","", YLE成绩库!D292)</f>
        <v/>
      </c>
      <c r="E792" t="str">
        <f>IF(YLE成绩库!C292="","", YLE成绩库!L292)</f>
        <v/>
      </c>
      <c r="F792" t="str">
        <f>IF(YLE成绩库!C292="","", YLE成绩库!M292)</f>
        <v/>
      </c>
      <c r="G792" t="str">
        <f>IF(YLE成绩库!C292="","", YLE成绩库!N292)</f>
        <v/>
      </c>
      <c r="H792" t="str">
        <f>IF(YLE成绩库!C292="","", YLE成绩库!O292)</f>
        <v/>
      </c>
      <c r="I792" t="str">
        <f>IF(YLE成绩库!C292="","", YLE成绩库!P292)</f>
        <v/>
      </c>
      <c r="J792" t="str">
        <f>IF(YLE成绩库!C292="","", YLE成绩库!Q292)</f>
        <v/>
      </c>
      <c r="K792" t="str">
        <f>IF(YLE成绩库!C292="","", YLE成绩库!R292)</f>
        <v/>
      </c>
      <c r="L792" t="str">
        <f>IF(YLE成绩库!C292="","", YLE成绩库!U292)</f>
        <v/>
      </c>
      <c r="M792">
        <v>0</v>
      </c>
      <c r="N792">
        <v>0</v>
      </c>
      <c r="O792">
        <v>0</v>
      </c>
      <c r="P792" t="str">
        <f>IF(YLE成绩库!C292="","", YLE成绩库!D292)</f>
        <v/>
      </c>
      <c r="Q792" t="str">
        <f>IF(YLE成绩库!C292="","", YLE成绩库!E292)</f>
        <v/>
      </c>
      <c r="R792" t="str">
        <f>IF(YLE成绩库!C292="","", YLE成绩库!F292)</f>
        <v/>
      </c>
      <c r="S792" t="str">
        <f>IF(YLE成绩库!C292="","", YLE成绩库!G292)</f>
        <v/>
      </c>
      <c r="T792" t="str">
        <f>IF(YLE成绩库!C292="","", YLE成绩库!H292)</f>
        <v/>
      </c>
      <c r="U792" t="str">
        <f>IF(YLE成绩库!C292="","", YLE成绩库!K292)</f>
        <v/>
      </c>
      <c r="V792" t="str">
        <f>IF(YLE成绩库!C292="","", YLE成绩库!W292)</f>
        <v/>
      </c>
      <c r="W792" t="str">
        <f>IF(YLE成绩库!C292="","", YLE成绩库!X292)</f>
        <v/>
      </c>
      <c r="X792" t="str">
        <f>IF(YLE成绩库!C292="","", YLE成绩库!AA292)</f>
        <v/>
      </c>
      <c r="Z792" t="str">
        <f>IF(YLE成绩库!C292="","", YLE成绩库!Z292)</f>
        <v/>
      </c>
    </row>
    <row r="793" spans="1:26" x14ac:dyDescent="0.2">
      <c r="A793" t="str">
        <f>IF(YLE成绩库!C293="","", YLE成绩库!C293)</f>
        <v/>
      </c>
      <c r="B793" t="str">
        <f>IF(YLE成绩库!AB293="","", YLE成绩库!AB293)</f>
        <v/>
      </c>
      <c r="C793" t="str">
        <f>IF(YLE成绩库!B293="","", YLE成绩库!B293)</f>
        <v/>
      </c>
      <c r="D793" t="str">
        <f>IF(YLE成绩库!D293="","", YLE成绩库!D293)</f>
        <v/>
      </c>
      <c r="E793" t="str">
        <f>IF(YLE成绩库!C293="","", YLE成绩库!L293)</f>
        <v/>
      </c>
      <c r="F793" t="str">
        <f>IF(YLE成绩库!C293="","", YLE成绩库!M293)</f>
        <v/>
      </c>
      <c r="G793" t="str">
        <f>IF(YLE成绩库!C293="","", YLE成绩库!N293)</f>
        <v/>
      </c>
      <c r="H793" t="str">
        <f>IF(YLE成绩库!C293="","", YLE成绩库!O293)</f>
        <v/>
      </c>
      <c r="I793" t="str">
        <f>IF(YLE成绩库!C293="","", YLE成绩库!P293)</f>
        <v/>
      </c>
      <c r="J793" t="str">
        <f>IF(YLE成绩库!C293="","", YLE成绩库!Q293)</f>
        <v/>
      </c>
      <c r="K793" t="str">
        <f>IF(YLE成绩库!C293="","", YLE成绩库!R293)</f>
        <v/>
      </c>
      <c r="L793" t="str">
        <f>IF(YLE成绩库!C293="","", YLE成绩库!U293)</f>
        <v/>
      </c>
      <c r="M793">
        <v>0</v>
      </c>
      <c r="N793">
        <v>0</v>
      </c>
      <c r="O793">
        <v>0</v>
      </c>
      <c r="P793" t="str">
        <f>IF(YLE成绩库!C293="","", YLE成绩库!D293)</f>
        <v/>
      </c>
      <c r="Q793" t="str">
        <f>IF(YLE成绩库!C293="","", YLE成绩库!E293)</f>
        <v/>
      </c>
      <c r="R793" t="str">
        <f>IF(YLE成绩库!C293="","", YLE成绩库!F293)</f>
        <v/>
      </c>
      <c r="S793" t="str">
        <f>IF(YLE成绩库!C293="","", YLE成绩库!G293)</f>
        <v/>
      </c>
      <c r="T793" t="str">
        <f>IF(YLE成绩库!C293="","", YLE成绩库!H293)</f>
        <v/>
      </c>
      <c r="U793" t="str">
        <f>IF(YLE成绩库!C293="","", YLE成绩库!K293)</f>
        <v/>
      </c>
      <c r="V793" t="str">
        <f>IF(YLE成绩库!C293="","", YLE成绩库!W293)</f>
        <v/>
      </c>
      <c r="W793" t="str">
        <f>IF(YLE成绩库!C293="","", YLE成绩库!X293)</f>
        <v/>
      </c>
      <c r="X793" t="str">
        <f>IF(YLE成绩库!C293="","", YLE成绩库!AA293)</f>
        <v/>
      </c>
      <c r="Z793" t="str">
        <f>IF(YLE成绩库!C293="","", YLE成绩库!Z293)</f>
        <v/>
      </c>
    </row>
    <row r="794" spans="1:26" x14ac:dyDescent="0.2">
      <c r="A794" t="str">
        <f>IF(YLE成绩库!C294="","", YLE成绩库!C294)</f>
        <v/>
      </c>
      <c r="B794" t="str">
        <f>IF(YLE成绩库!AB294="","", YLE成绩库!AB294)</f>
        <v/>
      </c>
      <c r="C794" t="str">
        <f>IF(YLE成绩库!B294="","", YLE成绩库!B294)</f>
        <v/>
      </c>
      <c r="D794" t="str">
        <f>IF(YLE成绩库!D294="","", YLE成绩库!D294)</f>
        <v/>
      </c>
      <c r="E794" t="str">
        <f>IF(YLE成绩库!C294="","", YLE成绩库!L294)</f>
        <v/>
      </c>
      <c r="F794" t="str">
        <f>IF(YLE成绩库!C294="","", YLE成绩库!M294)</f>
        <v/>
      </c>
      <c r="G794" t="str">
        <f>IF(YLE成绩库!C294="","", YLE成绩库!N294)</f>
        <v/>
      </c>
      <c r="H794" t="str">
        <f>IF(YLE成绩库!C294="","", YLE成绩库!O294)</f>
        <v/>
      </c>
      <c r="I794" t="str">
        <f>IF(YLE成绩库!C294="","", YLE成绩库!P294)</f>
        <v/>
      </c>
      <c r="J794" t="str">
        <f>IF(YLE成绩库!C294="","", YLE成绩库!Q294)</f>
        <v/>
      </c>
      <c r="K794" t="str">
        <f>IF(YLE成绩库!C294="","", YLE成绩库!R294)</f>
        <v/>
      </c>
      <c r="L794" t="str">
        <f>IF(YLE成绩库!C294="","", YLE成绩库!U294)</f>
        <v/>
      </c>
      <c r="M794">
        <v>0</v>
      </c>
      <c r="N794">
        <v>0</v>
      </c>
      <c r="O794">
        <v>0</v>
      </c>
      <c r="P794" t="str">
        <f>IF(YLE成绩库!C294="","", YLE成绩库!D294)</f>
        <v/>
      </c>
      <c r="Q794" t="str">
        <f>IF(YLE成绩库!C294="","", YLE成绩库!E294)</f>
        <v/>
      </c>
      <c r="R794" t="str">
        <f>IF(YLE成绩库!C294="","", YLE成绩库!F294)</f>
        <v/>
      </c>
      <c r="S794" t="str">
        <f>IF(YLE成绩库!C294="","", YLE成绩库!G294)</f>
        <v/>
      </c>
      <c r="T794" t="str">
        <f>IF(YLE成绩库!C294="","", YLE成绩库!H294)</f>
        <v/>
      </c>
      <c r="U794" t="str">
        <f>IF(YLE成绩库!C294="","", YLE成绩库!K294)</f>
        <v/>
      </c>
      <c r="V794" t="str">
        <f>IF(YLE成绩库!C294="","", YLE成绩库!W294)</f>
        <v/>
      </c>
      <c r="W794" t="str">
        <f>IF(YLE成绩库!C294="","", YLE成绩库!X294)</f>
        <v/>
      </c>
      <c r="X794" t="str">
        <f>IF(YLE成绩库!C294="","", YLE成绩库!AA294)</f>
        <v/>
      </c>
      <c r="Z794" t="str">
        <f>IF(YLE成绩库!C294="","", YLE成绩库!Z294)</f>
        <v/>
      </c>
    </row>
    <row r="795" spans="1:26" x14ac:dyDescent="0.2">
      <c r="A795" t="str">
        <f>IF(YLE成绩库!C295="","", YLE成绩库!C295)</f>
        <v/>
      </c>
      <c r="B795" t="str">
        <f>IF(YLE成绩库!AB295="","", YLE成绩库!AB295)</f>
        <v/>
      </c>
      <c r="C795" t="str">
        <f>IF(YLE成绩库!B295="","", YLE成绩库!B295)</f>
        <v/>
      </c>
      <c r="D795" t="str">
        <f>IF(YLE成绩库!D295="","", YLE成绩库!D295)</f>
        <v/>
      </c>
      <c r="E795" t="str">
        <f>IF(YLE成绩库!C295="","", YLE成绩库!L295)</f>
        <v/>
      </c>
      <c r="F795" t="str">
        <f>IF(YLE成绩库!C295="","", YLE成绩库!M295)</f>
        <v/>
      </c>
      <c r="G795" t="str">
        <f>IF(YLE成绩库!C295="","", YLE成绩库!N295)</f>
        <v/>
      </c>
      <c r="H795" t="str">
        <f>IF(YLE成绩库!C295="","", YLE成绩库!O295)</f>
        <v/>
      </c>
      <c r="I795" t="str">
        <f>IF(YLE成绩库!C295="","", YLE成绩库!P295)</f>
        <v/>
      </c>
      <c r="J795" t="str">
        <f>IF(YLE成绩库!C295="","", YLE成绩库!Q295)</f>
        <v/>
      </c>
      <c r="K795" t="str">
        <f>IF(YLE成绩库!C295="","", YLE成绩库!R295)</f>
        <v/>
      </c>
      <c r="L795" t="str">
        <f>IF(YLE成绩库!C295="","", YLE成绩库!U295)</f>
        <v/>
      </c>
      <c r="M795">
        <v>0</v>
      </c>
      <c r="N795">
        <v>0</v>
      </c>
      <c r="O795">
        <v>0</v>
      </c>
      <c r="P795" t="str">
        <f>IF(YLE成绩库!C295="","", YLE成绩库!D295)</f>
        <v/>
      </c>
      <c r="Q795" t="str">
        <f>IF(YLE成绩库!C295="","", YLE成绩库!E295)</f>
        <v/>
      </c>
      <c r="R795" t="str">
        <f>IF(YLE成绩库!C295="","", YLE成绩库!F295)</f>
        <v/>
      </c>
      <c r="S795" t="str">
        <f>IF(YLE成绩库!C295="","", YLE成绩库!G295)</f>
        <v/>
      </c>
      <c r="T795" t="str">
        <f>IF(YLE成绩库!C295="","", YLE成绩库!H295)</f>
        <v/>
      </c>
      <c r="U795" t="str">
        <f>IF(YLE成绩库!C295="","", YLE成绩库!K295)</f>
        <v/>
      </c>
      <c r="V795" t="str">
        <f>IF(YLE成绩库!C295="","", YLE成绩库!W295)</f>
        <v/>
      </c>
      <c r="W795" t="str">
        <f>IF(YLE成绩库!C295="","", YLE成绩库!X295)</f>
        <v/>
      </c>
      <c r="X795" t="str">
        <f>IF(YLE成绩库!C295="","", YLE成绩库!AA295)</f>
        <v/>
      </c>
      <c r="Z795" t="str">
        <f>IF(YLE成绩库!C295="","", YLE成绩库!Z295)</f>
        <v/>
      </c>
    </row>
    <row r="796" spans="1:26" x14ac:dyDescent="0.2">
      <c r="A796" t="str">
        <f>IF(YLE成绩库!C296="","", YLE成绩库!C296)</f>
        <v/>
      </c>
      <c r="B796" t="str">
        <f>IF(YLE成绩库!AB296="","", YLE成绩库!AB296)</f>
        <v/>
      </c>
      <c r="C796" t="str">
        <f>IF(YLE成绩库!B296="","", YLE成绩库!B296)</f>
        <v/>
      </c>
      <c r="D796" t="str">
        <f>IF(YLE成绩库!D296="","", YLE成绩库!D296)</f>
        <v/>
      </c>
      <c r="E796" t="str">
        <f>IF(YLE成绩库!C296="","", YLE成绩库!L296)</f>
        <v/>
      </c>
      <c r="F796" t="str">
        <f>IF(YLE成绩库!C296="","", YLE成绩库!M296)</f>
        <v/>
      </c>
      <c r="G796" t="str">
        <f>IF(YLE成绩库!C296="","", YLE成绩库!N296)</f>
        <v/>
      </c>
      <c r="H796" t="str">
        <f>IF(YLE成绩库!C296="","", YLE成绩库!O296)</f>
        <v/>
      </c>
      <c r="I796" t="str">
        <f>IF(YLE成绩库!C296="","", YLE成绩库!P296)</f>
        <v/>
      </c>
      <c r="J796" t="str">
        <f>IF(YLE成绩库!C296="","", YLE成绩库!Q296)</f>
        <v/>
      </c>
      <c r="K796" t="str">
        <f>IF(YLE成绩库!C296="","", YLE成绩库!R296)</f>
        <v/>
      </c>
      <c r="L796" t="str">
        <f>IF(YLE成绩库!C296="","", YLE成绩库!U296)</f>
        <v/>
      </c>
      <c r="M796">
        <v>0</v>
      </c>
      <c r="N796">
        <v>0</v>
      </c>
      <c r="O796">
        <v>0</v>
      </c>
      <c r="P796" t="str">
        <f>IF(YLE成绩库!C296="","", YLE成绩库!D296)</f>
        <v/>
      </c>
      <c r="Q796" t="str">
        <f>IF(YLE成绩库!C296="","", YLE成绩库!E296)</f>
        <v/>
      </c>
      <c r="R796" t="str">
        <f>IF(YLE成绩库!C296="","", YLE成绩库!F296)</f>
        <v/>
      </c>
      <c r="S796" t="str">
        <f>IF(YLE成绩库!C296="","", YLE成绩库!G296)</f>
        <v/>
      </c>
      <c r="T796" t="str">
        <f>IF(YLE成绩库!C296="","", YLE成绩库!H296)</f>
        <v/>
      </c>
      <c r="U796" t="str">
        <f>IF(YLE成绩库!C296="","", YLE成绩库!K296)</f>
        <v/>
      </c>
      <c r="V796" t="str">
        <f>IF(YLE成绩库!C296="","", YLE成绩库!W296)</f>
        <v/>
      </c>
      <c r="W796" t="str">
        <f>IF(YLE成绩库!C296="","", YLE成绩库!X296)</f>
        <v/>
      </c>
      <c r="X796" t="str">
        <f>IF(YLE成绩库!C296="","", YLE成绩库!AA296)</f>
        <v/>
      </c>
      <c r="Z796" t="str">
        <f>IF(YLE成绩库!C296="","", YLE成绩库!Z296)</f>
        <v/>
      </c>
    </row>
    <row r="797" spans="1:26" x14ac:dyDescent="0.2">
      <c r="A797" t="str">
        <f>IF(YLE成绩库!C297="","", YLE成绩库!C297)</f>
        <v/>
      </c>
      <c r="B797" t="str">
        <f>IF(YLE成绩库!AB297="","", YLE成绩库!AB297)</f>
        <v/>
      </c>
      <c r="C797" t="str">
        <f>IF(YLE成绩库!B297="","", YLE成绩库!B297)</f>
        <v/>
      </c>
      <c r="D797" t="str">
        <f>IF(YLE成绩库!D297="","", YLE成绩库!D297)</f>
        <v/>
      </c>
      <c r="E797" t="str">
        <f>IF(YLE成绩库!C297="","", YLE成绩库!L297)</f>
        <v/>
      </c>
      <c r="F797" t="str">
        <f>IF(YLE成绩库!C297="","", YLE成绩库!M297)</f>
        <v/>
      </c>
      <c r="G797" t="str">
        <f>IF(YLE成绩库!C297="","", YLE成绩库!N297)</f>
        <v/>
      </c>
      <c r="H797" t="str">
        <f>IF(YLE成绩库!C297="","", YLE成绩库!O297)</f>
        <v/>
      </c>
      <c r="I797" t="str">
        <f>IF(YLE成绩库!C297="","", YLE成绩库!P297)</f>
        <v/>
      </c>
      <c r="J797" t="str">
        <f>IF(YLE成绩库!C297="","", YLE成绩库!Q297)</f>
        <v/>
      </c>
      <c r="K797" t="str">
        <f>IF(YLE成绩库!C297="","", YLE成绩库!R297)</f>
        <v/>
      </c>
      <c r="L797" t="str">
        <f>IF(YLE成绩库!C297="","", YLE成绩库!U297)</f>
        <v/>
      </c>
      <c r="M797">
        <v>0</v>
      </c>
      <c r="N797">
        <v>0</v>
      </c>
      <c r="O797">
        <v>0</v>
      </c>
      <c r="P797" t="str">
        <f>IF(YLE成绩库!C297="","", YLE成绩库!D297)</f>
        <v/>
      </c>
      <c r="Q797" t="str">
        <f>IF(YLE成绩库!C297="","", YLE成绩库!E297)</f>
        <v/>
      </c>
      <c r="R797" t="str">
        <f>IF(YLE成绩库!C297="","", YLE成绩库!F297)</f>
        <v/>
      </c>
      <c r="S797" t="str">
        <f>IF(YLE成绩库!C297="","", YLE成绩库!G297)</f>
        <v/>
      </c>
      <c r="T797" t="str">
        <f>IF(YLE成绩库!C297="","", YLE成绩库!H297)</f>
        <v/>
      </c>
      <c r="U797" t="str">
        <f>IF(YLE成绩库!C297="","", YLE成绩库!K297)</f>
        <v/>
      </c>
      <c r="V797" t="str">
        <f>IF(YLE成绩库!C297="","", YLE成绩库!W297)</f>
        <v/>
      </c>
      <c r="W797" t="str">
        <f>IF(YLE成绩库!C297="","", YLE成绩库!X297)</f>
        <v/>
      </c>
      <c r="X797" t="str">
        <f>IF(YLE成绩库!C297="","", YLE成绩库!AA297)</f>
        <v/>
      </c>
      <c r="Z797" t="str">
        <f>IF(YLE成绩库!C297="","", YLE成绩库!Z297)</f>
        <v/>
      </c>
    </row>
    <row r="798" spans="1:26" x14ac:dyDescent="0.2">
      <c r="A798" t="str">
        <f>IF(YLE成绩库!C298="","", YLE成绩库!C298)</f>
        <v/>
      </c>
      <c r="B798" t="str">
        <f>IF(YLE成绩库!AB298="","", YLE成绩库!AB298)</f>
        <v/>
      </c>
      <c r="C798" t="str">
        <f>IF(YLE成绩库!B298="","", YLE成绩库!B298)</f>
        <v/>
      </c>
      <c r="D798" t="str">
        <f>IF(YLE成绩库!D298="","", YLE成绩库!D298)</f>
        <v/>
      </c>
      <c r="E798" t="str">
        <f>IF(YLE成绩库!C298="","", YLE成绩库!L298)</f>
        <v/>
      </c>
      <c r="F798" t="str">
        <f>IF(YLE成绩库!C298="","", YLE成绩库!M298)</f>
        <v/>
      </c>
      <c r="G798" t="str">
        <f>IF(YLE成绩库!C298="","", YLE成绩库!N298)</f>
        <v/>
      </c>
      <c r="H798" t="str">
        <f>IF(YLE成绩库!C298="","", YLE成绩库!O298)</f>
        <v/>
      </c>
      <c r="I798" t="str">
        <f>IF(YLE成绩库!C298="","", YLE成绩库!P298)</f>
        <v/>
      </c>
      <c r="J798" t="str">
        <f>IF(YLE成绩库!C298="","", YLE成绩库!Q298)</f>
        <v/>
      </c>
      <c r="K798" t="str">
        <f>IF(YLE成绩库!C298="","", YLE成绩库!R298)</f>
        <v/>
      </c>
      <c r="L798" t="str">
        <f>IF(YLE成绩库!C298="","", YLE成绩库!U298)</f>
        <v/>
      </c>
      <c r="M798">
        <v>0</v>
      </c>
      <c r="N798">
        <v>0</v>
      </c>
      <c r="O798">
        <v>0</v>
      </c>
      <c r="P798" t="str">
        <f>IF(YLE成绩库!C298="","", YLE成绩库!D298)</f>
        <v/>
      </c>
      <c r="Q798" t="str">
        <f>IF(YLE成绩库!C298="","", YLE成绩库!E298)</f>
        <v/>
      </c>
      <c r="R798" t="str">
        <f>IF(YLE成绩库!C298="","", YLE成绩库!F298)</f>
        <v/>
      </c>
      <c r="S798" t="str">
        <f>IF(YLE成绩库!C298="","", YLE成绩库!G298)</f>
        <v/>
      </c>
      <c r="T798" t="str">
        <f>IF(YLE成绩库!C298="","", YLE成绩库!H298)</f>
        <v/>
      </c>
      <c r="U798" t="str">
        <f>IF(YLE成绩库!C298="","", YLE成绩库!K298)</f>
        <v/>
      </c>
      <c r="V798" t="str">
        <f>IF(YLE成绩库!C298="","", YLE成绩库!W298)</f>
        <v/>
      </c>
      <c r="W798" t="str">
        <f>IF(YLE成绩库!C298="","", YLE成绩库!X298)</f>
        <v/>
      </c>
      <c r="X798" t="str">
        <f>IF(YLE成绩库!C298="","", YLE成绩库!AA298)</f>
        <v/>
      </c>
      <c r="Z798" t="str">
        <f>IF(YLE成绩库!C298="","", YLE成绩库!Z298)</f>
        <v/>
      </c>
    </row>
    <row r="799" spans="1:26" x14ac:dyDescent="0.2">
      <c r="A799" t="str">
        <f>IF(YLE成绩库!C299="","", YLE成绩库!C299)</f>
        <v/>
      </c>
      <c r="B799" t="str">
        <f>IF(YLE成绩库!AB299="","", YLE成绩库!AB299)</f>
        <v/>
      </c>
      <c r="C799" t="str">
        <f>IF(YLE成绩库!B299="","", YLE成绩库!B299)</f>
        <v/>
      </c>
      <c r="D799" t="str">
        <f>IF(YLE成绩库!D299="","", YLE成绩库!D299)</f>
        <v/>
      </c>
      <c r="E799" t="str">
        <f>IF(YLE成绩库!C299="","", YLE成绩库!L299)</f>
        <v/>
      </c>
      <c r="F799" t="str">
        <f>IF(YLE成绩库!C299="","", YLE成绩库!M299)</f>
        <v/>
      </c>
      <c r="G799" t="str">
        <f>IF(YLE成绩库!C299="","", YLE成绩库!N299)</f>
        <v/>
      </c>
      <c r="H799" t="str">
        <f>IF(YLE成绩库!C299="","", YLE成绩库!O299)</f>
        <v/>
      </c>
      <c r="I799" t="str">
        <f>IF(YLE成绩库!C299="","", YLE成绩库!P299)</f>
        <v/>
      </c>
      <c r="J799" t="str">
        <f>IF(YLE成绩库!C299="","", YLE成绩库!Q299)</f>
        <v/>
      </c>
      <c r="K799" t="str">
        <f>IF(YLE成绩库!C299="","", YLE成绩库!R299)</f>
        <v/>
      </c>
      <c r="L799" t="str">
        <f>IF(YLE成绩库!C299="","", YLE成绩库!U299)</f>
        <v/>
      </c>
      <c r="M799">
        <v>0</v>
      </c>
      <c r="N799">
        <v>0</v>
      </c>
      <c r="O799">
        <v>0</v>
      </c>
      <c r="P799" t="str">
        <f>IF(YLE成绩库!C299="","", YLE成绩库!D299)</f>
        <v/>
      </c>
      <c r="Q799" t="str">
        <f>IF(YLE成绩库!C299="","", YLE成绩库!E299)</f>
        <v/>
      </c>
      <c r="R799" t="str">
        <f>IF(YLE成绩库!C299="","", YLE成绩库!F299)</f>
        <v/>
      </c>
      <c r="S799" t="str">
        <f>IF(YLE成绩库!C299="","", YLE成绩库!G299)</f>
        <v/>
      </c>
      <c r="T799" t="str">
        <f>IF(YLE成绩库!C299="","", YLE成绩库!H299)</f>
        <v/>
      </c>
      <c r="U799" t="str">
        <f>IF(YLE成绩库!C299="","", YLE成绩库!K299)</f>
        <v/>
      </c>
      <c r="V799" t="str">
        <f>IF(YLE成绩库!C299="","", YLE成绩库!W299)</f>
        <v/>
      </c>
      <c r="W799" t="str">
        <f>IF(YLE成绩库!C299="","", YLE成绩库!X299)</f>
        <v/>
      </c>
      <c r="X799" t="str">
        <f>IF(YLE成绩库!C299="","", YLE成绩库!AA299)</f>
        <v/>
      </c>
      <c r="Z799" t="str">
        <f>IF(YLE成绩库!C299="","", YLE成绩库!Z299)</f>
        <v/>
      </c>
    </row>
    <row r="800" spans="1:26" x14ac:dyDescent="0.2">
      <c r="A800" t="str">
        <f>IF(YLE成绩库!C300="","", YLE成绩库!C300)</f>
        <v/>
      </c>
      <c r="B800" t="str">
        <f>IF(YLE成绩库!AB300="","", YLE成绩库!AB300)</f>
        <v/>
      </c>
      <c r="C800" t="str">
        <f>IF(YLE成绩库!B300="","", YLE成绩库!B300)</f>
        <v/>
      </c>
      <c r="D800" t="str">
        <f>IF(YLE成绩库!D300="","", YLE成绩库!D300)</f>
        <v/>
      </c>
      <c r="E800" t="str">
        <f>IF(YLE成绩库!C300="","", YLE成绩库!L300)</f>
        <v/>
      </c>
      <c r="F800" t="str">
        <f>IF(YLE成绩库!C300="","", YLE成绩库!M300)</f>
        <v/>
      </c>
      <c r="G800" t="str">
        <f>IF(YLE成绩库!C300="","", YLE成绩库!N300)</f>
        <v/>
      </c>
      <c r="H800" t="str">
        <f>IF(YLE成绩库!C300="","", YLE成绩库!O300)</f>
        <v/>
      </c>
      <c r="I800" t="str">
        <f>IF(YLE成绩库!C300="","", YLE成绩库!P300)</f>
        <v/>
      </c>
      <c r="J800" t="str">
        <f>IF(YLE成绩库!C300="","", YLE成绩库!Q300)</f>
        <v/>
      </c>
      <c r="K800" t="str">
        <f>IF(YLE成绩库!C300="","", YLE成绩库!R300)</f>
        <v/>
      </c>
      <c r="L800" t="str">
        <f>IF(YLE成绩库!C300="","", YLE成绩库!U300)</f>
        <v/>
      </c>
      <c r="M800">
        <v>0</v>
      </c>
      <c r="N800">
        <v>0</v>
      </c>
      <c r="O800">
        <v>0</v>
      </c>
      <c r="P800" t="str">
        <f>IF(YLE成绩库!C300="","", YLE成绩库!D300)</f>
        <v/>
      </c>
      <c r="Q800" t="str">
        <f>IF(YLE成绩库!C300="","", YLE成绩库!E300)</f>
        <v/>
      </c>
      <c r="R800" t="str">
        <f>IF(YLE成绩库!C300="","", YLE成绩库!F300)</f>
        <v/>
      </c>
      <c r="S800" t="str">
        <f>IF(YLE成绩库!C300="","", YLE成绩库!G300)</f>
        <v/>
      </c>
      <c r="T800" t="str">
        <f>IF(YLE成绩库!C300="","", YLE成绩库!H300)</f>
        <v/>
      </c>
      <c r="U800" t="str">
        <f>IF(YLE成绩库!C300="","", YLE成绩库!K300)</f>
        <v/>
      </c>
      <c r="V800" t="str">
        <f>IF(YLE成绩库!C300="","", YLE成绩库!W300)</f>
        <v/>
      </c>
      <c r="W800" t="str">
        <f>IF(YLE成绩库!C300="","", YLE成绩库!X300)</f>
        <v/>
      </c>
      <c r="X800" t="str">
        <f>IF(YLE成绩库!C300="","", YLE成绩库!AA300)</f>
        <v/>
      </c>
      <c r="Z800" t="str">
        <f>IF(YLE成绩库!C300="","", YLE成绩库!Z300)</f>
        <v/>
      </c>
    </row>
    <row r="801" spans="1:26" x14ac:dyDescent="0.2">
      <c r="A801" t="str">
        <f>IF(YLE成绩库!C301="","", YLE成绩库!C301)</f>
        <v/>
      </c>
      <c r="B801" t="str">
        <f>IF(YLE成绩库!AB301="","", YLE成绩库!AB301)</f>
        <v/>
      </c>
      <c r="C801" t="str">
        <f>IF(YLE成绩库!B301="","", YLE成绩库!B301)</f>
        <v/>
      </c>
      <c r="D801" t="str">
        <f>IF(YLE成绩库!D301="","", YLE成绩库!D301)</f>
        <v/>
      </c>
      <c r="E801" t="str">
        <f>IF(YLE成绩库!C301="","", YLE成绩库!L301)</f>
        <v/>
      </c>
      <c r="F801" t="str">
        <f>IF(YLE成绩库!C301="","", YLE成绩库!M301)</f>
        <v/>
      </c>
      <c r="G801" t="str">
        <f>IF(YLE成绩库!C301="","", YLE成绩库!N301)</f>
        <v/>
      </c>
      <c r="H801" t="str">
        <f>IF(YLE成绩库!C301="","", YLE成绩库!O301)</f>
        <v/>
      </c>
      <c r="I801" t="str">
        <f>IF(YLE成绩库!C301="","", YLE成绩库!P301)</f>
        <v/>
      </c>
      <c r="J801" t="str">
        <f>IF(YLE成绩库!C301="","", YLE成绩库!Q301)</f>
        <v/>
      </c>
      <c r="K801" t="str">
        <f>IF(YLE成绩库!C301="","", YLE成绩库!R301)</f>
        <v/>
      </c>
      <c r="L801" t="str">
        <f>IF(YLE成绩库!C301="","", YLE成绩库!U301)</f>
        <v/>
      </c>
      <c r="M801">
        <v>0</v>
      </c>
      <c r="N801">
        <v>0</v>
      </c>
      <c r="O801">
        <v>0</v>
      </c>
      <c r="P801" t="str">
        <f>IF(YLE成绩库!C301="","", YLE成绩库!D301)</f>
        <v/>
      </c>
      <c r="Q801" t="str">
        <f>IF(YLE成绩库!C301="","", YLE成绩库!E301)</f>
        <v/>
      </c>
      <c r="R801" t="str">
        <f>IF(YLE成绩库!C301="","", YLE成绩库!F301)</f>
        <v/>
      </c>
      <c r="S801" t="str">
        <f>IF(YLE成绩库!C301="","", YLE成绩库!G301)</f>
        <v/>
      </c>
      <c r="T801" t="str">
        <f>IF(YLE成绩库!C301="","", YLE成绩库!H301)</f>
        <v/>
      </c>
      <c r="U801" t="str">
        <f>IF(YLE成绩库!C301="","", YLE成绩库!K301)</f>
        <v/>
      </c>
      <c r="V801" t="str">
        <f>IF(YLE成绩库!C301="","", YLE成绩库!W301)</f>
        <v/>
      </c>
      <c r="W801" t="str">
        <f>IF(YLE成绩库!C301="","", YLE成绩库!X301)</f>
        <v/>
      </c>
      <c r="X801" t="str">
        <f>IF(YLE成绩库!C301="","", YLE成绩库!AA301)</f>
        <v/>
      </c>
      <c r="Z801" t="str">
        <f>IF(YLE成绩库!C301="","", YLE成绩库!Z301)</f>
        <v/>
      </c>
    </row>
    <row r="802" spans="1:26" x14ac:dyDescent="0.2">
      <c r="A802" t="str">
        <f>IF(YLE成绩库!C302="","", YLE成绩库!C302)</f>
        <v/>
      </c>
      <c r="B802" t="str">
        <f>IF(YLE成绩库!AB302="","", YLE成绩库!AB302)</f>
        <v/>
      </c>
      <c r="C802" t="str">
        <f>IF(YLE成绩库!B302="","", YLE成绩库!B302)</f>
        <v/>
      </c>
      <c r="D802" t="str">
        <f>IF(YLE成绩库!D302="","", YLE成绩库!D302)</f>
        <v/>
      </c>
      <c r="E802" t="str">
        <f>IF(YLE成绩库!C302="","", YLE成绩库!L302)</f>
        <v/>
      </c>
      <c r="F802" t="str">
        <f>IF(YLE成绩库!C302="","", YLE成绩库!M302)</f>
        <v/>
      </c>
      <c r="G802" t="str">
        <f>IF(YLE成绩库!C302="","", YLE成绩库!N302)</f>
        <v/>
      </c>
      <c r="H802" t="str">
        <f>IF(YLE成绩库!C302="","", YLE成绩库!O302)</f>
        <v/>
      </c>
      <c r="I802" t="str">
        <f>IF(YLE成绩库!C302="","", YLE成绩库!P302)</f>
        <v/>
      </c>
      <c r="J802" t="str">
        <f>IF(YLE成绩库!C302="","", YLE成绩库!Q302)</f>
        <v/>
      </c>
      <c r="K802" t="str">
        <f>IF(YLE成绩库!C302="","", YLE成绩库!R302)</f>
        <v/>
      </c>
      <c r="L802" t="str">
        <f>IF(YLE成绩库!C302="","", YLE成绩库!U302)</f>
        <v/>
      </c>
      <c r="M802">
        <v>0</v>
      </c>
      <c r="N802">
        <v>0</v>
      </c>
      <c r="O802">
        <v>0</v>
      </c>
      <c r="P802" t="str">
        <f>IF(YLE成绩库!C302="","", YLE成绩库!D302)</f>
        <v/>
      </c>
      <c r="Q802" t="str">
        <f>IF(YLE成绩库!C302="","", YLE成绩库!E302)</f>
        <v/>
      </c>
      <c r="R802" t="str">
        <f>IF(YLE成绩库!C302="","", YLE成绩库!F302)</f>
        <v/>
      </c>
      <c r="S802" t="str">
        <f>IF(YLE成绩库!C302="","", YLE成绩库!G302)</f>
        <v/>
      </c>
      <c r="T802" t="str">
        <f>IF(YLE成绩库!C302="","", YLE成绩库!H302)</f>
        <v/>
      </c>
      <c r="U802" t="str">
        <f>IF(YLE成绩库!C302="","", YLE成绩库!K302)</f>
        <v/>
      </c>
      <c r="V802" t="str">
        <f>IF(YLE成绩库!C302="","", YLE成绩库!W302)</f>
        <v/>
      </c>
      <c r="W802" t="str">
        <f>IF(YLE成绩库!C302="","", YLE成绩库!X302)</f>
        <v/>
      </c>
      <c r="X802" t="str">
        <f>IF(YLE成绩库!C302="","", YLE成绩库!AA302)</f>
        <v/>
      </c>
      <c r="Z802" t="str">
        <f>IF(YLE成绩库!C302="","", YLE成绩库!Z302)</f>
        <v/>
      </c>
    </row>
    <row r="803" spans="1:26" x14ac:dyDescent="0.2">
      <c r="A803" t="str">
        <f>IF(YLE成绩库!C303="","", YLE成绩库!C303)</f>
        <v/>
      </c>
      <c r="B803" t="str">
        <f>IF(YLE成绩库!AB303="","", YLE成绩库!AB303)</f>
        <v/>
      </c>
      <c r="C803" t="str">
        <f>IF(YLE成绩库!B303="","", YLE成绩库!B303)</f>
        <v/>
      </c>
      <c r="D803" t="str">
        <f>IF(YLE成绩库!D303="","", YLE成绩库!D303)</f>
        <v/>
      </c>
      <c r="E803" t="str">
        <f>IF(YLE成绩库!C303="","", YLE成绩库!L303)</f>
        <v/>
      </c>
      <c r="F803" t="str">
        <f>IF(YLE成绩库!C303="","", YLE成绩库!M303)</f>
        <v/>
      </c>
      <c r="G803" t="str">
        <f>IF(YLE成绩库!C303="","", YLE成绩库!N303)</f>
        <v/>
      </c>
      <c r="H803" t="str">
        <f>IF(YLE成绩库!C303="","", YLE成绩库!O303)</f>
        <v/>
      </c>
      <c r="I803" t="str">
        <f>IF(YLE成绩库!C303="","", YLE成绩库!P303)</f>
        <v/>
      </c>
      <c r="J803" t="str">
        <f>IF(YLE成绩库!C303="","", YLE成绩库!Q303)</f>
        <v/>
      </c>
      <c r="K803" t="str">
        <f>IF(YLE成绩库!C303="","", YLE成绩库!R303)</f>
        <v/>
      </c>
      <c r="L803" t="str">
        <f>IF(YLE成绩库!C303="","", YLE成绩库!U303)</f>
        <v/>
      </c>
      <c r="M803">
        <v>0</v>
      </c>
      <c r="N803">
        <v>0</v>
      </c>
      <c r="O803">
        <v>0</v>
      </c>
      <c r="P803" t="str">
        <f>IF(YLE成绩库!C303="","", YLE成绩库!D303)</f>
        <v/>
      </c>
      <c r="Q803" t="str">
        <f>IF(YLE成绩库!C303="","", YLE成绩库!E303)</f>
        <v/>
      </c>
      <c r="R803" t="str">
        <f>IF(YLE成绩库!C303="","", YLE成绩库!F303)</f>
        <v/>
      </c>
      <c r="S803" t="str">
        <f>IF(YLE成绩库!C303="","", YLE成绩库!G303)</f>
        <v/>
      </c>
      <c r="T803" t="str">
        <f>IF(YLE成绩库!C303="","", YLE成绩库!H303)</f>
        <v/>
      </c>
      <c r="U803" t="str">
        <f>IF(YLE成绩库!C303="","", YLE成绩库!K303)</f>
        <v/>
      </c>
      <c r="V803" t="str">
        <f>IF(YLE成绩库!C303="","", YLE成绩库!W303)</f>
        <v/>
      </c>
      <c r="W803" t="str">
        <f>IF(YLE成绩库!C303="","", YLE成绩库!X303)</f>
        <v/>
      </c>
      <c r="X803" t="str">
        <f>IF(YLE成绩库!C303="","", YLE成绩库!AA303)</f>
        <v/>
      </c>
      <c r="Z803" t="str">
        <f>IF(YLE成绩库!C303="","", YLE成绩库!Z303)</f>
        <v/>
      </c>
    </row>
    <row r="804" spans="1:26" x14ac:dyDescent="0.2">
      <c r="A804" t="str">
        <f>IF(YLE成绩库!C304="","", YLE成绩库!C304)</f>
        <v/>
      </c>
      <c r="B804" t="str">
        <f>IF(YLE成绩库!AB304="","", YLE成绩库!AB304)</f>
        <v/>
      </c>
      <c r="C804" t="str">
        <f>IF(YLE成绩库!B304="","", YLE成绩库!B304)</f>
        <v/>
      </c>
      <c r="D804" t="str">
        <f>IF(YLE成绩库!D304="","", YLE成绩库!D304)</f>
        <v/>
      </c>
      <c r="E804" t="str">
        <f>IF(YLE成绩库!C304="","", YLE成绩库!L304)</f>
        <v/>
      </c>
      <c r="F804" t="str">
        <f>IF(YLE成绩库!C304="","", YLE成绩库!M304)</f>
        <v/>
      </c>
      <c r="G804" t="str">
        <f>IF(YLE成绩库!C304="","", YLE成绩库!N304)</f>
        <v/>
      </c>
      <c r="H804" t="str">
        <f>IF(YLE成绩库!C304="","", YLE成绩库!O304)</f>
        <v/>
      </c>
      <c r="I804" t="str">
        <f>IF(YLE成绩库!C304="","", YLE成绩库!P304)</f>
        <v/>
      </c>
      <c r="J804" t="str">
        <f>IF(YLE成绩库!C304="","", YLE成绩库!Q304)</f>
        <v/>
      </c>
      <c r="K804" t="str">
        <f>IF(YLE成绩库!C304="","", YLE成绩库!R304)</f>
        <v/>
      </c>
      <c r="L804" t="str">
        <f>IF(YLE成绩库!C304="","", YLE成绩库!U304)</f>
        <v/>
      </c>
      <c r="M804">
        <v>0</v>
      </c>
      <c r="N804">
        <v>0</v>
      </c>
      <c r="O804">
        <v>0</v>
      </c>
      <c r="P804" t="str">
        <f>IF(YLE成绩库!C304="","", YLE成绩库!D304)</f>
        <v/>
      </c>
      <c r="Q804" t="str">
        <f>IF(YLE成绩库!C304="","", YLE成绩库!E304)</f>
        <v/>
      </c>
      <c r="R804" t="str">
        <f>IF(YLE成绩库!C304="","", YLE成绩库!F304)</f>
        <v/>
      </c>
      <c r="S804" t="str">
        <f>IF(YLE成绩库!C304="","", YLE成绩库!G304)</f>
        <v/>
      </c>
      <c r="T804" t="str">
        <f>IF(YLE成绩库!C304="","", YLE成绩库!H304)</f>
        <v/>
      </c>
      <c r="U804" t="str">
        <f>IF(YLE成绩库!C304="","", YLE成绩库!K304)</f>
        <v/>
      </c>
      <c r="V804" t="str">
        <f>IF(YLE成绩库!C304="","", YLE成绩库!W304)</f>
        <v/>
      </c>
      <c r="W804" t="str">
        <f>IF(YLE成绩库!C304="","", YLE成绩库!X304)</f>
        <v/>
      </c>
      <c r="X804" t="str">
        <f>IF(YLE成绩库!C304="","", YLE成绩库!AA304)</f>
        <v/>
      </c>
      <c r="Z804" t="str">
        <f>IF(YLE成绩库!C304="","", YLE成绩库!Z304)</f>
        <v/>
      </c>
    </row>
    <row r="805" spans="1:26" x14ac:dyDescent="0.2">
      <c r="A805" t="str">
        <f>IF(YLE成绩库!C305="","", YLE成绩库!C305)</f>
        <v/>
      </c>
      <c r="B805" t="str">
        <f>IF(YLE成绩库!AB305="","", YLE成绩库!AB305)</f>
        <v/>
      </c>
      <c r="C805" t="str">
        <f>IF(YLE成绩库!B305="","", YLE成绩库!B305)</f>
        <v/>
      </c>
      <c r="D805" t="str">
        <f>IF(YLE成绩库!D305="","", YLE成绩库!D305)</f>
        <v/>
      </c>
      <c r="E805" t="str">
        <f>IF(YLE成绩库!C305="","", YLE成绩库!L305)</f>
        <v/>
      </c>
      <c r="F805" t="str">
        <f>IF(YLE成绩库!C305="","", YLE成绩库!M305)</f>
        <v/>
      </c>
      <c r="G805" t="str">
        <f>IF(YLE成绩库!C305="","", YLE成绩库!N305)</f>
        <v/>
      </c>
      <c r="H805" t="str">
        <f>IF(YLE成绩库!C305="","", YLE成绩库!O305)</f>
        <v/>
      </c>
      <c r="I805" t="str">
        <f>IF(YLE成绩库!C305="","", YLE成绩库!P305)</f>
        <v/>
      </c>
      <c r="J805" t="str">
        <f>IF(YLE成绩库!C305="","", YLE成绩库!Q305)</f>
        <v/>
      </c>
      <c r="K805" t="str">
        <f>IF(YLE成绩库!C305="","", YLE成绩库!R305)</f>
        <v/>
      </c>
      <c r="L805" t="str">
        <f>IF(YLE成绩库!C305="","", YLE成绩库!U305)</f>
        <v/>
      </c>
      <c r="M805">
        <v>0</v>
      </c>
      <c r="N805">
        <v>0</v>
      </c>
      <c r="O805">
        <v>0</v>
      </c>
      <c r="P805" t="str">
        <f>IF(YLE成绩库!C305="","", YLE成绩库!D305)</f>
        <v/>
      </c>
      <c r="Q805" t="str">
        <f>IF(YLE成绩库!C305="","", YLE成绩库!E305)</f>
        <v/>
      </c>
      <c r="R805" t="str">
        <f>IF(YLE成绩库!C305="","", YLE成绩库!F305)</f>
        <v/>
      </c>
      <c r="S805" t="str">
        <f>IF(YLE成绩库!C305="","", YLE成绩库!G305)</f>
        <v/>
      </c>
      <c r="T805" t="str">
        <f>IF(YLE成绩库!C305="","", YLE成绩库!H305)</f>
        <v/>
      </c>
      <c r="U805" t="str">
        <f>IF(YLE成绩库!C305="","", YLE成绩库!K305)</f>
        <v/>
      </c>
      <c r="V805" t="str">
        <f>IF(YLE成绩库!C305="","", YLE成绩库!W305)</f>
        <v/>
      </c>
      <c r="W805" t="str">
        <f>IF(YLE成绩库!C305="","", YLE成绩库!X305)</f>
        <v/>
      </c>
      <c r="X805" t="str">
        <f>IF(YLE成绩库!C305="","", YLE成绩库!AA305)</f>
        <v/>
      </c>
      <c r="Z805" t="str">
        <f>IF(YLE成绩库!C305="","", YLE成绩库!Z305)</f>
        <v/>
      </c>
    </row>
    <row r="806" spans="1:26" x14ac:dyDescent="0.2">
      <c r="A806" t="str">
        <f>IF(YLE成绩库!C306="","", YLE成绩库!C306)</f>
        <v/>
      </c>
      <c r="B806" t="str">
        <f>IF(YLE成绩库!AB306="","", YLE成绩库!AB306)</f>
        <v/>
      </c>
      <c r="C806" t="str">
        <f>IF(YLE成绩库!B306="","", YLE成绩库!B306)</f>
        <v/>
      </c>
      <c r="D806" t="str">
        <f>IF(YLE成绩库!D306="","", YLE成绩库!D306)</f>
        <v/>
      </c>
      <c r="E806" t="str">
        <f>IF(YLE成绩库!C306="","", YLE成绩库!L306)</f>
        <v/>
      </c>
      <c r="F806" t="str">
        <f>IF(YLE成绩库!C306="","", YLE成绩库!M306)</f>
        <v/>
      </c>
      <c r="G806" t="str">
        <f>IF(YLE成绩库!C306="","", YLE成绩库!N306)</f>
        <v/>
      </c>
      <c r="H806" t="str">
        <f>IF(YLE成绩库!C306="","", YLE成绩库!O306)</f>
        <v/>
      </c>
      <c r="I806" t="str">
        <f>IF(YLE成绩库!C306="","", YLE成绩库!P306)</f>
        <v/>
      </c>
      <c r="J806" t="str">
        <f>IF(YLE成绩库!C306="","", YLE成绩库!Q306)</f>
        <v/>
      </c>
      <c r="K806" t="str">
        <f>IF(YLE成绩库!C306="","", YLE成绩库!R306)</f>
        <v/>
      </c>
      <c r="L806" t="str">
        <f>IF(YLE成绩库!C306="","", YLE成绩库!U306)</f>
        <v/>
      </c>
      <c r="M806">
        <v>0</v>
      </c>
      <c r="N806">
        <v>0</v>
      </c>
      <c r="O806">
        <v>0</v>
      </c>
      <c r="P806" t="str">
        <f>IF(YLE成绩库!C306="","", YLE成绩库!D306)</f>
        <v/>
      </c>
      <c r="Q806" t="str">
        <f>IF(YLE成绩库!C306="","", YLE成绩库!E306)</f>
        <v/>
      </c>
      <c r="R806" t="str">
        <f>IF(YLE成绩库!C306="","", YLE成绩库!F306)</f>
        <v/>
      </c>
      <c r="S806" t="str">
        <f>IF(YLE成绩库!C306="","", YLE成绩库!G306)</f>
        <v/>
      </c>
      <c r="T806" t="str">
        <f>IF(YLE成绩库!C306="","", YLE成绩库!H306)</f>
        <v/>
      </c>
      <c r="U806" t="str">
        <f>IF(YLE成绩库!C306="","", YLE成绩库!K306)</f>
        <v/>
      </c>
      <c r="V806" t="str">
        <f>IF(YLE成绩库!C306="","", YLE成绩库!W306)</f>
        <v/>
      </c>
      <c r="W806" t="str">
        <f>IF(YLE成绩库!C306="","", YLE成绩库!X306)</f>
        <v/>
      </c>
      <c r="X806" t="str">
        <f>IF(YLE成绩库!C306="","", YLE成绩库!AA306)</f>
        <v/>
      </c>
      <c r="Z806" t="str">
        <f>IF(YLE成绩库!C306="","", YLE成绩库!Z306)</f>
        <v/>
      </c>
    </row>
    <row r="807" spans="1:26" x14ac:dyDescent="0.2">
      <c r="A807" t="str">
        <f>IF(YLE成绩库!C307="","", YLE成绩库!C307)</f>
        <v/>
      </c>
      <c r="B807" t="str">
        <f>IF(YLE成绩库!AB307="","", YLE成绩库!AB307)</f>
        <v/>
      </c>
      <c r="C807" t="str">
        <f>IF(YLE成绩库!B307="","", YLE成绩库!B307)</f>
        <v/>
      </c>
      <c r="D807" t="str">
        <f>IF(YLE成绩库!D307="","", YLE成绩库!D307)</f>
        <v/>
      </c>
      <c r="E807" t="str">
        <f>IF(YLE成绩库!C307="","", YLE成绩库!L307)</f>
        <v/>
      </c>
      <c r="F807" t="str">
        <f>IF(YLE成绩库!C307="","", YLE成绩库!M307)</f>
        <v/>
      </c>
      <c r="G807" t="str">
        <f>IF(YLE成绩库!C307="","", YLE成绩库!N307)</f>
        <v/>
      </c>
      <c r="H807" t="str">
        <f>IF(YLE成绩库!C307="","", YLE成绩库!O307)</f>
        <v/>
      </c>
      <c r="I807" t="str">
        <f>IF(YLE成绩库!C307="","", YLE成绩库!P307)</f>
        <v/>
      </c>
      <c r="J807" t="str">
        <f>IF(YLE成绩库!C307="","", YLE成绩库!Q307)</f>
        <v/>
      </c>
      <c r="K807" t="str">
        <f>IF(YLE成绩库!C307="","", YLE成绩库!R307)</f>
        <v/>
      </c>
      <c r="L807" t="str">
        <f>IF(YLE成绩库!C307="","", YLE成绩库!U307)</f>
        <v/>
      </c>
      <c r="M807">
        <v>0</v>
      </c>
      <c r="N807">
        <v>0</v>
      </c>
      <c r="O807">
        <v>0</v>
      </c>
      <c r="P807" t="str">
        <f>IF(YLE成绩库!C307="","", YLE成绩库!D307)</f>
        <v/>
      </c>
      <c r="Q807" t="str">
        <f>IF(YLE成绩库!C307="","", YLE成绩库!E307)</f>
        <v/>
      </c>
      <c r="R807" t="str">
        <f>IF(YLE成绩库!C307="","", YLE成绩库!F307)</f>
        <v/>
      </c>
      <c r="S807" t="str">
        <f>IF(YLE成绩库!C307="","", YLE成绩库!G307)</f>
        <v/>
      </c>
      <c r="T807" t="str">
        <f>IF(YLE成绩库!C307="","", YLE成绩库!H307)</f>
        <v/>
      </c>
      <c r="U807" t="str">
        <f>IF(YLE成绩库!C307="","", YLE成绩库!K307)</f>
        <v/>
      </c>
      <c r="V807" t="str">
        <f>IF(YLE成绩库!C307="","", YLE成绩库!W307)</f>
        <v/>
      </c>
      <c r="W807" t="str">
        <f>IF(YLE成绩库!C307="","", YLE成绩库!X307)</f>
        <v/>
      </c>
      <c r="X807" t="str">
        <f>IF(YLE成绩库!C307="","", YLE成绩库!AA307)</f>
        <v/>
      </c>
      <c r="Z807" t="str">
        <f>IF(YLE成绩库!C307="","", YLE成绩库!Z307)</f>
        <v/>
      </c>
    </row>
    <row r="808" spans="1:26" x14ac:dyDescent="0.2">
      <c r="A808" t="str">
        <f>IF(YLE成绩库!C308="","", YLE成绩库!C308)</f>
        <v/>
      </c>
      <c r="B808" t="str">
        <f>IF(YLE成绩库!AB308="","", YLE成绩库!AB308)</f>
        <v/>
      </c>
      <c r="C808" t="str">
        <f>IF(YLE成绩库!B308="","", YLE成绩库!B308)</f>
        <v/>
      </c>
      <c r="D808" t="str">
        <f>IF(YLE成绩库!D308="","", YLE成绩库!D308)</f>
        <v/>
      </c>
      <c r="E808" t="str">
        <f>IF(YLE成绩库!C308="","", YLE成绩库!L308)</f>
        <v/>
      </c>
      <c r="F808" t="str">
        <f>IF(YLE成绩库!C308="","", YLE成绩库!M308)</f>
        <v/>
      </c>
      <c r="G808" t="str">
        <f>IF(YLE成绩库!C308="","", YLE成绩库!N308)</f>
        <v/>
      </c>
      <c r="H808" t="str">
        <f>IF(YLE成绩库!C308="","", YLE成绩库!O308)</f>
        <v/>
      </c>
      <c r="I808" t="str">
        <f>IF(YLE成绩库!C308="","", YLE成绩库!P308)</f>
        <v/>
      </c>
      <c r="J808" t="str">
        <f>IF(YLE成绩库!C308="","", YLE成绩库!Q308)</f>
        <v/>
      </c>
      <c r="K808" t="str">
        <f>IF(YLE成绩库!C308="","", YLE成绩库!R308)</f>
        <v/>
      </c>
      <c r="L808" t="str">
        <f>IF(YLE成绩库!C308="","", YLE成绩库!U308)</f>
        <v/>
      </c>
      <c r="M808">
        <v>0</v>
      </c>
      <c r="N808">
        <v>0</v>
      </c>
      <c r="O808">
        <v>0</v>
      </c>
      <c r="P808" t="str">
        <f>IF(YLE成绩库!C308="","", YLE成绩库!D308)</f>
        <v/>
      </c>
      <c r="Q808" t="str">
        <f>IF(YLE成绩库!C308="","", YLE成绩库!E308)</f>
        <v/>
      </c>
      <c r="R808" t="str">
        <f>IF(YLE成绩库!C308="","", YLE成绩库!F308)</f>
        <v/>
      </c>
      <c r="S808" t="str">
        <f>IF(YLE成绩库!C308="","", YLE成绩库!G308)</f>
        <v/>
      </c>
      <c r="T808" t="str">
        <f>IF(YLE成绩库!C308="","", YLE成绩库!H308)</f>
        <v/>
      </c>
      <c r="U808" t="str">
        <f>IF(YLE成绩库!C308="","", YLE成绩库!K308)</f>
        <v/>
      </c>
      <c r="V808" t="str">
        <f>IF(YLE成绩库!C308="","", YLE成绩库!W308)</f>
        <v/>
      </c>
      <c r="W808" t="str">
        <f>IF(YLE成绩库!C308="","", YLE成绩库!X308)</f>
        <v/>
      </c>
      <c r="X808" t="str">
        <f>IF(YLE成绩库!C308="","", YLE成绩库!AA308)</f>
        <v/>
      </c>
      <c r="Z808" t="str">
        <f>IF(YLE成绩库!C308="","", YLE成绩库!Z308)</f>
        <v/>
      </c>
    </row>
    <row r="809" spans="1:26" x14ac:dyDescent="0.2">
      <c r="A809" t="str">
        <f>IF(YLE成绩库!C309="","", YLE成绩库!C309)</f>
        <v/>
      </c>
      <c r="B809" t="str">
        <f>IF(YLE成绩库!AB309="","", YLE成绩库!AB309)</f>
        <v/>
      </c>
      <c r="C809" t="str">
        <f>IF(YLE成绩库!B309="","", YLE成绩库!B309)</f>
        <v/>
      </c>
      <c r="D809" t="str">
        <f>IF(YLE成绩库!D309="","", YLE成绩库!D309)</f>
        <v/>
      </c>
      <c r="E809" t="str">
        <f>IF(YLE成绩库!C309="","", YLE成绩库!L309)</f>
        <v/>
      </c>
      <c r="F809" t="str">
        <f>IF(YLE成绩库!C309="","", YLE成绩库!M309)</f>
        <v/>
      </c>
      <c r="G809" t="str">
        <f>IF(YLE成绩库!C309="","", YLE成绩库!N309)</f>
        <v/>
      </c>
      <c r="H809" t="str">
        <f>IF(YLE成绩库!C309="","", YLE成绩库!O309)</f>
        <v/>
      </c>
      <c r="I809" t="str">
        <f>IF(YLE成绩库!C309="","", YLE成绩库!P309)</f>
        <v/>
      </c>
      <c r="J809" t="str">
        <f>IF(YLE成绩库!C309="","", YLE成绩库!Q309)</f>
        <v/>
      </c>
      <c r="K809" t="str">
        <f>IF(YLE成绩库!C309="","", YLE成绩库!R309)</f>
        <v/>
      </c>
      <c r="L809" t="str">
        <f>IF(YLE成绩库!C309="","", YLE成绩库!U309)</f>
        <v/>
      </c>
      <c r="M809">
        <v>0</v>
      </c>
      <c r="N809">
        <v>0</v>
      </c>
      <c r="O809">
        <v>0</v>
      </c>
      <c r="P809" t="str">
        <f>IF(YLE成绩库!C309="","", YLE成绩库!D309)</f>
        <v/>
      </c>
      <c r="Q809" t="str">
        <f>IF(YLE成绩库!C309="","", YLE成绩库!E309)</f>
        <v/>
      </c>
      <c r="R809" t="str">
        <f>IF(YLE成绩库!C309="","", YLE成绩库!F309)</f>
        <v/>
      </c>
      <c r="S809" t="str">
        <f>IF(YLE成绩库!C309="","", YLE成绩库!G309)</f>
        <v/>
      </c>
      <c r="T809" t="str">
        <f>IF(YLE成绩库!C309="","", YLE成绩库!H309)</f>
        <v/>
      </c>
      <c r="U809" t="str">
        <f>IF(YLE成绩库!C309="","", YLE成绩库!K309)</f>
        <v/>
      </c>
      <c r="V809" t="str">
        <f>IF(YLE成绩库!C309="","", YLE成绩库!W309)</f>
        <v/>
      </c>
      <c r="W809" t="str">
        <f>IF(YLE成绩库!C309="","", YLE成绩库!X309)</f>
        <v/>
      </c>
      <c r="X809" t="str">
        <f>IF(YLE成绩库!C309="","", YLE成绩库!AA309)</f>
        <v/>
      </c>
      <c r="Z809" t="str">
        <f>IF(YLE成绩库!C309="","", YLE成绩库!Z309)</f>
        <v/>
      </c>
    </row>
    <row r="810" spans="1:26" x14ac:dyDescent="0.2">
      <c r="A810" t="str">
        <f>IF(YLE成绩库!C310="","", YLE成绩库!C310)</f>
        <v/>
      </c>
      <c r="B810" t="str">
        <f>IF(YLE成绩库!AB310="","", YLE成绩库!AB310)</f>
        <v/>
      </c>
      <c r="C810" t="str">
        <f>IF(YLE成绩库!B310="","", YLE成绩库!B310)</f>
        <v/>
      </c>
      <c r="D810" t="str">
        <f>IF(YLE成绩库!D310="","", YLE成绩库!D310)</f>
        <v/>
      </c>
      <c r="E810" t="str">
        <f>IF(YLE成绩库!C310="","", YLE成绩库!L310)</f>
        <v/>
      </c>
      <c r="F810" t="str">
        <f>IF(YLE成绩库!C310="","", YLE成绩库!M310)</f>
        <v/>
      </c>
      <c r="G810" t="str">
        <f>IF(YLE成绩库!C310="","", YLE成绩库!N310)</f>
        <v/>
      </c>
      <c r="H810" t="str">
        <f>IF(YLE成绩库!C310="","", YLE成绩库!O310)</f>
        <v/>
      </c>
      <c r="I810" t="str">
        <f>IF(YLE成绩库!C310="","", YLE成绩库!P310)</f>
        <v/>
      </c>
      <c r="J810" t="str">
        <f>IF(YLE成绩库!C310="","", YLE成绩库!Q310)</f>
        <v/>
      </c>
      <c r="K810" t="str">
        <f>IF(YLE成绩库!C310="","", YLE成绩库!R310)</f>
        <v/>
      </c>
      <c r="L810" t="str">
        <f>IF(YLE成绩库!C310="","", YLE成绩库!U310)</f>
        <v/>
      </c>
      <c r="M810">
        <v>0</v>
      </c>
      <c r="N810">
        <v>0</v>
      </c>
      <c r="O810">
        <v>0</v>
      </c>
      <c r="P810" t="str">
        <f>IF(YLE成绩库!C310="","", YLE成绩库!D310)</f>
        <v/>
      </c>
      <c r="Q810" t="str">
        <f>IF(YLE成绩库!C310="","", YLE成绩库!E310)</f>
        <v/>
      </c>
      <c r="R810" t="str">
        <f>IF(YLE成绩库!C310="","", YLE成绩库!F310)</f>
        <v/>
      </c>
      <c r="S810" t="str">
        <f>IF(YLE成绩库!C310="","", YLE成绩库!G310)</f>
        <v/>
      </c>
      <c r="T810" t="str">
        <f>IF(YLE成绩库!C310="","", YLE成绩库!H310)</f>
        <v/>
      </c>
      <c r="U810" t="str">
        <f>IF(YLE成绩库!C310="","", YLE成绩库!K310)</f>
        <v/>
      </c>
      <c r="V810" t="str">
        <f>IF(YLE成绩库!C310="","", YLE成绩库!W310)</f>
        <v/>
      </c>
      <c r="W810" t="str">
        <f>IF(YLE成绩库!C310="","", YLE成绩库!X310)</f>
        <v/>
      </c>
      <c r="X810" t="str">
        <f>IF(YLE成绩库!C310="","", YLE成绩库!AA310)</f>
        <v/>
      </c>
      <c r="Z810" t="str">
        <f>IF(YLE成绩库!C310="","", YLE成绩库!Z310)</f>
        <v/>
      </c>
    </row>
    <row r="811" spans="1:26" x14ac:dyDescent="0.2">
      <c r="A811" t="str">
        <f>IF(YLE成绩库!C311="","", YLE成绩库!C311)</f>
        <v/>
      </c>
      <c r="B811" t="str">
        <f>IF(YLE成绩库!AB311="","", YLE成绩库!AB311)</f>
        <v/>
      </c>
      <c r="C811" t="str">
        <f>IF(YLE成绩库!B311="","", YLE成绩库!B311)</f>
        <v/>
      </c>
      <c r="D811" t="str">
        <f>IF(YLE成绩库!D311="","", YLE成绩库!D311)</f>
        <v/>
      </c>
      <c r="E811" t="str">
        <f>IF(YLE成绩库!C311="","", YLE成绩库!L311)</f>
        <v/>
      </c>
      <c r="F811" t="str">
        <f>IF(YLE成绩库!C311="","", YLE成绩库!M311)</f>
        <v/>
      </c>
      <c r="G811" t="str">
        <f>IF(YLE成绩库!C311="","", YLE成绩库!N311)</f>
        <v/>
      </c>
      <c r="H811" t="str">
        <f>IF(YLE成绩库!C311="","", YLE成绩库!O311)</f>
        <v/>
      </c>
      <c r="I811" t="str">
        <f>IF(YLE成绩库!C311="","", YLE成绩库!P311)</f>
        <v/>
      </c>
      <c r="J811" t="str">
        <f>IF(YLE成绩库!C311="","", YLE成绩库!Q311)</f>
        <v/>
      </c>
      <c r="K811" t="str">
        <f>IF(YLE成绩库!C311="","", YLE成绩库!R311)</f>
        <v/>
      </c>
      <c r="L811" t="str">
        <f>IF(YLE成绩库!C311="","", YLE成绩库!U311)</f>
        <v/>
      </c>
      <c r="M811">
        <v>0</v>
      </c>
      <c r="N811">
        <v>0</v>
      </c>
      <c r="O811">
        <v>0</v>
      </c>
      <c r="P811" t="str">
        <f>IF(YLE成绩库!C311="","", YLE成绩库!D311)</f>
        <v/>
      </c>
      <c r="Q811" t="str">
        <f>IF(YLE成绩库!C311="","", YLE成绩库!E311)</f>
        <v/>
      </c>
      <c r="R811" t="str">
        <f>IF(YLE成绩库!C311="","", YLE成绩库!F311)</f>
        <v/>
      </c>
      <c r="S811" t="str">
        <f>IF(YLE成绩库!C311="","", YLE成绩库!G311)</f>
        <v/>
      </c>
      <c r="T811" t="str">
        <f>IF(YLE成绩库!C311="","", YLE成绩库!H311)</f>
        <v/>
      </c>
      <c r="U811" t="str">
        <f>IF(YLE成绩库!C311="","", YLE成绩库!K311)</f>
        <v/>
      </c>
      <c r="V811" t="str">
        <f>IF(YLE成绩库!C311="","", YLE成绩库!W311)</f>
        <v/>
      </c>
      <c r="W811" t="str">
        <f>IF(YLE成绩库!C311="","", YLE成绩库!X311)</f>
        <v/>
      </c>
      <c r="X811" t="str">
        <f>IF(YLE成绩库!C311="","", YLE成绩库!AA311)</f>
        <v/>
      </c>
      <c r="Z811" t="str">
        <f>IF(YLE成绩库!C311="","", YLE成绩库!Z311)</f>
        <v/>
      </c>
    </row>
    <row r="812" spans="1:26" x14ac:dyDescent="0.2">
      <c r="A812" t="str">
        <f>IF(YLE成绩库!C312="","", YLE成绩库!C312)</f>
        <v/>
      </c>
      <c r="B812" t="str">
        <f>IF(YLE成绩库!AB312="","", YLE成绩库!AB312)</f>
        <v/>
      </c>
      <c r="C812" t="str">
        <f>IF(YLE成绩库!B312="","", YLE成绩库!B312)</f>
        <v/>
      </c>
      <c r="D812" t="str">
        <f>IF(YLE成绩库!D312="","", YLE成绩库!D312)</f>
        <v/>
      </c>
      <c r="E812" t="str">
        <f>IF(YLE成绩库!C312="","", YLE成绩库!L312)</f>
        <v/>
      </c>
      <c r="F812" t="str">
        <f>IF(YLE成绩库!C312="","", YLE成绩库!M312)</f>
        <v/>
      </c>
      <c r="G812" t="str">
        <f>IF(YLE成绩库!C312="","", YLE成绩库!N312)</f>
        <v/>
      </c>
      <c r="H812" t="str">
        <f>IF(YLE成绩库!C312="","", YLE成绩库!O312)</f>
        <v/>
      </c>
      <c r="I812" t="str">
        <f>IF(YLE成绩库!C312="","", YLE成绩库!P312)</f>
        <v/>
      </c>
      <c r="J812" t="str">
        <f>IF(YLE成绩库!C312="","", YLE成绩库!Q312)</f>
        <v/>
      </c>
      <c r="K812" t="str">
        <f>IF(YLE成绩库!C312="","", YLE成绩库!R312)</f>
        <v/>
      </c>
      <c r="L812" t="str">
        <f>IF(YLE成绩库!C312="","", YLE成绩库!U312)</f>
        <v/>
      </c>
      <c r="M812">
        <v>0</v>
      </c>
      <c r="N812">
        <v>0</v>
      </c>
      <c r="O812">
        <v>0</v>
      </c>
      <c r="P812" t="str">
        <f>IF(YLE成绩库!C312="","", YLE成绩库!D312)</f>
        <v/>
      </c>
      <c r="Q812" t="str">
        <f>IF(YLE成绩库!C312="","", YLE成绩库!E312)</f>
        <v/>
      </c>
      <c r="R812" t="str">
        <f>IF(YLE成绩库!C312="","", YLE成绩库!F312)</f>
        <v/>
      </c>
      <c r="S812" t="str">
        <f>IF(YLE成绩库!C312="","", YLE成绩库!G312)</f>
        <v/>
      </c>
      <c r="T812" t="str">
        <f>IF(YLE成绩库!C312="","", YLE成绩库!H312)</f>
        <v/>
      </c>
      <c r="U812" t="str">
        <f>IF(YLE成绩库!C312="","", YLE成绩库!K312)</f>
        <v/>
      </c>
      <c r="V812" t="str">
        <f>IF(YLE成绩库!C312="","", YLE成绩库!W312)</f>
        <v/>
      </c>
      <c r="W812" t="str">
        <f>IF(YLE成绩库!C312="","", YLE成绩库!X312)</f>
        <v/>
      </c>
      <c r="X812" t="str">
        <f>IF(YLE成绩库!C312="","", YLE成绩库!AA312)</f>
        <v/>
      </c>
      <c r="Z812" t="str">
        <f>IF(YLE成绩库!C312="","", YLE成绩库!Z312)</f>
        <v/>
      </c>
    </row>
    <row r="813" spans="1:26" x14ac:dyDescent="0.2">
      <c r="A813" t="str">
        <f>IF(YLE成绩库!C313="","", YLE成绩库!C313)</f>
        <v/>
      </c>
      <c r="B813" t="str">
        <f>IF(YLE成绩库!AB313="","", YLE成绩库!AB313)</f>
        <v/>
      </c>
      <c r="C813" t="str">
        <f>IF(YLE成绩库!B313="","", YLE成绩库!B313)</f>
        <v/>
      </c>
      <c r="D813" t="str">
        <f>IF(YLE成绩库!D313="","", YLE成绩库!D313)</f>
        <v/>
      </c>
      <c r="E813" t="str">
        <f>IF(YLE成绩库!C313="","", YLE成绩库!L313)</f>
        <v/>
      </c>
      <c r="F813" t="str">
        <f>IF(YLE成绩库!C313="","", YLE成绩库!M313)</f>
        <v/>
      </c>
      <c r="G813" t="str">
        <f>IF(YLE成绩库!C313="","", YLE成绩库!N313)</f>
        <v/>
      </c>
      <c r="H813" t="str">
        <f>IF(YLE成绩库!C313="","", YLE成绩库!O313)</f>
        <v/>
      </c>
      <c r="I813" t="str">
        <f>IF(YLE成绩库!C313="","", YLE成绩库!P313)</f>
        <v/>
      </c>
      <c r="J813" t="str">
        <f>IF(YLE成绩库!C313="","", YLE成绩库!Q313)</f>
        <v/>
      </c>
      <c r="K813" t="str">
        <f>IF(YLE成绩库!C313="","", YLE成绩库!R313)</f>
        <v/>
      </c>
      <c r="L813" t="str">
        <f>IF(YLE成绩库!C313="","", YLE成绩库!U313)</f>
        <v/>
      </c>
      <c r="M813">
        <v>0</v>
      </c>
      <c r="N813">
        <v>0</v>
      </c>
      <c r="O813">
        <v>0</v>
      </c>
      <c r="P813" t="str">
        <f>IF(YLE成绩库!C313="","", YLE成绩库!D313)</f>
        <v/>
      </c>
      <c r="Q813" t="str">
        <f>IF(YLE成绩库!C313="","", YLE成绩库!E313)</f>
        <v/>
      </c>
      <c r="R813" t="str">
        <f>IF(YLE成绩库!C313="","", YLE成绩库!F313)</f>
        <v/>
      </c>
      <c r="S813" t="str">
        <f>IF(YLE成绩库!C313="","", YLE成绩库!G313)</f>
        <v/>
      </c>
      <c r="T813" t="str">
        <f>IF(YLE成绩库!C313="","", YLE成绩库!H313)</f>
        <v/>
      </c>
      <c r="U813" t="str">
        <f>IF(YLE成绩库!C313="","", YLE成绩库!K313)</f>
        <v/>
      </c>
      <c r="V813" t="str">
        <f>IF(YLE成绩库!C313="","", YLE成绩库!W313)</f>
        <v/>
      </c>
      <c r="W813" t="str">
        <f>IF(YLE成绩库!C313="","", YLE成绩库!X313)</f>
        <v/>
      </c>
      <c r="X813" t="str">
        <f>IF(YLE成绩库!C313="","", YLE成绩库!AA313)</f>
        <v/>
      </c>
      <c r="Z813" t="str">
        <f>IF(YLE成绩库!C313="","", YLE成绩库!Z313)</f>
        <v/>
      </c>
    </row>
    <row r="814" spans="1:26" x14ac:dyDescent="0.2">
      <c r="A814" t="str">
        <f>IF(YLE成绩库!C314="","", YLE成绩库!C314)</f>
        <v/>
      </c>
      <c r="B814" t="str">
        <f>IF(YLE成绩库!AB314="","", YLE成绩库!AB314)</f>
        <v/>
      </c>
      <c r="C814" t="str">
        <f>IF(YLE成绩库!B314="","", YLE成绩库!B314)</f>
        <v/>
      </c>
      <c r="D814" t="str">
        <f>IF(YLE成绩库!D314="","", YLE成绩库!D314)</f>
        <v/>
      </c>
      <c r="E814" t="str">
        <f>IF(YLE成绩库!C314="","", YLE成绩库!L314)</f>
        <v/>
      </c>
      <c r="F814" t="str">
        <f>IF(YLE成绩库!C314="","", YLE成绩库!M314)</f>
        <v/>
      </c>
      <c r="G814" t="str">
        <f>IF(YLE成绩库!C314="","", YLE成绩库!N314)</f>
        <v/>
      </c>
      <c r="H814" t="str">
        <f>IF(YLE成绩库!C314="","", YLE成绩库!O314)</f>
        <v/>
      </c>
      <c r="I814" t="str">
        <f>IF(YLE成绩库!C314="","", YLE成绩库!P314)</f>
        <v/>
      </c>
      <c r="J814" t="str">
        <f>IF(YLE成绩库!C314="","", YLE成绩库!Q314)</f>
        <v/>
      </c>
      <c r="K814" t="str">
        <f>IF(YLE成绩库!C314="","", YLE成绩库!R314)</f>
        <v/>
      </c>
      <c r="L814" t="str">
        <f>IF(YLE成绩库!C314="","", YLE成绩库!U314)</f>
        <v/>
      </c>
      <c r="M814">
        <v>0</v>
      </c>
      <c r="N814">
        <v>0</v>
      </c>
      <c r="O814">
        <v>0</v>
      </c>
      <c r="P814" t="str">
        <f>IF(YLE成绩库!C314="","", YLE成绩库!D314)</f>
        <v/>
      </c>
      <c r="Q814" t="str">
        <f>IF(YLE成绩库!C314="","", YLE成绩库!E314)</f>
        <v/>
      </c>
      <c r="R814" t="str">
        <f>IF(YLE成绩库!C314="","", YLE成绩库!F314)</f>
        <v/>
      </c>
      <c r="S814" t="str">
        <f>IF(YLE成绩库!C314="","", YLE成绩库!G314)</f>
        <v/>
      </c>
      <c r="T814" t="str">
        <f>IF(YLE成绩库!C314="","", YLE成绩库!H314)</f>
        <v/>
      </c>
      <c r="U814" t="str">
        <f>IF(YLE成绩库!C314="","", YLE成绩库!K314)</f>
        <v/>
      </c>
      <c r="V814" t="str">
        <f>IF(YLE成绩库!C314="","", YLE成绩库!W314)</f>
        <v/>
      </c>
      <c r="W814" t="str">
        <f>IF(YLE成绩库!C314="","", YLE成绩库!X314)</f>
        <v/>
      </c>
      <c r="X814" t="str">
        <f>IF(YLE成绩库!C314="","", YLE成绩库!AA314)</f>
        <v/>
      </c>
      <c r="Z814" t="str">
        <f>IF(YLE成绩库!C314="","", YLE成绩库!Z314)</f>
        <v/>
      </c>
    </row>
    <row r="815" spans="1:26" x14ac:dyDescent="0.2">
      <c r="A815" t="str">
        <f>IF(YLE成绩库!C315="","", YLE成绩库!C315)</f>
        <v/>
      </c>
      <c r="B815" t="str">
        <f>IF(YLE成绩库!AB315="","", YLE成绩库!AB315)</f>
        <v/>
      </c>
      <c r="C815" t="str">
        <f>IF(YLE成绩库!B315="","", YLE成绩库!B315)</f>
        <v/>
      </c>
      <c r="D815" t="str">
        <f>IF(YLE成绩库!D315="","", YLE成绩库!D315)</f>
        <v/>
      </c>
      <c r="E815" t="str">
        <f>IF(YLE成绩库!C315="","", YLE成绩库!L315)</f>
        <v/>
      </c>
      <c r="F815" t="str">
        <f>IF(YLE成绩库!C315="","", YLE成绩库!M315)</f>
        <v/>
      </c>
      <c r="G815" t="str">
        <f>IF(YLE成绩库!C315="","", YLE成绩库!N315)</f>
        <v/>
      </c>
      <c r="H815" t="str">
        <f>IF(YLE成绩库!C315="","", YLE成绩库!O315)</f>
        <v/>
      </c>
      <c r="I815" t="str">
        <f>IF(YLE成绩库!C315="","", YLE成绩库!P315)</f>
        <v/>
      </c>
      <c r="J815" t="str">
        <f>IF(YLE成绩库!C315="","", YLE成绩库!Q315)</f>
        <v/>
      </c>
      <c r="K815" t="str">
        <f>IF(YLE成绩库!C315="","", YLE成绩库!R315)</f>
        <v/>
      </c>
      <c r="L815" t="str">
        <f>IF(YLE成绩库!C315="","", YLE成绩库!U315)</f>
        <v/>
      </c>
      <c r="M815">
        <v>0</v>
      </c>
      <c r="N815">
        <v>0</v>
      </c>
      <c r="O815">
        <v>0</v>
      </c>
      <c r="P815" t="str">
        <f>IF(YLE成绩库!C315="","", YLE成绩库!D315)</f>
        <v/>
      </c>
      <c r="Q815" t="str">
        <f>IF(YLE成绩库!C315="","", YLE成绩库!E315)</f>
        <v/>
      </c>
      <c r="R815" t="str">
        <f>IF(YLE成绩库!C315="","", YLE成绩库!F315)</f>
        <v/>
      </c>
      <c r="S815" t="str">
        <f>IF(YLE成绩库!C315="","", YLE成绩库!G315)</f>
        <v/>
      </c>
      <c r="T815" t="str">
        <f>IF(YLE成绩库!C315="","", YLE成绩库!H315)</f>
        <v/>
      </c>
      <c r="U815" t="str">
        <f>IF(YLE成绩库!C315="","", YLE成绩库!K315)</f>
        <v/>
      </c>
      <c r="V815" t="str">
        <f>IF(YLE成绩库!C315="","", YLE成绩库!W315)</f>
        <v/>
      </c>
      <c r="W815" t="str">
        <f>IF(YLE成绩库!C315="","", YLE成绩库!X315)</f>
        <v/>
      </c>
      <c r="X815" t="str">
        <f>IF(YLE成绩库!C315="","", YLE成绩库!AA315)</f>
        <v/>
      </c>
      <c r="Z815" t="str">
        <f>IF(YLE成绩库!C315="","", YLE成绩库!Z315)</f>
        <v/>
      </c>
    </row>
    <row r="816" spans="1:26" x14ac:dyDescent="0.2">
      <c r="A816" t="str">
        <f>IF(YLE成绩库!C316="","", YLE成绩库!C316)</f>
        <v/>
      </c>
      <c r="B816" t="str">
        <f>IF(YLE成绩库!AB316="","", YLE成绩库!AB316)</f>
        <v/>
      </c>
      <c r="C816" t="str">
        <f>IF(YLE成绩库!B316="","", YLE成绩库!B316)</f>
        <v/>
      </c>
      <c r="D816" t="str">
        <f>IF(YLE成绩库!D316="","", YLE成绩库!D316)</f>
        <v/>
      </c>
      <c r="E816" t="str">
        <f>IF(YLE成绩库!C316="","", YLE成绩库!L316)</f>
        <v/>
      </c>
      <c r="F816" t="str">
        <f>IF(YLE成绩库!C316="","", YLE成绩库!M316)</f>
        <v/>
      </c>
      <c r="G816" t="str">
        <f>IF(YLE成绩库!C316="","", YLE成绩库!N316)</f>
        <v/>
      </c>
      <c r="H816" t="str">
        <f>IF(YLE成绩库!C316="","", YLE成绩库!O316)</f>
        <v/>
      </c>
      <c r="I816" t="str">
        <f>IF(YLE成绩库!C316="","", YLE成绩库!P316)</f>
        <v/>
      </c>
      <c r="J816" t="str">
        <f>IF(YLE成绩库!C316="","", YLE成绩库!Q316)</f>
        <v/>
      </c>
      <c r="K816" t="str">
        <f>IF(YLE成绩库!C316="","", YLE成绩库!R316)</f>
        <v/>
      </c>
      <c r="L816" t="str">
        <f>IF(YLE成绩库!C316="","", YLE成绩库!U316)</f>
        <v/>
      </c>
      <c r="M816">
        <v>0</v>
      </c>
      <c r="N816">
        <v>0</v>
      </c>
      <c r="O816">
        <v>0</v>
      </c>
      <c r="P816" t="str">
        <f>IF(YLE成绩库!C316="","", YLE成绩库!D316)</f>
        <v/>
      </c>
      <c r="Q816" t="str">
        <f>IF(YLE成绩库!C316="","", YLE成绩库!E316)</f>
        <v/>
      </c>
      <c r="R816" t="str">
        <f>IF(YLE成绩库!C316="","", YLE成绩库!F316)</f>
        <v/>
      </c>
      <c r="S816" t="str">
        <f>IF(YLE成绩库!C316="","", YLE成绩库!G316)</f>
        <v/>
      </c>
      <c r="T816" t="str">
        <f>IF(YLE成绩库!C316="","", YLE成绩库!H316)</f>
        <v/>
      </c>
      <c r="U816" t="str">
        <f>IF(YLE成绩库!C316="","", YLE成绩库!K316)</f>
        <v/>
      </c>
      <c r="V816" t="str">
        <f>IF(YLE成绩库!C316="","", YLE成绩库!W316)</f>
        <v/>
      </c>
      <c r="W816" t="str">
        <f>IF(YLE成绩库!C316="","", YLE成绩库!X316)</f>
        <v/>
      </c>
      <c r="X816" t="str">
        <f>IF(YLE成绩库!C316="","", YLE成绩库!AA316)</f>
        <v/>
      </c>
      <c r="Z816" t="str">
        <f>IF(YLE成绩库!C316="","", YLE成绩库!Z316)</f>
        <v/>
      </c>
    </row>
    <row r="817" spans="1:26" x14ac:dyDescent="0.2">
      <c r="A817" t="str">
        <f>IF(YLE成绩库!C317="","", YLE成绩库!C317)</f>
        <v/>
      </c>
      <c r="B817" t="str">
        <f>IF(YLE成绩库!AB317="","", YLE成绩库!AB317)</f>
        <v/>
      </c>
      <c r="C817" t="str">
        <f>IF(YLE成绩库!B317="","", YLE成绩库!B317)</f>
        <v/>
      </c>
      <c r="D817" t="str">
        <f>IF(YLE成绩库!D317="","", YLE成绩库!D317)</f>
        <v/>
      </c>
      <c r="E817" t="str">
        <f>IF(YLE成绩库!C317="","", YLE成绩库!L317)</f>
        <v/>
      </c>
      <c r="F817" t="str">
        <f>IF(YLE成绩库!C317="","", YLE成绩库!M317)</f>
        <v/>
      </c>
      <c r="G817" t="str">
        <f>IF(YLE成绩库!C317="","", YLE成绩库!N317)</f>
        <v/>
      </c>
      <c r="H817" t="str">
        <f>IF(YLE成绩库!C317="","", YLE成绩库!O317)</f>
        <v/>
      </c>
      <c r="I817" t="str">
        <f>IF(YLE成绩库!C317="","", YLE成绩库!P317)</f>
        <v/>
      </c>
      <c r="J817" t="str">
        <f>IF(YLE成绩库!C317="","", YLE成绩库!Q317)</f>
        <v/>
      </c>
      <c r="K817" t="str">
        <f>IF(YLE成绩库!C317="","", YLE成绩库!R317)</f>
        <v/>
      </c>
      <c r="L817" t="str">
        <f>IF(YLE成绩库!C317="","", YLE成绩库!U317)</f>
        <v/>
      </c>
      <c r="M817">
        <v>0</v>
      </c>
      <c r="N817">
        <v>0</v>
      </c>
      <c r="O817">
        <v>0</v>
      </c>
      <c r="P817" t="str">
        <f>IF(YLE成绩库!C317="","", YLE成绩库!D317)</f>
        <v/>
      </c>
      <c r="Q817" t="str">
        <f>IF(YLE成绩库!C317="","", YLE成绩库!E317)</f>
        <v/>
      </c>
      <c r="R817" t="str">
        <f>IF(YLE成绩库!C317="","", YLE成绩库!F317)</f>
        <v/>
      </c>
      <c r="S817" t="str">
        <f>IF(YLE成绩库!C317="","", YLE成绩库!G317)</f>
        <v/>
      </c>
      <c r="T817" t="str">
        <f>IF(YLE成绩库!C317="","", YLE成绩库!H317)</f>
        <v/>
      </c>
      <c r="U817" t="str">
        <f>IF(YLE成绩库!C317="","", YLE成绩库!K317)</f>
        <v/>
      </c>
      <c r="V817" t="str">
        <f>IF(YLE成绩库!C317="","", YLE成绩库!W317)</f>
        <v/>
      </c>
      <c r="W817" t="str">
        <f>IF(YLE成绩库!C317="","", YLE成绩库!X317)</f>
        <v/>
      </c>
      <c r="X817" t="str">
        <f>IF(YLE成绩库!C317="","", YLE成绩库!AA317)</f>
        <v/>
      </c>
      <c r="Z817" t="str">
        <f>IF(YLE成绩库!C317="","", YLE成绩库!Z317)</f>
        <v/>
      </c>
    </row>
    <row r="818" spans="1:26" x14ac:dyDescent="0.2">
      <c r="A818" t="str">
        <f>IF(YLE成绩库!C318="","", YLE成绩库!C318)</f>
        <v/>
      </c>
      <c r="B818" t="str">
        <f>IF(YLE成绩库!AB318="","", YLE成绩库!AB318)</f>
        <v/>
      </c>
      <c r="C818" t="str">
        <f>IF(YLE成绩库!B318="","", YLE成绩库!B318)</f>
        <v/>
      </c>
      <c r="D818" t="str">
        <f>IF(YLE成绩库!D318="","", YLE成绩库!D318)</f>
        <v/>
      </c>
      <c r="E818" t="str">
        <f>IF(YLE成绩库!C318="","", YLE成绩库!L318)</f>
        <v/>
      </c>
      <c r="F818" t="str">
        <f>IF(YLE成绩库!C318="","", YLE成绩库!M318)</f>
        <v/>
      </c>
      <c r="G818" t="str">
        <f>IF(YLE成绩库!C318="","", YLE成绩库!N318)</f>
        <v/>
      </c>
      <c r="H818" t="str">
        <f>IF(YLE成绩库!C318="","", YLE成绩库!O318)</f>
        <v/>
      </c>
      <c r="I818" t="str">
        <f>IF(YLE成绩库!C318="","", YLE成绩库!P318)</f>
        <v/>
      </c>
      <c r="J818" t="str">
        <f>IF(YLE成绩库!C318="","", YLE成绩库!Q318)</f>
        <v/>
      </c>
      <c r="K818" t="str">
        <f>IF(YLE成绩库!C318="","", YLE成绩库!R318)</f>
        <v/>
      </c>
      <c r="L818" t="str">
        <f>IF(YLE成绩库!C318="","", YLE成绩库!U318)</f>
        <v/>
      </c>
      <c r="M818">
        <v>0</v>
      </c>
      <c r="N818">
        <v>0</v>
      </c>
      <c r="O818">
        <v>0</v>
      </c>
      <c r="P818" t="str">
        <f>IF(YLE成绩库!C318="","", YLE成绩库!D318)</f>
        <v/>
      </c>
      <c r="Q818" t="str">
        <f>IF(YLE成绩库!C318="","", YLE成绩库!E318)</f>
        <v/>
      </c>
      <c r="R818" t="str">
        <f>IF(YLE成绩库!C318="","", YLE成绩库!F318)</f>
        <v/>
      </c>
      <c r="S818" t="str">
        <f>IF(YLE成绩库!C318="","", YLE成绩库!G318)</f>
        <v/>
      </c>
      <c r="T818" t="str">
        <f>IF(YLE成绩库!C318="","", YLE成绩库!H318)</f>
        <v/>
      </c>
      <c r="U818" t="str">
        <f>IF(YLE成绩库!C318="","", YLE成绩库!K318)</f>
        <v/>
      </c>
      <c r="V818" t="str">
        <f>IF(YLE成绩库!C318="","", YLE成绩库!W318)</f>
        <v/>
      </c>
      <c r="W818" t="str">
        <f>IF(YLE成绩库!C318="","", YLE成绩库!X318)</f>
        <v/>
      </c>
      <c r="X818" t="str">
        <f>IF(YLE成绩库!C318="","", YLE成绩库!AA318)</f>
        <v/>
      </c>
      <c r="Z818" t="str">
        <f>IF(YLE成绩库!C318="","", YLE成绩库!Z318)</f>
        <v/>
      </c>
    </row>
    <row r="819" spans="1:26" x14ac:dyDescent="0.2">
      <c r="A819" t="str">
        <f>IF(YLE成绩库!C319="","", YLE成绩库!C319)</f>
        <v/>
      </c>
      <c r="B819" t="str">
        <f>IF(YLE成绩库!AB319="","", YLE成绩库!AB319)</f>
        <v/>
      </c>
      <c r="C819" t="str">
        <f>IF(YLE成绩库!B319="","", YLE成绩库!B319)</f>
        <v/>
      </c>
      <c r="D819" t="str">
        <f>IF(YLE成绩库!D319="","", YLE成绩库!D319)</f>
        <v/>
      </c>
      <c r="E819" t="str">
        <f>IF(YLE成绩库!C319="","", YLE成绩库!L319)</f>
        <v/>
      </c>
      <c r="F819" t="str">
        <f>IF(YLE成绩库!C319="","", YLE成绩库!M319)</f>
        <v/>
      </c>
      <c r="G819" t="str">
        <f>IF(YLE成绩库!C319="","", YLE成绩库!N319)</f>
        <v/>
      </c>
      <c r="H819" t="str">
        <f>IF(YLE成绩库!C319="","", YLE成绩库!O319)</f>
        <v/>
      </c>
      <c r="I819" t="str">
        <f>IF(YLE成绩库!C319="","", YLE成绩库!P319)</f>
        <v/>
      </c>
      <c r="J819" t="str">
        <f>IF(YLE成绩库!C319="","", YLE成绩库!Q319)</f>
        <v/>
      </c>
      <c r="K819" t="str">
        <f>IF(YLE成绩库!C319="","", YLE成绩库!R319)</f>
        <v/>
      </c>
      <c r="L819" t="str">
        <f>IF(YLE成绩库!C319="","", YLE成绩库!U319)</f>
        <v/>
      </c>
      <c r="M819">
        <v>0</v>
      </c>
      <c r="N819">
        <v>0</v>
      </c>
      <c r="O819">
        <v>0</v>
      </c>
      <c r="P819" t="str">
        <f>IF(YLE成绩库!C319="","", YLE成绩库!D319)</f>
        <v/>
      </c>
      <c r="Q819" t="str">
        <f>IF(YLE成绩库!C319="","", YLE成绩库!E319)</f>
        <v/>
      </c>
      <c r="R819" t="str">
        <f>IF(YLE成绩库!C319="","", YLE成绩库!F319)</f>
        <v/>
      </c>
      <c r="S819" t="str">
        <f>IF(YLE成绩库!C319="","", YLE成绩库!G319)</f>
        <v/>
      </c>
      <c r="T819" t="str">
        <f>IF(YLE成绩库!C319="","", YLE成绩库!H319)</f>
        <v/>
      </c>
      <c r="U819" t="str">
        <f>IF(YLE成绩库!C319="","", YLE成绩库!K319)</f>
        <v/>
      </c>
      <c r="V819" t="str">
        <f>IF(YLE成绩库!C319="","", YLE成绩库!W319)</f>
        <v/>
      </c>
      <c r="W819" t="str">
        <f>IF(YLE成绩库!C319="","", YLE成绩库!X319)</f>
        <v/>
      </c>
      <c r="X819" t="str">
        <f>IF(YLE成绩库!C319="","", YLE成绩库!AA319)</f>
        <v/>
      </c>
      <c r="Z819" t="str">
        <f>IF(YLE成绩库!C319="","", YLE成绩库!Z319)</f>
        <v/>
      </c>
    </row>
    <row r="820" spans="1:26" x14ac:dyDescent="0.2">
      <c r="A820" t="str">
        <f>IF(YLE成绩库!C320="","", YLE成绩库!C320)</f>
        <v/>
      </c>
      <c r="B820" t="str">
        <f>IF(YLE成绩库!AB320="","", YLE成绩库!AB320)</f>
        <v/>
      </c>
      <c r="C820" t="str">
        <f>IF(YLE成绩库!B320="","", YLE成绩库!B320)</f>
        <v/>
      </c>
      <c r="D820" t="str">
        <f>IF(YLE成绩库!D320="","", YLE成绩库!D320)</f>
        <v/>
      </c>
      <c r="E820" t="str">
        <f>IF(YLE成绩库!C320="","", YLE成绩库!L320)</f>
        <v/>
      </c>
      <c r="F820" t="str">
        <f>IF(YLE成绩库!C320="","", YLE成绩库!M320)</f>
        <v/>
      </c>
      <c r="G820" t="str">
        <f>IF(YLE成绩库!C320="","", YLE成绩库!N320)</f>
        <v/>
      </c>
      <c r="H820" t="str">
        <f>IF(YLE成绩库!C320="","", YLE成绩库!O320)</f>
        <v/>
      </c>
      <c r="I820" t="str">
        <f>IF(YLE成绩库!C320="","", YLE成绩库!P320)</f>
        <v/>
      </c>
      <c r="J820" t="str">
        <f>IF(YLE成绩库!C320="","", YLE成绩库!Q320)</f>
        <v/>
      </c>
      <c r="K820" t="str">
        <f>IF(YLE成绩库!C320="","", YLE成绩库!R320)</f>
        <v/>
      </c>
      <c r="L820" t="str">
        <f>IF(YLE成绩库!C320="","", YLE成绩库!U320)</f>
        <v/>
      </c>
      <c r="M820">
        <v>0</v>
      </c>
      <c r="N820">
        <v>0</v>
      </c>
      <c r="O820">
        <v>0</v>
      </c>
      <c r="P820" t="str">
        <f>IF(YLE成绩库!C320="","", YLE成绩库!D320)</f>
        <v/>
      </c>
      <c r="Q820" t="str">
        <f>IF(YLE成绩库!C320="","", YLE成绩库!E320)</f>
        <v/>
      </c>
      <c r="R820" t="str">
        <f>IF(YLE成绩库!C320="","", YLE成绩库!F320)</f>
        <v/>
      </c>
      <c r="S820" t="str">
        <f>IF(YLE成绩库!C320="","", YLE成绩库!G320)</f>
        <v/>
      </c>
      <c r="T820" t="str">
        <f>IF(YLE成绩库!C320="","", YLE成绩库!H320)</f>
        <v/>
      </c>
      <c r="U820" t="str">
        <f>IF(YLE成绩库!C320="","", YLE成绩库!K320)</f>
        <v/>
      </c>
      <c r="V820" t="str">
        <f>IF(YLE成绩库!C320="","", YLE成绩库!W320)</f>
        <v/>
      </c>
      <c r="W820" t="str">
        <f>IF(YLE成绩库!C320="","", YLE成绩库!X320)</f>
        <v/>
      </c>
      <c r="X820" t="str">
        <f>IF(YLE成绩库!C320="","", YLE成绩库!AA320)</f>
        <v/>
      </c>
      <c r="Z820" t="str">
        <f>IF(YLE成绩库!C320="","", YLE成绩库!Z320)</f>
        <v/>
      </c>
    </row>
    <row r="821" spans="1:26" x14ac:dyDescent="0.2">
      <c r="A821" t="str">
        <f>IF(YLE成绩库!C321="","", YLE成绩库!C321)</f>
        <v/>
      </c>
      <c r="B821" t="str">
        <f>IF(YLE成绩库!AB321="","", YLE成绩库!AB321)</f>
        <v/>
      </c>
      <c r="C821" t="str">
        <f>IF(YLE成绩库!B321="","", YLE成绩库!B321)</f>
        <v/>
      </c>
      <c r="D821" t="str">
        <f>IF(YLE成绩库!D321="","", YLE成绩库!D321)</f>
        <v/>
      </c>
      <c r="E821" t="str">
        <f>IF(YLE成绩库!C321="","", YLE成绩库!L321)</f>
        <v/>
      </c>
      <c r="F821" t="str">
        <f>IF(YLE成绩库!C321="","", YLE成绩库!M321)</f>
        <v/>
      </c>
      <c r="G821" t="str">
        <f>IF(YLE成绩库!C321="","", YLE成绩库!N321)</f>
        <v/>
      </c>
      <c r="H821" t="str">
        <f>IF(YLE成绩库!C321="","", YLE成绩库!O321)</f>
        <v/>
      </c>
      <c r="I821" t="str">
        <f>IF(YLE成绩库!C321="","", YLE成绩库!P321)</f>
        <v/>
      </c>
      <c r="J821" t="str">
        <f>IF(YLE成绩库!C321="","", YLE成绩库!Q321)</f>
        <v/>
      </c>
      <c r="K821" t="str">
        <f>IF(YLE成绩库!C321="","", YLE成绩库!R321)</f>
        <v/>
      </c>
      <c r="L821" t="str">
        <f>IF(YLE成绩库!C321="","", YLE成绩库!U321)</f>
        <v/>
      </c>
      <c r="M821">
        <v>0</v>
      </c>
      <c r="N821">
        <v>0</v>
      </c>
      <c r="O821">
        <v>0</v>
      </c>
      <c r="P821" t="str">
        <f>IF(YLE成绩库!C321="","", YLE成绩库!D321)</f>
        <v/>
      </c>
      <c r="Q821" t="str">
        <f>IF(YLE成绩库!C321="","", YLE成绩库!E321)</f>
        <v/>
      </c>
      <c r="R821" t="str">
        <f>IF(YLE成绩库!C321="","", YLE成绩库!F321)</f>
        <v/>
      </c>
      <c r="S821" t="str">
        <f>IF(YLE成绩库!C321="","", YLE成绩库!G321)</f>
        <v/>
      </c>
      <c r="T821" t="str">
        <f>IF(YLE成绩库!C321="","", YLE成绩库!H321)</f>
        <v/>
      </c>
      <c r="U821" t="str">
        <f>IF(YLE成绩库!C321="","", YLE成绩库!K321)</f>
        <v/>
      </c>
      <c r="V821" t="str">
        <f>IF(YLE成绩库!C321="","", YLE成绩库!W321)</f>
        <v/>
      </c>
      <c r="W821" t="str">
        <f>IF(YLE成绩库!C321="","", YLE成绩库!X321)</f>
        <v/>
      </c>
      <c r="X821" t="str">
        <f>IF(YLE成绩库!C321="","", YLE成绩库!AA321)</f>
        <v/>
      </c>
      <c r="Z821" t="str">
        <f>IF(YLE成绩库!C321="","", YLE成绩库!Z321)</f>
        <v/>
      </c>
    </row>
    <row r="822" spans="1:26" x14ac:dyDescent="0.2">
      <c r="A822" t="str">
        <f>IF(YLE成绩库!C322="","", YLE成绩库!C322)</f>
        <v/>
      </c>
      <c r="B822" t="str">
        <f>IF(YLE成绩库!AB322="","", YLE成绩库!AB322)</f>
        <v/>
      </c>
      <c r="C822" t="str">
        <f>IF(YLE成绩库!B322="","", YLE成绩库!B322)</f>
        <v/>
      </c>
      <c r="D822" t="str">
        <f>IF(YLE成绩库!D322="","", YLE成绩库!D322)</f>
        <v/>
      </c>
      <c r="E822" t="str">
        <f>IF(YLE成绩库!C322="","", YLE成绩库!L322)</f>
        <v/>
      </c>
      <c r="F822" t="str">
        <f>IF(YLE成绩库!C322="","", YLE成绩库!M322)</f>
        <v/>
      </c>
      <c r="G822" t="str">
        <f>IF(YLE成绩库!C322="","", YLE成绩库!N322)</f>
        <v/>
      </c>
      <c r="H822" t="str">
        <f>IF(YLE成绩库!C322="","", YLE成绩库!O322)</f>
        <v/>
      </c>
      <c r="I822" t="str">
        <f>IF(YLE成绩库!C322="","", YLE成绩库!P322)</f>
        <v/>
      </c>
      <c r="J822" t="str">
        <f>IF(YLE成绩库!C322="","", YLE成绩库!Q322)</f>
        <v/>
      </c>
      <c r="K822" t="str">
        <f>IF(YLE成绩库!C322="","", YLE成绩库!R322)</f>
        <v/>
      </c>
      <c r="L822" t="str">
        <f>IF(YLE成绩库!C322="","", YLE成绩库!U322)</f>
        <v/>
      </c>
      <c r="M822">
        <v>0</v>
      </c>
      <c r="N822">
        <v>0</v>
      </c>
      <c r="O822">
        <v>0</v>
      </c>
      <c r="P822" t="str">
        <f>IF(YLE成绩库!C322="","", YLE成绩库!D322)</f>
        <v/>
      </c>
      <c r="Q822" t="str">
        <f>IF(YLE成绩库!C322="","", YLE成绩库!E322)</f>
        <v/>
      </c>
      <c r="R822" t="str">
        <f>IF(YLE成绩库!C322="","", YLE成绩库!F322)</f>
        <v/>
      </c>
      <c r="S822" t="str">
        <f>IF(YLE成绩库!C322="","", YLE成绩库!G322)</f>
        <v/>
      </c>
      <c r="T822" t="str">
        <f>IF(YLE成绩库!C322="","", YLE成绩库!H322)</f>
        <v/>
      </c>
      <c r="U822" t="str">
        <f>IF(YLE成绩库!C322="","", YLE成绩库!K322)</f>
        <v/>
      </c>
      <c r="V822" t="str">
        <f>IF(YLE成绩库!C322="","", YLE成绩库!W322)</f>
        <v/>
      </c>
      <c r="W822" t="str">
        <f>IF(YLE成绩库!C322="","", YLE成绩库!X322)</f>
        <v/>
      </c>
      <c r="X822" t="str">
        <f>IF(YLE成绩库!C322="","", YLE成绩库!AA322)</f>
        <v/>
      </c>
      <c r="Z822" t="str">
        <f>IF(YLE成绩库!C322="","", YLE成绩库!Z322)</f>
        <v/>
      </c>
    </row>
    <row r="823" spans="1:26" x14ac:dyDescent="0.2">
      <c r="A823" t="str">
        <f>IF(YLE成绩库!C323="","", YLE成绩库!C323)</f>
        <v/>
      </c>
      <c r="B823" t="str">
        <f>IF(YLE成绩库!AB323="","", YLE成绩库!AB323)</f>
        <v/>
      </c>
      <c r="C823" t="str">
        <f>IF(YLE成绩库!B323="","", YLE成绩库!B323)</f>
        <v/>
      </c>
      <c r="D823" t="str">
        <f>IF(YLE成绩库!D323="","", YLE成绩库!D323)</f>
        <v/>
      </c>
      <c r="E823" t="str">
        <f>IF(YLE成绩库!C323="","", YLE成绩库!L323)</f>
        <v/>
      </c>
      <c r="F823" t="str">
        <f>IF(YLE成绩库!C323="","", YLE成绩库!M323)</f>
        <v/>
      </c>
      <c r="G823" t="str">
        <f>IF(YLE成绩库!C323="","", YLE成绩库!N323)</f>
        <v/>
      </c>
      <c r="H823" t="str">
        <f>IF(YLE成绩库!C323="","", YLE成绩库!O323)</f>
        <v/>
      </c>
      <c r="I823" t="str">
        <f>IF(YLE成绩库!C323="","", YLE成绩库!P323)</f>
        <v/>
      </c>
      <c r="J823" t="str">
        <f>IF(YLE成绩库!C323="","", YLE成绩库!Q323)</f>
        <v/>
      </c>
      <c r="K823" t="str">
        <f>IF(YLE成绩库!C323="","", YLE成绩库!R323)</f>
        <v/>
      </c>
      <c r="L823" t="str">
        <f>IF(YLE成绩库!C323="","", YLE成绩库!U323)</f>
        <v/>
      </c>
      <c r="M823">
        <v>0</v>
      </c>
      <c r="N823">
        <v>0</v>
      </c>
      <c r="O823">
        <v>0</v>
      </c>
      <c r="P823" t="str">
        <f>IF(YLE成绩库!C323="","", YLE成绩库!D323)</f>
        <v/>
      </c>
      <c r="Q823" t="str">
        <f>IF(YLE成绩库!C323="","", YLE成绩库!E323)</f>
        <v/>
      </c>
      <c r="R823" t="str">
        <f>IF(YLE成绩库!C323="","", YLE成绩库!F323)</f>
        <v/>
      </c>
      <c r="S823" t="str">
        <f>IF(YLE成绩库!C323="","", YLE成绩库!G323)</f>
        <v/>
      </c>
      <c r="T823" t="str">
        <f>IF(YLE成绩库!C323="","", YLE成绩库!H323)</f>
        <v/>
      </c>
      <c r="U823" t="str">
        <f>IF(YLE成绩库!C323="","", YLE成绩库!K323)</f>
        <v/>
      </c>
      <c r="V823" t="str">
        <f>IF(YLE成绩库!C323="","", YLE成绩库!W323)</f>
        <v/>
      </c>
      <c r="W823" t="str">
        <f>IF(YLE成绩库!C323="","", YLE成绩库!X323)</f>
        <v/>
      </c>
      <c r="X823" t="str">
        <f>IF(YLE成绩库!C323="","", YLE成绩库!AA323)</f>
        <v/>
      </c>
      <c r="Z823" t="str">
        <f>IF(YLE成绩库!C323="","", YLE成绩库!Z323)</f>
        <v/>
      </c>
    </row>
    <row r="824" spans="1:26" x14ac:dyDescent="0.2">
      <c r="A824" t="str">
        <f>IF(YLE成绩库!C324="","", YLE成绩库!C324)</f>
        <v/>
      </c>
      <c r="B824" t="str">
        <f>IF(YLE成绩库!AB324="","", YLE成绩库!AB324)</f>
        <v/>
      </c>
      <c r="C824" t="str">
        <f>IF(YLE成绩库!B324="","", YLE成绩库!B324)</f>
        <v/>
      </c>
      <c r="D824" t="str">
        <f>IF(YLE成绩库!D324="","", YLE成绩库!D324)</f>
        <v/>
      </c>
      <c r="E824" t="str">
        <f>IF(YLE成绩库!C324="","", YLE成绩库!L324)</f>
        <v/>
      </c>
      <c r="F824" t="str">
        <f>IF(YLE成绩库!C324="","", YLE成绩库!M324)</f>
        <v/>
      </c>
      <c r="G824" t="str">
        <f>IF(YLE成绩库!C324="","", YLE成绩库!N324)</f>
        <v/>
      </c>
      <c r="H824" t="str">
        <f>IF(YLE成绩库!C324="","", YLE成绩库!O324)</f>
        <v/>
      </c>
      <c r="I824" t="str">
        <f>IF(YLE成绩库!C324="","", YLE成绩库!P324)</f>
        <v/>
      </c>
      <c r="J824" t="str">
        <f>IF(YLE成绩库!C324="","", YLE成绩库!Q324)</f>
        <v/>
      </c>
      <c r="K824" t="str">
        <f>IF(YLE成绩库!C324="","", YLE成绩库!R324)</f>
        <v/>
      </c>
      <c r="L824" t="str">
        <f>IF(YLE成绩库!C324="","", YLE成绩库!U324)</f>
        <v/>
      </c>
      <c r="M824">
        <v>0</v>
      </c>
      <c r="N824">
        <v>0</v>
      </c>
      <c r="O824">
        <v>0</v>
      </c>
      <c r="P824" t="str">
        <f>IF(YLE成绩库!C324="","", YLE成绩库!D324)</f>
        <v/>
      </c>
      <c r="Q824" t="str">
        <f>IF(YLE成绩库!C324="","", YLE成绩库!E324)</f>
        <v/>
      </c>
      <c r="R824" t="str">
        <f>IF(YLE成绩库!C324="","", YLE成绩库!F324)</f>
        <v/>
      </c>
      <c r="S824" t="str">
        <f>IF(YLE成绩库!C324="","", YLE成绩库!G324)</f>
        <v/>
      </c>
      <c r="T824" t="str">
        <f>IF(YLE成绩库!C324="","", YLE成绩库!H324)</f>
        <v/>
      </c>
      <c r="U824" t="str">
        <f>IF(YLE成绩库!C324="","", YLE成绩库!K324)</f>
        <v/>
      </c>
      <c r="V824" t="str">
        <f>IF(YLE成绩库!C324="","", YLE成绩库!W324)</f>
        <v/>
      </c>
      <c r="W824" t="str">
        <f>IF(YLE成绩库!C324="","", YLE成绩库!X324)</f>
        <v/>
      </c>
      <c r="X824" t="str">
        <f>IF(YLE成绩库!C324="","", YLE成绩库!AA324)</f>
        <v/>
      </c>
      <c r="Z824" t="str">
        <f>IF(YLE成绩库!C324="","", YLE成绩库!Z324)</f>
        <v/>
      </c>
    </row>
    <row r="825" spans="1:26" x14ac:dyDescent="0.2">
      <c r="A825" t="str">
        <f>IF(YLE成绩库!C325="","", YLE成绩库!C325)</f>
        <v/>
      </c>
      <c r="B825" t="str">
        <f>IF(YLE成绩库!AB325="","", YLE成绩库!AB325)</f>
        <v/>
      </c>
      <c r="C825" t="str">
        <f>IF(YLE成绩库!B325="","", YLE成绩库!B325)</f>
        <v/>
      </c>
      <c r="D825" t="str">
        <f>IF(YLE成绩库!D325="","", YLE成绩库!D325)</f>
        <v/>
      </c>
      <c r="E825" t="str">
        <f>IF(YLE成绩库!C325="","", YLE成绩库!L325)</f>
        <v/>
      </c>
      <c r="F825" t="str">
        <f>IF(YLE成绩库!C325="","", YLE成绩库!M325)</f>
        <v/>
      </c>
      <c r="G825" t="str">
        <f>IF(YLE成绩库!C325="","", YLE成绩库!N325)</f>
        <v/>
      </c>
      <c r="H825" t="str">
        <f>IF(YLE成绩库!C325="","", YLE成绩库!O325)</f>
        <v/>
      </c>
      <c r="I825" t="str">
        <f>IF(YLE成绩库!C325="","", YLE成绩库!P325)</f>
        <v/>
      </c>
      <c r="J825" t="str">
        <f>IF(YLE成绩库!C325="","", YLE成绩库!Q325)</f>
        <v/>
      </c>
      <c r="K825" t="str">
        <f>IF(YLE成绩库!C325="","", YLE成绩库!R325)</f>
        <v/>
      </c>
      <c r="L825" t="str">
        <f>IF(YLE成绩库!C325="","", YLE成绩库!U325)</f>
        <v/>
      </c>
      <c r="M825">
        <v>0</v>
      </c>
      <c r="N825">
        <v>0</v>
      </c>
      <c r="O825">
        <v>0</v>
      </c>
      <c r="P825" t="str">
        <f>IF(YLE成绩库!C325="","", YLE成绩库!D325)</f>
        <v/>
      </c>
      <c r="Q825" t="str">
        <f>IF(YLE成绩库!C325="","", YLE成绩库!E325)</f>
        <v/>
      </c>
      <c r="R825" t="str">
        <f>IF(YLE成绩库!C325="","", YLE成绩库!F325)</f>
        <v/>
      </c>
      <c r="S825" t="str">
        <f>IF(YLE成绩库!C325="","", YLE成绩库!G325)</f>
        <v/>
      </c>
      <c r="T825" t="str">
        <f>IF(YLE成绩库!C325="","", YLE成绩库!H325)</f>
        <v/>
      </c>
      <c r="U825" t="str">
        <f>IF(YLE成绩库!C325="","", YLE成绩库!K325)</f>
        <v/>
      </c>
      <c r="V825" t="str">
        <f>IF(YLE成绩库!C325="","", YLE成绩库!W325)</f>
        <v/>
      </c>
      <c r="W825" t="str">
        <f>IF(YLE成绩库!C325="","", YLE成绩库!X325)</f>
        <v/>
      </c>
      <c r="X825" t="str">
        <f>IF(YLE成绩库!C325="","", YLE成绩库!AA325)</f>
        <v/>
      </c>
      <c r="Z825" t="str">
        <f>IF(YLE成绩库!C325="","", YLE成绩库!Z325)</f>
        <v/>
      </c>
    </row>
    <row r="826" spans="1:26" x14ac:dyDescent="0.2">
      <c r="A826" t="str">
        <f>IF(YLE成绩库!C326="","", YLE成绩库!C326)</f>
        <v/>
      </c>
      <c r="B826" t="str">
        <f>IF(YLE成绩库!AB326="","", YLE成绩库!AB326)</f>
        <v/>
      </c>
      <c r="C826" t="str">
        <f>IF(YLE成绩库!B326="","", YLE成绩库!B326)</f>
        <v/>
      </c>
      <c r="D826" t="str">
        <f>IF(YLE成绩库!D326="","", YLE成绩库!D326)</f>
        <v/>
      </c>
      <c r="E826" t="str">
        <f>IF(YLE成绩库!C326="","", YLE成绩库!L326)</f>
        <v/>
      </c>
      <c r="F826" t="str">
        <f>IF(YLE成绩库!C326="","", YLE成绩库!M326)</f>
        <v/>
      </c>
      <c r="G826" t="str">
        <f>IF(YLE成绩库!C326="","", YLE成绩库!N326)</f>
        <v/>
      </c>
      <c r="H826" t="str">
        <f>IF(YLE成绩库!C326="","", YLE成绩库!O326)</f>
        <v/>
      </c>
      <c r="I826" t="str">
        <f>IF(YLE成绩库!C326="","", YLE成绩库!P326)</f>
        <v/>
      </c>
      <c r="J826" t="str">
        <f>IF(YLE成绩库!C326="","", YLE成绩库!Q326)</f>
        <v/>
      </c>
      <c r="K826" t="str">
        <f>IF(YLE成绩库!C326="","", YLE成绩库!R326)</f>
        <v/>
      </c>
      <c r="L826" t="str">
        <f>IF(YLE成绩库!C326="","", YLE成绩库!U326)</f>
        <v/>
      </c>
      <c r="M826">
        <v>0</v>
      </c>
      <c r="N826">
        <v>0</v>
      </c>
      <c r="O826">
        <v>0</v>
      </c>
      <c r="P826" t="str">
        <f>IF(YLE成绩库!C326="","", YLE成绩库!D326)</f>
        <v/>
      </c>
      <c r="Q826" t="str">
        <f>IF(YLE成绩库!C326="","", YLE成绩库!E326)</f>
        <v/>
      </c>
      <c r="R826" t="str">
        <f>IF(YLE成绩库!C326="","", YLE成绩库!F326)</f>
        <v/>
      </c>
      <c r="S826" t="str">
        <f>IF(YLE成绩库!C326="","", YLE成绩库!G326)</f>
        <v/>
      </c>
      <c r="T826" t="str">
        <f>IF(YLE成绩库!C326="","", YLE成绩库!H326)</f>
        <v/>
      </c>
      <c r="U826" t="str">
        <f>IF(YLE成绩库!C326="","", YLE成绩库!K326)</f>
        <v/>
      </c>
      <c r="V826" t="str">
        <f>IF(YLE成绩库!C326="","", YLE成绩库!W326)</f>
        <v/>
      </c>
      <c r="W826" t="str">
        <f>IF(YLE成绩库!C326="","", YLE成绩库!X326)</f>
        <v/>
      </c>
      <c r="X826" t="str">
        <f>IF(YLE成绩库!C326="","", YLE成绩库!AA326)</f>
        <v/>
      </c>
      <c r="Z826" t="str">
        <f>IF(YLE成绩库!C326="","", YLE成绩库!Z326)</f>
        <v/>
      </c>
    </row>
    <row r="827" spans="1:26" x14ac:dyDescent="0.2">
      <c r="A827" t="str">
        <f>IF(YLE成绩库!C327="","", YLE成绩库!C327)</f>
        <v/>
      </c>
      <c r="B827" t="str">
        <f>IF(YLE成绩库!AB327="","", YLE成绩库!AB327)</f>
        <v/>
      </c>
      <c r="C827" t="str">
        <f>IF(YLE成绩库!B327="","", YLE成绩库!B327)</f>
        <v/>
      </c>
      <c r="D827" t="str">
        <f>IF(YLE成绩库!D327="","", YLE成绩库!D327)</f>
        <v/>
      </c>
      <c r="E827" t="str">
        <f>IF(YLE成绩库!C327="","", YLE成绩库!L327)</f>
        <v/>
      </c>
      <c r="F827" t="str">
        <f>IF(YLE成绩库!C327="","", YLE成绩库!M327)</f>
        <v/>
      </c>
      <c r="G827" t="str">
        <f>IF(YLE成绩库!C327="","", YLE成绩库!N327)</f>
        <v/>
      </c>
      <c r="H827" t="str">
        <f>IF(YLE成绩库!C327="","", YLE成绩库!O327)</f>
        <v/>
      </c>
      <c r="I827" t="str">
        <f>IF(YLE成绩库!C327="","", YLE成绩库!P327)</f>
        <v/>
      </c>
      <c r="J827" t="str">
        <f>IF(YLE成绩库!C327="","", YLE成绩库!Q327)</f>
        <v/>
      </c>
      <c r="K827" t="str">
        <f>IF(YLE成绩库!C327="","", YLE成绩库!R327)</f>
        <v/>
      </c>
      <c r="L827" t="str">
        <f>IF(YLE成绩库!C327="","", YLE成绩库!U327)</f>
        <v/>
      </c>
      <c r="M827">
        <v>0</v>
      </c>
      <c r="N827">
        <v>0</v>
      </c>
      <c r="O827">
        <v>0</v>
      </c>
      <c r="P827" t="str">
        <f>IF(YLE成绩库!C327="","", YLE成绩库!D327)</f>
        <v/>
      </c>
      <c r="Q827" t="str">
        <f>IF(YLE成绩库!C327="","", YLE成绩库!E327)</f>
        <v/>
      </c>
      <c r="R827" t="str">
        <f>IF(YLE成绩库!C327="","", YLE成绩库!F327)</f>
        <v/>
      </c>
      <c r="S827" t="str">
        <f>IF(YLE成绩库!C327="","", YLE成绩库!G327)</f>
        <v/>
      </c>
      <c r="T827" t="str">
        <f>IF(YLE成绩库!C327="","", YLE成绩库!H327)</f>
        <v/>
      </c>
      <c r="U827" t="str">
        <f>IF(YLE成绩库!C327="","", YLE成绩库!K327)</f>
        <v/>
      </c>
      <c r="V827" t="str">
        <f>IF(YLE成绩库!C327="","", YLE成绩库!W327)</f>
        <v/>
      </c>
      <c r="W827" t="str">
        <f>IF(YLE成绩库!C327="","", YLE成绩库!X327)</f>
        <v/>
      </c>
      <c r="X827" t="str">
        <f>IF(YLE成绩库!C327="","", YLE成绩库!AA327)</f>
        <v/>
      </c>
      <c r="Z827" t="str">
        <f>IF(YLE成绩库!C327="","", YLE成绩库!Z327)</f>
        <v/>
      </c>
    </row>
    <row r="828" spans="1:26" x14ac:dyDescent="0.2">
      <c r="A828" t="str">
        <f>IF(YLE成绩库!C328="","", YLE成绩库!C328)</f>
        <v/>
      </c>
      <c r="B828" t="str">
        <f>IF(YLE成绩库!AB328="","", YLE成绩库!AB328)</f>
        <v/>
      </c>
      <c r="C828" t="str">
        <f>IF(YLE成绩库!B328="","", YLE成绩库!B328)</f>
        <v/>
      </c>
      <c r="D828" t="str">
        <f>IF(YLE成绩库!D328="","", YLE成绩库!D328)</f>
        <v/>
      </c>
      <c r="E828" t="str">
        <f>IF(YLE成绩库!C328="","", YLE成绩库!L328)</f>
        <v/>
      </c>
      <c r="F828" t="str">
        <f>IF(YLE成绩库!C328="","", YLE成绩库!M328)</f>
        <v/>
      </c>
      <c r="G828" t="str">
        <f>IF(YLE成绩库!C328="","", YLE成绩库!N328)</f>
        <v/>
      </c>
      <c r="H828" t="str">
        <f>IF(YLE成绩库!C328="","", YLE成绩库!O328)</f>
        <v/>
      </c>
      <c r="I828" t="str">
        <f>IF(YLE成绩库!C328="","", YLE成绩库!P328)</f>
        <v/>
      </c>
      <c r="J828" t="str">
        <f>IF(YLE成绩库!C328="","", YLE成绩库!Q328)</f>
        <v/>
      </c>
      <c r="K828" t="str">
        <f>IF(YLE成绩库!C328="","", YLE成绩库!R328)</f>
        <v/>
      </c>
      <c r="L828" t="str">
        <f>IF(YLE成绩库!C328="","", YLE成绩库!U328)</f>
        <v/>
      </c>
      <c r="M828">
        <v>0</v>
      </c>
      <c r="N828">
        <v>0</v>
      </c>
      <c r="O828">
        <v>0</v>
      </c>
      <c r="P828" t="str">
        <f>IF(YLE成绩库!C328="","", YLE成绩库!D328)</f>
        <v/>
      </c>
      <c r="Q828" t="str">
        <f>IF(YLE成绩库!C328="","", YLE成绩库!E328)</f>
        <v/>
      </c>
      <c r="R828" t="str">
        <f>IF(YLE成绩库!C328="","", YLE成绩库!F328)</f>
        <v/>
      </c>
      <c r="S828" t="str">
        <f>IF(YLE成绩库!C328="","", YLE成绩库!G328)</f>
        <v/>
      </c>
      <c r="T828" t="str">
        <f>IF(YLE成绩库!C328="","", YLE成绩库!H328)</f>
        <v/>
      </c>
      <c r="U828" t="str">
        <f>IF(YLE成绩库!C328="","", YLE成绩库!K328)</f>
        <v/>
      </c>
      <c r="V828" t="str">
        <f>IF(YLE成绩库!C328="","", YLE成绩库!W328)</f>
        <v/>
      </c>
      <c r="W828" t="str">
        <f>IF(YLE成绩库!C328="","", YLE成绩库!X328)</f>
        <v/>
      </c>
      <c r="X828" t="str">
        <f>IF(YLE成绩库!C328="","", YLE成绩库!AA328)</f>
        <v/>
      </c>
      <c r="Z828" t="str">
        <f>IF(YLE成绩库!C328="","", YLE成绩库!Z328)</f>
        <v/>
      </c>
    </row>
    <row r="829" spans="1:26" x14ac:dyDescent="0.2">
      <c r="A829" t="str">
        <f>IF(YLE成绩库!C329="","", YLE成绩库!C329)</f>
        <v/>
      </c>
      <c r="B829" t="str">
        <f>IF(YLE成绩库!AB329="","", YLE成绩库!AB329)</f>
        <v/>
      </c>
      <c r="C829" t="str">
        <f>IF(YLE成绩库!B329="","", YLE成绩库!B329)</f>
        <v/>
      </c>
      <c r="D829" t="str">
        <f>IF(YLE成绩库!D329="","", YLE成绩库!D329)</f>
        <v/>
      </c>
      <c r="E829" t="str">
        <f>IF(YLE成绩库!C329="","", YLE成绩库!L329)</f>
        <v/>
      </c>
      <c r="F829" t="str">
        <f>IF(YLE成绩库!C329="","", YLE成绩库!M329)</f>
        <v/>
      </c>
      <c r="G829" t="str">
        <f>IF(YLE成绩库!C329="","", YLE成绩库!N329)</f>
        <v/>
      </c>
      <c r="H829" t="str">
        <f>IF(YLE成绩库!C329="","", YLE成绩库!O329)</f>
        <v/>
      </c>
      <c r="I829" t="str">
        <f>IF(YLE成绩库!C329="","", YLE成绩库!P329)</f>
        <v/>
      </c>
      <c r="J829" t="str">
        <f>IF(YLE成绩库!C329="","", YLE成绩库!Q329)</f>
        <v/>
      </c>
      <c r="K829" t="str">
        <f>IF(YLE成绩库!C329="","", YLE成绩库!R329)</f>
        <v/>
      </c>
      <c r="L829" t="str">
        <f>IF(YLE成绩库!C329="","", YLE成绩库!U329)</f>
        <v/>
      </c>
      <c r="M829">
        <v>0</v>
      </c>
      <c r="N829">
        <v>0</v>
      </c>
      <c r="O829">
        <v>0</v>
      </c>
      <c r="P829" t="str">
        <f>IF(YLE成绩库!C329="","", YLE成绩库!D329)</f>
        <v/>
      </c>
      <c r="Q829" t="str">
        <f>IF(YLE成绩库!C329="","", YLE成绩库!E329)</f>
        <v/>
      </c>
      <c r="R829" t="str">
        <f>IF(YLE成绩库!C329="","", YLE成绩库!F329)</f>
        <v/>
      </c>
      <c r="S829" t="str">
        <f>IF(YLE成绩库!C329="","", YLE成绩库!G329)</f>
        <v/>
      </c>
      <c r="T829" t="str">
        <f>IF(YLE成绩库!C329="","", YLE成绩库!H329)</f>
        <v/>
      </c>
      <c r="U829" t="str">
        <f>IF(YLE成绩库!C329="","", YLE成绩库!K329)</f>
        <v/>
      </c>
      <c r="V829" t="str">
        <f>IF(YLE成绩库!C329="","", YLE成绩库!W329)</f>
        <v/>
      </c>
      <c r="W829" t="str">
        <f>IF(YLE成绩库!C329="","", YLE成绩库!X329)</f>
        <v/>
      </c>
      <c r="X829" t="str">
        <f>IF(YLE成绩库!C329="","", YLE成绩库!AA329)</f>
        <v/>
      </c>
      <c r="Z829" t="str">
        <f>IF(YLE成绩库!C329="","", YLE成绩库!Z329)</f>
        <v/>
      </c>
    </row>
    <row r="830" spans="1:26" x14ac:dyDescent="0.2">
      <c r="A830" t="str">
        <f>IF(YLE成绩库!C330="","", YLE成绩库!C330)</f>
        <v/>
      </c>
      <c r="B830" t="str">
        <f>IF(YLE成绩库!AB330="","", YLE成绩库!AB330)</f>
        <v/>
      </c>
      <c r="C830" t="str">
        <f>IF(YLE成绩库!B330="","", YLE成绩库!B330)</f>
        <v/>
      </c>
      <c r="D830" t="str">
        <f>IF(YLE成绩库!D330="","", YLE成绩库!D330)</f>
        <v/>
      </c>
      <c r="E830" t="str">
        <f>IF(YLE成绩库!C330="","", YLE成绩库!L330)</f>
        <v/>
      </c>
      <c r="F830" t="str">
        <f>IF(YLE成绩库!C330="","", YLE成绩库!M330)</f>
        <v/>
      </c>
      <c r="G830" t="str">
        <f>IF(YLE成绩库!C330="","", YLE成绩库!N330)</f>
        <v/>
      </c>
      <c r="H830" t="str">
        <f>IF(YLE成绩库!C330="","", YLE成绩库!O330)</f>
        <v/>
      </c>
      <c r="I830" t="str">
        <f>IF(YLE成绩库!C330="","", YLE成绩库!P330)</f>
        <v/>
      </c>
      <c r="J830" t="str">
        <f>IF(YLE成绩库!C330="","", YLE成绩库!Q330)</f>
        <v/>
      </c>
      <c r="K830" t="str">
        <f>IF(YLE成绩库!C330="","", YLE成绩库!R330)</f>
        <v/>
      </c>
      <c r="L830" t="str">
        <f>IF(YLE成绩库!C330="","", YLE成绩库!U330)</f>
        <v/>
      </c>
      <c r="M830">
        <v>0</v>
      </c>
      <c r="N830">
        <v>0</v>
      </c>
      <c r="O830">
        <v>0</v>
      </c>
      <c r="P830" t="str">
        <f>IF(YLE成绩库!C330="","", YLE成绩库!D330)</f>
        <v/>
      </c>
      <c r="Q830" t="str">
        <f>IF(YLE成绩库!C330="","", YLE成绩库!E330)</f>
        <v/>
      </c>
      <c r="R830" t="str">
        <f>IF(YLE成绩库!C330="","", YLE成绩库!F330)</f>
        <v/>
      </c>
      <c r="S830" t="str">
        <f>IF(YLE成绩库!C330="","", YLE成绩库!G330)</f>
        <v/>
      </c>
      <c r="T830" t="str">
        <f>IF(YLE成绩库!C330="","", YLE成绩库!H330)</f>
        <v/>
      </c>
      <c r="U830" t="str">
        <f>IF(YLE成绩库!C330="","", YLE成绩库!K330)</f>
        <v/>
      </c>
      <c r="V830" t="str">
        <f>IF(YLE成绩库!C330="","", YLE成绩库!W330)</f>
        <v/>
      </c>
      <c r="W830" t="str">
        <f>IF(YLE成绩库!C330="","", YLE成绩库!X330)</f>
        <v/>
      </c>
      <c r="X830" t="str">
        <f>IF(YLE成绩库!C330="","", YLE成绩库!AA330)</f>
        <v/>
      </c>
      <c r="Z830" t="str">
        <f>IF(YLE成绩库!C330="","", YLE成绩库!Z330)</f>
        <v/>
      </c>
    </row>
    <row r="831" spans="1:26" x14ac:dyDescent="0.2">
      <c r="A831" t="str">
        <f>IF(YLE成绩库!C331="","", YLE成绩库!C331)</f>
        <v/>
      </c>
      <c r="B831" t="str">
        <f>IF(YLE成绩库!AB331="","", YLE成绩库!AB331)</f>
        <v/>
      </c>
      <c r="C831" t="str">
        <f>IF(YLE成绩库!B331="","", YLE成绩库!B331)</f>
        <v/>
      </c>
      <c r="D831" t="str">
        <f>IF(YLE成绩库!D331="","", YLE成绩库!D331)</f>
        <v/>
      </c>
      <c r="E831" t="str">
        <f>IF(YLE成绩库!C331="","", YLE成绩库!L331)</f>
        <v/>
      </c>
      <c r="F831" t="str">
        <f>IF(YLE成绩库!C331="","", YLE成绩库!M331)</f>
        <v/>
      </c>
      <c r="G831" t="str">
        <f>IF(YLE成绩库!C331="","", YLE成绩库!N331)</f>
        <v/>
      </c>
      <c r="H831" t="str">
        <f>IF(YLE成绩库!C331="","", YLE成绩库!O331)</f>
        <v/>
      </c>
      <c r="I831" t="str">
        <f>IF(YLE成绩库!C331="","", YLE成绩库!P331)</f>
        <v/>
      </c>
      <c r="J831" t="str">
        <f>IF(YLE成绩库!C331="","", YLE成绩库!Q331)</f>
        <v/>
      </c>
      <c r="K831" t="str">
        <f>IF(YLE成绩库!C331="","", YLE成绩库!R331)</f>
        <v/>
      </c>
      <c r="L831" t="str">
        <f>IF(YLE成绩库!C331="","", YLE成绩库!U331)</f>
        <v/>
      </c>
      <c r="M831">
        <v>0</v>
      </c>
      <c r="N831">
        <v>0</v>
      </c>
      <c r="O831">
        <v>0</v>
      </c>
      <c r="P831" t="str">
        <f>IF(YLE成绩库!C331="","", YLE成绩库!D331)</f>
        <v/>
      </c>
      <c r="Q831" t="str">
        <f>IF(YLE成绩库!C331="","", YLE成绩库!E331)</f>
        <v/>
      </c>
      <c r="R831" t="str">
        <f>IF(YLE成绩库!C331="","", YLE成绩库!F331)</f>
        <v/>
      </c>
      <c r="S831" t="str">
        <f>IF(YLE成绩库!C331="","", YLE成绩库!G331)</f>
        <v/>
      </c>
      <c r="T831" t="str">
        <f>IF(YLE成绩库!C331="","", YLE成绩库!H331)</f>
        <v/>
      </c>
      <c r="U831" t="str">
        <f>IF(YLE成绩库!C331="","", YLE成绩库!K331)</f>
        <v/>
      </c>
      <c r="V831" t="str">
        <f>IF(YLE成绩库!C331="","", YLE成绩库!W331)</f>
        <v/>
      </c>
      <c r="W831" t="str">
        <f>IF(YLE成绩库!C331="","", YLE成绩库!X331)</f>
        <v/>
      </c>
      <c r="X831" t="str">
        <f>IF(YLE成绩库!C331="","", YLE成绩库!AA331)</f>
        <v/>
      </c>
      <c r="Z831" t="str">
        <f>IF(YLE成绩库!C331="","", YLE成绩库!Z331)</f>
        <v/>
      </c>
    </row>
    <row r="832" spans="1:26" x14ac:dyDescent="0.2">
      <c r="A832" t="str">
        <f>IF(YLE成绩库!C332="","", YLE成绩库!C332)</f>
        <v/>
      </c>
      <c r="B832" t="str">
        <f>IF(YLE成绩库!AB332="","", YLE成绩库!AB332)</f>
        <v/>
      </c>
      <c r="C832" t="str">
        <f>IF(YLE成绩库!B332="","", YLE成绩库!B332)</f>
        <v/>
      </c>
      <c r="D832" t="str">
        <f>IF(YLE成绩库!D332="","", YLE成绩库!D332)</f>
        <v/>
      </c>
      <c r="E832" t="str">
        <f>IF(YLE成绩库!C332="","", YLE成绩库!L332)</f>
        <v/>
      </c>
      <c r="F832" t="str">
        <f>IF(YLE成绩库!C332="","", YLE成绩库!M332)</f>
        <v/>
      </c>
      <c r="G832" t="str">
        <f>IF(YLE成绩库!C332="","", YLE成绩库!N332)</f>
        <v/>
      </c>
      <c r="H832" t="str">
        <f>IF(YLE成绩库!C332="","", YLE成绩库!O332)</f>
        <v/>
      </c>
      <c r="I832" t="str">
        <f>IF(YLE成绩库!C332="","", YLE成绩库!P332)</f>
        <v/>
      </c>
      <c r="J832" t="str">
        <f>IF(YLE成绩库!C332="","", YLE成绩库!Q332)</f>
        <v/>
      </c>
      <c r="K832" t="str">
        <f>IF(YLE成绩库!C332="","", YLE成绩库!R332)</f>
        <v/>
      </c>
      <c r="L832" t="str">
        <f>IF(YLE成绩库!C332="","", YLE成绩库!U332)</f>
        <v/>
      </c>
      <c r="M832">
        <v>0</v>
      </c>
      <c r="N832">
        <v>0</v>
      </c>
      <c r="O832">
        <v>0</v>
      </c>
      <c r="P832" t="str">
        <f>IF(YLE成绩库!C332="","", YLE成绩库!D332)</f>
        <v/>
      </c>
      <c r="Q832" t="str">
        <f>IF(YLE成绩库!C332="","", YLE成绩库!E332)</f>
        <v/>
      </c>
      <c r="R832" t="str">
        <f>IF(YLE成绩库!C332="","", YLE成绩库!F332)</f>
        <v/>
      </c>
      <c r="S832" t="str">
        <f>IF(YLE成绩库!C332="","", YLE成绩库!G332)</f>
        <v/>
      </c>
      <c r="T832" t="str">
        <f>IF(YLE成绩库!C332="","", YLE成绩库!H332)</f>
        <v/>
      </c>
      <c r="U832" t="str">
        <f>IF(YLE成绩库!C332="","", YLE成绩库!K332)</f>
        <v/>
      </c>
      <c r="V832" t="str">
        <f>IF(YLE成绩库!C332="","", YLE成绩库!W332)</f>
        <v/>
      </c>
      <c r="W832" t="str">
        <f>IF(YLE成绩库!C332="","", YLE成绩库!X332)</f>
        <v/>
      </c>
      <c r="X832" t="str">
        <f>IF(YLE成绩库!C332="","", YLE成绩库!AA332)</f>
        <v/>
      </c>
      <c r="Z832" t="str">
        <f>IF(YLE成绩库!C332="","", YLE成绩库!Z332)</f>
        <v/>
      </c>
    </row>
    <row r="833" spans="1:26" x14ac:dyDescent="0.2">
      <c r="A833" t="str">
        <f>IF(YLE成绩库!C333="","", YLE成绩库!C333)</f>
        <v/>
      </c>
      <c r="B833" t="str">
        <f>IF(YLE成绩库!AB333="","", YLE成绩库!AB333)</f>
        <v/>
      </c>
      <c r="C833" t="str">
        <f>IF(YLE成绩库!B333="","", YLE成绩库!B333)</f>
        <v/>
      </c>
      <c r="D833" t="str">
        <f>IF(YLE成绩库!D333="","", YLE成绩库!D333)</f>
        <v/>
      </c>
      <c r="E833" t="str">
        <f>IF(YLE成绩库!C333="","", YLE成绩库!L333)</f>
        <v/>
      </c>
      <c r="F833" t="str">
        <f>IF(YLE成绩库!C333="","", YLE成绩库!M333)</f>
        <v/>
      </c>
      <c r="G833" t="str">
        <f>IF(YLE成绩库!C333="","", YLE成绩库!N333)</f>
        <v/>
      </c>
      <c r="H833" t="str">
        <f>IF(YLE成绩库!C333="","", YLE成绩库!O333)</f>
        <v/>
      </c>
      <c r="I833" t="str">
        <f>IF(YLE成绩库!C333="","", YLE成绩库!P333)</f>
        <v/>
      </c>
      <c r="J833" t="str">
        <f>IF(YLE成绩库!C333="","", YLE成绩库!Q333)</f>
        <v/>
      </c>
      <c r="K833" t="str">
        <f>IF(YLE成绩库!C333="","", YLE成绩库!R333)</f>
        <v/>
      </c>
      <c r="L833" t="str">
        <f>IF(YLE成绩库!C333="","", YLE成绩库!U333)</f>
        <v/>
      </c>
      <c r="M833">
        <v>0</v>
      </c>
      <c r="N833">
        <v>0</v>
      </c>
      <c r="O833">
        <v>0</v>
      </c>
      <c r="P833" t="str">
        <f>IF(YLE成绩库!C333="","", YLE成绩库!D333)</f>
        <v/>
      </c>
      <c r="Q833" t="str">
        <f>IF(YLE成绩库!C333="","", YLE成绩库!E333)</f>
        <v/>
      </c>
      <c r="R833" t="str">
        <f>IF(YLE成绩库!C333="","", YLE成绩库!F333)</f>
        <v/>
      </c>
      <c r="S833" t="str">
        <f>IF(YLE成绩库!C333="","", YLE成绩库!G333)</f>
        <v/>
      </c>
      <c r="T833" t="str">
        <f>IF(YLE成绩库!C333="","", YLE成绩库!H333)</f>
        <v/>
      </c>
      <c r="U833" t="str">
        <f>IF(YLE成绩库!C333="","", YLE成绩库!K333)</f>
        <v/>
      </c>
      <c r="V833" t="str">
        <f>IF(YLE成绩库!C333="","", YLE成绩库!W333)</f>
        <v/>
      </c>
      <c r="W833" t="str">
        <f>IF(YLE成绩库!C333="","", YLE成绩库!X333)</f>
        <v/>
      </c>
      <c r="X833" t="str">
        <f>IF(YLE成绩库!C333="","", YLE成绩库!AA333)</f>
        <v/>
      </c>
      <c r="Z833" t="str">
        <f>IF(YLE成绩库!C333="","", YLE成绩库!Z333)</f>
        <v/>
      </c>
    </row>
    <row r="834" spans="1:26" x14ac:dyDescent="0.2">
      <c r="A834" t="str">
        <f>IF(YLE成绩库!C334="","", YLE成绩库!C334)</f>
        <v/>
      </c>
      <c r="B834" t="str">
        <f>IF(YLE成绩库!AB334="","", YLE成绩库!AB334)</f>
        <v/>
      </c>
      <c r="C834" t="str">
        <f>IF(YLE成绩库!B334="","", YLE成绩库!B334)</f>
        <v/>
      </c>
      <c r="D834" t="str">
        <f>IF(YLE成绩库!D334="","", YLE成绩库!D334)</f>
        <v/>
      </c>
      <c r="E834" t="str">
        <f>IF(YLE成绩库!C334="","", YLE成绩库!L334)</f>
        <v/>
      </c>
      <c r="F834" t="str">
        <f>IF(YLE成绩库!C334="","", YLE成绩库!M334)</f>
        <v/>
      </c>
      <c r="G834" t="str">
        <f>IF(YLE成绩库!C334="","", YLE成绩库!N334)</f>
        <v/>
      </c>
      <c r="H834" t="str">
        <f>IF(YLE成绩库!C334="","", YLE成绩库!O334)</f>
        <v/>
      </c>
      <c r="I834" t="str">
        <f>IF(YLE成绩库!C334="","", YLE成绩库!P334)</f>
        <v/>
      </c>
      <c r="J834" t="str">
        <f>IF(YLE成绩库!C334="","", YLE成绩库!Q334)</f>
        <v/>
      </c>
      <c r="K834" t="str">
        <f>IF(YLE成绩库!C334="","", YLE成绩库!R334)</f>
        <v/>
      </c>
      <c r="L834" t="str">
        <f>IF(YLE成绩库!C334="","", YLE成绩库!U334)</f>
        <v/>
      </c>
      <c r="M834">
        <v>0</v>
      </c>
      <c r="N834">
        <v>0</v>
      </c>
      <c r="O834">
        <v>0</v>
      </c>
      <c r="P834" t="str">
        <f>IF(YLE成绩库!C334="","", YLE成绩库!D334)</f>
        <v/>
      </c>
      <c r="Q834" t="str">
        <f>IF(YLE成绩库!C334="","", YLE成绩库!E334)</f>
        <v/>
      </c>
      <c r="R834" t="str">
        <f>IF(YLE成绩库!C334="","", YLE成绩库!F334)</f>
        <v/>
      </c>
      <c r="S834" t="str">
        <f>IF(YLE成绩库!C334="","", YLE成绩库!G334)</f>
        <v/>
      </c>
      <c r="T834" t="str">
        <f>IF(YLE成绩库!C334="","", YLE成绩库!H334)</f>
        <v/>
      </c>
      <c r="U834" t="str">
        <f>IF(YLE成绩库!C334="","", YLE成绩库!K334)</f>
        <v/>
      </c>
      <c r="V834" t="str">
        <f>IF(YLE成绩库!C334="","", YLE成绩库!W334)</f>
        <v/>
      </c>
      <c r="W834" t="str">
        <f>IF(YLE成绩库!C334="","", YLE成绩库!X334)</f>
        <v/>
      </c>
      <c r="X834" t="str">
        <f>IF(YLE成绩库!C334="","", YLE成绩库!AA334)</f>
        <v/>
      </c>
      <c r="Z834" t="str">
        <f>IF(YLE成绩库!C334="","", YLE成绩库!Z334)</f>
        <v/>
      </c>
    </row>
    <row r="835" spans="1:26" x14ac:dyDescent="0.2">
      <c r="A835" t="str">
        <f>IF(YLE成绩库!C335="","", YLE成绩库!C335)</f>
        <v/>
      </c>
      <c r="B835" t="str">
        <f>IF(YLE成绩库!AB335="","", YLE成绩库!AB335)</f>
        <v/>
      </c>
      <c r="C835" t="str">
        <f>IF(YLE成绩库!B335="","", YLE成绩库!B335)</f>
        <v/>
      </c>
      <c r="D835" t="str">
        <f>IF(YLE成绩库!D335="","", YLE成绩库!D335)</f>
        <v/>
      </c>
      <c r="E835" t="str">
        <f>IF(YLE成绩库!C335="","", YLE成绩库!L335)</f>
        <v/>
      </c>
      <c r="F835" t="str">
        <f>IF(YLE成绩库!C335="","", YLE成绩库!M335)</f>
        <v/>
      </c>
      <c r="G835" t="str">
        <f>IF(YLE成绩库!C335="","", YLE成绩库!N335)</f>
        <v/>
      </c>
      <c r="H835" t="str">
        <f>IF(YLE成绩库!C335="","", YLE成绩库!O335)</f>
        <v/>
      </c>
      <c r="I835" t="str">
        <f>IF(YLE成绩库!C335="","", YLE成绩库!P335)</f>
        <v/>
      </c>
      <c r="J835" t="str">
        <f>IF(YLE成绩库!C335="","", YLE成绩库!Q335)</f>
        <v/>
      </c>
      <c r="K835" t="str">
        <f>IF(YLE成绩库!C335="","", YLE成绩库!R335)</f>
        <v/>
      </c>
      <c r="L835" t="str">
        <f>IF(YLE成绩库!C335="","", YLE成绩库!U335)</f>
        <v/>
      </c>
      <c r="M835">
        <v>0</v>
      </c>
      <c r="N835">
        <v>0</v>
      </c>
      <c r="O835">
        <v>0</v>
      </c>
      <c r="P835" t="str">
        <f>IF(YLE成绩库!C335="","", YLE成绩库!D335)</f>
        <v/>
      </c>
      <c r="Q835" t="str">
        <f>IF(YLE成绩库!C335="","", YLE成绩库!E335)</f>
        <v/>
      </c>
      <c r="R835" t="str">
        <f>IF(YLE成绩库!C335="","", YLE成绩库!F335)</f>
        <v/>
      </c>
      <c r="S835" t="str">
        <f>IF(YLE成绩库!C335="","", YLE成绩库!G335)</f>
        <v/>
      </c>
      <c r="T835" t="str">
        <f>IF(YLE成绩库!C335="","", YLE成绩库!H335)</f>
        <v/>
      </c>
      <c r="U835" t="str">
        <f>IF(YLE成绩库!C335="","", YLE成绩库!K335)</f>
        <v/>
      </c>
      <c r="V835" t="str">
        <f>IF(YLE成绩库!C335="","", YLE成绩库!W335)</f>
        <v/>
      </c>
      <c r="W835" t="str">
        <f>IF(YLE成绩库!C335="","", YLE成绩库!X335)</f>
        <v/>
      </c>
      <c r="X835" t="str">
        <f>IF(YLE成绩库!C335="","", YLE成绩库!AA335)</f>
        <v/>
      </c>
      <c r="Z835" t="str">
        <f>IF(YLE成绩库!C335="","", YLE成绩库!Z335)</f>
        <v/>
      </c>
    </row>
    <row r="836" spans="1:26" x14ac:dyDescent="0.2">
      <c r="A836" t="str">
        <f>IF(YLE成绩库!C336="","", YLE成绩库!C336)</f>
        <v/>
      </c>
      <c r="B836" t="str">
        <f>IF(YLE成绩库!AB336="","", YLE成绩库!AB336)</f>
        <v/>
      </c>
      <c r="C836" t="str">
        <f>IF(YLE成绩库!B336="","", YLE成绩库!B336)</f>
        <v/>
      </c>
      <c r="D836" t="str">
        <f>IF(YLE成绩库!D336="","", YLE成绩库!D336)</f>
        <v/>
      </c>
      <c r="E836" t="str">
        <f>IF(YLE成绩库!C336="","", YLE成绩库!L336)</f>
        <v/>
      </c>
      <c r="F836" t="str">
        <f>IF(YLE成绩库!C336="","", YLE成绩库!M336)</f>
        <v/>
      </c>
      <c r="G836" t="str">
        <f>IF(YLE成绩库!C336="","", YLE成绩库!N336)</f>
        <v/>
      </c>
      <c r="H836" t="str">
        <f>IF(YLE成绩库!C336="","", YLE成绩库!O336)</f>
        <v/>
      </c>
      <c r="I836" t="str">
        <f>IF(YLE成绩库!C336="","", YLE成绩库!P336)</f>
        <v/>
      </c>
      <c r="J836" t="str">
        <f>IF(YLE成绩库!C336="","", YLE成绩库!Q336)</f>
        <v/>
      </c>
      <c r="K836" t="str">
        <f>IF(YLE成绩库!C336="","", YLE成绩库!R336)</f>
        <v/>
      </c>
      <c r="L836" t="str">
        <f>IF(YLE成绩库!C336="","", YLE成绩库!U336)</f>
        <v/>
      </c>
      <c r="M836">
        <v>0</v>
      </c>
      <c r="N836">
        <v>0</v>
      </c>
      <c r="O836">
        <v>0</v>
      </c>
      <c r="P836" t="str">
        <f>IF(YLE成绩库!C336="","", YLE成绩库!D336)</f>
        <v/>
      </c>
      <c r="Q836" t="str">
        <f>IF(YLE成绩库!C336="","", YLE成绩库!E336)</f>
        <v/>
      </c>
      <c r="R836" t="str">
        <f>IF(YLE成绩库!C336="","", YLE成绩库!F336)</f>
        <v/>
      </c>
      <c r="S836" t="str">
        <f>IF(YLE成绩库!C336="","", YLE成绩库!G336)</f>
        <v/>
      </c>
      <c r="T836" t="str">
        <f>IF(YLE成绩库!C336="","", YLE成绩库!H336)</f>
        <v/>
      </c>
      <c r="U836" t="str">
        <f>IF(YLE成绩库!C336="","", YLE成绩库!K336)</f>
        <v/>
      </c>
      <c r="V836" t="str">
        <f>IF(YLE成绩库!C336="","", YLE成绩库!W336)</f>
        <v/>
      </c>
      <c r="W836" t="str">
        <f>IF(YLE成绩库!C336="","", YLE成绩库!X336)</f>
        <v/>
      </c>
      <c r="X836" t="str">
        <f>IF(YLE成绩库!C336="","", YLE成绩库!AA336)</f>
        <v/>
      </c>
      <c r="Z836" t="str">
        <f>IF(YLE成绩库!C336="","", YLE成绩库!Z336)</f>
        <v/>
      </c>
    </row>
    <row r="837" spans="1:26" x14ac:dyDescent="0.2">
      <c r="A837" t="str">
        <f>IF(YLE成绩库!C337="","", YLE成绩库!C337)</f>
        <v/>
      </c>
      <c r="B837" t="str">
        <f>IF(YLE成绩库!AB337="","", YLE成绩库!AB337)</f>
        <v/>
      </c>
      <c r="C837" t="str">
        <f>IF(YLE成绩库!B337="","", YLE成绩库!B337)</f>
        <v/>
      </c>
      <c r="D837" t="str">
        <f>IF(YLE成绩库!D337="","", YLE成绩库!D337)</f>
        <v/>
      </c>
      <c r="E837" t="str">
        <f>IF(YLE成绩库!C337="","", YLE成绩库!L337)</f>
        <v/>
      </c>
      <c r="F837" t="str">
        <f>IF(YLE成绩库!C337="","", YLE成绩库!M337)</f>
        <v/>
      </c>
      <c r="G837" t="str">
        <f>IF(YLE成绩库!C337="","", YLE成绩库!N337)</f>
        <v/>
      </c>
      <c r="H837" t="str">
        <f>IF(YLE成绩库!C337="","", YLE成绩库!O337)</f>
        <v/>
      </c>
      <c r="I837" t="str">
        <f>IF(YLE成绩库!C337="","", YLE成绩库!P337)</f>
        <v/>
      </c>
      <c r="J837" t="str">
        <f>IF(YLE成绩库!C337="","", YLE成绩库!Q337)</f>
        <v/>
      </c>
      <c r="K837" t="str">
        <f>IF(YLE成绩库!C337="","", YLE成绩库!R337)</f>
        <v/>
      </c>
      <c r="L837" t="str">
        <f>IF(YLE成绩库!C337="","", YLE成绩库!U337)</f>
        <v/>
      </c>
      <c r="M837">
        <v>0</v>
      </c>
      <c r="N837">
        <v>0</v>
      </c>
      <c r="O837">
        <v>0</v>
      </c>
      <c r="P837" t="str">
        <f>IF(YLE成绩库!C337="","", YLE成绩库!D337)</f>
        <v/>
      </c>
      <c r="Q837" t="str">
        <f>IF(YLE成绩库!C337="","", YLE成绩库!E337)</f>
        <v/>
      </c>
      <c r="R837" t="str">
        <f>IF(YLE成绩库!C337="","", YLE成绩库!F337)</f>
        <v/>
      </c>
      <c r="S837" t="str">
        <f>IF(YLE成绩库!C337="","", YLE成绩库!G337)</f>
        <v/>
      </c>
      <c r="T837" t="str">
        <f>IF(YLE成绩库!C337="","", YLE成绩库!H337)</f>
        <v/>
      </c>
      <c r="U837" t="str">
        <f>IF(YLE成绩库!C337="","", YLE成绩库!K337)</f>
        <v/>
      </c>
      <c r="V837" t="str">
        <f>IF(YLE成绩库!C337="","", YLE成绩库!W337)</f>
        <v/>
      </c>
      <c r="W837" t="str">
        <f>IF(YLE成绩库!C337="","", YLE成绩库!X337)</f>
        <v/>
      </c>
      <c r="X837" t="str">
        <f>IF(YLE成绩库!C337="","", YLE成绩库!AA337)</f>
        <v/>
      </c>
      <c r="Z837" t="str">
        <f>IF(YLE成绩库!C337="","", YLE成绩库!Z337)</f>
        <v/>
      </c>
    </row>
    <row r="838" spans="1:26" x14ac:dyDescent="0.2">
      <c r="A838" t="str">
        <f>IF(YLE成绩库!C338="","", YLE成绩库!C338)</f>
        <v/>
      </c>
      <c r="B838" t="str">
        <f>IF(YLE成绩库!AB338="","", YLE成绩库!AB338)</f>
        <v/>
      </c>
      <c r="C838" t="str">
        <f>IF(YLE成绩库!B338="","", YLE成绩库!B338)</f>
        <v/>
      </c>
      <c r="D838" t="str">
        <f>IF(YLE成绩库!D338="","", YLE成绩库!D338)</f>
        <v/>
      </c>
      <c r="E838" t="str">
        <f>IF(YLE成绩库!C338="","", YLE成绩库!L338)</f>
        <v/>
      </c>
      <c r="F838" t="str">
        <f>IF(YLE成绩库!C338="","", YLE成绩库!M338)</f>
        <v/>
      </c>
      <c r="G838" t="str">
        <f>IF(YLE成绩库!C338="","", YLE成绩库!N338)</f>
        <v/>
      </c>
      <c r="H838" t="str">
        <f>IF(YLE成绩库!C338="","", YLE成绩库!O338)</f>
        <v/>
      </c>
      <c r="I838" t="str">
        <f>IF(YLE成绩库!C338="","", YLE成绩库!P338)</f>
        <v/>
      </c>
      <c r="J838" t="str">
        <f>IF(YLE成绩库!C338="","", YLE成绩库!Q338)</f>
        <v/>
      </c>
      <c r="K838" t="str">
        <f>IF(YLE成绩库!C338="","", YLE成绩库!R338)</f>
        <v/>
      </c>
      <c r="L838" t="str">
        <f>IF(YLE成绩库!C338="","", YLE成绩库!U338)</f>
        <v/>
      </c>
      <c r="M838">
        <v>0</v>
      </c>
      <c r="N838">
        <v>0</v>
      </c>
      <c r="O838">
        <v>0</v>
      </c>
      <c r="P838" t="str">
        <f>IF(YLE成绩库!C338="","", YLE成绩库!D338)</f>
        <v/>
      </c>
      <c r="Q838" t="str">
        <f>IF(YLE成绩库!C338="","", YLE成绩库!E338)</f>
        <v/>
      </c>
      <c r="R838" t="str">
        <f>IF(YLE成绩库!C338="","", YLE成绩库!F338)</f>
        <v/>
      </c>
      <c r="S838" t="str">
        <f>IF(YLE成绩库!C338="","", YLE成绩库!G338)</f>
        <v/>
      </c>
      <c r="T838" t="str">
        <f>IF(YLE成绩库!C338="","", YLE成绩库!H338)</f>
        <v/>
      </c>
      <c r="U838" t="str">
        <f>IF(YLE成绩库!C338="","", YLE成绩库!K338)</f>
        <v/>
      </c>
      <c r="V838" t="str">
        <f>IF(YLE成绩库!C338="","", YLE成绩库!W338)</f>
        <v/>
      </c>
      <c r="W838" t="str">
        <f>IF(YLE成绩库!C338="","", YLE成绩库!X338)</f>
        <v/>
      </c>
      <c r="X838" t="str">
        <f>IF(YLE成绩库!C338="","", YLE成绩库!AA338)</f>
        <v/>
      </c>
      <c r="Z838" t="str">
        <f>IF(YLE成绩库!C338="","", YLE成绩库!Z338)</f>
        <v/>
      </c>
    </row>
    <row r="839" spans="1:26" x14ac:dyDescent="0.2">
      <c r="A839" t="str">
        <f>IF(YLE成绩库!C339="","", YLE成绩库!C339)</f>
        <v/>
      </c>
      <c r="B839" t="str">
        <f>IF(YLE成绩库!AB339="","", YLE成绩库!AB339)</f>
        <v/>
      </c>
      <c r="C839" t="str">
        <f>IF(YLE成绩库!B339="","", YLE成绩库!B339)</f>
        <v/>
      </c>
      <c r="D839" t="str">
        <f>IF(YLE成绩库!D339="","", YLE成绩库!D339)</f>
        <v/>
      </c>
      <c r="E839" t="str">
        <f>IF(YLE成绩库!C339="","", YLE成绩库!L339)</f>
        <v/>
      </c>
      <c r="F839" t="str">
        <f>IF(YLE成绩库!C339="","", YLE成绩库!M339)</f>
        <v/>
      </c>
      <c r="G839" t="str">
        <f>IF(YLE成绩库!C339="","", YLE成绩库!N339)</f>
        <v/>
      </c>
      <c r="H839" t="str">
        <f>IF(YLE成绩库!C339="","", YLE成绩库!O339)</f>
        <v/>
      </c>
      <c r="I839" t="str">
        <f>IF(YLE成绩库!C339="","", YLE成绩库!P339)</f>
        <v/>
      </c>
      <c r="J839" t="str">
        <f>IF(YLE成绩库!C339="","", YLE成绩库!Q339)</f>
        <v/>
      </c>
      <c r="K839" t="str">
        <f>IF(YLE成绩库!C339="","", YLE成绩库!R339)</f>
        <v/>
      </c>
      <c r="L839" t="str">
        <f>IF(YLE成绩库!C339="","", YLE成绩库!U339)</f>
        <v/>
      </c>
      <c r="M839">
        <v>0</v>
      </c>
      <c r="N839">
        <v>0</v>
      </c>
      <c r="O839">
        <v>0</v>
      </c>
      <c r="P839" t="str">
        <f>IF(YLE成绩库!C339="","", YLE成绩库!D339)</f>
        <v/>
      </c>
      <c r="Q839" t="str">
        <f>IF(YLE成绩库!C339="","", YLE成绩库!E339)</f>
        <v/>
      </c>
      <c r="R839" t="str">
        <f>IF(YLE成绩库!C339="","", YLE成绩库!F339)</f>
        <v/>
      </c>
      <c r="S839" t="str">
        <f>IF(YLE成绩库!C339="","", YLE成绩库!G339)</f>
        <v/>
      </c>
      <c r="T839" t="str">
        <f>IF(YLE成绩库!C339="","", YLE成绩库!H339)</f>
        <v/>
      </c>
      <c r="U839" t="str">
        <f>IF(YLE成绩库!C339="","", YLE成绩库!K339)</f>
        <v/>
      </c>
      <c r="V839" t="str">
        <f>IF(YLE成绩库!C339="","", YLE成绩库!W339)</f>
        <v/>
      </c>
      <c r="W839" t="str">
        <f>IF(YLE成绩库!C339="","", YLE成绩库!X339)</f>
        <v/>
      </c>
      <c r="X839" t="str">
        <f>IF(YLE成绩库!C339="","", YLE成绩库!AA339)</f>
        <v/>
      </c>
      <c r="Z839" t="str">
        <f>IF(YLE成绩库!C339="","", YLE成绩库!Z339)</f>
        <v/>
      </c>
    </row>
    <row r="840" spans="1:26" x14ac:dyDescent="0.2">
      <c r="A840" t="str">
        <f>IF(YLE成绩库!C340="","", YLE成绩库!C340)</f>
        <v/>
      </c>
      <c r="B840" t="str">
        <f>IF(YLE成绩库!AB340="","", YLE成绩库!AB340)</f>
        <v/>
      </c>
      <c r="C840" t="str">
        <f>IF(YLE成绩库!B340="","", YLE成绩库!B340)</f>
        <v/>
      </c>
      <c r="D840" t="str">
        <f>IF(YLE成绩库!D340="","", YLE成绩库!D340)</f>
        <v/>
      </c>
      <c r="E840" t="str">
        <f>IF(YLE成绩库!C340="","", YLE成绩库!L340)</f>
        <v/>
      </c>
      <c r="F840" t="str">
        <f>IF(YLE成绩库!C340="","", YLE成绩库!M340)</f>
        <v/>
      </c>
      <c r="G840" t="str">
        <f>IF(YLE成绩库!C340="","", YLE成绩库!N340)</f>
        <v/>
      </c>
      <c r="H840" t="str">
        <f>IF(YLE成绩库!C340="","", YLE成绩库!O340)</f>
        <v/>
      </c>
      <c r="I840" t="str">
        <f>IF(YLE成绩库!C340="","", YLE成绩库!P340)</f>
        <v/>
      </c>
      <c r="J840" t="str">
        <f>IF(YLE成绩库!C340="","", YLE成绩库!Q340)</f>
        <v/>
      </c>
      <c r="K840" t="str">
        <f>IF(YLE成绩库!C340="","", YLE成绩库!R340)</f>
        <v/>
      </c>
      <c r="L840" t="str">
        <f>IF(YLE成绩库!C340="","", YLE成绩库!U340)</f>
        <v/>
      </c>
      <c r="M840">
        <v>0</v>
      </c>
      <c r="N840">
        <v>0</v>
      </c>
      <c r="O840">
        <v>0</v>
      </c>
      <c r="P840" t="str">
        <f>IF(YLE成绩库!C340="","", YLE成绩库!D340)</f>
        <v/>
      </c>
      <c r="Q840" t="str">
        <f>IF(YLE成绩库!C340="","", YLE成绩库!E340)</f>
        <v/>
      </c>
      <c r="R840" t="str">
        <f>IF(YLE成绩库!C340="","", YLE成绩库!F340)</f>
        <v/>
      </c>
      <c r="S840" t="str">
        <f>IF(YLE成绩库!C340="","", YLE成绩库!G340)</f>
        <v/>
      </c>
      <c r="T840" t="str">
        <f>IF(YLE成绩库!C340="","", YLE成绩库!H340)</f>
        <v/>
      </c>
      <c r="U840" t="str">
        <f>IF(YLE成绩库!C340="","", YLE成绩库!K340)</f>
        <v/>
      </c>
      <c r="V840" t="str">
        <f>IF(YLE成绩库!C340="","", YLE成绩库!W340)</f>
        <v/>
      </c>
      <c r="W840" t="str">
        <f>IF(YLE成绩库!C340="","", YLE成绩库!X340)</f>
        <v/>
      </c>
      <c r="X840" t="str">
        <f>IF(YLE成绩库!C340="","", YLE成绩库!AA340)</f>
        <v/>
      </c>
      <c r="Z840" t="str">
        <f>IF(YLE成绩库!C340="","", YLE成绩库!Z340)</f>
        <v/>
      </c>
    </row>
    <row r="841" spans="1:26" x14ac:dyDescent="0.2">
      <c r="A841" t="str">
        <f>IF(YLE成绩库!C341="","", YLE成绩库!C341)</f>
        <v/>
      </c>
      <c r="B841" t="str">
        <f>IF(YLE成绩库!AB341="","", YLE成绩库!AB341)</f>
        <v/>
      </c>
      <c r="C841" t="str">
        <f>IF(YLE成绩库!B341="","", YLE成绩库!B341)</f>
        <v/>
      </c>
      <c r="D841" t="str">
        <f>IF(YLE成绩库!D341="","", YLE成绩库!D341)</f>
        <v/>
      </c>
      <c r="E841" t="str">
        <f>IF(YLE成绩库!C341="","", YLE成绩库!L341)</f>
        <v/>
      </c>
      <c r="F841" t="str">
        <f>IF(YLE成绩库!C341="","", YLE成绩库!M341)</f>
        <v/>
      </c>
      <c r="G841" t="str">
        <f>IF(YLE成绩库!C341="","", YLE成绩库!N341)</f>
        <v/>
      </c>
      <c r="H841" t="str">
        <f>IF(YLE成绩库!C341="","", YLE成绩库!O341)</f>
        <v/>
      </c>
      <c r="I841" t="str">
        <f>IF(YLE成绩库!C341="","", YLE成绩库!P341)</f>
        <v/>
      </c>
      <c r="J841" t="str">
        <f>IF(YLE成绩库!C341="","", YLE成绩库!Q341)</f>
        <v/>
      </c>
      <c r="K841" t="str">
        <f>IF(YLE成绩库!C341="","", YLE成绩库!R341)</f>
        <v/>
      </c>
      <c r="L841" t="str">
        <f>IF(YLE成绩库!C341="","", YLE成绩库!U341)</f>
        <v/>
      </c>
      <c r="M841">
        <v>0</v>
      </c>
      <c r="N841">
        <v>0</v>
      </c>
      <c r="O841">
        <v>0</v>
      </c>
      <c r="P841" t="str">
        <f>IF(YLE成绩库!C341="","", YLE成绩库!D341)</f>
        <v/>
      </c>
      <c r="Q841" t="str">
        <f>IF(YLE成绩库!C341="","", YLE成绩库!E341)</f>
        <v/>
      </c>
      <c r="R841" t="str">
        <f>IF(YLE成绩库!C341="","", YLE成绩库!F341)</f>
        <v/>
      </c>
      <c r="S841" t="str">
        <f>IF(YLE成绩库!C341="","", YLE成绩库!G341)</f>
        <v/>
      </c>
      <c r="T841" t="str">
        <f>IF(YLE成绩库!C341="","", YLE成绩库!H341)</f>
        <v/>
      </c>
      <c r="U841" t="str">
        <f>IF(YLE成绩库!C341="","", YLE成绩库!K341)</f>
        <v/>
      </c>
      <c r="V841" t="str">
        <f>IF(YLE成绩库!C341="","", YLE成绩库!W341)</f>
        <v/>
      </c>
      <c r="W841" t="str">
        <f>IF(YLE成绩库!C341="","", YLE成绩库!X341)</f>
        <v/>
      </c>
      <c r="X841" t="str">
        <f>IF(YLE成绩库!C341="","", YLE成绩库!AA341)</f>
        <v/>
      </c>
      <c r="Z841" t="str">
        <f>IF(YLE成绩库!C341="","", YLE成绩库!Z341)</f>
        <v/>
      </c>
    </row>
    <row r="842" spans="1:26" x14ac:dyDescent="0.2">
      <c r="A842" t="str">
        <f>IF(YLE成绩库!C342="","", YLE成绩库!C342)</f>
        <v/>
      </c>
      <c r="B842" t="str">
        <f>IF(YLE成绩库!AB342="","", YLE成绩库!AB342)</f>
        <v/>
      </c>
      <c r="C842" t="str">
        <f>IF(YLE成绩库!B342="","", YLE成绩库!B342)</f>
        <v/>
      </c>
      <c r="D842" t="str">
        <f>IF(YLE成绩库!D342="","", YLE成绩库!D342)</f>
        <v/>
      </c>
      <c r="E842" t="str">
        <f>IF(YLE成绩库!C342="","", YLE成绩库!L342)</f>
        <v/>
      </c>
      <c r="F842" t="str">
        <f>IF(YLE成绩库!C342="","", YLE成绩库!M342)</f>
        <v/>
      </c>
      <c r="G842" t="str">
        <f>IF(YLE成绩库!C342="","", YLE成绩库!N342)</f>
        <v/>
      </c>
      <c r="H842" t="str">
        <f>IF(YLE成绩库!C342="","", YLE成绩库!O342)</f>
        <v/>
      </c>
      <c r="I842" t="str">
        <f>IF(YLE成绩库!C342="","", YLE成绩库!P342)</f>
        <v/>
      </c>
      <c r="J842" t="str">
        <f>IF(YLE成绩库!C342="","", YLE成绩库!Q342)</f>
        <v/>
      </c>
      <c r="K842" t="str">
        <f>IF(YLE成绩库!C342="","", YLE成绩库!R342)</f>
        <v/>
      </c>
      <c r="L842" t="str">
        <f>IF(YLE成绩库!C342="","", YLE成绩库!U342)</f>
        <v/>
      </c>
      <c r="M842">
        <v>0</v>
      </c>
      <c r="N842">
        <v>0</v>
      </c>
      <c r="O842">
        <v>0</v>
      </c>
      <c r="P842" t="str">
        <f>IF(YLE成绩库!C342="","", YLE成绩库!D342)</f>
        <v/>
      </c>
      <c r="Q842" t="str">
        <f>IF(YLE成绩库!C342="","", YLE成绩库!E342)</f>
        <v/>
      </c>
      <c r="R842" t="str">
        <f>IF(YLE成绩库!C342="","", YLE成绩库!F342)</f>
        <v/>
      </c>
      <c r="S842" t="str">
        <f>IF(YLE成绩库!C342="","", YLE成绩库!G342)</f>
        <v/>
      </c>
      <c r="T842" t="str">
        <f>IF(YLE成绩库!C342="","", YLE成绩库!H342)</f>
        <v/>
      </c>
      <c r="U842" t="str">
        <f>IF(YLE成绩库!C342="","", YLE成绩库!K342)</f>
        <v/>
      </c>
      <c r="V842" t="str">
        <f>IF(YLE成绩库!C342="","", YLE成绩库!W342)</f>
        <v/>
      </c>
      <c r="W842" t="str">
        <f>IF(YLE成绩库!C342="","", YLE成绩库!X342)</f>
        <v/>
      </c>
      <c r="X842" t="str">
        <f>IF(YLE成绩库!C342="","", YLE成绩库!AA342)</f>
        <v/>
      </c>
      <c r="Z842" t="str">
        <f>IF(YLE成绩库!C342="","", YLE成绩库!Z342)</f>
        <v/>
      </c>
    </row>
    <row r="843" spans="1:26" x14ac:dyDescent="0.2">
      <c r="A843" t="str">
        <f>IF(YLE成绩库!C343="","", YLE成绩库!C343)</f>
        <v/>
      </c>
      <c r="B843" t="str">
        <f>IF(YLE成绩库!AB343="","", YLE成绩库!AB343)</f>
        <v/>
      </c>
      <c r="C843" t="str">
        <f>IF(YLE成绩库!B343="","", YLE成绩库!B343)</f>
        <v/>
      </c>
      <c r="D843" t="str">
        <f>IF(YLE成绩库!D343="","", YLE成绩库!D343)</f>
        <v/>
      </c>
      <c r="E843" t="str">
        <f>IF(YLE成绩库!C343="","", YLE成绩库!L343)</f>
        <v/>
      </c>
      <c r="F843" t="str">
        <f>IF(YLE成绩库!C343="","", YLE成绩库!M343)</f>
        <v/>
      </c>
      <c r="G843" t="str">
        <f>IF(YLE成绩库!C343="","", YLE成绩库!N343)</f>
        <v/>
      </c>
      <c r="H843" t="str">
        <f>IF(YLE成绩库!C343="","", YLE成绩库!O343)</f>
        <v/>
      </c>
      <c r="I843" t="str">
        <f>IF(YLE成绩库!C343="","", YLE成绩库!P343)</f>
        <v/>
      </c>
      <c r="J843" t="str">
        <f>IF(YLE成绩库!C343="","", YLE成绩库!Q343)</f>
        <v/>
      </c>
      <c r="K843" t="str">
        <f>IF(YLE成绩库!C343="","", YLE成绩库!R343)</f>
        <v/>
      </c>
      <c r="L843" t="str">
        <f>IF(YLE成绩库!C343="","", YLE成绩库!U343)</f>
        <v/>
      </c>
      <c r="M843">
        <v>0</v>
      </c>
      <c r="N843">
        <v>0</v>
      </c>
      <c r="O843">
        <v>0</v>
      </c>
      <c r="P843" t="str">
        <f>IF(YLE成绩库!C343="","", YLE成绩库!D343)</f>
        <v/>
      </c>
      <c r="Q843" t="str">
        <f>IF(YLE成绩库!C343="","", YLE成绩库!E343)</f>
        <v/>
      </c>
      <c r="R843" t="str">
        <f>IF(YLE成绩库!C343="","", YLE成绩库!F343)</f>
        <v/>
      </c>
      <c r="S843" t="str">
        <f>IF(YLE成绩库!C343="","", YLE成绩库!G343)</f>
        <v/>
      </c>
      <c r="T843" t="str">
        <f>IF(YLE成绩库!C343="","", YLE成绩库!H343)</f>
        <v/>
      </c>
      <c r="U843" t="str">
        <f>IF(YLE成绩库!C343="","", YLE成绩库!K343)</f>
        <v/>
      </c>
      <c r="V843" t="str">
        <f>IF(YLE成绩库!C343="","", YLE成绩库!W343)</f>
        <v/>
      </c>
      <c r="W843" t="str">
        <f>IF(YLE成绩库!C343="","", YLE成绩库!X343)</f>
        <v/>
      </c>
      <c r="X843" t="str">
        <f>IF(YLE成绩库!C343="","", YLE成绩库!AA343)</f>
        <v/>
      </c>
      <c r="Z843" t="str">
        <f>IF(YLE成绩库!C343="","", YLE成绩库!Z343)</f>
        <v/>
      </c>
    </row>
    <row r="844" spans="1:26" x14ac:dyDescent="0.2">
      <c r="A844" t="str">
        <f>IF(YLE成绩库!C344="","", YLE成绩库!C344)</f>
        <v/>
      </c>
      <c r="B844" t="str">
        <f>IF(YLE成绩库!AB344="","", YLE成绩库!AB344)</f>
        <v/>
      </c>
      <c r="C844" t="str">
        <f>IF(YLE成绩库!B344="","", YLE成绩库!B344)</f>
        <v/>
      </c>
      <c r="D844" t="str">
        <f>IF(YLE成绩库!D344="","", YLE成绩库!D344)</f>
        <v/>
      </c>
      <c r="E844" t="str">
        <f>IF(YLE成绩库!C344="","", YLE成绩库!L344)</f>
        <v/>
      </c>
      <c r="F844" t="str">
        <f>IF(YLE成绩库!C344="","", YLE成绩库!M344)</f>
        <v/>
      </c>
      <c r="G844" t="str">
        <f>IF(YLE成绩库!C344="","", YLE成绩库!N344)</f>
        <v/>
      </c>
      <c r="H844" t="str">
        <f>IF(YLE成绩库!C344="","", YLE成绩库!O344)</f>
        <v/>
      </c>
      <c r="I844" t="str">
        <f>IF(YLE成绩库!C344="","", YLE成绩库!P344)</f>
        <v/>
      </c>
      <c r="J844" t="str">
        <f>IF(YLE成绩库!C344="","", YLE成绩库!Q344)</f>
        <v/>
      </c>
      <c r="K844" t="str">
        <f>IF(YLE成绩库!C344="","", YLE成绩库!R344)</f>
        <v/>
      </c>
      <c r="L844" t="str">
        <f>IF(YLE成绩库!C344="","", YLE成绩库!U344)</f>
        <v/>
      </c>
      <c r="M844">
        <v>0</v>
      </c>
      <c r="N844">
        <v>0</v>
      </c>
      <c r="O844">
        <v>0</v>
      </c>
      <c r="P844" t="str">
        <f>IF(YLE成绩库!C344="","", YLE成绩库!D344)</f>
        <v/>
      </c>
      <c r="Q844" t="str">
        <f>IF(YLE成绩库!C344="","", YLE成绩库!E344)</f>
        <v/>
      </c>
      <c r="R844" t="str">
        <f>IF(YLE成绩库!C344="","", YLE成绩库!F344)</f>
        <v/>
      </c>
      <c r="S844" t="str">
        <f>IF(YLE成绩库!C344="","", YLE成绩库!G344)</f>
        <v/>
      </c>
      <c r="T844" t="str">
        <f>IF(YLE成绩库!C344="","", YLE成绩库!H344)</f>
        <v/>
      </c>
      <c r="U844" t="str">
        <f>IF(YLE成绩库!C344="","", YLE成绩库!K344)</f>
        <v/>
      </c>
      <c r="V844" t="str">
        <f>IF(YLE成绩库!C344="","", YLE成绩库!W344)</f>
        <v/>
      </c>
      <c r="W844" t="str">
        <f>IF(YLE成绩库!C344="","", YLE成绩库!X344)</f>
        <v/>
      </c>
      <c r="X844" t="str">
        <f>IF(YLE成绩库!C344="","", YLE成绩库!AA344)</f>
        <v/>
      </c>
      <c r="Z844" t="str">
        <f>IF(YLE成绩库!C344="","", YLE成绩库!Z344)</f>
        <v/>
      </c>
    </row>
    <row r="845" spans="1:26" x14ac:dyDescent="0.2">
      <c r="A845" t="str">
        <f>IF(YLE成绩库!C345="","", YLE成绩库!C345)</f>
        <v/>
      </c>
      <c r="B845" t="str">
        <f>IF(YLE成绩库!AB345="","", YLE成绩库!AB345)</f>
        <v/>
      </c>
      <c r="C845" t="str">
        <f>IF(YLE成绩库!B345="","", YLE成绩库!B345)</f>
        <v/>
      </c>
      <c r="D845" t="str">
        <f>IF(YLE成绩库!D345="","", YLE成绩库!D345)</f>
        <v/>
      </c>
      <c r="E845" t="str">
        <f>IF(YLE成绩库!C345="","", YLE成绩库!L345)</f>
        <v/>
      </c>
      <c r="F845" t="str">
        <f>IF(YLE成绩库!C345="","", YLE成绩库!M345)</f>
        <v/>
      </c>
      <c r="G845" t="str">
        <f>IF(YLE成绩库!C345="","", YLE成绩库!N345)</f>
        <v/>
      </c>
      <c r="H845" t="str">
        <f>IF(YLE成绩库!C345="","", YLE成绩库!O345)</f>
        <v/>
      </c>
      <c r="I845" t="str">
        <f>IF(YLE成绩库!C345="","", YLE成绩库!P345)</f>
        <v/>
      </c>
      <c r="J845" t="str">
        <f>IF(YLE成绩库!C345="","", YLE成绩库!Q345)</f>
        <v/>
      </c>
      <c r="K845" t="str">
        <f>IF(YLE成绩库!C345="","", YLE成绩库!R345)</f>
        <v/>
      </c>
      <c r="L845" t="str">
        <f>IF(YLE成绩库!C345="","", YLE成绩库!U345)</f>
        <v/>
      </c>
      <c r="M845">
        <v>0</v>
      </c>
      <c r="N845">
        <v>0</v>
      </c>
      <c r="O845">
        <v>0</v>
      </c>
      <c r="P845" t="str">
        <f>IF(YLE成绩库!C345="","", YLE成绩库!D345)</f>
        <v/>
      </c>
      <c r="Q845" t="str">
        <f>IF(YLE成绩库!C345="","", YLE成绩库!E345)</f>
        <v/>
      </c>
      <c r="R845" t="str">
        <f>IF(YLE成绩库!C345="","", YLE成绩库!F345)</f>
        <v/>
      </c>
      <c r="S845" t="str">
        <f>IF(YLE成绩库!C345="","", YLE成绩库!G345)</f>
        <v/>
      </c>
      <c r="T845" t="str">
        <f>IF(YLE成绩库!C345="","", YLE成绩库!H345)</f>
        <v/>
      </c>
      <c r="U845" t="str">
        <f>IF(YLE成绩库!C345="","", YLE成绩库!K345)</f>
        <v/>
      </c>
      <c r="V845" t="str">
        <f>IF(YLE成绩库!C345="","", YLE成绩库!W345)</f>
        <v/>
      </c>
      <c r="W845" t="str">
        <f>IF(YLE成绩库!C345="","", YLE成绩库!X345)</f>
        <v/>
      </c>
      <c r="X845" t="str">
        <f>IF(YLE成绩库!C345="","", YLE成绩库!AA345)</f>
        <v/>
      </c>
      <c r="Z845" t="str">
        <f>IF(YLE成绩库!C345="","", YLE成绩库!Z345)</f>
        <v/>
      </c>
    </row>
    <row r="846" spans="1:26" x14ac:dyDescent="0.2">
      <c r="A846" t="str">
        <f>IF(YLE成绩库!C346="","", YLE成绩库!C346)</f>
        <v/>
      </c>
      <c r="B846" t="str">
        <f>IF(YLE成绩库!AB346="","", YLE成绩库!AB346)</f>
        <v/>
      </c>
      <c r="C846" t="str">
        <f>IF(YLE成绩库!B346="","", YLE成绩库!B346)</f>
        <v/>
      </c>
      <c r="D846" t="str">
        <f>IF(YLE成绩库!D346="","", YLE成绩库!D346)</f>
        <v/>
      </c>
      <c r="E846" t="str">
        <f>IF(YLE成绩库!C346="","", YLE成绩库!L346)</f>
        <v/>
      </c>
      <c r="F846" t="str">
        <f>IF(YLE成绩库!C346="","", YLE成绩库!M346)</f>
        <v/>
      </c>
      <c r="G846" t="str">
        <f>IF(YLE成绩库!C346="","", YLE成绩库!N346)</f>
        <v/>
      </c>
      <c r="H846" t="str">
        <f>IF(YLE成绩库!C346="","", YLE成绩库!O346)</f>
        <v/>
      </c>
      <c r="I846" t="str">
        <f>IF(YLE成绩库!C346="","", YLE成绩库!P346)</f>
        <v/>
      </c>
      <c r="J846" t="str">
        <f>IF(YLE成绩库!C346="","", YLE成绩库!Q346)</f>
        <v/>
      </c>
      <c r="K846" t="str">
        <f>IF(YLE成绩库!C346="","", YLE成绩库!R346)</f>
        <v/>
      </c>
      <c r="L846" t="str">
        <f>IF(YLE成绩库!C346="","", YLE成绩库!U346)</f>
        <v/>
      </c>
      <c r="M846">
        <v>0</v>
      </c>
      <c r="N846">
        <v>0</v>
      </c>
      <c r="O846">
        <v>0</v>
      </c>
      <c r="P846" t="str">
        <f>IF(YLE成绩库!C346="","", YLE成绩库!D346)</f>
        <v/>
      </c>
      <c r="Q846" t="str">
        <f>IF(YLE成绩库!C346="","", YLE成绩库!E346)</f>
        <v/>
      </c>
      <c r="R846" t="str">
        <f>IF(YLE成绩库!C346="","", YLE成绩库!F346)</f>
        <v/>
      </c>
      <c r="S846" t="str">
        <f>IF(YLE成绩库!C346="","", YLE成绩库!G346)</f>
        <v/>
      </c>
      <c r="T846" t="str">
        <f>IF(YLE成绩库!C346="","", YLE成绩库!H346)</f>
        <v/>
      </c>
      <c r="U846" t="str">
        <f>IF(YLE成绩库!C346="","", YLE成绩库!K346)</f>
        <v/>
      </c>
      <c r="V846" t="str">
        <f>IF(YLE成绩库!C346="","", YLE成绩库!W346)</f>
        <v/>
      </c>
      <c r="W846" t="str">
        <f>IF(YLE成绩库!C346="","", YLE成绩库!X346)</f>
        <v/>
      </c>
      <c r="X846" t="str">
        <f>IF(YLE成绩库!C346="","", YLE成绩库!AA346)</f>
        <v/>
      </c>
      <c r="Z846" t="str">
        <f>IF(YLE成绩库!C346="","", YLE成绩库!Z346)</f>
        <v/>
      </c>
    </row>
    <row r="847" spans="1:26" x14ac:dyDescent="0.2">
      <c r="A847" t="str">
        <f>IF(YLE成绩库!C347="","", YLE成绩库!C347)</f>
        <v/>
      </c>
      <c r="B847" t="str">
        <f>IF(YLE成绩库!AB347="","", YLE成绩库!AB347)</f>
        <v/>
      </c>
      <c r="C847" t="str">
        <f>IF(YLE成绩库!B347="","", YLE成绩库!B347)</f>
        <v/>
      </c>
      <c r="D847" t="str">
        <f>IF(YLE成绩库!D347="","", YLE成绩库!D347)</f>
        <v/>
      </c>
      <c r="E847" t="str">
        <f>IF(YLE成绩库!C347="","", YLE成绩库!L347)</f>
        <v/>
      </c>
      <c r="F847" t="str">
        <f>IF(YLE成绩库!C347="","", YLE成绩库!M347)</f>
        <v/>
      </c>
      <c r="G847" t="str">
        <f>IF(YLE成绩库!C347="","", YLE成绩库!N347)</f>
        <v/>
      </c>
      <c r="H847" t="str">
        <f>IF(YLE成绩库!C347="","", YLE成绩库!O347)</f>
        <v/>
      </c>
      <c r="I847" t="str">
        <f>IF(YLE成绩库!C347="","", YLE成绩库!P347)</f>
        <v/>
      </c>
      <c r="J847" t="str">
        <f>IF(YLE成绩库!C347="","", YLE成绩库!Q347)</f>
        <v/>
      </c>
      <c r="K847" t="str">
        <f>IF(YLE成绩库!C347="","", YLE成绩库!R347)</f>
        <v/>
      </c>
      <c r="L847" t="str">
        <f>IF(YLE成绩库!C347="","", YLE成绩库!U347)</f>
        <v/>
      </c>
      <c r="M847">
        <v>0</v>
      </c>
      <c r="N847">
        <v>0</v>
      </c>
      <c r="O847">
        <v>0</v>
      </c>
      <c r="P847" t="str">
        <f>IF(YLE成绩库!C347="","", YLE成绩库!D347)</f>
        <v/>
      </c>
      <c r="Q847" t="str">
        <f>IF(YLE成绩库!C347="","", YLE成绩库!E347)</f>
        <v/>
      </c>
      <c r="R847" t="str">
        <f>IF(YLE成绩库!C347="","", YLE成绩库!F347)</f>
        <v/>
      </c>
      <c r="S847" t="str">
        <f>IF(YLE成绩库!C347="","", YLE成绩库!G347)</f>
        <v/>
      </c>
      <c r="T847" t="str">
        <f>IF(YLE成绩库!C347="","", YLE成绩库!H347)</f>
        <v/>
      </c>
      <c r="U847" t="str">
        <f>IF(YLE成绩库!C347="","", YLE成绩库!K347)</f>
        <v/>
      </c>
      <c r="V847" t="str">
        <f>IF(YLE成绩库!C347="","", YLE成绩库!W347)</f>
        <v/>
      </c>
      <c r="W847" t="str">
        <f>IF(YLE成绩库!C347="","", YLE成绩库!X347)</f>
        <v/>
      </c>
      <c r="X847" t="str">
        <f>IF(YLE成绩库!C347="","", YLE成绩库!AA347)</f>
        <v/>
      </c>
      <c r="Z847" t="str">
        <f>IF(YLE成绩库!C347="","", YLE成绩库!Z347)</f>
        <v/>
      </c>
    </row>
    <row r="848" spans="1:26" x14ac:dyDescent="0.2">
      <c r="A848" t="str">
        <f>IF(YLE成绩库!C348="","", YLE成绩库!C348)</f>
        <v/>
      </c>
      <c r="B848" t="str">
        <f>IF(YLE成绩库!AB348="","", YLE成绩库!AB348)</f>
        <v/>
      </c>
      <c r="C848" t="str">
        <f>IF(YLE成绩库!B348="","", YLE成绩库!B348)</f>
        <v/>
      </c>
      <c r="D848" t="str">
        <f>IF(YLE成绩库!D348="","", YLE成绩库!D348)</f>
        <v/>
      </c>
      <c r="E848" t="str">
        <f>IF(YLE成绩库!C348="","", YLE成绩库!L348)</f>
        <v/>
      </c>
      <c r="F848" t="str">
        <f>IF(YLE成绩库!C348="","", YLE成绩库!M348)</f>
        <v/>
      </c>
      <c r="G848" t="str">
        <f>IF(YLE成绩库!C348="","", YLE成绩库!N348)</f>
        <v/>
      </c>
      <c r="H848" t="str">
        <f>IF(YLE成绩库!C348="","", YLE成绩库!O348)</f>
        <v/>
      </c>
      <c r="I848" t="str">
        <f>IF(YLE成绩库!C348="","", YLE成绩库!P348)</f>
        <v/>
      </c>
      <c r="J848" t="str">
        <f>IF(YLE成绩库!C348="","", YLE成绩库!Q348)</f>
        <v/>
      </c>
      <c r="K848" t="str">
        <f>IF(YLE成绩库!C348="","", YLE成绩库!R348)</f>
        <v/>
      </c>
      <c r="L848" t="str">
        <f>IF(YLE成绩库!C348="","", YLE成绩库!U348)</f>
        <v/>
      </c>
      <c r="M848">
        <v>0</v>
      </c>
      <c r="N848">
        <v>0</v>
      </c>
      <c r="O848">
        <v>0</v>
      </c>
      <c r="P848" t="str">
        <f>IF(YLE成绩库!C348="","", YLE成绩库!D348)</f>
        <v/>
      </c>
      <c r="Q848" t="str">
        <f>IF(YLE成绩库!C348="","", YLE成绩库!E348)</f>
        <v/>
      </c>
      <c r="R848" t="str">
        <f>IF(YLE成绩库!C348="","", YLE成绩库!F348)</f>
        <v/>
      </c>
      <c r="S848" t="str">
        <f>IF(YLE成绩库!C348="","", YLE成绩库!G348)</f>
        <v/>
      </c>
      <c r="T848" t="str">
        <f>IF(YLE成绩库!C348="","", YLE成绩库!H348)</f>
        <v/>
      </c>
      <c r="U848" t="str">
        <f>IF(YLE成绩库!C348="","", YLE成绩库!K348)</f>
        <v/>
      </c>
      <c r="V848" t="str">
        <f>IF(YLE成绩库!C348="","", YLE成绩库!W348)</f>
        <v/>
      </c>
      <c r="W848" t="str">
        <f>IF(YLE成绩库!C348="","", YLE成绩库!X348)</f>
        <v/>
      </c>
      <c r="X848" t="str">
        <f>IF(YLE成绩库!C348="","", YLE成绩库!AA348)</f>
        <v/>
      </c>
      <c r="Z848" t="str">
        <f>IF(YLE成绩库!C348="","", YLE成绩库!Z348)</f>
        <v/>
      </c>
    </row>
    <row r="849" spans="1:26" x14ac:dyDescent="0.2">
      <c r="A849" t="str">
        <f>IF(YLE成绩库!C349="","", YLE成绩库!C349)</f>
        <v/>
      </c>
      <c r="B849" t="str">
        <f>IF(YLE成绩库!AB349="","", YLE成绩库!AB349)</f>
        <v/>
      </c>
      <c r="C849" t="str">
        <f>IF(YLE成绩库!B349="","", YLE成绩库!B349)</f>
        <v/>
      </c>
      <c r="D849" t="str">
        <f>IF(YLE成绩库!D349="","", YLE成绩库!D349)</f>
        <v/>
      </c>
      <c r="E849" t="str">
        <f>IF(YLE成绩库!C349="","", YLE成绩库!L349)</f>
        <v/>
      </c>
      <c r="F849" t="str">
        <f>IF(YLE成绩库!C349="","", YLE成绩库!M349)</f>
        <v/>
      </c>
      <c r="G849" t="str">
        <f>IF(YLE成绩库!C349="","", YLE成绩库!N349)</f>
        <v/>
      </c>
      <c r="H849" t="str">
        <f>IF(YLE成绩库!C349="","", YLE成绩库!O349)</f>
        <v/>
      </c>
      <c r="I849" t="str">
        <f>IF(YLE成绩库!C349="","", YLE成绩库!P349)</f>
        <v/>
      </c>
      <c r="J849" t="str">
        <f>IF(YLE成绩库!C349="","", YLE成绩库!Q349)</f>
        <v/>
      </c>
      <c r="K849" t="str">
        <f>IF(YLE成绩库!C349="","", YLE成绩库!R349)</f>
        <v/>
      </c>
      <c r="L849" t="str">
        <f>IF(YLE成绩库!C349="","", YLE成绩库!U349)</f>
        <v/>
      </c>
      <c r="M849">
        <v>0</v>
      </c>
      <c r="N849">
        <v>0</v>
      </c>
      <c r="O849">
        <v>0</v>
      </c>
      <c r="P849" t="str">
        <f>IF(YLE成绩库!C349="","", YLE成绩库!D349)</f>
        <v/>
      </c>
      <c r="Q849" t="str">
        <f>IF(YLE成绩库!C349="","", YLE成绩库!E349)</f>
        <v/>
      </c>
      <c r="R849" t="str">
        <f>IF(YLE成绩库!C349="","", YLE成绩库!F349)</f>
        <v/>
      </c>
      <c r="S849" t="str">
        <f>IF(YLE成绩库!C349="","", YLE成绩库!G349)</f>
        <v/>
      </c>
      <c r="T849" t="str">
        <f>IF(YLE成绩库!C349="","", YLE成绩库!H349)</f>
        <v/>
      </c>
      <c r="U849" t="str">
        <f>IF(YLE成绩库!C349="","", YLE成绩库!K349)</f>
        <v/>
      </c>
      <c r="V849" t="str">
        <f>IF(YLE成绩库!C349="","", YLE成绩库!W349)</f>
        <v/>
      </c>
      <c r="W849" t="str">
        <f>IF(YLE成绩库!C349="","", YLE成绩库!X349)</f>
        <v/>
      </c>
      <c r="X849" t="str">
        <f>IF(YLE成绩库!C349="","", YLE成绩库!AA349)</f>
        <v/>
      </c>
      <c r="Z849" t="str">
        <f>IF(YLE成绩库!C349="","", YLE成绩库!Z349)</f>
        <v/>
      </c>
    </row>
    <row r="850" spans="1:26" x14ac:dyDescent="0.2">
      <c r="A850" t="str">
        <f>IF(YLE成绩库!C350="","", YLE成绩库!C350)</f>
        <v/>
      </c>
      <c r="B850" t="str">
        <f>IF(YLE成绩库!AB350="","", YLE成绩库!AB350)</f>
        <v/>
      </c>
      <c r="C850" t="str">
        <f>IF(YLE成绩库!B350="","", YLE成绩库!B350)</f>
        <v/>
      </c>
      <c r="D850" t="str">
        <f>IF(YLE成绩库!D350="","", YLE成绩库!D350)</f>
        <v/>
      </c>
      <c r="E850" t="str">
        <f>IF(YLE成绩库!C350="","", YLE成绩库!L350)</f>
        <v/>
      </c>
      <c r="F850" t="str">
        <f>IF(YLE成绩库!C350="","", YLE成绩库!M350)</f>
        <v/>
      </c>
      <c r="G850" t="str">
        <f>IF(YLE成绩库!C350="","", YLE成绩库!N350)</f>
        <v/>
      </c>
      <c r="H850" t="str">
        <f>IF(YLE成绩库!C350="","", YLE成绩库!O350)</f>
        <v/>
      </c>
      <c r="I850" t="str">
        <f>IF(YLE成绩库!C350="","", YLE成绩库!P350)</f>
        <v/>
      </c>
      <c r="J850" t="str">
        <f>IF(YLE成绩库!C350="","", YLE成绩库!Q350)</f>
        <v/>
      </c>
      <c r="K850" t="str">
        <f>IF(YLE成绩库!C350="","", YLE成绩库!R350)</f>
        <v/>
      </c>
      <c r="L850" t="str">
        <f>IF(YLE成绩库!C350="","", YLE成绩库!U350)</f>
        <v/>
      </c>
      <c r="M850">
        <v>0</v>
      </c>
      <c r="N850">
        <v>0</v>
      </c>
      <c r="O850">
        <v>0</v>
      </c>
      <c r="P850" t="str">
        <f>IF(YLE成绩库!C350="","", YLE成绩库!D350)</f>
        <v/>
      </c>
      <c r="Q850" t="str">
        <f>IF(YLE成绩库!C350="","", YLE成绩库!E350)</f>
        <v/>
      </c>
      <c r="R850" t="str">
        <f>IF(YLE成绩库!C350="","", YLE成绩库!F350)</f>
        <v/>
      </c>
      <c r="S850" t="str">
        <f>IF(YLE成绩库!C350="","", YLE成绩库!G350)</f>
        <v/>
      </c>
      <c r="T850" t="str">
        <f>IF(YLE成绩库!C350="","", YLE成绩库!H350)</f>
        <v/>
      </c>
      <c r="U850" t="str">
        <f>IF(YLE成绩库!C350="","", YLE成绩库!K350)</f>
        <v/>
      </c>
      <c r="V850" t="str">
        <f>IF(YLE成绩库!C350="","", YLE成绩库!W350)</f>
        <v/>
      </c>
      <c r="W850" t="str">
        <f>IF(YLE成绩库!C350="","", YLE成绩库!X350)</f>
        <v/>
      </c>
      <c r="X850" t="str">
        <f>IF(YLE成绩库!C350="","", YLE成绩库!AA350)</f>
        <v/>
      </c>
      <c r="Z850" t="str">
        <f>IF(YLE成绩库!C350="","", YLE成绩库!Z350)</f>
        <v/>
      </c>
    </row>
    <row r="851" spans="1:26" x14ac:dyDescent="0.2">
      <c r="A851" t="str">
        <f>IF(YLE成绩库!C351="","", YLE成绩库!C351)</f>
        <v/>
      </c>
      <c r="B851" t="str">
        <f>IF(YLE成绩库!AB351="","", YLE成绩库!AB351)</f>
        <v/>
      </c>
      <c r="C851" t="str">
        <f>IF(YLE成绩库!B351="","", YLE成绩库!B351)</f>
        <v/>
      </c>
      <c r="D851" t="str">
        <f>IF(YLE成绩库!D351="","", YLE成绩库!D351)</f>
        <v/>
      </c>
      <c r="E851" t="str">
        <f>IF(YLE成绩库!C351="","", YLE成绩库!L351)</f>
        <v/>
      </c>
      <c r="F851" t="str">
        <f>IF(YLE成绩库!C351="","", YLE成绩库!M351)</f>
        <v/>
      </c>
      <c r="G851" t="str">
        <f>IF(YLE成绩库!C351="","", YLE成绩库!N351)</f>
        <v/>
      </c>
      <c r="H851" t="str">
        <f>IF(YLE成绩库!C351="","", YLE成绩库!O351)</f>
        <v/>
      </c>
      <c r="I851" t="str">
        <f>IF(YLE成绩库!C351="","", YLE成绩库!P351)</f>
        <v/>
      </c>
      <c r="J851" t="str">
        <f>IF(YLE成绩库!C351="","", YLE成绩库!Q351)</f>
        <v/>
      </c>
      <c r="K851" t="str">
        <f>IF(YLE成绩库!C351="","", YLE成绩库!R351)</f>
        <v/>
      </c>
      <c r="L851" t="str">
        <f>IF(YLE成绩库!C351="","", YLE成绩库!U351)</f>
        <v/>
      </c>
      <c r="M851">
        <v>0</v>
      </c>
      <c r="N851">
        <v>0</v>
      </c>
      <c r="O851">
        <v>0</v>
      </c>
      <c r="P851" t="str">
        <f>IF(YLE成绩库!C351="","", YLE成绩库!D351)</f>
        <v/>
      </c>
      <c r="Q851" t="str">
        <f>IF(YLE成绩库!C351="","", YLE成绩库!E351)</f>
        <v/>
      </c>
      <c r="R851" t="str">
        <f>IF(YLE成绩库!C351="","", YLE成绩库!F351)</f>
        <v/>
      </c>
      <c r="S851" t="str">
        <f>IF(YLE成绩库!C351="","", YLE成绩库!G351)</f>
        <v/>
      </c>
      <c r="T851" t="str">
        <f>IF(YLE成绩库!C351="","", YLE成绩库!H351)</f>
        <v/>
      </c>
      <c r="U851" t="str">
        <f>IF(YLE成绩库!C351="","", YLE成绩库!K351)</f>
        <v/>
      </c>
      <c r="V851" t="str">
        <f>IF(YLE成绩库!C351="","", YLE成绩库!W351)</f>
        <v/>
      </c>
      <c r="W851" t="str">
        <f>IF(YLE成绩库!C351="","", YLE成绩库!X351)</f>
        <v/>
      </c>
      <c r="X851" t="str">
        <f>IF(YLE成绩库!C351="","", YLE成绩库!AA351)</f>
        <v/>
      </c>
      <c r="Z851" t="str">
        <f>IF(YLE成绩库!C351="","", YLE成绩库!Z351)</f>
        <v/>
      </c>
    </row>
    <row r="852" spans="1:26" x14ac:dyDescent="0.2">
      <c r="A852" t="str">
        <f>IF(YLE成绩库!C352="","", YLE成绩库!C352)</f>
        <v/>
      </c>
      <c r="B852" t="str">
        <f>IF(YLE成绩库!AB352="","", YLE成绩库!AB352)</f>
        <v/>
      </c>
      <c r="C852" t="str">
        <f>IF(YLE成绩库!B352="","", YLE成绩库!B352)</f>
        <v/>
      </c>
      <c r="D852" t="str">
        <f>IF(YLE成绩库!D352="","", YLE成绩库!D352)</f>
        <v/>
      </c>
      <c r="E852" t="str">
        <f>IF(YLE成绩库!C352="","", YLE成绩库!L352)</f>
        <v/>
      </c>
      <c r="F852" t="str">
        <f>IF(YLE成绩库!C352="","", YLE成绩库!M352)</f>
        <v/>
      </c>
      <c r="G852" t="str">
        <f>IF(YLE成绩库!C352="","", YLE成绩库!N352)</f>
        <v/>
      </c>
      <c r="H852" t="str">
        <f>IF(YLE成绩库!C352="","", YLE成绩库!O352)</f>
        <v/>
      </c>
      <c r="I852" t="str">
        <f>IF(YLE成绩库!C352="","", YLE成绩库!P352)</f>
        <v/>
      </c>
      <c r="J852" t="str">
        <f>IF(YLE成绩库!C352="","", YLE成绩库!Q352)</f>
        <v/>
      </c>
      <c r="K852" t="str">
        <f>IF(YLE成绩库!C352="","", YLE成绩库!R352)</f>
        <v/>
      </c>
      <c r="L852" t="str">
        <f>IF(YLE成绩库!C352="","", YLE成绩库!U352)</f>
        <v/>
      </c>
      <c r="M852">
        <v>0</v>
      </c>
      <c r="N852">
        <v>0</v>
      </c>
      <c r="O852">
        <v>0</v>
      </c>
      <c r="P852" t="str">
        <f>IF(YLE成绩库!C352="","", YLE成绩库!D352)</f>
        <v/>
      </c>
      <c r="Q852" t="str">
        <f>IF(YLE成绩库!C352="","", YLE成绩库!E352)</f>
        <v/>
      </c>
      <c r="R852" t="str">
        <f>IF(YLE成绩库!C352="","", YLE成绩库!F352)</f>
        <v/>
      </c>
      <c r="S852" t="str">
        <f>IF(YLE成绩库!C352="","", YLE成绩库!G352)</f>
        <v/>
      </c>
      <c r="T852" t="str">
        <f>IF(YLE成绩库!C352="","", YLE成绩库!H352)</f>
        <v/>
      </c>
      <c r="U852" t="str">
        <f>IF(YLE成绩库!C352="","", YLE成绩库!K352)</f>
        <v/>
      </c>
      <c r="V852" t="str">
        <f>IF(YLE成绩库!C352="","", YLE成绩库!W352)</f>
        <v/>
      </c>
      <c r="W852" t="str">
        <f>IF(YLE成绩库!C352="","", YLE成绩库!X352)</f>
        <v/>
      </c>
      <c r="X852" t="str">
        <f>IF(YLE成绩库!C352="","", YLE成绩库!AA352)</f>
        <v/>
      </c>
      <c r="Z852" t="str">
        <f>IF(YLE成绩库!C352="","", YLE成绩库!Z352)</f>
        <v/>
      </c>
    </row>
    <row r="853" spans="1:26" x14ac:dyDescent="0.2">
      <c r="A853" t="str">
        <f>IF(YLE成绩库!C353="","", YLE成绩库!C353)</f>
        <v/>
      </c>
      <c r="B853" t="str">
        <f>IF(YLE成绩库!AB353="","", YLE成绩库!AB353)</f>
        <v/>
      </c>
      <c r="C853" t="str">
        <f>IF(YLE成绩库!B353="","", YLE成绩库!B353)</f>
        <v/>
      </c>
      <c r="D853" t="str">
        <f>IF(YLE成绩库!D353="","", YLE成绩库!D353)</f>
        <v/>
      </c>
      <c r="E853" t="str">
        <f>IF(YLE成绩库!C353="","", YLE成绩库!L353)</f>
        <v/>
      </c>
      <c r="F853" t="str">
        <f>IF(YLE成绩库!C353="","", YLE成绩库!M353)</f>
        <v/>
      </c>
      <c r="G853" t="str">
        <f>IF(YLE成绩库!C353="","", YLE成绩库!N353)</f>
        <v/>
      </c>
      <c r="H853" t="str">
        <f>IF(YLE成绩库!C353="","", YLE成绩库!O353)</f>
        <v/>
      </c>
      <c r="I853" t="str">
        <f>IF(YLE成绩库!C353="","", YLE成绩库!P353)</f>
        <v/>
      </c>
      <c r="J853" t="str">
        <f>IF(YLE成绩库!C353="","", YLE成绩库!Q353)</f>
        <v/>
      </c>
      <c r="K853" t="str">
        <f>IF(YLE成绩库!C353="","", YLE成绩库!R353)</f>
        <v/>
      </c>
      <c r="L853" t="str">
        <f>IF(YLE成绩库!C353="","", YLE成绩库!U353)</f>
        <v/>
      </c>
      <c r="M853">
        <v>0</v>
      </c>
      <c r="N853">
        <v>0</v>
      </c>
      <c r="O853">
        <v>0</v>
      </c>
      <c r="P853" t="str">
        <f>IF(YLE成绩库!C353="","", YLE成绩库!D353)</f>
        <v/>
      </c>
      <c r="Q853" t="str">
        <f>IF(YLE成绩库!C353="","", YLE成绩库!E353)</f>
        <v/>
      </c>
      <c r="R853" t="str">
        <f>IF(YLE成绩库!C353="","", YLE成绩库!F353)</f>
        <v/>
      </c>
      <c r="S853" t="str">
        <f>IF(YLE成绩库!C353="","", YLE成绩库!G353)</f>
        <v/>
      </c>
      <c r="T853" t="str">
        <f>IF(YLE成绩库!C353="","", YLE成绩库!H353)</f>
        <v/>
      </c>
      <c r="U853" t="str">
        <f>IF(YLE成绩库!C353="","", YLE成绩库!K353)</f>
        <v/>
      </c>
      <c r="V853" t="str">
        <f>IF(YLE成绩库!C353="","", YLE成绩库!W353)</f>
        <v/>
      </c>
      <c r="W853" t="str">
        <f>IF(YLE成绩库!C353="","", YLE成绩库!X353)</f>
        <v/>
      </c>
      <c r="X853" t="str">
        <f>IF(YLE成绩库!C353="","", YLE成绩库!AA353)</f>
        <v/>
      </c>
      <c r="Z853" t="str">
        <f>IF(YLE成绩库!C353="","", YLE成绩库!Z353)</f>
        <v/>
      </c>
    </row>
    <row r="854" spans="1:26" x14ac:dyDescent="0.2">
      <c r="A854" t="str">
        <f>IF(YLE成绩库!C354="","", YLE成绩库!C354)</f>
        <v/>
      </c>
      <c r="B854" t="str">
        <f>IF(YLE成绩库!AB354="","", YLE成绩库!AB354)</f>
        <v/>
      </c>
      <c r="C854" t="str">
        <f>IF(YLE成绩库!B354="","", YLE成绩库!B354)</f>
        <v/>
      </c>
      <c r="D854" t="str">
        <f>IF(YLE成绩库!D354="","", YLE成绩库!D354)</f>
        <v/>
      </c>
      <c r="E854" t="str">
        <f>IF(YLE成绩库!C354="","", YLE成绩库!L354)</f>
        <v/>
      </c>
      <c r="F854" t="str">
        <f>IF(YLE成绩库!C354="","", YLE成绩库!M354)</f>
        <v/>
      </c>
      <c r="G854" t="str">
        <f>IF(YLE成绩库!C354="","", YLE成绩库!N354)</f>
        <v/>
      </c>
      <c r="H854" t="str">
        <f>IF(YLE成绩库!C354="","", YLE成绩库!O354)</f>
        <v/>
      </c>
      <c r="I854" t="str">
        <f>IF(YLE成绩库!C354="","", YLE成绩库!P354)</f>
        <v/>
      </c>
      <c r="J854" t="str">
        <f>IF(YLE成绩库!C354="","", YLE成绩库!Q354)</f>
        <v/>
      </c>
      <c r="K854" t="str">
        <f>IF(YLE成绩库!C354="","", YLE成绩库!R354)</f>
        <v/>
      </c>
      <c r="L854" t="str">
        <f>IF(YLE成绩库!C354="","", YLE成绩库!U354)</f>
        <v/>
      </c>
      <c r="M854">
        <v>0</v>
      </c>
      <c r="N854">
        <v>0</v>
      </c>
      <c r="O854">
        <v>0</v>
      </c>
      <c r="P854" t="str">
        <f>IF(YLE成绩库!C354="","", YLE成绩库!D354)</f>
        <v/>
      </c>
      <c r="Q854" t="str">
        <f>IF(YLE成绩库!C354="","", YLE成绩库!E354)</f>
        <v/>
      </c>
      <c r="R854" t="str">
        <f>IF(YLE成绩库!C354="","", YLE成绩库!F354)</f>
        <v/>
      </c>
      <c r="S854" t="str">
        <f>IF(YLE成绩库!C354="","", YLE成绩库!G354)</f>
        <v/>
      </c>
      <c r="T854" t="str">
        <f>IF(YLE成绩库!C354="","", YLE成绩库!H354)</f>
        <v/>
      </c>
      <c r="U854" t="str">
        <f>IF(YLE成绩库!C354="","", YLE成绩库!K354)</f>
        <v/>
      </c>
      <c r="V854" t="str">
        <f>IF(YLE成绩库!C354="","", YLE成绩库!W354)</f>
        <v/>
      </c>
      <c r="W854" t="str">
        <f>IF(YLE成绩库!C354="","", YLE成绩库!X354)</f>
        <v/>
      </c>
      <c r="X854" t="str">
        <f>IF(YLE成绩库!C354="","", YLE成绩库!AA354)</f>
        <v/>
      </c>
      <c r="Z854" t="str">
        <f>IF(YLE成绩库!C354="","", YLE成绩库!Z354)</f>
        <v/>
      </c>
    </row>
    <row r="855" spans="1:26" x14ac:dyDescent="0.2">
      <c r="A855" t="str">
        <f>IF(YLE成绩库!C355="","", YLE成绩库!C355)</f>
        <v/>
      </c>
      <c r="B855" t="str">
        <f>IF(YLE成绩库!AB355="","", YLE成绩库!AB355)</f>
        <v/>
      </c>
      <c r="C855" t="str">
        <f>IF(YLE成绩库!B355="","", YLE成绩库!B355)</f>
        <v/>
      </c>
      <c r="D855" t="str">
        <f>IF(YLE成绩库!D355="","", YLE成绩库!D355)</f>
        <v/>
      </c>
      <c r="E855" t="str">
        <f>IF(YLE成绩库!C355="","", YLE成绩库!L355)</f>
        <v/>
      </c>
      <c r="F855" t="str">
        <f>IF(YLE成绩库!C355="","", YLE成绩库!M355)</f>
        <v/>
      </c>
      <c r="G855" t="str">
        <f>IF(YLE成绩库!C355="","", YLE成绩库!N355)</f>
        <v/>
      </c>
      <c r="H855" t="str">
        <f>IF(YLE成绩库!C355="","", YLE成绩库!O355)</f>
        <v/>
      </c>
      <c r="I855" t="str">
        <f>IF(YLE成绩库!C355="","", YLE成绩库!P355)</f>
        <v/>
      </c>
      <c r="J855" t="str">
        <f>IF(YLE成绩库!C355="","", YLE成绩库!Q355)</f>
        <v/>
      </c>
      <c r="K855" t="str">
        <f>IF(YLE成绩库!C355="","", YLE成绩库!R355)</f>
        <v/>
      </c>
      <c r="L855" t="str">
        <f>IF(YLE成绩库!C355="","", YLE成绩库!U355)</f>
        <v/>
      </c>
      <c r="M855">
        <v>0</v>
      </c>
      <c r="N855">
        <v>0</v>
      </c>
      <c r="O855">
        <v>0</v>
      </c>
      <c r="P855" t="str">
        <f>IF(YLE成绩库!C355="","", YLE成绩库!D355)</f>
        <v/>
      </c>
      <c r="Q855" t="str">
        <f>IF(YLE成绩库!C355="","", YLE成绩库!E355)</f>
        <v/>
      </c>
      <c r="R855" t="str">
        <f>IF(YLE成绩库!C355="","", YLE成绩库!F355)</f>
        <v/>
      </c>
      <c r="S855" t="str">
        <f>IF(YLE成绩库!C355="","", YLE成绩库!G355)</f>
        <v/>
      </c>
      <c r="T855" t="str">
        <f>IF(YLE成绩库!C355="","", YLE成绩库!H355)</f>
        <v/>
      </c>
      <c r="U855" t="str">
        <f>IF(YLE成绩库!C355="","", YLE成绩库!K355)</f>
        <v/>
      </c>
      <c r="V855" t="str">
        <f>IF(YLE成绩库!C355="","", YLE成绩库!W355)</f>
        <v/>
      </c>
      <c r="W855" t="str">
        <f>IF(YLE成绩库!C355="","", YLE成绩库!X355)</f>
        <v/>
      </c>
      <c r="X855" t="str">
        <f>IF(YLE成绩库!C355="","", YLE成绩库!AA355)</f>
        <v/>
      </c>
      <c r="Z855" t="str">
        <f>IF(YLE成绩库!C355="","", YLE成绩库!Z355)</f>
        <v/>
      </c>
    </row>
    <row r="856" spans="1:26" x14ac:dyDescent="0.2">
      <c r="A856" t="str">
        <f>IF(YLE成绩库!C356="","", YLE成绩库!C356)</f>
        <v/>
      </c>
      <c r="B856" t="str">
        <f>IF(YLE成绩库!AB356="","", YLE成绩库!AB356)</f>
        <v/>
      </c>
      <c r="C856" t="str">
        <f>IF(YLE成绩库!B356="","", YLE成绩库!B356)</f>
        <v/>
      </c>
      <c r="D856" t="str">
        <f>IF(YLE成绩库!D356="","", YLE成绩库!D356)</f>
        <v/>
      </c>
      <c r="E856" t="str">
        <f>IF(YLE成绩库!C356="","", YLE成绩库!L356)</f>
        <v/>
      </c>
      <c r="F856" t="str">
        <f>IF(YLE成绩库!C356="","", YLE成绩库!M356)</f>
        <v/>
      </c>
      <c r="G856" t="str">
        <f>IF(YLE成绩库!C356="","", YLE成绩库!N356)</f>
        <v/>
      </c>
      <c r="H856" t="str">
        <f>IF(YLE成绩库!C356="","", YLE成绩库!O356)</f>
        <v/>
      </c>
      <c r="I856" t="str">
        <f>IF(YLE成绩库!C356="","", YLE成绩库!P356)</f>
        <v/>
      </c>
      <c r="J856" t="str">
        <f>IF(YLE成绩库!C356="","", YLE成绩库!Q356)</f>
        <v/>
      </c>
      <c r="K856" t="str">
        <f>IF(YLE成绩库!C356="","", YLE成绩库!R356)</f>
        <v/>
      </c>
      <c r="L856" t="str">
        <f>IF(YLE成绩库!C356="","", YLE成绩库!U356)</f>
        <v/>
      </c>
      <c r="M856">
        <v>0</v>
      </c>
      <c r="N856">
        <v>0</v>
      </c>
      <c r="O856">
        <v>0</v>
      </c>
      <c r="P856" t="str">
        <f>IF(YLE成绩库!C356="","", YLE成绩库!D356)</f>
        <v/>
      </c>
      <c r="Q856" t="str">
        <f>IF(YLE成绩库!C356="","", YLE成绩库!E356)</f>
        <v/>
      </c>
      <c r="R856" t="str">
        <f>IF(YLE成绩库!C356="","", YLE成绩库!F356)</f>
        <v/>
      </c>
      <c r="S856" t="str">
        <f>IF(YLE成绩库!C356="","", YLE成绩库!G356)</f>
        <v/>
      </c>
      <c r="T856" t="str">
        <f>IF(YLE成绩库!C356="","", YLE成绩库!H356)</f>
        <v/>
      </c>
      <c r="U856" t="str">
        <f>IF(YLE成绩库!C356="","", YLE成绩库!K356)</f>
        <v/>
      </c>
      <c r="V856" t="str">
        <f>IF(YLE成绩库!C356="","", YLE成绩库!W356)</f>
        <v/>
      </c>
      <c r="W856" t="str">
        <f>IF(YLE成绩库!C356="","", YLE成绩库!X356)</f>
        <v/>
      </c>
      <c r="X856" t="str">
        <f>IF(YLE成绩库!C356="","", YLE成绩库!AA356)</f>
        <v/>
      </c>
      <c r="Z856" t="str">
        <f>IF(YLE成绩库!C356="","", YLE成绩库!Z356)</f>
        <v/>
      </c>
    </row>
    <row r="857" spans="1:26" x14ac:dyDescent="0.2">
      <c r="A857" t="str">
        <f>IF(YLE成绩库!C357="","", YLE成绩库!C357)</f>
        <v/>
      </c>
      <c r="B857" t="str">
        <f>IF(YLE成绩库!AB357="","", YLE成绩库!AB357)</f>
        <v/>
      </c>
      <c r="C857" t="str">
        <f>IF(YLE成绩库!B357="","", YLE成绩库!B357)</f>
        <v/>
      </c>
      <c r="D857" t="str">
        <f>IF(YLE成绩库!D357="","", YLE成绩库!D357)</f>
        <v/>
      </c>
      <c r="E857" t="str">
        <f>IF(YLE成绩库!C357="","", YLE成绩库!L357)</f>
        <v/>
      </c>
      <c r="F857" t="str">
        <f>IF(YLE成绩库!C357="","", YLE成绩库!M357)</f>
        <v/>
      </c>
      <c r="G857" t="str">
        <f>IF(YLE成绩库!C357="","", YLE成绩库!N357)</f>
        <v/>
      </c>
      <c r="H857" t="str">
        <f>IF(YLE成绩库!C357="","", YLE成绩库!O357)</f>
        <v/>
      </c>
      <c r="I857" t="str">
        <f>IF(YLE成绩库!C357="","", YLE成绩库!P357)</f>
        <v/>
      </c>
      <c r="J857" t="str">
        <f>IF(YLE成绩库!C357="","", YLE成绩库!Q357)</f>
        <v/>
      </c>
      <c r="K857" t="str">
        <f>IF(YLE成绩库!C357="","", YLE成绩库!R357)</f>
        <v/>
      </c>
      <c r="L857" t="str">
        <f>IF(YLE成绩库!C357="","", YLE成绩库!U357)</f>
        <v/>
      </c>
      <c r="M857">
        <v>0</v>
      </c>
      <c r="N857">
        <v>0</v>
      </c>
      <c r="O857">
        <v>0</v>
      </c>
      <c r="P857" t="str">
        <f>IF(YLE成绩库!C357="","", YLE成绩库!D357)</f>
        <v/>
      </c>
      <c r="Q857" t="str">
        <f>IF(YLE成绩库!C357="","", YLE成绩库!E357)</f>
        <v/>
      </c>
      <c r="R857" t="str">
        <f>IF(YLE成绩库!C357="","", YLE成绩库!F357)</f>
        <v/>
      </c>
      <c r="S857" t="str">
        <f>IF(YLE成绩库!C357="","", YLE成绩库!G357)</f>
        <v/>
      </c>
      <c r="T857" t="str">
        <f>IF(YLE成绩库!C357="","", YLE成绩库!H357)</f>
        <v/>
      </c>
      <c r="U857" t="str">
        <f>IF(YLE成绩库!C357="","", YLE成绩库!K357)</f>
        <v/>
      </c>
      <c r="V857" t="str">
        <f>IF(YLE成绩库!C357="","", YLE成绩库!W357)</f>
        <v/>
      </c>
      <c r="W857" t="str">
        <f>IF(YLE成绩库!C357="","", YLE成绩库!X357)</f>
        <v/>
      </c>
      <c r="X857" t="str">
        <f>IF(YLE成绩库!C357="","", YLE成绩库!AA357)</f>
        <v/>
      </c>
      <c r="Z857" t="str">
        <f>IF(YLE成绩库!C357="","", YLE成绩库!Z357)</f>
        <v/>
      </c>
    </row>
    <row r="858" spans="1:26" x14ac:dyDescent="0.2">
      <c r="A858" t="str">
        <f>IF(YLE成绩库!C358="","", YLE成绩库!C358)</f>
        <v/>
      </c>
      <c r="B858" t="str">
        <f>IF(YLE成绩库!AB358="","", YLE成绩库!AB358)</f>
        <v/>
      </c>
      <c r="C858" t="str">
        <f>IF(YLE成绩库!B358="","", YLE成绩库!B358)</f>
        <v/>
      </c>
      <c r="D858" t="str">
        <f>IF(YLE成绩库!D358="","", YLE成绩库!D358)</f>
        <v/>
      </c>
      <c r="E858" t="str">
        <f>IF(YLE成绩库!C358="","", YLE成绩库!L358)</f>
        <v/>
      </c>
      <c r="F858" t="str">
        <f>IF(YLE成绩库!C358="","", YLE成绩库!M358)</f>
        <v/>
      </c>
      <c r="G858" t="str">
        <f>IF(YLE成绩库!C358="","", YLE成绩库!N358)</f>
        <v/>
      </c>
      <c r="H858" t="str">
        <f>IF(YLE成绩库!C358="","", YLE成绩库!O358)</f>
        <v/>
      </c>
      <c r="I858" t="str">
        <f>IF(YLE成绩库!C358="","", YLE成绩库!P358)</f>
        <v/>
      </c>
      <c r="J858" t="str">
        <f>IF(YLE成绩库!C358="","", YLE成绩库!Q358)</f>
        <v/>
      </c>
      <c r="K858" t="str">
        <f>IF(YLE成绩库!C358="","", YLE成绩库!R358)</f>
        <v/>
      </c>
      <c r="L858" t="str">
        <f>IF(YLE成绩库!C358="","", YLE成绩库!U358)</f>
        <v/>
      </c>
      <c r="M858">
        <v>0</v>
      </c>
      <c r="N858">
        <v>0</v>
      </c>
      <c r="O858">
        <v>0</v>
      </c>
      <c r="P858" t="str">
        <f>IF(YLE成绩库!C358="","", YLE成绩库!D358)</f>
        <v/>
      </c>
      <c r="Q858" t="str">
        <f>IF(YLE成绩库!C358="","", YLE成绩库!E358)</f>
        <v/>
      </c>
      <c r="R858" t="str">
        <f>IF(YLE成绩库!C358="","", YLE成绩库!F358)</f>
        <v/>
      </c>
      <c r="S858" t="str">
        <f>IF(YLE成绩库!C358="","", YLE成绩库!G358)</f>
        <v/>
      </c>
      <c r="T858" t="str">
        <f>IF(YLE成绩库!C358="","", YLE成绩库!H358)</f>
        <v/>
      </c>
      <c r="U858" t="str">
        <f>IF(YLE成绩库!C358="","", YLE成绩库!K358)</f>
        <v/>
      </c>
      <c r="V858" t="str">
        <f>IF(YLE成绩库!C358="","", YLE成绩库!W358)</f>
        <v/>
      </c>
      <c r="W858" t="str">
        <f>IF(YLE成绩库!C358="","", YLE成绩库!X358)</f>
        <v/>
      </c>
      <c r="X858" t="str">
        <f>IF(YLE成绩库!C358="","", YLE成绩库!AA358)</f>
        <v/>
      </c>
      <c r="Z858" t="str">
        <f>IF(YLE成绩库!C358="","", YLE成绩库!Z358)</f>
        <v/>
      </c>
    </row>
    <row r="859" spans="1:26" x14ac:dyDescent="0.2">
      <c r="A859" t="str">
        <f>IF(YLE成绩库!C359="","", YLE成绩库!C359)</f>
        <v/>
      </c>
      <c r="B859" t="str">
        <f>IF(YLE成绩库!AB359="","", YLE成绩库!AB359)</f>
        <v/>
      </c>
      <c r="C859" t="str">
        <f>IF(YLE成绩库!B359="","", YLE成绩库!B359)</f>
        <v/>
      </c>
      <c r="D859" t="str">
        <f>IF(YLE成绩库!D359="","", YLE成绩库!D359)</f>
        <v/>
      </c>
      <c r="E859" t="str">
        <f>IF(YLE成绩库!C359="","", YLE成绩库!L359)</f>
        <v/>
      </c>
      <c r="F859" t="str">
        <f>IF(YLE成绩库!C359="","", YLE成绩库!M359)</f>
        <v/>
      </c>
      <c r="G859" t="str">
        <f>IF(YLE成绩库!C359="","", YLE成绩库!N359)</f>
        <v/>
      </c>
      <c r="H859" t="str">
        <f>IF(YLE成绩库!C359="","", YLE成绩库!O359)</f>
        <v/>
      </c>
      <c r="I859" t="str">
        <f>IF(YLE成绩库!C359="","", YLE成绩库!P359)</f>
        <v/>
      </c>
      <c r="J859" t="str">
        <f>IF(YLE成绩库!C359="","", YLE成绩库!Q359)</f>
        <v/>
      </c>
      <c r="K859" t="str">
        <f>IF(YLE成绩库!C359="","", YLE成绩库!R359)</f>
        <v/>
      </c>
      <c r="L859" t="str">
        <f>IF(YLE成绩库!C359="","", YLE成绩库!U359)</f>
        <v/>
      </c>
      <c r="M859">
        <v>0</v>
      </c>
      <c r="N859">
        <v>0</v>
      </c>
      <c r="O859">
        <v>0</v>
      </c>
      <c r="P859" t="str">
        <f>IF(YLE成绩库!C359="","", YLE成绩库!D359)</f>
        <v/>
      </c>
      <c r="Q859" t="str">
        <f>IF(YLE成绩库!C359="","", YLE成绩库!E359)</f>
        <v/>
      </c>
      <c r="R859" t="str">
        <f>IF(YLE成绩库!C359="","", YLE成绩库!F359)</f>
        <v/>
      </c>
      <c r="S859" t="str">
        <f>IF(YLE成绩库!C359="","", YLE成绩库!G359)</f>
        <v/>
      </c>
      <c r="T859" t="str">
        <f>IF(YLE成绩库!C359="","", YLE成绩库!H359)</f>
        <v/>
      </c>
      <c r="U859" t="str">
        <f>IF(YLE成绩库!C359="","", YLE成绩库!K359)</f>
        <v/>
      </c>
      <c r="V859" t="str">
        <f>IF(YLE成绩库!C359="","", YLE成绩库!W359)</f>
        <v/>
      </c>
      <c r="W859" t="str">
        <f>IF(YLE成绩库!C359="","", YLE成绩库!X359)</f>
        <v/>
      </c>
      <c r="X859" t="str">
        <f>IF(YLE成绩库!C359="","", YLE成绩库!AA359)</f>
        <v/>
      </c>
      <c r="Z859" t="str">
        <f>IF(YLE成绩库!C359="","", YLE成绩库!Z359)</f>
        <v/>
      </c>
    </row>
    <row r="860" spans="1:26" x14ac:dyDescent="0.2">
      <c r="A860" t="str">
        <f>IF(YLE成绩库!C360="","", YLE成绩库!C360)</f>
        <v/>
      </c>
      <c r="B860" t="str">
        <f>IF(YLE成绩库!AB360="","", YLE成绩库!AB360)</f>
        <v/>
      </c>
      <c r="C860" t="str">
        <f>IF(YLE成绩库!B360="","", YLE成绩库!B360)</f>
        <v/>
      </c>
      <c r="D860" t="str">
        <f>IF(YLE成绩库!D360="","", YLE成绩库!D360)</f>
        <v/>
      </c>
      <c r="E860" t="str">
        <f>IF(YLE成绩库!C360="","", YLE成绩库!L360)</f>
        <v/>
      </c>
      <c r="F860" t="str">
        <f>IF(YLE成绩库!C360="","", YLE成绩库!M360)</f>
        <v/>
      </c>
      <c r="G860" t="str">
        <f>IF(YLE成绩库!C360="","", YLE成绩库!N360)</f>
        <v/>
      </c>
      <c r="H860" t="str">
        <f>IF(YLE成绩库!C360="","", YLE成绩库!O360)</f>
        <v/>
      </c>
      <c r="I860" t="str">
        <f>IF(YLE成绩库!C360="","", YLE成绩库!P360)</f>
        <v/>
      </c>
      <c r="J860" t="str">
        <f>IF(YLE成绩库!C360="","", YLE成绩库!Q360)</f>
        <v/>
      </c>
      <c r="K860" t="str">
        <f>IF(YLE成绩库!C360="","", YLE成绩库!R360)</f>
        <v/>
      </c>
      <c r="L860" t="str">
        <f>IF(YLE成绩库!C360="","", YLE成绩库!U360)</f>
        <v/>
      </c>
      <c r="M860">
        <v>0</v>
      </c>
      <c r="N860">
        <v>0</v>
      </c>
      <c r="O860">
        <v>0</v>
      </c>
      <c r="P860" t="str">
        <f>IF(YLE成绩库!C360="","", YLE成绩库!D360)</f>
        <v/>
      </c>
      <c r="Q860" t="str">
        <f>IF(YLE成绩库!C360="","", YLE成绩库!E360)</f>
        <v/>
      </c>
      <c r="R860" t="str">
        <f>IF(YLE成绩库!C360="","", YLE成绩库!F360)</f>
        <v/>
      </c>
      <c r="S860" t="str">
        <f>IF(YLE成绩库!C360="","", YLE成绩库!G360)</f>
        <v/>
      </c>
      <c r="T860" t="str">
        <f>IF(YLE成绩库!C360="","", YLE成绩库!H360)</f>
        <v/>
      </c>
      <c r="U860" t="str">
        <f>IF(YLE成绩库!C360="","", YLE成绩库!K360)</f>
        <v/>
      </c>
      <c r="V860" t="str">
        <f>IF(YLE成绩库!C360="","", YLE成绩库!W360)</f>
        <v/>
      </c>
      <c r="W860" t="str">
        <f>IF(YLE成绩库!C360="","", YLE成绩库!X360)</f>
        <v/>
      </c>
      <c r="X860" t="str">
        <f>IF(YLE成绩库!C360="","", YLE成绩库!AA360)</f>
        <v/>
      </c>
      <c r="Z860" t="str">
        <f>IF(YLE成绩库!C360="","", YLE成绩库!Z360)</f>
        <v/>
      </c>
    </row>
    <row r="861" spans="1:26" x14ac:dyDescent="0.2">
      <c r="A861" t="str">
        <f>IF(YLE成绩库!C361="","", YLE成绩库!C361)</f>
        <v/>
      </c>
      <c r="B861" t="str">
        <f>IF(YLE成绩库!AB361="","", YLE成绩库!AB361)</f>
        <v/>
      </c>
      <c r="C861" t="str">
        <f>IF(YLE成绩库!B361="","", YLE成绩库!B361)</f>
        <v/>
      </c>
      <c r="D861" t="str">
        <f>IF(YLE成绩库!D361="","", YLE成绩库!D361)</f>
        <v/>
      </c>
      <c r="E861" t="str">
        <f>IF(YLE成绩库!C361="","", YLE成绩库!L361)</f>
        <v/>
      </c>
      <c r="F861" t="str">
        <f>IF(YLE成绩库!C361="","", YLE成绩库!M361)</f>
        <v/>
      </c>
      <c r="G861" t="str">
        <f>IF(YLE成绩库!C361="","", YLE成绩库!N361)</f>
        <v/>
      </c>
      <c r="H861" t="str">
        <f>IF(YLE成绩库!C361="","", YLE成绩库!O361)</f>
        <v/>
      </c>
      <c r="I861" t="str">
        <f>IF(YLE成绩库!C361="","", YLE成绩库!P361)</f>
        <v/>
      </c>
      <c r="J861" t="str">
        <f>IF(YLE成绩库!C361="","", YLE成绩库!Q361)</f>
        <v/>
      </c>
      <c r="K861" t="str">
        <f>IF(YLE成绩库!C361="","", YLE成绩库!R361)</f>
        <v/>
      </c>
      <c r="L861" t="str">
        <f>IF(YLE成绩库!C361="","", YLE成绩库!U361)</f>
        <v/>
      </c>
      <c r="M861">
        <v>0</v>
      </c>
      <c r="N861">
        <v>0</v>
      </c>
      <c r="O861">
        <v>0</v>
      </c>
      <c r="P861" t="str">
        <f>IF(YLE成绩库!C361="","", YLE成绩库!D361)</f>
        <v/>
      </c>
      <c r="Q861" t="str">
        <f>IF(YLE成绩库!C361="","", YLE成绩库!E361)</f>
        <v/>
      </c>
      <c r="R861" t="str">
        <f>IF(YLE成绩库!C361="","", YLE成绩库!F361)</f>
        <v/>
      </c>
      <c r="S861" t="str">
        <f>IF(YLE成绩库!C361="","", YLE成绩库!G361)</f>
        <v/>
      </c>
      <c r="T861" t="str">
        <f>IF(YLE成绩库!C361="","", YLE成绩库!H361)</f>
        <v/>
      </c>
      <c r="U861" t="str">
        <f>IF(YLE成绩库!C361="","", YLE成绩库!K361)</f>
        <v/>
      </c>
      <c r="V861" t="str">
        <f>IF(YLE成绩库!C361="","", YLE成绩库!W361)</f>
        <v/>
      </c>
      <c r="W861" t="str">
        <f>IF(YLE成绩库!C361="","", YLE成绩库!X361)</f>
        <v/>
      </c>
      <c r="X861" t="str">
        <f>IF(YLE成绩库!C361="","", YLE成绩库!AA361)</f>
        <v/>
      </c>
      <c r="Z861" t="str">
        <f>IF(YLE成绩库!C361="","", YLE成绩库!Z361)</f>
        <v/>
      </c>
    </row>
    <row r="862" spans="1:26" x14ac:dyDescent="0.2">
      <c r="A862" t="str">
        <f>IF(YLE成绩库!C362="","", YLE成绩库!C362)</f>
        <v/>
      </c>
      <c r="B862" t="str">
        <f>IF(YLE成绩库!AB362="","", YLE成绩库!AB362)</f>
        <v/>
      </c>
      <c r="C862" t="str">
        <f>IF(YLE成绩库!B362="","", YLE成绩库!B362)</f>
        <v/>
      </c>
      <c r="D862" t="str">
        <f>IF(YLE成绩库!D362="","", YLE成绩库!D362)</f>
        <v/>
      </c>
      <c r="E862" t="str">
        <f>IF(YLE成绩库!C362="","", YLE成绩库!L362)</f>
        <v/>
      </c>
      <c r="F862" t="str">
        <f>IF(YLE成绩库!C362="","", YLE成绩库!M362)</f>
        <v/>
      </c>
      <c r="G862" t="str">
        <f>IF(YLE成绩库!C362="","", YLE成绩库!N362)</f>
        <v/>
      </c>
      <c r="H862" t="str">
        <f>IF(YLE成绩库!C362="","", YLE成绩库!O362)</f>
        <v/>
      </c>
      <c r="I862" t="str">
        <f>IF(YLE成绩库!C362="","", YLE成绩库!P362)</f>
        <v/>
      </c>
      <c r="J862" t="str">
        <f>IF(YLE成绩库!C362="","", YLE成绩库!Q362)</f>
        <v/>
      </c>
      <c r="K862" t="str">
        <f>IF(YLE成绩库!C362="","", YLE成绩库!R362)</f>
        <v/>
      </c>
      <c r="L862" t="str">
        <f>IF(YLE成绩库!C362="","", YLE成绩库!U362)</f>
        <v/>
      </c>
      <c r="M862">
        <v>0</v>
      </c>
      <c r="N862">
        <v>0</v>
      </c>
      <c r="O862">
        <v>0</v>
      </c>
      <c r="P862" t="str">
        <f>IF(YLE成绩库!C362="","", YLE成绩库!D362)</f>
        <v/>
      </c>
      <c r="Q862" t="str">
        <f>IF(YLE成绩库!C362="","", YLE成绩库!E362)</f>
        <v/>
      </c>
      <c r="R862" t="str">
        <f>IF(YLE成绩库!C362="","", YLE成绩库!F362)</f>
        <v/>
      </c>
      <c r="S862" t="str">
        <f>IF(YLE成绩库!C362="","", YLE成绩库!G362)</f>
        <v/>
      </c>
      <c r="T862" t="str">
        <f>IF(YLE成绩库!C362="","", YLE成绩库!H362)</f>
        <v/>
      </c>
      <c r="U862" t="str">
        <f>IF(YLE成绩库!C362="","", YLE成绩库!K362)</f>
        <v/>
      </c>
      <c r="V862" t="str">
        <f>IF(YLE成绩库!C362="","", YLE成绩库!W362)</f>
        <v/>
      </c>
      <c r="W862" t="str">
        <f>IF(YLE成绩库!C362="","", YLE成绩库!X362)</f>
        <v/>
      </c>
      <c r="X862" t="str">
        <f>IF(YLE成绩库!C362="","", YLE成绩库!AA362)</f>
        <v/>
      </c>
      <c r="Z862" t="str">
        <f>IF(YLE成绩库!C362="","", YLE成绩库!Z362)</f>
        <v/>
      </c>
    </row>
    <row r="863" spans="1:26" x14ac:dyDescent="0.2">
      <c r="A863" t="str">
        <f>IF(YLE成绩库!C363="","", YLE成绩库!C363)</f>
        <v/>
      </c>
      <c r="B863" t="str">
        <f>IF(YLE成绩库!AB363="","", YLE成绩库!AB363)</f>
        <v/>
      </c>
      <c r="C863" t="str">
        <f>IF(YLE成绩库!B363="","", YLE成绩库!B363)</f>
        <v/>
      </c>
      <c r="D863" t="str">
        <f>IF(YLE成绩库!D363="","", YLE成绩库!D363)</f>
        <v/>
      </c>
      <c r="E863" t="str">
        <f>IF(YLE成绩库!C363="","", YLE成绩库!L363)</f>
        <v/>
      </c>
      <c r="F863" t="str">
        <f>IF(YLE成绩库!C363="","", YLE成绩库!M363)</f>
        <v/>
      </c>
      <c r="G863" t="str">
        <f>IF(YLE成绩库!C363="","", YLE成绩库!N363)</f>
        <v/>
      </c>
      <c r="H863" t="str">
        <f>IF(YLE成绩库!C363="","", YLE成绩库!O363)</f>
        <v/>
      </c>
      <c r="I863" t="str">
        <f>IF(YLE成绩库!C363="","", YLE成绩库!P363)</f>
        <v/>
      </c>
      <c r="J863" t="str">
        <f>IF(YLE成绩库!C363="","", YLE成绩库!Q363)</f>
        <v/>
      </c>
      <c r="K863" t="str">
        <f>IF(YLE成绩库!C363="","", YLE成绩库!R363)</f>
        <v/>
      </c>
      <c r="L863" t="str">
        <f>IF(YLE成绩库!C363="","", YLE成绩库!U363)</f>
        <v/>
      </c>
      <c r="M863">
        <v>0</v>
      </c>
      <c r="N863">
        <v>0</v>
      </c>
      <c r="O863">
        <v>0</v>
      </c>
      <c r="P863" t="str">
        <f>IF(YLE成绩库!C363="","", YLE成绩库!D363)</f>
        <v/>
      </c>
      <c r="Q863" t="str">
        <f>IF(YLE成绩库!C363="","", YLE成绩库!E363)</f>
        <v/>
      </c>
      <c r="R863" t="str">
        <f>IF(YLE成绩库!C363="","", YLE成绩库!F363)</f>
        <v/>
      </c>
      <c r="S863" t="str">
        <f>IF(YLE成绩库!C363="","", YLE成绩库!G363)</f>
        <v/>
      </c>
      <c r="T863" t="str">
        <f>IF(YLE成绩库!C363="","", YLE成绩库!H363)</f>
        <v/>
      </c>
      <c r="U863" t="str">
        <f>IF(YLE成绩库!C363="","", YLE成绩库!K363)</f>
        <v/>
      </c>
      <c r="V863" t="str">
        <f>IF(YLE成绩库!C363="","", YLE成绩库!W363)</f>
        <v/>
      </c>
      <c r="W863" t="str">
        <f>IF(YLE成绩库!C363="","", YLE成绩库!X363)</f>
        <v/>
      </c>
      <c r="X863" t="str">
        <f>IF(YLE成绩库!C363="","", YLE成绩库!AA363)</f>
        <v/>
      </c>
      <c r="Z863" t="str">
        <f>IF(YLE成绩库!C363="","", YLE成绩库!Z363)</f>
        <v/>
      </c>
    </row>
    <row r="864" spans="1:26" x14ac:dyDescent="0.2">
      <c r="A864" t="str">
        <f>IF(YLE成绩库!C364="","", YLE成绩库!C364)</f>
        <v/>
      </c>
      <c r="B864" t="str">
        <f>IF(YLE成绩库!AB364="","", YLE成绩库!AB364)</f>
        <v/>
      </c>
      <c r="C864" t="str">
        <f>IF(YLE成绩库!B364="","", YLE成绩库!B364)</f>
        <v/>
      </c>
      <c r="D864" t="str">
        <f>IF(YLE成绩库!D364="","", YLE成绩库!D364)</f>
        <v/>
      </c>
      <c r="E864" t="str">
        <f>IF(YLE成绩库!C364="","", YLE成绩库!L364)</f>
        <v/>
      </c>
      <c r="F864" t="str">
        <f>IF(YLE成绩库!C364="","", YLE成绩库!M364)</f>
        <v/>
      </c>
      <c r="G864" t="str">
        <f>IF(YLE成绩库!C364="","", YLE成绩库!N364)</f>
        <v/>
      </c>
      <c r="H864" t="str">
        <f>IF(YLE成绩库!C364="","", YLE成绩库!O364)</f>
        <v/>
      </c>
      <c r="I864" t="str">
        <f>IF(YLE成绩库!C364="","", YLE成绩库!P364)</f>
        <v/>
      </c>
      <c r="J864" t="str">
        <f>IF(YLE成绩库!C364="","", YLE成绩库!Q364)</f>
        <v/>
      </c>
      <c r="K864" t="str">
        <f>IF(YLE成绩库!C364="","", YLE成绩库!R364)</f>
        <v/>
      </c>
      <c r="L864" t="str">
        <f>IF(YLE成绩库!C364="","", YLE成绩库!U364)</f>
        <v/>
      </c>
      <c r="M864">
        <v>0</v>
      </c>
      <c r="N864">
        <v>0</v>
      </c>
      <c r="O864">
        <v>0</v>
      </c>
      <c r="P864" t="str">
        <f>IF(YLE成绩库!C364="","", YLE成绩库!D364)</f>
        <v/>
      </c>
      <c r="Q864" t="str">
        <f>IF(YLE成绩库!C364="","", YLE成绩库!E364)</f>
        <v/>
      </c>
      <c r="R864" t="str">
        <f>IF(YLE成绩库!C364="","", YLE成绩库!F364)</f>
        <v/>
      </c>
      <c r="S864" t="str">
        <f>IF(YLE成绩库!C364="","", YLE成绩库!G364)</f>
        <v/>
      </c>
      <c r="T864" t="str">
        <f>IF(YLE成绩库!C364="","", YLE成绩库!H364)</f>
        <v/>
      </c>
      <c r="U864" t="str">
        <f>IF(YLE成绩库!C364="","", YLE成绩库!K364)</f>
        <v/>
      </c>
      <c r="V864" t="str">
        <f>IF(YLE成绩库!C364="","", YLE成绩库!W364)</f>
        <v/>
      </c>
      <c r="W864" t="str">
        <f>IF(YLE成绩库!C364="","", YLE成绩库!X364)</f>
        <v/>
      </c>
      <c r="X864" t="str">
        <f>IF(YLE成绩库!C364="","", YLE成绩库!AA364)</f>
        <v/>
      </c>
      <c r="Z864" t="str">
        <f>IF(YLE成绩库!C364="","", YLE成绩库!Z364)</f>
        <v/>
      </c>
    </row>
    <row r="865" spans="1:26" x14ac:dyDescent="0.2">
      <c r="A865" t="str">
        <f>IF(YLE成绩库!C365="","", YLE成绩库!C365)</f>
        <v/>
      </c>
      <c r="B865" t="str">
        <f>IF(YLE成绩库!AB365="","", YLE成绩库!AB365)</f>
        <v/>
      </c>
      <c r="C865" t="str">
        <f>IF(YLE成绩库!B365="","", YLE成绩库!B365)</f>
        <v/>
      </c>
      <c r="D865" t="str">
        <f>IF(YLE成绩库!D365="","", YLE成绩库!D365)</f>
        <v/>
      </c>
      <c r="E865" t="str">
        <f>IF(YLE成绩库!C365="","", YLE成绩库!L365)</f>
        <v/>
      </c>
      <c r="F865" t="str">
        <f>IF(YLE成绩库!C365="","", YLE成绩库!M365)</f>
        <v/>
      </c>
      <c r="G865" t="str">
        <f>IF(YLE成绩库!C365="","", YLE成绩库!N365)</f>
        <v/>
      </c>
      <c r="H865" t="str">
        <f>IF(YLE成绩库!C365="","", YLE成绩库!O365)</f>
        <v/>
      </c>
      <c r="I865" t="str">
        <f>IF(YLE成绩库!C365="","", YLE成绩库!P365)</f>
        <v/>
      </c>
      <c r="J865" t="str">
        <f>IF(YLE成绩库!C365="","", YLE成绩库!Q365)</f>
        <v/>
      </c>
      <c r="K865" t="str">
        <f>IF(YLE成绩库!C365="","", YLE成绩库!R365)</f>
        <v/>
      </c>
      <c r="L865" t="str">
        <f>IF(YLE成绩库!C365="","", YLE成绩库!U365)</f>
        <v/>
      </c>
      <c r="M865">
        <v>0</v>
      </c>
      <c r="N865">
        <v>0</v>
      </c>
      <c r="O865">
        <v>0</v>
      </c>
      <c r="P865" t="str">
        <f>IF(YLE成绩库!C365="","", YLE成绩库!D365)</f>
        <v/>
      </c>
      <c r="Q865" t="str">
        <f>IF(YLE成绩库!C365="","", YLE成绩库!E365)</f>
        <v/>
      </c>
      <c r="R865" t="str">
        <f>IF(YLE成绩库!C365="","", YLE成绩库!F365)</f>
        <v/>
      </c>
      <c r="S865" t="str">
        <f>IF(YLE成绩库!C365="","", YLE成绩库!G365)</f>
        <v/>
      </c>
      <c r="T865" t="str">
        <f>IF(YLE成绩库!C365="","", YLE成绩库!H365)</f>
        <v/>
      </c>
      <c r="U865" t="str">
        <f>IF(YLE成绩库!C365="","", YLE成绩库!K365)</f>
        <v/>
      </c>
      <c r="V865" t="str">
        <f>IF(YLE成绩库!C365="","", YLE成绩库!W365)</f>
        <v/>
      </c>
      <c r="W865" t="str">
        <f>IF(YLE成绩库!C365="","", YLE成绩库!X365)</f>
        <v/>
      </c>
      <c r="X865" t="str">
        <f>IF(YLE成绩库!C365="","", YLE成绩库!AA365)</f>
        <v/>
      </c>
      <c r="Z865" t="str">
        <f>IF(YLE成绩库!C365="","", YLE成绩库!Z365)</f>
        <v/>
      </c>
    </row>
    <row r="866" spans="1:26" x14ac:dyDescent="0.2">
      <c r="A866" t="str">
        <f>IF(YLE成绩库!C366="","", YLE成绩库!C366)</f>
        <v/>
      </c>
      <c r="B866" t="str">
        <f>IF(YLE成绩库!AB366="","", YLE成绩库!AB366)</f>
        <v/>
      </c>
      <c r="C866" t="str">
        <f>IF(YLE成绩库!B366="","", YLE成绩库!B366)</f>
        <v/>
      </c>
      <c r="D866" t="str">
        <f>IF(YLE成绩库!D366="","", YLE成绩库!D366)</f>
        <v/>
      </c>
      <c r="E866" t="str">
        <f>IF(YLE成绩库!C366="","", YLE成绩库!L366)</f>
        <v/>
      </c>
      <c r="F866" t="str">
        <f>IF(YLE成绩库!C366="","", YLE成绩库!M366)</f>
        <v/>
      </c>
      <c r="G866" t="str">
        <f>IF(YLE成绩库!C366="","", YLE成绩库!N366)</f>
        <v/>
      </c>
      <c r="H866" t="str">
        <f>IF(YLE成绩库!C366="","", YLE成绩库!O366)</f>
        <v/>
      </c>
      <c r="I866" t="str">
        <f>IF(YLE成绩库!C366="","", YLE成绩库!P366)</f>
        <v/>
      </c>
      <c r="J866" t="str">
        <f>IF(YLE成绩库!C366="","", YLE成绩库!Q366)</f>
        <v/>
      </c>
      <c r="K866" t="str">
        <f>IF(YLE成绩库!C366="","", YLE成绩库!R366)</f>
        <v/>
      </c>
      <c r="L866" t="str">
        <f>IF(YLE成绩库!C366="","", YLE成绩库!U366)</f>
        <v/>
      </c>
      <c r="M866">
        <v>0</v>
      </c>
      <c r="N866">
        <v>0</v>
      </c>
      <c r="O866">
        <v>0</v>
      </c>
      <c r="P866" t="str">
        <f>IF(YLE成绩库!C366="","", YLE成绩库!D366)</f>
        <v/>
      </c>
      <c r="Q866" t="str">
        <f>IF(YLE成绩库!C366="","", YLE成绩库!E366)</f>
        <v/>
      </c>
      <c r="R866" t="str">
        <f>IF(YLE成绩库!C366="","", YLE成绩库!F366)</f>
        <v/>
      </c>
      <c r="S866" t="str">
        <f>IF(YLE成绩库!C366="","", YLE成绩库!G366)</f>
        <v/>
      </c>
      <c r="T866" t="str">
        <f>IF(YLE成绩库!C366="","", YLE成绩库!H366)</f>
        <v/>
      </c>
      <c r="U866" t="str">
        <f>IF(YLE成绩库!C366="","", YLE成绩库!K366)</f>
        <v/>
      </c>
      <c r="V866" t="str">
        <f>IF(YLE成绩库!C366="","", YLE成绩库!W366)</f>
        <v/>
      </c>
      <c r="W866" t="str">
        <f>IF(YLE成绩库!C366="","", YLE成绩库!X366)</f>
        <v/>
      </c>
      <c r="X866" t="str">
        <f>IF(YLE成绩库!C366="","", YLE成绩库!AA366)</f>
        <v/>
      </c>
      <c r="Z866" t="str">
        <f>IF(YLE成绩库!C366="","", YLE成绩库!Z366)</f>
        <v/>
      </c>
    </row>
    <row r="867" spans="1:26" x14ac:dyDescent="0.2">
      <c r="A867" t="str">
        <f>IF(YLE成绩库!C367="","", YLE成绩库!C367)</f>
        <v/>
      </c>
      <c r="B867" t="str">
        <f>IF(YLE成绩库!AB367="","", YLE成绩库!AB367)</f>
        <v/>
      </c>
      <c r="C867" t="str">
        <f>IF(YLE成绩库!B367="","", YLE成绩库!B367)</f>
        <v/>
      </c>
      <c r="D867" t="str">
        <f>IF(YLE成绩库!D367="","", YLE成绩库!D367)</f>
        <v/>
      </c>
      <c r="E867" t="str">
        <f>IF(YLE成绩库!C367="","", YLE成绩库!L367)</f>
        <v/>
      </c>
      <c r="F867" t="str">
        <f>IF(YLE成绩库!C367="","", YLE成绩库!M367)</f>
        <v/>
      </c>
      <c r="G867" t="str">
        <f>IF(YLE成绩库!C367="","", YLE成绩库!N367)</f>
        <v/>
      </c>
      <c r="H867" t="str">
        <f>IF(YLE成绩库!C367="","", YLE成绩库!O367)</f>
        <v/>
      </c>
      <c r="I867" t="str">
        <f>IF(YLE成绩库!C367="","", YLE成绩库!P367)</f>
        <v/>
      </c>
      <c r="J867" t="str">
        <f>IF(YLE成绩库!C367="","", YLE成绩库!Q367)</f>
        <v/>
      </c>
      <c r="K867" t="str">
        <f>IF(YLE成绩库!C367="","", YLE成绩库!R367)</f>
        <v/>
      </c>
      <c r="L867" t="str">
        <f>IF(YLE成绩库!C367="","", YLE成绩库!U367)</f>
        <v/>
      </c>
      <c r="M867">
        <v>0</v>
      </c>
      <c r="N867">
        <v>0</v>
      </c>
      <c r="O867">
        <v>0</v>
      </c>
      <c r="P867" t="str">
        <f>IF(YLE成绩库!C367="","", YLE成绩库!D367)</f>
        <v/>
      </c>
      <c r="Q867" t="str">
        <f>IF(YLE成绩库!C367="","", YLE成绩库!E367)</f>
        <v/>
      </c>
      <c r="R867" t="str">
        <f>IF(YLE成绩库!C367="","", YLE成绩库!F367)</f>
        <v/>
      </c>
      <c r="S867" t="str">
        <f>IF(YLE成绩库!C367="","", YLE成绩库!G367)</f>
        <v/>
      </c>
      <c r="T867" t="str">
        <f>IF(YLE成绩库!C367="","", YLE成绩库!H367)</f>
        <v/>
      </c>
      <c r="U867" t="str">
        <f>IF(YLE成绩库!C367="","", YLE成绩库!K367)</f>
        <v/>
      </c>
      <c r="V867" t="str">
        <f>IF(YLE成绩库!C367="","", YLE成绩库!W367)</f>
        <v/>
      </c>
      <c r="W867" t="str">
        <f>IF(YLE成绩库!C367="","", YLE成绩库!X367)</f>
        <v/>
      </c>
      <c r="X867" t="str">
        <f>IF(YLE成绩库!C367="","", YLE成绩库!AA367)</f>
        <v/>
      </c>
      <c r="Z867" t="str">
        <f>IF(YLE成绩库!C367="","", YLE成绩库!Z367)</f>
        <v/>
      </c>
    </row>
    <row r="868" spans="1:26" x14ac:dyDescent="0.2">
      <c r="A868" t="str">
        <f>IF(YLE成绩库!C368="","", YLE成绩库!C368)</f>
        <v/>
      </c>
      <c r="B868" t="str">
        <f>IF(YLE成绩库!AB368="","", YLE成绩库!AB368)</f>
        <v/>
      </c>
      <c r="C868" t="str">
        <f>IF(YLE成绩库!B368="","", YLE成绩库!B368)</f>
        <v/>
      </c>
      <c r="D868" t="str">
        <f>IF(YLE成绩库!D368="","", YLE成绩库!D368)</f>
        <v/>
      </c>
      <c r="E868" t="str">
        <f>IF(YLE成绩库!C368="","", YLE成绩库!L368)</f>
        <v/>
      </c>
      <c r="F868" t="str">
        <f>IF(YLE成绩库!C368="","", YLE成绩库!M368)</f>
        <v/>
      </c>
      <c r="G868" t="str">
        <f>IF(YLE成绩库!C368="","", YLE成绩库!N368)</f>
        <v/>
      </c>
      <c r="H868" t="str">
        <f>IF(YLE成绩库!C368="","", YLE成绩库!O368)</f>
        <v/>
      </c>
      <c r="I868" t="str">
        <f>IF(YLE成绩库!C368="","", YLE成绩库!P368)</f>
        <v/>
      </c>
      <c r="J868" t="str">
        <f>IF(YLE成绩库!C368="","", YLE成绩库!Q368)</f>
        <v/>
      </c>
      <c r="K868" t="str">
        <f>IF(YLE成绩库!C368="","", YLE成绩库!R368)</f>
        <v/>
      </c>
      <c r="L868" t="str">
        <f>IF(YLE成绩库!C368="","", YLE成绩库!U368)</f>
        <v/>
      </c>
      <c r="M868">
        <v>0</v>
      </c>
      <c r="N868">
        <v>0</v>
      </c>
      <c r="O868">
        <v>0</v>
      </c>
      <c r="P868" t="str">
        <f>IF(YLE成绩库!C368="","", YLE成绩库!D368)</f>
        <v/>
      </c>
      <c r="Q868" t="str">
        <f>IF(YLE成绩库!C368="","", YLE成绩库!E368)</f>
        <v/>
      </c>
      <c r="R868" t="str">
        <f>IF(YLE成绩库!C368="","", YLE成绩库!F368)</f>
        <v/>
      </c>
      <c r="S868" t="str">
        <f>IF(YLE成绩库!C368="","", YLE成绩库!G368)</f>
        <v/>
      </c>
      <c r="T868" t="str">
        <f>IF(YLE成绩库!C368="","", YLE成绩库!H368)</f>
        <v/>
      </c>
      <c r="U868" t="str">
        <f>IF(YLE成绩库!C368="","", YLE成绩库!K368)</f>
        <v/>
      </c>
      <c r="V868" t="str">
        <f>IF(YLE成绩库!C368="","", YLE成绩库!W368)</f>
        <v/>
      </c>
      <c r="W868" t="str">
        <f>IF(YLE成绩库!C368="","", YLE成绩库!X368)</f>
        <v/>
      </c>
      <c r="X868" t="str">
        <f>IF(YLE成绩库!C368="","", YLE成绩库!AA368)</f>
        <v/>
      </c>
      <c r="Z868" t="str">
        <f>IF(YLE成绩库!C368="","", YLE成绩库!Z368)</f>
        <v/>
      </c>
    </row>
    <row r="869" spans="1:26" x14ac:dyDescent="0.2">
      <c r="A869" t="str">
        <f>IF(YLE成绩库!C369="","", YLE成绩库!C369)</f>
        <v/>
      </c>
      <c r="B869" t="str">
        <f>IF(YLE成绩库!AB369="","", YLE成绩库!AB369)</f>
        <v/>
      </c>
      <c r="C869" t="str">
        <f>IF(YLE成绩库!B369="","", YLE成绩库!B369)</f>
        <v/>
      </c>
      <c r="D869" t="str">
        <f>IF(YLE成绩库!D369="","", YLE成绩库!D369)</f>
        <v/>
      </c>
      <c r="E869" t="str">
        <f>IF(YLE成绩库!C369="","", YLE成绩库!L369)</f>
        <v/>
      </c>
      <c r="F869" t="str">
        <f>IF(YLE成绩库!C369="","", YLE成绩库!M369)</f>
        <v/>
      </c>
      <c r="G869" t="str">
        <f>IF(YLE成绩库!C369="","", YLE成绩库!N369)</f>
        <v/>
      </c>
      <c r="H869" t="str">
        <f>IF(YLE成绩库!C369="","", YLE成绩库!O369)</f>
        <v/>
      </c>
      <c r="I869" t="str">
        <f>IF(YLE成绩库!C369="","", YLE成绩库!P369)</f>
        <v/>
      </c>
      <c r="J869" t="str">
        <f>IF(YLE成绩库!C369="","", YLE成绩库!Q369)</f>
        <v/>
      </c>
      <c r="K869" t="str">
        <f>IF(YLE成绩库!C369="","", YLE成绩库!R369)</f>
        <v/>
      </c>
      <c r="L869" t="str">
        <f>IF(YLE成绩库!C369="","", YLE成绩库!U369)</f>
        <v/>
      </c>
      <c r="M869">
        <v>0</v>
      </c>
      <c r="N869">
        <v>0</v>
      </c>
      <c r="O869">
        <v>0</v>
      </c>
      <c r="P869" t="str">
        <f>IF(YLE成绩库!C369="","", YLE成绩库!D369)</f>
        <v/>
      </c>
      <c r="Q869" t="str">
        <f>IF(YLE成绩库!C369="","", YLE成绩库!E369)</f>
        <v/>
      </c>
      <c r="R869" t="str">
        <f>IF(YLE成绩库!C369="","", YLE成绩库!F369)</f>
        <v/>
      </c>
      <c r="S869" t="str">
        <f>IF(YLE成绩库!C369="","", YLE成绩库!G369)</f>
        <v/>
      </c>
      <c r="T869" t="str">
        <f>IF(YLE成绩库!C369="","", YLE成绩库!H369)</f>
        <v/>
      </c>
      <c r="U869" t="str">
        <f>IF(YLE成绩库!C369="","", YLE成绩库!K369)</f>
        <v/>
      </c>
      <c r="V869" t="str">
        <f>IF(YLE成绩库!C369="","", YLE成绩库!W369)</f>
        <v/>
      </c>
      <c r="W869" t="str">
        <f>IF(YLE成绩库!C369="","", YLE成绩库!X369)</f>
        <v/>
      </c>
      <c r="X869" t="str">
        <f>IF(YLE成绩库!C369="","", YLE成绩库!AA369)</f>
        <v/>
      </c>
      <c r="Z869" t="str">
        <f>IF(YLE成绩库!C369="","", YLE成绩库!Z369)</f>
        <v/>
      </c>
    </row>
    <row r="870" spans="1:26" x14ac:dyDescent="0.2">
      <c r="A870" t="str">
        <f>IF(YLE成绩库!C370="","", YLE成绩库!C370)</f>
        <v/>
      </c>
      <c r="B870" t="str">
        <f>IF(YLE成绩库!AB370="","", YLE成绩库!AB370)</f>
        <v/>
      </c>
      <c r="C870" t="str">
        <f>IF(YLE成绩库!B370="","", YLE成绩库!B370)</f>
        <v/>
      </c>
      <c r="D870" t="str">
        <f>IF(YLE成绩库!D370="","", YLE成绩库!D370)</f>
        <v/>
      </c>
      <c r="E870" t="str">
        <f>IF(YLE成绩库!C370="","", YLE成绩库!L370)</f>
        <v/>
      </c>
      <c r="F870" t="str">
        <f>IF(YLE成绩库!C370="","", YLE成绩库!M370)</f>
        <v/>
      </c>
      <c r="G870" t="str">
        <f>IF(YLE成绩库!C370="","", YLE成绩库!N370)</f>
        <v/>
      </c>
      <c r="H870" t="str">
        <f>IF(YLE成绩库!C370="","", YLE成绩库!O370)</f>
        <v/>
      </c>
      <c r="I870" t="str">
        <f>IF(YLE成绩库!C370="","", YLE成绩库!P370)</f>
        <v/>
      </c>
      <c r="J870" t="str">
        <f>IF(YLE成绩库!C370="","", YLE成绩库!Q370)</f>
        <v/>
      </c>
      <c r="K870" t="str">
        <f>IF(YLE成绩库!C370="","", YLE成绩库!R370)</f>
        <v/>
      </c>
      <c r="L870" t="str">
        <f>IF(YLE成绩库!C370="","", YLE成绩库!U370)</f>
        <v/>
      </c>
      <c r="M870">
        <v>0</v>
      </c>
      <c r="N870">
        <v>0</v>
      </c>
      <c r="O870">
        <v>0</v>
      </c>
      <c r="P870" t="str">
        <f>IF(YLE成绩库!C370="","", YLE成绩库!D370)</f>
        <v/>
      </c>
      <c r="Q870" t="str">
        <f>IF(YLE成绩库!C370="","", YLE成绩库!E370)</f>
        <v/>
      </c>
      <c r="R870" t="str">
        <f>IF(YLE成绩库!C370="","", YLE成绩库!F370)</f>
        <v/>
      </c>
      <c r="S870" t="str">
        <f>IF(YLE成绩库!C370="","", YLE成绩库!G370)</f>
        <v/>
      </c>
      <c r="T870" t="str">
        <f>IF(YLE成绩库!C370="","", YLE成绩库!H370)</f>
        <v/>
      </c>
      <c r="U870" t="str">
        <f>IF(YLE成绩库!C370="","", YLE成绩库!K370)</f>
        <v/>
      </c>
      <c r="V870" t="str">
        <f>IF(YLE成绩库!C370="","", YLE成绩库!W370)</f>
        <v/>
      </c>
      <c r="W870" t="str">
        <f>IF(YLE成绩库!C370="","", YLE成绩库!X370)</f>
        <v/>
      </c>
      <c r="X870" t="str">
        <f>IF(YLE成绩库!C370="","", YLE成绩库!AA370)</f>
        <v/>
      </c>
      <c r="Z870" t="str">
        <f>IF(YLE成绩库!C370="","", YLE成绩库!Z370)</f>
        <v/>
      </c>
    </row>
    <row r="871" spans="1:26" x14ac:dyDescent="0.2">
      <c r="A871" t="str">
        <f>IF(YLE成绩库!C371="","", YLE成绩库!C371)</f>
        <v/>
      </c>
      <c r="B871" t="str">
        <f>IF(YLE成绩库!AB371="","", YLE成绩库!AB371)</f>
        <v/>
      </c>
      <c r="C871" t="str">
        <f>IF(YLE成绩库!B371="","", YLE成绩库!B371)</f>
        <v/>
      </c>
      <c r="D871" t="str">
        <f>IF(YLE成绩库!D371="","", YLE成绩库!D371)</f>
        <v/>
      </c>
      <c r="E871" t="str">
        <f>IF(YLE成绩库!C371="","", YLE成绩库!L371)</f>
        <v/>
      </c>
      <c r="F871" t="str">
        <f>IF(YLE成绩库!C371="","", YLE成绩库!M371)</f>
        <v/>
      </c>
      <c r="G871" t="str">
        <f>IF(YLE成绩库!C371="","", YLE成绩库!N371)</f>
        <v/>
      </c>
      <c r="H871" t="str">
        <f>IF(YLE成绩库!C371="","", YLE成绩库!O371)</f>
        <v/>
      </c>
      <c r="I871" t="str">
        <f>IF(YLE成绩库!C371="","", YLE成绩库!P371)</f>
        <v/>
      </c>
      <c r="J871" t="str">
        <f>IF(YLE成绩库!C371="","", YLE成绩库!Q371)</f>
        <v/>
      </c>
      <c r="K871" t="str">
        <f>IF(YLE成绩库!C371="","", YLE成绩库!R371)</f>
        <v/>
      </c>
      <c r="L871" t="str">
        <f>IF(YLE成绩库!C371="","", YLE成绩库!U371)</f>
        <v/>
      </c>
      <c r="M871">
        <v>0</v>
      </c>
      <c r="N871">
        <v>0</v>
      </c>
      <c r="O871">
        <v>0</v>
      </c>
      <c r="P871" t="str">
        <f>IF(YLE成绩库!C371="","", YLE成绩库!D371)</f>
        <v/>
      </c>
      <c r="Q871" t="str">
        <f>IF(YLE成绩库!C371="","", YLE成绩库!E371)</f>
        <v/>
      </c>
      <c r="R871" t="str">
        <f>IF(YLE成绩库!C371="","", YLE成绩库!F371)</f>
        <v/>
      </c>
      <c r="S871" t="str">
        <f>IF(YLE成绩库!C371="","", YLE成绩库!G371)</f>
        <v/>
      </c>
      <c r="T871" t="str">
        <f>IF(YLE成绩库!C371="","", YLE成绩库!H371)</f>
        <v/>
      </c>
      <c r="U871" t="str">
        <f>IF(YLE成绩库!C371="","", YLE成绩库!K371)</f>
        <v/>
      </c>
      <c r="V871" t="str">
        <f>IF(YLE成绩库!C371="","", YLE成绩库!W371)</f>
        <v/>
      </c>
      <c r="W871" t="str">
        <f>IF(YLE成绩库!C371="","", YLE成绩库!X371)</f>
        <v/>
      </c>
      <c r="X871" t="str">
        <f>IF(YLE成绩库!C371="","", YLE成绩库!AA371)</f>
        <v/>
      </c>
      <c r="Z871" t="str">
        <f>IF(YLE成绩库!C371="","", YLE成绩库!Z371)</f>
        <v/>
      </c>
    </row>
    <row r="872" spans="1:26" x14ac:dyDescent="0.2">
      <c r="A872" t="str">
        <f>IF(YLE成绩库!C372="","", YLE成绩库!C372)</f>
        <v/>
      </c>
      <c r="B872" t="str">
        <f>IF(YLE成绩库!AB372="","", YLE成绩库!AB372)</f>
        <v/>
      </c>
      <c r="C872" t="str">
        <f>IF(YLE成绩库!B372="","", YLE成绩库!B372)</f>
        <v/>
      </c>
      <c r="D872" t="str">
        <f>IF(YLE成绩库!D372="","", YLE成绩库!D372)</f>
        <v/>
      </c>
      <c r="E872" t="str">
        <f>IF(YLE成绩库!C372="","", YLE成绩库!L372)</f>
        <v/>
      </c>
      <c r="F872" t="str">
        <f>IF(YLE成绩库!C372="","", YLE成绩库!M372)</f>
        <v/>
      </c>
      <c r="G872" t="str">
        <f>IF(YLE成绩库!C372="","", YLE成绩库!N372)</f>
        <v/>
      </c>
      <c r="H872" t="str">
        <f>IF(YLE成绩库!C372="","", YLE成绩库!O372)</f>
        <v/>
      </c>
      <c r="I872" t="str">
        <f>IF(YLE成绩库!C372="","", YLE成绩库!P372)</f>
        <v/>
      </c>
      <c r="J872" t="str">
        <f>IF(YLE成绩库!C372="","", YLE成绩库!Q372)</f>
        <v/>
      </c>
      <c r="K872" t="str">
        <f>IF(YLE成绩库!C372="","", YLE成绩库!R372)</f>
        <v/>
      </c>
      <c r="L872" t="str">
        <f>IF(YLE成绩库!C372="","", YLE成绩库!U372)</f>
        <v/>
      </c>
      <c r="M872">
        <v>0</v>
      </c>
      <c r="N872">
        <v>0</v>
      </c>
      <c r="O872">
        <v>0</v>
      </c>
      <c r="P872" t="str">
        <f>IF(YLE成绩库!C372="","", YLE成绩库!D372)</f>
        <v/>
      </c>
      <c r="Q872" t="str">
        <f>IF(YLE成绩库!C372="","", YLE成绩库!E372)</f>
        <v/>
      </c>
      <c r="R872" t="str">
        <f>IF(YLE成绩库!C372="","", YLE成绩库!F372)</f>
        <v/>
      </c>
      <c r="S872" t="str">
        <f>IF(YLE成绩库!C372="","", YLE成绩库!G372)</f>
        <v/>
      </c>
      <c r="T872" t="str">
        <f>IF(YLE成绩库!C372="","", YLE成绩库!H372)</f>
        <v/>
      </c>
      <c r="U872" t="str">
        <f>IF(YLE成绩库!C372="","", YLE成绩库!K372)</f>
        <v/>
      </c>
      <c r="V872" t="str">
        <f>IF(YLE成绩库!C372="","", YLE成绩库!W372)</f>
        <v/>
      </c>
      <c r="W872" t="str">
        <f>IF(YLE成绩库!C372="","", YLE成绩库!X372)</f>
        <v/>
      </c>
      <c r="X872" t="str">
        <f>IF(YLE成绩库!C372="","", YLE成绩库!AA372)</f>
        <v/>
      </c>
      <c r="Z872" t="str">
        <f>IF(YLE成绩库!C372="","", YLE成绩库!Z372)</f>
        <v/>
      </c>
    </row>
    <row r="873" spans="1:26" x14ac:dyDescent="0.2">
      <c r="A873" t="str">
        <f>IF(YLE成绩库!C373="","", YLE成绩库!C373)</f>
        <v/>
      </c>
      <c r="B873" t="str">
        <f>IF(YLE成绩库!AB373="","", YLE成绩库!AB373)</f>
        <v/>
      </c>
      <c r="C873" t="str">
        <f>IF(YLE成绩库!B373="","", YLE成绩库!B373)</f>
        <v/>
      </c>
      <c r="D873" t="str">
        <f>IF(YLE成绩库!D373="","", YLE成绩库!D373)</f>
        <v/>
      </c>
      <c r="E873" t="str">
        <f>IF(YLE成绩库!C373="","", YLE成绩库!L373)</f>
        <v/>
      </c>
      <c r="F873" t="str">
        <f>IF(YLE成绩库!C373="","", YLE成绩库!M373)</f>
        <v/>
      </c>
      <c r="G873" t="str">
        <f>IF(YLE成绩库!C373="","", YLE成绩库!N373)</f>
        <v/>
      </c>
      <c r="H873" t="str">
        <f>IF(YLE成绩库!C373="","", YLE成绩库!O373)</f>
        <v/>
      </c>
      <c r="I873" t="str">
        <f>IF(YLE成绩库!C373="","", YLE成绩库!P373)</f>
        <v/>
      </c>
      <c r="J873" t="str">
        <f>IF(YLE成绩库!C373="","", YLE成绩库!Q373)</f>
        <v/>
      </c>
      <c r="K873" t="str">
        <f>IF(YLE成绩库!C373="","", YLE成绩库!R373)</f>
        <v/>
      </c>
      <c r="L873" t="str">
        <f>IF(YLE成绩库!C373="","", YLE成绩库!U373)</f>
        <v/>
      </c>
      <c r="M873">
        <v>0</v>
      </c>
      <c r="N873">
        <v>0</v>
      </c>
      <c r="O873">
        <v>0</v>
      </c>
      <c r="P873" t="str">
        <f>IF(YLE成绩库!C373="","", YLE成绩库!D373)</f>
        <v/>
      </c>
      <c r="Q873" t="str">
        <f>IF(YLE成绩库!C373="","", YLE成绩库!E373)</f>
        <v/>
      </c>
      <c r="R873" t="str">
        <f>IF(YLE成绩库!C373="","", YLE成绩库!F373)</f>
        <v/>
      </c>
      <c r="S873" t="str">
        <f>IF(YLE成绩库!C373="","", YLE成绩库!G373)</f>
        <v/>
      </c>
      <c r="T873" t="str">
        <f>IF(YLE成绩库!C373="","", YLE成绩库!H373)</f>
        <v/>
      </c>
      <c r="U873" t="str">
        <f>IF(YLE成绩库!C373="","", YLE成绩库!K373)</f>
        <v/>
      </c>
      <c r="V873" t="str">
        <f>IF(YLE成绩库!C373="","", YLE成绩库!W373)</f>
        <v/>
      </c>
      <c r="W873" t="str">
        <f>IF(YLE成绩库!C373="","", YLE成绩库!X373)</f>
        <v/>
      </c>
      <c r="X873" t="str">
        <f>IF(YLE成绩库!C373="","", YLE成绩库!AA373)</f>
        <v/>
      </c>
      <c r="Z873" t="str">
        <f>IF(YLE成绩库!C373="","", YLE成绩库!Z373)</f>
        <v/>
      </c>
    </row>
    <row r="874" spans="1:26" x14ac:dyDescent="0.2">
      <c r="A874" t="str">
        <f>IF(YLE成绩库!C374="","", YLE成绩库!C374)</f>
        <v/>
      </c>
      <c r="B874" t="str">
        <f>IF(YLE成绩库!AB374="","", YLE成绩库!AB374)</f>
        <v/>
      </c>
      <c r="C874" t="str">
        <f>IF(YLE成绩库!B374="","", YLE成绩库!B374)</f>
        <v/>
      </c>
      <c r="D874" t="str">
        <f>IF(YLE成绩库!D374="","", YLE成绩库!D374)</f>
        <v/>
      </c>
      <c r="E874" t="str">
        <f>IF(YLE成绩库!C374="","", YLE成绩库!L374)</f>
        <v/>
      </c>
      <c r="F874" t="str">
        <f>IF(YLE成绩库!C374="","", YLE成绩库!M374)</f>
        <v/>
      </c>
      <c r="G874" t="str">
        <f>IF(YLE成绩库!C374="","", YLE成绩库!N374)</f>
        <v/>
      </c>
      <c r="H874" t="str">
        <f>IF(YLE成绩库!C374="","", YLE成绩库!O374)</f>
        <v/>
      </c>
      <c r="I874" t="str">
        <f>IF(YLE成绩库!C374="","", YLE成绩库!P374)</f>
        <v/>
      </c>
      <c r="J874" t="str">
        <f>IF(YLE成绩库!C374="","", YLE成绩库!Q374)</f>
        <v/>
      </c>
      <c r="K874" t="str">
        <f>IF(YLE成绩库!C374="","", YLE成绩库!R374)</f>
        <v/>
      </c>
      <c r="L874" t="str">
        <f>IF(YLE成绩库!C374="","", YLE成绩库!U374)</f>
        <v/>
      </c>
      <c r="M874">
        <v>0</v>
      </c>
      <c r="N874">
        <v>0</v>
      </c>
      <c r="O874">
        <v>0</v>
      </c>
      <c r="P874" t="str">
        <f>IF(YLE成绩库!C374="","", YLE成绩库!D374)</f>
        <v/>
      </c>
      <c r="Q874" t="str">
        <f>IF(YLE成绩库!C374="","", YLE成绩库!E374)</f>
        <v/>
      </c>
      <c r="R874" t="str">
        <f>IF(YLE成绩库!C374="","", YLE成绩库!F374)</f>
        <v/>
      </c>
      <c r="S874" t="str">
        <f>IF(YLE成绩库!C374="","", YLE成绩库!G374)</f>
        <v/>
      </c>
      <c r="T874" t="str">
        <f>IF(YLE成绩库!C374="","", YLE成绩库!H374)</f>
        <v/>
      </c>
      <c r="U874" t="str">
        <f>IF(YLE成绩库!C374="","", YLE成绩库!K374)</f>
        <v/>
      </c>
      <c r="V874" t="str">
        <f>IF(YLE成绩库!C374="","", YLE成绩库!W374)</f>
        <v/>
      </c>
      <c r="W874" t="str">
        <f>IF(YLE成绩库!C374="","", YLE成绩库!X374)</f>
        <v/>
      </c>
      <c r="X874" t="str">
        <f>IF(YLE成绩库!C374="","", YLE成绩库!AA374)</f>
        <v/>
      </c>
      <c r="Z874" t="str">
        <f>IF(YLE成绩库!C374="","", YLE成绩库!Z374)</f>
        <v/>
      </c>
    </row>
    <row r="875" spans="1:26" x14ac:dyDescent="0.2">
      <c r="A875" t="str">
        <f>IF(YLE成绩库!C375="","", YLE成绩库!C375)</f>
        <v/>
      </c>
      <c r="B875" t="str">
        <f>IF(YLE成绩库!AB375="","", YLE成绩库!AB375)</f>
        <v/>
      </c>
      <c r="C875" t="str">
        <f>IF(YLE成绩库!B375="","", YLE成绩库!B375)</f>
        <v/>
      </c>
      <c r="D875" t="str">
        <f>IF(YLE成绩库!D375="","", YLE成绩库!D375)</f>
        <v/>
      </c>
      <c r="E875" t="str">
        <f>IF(YLE成绩库!C375="","", YLE成绩库!L375)</f>
        <v/>
      </c>
      <c r="F875" t="str">
        <f>IF(YLE成绩库!C375="","", YLE成绩库!M375)</f>
        <v/>
      </c>
      <c r="G875" t="str">
        <f>IF(YLE成绩库!C375="","", YLE成绩库!N375)</f>
        <v/>
      </c>
      <c r="H875" t="str">
        <f>IF(YLE成绩库!C375="","", YLE成绩库!O375)</f>
        <v/>
      </c>
      <c r="I875" t="str">
        <f>IF(YLE成绩库!C375="","", YLE成绩库!P375)</f>
        <v/>
      </c>
      <c r="J875" t="str">
        <f>IF(YLE成绩库!C375="","", YLE成绩库!Q375)</f>
        <v/>
      </c>
      <c r="K875" t="str">
        <f>IF(YLE成绩库!C375="","", YLE成绩库!R375)</f>
        <v/>
      </c>
      <c r="L875" t="str">
        <f>IF(YLE成绩库!C375="","", YLE成绩库!U375)</f>
        <v/>
      </c>
      <c r="M875">
        <v>0</v>
      </c>
      <c r="N875">
        <v>0</v>
      </c>
      <c r="O875">
        <v>0</v>
      </c>
      <c r="P875" t="str">
        <f>IF(YLE成绩库!C375="","", YLE成绩库!D375)</f>
        <v/>
      </c>
      <c r="Q875" t="str">
        <f>IF(YLE成绩库!C375="","", YLE成绩库!E375)</f>
        <v/>
      </c>
      <c r="R875" t="str">
        <f>IF(YLE成绩库!C375="","", YLE成绩库!F375)</f>
        <v/>
      </c>
      <c r="S875" t="str">
        <f>IF(YLE成绩库!C375="","", YLE成绩库!G375)</f>
        <v/>
      </c>
      <c r="T875" t="str">
        <f>IF(YLE成绩库!C375="","", YLE成绩库!H375)</f>
        <v/>
      </c>
      <c r="U875" t="str">
        <f>IF(YLE成绩库!C375="","", YLE成绩库!K375)</f>
        <v/>
      </c>
      <c r="V875" t="str">
        <f>IF(YLE成绩库!C375="","", YLE成绩库!W375)</f>
        <v/>
      </c>
      <c r="W875" t="str">
        <f>IF(YLE成绩库!C375="","", YLE成绩库!X375)</f>
        <v/>
      </c>
      <c r="X875" t="str">
        <f>IF(YLE成绩库!C375="","", YLE成绩库!AA375)</f>
        <v/>
      </c>
      <c r="Z875" t="str">
        <f>IF(YLE成绩库!C375="","", YLE成绩库!Z375)</f>
        <v/>
      </c>
    </row>
    <row r="876" spans="1:26" x14ac:dyDescent="0.2">
      <c r="A876" t="str">
        <f>IF(YLE成绩库!C376="","", YLE成绩库!C376)</f>
        <v/>
      </c>
      <c r="B876" t="str">
        <f>IF(YLE成绩库!AB376="","", YLE成绩库!AB376)</f>
        <v/>
      </c>
      <c r="C876" t="str">
        <f>IF(YLE成绩库!B376="","", YLE成绩库!B376)</f>
        <v/>
      </c>
      <c r="D876" t="str">
        <f>IF(YLE成绩库!D376="","", YLE成绩库!D376)</f>
        <v/>
      </c>
      <c r="E876" t="str">
        <f>IF(YLE成绩库!C376="","", YLE成绩库!L376)</f>
        <v/>
      </c>
      <c r="F876" t="str">
        <f>IF(YLE成绩库!C376="","", YLE成绩库!M376)</f>
        <v/>
      </c>
      <c r="G876" t="str">
        <f>IF(YLE成绩库!C376="","", YLE成绩库!N376)</f>
        <v/>
      </c>
      <c r="H876" t="str">
        <f>IF(YLE成绩库!C376="","", YLE成绩库!O376)</f>
        <v/>
      </c>
      <c r="I876" t="str">
        <f>IF(YLE成绩库!C376="","", YLE成绩库!P376)</f>
        <v/>
      </c>
      <c r="J876" t="str">
        <f>IF(YLE成绩库!C376="","", YLE成绩库!Q376)</f>
        <v/>
      </c>
      <c r="K876" t="str">
        <f>IF(YLE成绩库!C376="","", YLE成绩库!R376)</f>
        <v/>
      </c>
      <c r="L876" t="str">
        <f>IF(YLE成绩库!C376="","", YLE成绩库!U376)</f>
        <v/>
      </c>
      <c r="M876">
        <v>0</v>
      </c>
      <c r="N876">
        <v>0</v>
      </c>
      <c r="O876">
        <v>0</v>
      </c>
      <c r="P876" t="str">
        <f>IF(YLE成绩库!C376="","", YLE成绩库!D376)</f>
        <v/>
      </c>
      <c r="Q876" t="str">
        <f>IF(YLE成绩库!C376="","", YLE成绩库!E376)</f>
        <v/>
      </c>
      <c r="R876" t="str">
        <f>IF(YLE成绩库!C376="","", YLE成绩库!F376)</f>
        <v/>
      </c>
      <c r="S876" t="str">
        <f>IF(YLE成绩库!C376="","", YLE成绩库!G376)</f>
        <v/>
      </c>
      <c r="T876" t="str">
        <f>IF(YLE成绩库!C376="","", YLE成绩库!H376)</f>
        <v/>
      </c>
      <c r="U876" t="str">
        <f>IF(YLE成绩库!C376="","", YLE成绩库!K376)</f>
        <v/>
      </c>
      <c r="V876" t="str">
        <f>IF(YLE成绩库!C376="","", YLE成绩库!W376)</f>
        <v/>
      </c>
      <c r="W876" t="str">
        <f>IF(YLE成绩库!C376="","", YLE成绩库!X376)</f>
        <v/>
      </c>
      <c r="X876" t="str">
        <f>IF(YLE成绩库!C376="","", YLE成绩库!AA376)</f>
        <v/>
      </c>
      <c r="Z876" t="str">
        <f>IF(YLE成绩库!C376="","", YLE成绩库!Z376)</f>
        <v/>
      </c>
    </row>
    <row r="877" spans="1:26" x14ac:dyDescent="0.2">
      <c r="A877" t="str">
        <f>IF(YLE成绩库!C377="","", YLE成绩库!C377)</f>
        <v/>
      </c>
      <c r="B877" t="str">
        <f>IF(YLE成绩库!AB377="","", YLE成绩库!AB377)</f>
        <v/>
      </c>
      <c r="C877" t="str">
        <f>IF(YLE成绩库!B377="","", YLE成绩库!B377)</f>
        <v/>
      </c>
      <c r="D877" t="str">
        <f>IF(YLE成绩库!D377="","", YLE成绩库!D377)</f>
        <v/>
      </c>
      <c r="E877" t="str">
        <f>IF(YLE成绩库!C377="","", YLE成绩库!L377)</f>
        <v/>
      </c>
      <c r="F877" t="str">
        <f>IF(YLE成绩库!C377="","", YLE成绩库!M377)</f>
        <v/>
      </c>
      <c r="G877" t="str">
        <f>IF(YLE成绩库!C377="","", YLE成绩库!N377)</f>
        <v/>
      </c>
      <c r="H877" t="str">
        <f>IF(YLE成绩库!C377="","", YLE成绩库!O377)</f>
        <v/>
      </c>
      <c r="I877" t="str">
        <f>IF(YLE成绩库!C377="","", YLE成绩库!P377)</f>
        <v/>
      </c>
      <c r="J877" t="str">
        <f>IF(YLE成绩库!C377="","", YLE成绩库!Q377)</f>
        <v/>
      </c>
      <c r="K877" t="str">
        <f>IF(YLE成绩库!C377="","", YLE成绩库!R377)</f>
        <v/>
      </c>
      <c r="L877" t="str">
        <f>IF(YLE成绩库!C377="","", YLE成绩库!U377)</f>
        <v/>
      </c>
      <c r="M877">
        <v>0</v>
      </c>
      <c r="N877">
        <v>0</v>
      </c>
      <c r="O877">
        <v>0</v>
      </c>
      <c r="P877" t="str">
        <f>IF(YLE成绩库!C377="","", YLE成绩库!D377)</f>
        <v/>
      </c>
      <c r="Q877" t="str">
        <f>IF(YLE成绩库!C377="","", YLE成绩库!E377)</f>
        <v/>
      </c>
      <c r="R877" t="str">
        <f>IF(YLE成绩库!C377="","", YLE成绩库!F377)</f>
        <v/>
      </c>
      <c r="S877" t="str">
        <f>IF(YLE成绩库!C377="","", YLE成绩库!G377)</f>
        <v/>
      </c>
      <c r="T877" t="str">
        <f>IF(YLE成绩库!C377="","", YLE成绩库!H377)</f>
        <v/>
      </c>
      <c r="U877" t="str">
        <f>IF(YLE成绩库!C377="","", YLE成绩库!K377)</f>
        <v/>
      </c>
      <c r="V877" t="str">
        <f>IF(YLE成绩库!C377="","", YLE成绩库!W377)</f>
        <v/>
      </c>
      <c r="W877" t="str">
        <f>IF(YLE成绩库!C377="","", YLE成绩库!X377)</f>
        <v/>
      </c>
      <c r="X877" t="str">
        <f>IF(YLE成绩库!C377="","", YLE成绩库!AA377)</f>
        <v/>
      </c>
      <c r="Z877" t="str">
        <f>IF(YLE成绩库!C377="","", YLE成绩库!Z377)</f>
        <v/>
      </c>
    </row>
    <row r="878" spans="1:26" x14ac:dyDescent="0.2">
      <c r="A878" t="str">
        <f>IF(YLE成绩库!C378="","", YLE成绩库!C378)</f>
        <v/>
      </c>
      <c r="B878" t="str">
        <f>IF(YLE成绩库!AB378="","", YLE成绩库!AB378)</f>
        <v/>
      </c>
      <c r="C878" t="str">
        <f>IF(YLE成绩库!B378="","", YLE成绩库!B378)</f>
        <v/>
      </c>
      <c r="D878" t="str">
        <f>IF(YLE成绩库!D378="","", YLE成绩库!D378)</f>
        <v/>
      </c>
      <c r="E878" t="str">
        <f>IF(YLE成绩库!C378="","", YLE成绩库!L378)</f>
        <v/>
      </c>
      <c r="F878" t="str">
        <f>IF(YLE成绩库!C378="","", YLE成绩库!M378)</f>
        <v/>
      </c>
      <c r="G878" t="str">
        <f>IF(YLE成绩库!C378="","", YLE成绩库!N378)</f>
        <v/>
      </c>
      <c r="H878" t="str">
        <f>IF(YLE成绩库!C378="","", YLE成绩库!O378)</f>
        <v/>
      </c>
      <c r="I878" t="str">
        <f>IF(YLE成绩库!C378="","", YLE成绩库!P378)</f>
        <v/>
      </c>
      <c r="J878" t="str">
        <f>IF(YLE成绩库!C378="","", YLE成绩库!Q378)</f>
        <v/>
      </c>
      <c r="K878" t="str">
        <f>IF(YLE成绩库!C378="","", YLE成绩库!R378)</f>
        <v/>
      </c>
      <c r="L878" t="str">
        <f>IF(YLE成绩库!C378="","", YLE成绩库!U378)</f>
        <v/>
      </c>
      <c r="M878">
        <v>0</v>
      </c>
      <c r="N878">
        <v>0</v>
      </c>
      <c r="O878">
        <v>0</v>
      </c>
      <c r="P878" t="str">
        <f>IF(YLE成绩库!C378="","", YLE成绩库!D378)</f>
        <v/>
      </c>
      <c r="Q878" t="str">
        <f>IF(YLE成绩库!C378="","", YLE成绩库!E378)</f>
        <v/>
      </c>
      <c r="R878" t="str">
        <f>IF(YLE成绩库!C378="","", YLE成绩库!F378)</f>
        <v/>
      </c>
      <c r="S878" t="str">
        <f>IF(YLE成绩库!C378="","", YLE成绩库!G378)</f>
        <v/>
      </c>
      <c r="T878" t="str">
        <f>IF(YLE成绩库!C378="","", YLE成绩库!H378)</f>
        <v/>
      </c>
      <c r="U878" t="str">
        <f>IF(YLE成绩库!C378="","", YLE成绩库!K378)</f>
        <v/>
      </c>
      <c r="V878" t="str">
        <f>IF(YLE成绩库!C378="","", YLE成绩库!W378)</f>
        <v/>
      </c>
      <c r="W878" t="str">
        <f>IF(YLE成绩库!C378="","", YLE成绩库!X378)</f>
        <v/>
      </c>
      <c r="X878" t="str">
        <f>IF(YLE成绩库!C378="","", YLE成绩库!AA378)</f>
        <v/>
      </c>
      <c r="Z878" t="str">
        <f>IF(YLE成绩库!C378="","", YLE成绩库!Z378)</f>
        <v/>
      </c>
    </row>
    <row r="879" spans="1:26" x14ac:dyDescent="0.2">
      <c r="A879" t="str">
        <f>IF(YLE成绩库!C379="","", YLE成绩库!C379)</f>
        <v/>
      </c>
      <c r="B879" t="str">
        <f>IF(YLE成绩库!AB379="","", YLE成绩库!AB379)</f>
        <v/>
      </c>
      <c r="C879" t="str">
        <f>IF(YLE成绩库!B379="","", YLE成绩库!B379)</f>
        <v/>
      </c>
      <c r="D879" t="str">
        <f>IF(YLE成绩库!D379="","", YLE成绩库!D379)</f>
        <v/>
      </c>
      <c r="E879" t="str">
        <f>IF(YLE成绩库!C379="","", YLE成绩库!L379)</f>
        <v/>
      </c>
      <c r="F879" t="str">
        <f>IF(YLE成绩库!C379="","", YLE成绩库!M379)</f>
        <v/>
      </c>
      <c r="G879" t="str">
        <f>IF(YLE成绩库!C379="","", YLE成绩库!N379)</f>
        <v/>
      </c>
      <c r="H879" t="str">
        <f>IF(YLE成绩库!C379="","", YLE成绩库!O379)</f>
        <v/>
      </c>
      <c r="I879" t="str">
        <f>IF(YLE成绩库!C379="","", YLE成绩库!P379)</f>
        <v/>
      </c>
      <c r="J879" t="str">
        <f>IF(YLE成绩库!C379="","", YLE成绩库!Q379)</f>
        <v/>
      </c>
      <c r="K879" t="str">
        <f>IF(YLE成绩库!C379="","", YLE成绩库!R379)</f>
        <v/>
      </c>
      <c r="L879" t="str">
        <f>IF(YLE成绩库!C379="","", YLE成绩库!U379)</f>
        <v/>
      </c>
      <c r="M879">
        <v>0</v>
      </c>
      <c r="N879">
        <v>0</v>
      </c>
      <c r="O879">
        <v>0</v>
      </c>
      <c r="P879" t="str">
        <f>IF(YLE成绩库!C379="","", YLE成绩库!D379)</f>
        <v/>
      </c>
      <c r="Q879" t="str">
        <f>IF(YLE成绩库!C379="","", YLE成绩库!E379)</f>
        <v/>
      </c>
      <c r="R879" t="str">
        <f>IF(YLE成绩库!C379="","", YLE成绩库!F379)</f>
        <v/>
      </c>
      <c r="S879" t="str">
        <f>IF(YLE成绩库!C379="","", YLE成绩库!G379)</f>
        <v/>
      </c>
      <c r="T879" t="str">
        <f>IF(YLE成绩库!C379="","", YLE成绩库!H379)</f>
        <v/>
      </c>
      <c r="U879" t="str">
        <f>IF(YLE成绩库!C379="","", YLE成绩库!K379)</f>
        <v/>
      </c>
      <c r="V879" t="str">
        <f>IF(YLE成绩库!C379="","", YLE成绩库!W379)</f>
        <v/>
      </c>
      <c r="W879" t="str">
        <f>IF(YLE成绩库!C379="","", YLE成绩库!X379)</f>
        <v/>
      </c>
      <c r="X879" t="str">
        <f>IF(YLE成绩库!C379="","", YLE成绩库!AA379)</f>
        <v/>
      </c>
      <c r="Z879" t="str">
        <f>IF(YLE成绩库!C379="","", YLE成绩库!Z379)</f>
        <v/>
      </c>
    </row>
    <row r="880" spans="1:26" x14ac:dyDescent="0.2">
      <c r="A880" t="str">
        <f>IF(YLE成绩库!C380="","", YLE成绩库!C380)</f>
        <v/>
      </c>
      <c r="B880" t="str">
        <f>IF(YLE成绩库!AB380="","", YLE成绩库!AB380)</f>
        <v/>
      </c>
      <c r="C880" t="str">
        <f>IF(YLE成绩库!B380="","", YLE成绩库!B380)</f>
        <v/>
      </c>
      <c r="D880" t="str">
        <f>IF(YLE成绩库!D380="","", YLE成绩库!D380)</f>
        <v/>
      </c>
      <c r="E880" t="str">
        <f>IF(YLE成绩库!C380="","", YLE成绩库!L380)</f>
        <v/>
      </c>
      <c r="F880" t="str">
        <f>IF(YLE成绩库!C380="","", YLE成绩库!M380)</f>
        <v/>
      </c>
      <c r="G880" t="str">
        <f>IF(YLE成绩库!C380="","", YLE成绩库!N380)</f>
        <v/>
      </c>
      <c r="H880" t="str">
        <f>IF(YLE成绩库!C380="","", YLE成绩库!O380)</f>
        <v/>
      </c>
      <c r="I880" t="str">
        <f>IF(YLE成绩库!C380="","", YLE成绩库!P380)</f>
        <v/>
      </c>
      <c r="J880" t="str">
        <f>IF(YLE成绩库!C380="","", YLE成绩库!Q380)</f>
        <v/>
      </c>
      <c r="K880" t="str">
        <f>IF(YLE成绩库!C380="","", YLE成绩库!R380)</f>
        <v/>
      </c>
      <c r="L880" t="str">
        <f>IF(YLE成绩库!C380="","", YLE成绩库!U380)</f>
        <v/>
      </c>
      <c r="M880">
        <v>0</v>
      </c>
      <c r="N880">
        <v>0</v>
      </c>
      <c r="O880">
        <v>0</v>
      </c>
      <c r="P880" t="str">
        <f>IF(YLE成绩库!C380="","", YLE成绩库!D380)</f>
        <v/>
      </c>
      <c r="Q880" t="str">
        <f>IF(YLE成绩库!C380="","", YLE成绩库!E380)</f>
        <v/>
      </c>
      <c r="R880" t="str">
        <f>IF(YLE成绩库!C380="","", YLE成绩库!F380)</f>
        <v/>
      </c>
      <c r="S880" t="str">
        <f>IF(YLE成绩库!C380="","", YLE成绩库!G380)</f>
        <v/>
      </c>
      <c r="T880" t="str">
        <f>IF(YLE成绩库!C380="","", YLE成绩库!H380)</f>
        <v/>
      </c>
      <c r="U880" t="str">
        <f>IF(YLE成绩库!C380="","", YLE成绩库!K380)</f>
        <v/>
      </c>
      <c r="V880" t="str">
        <f>IF(YLE成绩库!C380="","", YLE成绩库!W380)</f>
        <v/>
      </c>
      <c r="W880" t="str">
        <f>IF(YLE成绩库!C380="","", YLE成绩库!X380)</f>
        <v/>
      </c>
      <c r="X880" t="str">
        <f>IF(YLE成绩库!C380="","", YLE成绩库!AA380)</f>
        <v/>
      </c>
      <c r="Z880" t="str">
        <f>IF(YLE成绩库!C380="","", YLE成绩库!Z380)</f>
        <v/>
      </c>
    </row>
    <row r="881" spans="1:26" x14ac:dyDescent="0.2">
      <c r="A881" t="str">
        <f>IF(YLE成绩库!C381="","", YLE成绩库!C381)</f>
        <v/>
      </c>
      <c r="B881" t="str">
        <f>IF(YLE成绩库!AB381="","", YLE成绩库!AB381)</f>
        <v/>
      </c>
      <c r="C881" t="str">
        <f>IF(YLE成绩库!B381="","", YLE成绩库!B381)</f>
        <v/>
      </c>
      <c r="D881" t="str">
        <f>IF(YLE成绩库!D381="","", YLE成绩库!D381)</f>
        <v/>
      </c>
      <c r="E881" t="str">
        <f>IF(YLE成绩库!C381="","", YLE成绩库!L381)</f>
        <v/>
      </c>
      <c r="F881" t="str">
        <f>IF(YLE成绩库!C381="","", YLE成绩库!M381)</f>
        <v/>
      </c>
      <c r="G881" t="str">
        <f>IF(YLE成绩库!C381="","", YLE成绩库!N381)</f>
        <v/>
      </c>
      <c r="H881" t="str">
        <f>IF(YLE成绩库!C381="","", YLE成绩库!O381)</f>
        <v/>
      </c>
      <c r="I881" t="str">
        <f>IF(YLE成绩库!C381="","", YLE成绩库!P381)</f>
        <v/>
      </c>
      <c r="J881" t="str">
        <f>IF(YLE成绩库!C381="","", YLE成绩库!Q381)</f>
        <v/>
      </c>
      <c r="K881" t="str">
        <f>IF(YLE成绩库!C381="","", YLE成绩库!R381)</f>
        <v/>
      </c>
      <c r="L881" t="str">
        <f>IF(YLE成绩库!C381="","", YLE成绩库!U381)</f>
        <v/>
      </c>
      <c r="M881">
        <v>0</v>
      </c>
      <c r="N881">
        <v>0</v>
      </c>
      <c r="O881">
        <v>0</v>
      </c>
      <c r="P881" t="str">
        <f>IF(YLE成绩库!C381="","", YLE成绩库!D381)</f>
        <v/>
      </c>
      <c r="Q881" t="str">
        <f>IF(YLE成绩库!C381="","", YLE成绩库!E381)</f>
        <v/>
      </c>
      <c r="R881" t="str">
        <f>IF(YLE成绩库!C381="","", YLE成绩库!F381)</f>
        <v/>
      </c>
      <c r="S881" t="str">
        <f>IF(YLE成绩库!C381="","", YLE成绩库!G381)</f>
        <v/>
      </c>
      <c r="T881" t="str">
        <f>IF(YLE成绩库!C381="","", YLE成绩库!H381)</f>
        <v/>
      </c>
      <c r="U881" t="str">
        <f>IF(YLE成绩库!C381="","", YLE成绩库!K381)</f>
        <v/>
      </c>
      <c r="V881" t="str">
        <f>IF(YLE成绩库!C381="","", YLE成绩库!W381)</f>
        <v/>
      </c>
      <c r="W881" t="str">
        <f>IF(YLE成绩库!C381="","", YLE成绩库!X381)</f>
        <v/>
      </c>
      <c r="X881" t="str">
        <f>IF(YLE成绩库!C381="","", YLE成绩库!AA381)</f>
        <v/>
      </c>
      <c r="Z881" t="str">
        <f>IF(YLE成绩库!C381="","", YLE成绩库!Z381)</f>
        <v/>
      </c>
    </row>
    <row r="882" spans="1:26" x14ac:dyDescent="0.2">
      <c r="A882" t="str">
        <f>IF(YLE成绩库!C382="","", YLE成绩库!C382)</f>
        <v/>
      </c>
      <c r="B882" t="str">
        <f>IF(YLE成绩库!AB382="","", YLE成绩库!AB382)</f>
        <v/>
      </c>
      <c r="C882" t="str">
        <f>IF(YLE成绩库!B382="","", YLE成绩库!B382)</f>
        <v/>
      </c>
      <c r="D882" t="str">
        <f>IF(YLE成绩库!D382="","", YLE成绩库!D382)</f>
        <v/>
      </c>
      <c r="E882" t="str">
        <f>IF(YLE成绩库!C382="","", YLE成绩库!L382)</f>
        <v/>
      </c>
      <c r="F882" t="str">
        <f>IF(YLE成绩库!C382="","", YLE成绩库!M382)</f>
        <v/>
      </c>
      <c r="G882" t="str">
        <f>IF(YLE成绩库!C382="","", YLE成绩库!N382)</f>
        <v/>
      </c>
      <c r="H882" t="str">
        <f>IF(YLE成绩库!C382="","", YLE成绩库!O382)</f>
        <v/>
      </c>
      <c r="I882" t="str">
        <f>IF(YLE成绩库!C382="","", YLE成绩库!P382)</f>
        <v/>
      </c>
      <c r="J882" t="str">
        <f>IF(YLE成绩库!C382="","", YLE成绩库!Q382)</f>
        <v/>
      </c>
      <c r="K882" t="str">
        <f>IF(YLE成绩库!C382="","", YLE成绩库!R382)</f>
        <v/>
      </c>
      <c r="L882" t="str">
        <f>IF(YLE成绩库!C382="","", YLE成绩库!U382)</f>
        <v/>
      </c>
      <c r="M882">
        <v>0</v>
      </c>
      <c r="N882">
        <v>0</v>
      </c>
      <c r="O882">
        <v>0</v>
      </c>
      <c r="P882" t="str">
        <f>IF(YLE成绩库!C382="","", YLE成绩库!D382)</f>
        <v/>
      </c>
      <c r="Q882" t="str">
        <f>IF(YLE成绩库!C382="","", YLE成绩库!E382)</f>
        <v/>
      </c>
      <c r="R882" t="str">
        <f>IF(YLE成绩库!C382="","", YLE成绩库!F382)</f>
        <v/>
      </c>
      <c r="S882" t="str">
        <f>IF(YLE成绩库!C382="","", YLE成绩库!G382)</f>
        <v/>
      </c>
      <c r="T882" t="str">
        <f>IF(YLE成绩库!C382="","", YLE成绩库!H382)</f>
        <v/>
      </c>
      <c r="U882" t="str">
        <f>IF(YLE成绩库!C382="","", YLE成绩库!K382)</f>
        <v/>
      </c>
      <c r="V882" t="str">
        <f>IF(YLE成绩库!C382="","", YLE成绩库!W382)</f>
        <v/>
      </c>
      <c r="W882" t="str">
        <f>IF(YLE成绩库!C382="","", YLE成绩库!X382)</f>
        <v/>
      </c>
      <c r="X882" t="str">
        <f>IF(YLE成绩库!C382="","", YLE成绩库!AA382)</f>
        <v/>
      </c>
      <c r="Z882" t="str">
        <f>IF(YLE成绩库!C382="","", YLE成绩库!Z382)</f>
        <v/>
      </c>
    </row>
    <row r="883" spans="1:26" x14ac:dyDescent="0.2">
      <c r="A883" t="str">
        <f>IF(YLE成绩库!C383="","", YLE成绩库!C383)</f>
        <v/>
      </c>
      <c r="B883" t="str">
        <f>IF(YLE成绩库!AB383="","", YLE成绩库!AB383)</f>
        <v/>
      </c>
      <c r="C883" t="str">
        <f>IF(YLE成绩库!B383="","", YLE成绩库!B383)</f>
        <v/>
      </c>
      <c r="D883" t="str">
        <f>IF(YLE成绩库!D383="","", YLE成绩库!D383)</f>
        <v/>
      </c>
      <c r="E883" t="str">
        <f>IF(YLE成绩库!C383="","", YLE成绩库!L383)</f>
        <v/>
      </c>
      <c r="F883" t="str">
        <f>IF(YLE成绩库!C383="","", YLE成绩库!M383)</f>
        <v/>
      </c>
      <c r="G883" t="str">
        <f>IF(YLE成绩库!C383="","", YLE成绩库!N383)</f>
        <v/>
      </c>
      <c r="H883" t="str">
        <f>IF(YLE成绩库!C383="","", YLE成绩库!O383)</f>
        <v/>
      </c>
      <c r="I883" t="str">
        <f>IF(YLE成绩库!C383="","", YLE成绩库!P383)</f>
        <v/>
      </c>
      <c r="J883" t="str">
        <f>IF(YLE成绩库!C383="","", YLE成绩库!Q383)</f>
        <v/>
      </c>
      <c r="K883" t="str">
        <f>IF(YLE成绩库!C383="","", YLE成绩库!R383)</f>
        <v/>
      </c>
      <c r="L883" t="str">
        <f>IF(YLE成绩库!C383="","", YLE成绩库!U383)</f>
        <v/>
      </c>
      <c r="M883">
        <v>0</v>
      </c>
      <c r="N883">
        <v>0</v>
      </c>
      <c r="O883">
        <v>0</v>
      </c>
      <c r="P883" t="str">
        <f>IF(YLE成绩库!C383="","", YLE成绩库!D383)</f>
        <v/>
      </c>
      <c r="Q883" t="str">
        <f>IF(YLE成绩库!C383="","", YLE成绩库!E383)</f>
        <v/>
      </c>
      <c r="R883" t="str">
        <f>IF(YLE成绩库!C383="","", YLE成绩库!F383)</f>
        <v/>
      </c>
      <c r="S883" t="str">
        <f>IF(YLE成绩库!C383="","", YLE成绩库!G383)</f>
        <v/>
      </c>
      <c r="T883" t="str">
        <f>IF(YLE成绩库!C383="","", YLE成绩库!H383)</f>
        <v/>
      </c>
      <c r="U883" t="str">
        <f>IF(YLE成绩库!C383="","", YLE成绩库!K383)</f>
        <v/>
      </c>
      <c r="V883" t="str">
        <f>IF(YLE成绩库!C383="","", YLE成绩库!W383)</f>
        <v/>
      </c>
      <c r="W883" t="str">
        <f>IF(YLE成绩库!C383="","", YLE成绩库!X383)</f>
        <v/>
      </c>
      <c r="X883" t="str">
        <f>IF(YLE成绩库!C383="","", YLE成绩库!AA383)</f>
        <v/>
      </c>
      <c r="Z883" t="str">
        <f>IF(YLE成绩库!C383="","", YLE成绩库!Z383)</f>
        <v/>
      </c>
    </row>
    <row r="884" spans="1:26" x14ac:dyDescent="0.2">
      <c r="A884" t="str">
        <f>IF(YLE成绩库!C384="","", YLE成绩库!C384)</f>
        <v/>
      </c>
      <c r="B884" t="str">
        <f>IF(YLE成绩库!AB384="","", YLE成绩库!AB384)</f>
        <v/>
      </c>
      <c r="C884" t="str">
        <f>IF(YLE成绩库!B384="","", YLE成绩库!B384)</f>
        <v/>
      </c>
      <c r="D884" t="str">
        <f>IF(YLE成绩库!D384="","", YLE成绩库!D384)</f>
        <v/>
      </c>
      <c r="E884" t="str">
        <f>IF(YLE成绩库!C384="","", YLE成绩库!L384)</f>
        <v/>
      </c>
      <c r="F884" t="str">
        <f>IF(YLE成绩库!C384="","", YLE成绩库!M384)</f>
        <v/>
      </c>
      <c r="G884" t="str">
        <f>IF(YLE成绩库!C384="","", YLE成绩库!N384)</f>
        <v/>
      </c>
      <c r="H884" t="str">
        <f>IF(YLE成绩库!C384="","", YLE成绩库!O384)</f>
        <v/>
      </c>
      <c r="I884" t="str">
        <f>IF(YLE成绩库!C384="","", YLE成绩库!P384)</f>
        <v/>
      </c>
      <c r="J884" t="str">
        <f>IF(YLE成绩库!C384="","", YLE成绩库!Q384)</f>
        <v/>
      </c>
      <c r="K884" t="str">
        <f>IF(YLE成绩库!C384="","", YLE成绩库!R384)</f>
        <v/>
      </c>
      <c r="L884" t="str">
        <f>IF(YLE成绩库!C384="","", YLE成绩库!U384)</f>
        <v/>
      </c>
      <c r="M884">
        <v>0</v>
      </c>
      <c r="N884">
        <v>0</v>
      </c>
      <c r="O884">
        <v>0</v>
      </c>
      <c r="P884" t="str">
        <f>IF(YLE成绩库!C384="","", YLE成绩库!D384)</f>
        <v/>
      </c>
      <c r="Q884" t="str">
        <f>IF(YLE成绩库!C384="","", YLE成绩库!E384)</f>
        <v/>
      </c>
      <c r="R884" t="str">
        <f>IF(YLE成绩库!C384="","", YLE成绩库!F384)</f>
        <v/>
      </c>
      <c r="S884" t="str">
        <f>IF(YLE成绩库!C384="","", YLE成绩库!G384)</f>
        <v/>
      </c>
      <c r="T884" t="str">
        <f>IF(YLE成绩库!C384="","", YLE成绩库!H384)</f>
        <v/>
      </c>
      <c r="U884" t="str">
        <f>IF(YLE成绩库!C384="","", YLE成绩库!K384)</f>
        <v/>
      </c>
      <c r="V884" t="str">
        <f>IF(YLE成绩库!C384="","", YLE成绩库!W384)</f>
        <v/>
      </c>
      <c r="W884" t="str">
        <f>IF(YLE成绩库!C384="","", YLE成绩库!X384)</f>
        <v/>
      </c>
      <c r="X884" t="str">
        <f>IF(YLE成绩库!C384="","", YLE成绩库!AA384)</f>
        <v/>
      </c>
      <c r="Z884" t="str">
        <f>IF(YLE成绩库!C384="","", YLE成绩库!Z384)</f>
        <v/>
      </c>
    </row>
    <row r="885" spans="1:26" x14ac:dyDescent="0.2">
      <c r="A885" t="str">
        <f>IF(YLE成绩库!C385="","", YLE成绩库!C385)</f>
        <v/>
      </c>
      <c r="B885" t="str">
        <f>IF(YLE成绩库!AB385="","", YLE成绩库!AB385)</f>
        <v/>
      </c>
      <c r="C885" t="str">
        <f>IF(YLE成绩库!B385="","", YLE成绩库!B385)</f>
        <v/>
      </c>
      <c r="D885" t="str">
        <f>IF(YLE成绩库!D385="","", YLE成绩库!D385)</f>
        <v/>
      </c>
      <c r="E885" t="str">
        <f>IF(YLE成绩库!C385="","", YLE成绩库!L385)</f>
        <v/>
      </c>
      <c r="F885" t="str">
        <f>IF(YLE成绩库!C385="","", YLE成绩库!M385)</f>
        <v/>
      </c>
      <c r="G885" t="str">
        <f>IF(YLE成绩库!C385="","", YLE成绩库!N385)</f>
        <v/>
      </c>
      <c r="H885" t="str">
        <f>IF(YLE成绩库!C385="","", YLE成绩库!O385)</f>
        <v/>
      </c>
      <c r="I885" t="str">
        <f>IF(YLE成绩库!C385="","", YLE成绩库!P385)</f>
        <v/>
      </c>
      <c r="J885" t="str">
        <f>IF(YLE成绩库!C385="","", YLE成绩库!Q385)</f>
        <v/>
      </c>
      <c r="K885" t="str">
        <f>IF(YLE成绩库!C385="","", YLE成绩库!R385)</f>
        <v/>
      </c>
      <c r="L885" t="str">
        <f>IF(YLE成绩库!C385="","", YLE成绩库!U385)</f>
        <v/>
      </c>
      <c r="M885">
        <v>0</v>
      </c>
      <c r="N885">
        <v>0</v>
      </c>
      <c r="O885">
        <v>0</v>
      </c>
      <c r="P885" t="str">
        <f>IF(YLE成绩库!C385="","", YLE成绩库!D385)</f>
        <v/>
      </c>
      <c r="Q885" t="str">
        <f>IF(YLE成绩库!C385="","", YLE成绩库!E385)</f>
        <v/>
      </c>
      <c r="R885" t="str">
        <f>IF(YLE成绩库!C385="","", YLE成绩库!F385)</f>
        <v/>
      </c>
      <c r="S885" t="str">
        <f>IF(YLE成绩库!C385="","", YLE成绩库!G385)</f>
        <v/>
      </c>
      <c r="T885" t="str">
        <f>IF(YLE成绩库!C385="","", YLE成绩库!H385)</f>
        <v/>
      </c>
      <c r="U885" t="str">
        <f>IF(YLE成绩库!C385="","", YLE成绩库!K385)</f>
        <v/>
      </c>
      <c r="V885" t="str">
        <f>IF(YLE成绩库!C385="","", YLE成绩库!W385)</f>
        <v/>
      </c>
      <c r="W885" t="str">
        <f>IF(YLE成绩库!C385="","", YLE成绩库!X385)</f>
        <v/>
      </c>
      <c r="X885" t="str">
        <f>IF(YLE成绩库!C385="","", YLE成绩库!AA385)</f>
        <v/>
      </c>
      <c r="Z885" t="str">
        <f>IF(YLE成绩库!C385="","", YLE成绩库!Z385)</f>
        <v/>
      </c>
    </row>
    <row r="886" spans="1:26" x14ac:dyDescent="0.2">
      <c r="A886" t="str">
        <f>IF(YLE成绩库!C386="","", YLE成绩库!C386)</f>
        <v/>
      </c>
      <c r="B886" t="str">
        <f>IF(YLE成绩库!AB386="","", YLE成绩库!AB386)</f>
        <v/>
      </c>
      <c r="C886" t="str">
        <f>IF(YLE成绩库!B386="","", YLE成绩库!B386)</f>
        <v/>
      </c>
      <c r="D886" t="str">
        <f>IF(YLE成绩库!D386="","", YLE成绩库!D386)</f>
        <v/>
      </c>
      <c r="E886" t="str">
        <f>IF(YLE成绩库!C386="","", YLE成绩库!L386)</f>
        <v/>
      </c>
      <c r="F886" t="str">
        <f>IF(YLE成绩库!C386="","", YLE成绩库!M386)</f>
        <v/>
      </c>
      <c r="G886" t="str">
        <f>IF(YLE成绩库!C386="","", YLE成绩库!N386)</f>
        <v/>
      </c>
      <c r="H886" t="str">
        <f>IF(YLE成绩库!C386="","", YLE成绩库!O386)</f>
        <v/>
      </c>
      <c r="I886" t="str">
        <f>IF(YLE成绩库!C386="","", YLE成绩库!P386)</f>
        <v/>
      </c>
      <c r="J886" t="str">
        <f>IF(YLE成绩库!C386="","", YLE成绩库!Q386)</f>
        <v/>
      </c>
      <c r="K886" t="str">
        <f>IF(YLE成绩库!C386="","", YLE成绩库!R386)</f>
        <v/>
      </c>
      <c r="L886" t="str">
        <f>IF(YLE成绩库!C386="","", YLE成绩库!U386)</f>
        <v/>
      </c>
      <c r="M886">
        <v>0</v>
      </c>
      <c r="N886">
        <v>0</v>
      </c>
      <c r="O886">
        <v>0</v>
      </c>
      <c r="P886" t="str">
        <f>IF(YLE成绩库!C386="","", YLE成绩库!D386)</f>
        <v/>
      </c>
      <c r="Q886" t="str">
        <f>IF(YLE成绩库!C386="","", YLE成绩库!E386)</f>
        <v/>
      </c>
      <c r="R886" t="str">
        <f>IF(YLE成绩库!C386="","", YLE成绩库!F386)</f>
        <v/>
      </c>
      <c r="S886" t="str">
        <f>IF(YLE成绩库!C386="","", YLE成绩库!G386)</f>
        <v/>
      </c>
      <c r="T886" t="str">
        <f>IF(YLE成绩库!C386="","", YLE成绩库!H386)</f>
        <v/>
      </c>
      <c r="U886" t="str">
        <f>IF(YLE成绩库!C386="","", YLE成绩库!K386)</f>
        <v/>
      </c>
      <c r="V886" t="str">
        <f>IF(YLE成绩库!C386="","", YLE成绩库!W386)</f>
        <v/>
      </c>
      <c r="W886" t="str">
        <f>IF(YLE成绩库!C386="","", YLE成绩库!X386)</f>
        <v/>
      </c>
      <c r="X886" t="str">
        <f>IF(YLE成绩库!C386="","", YLE成绩库!AA386)</f>
        <v/>
      </c>
      <c r="Z886" t="str">
        <f>IF(YLE成绩库!C386="","", YLE成绩库!Z386)</f>
        <v/>
      </c>
    </row>
    <row r="887" spans="1:26" x14ac:dyDescent="0.2">
      <c r="A887" t="str">
        <f>IF(YLE成绩库!C387="","", YLE成绩库!C387)</f>
        <v/>
      </c>
      <c r="B887" t="str">
        <f>IF(YLE成绩库!AB387="","", YLE成绩库!AB387)</f>
        <v/>
      </c>
      <c r="C887" t="str">
        <f>IF(YLE成绩库!B387="","", YLE成绩库!B387)</f>
        <v/>
      </c>
      <c r="D887" t="str">
        <f>IF(YLE成绩库!D387="","", YLE成绩库!D387)</f>
        <v/>
      </c>
      <c r="E887" t="str">
        <f>IF(YLE成绩库!C387="","", YLE成绩库!L387)</f>
        <v/>
      </c>
      <c r="F887" t="str">
        <f>IF(YLE成绩库!C387="","", YLE成绩库!M387)</f>
        <v/>
      </c>
      <c r="G887" t="str">
        <f>IF(YLE成绩库!C387="","", YLE成绩库!N387)</f>
        <v/>
      </c>
      <c r="H887" t="str">
        <f>IF(YLE成绩库!C387="","", YLE成绩库!O387)</f>
        <v/>
      </c>
      <c r="I887" t="str">
        <f>IF(YLE成绩库!C387="","", YLE成绩库!P387)</f>
        <v/>
      </c>
      <c r="J887" t="str">
        <f>IF(YLE成绩库!C387="","", YLE成绩库!Q387)</f>
        <v/>
      </c>
      <c r="K887" t="str">
        <f>IF(YLE成绩库!C387="","", YLE成绩库!R387)</f>
        <v/>
      </c>
      <c r="L887" t="str">
        <f>IF(YLE成绩库!C387="","", YLE成绩库!U387)</f>
        <v/>
      </c>
      <c r="M887">
        <v>0</v>
      </c>
      <c r="N887">
        <v>0</v>
      </c>
      <c r="O887">
        <v>0</v>
      </c>
      <c r="P887" t="str">
        <f>IF(YLE成绩库!C387="","", YLE成绩库!D387)</f>
        <v/>
      </c>
      <c r="Q887" t="str">
        <f>IF(YLE成绩库!C387="","", YLE成绩库!E387)</f>
        <v/>
      </c>
      <c r="R887" t="str">
        <f>IF(YLE成绩库!C387="","", YLE成绩库!F387)</f>
        <v/>
      </c>
      <c r="S887" t="str">
        <f>IF(YLE成绩库!C387="","", YLE成绩库!G387)</f>
        <v/>
      </c>
      <c r="T887" t="str">
        <f>IF(YLE成绩库!C387="","", YLE成绩库!H387)</f>
        <v/>
      </c>
      <c r="U887" t="str">
        <f>IF(YLE成绩库!C387="","", YLE成绩库!K387)</f>
        <v/>
      </c>
      <c r="V887" t="str">
        <f>IF(YLE成绩库!C387="","", YLE成绩库!W387)</f>
        <v/>
      </c>
      <c r="W887" t="str">
        <f>IF(YLE成绩库!C387="","", YLE成绩库!X387)</f>
        <v/>
      </c>
      <c r="X887" t="str">
        <f>IF(YLE成绩库!C387="","", YLE成绩库!AA387)</f>
        <v/>
      </c>
      <c r="Z887" t="str">
        <f>IF(YLE成绩库!C387="","", YLE成绩库!Z387)</f>
        <v/>
      </c>
    </row>
    <row r="888" spans="1:26" x14ac:dyDescent="0.2">
      <c r="A888" t="str">
        <f>IF(YLE成绩库!C388="","", YLE成绩库!C388)</f>
        <v/>
      </c>
      <c r="B888" t="str">
        <f>IF(YLE成绩库!AB388="","", YLE成绩库!AB388)</f>
        <v/>
      </c>
      <c r="C888" t="str">
        <f>IF(YLE成绩库!B388="","", YLE成绩库!B388)</f>
        <v/>
      </c>
      <c r="D888" t="str">
        <f>IF(YLE成绩库!D388="","", YLE成绩库!D388)</f>
        <v/>
      </c>
      <c r="E888" t="str">
        <f>IF(YLE成绩库!C388="","", YLE成绩库!L388)</f>
        <v/>
      </c>
      <c r="F888" t="str">
        <f>IF(YLE成绩库!C388="","", YLE成绩库!M388)</f>
        <v/>
      </c>
      <c r="G888" t="str">
        <f>IF(YLE成绩库!C388="","", YLE成绩库!N388)</f>
        <v/>
      </c>
      <c r="H888" t="str">
        <f>IF(YLE成绩库!C388="","", YLE成绩库!O388)</f>
        <v/>
      </c>
      <c r="I888" t="str">
        <f>IF(YLE成绩库!C388="","", YLE成绩库!P388)</f>
        <v/>
      </c>
      <c r="J888" t="str">
        <f>IF(YLE成绩库!C388="","", YLE成绩库!Q388)</f>
        <v/>
      </c>
      <c r="K888" t="str">
        <f>IF(YLE成绩库!C388="","", YLE成绩库!R388)</f>
        <v/>
      </c>
      <c r="L888" t="str">
        <f>IF(YLE成绩库!C388="","", YLE成绩库!U388)</f>
        <v/>
      </c>
      <c r="M888">
        <v>0</v>
      </c>
      <c r="N888">
        <v>0</v>
      </c>
      <c r="O888">
        <v>0</v>
      </c>
      <c r="P888" t="str">
        <f>IF(YLE成绩库!C388="","", YLE成绩库!D388)</f>
        <v/>
      </c>
      <c r="Q888" t="str">
        <f>IF(YLE成绩库!C388="","", YLE成绩库!E388)</f>
        <v/>
      </c>
      <c r="R888" t="str">
        <f>IF(YLE成绩库!C388="","", YLE成绩库!F388)</f>
        <v/>
      </c>
      <c r="S888" t="str">
        <f>IF(YLE成绩库!C388="","", YLE成绩库!G388)</f>
        <v/>
      </c>
      <c r="T888" t="str">
        <f>IF(YLE成绩库!C388="","", YLE成绩库!H388)</f>
        <v/>
      </c>
      <c r="U888" t="str">
        <f>IF(YLE成绩库!C388="","", YLE成绩库!K388)</f>
        <v/>
      </c>
      <c r="V888" t="str">
        <f>IF(YLE成绩库!C388="","", YLE成绩库!W388)</f>
        <v/>
      </c>
      <c r="W888" t="str">
        <f>IF(YLE成绩库!C388="","", YLE成绩库!X388)</f>
        <v/>
      </c>
      <c r="X888" t="str">
        <f>IF(YLE成绩库!C388="","", YLE成绩库!AA388)</f>
        <v/>
      </c>
      <c r="Z888" t="str">
        <f>IF(YLE成绩库!C388="","", YLE成绩库!Z388)</f>
        <v/>
      </c>
    </row>
    <row r="889" spans="1:26" x14ac:dyDescent="0.2">
      <c r="A889" t="str">
        <f>IF(YLE成绩库!C389="","", YLE成绩库!C389)</f>
        <v/>
      </c>
      <c r="B889" t="str">
        <f>IF(YLE成绩库!AB389="","", YLE成绩库!AB389)</f>
        <v/>
      </c>
      <c r="C889" t="str">
        <f>IF(YLE成绩库!B389="","", YLE成绩库!B389)</f>
        <v/>
      </c>
      <c r="D889" t="str">
        <f>IF(YLE成绩库!D389="","", YLE成绩库!D389)</f>
        <v/>
      </c>
      <c r="E889" t="str">
        <f>IF(YLE成绩库!C389="","", YLE成绩库!L389)</f>
        <v/>
      </c>
      <c r="F889" t="str">
        <f>IF(YLE成绩库!C389="","", YLE成绩库!M389)</f>
        <v/>
      </c>
      <c r="G889" t="str">
        <f>IF(YLE成绩库!C389="","", YLE成绩库!N389)</f>
        <v/>
      </c>
      <c r="H889" t="str">
        <f>IF(YLE成绩库!C389="","", YLE成绩库!O389)</f>
        <v/>
      </c>
      <c r="I889" t="str">
        <f>IF(YLE成绩库!C389="","", YLE成绩库!P389)</f>
        <v/>
      </c>
      <c r="J889" t="str">
        <f>IF(YLE成绩库!C389="","", YLE成绩库!Q389)</f>
        <v/>
      </c>
      <c r="K889" t="str">
        <f>IF(YLE成绩库!C389="","", YLE成绩库!R389)</f>
        <v/>
      </c>
      <c r="L889" t="str">
        <f>IF(YLE成绩库!C389="","", YLE成绩库!U389)</f>
        <v/>
      </c>
      <c r="M889">
        <v>0</v>
      </c>
      <c r="N889">
        <v>0</v>
      </c>
      <c r="O889">
        <v>0</v>
      </c>
      <c r="P889" t="str">
        <f>IF(YLE成绩库!C389="","", YLE成绩库!D389)</f>
        <v/>
      </c>
      <c r="Q889" t="str">
        <f>IF(YLE成绩库!C389="","", YLE成绩库!E389)</f>
        <v/>
      </c>
      <c r="R889" t="str">
        <f>IF(YLE成绩库!C389="","", YLE成绩库!F389)</f>
        <v/>
      </c>
      <c r="S889" t="str">
        <f>IF(YLE成绩库!C389="","", YLE成绩库!G389)</f>
        <v/>
      </c>
      <c r="T889" t="str">
        <f>IF(YLE成绩库!C389="","", YLE成绩库!H389)</f>
        <v/>
      </c>
      <c r="U889" t="str">
        <f>IF(YLE成绩库!C389="","", YLE成绩库!K389)</f>
        <v/>
      </c>
      <c r="V889" t="str">
        <f>IF(YLE成绩库!C389="","", YLE成绩库!W389)</f>
        <v/>
      </c>
      <c r="W889" t="str">
        <f>IF(YLE成绩库!C389="","", YLE成绩库!X389)</f>
        <v/>
      </c>
      <c r="X889" t="str">
        <f>IF(YLE成绩库!C389="","", YLE成绩库!AA389)</f>
        <v/>
      </c>
      <c r="Z889" t="str">
        <f>IF(YLE成绩库!C389="","", YLE成绩库!Z389)</f>
        <v/>
      </c>
    </row>
    <row r="890" spans="1:26" x14ac:dyDescent="0.2">
      <c r="A890" t="str">
        <f>IF(YLE成绩库!C390="","", YLE成绩库!C390)</f>
        <v/>
      </c>
      <c r="B890" t="str">
        <f>IF(YLE成绩库!AB390="","", YLE成绩库!AB390)</f>
        <v/>
      </c>
      <c r="C890" t="str">
        <f>IF(YLE成绩库!B390="","", YLE成绩库!B390)</f>
        <v/>
      </c>
      <c r="D890" t="str">
        <f>IF(YLE成绩库!D390="","", YLE成绩库!D390)</f>
        <v/>
      </c>
      <c r="E890" t="str">
        <f>IF(YLE成绩库!C390="","", YLE成绩库!L390)</f>
        <v/>
      </c>
      <c r="F890" t="str">
        <f>IF(YLE成绩库!C390="","", YLE成绩库!M390)</f>
        <v/>
      </c>
      <c r="G890" t="str">
        <f>IF(YLE成绩库!C390="","", YLE成绩库!N390)</f>
        <v/>
      </c>
      <c r="H890" t="str">
        <f>IF(YLE成绩库!C390="","", YLE成绩库!O390)</f>
        <v/>
      </c>
      <c r="I890" t="str">
        <f>IF(YLE成绩库!C390="","", YLE成绩库!P390)</f>
        <v/>
      </c>
      <c r="J890" t="str">
        <f>IF(YLE成绩库!C390="","", YLE成绩库!Q390)</f>
        <v/>
      </c>
      <c r="K890" t="str">
        <f>IF(YLE成绩库!C390="","", YLE成绩库!R390)</f>
        <v/>
      </c>
      <c r="L890" t="str">
        <f>IF(YLE成绩库!C390="","", YLE成绩库!U390)</f>
        <v/>
      </c>
      <c r="M890">
        <v>0</v>
      </c>
      <c r="N890">
        <v>0</v>
      </c>
      <c r="O890">
        <v>0</v>
      </c>
      <c r="P890" t="str">
        <f>IF(YLE成绩库!C390="","", YLE成绩库!D390)</f>
        <v/>
      </c>
      <c r="Q890" t="str">
        <f>IF(YLE成绩库!C390="","", YLE成绩库!E390)</f>
        <v/>
      </c>
      <c r="R890" t="str">
        <f>IF(YLE成绩库!C390="","", YLE成绩库!F390)</f>
        <v/>
      </c>
      <c r="S890" t="str">
        <f>IF(YLE成绩库!C390="","", YLE成绩库!G390)</f>
        <v/>
      </c>
      <c r="T890" t="str">
        <f>IF(YLE成绩库!C390="","", YLE成绩库!H390)</f>
        <v/>
      </c>
      <c r="U890" t="str">
        <f>IF(YLE成绩库!C390="","", YLE成绩库!K390)</f>
        <v/>
      </c>
      <c r="V890" t="str">
        <f>IF(YLE成绩库!C390="","", YLE成绩库!W390)</f>
        <v/>
      </c>
      <c r="W890" t="str">
        <f>IF(YLE成绩库!C390="","", YLE成绩库!X390)</f>
        <v/>
      </c>
      <c r="X890" t="str">
        <f>IF(YLE成绩库!C390="","", YLE成绩库!AA390)</f>
        <v/>
      </c>
      <c r="Z890" t="str">
        <f>IF(YLE成绩库!C390="","", YLE成绩库!Z390)</f>
        <v/>
      </c>
    </row>
    <row r="891" spans="1:26" x14ac:dyDescent="0.2">
      <c r="A891" t="str">
        <f>IF(YLE成绩库!C391="","", YLE成绩库!C391)</f>
        <v/>
      </c>
      <c r="B891" t="str">
        <f>IF(YLE成绩库!AB391="","", YLE成绩库!AB391)</f>
        <v/>
      </c>
      <c r="C891" t="str">
        <f>IF(YLE成绩库!B391="","", YLE成绩库!B391)</f>
        <v/>
      </c>
      <c r="D891" t="str">
        <f>IF(YLE成绩库!D391="","", YLE成绩库!D391)</f>
        <v/>
      </c>
      <c r="E891" t="str">
        <f>IF(YLE成绩库!C391="","", YLE成绩库!L391)</f>
        <v/>
      </c>
      <c r="F891" t="str">
        <f>IF(YLE成绩库!C391="","", YLE成绩库!M391)</f>
        <v/>
      </c>
      <c r="G891" t="str">
        <f>IF(YLE成绩库!C391="","", YLE成绩库!N391)</f>
        <v/>
      </c>
      <c r="H891" t="str">
        <f>IF(YLE成绩库!C391="","", YLE成绩库!O391)</f>
        <v/>
      </c>
      <c r="I891" t="str">
        <f>IF(YLE成绩库!C391="","", YLE成绩库!P391)</f>
        <v/>
      </c>
      <c r="J891" t="str">
        <f>IF(YLE成绩库!C391="","", YLE成绩库!Q391)</f>
        <v/>
      </c>
      <c r="K891" t="str">
        <f>IF(YLE成绩库!C391="","", YLE成绩库!R391)</f>
        <v/>
      </c>
      <c r="L891" t="str">
        <f>IF(YLE成绩库!C391="","", YLE成绩库!U391)</f>
        <v/>
      </c>
      <c r="M891">
        <v>0</v>
      </c>
      <c r="N891">
        <v>0</v>
      </c>
      <c r="O891">
        <v>0</v>
      </c>
      <c r="P891" t="str">
        <f>IF(YLE成绩库!C391="","", YLE成绩库!D391)</f>
        <v/>
      </c>
      <c r="Q891" t="str">
        <f>IF(YLE成绩库!C391="","", YLE成绩库!E391)</f>
        <v/>
      </c>
      <c r="R891" t="str">
        <f>IF(YLE成绩库!C391="","", YLE成绩库!F391)</f>
        <v/>
      </c>
      <c r="S891" t="str">
        <f>IF(YLE成绩库!C391="","", YLE成绩库!G391)</f>
        <v/>
      </c>
      <c r="T891" t="str">
        <f>IF(YLE成绩库!C391="","", YLE成绩库!H391)</f>
        <v/>
      </c>
      <c r="U891" t="str">
        <f>IF(YLE成绩库!C391="","", YLE成绩库!K391)</f>
        <v/>
      </c>
      <c r="V891" t="str">
        <f>IF(YLE成绩库!C391="","", YLE成绩库!W391)</f>
        <v/>
      </c>
      <c r="W891" t="str">
        <f>IF(YLE成绩库!C391="","", YLE成绩库!X391)</f>
        <v/>
      </c>
      <c r="X891" t="str">
        <f>IF(YLE成绩库!C391="","", YLE成绩库!AA391)</f>
        <v/>
      </c>
      <c r="Z891" t="str">
        <f>IF(YLE成绩库!C391="","", YLE成绩库!Z391)</f>
        <v/>
      </c>
    </row>
    <row r="892" spans="1:26" x14ac:dyDescent="0.2">
      <c r="A892" t="str">
        <f>IF(YLE成绩库!C392="","", YLE成绩库!C392)</f>
        <v/>
      </c>
      <c r="B892" t="str">
        <f>IF(YLE成绩库!AB392="","", YLE成绩库!AB392)</f>
        <v/>
      </c>
      <c r="C892" t="str">
        <f>IF(YLE成绩库!B392="","", YLE成绩库!B392)</f>
        <v/>
      </c>
      <c r="D892" t="str">
        <f>IF(YLE成绩库!D392="","", YLE成绩库!D392)</f>
        <v/>
      </c>
      <c r="E892" t="str">
        <f>IF(YLE成绩库!C392="","", YLE成绩库!L392)</f>
        <v/>
      </c>
      <c r="F892" t="str">
        <f>IF(YLE成绩库!C392="","", YLE成绩库!M392)</f>
        <v/>
      </c>
      <c r="G892" t="str">
        <f>IF(YLE成绩库!C392="","", YLE成绩库!N392)</f>
        <v/>
      </c>
      <c r="H892" t="str">
        <f>IF(YLE成绩库!C392="","", YLE成绩库!O392)</f>
        <v/>
      </c>
      <c r="I892" t="str">
        <f>IF(YLE成绩库!C392="","", YLE成绩库!P392)</f>
        <v/>
      </c>
      <c r="J892" t="str">
        <f>IF(YLE成绩库!C392="","", YLE成绩库!Q392)</f>
        <v/>
      </c>
      <c r="K892" t="str">
        <f>IF(YLE成绩库!C392="","", YLE成绩库!R392)</f>
        <v/>
      </c>
      <c r="L892" t="str">
        <f>IF(YLE成绩库!C392="","", YLE成绩库!U392)</f>
        <v/>
      </c>
      <c r="M892">
        <v>0</v>
      </c>
      <c r="N892">
        <v>0</v>
      </c>
      <c r="O892">
        <v>0</v>
      </c>
      <c r="P892" t="str">
        <f>IF(YLE成绩库!C392="","", YLE成绩库!D392)</f>
        <v/>
      </c>
      <c r="Q892" t="str">
        <f>IF(YLE成绩库!C392="","", YLE成绩库!E392)</f>
        <v/>
      </c>
      <c r="R892" t="str">
        <f>IF(YLE成绩库!C392="","", YLE成绩库!F392)</f>
        <v/>
      </c>
      <c r="S892" t="str">
        <f>IF(YLE成绩库!C392="","", YLE成绩库!G392)</f>
        <v/>
      </c>
      <c r="T892" t="str">
        <f>IF(YLE成绩库!C392="","", YLE成绩库!H392)</f>
        <v/>
      </c>
      <c r="U892" t="str">
        <f>IF(YLE成绩库!C392="","", YLE成绩库!K392)</f>
        <v/>
      </c>
      <c r="V892" t="str">
        <f>IF(YLE成绩库!C392="","", YLE成绩库!W392)</f>
        <v/>
      </c>
      <c r="W892" t="str">
        <f>IF(YLE成绩库!C392="","", YLE成绩库!X392)</f>
        <v/>
      </c>
      <c r="X892" t="str">
        <f>IF(YLE成绩库!C392="","", YLE成绩库!AA392)</f>
        <v/>
      </c>
      <c r="Z892" t="str">
        <f>IF(YLE成绩库!C392="","", YLE成绩库!Z392)</f>
        <v/>
      </c>
    </row>
    <row r="893" spans="1:26" x14ac:dyDescent="0.2">
      <c r="A893" t="str">
        <f>IF(YLE成绩库!C393="","", YLE成绩库!C393)</f>
        <v/>
      </c>
      <c r="B893" t="str">
        <f>IF(YLE成绩库!AB393="","", YLE成绩库!AB393)</f>
        <v/>
      </c>
      <c r="C893" t="str">
        <f>IF(YLE成绩库!B393="","", YLE成绩库!B393)</f>
        <v/>
      </c>
      <c r="D893" t="str">
        <f>IF(YLE成绩库!D393="","", YLE成绩库!D393)</f>
        <v/>
      </c>
      <c r="E893" t="str">
        <f>IF(YLE成绩库!C393="","", YLE成绩库!L393)</f>
        <v/>
      </c>
      <c r="F893" t="str">
        <f>IF(YLE成绩库!C393="","", YLE成绩库!M393)</f>
        <v/>
      </c>
      <c r="G893" t="str">
        <f>IF(YLE成绩库!C393="","", YLE成绩库!N393)</f>
        <v/>
      </c>
      <c r="H893" t="str">
        <f>IF(YLE成绩库!C393="","", YLE成绩库!O393)</f>
        <v/>
      </c>
      <c r="I893" t="str">
        <f>IF(YLE成绩库!C393="","", YLE成绩库!P393)</f>
        <v/>
      </c>
      <c r="J893" t="str">
        <f>IF(YLE成绩库!C393="","", YLE成绩库!Q393)</f>
        <v/>
      </c>
      <c r="K893" t="str">
        <f>IF(YLE成绩库!C393="","", YLE成绩库!R393)</f>
        <v/>
      </c>
      <c r="L893" t="str">
        <f>IF(YLE成绩库!C393="","", YLE成绩库!U393)</f>
        <v/>
      </c>
      <c r="M893">
        <v>0</v>
      </c>
      <c r="N893">
        <v>0</v>
      </c>
      <c r="O893">
        <v>0</v>
      </c>
      <c r="P893" t="str">
        <f>IF(YLE成绩库!C393="","", YLE成绩库!D393)</f>
        <v/>
      </c>
      <c r="Q893" t="str">
        <f>IF(YLE成绩库!C393="","", YLE成绩库!E393)</f>
        <v/>
      </c>
      <c r="R893" t="str">
        <f>IF(YLE成绩库!C393="","", YLE成绩库!F393)</f>
        <v/>
      </c>
      <c r="S893" t="str">
        <f>IF(YLE成绩库!C393="","", YLE成绩库!G393)</f>
        <v/>
      </c>
      <c r="T893" t="str">
        <f>IF(YLE成绩库!C393="","", YLE成绩库!H393)</f>
        <v/>
      </c>
      <c r="U893" t="str">
        <f>IF(YLE成绩库!C393="","", YLE成绩库!K393)</f>
        <v/>
      </c>
      <c r="V893" t="str">
        <f>IF(YLE成绩库!C393="","", YLE成绩库!W393)</f>
        <v/>
      </c>
      <c r="W893" t="str">
        <f>IF(YLE成绩库!C393="","", YLE成绩库!X393)</f>
        <v/>
      </c>
      <c r="X893" t="str">
        <f>IF(YLE成绩库!C393="","", YLE成绩库!AA393)</f>
        <v/>
      </c>
      <c r="Z893" t="str">
        <f>IF(YLE成绩库!C393="","", YLE成绩库!Z393)</f>
        <v/>
      </c>
    </row>
    <row r="894" spans="1:26" x14ac:dyDescent="0.2">
      <c r="A894" t="str">
        <f>IF(YLE成绩库!C394="","", YLE成绩库!C394)</f>
        <v/>
      </c>
      <c r="B894" t="str">
        <f>IF(YLE成绩库!AB394="","", YLE成绩库!AB394)</f>
        <v/>
      </c>
      <c r="C894" t="str">
        <f>IF(YLE成绩库!B394="","", YLE成绩库!B394)</f>
        <v/>
      </c>
      <c r="D894" t="str">
        <f>IF(YLE成绩库!D394="","", YLE成绩库!D394)</f>
        <v/>
      </c>
      <c r="E894" t="str">
        <f>IF(YLE成绩库!C394="","", YLE成绩库!L394)</f>
        <v/>
      </c>
      <c r="F894" t="str">
        <f>IF(YLE成绩库!C394="","", YLE成绩库!M394)</f>
        <v/>
      </c>
      <c r="G894" t="str">
        <f>IF(YLE成绩库!C394="","", YLE成绩库!N394)</f>
        <v/>
      </c>
      <c r="H894" t="str">
        <f>IF(YLE成绩库!C394="","", YLE成绩库!O394)</f>
        <v/>
      </c>
      <c r="I894" t="str">
        <f>IF(YLE成绩库!C394="","", YLE成绩库!P394)</f>
        <v/>
      </c>
      <c r="J894" t="str">
        <f>IF(YLE成绩库!C394="","", YLE成绩库!Q394)</f>
        <v/>
      </c>
      <c r="K894" t="str">
        <f>IF(YLE成绩库!C394="","", YLE成绩库!R394)</f>
        <v/>
      </c>
      <c r="L894" t="str">
        <f>IF(YLE成绩库!C394="","", YLE成绩库!U394)</f>
        <v/>
      </c>
      <c r="M894">
        <v>0</v>
      </c>
      <c r="N894">
        <v>0</v>
      </c>
      <c r="O894">
        <v>0</v>
      </c>
      <c r="P894" t="str">
        <f>IF(YLE成绩库!C394="","", YLE成绩库!D394)</f>
        <v/>
      </c>
      <c r="Q894" t="str">
        <f>IF(YLE成绩库!C394="","", YLE成绩库!E394)</f>
        <v/>
      </c>
      <c r="R894" t="str">
        <f>IF(YLE成绩库!C394="","", YLE成绩库!F394)</f>
        <v/>
      </c>
      <c r="S894" t="str">
        <f>IF(YLE成绩库!C394="","", YLE成绩库!G394)</f>
        <v/>
      </c>
      <c r="T894" t="str">
        <f>IF(YLE成绩库!C394="","", YLE成绩库!H394)</f>
        <v/>
      </c>
      <c r="U894" t="str">
        <f>IF(YLE成绩库!C394="","", YLE成绩库!K394)</f>
        <v/>
      </c>
      <c r="V894" t="str">
        <f>IF(YLE成绩库!C394="","", YLE成绩库!W394)</f>
        <v/>
      </c>
      <c r="W894" t="str">
        <f>IF(YLE成绩库!C394="","", YLE成绩库!X394)</f>
        <v/>
      </c>
      <c r="X894" t="str">
        <f>IF(YLE成绩库!C394="","", YLE成绩库!AA394)</f>
        <v/>
      </c>
      <c r="Z894" t="str">
        <f>IF(YLE成绩库!C394="","", YLE成绩库!Z394)</f>
        <v/>
      </c>
    </row>
    <row r="895" spans="1:26" x14ac:dyDescent="0.2">
      <c r="A895" t="str">
        <f>IF(YLE成绩库!C395="","", YLE成绩库!C395)</f>
        <v/>
      </c>
      <c r="B895" t="str">
        <f>IF(YLE成绩库!AB395="","", YLE成绩库!AB395)</f>
        <v/>
      </c>
      <c r="C895" t="str">
        <f>IF(YLE成绩库!B395="","", YLE成绩库!B395)</f>
        <v/>
      </c>
      <c r="D895" t="str">
        <f>IF(YLE成绩库!D395="","", YLE成绩库!D395)</f>
        <v/>
      </c>
      <c r="E895" t="str">
        <f>IF(YLE成绩库!C395="","", YLE成绩库!L395)</f>
        <v/>
      </c>
      <c r="F895" t="str">
        <f>IF(YLE成绩库!C395="","", YLE成绩库!M395)</f>
        <v/>
      </c>
      <c r="G895" t="str">
        <f>IF(YLE成绩库!C395="","", YLE成绩库!N395)</f>
        <v/>
      </c>
      <c r="H895" t="str">
        <f>IF(YLE成绩库!C395="","", YLE成绩库!O395)</f>
        <v/>
      </c>
      <c r="I895" t="str">
        <f>IF(YLE成绩库!C395="","", YLE成绩库!P395)</f>
        <v/>
      </c>
      <c r="J895" t="str">
        <f>IF(YLE成绩库!C395="","", YLE成绩库!Q395)</f>
        <v/>
      </c>
      <c r="K895" t="str">
        <f>IF(YLE成绩库!C395="","", YLE成绩库!R395)</f>
        <v/>
      </c>
      <c r="L895" t="str">
        <f>IF(YLE成绩库!C395="","", YLE成绩库!U395)</f>
        <v/>
      </c>
      <c r="M895">
        <v>0</v>
      </c>
      <c r="N895">
        <v>0</v>
      </c>
      <c r="O895">
        <v>0</v>
      </c>
      <c r="P895" t="str">
        <f>IF(YLE成绩库!C395="","", YLE成绩库!D395)</f>
        <v/>
      </c>
      <c r="Q895" t="str">
        <f>IF(YLE成绩库!C395="","", YLE成绩库!E395)</f>
        <v/>
      </c>
      <c r="R895" t="str">
        <f>IF(YLE成绩库!C395="","", YLE成绩库!F395)</f>
        <v/>
      </c>
      <c r="S895" t="str">
        <f>IF(YLE成绩库!C395="","", YLE成绩库!G395)</f>
        <v/>
      </c>
      <c r="T895" t="str">
        <f>IF(YLE成绩库!C395="","", YLE成绩库!H395)</f>
        <v/>
      </c>
      <c r="U895" t="str">
        <f>IF(YLE成绩库!C395="","", YLE成绩库!K395)</f>
        <v/>
      </c>
      <c r="V895" t="str">
        <f>IF(YLE成绩库!C395="","", YLE成绩库!W395)</f>
        <v/>
      </c>
      <c r="W895" t="str">
        <f>IF(YLE成绩库!C395="","", YLE成绩库!X395)</f>
        <v/>
      </c>
      <c r="X895" t="str">
        <f>IF(YLE成绩库!C395="","", YLE成绩库!AA395)</f>
        <v/>
      </c>
      <c r="Z895" t="str">
        <f>IF(YLE成绩库!C395="","", YLE成绩库!Z395)</f>
        <v/>
      </c>
    </row>
    <row r="896" spans="1:26" x14ac:dyDescent="0.2">
      <c r="A896" t="str">
        <f>IF(YLE成绩库!C396="","", YLE成绩库!C396)</f>
        <v/>
      </c>
      <c r="B896" t="str">
        <f>IF(YLE成绩库!AB396="","", YLE成绩库!AB396)</f>
        <v/>
      </c>
      <c r="C896" t="str">
        <f>IF(YLE成绩库!B396="","", YLE成绩库!B396)</f>
        <v/>
      </c>
      <c r="D896" t="str">
        <f>IF(YLE成绩库!D396="","", YLE成绩库!D396)</f>
        <v/>
      </c>
      <c r="E896" t="str">
        <f>IF(YLE成绩库!C396="","", YLE成绩库!L396)</f>
        <v/>
      </c>
      <c r="F896" t="str">
        <f>IF(YLE成绩库!C396="","", YLE成绩库!M396)</f>
        <v/>
      </c>
      <c r="G896" t="str">
        <f>IF(YLE成绩库!C396="","", YLE成绩库!N396)</f>
        <v/>
      </c>
      <c r="H896" t="str">
        <f>IF(YLE成绩库!C396="","", YLE成绩库!O396)</f>
        <v/>
      </c>
      <c r="I896" t="str">
        <f>IF(YLE成绩库!C396="","", YLE成绩库!P396)</f>
        <v/>
      </c>
      <c r="J896" t="str">
        <f>IF(YLE成绩库!C396="","", YLE成绩库!Q396)</f>
        <v/>
      </c>
      <c r="K896" t="str">
        <f>IF(YLE成绩库!C396="","", YLE成绩库!R396)</f>
        <v/>
      </c>
      <c r="L896" t="str">
        <f>IF(YLE成绩库!C396="","", YLE成绩库!U396)</f>
        <v/>
      </c>
      <c r="M896">
        <v>0</v>
      </c>
      <c r="N896">
        <v>0</v>
      </c>
      <c r="O896">
        <v>0</v>
      </c>
      <c r="P896" t="str">
        <f>IF(YLE成绩库!C396="","", YLE成绩库!D396)</f>
        <v/>
      </c>
      <c r="Q896" t="str">
        <f>IF(YLE成绩库!C396="","", YLE成绩库!E396)</f>
        <v/>
      </c>
      <c r="R896" t="str">
        <f>IF(YLE成绩库!C396="","", YLE成绩库!F396)</f>
        <v/>
      </c>
      <c r="S896" t="str">
        <f>IF(YLE成绩库!C396="","", YLE成绩库!G396)</f>
        <v/>
      </c>
      <c r="T896" t="str">
        <f>IF(YLE成绩库!C396="","", YLE成绩库!H396)</f>
        <v/>
      </c>
      <c r="U896" t="str">
        <f>IF(YLE成绩库!C396="","", YLE成绩库!K396)</f>
        <v/>
      </c>
      <c r="V896" t="str">
        <f>IF(YLE成绩库!C396="","", YLE成绩库!W396)</f>
        <v/>
      </c>
      <c r="W896" t="str">
        <f>IF(YLE成绩库!C396="","", YLE成绩库!X396)</f>
        <v/>
      </c>
      <c r="X896" t="str">
        <f>IF(YLE成绩库!C396="","", YLE成绩库!AA396)</f>
        <v/>
      </c>
      <c r="Z896" t="str">
        <f>IF(YLE成绩库!C396="","", YLE成绩库!Z396)</f>
        <v/>
      </c>
    </row>
    <row r="897" spans="1:26" x14ac:dyDescent="0.2">
      <c r="A897" t="str">
        <f>IF(YLE成绩库!C397="","", YLE成绩库!C397)</f>
        <v/>
      </c>
      <c r="B897" t="str">
        <f>IF(YLE成绩库!AB397="","", YLE成绩库!AB397)</f>
        <v/>
      </c>
      <c r="C897" t="str">
        <f>IF(YLE成绩库!B397="","", YLE成绩库!B397)</f>
        <v/>
      </c>
      <c r="D897" t="str">
        <f>IF(YLE成绩库!D397="","", YLE成绩库!D397)</f>
        <v/>
      </c>
      <c r="E897" t="str">
        <f>IF(YLE成绩库!C397="","", YLE成绩库!L397)</f>
        <v/>
      </c>
      <c r="F897" t="str">
        <f>IF(YLE成绩库!C397="","", YLE成绩库!M397)</f>
        <v/>
      </c>
      <c r="G897" t="str">
        <f>IF(YLE成绩库!C397="","", YLE成绩库!N397)</f>
        <v/>
      </c>
      <c r="H897" t="str">
        <f>IF(YLE成绩库!C397="","", YLE成绩库!O397)</f>
        <v/>
      </c>
      <c r="I897" t="str">
        <f>IF(YLE成绩库!C397="","", YLE成绩库!P397)</f>
        <v/>
      </c>
      <c r="J897" t="str">
        <f>IF(YLE成绩库!C397="","", YLE成绩库!Q397)</f>
        <v/>
      </c>
      <c r="K897" t="str">
        <f>IF(YLE成绩库!C397="","", YLE成绩库!R397)</f>
        <v/>
      </c>
      <c r="L897" t="str">
        <f>IF(YLE成绩库!C397="","", YLE成绩库!U397)</f>
        <v/>
      </c>
      <c r="M897">
        <v>0</v>
      </c>
      <c r="N897">
        <v>0</v>
      </c>
      <c r="O897">
        <v>0</v>
      </c>
      <c r="P897" t="str">
        <f>IF(YLE成绩库!C397="","", YLE成绩库!D397)</f>
        <v/>
      </c>
      <c r="Q897" t="str">
        <f>IF(YLE成绩库!C397="","", YLE成绩库!E397)</f>
        <v/>
      </c>
      <c r="R897" t="str">
        <f>IF(YLE成绩库!C397="","", YLE成绩库!F397)</f>
        <v/>
      </c>
      <c r="S897" t="str">
        <f>IF(YLE成绩库!C397="","", YLE成绩库!G397)</f>
        <v/>
      </c>
      <c r="T897" t="str">
        <f>IF(YLE成绩库!C397="","", YLE成绩库!H397)</f>
        <v/>
      </c>
      <c r="U897" t="str">
        <f>IF(YLE成绩库!C397="","", YLE成绩库!K397)</f>
        <v/>
      </c>
      <c r="V897" t="str">
        <f>IF(YLE成绩库!C397="","", YLE成绩库!W397)</f>
        <v/>
      </c>
      <c r="W897" t="str">
        <f>IF(YLE成绩库!C397="","", YLE成绩库!X397)</f>
        <v/>
      </c>
      <c r="X897" t="str">
        <f>IF(YLE成绩库!C397="","", YLE成绩库!AA397)</f>
        <v/>
      </c>
      <c r="Z897" t="str">
        <f>IF(YLE成绩库!C397="","", YLE成绩库!Z397)</f>
        <v/>
      </c>
    </row>
    <row r="898" spans="1:26" x14ac:dyDescent="0.2">
      <c r="A898" t="str">
        <f>IF(YLE成绩库!C398="","", YLE成绩库!C398)</f>
        <v/>
      </c>
      <c r="B898" t="str">
        <f>IF(YLE成绩库!AB398="","", YLE成绩库!AB398)</f>
        <v/>
      </c>
      <c r="C898" t="str">
        <f>IF(YLE成绩库!B398="","", YLE成绩库!B398)</f>
        <v/>
      </c>
      <c r="D898" t="str">
        <f>IF(YLE成绩库!D398="","", YLE成绩库!D398)</f>
        <v/>
      </c>
      <c r="E898" t="str">
        <f>IF(YLE成绩库!C398="","", YLE成绩库!L398)</f>
        <v/>
      </c>
      <c r="F898" t="str">
        <f>IF(YLE成绩库!C398="","", YLE成绩库!M398)</f>
        <v/>
      </c>
      <c r="G898" t="str">
        <f>IF(YLE成绩库!C398="","", YLE成绩库!N398)</f>
        <v/>
      </c>
      <c r="H898" t="str">
        <f>IF(YLE成绩库!C398="","", YLE成绩库!O398)</f>
        <v/>
      </c>
      <c r="I898" t="str">
        <f>IF(YLE成绩库!C398="","", YLE成绩库!P398)</f>
        <v/>
      </c>
      <c r="J898" t="str">
        <f>IF(YLE成绩库!C398="","", YLE成绩库!Q398)</f>
        <v/>
      </c>
      <c r="K898" t="str">
        <f>IF(YLE成绩库!C398="","", YLE成绩库!R398)</f>
        <v/>
      </c>
      <c r="L898" t="str">
        <f>IF(YLE成绩库!C398="","", YLE成绩库!U398)</f>
        <v/>
      </c>
      <c r="M898">
        <v>0</v>
      </c>
      <c r="N898">
        <v>0</v>
      </c>
      <c r="O898">
        <v>0</v>
      </c>
      <c r="P898" t="str">
        <f>IF(YLE成绩库!C398="","", YLE成绩库!D398)</f>
        <v/>
      </c>
      <c r="Q898" t="str">
        <f>IF(YLE成绩库!C398="","", YLE成绩库!E398)</f>
        <v/>
      </c>
      <c r="R898" t="str">
        <f>IF(YLE成绩库!C398="","", YLE成绩库!F398)</f>
        <v/>
      </c>
      <c r="S898" t="str">
        <f>IF(YLE成绩库!C398="","", YLE成绩库!G398)</f>
        <v/>
      </c>
      <c r="T898" t="str">
        <f>IF(YLE成绩库!C398="","", YLE成绩库!H398)</f>
        <v/>
      </c>
      <c r="U898" t="str">
        <f>IF(YLE成绩库!C398="","", YLE成绩库!K398)</f>
        <v/>
      </c>
      <c r="V898" t="str">
        <f>IF(YLE成绩库!C398="","", YLE成绩库!W398)</f>
        <v/>
      </c>
      <c r="W898" t="str">
        <f>IF(YLE成绩库!C398="","", YLE成绩库!X398)</f>
        <v/>
      </c>
      <c r="X898" t="str">
        <f>IF(YLE成绩库!C398="","", YLE成绩库!AA398)</f>
        <v/>
      </c>
      <c r="Z898" t="str">
        <f>IF(YLE成绩库!C398="","", YLE成绩库!Z398)</f>
        <v/>
      </c>
    </row>
    <row r="899" spans="1:26" x14ac:dyDescent="0.2">
      <c r="A899" t="str">
        <f>IF(YLE成绩库!C399="","", YLE成绩库!C399)</f>
        <v/>
      </c>
      <c r="B899" t="str">
        <f>IF(YLE成绩库!AB399="","", YLE成绩库!AB399)</f>
        <v/>
      </c>
      <c r="C899" t="str">
        <f>IF(YLE成绩库!B399="","", YLE成绩库!B399)</f>
        <v/>
      </c>
      <c r="D899" t="str">
        <f>IF(YLE成绩库!D399="","", YLE成绩库!D399)</f>
        <v/>
      </c>
      <c r="E899" t="str">
        <f>IF(YLE成绩库!C399="","", YLE成绩库!L399)</f>
        <v/>
      </c>
      <c r="F899" t="str">
        <f>IF(YLE成绩库!C399="","", YLE成绩库!M399)</f>
        <v/>
      </c>
      <c r="G899" t="str">
        <f>IF(YLE成绩库!C399="","", YLE成绩库!N399)</f>
        <v/>
      </c>
      <c r="H899" t="str">
        <f>IF(YLE成绩库!C399="","", YLE成绩库!O399)</f>
        <v/>
      </c>
      <c r="I899" t="str">
        <f>IF(YLE成绩库!C399="","", YLE成绩库!P399)</f>
        <v/>
      </c>
      <c r="J899" t="str">
        <f>IF(YLE成绩库!C399="","", YLE成绩库!Q399)</f>
        <v/>
      </c>
      <c r="K899" t="str">
        <f>IF(YLE成绩库!C399="","", YLE成绩库!R399)</f>
        <v/>
      </c>
      <c r="L899" t="str">
        <f>IF(YLE成绩库!C399="","", YLE成绩库!U399)</f>
        <v/>
      </c>
      <c r="M899">
        <v>0</v>
      </c>
      <c r="N899">
        <v>0</v>
      </c>
      <c r="O899">
        <v>0</v>
      </c>
      <c r="P899" t="str">
        <f>IF(YLE成绩库!C399="","", YLE成绩库!D399)</f>
        <v/>
      </c>
      <c r="Q899" t="str">
        <f>IF(YLE成绩库!C399="","", YLE成绩库!E399)</f>
        <v/>
      </c>
      <c r="R899" t="str">
        <f>IF(YLE成绩库!C399="","", YLE成绩库!F399)</f>
        <v/>
      </c>
      <c r="S899" t="str">
        <f>IF(YLE成绩库!C399="","", YLE成绩库!G399)</f>
        <v/>
      </c>
      <c r="T899" t="str">
        <f>IF(YLE成绩库!C399="","", YLE成绩库!H399)</f>
        <v/>
      </c>
      <c r="U899" t="str">
        <f>IF(YLE成绩库!C399="","", YLE成绩库!K399)</f>
        <v/>
      </c>
      <c r="V899" t="str">
        <f>IF(YLE成绩库!C399="","", YLE成绩库!W399)</f>
        <v/>
      </c>
      <c r="W899" t="str">
        <f>IF(YLE成绩库!C399="","", YLE成绩库!X399)</f>
        <v/>
      </c>
      <c r="X899" t="str">
        <f>IF(YLE成绩库!C399="","", YLE成绩库!AA399)</f>
        <v/>
      </c>
      <c r="Z899" t="str">
        <f>IF(YLE成绩库!C399="","", YLE成绩库!Z399)</f>
        <v/>
      </c>
    </row>
    <row r="900" spans="1:26" x14ac:dyDescent="0.2">
      <c r="A900" t="str">
        <f>IF(YLE成绩库!C400="","", YLE成绩库!C400)</f>
        <v/>
      </c>
      <c r="B900" t="str">
        <f>IF(YLE成绩库!AB400="","", YLE成绩库!AB400)</f>
        <v/>
      </c>
      <c r="C900" t="str">
        <f>IF(YLE成绩库!B400="","", YLE成绩库!B400)</f>
        <v/>
      </c>
      <c r="D900" t="str">
        <f>IF(YLE成绩库!D400="","", YLE成绩库!D400)</f>
        <v/>
      </c>
      <c r="E900" t="str">
        <f>IF(YLE成绩库!C400="","", YLE成绩库!L400)</f>
        <v/>
      </c>
      <c r="F900" t="str">
        <f>IF(YLE成绩库!C400="","", YLE成绩库!M400)</f>
        <v/>
      </c>
      <c r="G900" t="str">
        <f>IF(YLE成绩库!C400="","", YLE成绩库!N400)</f>
        <v/>
      </c>
      <c r="H900" t="str">
        <f>IF(YLE成绩库!C400="","", YLE成绩库!O400)</f>
        <v/>
      </c>
      <c r="I900" t="str">
        <f>IF(YLE成绩库!C400="","", YLE成绩库!P400)</f>
        <v/>
      </c>
      <c r="J900" t="str">
        <f>IF(YLE成绩库!C400="","", YLE成绩库!Q400)</f>
        <v/>
      </c>
      <c r="K900" t="str">
        <f>IF(YLE成绩库!C400="","", YLE成绩库!R400)</f>
        <v/>
      </c>
      <c r="L900" t="str">
        <f>IF(YLE成绩库!C400="","", YLE成绩库!U400)</f>
        <v/>
      </c>
      <c r="M900">
        <v>0</v>
      </c>
      <c r="N900">
        <v>0</v>
      </c>
      <c r="O900">
        <v>0</v>
      </c>
      <c r="P900" t="str">
        <f>IF(YLE成绩库!C400="","", YLE成绩库!D400)</f>
        <v/>
      </c>
      <c r="Q900" t="str">
        <f>IF(YLE成绩库!C400="","", YLE成绩库!E400)</f>
        <v/>
      </c>
      <c r="R900" t="str">
        <f>IF(YLE成绩库!C400="","", YLE成绩库!F400)</f>
        <v/>
      </c>
      <c r="S900" t="str">
        <f>IF(YLE成绩库!C400="","", YLE成绩库!G400)</f>
        <v/>
      </c>
      <c r="T900" t="str">
        <f>IF(YLE成绩库!C400="","", YLE成绩库!H400)</f>
        <v/>
      </c>
      <c r="U900" t="str">
        <f>IF(YLE成绩库!C400="","", YLE成绩库!K400)</f>
        <v/>
      </c>
      <c r="V900" t="str">
        <f>IF(YLE成绩库!C400="","", YLE成绩库!W400)</f>
        <v/>
      </c>
      <c r="W900" t="str">
        <f>IF(YLE成绩库!C400="","", YLE成绩库!X400)</f>
        <v/>
      </c>
      <c r="X900" t="str">
        <f>IF(YLE成绩库!C400="","", YLE成绩库!AA400)</f>
        <v/>
      </c>
      <c r="Z900" t="str">
        <f>IF(YLE成绩库!C400="","", YLE成绩库!Z400)</f>
        <v/>
      </c>
    </row>
    <row r="901" spans="1:26" x14ac:dyDescent="0.2">
      <c r="A901" t="str">
        <f>IF(YLE成绩库!C401="","", YLE成绩库!C401)</f>
        <v/>
      </c>
      <c r="B901" t="str">
        <f>IF(YLE成绩库!AB401="","", YLE成绩库!AB401)</f>
        <v/>
      </c>
      <c r="C901" t="str">
        <f>IF(YLE成绩库!B401="","", YLE成绩库!B401)</f>
        <v/>
      </c>
      <c r="D901" t="str">
        <f>IF(YLE成绩库!D401="","", YLE成绩库!D401)</f>
        <v/>
      </c>
      <c r="E901" t="str">
        <f>IF(YLE成绩库!C401="","", YLE成绩库!L401)</f>
        <v/>
      </c>
      <c r="F901" t="str">
        <f>IF(YLE成绩库!C401="","", YLE成绩库!M401)</f>
        <v/>
      </c>
      <c r="G901" t="str">
        <f>IF(YLE成绩库!C401="","", YLE成绩库!N401)</f>
        <v/>
      </c>
      <c r="H901" t="str">
        <f>IF(YLE成绩库!C401="","", YLE成绩库!O401)</f>
        <v/>
      </c>
      <c r="I901" t="str">
        <f>IF(YLE成绩库!C401="","", YLE成绩库!P401)</f>
        <v/>
      </c>
      <c r="J901" t="str">
        <f>IF(YLE成绩库!C401="","", YLE成绩库!Q401)</f>
        <v/>
      </c>
      <c r="K901" t="str">
        <f>IF(YLE成绩库!C401="","", YLE成绩库!R401)</f>
        <v/>
      </c>
      <c r="L901" t="str">
        <f>IF(YLE成绩库!C401="","", YLE成绩库!U401)</f>
        <v/>
      </c>
      <c r="M901">
        <v>0</v>
      </c>
      <c r="N901">
        <v>0</v>
      </c>
      <c r="O901">
        <v>0</v>
      </c>
      <c r="P901" t="str">
        <f>IF(YLE成绩库!C401="","", YLE成绩库!D401)</f>
        <v/>
      </c>
      <c r="Q901" t="str">
        <f>IF(YLE成绩库!C401="","", YLE成绩库!E401)</f>
        <v/>
      </c>
      <c r="R901" t="str">
        <f>IF(YLE成绩库!C401="","", YLE成绩库!F401)</f>
        <v/>
      </c>
      <c r="S901" t="str">
        <f>IF(YLE成绩库!C401="","", YLE成绩库!G401)</f>
        <v/>
      </c>
      <c r="T901" t="str">
        <f>IF(YLE成绩库!C401="","", YLE成绩库!H401)</f>
        <v/>
      </c>
      <c r="U901" t="str">
        <f>IF(YLE成绩库!C401="","", YLE成绩库!K401)</f>
        <v/>
      </c>
      <c r="V901" t="str">
        <f>IF(YLE成绩库!C401="","", YLE成绩库!W401)</f>
        <v/>
      </c>
      <c r="W901" t="str">
        <f>IF(YLE成绩库!C401="","", YLE成绩库!X401)</f>
        <v/>
      </c>
      <c r="X901" t="str">
        <f>IF(YLE成绩库!C401="","", YLE成绩库!AA401)</f>
        <v/>
      </c>
      <c r="Z901" t="str">
        <f>IF(YLE成绩库!C401="","", YLE成绩库!Z401)</f>
        <v/>
      </c>
    </row>
    <row r="902" spans="1:26" x14ac:dyDescent="0.2">
      <c r="A902" t="str">
        <f>IF(YLE成绩库!C402="","", YLE成绩库!C402)</f>
        <v/>
      </c>
      <c r="B902" t="str">
        <f>IF(YLE成绩库!AB402="","", YLE成绩库!AB402)</f>
        <v/>
      </c>
      <c r="C902" t="str">
        <f>IF(YLE成绩库!B402="","", YLE成绩库!B402)</f>
        <v/>
      </c>
      <c r="D902" t="str">
        <f>IF(YLE成绩库!D402="","", YLE成绩库!D402)</f>
        <v/>
      </c>
      <c r="E902" t="str">
        <f>IF(YLE成绩库!C402="","", YLE成绩库!L402)</f>
        <v/>
      </c>
      <c r="F902" t="str">
        <f>IF(YLE成绩库!C402="","", YLE成绩库!M402)</f>
        <v/>
      </c>
      <c r="G902" t="str">
        <f>IF(YLE成绩库!C402="","", YLE成绩库!N402)</f>
        <v/>
      </c>
      <c r="H902" t="str">
        <f>IF(YLE成绩库!C402="","", YLE成绩库!O402)</f>
        <v/>
      </c>
      <c r="I902" t="str">
        <f>IF(YLE成绩库!C402="","", YLE成绩库!P402)</f>
        <v/>
      </c>
      <c r="J902" t="str">
        <f>IF(YLE成绩库!C402="","", YLE成绩库!Q402)</f>
        <v/>
      </c>
      <c r="K902" t="str">
        <f>IF(YLE成绩库!C402="","", YLE成绩库!R402)</f>
        <v/>
      </c>
      <c r="L902" t="str">
        <f>IF(YLE成绩库!C402="","", YLE成绩库!U402)</f>
        <v/>
      </c>
      <c r="M902">
        <v>0</v>
      </c>
      <c r="N902">
        <v>0</v>
      </c>
      <c r="O902">
        <v>0</v>
      </c>
      <c r="P902" t="str">
        <f>IF(YLE成绩库!C402="","", YLE成绩库!D402)</f>
        <v/>
      </c>
      <c r="Q902" t="str">
        <f>IF(YLE成绩库!C402="","", YLE成绩库!E402)</f>
        <v/>
      </c>
      <c r="R902" t="str">
        <f>IF(YLE成绩库!C402="","", YLE成绩库!F402)</f>
        <v/>
      </c>
      <c r="S902" t="str">
        <f>IF(YLE成绩库!C402="","", YLE成绩库!G402)</f>
        <v/>
      </c>
      <c r="T902" t="str">
        <f>IF(YLE成绩库!C402="","", YLE成绩库!H402)</f>
        <v/>
      </c>
      <c r="U902" t="str">
        <f>IF(YLE成绩库!C402="","", YLE成绩库!K402)</f>
        <v/>
      </c>
      <c r="V902" t="str">
        <f>IF(YLE成绩库!C402="","", YLE成绩库!W402)</f>
        <v/>
      </c>
      <c r="W902" t="str">
        <f>IF(YLE成绩库!C402="","", YLE成绩库!X402)</f>
        <v/>
      </c>
      <c r="X902" t="str">
        <f>IF(YLE成绩库!C402="","", YLE成绩库!AA402)</f>
        <v/>
      </c>
      <c r="Z902" t="str">
        <f>IF(YLE成绩库!C402="","", YLE成绩库!Z402)</f>
        <v/>
      </c>
    </row>
    <row r="903" spans="1:26" x14ac:dyDescent="0.2">
      <c r="A903" t="str">
        <f>IF(YLE成绩库!C403="","", YLE成绩库!C403)</f>
        <v/>
      </c>
      <c r="B903" t="str">
        <f>IF(YLE成绩库!AB403="","", YLE成绩库!AB403)</f>
        <v/>
      </c>
      <c r="C903" t="str">
        <f>IF(YLE成绩库!B403="","", YLE成绩库!B403)</f>
        <v/>
      </c>
      <c r="D903" t="str">
        <f>IF(YLE成绩库!D403="","", YLE成绩库!D403)</f>
        <v/>
      </c>
      <c r="E903" t="str">
        <f>IF(YLE成绩库!C403="","", YLE成绩库!L403)</f>
        <v/>
      </c>
      <c r="F903" t="str">
        <f>IF(YLE成绩库!C403="","", YLE成绩库!M403)</f>
        <v/>
      </c>
      <c r="G903" t="str">
        <f>IF(YLE成绩库!C403="","", YLE成绩库!N403)</f>
        <v/>
      </c>
      <c r="H903" t="str">
        <f>IF(YLE成绩库!C403="","", YLE成绩库!O403)</f>
        <v/>
      </c>
      <c r="I903" t="str">
        <f>IF(YLE成绩库!C403="","", YLE成绩库!P403)</f>
        <v/>
      </c>
      <c r="J903" t="str">
        <f>IF(YLE成绩库!C403="","", YLE成绩库!Q403)</f>
        <v/>
      </c>
      <c r="K903" t="str">
        <f>IF(YLE成绩库!C403="","", YLE成绩库!R403)</f>
        <v/>
      </c>
      <c r="L903" t="str">
        <f>IF(YLE成绩库!C403="","", YLE成绩库!U403)</f>
        <v/>
      </c>
      <c r="M903">
        <v>0</v>
      </c>
      <c r="N903">
        <v>0</v>
      </c>
      <c r="O903">
        <v>0</v>
      </c>
      <c r="P903" t="str">
        <f>IF(YLE成绩库!C403="","", YLE成绩库!D403)</f>
        <v/>
      </c>
      <c r="Q903" t="str">
        <f>IF(YLE成绩库!C403="","", YLE成绩库!E403)</f>
        <v/>
      </c>
      <c r="R903" t="str">
        <f>IF(YLE成绩库!C403="","", YLE成绩库!F403)</f>
        <v/>
      </c>
      <c r="S903" t="str">
        <f>IF(YLE成绩库!C403="","", YLE成绩库!G403)</f>
        <v/>
      </c>
      <c r="T903" t="str">
        <f>IF(YLE成绩库!C403="","", YLE成绩库!H403)</f>
        <v/>
      </c>
      <c r="U903" t="str">
        <f>IF(YLE成绩库!C403="","", YLE成绩库!K403)</f>
        <v/>
      </c>
      <c r="V903" t="str">
        <f>IF(YLE成绩库!C403="","", YLE成绩库!W403)</f>
        <v/>
      </c>
      <c r="W903" t="str">
        <f>IF(YLE成绩库!C403="","", YLE成绩库!X403)</f>
        <v/>
      </c>
      <c r="X903" t="str">
        <f>IF(YLE成绩库!C403="","", YLE成绩库!AA403)</f>
        <v/>
      </c>
      <c r="Z903" t="str">
        <f>IF(YLE成绩库!C403="","", YLE成绩库!Z403)</f>
        <v/>
      </c>
    </row>
    <row r="904" spans="1:26" x14ac:dyDescent="0.2">
      <c r="A904" t="str">
        <f>IF(YLE成绩库!C404="","", YLE成绩库!C404)</f>
        <v/>
      </c>
      <c r="B904" t="str">
        <f>IF(YLE成绩库!AB404="","", YLE成绩库!AB404)</f>
        <v/>
      </c>
      <c r="C904" t="str">
        <f>IF(YLE成绩库!B404="","", YLE成绩库!B404)</f>
        <v/>
      </c>
      <c r="D904" t="str">
        <f>IF(YLE成绩库!D404="","", YLE成绩库!D404)</f>
        <v/>
      </c>
      <c r="E904" t="str">
        <f>IF(YLE成绩库!C404="","", YLE成绩库!L404)</f>
        <v/>
      </c>
      <c r="F904" t="str">
        <f>IF(YLE成绩库!C404="","", YLE成绩库!M404)</f>
        <v/>
      </c>
      <c r="G904" t="str">
        <f>IF(YLE成绩库!C404="","", YLE成绩库!N404)</f>
        <v/>
      </c>
      <c r="H904" t="str">
        <f>IF(YLE成绩库!C404="","", YLE成绩库!O404)</f>
        <v/>
      </c>
      <c r="I904" t="str">
        <f>IF(YLE成绩库!C404="","", YLE成绩库!P404)</f>
        <v/>
      </c>
      <c r="J904" t="str">
        <f>IF(YLE成绩库!C404="","", YLE成绩库!Q404)</f>
        <v/>
      </c>
      <c r="K904" t="str">
        <f>IF(YLE成绩库!C404="","", YLE成绩库!R404)</f>
        <v/>
      </c>
      <c r="L904" t="str">
        <f>IF(YLE成绩库!C404="","", YLE成绩库!U404)</f>
        <v/>
      </c>
      <c r="M904">
        <v>0</v>
      </c>
      <c r="N904">
        <v>0</v>
      </c>
      <c r="O904">
        <v>0</v>
      </c>
      <c r="P904" t="str">
        <f>IF(YLE成绩库!C404="","", YLE成绩库!D404)</f>
        <v/>
      </c>
      <c r="Q904" t="str">
        <f>IF(YLE成绩库!C404="","", YLE成绩库!E404)</f>
        <v/>
      </c>
      <c r="R904" t="str">
        <f>IF(YLE成绩库!C404="","", YLE成绩库!F404)</f>
        <v/>
      </c>
      <c r="S904" t="str">
        <f>IF(YLE成绩库!C404="","", YLE成绩库!G404)</f>
        <v/>
      </c>
      <c r="T904" t="str">
        <f>IF(YLE成绩库!C404="","", YLE成绩库!H404)</f>
        <v/>
      </c>
      <c r="U904" t="str">
        <f>IF(YLE成绩库!C404="","", YLE成绩库!K404)</f>
        <v/>
      </c>
      <c r="V904" t="str">
        <f>IF(YLE成绩库!C404="","", YLE成绩库!W404)</f>
        <v/>
      </c>
      <c r="W904" t="str">
        <f>IF(YLE成绩库!C404="","", YLE成绩库!X404)</f>
        <v/>
      </c>
      <c r="X904" t="str">
        <f>IF(YLE成绩库!C404="","", YLE成绩库!AA404)</f>
        <v/>
      </c>
      <c r="Z904" t="str">
        <f>IF(YLE成绩库!C404="","", YLE成绩库!Z404)</f>
        <v/>
      </c>
    </row>
    <row r="905" spans="1:26" x14ac:dyDescent="0.2">
      <c r="A905" t="str">
        <f>IF(YLE成绩库!C405="","", YLE成绩库!C405)</f>
        <v/>
      </c>
      <c r="B905" t="str">
        <f>IF(YLE成绩库!AB405="","", YLE成绩库!AB405)</f>
        <v/>
      </c>
      <c r="C905" t="str">
        <f>IF(YLE成绩库!B405="","", YLE成绩库!B405)</f>
        <v/>
      </c>
      <c r="D905" t="str">
        <f>IF(YLE成绩库!D405="","", YLE成绩库!D405)</f>
        <v/>
      </c>
      <c r="E905" t="str">
        <f>IF(YLE成绩库!C405="","", YLE成绩库!L405)</f>
        <v/>
      </c>
      <c r="F905" t="str">
        <f>IF(YLE成绩库!C405="","", YLE成绩库!M405)</f>
        <v/>
      </c>
      <c r="G905" t="str">
        <f>IF(YLE成绩库!C405="","", YLE成绩库!N405)</f>
        <v/>
      </c>
      <c r="H905" t="str">
        <f>IF(YLE成绩库!C405="","", YLE成绩库!O405)</f>
        <v/>
      </c>
      <c r="I905" t="str">
        <f>IF(YLE成绩库!C405="","", YLE成绩库!P405)</f>
        <v/>
      </c>
      <c r="J905" t="str">
        <f>IF(YLE成绩库!C405="","", YLE成绩库!Q405)</f>
        <v/>
      </c>
      <c r="K905" t="str">
        <f>IF(YLE成绩库!C405="","", YLE成绩库!R405)</f>
        <v/>
      </c>
      <c r="L905" t="str">
        <f>IF(YLE成绩库!C405="","", YLE成绩库!U405)</f>
        <v/>
      </c>
      <c r="M905">
        <v>0</v>
      </c>
      <c r="N905">
        <v>0</v>
      </c>
      <c r="O905">
        <v>0</v>
      </c>
      <c r="P905" t="str">
        <f>IF(YLE成绩库!C405="","", YLE成绩库!D405)</f>
        <v/>
      </c>
      <c r="Q905" t="str">
        <f>IF(YLE成绩库!C405="","", YLE成绩库!E405)</f>
        <v/>
      </c>
      <c r="R905" t="str">
        <f>IF(YLE成绩库!C405="","", YLE成绩库!F405)</f>
        <v/>
      </c>
      <c r="S905" t="str">
        <f>IF(YLE成绩库!C405="","", YLE成绩库!G405)</f>
        <v/>
      </c>
      <c r="T905" t="str">
        <f>IF(YLE成绩库!C405="","", YLE成绩库!H405)</f>
        <v/>
      </c>
      <c r="U905" t="str">
        <f>IF(YLE成绩库!C405="","", YLE成绩库!K405)</f>
        <v/>
      </c>
      <c r="V905" t="str">
        <f>IF(YLE成绩库!C405="","", YLE成绩库!W405)</f>
        <v/>
      </c>
      <c r="W905" t="str">
        <f>IF(YLE成绩库!C405="","", YLE成绩库!X405)</f>
        <v/>
      </c>
      <c r="X905" t="str">
        <f>IF(YLE成绩库!C405="","", YLE成绩库!AA405)</f>
        <v/>
      </c>
      <c r="Z905" t="str">
        <f>IF(YLE成绩库!C405="","", YLE成绩库!Z405)</f>
        <v/>
      </c>
    </row>
    <row r="906" spans="1:26" x14ac:dyDescent="0.2">
      <c r="A906" t="str">
        <f>IF(YLE成绩库!C406="","", YLE成绩库!C406)</f>
        <v/>
      </c>
      <c r="B906" t="str">
        <f>IF(YLE成绩库!AB406="","", YLE成绩库!AB406)</f>
        <v/>
      </c>
      <c r="C906" t="str">
        <f>IF(YLE成绩库!B406="","", YLE成绩库!B406)</f>
        <v/>
      </c>
      <c r="D906" t="str">
        <f>IF(YLE成绩库!D406="","", YLE成绩库!D406)</f>
        <v/>
      </c>
      <c r="E906" t="str">
        <f>IF(YLE成绩库!C406="","", YLE成绩库!L406)</f>
        <v/>
      </c>
      <c r="F906" t="str">
        <f>IF(YLE成绩库!C406="","", YLE成绩库!M406)</f>
        <v/>
      </c>
      <c r="G906" t="str">
        <f>IF(YLE成绩库!C406="","", YLE成绩库!N406)</f>
        <v/>
      </c>
      <c r="H906" t="str">
        <f>IF(YLE成绩库!C406="","", YLE成绩库!O406)</f>
        <v/>
      </c>
      <c r="I906" t="str">
        <f>IF(YLE成绩库!C406="","", YLE成绩库!P406)</f>
        <v/>
      </c>
      <c r="J906" t="str">
        <f>IF(YLE成绩库!C406="","", YLE成绩库!Q406)</f>
        <v/>
      </c>
      <c r="K906" t="str">
        <f>IF(YLE成绩库!C406="","", YLE成绩库!R406)</f>
        <v/>
      </c>
      <c r="L906" t="str">
        <f>IF(YLE成绩库!C406="","", YLE成绩库!U406)</f>
        <v/>
      </c>
      <c r="M906">
        <v>0</v>
      </c>
      <c r="N906">
        <v>0</v>
      </c>
      <c r="O906">
        <v>0</v>
      </c>
      <c r="P906" t="str">
        <f>IF(YLE成绩库!C406="","", YLE成绩库!D406)</f>
        <v/>
      </c>
      <c r="Q906" t="str">
        <f>IF(YLE成绩库!C406="","", YLE成绩库!E406)</f>
        <v/>
      </c>
      <c r="R906" t="str">
        <f>IF(YLE成绩库!C406="","", YLE成绩库!F406)</f>
        <v/>
      </c>
      <c r="S906" t="str">
        <f>IF(YLE成绩库!C406="","", YLE成绩库!G406)</f>
        <v/>
      </c>
      <c r="T906" t="str">
        <f>IF(YLE成绩库!C406="","", YLE成绩库!H406)</f>
        <v/>
      </c>
      <c r="U906" t="str">
        <f>IF(YLE成绩库!C406="","", YLE成绩库!K406)</f>
        <v/>
      </c>
      <c r="V906" t="str">
        <f>IF(YLE成绩库!C406="","", YLE成绩库!W406)</f>
        <v/>
      </c>
      <c r="W906" t="str">
        <f>IF(YLE成绩库!C406="","", YLE成绩库!X406)</f>
        <v/>
      </c>
      <c r="X906" t="str">
        <f>IF(YLE成绩库!C406="","", YLE成绩库!AA406)</f>
        <v/>
      </c>
      <c r="Z906" t="str">
        <f>IF(YLE成绩库!C406="","", YLE成绩库!Z406)</f>
        <v/>
      </c>
    </row>
    <row r="907" spans="1:26" x14ac:dyDescent="0.2">
      <c r="A907" t="str">
        <f>IF(YLE成绩库!C407="","", YLE成绩库!C407)</f>
        <v/>
      </c>
      <c r="B907" t="str">
        <f>IF(YLE成绩库!AB407="","", YLE成绩库!AB407)</f>
        <v/>
      </c>
      <c r="C907" t="str">
        <f>IF(YLE成绩库!B407="","", YLE成绩库!B407)</f>
        <v/>
      </c>
      <c r="D907" t="str">
        <f>IF(YLE成绩库!D407="","", YLE成绩库!D407)</f>
        <v/>
      </c>
      <c r="E907" t="str">
        <f>IF(YLE成绩库!C407="","", YLE成绩库!L407)</f>
        <v/>
      </c>
      <c r="F907" t="str">
        <f>IF(YLE成绩库!C407="","", YLE成绩库!M407)</f>
        <v/>
      </c>
      <c r="G907" t="str">
        <f>IF(YLE成绩库!C407="","", YLE成绩库!N407)</f>
        <v/>
      </c>
      <c r="H907" t="str">
        <f>IF(YLE成绩库!C407="","", YLE成绩库!O407)</f>
        <v/>
      </c>
      <c r="I907" t="str">
        <f>IF(YLE成绩库!C407="","", YLE成绩库!P407)</f>
        <v/>
      </c>
      <c r="J907" t="str">
        <f>IF(YLE成绩库!C407="","", YLE成绩库!Q407)</f>
        <v/>
      </c>
      <c r="K907" t="str">
        <f>IF(YLE成绩库!C407="","", YLE成绩库!R407)</f>
        <v/>
      </c>
      <c r="L907" t="str">
        <f>IF(YLE成绩库!C407="","", YLE成绩库!U407)</f>
        <v/>
      </c>
      <c r="M907">
        <v>0</v>
      </c>
      <c r="N907">
        <v>0</v>
      </c>
      <c r="O907">
        <v>0</v>
      </c>
      <c r="P907" t="str">
        <f>IF(YLE成绩库!C407="","", YLE成绩库!D407)</f>
        <v/>
      </c>
      <c r="Q907" t="str">
        <f>IF(YLE成绩库!C407="","", YLE成绩库!E407)</f>
        <v/>
      </c>
      <c r="R907" t="str">
        <f>IF(YLE成绩库!C407="","", YLE成绩库!F407)</f>
        <v/>
      </c>
      <c r="S907" t="str">
        <f>IF(YLE成绩库!C407="","", YLE成绩库!G407)</f>
        <v/>
      </c>
      <c r="T907" t="str">
        <f>IF(YLE成绩库!C407="","", YLE成绩库!H407)</f>
        <v/>
      </c>
      <c r="U907" t="str">
        <f>IF(YLE成绩库!C407="","", YLE成绩库!K407)</f>
        <v/>
      </c>
      <c r="V907" t="str">
        <f>IF(YLE成绩库!C407="","", YLE成绩库!W407)</f>
        <v/>
      </c>
      <c r="W907" t="str">
        <f>IF(YLE成绩库!C407="","", YLE成绩库!X407)</f>
        <v/>
      </c>
      <c r="X907" t="str">
        <f>IF(YLE成绩库!C407="","", YLE成绩库!AA407)</f>
        <v/>
      </c>
      <c r="Z907" t="str">
        <f>IF(YLE成绩库!C407="","", YLE成绩库!Z407)</f>
        <v/>
      </c>
    </row>
    <row r="908" spans="1:26" x14ac:dyDescent="0.2">
      <c r="A908" t="str">
        <f>IF(YLE成绩库!C408="","", YLE成绩库!C408)</f>
        <v/>
      </c>
      <c r="B908" t="str">
        <f>IF(YLE成绩库!AB408="","", YLE成绩库!AB408)</f>
        <v/>
      </c>
      <c r="C908" t="str">
        <f>IF(YLE成绩库!B408="","", YLE成绩库!B408)</f>
        <v/>
      </c>
      <c r="D908" t="str">
        <f>IF(YLE成绩库!D408="","", YLE成绩库!D408)</f>
        <v/>
      </c>
      <c r="E908" t="str">
        <f>IF(YLE成绩库!C408="","", YLE成绩库!L408)</f>
        <v/>
      </c>
      <c r="F908" t="str">
        <f>IF(YLE成绩库!C408="","", YLE成绩库!M408)</f>
        <v/>
      </c>
      <c r="G908" t="str">
        <f>IF(YLE成绩库!C408="","", YLE成绩库!N408)</f>
        <v/>
      </c>
      <c r="H908" t="str">
        <f>IF(YLE成绩库!C408="","", YLE成绩库!O408)</f>
        <v/>
      </c>
      <c r="I908" t="str">
        <f>IF(YLE成绩库!C408="","", YLE成绩库!P408)</f>
        <v/>
      </c>
      <c r="J908" t="str">
        <f>IF(YLE成绩库!C408="","", YLE成绩库!Q408)</f>
        <v/>
      </c>
      <c r="K908" t="str">
        <f>IF(YLE成绩库!C408="","", YLE成绩库!R408)</f>
        <v/>
      </c>
      <c r="L908" t="str">
        <f>IF(YLE成绩库!C408="","", YLE成绩库!U408)</f>
        <v/>
      </c>
      <c r="M908">
        <v>0</v>
      </c>
      <c r="N908">
        <v>0</v>
      </c>
      <c r="O908">
        <v>0</v>
      </c>
      <c r="P908" t="str">
        <f>IF(YLE成绩库!C408="","", YLE成绩库!D408)</f>
        <v/>
      </c>
      <c r="Q908" t="str">
        <f>IF(YLE成绩库!C408="","", YLE成绩库!E408)</f>
        <v/>
      </c>
      <c r="R908" t="str">
        <f>IF(YLE成绩库!C408="","", YLE成绩库!F408)</f>
        <v/>
      </c>
      <c r="S908" t="str">
        <f>IF(YLE成绩库!C408="","", YLE成绩库!G408)</f>
        <v/>
      </c>
      <c r="T908" t="str">
        <f>IF(YLE成绩库!C408="","", YLE成绩库!H408)</f>
        <v/>
      </c>
      <c r="U908" t="str">
        <f>IF(YLE成绩库!C408="","", YLE成绩库!K408)</f>
        <v/>
      </c>
      <c r="V908" t="str">
        <f>IF(YLE成绩库!C408="","", YLE成绩库!W408)</f>
        <v/>
      </c>
      <c r="W908" t="str">
        <f>IF(YLE成绩库!C408="","", YLE成绩库!X408)</f>
        <v/>
      </c>
      <c r="X908" t="str">
        <f>IF(YLE成绩库!C408="","", YLE成绩库!AA408)</f>
        <v/>
      </c>
      <c r="Z908" t="str">
        <f>IF(YLE成绩库!C408="","", YLE成绩库!Z408)</f>
        <v/>
      </c>
    </row>
    <row r="909" spans="1:26" x14ac:dyDescent="0.2">
      <c r="A909" t="str">
        <f>IF(YLE成绩库!C409="","", YLE成绩库!C409)</f>
        <v/>
      </c>
      <c r="B909" t="str">
        <f>IF(YLE成绩库!AB409="","", YLE成绩库!AB409)</f>
        <v/>
      </c>
      <c r="C909" t="str">
        <f>IF(YLE成绩库!B409="","", YLE成绩库!B409)</f>
        <v/>
      </c>
      <c r="D909" t="str">
        <f>IF(YLE成绩库!D409="","", YLE成绩库!D409)</f>
        <v/>
      </c>
      <c r="E909" t="str">
        <f>IF(YLE成绩库!C409="","", YLE成绩库!L409)</f>
        <v/>
      </c>
      <c r="F909" t="str">
        <f>IF(YLE成绩库!C409="","", YLE成绩库!M409)</f>
        <v/>
      </c>
      <c r="G909" t="str">
        <f>IF(YLE成绩库!C409="","", YLE成绩库!N409)</f>
        <v/>
      </c>
      <c r="H909" t="str">
        <f>IF(YLE成绩库!C409="","", YLE成绩库!O409)</f>
        <v/>
      </c>
      <c r="I909" t="str">
        <f>IF(YLE成绩库!C409="","", YLE成绩库!P409)</f>
        <v/>
      </c>
      <c r="J909" t="str">
        <f>IF(YLE成绩库!C409="","", YLE成绩库!Q409)</f>
        <v/>
      </c>
      <c r="K909" t="str">
        <f>IF(YLE成绩库!C409="","", YLE成绩库!R409)</f>
        <v/>
      </c>
      <c r="L909" t="str">
        <f>IF(YLE成绩库!C409="","", YLE成绩库!U409)</f>
        <v/>
      </c>
      <c r="M909">
        <v>0</v>
      </c>
      <c r="N909">
        <v>0</v>
      </c>
      <c r="O909">
        <v>0</v>
      </c>
      <c r="P909" t="str">
        <f>IF(YLE成绩库!C409="","", YLE成绩库!D409)</f>
        <v/>
      </c>
      <c r="Q909" t="str">
        <f>IF(YLE成绩库!C409="","", YLE成绩库!E409)</f>
        <v/>
      </c>
      <c r="R909" t="str">
        <f>IF(YLE成绩库!C409="","", YLE成绩库!F409)</f>
        <v/>
      </c>
      <c r="S909" t="str">
        <f>IF(YLE成绩库!C409="","", YLE成绩库!G409)</f>
        <v/>
      </c>
      <c r="T909" t="str">
        <f>IF(YLE成绩库!C409="","", YLE成绩库!H409)</f>
        <v/>
      </c>
      <c r="U909" t="str">
        <f>IF(YLE成绩库!C409="","", YLE成绩库!K409)</f>
        <v/>
      </c>
      <c r="V909" t="str">
        <f>IF(YLE成绩库!C409="","", YLE成绩库!W409)</f>
        <v/>
      </c>
      <c r="W909" t="str">
        <f>IF(YLE成绩库!C409="","", YLE成绩库!X409)</f>
        <v/>
      </c>
      <c r="X909" t="str">
        <f>IF(YLE成绩库!C409="","", YLE成绩库!AA409)</f>
        <v/>
      </c>
      <c r="Z909" t="str">
        <f>IF(YLE成绩库!C409="","", YLE成绩库!Z409)</f>
        <v/>
      </c>
    </row>
    <row r="910" spans="1:26" x14ac:dyDescent="0.2">
      <c r="A910" t="str">
        <f>IF(YLE成绩库!C410="","", YLE成绩库!C410)</f>
        <v/>
      </c>
      <c r="B910" t="str">
        <f>IF(YLE成绩库!AB410="","", YLE成绩库!AB410)</f>
        <v/>
      </c>
      <c r="C910" t="str">
        <f>IF(YLE成绩库!B410="","", YLE成绩库!B410)</f>
        <v/>
      </c>
      <c r="D910" t="str">
        <f>IF(YLE成绩库!D410="","", YLE成绩库!D410)</f>
        <v/>
      </c>
      <c r="E910" t="str">
        <f>IF(YLE成绩库!C410="","", YLE成绩库!L410)</f>
        <v/>
      </c>
      <c r="F910" t="str">
        <f>IF(YLE成绩库!C410="","", YLE成绩库!M410)</f>
        <v/>
      </c>
      <c r="G910" t="str">
        <f>IF(YLE成绩库!C410="","", YLE成绩库!N410)</f>
        <v/>
      </c>
      <c r="H910" t="str">
        <f>IF(YLE成绩库!C410="","", YLE成绩库!O410)</f>
        <v/>
      </c>
      <c r="I910" t="str">
        <f>IF(YLE成绩库!C410="","", YLE成绩库!P410)</f>
        <v/>
      </c>
      <c r="J910" t="str">
        <f>IF(YLE成绩库!C410="","", YLE成绩库!Q410)</f>
        <v/>
      </c>
      <c r="K910" t="str">
        <f>IF(YLE成绩库!C410="","", YLE成绩库!R410)</f>
        <v/>
      </c>
      <c r="L910" t="str">
        <f>IF(YLE成绩库!C410="","", YLE成绩库!U410)</f>
        <v/>
      </c>
      <c r="M910">
        <v>0</v>
      </c>
      <c r="N910">
        <v>0</v>
      </c>
      <c r="O910">
        <v>0</v>
      </c>
      <c r="P910" t="str">
        <f>IF(YLE成绩库!C410="","", YLE成绩库!D410)</f>
        <v/>
      </c>
      <c r="Q910" t="str">
        <f>IF(YLE成绩库!C410="","", YLE成绩库!E410)</f>
        <v/>
      </c>
      <c r="R910" t="str">
        <f>IF(YLE成绩库!C410="","", YLE成绩库!F410)</f>
        <v/>
      </c>
      <c r="S910" t="str">
        <f>IF(YLE成绩库!C410="","", YLE成绩库!G410)</f>
        <v/>
      </c>
      <c r="T910" t="str">
        <f>IF(YLE成绩库!C410="","", YLE成绩库!H410)</f>
        <v/>
      </c>
      <c r="U910" t="str">
        <f>IF(YLE成绩库!C410="","", YLE成绩库!K410)</f>
        <v/>
      </c>
      <c r="V910" t="str">
        <f>IF(YLE成绩库!C410="","", YLE成绩库!W410)</f>
        <v/>
      </c>
      <c r="W910" t="str">
        <f>IF(YLE成绩库!C410="","", YLE成绩库!X410)</f>
        <v/>
      </c>
      <c r="X910" t="str">
        <f>IF(YLE成绩库!C410="","", YLE成绩库!AA410)</f>
        <v/>
      </c>
      <c r="Z910" t="str">
        <f>IF(YLE成绩库!C410="","", YLE成绩库!Z410)</f>
        <v/>
      </c>
    </row>
    <row r="911" spans="1:26" x14ac:dyDescent="0.2">
      <c r="A911" t="str">
        <f>IF(YLE成绩库!C411="","", YLE成绩库!C411)</f>
        <v/>
      </c>
      <c r="B911" t="str">
        <f>IF(YLE成绩库!AB411="","", YLE成绩库!AB411)</f>
        <v/>
      </c>
      <c r="C911" t="str">
        <f>IF(YLE成绩库!B411="","", YLE成绩库!B411)</f>
        <v/>
      </c>
      <c r="D911" t="str">
        <f>IF(YLE成绩库!D411="","", YLE成绩库!D411)</f>
        <v/>
      </c>
      <c r="E911" t="str">
        <f>IF(YLE成绩库!C411="","", YLE成绩库!L411)</f>
        <v/>
      </c>
      <c r="F911" t="str">
        <f>IF(YLE成绩库!C411="","", YLE成绩库!M411)</f>
        <v/>
      </c>
      <c r="G911" t="str">
        <f>IF(YLE成绩库!C411="","", YLE成绩库!N411)</f>
        <v/>
      </c>
      <c r="H911" t="str">
        <f>IF(YLE成绩库!C411="","", YLE成绩库!O411)</f>
        <v/>
      </c>
      <c r="I911" t="str">
        <f>IF(YLE成绩库!C411="","", YLE成绩库!P411)</f>
        <v/>
      </c>
      <c r="J911" t="str">
        <f>IF(YLE成绩库!C411="","", YLE成绩库!Q411)</f>
        <v/>
      </c>
      <c r="K911" t="str">
        <f>IF(YLE成绩库!C411="","", YLE成绩库!R411)</f>
        <v/>
      </c>
      <c r="L911" t="str">
        <f>IF(YLE成绩库!C411="","", YLE成绩库!U411)</f>
        <v/>
      </c>
      <c r="M911">
        <v>0</v>
      </c>
      <c r="N911">
        <v>0</v>
      </c>
      <c r="O911">
        <v>0</v>
      </c>
      <c r="P911" t="str">
        <f>IF(YLE成绩库!C411="","", YLE成绩库!D411)</f>
        <v/>
      </c>
      <c r="Q911" t="str">
        <f>IF(YLE成绩库!C411="","", YLE成绩库!E411)</f>
        <v/>
      </c>
      <c r="R911" t="str">
        <f>IF(YLE成绩库!C411="","", YLE成绩库!F411)</f>
        <v/>
      </c>
      <c r="S911" t="str">
        <f>IF(YLE成绩库!C411="","", YLE成绩库!G411)</f>
        <v/>
      </c>
      <c r="T911" t="str">
        <f>IF(YLE成绩库!C411="","", YLE成绩库!H411)</f>
        <v/>
      </c>
      <c r="U911" t="str">
        <f>IF(YLE成绩库!C411="","", YLE成绩库!K411)</f>
        <v/>
      </c>
      <c r="V911" t="str">
        <f>IF(YLE成绩库!C411="","", YLE成绩库!W411)</f>
        <v/>
      </c>
      <c r="W911" t="str">
        <f>IF(YLE成绩库!C411="","", YLE成绩库!X411)</f>
        <v/>
      </c>
      <c r="X911" t="str">
        <f>IF(YLE成绩库!C411="","", YLE成绩库!AA411)</f>
        <v/>
      </c>
      <c r="Z911" t="str">
        <f>IF(YLE成绩库!C411="","", YLE成绩库!Z411)</f>
        <v/>
      </c>
    </row>
    <row r="912" spans="1:26" x14ac:dyDescent="0.2">
      <c r="A912" t="str">
        <f>IF(YLE成绩库!C412="","", YLE成绩库!C412)</f>
        <v/>
      </c>
      <c r="B912" t="str">
        <f>IF(YLE成绩库!AB412="","", YLE成绩库!AB412)</f>
        <v/>
      </c>
      <c r="C912" t="str">
        <f>IF(YLE成绩库!B412="","", YLE成绩库!B412)</f>
        <v/>
      </c>
      <c r="D912" t="str">
        <f>IF(YLE成绩库!D412="","", YLE成绩库!D412)</f>
        <v/>
      </c>
      <c r="E912" t="str">
        <f>IF(YLE成绩库!C412="","", YLE成绩库!L412)</f>
        <v/>
      </c>
      <c r="F912" t="str">
        <f>IF(YLE成绩库!C412="","", YLE成绩库!M412)</f>
        <v/>
      </c>
      <c r="G912" t="str">
        <f>IF(YLE成绩库!C412="","", YLE成绩库!N412)</f>
        <v/>
      </c>
      <c r="H912" t="str">
        <f>IF(YLE成绩库!C412="","", YLE成绩库!O412)</f>
        <v/>
      </c>
      <c r="I912" t="str">
        <f>IF(YLE成绩库!C412="","", YLE成绩库!P412)</f>
        <v/>
      </c>
      <c r="J912" t="str">
        <f>IF(YLE成绩库!C412="","", YLE成绩库!Q412)</f>
        <v/>
      </c>
      <c r="K912" t="str">
        <f>IF(YLE成绩库!C412="","", YLE成绩库!R412)</f>
        <v/>
      </c>
      <c r="L912" t="str">
        <f>IF(YLE成绩库!C412="","", YLE成绩库!U412)</f>
        <v/>
      </c>
      <c r="M912">
        <v>0</v>
      </c>
      <c r="N912">
        <v>0</v>
      </c>
      <c r="O912">
        <v>0</v>
      </c>
      <c r="P912" t="str">
        <f>IF(YLE成绩库!C412="","", YLE成绩库!D412)</f>
        <v/>
      </c>
      <c r="Q912" t="str">
        <f>IF(YLE成绩库!C412="","", YLE成绩库!E412)</f>
        <v/>
      </c>
      <c r="R912" t="str">
        <f>IF(YLE成绩库!C412="","", YLE成绩库!F412)</f>
        <v/>
      </c>
      <c r="S912" t="str">
        <f>IF(YLE成绩库!C412="","", YLE成绩库!G412)</f>
        <v/>
      </c>
      <c r="T912" t="str">
        <f>IF(YLE成绩库!C412="","", YLE成绩库!H412)</f>
        <v/>
      </c>
      <c r="U912" t="str">
        <f>IF(YLE成绩库!C412="","", YLE成绩库!K412)</f>
        <v/>
      </c>
      <c r="V912" t="str">
        <f>IF(YLE成绩库!C412="","", YLE成绩库!W412)</f>
        <v/>
      </c>
      <c r="W912" t="str">
        <f>IF(YLE成绩库!C412="","", YLE成绩库!X412)</f>
        <v/>
      </c>
      <c r="X912" t="str">
        <f>IF(YLE成绩库!C412="","", YLE成绩库!AA412)</f>
        <v/>
      </c>
      <c r="Z912" t="str">
        <f>IF(YLE成绩库!C412="","", YLE成绩库!Z412)</f>
        <v/>
      </c>
    </row>
    <row r="913" spans="1:26" x14ac:dyDescent="0.2">
      <c r="A913" t="str">
        <f>IF(YLE成绩库!C413="","", YLE成绩库!C413)</f>
        <v/>
      </c>
      <c r="B913" t="str">
        <f>IF(YLE成绩库!AB413="","", YLE成绩库!AB413)</f>
        <v/>
      </c>
      <c r="C913" t="str">
        <f>IF(YLE成绩库!B413="","", YLE成绩库!B413)</f>
        <v/>
      </c>
      <c r="D913" t="str">
        <f>IF(YLE成绩库!D413="","", YLE成绩库!D413)</f>
        <v/>
      </c>
      <c r="E913" t="str">
        <f>IF(YLE成绩库!C413="","", YLE成绩库!L413)</f>
        <v/>
      </c>
      <c r="F913" t="str">
        <f>IF(YLE成绩库!C413="","", YLE成绩库!M413)</f>
        <v/>
      </c>
      <c r="G913" t="str">
        <f>IF(YLE成绩库!C413="","", YLE成绩库!N413)</f>
        <v/>
      </c>
      <c r="H913" t="str">
        <f>IF(YLE成绩库!C413="","", YLE成绩库!O413)</f>
        <v/>
      </c>
      <c r="I913" t="str">
        <f>IF(YLE成绩库!C413="","", YLE成绩库!P413)</f>
        <v/>
      </c>
      <c r="J913" t="str">
        <f>IF(YLE成绩库!C413="","", YLE成绩库!Q413)</f>
        <v/>
      </c>
      <c r="K913" t="str">
        <f>IF(YLE成绩库!C413="","", YLE成绩库!R413)</f>
        <v/>
      </c>
      <c r="L913" t="str">
        <f>IF(YLE成绩库!C413="","", YLE成绩库!U413)</f>
        <v/>
      </c>
      <c r="M913">
        <v>0</v>
      </c>
      <c r="N913">
        <v>0</v>
      </c>
      <c r="O913">
        <v>0</v>
      </c>
      <c r="P913" t="str">
        <f>IF(YLE成绩库!C413="","", YLE成绩库!D413)</f>
        <v/>
      </c>
      <c r="Q913" t="str">
        <f>IF(YLE成绩库!C413="","", YLE成绩库!E413)</f>
        <v/>
      </c>
      <c r="R913" t="str">
        <f>IF(YLE成绩库!C413="","", YLE成绩库!F413)</f>
        <v/>
      </c>
      <c r="S913" t="str">
        <f>IF(YLE成绩库!C413="","", YLE成绩库!G413)</f>
        <v/>
      </c>
      <c r="T913" t="str">
        <f>IF(YLE成绩库!C413="","", YLE成绩库!H413)</f>
        <v/>
      </c>
      <c r="U913" t="str">
        <f>IF(YLE成绩库!C413="","", YLE成绩库!K413)</f>
        <v/>
      </c>
      <c r="V913" t="str">
        <f>IF(YLE成绩库!C413="","", YLE成绩库!W413)</f>
        <v/>
      </c>
      <c r="W913" t="str">
        <f>IF(YLE成绩库!C413="","", YLE成绩库!X413)</f>
        <v/>
      </c>
      <c r="X913" t="str">
        <f>IF(YLE成绩库!C413="","", YLE成绩库!AA413)</f>
        <v/>
      </c>
      <c r="Z913" t="str">
        <f>IF(YLE成绩库!C413="","", YLE成绩库!Z413)</f>
        <v/>
      </c>
    </row>
    <row r="914" spans="1:26" x14ac:dyDescent="0.2">
      <c r="A914" t="str">
        <f>IF(YLE成绩库!C414="","", YLE成绩库!C414)</f>
        <v/>
      </c>
      <c r="B914" t="str">
        <f>IF(YLE成绩库!AB414="","", YLE成绩库!AB414)</f>
        <v/>
      </c>
      <c r="C914" t="str">
        <f>IF(YLE成绩库!B414="","", YLE成绩库!B414)</f>
        <v/>
      </c>
      <c r="D914" t="str">
        <f>IF(YLE成绩库!D414="","", YLE成绩库!D414)</f>
        <v/>
      </c>
      <c r="E914" t="str">
        <f>IF(YLE成绩库!C414="","", YLE成绩库!L414)</f>
        <v/>
      </c>
      <c r="F914" t="str">
        <f>IF(YLE成绩库!C414="","", YLE成绩库!M414)</f>
        <v/>
      </c>
      <c r="G914" t="str">
        <f>IF(YLE成绩库!C414="","", YLE成绩库!N414)</f>
        <v/>
      </c>
      <c r="H914" t="str">
        <f>IF(YLE成绩库!C414="","", YLE成绩库!O414)</f>
        <v/>
      </c>
      <c r="I914" t="str">
        <f>IF(YLE成绩库!C414="","", YLE成绩库!P414)</f>
        <v/>
      </c>
      <c r="J914" t="str">
        <f>IF(YLE成绩库!C414="","", YLE成绩库!Q414)</f>
        <v/>
      </c>
      <c r="K914" t="str">
        <f>IF(YLE成绩库!C414="","", YLE成绩库!R414)</f>
        <v/>
      </c>
      <c r="L914" t="str">
        <f>IF(YLE成绩库!C414="","", YLE成绩库!U414)</f>
        <v/>
      </c>
      <c r="M914">
        <v>0</v>
      </c>
      <c r="N914">
        <v>0</v>
      </c>
      <c r="O914">
        <v>0</v>
      </c>
      <c r="P914" t="str">
        <f>IF(YLE成绩库!C414="","", YLE成绩库!D414)</f>
        <v/>
      </c>
      <c r="Q914" t="str">
        <f>IF(YLE成绩库!C414="","", YLE成绩库!E414)</f>
        <v/>
      </c>
      <c r="R914" t="str">
        <f>IF(YLE成绩库!C414="","", YLE成绩库!F414)</f>
        <v/>
      </c>
      <c r="S914" t="str">
        <f>IF(YLE成绩库!C414="","", YLE成绩库!G414)</f>
        <v/>
      </c>
      <c r="T914" t="str">
        <f>IF(YLE成绩库!C414="","", YLE成绩库!H414)</f>
        <v/>
      </c>
      <c r="U914" t="str">
        <f>IF(YLE成绩库!C414="","", YLE成绩库!K414)</f>
        <v/>
      </c>
      <c r="V914" t="str">
        <f>IF(YLE成绩库!C414="","", YLE成绩库!W414)</f>
        <v/>
      </c>
      <c r="W914" t="str">
        <f>IF(YLE成绩库!C414="","", YLE成绩库!X414)</f>
        <v/>
      </c>
      <c r="X914" t="str">
        <f>IF(YLE成绩库!C414="","", YLE成绩库!AA414)</f>
        <v/>
      </c>
      <c r="Z914" t="str">
        <f>IF(YLE成绩库!C414="","", YLE成绩库!Z414)</f>
        <v/>
      </c>
    </row>
    <row r="915" spans="1:26" x14ac:dyDescent="0.2">
      <c r="A915" t="str">
        <f>IF(YLE成绩库!C415="","", YLE成绩库!C415)</f>
        <v/>
      </c>
      <c r="B915" t="str">
        <f>IF(YLE成绩库!AB415="","", YLE成绩库!AB415)</f>
        <v/>
      </c>
      <c r="C915" t="str">
        <f>IF(YLE成绩库!B415="","", YLE成绩库!B415)</f>
        <v/>
      </c>
      <c r="D915" t="str">
        <f>IF(YLE成绩库!D415="","", YLE成绩库!D415)</f>
        <v/>
      </c>
      <c r="E915" t="str">
        <f>IF(YLE成绩库!C415="","", YLE成绩库!L415)</f>
        <v/>
      </c>
      <c r="F915" t="str">
        <f>IF(YLE成绩库!C415="","", YLE成绩库!M415)</f>
        <v/>
      </c>
      <c r="G915" t="str">
        <f>IF(YLE成绩库!C415="","", YLE成绩库!N415)</f>
        <v/>
      </c>
      <c r="H915" t="str">
        <f>IF(YLE成绩库!C415="","", YLE成绩库!O415)</f>
        <v/>
      </c>
      <c r="I915" t="str">
        <f>IF(YLE成绩库!C415="","", YLE成绩库!P415)</f>
        <v/>
      </c>
      <c r="J915" t="str">
        <f>IF(YLE成绩库!C415="","", YLE成绩库!Q415)</f>
        <v/>
      </c>
      <c r="K915" t="str">
        <f>IF(YLE成绩库!C415="","", YLE成绩库!R415)</f>
        <v/>
      </c>
      <c r="L915" t="str">
        <f>IF(YLE成绩库!C415="","", YLE成绩库!U415)</f>
        <v/>
      </c>
      <c r="M915">
        <v>0</v>
      </c>
      <c r="N915">
        <v>0</v>
      </c>
      <c r="O915">
        <v>0</v>
      </c>
      <c r="P915" t="str">
        <f>IF(YLE成绩库!C415="","", YLE成绩库!D415)</f>
        <v/>
      </c>
      <c r="Q915" t="str">
        <f>IF(YLE成绩库!C415="","", YLE成绩库!E415)</f>
        <v/>
      </c>
      <c r="R915" t="str">
        <f>IF(YLE成绩库!C415="","", YLE成绩库!F415)</f>
        <v/>
      </c>
      <c r="S915" t="str">
        <f>IF(YLE成绩库!C415="","", YLE成绩库!G415)</f>
        <v/>
      </c>
      <c r="T915" t="str">
        <f>IF(YLE成绩库!C415="","", YLE成绩库!H415)</f>
        <v/>
      </c>
      <c r="U915" t="str">
        <f>IF(YLE成绩库!C415="","", YLE成绩库!K415)</f>
        <v/>
      </c>
      <c r="V915" t="str">
        <f>IF(YLE成绩库!C415="","", YLE成绩库!W415)</f>
        <v/>
      </c>
      <c r="W915" t="str">
        <f>IF(YLE成绩库!C415="","", YLE成绩库!X415)</f>
        <v/>
      </c>
      <c r="X915" t="str">
        <f>IF(YLE成绩库!C415="","", YLE成绩库!AA415)</f>
        <v/>
      </c>
      <c r="Z915" t="str">
        <f>IF(YLE成绩库!C415="","", YLE成绩库!Z415)</f>
        <v/>
      </c>
    </row>
    <row r="916" spans="1:26" x14ac:dyDescent="0.2">
      <c r="A916" t="str">
        <f>IF(YLE成绩库!C416="","", YLE成绩库!C416)</f>
        <v/>
      </c>
      <c r="B916" t="str">
        <f>IF(YLE成绩库!AB416="","", YLE成绩库!AB416)</f>
        <v/>
      </c>
      <c r="C916" t="str">
        <f>IF(YLE成绩库!B416="","", YLE成绩库!B416)</f>
        <v/>
      </c>
      <c r="D916" t="str">
        <f>IF(YLE成绩库!D416="","", YLE成绩库!D416)</f>
        <v/>
      </c>
      <c r="E916" t="str">
        <f>IF(YLE成绩库!C416="","", YLE成绩库!L416)</f>
        <v/>
      </c>
      <c r="F916" t="str">
        <f>IF(YLE成绩库!C416="","", YLE成绩库!M416)</f>
        <v/>
      </c>
      <c r="G916" t="str">
        <f>IF(YLE成绩库!C416="","", YLE成绩库!N416)</f>
        <v/>
      </c>
      <c r="H916" t="str">
        <f>IF(YLE成绩库!C416="","", YLE成绩库!O416)</f>
        <v/>
      </c>
      <c r="I916" t="str">
        <f>IF(YLE成绩库!C416="","", YLE成绩库!P416)</f>
        <v/>
      </c>
      <c r="J916" t="str">
        <f>IF(YLE成绩库!C416="","", YLE成绩库!Q416)</f>
        <v/>
      </c>
      <c r="K916" t="str">
        <f>IF(YLE成绩库!C416="","", YLE成绩库!R416)</f>
        <v/>
      </c>
      <c r="L916" t="str">
        <f>IF(YLE成绩库!C416="","", YLE成绩库!U416)</f>
        <v/>
      </c>
      <c r="M916">
        <v>0</v>
      </c>
      <c r="N916">
        <v>0</v>
      </c>
      <c r="O916">
        <v>0</v>
      </c>
      <c r="P916" t="str">
        <f>IF(YLE成绩库!C416="","", YLE成绩库!D416)</f>
        <v/>
      </c>
      <c r="Q916" t="str">
        <f>IF(YLE成绩库!C416="","", YLE成绩库!E416)</f>
        <v/>
      </c>
      <c r="R916" t="str">
        <f>IF(YLE成绩库!C416="","", YLE成绩库!F416)</f>
        <v/>
      </c>
      <c r="S916" t="str">
        <f>IF(YLE成绩库!C416="","", YLE成绩库!G416)</f>
        <v/>
      </c>
      <c r="T916" t="str">
        <f>IF(YLE成绩库!C416="","", YLE成绩库!H416)</f>
        <v/>
      </c>
      <c r="U916" t="str">
        <f>IF(YLE成绩库!C416="","", YLE成绩库!K416)</f>
        <v/>
      </c>
      <c r="V916" t="str">
        <f>IF(YLE成绩库!C416="","", YLE成绩库!W416)</f>
        <v/>
      </c>
      <c r="W916" t="str">
        <f>IF(YLE成绩库!C416="","", YLE成绩库!X416)</f>
        <v/>
      </c>
      <c r="X916" t="str">
        <f>IF(YLE成绩库!C416="","", YLE成绩库!AA416)</f>
        <v/>
      </c>
      <c r="Z916" t="str">
        <f>IF(YLE成绩库!C416="","", YLE成绩库!Z416)</f>
        <v/>
      </c>
    </row>
    <row r="917" spans="1:26" x14ac:dyDescent="0.2">
      <c r="A917" t="str">
        <f>IF(YLE成绩库!C417="","", YLE成绩库!C417)</f>
        <v/>
      </c>
      <c r="B917" t="str">
        <f>IF(YLE成绩库!AB417="","", YLE成绩库!AB417)</f>
        <v/>
      </c>
      <c r="C917" t="str">
        <f>IF(YLE成绩库!B417="","", YLE成绩库!B417)</f>
        <v/>
      </c>
      <c r="D917" t="str">
        <f>IF(YLE成绩库!D417="","", YLE成绩库!D417)</f>
        <v/>
      </c>
      <c r="E917" t="str">
        <f>IF(YLE成绩库!C417="","", YLE成绩库!L417)</f>
        <v/>
      </c>
      <c r="F917" t="str">
        <f>IF(YLE成绩库!C417="","", YLE成绩库!M417)</f>
        <v/>
      </c>
      <c r="G917" t="str">
        <f>IF(YLE成绩库!C417="","", YLE成绩库!N417)</f>
        <v/>
      </c>
      <c r="H917" t="str">
        <f>IF(YLE成绩库!C417="","", YLE成绩库!O417)</f>
        <v/>
      </c>
      <c r="I917" t="str">
        <f>IF(YLE成绩库!C417="","", YLE成绩库!P417)</f>
        <v/>
      </c>
      <c r="J917" t="str">
        <f>IF(YLE成绩库!C417="","", YLE成绩库!Q417)</f>
        <v/>
      </c>
      <c r="K917" t="str">
        <f>IF(YLE成绩库!C417="","", YLE成绩库!R417)</f>
        <v/>
      </c>
      <c r="L917" t="str">
        <f>IF(YLE成绩库!C417="","", YLE成绩库!U417)</f>
        <v/>
      </c>
      <c r="M917">
        <v>0</v>
      </c>
      <c r="N917">
        <v>0</v>
      </c>
      <c r="O917">
        <v>0</v>
      </c>
      <c r="P917" t="str">
        <f>IF(YLE成绩库!C417="","", YLE成绩库!D417)</f>
        <v/>
      </c>
      <c r="Q917" t="str">
        <f>IF(YLE成绩库!C417="","", YLE成绩库!E417)</f>
        <v/>
      </c>
      <c r="R917" t="str">
        <f>IF(YLE成绩库!C417="","", YLE成绩库!F417)</f>
        <v/>
      </c>
      <c r="S917" t="str">
        <f>IF(YLE成绩库!C417="","", YLE成绩库!G417)</f>
        <v/>
      </c>
      <c r="T917" t="str">
        <f>IF(YLE成绩库!C417="","", YLE成绩库!H417)</f>
        <v/>
      </c>
      <c r="U917" t="str">
        <f>IF(YLE成绩库!C417="","", YLE成绩库!K417)</f>
        <v/>
      </c>
      <c r="V917" t="str">
        <f>IF(YLE成绩库!C417="","", YLE成绩库!W417)</f>
        <v/>
      </c>
      <c r="W917" t="str">
        <f>IF(YLE成绩库!C417="","", YLE成绩库!X417)</f>
        <v/>
      </c>
      <c r="X917" t="str">
        <f>IF(YLE成绩库!C417="","", YLE成绩库!AA417)</f>
        <v/>
      </c>
      <c r="Z917" t="str">
        <f>IF(YLE成绩库!C417="","", YLE成绩库!Z417)</f>
        <v/>
      </c>
    </row>
    <row r="918" spans="1:26" x14ac:dyDescent="0.2">
      <c r="A918" t="str">
        <f>IF(YLE成绩库!C418="","", YLE成绩库!C418)</f>
        <v/>
      </c>
      <c r="B918" t="str">
        <f>IF(YLE成绩库!AB418="","", YLE成绩库!AB418)</f>
        <v/>
      </c>
      <c r="C918" t="str">
        <f>IF(YLE成绩库!B418="","", YLE成绩库!B418)</f>
        <v/>
      </c>
      <c r="D918" t="str">
        <f>IF(YLE成绩库!D418="","", YLE成绩库!D418)</f>
        <v/>
      </c>
      <c r="E918" t="str">
        <f>IF(YLE成绩库!C418="","", YLE成绩库!L418)</f>
        <v/>
      </c>
      <c r="F918" t="str">
        <f>IF(YLE成绩库!C418="","", YLE成绩库!M418)</f>
        <v/>
      </c>
      <c r="G918" t="str">
        <f>IF(YLE成绩库!C418="","", YLE成绩库!N418)</f>
        <v/>
      </c>
      <c r="H918" t="str">
        <f>IF(YLE成绩库!C418="","", YLE成绩库!O418)</f>
        <v/>
      </c>
      <c r="I918" t="str">
        <f>IF(YLE成绩库!C418="","", YLE成绩库!P418)</f>
        <v/>
      </c>
      <c r="J918" t="str">
        <f>IF(YLE成绩库!C418="","", YLE成绩库!Q418)</f>
        <v/>
      </c>
      <c r="K918" t="str">
        <f>IF(YLE成绩库!C418="","", YLE成绩库!R418)</f>
        <v/>
      </c>
      <c r="L918" t="str">
        <f>IF(YLE成绩库!C418="","", YLE成绩库!U418)</f>
        <v/>
      </c>
      <c r="M918">
        <v>0</v>
      </c>
      <c r="N918">
        <v>0</v>
      </c>
      <c r="O918">
        <v>0</v>
      </c>
      <c r="P918" t="str">
        <f>IF(YLE成绩库!C418="","", YLE成绩库!D418)</f>
        <v/>
      </c>
      <c r="Q918" t="str">
        <f>IF(YLE成绩库!C418="","", YLE成绩库!E418)</f>
        <v/>
      </c>
      <c r="R918" t="str">
        <f>IF(YLE成绩库!C418="","", YLE成绩库!F418)</f>
        <v/>
      </c>
      <c r="S918" t="str">
        <f>IF(YLE成绩库!C418="","", YLE成绩库!G418)</f>
        <v/>
      </c>
      <c r="T918" t="str">
        <f>IF(YLE成绩库!C418="","", YLE成绩库!H418)</f>
        <v/>
      </c>
      <c r="U918" t="str">
        <f>IF(YLE成绩库!C418="","", YLE成绩库!K418)</f>
        <v/>
      </c>
      <c r="V918" t="str">
        <f>IF(YLE成绩库!C418="","", YLE成绩库!W418)</f>
        <v/>
      </c>
      <c r="W918" t="str">
        <f>IF(YLE成绩库!C418="","", YLE成绩库!X418)</f>
        <v/>
      </c>
      <c r="X918" t="str">
        <f>IF(YLE成绩库!C418="","", YLE成绩库!AA418)</f>
        <v/>
      </c>
      <c r="Z918" t="str">
        <f>IF(YLE成绩库!C418="","", YLE成绩库!Z418)</f>
        <v/>
      </c>
    </row>
    <row r="919" spans="1:26" x14ac:dyDescent="0.2">
      <c r="A919" t="str">
        <f>IF(YLE成绩库!C419="","", YLE成绩库!C419)</f>
        <v/>
      </c>
      <c r="B919" t="str">
        <f>IF(YLE成绩库!AB419="","", YLE成绩库!AB419)</f>
        <v/>
      </c>
      <c r="C919" t="str">
        <f>IF(YLE成绩库!B419="","", YLE成绩库!B419)</f>
        <v/>
      </c>
      <c r="D919" t="str">
        <f>IF(YLE成绩库!D419="","", YLE成绩库!D419)</f>
        <v/>
      </c>
      <c r="E919" t="str">
        <f>IF(YLE成绩库!C419="","", YLE成绩库!L419)</f>
        <v/>
      </c>
      <c r="F919" t="str">
        <f>IF(YLE成绩库!C419="","", YLE成绩库!M419)</f>
        <v/>
      </c>
      <c r="G919" t="str">
        <f>IF(YLE成绩库!C419="","", YLE成绩库!N419)</f>
        <v/>
      </c>
      <c r="H919" t="str">
        <f>IF(YLE成绩库!C419="","", YLE成绩库!O419)</f>
        <v/>
      </c>
      <c r="I919" t="str">
        <f>IF(YLE成绩库!C419="","", YLE成绩库!P419)</f>
        <v/>
      </c>
      <c r="J919" t="str">
        <f>IF(YLE成绩库!C419="","", YLE成绩库!Q419)</f>
        <v/>
      </c>
      <c r="K919" t="str">
        <f>IF(YLE成绩库!C419="","", YLE成绩库!R419)</f>
        <v/>
      </c>
      <c r="L919" t="str">
        <f>IF(YLE成绩库!C419="","", YLE成绩库!U419)</f>
        <v/>
      </c>
      <c r="M919">
        <v>0</v>
      </c>
      <c r="N919">
        <v>0</v>
      </c>
      <c r="O919">
        <v>0</v>
      </c>
      <c r="P919" t="str">
        <f>IF(YLE成绩库!C419="","", YLE成绩库!D419)</f>
        <v/>
      </c>
      <c r="Q919" t="str">
        <f>IF(YLE成绩库!C419="","", YLE成绩库!E419)</f>
        <v/>
      </c>
      <c r="R919" t="str">
        <f>IF(YLE成绩库!C419="","", YLE成绩库!F419)</f>
        <v/>
      </c>
      <c r="S919" t="str">
        <f>IF(YLE成绩库!C419="","", YLE成绩库!G419)</f>
        <v/>
      </c>
      <c r="T919" t="str">
        <f>IF(YLE成绩库!C419="","", YLE成绩库!H419)</f>
        <v/>
      </c>
      <c r="U919" t="str">
        <f>IF(YLE成绩库!C419="","", YLE成绩库!K419)</f>
        <v/>
      </c>
      <c r="V919" t="str">
        <f>IF(YLE成绩库!C419="","", YLE成绩库!W419)</f>
        <v/>
      </c>
      <c r="W919" t="str">
        <f>IF(YLE成绩库!C419="","", YLE成绩库!X419)</f>
        <v/>
      </c>
      <c r="X919" t="str">
        <f>IF(YLE成绩库!C419="","", YLE成绩库!AA419)</f>
        <v/>
      </c>
      <c r="Z919" t="str">
        <f>IF(YLE成绩库!C419="","", YLE成绩库!Z419)</f>
        <v/>
      </c>
    </row>
    <row r="920" spans="1:26" x14ac:dyDescent="0.2">
      <c r="A920" t="str">
        <f>IF(YLE成绩库!C420="","", YLE成绩库!C420)</f>
        <v/>
      </c>
      <c r="B920" t="str">
        <f>IF(YLE成绩库!AB420="","", YLE成绩库!AB420)</f>
        <v/>
      </c>
      <c r="C920" t="str">
        <f>IF(YLE成绩库!B420="","", YLE成绩库!B420)</f>
        <v/>
      </c>
      <c r="D920" t="str">
        <f>IF(YLE成绩库!D420="","", YLE成绩库!D420)</f>
        <v/>
      </c>
      <c r="E920" t="str">
        <f>IF(YLE成绩库!C420="","", YLE成绩库!L420)</f>
        <v/>
      </c>
      <c r="F920" t="str">
        <f>IF(YLE成绩库!C420="","", YLE成绩库!M420)</f>
        <v/>
      </c>
      <c r="G920" t="str">
        <f>IF(YLE成绩库!C420="","", YLE成绩库!N420)</f>
        <v/>
      </c>
      <c r="H920" t="str">
        <f>IF(YLE成绩库!C420="","", YLE成绩库!O420)</f>
        <v/>
      </c>
      <c r="I920" t="str">
        <f>IF(YLE成绩库!C420="","", YLE成绩库!P420)</f>
        <v/>
      </c>
      <c r="J920" t="str">
        <f>IF(YLE成绩库!C420="","", YLE成绩库!Q420)</f>
        <v/>
      </c>
      <c r="K920" t="str">
        <f>IF(YLE成绩库!C420="","", YLE成绩库!R420)</f>
        <v/>
      </c>
      <c r="L920" t="str">
        <f>IF(YLE成绩库!C420="","", YLE成绩库!U420)</f>
        <v/>
      </c>
      <c r="M920">
        <v>0</v>
      </c>
      <c r="N920">
        <v>0</v>
      </c>
      <c r="O920">
        <v>0</v>
      </c>
      <c r="P920" t="str">
        <f>IF(YLE成绩库!C420="","", YLE成绩库!D420)</f>
        <v/>
      </c>
      <c r="Q920" t="str">
        <f>IF(YLE成绩库!C420="","", YLE成绩库!E420)</f>
        <v/>
      </c>
      <c r="R920" t="str">
        <f>IF(YLE成绩库!C420="","", YLE成绩库!F420)</f>
        <v/>
      </c>
      <c r="S920" t="str">
        <f>IF(YLE成绩库!C420="","", YLE成绩库!G420)</f>
        <v/>
      </c>
      <c r="T920" t="str">
        <f>IF(YLE成绩库!C420="","", YLE成绩库!H420)</f>
        <v/>
      </c>
      <c r="U920" t="str">
        <f>IF(YLE成绩库!C420="","", YLE成绩库!K420)</f>
        <v/>
      </c>
      <c r="V920" t="str">
        <f>IF(YLE成绩库!C420="","", YLE成绩库!W420)</f>
        <v/>
      </c>
      <c r="W920" t="str">
        <f>IF(YLE成绩库!C420="","", YLE成绩库!X420)</f>
        <v/>
      </c>
      <c r="X920" t="str">
        <f>IF(YLE成绩库!C420="","", YLE成绩库!AA420)</f>
        <v/>
      </c>
      <c r="Z920" t="str">
        <f>IF(YLE成绩库!C420="","", YLE成绩库!Z420)</f>
        <v/>
      </c>
    </row>
    <row r="921" spans="1:26" x14ac:dyDescent="0.2">
      <c r="A921" t="str">
        <f>IF(YLE成绩库!C421="","", YLE成绩库!C421)</f>
        <v/>
      </c>
      <c r="B921" t="str">
        <f>IF(YLE成绩库!AB421="","", YLE成绩库!AB421)</f>
        <v/>
      </c>
      <c r="C921" t="str">
        <f>IF(YLE成绩库!B421="","", YLE成绩库!B421)</f>
        <v/>
      </c>
      <c r="D921" t="str">
        <f>IF(YLE成绩库!D421="","", YLE成绩库!D421)</f>
        <v/>
      </c>
      <c r="E921" t="str">
        <f>IF(YLE成绩库!C421="","", YLE成绩库!L421)</f>
        <v/>
      </c>
      <c r="F921" t="str">
        <f>IF(YLE成绩库!C421="","", YLE成绩库!M421)</f>
        <v/>
      </c>
      <c r="G921" t="str">
        <f>IF(YLE成绩库!C421="","", YLE成绩库!N421)</f>
        <v/>
      </c>
      <c r="H921" t="str">
        <f>IF(YLE成绩库!C421="","", YLE成绩库!O421)</f>
        <v/>
      </c>
      <c r="I921" t="str">
        <f>IF(YLE成绩库!C421="","", YLE成绩库!P421)</f>
        <v/>
      </c>
      <c r="J921" t="str">
        <f>IF(YLE成绩库!C421="","", YLE成绩库!Q421)</f>
        <v/>
      </c>
      <c r="K921" t="str">
        <f>IF(YLE成绩库!C421="","", YLE成绩库!R421)</f>
        <v/>
      </c>
      <c r="L921" t="str">
        <f>IF(YLE成绩库!C421="","", YLE成绩库!U421)</f>
        <v/>
      </c>
      <c r="M921">
        <v>0</v>
      </c>
      <c r="N921">
        <v>0</v>
      </c>
      <c r="O921">
        <v>0</v>
      </c>
      <c r="P921" t="str">
        <f>IF(YLE成绩库!C421="","", YLE成绩库!D421)</f>
        <v/>
      </c>
      <c r="Q921" t="str">
        <f>IF(YLE成绩库!C421="","", YLE成绩库!E421)</f>
        <v/>
      </c>
      <c r="R921" t="str">
        <f>IF(YLE成绩库!C421="","", YLE成绩库!F421)</f>
        <v/>
      </c>
      <c r="S921" t="str">
        <f>IF(YLE成绩库!C421="","", YLE成绩库!G421)</f>
        <v/>
      </c>
      <c r="T921" t="str">
        <f>IF(YLE成绩库!C421="","", YLE成绩库!H421)</f>
        <v/>
      </c>
      <c r="U921" t="str">
        <f>IF(YLE成绩库!C421="","", YLE成绩库!K421)</f>
        <v/>
      </c>
      <c r="V921" t="str">
        <f>IF(YLE成绩库!C421="","", YLE成绩库!W421)</f>
        <v/>
      </c>
      <c r="W921" t="str">
        <f>IF(YLE成绩库!C421="","", YLE成绩库!X421)</f>
        <v/>
      </c>
      <c r="X921" t="str">
        <f>IF(YLE成绩库!C421="","", YLE成绩库!AA421)</f>
        <v/>
      </c>
      <c r="Z921" t="str">
        <f>IF(YLE成绩库!C421="","", YLE成绩库!Z421)</f>
        <v/>
      </c>
    </row>
    <row r="922" spans="1:26" x14ac:dyDescent="0.2">
      <c r="A922" t="str">
        <f>IF(YLE成绩库!C422="","", YLE成绩库!C422)</f>
        <v/>
      </c>
      <c r="B922" t="str">
        <f>IF(YLE成绩库!AB422="","", YLE成绩库!AB422)</f>
        <v/>
      </c>
      <c r="C922" t="str">
        <f>IF(YLE成绩库!B422="","", YLE成绩库!B422)</f>
        <v/>
      </c>
      <c r="D922" t="str">
        <f>IF(YLE成绩库!D422="","", YLE成绩库!D422)</f>
        <v/>
      </c>
      <c r="E922" t="str">
        <f>IF(YLE成绩库!C422="","", YLE成绩库!L422)</f>
        <v/>
      </c>
      <c r="F922" t="str">
        <f>IF(YLE成绩库!C422="","", YLE成绩库!M422)</f>
        <v/>
      </c>
      <c r="G922" t="str">
        <f>IF(YLE成绩库!C422="","", YLE成绩库!N422)</f>
        <v/>
      </c>
      <c r="H922" t="str">
        <f>IF(YLE成绩库!C422="","", YLE成绩库!O422)</f>
        <v/>
      </c>
      <c r="I922" t="str">
        <f>IF(YLE成绩库!C422="","", YLE成绩库!P422)</f>
        <v/>
      </c>
      <c r="J922" t="str">
        <f>IF(YLE成绩库!C422="","", YLE成绩库!Q422)</f>
        <v/>
      </c>
      <c r="K922" t="str">
        <f>IF(YLE成绩库!C422="","", YLE成绩库!R422)</f>
        <v/>
      </c>
      <c r="L922" t="str">
        <f>IF(YLE成绩库!C422="","", YLE成绩库!U422)</f>
        <v/>
      </c>
      <c r="M922">
        <v>0</v>
      </c>
      <c r="N922">
        <v>0</v>
      </c>
      <c r="O922">
        <v>0</v>
      </c>
      <c r="P922" t="str">
        <f>IF(YLE成绩库!C422="","", YLE成绩库!D422)</f>
        <v/>
      </c>
      <c r="Q922" t="str">
        <f>IF(YLE成绩库!C422="","", YLE成绩库!E422)</f>
        <v/>
      </c>
      <c r="R922" t="str">
        <f>IF(YLE成绩库!C422="","", YLE成绩库!F422)</f>
        <v/>
      </c>
      <c r="S922" t="str">
        <f>IF(YLE成绩库!C422="","", YLE成绩库!G422)</f>
        <v/>
      </c>
      <c r="T922" t="str">
        <f>IF(YLE成绩库!C422="","", YLE成绩库!H422)</f>
        <v/>
      </c>
      <c r="U922" t="str">
        <f>IF(YLE成绩库!C422="","", YLE成绩库!K422)</f>
        <v/>
      </c>
      <c r="V922" t="str">
        <f>IF(YLE成绩库!C422="","", YLE成绩库!W422)</f>
        <v/>
      </c>
      <c r="W922" t="str">
        <f>IF(YLE成绩库!C422="","", YLE成绩库!X422)</f>
        <v/>
      </c>
      <c r="X922" t="str">
        <f>IF(YLE成绩库!C422="","", YLE成绩库!AA422)</f>
        <v/>
      </c>
      <c r="Z922" t="str">
        <f>IF(YLE成绩库!C422="","", YLE成绩库!Z422)</f>
        <v/>
      </c>
    </row>
    <row r="923" spans="1:26" x14ac:dyDescent="0.2">
      <c r="A923" t="str">
        <f>IF(YLE成绩库!C423="","", YLE成绩库!C423)</f>
        <v/>
      </c>
      <c r="B923" t="str">
        <f>IF(YLE成绩库!AB423="","", YLE成绩库!AB423)</f>
        <v/>
      </c>
      <c r="C923" t="str">
        <f>IF(YLE成绩库!B423="","", YLE成绩库!B423)</f>
        <v/>
      </c>
      <c r="D923" t="str">
        <f>IF(YLE成绩库!D423="","", YLE成绩库!D423)</f>
        <v/>
      </c>
      <c r="E923" t="str">
        <f>IF(YLE成绩库!C423="","", YLE成绩库!L423)</f>
        <v/>
      </c>
      <c r="F923" t="str">
        <f>IF(YLE成绩库!C423="","", YLE成绩库!M423)</f>
        <v/>
      </c>
      <c r="G923" t="str">
        <f>IF(YLE成绩库!C423="","", YLE成绩库!N423)</f>
        <v/>
      </c>
      <c r="H923" t="str">
        <f>IF(YLE成绩库!C423="","", YLE成绩库!O423)</f>
        <v/>
      </c>
      <c r="I923" t="str">
        <f>IF(YLE成绩库!C423="","", YLE成绩库!P423)</f>
        <v/>
      </c>
      <c r="J923" t="str">
        <f>IF(YLE成绩库!C423="","", YLE成绩库!Q423)</f>
        <v/>
      </c>
      <c r="K923" t="str">
        <f>IF(YLE成绩库!C423="","", YLE成绩库!R423)</f>
        <v/>
      </c>
      <c r="L923" t="str">
        <f>IF(YLE成绩库!C423="","", YLE成绩库!U423)</f>
        <v/>
      </c>
      <c r="M923">
        <v>0</v>
      </c>
      <c r="N923">
        <v>0</v>
      </c>
      <c r="O923">
        <v>0</v>
      </c>
      <c r="P923" t="str">
        <f>IF(YLE成绩库!C423="","", YLE成绩库!D423)</f>
        <v/>
      </c>
      <c r="Q923" t="str">
        <f>IF(YLE成绩库!C423="","", YLE成绩库!E423)</f>
        <v/>
      </c>
      <c r="R923" t="str">
        <f>IF(YLE成绩库!C423="","", YLE成绩库!F423)</f>
        <v/>
      </c>
      <c r="S923" t="str">
        <f>IF(YLE成绩库!C423="","", YLE成绩库!G423)</f>
        <v/>
      </c>
      <c r="T923" t="str">
        <f>IF(YLE成绩库!C423="","", YLE成绩库!H423)</f>
        <v/>
      </c>
      <c r="U923" t="str">
        <f>IF(YLE成绩库!C423="","", YLE成绩库!K423)</f>
        <v/>
      </c>
      <c r="V923" t="str">
        <f>IF(YLE成绩库!C423="","", YLE成绩库!W423)</f>
        <v/>
      </c>
      <c r="W923" t="str">
        <f>IF(YLE成绩库!C423="","", YLE成绩库!X423)</f>
        <v/>
      </c>
      <c r="X923" t="str">
        <f>IF(YLE成绩库!C423="","", YLE成绩库!AA423)</f>
        <v/>
      </c>
      <c r="Z923" t="str">
        <f>IF(YLE成绩库!C423="","", YLE成绩库!Z423)</f>
        <v/>
      </c>
    </row>
    <row r="924" spans="1:26" x14ac:dyDescent="0.2">
      <c r="A924" t="str">
        <f>IF(YLE成绩库!C424="","", YLE成绩库!C424)</f>
        <v/>
      </c>
      <c r="B924" t="str">
        <f>IF(YLE成绩库!AB424="","", YLE成绩库!AB424)</f>
        <v/>
      </c>
      <c r="C924" t="str">
        <f>IF(YLE成绩库!B424="","", YLE成绩库!B424)</f>
        <v/>
      </c>
      <c r="D924" t="str">
        <f>IF(YLE成绩库!D424="","", YLE成绩库!D424)</f>
        <v/>
      </c>
      <c r="E924" t="str">
        <f>IF(YLE成绩库!C424="","", YLE成绩库!L424)</f>
        <v/>
      </c>
      <c r="F924" t="str">
        <f>IF(YLE成绩库!C424="","", YLE成绩库!M424)</f>
        <v/>
      </c>
      <c r="G924" t="str">
        <f>IF(YLE成绩库!C424="","", YLE成绩库!N424)</f>
        <v/>
      </c>
      <c r="H924" t="str">
        <f>IF(YLE成绩库!C424="","", YLE成绩库!O424)</f>
        <v/>
      </c>
      <c r="I924" t="str">
        <f>IF(YLE成绩库!C424="","", YLE成绩库!P424)</f>
        <v/>
      </c>
      <c r="J924" t="str">
        <f>IF(YLE成绩库!C424="","", YLE成绩库!Q424)</f>
        <v/>
      </c>
      <c r="K924" t="str">
        <f>IF(YLE成绩库!C424="","", YLE成绩库!R424)</f>
        <v/>
      </c>
      <c r="L924" t="str">
        <f>IF(YLE成绩库!C424="","", YLE成绩库!U424)</f>
        <v/>
      </c>
      <c r="M924">
        <v>0</v>
      </c>
      <c r="N924">
        <v>0</v>
      </c>
      <c r="O924">
        <v>0</v>
      </c>
      <c r="P924" t="str">
        <f>IF(YLE成绩库!C424="","", YLE成绩库!D424)</f>
        <v/>
      </c>
      <c r="Q924" t="str">
        <f>IF(YLE成绩库!C424="","", YLE成绩库!E424)</f>
        <v/>
      </c>
      <c r="R924" t="str">
        <f>IF(YLE成绩库!C424="","", YLE成绩库!F424)</f>
        <v/>
      </c>
      <c r="S924" t="str">
        <f>IF(YLE成绩库!C424="","", YLE成绩库!G424)</f>
        <v/>
      </c>
      <c r="T924" t="str">
        <f>IF(YLE成绩库!C424="","", YLE成绩库!H424)</f>
        <v/>
      </c>
      <c r="U924" t="str">
        <f>IF(YLE成绩库!C424="","", YLE成绩库!K424)</f>
        <v/>
      </c>
      <c r="V924" t="str">
        <f>IF(YLE成绩库!C424="","", YLE成绩库!W424)</f>
        <v/>
      </c>
      <c r="W924" t="str">
        <f>IF(YLE成绩库!C424="","", YLE成绩库!X424)</f>
        <v/>
      </c>
      <c r="X924" t="str">
        <f>IF(YLE成绩库!C424="","", YLE成绩库!AA424)</f>
        <v/>
      </c>
      <c r="Z924" t="str">
        <f>IF(YLE成绩库!C424="","", YLE成绩库!Z424)</f>
        <v/>
      </c>
    </row>
    <row r="925" spans="1:26" x14ac:dyDescent="0.2">
      <c r="A925" t="str">
        <f>IF(YLE成绩库!C425="","", YLE成绩库!C425)</f>
        <v/>
      </c>
      <c r="B925" t="str">
        <f>IF(YLE成绩库!AB425="","", YLE成绩库!AB425)</f>
        <v/>
      </c>
      <c r="C925" t="str">
        <f>IF(YLE成绩库!B425="","", YLE成绩库!B425)</f>
        <v/>
      </c>
      <c r="D925" t="str">
        <f>IF(YLE成绩库!D425="","", YLE成绩库!D425)</f>
        <v/>
      </c>
      <c r="E925" t="str">
        <f>IF(YLE成绩库!C425="","", YLE成绩库!L425)</f>
        <v/>
      </c>
      <c r="F925" t="str">
        <f>IF(YLE成绩库!C425="","", YLE成绩库!M425)</f>
        <v/>
      </c>
      <c r="G925" t="str">
        <f>IF(YLE成绩库!C425="","", YLE成绩库!N425)</f>
        <v/>
      </c>
      <c r="H925" t="str">
        <f>IF(YLE成绩库!C425="","", YLE成绩库!O425)</f>
        <v/>
      </c>
      <c r="I925" t="str">
        <f>IF(YLE成绩库!C425="","", YLE成绩库!P425)</f>
        <v/>
      </c>
      <c r="J925" t="str">
        <f>IF(YLE成绩库!C425="","", YLE成绩库!Q425)</f>
        <v/>
      </c>
      <c r="K925" t="str">
        <f>IF(YLE成绩库!C425="","", YLE成绩库!R425)</f>
        <v/>
      </c>
      <c r="L925" t="str">
        <f>IF(YLE成绩库!C425="","", YLE成绩库!U425)</f>
        <v/>
      </c>
      <c r="M925">
        <v>0</v>
      </c>
      <c r="N925">
        <v>0</v>
      </c>
      <c r="O925">
        <v>0</v>
      </c>
      <c r="P925" t="str">
        <f>IF(YLE成绩库!C425="","", YLE成绩库!D425)</f>
        <v/>
      </c>
      <c r="Q925" t="str">
        <f>IF(YLE成绩库!C425="","", YLE成绩库!E425)</f>
        <v/>
      </c>
      <c r="R925" t="str">
        <f>IF(YLE成绩库!C425="","", YLE成绩库!F425)</f>
        <v/>
      </c>
      <c r="S925" t="str">
        <f>IF(YLE成绩库!C425="","", YLE成绩库!G425)</f>
        <v/>
      </c>
      <c r="T925" t="str">
        <f>IF(YLE成绩库!C425="","", YLE成绩库!H425)</f>
        <v/>
      </c>
      <c r="U925" t="str">
        <f>IF(YLE成绩库!C425="","", YLE成绩库!K425)</f>
        <v/>
      </c>
      <c r="V925" t="str">
        <f>IF(YLE成绩库!C425="","", YLE成绩库!W425)</f>
        <v/>
      </c>
      <c r="W925" t="str">
        <f>IF(YLE成绩库!C425="","", YLE成绩库!X425)</f>
        <v/>
      </c>
      <c r="X925" t="str">
        <f>IF(YLE成绩库!C425="","", YLE成绩库!AA425)</f>
        <v/>
      </c>
      <c r="Z925" t="str">
        <f>IF(YLE成绩库!C425="","", YLE成绩库!Z425)</f>
        <v/>
      </c>
    </row>
    <row r="926" spans="1:26" x14ac:dyDescent="0.2">
      <c r="A926" t="str">
        <f>IF(YLE成绩库!C426="","", YLE成绩库!C426)</f>
        <v/>
      </c>
      <c r="B926" t="str">
        <f>IF(YLE成绩库!AB426="","", YLE成绩库!AB426)</f>
        <v/>
      </c>
      <c r="C926" t="str">
        <f>IF(YLE成绩库!B426="","", YLE成绩库!B426)</f>
        <v/>
      </c>
      <c r="D926" t="str">
        <f>IF(YLE成绩库!D426="","", YLE成绩库!D426)</f>
        <v/>
      </c>
      <c r="E926" t="str">
        <f>IF(YLE成绩库!C426="","", YLE成绩库!L426)</f>
        <v/>
      </c>
      <c r="F926" t="str">
        <f>IF(YLE成绩库!C426="","", YLE成绩库!M426)</f>
        <v/>
      </c>
      <c r="G926" t="str">
        <f>IF(YLE成绩库!C426="","", YLE成绩库!N426)</f>
        <v/>
      </c>
      <c r="H926" t="str">
        <f>IF(YLE成绩库!C426="","", YLE成绩库!O426)</f>
        <v/>
      </c>
      <c r="I926" t="str">
        <f>IF(YLE成绩库!C426="","", YLE成绩库!P426)</f>
        <v/>
      </c>
      <c r="J926" t="str">
        <f>IF(YLE成绩库!C426="","", YLE成绩库!Q426)</f>
        <v/>
      </c>
      <c r="K926" t="str">
        <f>IF(YLE成绩库!C426="","", YLE成绩库!R426)</f>
        <v/>
      </c>
      <c r="L926" t="str">
        <f>IF(YLE成绩库!C426="","", YLE成绩库!U426)</f>
        <v/>
      </c>
      <c r="M926">
        <v>0</v>
      </c>
      <c r="N926">
        <v>0</v>
      </c>
      <c r="O926">
        <v>0</v>
      </c>
      <c r="P926" t="str">
        <f>IF(YLE成绩库!C426="","", YLE成绩库!D426)</f>
        <v/>
      </c>
      <c r="Q926" t="str">
        <f>IF(YLE成绩库!C426="","", YLE成绩库!E426)</f>
        <v/>
      </c>
      <c r="R926" t="str">
        <f>IF(YLE成绩库!C426="","", YLE成绩库!F426)</f>
        <v/>
      </c>
      <c r="S926" t="str">
        <f>IF(YLE成绩库!C426="","", YLE成绩库!G426)</f>
        <v/>
      </c>
      <c r="T926" t="str">
        <f>IF(YLE成绩库!C426="","", YLE成绩库!H426)</f>
        <v/>
      </c>
      <c r="U926" t="str">
        <f>IF(YLE成绩库!C426="","", YLE成绩库!K426)</f>
        <v/>
      </c>
      <c r="V926" t="str">
        <f>IF(YLE成绩库!C426="","", YLE成绩库!W426)</f>
        <v/>
      </c>
      <c r="W926" t="str">
        <f>IF(YLE成绩库!C426="","", YLE成绩库!X426)</f>
        <v/>
      </c>
      <c r="X926" t="str">
        <f>IF(YLE成绩库!C426="","", YLE成绩库!AA426)</f>
        <v/>
      </c>
      <c r="Z926" t="str">
        <f>IF(YLE成绩库!C426="","", YLE成绩库!Z426)</f>
        <v/>
      </c>
    </row>
    <row r="927" spans="1:26" x14ac:dyDescent="0.2">
      <c r="A927" t="str">
        <f>IF(YLE成绩库!C427="","", YLE成绩库!C427)</f>
        <v/>
      </c>
      <c r="B927" t="str">
        <f>IF(YLE成绩库!AB427="","", YLE成绩库!AB427)</f>
        <v/>
      </c>
      <c r="C927" t="str">
        <f>IF(YLE成绩库!B427="","", YLE成绩库!B427)</f>
        <v/>
      </c>
      <c r="D927" t="str">
        <f>IF(YLE成绩库!D427="","", YLE成绩库!D427)</f>
        <v/>
      </c>
      <c r="E927" t="str">
        <f>IF(YLE成绩库!C427="","", YLE成绩库!L427)</f>
        <v/>
      </c>
      <c r="F927" t="str">
        <f>IF(YLE成绩库!C427="","", YLE成绩库!M427)</f>
        <v/>
      </c>
      <c r="G927" t="str">
        <f>IF(YLE成绩库!C427="","", YLE成绩库!N427)</f>
        <v/>
      </c>
      <c r="H927" t="str">
        <f>IF(YLE成绩库!C427="","", YLE成绩库!O427)</f>
        <v/>
      </c>
      <c r="I927" t="str">
        <f>IF(YLE成绩库!C427="","", YLE成绩库!P427)</f>
        <v/>
      </c>
      <c r="J927" t="str">
        <f>IF(YLE成绩库!C427="","", YLE成绩库!Q427)</f>
        <v/>
      </c>
      <c r="K927" t="str">
        <f>IF(YLE成绩库!C427="","", YLE成绩库!R427)</f>
        <v/>
      </c>
      <c r="L927" t="str">
        <f>IF(YLE成绩库!C427="","", YLE成绩库!U427)</f>
        <v/>
      </c>
      <c r="M927">
        <v>0</v>
      </c>
      <c r="N927">
        <v>0</v>
      </c>
      <c r="O927">
        <v>0</v>
      </c>
      <c r="P927" t="str">
        <f>IF(YLE成绩库!C427="","", YLE成绩库!D427)</f>
        <v/>
      </c>
      <c r="Q927" t="str">
        <f>IF(YLE成绩库!C427="","", YLE成绩库!E427)</f>
        <v/>
      </c>
      <c r="R927" t="str">
        <f>IF(YLE成绩库!C427="","", YLE成绩库!F427)</f>
        <v/>
      </c>
      <c r="S927" t="str">
        <f>IF(YLE成绩库!C427="","", YLE成绩库!G427)</f>
        <v/>
      </c>
      <c r="T927" t="str">
        <f>IF(YLE成绩库!C427="","", YLE成绩库!H427)</f>
        <v/>
      </c>
      <c r="U927" t="str">
        <f>IF(YLE成绩库!C427="","", YLE成绩库!K427)</f>
        <v/>
      </c>
      <c r="V927" t="str">
        <f>IF(YLE成绩库!C427="","", YLE成绩库!W427)</f>
        <v/>
      </c>
      <c r="W927" t="str">
        <f>IF(YLE成绩库!C427="","", YLE成绩库!X427)</f>
        <v/>
      </c>
      <c r="X927" t="str">
        <f>IF(YLE成绩库!C427="","", YLE成绩库!AA427)</f>
        <v/>
      </c>
      <c r="Z927" t="str">
        <f>IF(YLE成绩库!C427="","", YLE成绩库!Z427)</f>
        <v/>
      </c>
    </row>
    <row r="928" spans="1:26" x14ac:dyDescent="0.2">
      <c r="A928" t="str">
        <f>IF(YLE成绩库!C428="","", YLE成绩库!C428)</f>
        <v/>
      </c>
      <c r="B928" t="str">
        <f>IF(YLE成绩库!AB428="","", YLE成绩库!AB428)</f>
        <v/>
      </c>
      <c r="C928" t="str">
        <f>IF(YLE成绩库!B428="","", YLE成绩库!B428)</f>
        <v/>
      </c>
      <c r="D928" t="str">
        <f>IF(YLE成绩库!D428="","", YLE成绩库!D428)</f>
        <v/>
      </c>
      <c r="E928" t="str">
        <f>IF(YLE成绩库!C428="","", YLE成绩库!L428)</f>
        <v/>
      </c>
      <c r="F928" t="str">
        <f>IF(YLE成绩库!C428="","", YLE成绩库!M428)</f>
        <v/>
      </c>
      <c r="G928" t="str">
        <f>IF(YLE成绩库!C428="","", YLE成绩库!N428)</f>
        <v/>
      </c>
      <c r="H928" t="str">
        <f>IF(YLE成绩库!C428="","", YLE成绩库!O428)</f>
        <v/>
      </c>
      <c r="I928" t="str">
        <f>IF(YLE成绩库!C428="","", YLE成绩库!P428)</f>
        <v/>
      </c>
      <c r="J928" t="str">
        <f>IF(YLE成绩库!C428="","", YLE成绩库!Q428)</f>
        <v/>
      </c>
      <c r="K928" t="str">
        <f>IF(YLE成绩库!C428="","", YLE成绩库!R428)</f>
        <v/>
      </c>
      <c r="L928" t="str">
        <f>IF(YLE成绩库!C428="","", YLE成绩库!U428)</f>
        <v/>
      </c>
      <c r="M928">
        <v>0</v>
      </c>
      <c r="N928">
        <v>0</v>
      </c>
      <c r="O928">
        <v>0</v>
      </c>
      <c r="P928" t="str">
        <f>IF(YLE成绩库!C428="","", YLE成绩库!D428)</f>
        <v/>
      </c>
      <c r="Q928" t="str">
        <f>IF(YLE成绩库!C428="","", YLE成绩库!E428)</f>
        <v/>
      </c>
      <c r="R928" t="str">
        <f>IF(YLE成绩库!C428="","", YLE成绩库!F428)</f>
        <v/>
      </c>
      <c r="S928" t="str">
        <f>IF(YLE成绩库!C428="","", YLE成绩库!G428)</f>
        <v/>
      </c>
      <c r="T928" t="str">
        <f>IF(YLE成绩库!C428="","", YLE成绩库!H428)</f>
        <v/>
      </c>
      <c r="U928" t="str">
        <f>IF(YLE成绩库!C428="","", YLE成绩库!K428)</f>
        <v/>
      </c>
      <c r="V928" t="str">
        <f>IF(YLE成绩库!C428="","", YLE成绩库!W428)</f>
        <v/>
      </c>
      <c r="W928" t="str">
        <f>IF(YLE成绩库!C428="","", YLE成绩库!X428)</f>
        <v/>
      </c>
      <c r="X928" t="str">
        <f>IF(YLE成绩库!C428="","", YLE成绩库!AA428)</f>
        <v/>
      </c>
      <c r="Z928" t="str">
        <f>IF(YLE成绩库!C428="","", YLE成绩库!Z428)</f>
        <v/>
      </c>
    </row>
    <row r="929" spans="1:26" x14ac:dyDescent="0.2">
      <c r="A929" t="str">
        <f>IF(YLE成绩库!C429="","", YLE成绩库!C429)</f>
        <v/>
      </c>
      <c r="B929" t="str">
        <f>IF(YLE成绩库!AB429="","", YLE成绩库!AB429)</f>
        <v/>
      </c>
      <c r="C929" t="str">
        <f>IF(YLE成绩库!B429="","", YLE成绩库!B429)</f>
        <v/>
      </c>
      <c r="D929" t="str">
        <f>IF(YLE成绩库!D429="","", YLE成绩库!D429)</f>
        <v/>
      </c>
      <c r="E929" t="str">
        <f>IF(YLE成绩库!C429="","", YLE成绩库!L429)</f>
        <v/>
      </c>
      <c r="F929" t="str">
        <f>IF(YLE成绩库!C429="","", YLE成绩库!M429)</f>
        <v/>
      </c>
      <c r="G929" t="str">
        <f>IF(YLE成绩库!C429="","", YLE成绩库!N429)</f>
        <v/>
      </c>
      <c r="H929" t="str">
        <f>IF(YLE成绩库!C429="","", YLE成绩库!O429)</f>
        <v/>
      </c>
      <c r="I929" t="str">
        <f>IF(YLE成绩库!C429="","", YLE成绩库!P429)</f>
        <v/>
      </c>
      <c r="J929" t="str">
        <f>IF(YLE成绩库!C429="","", YLE成绩库!Q429)</f>
        <v/>
      </c>
      <c r="K929" t="str">
        <f>IF(YLE成绩库!C429="","", YLE成绩库!R429)</f>
        <v/>
      </c>
      <c r="L929" t="str">
        <f>IF(YLE成绩库!C429="","", YLE成绩库!U429)</f>
        <v/>
      </c>
      <c r="M929">
        <v>0</v>
      </c>
      <c r="N929">
        <v>0</v>
      </c>
      <c r="O929">
        <v>0</v>
      </c>
      <c r="P929" t="str">
        <f>IF(YLE成绩库!C429="","", YLE成绩库!D429)</f>
        <v/>
      </c>
      <c r="Q929" t="str">
        <f>IF(YLE成绩库!C429="","", YLE成绩库!E429)</f>
        <v/>
      </c>
      <c r="R929" t="str">
        <f>IF(YLE成绩库!C429="","", YLE成绩库!F429)</f>
        <v/>
      </c>
      <c r="S929" t="str">
        <f>IF(YLE成绩库!C429="","", YLE成绩库!G429)</f>
        <v/>
      </c>
      <c r="T929" t="str">
        <f>IF(YLE成绩库!C429="","", YLE成绩库!H429)</f>
        <v/>
      </c>
      <c r="U929" t="str">
        <f>IF(YLE成绩库!C429="","", YLE成绩库!K429)</f>
        <v/>
      </c>
      <c r="V929" t="str">
        <f>IF(YLE成绩库!C429="","", YLE成绩库!W429)</f>
        <v/>
      </c>
      <c r="W929" t="str">
        <f>IF(YLE成绩库!C429="","", YLE成绩库!X429)</f>
        <v/>
      </c>
      <c r="X929" t="str">
        <f>IF(YLE成绩库!C429="","", YLE成绩库!AA429)</f>
        <v/>
      </c>
      <c r="Z929" t="str">
        <f>IF(YLE成绩库!C429="","", YLE成绩库!Z429)</f>
        <v/>
      </c>
    </row>
    <row r="930" spans="1:26" x14ac:dyDescent="0.2">
      <c r="A930" t="str">
        <f>IF(YLE成绩库!C430="","", YLE成绩库!C430)</f>
        <v/>
      </c>
      <c r="B930" t="str">
        <f>IF(YLE成绩库!AB430="","", YLE成绩库!AB430)</f>
        <v/>
      </c>
      <c r="C930" t="str">
        <f>IF(YLE成绩库!B430="","", YLE成绩库!B430)</f>
        <v/>
      </c>
      <c r="D930" t="str">
        <f>IF(YLE成绩库!D430="","", YLE成绩库!D430)</f>
        <v/>
      </c>
      <c r="E930" t="str">
        <f>IF(YLE成绩库!C430="","", YLE成绩库!L430)</f>
        <v/>
      </c>
      <c r="F930" t="str">
        <f>IF(YLE成绩库!C430="","", YLE成绩库!M430)</f>
        <v/>
      </c>
      <c r="G930" t="str">
        <f>IF(YLE成绩库!C430="","", YLE成绩库!N430)</f>
        <v/>
      </c>
      <c r="H930" t="str">
        <f>IF(YLE成绩库!C430="","", YLE成绩库!O430)</f>
        <v/>
      </c>
      <c r="I930" t="str">
        <f>IF(YLE成绩库!C430="","", YLE成绩库!P430)</f>
        <v/>
      </c>
      <c r="J930" t="str">
        <f>IF(YLE成绩库!C430="","", YLE成绩库!Q430)</f>
        <v/>
      </c>
      <c r="K930" t="str">
        <f>IF(YLE成绩库!C430="","", YLE成绩库!R430)</f>
        <v/>
      </c>
      <c r="L930" t="str">
        <f>IF(YLE成绩库!C430="","", YLE成绩库!U430)</f>
        <v/>
      </c>
      <c r="M930">
        <v>0</v>
      </c>
      <c r="N930">
        <v>0</v>
      </c>
      <c r="O930">
        <v>0</v>
      </c>
      <c r="P930" t="str">
        <f>IF(YLE成绩库!C430="","", YLE成绩库!D430)</f>
        <v/>
      </c>
      <c r="Q930" t="str">
        <f>IF(YLE成绩库!C430="","", YLE成绩库!E430)</f>
        <v/>
      </c>
      <c r="R930" t="str">
        <f>IF(YLE成绩库!C430="","", YLE成绩库!F430)</f>
        <v/>
      </c>
      <c r="S930" t="str">
        <f>IF(YLE成绩库!C430="","", YLE成绩库!G430)</f>
        <v/>
      </c>
      <c r="T930" t="str">
        <f>IF(YLE成绩库!C430="","", YLE成绩库!H430)</f>
        <v/>
      </c>
      <c r="U930" t="str">
        <f>IF(YLE成绩库!C430="","", YLE成绩库!K430)</f>
        <v/>
      </c>
      <c r="V930" t="str">
        <f>IF(YLE成绩库!C430="","", YLE成绩库!W430)</f>
        <v/>
      </c>
      <c r="W930" t="str">
        <f>IF(YLE成绩库!C430="","", YLE成绩库!X430)</f>
        <v/>
      </c>
      <c r="X930" t="str">
        <f>IF(YLE成绩库!C430="","", YLE成绩库!AA430)</f>
        <v/>
      </c>
      <c r="Z930" t="str">
        <f>IF(YLE成绩库!C430="","", YLE成绩库!Z430)</f>
        <v/>
      </c>
    </row>
    <row r="931" spans="1:26" x14ac:dyDescent="0.2">
      <c r="A931" t="str">
        <f>IF(YLE成绩库!C431="","", YLE成绩库!C431)</f>
        <v/>
      </c>
      <c r="B931" t="str">
        <f>IF(YLE成绩库!AB431="","", YLE成绩库!AB431)</f>
        <v/>
      </c>
      <c r="C931" t="str">
        <f>IF(YLE成绩库!B431="","", YLE成绩库!B431)</f>
        <v/>
      </c>
      <c r="D931" t="str">
        <f>IF(YLE成绩库!D431="","", YLE成绩库!D431)</f>
        <v/>
      </c>
      <c r="E931" t="str">
        <f>IF(YLE成绩库!C431="","", YLE成绩库!L431)</f>
        <v/>
      </c>
      <c r="F931" t="str">
        <f>IF(YLE成绩库!C431="","", YLE成绩库!M431)</f>
        <v/>
      </c>
      <c r="G931" t="str">
        <f>IF(YLE成绩库!C431="","", YLE成绩库!N431)</f>
        <v/>
      </c>
      <c r="H931" t="str">
        <f>IF(YLE成绩库!C431="","", YLE成绩库!O431)</f>
        <v/>
      </c>
      <c r="I931" t="str">
        <f>IF(YLE成绩库!C431="","", YLE成绩库!P431)</f>
        <v/>
      </c>
      <c r="J931" t="str">
        <f>IF(YLE成绩库!C431="","", YLE成绩库!Q431)</f>
        <v/>
      </c>
      <c r="K931" t="str">
        <f>IF(YLE成绩库!C431="","", YLE成绩库!R431)</f>
        <v/>
      </c>
      <c r="L931" t="str">
        <f>IF(YLE成绩库!C431="","", YLE成绩库!U431)</f>
        <v/>
      </c>
      <c r="M931">
        <v>0</v>
      </c>
      <c r="N931">
        <v>0</v>
      </c>
      <c r="O931">
        <v>0</v>
      </c>
      <c r="P931" t="str">
        <f>IF(YLE成绩库!C431="","", YLE成绩库!D431)</f>
        <v/>
      </c>
      <c r="Q931" t="str">
        <f>IF(YLE成绩库!C431="","", YLE成绩库!E431)</f>
        <v/>
      </c>
      <c r="R931" t="str">
        <f>IF(YLE成绩库!C431="","", YLE成绩库!F431)</f>
        <v/>
      </c>
      <c r="S931" t="str">
        <f>IF(YLE成绩库!C431="","", YLE成绩库!G431)</f>
        <v/>
      </c>
      <c r="T931" t="str">
        <f>IF(YLE成绩库!C431="","", YLE成绩库!H431)</f>
        <v/>
      </c>
      <c r="U931" t="str">
        <f>IF(YLE成绩库!C431="","", YLE成绩库!K431)</f>
        <v/>
      </c>
      <c r="V931" t="str">
        <f>IF(YLE成绩库!C431="","", YLE成绩库!W431)</f>
        <v/>
      </c>
      <c r="W931" t="str">
        <f>IF(YLE成绩库!C431="","", YLE成绩库!X431)</f>
        <v/>
      </c>
      <c r="X931" t="str">
        <f>IF(YLE成绩库!C431="","", YLE成绩库!AA431)</f>
        <v/>
      </c>
      <c r="Z931" t="str">
        <f>IF(YLE成绩库!C431="","", YLE成绩库!Z431)</f>
        <v/>
      </c>
    </row>
    <row r="932" spans="1:26" x14ac:dyDescent="0.2">
      <c r="A932" t="str">
        <f>IF(YLE成绩库!C432="","", YLE成绩库!C432)</f>
        <v/>
      </c>
      <c r="B932" t="str">
        <f>IF(YLE成绩库!AB432="","", YLE成绩库!AB432)</f>
        <v/>
      </c>
      <c r="C932" t="str">
        <f>IF(YLE成绩库!B432="","", YLE成绩库!B432)</f>
        <v/>
      </c>
      <c r="D932" t="str">
        <f>IF(YLE成绩库!D432="","", YLE成绩库!D432)</f>
        <v/>
      </c>
      <c r="E932" t="str">
        <f>IF(YLE成绩库!C432="","", YLE成绩库!L432)</f>
        <v/>
      </c>
      <c r="F932" t="str">
        <f>IF(YLE成绩库!C432="","", YLE成绩库!M432)</f>
        <v/>
      </c>
      <c r="G932" t="str">
        <f>IF(YLE成绩库!C432="","", YLE成绩库!N432)</f>
        <v/>
      </c>
      <c r="H932" t="str">
        <f>IF(YLE成绩库!C432="","", YLE成绩库!O432)</f>
        <v/>
      </c>
      <c r="I932" t="str">
        <f>IF(YLE成绩库!C432="","", YLE成绩库!P432)</f>
        <v/>
      </c>
      <c r="J932" t="str">
        <f>IF(YLE成绩库!C432="","", YLE成绩库!Q432)</f>
        <v/>
      </c>
      <c r="K932" t="str">
        <f>IF(YLE成绩库!C432="","", YLE成绩库!R432)</f>
        <v/>
      </c>
      <c r="L932" t="str">
        <f>IF(YLE成绩库!C432="","", YLE成绩库!U432)</f>
        <v/>
      </c>
      <c r="M932">
        <v>0</v>
      </c>
      <c r="N932">
        <v>0</v>
      </c>
      <c r="O932">
        <v>0</v>
      </c>
      <c r="P932" t="str">
        <f>IF(YLE成绩库!C432="","", YLE成绩库!D432)</f>
        <v/>
      </c>
      <c r="Q932" t="str">
        <f>IF(YLE成绩库!C432="","", YLE成绩库!E432)</f>
        <v/>
      </c>
      <c r="R932" t="str">
        <f>IF(YLE成绩库!C432="","", YLE成绩库!F432)</f>
        <v/>
      </c>
      <c r="S932" t="str">
        <f>IF(YLE成绩库!C432="","", YLE成绩库!G432)</f>
        <v/>
      </c>
      <c r="T932" t="str">
        <f>IF(YLE成绩库!C432="","", YLE成绩库!H432)</f>
        <v/>
      </c>
      <c r="U932" t="str">
        <f>IF(YLE成绩库!C432="","", YLE成绩库!K432)</f>
        <v/>
      </c>
      <c r="V932" t="str">
        <f>IF(YLE成绩库!C432="","", YLE成绩库!W432)</f>
        <v/>
      </c>
      <c r="W932" t="str">
        <f>IF(YLE成绩库!C432="","", YLE成绩库!X432)</f>
        <v/>
      </c>
      <c r="X932" t="str">
        <f>IF(YLE成绩库!C432="","", YLE成绩库!AA432)</f>
        <v/>
      </c>
      <c r="Z932" t="str">
        <f>IF(YLE成绩库!C432="","", YLE成绩库!Z432)</f>
        <v/>
      </c>
    </row>
    <row r="933" spans="1:26" x14ac:dyDescent="0.2">
      <c r="A933" t="str">
        <f>IF(YLE成绩库!C433="","", YLE成绩库!C433)</f>
        <v/>
      </c>
      <c r="B933" t="str">
        <f>IF(YLE成绩库!AB433="","", YLE成绩库!AB433)</f>
        <v/>
      </c>
      <c r="C933" t="str">
        <f>IF(YLE成绩库!B433="","", YLE成绩库!B433)</f>
        <v/>
      </c>
      <c r="D933" t="str">
        <f>IF(YLE成绩库!D433="","", YLE成绩库!D433)</f>
        <v/>
      </c>
      <c r="E933" t="str">
        <f>IF(YLE成绩库!C433="","", YLE成绩库!L433)</f>
        <v/>
      </c>
      <c r="F933" t="str">
        <f>IF(YLE成绩库!C433="","", YLE成绩库!M433)</f>
        <v/>
      </c>
      <c r="G933" t="str">
        <f>IF(YLE成绩库!C433="","", YLE成绩库!N433)</f>
        <v/>
      </c>
      <c r="H933" t="str">
        <f>IF(YLE成绩库!C433="","", YLE成绩库!O433)</f>
        <v/>
      </c>
      <c r="I933" t="str">
        <f>IF(YLE成绩库!C433="","", YLE成绩库!P433)</f>
        <v/>
      </c>
      <c r="J933" t="str">
        <f>IF(YLE成绩库!C433="","", YLE成绩库!Q433)</f>
        <v/>
      </c>
      <c r="K933" t="str">
        <f>IF(YLE成绩库!C433="","", YLE成绩库!R433)</f>
        <v/>
      </c>
      <c r="L933" t="str">
        <f>IF(YLE成绩库!C433="","", YLE成绩库!U433)</f>
        <v/>
      </c>
      <c r="M933">
        <v>0</v>
      </c>
      <c r="N933">
        <v>0</v>
      </c>
      <c r="O933">
        <v>0</v>
      </c>
      <c r="P933" t="str">
        <f>IF(YLE成绩库!C433="","", YLE成绩库!D433)</f>
        <v/>
      </c>
      <c r="Q933" t="str">
        <f>IF(YLE成绩库!C433="","", YLE成绩库!E433)</f>
        <v/>
      </c>
      <c r="R933" t="str">
        <f>IF(YLE成绩库!C433="","", YLE成绩库!F433)</f>
        <v/>
      </c>
      <c r="S933" t="str">
        <f>IF(YLE成绩库!C433="","", YLE成绩库!G433)</f>
        <v/>
      </c>
      <c r="T933" t="str">
        <f>IF(YLE成绩库!C433="","", YLE成绩库!H433)</f>
        <v/>
      </c>
      <c r="U933" t="str">
        <f>IF(YLE成绩库!C433="","", YLE成绩库!K433)</f>
        <v/>
      </c>
      <c r="V933" t="str">
        <f>IF(YLE成绩库!C433="","", YLE成绩库!W433)</f>
        <v/>
      </c>
      <c r="W933" t="str">
        <f>IF(YLE成绩库!C433="","", YLE成绩库!X433)</f>
        <v/>
      </c>
      <c r="X933" t="str">
        <f>IF(YLE成绩库!C433="","", YLE成绩库!AA433)</f>
        <v/>
      </c>
      <c r="Z933" t="str">
        <f>IF(YLE成绩库!C433="","", YLE成绩库!Z433)</f>
        <v/>
      </c>
    </row>
    <row r="934" spans="1:26" x14ac:dyDescent="0.2">
      <c r="A934" t="str">
        <f>IF(YLE成绩库!C434="","", YLE成绩库!C434)</f>
        <v/>
      </c>
      <c r="B934" t="str">
        <f>IF(YLE成绩库!AB434="","", YLE成绩库!AB434)</f>
        <v/>
      </c>
      <c r="C934" t="str">
        <f>IF(YLE成绩库!B434="","", YLE成绩库!B434)</f>
        <v/>
      </c>
      <c r="D934" t="str">
        <f>IF(YLE成绩库!D434="","", YLE成绩库!D434)</f>
        <v/>
      </c>
      <c r="E934" t="str">
        <f>IF(YLE成绩库!C434="","", YLE成绩库!L434)</f>
        <v/>
      </c>
      <c r="F934" t="str">
        <f>IF(YLE成绩库!C434="","", YLE成绩库!M434)</f>
        <v/>
      </c>
      <c r="G934" t="str">
        <f>IF(YLE成绩库!C434="","", YLE成绩库!N434)</f>
        <v/>
      </c>
      <c r="H934" t="str">
        <f>IF(YLE成绩库!C434="","", YLE成绩库!O434)</f>
        <v/>
      </c>
      <c r="I934" t="str">
        <f>IF(YLE成绩库!C434="","", YLE成绩库!P434)</f>
        <v/>
      </c>
      <c r="J934" t="str">
        <f>IF(YLE成绩库!C434="","", YLE成绩库!Q434)</f>
        <v/>
      </c>
      <c r="K934" t="str">
        <f>IF(YLE成绩库!C434="","", YLE成绩库!R434)</f>
        <v/>
      </c>
      <c r="L934" t="str">
        <f>IF(YLE成绩库!C434="","", YLE成绩库!U434)</f>
        <v/>
      </c>
      <c r="M934">
        <v>0</v>
      </c>
      <c r="N934">
        <v>0</v>
      </c>
      <c r="O934">
        <v>0</v>
      </c>
      <c r="P934" t="str">
        <f>IF(YLE成绩库!C434="","", YLE成绩库!D434)</f>
        <v/>
      </c>
      <c r="Q934" t="str">
        <f>IF(YLE成绩库!C434="","", YLE成绩库!E434)</f>
        <v/>
      </c>
      <c r="R934" t="str">
        <f>IF(YLE成绩库!C434="","", YLE成绩库!F434)</f>
        <v/>
      </c>
      <c r="S934" t="str">
        <f>IF(YLE成绩库!C434="","", YLE成绩库!G434)</f>
        <v/>
      </c>
      <c r="T934" t="str">
        <f>IF(YLE成绩库!C434="","", YLE成绩库!H434)</f>
        <v/>
      </c>
      <c r="U934" t="str">
        <f>IF(YLE成绩库!C434="","", YLE成绩库!K434)</f>
        <v/>
      </c>
      <c r="V934" t="str">
        <f>IF(YLE成绩库!C434="","", YLE成绩库!W434)</f>
        <v/>
      </c>
      <c r="W934" t="str">
        <f>IF(YLE成绩库!C434="","", YLE成绩库!X434)</f>
        <v/>
      </c>
      <c r="X934" t="str">
        <f>IF(YLE成绩库!C434="","", YLE成绩库!AA434)</f>
        <v/>
      </c>
      <c r="Z934" t="str">
        <f>IF(YLE成绩库!C434="","", YLE成绩库!Z434)</f>
        <v/>
      </c>
    </row>
    <row r="935" spans="1:26" x14ac:dyDescent="0.2">
      <c r="A935" t="str">
        <f>IF(YLE成绩库!C435="","", YLE成绩库!C435)</f>
        <v/>
      </c>
      <c r="B935" t="str">
        <f>IF(YLE成绩库!AB435="","", YLE成绩库!AB435)</f>
        <v/>
      </c>
      <c r="C935" t="str">
        <f>IF(YLE成绩库!B435="","", YLE成绩库!B435)</f>
        <v/>
      </c>
      <c r="D935" t="str">
        <f>IF(YLE成绩库!D435="","", YLE成绩库!D435)</f>
        <v/>
      </c>
      <c r="E935" t="str">
        <f>IF(YLE成绩库!C435="","", YLE成绩库!L435)</f>
        <v/>
      </c>
      <c r="F935" t="str">
        <f>IF(YLE成绩库!C435="","", YLE成绩库!M435)</f>
        <v/>
      </c>
      <c r="G935" t="str">
        <f>IF(YLE成绩库!C435="","", YLE成绩库!N435)</f>
        <v/>
      </c>
      <c r="H935" t="str">
        <f>IF(YLE成绩库!C435="","", YLE成绩库!O435)</f>
        <v/>
      </c>
      <c r="I935" t="str">
        <f>IF(YLE成绩库!C435="","", YLE成绩库!P435)</f>
        <v/>
      </c>
      <c r="J935" t="str">
        <f>IF(YLE成绩库!C435="","", YLE成绩库!Q435)</f>
        <v/>
      </c>
      <c r="K935" t="str">
        <f>IF(YLE成绩库!C435="","", YLE成绩库!R435)</f>
        <v/>
      </c>
      <c r="L935" t="str">
        <f>IF(YLE成绩库!C435="","", YLE成绩库!U435)</f>
        <v/>
      </c>
      <c r="M935">
        <v>0</v>
      </c>
      <c r="N935">
        <v>0</v>
      </c>
      <c r="O935">
        <v>0</v>
      </c>
      <c r="P935" t="str">
        <f>IF(YLE成绩库!C435="","", YLE成绩库!D435)</f>
        <v/>
      </c>
      <c r="Q935" t="str">
        <f>IF(YLE成绩库!C435="","", YLE成绩库!E435)</f>
        <v/>
      </c>
      <c r="R935" t="str">
        <f>IF(YLE成绩库!C435="","", YLE成绩库!F435)</f>
        <v/>
      </c>
      <c r="S935" t="str">
        <f>IF(YLE成绩库!C435="","", YLE成绩库!G435)</f>
        <v/>
      </c>
      <c r="T935" t="str">
        <f>IF(YLE成绩库!C435="","", YLE成绩库!H435)</f>
        <v/>
      </c>
      <c r="U935" t="str">
        <f>IF(YLE成绩库!C435="","", YLE成绩库!K435)</f>
        <v/>
      </c>
      <c r="V935" t="str">
        <f>IF(YLE成绩库!C435="","", YLE成绩库!W435)</f>
        <v/>
      </c>
      <c r="W935" t="str">
        <f>IF(YLE成绩库!C435="","", YLE成绩库!X435)</f>
        <v/>
      </c>
      <c r="X935" t="str">
        <f>IF(YLE成绩库!C435="","", YLE成绩库!AA435)</f>
        <v/>
      </c>
      <c r="Z935" t="str">
        <f>IF(YLE成绩库!C435="","", YLE成绩库!Z435)</f>
        <v/>
      </c>
    </row>
    <row r="936" spans="1:26" x14ac:dyDescent="0.2">
      <c r="A936" t="str">
        <f>IF(YLE成绩库!C436="","", YLE成绩库!C436)</f>
        <v/>
      </c>
      <c r="B936" t="str">
        <f>IF(YLE成绩库!AB436="","", YLE成绩库!AB436)</f>
        <v/>
      </c>
      <c r="C936" t="str">
        <f>IF(YLE成绩库!B436="","", YLE成绩库!B436)</f>
        <v/>
      </c>
      <c r="D936" t="str">
        <f>IF(YLE成绩库!D436="","", YLE成绩库!D436)</f>
        <v/>
      </c>
      <c r="E936" t="str">
        <f>IF(YLE成绩库!C436="","", YLE成绩库!L436)</f>
        <v/>
      </c>
      <c r="F936" t="str">
        <f>IF(YLE成绩库!C436="","", YLE成绩库!M436)</f>
        <v/>
      </c>
      <c r="G936" t="str">
        <f>IF(YLE成绩库!C436="","", YLE成绩库!N436)</f>
        <v/>
      </c>
      <c r="H936" t="str">
        <f>IF(YLE成绩库!C436="","", YLE成绩库!O436)</f>
        <v/>
      </c>
      <c r="I936" t="str">
        <f>IF(YLE成绩库!C436="","", YLE成绩库!P436)</f>
        <v/>
      </c>
      <c r="J936" t="str">
        <f>IF(YLE成绩库!C436="","", YLE成绩库!Q436)</f>
        <v/>
      </c>
      <c r="K936" t="str">
        <f>IF(YLE成绩库!C436="","", YLE成绩库!R436)</f>
        <v/>
      </c>
      <c r="L936" t="str">
        <f>IF(YLE成绩库!C436="","", YLE成绩库!U436)</f>
        <v/>
      </c>
      <c r="M936">
        <v>0</v>
      </c>
      <c r="N936">
        <v>0</v>
      </c>
      <c r="O936">
        <v>0</v>
      </c>
      <c r="P936" t="str">
        <f>IF(YLE成绩库!C436="","", YLE成绩库!D436)</f>
        <v/>
      </c>
      <c r="Q936" t="str">
        <f>IF(YLE成绩库!C436="","", YLE成绩库!E436)</f>
        <v/>
      </c>
      <c r="R936" t="str">
        <f>IF(YLE成绩库!C436="","", YLE成绩库!F436)</f>
        <v/>
      </c>
      <c r="S936" t="str">
        <f>IF(YLE成绩库!C436="","", YLE成绩库!G436)</f>
        <v/>
      </c>
      <c r="T936" t="str">
        <f>IF(YLE成绩库!C436="","", YLE成绩库!H436)</f>
        <v/>
      </c>
      <c r="U936" t="str">
        <f>IF(YLE成绩库!C436="","", YLE成绩库!K436)</f>
        <v/>
      </c>
      <c r="V936" t="str">
        <f>IF(YLE成绩库!C436="","", YLE成绩库!W436)</f>
        <v/>
      </c>
      <c r="W936" t="str">
        <f>IF(YLE成绩库!C436="","", YLE成绩库!X436)</f>
        <v/>
      </c>
      <c r="X936" t="str">
        <f>IF(YLE成绩库!C436="","", YLE成绩库!AA436)</f>
        <v/>
      </c>
      <c r="Z936" t="str">
        <f>IF(YLE成绩库!C436="","", YLE成绩库!Z436)</f>
        <v/>
      </c>
    </row>
    <row r="937" spans="1:26" x14ac:dyDescent="0.2">
      <c r="A937" t="str">
        <f>IF(YLE成绩库!C437="","", YLE成绩库!C437)</f>
        <v/>
      </c>
      <c r="B937" t="str">
        <f>IF(YLE成绩库!AB437="","", YLE成绩库!AB437)</f>
        <v/>
      </c>
      <c r="C937" t="str">
        <f>IF(YLE成绩库!B437="","", YLE成绩库!B437)</f>
        <v/>
      </c>
      <c r="D937" t="str">
        <f>IF(YLE成绩库!D437="","", YLE成绩库!D437)</f>
        <v/>
      </c>
      <c r="E937" t="str">
        <f>IF(YLE成绩库!C437="","", YLE成绩库!L437)</f>
        <v/>
      </c>
      <c r="F937" t="str">
        <f>IF(YLE成绩库!C437="","", YLE成绩库!M437)</f>
        <v/>
      </c>
      <c r="G937" t="str">
        <f>IF(YLE成绩库!C437="","", YLE成绩库!N437)</f>
        <v/>
      </c>
      <c r="H937" t="str">
        <f>IF(YLE成绩库!C437="","", YLE成绩库!O437)</f>
        <v/>
      </c>
      <c r="I937" t="str">
        <f>IF(YLE成绩库!C437="","", YLE成绩库!P437)</f>
        <v/>
      </c>
      <c r="J937" t="str">
        <f>IF(YLE成绩库!C437="","", YLE成绩库!Q437)</f>
        <v/>
      </c>
      <c r="K937" t="str">
        <f>IF(YLE成绩库!C437="","", YLE成绩库!R437)</f>
        <v/>
      </c>
      <c r="L937" t="str">
        <f>IF(YLE成绩库!C437="","", YLE成绩库!U437)</f>
        <v/>
      </c>
      <c r="M937">
        <v>0</v>
      </c>
      <c r="N937">
        <v>0</v>
      </c>
      <c r="O937">
        <v>0</v>
      </c>
      <c r="P937" t="str">
        <f>IF(YLE成绩库!C437="","", YLE成绩库!D437)</f>
        <v/>
      </c>
      <c r="Q937" t="str">
        <f>IF(YLE成绩库!C437="","", YLE成绩库!E437)</f>
        <v/>
      </c>
      <c r="R937" t="str">
        <f>IF(YLE成绩库!C437="","", YLE成绩库!F437)</f>
        <v/>
      </c>
      <c r="S937" t="str">
        <f>IF(YLE成绩库!C437="","", YLE成绩库!G437)</f>
        <v/>
      </c>
      <c r="T937" t="str">
        <f>IF(YLE成绩库!C437="","", YLE成绩库!H437)</f>
        <v/>
      </c>
      <c r="U937" t="str">
        <f>IF(YLE成绩库!C437="","", YLE成绩库!K437)</f>
        <v/>
      </c>
      <c r="V937" t="str">
        <f>IF(YLE成绩库!C437="","", YLE成绩库!W437)</f>
        <v/>
      </c>
      <c r="W937" t="str">
        <f>IF(YLE成绩库!C437="","", YLE成绩库!X437)</f>
        <v/>
      </c>
      <c r="X937" t="str">
        <f>IF(YLE成绩库!C437="","", YLE成绩库!AA437)</f>
        <v/>
      </c>
      <c r="Z937" t="str">
        <f>IF(YLE成绩库!C437="","", YLE成绩库!Z437)</f>
        <v/>
      </c>
    </row>
    <row r="938" spans="1:26" x14ac:dyDescent="0.2">
      <c r="A938" t="str">
        <f>IF(YLE成绩库!C438="","", YLE成绩库!C438)</f>
        <v/>
      </c>
      <c r="B938" t="str">
        <f>IF(YLE成绩库!AB438="","", YLE成绩库!AB438)</f>
        <v/>
      </c>
      <c r="C938" t="str">
        <f>IF(YLE成绩库!B438="","", YLE成绩库!B438)</f>
        <v/>
      </c>
      <c r="D938" t="str">
        <f>IF(YLE成绩库!D438="","", YLE成绩库!D438)</f>
        <v/>
      </c>
      <c r="E938" t="str">
        <f>IF(YLE成绩库!C438="","", YLE成绩库!L438)</f>
        <v/>
      </c>
      <c r="F938" t="str">
        <f>IF(YLE成绩库!C438="","", YLE成绩库!M438)</f>
        <v/>
      </c>
      <c r="G938" t="str">
        <f>IF(YLE成绩库!C438="","", YLE成绩库!N438)</f>
        <v/>
      </c>
      <c r="H938" t="str">
        <f>IF(YLE成绩库!C438="","", YLE成绩库!O438)</f>
        <v/>
      </c>
      <c r="I938" t="str">
        <f>IF(YLE成绩库!C438="","", YLE成绩库!P438)</f>
        <v/>
      </c>
      <c r="J938" t="str">
        <f>IF(YLE成绩库!C438="","", YLE成绩库!Q438)</f>
        <v/>
      </c>
      <c r="K938" t="str">
        <f>IF(YLE成绩库!C438="","", YLE成绩库!R438)</f>
        <v/>
      </c>
      <c r="L938" t="str">
        <f>IF(YLE成绩库!C438="","", YLE成绩库!U438)</f>
        <v/>
      </c>
      <c r="M938">
        <v>0</v>
      </c>
      <c r="N938">
        <v>0</v>
      </c>
      <c r="O938">
        <v>0</v>
      </c>
      <c r="P938" t="str">
        <f>IF(YLE成绩库!C438="","", YLE成绩库!D438)</f>
        <v/>
      </c>
      <c r="Q938" t="str">
        <f>IF(YLE成绩库!C438="","", YLE成绩库!E438)</f>
        <v/>
      </c>
      <c r="R938" t="str">
        <f>IF(YLE成绩库!C438="","", YLE成绩库!F438)</f>
        <v/>
      </c>
      <c r="S938" t="str">
        <f>IF(YLE成绩库!C438="","", YLE成绩库!G438)</f>
        <v/>
      </c>
      <c r="T938" t="str">
        <f>IF(YLE成绩库!C438="","", YLE成绩库!H438)</f>
        <v/>
      </c>
      <c r="U938" t="str">
        <f>IF(YLE成绩库!C438="","", YLE成绩库!K438)</f>
        <v/>
      </c>
      <c r="V938" t="str">
        <f>IF(YLE成绩库!C438="","", YLE成绩库!W438)</f>
        <v/>
      </c>
      <c r="W938" t="str">
        <f>IF(YLE成绩库!C438="","", YLE成绩库!X438)</f>
        <v/>
      </c>
      <c r="X938" t="str">
        <f>IF(YLE成绩库!C438="","", YLE成绩库!AA438)</f>
        <v/>
      </c>
      <c r="Z938" t="str">
        <f>IF(YLE成绩库!C438="","", YLE成绩库!Z438)</f>
        <v/>
      </c>
    </row>
    <row r="939" spans="1:26" x14ac:dyDescent="0.2">
      <c r="A939" t="str">
        <f>IF(YLE成绩库!C439="","", YLE成绩库!C439)</f>
        <v/>
      </c>
      <c r="B939" t="str">
        <f>IF(YLE成绩库!AB439="","", YLE成绩库!AB439)</f>
        <v/>
      </c>
      <c r="C939" t="str">
        <f>IF(YLE成绩库!B439="","", YLE成绩库!B439)</f>
        <v/>
      </c>
      <c r="D939" t="str">
        <f>IF(YLE成绩库!D439="","", YLE成绩库!D439)</f>
        <v/>
      </c>
      <c r="E939" t="str">
        <f>IF(YLE成绩库!C439="","", YLE成绩库!L439)</f>
        <v/>
      </c>
      <c r="F939" t="str">
        <f>IF(YLE成绩库!C439="","", YLE成绩库!M439)</f>
        <v/>
      </c>
      <c r="G939" t="str">
        <f>IF(YLE成绩库!C439="","", YLE成绩库!N439)</f>
        <v/>
      </c>
      <c r="H939" t="str">
        <f>IF(YLE成绩库!C439="","", YLE成绩库!O439)</f>
        <v/>
      </c>
      <c r="I939" t="str">
        <f>IF(YLE成绩库!C439="","", YLE成绩库!P439)</f>
        <v/>
      </c>
      <c r="J939" t="str">
        <f>IF(YLE成绩库!C439="","", YLE成绩库!Q439)</f>
        <v/>
      </c>
      <c r="K939" t="str">
        <f>IF(YLE成绩库!C439="","", YLE成绩库!R439)</f>
        <v/>
      </c>
      <c r="L939" t="str">
        <f>IF(YLE成绩库!C439="","", YLE成绩库!U439)</f>
        <v/>
      </c>
      <c r="M939">
        <v>0</v>
      </c>
      <c r="N939">
        <v>0</v>
      </c>
      <c r="O939">
        <v>0</v>
      </c>
      <c r="P939" t="str">
        <f>IF(YLE成绩库!C439="","", YLE成绩库!D439)</f>
        <v/>
      </c>
      <c r="Q939" t="str">
        <f>IF(YLE成绩库!C439="","", YLE成绩库!E439)</f>
        <v/>
      </c>
      <c r="R939" t="str">
        <f>IF(YLE成绩库!C439="","", YLE成绩库!F439)</f>
        <v/>
      </c>
      <c r="S939" t="str">
        <f>IF(YLE成绩库!C439="","", YLE成绩库!G439)</f>
        <v/>
      </c>
      <c r="T939" t="str">
        <f>IF(YLE成绩库!C439="","", YLE成绩库!H439)</f>
        <v/>
      </c>
      <c r="U939" t="str">
        <f>IF(YLE成绩库!C439="","", YLE成绩库!K439)</f>
        <v/>
      </c>
      <c r="V939" t="str">
        <f>IF(YLE成绩库!C439="","", YLE成绩库!W439)</f>
        <v/>
      </c>
      <c r="W939" t="str">
        <f>IF(YLE成绩库!C439="","", YLE成绩库!X439)</f>
        <v/>
      </c>
      <c r="X939" t="str">
        <f>IF(YLE成绩库!C439="","", YLE成绩库!AA439)</f>
        <v/>
      </c>
      <c r="Z939" t="str">
        <f>IF(YLE成绩库!C439="","", YLE成绩库!Z439)</f>
        <v/>
      </c>
    </row>
    <row r="940" spans="1:26" x14ac:dyDescent="0.2">
      <c r="A940" t="str">
        <f>IF(YLE成绩库!C440="","", YLE成绩库!C440)</f>
        <v/>
      </c>
      <c r="B940" t="str">
        <f>IF(YLE成绩库!AB440="","", YLE成绩库!AB440)</f>
        <v/>
      </c>
      <c r="C940" t="str">
        <f>IF(YLE成绩库!B440="","", YLE成绩库!B440)</f>
        <v/>
      </c>
      <c r="D940" t="str">
        <f>IF(YLE成绩库!D440="","", YLE成绩库!D440)</f>
        <v/>
      </c>
      <c r="E940" t="str">
        <f>IF(YLE成绩库!C440="","", YLE成绩库!L440)</f>
        <v/>
      </c>
      <c r="F940" t="str">
        <f>IF(YLE成绩库!C440="","", YLE成绩库!M440)</f>
        <v/>
      </c>
      <c r="G940" t="str">
        <f>IF(YLE成绩库!C440="","", YLE成绩库!N440)</f>
        <v/>
      </c>
      <c r="H940" t="str">
        <f>IF(YLE成绩库!C440="","", YLE成绩库!O440)</f>
        <v/>
      </c>
      <c r="I940" t="str">
        <f>IF(YLE成绩库!C440="","", YLE成绩库!P440)</f>
        <v/>
      </c>
      <c r="J940" t="str">
        <f>IF(YLE成绩库!C440="","", YLE成绩库!Q440)</f>
        <v/>
      </c>
      <c r="K940" t="str">
        <f>IF(YLE成绩库!C440="","", YLE成绩库!R440)</f>
        <v/>
      </c>
      <c r="L940" t="str">
        <f>IF(YLE成绩库!C440="","", YLE成绩库!U440)</f>
        <v/>
      </c>
      <c r="M940">
        <v>0</v>
      </c>
      <c r="N940">
        <v>0</v>
      </c>
      <c r="O940">
        <v>0</v>
      </c>
      <c r="P940" t="str">
        <f>IF(YLE成绩库!C440="","", YLE成绩库!D440)</f>
        <v/>
      </c>
      <c r="Q940" t="str">
        <f>IF(YLE成绩库!C440="","", YLE成绩库!E440)</f>
        <v/>
      </c>
      <c r="R940" t="str">
        <f>IF(YLE成绩库!C440="","", YLE成绩库!F440)</f>
        <v/>
      </c>
      <c r="S940" t="str">
        <f>IF(YLE成绩库!C440="","", YLE成绩库!G440)</f>
        <v/>
      </c>
      <c r="T940" t="str">
        <f>IF(YLE成绩库!C440="","", YLE成绩库!H440)</f>
        <v/>
      </c>
      <c r="U940" t="str">
        <f>IF(YLE成绩库!C440="","", YLE成绩库!K440)</f>
        <v/>
      </c>
      <c r="V940" t="str">
        <f>IF(YLE成绩库!C440="","", YLE成绩库!W440)</f>
        <v/>
      </c>
      <c r="W940" t="str">
        <f>IF(YLE成绩库!C440="","", YLE成绩库!X440)</f>
        <v/>
      </c>
      <c r="X940" t="str">
        <f>IF(YLE成绩库!C440="","", YLE成绩库!AA440)</f>
        <v/>
      </c>
      <c r="Z940" t="str">
        <f>IF(YLE成绩库!C440="","", YLE成绩库!Z440)</f>
        <v/>
      </c>
    </row>
    <row r="941" spans="1:26" x14ac:dyDescent="0.2">
      <c r="A941" t="str">
        <f>IF(YLE成绩库!C441="","", YLE成绩库!C441)</f>
        <v/>
      </c>
      <c r="B941" t="str">
        <f>IF(YLE成绩库!AB441="","", YLE成绩库!AB441)</f>
        <v/>
      </c>
      <c r="C941" t="str">
        <f>IF(YLE成绩库!B441="","", YLE成绩库!B441)</f>
        <v/>
      </c>
      <c r="D941" t="str">
        <f>IF(YLE成绩库!D441="","", YLE成绩库!D441)</f>
        <v/>
      </c>
      <c r="E941" t="str">
        <f>IF(YLE成绩库!C441="","", YLE成绩库!L441)</f>
        <v/>
      </c>
      <c r="F941" t="str">
        <f>IF(YLE成绩库!C441="","", YLE成绩库!M441)</f>
        <v/>
      </c>
      <c r="G941" t="str">
        <f>IF(YLE成绩库!C441="","", YLE成绩库!N441)</f>
        <v/>
      </c>
      <c r="H941" t="str">
        <f>IF(YLE成绩库!C441="","", YLE成绩库!O441)</f>
        <v/>
      </c>
      <c r="I941" t="str">
        <f>IF(YLE成绩库!C441="","", YLE成绩库!P441)</f>
        <v/>
      </c>
      <c r="J941" t="str">
        <f>IF(YLE成绩库!C441="","", YLE成绩库!Q441)</f>
        <v/>
      </c>
      <c r="K941" t="str">
        <f>IF(YLE成绩库!C441="","", YLE成绩库!R441)</f>
        <v/>
      </c>
      <c r="L941" t="str">
        <f>IF(YLE成绩库!C441="","", YLE成绩库!U441)</f>
        <v/>
      </c>
      <c r="M941">
        <v>0</v>
      </c>
      <c r="N941">
        <v>0</v>
      </c>
      <c r="O941">
        <v>0</v>
      </c>
      <c r="P941" t="str">
        <f>IF(YLE成绩库!C441="","", YLE成绩库!D441)</f>
        <v/>
      </c>
      <c r="Q941" t="str">
        <f>IF(YLE成绩库!C441="","", YLE成绩库!E441)</f>
        <v/>
      </c>
      <c r="R941" t="str">
        <f>IF(YLE成绩库!C441="","", YLE成绩库!F441)</f>
        <v/>
      </c>
      <c r="S941" t="str">
        <f>IF(YLE成绩库!C441="","", YLE成绩库!G441)</f>
        <v/>
      </c>
      <c r="T941" t="str">
        <f>IF(YLE成绩库!C441="","", YLE成绩库!H441)</f>
        <v/>
      </c>
      <c r="U941" t="str">
        <f>IF(YLE成绩库!C441="","", YLE成绩库!K441)</f>
        <v/>
      </c>
      <c r="V941" t="str">
        <f>IF(YLE成绩库!C441="","", YLE成绩库!W441)</f>
        <v/>
      </c>
      <c r="W941" t="str">
        <f>IF(YLE成绩库!C441="","", YLE成绩库!X441)</f>
        <v/>
      </c>
      <c r="X941" t="str">
        <f>IF(YLE成绩库!C441="","", YLE成绩库!AA441)</f>
        <v/>
      </c>
      <c r="Z941" t="str">
        <f>IF(YLE成绩库!C441="","", YLE成绩库!Z441)</f>
        <v/>
      </c>
    </row>
    <row r="942" spans="1:26" x14ac:dyDescent="0.2">
      <c r="A942" t="str">
        <f>IF(YLE成绩库!C442="","", YLE成绩库!C442)</f>
        <v/>
      </c>
      <c r="B942" t="str">
        <f>IF(YLE成绩库!AB442="","", YLE成绩库!AB442)</f>
        <v/>
      </c>
      <c r="C942" t="str">
        <f>IF(YLE成绩库!B442="","", YLE成绩库!B442)</f>
        <v/>
      </c>
      <c r="D942" t="str">
        <f>IF(YLE成绩库!D442="","", YLE成绩库!D442)</f>
        <v/>
      </c>
      <c r="E942" t="str">
        <f>IF(YLE成绩库!C442="","", YLE成绩库!L442)</f>
        <v/>
      </c>
      <c r="F942" t="str">
        <f>IF(YLE成绩库!C442="","", YLE成绩库!M442)</f>
        <v/>
      </c>
      <c r="G942" t="str">
        <f>IF(YLE成绩库!C442="","", YLE成绩库!N442)</f>
        <v/>
      </c>
      <c r="H942" t="str">
        <f>IF(YLE成绩库!C442="","", YLE成绩库!O442)</f>
        <v/>
      </c>
      <c r="I942" t="str">
        <f>IF(YLE成绩库!C442="","", YLE成绩库!P442)</f>
        <v/>
      </c>
      <c r="J942" t="str">
        <f>IF(YLE成绩库!C442="","", YLE成绩库!Q442)</f>
        <v/>
      </c>
      <c r="K942" t="str">
        <f>IF(YLE成绩库!C442="","", YLE成绩库!R442)</f>
        <v/>
      </c>
      <c r="L942" t="str">
        <f>IF(YLE成绩库!C442="","", YLE成绩库!U442)</f>
        <v/>
      </c>
      <c r="M942">
        <v>0</v>
      </c>
      <c r="N942">
        <v>0</v>
      </c>
      <c r="O942">
        <v>0</v>
      </c>
      <c r="P942" t="str">
        <f>IF(YLE成绩库!C442="","", YLE成绩库!D442)</f>
        <v/>
      </c>
      <c r="Q942" t="str">
        <f>IF(YLE成绩库!C442="","", YLE成绩库!E442)</f>
        <v/>
      </c>
      <c r="R942" t="str">
        <f>IF(YLE成绩库!C442="","", YLE成绩库!F442)</f>
        <v/>
      </c>
      <c r="S942" t="str">
        <f>IF(YLE成绩库!C442="","", YLE成绩库!G442)</f>
        <v/>
      </c>
      <c r="T942" t="str">
        <f>IF(YLE成绩库!C442="","", YLE成绩库!H442)</f>
        <v/>
      </c>
      <c r="U942" t="str">
        <f>IF(YLE成绩库!C442="","", YLE成绩库!K442)</f>
        <v/>
      </c>
      <c r="V942" t="str">
        <f>IF(YLE成绩库!C442="","", YLE成绩库!W442)</f>
        <v/>
      </c>
      <c r="W942" t="str">
        <f>IF(YLE成绩库!C442="","", YLE成绩库!X442)</f>
        <v/>
      </c>
      <c r="X942" t="str">
        <f>IF(YLE成绩库!C442="","", YLE成绩库!AA442)</f>
        <v/>
      </c>
      <c r="Z942" t="str">
        <f>IF(YLE成绩库!C442="","", YLE成绩库!Z442)</f>
        <v/>
      </c>
    </row>
    <row r="943" spans="1:26" x14ac:dyDescent="0.2">
      <c r="A943" t="str">
        <f>IF(YLE成绩库!C443="","", YLE成绩库!C443)</f>
        <v/>
      </c>
      <c r="B943" t="str">
        <f>IF(YLE成绩库!AB443="","", YLE成绩库!AB443)</f>
        <v/>
      </c>
      <c r="C943" t="str">
        <f>IF(YLE成绩库!B443="","", YLE成绩库!B443)</f>
        <v/>
      </c>
      <c r="D943" t="str">
        <f>IF(YLE成绩库!D443="","", YLE成绩库!D443)</f>
        <v/>
      </c>
      <c r="E943" t="str">
        <f>IF(YLE成绩库!C443="","", YLE成绩库!L443)</f>
        <v/>
      </c>
      <c r="F943" t="str">
        <f>IF(YLE成绩库!C443="","", YLE成绩库!M443)</f>
        <v/>
      </c>
      <c r="G943" t="str">
        <f>IF(YLE成绩库!C443="","", YLE成绩库!N443)</f>
        <v/>
      </c>
      <c r="H943" t="str">
        <f>IF(YLE成绩库!C443="","", YLE成绩库!O443)</f>
        <v/>
      </c>
      <c r="I943" t="str">
        <f>IF(YLE成绩库!C443="","", YLE成绩库!P443)</f>
        <v/>
      </c>
      <c r="J943" t="str">
        <f>IF(YLE成绩库!C443="","", YLE成绩库!Q443)</f>
        <v/>
      </c>
      <c r="K943" t="str">
        <f>IF(YLE成绩库!C443="","", YLE成绩库!R443)</f>
        <v/>
      </c>
      <c r="L943" t="str">
        <f>IF(YLE成绩库!C443="","", YLE成绩库!U443)</f>
        <v/>
      </c>
      <c r="M943">
        <v>0</v>
      </c>
      <c r="N943">
        <v>0</v>
      </c>
      <c r="O943">
        <v>0</v>
      </c>
      <c r="P943" t="str">
        <f>IF(YLE成绩库!C443="","", YLE成绩库!D443)</f>
        <v/>
      </c>
      <c r="Q943" t="str">
        <f>IF(YLE成绩库!C443="","", YLE成绩库!E443)</f>
        <v/>
      </c>
      <c r="R943" t="str">
        <f>IF(YLE成绩库!C443="","", YLE成绩库!F443)</f>
        <v/>
      </c>
      <c r="S943" t="str">
        <f>IF(YLE成绩库!C443="","", YLE成绩库!G443)</f>
        <v/>
      </c>
      <c r="T943" t="str">
        <f>IF(YLE成绩库!C443="","", YLE成绩库!H443)</f>
        <v/>
      </c>
      <c r="U943" t="str">
        <f>IF(YLE成绩库!C443="","", YLE成绩库!K443)</f>
        <v/>
      </c>
      <c r="V943" t="str">
        <f>IF(YLE成绩库!C443="","", YLE成绩库!W443)</f>
        <v/>
      </c>
      <c r="W943" t="str">
        <f>IF(YLE成绩库!C443="","", YLE成绩库!X443)</f>
        <v/>
      </c>
      <c r="X943" t="str">
        <f>IF(YLE成绩库!C443="","", YLE成绩库!AA443)</f>
        <v/>
      </c>
      <c r="Z943" t="str">
        <f>IF(YLE成绩库!C443="","", YLE成绩库!Z443)</f>
        <v/>
      </c>
    </row>
    <row r="944" spans="1:26" x14ac:dyDescent="0.2">
      <c r="A944" t="str">
        <f>IF(YLE成绩库!C444="","", YLE成绩库!C444)</f>
        <v/>
      </c>
      <c r="B944" t="str">
        <f>IF(YLE成绩库!AB444="","", YLE成绩库!AB444)</f>
        <v/>
      </c>
      <c r="C944" t="str">
        <f>IF(YLE成绩库!B444="","", YLE成绩库!B444)</f>
        <v/>
      </c>
      <c r="D944" t="str">
        <f>IF(YLE成绩库!D444="","", YLE成绩库!D444)</f>
        <v/>
      </c>
      <c r="E944" t="str">
        <f>IF(YLE成绩库!C444="","", YLE成绩库!L444)</f>
        <v/>
      </c>
      <c r="F944" t="str">
        <f>IF(YLE成绩库!C444="","", YLE成绩库!M444)</f>
        <v/>
      </c>
      <c r="G944" t="str">
        <f>IF(YLE成绩库!C444="","", YLE成绩库!N444)</f>
        <v/>
      </c>
      <c r="H944" t="str">
        <f>IF(YLE成绩库!C444="","", YLE成绩库!O444)</f>
        <v/>
      </c>
      <c r="I944" t="str">
        <f>IF(YLE成绩库!C444="","", YLE成绩库!P444)</f>
        <v/>
      </c>
      <c r="J944" t="str">
        <f>IF(YLE成绩库!C444="","", YLE成绩库!Q444)</f>
        <v/>
      </c>
      <c r="K944" t="str">
        <f>IF(YLE成绩库!C444="","", YLE成绩库!R444)</f>
        <v/>
      </c>
      <c r="L944" t="str">
        <f>IF(YLE成绩库!C444="","", YLE成绩库!U444)</f>
        <v/>
      </c>
      <c r="M944">
        <v>0</v>
      </c>
      <c r="N944">
        <v>0</v>
      </c>
      <c r="O944">
        <v>0</v>
      </c>
      <c r="P944" t="str">
        <f>IF(YLE成绩库!C444="","", YLE成绩库!D444)</f>
        <v/>
      </c>
      <c r="Q944" t="str">
        <f>IF(YLE成绩库!C444="","", YLE成绩库!E444)</f>
        <v/>
      </c>
      <c r="R944" t="str">
        <f>IF(YLE成绩库!C444="","", YLE成绩库!F444)</f>
        <v/>
      </c>
      <c r="S944" t="str">
        <f>IF(YLE成绩库!C444="","", YLE成绩库!G444)</f>
        <v/>
      </c>
      <c r="T944" t="str">
        <f>IF(YLE成绩库!C444="","", YLE成绩库!H444)</f>
        <v/>
      </c>
      <c r="U944" t="str">
        <f>IF(YLE成绩库!C444="","", YLE成绩库!K444)</f>
        <v/>
      </c>
      <c r="V944" t="str">
        <f>IF(YLE成绩库!C444="","", YLE成绩库!W444)</f>
        <v/>
      </c>
      <c r="W944" t="str">
        <f>IF(YLE成绩库!C444="","", YLE成绩库!X444)</f>
        <v/>
      </c>
      <c r="X944" t="str">
        <f>IF(YLE成绩库!C444="","", YLE成绩库!AA444)</f>
        <v/>
      </c>
      <c r="Z944" t="str">
        <f>IF(YLE成绩库!C444="","", YLE成绩库!Z444)</f>
        <v/>
      </c>
    </row>
    <row r="945" spans="1:26" x14ac:dyDescent="0.2">
      <c r="A945" t="str">
        <f>IF(YLE成绩库!C445="","", YLE成绩库!C445)</f>
        <v/>
      </c>
      <c r="B945" t="str">
        <f>IF(YLE成绩库!AB445="","", YLE成绩库!AB445)</f>
        <v/>
      </c>
      <c r="C945" t="str">
        <f>IF(YLE成绩库!B445="","", YLE成绩库!B445)</f>
        <v/>
      </c>
      <c r="D945" t="str">
        <f>IF(YLE成绩库!D445="","", YLE成绩库!D445)</f>
        <v/>
      </c>
      <c r="E945" t="str">
        <f>IF(YLE成绩库!C445="","", YLE成绩库!L445)</f>
        <v/>
      </c>
      <c r="F945" t="str">
        <f>IF(YLE成绩库!C445="","", YLE成绩库!M445)</f>
        <v/>
      </c>
      <c r="G945" t="str">
        <f>IF(YLE成绩库!C445="","", YLE成绩库!N445)</f>
        <v/>
      </c>
      <c r="H945" t="str">
        <f>IF(YLE成绩库!C445="","", YLE成绩库!O445)</f>
        <v/>
      </c>
      <c r="I945" t="str">
        <f>IF(YLE成绩库!C445="","", YLE成绩库!P445)</f>
        <v/>
      </c>
      <c r="J945" t="str">
        <f>IF(YLE成绩库!C445="","", YLE成绩库!Q445)</f>
        <v/>
      </c>
      <c r="K945" t="str">
        <f>IF(YLE成绩库!C445="","", YLE成绩库!R445)</f>
        <v/>
      </c>
      <c r="L945" t="str">
        <f>IF(YLE成绩库!C445="","", YLE成绩库!U445)</f>
        <v/>
      </c>
      <c r="M945">
        <v>0</v>
      </c>
      <c r="N945">
        <v>0</v>
      </c>
      <c r="O945">
        <v>0</v>
      </c>
      <c r="P945" t="str">
        <f>IF(YLE成绩库!C445="","", YLE成绩库!D445)</f>
        <v/>
      </c>
      <c r="Q945" t="str">
        <f>IF(YLE成绩库!C445="","", YLE成绩库!E445)</f>
        <v/>
      </c>
      <c r="R945" t="str">
        <f>IF(YLE成绩库!C445="","", YLE成绩库!F445)</f>
        <v/>
      </c>
      <c r="S945" t="str">
        <f>IF(YLE成绩库!C445="","", YLE成绩库!G445)</f>
        <v/>
      </c>
      <c r="T945" t="str">
        <f>IF(YLE成绩库!C445="","", YLE成绩库!H445)</f>
        <v/>
      </c>
      <c r="U945" t="str">
        <f>IF(YLE成绩库!C445="","", YLE成绩库!K445)</f>
        <v/>
      </c>
      <c r="V945" t="str">
        <f>IF(YLE成绩库!C445="","", YLE成绩库!W445)</f>
        <v/>
      </c>
      <c r="W945" t="str">
        <f>IF(YLE成绩库!C445="","", YLE成绩库!X445)</f>
        <v/>
      </c>
      <c r="X945" t="str">
        <f>IF(YLE成绩库!C445="","", YLE成绩库!AA445)</f>
        <v/>
      </c>
      <c r="Z945" t="str">
        <f>IF(YLE成绩库!C445="","", YLE成绩库!Z445)</f>
        <v/>
      </c>
    </row>
    <row r="946" spans="1:26" x14ac:dyDescent="0.2">
      <c r="A946" t="str">
        <f>IF(YLE成绩库!C446="","", YLE成绩库!C446)</f>
        <v/>
      </c>
      <c r="B946" t="str">
        <f>IF(YLE成绩库!AB446="","", YLE成绩库!AB446)</f>
        <v/>
      </c>
      <c r="C946" t="str">
        <f>IF(YLE成绩库!B446="","", YLE成绩库!B446)</f>
        <v/>
      </c>
      <c r="D946" t="str">
        <f>IF(YLE成绩库!D446="","", YLE成绩库!D446)</f>
        <v/>
      </c>
      <c r="E946" t="str">
        <f>IF(YLE成绩库!C446="","", YLE成绩库!L446)</f>
        <v/>
      </c>
      <c r="F946" t="str">
        <f>IF(YLE成绩库!C446="","", YLE成绩库!M446)</f>
        <v/>
      </c>
      <c r="G946" t="str">
        <f>IF(YLE成绩库!C446="","", YLE成绩库!N446)</f>
        <v/>
      </c>
      <c r="H946" t="str">
        <f>IF(YLE成绩库!C446="","", YLE成绩库!O446)</f>
        <v/>
      </c>
      <c r="I946" t="str">
        <f>IF(YLE成绩库!C446="","", YLE成绩库!P446)</f>
        <v/>
      </c>
      <c r="J946" t="str">
        <f>IF(YLE成绩库!C446="","", YLE成绩库!Q446)</f>
        <v/>
      </c>
      <c r="K946" t="str">
        <f>IF(YLE成绩库!C446="","", YLE成绩库!R446)</f>
        <v/>
      </c>
      <c r="L946" t="str">
        <f>IF(YLE成绩库!C446="","", YLE成绩库!U446)</f>
        <v/>
      </c>
      <c r="M946">
        <v>0</v>
      </c>
      <c r="N946">
        <v>0</v>
      </c>
      <c r="O946">
        <v>0</v>
      </c>
      <c r="P946" t="str">
        <f>IF(YLE成绩库!C446="","", YLE成绩库!D446)</f>
        <v/>
      </c>
      <c r="Q946" t="str">
        <f>IF(YLE成绩库!C446="","", YLE成绩库!E446)</f>
        <v/>
      </c>
      <c r="R946" t="str">
        <f>IF(YLE成绩库!C446="","", YLE成绩库!F446)</f>
        <v/>
      </c>
      <c r="S946" t="str">
        <f>IF(YLE成绩库!C446="","", YLE成绩库!G446)</f>
        <v/>
      </c>
      <c r="T946" t="str">
        <f>IF(YLE成绩库!C446="","", YLE成绩库!H446)</f>
        <v/>
      </c>
      <c r="U946" t="str">
        <f>IF(YLE成绩库!C446="","", YLE成绩库!K446)</f>
        <v/>
      </c>
      <c r="V946" t="str">
        <f>IF(YLE成绩库!C446="","", YLE成绩库!W446)</f>
        <v/>
      </c>
      <c r="W946" t="str">
        <f>IF(YLE成绩库!C446="","", YLE成绩库!X446)</f>
        <v/>
      </c>
      <c r="X946" t="str">
        <f>IF(YLE成绩库!C446="","", YLE成绩库!AA446)</f>
        <v/>
      </c>
      <c r="Z946" t="str">
        <f>IF(YLE成绩库!C446="","", YLE成绩库!Z446)</f>
        <v/>
      </c>
    </row>
    <row r="947" spans="1:26" x14ac:dyDescent="0.2">
      <c r="A947" t="str">
        <f>IF(YLE成绩库!C447="","", YLE成绩库!C447)</f>
        <v/>
      </c>
      <c r="B947" t="str">
        <f>IF(YLE成绩库!AB447="","", YLE成绩库!AB447)</f>
        <v/>
      </c>
      <c r="C947" t="str">
        <f>IF(YLE成绩库!B447="","", YLE成绩库!B447)</f>
        <v/>
      </c>
      <c r="D947" t="str">
        <f>IF(YLE成绩库!D447="","", YLE成绩库!D447)</f>
        <v/>
      </c>
      <c r="E947" t="str">
        <f>IF(YLE成绩库!C447="","", YLE成绩库!L447)</f>
        <v/>
      </c>
      <c r="F947" t="str">
        <f>IF(YLE成绩库!C447="","", YLE成绩库!M447)</f>
        <v/>
      </c>
      <c r="G947" t="str">
        <f>IF(YLE成绩库!C447="","", YLE成绩库!N447)</f>
        <v/>
      </c>
      <c r="H947" t="str">
        <f>IF(YLE成绩库!C447="","", YLE成绩库!O447)</f>
        <v/>
      </c>
      <c r="I947" t="str">
        <f>IF(YLE成绩库!C447="","", YLE成绩库!P447)</f>
        <v/>
      </c>
      <c r="J947" t="str">
        <f>IF(YLE成绩库!C447="","", YLE成绩库!Q447)</f>
        <v/>
      </c>
      <c r="K947" t="str">
        <f>IF(YLE成绩库!C447="","", YLE成绩库!R447)</f>
        <v/>
      </c>
      <c r="L947" t="str">
        <f>IF(YLE成绩库!C447="","", YLE成绩库!U447)</f>
        <v/>
      </c>
      <c r="M947">
        <v>0</v>
      </c>
      <c r="N947">
        <v>0</v>
      </c>
      <c r="O947">
        <v>0</v>
      </c>
      <c r="P947" t="str">
        <f>IF(YLE成绩库!C447="","", YLE成绩库!D447)</f>
        <v/>
      </c>
      <c r="Q947" t="str">
        <f>IF(YLE成绩库!C447="","", YLE成绩库!E447)</f>
        <v/>
      </c>
      <c r="R947" t="str">
        <f>IF(YLE成绩库!C447="","", YLE成绩库!F447)</f>
        <v/>
      </c>
      <c r="S947" t="str">
        <f>IF(YLE成绩库!C447="","", YLE成绩库!G447)</f>
        <v/>
      </c>
      <c r="T947" t="str">
        <f>IF(YLE成绩库!C447="","", YLE成绩库!H447)</f>
        <v/>
      </c>
      <c r="U947" t="str">
        <f>IF(YLE成绩库!C447="","", YLE成绩库!K447)</f>
        <v/>
      </c>
      <c r="V947" t="str">
        <f>IF(YLE成绩库!C447="","", YLE成绩库!W447)</f>
        <v/>
      </c>
      <c r="W947" t="str">
        <f>IF(YLE成绩库!C447="","", YLE成绩库!X447)</f>
        <v/>
      </c>
      <c r="X947" t="str">
        <f>IF(YLE成绩库!C447="","", YLE成绩库!AA447)</f>
        <v/>
      </c>
      <c r="Z947" t="str">
        <f>IF(YLE成绩库!C447="","", YLE成绩库!Z447)</f>
        <v/>
      </c>
    </row>
    <row r="948" spans="1:26" x14ac:dyDescent="0.2">
      <c r="A948" t="str">
        <f>IF(YLE成绩库!C448="","", YLE成绩库!C448)</f>
        <v/>
      </c>
      <c r="B948" t="str">
        <f>IF(YLE成绩库!AB448="","", YLE成绩库!AB448)</f>
        <v/>
      </c>
      <c r="C948" t="str">
        <f>IF(YLE成绩库!B448="","", YLE成绩库!B448)</f>
        <v/>
      </c>
      <c r="D948" t="str">
        <f>IF(YLE成绩库!D448="","", YLE成绩库!D448)</f>
        <v/>
      </c>
      <c r="E948" t="str">
        <f>IF(YLE成绩库!C448="","", YLE成绩库!L448)</f>
        <v/>
      </c>
      <c r="F948" t="str">
        <f>IF(YLE成绩库!C448="","", YLE成绩库!M448)</f>
        <v/>
      </c>
      <c r="G948" t="str">
        <f>IF(YLE成绩库!C448="","", YLE成绩库!N448)</f>
        <v/>
      </c>
      <c r="H948" t="str">
        <f>IF(YLE成绩库!C448="","", YLE成绩库!O448)</f>
        <v/>
      </c>
      <c r="I948" t="str">
        <f>IF(YLE成绩库!C448="","", YLE成绩库!P448)</f>
        <v/>
      </c>
      <c r="J948" t="str">
        <f>IF(YLE成绩库!C448="","", YLE成绩库!Q448)</f>
        <v/>
      </c>
      <c r="K948" t="str">
        <f>IF(YLE成绩库!C448="","", YLE成绩库!R448)</f>
        <v/>
      </c>
      <c r="L948" t="str">
        <f>IF(YLE成绩库!C448="","", YLE成绩库!U448)</f>
        <v/>
      </c>
      <c r="M948">
        <v>0</v>
      </c>
      <c r="N948">
        <v>0</v>
      </c>
      <c r="O948">
        <v>0</v>
      </c>
      <c r="P948" t="str">
        <f>IF(YLE成绩库!C448="","", YLE成绩库!D448)</f>
        <v/>
      </c>
      <c r="Q948" t="str">
        <f>IF(YLE成绩库!C448="","", YLE成绩库!E448)</f>
        <v/>
      </c>
      <c r="R948" t="str">
        <f>IF(YLE成绩库!C448="","", YLE成绩库!F448)</f>
        <v/>
      </c>
      <c r="S948" t="str">
        <f>IF(YLE成绩库!C448="","", YLE成绩库!G448)</f>
        <v/>
      </c>
      <c r="T948" t="str">
        <f>IF(YLE成绩库!C448="","", YLE成绩库!H448)</f>
        <v/>
      </c>
      <c r="U948" t="str">
        <f>IF(YLE成绩库!C448="","", YLE成绩库!K448)</f>
        <v/>
      </c>
      <c r="V948" t="str">
        <f>IF(YLE成绩库!C448="","", YLE成绩库!W448)</f>
        <v/>
      </c>
      <c r="W948" t="str">
        <f>IF(YLE成绩库!C448="","", YLE成绩库!X448)</f>
        <v/>
      </c>
      <c r="X948" t="str">
        <f>IF(YLE成绩库!C448="","", YLE成绩库!AA448)</f>
        <v/>
      </c>
      <c r="Z948" t="str">
        <f>IF(YLE成绩库!C448="","", YLE成绩库!Z448)</f>
        <v/>
      </c>
    </row>
    <row r="949" spans="1:26" x14ac:dyDescent="0.2">
      <c r="A949" t="str">
        <f>IF(YLE成绩库!C449="","", YLE成绩库!C449)</f>
        <v/>
      </c>
      <c r="B949" t="str">
        <f>IF(YLE成绩库!AB449="","", YLE成绩库!AB449)</f>
        <v/>
      </c>
      <c r="C949" t="str">
        <f>IF(YLE成绩库!B449="","", YLE成绩库!B449)</f>
        <v/>
      </c>
      <c r="D949" t="str">
        <f>IF(YLE成绩库!D449="","", YLE成绩库!D449)</f>
        <v/>
      </c>
      <c r="E949" t="str">
        <f>IF(YLE成绩库!C449="","", YLE成绩库!L449)</f>
        <v/>
      </c>
      <c r="F949" t="str">
        <f>IF(YLE成绩库!C449="","", YLE成绩库!M449)</f>
        <v/>
      </c>
      <c r="G949" t="str">
        <f>IF(YLE成绩库!C449="","", YLE成绩库!N449)</f>
        <v/>
      </c>
      <c r="H949" t="str">
        <f>IF(YLE成绩库!C449="","", YLE成绩库!O449)</f>
        <v/>
      </c>
      <c r="I949" t="str">
        <f>IF(YLE成绩库!C449="","", YLE成绩库!P449)</f>
        <v/>
      </c>
      <c r="J949" t="str">
        <f>IF(YLE成绩库!C449="","", YLE成绩库!Q449)</f>
        <v/>
      </c>
      <c r="K949" t="str">
        <f>IF(YLE成绩库!C449="","", YLE成绩库!R449)</f>
        <v/>
      </c>
      <c r="L949" t="str">
        <f>IF(YLE成绩库!C449="","", YLE成绩库!U449)</f>
        <v/>
      </c>
      <c r="M949">
        <v>0</v>
      </c>
      <c r="N949">
        <v>0</v>
      </c>
      <c r="O949">
        <v>0</v>
      </c>
      <c r="P949" t="str">
        <f>IF(YLE成绩库!C449="","", YLE成绩库!D449)</f>
        <v/>
      </c>
      <c r="Q949" t="str">
        <f>IF(YLE成绩库!C449="","", YLE成绩库!E449)</f>
        <v/>
      </c>
      <c r="R949" t="str">
        <f>IF(YLE成绩库!C449="","", YLE成绩库!F449)</f>
        <v/>
      </c>
      <c r="S949" t="str">
        <f>IF(YLE成绩库!C449="","", YLE成绩库!G449)</f>
        <v/>
      </c>
      <c r="T949" t="str">
        <f>IF(YLE成绩库!C449="","", YLE成绩库!H449)</f>
        <v/>
      </c>
      <c r="U949" t="str">
        <f>IF(YLE成绩库!C449="","", YLE成绩库!K449)</f>
        <v/>
      </c>
      <c r="V949" t="str">
        <f>IF(YLE成绩库!C449="","", YLE成绩库!W449)</f>
        <v/>
      </c>
      <c r="W949" t="str">
        <f>IF(YLE成绩库!C449="","", YLE成绩库!X449)</f>
        <v/>
      </c>
      <c r="X949" t="str">
        <f>IF(YLE成绩库!C449="","", YLE成绩库!AA449)</f>
        <v/>
      </c>
      <c r="Z949" t="str">
        <f>IF(YLE成绩库!C449="","", YLE成绩库!Z449)</f>
        <v/>
      </c>
    </row>
    <row r="950" spans="1:26" x14ac:dyDescent="0.2">
      <c r="A950" t="str">
        <f>IF(YLE成绩库!C450="","", YLE成绩库!C450)</f>
        <v/>
      </c>
      <c r="B950" t="str">
        <f>IF(YLE成绩库!AB450="","", YLE成绩库!AB450)</f>
        <v/>
      </c>
      <c r="C950" t="str">
        <f>IF(YLE成绩库!B450="","", YLE成绩库!B450)</f>
        <v/>
      </c>
      <c r="D950" t="str">
        <f>IF(YLE成绩库!D450="","", YLE成绩库!D450)</f>
        <v/>
      </c>
      <c r="E950" t="str">
        <f>IF(YLE成绩库!C450="","", YLE成绩库!L450)</f>
        <v/>
      </c>
      <c r="F950" t="str">
        <f>IF(YLE成绩库!C450="","", YLE成绩库!M450)</f>
        <v/>
      </c>
      <c r="G950" t="str">
        <f>IF(YLE成绩库!C450="","", YLE成绩库!N450)</f>
        <v/>
      </c>
      <c r="H950" t="str">
        <f>IF(YLE成绩库!C450="","", YLE成绩库!O450)</f>
        <v/>
      </c>
      <c r="I950" t="str">
        <f>IF(YLE成绩库!C450="","", YLE成绩库!P450)</f>
        <v/>
      </c>
      <c r="J950" t="str">
        <f>IF(YLE成绩库!C450="","", YLE成绩库!Q450)</f>
        <v/>
      </c>
      <c r="K950" t="str">
        <f>IF(YLE成绩库!C450="","", YLE成绩库!R450)</f>
        <v/>
      </c>
      <c r="L950" t="str">
        <f>IF(YLE成绩库!C450="","", YLE成绩库!U450)</f>
        <v/>
      </c>
      <c r="M950">
        <v>0</v>
      </c>
      <c r="N950">
        <v>0</v>
      </c>
      <c r="O950">
        <v>0</v>
      </c>
      <c r="P950" t="str">
        <f>IF(YLE成绩库!C450="","", YLE成绩库!D450)</f>
        <v/>
      </c>
      <c r="Q950" t="str">
        <f>IF(YLE成绩库!C450="","", YLE成绩库!E450)</f>
        <v/>
      </c>
      <c r="R950" t="str">
        <f>IF(YLE成绩库!C450="","", YLE成绩库!F450)</f>
        <v/>
      </c>
      <c r="S950" t="str">
        <f>IF(YLE成绩库!C450="","", YLE成绩库!G450)</f>
        <v/>
      </c>
      <c r="T950" t="str">
        <f>IF(YLE成绩库!C450="","", YLE成绩库!H450)</f>
        <v/>
      </c>
      <c r="U950" t="str">
        <f>IF(YLE成绩库!C450="","", YLE成绩库!K450)</f>
        <v/>
      </c>
      <c r="V950" t="str">
        <f>IF(YLE成绩库!C450="","", YLE成绩库!W450)</f>
        <v/>
      </c>
      <c r="W950" t="str">
        <f>IF(YLE成绩库!C450="","", YLE成绩库!X450)</f>
        <v/>
      </c>
      <c r="X950" t="str">
        <f>IF(YLE成绩库!C450="","", YLE成绩库!AA450)</f>
        <v/>
      </c>
      <c r="Z950" t="str">
        <f>IF(YLE成绩库!C450="","", YLE成绩库!Z450)</f>
        <v/>
      </c>
    </row>
    <row r="951" spans="1:26" x14ac:dyDescent="0.2">
      <c r="A951" t="str">
        <f>IF(YLE成绩库!C451="","", YLE成绩库!C451)</f>
        <v/>
      </c>
      <c r="B951" t="str">
        <f>IF(YLE成绩库!AB451="","", YLE成绩库!AB451)</f>
        <v/>
      </c>
      <c r="C951" t="str">
        <f>IF(YLE成绩库!B451="","", YLE成绩库!B451)</f>
        <v/>
      </c>
      <c r="D951" t="str">
        <f>IF(YLE成绩库!D451="","", YLE成绩库!D451)</f>
        <v/>
      </c>
      <c r="E951" t="str">
        <f>IF(YLE成绩库!C451="","", YLE成绩库!L451)</f>
        <v/>
      </c>
      <c r="F951" t="str">
        <f>IF(YLE成绩库!C451="","", YLE成绩库!M451)</f>
        <v/>
      </c>
      <c r="G951" t="str">
        <f>IF(YLE成绩库!C451="","", YLE成绩库!N451)</f>
        <v/>
      </c>
      <c r="H951" t="str">
        <f>IF(YLE成绩库!C451="","", YLE成绩库!O451)</f>
        <v/>
      </c>
      <c r="I951" t="str">
        <f>IF(YLE成绩库!C451="","", YLE成绩库!P451)</f>
        <v/>
      </c>
      <c r="J951" t="str">
        <f>IF(YLE成绩库!C451="","", YLE成绩库!Q451)</f>
        <v/>
      </c>
      <c r="K951" t="str">
        <f>IF(YLE成绩库!C451="","", YLE成绩库!R451)</f>
        <v/>
      </c>
      <c r="L951" t="str">
        <f>IF(YLE成绩库!C451="","", YLE成绩库!U451)</f>
        <v/>
      </c>
      <c r="M951">
        <v>0</v>
      </c>
      <c r="N951">
        <v>0</v>
      </c>
      <c r="O951">
        <v>0</v>
      </c>
      <c r="P951" t="str">
        <f>IF(YLE成绩库!C451="","", YLE成绩库!D451)</f>
        <v/>
      </c>
      <c r="Q951" t="str">
        <f>IF(YLE成绩库!C451="","", YLE成绩库!E451)</f>
        <v/>
      </c>
      <c r="R951" t="str">
        <f>IF(YLE成绩库!C451="","", YLE成绩库!F451)</f>
        <v/>
      </c>
      <c r="S951" t="str">
        <f>IF(YLE成绩库!C451="","", YLE成绩库!G451)</f>
        <v/>
      </c>
      <c r="T951" t="str">
        <f>IF(YLE成绩库!C451="","", YLE成绩库!H451)</f>
        <v/>
      </c>
      <c r="U951" t="str">
        <f>IF(YLE成绩库!C451="","", YLE成绩库!K451)</f>
        <v/>
      </c>
      <c r="V951" t="str">
        <f>IF(YLE成绩库!C451="","", YLE成绩库!W451)</f>
        <v/>
      </c>
      <c r="W951" t="str">
        <f>IF(YLE成绩库!C451="","", YLE成绩库!X451)</f>
        <v/>
      </c>
      <c r="X951" t="str">
        <f>IF(YLE成绩库!C451="","", YLE成绩库!AA451)</f>
        <v/>
      </c>
      <c r="Z951" t="str">
        <f>IF(YLE成绩库!C451="","", YLE成绩库!Z451)</f>
        <v/>
      </c>
    </row>
    <row r="952" spans="1:26" x14ac:dyDescent="0.2">
      <c r="A952" t="str">
        <f>IF(YLE成绩库!C452="","", YLE成绩库!C452)</f>
        <v/>
      </c>
      <c r="B952" t="str">
        <f>IF(YLE成绩库!AB452="","", YLE成绩库!AB452)</f>
        <v/>
      </c>
      <c r="C952" t="str">
        <f>IF(YLE成绩库!B452="","", YLE成绩库!B452)</f>
        <v/>
      </c>
      <c r="D952" t="str">
        <f>IF(YLE成绩库!D452="","", YLE成绩库!D452)</f>
        <v/>
      </c>
      <c r="E952" t="str">
        <f>IF(YLE成绩库!C452="","", YLE成绩库!L452)</f>
        <v/>
      </c>
      <c r="F952" t="str">
        <f>IF(YLE成绩库!C452="","", YLE成绩库!M452)</f>
        <v/>
      </c>
      <c r="G952" t="str">
        <f>IF(YLE成绩库!C452="","", YLE成绩库!N452)</f>
        <v/>
      </c>
      <c r="H952" t="str">
        <f>IF(YLE成绩库!C452="","", YLE成绩库!O452)</f>
        <v/>
      </c>
      <c r="I952" t="str">
        <f>IF(YLE成绩库!C452="","", YLE成绩库!P452)</f>
        <v/>
      </c>
      <c r="J952" t="str">
        <f>IF(YLE成绩库!C452="","", YLE成绩库!Q452)</f>
        <v/>
      </c>
      <c r="K952" t="str">
        <f>IF(YLE成绩库!C452="","", YLE成绩库!R452)</f>
        <v/>
      </c>
      <c r="L952" t="str">
        <f>IF(YLE成绩库!C452="","", YLE成绩库!U452)</f>
        <v/>
      </c>
      <c r="M952">
        <v>0</v>
      </c>
      <c r="N952">
        <v>0</v>
      </c>
      <c r="O952">
        <v>0</v>
      </c>
      <c r="P952" t="str">
        <f>IF(YLE成绩库!C452="","", YLE成绩库!D452)</f>
        <v/>
      </c>
      <c r="Q952" t="str">
        <f>IF(YLE成绩库!C452="","", YLE成绩库!E452)</f>
        <v/>
      </c>
      <c r="R952" t="str">
        <f>IF(YLE成绩库!C452="","", YLE成绩库!F452)</f>
        <v/>
      </c>
      <c r="S952" t="str">
        <f>IF(YLE成绩库!C452="","", YLE成绩库!G452)</f>
        <v/>
      </c>
      <c r="T952" t="str">
        <f>IF(YLE成绩库!C452="","", YLE成绩库!H452)</f>
        <v/>
      </c>
      <c r="U952" t="str">
        <f>IF(YLE成绩库!C452="","", YLE成绩库!K452)</f>
        <v/>
      </c>
      <c r="V952" t="str">
        <f>IF(YLE成绩库!C452="","", YLE成绩库!W452)</f>
        <v/>
      </c>
      <c r="W952" t="str">
        <f>IF(YLE成绩库!C452="","", YLE成绩库!X452)</f>
        <v/>
      </c>
      <c r="X952" t="str">
        <f>IF(YLE成绩库!C452="","", YLE成绩库!AA452)</f>
        <v/>
      </c>
      <c r="Z952" t="str">
        <f>IF(YLE成绩库!C452="","", YLE成绩库!Z452)</f>
        <v/>
      </c>
    </row>
    <row r="953" spans="1:26" x14ac:dyDescent="0.2">
      <c r="A953" t="str">
        <f>IF(YLE成绩库!C453="","", YLE成绩库!C453)</f>
        <v/>
      </c>
      <c r="B953" t="str">
        <f>IF(YLE成绩库!AB453="","", YLE成绩库!AB453)</f>
        <v/>
      </c>
      <c r="C953" t="str">
        <f>IF(YLE成绩库!B453="","", YLE成绩库!B453)</f>
        <v/>
      </c>
      <c r="D953" t="str">
        <f>IF(YLE成绩库!D453="","", YLE成绩库!D453)</f>
        <v/>
      </c>
      <c r="E953" t="str">
        <f>IF(YLE成绩库!C453="","", YLE成绩库!L453)</f>
        <v/>
      </c>
      <c r="F953" t="str">
        <f>IF(YLE成绩库!C453="","", YLE成绩库!M453)</f>
        <v/>
      </c>
      <c r="G953" t="str">
        <f>IF(YLE成绩库!C453="","", YLE成绩库!N453)</f>
        <v/>
      </c>
      <c r="H953" t="str">
        <f>IF(YLE成绩库!C453="","", YLE成绩库!O453)</f>
        <v/>
      </c>
      <c r="I953" t="str">
        <f>IF(YLE成绩库!C453="","", YLE成绩库!P453)</f>
        <v/>
      </c>
      <c r="J953" t="str">
        <f>IF(YLE成绩库!C453="","", YLE成绩库!Q453)</f>
        <v/>
      </c>
      <c r="K953" t="str">
        <f>IF(YLE成绩库!C453="","", YLE成绩库!R453)</f>
        <v/>
      </c>
      <c r="L953" t="str">
        <f>IF(YLE成绩库!C453="","", YLE成绩库!U453)</f>
        <v/>
      </c>
      <c r="M953">
        <v>0</v>
      </c>
      <c r="N953">
        <v>0</v>
      </c>
      <c r="O953">
        <v>0</v>
      </c>
      <c r="P953" t="str">
        <f>IF(YLE成绩库!C453="","", YLE成绩库!D453)</f>
        <v/>
      </c>
      <c r="Q953" t="str">
        <f>IF(YLE成绩库!C453="","", YLE成绩库!E453)</f>
        <v/>
      </c>
      <c r="R953" t="str">
        <f>IF(YLE成绩库!C453="","", YLE成绩库!F453)</f>
        <v/>
      </c>
      <c r="S953" t="str">
        <f>IF(YLE成绩库!C453="","", YLE成绩库!G453)</f>
        <v/>
      </c>
      <c r="T953" t="str">
        <f>IF(YLE成绩库!C453="","", YLE成绩库!H453)</f>
        <v/>
      </c>
      <c r="U953" t="str">
        <f>IF(YLE成绩库!C453="","", YLE成绩库!K453)</f>
        <v/>
      </c>
      <c r="V953" t="str">
        <f>IF(YLE成绩库!C453="","", YLE成绩库!W453)</f>
        <v/>
      </c>
      <c r="W953" t="str">
        <f>IF(YLE成绩库!C453="","", YLE成绩库!X453)</f>
        <v/>
      </c>
      <c r="X953" t="str">
        <f>IF(YLE成绩库!C453="","", YLE成绩库!AA453)</f>
        <v/>
      </c>
      <c r="Z953" t="str">
        <f>IF(YLE成绩库!C453="","", YLE成绩库!Z453)</f>
        <v/>
      </c>
    </row>
    <row r="954" spans="1:26" x14ac:dyDescent="0.2">
      <c r="A954" t="str">
        <f>IF(YLE成绩库!C454="","", YLE成绩库!C454)</f>
        <v/>
      </c>
      <c r="B954" t="str">
        <f>IF(YLE成绩库!AB454="","", YLE成绩库!AB454)</f>
        <v/>
      </c>
      <c r="C954" t="str">
        <f>IF(YLE成绩库!B454="","", YLE成绩库!B454)</f>
        <v/>
      </c>
      <c r="D954" t="str">
        <f>IF(YLE成绩库!D454="","", YLE成绩库!D454)</f>
        <v/>
      </c>
      <c r="E954" t="str">
        <f>IF(YLE成绩库!C454="","", YLE成绩库!L454)</f>
        <v/>
      </c>
      <c r="F954" t="str">
        <f>IF(YLE成绩库!C454="","", YLE成绩库!M454)</f>
        <v/>
      </c>
      <c r="G954" t="str">
        <f>IF(YLE成绩库!C454="","", YLE成绩库!N454)</f>
        <v/>
      </c>
      <c r="H954" t="str">
        <f>IF(YLE成绩库!C454="","", YLE成绩库!O454)</f>
        <v/>
      </c>
      <c r="I954" t="str">
        <f>IF(YLE成绩库!C454="","", YLE成绩库!P454)</f>
        <v/>
      </c>
      <c r="J954" t="str">
        <f>IF(YLE成绩库!C454="","", YLE成绩库!Q454)</f>
        <v/>
      </c>
      <c r="K954" t="str">
        <f>IF(YLE成绩库!C454="","", YLE成绩库!R454)</f>
        <v/>
      </c>
      <c r="L954" t="str">
        <f>IF(YLE成绩库!C454="","", YLE成绩库!U454)</f>
        <v/>
      </c>
      <c r="M954">
        <v>0</v>
      </c>
      <c r="N954">
        <v>0</v>
      </c>
      <c r="O954">
        <v>0</v>
      </c>
      <c r="P954" t="str">
        <f>IF(YLE成绩库!C454="","", YLE成绩库!D454)</f>
        <v/>
      </c>
      <c r="Q954" t="str">
        <f>IF(YLE成绩库!C454="","", YLE成绩库!E454)</f>
        <v/>
      </c>
      <c r="R954" t="str">
        <f>IF(YLE成绩库!C454="","", YLE成绩库!F454)</f>
        <v/>
      </c>
      <c r="S954" t="str">
        <f>IF(YLE成绩库!C454="","", YLE成绩库!G454)</f>
        <v/>
      </c>
      <c r="T954" t="str">
        <f>IF(YLE成绩库!C454="","", YLE成绩库!H454)</f>
        <v/>
      </c>
      <c r="U954" t="str">
        <f>IF(YLE成绩库!C454="","", YLE成绩库!K454)</f>
        <v/>
      </c>
      <c r="V954" t="str">
        <f>IF(YLE成绩库!C454="","", YLE成绩库!W454)</f>
        <v/>
      </c>
      <c r="W954" t="str">
        <f>IF(YLE成绩库!C454="","", YLE成绩库!X454)</f>
        <v/>
      </c>
      <c r="X954" t="str">
        <f>IF(YLE成绩库!C454="","", YLE成绩库!AA454)</f>
        <v/>
      </c>
      <c r="Z954" t="str">
        <f>IF(YLE成绩库!C454="","", YLE成绩库!Z454)</f>
        <v/>
      </c>
    </row>
    <row r="955" spans="1:26" x14ac:dyDescent="0.2">
      <c r="A955" t="str">
        <f>IF(YLE成绩库!C455="","", YLE成绩库!C455)</f>
        <v/>
      </c>
      <c r="B955" t="str">
        <f>IF(YLE成绩库!AB455="","", YLE成绩库!AB455)</f>
        <v/>
      </c>
      <c r="C955" t="str">
        <f>IF(YLE成绩库!B455="","", YLE成绩库!B455)</f>
        <v/>
      </c>
      <c r="D955" t="str">
        <f>IF(YLE成绩库!D455="","", YLE成绩库!D455)</f>
        <v/>
      </c>
      <c r="E955" t="str">
        <f>IF(YLE成绩库!C455="","", YLE成绩库!L455)</f>
        <v/>
      </c>
      <c r="F955" t="str">
        <f>IF(YLE成绩库!C455="","", YLE成绩库!M455)</f>
        <v/>
      </c>
      <c r="G955" t="str">
        <f>IF(YLE成绩库!C455="","", YLE成绩库!N455)</f>
        <v/>
      </c>
      <c r="H955" t="str">
        <f>IF(YLE成绩库!C455="","", YLE成绩库!O455)</f>
        <v/>
      </c>
      <c r="I955" t="str">
        <f>IF(YLE成绩库!C455="","", YLE成绩库!P455)</f>
        <v/>
      </c>
      <c r="J955" t="str">
        <f>IF(YLE成绩库!C455="","", YLE成绩库!Q455)</f>
        <v/>
      </c>
      <c r="K955" t="str">
        <f>IF(YLE成绩库!C455="","", YLE成绩库!R455)</f>
        <v/>
      </c>
      <c r="L955" t="str">
        <f>IF(YLE成绩库!C455="","", YLE成绩库!U455)</f>
        <v/>
      </c>
      <c r="M955">
        <v>0</v>
      </c>
      <c r="N955">
        <v>0</v>
      </c>
      <c r="O955">
        <v>0</v>
      </c>
      <c r="P955" t="str">
        <f>IF(YLE成绩库!C455="","", YLE成绩库!D455)</f>
        <v/>
      </c>
      <c r="Q955" t="str">
        <f>IF(YLE成绩库!C455="","", YLE成绩库!E455)</f>
        <v/>
      </c>
      <c r="R955" t="str">
        <f>IF(YLE成绩库!C455="","", YLE成绩库!F455)</f>
        <v/>
      </c>
      <c r="S955" t="str">
        <f>IF(YLE成绩库!C455="","", YLE成绩库!G455)</f>
        <v/>
      </c>
      <c r="T955" t="str">
        <f>IF(YLE成绩库!C455="","", YLE成绩库!H455)</f>
        <v/>
      </c>
      <c r="U955" t="str">
        <f>IF(YLE成绩库!C455="","", YLE成绩库!K455)</f>
        <v/>
      </c>
      <c r="V955" t="str">
        <f>IF(YLE成绩库!C455="","", YLE成绩库!W455)</f>
        <v/>
      </c>
      <c r="W955" t="str">
        <f>IF(YLE成绩库!C455="","", YLE成绩库!X455)</f>
        <v/>
      </c>
      <c r="X955" t="str">
        <f>IF(YLE成绩库!C455="","", YLE成绩库!AA455)</f>
        <v/>
      </c>
      <c r="Z955" t="str">
        <f>IF(YLE成绩库!C455="","", YLE成绩库!Z455)</f>
        <v/>
      </c>
    </row>
    <row r="956" spans="1:26" x14ac:dyDescent="0.2">
      <c r="A956" t="str">
        <f>IF(YLE成绩库!C456="","", YLE成绩库!C456)</f>
        <v/>
      </c>
      <c r="B956" t="str">
        <f>IF(YLE成绩库!AB456="","", YLE成绩库!AB456)</f>
        <v/>
      </c>
      <c r="C956" t="str">
        <f>IF(YLE成绩库!B456="","", YLE成绩库!B456)</f>
        <v/>
      </c>
      <c r="D956" t="str">
        <f>IF(YLE成绩库!D456="","", YLE成绩库!D456)</f>
        <v/>
      </c>
      <c r="E956" t="str">
        <f>IF(YLE成绩库!C456="","", YLE成绩库!L456)</f>
        <v/>
      </c>
      <c r="F956" t="str">
        <f>IF(YLE成绩库!C456="","", YLE成绩库!M456)</f>
        <v/>
      </c>
      <c r="G956" t="str">
        <f>IF(YLE成绩库!C456="","", YLE成绩库!N456)</f>
        <v/>
      </c>
      <c r="H956" t="str">
        <f>IF(YLE成绩库!C456="","", YLE成绩库!O456)</f>
        <v/>
      </c>
      <c r="I956" t="str">
        <f>IF(YLE成绩库!C456="","", YLE成绩库!P456)</f>
        <v/>
      </c>
      <c r="J956" t="str">
        <f>IF(YLE成绩库!C456="","", YLE成绩库!Q456)</f>
        <v/>
      </c>
      <c r="K956" t="str">
        <f>IF(YLE成绩库!C456="","", YLE成绩库!R456)</f>
        <v/>
      </c>
      <c r="L956" t="str">
        <f>IF(YLE成绩库!C456="","", YLE成绩库!U456)</f>
        <v/>
      </c>
      <c r="M956">
        <v>0</v>
      </c>
      <c r="N956">
        <v>0</v>
      </c>
      <c r="O956">
        <v>0</v>
      </c>
      <c r="P956" t="str">
        <f>IF(YLE成绩库!C456="","", YLE成绩库!D456)</f>
        <v/>
      </c>
      <c r="Q956" t="str">
        <f>IF(YLE成绩库!C456="","", YLE成绩库!E456)</f>
        <v/>
      </c>
      <c r="R956" t="str">
        <f>IF(YLE成绩库!C456="","", YLE成绩库!F456)</f>
        <v/>
      </c>
      <c r="S956" t="str">
        <f>IF(YLE成绩库!C456="","", YLE成绩库!G456)</f>
        <v/>
      </c>
      <c r="T956" t="str">
        <f>IF(YLE成绩库!C456="","", YLE成绩库!H456)</f>
        <v/>
      </c>
      <c r="U956" t="str">
        <f>IF(YLE成绩库!C456="","", YLE成绩库!K456)</f>
        <v/>
      </c>
      <c r="V956" t="str">
        <f>IF(YLE成绩库!C456="","", YLE成绩库!W456)</f>
        <v/>
      </c>
      <c r="W956" t="str">
        <f>IF(YLE成绩库!C456="","", YLE成绩库!X456)</f>
        <v/>
      </c>
      <c r="X956" t="str">
        <f>IF(YLE成绩库!C456="","", YLE成绩库!AA456)</f>
        <v/>
      </c>
      <c r="Z956" t="str">
        <f>IF(YLE成绩库!C456="","", YLE成绩库!Z456)</f>
        <v/>
      </c>
    </row>
    <row r="957" spans="1:26" x14ac:dyDescent="0.2">
      <c r="A957" t="str">
        <f>IF(YLE成绩库!C457="","", YLE成绩库!C457)</f>
        <v/>
      </c>
      <c r="B957" t="str">
        <f>IF(YLE成绩库!AB457="","", YLE成绩库!AB457)</f>
        <v/>
      </c>
      <c r="C957" t="str">
        <f>IF(YLE成绩库!B457="","", YLE成绩库!B457)</f>
        <v/>
      </c>
      <c r="D957" t="str">
        <f>IF(YLE成绩库!D457="","", YLE成绩库!D457)</f>
        <v/>
      </c>
      <c r="E957" t="str">
        <f>IF(YLE成绩库!C457="","", YLE成绩库!L457)</f>
        <v/>
      </c>
      <c r="F957" t="str">
        <f>IF(YLE成绩库!C457="","", YLE成绩库!M457)</f>
        <v/>
      </c>
      <c r="G957" t="str">
        <f>IF(YLE成绩库!C457="","", YLE成绩库!N457)</f>
        <v/>
      </c>
      <c r="H957" t="str">
        <f>IF(YLE成绩库!C457="","", YLE成绩库!O457)</f>
        <v/>
      </c>
      <c r="I957" t="str">
        <f>IF(YLE成绩库!C457="","", YLE成绩库!P457)</f>
        <v/>
      </c>
      <c r="J957" t="str">
        <f>IF(YLE成绩库!C457="","", YLE成绩库!Q457)</f>
        <v/>
      </c>
      <c r="K957" t="str">
        <f>IF(YLE成绩库!C457="","", YLE成绩库!R457)</f>
        <v/>
      </c>
      <c r="L957" t="str">
        <f>IF(YLE成绩库!C457="","", YLE成绩库!U457)</f>
        <v/>
      </c>
      <c r="M957">
        <v>0</v>
      </c>
      <c r="N957">
        <v>0</v>
      </c>
      <c r="O957">
        <v>0</v>
      </c>
      <c r="P957" t="str">
        <f>IF(YLE成绩库!C457="","", YLE成绩库!D457)</f>
        <v/>
      </c>
      <c r="Q957" t="str">
        <f>IF(YLE成绩库!C457="","", YLE成绩库!E457)</f>
        <v/>
      </c>
      <c r="R957" t="str">
        <f>IF(YLE成绩库!C457="","", YLE成绩库!F457)</f>
        <v/>
      </c>
      <c r="S957" t="str">
        <f>IF(YLE成绩库!C457="","", YLE成绩库!G457)</f>
        <v/>
      </c>
      <c r="T957" t="str">
        <f>IF(YLE成绩库!C457="","", YLE成绩库!H457)</f>
        <v/>
      </c>
      <c r="U957" t="str">
        <f>IF(YLE成绩库!C457="","", YLE成绩库!K457)</f>
        <v/>
      </c>
      <c r="V957" t="str">
        <f>IF(YLE成绩库!C457="","", YLE成绩库!W457)</f>
        <v/>
      </c>
      <c r="W957" t="str">
        <f>IF(YLE成绩库!C457="","", YLE成绩库!X457)</f>
        <v/>
      </c>
      <c r="X957" t="str">
        <f>IF(YLE成绩库!C457="","", YLE成绩库!AA457)</f>
        <v/>
      </c>
      <c r="Z957" t="str">
        <f>IF(YLE成绩库!C457="","", YLE成绩库!Z457)</f>
        <v/>
      </c>
    </row>
    <row r="958" spans="1:26" x14ac:dyDescent="0.2">
      <c r="A958" t="str">
        <f>IF(YLE成绩库!C458="","", YLE成绩库!C458)</f>
        <v/>
      </c>
      <c r="B958" t="str">
        <f>IF(YLE成绩库!AB458="","", YLE成绩库!AB458)</f>
        <v/>
      </c>
      <c r="C958" t="str">
        <f>IF(YLE成绩库!B458="","", YLE成绩库!B458)</f>
        <v/>
      </c>
      <c r="D958" t="str">
        <f>IF(YLE成绩库!D458="","", YLE成绩库!D458)</f>
        <v/>
      </c>
      <c r="E958" t="str">
        <f>IF(YLE成绩库!C458="","", YLE成绩库!L458)</f>
        <v/>
      </c>
      <c r="F958" t="str">
        <f>IF(YLE成绩库!C458="","", YLE成绩库!M458)</f>
        <v/>
      </c>
      <c r="G958" t="str">
        <f>IF(YLE成绩库!C458="","", YLE成绩库!N458)</f>
        <v/>
      </c>
      <c r="H958" t="str">
        <f>IF(YLE成绩库!C458="","", YLE成绩库!O458)</f>
        <v/>
      </c>
      <c r="I958" t="str">
        <f>IF(YLE成绩库!C458="","", YLE成绩库!P458)</f>
        <v/>
      </c>
      <c r="J958" t="str">
        <f>IF(YLE成绩库!C458="","", YLE成绩库!Q458)</f>
        <v/>
      </c>
      <c r="K958" t="str">
        <f>IF(YLE成绩库!C458="","", YLE成绩库!R458)</f>
        <v/>
      </c>
      <c r="L958" t="str">
        <f>IF(YLE成绩库!C458="","", YLE成绩库!U458)</f>
        <v/>
      </c>
      <c r="M958">
        <v>0</v>
      </c>
      <c r="N958">
        <v>0</v>
      </c>
      <c r="O958">
        <v>0</v>
      </c>
      <c r="P958" t="str">
        <f>IF(YLE成绩库!C458="","", YLE成绩库!D458)</f>
        <v/>
      </c>
      <c r="Q958" t="str">
        <f>IF(YLE成绩库!C458="","", YLE成绩库!E458)</f>
        <v/>
      </c>
      <c r="R958" t="str">
        <f>IF(YLE成绩库!C458="","", YLE成绩库!F458)</f>
        <v/>
      </c>
      <c r="S958" t="str">
        <f>IF(YLE成绩库!C458="","", YLE成绩库!G458)</f>
        <v/>
      </c>
      <c r="T958" t="str">
        <f>IF(YLE成绩库!C458="","", YLE成绩库!H458)</f>
        <v/>
      </c>
      <c r="U958" t="str">
        <f>IF(YLE成绩库!C458="","", YLE成绩库!K458)</f>
        <v/>
      </c>
      <c r="V958" t="str">
        <f>IF(YLE成绩库!C458="","", YLE成绩库!W458)</f>
        <v/>
      </c>
      <c r="W958" t="str">
        <f>IF(YLE成绩库!C458="","", YLE成绩库!X458)</f>
        <v/>
      </c>
      <c r="X958" t="str">
        <f>IF(YLE成绩库!C458="","", YLE成绩库!AA458)</f>
        <v/>
      </c>
      <c r="Z958" t="str">
        <f>IF(YLE成绩库!C458="","", YLE成绩库!Z458)</f>
        <v/>
      </c>
    </row>
    <row r="959" spans="1:26" x14ac:dyDescent="0.2">
      <c r="A959" t="str">
        <f>IF(YLE成绩库!C459="","", YLE成绩库!C459)</f>
        <v/>
      </c>
      <c r="B959" t="str">
        <f>IF(YLE成绩库!AB459="","", YLE成绩库!AB459)</f>
        <v/>
      </c>
      <c r="C959" t="str">
        <f>IF(YLE成绩库!B459="","", YLE成绩库!B459)</f>
        <v/>
      </c>
      <c r="D959" t="str">
        <f>IF(YLE成绩库!D459="","", YLE成绩库!D459)</f>
        <v/>
      </c>
      <c r="E959" t="str">
        <f>IF(YLE成绩库!C459="","", YLE成绩库!L459)</f>
        <v/>
      </c>
      <c r="F959" t="str">
        <f>IF(YLE成绩库!C459="","", YLE成绩库!M459)</f>
        <v/>
      </c>
      <c r="G959" t="str">
        <f>IF(YLE成绩库!C459="","", YLE成绩库!N459)</f>
        <v/>
      </c>
      <c r="H959" t="str">
        <f>IF(YLE成绩库!C459="","", YLE成绩库!O459)</f>
        <v/>
      </c>
      <c r="I959" t="str">
        <f>IF(YLE成绩库!C459="","", YLE成绩库!P459)</f>
        <v/>
      </c>
      <c r="J959" t="str">
        <f>IF(YLE成绩库!C459="","", YLE成绩库!Q459)</f>
        <v/>
      </c>
      <c r="K959" t="str">
        <f>IF(YLE成绩库!C459="","", YLE成绩库!R459)</f>
        <v/>
      </c>
      <c r="L959" t="str">
        <f>IF(YLE成绩库!C459="","", YLE成绩库!U459)</f>
        <v/>
      </c>
      <c r="M959">
        <v>0</v>
      </c>
      <c r="N959">
        <v>0</v>
      </c>
      <c r="O959">
        <v>0</v>
      </c>
      <c r="P959" t="str">
        <f>IF(YLE成绩库!C459="","", YLE成绩库!D459)</f>
        <v/>
      </c>
      <c r="Q959" t="str">
        <f>IF(YLE成绩库!C459="","", YLE成绩库!E459)</f>
        <v/>
      </c>
      <c r="R959" t="str">
        <f>IF(YLE成绩库!C459="","", YLE成绩库!F459)</f>
        <v/>
      </c>
      <c r="S959" t="str">
        <f>IF(YLE成绩库!C459="","", YLE成绩库!G459)</f>
        <v/>
      </c>
      <c r="T959" t="str">
        <f>IF(YLE成绩库!C459="","", YLE成绩库!H459)</f>
        <v/>
      </c>
      <c r="U959" t="str">
        <f>IF(YLE成绩库!C459="","", YLE成绩库!K459)</f>
        <v/>
      </c>
      <c r="V959" t="str">
        <f>IF(YLE成绩库!C459="","", YLE成绩库!W459)</f>
        <v/>
      </c>
      <c r="W959" t="str">
        <f>IF(YLE成绩库!C459="","", YLE成绩库!X459)</f>
        <v/>
      </c>
      <c r="X959" t="str">
        <f>IF(YLE成绩库!C459="","", YLE成绩库!AA459)</f>
        <v/>
      </c>
      <c r="Z959" t="str">
        <f>IF(YLE成绩库!C459="","", YLE成绩库!Z459)</f>
        <v/>
      </c>
    </row>
    <row r="960" spans="1:26" x14ac:dyDescent="0.2">
      <c r="A960" t="str">
        <f>IF(YLE成绩库!C460="","", YLE成绩库!C460)</f>
        <v/>
      </c>
      <c r="B960" t="str">
        <f>IF(YLE成绩库!AB460="","", YLE成绩库!AB460)</f>
        <v/>
      </c>
      <c r="C960" t="str">
        <f>IF(YLE成绩库!B460="","", YLE成绩库!B460)</f>
        <v/>
      </c>
      <c r="D960" t="str">
        <f>IF(YLE成绩库!D460="","", YLE成绩库!D460)</f>
        <v/>
      </c>
      <c r="E960" t="str">
        <f>IF(YLE成绩库!C460="","", YLE成绩库!L460)</f>
        <v/>
      </c>
      <c r="F960" t="str">
        <f>IF(YLE成绩库!C460="","", YLE成绩库!M460)</f>
        <v/>
      </c>
      <c r="G960" t="str">
        <f>IF(YLE成绩库!C460="","", YLE成绩库!N460)</f>
        <v/>
      </c>
      <c r="H960" t="str">
        <f>IF(YLE成绩库!C460="","", YLE成绩库!O460)</f>
        <v/>
      </c>
      <c r="I960" t="str">
        <f>IF(YLE成绩库!C460="","", YLE成绩库!P460)</f>
        <v/>
      </c>
      <c r="J960" t="str">
        <f>IF(YLE成绩库!C460="","", YLE成绩库!Q460)</f>
        <v/>
      </c>
      <c r="K960" t="str">
        <f>IF(YLE成绩库!C460="","", YLE成绩库!R460)</f>
        <v/>
      </c>
      <c r="L960" t="str">
        <f>IF(YLE成绩库!C460="","", YLE成绩库!U460)</f>
        <v/>
      </c>
      <c r="M960">
        <v>0</v>
      </c>
      <c r="N960">
        <v>0</v>
      </c>
      <c r="O960">
        <v>0</v>
      </c>
      <c r="P960" t="str">
        <f>IF(YLE成绩库!C460="","", YLE成绩库!D460)</f>
        <v/>
      </c>
      <c r="Q960" t="str">
        <f>IF(YLE成绩库!C460="","", YLE成绩库!E460)</f>
        <v/>
      </c>
      <c r="R960" t="str">
        <f>IF(YLE成绩库!C460="","", YLE成绩库!F460)</f>
        <v/>
      </c>
      <c r="S960" t="str">
        <f>IF(YLE成绩库!C460="","", YLE成绩库!G460)</f>
        <v/>
      </c>
      <c r="T960" t="str">
        <f>IF(YLE成绩库!C460="","", YLE成绩库!H460)</f>
        <v/>
      </c>
      <c r="U960" t="str">
        <f>IF(YLE成绩库!C460="","", YLE成绩库!K460)</f>
        <v/>
      </c>
      <c r="V960" t="str">
        <f>IF(YLE成绩库!C460="","", YLE成绩库!W460)</f>
        <v/>
      </c>
      <c r="W960" t="str">
        <f>IF(YLE成绩库!C460="","", YLE成绩库!X460)</f>
        <v/>
      </c>
      <c r="X960" t="str">
        <f>IF(YLE成绩库!C460="","", YLE成绩库!AA460)</f>
        <v/>
      </c>
      <c r="Z960" t="str">
        <f>IF(YLE成绩库!C460="","", YLE成绩库!Z460)</f>
        <v/>
      </c>
    </row>
    <row r="961" spans="1:26" x14ac:dyDescent="0.2">
      <c r="A961" t="str">
        <f>IF(YLE成绩库!C461="","", YLE成绩库!C461)</f>
        <v/>
      </c>
      <c r="B961" t="str">
        <f>IF(YLE成绩库!AB461="","", YLE成绩库!AB461)</f>
        <v/>
      </c>
      <c r="C961" t="str">
        <f>IF(YLE成绩库!B461="","", YLE成绩库!B461)</f>
        <v/>
      </c>
      <c r="D961" t="str">
        <f>IF(YLE成绩库!D461="","", YLE成绩库!D461)</f>
        <v/>
      </c>
      <c r="E961" t="str">
        <f>IF(YLE成绩库!C461="","", YLE成绩库!L461)</f>
        <v/>
      </c>
      <c r="F961" t="str">
        <f>IF(YLE成绩库!C461="","", YLE成绩库!M461)</f>
        <v/>
      </c>
      <c r="G961" t="str">
        <f>IF(YLE成绩库!C461="","", YLE成绩库!N461)</f>
        <v/>
      </c>
      <c r="H961" t="str">
        <f>IF(YLE成绩库!C461="","", YLE成绩库!O461)</f>
        <v/>
      </c>
      <c r="I961" t="str">
        <f>IF(YLE成绩库!C461="","", YLE成绩库!P461)</f>
        <v/>
      </c>
      <c r="J961" t="str">
        <f>IF(YLE成绩库!C461="","", YLE成绩库!Q461)</f>
        <v/>
      </c>
      <c r="K961" t="str">
        <f>IF(YLE成绩库!C461="","", YLE成绩库!R461)</f>
        <v/>
      </c>
      <c r="L961" t="str">
        <f>IF(YLE成绩库!C461="","", YLE成绩库!U461)</f>
        <v/>
      </c>
      <c r="M961">
        <v>0</v>
      </c>
      <c r="N961">
        <v>0</v>
      </c>
      <c r="O961">
        <v>0</v>
      </c>
      <c r="P961" t="str">
        <f>IF(YLE成绩库!C461="","", YLE成绩库!D461)</f>
        <v/>
      </c>
      <c r="Q961" t="str">
        <f>IF(YLE成绩库!C461="","", YLE成绩库!E461)</f>
        <v/>
      </c>
      <c r="R961" t="str">
        <f>IF(YLE成绩库!C461="","", YLE成绩库!F461)</f>
        <v/>
      </c>
      <c r="S961" t="str">
        <f>IF(YLE成绩库!C461="","", YLE成绩库!G461)</f>
        <v/>
      </c>
      <c r="T961" t="str">
        <f>IF(YLE成绩库!C461="","", YLE成绩库!H461)</f>
        <v/>
      </c>
      <c r="U961" t="str">
        <f>IF(YLE成绩库!C461="","", YLE成绩库!K461)</f>
        <v/>
      </c>
      <c r="V961" t="str">
        <f>IF(YLE成绩库!C461="","", YLE成绩库!W461)</f>
        <v/>
      </c>
      <c r="W961" t="str">
        <f>IF(YLE成绩库!C461="","", YLE成绩库!X461)</f>
        <v/>
      </c>
      <c r="X961" t="str">
        <f>IF(YLE成绩库!C461="","", YLE成绩库!AA461)</f>
        <v/>
      </c>
      <c r="Z961" t="str">
        <f>IF(YLE成绩库!C461="","", YLE成绩库!Z461)</f>
        <v/>
      </c>
    </row>
    <row r="962" spans="1:26" x14ac:dyDescent="0.2">
      <c r="A962" t="str">
        <f>IF(YLE成绩库!C462="","", YLE成绩库!C462)</f>
        <v/>
      </c>
      <c r="B962" t="str">
        <f>IF(YLE成绩库!AB462="","", YLE成绩库!AB462)</f>
        <v/>
      </c>
      <c r="C962" t="str">
        <f>IF(YLE成绩库!B462="","", YLE成绩库!B462)</f>
        <v/>
      </c>
      <c r="D962" t="str">
        <f>IF(YLE成绩库!D462="","", YLE成绩库!D462)</f>
        <v/>
      </c>
      <c r="E962" t="str">
        <f>IF(YLE成绩库!C462="","", YLE成绩库!L462)</f>
        <v/>
      </c>
      <c r="F962" t="str">
        <f>IF(YLE成绩库!C462="","", YLE成绩库!M462)</f>
        <v/>
      </c>
      <c r="G962" t="str">
        <f>IF(YLE成绩库!C462="","", YLE成绩库!N462)</f>
        <v/>
      </c>
      <c r="H962" t="str">
        <f>IF(YLE成绩库!C462="","", YLE成绩库!O462)</f>
        <v/>
      </c>
      <c r="I962" t="str">
        <f>IF(YLE成绩库!C462="","", YLE成绩库!P462)</f>
        <v/>
      </c>
      <c r="J962" t="str">
        <f>IF(YLE成绩库!C462="","", YLE成绩库!Q462)</f>
        <v/>
      </c>
      <c r="K962" t="str">
        <f>IF(YLE成绩库!C462="","", YLE成绩库!R462)</f>
        <v/>
      </c>
      <c r="L962" t="str">
        <f>IF(YLE成绩库!C462="","", YLE成绩库!U462)</f>
        <v/>
      </c>
      <c r="M962">
        <v>0</v>
      </c>
      <c r="N962">
        <v>0</v>
      </c>
      <c r="O962">
        <v>0</v>
      </c>
      <c r="P962" t="str">
        <f>IF(YLE成绩库!C462="","", YLE成绩库!D462)</f>
        <v/>
      </c>
      <c r="Q962" t="str">
        <f>IF(YLE成绩库!C462="","", YLE成绩库!E462)</f>
        <v/>
      </c>
      <c r="R962" t="str">
        <f>IF(YLE成绩库!C462="","", YLE成绩库!F462)</f>
        <v/>
      </c>
      <c r="S962" t="str">
        <f>IF(YLE成绩库!C462="","", YLE成绩库!G462)</f>
        <v/>
      </c>
      <c r="T962" t="str">
        <f>IF(YLE成绩库!C462="","", YLE成绩库!H462)</f>
        <v/>
      </c>
      <c r="U962" t="str">
        <f>IF(YLE成绩库!C462="","", YLE成绩库!K462)</f>
        <v/>
      </c>
      <c r="V962" t="str">
        <f>IF(YLE成绩库!C462="","", YLE成绩库!W462)</f>
        <v/>
      </c>
      <c r="W962" t="str">
        <f>IF(YLE成绩库!C462="","", YLE成绩库!X462)</f>
        <v/>
      </c>
      <c r="X962" t="str">
        <f>IF(YLE成绩库!C462="","", YLE成绩库!AA462)</f>
        <v/>
      </c>
      <c r="Z962" t="str">
        <f>IF(YLE成绩库!C462="","", YLE成绩库!Z462)</f>
        <v/>
      </c>
    </row>
    <row r="963" spans="1:26" x14ac:dyDescent="0.2">
      <c r="A963" t="str">
        <f>IF(YLE成绩库!C463="","", YLE成绩库!C463)</f>
        <v/>
      </c>
      <c r="B963" t="str">
        <f>IF(YLE成绩库!AB463="","", YLE成绩库!AB463)</f>
        <v/>
      </c>
      <c r="C963" t="str">
        <f>IF(YLE成绩库!B463="","", YLE成绩库!B463)</f>
        <v/>
      </c>
      <c r="D963" t="str">
        <f>IF(YLE成绩库!D463="","", YLE成绩库!D463)</f>
        <v/>
      </c>
      <c r="E963" t="str">
        <f>IF(YLE成绩库!C463="","", YLE成绩库!L463)</f>
        <v/>
      </c>
      <c r="F963" t="str">
        <f>IF(YLE成绩库!C463="","", YLE成绩库!M463)</f>
        <v/>
      </c>
      <c r="G963" t="str">
        <f>IF(YLE成绩库!C463="","", YLE成绩库!N463)</f>
        <v/>
      </c>
      <c r="H963" t="str">
        <f>IF(YLE成绩库!C463="","", YLE成绩库!O463)</f>
        <v/>
      </c>
      <c r="I963" t="str">
        <f>IF(YLE成绩库!C463="","", YLE成绩库!P463)</f>
        <v/>
      </c>
      <c r="J963" t="str">
        <f>IF(YLE成绩库!C463="","", YLE成绩库!Q463)</f>
        <v/>
      </c>
      <c r="K963" t="str">
        <f>IF(YLE成绩库!C463="","", YLE成绩库!R463)</f>
        <v/>
      </c>
      <c r="L963" t="str">
        <f>IF(YLE成绩库!C463="","", YLE成绩库!U463)</f>
        <v/>
      </c>
      <c r="M963">
        <v>0</v>
      </c>
      <c r="N963">
        <v>0</v>
      </c>
      <c r="O963">
        <v>0</v>
      </c>
      <c r="P963" t="str">
        <f>IF(YLE成绩库!C463="","", YLE成绩库!D463)</f>
        <v/>
      </c>
      <c r="Q963" t="str">
        <f>IF(YLE成绩库!C463="","", YLE成绩库!E463)</f>
        <v/>
      </c>
      <c r="R963" t="str">
        <f>IF(YLE成绩库!C463="","", YLE成绩库!F463)</f>
        <v/>
      </c>
      <c r="S963" t="str">
        <f>IF(YLE成绩库!C463="","", YLE成绩库!G463)</f>
        <v/>
      </c>
      <c r="T963" t="str">
        <f>IF(YLE成绩库!C463="","", YLE成绩库!H463)</f>
        <v/>
      </c>
      <c r="U963" t="str">
        <f>IF(YLE成绩库!C463="","", YLE成绩库!K463)</f>
        <v/>
      </c>
      <c r="V963" t="str">
        <f>IF(YLE成绩库!C463="","", YLE成绩库!W463)</f>
        <v/>
      </c>
      <c r="W963" t="str">
        <f>IF(YLE成绩库!C463="","", YLE成绩库!X463)</f>
        <v/>
      </c>
      <c r="X963" t="str">
        <f>IF(YLE成绩库!C463="","", YLE成绩库!AA463)</f>
        <v/>
      </c>
      <c r="Z963" t="str">
        <f>IF(YLE成绩库!C463="","", YLE成绩库!Z463)</f>
        <v/>
      </c>
    </row>
    <row r="964" spans="1:26" x14ac:dyDescent="0.2">
      <c r="A964" t="str">
        <f>IF(YLE成绩库!C464="","", YLE成绩库!C464)</f>
        <v/>
      </c>
      <c r="B964" t="str">
        <f>IF(YLE成绩库!AB464="","", YLE成绩库!AB464)</f>
        <v/>
      </c>
      <c r="C964" t="str">
        <f>IF(YLE成绩库!B464="","", YLE成绩库!B464)</f>
        <v/>
      </c>
      <c r="D964" t="str">
        <f>IF(YLE成绩库!D464="","", YLE成绩库!D464)</f>
        <v/>
      </c>
      <c r="E964" t="str">
        <f>IF(YLE成绩库!C464="","", YLE成绩库!L464)</f>
        <v/>
      </c>
      <c r="F964" t="str">
        <f>IF(YLE成绩库!C464="","", YLE成绩库!M464)</f>
        <v/>
      </c>
      <c r="G964" t="str">
        <f>IF(YLE成绩库!C464="","", YLE成绩库!N464)</f>
        <v/>
      </c>
      <c r="H964" t="str">
        <f>IF(YLE成绩库!C464="","", YLE成绩库!O464)</f>
        <v/>
      </c>
      <c r="I964" t="str">
        <f>IF(YLE成绩库!C464="","", YLE成绩库!P464)</f>
        <v/>
      </c>
      <c r="J964" t="str">
        <f>IF(YLE成绩库!C464="","", YLE成绩库!Q464)</f>
        <v/>
      </c>
      <c r="K964" t="str">
        <f>IF(YLE成绩库!C464="","", YLE成绩库!R464)</f>
        <v/>
      </c>
      <c r="L964" t="str">
        <f>IF(YLE成绩库!C464="","", YLE成绩库!U464)</f>
        <v/>
      </c>
      <c r="M964">
        <v>0</v>
      </c>
      <c r="N964">
        <v>0</v>
      </c>
      <c r="O964">
        <v>0</v>
      </c>
      <c r="P964" t="str">
        <f>IF(YLE成绩库!C464="","", YLE成绩库!D464)</f>
        <v/>
      </c>
      <c r="Q964" t="str">
        <f>IF(YLE成绩库!C464="","", YLE成绩库!E464)</f>
        <v/>
      </c>
      <c r="R964" t="str">
        <f>IF(YLE成绩库!C464="","", YLE成绩库!F464)</f>
        <v/>
      </c>
      <c r="S964" t="str">
        <f>IF(YLE成绩库!C464="","", YLE成绩库!G464)</f>
        <v/>
      </c>
      <c r="T964" t="str">
        <f>IF(YLE成绩库!C464="","", YLE成绩库!H464)</f>
        <v/>
      </c>
      <c r="U964" t="str">
        <f>IF(YLE成绩库!C464="","", YLE成绩库!K464)</f>
        <v/>
      </c>
      <c r="V964" t="str">
        <f>IF(YLE成绩库!C464="","", YLE成绩库!W464)</f>
        <v/>
      </c>
      <c r="W964" t="str">
        <f>IF(YLE成绩库!C464="","", YLE成绩库!X464)</f>
        <v/>
      </c>
      <c r="X964" t="str">
        <f>IF(YLE成绩库!C464="","", YLE成绩库!AA464)</f>
        <v/>
      </c>
      <c r="Z964" t="str">
        <f>IF(YLE成绩库!C464="","", YLE成绩库!Z464)</f>
        <v/>
      </c>
    </row>
    <row r="965" spans="1:26" x14ac:dyDescent="0.2">
      <c r="A965" t="str">
        <f>IF(YLE成绩库!C465="","", YLE成绩库!C465)</f>
        <v/>
      </c>
      <c r="B965" t="str">
        <f>IF(YLE成绩库!AB465="","", YLE成绩库!AB465)</f>
        <v/>
      </c>
      <c r="C965" t="str">
        <f>IF(YLE成绩库!B465="","", YLE成绩库!B465)</f>
        <v/>
      </c>
      <c r="D965" t="str">
        <f>IF(YLE成绩库!D465="","", YLE成绩库!D465)</f>
        <v/>
      </c>
      <c r="E965" t="str">
        <f>IF(YLE成绩库!C465="","", YLE成绩库!L465)</f>
        <v/>
      </c>
      <c r="F965" t="str">
        <f>IF(YLE成绩库!C465="","", YLE成绩库!M465)</f>
        <v/>
      </c>
      <c r="G965" t="str">
        <f>IF(YLE成绩库!C465="","", YLE成绩库!N465)</f>
        <v/>
      </c>
      <c r="H965" t="str">
        <f>IF(YLE成绩库!C465="","", YLE成绩库!O465)</f>
        <v/>
      </c>
      <c r="I965" t="str">
        <f>IF(YLE成绩库!C465="","", YLE成绩库!P465)</f>
        <v/>
      </c>
      <c r="J965" t="str">
        <f>IF(YLE成绩库!C465="","", YLE成绩库!Q465)</f>
        <v/>
      </c>
      <c r="K965" t="str">
        <f>IF(YLE成绩库!C465="","", YLE成绩库!R465)</f>
        <v/>
      </c>
      <c r="L965" t="str">
        <f>IF(YLE成绩库!C465="","", YLE成绩库!U465)</f>
        <v/>
      </c>
      <c r="M965">
        <v>0</v>
      </c>
      <c r="N965">
        <v>0</v>
      </c>
      <c r="O965">
        <v>0</v>
      </c>
      <c r="P965" t="str">
        <f>IF(YLE成绩库!C465="","", YLE成绩库!D465)</f>
        <v/>
      </c>
      <c r="Q965" t="str">
        <f>IF(YLE成绩库!C465="","", YLE成绩库!E465)</f>
        <v/>
      </c>
      <c r="R965" t="str">
        <f>IF(YLE成绩库!C465="","", YLE成绩库!F465)</f>
        <v/>
      </c>
      <c r="S965" t="str">
        <f>IF(YLE成绩库!C465="","", YLE成绩库!G465)</f>
        <v/>
      </c>
      <c r="T965" t="str">
        <f>IF(YLE成绩库!C465="","", YLE成绩库!H465)</f>
        <v/>
      </c>
      <c r="U965" t="str">
        <f>IF(YLE成绩库!C465="","", YLE成绩库!K465)</f>
        <v/>
      </c>
      <c r="V965" t="str">
        <f>IF(YLE成绩库!C465="","", YLE成绩库!W465)</f>
        <v/>
      </c>
      <c r="W965" t="str">
        <f>IF(YLE成绩库!C465="","", YLE成绩库!X465)</f>
        <v/>
      </c>
      <c r="X965" t="str">
        <f>IF(YLE成绩库!C465="","", YLE成绩库!AA465)</f>
        <v/>
      </c>
      <c r="Z965" t="str">
        <f>IF(YLE成绩库!C465="","", YLE成绩库!Z465)</f>
        <v/>
      </c>
    </row>
    <row r="966" spans="1:26" x14ac:dyDescent="0.2">
      <c r="A966" t="str">
        <f>IF(YLE成绩库!C466="","", YLE成绩库!C466)</f>
        <v/>
      </c>
      <c r="B966" t="str">
        <f>IF(YLE成绩库!AB466="","", YLE成绩库!AB466)</f>
        <v/>
      </c>
      <c r="C966" t="str">
        <f>IF(YLE成绩库!B466="","", YLE成绩库!B466)</f>
        <v/>
      </c>
      <c r="D966" t="str">
        <f>IF(YLE成绩库!D466="","", YLE成绩库!D466)</f>
        <v/>
      </c>
      <c r="E966" t="str">
        <f>IF(YLE成绩库!C466="","", YLE成绩库!L466)</f>
        <v/>
      </c>
      <c r="F966" t="str">
        <f>IF(YLE成绩库!C466="","", YLE成绩库!M466)</f>
        <v/>
      </c>
      <c r="G966" t="str">
        <f>IF(YLE成绩库!C466="","", YLE成绩库!N466)</f>
        <v/>
      </c>
      <c r="H966" t="str">
        <f>IF(YLE成绩库!C466="","", YLE成绩库!O466)</f>
        <v/>
      </c>
      <c r="I966" t="str">
        <f>IF(YLE成绩库!C466="","", YLE成绩库!P466)</f>
        <v/>
      </c>
      <c r="J966" t="str">
        <f>IF(YLE成绩库!C466="","", YLE成绩库!Q466)</f>
        <v/>
      </c>
      <c r="K966" t="str">
        <f>IF(YLE成绩库!C466="","", YLE成绩库!R466)</f>
        <v/>
      </c>
      <c r="L966" t="str">
        <f>IF(YLE成绩库!C466="","", YLE成绩库!U466)</f>
        <v/>
      </c>
      <c r="M966">
        <v>0</v>
      </c>
      <c r="N966">
        <v>0</v>
      </c>
      <c r="O966">
        <v>0</v>
      </c>
      <c r="P966" t="str">
        <f>IF(YLE成绩库!C466="","", YLE成绩库!D466)</f>
        <v/>
      </c>
      <c r="Q966" t="str">
        <f>IF(YLE成绩库!C466="","", YLE成绩库!E466)</f>
        <v/>
      </c>
      <c r="R966" t="str">
        <f>IF(YLE成绩库!C466="","", YLE成绩库!F466)</f>
        <v/>
      </c>
      <c r="S966" t="str">
        <f>IF(YLE成绩库!C466="","", YLE成绩库!G466)</f>
        <v/>
      </c>
      <c r="T966" t="str">
        <f>IF(YLE成绩库!C466="","", YLE成绩库!H466)</f>
        <v/>
      </c>
      <c r="U966" t="str">
        <f>IF(YLE成绩库!C466="","", YLE成绩库!K466)</f>
        <v/>
      </c>
      <c r="V966" t="str">
        <f>IF(YLE成绩库!C466="","", YLE成绩库!W466)</f>
        <v/>
      </c>
      <c r="W966" t="str">
        <f>IF(YLE成绩库!C466="","", YLE成绩库!X466)</f>
        <v/>
      </c>
      <c r="X966" t="str">
        <f>IF(YLE成绩库!C466="","", YLE成绩库!AA466)</f>
        <v/>
      </c>
      <c r="Z966" t="str">
        <f>IF(YLE成绩库!C466="","", YLE成绩库!Z466)</f>
        <v/>
      </c>
    </row>
    <row r="967" spans="1:26" x14ac:dyDescent="0.2">
      <c r="A967" t="str">
        <f>IF(YLE成绩库!C467="","", YLE成绩库!C467)</f>
        <v/>
      </c>
      <c r="B967" t="str">
        <f>IF(YLE成绩库!AB467="","", YLE成绩库!AB467)</f>
        <v/>
      </c>
      <c r="C967" t="str">
        <f>IF(YLE成绩库!B467="","", YLE成绩库!B467)</f>
        <v/>
      </c>
      <c r="D967" t="str">
        <f>IF(YLE成绩库!D467="","", YLE成绩库!D467)</f>
        <v/>
      </c>
      <c r="E967" t="str">
        <f>IF(YLE成绩库!C467="","", YLE成绩库!L467)</f>
        <v/>
      </c>
      <c r="F967" t="str">
        <f>IF(YLE成绩库!C467="","", YLE成绩库!M467)</f>
        <v/>
      </c>
      <c r="G967" t="str">
        <f>IF(YLE成绩库!C467="","", YLE成绩库!N467)</f>
        <v/>
      </c>
      <c r="H967" t="str">
        <f>IF(YLE成绩库!C467="","", YLE成绩库!O467)</f>
        <v/>
      </c>
      <c r="I967" t="str">
        <f>IF(YLE成绩库!C467="","", YLE成绩库!P467)</f>
        <v/>
      </c>
      <c r="J967" t="str">
        <f>IF(YLE成绩库!C467="","", YLE成绩库!Q467)</f>
        <v/>
      </c>
      <c r="K967" t="str">
        <f>IF(YLE成绩库!C467="","", YLE成绩库!R467)</f>
        <v/>
      </c>
      <c r="L967" t="str">
        <f>IF(YLE成绩库!C467="","", YLE成绩库!U467)</f>
        <v/>
      </c>
      <c r="M967">
        <v>0</v>
      </c>
      <c r="N967">
        <v>0</v>
      </c>
      <c r="O967">
        <v>0</v>
      </c>
      <c r="P967" t="str">
        <f>IF(YLE成绩库!C467="","", YLE成绩库!D467)</f>
        <v/>
      </c>
      <c r="Q967" t="str">
        <f>IF(YLE成绩库!C467="","", YLE成绩库!E467)</f>
        <v/>
      </c>
      <c r="R967" t="str">
        <f>IF(YLE成绩库!C467="","", YLE成绩库!F467)</f>
        <v/>
      </c>
      <c r="S967" t="str">
        <f>IF(YLE成绩库!C467="","", YLE成绩库!G467)</f>
        <v/>
      </c>
      <c r="T967" t="str">
        <f>IF(YLE成绩库!C467="","", YLE成绩库!H467)</f>
        <v/>
      </c>
      <c r="U967" t="str">
        <f>IF(YLE成绩库!C467="","", YLE成绩库!K467)</f>
        <v/>
      </c>
      <c r="V967" t="str">
        <f>IF(YLE成绩库!C467="","", YLE成绩库!W467)</f>
        <v/>
      </c>
      <c r="W967" t="str">
        <f>IF(YLE成绩库!C467="","", YLE成绩库!X467)</f>
        <v/>
      </c>
      <c r="X967" t="str">
        <f>IF(YLE成绩库!C467="","", YLE成绩库!AA467)</f>
        <v/>
      </c>
      <c r="Z967" t="str">
        <f>IF(YLE成绩库!C467="","", YLE成绩库!Z467)</f>
        <v/>
      </c>
    </row>
    <row r="968" spans="1:26" x14ac:dyDescent="0.2">
      <c r="A968" t="str">
        <f>IF(YLE成绩库!C468="","", YLE成绩库!C468)</f>
        <v/>
      </c>
      <c r="B968" t="str">
        <f>IF(YLE成绩库!AB468="","", YLE成绩库!AB468)</f>
        <v/>
      </c>
      <c r="C968" t="str">
        <f>IF(YLE成绩库!B468="","", YLE成绩库!B468)</f>
        <v/>
      </c>
      <c r="D968" t="str">
        <f>IF(YLE成绩库!D468="","", YLE成绩库!D468)</f>
        <v/>
      </c>
      <c r="E968" t="str">
        <f>IF(YLE成绩库!C468="","", YLE成绩库!L468)</f>
        <v/>
      </c>
      <c r="F968" t="str">
        <f>IF(YLE成绩库!C468="","", YLE成绩库!M468)</f>
        <v/>
      </c>
      <c r="G968" t="str">
        <f>IF(YLE成绩库!C468="","", YLE成绩库!N468)</f>
        <v/>
      </c>
      <c r="H968" t="str">
        <f>IF(YLE成绩库!C468="","", YLE成绩库!O468)</f>
        <v/>
      </c>
      <c r="I968" t="str">
        <f>IF(YLE成绩库!C468="","", YLE成绩库!P468)</f>
        <v/>
      </c>
      <c r="J968" t="str">
        <f>IF(YLE成绩库!C468="","", YLE成绩库!Q468)</f>
        <v/>
      </c>
      <c r="K968" t="str">
        <f>IF(YLE成绩库!C468="","", YLE成绩库!R468)</f>
        <v/>
      </c>
      <c r="L968" t="str">
        <f>IF(YLE成绩库!C468="","", YLE成绩库!U468)</f>
        <v/>
      </c>
      <c r="M968">
        <v>0</v>
      </c>
      <c r="N968">
        <v>0</v>
      </c>
      <c r="O968">
        <v>0</v>
      </c>
      <c r="P968" t="str">
        <f>IF(YLE成绩库!C468="","", YLE成绩库!D468)</f>
        <v/>
      </c>
      <c r="Q968" t="str">
        <f>IF(YLE成绩库!C468="","", YLE成绩库!E468)</f>
        <v/>
      </c>
      <c r="R968" t="str">
        <f>IF(YLE成绩库!C468="","", YLE成绩库!F468)</f>
        <v/>
      </c>
      <c r="S968" t="str">
        <f>IF(YLE成绩库!C468="","", YLE成绩库!G468)</f>
        <v/>
      </c>
      <c r="T968" t="str">
        <f>IF(YLE成绩库!C468="","", YLE成绩库!H468)</f>
        <v/>
      </c>
      <c r="U968" t="str">
        <f>IF(YLE成绩库!C468="","", YLE成绩库!K468)</f>
        <v/>
      </c>
      <c r="V968" t="str">
        <f>IF(YLE成绩库!C468="","", YLE成绩库!W468)</f>
        <v/>
      </c>
      <c r="W968" t="str">
        <f>IF(YLE成绩库!C468="","", YLE成绩库!X468)</f>
        <v/>
      </c>
      <c r="X968" t="str">
        <f>IF(YLE成绩库!C468="","", YLE成绩库!AA468)</f>
        <v/>
      </c>
      <c r="Z968" t="str">
        <f>IF(YLE成绩库!C468="","", YLE成绩库!Z468)</f>
        <v/>
      </c>
    </row>
    <row r="969" spans="1:26" x14ac:dyDescent="0.2">
      <c r="A969" t="str">
        <f>IF(YLE成绩库!C469="","", YLE成绩库!C469)</f>
        <v/>
      </c>
      <c r="B969" t="str">
        <f>IF(YLE成绩库!AB469="","", YLE成绩库!AB469)</f>
        <v/>
      </c>
      <c r="C969" t="str">
        <f>IF(YLE成绩库!B469="","", YLE成绩库!B469)</f>
        <v/>
      </c>
      <c r="D969" t="str">
        <f>IF(YLE成绩库!D469="","", YLE成绩库!D469)</f>
        <v/>
      </c>
      <c r="E969" t="str">
        <f>IF(YLE成绩库!C469="","", YLE成绩库!L469)</f>
        <v/>
      </c>
      <c r="F969" t="str">
        <f>IF(YLE成绩库!C469="","", YLE成绩库!M469)</f>
        <v/>
      </c>
      <c r="G969" t="str">
        <f>IF(YLE成绩库!C469="","", YLE成绩库!N469)</f>
        <v/>
      </c>
      <c r="H969" t="str">
        <f>IF(YLE成绩库!C469="","", YLE成绩库!O469)</f>
        <v/>
      </c>
      <c r="I969" t="str">
        <f>IF(YLE成绩库!C469="","", YLE成绩库!P469)</f>
        <v/>
      </c>
      <c r="J969" t="str">
        <f>IF(YLE成绩库!C469="","", YLE成绩库!Q469)</f>
        <v/>
      </c>
      <c r="K969" t="str">
        <f>IF(YLE成绩库!C469="","", YLE成绩库!R469)</f>
        <v/>
      </c>
      <c r="L969" t="str">
        <f>IF(YLE成绩库!C469="","", YLE成绩库!U469)</f>
        <v/>
      </c>
      <c r="M969">
        <v>0</v>
      </c>
      <c r="N969">
        <v>0</v>
      </c>
      <c r="O969">
        <v>0</v>
      </c>
      <c r="P969" t="str">
        <f>IF(YLE成绩库!C469="","", YLE成绩库!D469)</f>
        <v/>
      </c>
      <c r="Q969" t="str">
        <f>IF(YLE成绩库!C469="","", YLE成绩库!E469)</f>
        <v/>
      </c>
      <c r="R969" t="str">
        <f>IF(YLE成绩库!C469="","", YLE成绩库!F469)</f>
        <v/>
      </c>
      <c r="S969" t="str">
        <f>IF(YLE成绩库!C469="","", YLE成绩库!G469)</f>
        <v/>
      </c>
      <c r="T969" t="str">
        <f>IF(YLE成绩库!C469="","", YLE成绩库!H469)</f>
        <v/>
      </c>
      <c r="U969" t="str">
        <f>IF(YLE成绩库!C469="","", YLE成绩库!K469)</f>
        <v/>
      </c>
      <c r="V969" t="str">
        <f>IF(YLE成绩库!C469="","", YLE成绩库!W469)</f>
        <v/>
      </c>
      <c r="W969" t="str">
        <f>IF(YLE成绩库!C469="","", YLE成绩库!X469)</f>
        <v/>
      </c>
      <c r="X969" t="str">
        <f>IF(YLE成绩库!C469="","", YLE成绩库!AA469)</f>
        <v/>
      </c>
      <c r="Z969" t="str">
        <f>IF(YLE成绩库!C469="","", YLE成绩库!Z469)</f>
        <v/>
      </c>
    </row>
    <row r="970" spans="1:26" x14ac:dyDescent="0.2">
      <c r="A970" t="str">
        <f>IF(YLE成绩库!C470="","", YLE成绩库!C470)</f>
        <v/>
      </c>
      <c r="B970" t="str">
        <f>IF(YLE成绩库!AB470="","", YLE成绩库!AB470)</f>
        <v/>
      </c>
      <c r="C970" t="str">
        <f>IF(YLE成绩库!B470="","", YLE成绩库!B470)</f>
        <v/>
      </c>
      <c r="D970" t="str">
        <f>IF(YLE成绩库!D470="","", YLE成绩库!D470)</f>
        <v/>
      </c>
      <c r="E970" t="str">
        <f>IF(YLE成绩库!C470="","", YLE成绩库!L470)</f>
        <v/>
      </c>
      <c r="F970" t="str">
        <f>IF(YLE成绩库!C470="","", YLE成绩库!M470)</f>
        <v/>
      </c>
      <c r="G970" t="str">
        <f>IF(YLE成绩库!C470="","", YLE成绩库!N470)</f>
        <v/>
      </c>
      <c r="H970" t="str">
        <f>IF(YLE成绩库!C470="","", YLE成绩库!O470)</f>
        <v/>
      </c>
      <c r="I970" t="str">
        <f>IF(YLE成绩库!C470="","", YLE成绩库!P470)</f>
        <v/>
      </c>
      <c r="J970" t="str">
        <f>IF(YLE成绩库!C470="","", YLE成绩库!Q470)</f>
        <v/>
      </c>
      <c r="K970" t="str">
        <f>IF(YLE成绩库!C470="","", YLE成绩库!R470)</f>
        <v/>
      </c>
      <c r="L970" t="str">
        <f>IF(YLE成绩库!C470="","", YLE成绩库!U470)</f>
        <v/>
      </c>
      <c r="M970">
        <v>0</v>
      </c>
      <c r="N970">
        <v>0</v>
      </c>
      <c r="O970">
        <v>0</v>
      </c>
      <c r="P970" t="str">
        <f>IF(YLE成绩库!C470="","", YLE成绩库!D470)</f>
        <v/>
      </c>
      <c r="Q970" t="str">
        <f>IF(YLE成绩库!C470="","", YLE成绩库!E470)</f>
        <v/>
      </c>
      <c r="R970" t="str">
        <f>IF(YLE成绩库!C470="","", YLE成绩库!F470)</f>
        <v/>
      </c>
      <c r="S970" t="str">
        <f>IF(YLE成绩库!C470="","", YLE成绩库!G470)</f>
        <v/>
      </c>
      <c r="T970" t="str">
        <f>IF(YLE成绩库!C470="","", YLE成绩库!H470)</f>
        <v/>
      </c>
      <c r="U970" t="str">
        <f>IF(YLE成绩库!C470="","", YLE成绩库!K470)</f>
        <v/>
      </c>
      <c r="V970" t="str">
        <f>IF(YLE成绩库!C470="","", YLE成绩库!W470)</f>
        <v/>
      </c>
      <c r="W970" t="str">
        <f>IF(YLE成绩库!C470="","", YLE成绩库!X470)</f>
        <v/>
      </c>
      <c r="X970" t="str">
        <f>IF(YLE成绩库!C470="","", YLE成绩库!AA470)</f>
        <v/>
      </c>
      <c r="Z970" t="str">
        <f>IF(YLE成绩库!C470="","", YLE成绩库!Z470)</f>
        <v/>
      </c>
    </row>
    <row r="971" spans="1:26" x14ac:dyDescent="0.2">
      <c r="A971" t="str">
        <f>IF(YLE成绩库!C471="","", YLE成绩库!C471)</f>
        <v/>
      </c>
      <c r="B971" t="str">
        <f>IF(YLE成绩库!AB471="","", YLE成绩库!AB471)</f>
        <v/>
      </c>
      <c r="C971" t="str">
        <f>IF(YLE成绩库!B471="","", YLE成绩库!B471)</f>
        <v/>
      </c>
      <c r="D971" t="str">
        <f>IF(YLE成绩库!D471="","", YLE成绩库!D471)</f>
        <v/>
      </c>
      <c r="E971" t="str">
        <f>IF(YLE成绩库!C471="","", YLE成绩库!L471)</f>
        <v/>
      </c>
      <c r="F971" t="str">
        <f>IF(YLE成绩库!C471="","", YLE成绩库!M471)</f>
        <v/>
      </c>
      <c r="G971" t="str">
        <f>IF(YLE成绩库!C471="","", YLE成绩库!N471)</f>
        <v/>
      </c>
      <c r="H971" t="str">
        <f>IF(YLE成绩库!C471="","", YLE成绩库!O471)</f>
        <v/>
      </c>
      <c r="I971" t="str">
        <f>IF(YLE成绩库!C471="","", YLE成绩库!P471)</f>
        <v/>
      </c>
      <c r="J971" t="str">
        <f>IF(YLE成绩库!C471="","", YLE成绩库!Q471)</f>
        <v/>
      </c>
      <c r="K971" t="str">
        <f>IF(YLE成绩库!C471="","", YLE成绩库!R471)</f>
        <v/>
      </c>
      <c r="L971" t="str">
        <f>IF(YLE成绩库!C471="","", YLE成绩库!U471)</f>
        <v/>
      </c>
      <c r="M971">
        <v>0</v>
      </c>
      <c r="N971">
        <v>0</v>
      </c>
      <c r="O971">
        <v>0</v>
      </c>
      <c r="P971" t="str">
        <f>IF(YLE成绩库!C471="","", YLE成绩库!D471)</f>
        <v/>
      </c>
      <c r="Q971" t="str">
        <f>IF(YLE成绩库!C471="","", YLE成绩库!E471)</f>
        <v/>
      </c>
      <c r="R971" t="str">
        <f>IF(YLE成绩库!C471="","", YLE成绩库!F471)</f>
        <v/>
      </c>
      <c r="S971" t="str">
        <f>IF(YLE成绩库!C471="","", YLE成绩库!G471)</f>
        <v/>
      </c>
      <c r="T971" t="str">
        <f>IF(YLE成绩库!C471="","", YLE成绩库!H471)</f>
        <v/>
      </c>
      <c r="U971" t="str">
        <f>IF(YLE成绩库!C471="","", YLE成绩库!K471)</f>
        <v/>
      </c>
      <c r="V971" t="str">
        <f>IF(YLE成绩库!C471="","", YLE成绩库!W471)</f>
        <v/>
      </c>
      <c r="W971" t="str">
        <f>IF(YLE成绩库!C471="","", YLE成绩库!X471)</f>
        <v/>
      </c>
      <c r="X971" t="str">
        <f>IF(YLE成绩库!C471="","", YLE成绩库!AA471)</f>
        <v/>
      </c>
      <c r="Z971" t="str">
        <f>IF(YLE成绩库!C471="","", YLE成绩库!Z471)</f>
        <v/>
      </c>
    </row>
    <row r="972" spans="1:26" x14ac:dyDescent="0.2">
      <c r="A972" t="str">
        <f>IF(YLE成绩库!C472="","", YLE成绩库!C472)</f>
        <v/>
      </c>
      <c r="B972" t="str">
        <f>IF(YLE成绩库!AB472="","", YLE成绩库!AB472)</f>
        <v/>
      </c>
      <c r="C972" t="str">
        <f>IF(YLE成绩库!B472="","", YLE成绩库!B472)</f>
        <v/>
      </c>
      <c r="D972" t="str">
        <f>IF(YLE成绩库!D472="","", YLE成绩库!D472)</f>
        <v/>
      </c>
      <c r="E972" t="str">
        <f>IF(YLE成绩库!C472="","", YLE成绩库!L472)</f>
        <v/>
      </c>
      <c r="F972" t="str">
        <f>IF(YLE成绩库!C472="","", YLE成绩库!M472)</f>
        <v/>
      </c>
      <c r="G972" t="str">
        <f>IF(YLE成绩库!C472="","", YLE成绩库!N472)</f>
        <v/>
      </c>
      <c r="H972" t="str">
        <f>IF(YLE成绩库!C472="","", YLE成绩库!O472)</f>
        <v/>
      </c>
      <c r="I972" t="str">
        <f>IF(YLE成绩库!C472="","", YLE成绩库!P472)</f>
        <v/>
      </c>
      <c r="J972" t="str">
        <f>IF(YLE成绩库!C472="","", YLE成绩库!Q472)</f>
        <v/>
      </c>
      <c r="K972" t="str">
        <f>IF(YLE成绩库!C472="","", YLE成绩库!R472)</f>
        <v/>
      </c>
      <c r="L972" t="str">
        <f>IF(YLE成绩库!C472="","", YLE成绩库!U472)</f>
        <v/>
      </c>
      <c r="M972">
        <v>0</v>
      </c>
      <c r="N972">
        <v>0</v>
      </c>
      <c r="O972">
        <v>0</v>
      </c>
      <c r="P972" t="str">
        <f>IF(YLE成绩库!C472="","", YLE成绩库!D472)</f>
        <v/>
      </c>
      <c r="Q972" t="str">
        <f>IF(YLE成绩库!C472="","", YLE成绩库!E472)</f>
        <v/>
      </c>
      <c r="R972" t="str">
        <f>IF(YLE成绩库!C472="","", YLE成绩库!F472)</f>
        <v/>
      </c>
      <c r="S972" t="str">
        <f>IF(YLE成绩库!C472="","", YLE成绩库!G472)</f>
        <v/>
      </c>
      <c r="T972" t="str">
        <f>IF(YLE成绩库!C472="","", YLE成绩库!H472)</f>
        <v/>
      </c>
      <c r="U972" t="str">
        <f>IF(YLE成绩库!C472="","", YLE成绩库!K472)</f>
        <v/>
      </c>
      <c r="V972" t="str">
        <f>IF(YLE成绩库!C472="","", YLE成绩库!W472)</f>
        <v/>
      </c>
      <c r="W972" t="str">
        <f>IF(YLE成绩库!C472="","", YLE成绩库!X472)</f>
        <v/>
      </c>
      <c r="X972" t="str">
        <f>IF(YLE成绩库!C472="","", YLE成绩库!AA472)</f>
        <v/>
      </c>
      <c r="Z972" t="str">
        <f>IF(YLE成绩库!C472="","", YLE成绩库!Z472)</f>
        <v/>
      </c>
    </row>
    <row r="973" spans="1:26" x14ac:dyDescent="0.2">
      <c r="A973" t="str">
        <f>IF(YLE成绩库!C473="","", YLE成绩库!C473)</f>
        <v/>
      </c>
      <c r="B973" t="str">
        <f>IF(YLE成绩库!AB473="","", YLE成绩库!AB473)</f>
        <v/>
      </c>
      <c r="C973" t="str">
        <f>IF(YLE成绩库!B473="","", YLE成绩库!B473)</f>
        <v/>
      </c>
      <c r="D973" t="str">
        <f>IF(YLE成绩库!D473="","", YLE成绩库!D473)</f>
        <v/>
      </c>
      <c r="E973" t="str">
        <f>IF(YLE成绩库!C473="","", YLE成绩库!L473)</f>
        <v/>
      </c>
      <c r="F973" t="str">
        <f>IF(YLE成绩库!C473="","", YLE成绩库!M473)</f>
        <v/>
      </c>
      <c r="G973" t="str">
        <f>IF(YLE成绩库!C473="","", YLE成绩库!N473)</f>
        <v/>
      </c>
      <c r="H973" t="str">
        <f>IF(YLE成绩库!C473="","", YLE成绩库!O473)</f>
        <v/>
      </c>
      <c r="I973" t="str">
        <f>IF(YLE成绩库!C473="","", YLE成绩库!P473)</f>
        <v/>
      </c>
      <c r="J973" t="str">
        <f>IF(YLE成绩库!C473="","", YLE成绩库!Q473)</f>
        <v/>
      </c>
      <c r="K973" t="str">
        <f>IF(YLE成绩库!C473="","", YLE成绩库!R473)</f>
        <v/>
      </c>
      <c r="L973" t="str">
        <f>IF(YLE成绩库!C473="","", YLE成绩库!U473)</f>
        <v/>
      </c>
      <c r="M973">
        <v>0</v>
      </c>
      <c r="N973">
        <v>0</v>
      </c>
      <c r="O973">
        <v>0</v>
      </c>
      <c r="P973" t="str">
        <f>IF(YLE成绩库!C473="","", YLE成绩库!D473)</f>
        <v/>
      </c>
      <c r="Q973" t="str">
        <f>IF(YLE成绩库!C473="","", YLE成绩库!E473)</f>
        <v/>
      </c>
      <c r="R973" t="str">
        <f>IF(YLE成绩库!C473="","", YLE成绩库!F473)</f>
        <v/>
      </c>
      <c r="S973" t="str">
        <f>IF(YLE成绩库!C473="","", YLE成绩库!G473)</f>
        <v/>
      </c>
      <c r="T973" t="str">
        <f>IF(YLE成绩库!C473="","", YLE成绩库!H473)</f>
        <v/>
      </c>
      <c r="U973" t="str">
        <f>IF(YLE成绩库!C473="","", YLE成绩库!K473)</f>
        <v/>
      </c>
      <c r="V973" t="str">
        <f>IF(YLE成绩库!C473="","", YLE成绩库!W473)</f>
        <v/>
      </c>
      <c r="W973" t="str">
        <f>IF(YLE成绩库!C473="","", YLE成绩库!X473)</f>
        <v/>
      </c>
      <c r="X973" t="str">
        <f>IF(YLE成绩库!C473="","", YLE成绩库!AA473)</f>
        <v/>
      </c>
      <c r="Z973" t="str">
        <f>IF(YLE成绩库!C473="","", YLE成绩库!Z473)</f>
        <v/>
      </c>
    </row>
    <row r="974" spans="1:26" x14ac:dyDescent="0.2">
      <c r="A974" t="str">
        <f>IF(YLE成绩库!C474="","", YLE成绩库!C474)</f>
        <v/>
      </c>
      <c r="B974" t="str">
        <f>IF(YLE成绩库!AB474="","", YLE成绩库!AB474)</f>
        <v/>
      </c>
      <c r="C974" t="str">
        <f>IF(YLE成绩库!B474="","", YLE成绩库!B474)</f>
        <v/>
      </c>
      <c r="D974" t="str">
        <f>IF(YLE成绩库!D474="","", YLE成绩库!D474)</f>
        <v/>
      </c>
      <c r="E974" t="str">
        <f>IF(YLE成绩库!C474="","", YLE成绩库!L474)</f>
        <v/>
      </c>
      <c r="F974" t="str">
        <f>IF(YLE成绩库!C474="","", YLE成绩库!M474)</f>
        <v/>
      </c>
      <c r="G974" t="str">
        <f>IF(YLE成绩库!C474="","", YLE成绩库!N474)</f>
        <v/>
      </c>
      <c r="H974" t="str">
        <f>IF(YLE成绩库!C474="","", YLE成绩库!O474)</f>
        <v/>
      </c>
      <c r="I974" t="str">
        <f>IF(YLE成绩库!C474="","", YLE成绩库!P474)</f>
        <v/>
      </c>
      <c r="J974" t="str">
        <f>IF(YLE成绩库!C474="","", YLE成绩库!Q474)</f>
        <v/>
      </c>
      <c r="K974" t="str">
        <f>IF(YLE成绩库!C474="","", YLE成绩库!R474)</f>
        <v/>
      </c>
      <c r="L974" t="str">
        <f>IF(YLE成绩库!C474="","", YLE成绩库!U474)</f>
        <v/>
      </c>
      <c r="M974">
        <v>0</v>
      </c>
      <c r="N974">
        <v>0</v>
      </c>
      <c r="O974">
        <v>0</v>
      </c>
      <c r="P974" t="str">
        <f>IF(YLE成绩库!C474="","", YLE成绩库!D474)</f>
        <v/>
      </c>
      <c r="Q974" t="str">
        <f>IF(YLE成绩库!C474="","", YLE成绩库!E474)</f>
        <v/>
      </c>
      <c r="R974" t="str">
        <f>IF(YLE成绩库!C474="","", YLE成绩库!F474)</f>
        <v/>
      </c>
      <c r="S974" t="str">
        <f>IF(YLE成绩库!C474="","", YLE成绩库!G474)</f>
        <v/>
      </c>
      <c r="T974" t="str">
        <f>IF(YLE成绩库!C474="","", YLE成绩库!H474)</f>
        <v/>
      </c>
      <c r="U974" t="str">
        <f>IF(YLE成绩库!C474="","", YLE成绩库!K474)</f>
        <v/>
      </c>
      <c r="V974" t="str">
        <f>IF(YLE成绩库!C474="","", YLE成绩库!W474)</f>
        <v/>
      </c>
      <c r="W974" t="str">
        <f>IF(YLE成绩库!C474="","", YLE成绩库!X474)</f>
        <v/>
      </c>
      <c r="X974" t="str">
        <f>IF(YLE成绩库!C474="","", YLE成绩库!AA474)</f>
        <v/>
      </c>
      <c r="Z974" t="str">
        <f>IF(YLE成绩库!C474="","", YLE成绩库!Z474)</f>
        <v/>
      </c>
    </row>
    <row r="975" spans="1:26" x14ac:dyDescent="0.2">
      <c r="A975" t="str">
        <f>IF(YLE成绩库!C475="","", YLE成绩库!C475)</f>
        <v/>
      </c>
      <c r="B975" t="str">
        <f>IF(YLE成绩库!AB475="","", YLE成绩库!AB475)</f>
        <v/>
      </c>
      <c r="C975" t="str">
        <f>IF(YLE成绩库!B475="","", YLE成绩库!B475)</f>
        <v/>
      </c>
      <c r="D975" t="str">
        <f>IF(YLE成绩库!D475="","", YLE成绩库!D475)</f>
        <v/>
      </c>
      <c r="E975" t="str">
        <f>IF(YLE成绩库!C475="","", YLE成绩库!L475)</f>
        <v/>
      </c>
      <c r="F975" t="str">
        <f>IF(YLE成绩库!C475="","", YLE成绩库!M475)</f>
        <v/>
      </c>
      <c r="G975" t="str">
        <f>IF(YLE成绩库!C475="","", YLE成绩库!N475)</f>
        <v/>
      </c>
      <c r="H975" t="str">
        <f>IF(YLE成绩库!C475="","", YLE成绩库!O475)</f>
        <v/>
      </c>
      <c r="I975" t="str">
        <f>IF(YLE成绩库!C475="","", YLE成绩库!P475)</f>
        <v/>
      </c>
      <c r="J975" t="str">
        <f>IF(YLE成绩库!C475="","", YLE成绩库!Q475)</f>
        <v/>
      </c>
      <c r="K975" t="str">
        <f>IF(YLE成绩库!C475="","", YLE成绩库!R475)</f>
        <v/>
      </c>
      <c r="L975" t="str">
        <f>IF(YLE成绩库!C475="","", YLE成绩库!U475)</f>
        <v/>
      </c>
      <c r="M975">
        <v>0</v>
      </c>
      <c r="N975">
        <v>0</v>
      </c>
      <c r="O975">
        <v>0</v>
      </c>
      <c r="P975" t="str">
        <f>IF(YLE成绩库!C475="","", YLE成绩库!D475)</f>
        <v/>
      </c>
      <c r="Q975" t="str">
        <f>IF(YLE成绩库!C475="","", YLE成绩库!E475)</f>
        <v/>
      </c>
      <c r="R975" t="str">
        <f>IF(YLE成绩库!C475="","", YLE成绩库!F475)</f>
        <v/>
      </c>
      <c r="S975" t="str">
        <f>IF(YLE成绩库!C475="","", YLE成绩库!G475)</f>
        <v/>
      </c>
      <c r="T975" t="str">
        <f>IF(YLE成绩库!C475="","", YLE成绩库!H475)</f>
        <v/>
      </c>
      <c r="U975" t="str">
        <f>IF(YLE成绩库!C475="","", YLE成绩库!K475)</f>
        <v/>
      </c>
      <c r="V975" t="str">
        <f>IF(YLE成绩库!C475="","", YLE成绩库!W475)</f>
        <v/>
      </c>
      <c r="W975" t="str">
        <f>IF(YLE成绩库!C475="","", YLE成绩库!X475)</f>
        <v/>
      </c>
      <c r="X975" t="str">
        <f>IF(YLE成绩库!C475="","", YLE成绩库!AA475)</f>
        <v/>
      </c>
      <c r="Z975" t="str">
        <f>IF(YLE成绩库!C475="","", YLE成绩库!Z475)</f>
        <v/>
      </c>
    </row>
    <row r="976" spans="1:26" x14ac:dyDescent="0.2">
      <c r="A976" t="str">
        <f>IF(YLE成绩库!C476="","", YLE成绩库!C476)</f>
        <v/>
      </c>
      <c r="B976" t="str">
        <f>IF(YLE成绩库!AB476="","", YLE成绩库!AB476)</f>
        <v/>
      </c>
      <c r="C976" t="str">
        <f>IF(YLE成绩库!B476="","", YLE成绩库!B476)</f>
        <v/>
      </c>
      <c r="D976" t="str">
        <f>IF(YLE成绩库!D476="","", YLE成绩库!D476)</f>
        <v/>
      </c>
      <c r="E976" t="str">
        <f>IF(YLE成绩库!C476="","", YLE成绩库!L476)</f>
        <v/>
      </c>
      <c r="F976" t="str">
        <f>IF(YLE成绩库!C476="","", YLE成绩库!M476)</f>
        <v/>
      </c>
      <c r="G976" t="str">
        <f>IF(YLE成绩库!C476="","", YLE成绩库!N476)</f>
        <v/>
      </c>
      <c r="H976" t="str">
        <f>IF(YLE成绩库!C476="","", YLE成绩库!O476)</f>
        <v/>
      </c>
      <c r="I976" t="str">
        <f>IF(YLE成绩库!C476="","", YLE成绩库!P476)</f>
        <v/>
      </c>
      <c r="J976" t="str">
        <f>IF(YLE成绩库!C476="","", YLE成绩库!Q476)</f>
        <v/>
      </c>
      <c r="K976" t="str">
        <f>IF(YLE成绩库!C476="","", YLE成绩库!R476)</f>
        <v/>
      </c>
      <c r="L976" t="str">
        <f>IF(YLE成绩库!C476="","", YLE成绩库!U476)</f>
        <v/>
      </c>
      <c r="M976">
        <v>0</v>
      </c>
      <c r="N976">
        <v>0</v>
      </c>
      <c r="O976">
        <v>0</v>
      </c>
      <c r="P976" t="str">
        <f>IF(YLE成绩库!C476="","", YLE成绩库!D476)</f>
        <v/>
      </c>
      <c r="Q976" t="str">
        <f>IF(YLE成绩库!C476="","", YLE成绩库!E476)</f>
        <v/>
      </c>
      <c r="R976" t="str">
        <f>IF(YLE成绩库!C476="","", YLE成绩库!F476)</f>
        <v/>
      </c>
      <c r="S976" t="str">
        <f>IF(YLE成绩库!C476="","", YLE成绩库!G476)</f>
        <v/>
      </c>
      <c r="T976" t="str">
        <f>IF(YLE成绩库!C476="","", YLE成绩库!H476)</f>
        <v/>
      </c>
      <c r="U976" t="str">
        <f>IF(YLE成绩库!C476="","", YLE成绩库!K476)</f>
        <v/>
      </c>
      <c r="V976" t="str">
        <f>IF(YLE成绩库!C476="","", YLE成绩库!W476)</f>
        <v/>
      </c>
      <c r="W976" t="str">
        <f>IF(YLE成绩库!C476="","", YLE成绩库!X476)</f>
        <v/>
      </c>
      <c r="X976" t="str">
        <f>IF(YLE成绩库!C476="","", YLE成绩库!AA476)</f>
        <v/>
      </c>
      <c r="Z976" t="str">
        <f>IF(YLE成绩库!C476="","", YLE成绩库!Z476)</f>
        <v/>
      </c>
    </row>
    <row r="977" spans="1:26" x14ac:dyDescent="0.2">
      <c r="A977" t="str">
        <f>IF(YLE成绩库!C477="","", YLE成绩库!C477)</f>
        <v/>
      </c>
      <c r="B977" t="str">
        <f>IF(YLE成绩库!AB477="","", YLE成绩库!AB477)</f>
        <v/>
      </c>
      <c r="C977" t="str">
        <f>IF(YLE成绩库!B477="","", YLE成绩库!B477)</f>
        <v/>
      </c>
      <c r="D977" t="str">
        <f>IF(YLE成绩库!D477="","", YLE成绩库!D477)</f>
        <v/>
      </c>
      <c r="E977" t="str">
        <f>IF(YLE成绩库!C477="","", YLE成绩库!L477)</f>
        <v/>
      </c>
      <c r="F977" t="str">
        <f>IF(YLE成绩库!C477="","", YLE成绩库!M477)</f>
        <v/>
      </c>
      <c r="G977" t="str">
        <f>IF(YLE成绩库!C477="","", YLE成绩库!N477)</f>
        <v/>
      </c>
      <c r="H977" t="str">
        <f>IF(YLE成绩库!C477="","", YLE成绩库!O477)</f>
        <v/>
      </c>
      <c r="I977" t="str">
        <f>IF(YLE成绩库!C477="","", YLE成绩库!P477)</f>
        <v/>
      </c>
      <c r="J977" t="str">
        <f>IF(YLE成绩库!C477="","", YLE成绩库!Q477)</f>
        <v/>
      </c>
      <c r="K977" t="str">
        <f>IF(YLE成绩库!C477="","", YLE成绩库!R477)</f>
        <v/>
      </c>
      <c r="L977" t="str">
        <f>IF(YLE成绩库!C477="","", YLE成绩库!U477)</f>
        <v/>
      </c>
      <c r="M977">
        <v>0</v>
      </c>
      <c r="N977">
        <v>0</v>
      </c>
      <c r="O977">
        <v>0</v>
      </c>
      <c r="P977" t="str">
        <f>IF(YLE成绩库!C477="","", YLE成绩库!D477)</f>
        <v/>
      </c>
      <c r="Q977" t="str">
        <f>IF(YLE成绩库!C477="","", YLE成绩库!E477)</f>
        <v/>
      </c>
      <c r="R977" t="str">
        <f>IF(YLE成绩库!C477="","", YLE成绩库!F477)</f>
        <v/>
      </c>
      <c r="S977" t="str">
        <f>IF(YLE成绩库!C477="","", YLE成绩库!G477)</f>
        <v/>
      </c>
      <c r="T977" t="str">
        <f>IF(YLE成绩库!C477="","", YLE成绩库!H477)</f>
        <v/>
      </c>
      <c r="U977" t="str">
        <f>IF(YLE成绩库!C477="","", YLE成绩库!K477)</f>
        <v/>
      </c>
      <c r="V977" t="str">
        <f>IF(YLE成绩库!C477="","", YLE成绩库!W477)</f>
        <v/>
      </c>
      <c r="W977" t="str">
        <f>IF(YLE成绩库!C477="","", YLE成绩库!X477)</f>
        <v/>
      </c>
      <c r="X977" t="str">
        <f>IF(YLE成绩库!C477="","", YLE成绩库!AA477)</f>
        <v/>
      </c>
      <c r="Z977" t="str">
        <f>IF(YLE成绩库!C477="","", YLE成绩库!Z477)</f>
        <v/>
      </c>
    </row>
    <row r="978" spans="1:26" x14ac:dyDescent="0.2">
      <c r="A978" t="str">
        <f>IF(YLE成绩库!C478="","", YLE成绩库!C478)</f>
        <v/>
      </c>
      <c r="B978" t="str">
        <f>IF(YLE成绩库!AB478="","", YLE成绩库!AB478)</f>
        <v/>
      </c>
      <c r="C978" t="str">
        <f>IF(YLE成绩库!B478="","", YLE成绩库!B478)</f>
        <v/>
      </c>
      <c r="D978" t="str">
        <f>IF(YLE成绩库!D478="","", YLE成绩库!D478)</f>
        <v/>
      </c>
      <c r="E978" t="str">
        <f>IF(YLE成绩库!C478="","", YLE成绩库!L478)</f>
        <v/>
      </c>
      <c r="F978" t="str">
        <f>IF(YLE成绩库!C478="","", YLE成绩库!M478)</f>
        <v/>
      </c>
      <c r="G978" t="str">
        <f>IF(YLE成绩库!C478="","", YLE成绩库!N478)</f>
        <v/>
      </c>
      <c r="H978" t="str">
        <f>IF(YLE成绩库!C478="","", YLE成绩库!O478)</f>
        <v/>
      </c>
      <c r="I978" t="str">
        <f>IF(YLE成绩库!C478="","", YLE成绩库!P478)</f>
        <v/>
      </c>
      <c r="J978" t="str">
        <f>IF(YLE成绩库!C478="","", YLE成绩库!Q478)</f>
        <v/>
      </c>
      <c r="K978" t="str">
        <f>IF(YLE成绩库!C478="","", YLE成绩库!R478)</f>
        <v/>
      </c>
      <c r="L978" t="str">
        <f>IF(YLE成绩库!C478="","", YLE成绩库!U478)</f>
        <v/>
      </c>
      <c r="M978">
        <v>0</v>
      </c>
      <c r="N978">
        <v>0</v>
      </c>
      <c r="O978">
        <v>0</v>
      </c>
      <c r="P978" t="str">
        <f>IF(YLE成绩库!C478="","", YLE成绩库!D478)</f>
        <v/>
      </c>
      <c r="Q978" t="str">
        <f>IF(YLE成绩库!C478="","", YLE成绩库!E478)</f>
        <v/>
      </c>
      <c r="R978" t="str">
        <f>IF(YLE成绩库!C478="","", YLE成绩库!F478)</f>
        <v/>
      </c>
      <c r="S978" t="str">
        <f>IF(YLE成绩库!C478="","", YLE成绩库!G478)</f>
        <v/>
      </c>
      <c r="T978" t="str">
        <f>IF(YLE成绩库!C478="","", YLE成绩库!H478)</f>
        <v/>
      </c>
      <c r="U978" t="str">
        <f>IF(YLE成绩库!C478="","", YLE成绩库!K478)</f>
        <v/>
      </c>
      <c r="V978" t="str">
        <f>IF(YLE成绩库!C478="","", YLE成绩库!W478)</f>
        <v/>
      </c>
      <c r="W978" t="str">
        <f>IF(YLE成绩库!C478="","", YLE成绩库!X478)</f>
        <v/>
      </c>
      <c r="X978" t="str">
        <f>IF(YLE成绩库!C478="","", YLE成绩库!AA478)</f>
        <v/>
      </c>
      <c r="Z978" t="str">
        <f>IF(YLE成绩库!C478="","", YLE成绩库!Z478)</f>
        <v/>
      </c>
    </row>
    <row r="979" spans="1:26" x14ac:dyDescent="0.2">
      <c r="A979" t="str">
        <f>IF(YLE成绩库!C479="","", YLE成绩库!C479)</f>
        <v/>
      </c>
      <c r="B979" t="str">
        <f>IF(YLE成绩库!AB479="","", YLE成绩库!AB479)</f>
        <v/>
      </c>
      <c r="C979" t="str">
        <f>IF(YLE成绩库!B479="","", YLE成绩库!B479)</f>
        <v/>
      </c>
      <c r="D979" t="str">
        <f>IF(YLE成绩库!D479="","", YLE成绩库!D479)</f>
        <v/>
      </c>
      <c r="E979" t="str">
        <f>IF(YLE成绩库!C479="","", YLE成绩库!L479)</f>
        <v/>
      </c>
      <c r="F979" t="str">
        <f>IF(YLE成绩库!C479="","", YLE成绩库!M479)</f>
        <v/>
      </c>
      <c r="G979" t="str">
        <f>IF(YLE成绩库!C479="","", YLE成绩库!N479)</f>
        <v/>
      </c>
      <c r="H979" t="str">
        <f>IF(YLE成绩库!C479="","", YLE成绩库!O479)</f>
        <v/>
      </c>
      <c r="I979" t="str">
        <f>IF(YLE成绩库!C479="","", YLE成绩库!P479)</f>
        <v/>
      </c>
      <c r="J979" t="str">
        <f>IF(YLE成绩库!C479="","", YLE成绩库!Q479)</f>
        <v/>
      </c>
      <c r="K979" t="str">
        <f>IF(YLE成绩库!C479="","", YLE成绩库!R479)</f>
        <v/>
      </c>
      <c r="L979" t="str">
        <f>IF(YLE成绩库!C479="","", YLE成绩库!U479)</f>
        <v/>
      </c>
      <c r="M979">
        <v>0</v>
      </c>
      <c r="N979">
        <v>0</v>
      </c>
      <c r="O979">
        <v>0</v>
      </c>
      <c r="P979" t="str">
        <f>IF(YLE成绩库!C479="","", YLE成绩库!D479)</f>
        <v/>
      </c>
      <c r="Q979" t="str">
        <f>IF(YLE成绩库!C479="","", YLE成绩库!E479)</f>
        <v/>
      </c>
      <c r="R979" t="str">
        <f>IF(YLE成绩库!C479="","", YLE成绩库!F479)</f>
        <v/>
      </c>
      <c r="S979" t="str">
        <f>IF(YLE成绩库!C479="","", YLE成绩库!G479)</f>
        <v/>
      </c>
      <c r="T979" t="str">
        <f>IF(YLE成绩库!C479="","", YLE成绩库!H479)</f>
        <v/>
      </c>
      <c r="U979" t="str">
        <f>IF(YLE成绩库!C479="","", YLE成绩库!K479)</f>
        <v/>
      </c>
      <c r="V979" t="str">
        <f>IF(YLE成绩库!C479="","", YLE成绩库!W479)</f>
        <v/>
      </c>
      <c r="W979" t="str">
        <f>IF(YLE成绩库!C479="","", YLE成绩库!X479)</f>
        <v/>
      </c>
      <c r="X979" t="str">
        <f>IF(YLE成绩库!C479="","", YLE成绩库!AA479)</f>
        <v/>
      </c>
      <c r="Z979" t="str">
        <f>IF(YLE成绩库!C479="","", YLE成绩库!Z479)</f>
        <v/>
      </c>
    </row>
    <row r="980" spans="1:26" x14ac:dyDescent="0.2">
      <c r="A980" t="str">
        <f>IF(YLE成绩库!C480="","", YLE成绩库!C480)</f>
        <v/>
      </c>
      <c r="B980" t="str">
        <f>IF(YLE成绩库!AB480="","", YLE成绩库!AB480)</f>
        <v/>
      </c>
      <c r="C980" t="str">
        <f>IF(YLE成绩库!B480="","", YLE成绩库!B480)</f>
        <v/>
      </c>
      <c r="D980" t="str">
        <f>IF(YLE成绩库!D480="","", YLE成绩库!D480)</f>
        <v/>
      </c>
      <c r="E980" t="str">
        <f>IF(YLE成绩库!C480="","", YLE成绩库!L480)</f>
        <v/>
      </c>
      <c r="F980" t="str">
        <f>IF(YLE成绩库!C480="","", YLE成绩库!M480)</f>
        <v/>
      </c>
      <c r="G980" t="str">
        <f>IF(YLE成绩库!C480="","", YLE成绩库!N480)</f>
        <v/>
      </c>
      <c r="H980" t="str">
        <f>IF(YLE成绩库!C480="","", YLE成绩库!O480)</f>
        <v/>
      </c>
      <c r="I980" t="str">
        <f>IF(YLE成绩库!C480="","", YLE成绩库!P480)</f>
        <v/>
      </c>
      <c r="J980" t="str">
        <f>IF(YLE成绩库!C480="","", YLE成绩库!Q480)</f>
        <v/>
      </c>
      <c r="K980" t="str">
        <f>IF(YLE成绩库!C480="","", YLE成绩库!R480)</f>
        <v/>
      </c>
      <c r="L980" t="str">
        <f>IF(YLE成绩库!C480="","", YLE成绩库!U480)</f>
        <v/>
      </c>
      <c r="M980">
        <v>0</v>
      </c>
      <c r="N980">
        <v>0</v>
      </c>
      <c r="O980">
        <v>0</v>
      </c>
      <c r="P980" t="str">
        <f>IF(YLE成绩库!C480="","", YLE成绩库!D480)</f>
        <v/>
      </c>
      <c r="Q980" t="str">
        <f>IF(YLE成绩库!C480="","", YLE成绩库!E480)</f>
        <v/>
      </c>
      <c r="R980" t="str">
        <f>IF(YLE成绩库!C480="","", YLE成绩库!F480)</f>
        <v/>
      </c>
      <c r="S980" t="str">
        <f>IF(YLE成绩库!C480="","", YLE成绩库!G480)</f>
        <v/>
      </c>
      <c r="T980" t="str">
        <f>IF(YLE成绩库!C480="","", YLE成绩库!H480)</f>
        <v/>
      </c>
      <c r="U980" t="str">
        <f>IF(YLE成绩库!C480="","", YLE成绩库!K480)</f>
        <v/>
      </c>
      <c r="V980" t="str">
        <f>IF(YLE成绩库!C480="","", YLE成绩库!W480)</f>
        <v/>
      </c>
      <c r="W980" t="str">
        <f>IF(YLE成绩库!C480="","", YLE成绩库!X480)</f>
        <v/>
      </c>
      <c r="X980" t="str">
        <f>IF(YLE成绩库!C480="","", YLE成绩库!AA480)</f>
        <v/>
      </c>
      <c r="Z980" t="str">
        <f>IF(YLE成绩库!C480="","", YLE成绩库!Z480)</f>
        <v/>
      </c>
    </row>
    <row r="981" spans="1:26" x14ac:dyDescent="0.2">
      <c r="A981" t="str">
        <f>IF(YLE成绩库!C481="","", YLE成绩库!C481)</f>
        <v/>
      </c>
      <c r="B981" t="str">
        <f>IF(YLE成绩库!AB481="","", YLE成绩库!AB481)</f>
        <v/>
      </c>
      <c r="C981" t="str">
        <f>IF(YLE成绩库!B481="","", YLE成绩库!B481)</f>
        <v/>
      </c>
      <c r="D981" t="str">
        <f>IF(YLE成绩库!D481="","", YLE成绩库!D481)</f>
        <v/>
      </c>
      <c r="E981" t="str">
        <f>IF(YLE成绩库!C481="","", YLE成绩库!L481)</f>
        <v/>
      </c>
      <c r="F981" t="str">
        <f>IF(YLE成绩库!C481="","", YLE成绩库!M481)</f>
        <v/>
      </c>
      <c r="G981" t="str">
        <f>IF(YLE成绩库!C481="","", YLE成绩库!N481)</f>
        <v/>
      </c>
      <c r="H981" t="str">
        <f>IF(YLE成绩库!C481="","", YLE成绩库!O481)</f>
        <v/>
      </c>
      <c r="I981" t="str">
        <f>IF(YLE成绩库!C481="","", YLE成绩库!P481)</f>
        <v/>
      </c>
      <c r="J981" t="str">
        <f>IF(YLE成绩库!C481="","", YLE成绩库!Q481)</f>
        <v/>
      </c>
      <c r="K981" t="str">
        <f>IF(YLE成绩库!C481="","", YLE成绩库!R481)</f>
        <v/>
      </c>
      <c r="L981" t="str">
        <f>IF(YLE成绩库!C481="","", YLE成绩库!U481)</f>
        <v/>
      </c>
      <c r="M981">
        <v>0</v>
      </c>
      <c r="N981">
        <v>0</v>
      </c>
      <c r="O981">
        <v>0</v>
      </c>
      <c r="P981" t="str">
        <f>IF(YLE成绩库!C481="","", YLE成绩库!D481)</f>
        <v/>
      </c>
      <c r="Q981" t="str">
        <f>IF(YLE成绩库!C481="","", YLE成绩库!E481)</f>
        <v/>
      </c>
      <c r="R981" t="str">
        <f>IF(YLE成绩库!C481="","", YLE成绩库!F481)</f>
        <v/>
      </c>
      <c r="S981" t="str">
        <f>IF(YLE成绩库!C481="","", YLE成绩库!G481)</f>
        <v/>
      </c>
      <c r="T981" t="str">
        <f>IF(YLE成绩库!C481="","", YLE成绩库!H481)</f>
        <v/>
      </c>
      <c r="U981" t="str">
        <f>IF(YLE成绩库!C481="","", YLE成绩库!K481)</f>
        <v/>
      </c>
      <c r="V981" t="str">
        <f>IF(YLE成绩库!C481="","", YLE成绩库!W481)</f>
        <v/>
      </c>
      <c r="W981" t="str">
        <f>IF(YLE成绩库!C481="","", YLE成绩库!X481)</f>
        <v/>
      </c>
      <c r="X981" t="str">
        <f>IF(YLE成绩库!C481="","", YLE成绩库!AA481)</f>
        <v/>
      </c>
      <c r="Z981" t="str">
        <f>IF(YLE成绩库!C481="","", YLE成绩库!Z481)</f>
        <v/>
      </c>
    </row>
    <row r="982" spans="1:26" x14ac:dyDescent="0.2">
      <c r="A982" t="str">
        <f>IF(YLE成绩库!C482="","", YLE成绩库!C482)</f>
        <v/>
      </c>
      <c r="B982" t="str">
        <f>IF(YLE成绩库!AB482="","", YLE成绩库!AB482)</f>
        <v/>
      </c>
      <c r="C982" t="str">
        <f>IF(YLE成绩库!B482="","", YLE成绩库!B482)</f>
        <v/>
      </c>
      <c r="D982" t="str">
        <f>IF(YLE成绩库!D482="","", YLE成绩库!D482)</f>
        <v/>
      </c>
      <c r="E982" t="str">
        <f>IF(YLE成绩库!C482="","", YLE成绩库!L482)</f>
        <v/>
      </c>
      <c r="F982" t="str">
        <f>IF(YLE成绩库!C482="","", YLE成绩库!M482)</f>
        <v/>
      </c>
      <c r="G982" t="str">
        <f>IF(YLE成绩库!C482="","", YLE成绩库!N482)</f>
        <v/>
      </c>
      <c r="H982" t="str">
        <f>IF(YLE成绩库!C482="","", YLE成绩库!O482)</f>
        <v/>
      </c>
      <c r="I982" t="str">
        <f>IF(YLE成绩库!C482="","", YLE成绩库!P482)</f>
        <v/>
      </c>
      <c r="J982" t="str">
        <f>IF(YLE成绩库!C482="","", YLE成绩库!Q482)</f>
        <v/>
      </c>
      <c r="K982" t="str">
        <f>IF(YLE成绩库!C482="","", YLE成绩库!R482)</f>
        <v/>
      </c>
      <c r="L982" t="str">
        <f>IF(YLE成绩库!C482="","", YLE成绩库!U482)</f>
        <v/>
      </c>
      <c r="M982">
        <v>0</v>
      </c>
      <c r="N982">
        <v>0</v>
      </c>
      <c r="O982">
        <v>0</v>
      </c>
      <c r="P982" t="str">
        <f>IF(YLE成绩库!C482="","", YLE成绩库!D482)</f>
        <v/>
      </c>
      <c r="Q982" t="str">
        <f>IF(YLE成绩库!C482="","", YLE成绩库!E482)</f>
        <v/>
      </c>
      <c r="R982" t="str">
        <f>IF(YLE成绩库!C482="","", YLE成绩库!F482)</f>
        <v/>
      </c>
      <c r="S982" t="str">
        <f>IF(YLE成绩库!C482="","", YLE成绩库!G482)</f>
        <v/>
      </c>
      <c r="T982" t="str">
        <f>IF(YLE成绩库!C482="","", YLE成绩库!H482)</f>
        <v/>
      </c>
      <c r="U982" t="str">
        <f>IF(YLE成绩库!C482="","", YLE成绩库!K482)</f>
        <v/>
      </c>
      <c r="V982" t="str">
        <f>IF(YLE成绩库!C482="","", YLE成绩库!W482)</f>
        <v/>
      </c>
      <c r="W982" t="str">
        <f>IF(YLE成绩库!C482="","", YLE成绩库!X482)</f>
        <v/>
      </c>
      <c r="X982" t="str">
        <f>IF(YLE成绩库!C482="","", YLE成绩库!AA482)</f>
        <v/>
      </c>
      <c r="Z982" t="str">
        <f>IF(YLE成绩库!C482="","", YLE成绩库!Z482)</f>
        <v/>
      </c>
    </row>
    <row r="983" spans="1:26" x14ac:dyDescent="0.2">
      <c r="A983" t="str">
        <f>IF(YLE成绩库!C483="","", YLE成绩库!C483)</f>
        <v/>
      </c>
      <c r="B983" t="str">
        <f>IF(YLE成绩库!AB483="","", YLE成绩库!AB483)</f>
        <v/>
      </c>
      <c r="C983" t="str">
        <f>IF(YLE成绩库!B483="","", YLE成绩库!B483)</f>
        <v/>
      </c>
      <c r="D983" t="str">
        <f>IF(YLE成绩库!D483="","", YLE成绩库!D483)</f>
        <v/>
      </c>
      <c r="E983" t="str">
        <f>IF(YLE成绩库!C483="","", YLE成绩库!L483)</f>
        <v/>
      </c>
      <c r="F983" t="str">
        <f>IF(YLE成绩库!C483="","", YLE成绩库!M483)</f>
        <v/>
      </c>
      <c r="G983" t="str">
        <f>IF(YLE成绩库!C483="","", YLE成绩库!N483)</f>
        <v/>
      </c>
      <c r="H983" t="str">
        <f>IF(YLE成绩库!C483="","", YLE成绩库!O483)</f>
        <v/>
      </c>
      <c r="I983" t="str">
        <f>IF(YLE成绩库!C483="","", YLE成绩库!P483)</f>
        <v/>
      </c>
      <c r="J983" t="str">
        <f>IF(YLE成绩库!C483="","", YLE成绩库!Q483)</f>
        <v/>
      </c>
      <c r="K983" t="str">
        <f>IF(YLE成绩库!C483="","", YLE成绩库!R483)</f>
        <v/>
      </c>
      <c r="L983" t="str">
        <f>IF(YLE成绩库!C483="","", YLE成绩库!U483)</f>
        <v/>
      </c>
      <c r="M983">
        <v>0</v>
      </c>
      <c r="N983">
        <v>0</v>
      </c>
      <c r="O983">
        <v>0</v>
      </c>
      <c r="P983" t="str">
        <f>IF(YLE成绩库!C483="","", YLE成绩库!D483)</f>
        <v/>
      </c>
      <c r="Q983" t="str">
        <f>IF(YLE成绩库!C483="","", YLE成绩库!E483)</f>
        <v/>
      </c>
      <c r="R983" t="str">
        <f>IF(YLE成绩库!C483="","", YLE成绩库!F483)</f>
        <v/>
      </c>
      <c r="S983" t="str">
        <f>IF(YLE成绩库!C483="","", YLE成绩库!G483)</f>
        <v/>
      </c>
      <c r="T983" t="str">
        <f>IF(YLE成绩库!C483="","", YLE成绩库!H483)</f>
        <v/>
      </c>
      <c r="U983" t="str">
        <f>IF(YLE成绩库!C483="","", YLE成绩库!K483)</f>
        <v/>
      </c>
      <c r="V983" t="str">
        <f>IF(YLE成绩库!C483="","", YLE成绩库!W483)</f>
        <v/>
      </c>
      <c r="W983" t="str">
        <f>IF(YLE成绩库!C483="","", YLE成绩库!X483)</f>
        <v/>
      </c>
      <c r="X983" t="str">
        <f>IF(YLE成绩库!C483="","", YLE成绩库!AA483)</f>
        <v/>
      </c>
      <c r="Z983" t="str">
        <f>IF(YLE成绩库!C483="","", YLE成绩库!Z483)</f>
        <v/>
      </c>
    </row>
    <row r="984" spans="1:26" x14ac:dyDescent="0.2">
      <c r="A984" t="str">
        <f>IF(YLE成绩库!C484="","", YLE成绩库!C484)</f>
        <v/>
      </c>
      <c r="B984" t="str">
        <f>IF(YLE成绩库!AB484="","", YLE成绩库!AB484)</f>
        <v/>
      </c>
      <c r="C984" t="str">
        <f>IF(YLE成绩库!B484="","", YLE成绩库!B484)</f>
        <v/>
      </c>
      <c r="D984" t="str">
        <f>IF(YLE成绩库!D484="","", YLE成绩库!D484)</f>
        <v/>
      </c>
      <c r="E984" t="str">
        <f>IF(YLE成绩库!C484="","", YLE成绩库!L484)</f>
        <v/>
      </c>
      <c r="F984" t="str">
        <f>IF(YLE成绩库!C484="","", YLE成绩库!M484)</f>
        <v/>
      </c>
      <c r="G984" t="str">
        <f>IF(YLE成绩库!C484="","", YLE成绩库!N484)</f>
        <v/>
      </c>
      <c r="H984" t="str">
        <f>IF(YLE成绩库!C484="","", YLE成绩库!O484)</f>
        <v/>
      </c>
      <c r="I984" t="str">
        <f>IF(YLE成绩库!C484="","", YLE成绩库!P484)</f>
        <v/>
      </c>
      <c r="J984" t="str">
        <f>IF(YLE成绩库!C484="","", YLE成绩库!Q484)</f>
        <v/>
      </c>
      <c r="K984" t="str">
        <f>IF(YLE成绩库!C484="","", YLE成绩库!R484)</f>
        <v/>
      </c>
      <c r="L984" t="str">
        <f>IF(YLE成绩库!C484="","", YLE成绩库!U484)</f>
        <v/>
      </c>
      <c r="M984">
        <v>0</v>
      </c>
      <c r="N984">
        <v>0</v>
      </c>
      <c r="O984">
        <v>0</v>
      </c>
      <c r="P984" t="str">
        <f>IF(YLE成绩库!C484="","", YLE成绩库!D484)</f>
        <v/>
      </c>
      <c r="Q984" t="str">
        <f>IF(YLE成绩库!C484="","", YLE成绩库!E484)</f>
        <v/>
      </c>
      <c r="R984" t="str">
        <f>IF(YLE成绩库!C484="","", YLE成绩库!F484)</f>
        <v/>
      </c>
      <c r="S984" t="str">
        <f>IF(YLE成绩库!C484="","", YLE成绩库!G484)</f>
        <v/>
      </c>
      <c r="T984" t="str">
        <f>IF(YLE成绩库!C484="","", YLE成绩库!H484)</f>
        <v/>
      </c>
      <c r="U984" t="str">
        <f>IF(YLE成绩库!C484="","", YLE成绩库!K484)</f>
        <v/>
      </c>
      <c r="V984" t="str">
        <f>IF(YLE成绩库!C484="","", YLE成绩库!W484)</f>
        <v/>
      </c>
      <c r="W984" t="str">
        <f>IF(YLE成绩库!C484="","", YLE成绩库!X484)</f>
        <v/>
      </c>
      <c r="X984" t="str">
        <f>IF(YLE成绩库!C484="","", YLE成绩库!AA484)</f>
        <v/>
      </c>
      <c r="Z984" t="str">
        <f>IF(YLE成绩库!C484="","", YLE成绩库!Z484)</f>
        <v/>
      </c>
    </row>
    <row r="985" spans="1:26" x14ac:dyDescent="0.2">
      <c r="A985" t="str">
        <f>IF(YLE成绩库!C485="","", YLE成绩库!C485)</f>
        <v/>
      </c>
      <c r="B985" t="str">
        <f>IF(YLE成绩库!AB485="","", YLE成绩库!AB485)</f>
        <v/>
      </c>
      <c r="C985" t="str">
        <f>IF(YLE成绩库!B485="","", YLE成绩库!B485)</f>
        <v/>
      </c>
      <c r="D985" t="str">
        <f>IF(YLE成绩库!D485="","", YLE成绩库!D485)</f>
        <v/>
      </c>
      <c r="E985" t="str">
        <f>IF(YLE成绩库!C485="","", YLE成绩库!L485)</f>
        <v/>
      </c>
      <c r="F985" t="str">
        <f>IF(YLE成绩库!C485="","", YLE成绩库!M485)</f>
        <v/>
      </c>
      <c r="G985" t="str">
        <f>IF(YLE成绩库!C485="","", YLE成绩库!N485)</f>
        <v/>
      </c>
      <c r="H985" t="str">
        <f>IF(YLE成绩库!C485="","", YLE成绩库!O485)</f>
        <v/>
      </c>
      <c r="I985" t="str">
        <f>IF(YLE成绩库!C485="","", YLE成绩库!P485)</f>
        <v/>
      </c>
      <c r="J985" t="str">
        <f>IF(YLE成绩库!C485="","", YLE成绩库!Q485)</f>
        <v/>
      </c>
      <c r="K985" t="str">
        <f>IF(YLE成绩库!C485="","", YLE成绩库!R485)</f>
        <v/>
      </c>
      <c r="L985" t="str">
        <f>IF(YLE成绩库!C485="","", YLE成绩库!U485)</f>
        <v/>
      </c>
      <c r="M985">
        <v>0</v>
      </c>
      <c r="N985">
        <v>0</v>
      </c>
      <c r="O985">
        <v>0</v>
      </c>
      <c r="P985" t="str">
        <f>IF(YLE成绩库!C485="","", YLE成绩库!D485)</f>
        <v/>
      </c>
      <c r="Q985" t="str">
        <f>IF(YLE成绩库!C485="","", YLE成绩库!E485)</f>
        <v/>
      </c>
      <c r="R985" t="str">
        <f>IF(YLE成绩库!C485="","", YLE成绩库!F485)</f>
        <v/>
      </c>
      <c r="S985" t="str">
        <f>IF(YLE成绩库!C485="","", YLE成绩库!G485)</f>
        <v/>
      </c>
      <c r="T985" t="str">
        <f>IF(YLE成绩库!C485="","", YLE成绩库!H485)</f>
        <v/>
      </c>
      <c r="U985" t="str">
        <f>IF(YLE成绩库!C485="","", YLE成绩库!K485)</f>
        <v/>
      </c>
      <c r="V985" t="str">
        <f>IF(YLE成绩库!C485="","", YLE成绩库!W485)</f>
        <v/>
      </c>
      <c r="W985" t="str">
        <f>IF(YLE成绩库!C485="","", YLE成绩库!X485)</f>
        <v/>
      </c>
      <c r="X985" t="str">
        <f>IF(YLE成绩库!C485="","", YLE成绩库!AA485)</f>
        <v/>
      </c>
      <c r="Z985" t="str">
        <f>IF(YLE成绩库!C485="","", YLE成绩库!Z485)</f>
        <v/>
      </c>
    </row>
    <row r="986" spans="1:26" x14ac:dyDescent="0.2">
      <c r="A986" t="str">
        <f>IF(YLE成绩库!C486="","", YLE成绩库!C486)</f>
        <v/>
      </c>
      <c r="B986" t="str">
        <f>IF(YLE成绩库!AB486="","", YLE成绩库!AB486)</f>
        <v/>
      </c>
      <c r="C986" t="str">
        <f>IF(YLE成绩库!B486="","", YLE成绩库!B486)</f>
        <v/>
      </c>
      <c r="D986" t="str">
        <f>IF(YLE成绩库!D486="","", YLE成绩库!D486)</f>
        <v/>
      </c>
      <c r="E986" t="str">
        <f>IF(YLE成绩库!C486="","", YLE成绩库!L486)</f>
        <v/>
      </c>
      <c r="F986" t="str">
        <f>IF(YLE成绩库!C486="","", YLE成绩库!M486)</f>
        <v/>
      </c>
      <c r="G986" t="str">
        <f>IF(YLE成绩库!C486="","", YLE成绩库!N486)</f>
        <v/>
      </c>
      <c r="H986" t="str">
        <f>IF(YLE成绩库!C486="","", YLE成绩库!O486)</f>
        <v/>
      </c>
      <c r="I986" t="str">
        <f>IF(YLE成绩库!C486="","", YLE成绩库!P486)</f>
        <v/>
      </c>
      <c r="J986" t="str">
        <f>IF(YLE成绩库!C486="","", YLE成绩库!Q486)</f>
        <v/>
      </c>
      <c r="K986" t="str">
        <f>IF(YLE成绩库!C486="","", YLE成绩库!R486)</f>
        <v/>
      </c>
      <c r="L986" t="str">
        <f>IF(YLE成绩库!C486="","", YLE成绩库!U486)</f>
        <v/>
      </c>
      <c r="M986">
        <v>0</v>
      </c>
      <c r="N986">
        <v>0</v>
      </c>
      <c r="O986">
        <v>0</v>
      </c>
      <c r="P986" t="str">
        <f>IF(YLE成绩库!C486="","", YLE成绩库!D486)</f>
        <v/>
      </c>
      <c r="Q986" t="str">
        <f>IF(YLE成绩库!C486="","", YLE成绩库!E486)</f>
        <v/>
      </c>
      <c r="R986" t="str">
        <f>IF(YLE成绩库!C486="","", YLE成绩库!F486)</f>
        <v/>
      </c>
      <c r="S986" t="str">
        <f>IF(YLE成绩库!C486="","", YLE成绩库!G486)</f>
        <v/>
      </c>
      <c r="T986" t="str">
        <f>IF(YLE成绩库!C486="","", YLE成绩库!H486)</f>
        <v/>
      </c>
      <c r="U986" t="str">
        <f>IF(YLE成绩库!C486="","", YLE成绩库!K486)</f>
        <v/>
      </c>
      <c r="V986" t="str">
        <f>IF(YLE成绩库!C486="","", YLE成绩库!W486)</f>
        <v/>
      </c>
      <c r="W986" t="str">
        <f>IF(YLE成绩库!C486="","", YLE成绩库!X486)</f>
        <v/>
      </c>
      <c r="X986" t="str">
        <f>IF(YLE成绩库!C486="","", YLE成绩库!AA486)</f>
        <v/>
      </c>
      <c r="Z986" t="str">
        <f>IF(YLE成绩库!C486="","", YLE成绩库!Z486)</f>
        <v/>
      </c>
    </row>
    <row r="987" spans="1:26" x14ac:dyDescent="0.2">
      <c r="A987" t="str">
        <f>IF(YLE成绩库!C487="","", YLE成绩库!C487)</f>
        <v/>
      </c>
      <c r="B987" t="str">
        <f>IF(YLE成绩库!AB487="","", YLE成绩库!AB487)</f>
        <v/>
      </c>
      <c r="C987" t="str">
        <f>IF(YLE成绩库!B487="","", YLE成绩库!B487)</f>
        <v/>
      </c>
      <c r="D987" t="str">
        <f>IF(YLE成绩库!D487="","", YLE成绩库!D487)</f>
        <v/>
      </c>
      <c r="E987" t="str">
        <f>IF(YLE成绩库!C487="","", YLE成绩库!L487)</f>
        <v/>
      </c>
      <c r="F987" t="str">
        <f>IF(YLE成绩库!C487="","", YLE成绩库!M487)</f>
        <v/>
      </c>
      <c r="G987" t="str">
        <f>IF(YLE成绩库!C487="","", YLE成绩库!N487)</f>
        <v/>
      </c>
      <c r="H987" t="str">
        <f>IF(YLE成绩库!C487="","", YLE成绩库!O487)</f>
        <v/>
      </c>
      <c r="I987" t="str">
        <f>IF(YLE成绩库!C487="","", YLE成绩库!P487)</f>
        <v/>
      </c>
      <c r="J987" t="str">
        <f>IF(YLE成绩库!C487="","", YLE成绩库!Q487)</f>
        <v/>
      </c>
      <c r="K987" t="str">
        <f>IF(YLE成绩库!C487="","", YLE成绩库!R487)</f>
        <v/>
      </c>
      <c r="L987" t="str">
        <f>IF(YLE成绩库!C487="","", YLE成绩库!U487)</f>
        <v/>
      </c>
      <c r="M987">
        <v>0</v>
      </c>
      <c r="N987">
        <v>0</v>
      </c>
      <c r="O987">
        <v>0</v>
      </c>
      <c r="P987" t="str">
        <f>IF(YLE成绩库!C487="","", YLE成绩库!D487)</f>
        <v/>
      </c>
      <c r="Q987" t="str">
        <f>IF(YLE成绩库!C487="","", YLE成绩库!E487)</f>
        <v/>
      </c>
      <c r="R987" t="str">
        <f>IF(YLE成绩库!C487="","", YLE成绩库!F487)</f>
        <v/>
      </c>
      <c r="S987" t="str">
        <f>IF(YLE成绩库!C487="","", YLE成绩库!G487)</f>
        <v/>
      </c>
      <c r="T987" t="str">
        <f>IF(YLE成绩库!C487="","", YLE成绩库!H487)</f>
        <v/>
      </c>
      <c r="U987" t="str">
        <f>IF(YLE成绩库!C487="","", YLE成绩库!K487)</f>
        <v/>
      </c>
      <c r="V987" t="str">
        <f>IF(YLE成绩库!C487="","", YLE成绩库!W487)</f>
        <v/>
      </c>
      <c r="W987" t="str">
        <f>IF(YLE成绩库!C487="","", YLE成绩库!X487)</f>
        <v/>
      </c>
      <c r="X987" t="str">
        <f>IF(YLE成绩库!C487="","", YLE成绩库!AA487)</f>
        <v/>
      </c>
      <c r="Z987" t="str">
        <f>IF(YLE成绩库!C487="","", YLE成绩库!Z487)</f>
        <v/>
      </c>
    </row>
    <row r="988" spans="1:26" x14ac:dyDescent="0.2">
      <c r="A988" t="str">
        <f>IF(YLE成绩库!C488="","", YLE成绩库!C488)</f>
        <v/>
      </c>
      <c r="B988" t="str">
        <f>IF(YLE成绩库!AB488="","", YLE成绩库!AB488)</f>
        <v/>
      </c>
      <c r="C988" t="str">
        <f>IF(YLE成绩库!B488="","", YLE成绩库!B488)</f>
        <v/>
      </c>
      <c r="D988" t="str">
        <f>IF(YLE成绩库!D488="","", YLE成绩库!D488)</f>
        <v/>
      </c>
      <c r="E988" t="str">
        <f>IF(YLE成绩库!C488="","", YLE成绩库!L488)</f>
        <v/>
      </c>
      <c r="F988" t="str">
        <f>IF(YLE成绩库!C488="","", YLE成绩库!M488)</f>
        <v/>
      </c>
      <c r="G988" t="str">
        <f>IF(YLE成绩库!C488="","", YLE成绩库!N488)</f>
        <v/>
      </c>
      <c r="H988" t="str">
        <f>IF(YLE成绩库!C488="","", YLE成绩库!O488)</f>
        <v/>
      </c>
      <c r="I988" t="str">
        <f>IF(YLE成绩库!C488="","", YLE成绩库!P488)</f>
        <v/>
      </c>
      <c r="J988" t="str">
        <f>IF(YLE成绩库!C488="","", YLE成绩库!Q488)</f>
        <v/>
      </c>
      <c r="K988" t="str">
        <f>IF(YLE成绩库!C488="","", YLE成绩库!R488)</f>
        <v/>
      </c>
      <c r="L988" t="str">
        <f>IF(YLE成绩库!C488="","", YLE成绩库!U488)</f>
        <v/>
      </c>
      <c r="M988">
        <v>0</v>
      </c>
      <c r="N988">
        <v>0</v>
      </c>
      <c r="O988">
        <v>0</v>
      </c>
      <c r="P988" t="str">
        <f>IF(YLE成绩库!C488="","", YLE成绩库!D488)</f>
        <v/>
      </c>
      <c r="Q988" t="str">
        <f>IF(YLE成绩库!C488="","", YLE成绩库!E488)</f>
        <v/>
      </c>
      <c r="R988" t="str">
        <f>IF(YLE成绩库!C488="","", YLE成绩库!F488)</f>
        <v/>
      </c>
      <c r="S988" t="str">
        <f>IF(YLE成绩库!C488="","", YLE成绩库!G488)</f>
        <v/>
      </c>
      <c r="T988" t="str">
        <f>IF(YLE成绩库!C488="","", YLE成绩库!H488)</f>
        <v/>
      </c>
      <c r="U988" t="str">
        <f>IF(YLE成绩库!C488="","", YLE成绩库!K488)</f>
        <v/>
      </c>
      <c r="V988" t="str">
        <f>IF(YLE成绩库!C488="","", YLE成绩库!W488)</f>
        <v/>
      </c>
      <c r="W988" t="str">
        <f>IF(YLE成绩库!C488="","", YLE成绩库!X488)</f>
        <v/>
      </c>
      <c r="X988" t="str">
        <f>IF(YLE成绩库!C488="","", YLE成绩库!AA488)</f>
        <v/>
      </c>
      <c r="Z988" t="str">
        <f>IF(YLE成绩库!C488="","", YLE成绩库!Z488)</f>
        <v/>
      </c>
    </row>
    <row r="989" spans="1:26" x14ac:dyDescent="0.2">
      <c r="A989" t="str">
        <f>IF(YLE成绩库!C489="","", YLE成绩库!C489)</f>
        <v/>
      </c>
      <c r="B989" t="str">
        <f>IF(YLE成绩库!AB489="","", YLE成绩库!AB489)</f>
        <v/>
      </c>
      <c r="C989" t="str">
        <f>IF(YLE成绩库!B489="","", YLE成绩库!B489)</f>
        <v/>
      </c>
      <c r="D989" t="str">
        <f>IF(YLE成绩库!D489="","", YLE成绩库!D489)</f>
        <v/>
      </c>
      <c r="E989" t="str">
        <f>IF(YLE成绩库!C489="","", YLE成绩库!L489)</f>
        <v/>
      </c>
      <c r="F989" t="str">
        <f>IF(YLE成绩库!C489="","", YLE成绩库!M489)</f>
        <v/>
      </c>
      <c r="G989" t="str">
        <f>IF(YLE成绩库!C489="","", YLE成绩库!N489)</f>
        <v/>
      </c>
      <c r="H989" t="str">
        <f>IF(YLE成绩库!C489="","", YLE成绩库!O489)</f>
        <v/>
      </c>
      <c r="I989" t="str">
        <f>IF(YLE成绩库!C489="","", YLE成绩库!P489)</f>
        <v/>
      </c>
      <c r="J989" t="str">
        <f>IF(YLE成绩库!C489="","", YLE成绩库!Q489)</f>
        <v/>
      </c>
      <c r="K989" t="str">
        <f>IF(YLE成绩库!C489="","", YLE成绩库!R489)</f>
        <v/>
      </c>
      <c r="L989" t="str">
        <f>IF(YLE成绩库!C489="","", YLE成绩库!U489)</f>
        <v/>
      </c>
      <c r="M989">
        <v>0</v>
      </c>
      <c r="N989">
        <v>0</v>
      </c>
      <c r="O989">
        <v>0</v>
      </c>
      <c r="P989" t="str">
        <f>IF(YLE成绩库!C489="","", YLE成绩库!D489)</f>
        <v/>
      </c>
      <c r="Q989" t="str">
        <f>IF(YLE成绩库!C489="","", YLE成绩库!E489)</f>
        <v/>
      </c>
      <c r="R989" t="str">
        <f>IF(YLE成绩库!C489="","", YLE成绩库!F489)</f>
        <v/>
      </c>
      <c r="S989" t="str">
        <f>IF(YLE成绩库!C489="","", YLE成绩库!G489)</f>
        <v/>
      </c>
      <c r="T989" t="str">
        <f>IF(YLE成绩库!C489="","", YLE成绩库!H489)</f>
        <v/>
      </c>
      <c r="U989" t="str">
        <f>IF(YLE成绩库!C489="","", YLE成绩库!K489)</f>
        <v/>
      </c>
      <c r="V989" t="str">
        <f>IF(YLE成绩库!C489="","", YLE成绩库!W489)</f>
        <v/>
      </c>
      <c r="W989" t="str">
        <f>IF(YLE成绩库!C489="","", YLE成绩库!X489)</f>
        <v/>
      </c>
      <c r="X989" t="str">
        <f>IF(YLE成绩库!C489="","", YLE成绩库!AA489)</f>
        <v/>
      </c>
      <c r="Z989" t="str">
        <f>IF(YLE成绩库!C489="","", YLE成绩库!Z489)</f>
        <v/>
      </c>
    </row>
    <row r="990" spans="1:26" x14ac:dyDescent="0.2">
      <c r="A990" t="str">
        <f>IF(YLE成绩库!C490="","", YLE成绩库!C490)</f>
        <v/>
      </c>
      <c r="B990" t="str">
        <f>IF(YLE成绩库!AB490="","", YLE成绩库!AB490)</f>
        <v/>
      </c>
      <c r="C990" t="str">
        <f>IF(YLE成绩库!B490="","", YLE成绩库!B490)</f>
        <v/>
      </c>
      <c r="D990" t="str">
        <f>IF(YLE成绩库!D490="","", YLE成绩库!D490)</f>
        <v/>
      </c>
      <c r="E990" t="str">
        <f>IF(YLE成绩库!C490="","", YLE成绩库!L490)</f>
        <v/>
      </c>
      <c r="F990" t="str">
        <f>IF(YLE成绩库!C490="","", YLE成绩库!M490)</f>
        <v/>
      </c>
      <c r="G990" t="str">
        <f>IF(YLE成绩库!C490="","", YLE成绩库!N490)</f>
        <v/>
      </c>
      <c r="H990" t="str">
        <f>IF(YLE成绩库!C490="","", YLE成绩库!O490)</f>
        <v/>
      </c>
      <c r="I990" t="str">
        <f>IF(YLE成绩库!C490="","", YLE成绩库!P490)</f>
        <v/>
      </c>
      <c r="J990" t="str">
        <f>IF(YLE成绩库!C490="","", YLE成绩库!Q490)</f>
        <v/>
      </c>
      <c r="K990" t="str">
        <f>IF(YLE成绩库!C490="","", YLE成绩库!R490)</f>
        <v/>
      </c>
      <c r="L990" t="str">
        <f>IF(YLE成绩库!C490="","", YLE成绩库!U490)</f>
        <v/>
      </c>
      <c r="M990">
        <v>0</v>
      </c>
      <c r="N990">
        <v>0</v>
      </c>
      <c r="O990">
        <v>0</v>
      </c>
      <c r="P990" t="str">
        <f>IF(YLE成绩库!C490="","", YLE成绩库!D490)</f>
        <v/>
      </c>
      <c r="Q990" t="str">
        <f>IF(YLE成绩库!C490="","", YLE成绩库!E490)</f>
        <v/>
      </c>
      <c r="R990" t="str">
        <f>IF(YLE成绩库!C490="","", YLE成绩库!F490)</f>
        <v/>
      </c>
      <c r="S990" t="str">
        <f>IF(YLE成绩库!C490="","", YLE成绩库!G490)</f>
        <v/>
      </c>
      <c r="T990" t="str">
        <f>IF(YLE成绩库!C490="","", YLE成绩库!H490)</f>
        <v/>
      </c>
      <c r="U990" t="str">
        <f>IF(YLE成绩库!C490="","", YLE成绩库!K490)</f>
        <v/>
      </c>
      <c r="V990" t="str">
        <f>IF(YLE成绩库!C490="","", YLE成绩库!W490)</f>
        <v/>
      </c>
      <c r="W990" t="str">
        <f>IF(YLE成绩库!C490="","", YLE成绩库!X490)</f>
        <v/>
      </c>
      <c r="X990" t="str">
        <f>IF(YLE成绩库!C490="","", YLE成绩库!AA490)</f>
        <v/>
      </c>
      <c r="Z990" t="str">
        <f>IF(YLE成绩库!C490="","", YLE成绩库!Z490)</f>
        <v/>
      </c>
    </row>
    <row r="991" spans="1:26" x14ac:dyDescent="0.2">
      <c r="A991" t="str">
        <f>IF(YLE成绩库!C491="","", YLE成绩库!C491)</f>
        <v/>
      </c>
      <c r="B991" t="str">
        <f>IF(YLE成绩库!AB491="","", YLE成绩库!AB491)</f>
        <v/>
      </c>
      <c r="C991" t="str">
        <f>IF(YLE成绩库!B491="","", YLE成绩库!B491)</f>
        <v/>
      </c>
      <c r="D991" t="str">
        <f>IF(YLE成绩库!D491="","", YLE成绩库!D491)</f>
        <v/>
      </c>
      <c r="E991" t="str">
        <f>IF(YLE成绩库!C491="","", YLE成绩库!L491)</f>
        <v/>
      </c>
      <c r="F991" t="str">
        <f>IF(YLE成绩库!C491="","", YLE成绩库!M491)</f>
        <v/>
      </c>
      <c r="G991" t="str">
        <f>IF(YLE成绩库!C491="","", YLE成绩库!N491)</f>
        <v/>
      </c>
      <c r="H991" t="str">
        <f>IF(YLE成绩库!C491="","", YLE成绩库!O491)</f>
        <v/>
      </c>
      <c r="I991" t="str">
        <f>IF(YLE成绩库!C491="","", YLE成绩库!P491)</f>
        <v/>
      </c>
      <c r="J991" t="str">
        <f>IF(YLE成绩库!C491="","", YLE成绩库!Q491)</f>
        <v/>
      </c>
      <c r="K991" t="str">
        <f>IF(YLE成绩库!C491="","", YLE成绩库!R491)</f>
        <v/>
      </c>
      <c r="L991" t="str">
        <f>IF(YLE成绩库!C491="","", YLE成绩库!U491)</f>
        <v/>
      </c>
      <c r="M991">
        <v>0</v>
      </c>
      <c r="N991">
        <v>0</v>
      </c>
      <c r="O991">
        <v>0</v>
      </c>
      <c r="P991" t="str">
        <f>IF(YLE成绩库!C491="","", YLE成绩库!D491)</f>
        <v/>
      </c>
      <c r="Q991" t="str">
        <f>IF(YLE成绩库!C491="","", YLE成绩库!E491)</f>
        <v/>
      </c>
      <c r="R991" t="str">
        <f>IF(YLE成绩库!C491="","", YLE成绩库!F491)</f>
        <v/>
      </c>
      <c r="S991" t="str">
        <f>IF(YLE成绩库!C491="","", YLE成绩库!G491)</f>
        <v/>
      </c>
      <c r="T991" t="str">
        <f>IF(YLE成绩库!C491="","", YLE成绩库!H491)</f>
        <v/>
      </c>
      <c r="U991" t="str">
        <f>IF(YLE成绩库!C491="","", YLE成绩库!K491)</f>
        <v/>
      </c>
      <c r="V991" t="str">
        <f>IF(YLE成绩库!C491="","", YLE成绩库!W491)</f>
        <v/>
      </c>
      <c r="W991" t="str">
        <f>IF(YLE成绩库!C491="","", YLE成绩库!X491)</f>
        <v/>
      </c>
      <c r="X991" t="str">
        <f>IF(YLE成绩库!C491="","", YLE成绩库!AA491)</f>
        <v/>
      </c>
      <c r="Z991" t="str">
        <f>IF(YLE成绩库!C491="","", YLE成绩库!Z491)</f>
        <v/>
      </c>
    </row>
    <row r="992" spans="1:26" x14ac:dyDescent="0.2">
      <c r="A992" t="str">
        <f>IF(YLE成绩库!C492="","", YLE成绩库!C492)</f>
        <v/>
      </c>
      <c r="B992" t="str">
        <f>IF(YLE成绩库!AB492="","", YLE成绩库!AB492)</f>
        <v/>
      </c>
      <c r="C992" t="str">
        <f>IF(YLE成绩库!B492="","", YLE成绩库!B492)</f>
        <v/>
      </c>
      <c r="D992" t="str">
        <f>IF(YLE成绩库!D492="","", YLE成绩库!D492)</f>
        <v/>
      </c>
      <c r="E992" t="str">
        <f>IF(YLE成绩库!C492="","", YLE成绩库!L492)</f>
        <v/>
      </c>
      <c r="F992" t="str">
        <f>IF(YLE成绩库!C492="","", YLE成绩库!M492)</f>
        <v/>
      </c>
      <c r="G992" t="str">
        <f>IF(YLE成绩库!C492="","", YLE成绩库!N492)</f>
        <v/>
      </c>
      <c r="H992" t="str">
        <f>IF(YLE成绩库!C492="","", YLE成绩库!O492)</f>
        <v/>
      </c>
      <c r="I992" t="str">
        <f>IF(YLE成绩库!C492="","", YLE成绩库!P492)</f>
        <v/>
      </c>
      <c r="J992" t="str">
        <f>IF(YLE成绩库!C492="","", YLE成绩库!Q492)</f>
        <v/>
      </c>
      <c r="K992" t="str">
        <f>IF(YLE成绩库!C492="","", YLE成绩库!R492)</f>
        <v/>
      </c>
      <c r="L992" t="str">
        <f>IF(YLE成绩库!C492="","", YLE成绩库!U492)</f>
        <v/>
      </c>
      <c r="M992">
        <v>0</v>
      </c>
      <c r="N992">
        <v>0</v>
      </c>
      <c r="O992">
        <v>0</v>
      </c>
      <c r="P992" t="str">
        <f>IF(YLE成绩库!C492="","", YLE成绩库!D492)</f>
        <v/>
      </c>
      <c r="Q992" t="str">
        <f>IF(YLE成绩库!C492="","", YLE成绩库!E492)</f>
        <v/>
      </c>
      <c r="R992" t="str">
        <f>IF(YLE成绩库!C492="","", YLE成绩库!F492)</f>
        <v/>
      </c>
      <c r="S992" t="str">
        <f>IF(YLE成绩库!C492="","", YLE成绩库!G492)</f>
        <v/>
      </c>
      <c r="T992" t="str">
        <f>IF(YLE成绩库!C492="","", YLE成绩库!H492)</f>
        <v/>
      </c>
      <c r="U992" t="str">
        <f>IF(YLE成绩库!C492="","", YLE成绩库!K492)</f>
        <v/>
      </c>
      <c r="V992" t="str">
        <f>IF(YLE成绩库!C492="","", YLE成绩库!W492)</f>
        <v/>
      </c>
      <c r="W992" t="str">
        <f>IF(YLE成绩库!C492="","", YLE成绩库!X492)</f>
        <v/>
      </c>
      <c r="X992" t="str">
        <f>IF(YLE成绩库!C492="","", YLE成绩库!AA492)</f>
        <v/>
      </c>
      <c r="Z992" t="str">
        <f>IF(YLE成绩库!C492="","", YLE成绩库!Z492)</f>
        <v/>
      </c>
    </row>
    <row r="993" spans="1:26" x14ac:dyDescent="0.2">
      <c r="A993" t="str">
        <f>IF(YLE成绩库!C493="","", YLE成绩库!C493)</f>
        <v/>
      </c>
      <c r="B993" t="str">
        <f>IF(YLE成绩库!AB493="","", YLE成绩库!AB493)</f>
        <v/>
      </c>
      <c r="C993" t="str">
        <f>IF(YLE成绩库!B493="","", YLE成绩库!B493)</f>
        <v/>
      </c>
      <c r="D993" t="str">
        <f>IF(YLE成绩库!D493="","", YLE成绩库!D493)</f>
        <v/>
      </c>
      <c r="E993" t="str">
        <f>IF(YLE成绩库!C493="","", YLE成绩库!L493)</f>
        <v/>
      </c>
      <c r="F993" t="str">
        <f>IF(YLE成绩库!C493="","", YLE成绩库!M493)</f>
        <v/>
      </c>
      <c r="G993" t="str">
        <f>IF(YLE成绩库!C493="","", YLE成绩库!N493)</f>
        <v/>
      </c>
      <c r="H993" t="str">
        <f>IF(YLE成绩库!C493="","", YLE成绩库!O493)</f>
        <v/>
      </c>
      <c r="I993" t="str">
        <f>IF(YLE成绩库!C493="","", YLE成绩库!P493)</f>
        <v/>
      </c>
      <c r="J993" t="str">
        <f>IF(YLE成绩库!C493="","", YLE成绩库!Q493)</f>
        <v/>
      </c>
      <c r="K993" t="str">
        <f>IF(YLE成绩库!C493="","", YLE成绩库!R493)</f>
        <v/>
      </c>
      <c r="L993" t="str">
        <f>IF(YLE成绩库!C493="","", YLE成绩库!U493)</f>
        <v/>
      </c>
      <c r="M993">
        <v>0</v>
      </c>
      <c r="N993">
        <v>0</v>
      </c>
      <c r="O993">
        <v>0</v>
      </c>
      <c r="P993" t="str">
        <f>IF(YLE成绩库!C493="","", YLE成绩库!D493)</f>
        <v/>
      </c>
      <c r="Q993" t="str">
        <f>IF(YLE成绩库!C493="","", YLE成绩库!E493)</f>
        <v/>
      </c>
      <c r="R993" t="str">
        <f>IF(YLE成绩库!C493="","", YLE成绩库!F493)</f>
        <v/>
      </c>
      <c r="S993" t="str">
        <f>IF(YLE成绩库!C493="","", YLE成绩库!G493)</f>
        <v/>
      </c>
      <c r="T993" t="str">
        <f>IF(YLE成绩库!C493="","", YLE成绩库!H493)</f>
        <v/>
      </c>
      <c r="U993" t="str">
        <f>IF(YLE成绩库!C493="","", YLE成绩库!K493)</f>
        <v/>
      </c>
      <c r="V993" t="str">
        <f>IF(YLE成绩库!C493="","", YLE成绩库!W493)</f>
        <v/>
      </c>
      <c r="W993" t="str">
        <f>IF(YLE成绩库!C493="","", YLE成绩库!X493)</f>
        <v/>
      </c>
      <c r="X993" t="str">
        <f>IF(YLE成绩库!C493="","", YLE成绩库!AA493)</f>
        <v/>
      </c>
      <c r="Z993" t="str">
        <f>IF(YLE成绩库!C493="","", YLE成绩库!Z493)</f>
        <v/>
      </c>
    </row>
    <row r="994" spans="1:26" x14ac:dyDescent="0.2">
      <c r="A994" t="str">
        <f>IF(YLE成绩库!C494="","", YLE成绩库!C494)</f>
        <v/>
      </c>
      <c r="B994" t="str">
        <f>IF(YLE成绩库!AB494="","", YLE成绩库!AB494)</f>
        <v/>
      </c>
      <c r="C994" t="str">
        <f>IF(YLE成绩库!B494="","", YLE成绩库!B494)</f>
        <v/>
      </c>
      <c r="D994" t="str">
        <f>IF(YLE成绩库!D494="","", YLE成绩库!D494)</f>
        <v/>
      </c>
      <c r="E994" t="str">
        <f>IF(YLE成绩库!C494="","", YLE成绩库!L494)</f>
        <v/>
      </c>
      <c r="F994" t="str">
        <f>IF(YLE成绩库!C494="","", YLE成绩库!M494)</f>
        <v/>
      </c>
      <c r="G994" t="str">
        <f>IF(YLE成绩库!C494="","", YLE成绩库!N494)</f>
        <v/>
      </c>
      <c r="H994" t="str">
        <f>IF(YLE成绩库!C494="","", YLE成绩库!O494)</f>
        <v/>
      </c>
      <c r="I994" t="str">
        <f>IF(YLE成绩库!C494="","", YLE成绩库!P494)</f>
        <v/>
      </c>
      <c r="J994" t="str">
        <f>IF(YLE成绩库!C494="","", YLE成绩库!Q494)</f>
        <v/>
      </c>
      <c r="K994" t="str">
        <f>IF(YLE成绩库!C494="","", YLE成绩库!R494)</f>
        <v/>
      </c>
      <c r="L994" t="str">
        <f>IF(YLE成绩库!C494="","", YLE成绩库!U494)</f>
        <v/>
      </c>
      <c r="M994">
        <v>0</v>
      </c>
      <c r="N994">
        <v>0</v>
      </c>
      <c r="O994">
        <v>0</v>
      </c>
      <c r="P994" t="str">
        <f>IF(YLE成绩库!C494="","", YLE成绩库!D494)</f>
        <v/>
      </c>
      <c r="Q994" t="str">
        <f>IF(YLE成绩库!C494="","", YLE成绩库!E494)</f>
        <v/>
      </c>
      <c r="R994" t="str">
        <f>IF(YLE成绩库!C494="","", YLE成绩库!F494)</f>
        <v/>
      </c>
      <c r="S994" t="str">
        <f>IF(YLE成绩库!C494="","", YLE成绩库!G494)</f>
        <v/>
      </c>
      <c r="T994" t="str">
        <f>IF(YLE成绩库!C494="","", YLE成绩库!H494)</f>
        <v/>
      </c>
      <c r="U994" t="str">
        <f>IF(YLE成绩库!C494="","", YLE成绩库!K494)</f>
        <v/>
      </c>
      <c r="V994" t="str">
        <f>IF(YLE成绩库!C494="","", YLE成绩库!W494)</f>
        <v/>
      </c>
      <c r="W994" t="str">
        <f>IF(YLE成绩库!C494="","", YLE成绩库!X494)</f>
        <v/>
      </c>
      <c r="X994" t="str">
        <f>IF(YLE成绩库!C494="","", YLE成绩库!AA494)</f>
        <v/>
      </c>
      <c r="Z994" t="str">
        <f>IF(YLE成绩库!C494="","", YLE成绩库!Z494)</f>
        <v/>
      </c>
    </row>
    <row r="995" spans="1:26" x14ac:dyDescent="0.2">
      <c r="A995" t="str">
        <f>IF(YLE成绩库!C495="","", YLE成绩库!C495)</f>
        <v/>
      </c>
      <c r="B995" t="str">
        <f>IF(YLE成绩库!AB495="","", YLE成绩库!AB495)</f>
        <v/>
      </c>
      <c r="C995" t="str">
        <f>IF(YLE成绩库!B495="","", YLE成绩库!B495)</f>
        <v/>
      </c>
      <c r="D995" t="str">
        <f>IF(YLE成绩库!D495="","", YLE成绩库!D495)</f>
        <v/>
      </c>
      <c r="E995" t="str">
        <f>IF(YLE成绩库!C495="","", YLE成绩库!L495)</f>
        <v/>
      </c>
      <c r="F995" t="str">
        <f>IF(YLE成绩库!C495="","", YLE成绩库!M495)</f>
        <v/>
      </c>
      <c r="G995" t="str">
        <f>IF(YLE成绩库!C495="","", YLE成绩库!N495)</f>
        <v/>
      </c>
      <c r="H995" t="str">
        <f>IF(YLE成绩库!C495="","", YLE成绩库!O495)</f>
        <v/>
      </c>
      <c r="I995" t="str">
        <f>IF(YLE成绩库!C495="","", YLE成绩库!P495)</f>
        <v/>
      </c>
      <c r="J995" t="str">
        <f>IF(YLE成绩库!C495="","", YLE成绩库!Q495)</f>
        <v/>
      </c>
      <c r="K995" t="str">
        <f>IF(YLE成绩库!C495="","", YLE成绩库!R495)</f>
        <v/>
      </c>
      <c r="L995" t="str">
        <f>IF(YLE成绩库!C495="","", YLE成绩库!U495)</f>
        <v/>
      </c>
      <c r="M995">
        <v>0</v>
      </c>
      <c r="N995">
        <v>0</v>
      </c>
      <c r="O995">
        <v>0</v>
      </c>
      <c r="P995" t="str">
        <f>IF(YLE成绩库!C495="","", YLE成绩库!D495)</f>
        <v/>
      </c>
      <c r="Q995" t="str">
        <f>IF(YLE成绩库!C495="","", YLE成绩库!E495)</f>
        <v/>
      </c>
      <c r="R995" t="str">
        <f>IF(YLE成绩库!C495="","", YLE成绩库!F495)</f>
        <v/>
      </c>
      <c r="S995" t="str">
        <f>IF(YLE成绩库!C495="","", YLE成绩库!G495)</f>
        <v/>
      </c>
      <c r="T995" t="str">
        <f>IF(YLE成绩库!C495="","", YLE成绩库!H495)</f>
        <v/>
      </c>
      <c r="U995" t="str">
        <f>IF(YLE成绩库!C495="","", YLE成绩库!K495)</f>
        <v/>
      </c>
      <c r="V995" t="str">
        <f>IF(YLE成绩库!C495="","", YLE成绩库!W495)</f>
        <v/>
      </c>
      <c r="W995" t="str">
        <f>IF(YLE成绩库!C495="","", YLE成绩库!X495)</f>
        <v/>
      </c>
      <c r="X995" t="str">
        <f>IF(YLE成绩库!C495="","", YLE成绩库!AA495)</f>
        <v/>
      </c>
      <c r="Z995" t="str">
        <f>IF(YLE成绩库!C495="","", YLE成绩库!Z495)</f>
        <v/>
      </c>
    </row>
    <row r="996" spans="1:26" x14ac:dyDescent="0.2">
      <c r="A996" t="str">
        <f>IF(YLE成绩库!C496="","", YLE成绩库!C496)</f>
        <v/>
      </c>
      <c r="B996" t="str">
        <f>IF(YLE成绩库!AB496="","", YLE成绩库!AB496)</f>
        <v/>
      </c>
      <c r="C996" t="str">
        <f>IF(YLE成绩库!B496="","", YLE成绩库!B496)</f>
        <v/>
      </c>
      <c r="D996" t="str">
        <f>IF(YLE成绩库!D496="","", YLE成绩库!D496)</f>
        <v/>
      </c>
      <c r="E996" t="str">
        <f>IF(YLE成绩库!C496="","", YLE成绩库!L496)</f>
        <v/>
      </c>
      <c r="F996" t="str">
        <f>IF(YLE成绩库!C496="","", YLE成绩库!M496)</f>
        <v/>
      </c>
      <c r="G996" t="str">
        <f>IF(YLE成绩库!C496="","", YLE成绩库!N496)</f>
        <v/>
      </c>
      <c r="H996" t="str">
        <f>IF(YLE成绩库!C496="","", YLE成绩库!O496)</f>
        <v/>
      </c>
      <c r="I996" t="str">
        <f>IF(YLE成绩库!C496="","", YLE成绩库!P496)</f>
        <v/>
      </c>
      <c r="J996" t="str">
        <f>IF(YLE成绩库!C496="","", YLE成绩库!Q496)</f>
        <v/>
      </c>
      <c r="K996" t="str">
        <f>IF(YLE成绩库!C496="","", YLE成绩库!R496)</f>
        <v/>
      </c>
      <c r="L996" t="str">
        <f>IF(YLE成绩库!C496="","", YLE成绩库!U496)</f>
        <v/>
      </c>
      <c r="M996">
        <v>0</v>
      </c>
      <c r="N996">
        <v>0</v>
      </c>
      <c r="O996">
        <v>0</v>
      </c>
      <c r="P996" t="str">
        <f>IF(YLE成绩库!C496="","", YLE成绩库!D496)</f>
        <v/>
      </c>
      <c r="Q996" t="str">
        <f>IF(YLE成绩库!C496="","", YLE成绩库!E496)</f>
        <v/>
      </c>
      <c r="R996" t="str">
        <f>IF(YLE成绩库!C496="","", YLE成绩库!F496)</f>
        <v/>
      </c>
      <c r="S996" t="str">
        <f>IF(YLE成绩库!C496="","", YLE成绩库!G496)</f>
        <v/>
      </c>
      <c r="T996" t="str">
        <f>IF(YLE成绩库!C496="","", YLE成绩库!H496)</f>
        <v/>
      </c>
      <c r="U996" t="str">
        <f>IF(YLE成绩库!C496="","", YLE成绩库!K496)</f>
        <v/>
      </c>
      <c r="V996" t="str">
        <f>IF(YLE成绩库!C496="","", YLE成绩库!W496)</f>
        <v/>
      </c>
      <c r="W996" t="str">
        <f>IF(YLE成绩库!C496="","", YLE成绩库!X496)</f>
        <v/>
      </c>
      <c r="X996" t="str">
        <f>IF(YLE成绩库!C496="","", YLE成绩库!AA496)</f>
        <v/>
      </c>
      <c r="Z996" t="str">
        <f>IF(YLE成绩库!C496="","", YLE成绩库!Z496)</f>
        <v/>
      </c>
    </row>
    <row r="997" spans="1:26" x14ac:dyDescent="0.2">
      <c r="A997" t="str">
        <f>IF(YLE成绩库!C497="","", YLE成绩库!C497)</f>
        <v/>
      </c>
      <c r="B997" t="str">
        <f>IF(YLE成绩库!AB497="","", YLE成绩库!AB497)</f>
        <v/>
      </c>
      <c r="C997" t="str">
        <f>IF(YLE成绩库!B497="","", YLE成绩库!B497)</f>
        <v/>
      </c>
      <c r="D997" t="str">
        <f>IF(YLE成绩库!D497="","", YLE成绩库!D497)</f>
        <v/>
      </c>
      <c r="E997" t="str">
        <f>IF(YLE成绩库!C497="","", YLE成绩库!L497)</f>
        <v/>
      </c>
      <c r="F997" t="str">
        <f>IF(YLE成绩库!C497="","", YLE成绩库!M497)</f>
        <v/>
      </c>
      <c r="G997" t="str">
        <f>IF(YLE成绩库!C497="","", YLE成绩库!N497)</f>
        <v/>
      </c>
      <c r="H997" t="str">
        <f>IF(YLE成绩库!C497="","", YLE成绩库!O497)</f>
        <v/>
      </c>
      <c r="I997" t="str">
        <f>IF(YLE成绩库!C497="","", YLE成绩库!P497)</f>
        <v/>
      </c>
      <c r="J997" t="str">
        <f>IF(YLE成绩库!C497="","", YLE成绩库!Q497)</f>
        <v/>
      </c>
      <c r="K997" t="str">
        <f>IF(YLE成绩库!C497="","", YLE成绩库!R497)</f>
        <v/>
      </c>
      <c r="L997" t="str">
        <f>IF(YLE成绩库!C497="","", YLE成绩库!U497)</f>
        <v/>
      </c>
      <c r="M997">
        <v>0</v>
      </c>
      <c r="N997">
        <v>0</v>
      </c>
      <c r="O997">
        <v>0</v>
      </c>
      <c r="P997" t="str">
        <f>IF(YLE成绩库!C497="","", YLE成绩库!D497)</f>
        <v/>
      </c>
      <c r="Q997" t="str">
        <f>IF(YLE成绩库!C497="","", YLE成绩库!E497)</f>
        <v/>
      </c>
      <c r="R997" t="str">
        <f>IF(YLE成绩库!C497="","", YLE成绩库!F497)</f>
        <v/>
      </c>
      <c r="S997" t="str">
        <f>IF(YLE成绩库!C497="","", YLE成绩库!G497)</f>
        <v/>
      </c>
      <c r="T997" t="str">
        <f>IF(YLE成绩库!C497="","", YLE成绩库!H497)</f>
        <v/>
      </c>
      <c r="U997" t="str">
        <f>IF(YLE成绩库!C497="","", YLE成绩库!K497)</f>
        <v/>
      </c>
      <c r="V997" t="str">
        <f>IF(YLE成绩库!C497="","", YLE成绩库!W497)</f>
        <v/>
      </c>
      <c r="W997" t="str">
        <f>IF(YLE成绩库!C497="","", YLE成绩库!X497)</f>
        <v/>
      </c>
      <c r="X997" t="str">
        <f>IF(YLE成绩库!C497="","", YLE成绩库!AA497)</f>
        <v/>
      </c>
      <c r="Z997" t="str">
        <f>IF(YLE成绩库!C497="","", YLE成绩库!Z497)</f>
        <v/>
      </c>
    </row>
    <row r="998" spans="1:26" x14ac:dyDescent="0.2">
      <c r="A998" t="str">
        <f>IF(YLE成绩库!C498="","", YLE成绩库!C498)</f>
        <v/>
      </c>
      <c r="B998" t="str">
        <f>IF(YLE成绩库!AB498="","", YLE成绩库!AB498)</f>
        <v/>
      </c>
      <c r="C998" t="str">
        <f>IF(YLE成绩库!B498="","", YLE成绩库!B498)</f>
        <v/>
      </c>
      <c r="D998" t="str">
        <f>IF(YLE成绩库!D498="","", YLE成绩库!D498)</f>
        <v/>
      </c>
      <c r="E998" t="str">
        <f>IF(YLE成绩库!C498="","", YLE成绩库!L498)</f>
        <v/>
      </c>
      <c r="F998" t="str">
        <f>IF(YLE成绩库!C498="","", YLE成绩库!M498)</f>
        <v/>
      </c>
      <c r="G998" t="str">
        <f>IF(YLE成绩库!C498="","", YLE成绩库!N498)</f>
        <v/>
      </c>
      <c r="H998" t="str">
        <f>IF(YLE成绩库!C498="","", YLE成绩库!O498)</f>
        <v/>
      </c>
      <c r="I998" t="str">
        <f>IF(YLE成绩库!C498="","", YLE成绩库!P498)</f>
        <v/>
      </c>
      <c r="J998" t="str">
        <f>IF(YLE成绩库!C498="","", YLE成绩库!Q498)</f>
        <v/>
      </c>
      <c r="K998" t="str">
        <f>IF(YLE成绩库!C498="","", YLE成绩库!R498)</f>
        <v/>
      </c>
      <c r="L998" t="str">
        <f>IF(YLE成绩库!C498="","", YLE成绩库!U498)</f>
        <v/>
      </c>
      <c r="M998">
        <v>0</v>
      </c>
      <c r="N998">
        <v>0</v>
      </c>
      <c r="O998">
        <v>0</v>
      </c>
      <c r="P998" t="str">
        <f>IF(YLE成绩库!C498="","", YLE成绩库!D498)</f>
        <v/>
      </c>
      <c r="Q998" t="str">
        <f>IF(YLE成绩库!C498="","", YLE成绩库!E498)</f>
        <v/>
      </c>
      <c r="R998" t="str">
        <f>IF(YLE成绩库!C498="","", YLE成绩库!F498)</f>
        <v/>
      </c>
      <c r="S998" t="str">
        <f>IF(YLE成绩库!C498="","", YLE成绩库!G498)</f>
        <v/>
      </c>
      <c r="T998" t="str">
        <f>IF(YLE成绩库!C498="","", YLE成绩库!H498)</f>
        <v/>
      </c>
      <c r="U998" t="str">
        <f>IF(YLE成绩库!C498="","", YLE成绩库!K498)</f>
        <v/>
      </c>
      <c r="V998" t="str">
        <f>IF(YLE成绩库!C498="","", YLE成绩库!W498)</f>
        <v/>
      </c>
      <c r="W998" t="str">
        <f>IF(YLE成绩库!C498="","", YLE成绩库!X498)</f>
        <v/>
      </c>
      <c r="X998" t="str">
        <f>IF(YLE成绩库!C498="","", YLE成绩库!AA498)</f>
        <v/>
      </c>
      <c r="Z998" t="str">
        <f>IF(YLE成绩库!C498="","", YLE成绩库!Z498)</f>
        <v/>
      </c>
    </row>
    <row r="999" spans="1:26" x14ac:dyDescent="0.2">
      <c r="A999" t="str">
        <f>IF(YLE成绩库!C499="","", YLE成绩库!C499)</f>
        <v/>
      </c>
      <c r="B999" t="str">
        <f>IF(YLE成绩库!AB499="","", YLE成绩库!AB499)</f>
        <v/>
      </c>
      <c r="C999" t="str">
        <f>IF(YLE成绩库!B499="","", YLE成绩库!B499)</f>
        <v/>
      </c>
      <c r="D999" t="str">
        <f>IF(YLE成绩库!D499="","", YLE成绩库!D499)</f>
        <v/>
      </c>
      <c r="E999" t="str">
        <f>IF(YLE成绩库!C499="","", YLE成绩库!L499)</f>
        <v/>
      </c>
      <c r="F999" t="str">
        <f>IF(YLE成绩库!C499="","", YLE成绩库!M499)</f>
        <v/>
      </c>
      <c r="G999" t="str">
        <f>IF(YLE成绩库!C499="","", YLE成绩库!N499)</f>
        <v/>
      </c>
      <c r="H999" t="str">
        <f>IF(YLE成绩库!C499="","", YLE成绩库!O499)</f>
        <v/>
      </c>
      <c r="I999" t="str">
        <f>IF(YLE成绩库!C499="","", YLE成绩库!P499)</f>
        <v/>
      </c>
      <c r="J999" t="str">
        <f>IF(YLE成绩库!C499="","", YLE成绩库!Q499)</f>
        <v/>
      </c>
      <c r="K999" t="str">
        <f>IF(YLE成绩库!C499="","", YLE成绩库!R499)</f>
        <v/>
      </c>
      <c r="L999" t="str">
        <f>IF(YLE成绩库!C499="","", YLE成绩库!U499)</f>
        <v/>
      </c>
      <c r="M999">
        <v>0</v>
      </c>
      <c r="N999">
        <v>0</v>
      </c>
      <c r="O999">
        <v>0</v>
      </c>
      <c r="P999" t="str">
        <f>IF(YLE成绩库!C499="","", YLE成绩库!D499)</f>
        <v/>
      </c>
      <c r="Q999" t="str">
        <f>IF(YLE成绩库!C499="","", YLE成绩库!E499)</f>
        <v/>
      </c>
      <c r="R999" t="str">
        <f>IF(YLE成绩库!C499="","", YLE成绩库!F499)</f>
        <v/>
      </c>
      <c r="S999" t="str">
        <f>IF(YLE成绩库!C499="","", YLE成绩库!G499)</f>
        <v/>
      </c>
      <c r="T999" t="str">
        <f>IF(YLE成绩库!C499="","", YLE成绩库!H499)</f>
        <v/>
      </c>
      <c r="U999" t="str">
        <f>IF(YLE成绩库!C499="","", YLE成绩库!K499)</f>
        <v/>
      </c>
      <c r="V999" t="str">
        <f>IF(YLE成绩库!C499="","", YLE成绩库!W499)</f>
        <v/>
      </c>
      <c r="W999" t="str">
        <f>IF(YLE成绩库!C499="","", YLE成绩库!X499)</f>
        <v/>
      </c>
      <c r="X999" t="str">
        <f>IF(YLE成绩库!C499="","", YLE成绩库!AA499)</f>
        <v/>
      </c>
      <c r="Z999" t="str">
        <f>IF(YLE成绩库!C499="","", YLE成绩库!Z499)</f>
        <v/>
      </c>
    </row>
    <row r="1000" spans="1:26" x14ac:dyDescent="0.2">
      <c r="A1000" t="str">
        <f>IF(YLE成绩库!C500="","", YLE成绩库!C500)</f>
        <v/>
      </c>
      <c r="B1000" t="str">
        <f>IF(YLE成绩库!AB500="","", YLE成绩库!AB500)</f>
        <v/>
      </c>
      <c r="C1000" t="str">
        <f>IF(YLE成绩库!B500="","", YLE成绩库!B500)</f>
        <v/>
      </c>
      <c r="D1000" t="str">
        <f>IF(YLE成绩库!D500="","", YLE成绩库!D500)</f>
        <v/>
      </c>
      <c r="E1000" t="str">
        <f>IF(YLE成绩库!C500="","", YLE成绩库!L500)</f>
        <v/>
      </c>
      <c r="F1000" t="str">
        <f>IF(YLE成绩库!C500="","", YLE成绩库!M500)</f>
        <v/>
      </c>
      <c r="G1000" t="str">
        <f>IF(YLE成绩库!C500="","", YLE成绩库!N500)</f>
        <v/>
      </c>
      <c r="H1000" t="str">
        <f>IF(YLE成绩库!C500="","", YLE成绩库!O500)</f>
        <v/>
      </c>
      <c r="I1000" t="str">
        <f>IF(YLE成绩库!C500="","", YLE成绩库!P500)</f>
        <v/>
      </c>
      <c r="J1000" t="str">
        <f>IF(YLE成绩库!C500="","", YLE成绩库!Q500)</f>
        <v/>
      </c>
      <c r="K1000" t="str">
        <f>IF(YLE成绩库!C500="","", YLE成绩库!R500)</f>
        <v/>
      </c>
      <c r="L1000" t="str">
        <f>IF(YLE成绩库!C500="","", YLE成绩库!U500)</f>
        <v/>
      </c>
      <c r="M1000">
        <v>0</v>
      </c>
      <c r="N1000">
        <v>0</v>
      </c>
      <c r="O1000">
        <v>0</v>
      </c>
      <c r="P1000" t="str">
        <f>IF(YLE成绩库!C500="","", YLE成绩库!D500)</f>
        <v/>
      </c>
      <c r="Q1000" t="str">
        <f>IF(YLE成绩库!C500="","", YLE成绩库!E500)</f>
        <v/>
      </c>
      <c r="R1000" t="str">
        <f>IF(YLE成绩库!C500="","", YLE成绩库!F500)</f>
        <v/>
      </c>
      <c r="S1000" t="str">
        <f>IF(YLE成绩库!C500="","", YLE成绩库!G500)</f>
        <v/>
      </c>
      <c r="T1000" t="str">
        <f>IF(YLE成绩库!C500="","", YLE成绩库!H500)</f>
        <v/>
      </c>
      <c r="U1000" t="str">
        <f>IF(YLE成绩库!C500="","", YLE成绩库!K500)</f>
        <v/>
      </c>
      <c r="V1000" t="str">
        <f>IF(YLE成绩库!C500="","", YLE成绩库!W500)</f>
        <v/>
      </c>
      <c r="W1000" t="str">
        <f>IF(YLE成绩库!C500="","", YLE成绩库!X500)</f>
        <v/>
      </c>
      <c r="X1000" t="str">
        <f>IF(YLE成绩库!C500="","", YLE成绩库!AA500)</f>
        <v/>
      </c>
      <c r="Z1000" t="str">
        <f>IF(YLE成绩库!C500="","", YLE成绩库!Z500)</f>
        <v/>
      </c>
    </row>
    <row r="1001" spans="1:26" x14ac:dyDescent="0.2">
      <c r="A1001" t="str">
        <f>IF(YLE成绩库!C501="","", YLE成绩库!C501)</f>
        <v/>
      </c>
      <c r="B1001" t="str">
        <f>IF(YLE成绩库!AB501="","", YLE成绩库!AB501)</f>
        <v/>
      </c>
      <c r="C1001" t="str">
        <f>IF(YLE成绩库!B501="","", YLE成绩库!B501)</f>
        <v/>
      </c>
      <c r="D1001" t="str">
        <f>IF(YLE成绩库!D501="","", YLE成绩库!D501)</f>
        <v/>
      </c>
      <c r="E1001" t="str">
        <f>IF(YLE成绩库!C501="","", YLE成绩库!L501)</f>
        <v/>
      </c>
      <c r="F1001" t="str">
        <f>IF(YLE成绩库!C501="","", YLE成绩库!M501)</f>
        <v/>
      </c>
      <c r="G1001" t="str">
        <f>IF(YLE成绩库!C501="","", YLE成绩库!N501)</f>
        <v/>
      </c>
      <c r="H1001" t="str">
        <f>IF(YLE成绩库!C501="","", YLE成绩库!O501)</f>
        <v/>
      </c>
      <c r="I1001" t="str">
        <f>IF(YLE成绩库!C501="","", YLE成绩库!P501)</f>
        <v/>
      </c>
      <c r="J1001" t="str">
        <f>IF(YLE成绩库!C501="","", YLE成绩库!Q501)</f>
        <v/>
      </c>
      <c r="K1001" t="str">
        <f>IF(YLE成绩库!C501="","", YLE成绩库!R501)</f>
        <v/>
      </c>
      <c r="L1001" t="str">
        <f>IF(YLE成绩库!C501="","", YLE成绩库!U501)</f>
        <v/>
      </c>
      <c r="M1001">
        <v>0</v>
      </c>
      <c r="N1001">
        <v>0</v>
      </c>
      <c r="O1001">
        <v>0</v>
      </c>
      <c r="P1001" t="str">
        <f>IF(YLE成绩库!C501="","", YLE成绩库!D501)</f>
        <v/>
      </c>
      <c r="Q1001" t="str">
        <f>IF(YLE成绩库!C501="","", YLE成绩库!E501)</f>
        <v/>
      </c>
      <c r="R1001" t="str">
        <f>IF(YLE成绩库!C501="","", YLE成绩库!F501)</f>
        <v/>
      </c>
      <c r="S1001" t="str">
        <f>IF(YLE成绩库!C501="","", YLE成绩库!G501)</f>
        <v/>
      </c>
      <c r="T1001" t="str">
        <f>IF(YLE成绩库!C501="","", YLE成绩库!H501)</f>
        <v/>
      </c>
      <c r="U1001" t="str">
        <f>IF(YLE成绩库!C501="","", YLE成绩库!K501)</f>
        <v/>
      </c>
      <c r="V1001" t="str">
        <f>IF(YLE成绩库!C501="","", YLE成绩库!W501)</f>
        <v/>
      </c>
      <c r="W1001" t="str">
        <f>IF(YLE成绩库!C501="","", YLE成绩库!X501)</f>
        <v/>
      </c>
      <c r="X1001" t="str">
        <f>IF(YLE成绩库!C501="","", YLE成绩库!AA501)</f>
        <v/>
      </c>
      <c r="Z1001" t="str">
        <f>IF(YLE成绩库!C501="","", YLE成绩库!Z501)</f>
        <v/>
      </c>
    </row>
  </sheetData>
  <autoFilter ref="A1:Z100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学生诊断报告</vt:lpstr>
      <vt:lpstr>班级板块精细诊断</vt:lpstr>
      <vt:lpstr>换算标准</vt:lpstr>
      <vt:lpstr>技能库</vt:lpstr>
      <vt:lpstr>MSE成绩库</vt:lpstr>
      <vt:lpstr>YLE成绩库</vt:lpstr>
      <vt:lpstr>Helper_AllData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Amos Lin (林家玮)</cp:lastModifiedBy>
  <dcterms:created xsi:type="dcterms:W3CDTF">2026-04-14T00:53:49Z</dcterms:created>
  <dcterms:modified xsi:type="dcterms:W3CDTF">2026-04-16T13:15:44Z</dcterms:modified>
</cp:coreProperties>
</file>